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1" activeTab="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Xiao_inserted_transco2captured" sheetId="34" r:id="rId11"/>
    <sheet name="emissions" sheetId="11" r:id="rId12"/>
    <sheet name="CO2 transp and sto" sheetId="15" r:id="rId13"/>
    <sheet name="car batteries" sheetId="21" r:id="rId1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<sst xmlns="http://schemas.openxmlformats.org/spreadsheetml/2006/main" count="3971" uniqueCount="744">
  <si>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</si>
  <si>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</si>
  <si>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</si>
  <si>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</si>
  <si>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</si>
  <si>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</si>
  <si>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</si>
  <si>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</si>
  <si>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</si>
  <si>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</si>
  <si>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</si>
  <si>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</si>
  <si>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</si>
  <si>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</si>
  <si>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</si>
  <si>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</si>
  <si>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</si>
  <si>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</si>
  <si>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</si>
  <si>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</si>
  <si>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</si>
  <si>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</si>
  <si>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</si>
  <si>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</si>
  <si>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</si>
  <si>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</si>
  <si>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</si>
  <si>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</si>
  <si>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</si>
  <si>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</si>
  <si>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</si>
  <si>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</si>
  <si>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</si>
  <si>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</si>
  <si>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</si>
  <si>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</si>
  <si>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</si>
  <si>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</si>
  <si>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</si>
  <si>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</si>
  <si>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</si>
  <si>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</si>
  <si>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</si>
  <si>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</si>
  <si>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</si>
  <si>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</si>
  <si>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</si>
  <si>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</si>
  <si>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</si>
  <si>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</si>
  <si>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</si>
  <si>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</si>
  <si>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</si>
  <si>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</si>
  <si>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</si>
  <si>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</si>
  <si>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</si>
  <si>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</si>
  <si>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</si>
  <si>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</si>
  <si>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</si>
  <si>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</si>
  <si>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</si>
  <si>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</si>
  <si>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</si>
  <si>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</si>
  <si>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</si>
  <si>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</si>
  <si>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</si>
  <si>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</si>
  <si>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</si>
  <si>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</si>
  <si>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</si>
  <si>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</si>
  <si>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</si>
  <si>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</si>
  <si>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</si>
  <si>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</si>
  <si>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</si>
  <si>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</si>
  <si>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</si>
  <si>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</si>
  <si>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</si>
  <si>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</si>
  <si>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</si>
  <si>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</si>
  <si>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</si>
  <si>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</si>
  <si>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</si>
  <si>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</si>
  <si>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</si>
  <si>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</si>
  <si>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</si>
  <si>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</si>
  <si>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</si>
  <si>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</si>
  <si>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</si>
  <si>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</si>
  <si>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</si>
  <si>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</si>
  <si>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</si>
  <si>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</si>
  <si>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</si>
  <si>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</si>
  <si>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</si>
  <si>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</si>
  <si>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</si>
  <si>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</si>
  <si>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</si>
  <si>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</si>
  <si>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</si>
  <si>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</si>
  <si>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</si>
  <si>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</si>
  <si>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</si>
  <si>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</si>
  <si>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</si>
  <si>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</si>
  <si>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</si>
  <si>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</si>
  <si>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</si>
  <si>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</si>
  <si>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</si>
  <si>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</si>
  <si>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</si>
  <si>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</si>
  <si>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</si>
  <si>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</si>
  <si>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</si>
  <si>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</si>
  <si>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</si>
  <si>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</si>
  <si>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</si>
  <si>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</si>
  <si>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</si>
  <si>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</si>
  <si>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</si>
  <si>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</si>
  <si>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</si>
  <si>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</si>
  <si>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</si>
  <si>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</si>
  <si>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</si>
  <si>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</si>
  <si>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</si>
  <si>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</si>
  <si>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</si>
  <si>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</si>
  <si>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</si>
  <si>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</si>
  <si>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</si>
  <si>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</si>
  <si>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</si>
  <si>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</si>
  <si>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</si>
  <si>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</si>
  <si>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</si>
  <si>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</si>
  <si>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</si>
  <si>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</si>
  <si>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</si>
  <si>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</si>
  <si>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</si>
  <si>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</si>
  <si>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</si>
  <si>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</si>
  <si>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</si>
  <si>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</si>
  <si>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</si>
  <si>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</si>
  <si>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</si>
  <si>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</si>
  <si>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</si>
  <si>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</si>
  <si>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</si>
  <si>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</si>
  <si>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</si>
  <si>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</si>
  <si>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</si>
  <si>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</si>
  <si>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</si>
  <si>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</si>
  <si>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</si>
  <si>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</si>
  <si>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</si>
  <si>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</si>
  <si>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</si>
  <si>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</si>
  <si>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</si>
  <si>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</si>
  <si>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</si>
  <si>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</si>
  <si>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</si>
  <si>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</si>
  <si>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</si>
  <si>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</si>
  <si>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</si>
  <si>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</si>
  <si>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</si>
  <si>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</si>
  <si>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</si>
  <si>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</si>
  <si>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</si>
  <si>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</si>
  <si>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</si>
  <si>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</si>
  <si>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</si>
  <si>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</si>
  <si>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</si>
  <si>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</si>
  <si>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</si>
  <si>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</si>
  <si>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</si>
  <si>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</si>
  <si>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</si>
  <si>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</si>
  <si>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</si>
  <si>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</si>
  <si>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</si>
  <si>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</si>
  <si>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</si>
  <si>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</si>
  <si>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</si>
  <si>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</si>
  <si>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</si>
  <si>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</si>
  <si>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</si>
  <si>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</si>
  <si>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</si>
  <si>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</si>
  <si>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</si>
  <si>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</si>
  <si>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</si>
  <si>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</si>
  <si>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</si>
  <si>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</si>
  <si>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</si>
  <si>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</si>
  <si>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</si>
  <si>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</si>
  <si>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</si>
  <si>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</si>
  <si>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</si>
  <si>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</si>
  <si>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</si>
  <si>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</si>
  <si>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</si>
  <si>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</si>
  <si>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</si>
  <si>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</si>
  <si>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</si>
  <si>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</si>
  <si>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</si>
  <si>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</si>
  <si>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</si>
  <si>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</si>
  <si>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</si>
  <si>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</si>
  <si>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</si>
  <si>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</si>
  <si>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</si>
  <si>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</si>
  <si>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</si>
  <si>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</si>
  <si>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</si>
  <si>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</si>
  <si>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</si>
  <si>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</si>
  <si>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</si>
  <si>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</si>
  <si>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</si>
  <si>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</si>
  <si>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</si>
  <si>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</si>
  <si>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</si>
  <si>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</si>
  <si>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</si>
  <si>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</si>
  <si>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</si>
  <si>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</si>
  <si>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</si>
  <si>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</si>
  <si>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</si>
  <si>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</si>
  <si>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</si>
  <si>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</si>
  <si>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</si>
  <si>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</si>
  <si>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</si>
  <si>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</si>
  <si>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</si>
  <si>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</si>
  <si>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</si>
  <si>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</si>
  <si>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</si>
  <si>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</si>
  <si>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</si>
  <si>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</si>
  <si>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</si>
  <si>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</si>
  <si>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</si>
  <si>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</si>
  <si>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</si>
  <si>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</si>
  <si>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</si>
  <si>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</si>
  <si>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</si>
  <si>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</si>
  <si>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</si>
  <si>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</si>
  <si>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</si>
  <si>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</si>
  <si>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</si>
  <si>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</si>
  <si>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</si>
  <si>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</si>
  <si>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</si>
  <si>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</si>
  <si>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</si>
  <si>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</si>
  <si>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</si>
  <si>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</si>
  <si>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</si>
  <si>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</si>
  <si>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</si>
  <si>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</si>
  <si>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</si>
  <si>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</si>
  <si>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</si>
  <si>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</si>
  <si>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</si>
  <si>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</si>
  <si>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</si>
  <si>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</si>
  <si>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</si>
  <si>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</si>
  <si>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</si>
  <si>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</si>
  <si>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</si>
  <si>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</si>
  <si>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</si>
  <si>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</si>
  <si>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</si>
  <si>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</si>
  <si>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</si>
  <si>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</si>
  <si>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</si>
  <si>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</si>
  <si>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</si>
  <si>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</si>
  <si>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</si>
  <si>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</si>
  <si>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</si>
  <si>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</si>
  <si>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</si>
  <si>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</si>
  <si>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</si>
  <si>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</si>
  <si>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</si>
  <si>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</si>
  <si>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</si>
  <si>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</si>
  <si>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</si>
  <si>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</si>
  <si>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</si>
  <si>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</si>
  <si>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</si>
  <si>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</si>
  <si>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</si>
  <si>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</si>
  <si>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</si>
  <si>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</si>
  <si>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</si>
  <si>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</si>
  <si>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</si>
  <si>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</si>
  <si>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</si>
  <si>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</si>
  <si>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</si>
  <si>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</si>
  <si>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</si>
  <si>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</si>
  <si>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</si>
  <si>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</si>
  <si>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</si>
  <si>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</si>
  <si>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</si>
  <si>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</si>
  <si>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</si>
  <si>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</si>
  <si>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</si>
  <si>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</si>
  <si>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</si>
  <si>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</si>
  <si>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</si>
  <si>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</si>
  <si>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</si>
  <si>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</si>
  <si>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</si>
  <si>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</si>
  <si>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</si>
  <si>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</si>
  <si>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</si>
  <si>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</si>
  <si>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</si>
  <si>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</si>
  <si>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</si>
  <si>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</si>
  <si>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</si>
  <si>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</si>
  <si>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</si>
  <si>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</si>
  <si>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</si>
  <si>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</si>
  <si>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</si>
  <si>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</si>
  <si>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</si>
  <si>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</si>
  <si>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</si>
  <si>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</si>
  <si>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</si>
  <si>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</si>
  <si>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</si>
  <si>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</si>
  <si>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</si>
  <si>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</si>
  <si>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</si>
  <si>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</si>
  <si>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</si>
  <si>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</si>
  <si>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</si>
  <si>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</si>
  <si>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</si>
  <si>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</si>
  <si>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</si>
  <si>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</si>
  <si>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</si>
  <si>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</si>
  <si>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</si>
  <si>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</si>
  <si>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</si>
  <si>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</si>
  <si>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</si>
  <si>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</si>
  <si>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</si>
  <si>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</si>
  <si>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</si>
  <si>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</si>
  <si>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</si>
  <si>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</si>
  <si>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</si>
  <si>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</si>
  <si>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</si>
  <si>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</si>
  <si>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</si>
  <si>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</si>
  <si>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</si>
  <si>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</si>
  <si>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</si>
  <si>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</si>
  <si>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</si>
  <si>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</si>
  <si>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</si>
  <si>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</si>
  <si>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</si>
  <si>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</si>
  <si>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</si>
  <si>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</si>
  <si>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</si>
  <si>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</si>
  <si>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</si>
  <si>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</si>
  <si>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</si>
  <si>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</si>
  <si>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</si>
  <si>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</si>
  <si>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</si>
  <si>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</si>
  <si>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</si>
  <si>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</si>
  <si>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</si>
  <si>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</si>
  <si>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</si>
  <si>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</si>
  <si>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</si>
  <si>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</si>
  <si>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</si>
  <si>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</si>
  <si>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</si>
  <si>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</si>
  <si>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</si>
  <si>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</si>
  <si>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</si>
  <si>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</si>
  <si>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</si>
  <si>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</si>
  <si>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</si>
  <si>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</si>
  <si>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</si>
  <si>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</si>
  <si>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</si>
  <si>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</si>
  <si>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</si>
  <si>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</si>
  <si>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</si>
  <si>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</si>
  <si>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</si>
  <si>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</si>
  <si>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</si>
  <si>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</si>
  <si>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</si>
  <si>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</si>
  <si>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</si>
  <si>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</si>
  <si>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</si>
  <si>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</si>
  <si>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</si>
  <si>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</si>
  <si>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</si>
  <si>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</si>
  <si>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</si>
  <si>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</si>
  <si>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</si>
  <si>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</si>
  <si>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</si>
  <si>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</si>
  <si>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</si>
  <si>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</si>
  <si>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</si>
  <si>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</si>
  <si>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</si>
  <si>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</si>
  <si>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CCS does NOT work for on-road transport</t>
  </si>
  <si>
    <t>FLO_EMIS</t>
  </si>
  <si>
    <t>ICH_feedstock</t>
  </si>
  <si>
    <t>TRACO2Nc</t>
  </si>
  <si>
    <t>TRACO2Ng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</si>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</sst>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I18" sqref="I18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8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2:21">
      <c r="B3" s="39" t="s">
        <v>54</v>
      </c>
      <c r="C3" s="39" t="s">
        <v>55</v>
      </c>
      <c r="D3" s="39" t="s">
        <v>56</v>
      </c>
      <c r="E3" s="39" t="s">
        <v>57</v>
      </c>
      <c r="F3" s="39" t="s">
        <v>58</v>
      </c>
      <c r="G3" s="39" t="s">
        <v>59</v>
      </c>
      <c r="H3" s="40" t="s">
        <v>60</v>
      </c>
      <c r="I3" s="44" t="s">
        <v>61</v>
      </c>
      <c r="J3" s="44" t="s">
        <v>62</v>
      </c>
      <c r="K3" s="44" t="s">
        <v>63</v>
      </c>
      <c r="L3" s="44" t="s">
        <v>64</v>
      </c>
      <c r="M3" s="44" t="s">
        <v>65</v>
      </c>
      <c r="N3" s="44" t="s">
        <v>66</v>
      </c>
      <c r="O3" s="44" t="s">
        <v>67</v>
      </c>
      <c r="P3" s="44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5">
        <f>V11*1.2</f>
        <v>23.328</v>
      </c>
      <c r="X21" t="s">
        <v>127</v>
      </c>
      <c r="Y21" t="s">
        <v>128</v>
      </c>
      <c r="Z21" s="49" t="s">
        <v>129</v>
      </c>
      <c r="AA21" t="str">
        <f t="shared" ref="AA21:AA26" si="0">X21</f>
        <v>HH2</v>
      </c>
      <c r="AB21" s="49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9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9" t="s">
        <v>141</v>
      </c>
      <c r="AC26" t="s">
        <v>99</v>
      </c>
    </row>
    <row r="27" spans="4:12">
      <c r="D27" t="s">
        <v>143</v>
      </c>
      <c r="E27">
        <v>2050</v>
      </c>
      <c r="H27" s="49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6" t="s">
        <v>73</v>
      </c>
      <c r="X29" s="47" t="s">
        <v>152</v>
      </c>
      <c r="Y29" s="47" t="s">
        <v>153</v>
      </c>
      <c r="Z29" s="47" t="s">
        <v>154</v>
      </c>
      <c r="AA29" s="47" t="s">
        <v>155</v>
      </c>
      <c r="AB29" s="47" t="s">
        <v>156</v>
      </c>
      <c r="AC29" s="47" t="s">
        <v>9</v>
      </c>
      <c r="AD29" s="47" t="s">
        <v>10</v>
      </c>
      <c r="AE29" s="47" t="s">
        <v>157</v>
      </c>
      <c r="AF29" s="47" t="s">
        <v>158</v>
      </c>
      <c r="AG29" s="47" t="s">
        <v>159</v>
      </c>
      <c r="AH29" s="47" t="s">
        <v>160</v>
      </c>
      <c r="AI29" s="47" t="s">
        <v>161</v>
      </c>
      <c r="AJ29" s="47" t="s">
        <v>13</v>
      </c>
      <c r="AK29" s="47" t="s">
        <v>162</v>
      </c>
      <c r="AL29" s="47" t="s">
        <v>163</v>
      </c>
      <c r="AM29" s="47" t="s">
        <v>164</v>
      </c>
      <c r="AN29" s="47" t="s">
        <v>165</v>
      </c>
      <c r="AO29" s="47" t="s">
        <v>14</v>
      </c>
      <c r="AP29" s="47" t="s">
        <v>166</v>
      </c>
      <c r="AQ29" s="47" t="s">
        <v>167</v>
      </c>
      <c r="AR29" s="47" t="s">
        <v>168</v>
      </c>
      <c r="AS29" s="47" t="s">
        <v>169</v>
      </c>
      <c r="AT29" s="47" t="s">
        <v>170</v>
      </c>
      <c r="AU29" s="47" t="s">
        <v>171</v>
      </c>
      <c r="AV29" s="47" t="s">
        <v>172</v>
      </c>
      <c r="AW29" s="47" t="s">
        <v>173</v>
      </c>
      <c r="AX29" s="47" t="s">
        <v>174</v>
      </c>
      <c r="AY29" s="47" t="s">
        <v>175</v>
      </c>
      <c r="AZ29" s="47" t="s">
        <v>17</v>
      </c>
      <c r="BA29" s="47" t="s">
        <v>176</v>
      </c>
      <c r="BB29" s="47" t="s">
        <v>18</v>
      </c>
      <c r="BC29" s="47" t="s">
        <v>177</v>
      </c>
      <c r="BD29" s="47" t="s">
        <v>178</v>
      </c>
      <c r="BE29" s="47" t="s">
        <v>179</v>
      </c>
      <c r="BF29" s="47" t="s">
        <v>21</v>
      </c>
      <c r="BG29" s="47" t="s">
        <v>22</v>
      </c>
      <c r="BH29" s="47" t="s">
        <v>180</v>
      </c>
      <c r="BI29" s="47" t="s">
        <v>181</v>
      </c>
      <c r="BJ29" s="47" t="s">
        <v>182</v>
      </c>
      <c r="BK29" s="47" t="s">
        <v>23</v>
      </c>
      <c r="BL29" s="47" t="s">
        <v>183</v>
      </c>
      <c r="BM29" s="47" t="s">
        <v>184</v>
      </c>
      <c r="BN29" s="47" t="s">
        <v>185</v>
      </c>
      <c r="BO29" s="47" t="s">
        <v>25</v>
      </c>
      <c r="BP29" s="47" t="s">
        <v>186</v>
      </c>
      <c r="BQ29" s="47" t="s">
        <v>187</v>
      </c>
      <c r="BR29" s="47" t="s">
        <v>188</v>
      </c>
      <c r="BS29" s="47" t="s">
        <v>189</v>
      </c>
      <c r="BT29" s="47" t="s">
        <v>190</v>
      </c>
      <c r="BU29" s="47" t="s">
        <v>191</v>
      </c>
      <c r="BV29" s="47" t="s">
        <v>192</v>
      </c>
      <c r="BW29" s="47" t="s">
        <v>193</v>
      </c>
      <c r="BX29" s="47" t="s">
        <v>194</v>
      </c>
      <c r="BY29" s="47" t="s">
        <v>195</v>
      </c>
      <c r="BZ29" s="47" t="s">
        <v>196</v>
      </c>
      <c r="CA29" s="47" t="s">
        <v>197</v>
      </c>
      <c r="CB29" s="47" t="s">
        <v>198</v>
      </c>
      <c r="CC29" s="47" t="s">
        <v>199</v>
      </c>
      <c r="CD29" s="47" t="s">
        <v>200</v>
      </c>
      <c r="CE29" s="47" t="s">
        <v>201</v>
      </c>
      <c r="CF29" s="47" t="s">
        <v>202</v>
      </c>
      <c r="CG29" s="47" t="s">
        <v>203</v>
      </c>
      <c r="CH29" s="47" t="s">
        <v>204</v>
      </c>
      <c r="CI29" s="47" t="s">
        <v>205</v>
      </c>
      <c r="CJ29" s="47" t="s">
        <v>206</v>
      </c>
      <c r="CK29" s="47" t="s">
        <v>207</v>
      </c>
      <c r="CL29" s="47" t="s">
        <v>208</v>
      </c>
      <c r="CM29" s="47" t="s">
        <v>29</v>
      </c>
      <c r="CN29" s="47" t="s">
        <v>209</v>
      </c>
      <c r="CO29" s="47" t="s">
        <v>210</v>
      </c>
      <c r="CP29" s="47" t="s">
        <v>211</v>
      </c>
      <c r="CQ29" s="47" t="s">
        <v>212</v>
      </c>
      <c r="CR29" s="47" t="s">
        <v>213</v>
      </c>
      <c r="CS29" s="47" t="s">
        <v>214</v>
      </c>
      <c r="CT29" s="47" t="s">
        <v>215</v>
      </c>
      <c r="CU29" s="47" t="s">
        <v>216</v>
      </c>
      <c r="CV29" s="47" t="s">
        <v>217</v>
      </c>
      <c r="CW29" s="47" t="s">
        <v>30</v>
      </c>
      <c r="CX29" s="47" t="s">
        <v>218</v>
      </c>
      <c r="CY29" s="47" t="s">
        <v>219</v>
      </c>
      <c r="CZ29" s="47" t="s">
        <v>220</v>
      </c>
      <c r="DA29" s="47" t="s">
        <v>32</v>
      </c>
      <c r="DB29" s="47" t="s">
        <v>33</v>
      </c>
      <c r="DC29" s="47" t="s">
        <v>221</v>
      </c>
      <c r="DD29" s="47" t="s">
        <v>222</v>
      </c>
      <c r="DE29" s="47" t="s">
        <v>223</v>
      </c>
      <c r="DF29" s="47" t="s">
        <v>224</v>
      </c>
      <c r="DG29" s="47" t="s">
        <v>34</v>
      </c>
      <c r="DH29" s="47" t="s">
        <v>225</v>
      </c>
      <c r="DI29" s="47" t="s">
        <v>226</v>
      </c>
      <c r="DJ29" s="47" t="s">
        <v>227</v>
      </c>
      <c r="DK29" s="47" t="s">
        <v>228</v>
      </c>
      <c r="DL29" s="47" t="s">
        <v>37</v>
      </c>
      <c r="DM29" s="47" t="s">
        <v>229</v>
      </c>
      <c r="DN29" s="47" t="s">
        <v>230</v>
      </c>
      <c r="DO29" s="47" t="s">
        <v>231</v>
      </c>
      <c r="DP29" s="47" t="s">
        <v>232</v>
      </c>
      <c r="DQ29" s="47" t="s">
        <v>233</v>
      </c>
      <c r="DR29" s="47" t="s">
        <v>38</v>
      </c>
      <c r="DS29" s="47" t="s">
        <v>234</v>
      </c>
      <c r="DT29" s="47" t="s">
        <v>235</v>
      </c>
      <c r="DU29" s="47" t="s">
        <v>39</v>
      </c>
      <c r="DV29" s="47" t="s">
        <v>40</v>
      </c>
      <c r="DW29" s="47" t="s">
        <v>236</v>
      </c>
      <c r="DX29" s="47" t="s">
        <v>237</v>
      </c>
      <c r="DY29" s="47" t="s">
        <v>238</v>
      </c>
      <c r="DZ29" s="47" t="s">
        <v>239</v>
      </c>
      <c r="EA29" s="47" t="s">
        <v>240</v>
      </c>
      <c r="EB29" s="47" t="s">
        <v>241</v>
      </c>
      <c r="EC29" s="47" t="s">
        <v>242</v>
      </c>
      <c r="ED29" s="47" t="s">
        <v>243</v>
      </c>
      <c r="EE29" s="47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8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8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9" t="s">
        <v>75</v>
      </c>
    </row>
    <row r="41" spans="10:13">
      <c r="J41" t="s">
        <v>257</v>
      </c>
      <c r="K41" t="s">
        <v>258</v>
      </c>
      <c r="L41" t="s">
        <v>81</v>
      </c>
      <c r="M41" s="49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9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9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9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9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9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9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9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7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7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3"/>
    <col min="2" max="2" width="30.2636363636364" style="33" customWidth="1"/>
    <col min="3" max="3" width="9" style="33" customWidth="1"/>
    <col min="4" max="4" width="5" style="33" customWidth="1"/>
    <col min="5" max="5" width="10.6" style="33" customWidth="1"/>
    <col min="6" max="6" width="11.6" style="33" customWidth="1"/>
    <col min="7" max="7" width="11.4" style="33" customWidth="1"/>
    <col min="8" max="8" width="11.7272727272727" style="33" customWidth="1"/>
    <col min="9" max="9" width="20.1363636363636" style="33" customWidth="1"/>
    <col min="10" max="10" width="11" style="33" customWidth="1"/>
    <col min="11" max="11" width="11.8636363636364" style="33" customWidth="1"/>
    <col min="12" max="12" width="16.6" style="33" customWidth="1"/>
    <col min="13" max="13" width="12.6" style="33" customWidth="1"/>
    <col min="14" max="14" width="18" style="33" customWidth="1"/>
    <col min="15" max="16" width="9.13636363636364" style="33"/>
    <col min="17" max="17" width="43.7272727272727" style="33" customWidth="1"/>
    <col min="18" max="22" width="9.13636363636364" style="33"/>
    <col min="23" max="23" width="9.86363636363636" style="33" customWidth="1"/>
    <col min="24" max="94" width="9.13636363636364" style="33"/>
    <col min="95" max="121" width="7" style="33" customWidth="1"/>
    <col min="122" max="122" width="7.86363636363636" style="33" customWidth="1"/>
    <col min="123" max="134" width="7" style="33" customWidth="1"/>
    <col min="135" max="16384" width="9.13636363636364" style="33"/>
  </cols>
  <sheetData>
    <row r="1" ht="14.5" spans="2:2">
      <c r="B1" s="11" t="e">
        <f>VLOOKUP(P1,$Q$4:$R$33,2,FALSE)</f>
        <v>#N/A</v>
      </c>
    </row>
    <row r="3" spans="2:24">
      <c r="B3" s="33" t="s">
        <v>311</v>
      </c>
      <c r="X3" s="33" t="s">
        <v>312</v>
      </c>
    </row>
    <row r="4" ht="14.5" spans="1:29">
      <c r="A4" s="33" t="s">
        <v>313</v>
      </c>
      <c r="B4" s="33" t="s">
        <v>314</v>
      </c>
      <c r="C4" s="33" t="s">
        <v>73</v>
      </c>
      <c r="D4" s="33" t="s">
        <v>57</v>
      </c>
      <c r="E4" s="33" t="s">
        <v>315</v>
      </c>
      <c r="F4" s="33" t="s">
        <v>316</v>
      </c>
      <c r="G4" s="33" t="s">
        <v>317</v>
      </c>
      <c r="H4" s="33" t="s">
        <v>318</v>
      </c>
      <c r="I4" s="33" t="s">
        <v>319</v>
      </c>
      <c r="J4" s="33" t="s">
        <v>320</v>
      </c>
      <c r="K4" s="33" t="s">
        <v>321</v>
      </c>
      <c r="L4" s="33" t="s">
        <v>322</v>
      </c>
      <c r="M4" s="33" t="s">
        <v>323</v>
      </c>
      <c r="N4" s="33" t="s">
        <v>324</v>
      </c>
      <c r="Q4" s="12" t="s">
        <v>325</v>
      </c>
      <c r="R4" s="33" t="s">
        <v>326</v>
      </c>
      <c r="X4" s="33" t="s">
        <v>73</v>
      </c>
      <c r="Y4" s="33" t="s">
        <v>267</v>
      </c>
      <c r="Z4" s="33" t="s">
        <v>5</v>
      </c>
      <c r="AA4" s="33" t="s">
        <v>75</v>
      </c>
      <c r="AC4" s="35" t="s">
        <v>327</v>
      </c>
    </row>
    <row r="5" ht="14.5" spans="1:27">
      <c r="A5" s="33" t="s">
        <v>328</v>
      </c>
      <c r="B5" s="12" t="str">
        <f>VLOOKUP(P5,$Q$4:$R$33,2,FALSE)</f>
        <v>\I: EN_Bioenergy - Cofiring</v>
      </c>
      <c r="C5" s="33" t="s">
        <v>329</v>
      </c>
      <c r="D5" s="33">
        <v>2022</v>
      </c>
      <c r="F5" s="33">
        <v>0.37</v>
      </c>
      <c r="G5" s="33">
        <v>0.37</v>
      </c>
      <c r="H5" s="33">
        <v>0.37</v>
      </c>
      <c r="I5" s="33">
        <v>0.37</v>
      </c>
      <c r="J5" s="33">
        <v>0.37</v>
      </c>
      <c r="K5" s="33">
        <v>0.37</v>
      </c>
      <c r="L5" s="33">
        <v>0.37</v>
      </c>
      <c r="M5" s="33">
        <v>0.37</v>
      </c>
      <c r="N5" s="33">
        <v>0.37</v>
      </c>
      <c r="P5" s="33" t="s">
        <v>325</v>
      </c>
      <c r="Q5" s="12" t="s">
        <v>330</v>
      </c>
      <c r="R5" s="33" t="s">
        <v>330</v>
      </c>
      <c r="X5" s="33" t="s">
        <v>82</v>
      </c>
      <c r="Y5" s="50" t="s">
        <v>331</v>
      </c>
      <c r="Z5" s="33" t="s">
        <v>332</v>
      </c>
      <c r="AA5" s="33">
        <v>2150</v>
      </c>
    </row>
    <row r="6" ht="14.5" spans="1:18">
      <c r="A6" s="33" t="s">
        <v>328</v>
      </c>
      <c r="B6" s="12" t="str">
        <f>VLOOKUP(P6,$Q$4:$R$33,2,FALSE)</f>
        <v>\I: EN_Bioenergy - Cofiring</v>
      </c>
      <c r="C6" s="33" t="s">
        <v>329</v>
      </c>
      <c r="D6" s="33">
        <v>2030</v>
      </c>
      <c r="F6" s="33">
        <v>0.37</v>
      </c>
      <c r="G6" s="33">
        <v>0.37</v>
      </c>
      <c r="H6" s="33">
        <v>0.37</v>
      </c>
      <c r="I6" s="33">
        <v>0.37</v>
      </c>
      <c r="J6" s="33">
        <v>0.37</v>
      </c>
      <c r="K6" s="33">
        <v>0.37</v>
      </c>
      <c r="L6" s="33">
        <v>0.37</v>
      </c>
      <c r="M6" s="33">
        <v>0.37</v>
      </c>
      <c r="N6" s="33">
        <v>0.37</v>
      </c>
      <c r="P6" s="33" t="s">
        <v>325</v>
      </c>
      <c r="Q6" s="12" t="s">
        <v>333</v>
      </c>
      <c r="R6" s="33" t="s">
        <v>334</v>
      </c>
    </row>
    <row r="7" ht="14.5" spans="1:25">
      <c r="A7" s="33" t="s">
        <v>328</v>
      </c>
      <c r="B7" s="12" t="str">
        <f t="shared" ref="B7:B70" si="0">VLOOKUP(P7,$Q$4:$R$33,2,FALSE)</f>
        <v>\I: EN_Bioenergy - Cofiring</v>
      </c>
      <c r="C7" s="33" t="s">
        <v>329</v>
      </c>
      <c r="D7" s="33">
        <v>2050</v>
      </c>
      <c r="F7" s="33">
        <v>0.37</v>
      </c>
      <c r="G7" s="33">
        <v>0.37</v>
      </c>
      <c r="H7" s="33">
        <v>0.37</v>
      </c>
      <c r="I7" s="33">
        <v>0.37</v>
      </c>
      <c r="J7" s="33">
        <v>0.37</v>
      </c>
      <c r="K7" s="33">
        <v>0.37</v>
      </c>
      <c r="L7" s="33">
        <v>0.37</v>
      </c>
      <c r="M7" s="33">
        <v>0.37</v>
      </c>
      <c r="N7" s="33">
        <v>0.37</v>
      </c>
      <c r="P7" s="33" t="s">
        <v>325</v>
      </c>
      <c r="Q7" s="12" t="s">
        <v>335</v>
      </c>
      <c r="R7" s="33" t="s">
        <v>335</v>
      </c>
      <c r="Y7" s="36"/>
    </row>
    <row r="8" ht="14.5" spans="1:18">
      <c r="A8" s="33" t="s">
        <v>328</v>
      </c>
      <c r="B8" s="12" t="str">
        <f t="shared" si="0"/>
        <v>\I: EN_Bioenergy - Cofiring</v>
      </c>
      <c r="C8" s="33" t="s">
        <v>336</v>
      </c>
      <c r="D8" s="33">
        <v>2022</v>
      </c>
      <c r="F8" s="33">
        <v>20</v>
      </c>
      <c r="G8" s="33">
        <v>20</v>
      </c>
      <c r="H8" s="33">
        <v>15</v>
      </c>
      <c r="I8" s="33">
        <v>25</v>
      </c>
      <c r="J8" s="33">
        <v>20</v>
      </c>
      <c r="K8" s="33">
        <v>25</v>
      </c>
      <c r="L8" s="33">
        <v>20</v>
      </c>
      <c r="M8" s="33">
        <v>20</v>
      </c>
      <c r="N8" s="33">
        <v>25</v>
      </c>
      <c r="P8" s="33" t="s">
        <v>325</v>
      </c>
      <c r="Q8" s="12" t="s">
        <v>337</v>
      </c>
      <c r="R8" s="33" t="s">
        <v>337</v>
      </c>
    </row>
    <row r="9" ht="14.5" spans="1:18">
      <c r="A9" s="33" t="s">
        <v>328</v>
      </c>
      <c r="B9" s="12" t="str">
        <f t="shared" si="0"/>
        <v>\I: EN_Bioenergy - Cofiring</v>
      </c>
      <c r="C9" s="33" t="s">
        <v>336</v>
      </c>
      <c r="D9" s="33">
        <v>2030</v>
      </c>
      <c r="F9" s="33">
        <v>20</v>
      </c>
      <c r="G9" s="33">
        <v>20</v>
      </c>
      <c r="H9" s="33">
        <v>15</v>
      </c>
      <c r="I9" s="33">
        <v>20</v>
      </c>
      <c r="J9" s="33">
        <v>20</v>
      </c>
      <c r="K9" s="33">
        <v>20</v>
      </c>
      <c r="L9" s="33">
        <v>20</v>
      </c>
      <c r="M9" s="33">
        <v>20</v>
      </c>
      <c r="N9" s="33">
        <v>25</v>
      </c>
      <c r="P9" s="33" t="s">
        <v>325</v>
      </c>
      <c r="Q9" s="12" t="s">
        <v>338</v>
      </c>
      <c r="R9" s="33" t="s">
        <v>339</v>
      </c>
    </row>
    <row r="10" ht="14.5" spans="1:18">
      <c r="A10" s="33" t="s">
        <v>328</v>
      </c>
      <c r="B10" s="12" t="str">
        <f t="shared" si="0"/>
        <v>\I: EN_Bioenergy - Cofiring</v>
      </c>
      <c r="C10" s="33" t="s">
        <v>336</v>
      </c>
      <c r="D10" s="33">
        <v>2050</v>
      </c>
      <c r="F10" s="33">
        <v>20</v>
      </c>
      <c r="G10" s="33">
        <v>20</v>
      </c>
      <c r="H10" s="33">
        <v>15</v>
      </c>
      <c r="I10" s="33">
        <v>20</v>
      </c>
      <c r="J10" s="33">
        <v>20</v>
      </c>
      <c r="K10" s="33">
        <v>20</v>
      </c>
      <c r="L10" s="33">
        <v>20</v>
      </c>
      <c r="M10" s="33">
        <v>20</v>
      </c>
      <c r="N10" s="33">
        <v>25</v>
      </c>
      <c r="P10" s="33" t="s">
        <v>325</v>
      </c>
      <c r="Q10" s="12" t="s">
        <v>340</v>
      </c>
      <c r="R10" s="33" t="s">
        <v>340</v>
      </c>
    </row>
    <row r="11" ht="14.5" spans="1:18">
      <c r="A11" s="33" t="s">
        <v>328</v>
      </c>
      <c r="B11" s="12" t="str">
        <f t="shared" si="0"/>
        <v>\I: EN_Bioenergy - Cofiring</v>
      </c>
      <c r="C11" s="33" t="s">
        <v>107</v>
      </c>
      <c r="D11" s="33">
        <v>2022</v>
      </c>
      <c r="F11" s="33">
        <v>525</v>
      </c>
      <c r="G11" s="33">
        <v>550</v>
      </c>
      <c r="H11" s="33">
        <v>400</v>
      </c>
      <c r="I11" s="33">
        <v>600</v>
      </c>
      <c r="J11" s="33">
        <v>550</v>
      </c>
      <c r="K11" s="33">
        <v>600</v>
      </c>
      <c r="L11" s="33">
        <v>575</v>
      </c>
      <c r="M11" s="33">
        <v>575</v>
      </c>
      <c r="N11" s="33">
        <v>625</v>
      </c>
      <c r="P11" s="33" t="s">
        <v>325</v>
      </c>
      <c r="Q11" s="12" t="s">
        <v>341</v>
      </c>
      <c r="R11" s="33" t="s">
        <v>341</v>
      </c>
    </row>
    <row r="12" ht="14.5" spans="1:18">
      <c r="A12" s="33" t="s">
        <v>328</v>
      </c>
      <c r="B12" s="12" t="str">
        <f t="shared" si="0"/>
        <v>\I: EN_Bioenergy - Cofiring</v>
      </c>
      <c r="C12" s="33" t="s">
        <v>107</v>
      </c>
      <c r="D12" s="33">
        <v>2030</v>
      </c>
      <c r="F12" s="33">
        <v>500</v>
      </c>
      <c r="G12" s="33">
        <v>550</v>
      </c>
      <c r="H12" s="33">
        <v>400</v>
      </c>
      <c r="I12" s="33">
        <v>575</v>
      </c>
      <c r="J12" s="33">
        <v>550</v>
      </c>
      <c r="K12" s="33">
        <v>575</v>
      </c>
      <c r="L12" s="33">
        <v>550</v>
      </c>
      <c r="M12" s="33">
        <v>550</v>
      </c>
      <c r="N12" s="33">
        <v>625</v>
      </c>
      <c r="P12" s="33" t="s">
        <v>325</v>
      </c>
      <c r="Q12" s="12" t="s">
        <v>342</v>
      </c>
      <c r="R12" s="33" t="s">
        <v>343</v>
      </c>
    </row>
    <row r="13" ht="14.5" spans="1:18">
      <c r="A13" s="33" t="s">
        <v>328</v>
      </c>
      <c r="B13" s="12" t="str">
        <f t="shared" si="0"/>
        <v>\I: EN_Bioenergy - Cofiring</v>
      </c>
      <c r="C13" s="33" t="s">
        <v>107</v>
      </c>
      <c r="D13" s="33">
        <v>2050</v>
      </c>
      <c r="F13" s="33">
        <v>500</v>
      </c>
      <c r="G13" s="33">
        <v>525</v>
      </c>
      <c r="H13" s="33">
        <v>375</v>
      </c>
      <c r="I13" s="33">
        <v>575</v>
      </c>
      <c r="J13" s="33">
        <v>525</v>
      </c>
      <c r="K13" s="33">
        <v>575</v>
      </c>
      <c r="L13" s="33">
        <v>525</v>
      </c>
      <c r="M13" s="33">
        <v>525</v>
      </c>
      <c r="N13" s="33">
        <v>600</v>
      </c>
      <c r="P13" s="33" t="s">
        <v>325</v>
      </c>
      <c r="Q13" s="12" t="s">
        <v>344</v>
      </c>
      <c r="R13" s="33" t="s">
        <v>345</v>
      </c>
    </row>
    <row r="14" ht="14.5" spans="1:18">
      <c r="A14" s="33" t="s">
        <v>328</v>
      </c>
      <c r="B14" s="12" t="str">
        <f t="shared" si="0"/>
        <v>EN_Bioenergy - Large scale unit</v>
      </c>
      <c r="C14" s="33" t="s">
        <v>329</v>
      </c>
      <c r="D14" s="33">
        <v>2022</v>
      </c>
      <c r="F14" s="33">
        <v>0.35</v>
      </c>
      <c r="G14" s="33">
        <v>0.35</v>
      </c>
      <c r="H14" s="33">
        <v>0.35</v>
      </c>
      <c r="I14" s="33">
        <v>0.35</v>
      </c>
      <c r="J14" s="33">
        <v>0.35</v>
      </c>
      <c r="K14" s="33">
        <v>0.35</v>
      </c>
      <c r="L14" s="33">
        <v>0.35</v>
      </c>
      <c r="M14" s="33">
        <v>0.35</v>
      </c>
      <c r="N14" s="33">
        <v>0.35</v>
      </c>
      <c r="P14" s="33" t="s">
        <v>330</v>
      </c>
      <c r="Q14" s="12" t="s">
        <v>346</v>
      </c>
      <c r="R14" s="33" t="s">
        <v>346</v>
      </c>
    </row>
    <row r="15" ht="14.5" spans="1:18">
      <c r="A15" s="33" t="s">
        <v>328</v>
      </c>
      <c r="B15" s="12" t="str">
        <f t="shared" si="0"/>
        <v>EN_Bioenergy - Large scale unit</v>
      </c>
      <c r="C15" s="33" t="s">
        <v>329</v>
      </c>
      <c r="D15" s="33">
        <v>2030</v>
      </c>
      <c r="F15" s="33">
        <v>0.35</v>
      </c>
      <c r="G15" s="33">
        <v>0.35</v>
      </c>
      <c r="H15" s="33">
        <v>0.35</v>
      </c>
      <c r="I15" s="33">
        <v>0.35</v>
      </c>
      <c r="J15" s="33">
        <v>0.35</v>
      </c>
      <c r="K15" s="33">
        <v>0.35</v>
      </c>
      <c r="L15" s="33">
        <v>0.35</v>
      </c>
      <c r="M15" s="33">
        <v>0.35</v>
      </c>
      <c r="N15" s="33">
        <v>0.35</v>
      </c>
      <c r="P15" s="33" t="s">
        <v>330</v>
      </c>
      <c r="Q15" s="12" t="s">
        <v>347</v>
      </c>
      <c r="R15" s="33" t="s">
        <v>347</v>
      </c>
    </row>
    <row r="16" ht="14.5" spans="1:18">
      <c r="A16" s="33" t="s">
        <v>328</v>
      </c>
      <c r="B16" s="12" t="str">
        <f t="shared" si="0"/>
        <v>EN_Bioenergy - Large scale unit</v>
      </c>
      <c r="C16" s="33" t="s">
        <v>329</v>
      </c>
      <c r="D16" s="33">
        <v>2050</v>
      </c>
      <c r="F16" s="33">
        <v>0.35</v>
      </c>
      <c r="G16" s="33">
        <v>0.35</v>
      </c>
      <c r="H16" s="33">
        <v>0.35</v>
      </c>
      <c r="I16" s="33">
        <v>0.35</v>
      </c>
      <c r="J16" s="33">
        <v>0.35</v>
      </c>
      <c r="K16" s="33">
        <v>0.35</v>
      </c>
      <c r="L16" s="33">
        <v>0.35</v>
      </c>
      <c r="M16" s="33">
        <v>0.35</v>
      </c>
      <c r="N16" s="33">
        <v>0.35</v>
      </c>
      <c r="P16" s="33" t="s">
        <v>330</v>
      </c>
      <c r="Q16" s="12" t="s">
        <v>348</v>
      </c>
      <c r="R16" s="34" t="s">
        <v>349</v>
      </c>
    </row>
    <row r="17" ht="14.5" spans="1:18">
      <c r="A17" s="33" t="s">
        <v>328</v>
      </c>
      <c r="B17" s="12" t="str">
        <f t="shared" si="0"/>
        <v>EN_Bioenergy - Large scale unit</v>
      </c>
      <c r="C17" s="33" t="s">
        <v>336</v>
      </c>
      <c r="D17" s="33">
        <v>2022</v>
      </c>
      <c r="F17" s="33">
        <v>75</v>
      </c>
      <c r="G17" s="33">
        <v>75</v>
      </c>
      <c r="H17" s="33">
        <v>55</v>
      </c>
      <c r="I17" s="33">
        <v>85</v>
      </c>
      <c r="J17" s="33">
        <v>75</v>
      </c>
      <c r="K17" s="33">
        <v>75</v>
      </c>
      <c r="L17" s="33">
        <v>80</v>
      </c>
      <c r="M17" s="33">
        <v>80</v>
      </c>
      <c r="N17" s="33">
        <v>85</v>
      </c>
      <c r="P17" s="33" t="s">
        <v>330</v>
      </c>
      <c r="Q17" s="12" t="s">
        <v>350</v>
      </c>
      <c r="R17" s="33" t="s">
        <v>351</v>
      </c>
    </row>
    <row r="18" ht="14.5" spans="1:18">
      <c r="A18" s="33" t="s">
        <v>328</v>
      </c>
      <c r="B18" s="12" t="str">
        <f t="shared" si="0"/>
        <v>EN_Bioenergy - Large scale unit</v>
      </c>
      <c r="C18" s="33" t="s">
        <v>336</v>
      </c>
      <c r="D18" s="33">
        <v>2030</v>
      </c>
      <c r="F18" s="33">
        <v>75</v>
      </c>
      <c r="G18" s="33">
        <v>75</v>
      </c>
      <c r="H18" s="33">
        <v>55</v>
      </c>
      <c r="I18" s="33">
        <v>80</v>
      </c>
      <c r="J18" s="33">
        <v>75</v>
      </c>
      <c r="K18" s="33">
        <v>80</v>
      </c>
      <c r="L18" s="33">
        <v>75</v>
      </c>
      <c r="M18" s="33">
        <v>75</v>
      </c>
      <c r="N18" s="33">
        <v>85</v>
      </c>
      <c r="P18" s="33" t="s">
        <v>330</v>
      </c>
      <c r="Q18" s="12" t="s">
        <v>352</v>
      </c>
      <c r="R18" s="33" t="s">
        <v>352</v>
      </c>
    </row>
    <row r="19" ht="14.5" spans="1:18">
      <c r="A19" s="33" t="s">
        <v>328</v>
      </c>
      <c r="B19" s="12" t="str">
        <f t="shared" si="0"/>
        <v>EN_Bioenergy - Large scale unit</v>
      </c>
      <c r="C19" s="33" t="s">
        <v>336</v>
      </c>
      <c r="D19" s="33">
        <v>2050</v>
      </c>
      <c r="F19" s="33">
        <v>70</v>
      </c>
      <c r="G19" s="33">
        <v>75</v>
      </c>
      <c r="H19" s="33">
        <v>55</v>
      </c>
      <c r="I19" s="33">
        <v>80</v>
      </c>
      <c r="J19" s="33">
        <v>70</v>
      </c>
      <c r="K19" s="33">
        <v>80</v>
      </c>
      <c r="L19" s="33">
        <v>75</v>
      </c>
      <c r="M19" s="33">
        <v>75</v>
      </c>
      <c r="N19" s="33">
        <v>85</v>
      </c>
      <c r="P19" s="33" t="s">
        <v>330</v>
      </c>
      <c r="Q19" s="12" t="s">
        <v>353</v>
      </c>
      <c r="R19" s="33" t="s">
        <v>353</v>
      </c>
    </row>
    <row r="20" ht="14.5" spans="1:18">
      <c r="A20" s="33" t="s">
        <v>328</v>
      </c>
      <c r="B20" s="12" t="str">
        <f t="shared" si="0"/>
        <v>EN_Bioenergy - Large scale unit</v>
      </c>
      <c r="C20" s="33" t="s">
        <v>107</v>
      </c>
      <c r="D20" s="33">
        <v>2022</v>
      </c>
      <c r="F20" s="33">
        <v>2150</v>
      </c>
      <c r="G20" s="33">
        <v>2200</v>
      </c>
      <c r="H20" s="33">
        <v>1600</v>
      </c>
      <c r="I20" s="33">
        <v>2400</v>
      </c>
      <c r="J20" s="33">
        <v>2150</v>
      </c>
      <c r="K20" s="33">
        <v>2350</v>
      </c>
      <c r="L20" s="33">
        <v>2300</v>
      </c>
      <c r="M20" s="33">
        <v>2250</v>
      </c>
      <c r="N20" s="33">
        <v>2500</v>
      </c>
      <c r="P20" s="33" t="s">
        <v>330</v>
      </c>
      <c r="Q20" s="12" t="s">
        <v>354</v>
      </c>
      <c r="R20" s="33" t="s">
        <v>354</v>
      </c>
    </row>
    <row r="21" ht="14.5" spans="1:18">
      <c r="A21" s="33" t="s">
        <v>328</v>
      </c>
      <c r="B21" s="12" t="str">
        <f t="shared" si="0"/>
        <v>EN_Bioenergy - Large scale unit</v>
      </c>
      <c r="C21" s="33" t="s">
        <v>107</v>
      </c>
      <c r="D21" s="33">
        <v>2030</v>
      </c>
      <c r="F21" s="33">
        <v>2100</v>
      </c>
      <c r="G21" s="33">
        <v>2150</v>
      </c>
      <c r="H21" s="33">
        <v>1550</v>
      </c>
      <c r="I21" s="33">
        <v>2350</v>
      </c>
      <c r="J21" s="33">
        <v>2100</v>
      </c>
      <c r="K21" s="33">
        <v>2300</v>
      </c>
      <c r="L21" s="33">
        <v>2200</v>
      </c>
      <c r="M21" s="33">
        <v>2200</v>
      </c>
      <c r="N21" s="33">
        <v>2450</v>
      </c>
      <c r="P21" s="33" t="s">
        <v>330</v>
      </c>
      <c r="Q21" s="12" t="s">
        <v>355</v>
      </c>
      <c r="R21" s="33" t="s">
        <v>355</v>
      </c>
    </row>
    <row r="22" ht="14.5" spans="1:18">
      <c r="A22" s="33" t="s">
        <v>328</v>
      </c>
      <c r="B22" s="12" t="str">
        <f t="shared" si="0"/>
        <v>EN_Bioenergy - Large scale unit</v>
      </c>
      <c r="C22" s="33" t="s">
        <v>107</v>
      </c>
      <c r="D22" s="33">
        <v>2050</v>
      </c>
      <c r="F22" s="33">
        <v>2000</v>
      </c>
      <c r="G22" s="33">
        <v>2100</v>
      </c>
      <c r="H22" s="33">
        <v>1500</v>
      </c>
      <c r="I22" s="33">
        <v>2300</v>
      </c>
      <c r="J22" s="33">
        <v>2050</v>
      </c>
      <c r="K22" s="33">
        <v>2250</v>
      </c>
      <c r="L22" s="33">
        <v>2100</v>
      </c>
      <c r="M22" s="33">
        <v>2100</v>
      </c>
      <c r="N22" s="33">
        <v>2350</v>
      </c>
      <c r="P22" s="33" t="s">
        <v>330</v>
      </c>
      <c r="Q22" s="12" t="s">
        <v>356</v>
      </c>
      <c r="R22" s="33" t="s">
        <v>357</v>
      </c>
    </row>
    <row r="23" ht="14.5" spans="1:18">
      <c r="A23" s="33" t="s">
        <v>328</v>
      </c>
      <c r="B23" s="12" t="str">
        <f t="shared" si="0"/>
        <v>\I: EN_Bioenergy - Medium-scale CHP</v>
      </c>
      <c r="C23" s="33" t="s">
        <v>329</v>
      </c>
      <c r="D23" s="33">
        <v>2022</v>
      </c>
      <c r="F23" s="33">
        <v>0.7</v>
      </c>
      <c r="G23" s="33">
        <v>0.7</v>
      </c>
      <c r="H23" s="33">
        <v>0.7</v>
      </c>
      <c r="I23" s="33">
        <v>0.7</v>
      </c>
      <c r="J23" s="33">
        <v>0.7</v>
      </c>
      <c r="K23" s="33">
        <v>0.7</v>
      </c>
      <c r="L23" s="33">
        <v>0.7</v>
      </c>
      <c r="M23" s="33">
        <v>0.7</v>
      </c>
      <c r="N23" s="33">
        <v>0.7</v>
      </c>
      <c r="P23" s="33" t="s">
        <v>333</v>
      </c>
      <c r="Q23" s="12" t="s">
        <v>358</v>
      </c>
      <c r="R23" s="34" t="s">
        <v>359</v>
      </c>
    </row>
    <row r="24" ht="14.5" spans="1:18">
      <c r="A24" s="33" t="s">
        <v>328</v>
      </c>
      <c r="B24" s="12" t="str">
        <f t="shared" si="0"/>
        <v>\I: EN_Bioenergy - Medium-scale CHP</v>
      </c>
      <c r="C24" s="33" t="s">
        <v>329</v>
      </c>
      <c r="D24" s="33">
        <v>2030</v>
      </c>
      <c r="F24" s="33">
        <v>0.7</v>
      </c>
      <c r="G24" s="33">
        <v>0.7</v>
      </c>
      <c r="H24" s="33">
        <v>0.7</v>
      </c>
      <c r="I24" s="33">
        <v>0.7</v>
      </c>
      <c r="J24" s="33">
        <v>0.7</v>
      </c>
      <c r="K24" s="33">
        <v>0.7</v>
      </c>
      <c r="L24" s="33">
        <v>0.7</v>
      </c>
      <c r="M24" s="33">
        <v>0.7</v>
      </c>
      <c r="N24" s="33">
        <v>0.7</v>
      </c>
      <c r="P24" s="33" t="s">
        <v>333</v>
      </c>
      <c r="Q24" s="12" t="s">
        <v>360</v>
      </c>
      <c r="R24" s="33" t="s">
        <v>360</v>
      </c>
    </row>
    <row r="25" ht="14.5" spans="1:18">
      <c r="A25" s="33" t="s">
        <v>328</v>
      </c>
      <c r="B25" s="12" t="str">
        <f t="shared" si="0"/>
        <v>\I: EN_Bioenergy - Medium-scale CHP</v>
      </c>
      <c r="C25" s="33" t="s">
        <v>329</v>
      </c>
      <c r="D25" s="33">
        <v>2050</v>
      </c>
      <c r="F25" s="33">
        <v>0.7</v>
      </c>
      <c r="G25" s="33">
        <v>0.7</v>
      </c>
      <c r="H25" s="33">
        <v>0.7</v>
      </c>
      <c r="I25" s="33">
        <v>0.7</v>
      </c>
      <c r="J25" s="33">
        <v>0.7</v>
      </c>
      <c r="K25" s="33">
        <v>0.7</v>
      </c>
      <c r="L25" s="33">
        <v>0.7</v>
      </c>
      <c r="M25" s="33">
        <v>0.7</v>
      </c>
      <c r="N25" s="33">
        <v>0.7</v>
      </c>
      <c r="P25" s="33" t="s">
        <v>333</v>
      </c>
      <c r="Q25" s="12" t="s">
        <v>361</v>
      </c>
      <c r="R25" s="33" t="s">
        <v>361</v>
      </c>
    </row>
    <row r="26" ht="14.5" spans="1:18">
      <c r="A26" s="33" t="s">
        <v>328</v>
      </c>
      <c r="B26" s="12" t="str">
        <f t="shared" si="0"/>
        <v>\I: EN_Bioenergy - Medium-scale CHP</v>
      </c>
      <c r="C26" s="33" t="s">
        <v>336</v>
      </c>
      <c r="D26" s="33">
        <v>2022</v>
      </c>
      <c r="F26" s="33">
        <v>105</v>
      </c>
      <c r="G26" s="33">
        <v>110</v>
      </c>
      <c r="H26" s="33">
        <v>95</v>
      </c>
      <c r="I26" s="33">
        <v>140</v>
      </c>
      <c r="J26" s="33">
        <v>105</v>
      </c>
      <c r="K26" s="33">
        <v>145</v>
      </c>
      <c r="L26" s="33">
        <v>110</v>
      </c>
      <c r="M26" s="33">
        <v>130</v>
      </c>
      <c r="N26" s="33">
        <v>150</v>
      </c>
      <c r="P26" s="33" t="s">
        <v>333</v>
      </c>
      <c r="Q26" s="12" t="s">
        <v>362</v>
      </c>
      <c r="R26" s="33" t="s">
        <v>362</v>
      </c>
    </row>
    <row r="27" ht="14.5" spans="1:18">
      <c r="A27" s="33" t="s">
        <v>328</v>
      </c>
      <c r="B27" s="12" t="str">
        <f t="shared" si="0"/>
        <v>\I: EN_Bioenergy - Medium-scale CHP</v>
      </c>
      <c r="C27" s="33" t="s">
        <v>336</v>
      </c>
      <c r="D27" s="33">
        <v>2030</v>
      </c>
      <c r="F27" s="33">
        <v>105</v>
      </c>
      <c r="G27" s="33">
        <v>105</v>
      </c>
      <c r="H27" s="33">
        <v>90</v>
      </c>
      <c r="I27" s="33">
        <v>140</v>
      </c>
      <c r="J27" s="33">
        <v>105</v>
      </c>
      <c r="K27" s="33">
        <v>145</v>
      </c>
      <c r="L27" s="33">
        <v>105</v>
      </c>
      <c r="M27" s="33">
        <v>130</v>
      </c>
      <c r="N27" s="33">
        <v>150</v>
      </c>
      <c r="P27" s="33" t="s">
        <v>333</v>
      </c>
      <c r="Q27" s="12" t="s">
        <v>363</v>
      </c>
      <c r="R27" s="34" t="s">
        <v>364</v>
      </c>
    </row>
    <row r="28" ht="14.5" spans="1:18">
      <c r="A28" s="33" t="s">
        <v>328</v>
      </c>
      <c r="B28" s="12" t="str">
        <f t="shared" si="0"/>
        <v>\I: EN_Bioenergy - Medium-scale CHP</v>
      </c>
      <c r="C28" s="33" t="s">
        <v>336</v>
      </c>
      <c r="D28" s="33">
        <v>2050</v>
      </c>
      <c r="F28" s="33">
        <v>100</v>
      </c>
      <c r="G28" s="33">
        <v>105</v>
      </c>
      <c r="H28" s="33">
        <v>90</v>
      </c>
      <c r="I28" s="33">
        <v>130</v>
      </c>
      <c r="J28" s="33">
        <v>100</v>
      </c>
      <c r="K28" s="33">
        <v>140</v>
      </c>
      <c r="L28" s="33">
        <v>100</v>
      </c>
      <c r="M28" s="33">
        <v>120</v>
      </c>
      <c r="N28" s="33">
        <v>145</v>
      </c>
      <c r="P28" s="33" t="s">
        <v>333</v>
      </c>
      <c r="Q28" s="12" t="s">
        <v>365</v>
      </c>
      <c r="R28" s="34" t="s">
        <v>366</v>
      </c>
    </row>
    <row r="29" ht="14.5" spans="1:18">
      <c r="A29" s="33" t="s">
        <v>328</v>
      </c>
      <c r="B29" s="12" t="str">
        <f t="shared" si="0"/>
        <v>\I: EN_Bioenergy - Medium-scale CHP</v>
      </c>
      <c r="C29" s="33" t="s">
        <v>107</v>
      </c>
      <c r="D29" s="33">
        <v>2022</v>
      </c>
      <c r="F29" s="33">
        <v>2850</v>
      </c>
      <c r="G29" s="33">
        <v>2900</v>
      </c>
      <c r="H29" s="33">
        <v>2500</v>
      </c>
      <c r="I29" s="33">
        <v>3750</v>
      </c>
      <c r="J29" s="33">
        <v>2800</v>
      </c>
      <c r="K29" s="33">
        <v>3900</v>
      </c>
      <c r="L29" s="33">
        <v>2950</v>
      </c>
      <c r="M29" s="33">
        <v>3500</v>
      </c>
      <c r="N29" s="33">
        <v>4050</v>
      </c>
      <c r="P29" s="33" t="s">
        <v>333</v>
      </c>
      <c r="Q29" s="33" t="s">
        <v>367</v>
      </c>
      <c r="R29" s="33" t="s">
        <v>368</v>
      </c>
    </row>
    <row r="30" ht="14.5" spans="1:16">
      <c r="A30" s="33" t="s">
        <v>328</v>
      </c>
      <c r="B30" s="12" t="str">
        <f t="shared" si="0"/>
        <v>\I: EN_Bioenergy - Medium-scale CHP</v>
      </c>
      <c r="C30" s="33" t="s">
        <v>107</v>
      </c>
      <c r="D30" s="33">
        <v>2030</v>
      </c>
      <c r="F30" s="33">
        <v>2750</v>
      </c>
      <c r="G30" s="33">
        <v>2850</v>
      </c>
      <c r="H30" s="33">
        <v>2450</v>
      </c>
      <c r="I30" s="33">
        <v>3650</v>
      </c>
      <c r="J30" s="33">
        <v>2750</v>
      </c>
      <c r="K30" s="33">
        <v>3800</v>
      </c>
      <c r="L30" s="33">
        <v>2850</v>
      </c>
      <c r="M30" s="33">
        <v>3400</v>
      </c>
      <c r="N30" s="33">
        <v>3950</v>
      </c>
      <c r="P30" s="33" t="s">
        <v>333</v>
      </c>
    </row>
    <row r="31" ht="14.5" spans="1:18">
      <c r="A31" s="33" t="s">
        <v>328</v>
      </c>
      <c r="B31" s="12" t="str">
        <f t="shared" si="0"/>
        <v>\I: EN_Bioenergy - Medium-scale CHP</v>
      </c>
      <c r="C31" s="33" t="s">
        <v>107</v>
      </c>
      <c r="D31" s="33">
        <v>2050</v>
      </c>
      <c r="F31" s="33">
        <v>2650</v>
      </c>
      <c r="G31" s="33">
        <v>2750</v>
      </c>
      <c r="H31" s="33">
        <v>2350</v>
      </c>
      <c r="I31" s="33">
        <v>3550</v>
      </c>
      <c r="J31" s="33">
        <v>2650</v>
      </c>
      <c r="K31" s="33">
        <v>3700</v>
      </c>
      <c r="L31" s="33">
        <v>2700</v>
      </c>
      <c r="M31" s="33">
        <v>3250</v>
      </c>
      <c r="N31" s="33">
        <v>3850</v>
      </c>
      <c r="P31" s="33" t="s">
        <v>333</v>
      </c>
      <c r="Q31" s="12" t="s">
        <v>369</v>
      </c>
      <c r="R31" s="12" t="s">
        <v>359</v>
      </c>
    </row>
    <row r="32" ht="14.5" spans="1:18">
      <c r="A32" s="33" t="s">
        <v>328</v>
      </c>
      <c r="B32" s="12" t="str">
        <f t="shared" si="0"/>
        <v>EN_Bioenergy + CCUS</v>
      </c>
      <c r="C32" s="33" t="s">
        <v>329</v>
      </c>
      <c r="D32" s="33">
        <v>2022</v>
      </c>
      <c r="F32" s="33">
        <v>0.3</v>
      </c>
      <c r="G32" s="33">
        <v>0.3</v>
      </c>
      <c r="H32" s="33">
        <v>0.3</v>
      </c>
      <c r="I32" s="33">
        <v>0.3</v>
      </c>
      <c r="J32" s="33">
        <v>0.3</v>
      </c>
      <c r="K32" s="33">
        <v>0.3</v>
      </c>
      <c r="L32" s="33">
        <v>0.3</v>
      </c>
      <c r="M32" s="33">
        <v>0.3</v>
      </c>
      <c r="N32" s="33">
        <v>0.3</v>
      </c>
      <c r="P32" s="33" t="s">
        <v>335</v>
      </c>
      <c r="Q32" s="12" t="s">
        <v>370</v>
      </c>
      <c r="R32" s="12" t="s">
        <v>364</v>
      </c>
    </row>
    <row r="33" ht="14.5" spans="1:18">
      <c r="A33" s="33" t="s">
        <v>328</v>
      </c>
      <c r="B33" s="12" t="str">
        <f t="shared" si="0"/>
        <v>EN_Bioenergy + CCUS</v>
      </c>
      <c r="C33" s="33" t="s">
        <v>329</v>
      </c>
      <c r="D33" s="33">
        <v>2030</v>
      </c>
      <c r="F33" s="33">
        <v>0.3</v>
      </c>
      <c r="G33" s="33">
        <v>0.3</v>
      </c>
      <c r="H33" s="33">
        <v>0.3</v>
      </c>
      <c r="I33" s="33">
        <v>0.3</v>
      </c>
      <c r="J33" s="33">
        <v>0.3</v>
      </c>
      <c r="K33" s="33">
        <v>0.3</v>
      </c>
      <c r="L33" s="33">
        <v>0.3</v>
      </c>
      <c r="M33" s="33">
        <v>0.3</v>
      </c>
      <c r="N33" s="33">
        <v>0.3</v>
      </c>
      <c r="P33" s="33" t="s">
        <v>335</v>
      </c>
      <c r="Q33" s="12" t="s">
        <v>371</v>
      </c>
      <c r="R33" s="12" t="s">
        <v>366</v>
      </c>
    </row>
    <row r="34" ht="14.5" spans="1:17">
      <c r="A34" s="33" t="s">
        <v>328</v>
      </c>
      <c r="B34" s="12" t="str">
        <f t="shared" si="0"/>
        <v>EN_Bioenergy + CCUS</v>
      </c>
      <c r="C34" s="33" t="s">
        <v>329</v>
      </c>
      <c r="D34" s="33">
        <v>2050</v>
      </c>
      <c r="F34" s="33">
        <v>0.3</v>
      </c>
      <c r="G34" s="33">
        <v>0.3</v>
      </c>
      <c r="H34" s="33">
        <v>0.3</v>
      </c>
      <c r="I34" s="33">
        <v>0.3</v>
      </c>
      <c r="J34" s="33">
        <v>0.3</v>
      </c>
      <c r="K34" s="33">
        <v>0.3</v>
      </c>
      <c r="L34" s="33">
        <v>0.3</v>
      </c>
      <c r="M34" s="33">
        <v>0.3</v>
      </c>
      <c r="N34" s="33">
        <v>0.3</v>
      </c>
      <c r="P34" s="33" t="s">
        <v>335</v>
      </c>
      <c r="Q34"/>
    </row>
    <row r="35" ht="14.5" spans="1:17">
      <c r="A35" s="33" t="s">
        <v>328</v>
      </c>
      <c r="B35" s="12" t="str">
        <f t="shared" si="0"/>
        <v>EN_Bioenergy + CCUS</v>
      </c>
      <c r="C35" s="33" t="s">
        <v>336</v>
      </c>
      <c r="D35" s="33">
        <v>2022</v>
      </c>
      <c r="F35" s="33">
        <v>170</v>
      </c>
      <c r="G35" s="33">
        <v>160</v>
      </c>
      <c r="H35" s="33">
        <v>145</v>
      </c>
      <c r="I35" s="33">
        <v>205</v>
      </c>
      <c r="J35" s="33">
        <v>165</v>
      </c>
      <c r="K35" s="33">
        <v>195</v>
      </c>
      <c r="L35" s="33">
        <v>180</v>
      </c>
      <c r="M35" s="33">
        <v>180</v>
      </c>
      <c r="N35" s="33">
        <v>200</v>
      </c>
      <c r="P35" s="33" t="s">
        <v>335</v>
      </c>
      <c r="Q35"/>
    </row>
    <row r="36" ht="14.5" spans="1:17">
      <c r="A36" s="33" t="s">
        <v>328</v>
      </c>
      <c r="B36" s="12" t="str">
        <f t="shared" si="0"/>
        <v>EN_Bioenergy + CCUS</v>
      </c>
      <c r="C36" s="33" t="s">
        <v>336</v>
      </c>
      <c r="D36" s="33">
        <v>2030</v>
      </c>
      <c r="F36" s="33">
        <v>170</v>
      </c>
      <c r="G36" s="33">
        <v>160</v>
      </c>
      <c r="H36" s="33">
        <v>145</v>
      </c>
      <c r="I36" s="33">
        <v>200</v>
      </c>
      <c r="J36" s="33">
        <v>165</v>
      </c>
      <c r="K36" s="33">
        <v>200</v>
      </c>
      <c r="L36" s="33">
        <v>175</v>
      </c>
      <c r="M36" s="33">
        <v>180</v>
      </c>
      <c r="N36" s="33">
        <v>205</v>
      </c>
      <c r="P36" s="33" t="s">
        <v>335</v>
      </c>
      <c r="Q36"/>
    </row>
    <row r="37" ht="14.5" spans="1:17">
      <c r="A37" s="33" t="s">
        <v>328</v>
      </c>
      <c r="B37" s="12" t="str">
        <f t="shared" si="0"/>
        <v>EN_Bioenergy + CCUS</v>
      </c>
      <c r="C37" s="33" t="s">
        <v>336</v>
      </c>
      <c r="D37" s="33">
        <v>2050</v>
      </c>
      <c r="F37" s="33">
        <v>150</v>
      </c>
      <c r="G37" s="33">
        <v>145</v>
      </c>
      <c r="H37" s="33">
        <v>125</v>
      </c>
      <c r="I37" s="33">
        <v>180</v>
      </c>
      <c r="J37" s="33">
        <v>145</v>
      </c>
      <c r="K37" s="33">
        <v>175</v>
      </c>
      <c r="L37" s="33">
        <v>160</v>
      </c>
      <c r="M37" s="33">
        <v>160</v>
      </c>
      <c r="N37" s="33">
        <v>180</v>
      </c>
      <c r="P37" s="33" t="s">
        <v>335</v>
      </c>
      <c r="Q37"/>
    </row>
    <row r="38" ht="14.5" spans="1:17">
      <c r="A38" s="33" t="s">
        <v>328</v>
      </c>
      <c r="B38" s="12" t="str">
        <f t="shared" si="0"/>
        <v>EN_Bioenergy + CCUS</v>
      </c>
      <c r="C38" s="33" t="s">
        <v>107</v>
      </c>
      <c r="D38" s="33">
        <v>2022</v>
      </c>
      <c r="F38" s="33">
        <v>4900</v>
      </c>
      <c r="G38" s="33">
        <v>4550</v>
      </c>
      <c r="H38" s="33">
        <v>4150</v>
      </c>
      <c r="I38" s="33">
        <v>5750</v>
      </c>
      <c r="J38" s="33">
        <v>4700</v>
      </c>
      <c r="K38" s="33">
        <v>5700</v>
      </c>
      <c r="L38" s="33">
        <v>5150</v>
      </c>
      <c r="M38" s="33">
        <v>5200</v>
      </c>
      <c r="N38" s="33">
        <v>5850</v>
      </c>
      <c r="P38" s="33" t="s">
        <v>335</v>
      </c>
      <c r="Q38"/>
    </row>
    <row r="39" ht="14.5" spans="1:17">
      <c r="A39" s="33" t="s">
        <v>328</v>
      </c>
      <c r="B39" s="12" t="str">
        <f t="shared" si="0"/>
        <v>EN_Bioenergy + CCUS</v>
      </c>
      <c r="C39" s="33" t="s">
        <v>107</v>
      </c>
      <c r="D39" s="33">
        <v>2030</v>
      </c>
      <c r="F39" s="33">
        <v>4850</v>
      </c>
      <c r="G39" s="33">
        <v>4500</v>
      </c>
      <c r="H39" s="33">
        <v>4100</v>
      </c>
      <c r="I39" s="33">
        <v>5700</v>
      </c>
      <c r="J39" s="33">
        <v>4650</v>
      </c>
      <c r="K39" s="33">
        <v>5650</v>
      </c>
      <c r="L39" s="33">
        <v>5050</v>
      </c>
      <c r="M39" s="33">
        <v>5150</v>
      </c>
      <c r="N39" s="33">
        <v>5800</v>
      </c>
      <c r="P39" s="33" t="s">
        <v>335</v>
      </c>
      <c r="Q39"/>
    </row>
    <row r="40" ht="14.5" spans="1:16">
      <c r="A40" s="33" t="s">
        <v>328</v>
      </c>
      <c r="B40" s="12" t="str">
        <f t="shared" si="0"/>
        <v>EN_Bioenergy + CCUS</v>
      </c>
      <c r="C40" s="33" t="s">
        <v>107</v>
      </c>
      <c r="D40" s="33">
        <v>2050</v>
      </c>
      <c r="F40" s="33">
        <v>4350</v>
      </c>
      <c r="G40" s="33">
        <v>4050</v>
      </c>
      <c r="H40" s="33">
        <v>3650</v>
      </c>
      <c r="I40" s="33">
        <v>5100</v>
      </c>
      <c r="J40" s="33">
        <v>4200</v>
      </c>
      <c r="K40" s="33">
        <v>5100</v>
      </c>
      <c r="L40" s="33">
        <v>4500</v>
      </c>
      <c r="M40" s="33">
        <v>4600</v>
      </c>
      <c r="N40" s="33">
        <v>5150</v>
      </c>
      <c r="P40" s="33" t="s">
        <v>335</v>
      </c>
    </row>
    <row r="41" ht="14.5" spans="1:16">
      <c r="A41" s="33" t="s">
        <v>328</v>
      </c>
      <c r="B41" s="12" t="str">
        <f t="shared" si="0"/>
        <v>EN_CCGT</v>
      </c>
      <c r="C41" s="33" t="s">
        <v>329</v>
      </c>
      <c r="D41" s="33">
        <v>2022</v>
      </c>
      <c r="F41" s="33">
        <v>0.58</v>
      </c>
      <c r="G41" s="33">
        <v>0.58</v>
      </c>
      <c r="H41" s="33">
        <v>0.57</v>
      </c>
      <c r="I41" s="33">
        <v>0.59</v>
      </c>
      <c r="J41" s="33">
        <v>0.56</v>
      </c>
      <c r="K41" s="33">
        <v>0.59</v>
      </c>
      <c r="L41" s="33">
        <v>0.57</v>
      </c>
      <c r="M41" s="33">
        <v>0.57</v>
      </c>
      <c r="N41" s="33">
        <v>0.59</v>
      </c>
      <c r="P41" s="33" t="s">
        <v>337</v>
      </c>
    </row>
    <row r="42" ht="14.5" spans="1:16">
      <c r="A42" s="33" t="s">
        <v>328</v>
      </c>
      <c r="B42" s="12" t="str">
        <f t="shared" si="0"/>
        <v>EN_CCGT</v>
      </c>
      <c r="C42" s="33" t="s">
        <v>329</v>
      </c>
      <c r="D42" s="33">
        <v>2030</v>
      </c>
      <c r="F42" s="33">
        <v>0.59</v>
      </c>
      <c r="G42" s="33">
        <v>0.59</v>
      </c>
      <c r="H42" s="33">
        <v>0.58</v>
      </c>
      <c r="I42" s="33">
        <v>0.6</v>
      </c>
      <c r="J42" s="33">
        <v>0.57</v>
      </c>
      <c r="K42" s="33">
        <v>0.6</v>
      </c>
      <c r="L42" s="33">
        <v>0.58</v>
      </c>
      <c r="M42" s="33">
        <v>0.58</v>
      </c>
      <c r="N42" s="33">
        <v>0.6</v>
      </c>
      <c r="P42" s="33" t="s">
        <v>337</v>
      </c>
    </row>
    <row r="43" ht="14.5" spans="1:16">
      <c r="A43" s="33" t="s">
        <v>328</v>
      </c>
      <c r="B43" s="12" t="str">
        <f t="shared" si="0"/>
        <v>EN_CCGT</v>
      </c>
      <c r="C43" s="33" t="s">
        <v>329</v>
      </c>
      <c r="D43" s="33">
        <v>2050</v>
      </c>
      <c r="F43" s="33">
        <v>0.59</v>
      </c>
      <c r="G43" s="33">
        <v>0.59</v>
      </c>
      <c r="H43" s="33">
        <v>0.59</v>
      </c>
      <c r="I43" s="33">
        <v>0.61</v>
      </c>
      <c r="J43" s="33">
        <v>0.58</v>
      </c>
      <c r="K43" s="33">
        <v>0.61</v>
      </c>
      <c r="L43" s="33">
        <v>0.58</v>
      </c>
      <c r="M43" s="33">
        <v>0.58</v>
      </c>
      <c r="N43" s="33">
        <v>0.61</v>
      </c>
      <c r="P43" s="33" t="s">
        <v>337</v>
      </c>
    </row>
    <row r="44" ht="14.5" spans="1:16">
      <c r="A44" s="33" t="s">
        <v>328</v>
      </c>
      <c r="B44" s="12" t="str">
        <f t="shared" si="0"/>
        <v>EN_CCGT</v>
      </c>
      <c r="C44" s="33" t="s">
        <v>336</v>
      </c>
      <c r="D44" s="33">
        <v>2022</v>
      </c>
      <c r="F44" s="33">
        <v>25</v>
      </c>
      <c r="G44" s="33">
        <v>25</v>
      </c>
      <c r="H44" s="33">
        <v>20</v>
      </c>
      <c r="I44" s="33">
        <v>25</v>
      </c>
      <c r="J44" s="33">
        <v>25</v>
      </c>
      <c r="K44" s="33">
        <v>30</v>
      </c>
      <c r="L44" s="33">
        <v>30</v>
      </c>
      <c r="M44" s="33">
        <v>30</v>
      </c>
      <c r="N44" s="33">
        <v>25</v>
      </c>
      <c r="P44" s="33" t="s">
        <v>337</v>
      </c>
    </row>
    <row r="45" ht="14.5" spans="1:16">
      <c r="A45" s="33" t="s">
        <v>328</v>
      </c>
      <c r="B45" s="12" t="str">
        <f t="shared" si="0"/>
        <v>EN_CCGT</v>
      </c>
      <c r="C45" s="33" t="s">
        <v>336</v>
      </c>
      <c r="D45" s="33">
        <v>2030</v>
      </c>
      <c r="F45" s="33">
        <v>25</v>
      </c>
      <c r="G45" s="33">
        <v>25</v>
      </c>
      <c r="H45" s="33">
        <v>20</v>
      </c>
      <c r="I45" s="33">
        <v>25</v>
      </c>
      <c r="J45" s="33">
        <v>25</v>
      </c>
      <c r="K45" s="33">
        <v>30</v>
      </c>
      <c r="L45" s="33">
        <v>30</v>
      </c>
      <c r="M45" s="33">
        <v>30</v>
      </c>
      <c r="N45" s="33">
        <v>25</v>
      </c>
      <c r="P45" s="33" t="s">
        <v>337</v>
      </c>
    </row>
    <row r="46" ht="14.5" spans="1:16">
      <c r="A46" s="33" t="s">
        <v>328</v>
      </c>
      <c r="B46" s="12" t="str">
        <f t="shared" si="0"/>
        <v>EN_CCGT</v>
      </c>
      <c r="C46" s="33" t="s">
        <v>336</v>
      </c>
      <c r="D46" s="33">
        <v>2050</v>
      </c>
      <c r="F46" s="33">
        <v>25</v>
      </c>
      <c r="G46" s="33">
        <v>25</v>
      </c>
      <c r="H46" s="33">
        <v>20</v>
      </c>
      <c r="I46" s="33">
        <v>25</v>
      </c>
      <c r="J46" s="33">
        <v>25</v>
      </c>
      <c r="K46" s="33">
        <v>30</v>
      </c>
      <c r="L46" s="33">
        <v>30</v>
      </c>
      <c r="M46" s="33">
        <v>30</v>
      </c>
      <c r="N46" s="33">
        <v>25</v>
      </c>
      <c r="P46" s="33" t="s">
        <v>337</v>
      </c>
    </row>
    <row r="47" ht="14.5" spans="1:16">
      <c r="A47" s="33" t="s">
        <v>328</v>
      </c>
      <c r="B47" s="12" t="str">
        <f t="shared" si="0"/>
        <v>EN_CCGT</v>
      </c>
      <c r="C47" s="33" t="s">
        <v>107</v>
      </c>
      <c r="D47" s="33">
        <v>2022</v>
      </c>
      <c r="F47" s="33">
        <v>700</v>
      </c>
      <c r="G47" s="33">
        <v>700</v>
      </c>
      <c r="H47" s="33">
        <v>560</v>
      </c>
      <c r="I47" s="33">
        <v>1000</v>
      </c>
      <c r="J47" s="33">
        <v>700</v>
      </c>
      <c r="K47" s="33">
        <v>1100</v>
      </c>
      <c r="L47" s="33">
        <v>800</v>
      </c>
      <c r="M47" s="33">
        <v>800</v>
      </c>
      <c r="N47" s="33">
        <v>1000</v>
      </c>
      <c r="P47" s="33" t="s">
        <v>337</v>
      </c>
    </row>
    <row r="48" ht="14.5" spans="1:16">
      <c r="A48" s="33" t="s">
        <v>328</v>
      </c>
      <c r="B48" s="12" t="str">
        <f t="shared" si="0"/>
        <v>EN_CCGT</v>
      </c>
      <c r="C48" s="33" t="s">
        <v>107</v>
      </c>
      <c r="D48" s="33">
        <v>2030</v>
      </c>
      <c r="F48" s="33">
        <v>700</v>
      </c>
      <c r="G48" s="33">
        <v>700</v>
      </c>
      <c r="H48" s="33">
        <v>560</v>
      </c>
      <c r="I48" s="33">
        <v>1000</v>
      </c>
      <c r="J48" s="33">
        <v>700</v>
      </c>
      <c r="K48" s="33">
        <v>1100</v>
      </c>
      <c r="L48" s="33">
        <v>800</v>
      </c>
      <c r="M48" s="33">
        <v>800</v>
      </c>
      <c r="N48" s="33">
        <v>1000</v>
      </c>
      <c r="P48" s="33" t="s">
        <v>337</v>
      </c>
    </row>
    <row r="49" ht="14.5" spans="1:16">
      <c r="A49" s="33" t="s">
        <v>328</v>
      </c>
      <c r="B49" s="12" t="str">
        <f t="shared" si="0"/>
        <v>EN_CCGT</v>
      </c>
      <c r="C49" s="33" t="s">
        <v>107</v>
      </c>
      <c r="D49" s="33">
        <v>2050</v>
      </c>
      <c r="F49" s="33">
        <v>700</v>
      </c>
      <c r="G49" s="33">
        <v>700</v>
      </c>
      <c r="H49" s="33">
        <v>560</v>
      </c>
      <c r="I49" s="33">
        <v>1000</v>
      </c>
      <c r="J49" s="33">
        <v>700</v>
      </c>
      <c r="K49" s="33">
        <v>1100</v>
      </c>
      <c r="L49" s="33">
        <v>800</v>
      </c>
      <c r="M49" s="33">
        <v>800</v>
      </c>
      <c r="N49" s="33">
        <v>1000</v>
      </c>
      <c r="P49" s="33" t="s">
        <v>337</v>
      </c>
    </row>
    <row r="50" ht="14.5" spans="1:16">
      <c r="A50" s="33" t="s">
        <v>328</v>
      </c>
      <c r="B50" s="12" t="str">
        <f t="shared" si="0"/>
        <v>\I: EN_CCGT - CHP</v>
      </c>
      <c r="C50" s="33" t="s">
        <v>329</v>
      </c>
      <c r="D50" s="33">
        <v>2022</v>
      </c>
      <c r="F50" s="33">
        <v>0.81</v>
      </c>
      <c r="G50" s="33">
        <v>0.81</v>
      </c>
      <c r="H50" s="33">
        <v>0.8</v>
      </c>
      <c r="I50" s="33">
        <v>0.82</v>
      </c>
      <c r="J50" s="33">
        <v>0.79</v>
      </c>
      <c r="K50" s="33">
        <v>0.82</v>
      </c>
      <c r="L50" s="33">
        <v>0.8</v>
      </c>
      <c r="M50" s="33">
        <v>0.8</v>
      </c>
      <c r="N50" s="33">
        <v>0.82</v>
      </c>
      <c r="P50" s="33" t="s">
        <v>338</v>
      </c>
    </row>
    <row r="51" ht="14.5" spans="1:16">
      <c r="A51" s="33" t="s">
        <v>328</v>
      </c>
      <c r="B51" s="12" t="str">
        <f t="shared" si="0"/>
        <v>\I: EN_CCGT - CHP</v>
      </c>
      <c r="C51" s="33" t="s">
        <v>329</v>
      </c>
      <c r="D51" s="33">
        <v>2030</v>
      </c>
      <c r="F51" s="33">
        <v>0.82</v>
      </c>
      <c r="G51" s="33">
        <v>0.82</v>
      </c>
      <c r="H51" s="33">
        <v>0.81</v>
      </c>
      <c r="I51" s="33">
        <v>0.83</v>
      </c>
      <c r="J51" s="33">
        <v>0.8</v>
      </c>
      <c r="K51" s="33">
        <v>0.83</v>
      </c>
      <c r="L51" s="33">
        <v>0.81</v>
      </c>
      <c r="M51" s="33">
        <v>0.81</v>
      </c>
      <c r="N51" s="33">
        <v>0.83</v>
      </c>
      <c r="P51" s="33" t="s">
        <v>338</v>
      </c>
    </row>
    <row r="52" ht="14.5" spans="1:16">
      <c r="A52" s="33" t="s">
        <v>328</v>
      </c>
      <c r="B52" s="12" t="str">
        <f t="shared" si="0"/>
        <v>\I: EN_CCGT - CHP</v>
      </c>
      <c r="C52" s="33" t="s">
        <v>329</v>
      </c>
      <c r="D52" s="33">
        <v>2050</v>
      </c>
      <c r="F52" s="33">
        <v>0.83</v>
      </c>
      <c r="G52" s="33">
        <v>0.83</v>
      </c>
      <c r="H52" s="33">
        <v>0.82</v>
      </c>
      <c r="I52" s="33">
        <v>0.84</v>
      </c>
      <c r="J52" s="33">
        <v>0.81</v>
      </c>
      <c r="K52" s="33">
        <v>0.84</v>
      </c>
      <c r="L52" s="33">
        <v>0.82</v>
      </c>
      <c r="M52" s="33">
        <v>0.82</v>
      </c>
      <c r="N52" s="33">
        <v>0.84</v>
      </c>
      <c r="P52" s="33" t="s">
        <v>338</v>
      </c>
    </row>
    <row r="53" ht="14.5" spans="1:16">
      <c r="A53" s="33" t="s">
        <v>328</v>
      </c>
      <c r="B53" s="12" t="str">
        <f t="shared" si="0"/>
        <v>\I: EN_CCGT - CHP</v>
      </c>
      <c r="C53" s="33" t="s">
        <v>336</v>
      </c>
      <c r="D53" s="33">
        <v>2022</v>
      </c>
      <c r="F53" s="33">
        <v>35</v>
      </c>
      <c r="G53" s="33">
        <v>35</v>
      </c>
      <c r="H53" s="33">
        <v>30</v>
      </c>
      <c r="I53" s="33">
        <v>40</v>
      </c>
      <c r="J53" s="33">
        <v>35</v>
      </c>
      <c r="K53" s="33">
        <v>45</v>
      </c>
      <c r="L53" s="33">
        <v>40</v>
      </c>
      <c r="M53" s="33">
        <v>40</v>
      </c>
      <c r="N53" s="33">
        <v>40</v>
      </c>
      <c r="P53" s="33" t="s">
        <v>338</v>
      </c>
    </row>
    <row r="54" ht="14.5" spans="1:16">
      <c r="A54" s="33" t="s">
        <v>328</v>
      </c>
      <c r="B54" s="12" t="str">
        <f t="shared" si="0"/>
        <v>\I: EN_CCGT - CHP</v>
      </c>
      <c r="C54" s="33" t="s">
        <v>336</v>
      </c>
      <c r="D54" s="33">
        <v>2030</v>
      </c>
      <c r="F54" s="33">
        <v>35</v>
      </c>
      <c r="G54" s="33">
        <v>35</v>
      </c>
      <c r="H54" s="33">
        <v>30</v>
      </c>
      <c r="I54" s="33">
        <v>40</v>
      </c>
      <c r="J54" s="33">
        <v>35</v>
      </c>
      <c r="K54" s="33">
        <v>45</v>
      </c>
      <c r="L54" s="33">
        <v>40</v>
      </c>
      <c r="M54" s="33">
        <v>40</v>
      </c>
      <c r="N54" s="33">
        <v>40</v>
      </c>
      <c r="P54" s="33" t="s">
        <v>338</v>
      </c>
    </row>
    <row r="55" ht="14.5" spans="1:16">
      <c r="A55" s="33" t="s">
        <v>328</v>
      </c>
      <c r="B55" s="12" t="str">
        <f t="shared" si="0"/>
        <v>\I: EN_CCGT - CHP</v>
      </c>
      <c r="C55" s="33" t="s">
        <v>336</v>
      </c>
      <c r="D55" s="33">
        <v>2050</v>
      </c>
      <c r="F55" s="33">
        <v>35</v>
      </c>
      <c r="G55" s="33">
        <v>35</v>
      </c>
      <c r="H55" s="33">
        <v>30</v>
      </c>
      <c r="I55" s="33">
        <v>40</v>
      </c>
      <c r="J55" s="33">
        <v>35</v>
      </c>
      <c r="K55" s="33">
        <v>45</v>
      </c>
      <c r="L55" s="33">
        <v>40</v>
      </c>
      <c r="M55" s="33">
        <v>40</v>
      </c>
      <c r="N55" s="33">
        <v>40</v>
      </c>
      <c r="P55" s="33" t="s">
        <v>338</v>
      </c>
    </row>
    <row r="56" ht="14.5" spans="1:16">
      <c r="A56" s="33" t="s">
        <v>328</v>
      </c>
      <c r="B56" s="12" t="str">
        <f t="shared" si="0"/>
        <v>\I: EN_CCGT - CHP</v>
      </c>
      <c r="C56" s="33" t="s">
        <v>107</v>
      </c>
      <c r="D56" s="33">
        <v>2022</v>
      </c>
      <c r="F56" s="33">
        <v>920</v>
      </c>
      <c r="G56" s="33">
        <v>920</v>
      </c>
      <c r="H56" s="33">
        <v>720</v>
      </c>
      <c r="I56" s="33">
        <v>1300</v>
      </c>
      <c r="J56" s="33">
        <v>920</v>
      </c>
      <c r="K56" s="33">
        <v>1440</v>
      </c>
      <c r="L56" s="33">
        <v>1040</v>
      </c>
      <c r="M56" s="33">
        <v>1040</v>
      </c>
      <c r="N56" s="33">
        <v>1300</v>
      </c>
      <c r="P56" s="33" t="s">
        <v>338</v>
      </c>
    </row>
    <row r="57" ht="14.5" spans="1:16">
      <c r="A57" s="33" t="s">
        <v>328</v>
      </c>
      <c r="B57" s="12" t="str">
        <f t="shared" si="0"/>
        <v>\I: EN_CCGT - CHP</v>
      </c>
      <c r="C57" s="33" t="s">
        <v>107</v>
      </c>
      <c r="D57" s="33">
        <v>2030</v>
      </c>
      <c r="F57" s="33">
        <v>920</v>
      </c>
      <c r="G57" s="33">
        <v>920</v>
      </c>
      <c r="H57" s="33">
        <v>720</v>
      </c>
      <c r="I57" s="33">
        <v>1300</v>
      </c>
      <c r="J57" s="33">
        <v>920</v>
      </c>
      <c r="K57" s="33">
        <v>1440</v>
      </c>
      <c r="L57" s="33">
        <v>1040</v>
      </c>
      <c r="M57" s="33">
        <v>1040</v>
      </c>
      <c r="N57" s="33">
        <v>1300</v>
      </c>
      <c r="P57" s="33" t="s">
        <v>338</v>
      </c>
    </row>
    <row r="58" ht="14.5" spans="1:16">
      <c r="A58" s="33" t="s">
        <v>328</v>
      </c>
      <c r="B58" s="12" t="str">
        <f t="shared" si="0"/>
        <v>\I: EN_CCGT - CHP</v>
      </c>
      <c r="C58" s="33" t="s">
        <v>107</v>
      </c>
      <c r="D58" s="33">
        <v>2050</v>
      </c>
      <c r="F58" s="33">
        <v>920</v>
      </c>
      <c r="G58" s="33">
        <v>920</v>
      </c>
      <c r="H58" s="33">
        <v>720</v>
      </c>
      <c r="I58" s="33">
        <v>1300</v>
      </c>
      <c r="J58" s="33">
        <v>920</v>
      </c>
      <c r="K58" s="33">
        <v>1440</v>
      </c>
      <c r="L58" s="33">
        <v>1040</v>
      </c>
      <c r="M58" s="33">
        <v>1040</v>
      </c>
      <c r="N58" s="33">
        <v>1300</v>
      </c>
      <c r="P58" s="33" t="s">
        <v>338</v>
      </c>
    </row>
    <row r="59" ht="14.5" spans="1:16">
      <c r="A59" s="33" t="s">
        <v>328</v>
      </c>
      <c r="B59" s="12" t="str">
        <f t="shared" si="0"/>
        <v>EN_CCGT + CCS</v>
      </c>
      <c r="C59" s="33" t="s">
        <v>329</v>
      </c>
      <c r="D59" s="33">
        <v>2022</v>
      </c>
      <c r="F59" s="33">
        <v>0.5</v>
      </c>
      <c r="G59" s="33" t="s">
        <v>372</v>
      </c>
      <c r="H59" s="33">
        <v>0.49</v>
      </c>
      <c r="I59" s="33">
        <v>0.51</v>
      </c>
      <c r="J59" s="33">
        <v>0.48</v>
      </c>
      <c r="K59" s="33">
        <v>0.51</v>
      </c>
      <c r="L59" s="33">
        <v>0.49</v>
      </c>
      <c r="M59" s="33">
        <v>0.49</v>
      </c>
      <c r="N59" s="33">
        <v>0.51</v>
      </c>
      <c r="P59" s="33" t="s">
        <v>340</v>
      </c>
    </row>
    <row r="60" ht="14.5" spans="1:16">
      <c r="A60" s="33" t="s">
        <v>328</v>
      </c>
      <c r="B60" s="12" t="str">
        <f t="shared" si="0"/>
        <v>EN_CCGT + CCS</v>
      </c>
      <c r="C60" s="33" t="s">
        <v>329</v>
      </c>
      <c r="D60" s="33">
        <v>2030</v>
      </c>
      <c r="F60" s="33">
        <v>0.51</v>
      </c>
      <c r="G60" s="33" t="s">
        <v>372</v>
      </c>
      <c r="H60" s="33">
        <v>0.5</v>
      </c>
      <c r="I60" s="33">
        <v>0.52</v>
      </c>
      <c r="J60" s="33">
        <v>0.49</v>
      </c>
      <c r="K60" s="33">
        <v>0.52</v>
      </c>
      <c r="L60" s="33">
        <v>0.5</v>
      </c>
      <c r="M60" s="33">
        <v>0.5</v>
      </c>
      <c r="N60" s="33">
        <v>0.52</v>
      </c>
      <c r="P60" s="33" t="s">
        <v>340</v>
      </c>
    </row>
    <row r="61" ht="14.5" spans="1:16">
      <c r="A61" s="33" t="s">
        <v>328</v>
      </c>
      <c r="B61" s="12" t="str">
        <f t="shared" si="0"/>
        <v>EN_CCGT + CCS</v>
      </c>
      <c r="C61" s="33" t="s">
        <v>329</v>
      </c>
      <c r="D61" s="33">
        <v>2050</v>
      </c>
      <c r="F61" s="33">
        <v>0.51</v>
      </c>
      <c r="G61" s="33" t="s">
        <v>372</v>
      </c>
      <c r="H61" s="33">
        <v>0.5</v>
      </c>
      <c r="I61" s="33">
        <v>0.52</v>
      </c>
      <c r="J61" s="33">
        <v>0.49</v>
      </c>
      <c r="K61" s="33">
        <v>0.52</v>
      </c>
      <c r="L61" s="33">
        <v>0.5</v>
      </c>
      <c r="M61" s="33">
        <v>0.5</v>
      </c>
      <c r="N61" s="33">
        <v>0.52</v>
      </c>
      <c r="P61" s="33" t="s">
        <v>340</v>
      </c>
    </row>
    <row r="62" ht="14.5" spans="1:16">
      <c r="A62" s="33" t="s">
        <v>328</v>
      </c>
      <c r="B62" s="12" t="str">
        <f t="shared" si="0"/>
        <v>EN_CCGT + CCS</v>
      </c>
      <c r="C62" s="33" t="s">
        <v>336</v>
      </c>
      <c r="D62" s="33">
        <v>2022</v>
      </c>
      <c r="F62" s="33">
        <v>85</v>
      </c>
      <c r="G62" s="33">
        <v>55</v>
      </c>
      <c r="H62" s="33">
        <v>70</v>
      </c>
      <c r="I62" s="33">
        <v>80</v>
      </c>
      <c r="J62" s="33">
        <v>80</v>
      </c>
      <c r="K62" s="33">
        <v>80</v>
      </c>
      <c r="L62" s="33">
        <v>100</v>
      </c>
      <c r="M62" s="33">
        <v>95</v>
      </c>
      <c r="N62" s="33">
        <v>80</v>
      </c>
      <c r="P62" s="33" t="s">
        <v>340</v>
      </c>
    </row>
    <row r="63" ht="14.5" spans="1:18">
      <c r="A63" s="33" t="s">
        <v>328</v>
      </c>
      <c r="B63" s="12" t="str">
        <f t="shared" si="0"/>
        <v>EN_CCGT + CCS</v>
      </c>
      <c r="C63" s="33" t="s">
        <v>336</v>
      </c>
      <c r="D63" s="33">
        <v>2030</v>
      </c>
      <c r="F63" s="33">
        <v>85</v>
      </c>
      <c r="G63" s="33">
        <v>55</v>
      </c>
      <c r="H63" s="33">
        <v>70</v>
      </c>
      <c r="I63" s="33">
        <v>75</v>
      </c>
      <c r="J63" s="33">
        <v>80</v>
      </c>
      <c r="K63" s="33">
        <v>80</v>
      </c>
      <c r="L63" s="33">
        <v>100</v>
      </c>
      <c r="M63" s="33">
        <v>95</v>
      </c>
      <c r="N63" s="33">
        <v>75</v>
      </c>
      <c r="P63" s="33" t="s">
        <v>340</v>
      </c>
      <c r="R63"/>
    </row>
    <row r="64" ht="14.5" spans="1:18">
      <c r="A64" s="33" t="s">
        <v>328</v>
      </c>
      <c r="B64" s="12" t="str">
        <f t="shared" si="0"/>
        <v>EN_CCGT + CCS</v>
      </c>
      <c r="C64" s="33" t="s">
        <v>336</v>
      </c>
      <c r="D64" s="33">
        <v>2050</v>
      </c>
      <c r="F64" s="33">
        <v>70</v>
      </c>
      <c r="G64" s="33">
        <v>50</v>
      </c>
      <c r="H64" s="33">
        <v>55</v>
      </c>
      <c r="I64" s="33">
        <v>60</v>
      </c>
      <c r="J64" s="33">
        <v>65</v>
      </c>
      <c r="K64" s="33">
        <v>65</v>
      </c>
      <c r="L64" s="33">
        <v>80</v>
      </c>
      <c r="M64" s="33">
        <v>75</v>
      </c>
      <c r="N64" s="33">
        <v>60</v>
      </c>
      <c r="P64" s="33" t="s">
        <v>340</v>
      </c>
      <c r="R64"/>
    </row>
    <row r="65" ht="14.5" spans="1:18">
      <c r="A65" s="33" t="s">
        <v>328</v>
      </c>
      <c r="B65" s="12" t="str">
        <f t="shared" si="0"/>
        <v>EN_CCGT + CCS</v>
      </c>
      <c r="C65" s="33" t="s">
        <v>107</v>
      </c>
      <c r="D65" s="33">
        <v>2022</v>
      </c>
      <c r="F65" s="33">
        <v>2450</v>
      </c>
      <c r="G65" s="33">
        <v>1650</v>
      </c>
      <c r="H65" s="33">
        <v>2200</v>
      </c>
      <c r="I65" s="33">
        <v>3100</v>
      </c>
      <c r="J65" s="33">
        <v>2300</v>
      </c>
      <c r="K65" s="33">
        <v>3200</v>
      </c>
      <c r="L65" s="33">
        <v>2800</v>
      </c>
      <c r="M65" s="33">
        <v>2650</v>
      </c>
      <c r="N65" s="33">
        <v>3100</v>
      </c>
      <c r="P65" s="33" t="s">
        <v>340</v>
      </c>
      <c r="R65"/>
    </row>
    <row r="66" ht="14.5" spans="1:18">
      <c r="A66" s="33" t="s">
        <v>328</v>
      </c>
      <c r="B66" s="12" t="str">
        <f t="shared" si="0"/>
        <v>EN_CCGT + CCS</v>
      </c>
      <c r="C66" s="33" t="s">
        <v>107</v>
      </c>
      <c r="D66" s="33">
        <v>2030</v>
      </c>
      <c r="F66" s="33">
        <v>2450</v>
      </c>
      <c r="G66" s="33">
        <v>1650</v>
      </c>
      <c r="H66" s="33">
        <v>2200</v>
      </c>
      <c r="I66" s="33">
        <v>3100</v>
      </c>
      <c r="J66" s="33">
        <v>2300</v>
      </c>
      <c r="K66" s="33">
        <v>3200</v>
      </c>
      <c r="L66" s="33">
        <v>2800</v>
      </c>
      <c r="M66" s="33">
        <v>2650</v>
      </c>
      <c r="N66" s="33">
        <v>3100</v>
      </c>
      <c r="P66" s="33" t="s">
        <v>340</v>
      </c>
      <c r="R66"/>
    </row>
    <row r="67" ht="14.5" spans="1:18">
      <c r="A67" s="33" t="s">
        <v>328</v>
      </c>
      <c r="B67" s="12" t="str">
        <f t="shared" si="0"/>
        <v>EN_CCGT + CCS</v>
      </c>
      <c r="C67" s="33" t="s">
        <v>107</v>
      </c>
      <c r="D67" s="33">
        <v>2050</v>
      </c>
      <c r="F67" s="33">
        <v>1950</v>
      </c>
      <c r="G67" s="33">
        <v>1350</v>
      </c>
      <c r="H67" s="33">
        <v>1650</v>
      </c>
      <c r="I67" s="33">
        <v>2500</v>
      </c>
      <c r="J67" s="33">
        <v>1850</v>
      </c>
      <c r="K67" s="33">
        <v>2600</v>
      </c>
      <c r="L67" s="33">
        <v>2250</v>
      </c>
      <c r="M67" s="33">
        <v>2100</v>
      </c>
      <c r="N67" s="33">
        <v>2400</v>
      </c>
      <c r="P67" s="33" t="s">
        <v>340</v>
      </c>
      <c r="R67"/>
    </row>
    <row r="68" ht="14.5" spans="1:18">
      <c r="A68" s="33" t="s">
        <v>328</v>
      </c>
      <c r="B68" s="12" t="str">
        <f t="shared" si="0"/>
        <v>EN_Coal + CCS</v>
      </c>
      <c r="C68" s="33" t="s">
        <v>329</v>
      </c>
      <c r="D68" s="33">
        <v>2022</v>
      </c>
      <c r="F68" s="33">
        <v>0.32</v>
      </c>
      <c r="G68" s="33" t="s">
        <v>372</v>
      </c>
      <c r="H68" s="33">
        <v>0.35</v>
      </c>
      <c r="I68" s="33">
        <v>0.36</v>
      </c>
      <c r="J68" s="33">
        <v>0.31</v>
      </c>
      <c r="K68" s="33">
        <v>0.36</v>
      </c>
      <c r="L68" s="33" t="s">
        <v>372</v>
      </c>
      <c r="M68" s="33">
        <v>0.36</v>
      </c>
      <c r="N68" s="33">
        <v>0.36</v>
      </c>
      <c r="P68" s="33" t="s">
        <v>341</v>
      </c>
      <c r="R68"/>
    </row>
    <row r="69" ht="14.5" spans="1:18">
      <c r="A69" s="33" t="s">
        <v>328</v>
      </c>
      <c r="B69" s="12" t="str">
        <f t="shared" si="0"/>
        <v>EN_Coal + CCS</v>
      </c>
      <c r="C69" s="33" t="s">
        <v>329</v>
      </c>
      <c r="D69" s="33">
        <v>2030</v>
      </c>
      <c r="F69" s="33">
        <v>0.33</v>
      </c>
      <c r="G69" s="33" t="s">
        <v>372</v>
      </c>
      <c r="H69" s="33">
        <v>0.36</v>
      </c>
      <c r="I69" s="33">
        <v>0.37</v>
      </c>
      <c r="J69" s="33">
        <v>0.32</v>
      </c>
      <c r="K69" s="33">
        <v>0.37</v>
      </c>
      <c r="L69" s="33" t="s">
        <v>372</v>
      </c>
      <c r="M69" s="33">
        <v>0.37</v>
      </c>
      <c r="N69" s="33">
        <v>0.37</v>
      </c>
      <c r="P69" s="33" t="s">
        <v>341</v>
      </c>
      <c r="R69"/>
    </row>
    <row r="70" ht="14.5" spans="1:18">
      <c r="A70" s="33" t="s">
        <v>328</v>
      </c>
      <c r="B70" s="12" t="str">
        <f t="shared" si="0"/>
        <v>EN_Coal + CCS</v>
      </c>
      <c r="C70" s="33" t="s">
        <v>329</v>
      </c>
      <c r="D70" s="33">
        <v>2050</v>
      </c>
      <c r="F70" s="33">
        <v>0.33</v>
      </c>
      <c r="G70" s="33" t="s">
        <v>372</v>
      </c>
      <c r="H70" s="33">
        <v>0.36</v>
      </c>
      <c r="I70" s="33">
        <v>0.37</v>
      </c>
      <c r="J70" s="33">
        <v>0.31</v>
      </c>
      <c r="K70" s="33">
        <v>0.37</v>
      </c>
      <c r="L70" s="33" t="s">
        <v>372</v>
      </c>
      <c r="M70" s="33">
        <v>0.37</v>
      </c>
      <c r="N70" s="33">
        <v>0.37</v>
      </c>
      <c r="P70" s="33" t="s">
        <v>341</v>
      </c>
      <c r="R70"/>
    </row>
    <row r="71" ht="14.5" spans="1:18">
      <c r="A71" s="33" t="s">
        <v>328</v>
      </c>
      <c r="B71" s="12" t="str">
        <f t="shared" ref="B71:B134" si="1">VLOOKUP(P71,$Q$4:$R$33,2,FALSE)</f>
        <v>EN_Coal + CCS</v>
      </c>
      <c r="C71" s="33" t="s">
        <v>336</v>
      </c>
      <c r="D71" s="33">
        <v>2022</v>
      </c>
      <c r="F71" s="33">
        <v>175</v>
      </c>
      <c r="G71" s="33">
        <v>170</v>
      </c>
      <c r="H71" s="33">
        <v>135</v>
      </c>
      <c r="I71" s="33">
        <v>165</v>
      </c>
      <c r="J71" s="33">
        <v>155</v>
      </c>
      <c r="K71" s="33">
        <v>175</v>
      </c>
      <c r="L71" s="33">
        <v>180</v>
      </c>
      <c r="M71" s="33">
        <v>180</v>
      </c>
      <c r="N71" s="33">
        <v>170</v>
      </c>
      <c r="P71" s="33" t="s">
        <v>341</v>
      </c>
      <c r="R71"/>
    </row>
    <row r="72" ht="14.5" spans="1:18">
      <c r="A72" s="33" t="s">
        <v>328</v>
      </c>
      <c r="B72" s="12" t="str">
        <f t="shared" si="1"/>
        <v>EN_Coal + CCS</v>
      </c>
      <c r="C72" s="33" t="s">
        <v>336</v>
      </c>
      <c r="D72" s="33">
        <v>2030</v>
      </c>
      <c r="F72" s="33">
        <v>175</v>
      </c>
      <c r="G72" s="33">
        <v>170</v>
      </c>
      <c r="H72" s="33">
        <v>135</v>
      </c>
      <c r="I72" s="33">
        <v>165</v>
      </c>
      <c r="J72" s="33">
        <v>155</v>
      </c>
      <c r="K72" s="33">
        <v>175</v>
      </c>
      <c r="L72" s="33">
        <v>180</v>
      </c>
      <c r="M72" s="33">
        <v>180</v>
      </c>
      <c r="N72" s="33">
        <v>170</v>
      </c>
      <c r="P72" s="33" t="s">
        <v>341</v>
      </c>
      <c r="R72"/>
    </row>
    <row r="73" ht="14.5" spans="1:18">
      <c r="A73" s="33" t="s">
        <v>328</v>
      </c>
      <c r="B73" s="12" t="str">
        <f t="shared" si="1"/>
        <v>EN_Coal + CCS</v>
      </c>
      <c r="C73" s="33" t="s">
        <v>336</v>
      </c>
      <c r="D73" s="33">
        <v>2050</v>
      </c>
      <c r="F73" s="33">
        <v>140</v>
      </c>
      <c r="G73" s="33">
        <v>140</v>
      </c>
      <c r="H73" s="33">
        <v>100</v>
      </c>
      <c r="I73" s="33">
        <v>135</v>
      </c>
      <c r="J73" s="33">
        <v>125</v>
      </c>
      <c r="K73" s="33">
        <v>145</v>
      </c>
      <c r="L73" s="33">
        <v>145</v>
      </c>
      <c r="M73" s="33">
        <v>145</v>
      </c>
      <c r="N73" s="33">
        <v>135</v>
      </c>
      <c r="P73" s="33" t="s">
        <v>341</v>
      </c>
      <c r="R73"/>
    </row>
    <row r="74" ht="14.5" spans="1:18">
      <c r="A74" s="33" t="s">
        <v>328</v>
      </c>
      <c r="B74" s="12" t="str">
        <f t="shared" si="1"/>
        <v>EN_Coal + CCS</v>
      </c>
      <c r="C74" s="33" t="s">
        <v>107</v>
      </c>
      <c r="D74" s="33">
        <v>2022</v>
      </c>
      <c r="F74" s="33">
        <v>4500</v>
      </c>
      <c r="G74" s="33">
        <v>4300</v>
      </c>
      <c r="H74" s="33">
        <v>3400</v>
      </c>
      <c r="I74" s="33">
        <v>5500</v>
      </c>
      <c r="J74" s="33">
        <v>3900</v>
      </c>
      <c r="K74" s="33">
        <v>5900</v>
      </c>
      <c r="L74" s="33">
        <v>4500</v>
      </c>
      <c r="M74" s="33">
        <v>5100</v>
      </c>
      <c r="N74" s="33">
        <v>5600</v>
      </c>
      <c r="P74" s="33" t="s">
        <v>341</v>
      </c>
      <c r="R74"/>
    </row>
    <row r="75" ht="14.5" spans="1:18">
      <c r="A75" s="33" t="s">
        <v>328</v>
      </c>
      <c r="B75" s="12" t="str">
        <f t="shared" si="1"/>
        <v>EN_Coal + CCS</v>
      </c>
      <c r="C75" s="33" t="s">
        <v>107</v>
      </c>
      <c r="D75" s="33">
        <v>2030</v>
      </c>
      <c r="F75" s="33">
        <v>4500</v>
      </c>
      <c r="G75" s="33">
        <v>4300</v>
      </c>
      <c r="H75" s="33">
        <v>3400</v>
      </c>
      <c r="I75" s="33">
        <v>5500</v>
      </c>
      <c r="J75" s="33">
        <v>3900</v>
      </c>
      <c r="K75" s="33">
        <v>5900</v>
      </c>
      <c r="L75" s="33">
        <v>4500</v>
      </c>
      <c r="M75" s="33">
        <v>5100</v>
      </c>
      <c r="N75" s="33">
        <v>5600</v>
      </c>
      <c r="P75" s="33" t="s">
        <v>341</v>
      </c>
      <c r="R75"/>
    </row>
    <row r="76" ht="14.5" spans="1:18">
      <c r="A76" s="33" t="s">
        <v>328</v>
      </c>
      <c r="B76" s="12" t="str">
        <f t="shared" si="1"/>
        <v>EN_Coal + CCS</v>
      </c>
      <c r="C76" s="33" t="s">
        <v>107</v>
      </c>
      <c r="D76" s="33">
        <v>2050</v>
      </c>
      <c r="F76" s="33">
        <v>3650</v>
      </c>
      <c r="G76" s="33">
        <v>3550</v>
      </c>
      <c r="H76" s="33">
        <v>2550</v>
      </c>
      <c r="I76" s="33">
        <v>4500</v>
      </c>
      <c r="J76" s="33">
        <v>3150</v>
      </c>
      <c r="K76" s="33">
        <v>4900</v>
      </c>
      <c r="L76" s="33">
        <v>3650</v>
      </c>
      <c r="M76" s="33">
        <v>4200</v>
      </c>
      <c r="N76" s="33">
        <v>4450</v>
      </c>
      <c r="P76" s="33" t="s">
        <v>341</v>
      </c>
      <c r="R76"/>
    </row>
    <row r="77" ht="14.5" spans="1:18">
      <c r="A77" s="33" t="s">
        <v>328</v>
      </c>
      <c r="B77" s="12" t="str">
        <f t="shared" si="1"/>
        <v>\I: EN_Concentrating solar power</v>
      </c>
      <c r="C77" s="33" t="s">
        <v>329</v>
      </c>
      <c r="D77" s="33">
        <v>2022</v>
      </c>
      <c r="F77" s="33">
        <v>0.4</v>
      </c>
      <c r="G77" s="33">
        <v>0.4</v>
      </c>
      <c r="H77" s="33">
        <v>0.4</v>
      </c>
      <c r="I77" s="33">
        <v>0.4</v>
      </c>
      <c r="J77" s="33">
        <v>0.4</v>
      </c>
      <c r="K77" s="33" t="s">
        <v>372</v>
      </c>
      <c r="L77" s="33">
        <v>0.4</v>
      </c>
      <c r="M77" s="33" t="s">
        <v>372</v>
      </c>
      <c r="N77" s="33">
        <v>0.4</v>
      </c>
      <c r="P77" s="33" t="s">
        <v>342</v>
      </c>
      <c r="R77"/>
    </row>
    <row r="78" ht="14.5" spans="1:18">
      <c r="A78" s="33" t="s">
        <v>328</v>
      </c>
      <c r="B78" s="12" t="str">
        <f t="shared" si="1"/>
        <v>\I: EN_Concentrating solar power</v>
      </c>
      <c r="C78" s="33" t="s">
        <v>329</v>
      </c>
      <c r="D78" s="33">
        <v>2030</v>
      </c>
      <c r="F78" s="33">
        <v>0.4</v>
      </c>
      <c r="G78" s="33">
        <v>0.4</v>
      </c>
      <c r="H78" s="33">
        <v>0.4</v>
      </c>
      <c r="I78" s="33">
        <v>0.4</v>
      </c>
      <c r="J78" s="33">
        <v>0.4</v>
      </c>
      <c r="K78" s="33" t="s">
        <v>372</v>
      </c>
      <c r="L78" s="33">
        <v>0.4</v>
      </c>
      <c r="M78" s="33" t="s">
        <v>372</v>
      </c>
      <c r="N78" s="33">
        <v>0.4</v>
      </c>
      <c r="P78" s="33" t="s">
        <v>342</v>
      </c>
      <c r="R78"/>
    </row>
    <row r="79" ht="14.5" spans="1:18">
      <c r="A79" s="33" t="s">
        <v>328</v>
      </c>
      <c r="B79" s="12" t="str">
        <f t="shared" si="1"/>
        <v>\I: EN_Concentrating solar power</v>
      </c>
      <c r="C79" s="33" t="s">
        <v>329</v>
      </c>
      <c r="D79" s="33">
        <v>2050</v>
      </c>
      <c r="F79" s="33">
        <v>0.4</v>
      </c>
      <c r="G79" s="33">
        <v>0.4</v>
      </c>
      <c r="H79" s="33">
        <v>0.4</v>
      </c>
      <c r="I79" s="33">
        <v>0.4</v>
      </c>
      <c r="J79" s="33">
        <v>0.4</v>
      </c>
      <c r="K79" s="33" t="s">
        <v>372</v>
      </c>
      <c r="L79" s="33">
        <v>0.4</v>
      </c>
      <c r="M79" s="33" t="s">
        <v>372</v>
      </c>
      <c r="N79" s="33">
        <v>0.4</v>
      </c>
      <c r="P79" s="33" t="s">
        <v>342</v>
      </c>
      <c r="R79"/>
    </row>
    <row r="80" ht="14.5" spans="1:18">
      <c r="A80" s="33" t="s">
        <v>328</v>
      </c>
      <c r="B80" s="12" t="str">
        <f t="shared" si="1"/>
        <v>\I: EN_Concentrating solar power</v>
      </c>
      <c r="C80" s="33" t="s">
        <v>336</v>
      </c>
      <c r="D80" s="33">
        <v>2022</v>
      </c>
      <c r="F80" s="33">
        <v>200</v>
      </c>
      <c r="G80" s="33">
        <v>210</v>
      </c>
      <c r="H80" s="33">
        <v>200</v>
      </c>
      <c r="I80" s="33">
        <v>230</v>
      </c>
      <c r="J80" s="33">
        <v>230</v>
      </c>
      <c r="K80" s="33" t="s">
        <v>372</v>
      </c>
      <c r="L80" s="33">
        <v>210</v>
      </c>
      <c r="M80" s="33" t="s">
        <v>372</v>
      </c>
      <c r="N80" s="33">
        <v>260</v>
      </c>
      <c r="P80" s="33" t="s">
        <v>342</v>
      </c>
      <c r="R80"/>
    </row>
    <row r="81" ht="14.5" spans="1:18">
      <c r="A81" s="33" t="s">
        <v>328</v>
      </c>
      <c r="B81" s="12" t="str">
        <f t="shared" si="1"/>
        <v>\I: EN_Concentrating solar power</v>
      </c>
      <c r="C81" s="33" t="s">
        <v>336</v>
      </c>
      <c r="D81" s="33">
        <v>2030</v>
      </c>
      <c r="F81" s="33">
        <v>180</v>
      </c>
      <c r="G81" s="33">
        <v>190</v>
      </c>
      <c r="H81" s="33">
        <v>170</v>
      </c>
      <c r="I81" s="33">
        <v>200</v>
      </c>
      <c r="J81" s="33">
        <v>200</v>
      </c>
      <c r="K81" s="33" t="s">
        <v>372</v>
      </c>
      <c r="L81" s="33">
        <v>180</v>
      </c>
      <c r="M81" s="33" t="s">
        <v>372</v>
      </c>
      <c r="N81" s="33">
        <v>230</v>
      </c>
      <c r="P81" s="33" t="s">
        <v>342</v>
      </c>
      <c r="R81"/>
    </row>
    <row r="82" ht="14.5" spans="1:18">
      <c r="A82" s="33" t="s">
        <v>328</v>
      </c>
      <c r="B82" s="12" t="str">
        <f t="shared" si="1"/>
        <v>\I: EN_Concentrating solar power</v>
      </c>
      <c r="C82" s="33" t="s">
        <v>336</v>
      </c>
      <c r="D82" s="33">
        <v>2050</v>
      </c>
      <c r="F82" s="33">
        <v>140</v>
      </c>
      <c r="G82" s="33">
        <v>140</v>
      </c>
      <c r="H82" s="33">
        <v>130</v>
      </c>
      <c r="I82" s="33">
        <v>150</v>
      </c>
      <c r="J82" s="33">
        <v>150</v>
      </c>
      <c r="K82" s="33" t="s">
        <v>372</v>
      </c>
      <c r="L82" s="33">
        <v>140</v>
      </c>
      <c r="M82" s="33" t="s">
        <v>372</v>
      </c>
      <c r="N82" s="33">
        <v>180</v>
      </c>
      <c r="P82" s="33" t="s">
        <v>342</v>
      </c>
      <c r="R82"/>
    </row>
    <row r="83" ht="14.5" spans="1:18">
      <c r="A83" s="33" t="s">
        <v>328</v>
      </c>
      <c r="B83" s="12" t="str">
        <f t="shared" si="1"/>
        <v>\I: EN_Concentrating solar power</v>
      </c>
      <c r="C83" s="33" t="s">
        <v>107</v>
      </c>
      <c r="D83" s="33">
        <v>2022</v>
      </c>
      <c r="F83" s="33">
        <v>5050</v>
      </c>
      <c r="G83" s="33">
        <v>5350</v>
      </c>
      <c r="H83" s="33">
        <v>4900</v>
      </c>
      <c r="I83" s="33">
        <v>5650</v>
      </c>
      <c r="J83" s="33">
        <v>5700</v>
      </c>
      <c r="K83" s="33" t="s">
        <v>372</v>
      </c>
      <c r="L83" s="33">
        <v>5250</v>
      </c>
      <c r="M83" s="33" t="s">
        <v>372</v>
      </c>
      <c r="N83" s="33">
        <v>6500</v>
      </c>
      <c r="P83" s="33" t="s">
        <v>342</v>
      </c>
      <c r="R83"/>
    </row>
    <row r="84" ht="14.5" spans="1:18">
      <c r="A84" s="33" t="s">
        <v>328</v>
      </c>
      <c r="B84" s="12" t="str">
        <f t="shared" si="1"/>
        <v>\I: EN_Concentrating solar power</v>
      </c>
      <c r="C84" s="33" t="s">
        <v>107</v>
      </c>
      <c r="D84" s="33">
        <v>2030</v>
      </c>
      <c r="F84" s="33">
        <v>4450</v>
      </c>
      <c r="G84" s="33">
        <v>4650</v>
      </c>
      <c r="H84" s="33">
        <v>4200</v>
      </c>
      <c r="I84" s="33">
        <v>4950</v>
      </c>
      <c r="J84" s="33">
        <v>5000</v>
      </c>
      <c r="K84" s="33" t="s">
        <v>372</v>
      </c>
      <c r="L84" s="33">
        <v>4500</v>
      </c>
      <c r="M84" s="33" t="s">
        <v>372</v>
      </c>
      <c r="N84" s="33">
        <v>5850</v>
      </c>
      <c r="P84" s="33" t="s">
        <v>342</v>
      </c>
      <c r="R84"/>
    </row>
    <row r="85" ht="14.5" spans="1:18">
      <c r="A85" s="33" t="s">
        <v>328</v>
      </c>
      <c r="B85" s="12" t="str">
        <f t="shared" si="1"/>
        <v>\I: EN_Concentrating solar power</v>
      </c>
      <c r="C85" s="33" t="s">
        <v>107</v>
      </c>
      <c r="D85" s="33">
        <v>2050</v>
      </c>
      <c r="F85" s="33">
        <v>3450</v>
      </c>
      <c r="G85" s="33">
        <v>3450</v>
      </c>
      <c r="H85" s="33">
        <v>3250</v>
      </c>
      <c r="I85" s="33">
        <v>3850</v>
      </c>
      <c r="J85" s="33">
        <v>3800</v>
      </c>
      <c r="K85" s="33" t="s">
        <v>372</v>
      </c>
      <c r="L85" s="33">
        <v>3400</v>
      </c>
      <c r="M85" s="33" t="s">
        <v>372</v>
      </c>
      <c r="N85" s="33">
        <v>4550</v>
      </c>
      <c r="P85" s="33" t="s">
        <v>342</v>
      </c>
      <c r="R85"/>
    </row>
    <row r="86" ht="14.5" spans="1:18">
      <c r="A86" s="33" t="s">
        <v>328</v>
      </c>
      <c r="B86" s="12" t="str">
        <f t="shared" si="1"/>
        <v>\I: EN_Fuel cell (distributed electricity generation)</v>
      </c>
      <c r="C86" s="33" t="s">
        <v>329</v>
      </c>
      <c r="D86" s="33">
        <v>2022</v>
      </c>
      <c r="F86" s="33">
        <v>0.46</v>
      </c>
      <c r="G86" s="33">
        <v>0.46</v>
      </c>
      <c r="H86" s="33">
        <v>0.46</v>
      </c>
      <c r="I86" s="33">
        <v>0.46</v>
      </c>
      <c r="J86" s="33">
        <v>0.46</v>
      </c>
      <c r="K86" s="33">
        <v>0.46</v>
      </c>
      <c r="L86" s="33">
        <v>0.46</v>
      </c>
      <c r="M86" s="33">
        <v>0.46</v>
      </c>
      <c r="N86" s="33">
        <v>0.46</v>
      </c>
      <c r="P86" s="33" t="s">
        <v>344</v>
      </c>
      <c r="R86"/>
    </row>
    <row r="87" ht="14.5" spans="1:18">
      <c r="A87" s="33" t="s">
        <v>328</v>
      </c>
      <c r="B87" s="12" t="str">
        <f t="shared" si="1"/>
        <v>\I: EN_Fuel cell (distributed electricity generation)</v>
      </c>
      <c r="C87" s="33" t="s">
        <v>329</v>
      </c>
      <c r="D87" s="33">
        <v>2030</v>
      </c>
      <c r="F87" s="33">
        <v>0.54</v>
      </c>
      <c r="G87" s="33">
        <v>0.54</v>
      </c>
      <c r="H87" s="33">
        <v>0.54</v>
      </c>
      <c r="I87" s="33">
        <v>0.54</v>
      </c>
      <c r="J87" s="33">
        <v>0.54</v>
      </c>
      <c r="K87" s="33">
        <v>0.54</v>
      </c>
      <c r="L87" s="33">
        <v>0.54</v>
      </c>
      <c r="M87" s="33">
        <v>0.54</v>
      </c>
      <c r="N87" s="33">
        <v>0.54</v>
      </c>
      <c r="P87" s="33" t="s">
        <v>344</v>
      </c>
      <c r="R87"/>
    </row>
    <row r="88" ht="14.5" spans="1:18">
      <c r="A88" s="33" t="s">
        <v>328</v>
      </c>
      <c r="B88" s="12" t="str">
        <f t="shared" si="1"/>
        <v>\I: EN_Fuel cell (distributed electricity generation)</v>
      </c>
      <c r="C88" s="33" t="s">
        <v>329</v>
      </c>
      <c r="D88" s="33">
        <v>2050</v>
      </c>
      <c r="F88" s="33">
        <v>0.6</v>
      </c>
      <c r="G88" s="33">
        <v>0.6</v>
      </c>
      <c r="H88" s="33">
        <v>0.6</v>
      </c>
      <c r="I88" s="33">
        <v>0.6</v>
      </c>
      <c r="J88" s="33">
        <v>0.6</v>
      </c>
      <c r="K88" s="33">
        <v>0.6</v>
      </c>
      <c r="L88" s="33">
        <v>0.6</v>
      </c>
      <c r="M88" s="33">
        <v>0.6</v>
      </c>
      <c r="N88" s="33">
        <v>0.6</v>
      </c>
      <c r="P88" s="33" t="s">
        <v>344</v>
      </c>
      <c r="R88"/>
    </row>
    <row r="89" ht="14.5" spans="1:18">
      <c r="A89" s="33" t="s">
        <v>328</v>
      </c>
      <c r="B89" s="12" t="str">
        <f t="shared" si="1"/>
        <v>\I: EN_Fuel cell (distributed electricity generation)</v>
      </c>
      <c r="C89" s="33" t="s">
        <v>336</v>
      </c>
      <c r="D89" s="33">
        <v>2022</v>
      </c>
      <c r="F89" s="33">
        <v>150</v>
      </c>
      <c r="G89" s="33">
        <v>150</v>
      </c>
      <c r="H89" s="33">
        <v>150</v>
      </c>
      <c r="I89" s="33">
        <v>100</v>
      </c>
      <c r="J89" s="33">
        <v>150</v>
      </c>
      <c r="K89" s="33">
        <v>100</v>
      </c>
      <c r="L89" s="33">
        <v>150</v>
      </c>
      <c r="M89" s="33">
        <v>150</v>
      </c>
      <c r="N89" s="33">
        <v>100</v>
      </c>
      <c r="P89" s="33" t="s">
        <v>344</v>
      </c>
      <c r="R89"/>
    </row>
    <row r="90" ht="14.5" spans="1:18">
      <c r="A90" s="33" t="s">
        <v>328</v>
      </c>
      <c r="B90" s="12" t="str">
        <f t="shared" si="1"/>
        <v>\I: EN_Fuel cell (distributed electricity generation)</v>
      </c>
      <c r="C90" s="33" t="s">
        <v>336</v>
      </c>
      <c r="D90" s="33">
        <v>2030</v>
      </c>
      <c r="F90" s="33">
        <v>75</v>
      </c>
      <c r="G90" s="33">
        <v>75</v>
      </c>
      <c r="H90" s="33">
        <v>75</v>
      </c>
      <c r="I90" s="33">
        <v>50</v>
      </c>
      <c r="J90" s="33">
        <v>75</v>
      </c>
      <c r="K90" s="33">
        <v>50</v>
      </c>
      <c r="L90" s="33">
        <v>75</v>
      </c>
      <c r="M90" s="33">
        <v>75</v>
      </c>
      <c r="N90" s="33">
        <v>50</v>
      </c>
      <c r="P90" s="33" t="s">
        <v>344</v>
      </c>
      <c r="R90"/>
    </row>
    <row r="91" ht="14.5" spans="1:18">
      <c r="A91" s="33" t="s">
        <v>328</v>
      </c>
      <c r="B91" s="12" t="str">
        <f t="shared" si="1"/>
        <v>\I: EN_Fuel cell (distributed electricity generation)</v>
      </c>
      <c r="C91" s="33" t="s">
        <v>336</v>
      </c>
      <c r="D91" s="33">
        <v>2050</v>
      </c>
      <c r="F91" s="33">
        <v>75</v>
      </c>
      <c r="G91" s="33">
        <v>75</v>
      </c>
      <c r="H91" s="33">
        <v>75</v>
      </c>
      <c r="I91" s="33">
        <v>50</v>
      </c>
      <c r="J91" s="33">
        <v>75</v>
      </c>
      <c r="K91" s="33">
        <v>50</v>
      </c>
      <c r="L91" s="33">
        <v>75</v>
      </c>
      <c r="M91" s="33">
        <v>75</v>
      </c>
      <c r="N91" s="33">
        <v>50</v>
      </c>
      <c r="P91" s="33" t="s">
        <v>344</v>
      </c>
      <c r="R91"/>
    </row>
    <row r="92" ht="14.5" spans="1:18">
      <c r="A92" s="33" t="s">
        <v>328</v>
      </c>
      <c r="B92" s="12" t="str">
        <f t="shared" si="1"/>
        <v>\I: EN_Fuel cell (distributed electricity generation)</v>
      </c>
      <c r="C92" s="33" t="s">
        <v>107</v>
      </c>
      <c r="D92" s="33">
        <v>2022</v>
      </c>
      <c r="F92" s="33">
        <v>5000</v>
      </c>
      <c r="G92" s="33">
        <v>5000</v>
      </c>
      <c r="H92" s="33">
        <v>5000</v>
      </c>
      <c r="I92" s="33">
        <v>5000</v>
      </c>
      <c r="J92" s="33">
        <v>5000</v>
      </c>
      <c r="K92" s="33">
        <v>5000</v>
      </c>
      <c r="L92" s="33">
        <v>5000</v>
      </c>
      <c r="M92" s="33">
        <v>5000</v>
      </c>
      <c r="N92" s="33">
        <v>5000</v>
      </c>
      <c r="P92" s="33" t="s">
        <v>344</v>
      </c>
      <c r="R92"/>
    </row>
    <row r="93" ht="14.5" spans="1:18">
      <c r="A93" s="33" t="s">
        <v>328</v>
      </c>
      <c r="B93" s="12" t="str">
        <f t="shared" si="1"/>
        <v>\I: EN_Fuel cell (distributed electricity generation)</v>
      </c>
      <c r="C93" s="33" t="s">
        <v>107</v>
      </c>
      <c r="D93" s="33">
        <v>2030</v>
      </c>
      <c r="F93" s="33">
        <v>2500</v>
      </c>
      <c r="G93" s="33">
        <v>2500</v>
      </c>
      <c r="H93" s="33">
        <v>2500</v>
      </c>
      <c r="I93" s="33">
        <v>2500</v>
      </c>
      <c r="J93" s="33">
        <v>2500</v>
      </c>
      <c r="K93" s="33">
        <v>2500</v>
      </c>
      <c r="L93" s="33">
        <v>2500</v>
      </c>
      <c r="M93" s="33">
        <v>2500</v>
      </c>
      <c r="N93" s="33">
        <v>2500</v>
      </c>
      <c r="P93" s="33" t="s">
        <v>344</v>
      </c>
      <c r="R93"/>
    </row>
    <row r="94" ht="14.5" spans="1:18">
      <c r="A94" s="33" t="s">
        <v>328</v>
      </c>
      <c r="B94" s="12" t="str">
        <f t="shared" si="1"/>
        <v>\I: EN_Fuel cell (distributed electricity generation)</v>
      </c>
      <c r="C94" s="33" t="s">
        <v>107</v>
      </c>
      <c r="D94" s="33">
        <v>2050</v>
      </c>
      <c r="F94" s="33">
        <v>2500</v>
      </c>
      <c r="G94" s="33">
        <v>2500</v>
      </c>
      <c r="H94" s="33">
        <v>2500</v>
      </c>
      <c r="I94" s="33">
        <v>2500</v>
      </c>
      <c r="J94" s="33">
        <v>2500</v>
      </c>
      <c r="K94" s="33">
        <v>2500</v>
      </c>
      <c r="L94" s="33">
        <v>2500</v>
      </c>
      <c r="M94" s="33">
        <v>2500</v>
      </c>
      <c r="N94" s="33">
        <v>2500</v>
      </c>
      <c r="P94" s="33" t="s">
        <v>344</v>
      </c>
      <c r="R94"/>
    </row>
    <row r="95" ht="14.5" spans="1:18">
      <c r="A95" s="33" t="s">
        <v>328</v>
      </c>
      <c r="B95" s="12" t="str">
        <f t="shared" si="1"/>
        <v>EN_Gas turbine</v>
      </c>
      <c r="C95" s="33" t="s">
        <v>329</v>
      </c>
      <c r="D95" s="33">
        <v>2022</v>
      </c>
      <c r="F95" s="33">
        <v>0.38</v>
      </c>
      <c r="G95" s="33">
        <v>0.38</v>
      </c>
      <c r="H95" s="33">
        <v>0.38</v>
      </c>
      <c r="I95" s="33">
        <v>0.4</v>
      </c>
      <c r="J95" s="33">
        <v>0.38</v>
      </c>
      <c r="K95" s="33">
        <v>0.4</v>
      </c>
      <c r="L95" s="33">
        <v>0.38</v>
      </c>
      <c r="M95" s="33">
        <v>0.38</v>
      </c>
      <c r="N95" s="33">
        <v>0.4</v>
      </c>
      <c r="P95" s="33" t="s">
        <v>346</v>
      </c>
      <c r="R95"/>
    </row>
    <row r="96" ht="14.5" spans="1:18">
      <c r="A96" s="33" t="s">
        <v>328</v>
      </c>
      <c r="B96" s="12" t="str">
        <f t="shared" si="1"/>
        <v>EN_Gas turbine</v>
      </c>
      <c r="C96" s="33" t="s">
        <v>329</v>
      </c>
      <c r="D96" s="33">
        <v>2030</v>
      </c>
      <c r="F96" s="33">
        <v>0.39</v>
      </c>
      <c r="G96" s="33">
        <v>0.39</v>
      </c>
      <c r="H96" s="33">
        <v>0.39</v>
      </c>
      <c r="I96" s="33">
        <v>0.41</v>
      </c>
      <c r="J96" s="33">
        <v>0.39</v>
      </c>
      <c r="K96" s="33">
        <v>0.41</v>
      </c>
      <c r="L96" s="33">
        <v>0.39</v>
      </c>
      <c r="M96" s="33">
        <v>0.39</v>
      </c>
      <c r="N96" s="33">
        <v>0.41</v>
      </c>
      <c r="P96" s="33" t="s">
        <v>346</v>
      </c>
      <c r="R96"/>
    </row>
    <row r="97" ht="14.5" spans="1:18">
      <c r="A97" s="33" t="s">
        <v>328</v>
      </c>
      <c r="B97" s="12" t="str">
        <f t="shared" si="1"/>
        <v>EN_Gas turbine</v>
      </c>
      <c r="C97" s="33" t="s">
        <v>329</v>
      </c>
      <c r="D97" s="33">
        <v>2050</v>
      </c>
      <c r="F97" s="33">
        <v>0.41</v>
      </c>
      <c r="G97" s="33">
        <v>0.41</v>
      </c>
      <c r="H97" s="33">
        <v>0.41</v>
      </c>
      <c r="I97" s="33">
        <v>0.42</v>
      </c>
      <c r="J97" s="33">
        <v>0.41</v>
      </c>
      <c r="K97" s="33">
        <v>0.42</v>
      </c>
      <c r="L97" s="33">
        <v>0.41</v>
      </c>
      <c r="M97" s="33">
        <v>0.41</v>
      </c>
      <c r="N97" s="33">
        <v>0.42</v>
      </c>
      <c r="P97" s="33" t="s">
        <v>346</v>
      </c>
      <c r="R97"/>
    </row>
    <row r="98" ht="14.5" spans="1:18">
      <c r="A98" s="33" t="s">
        <v>328</v>
      </c>
      <c r="B98" s="12" t="str">
        <f t="shared" si="1"/>
        <v>EN_Gas turbine</v>
      </c>
      <c r="C98" s="33" t="s">
        <v>336</v>
      </c>
      <c r="D98" s="33">
        <v>2022</v>
      </c>
      <c r="F98" s="33">
        <v>20</v>
      </c>
      <c r="G98" s="33">
        <v>20</v>
      </c>
      <c r="H98" s="33">
        <v>20</v>
      </c>
      <c r="I98" s="33">
        <v>20</v>
      </c>
      <c r="J98" s="33">
        <v>20</v>
      </c>
      <c r="K98" s="33">
        <v>20</v>
      </c>
      <c r="L98" s="33">
        <v>25</v>
      </c>
      <c r="M98" s="33">
        <v>25</v>
      </c>
      <c r="N98" s="33">
        <v>20</v>
      </c>
      <c r="P98" s="33" t="s">
        <v>346</v>
      </c>
      <c r="R98"/>
    </row>
    <row r="99" ht="14.5" spans="1:18">
      <c r="A99" s="33" t="s">
        <v>328</v>
      </c>
      <c r="B99" s="12" t="str">
        <f t="shared" si="1"/>
        <v>EN_Gas turbine</v>
      </c>
      <c r="C99" s="33" t="s">
        <v>336</v>
      </c>
      <c r="D99" s="33">
        <v>2030</v>
      </c>
      <c r="F99" s="33">
        <v>20</v>
      </c>
      <c r="G99" s="33">
        <v>20</v>
      </c>
      <c r="H99" s="33">
        <v>20</v>
      </c>
      <c r="I99" s="33">
        <v>20</v>
      </c>
      <c r="J99" s="33">
        <v>20</v>
      </c>
      <c r="K99" s="33">
        <v>20</v>
      </c>
      <c r="L99" s="33">
        <v>25</v>
      </c>
      <c r="M99" s="33">
        <v>25</v>
      </c>
      <c r="N99" s="33">
        <v>20</v>
      </c>
      <c r="P99" s="33" t="s">
        <v>346</v>
      </c>
      <c r="R99"/>
    </row>
    <row r="100" ht="14.5" spans="1:18">
      <c r="A100" s="33" t="s">
        <v>328</v>
      </c>
      <c r="B100" s="12" t="str">
        <f t="shared" si="1"/>
        <v>EN_Gas turbine</v>
      </c>
      <c r="C100" s="33" t="s">
        <v>336</v>
      </c>
      <c r="D100" s="33">
        <v>2050</v>
      </c>
      <c r="F100" s="33">
        <v>20</v>
      </c>
      <c r="G100" s="33">
        <v>20</v>
      </c>
      <c r="H100" s="33">
        <v>20</v>
      </c>
      <c r="I100" s="33">
        <v>20</v>
      </c>
      <c r="J100" s="33">
        <v>20</v>
      </c>
      <c r="K100" s="33">
        <v>20</v>
      </c>
      <c r="L100" s="33">
        <v>25</v>
      </c>
      <c r="M100" s="33">
        <v>25</v>
      </c>
      <c r="N100" s="33">
        <v>20</v>
      </c>
      <c r="P100" s="33" t="s">
        <v>346</v>
      </c>
      <c r="R100"/>
    </row>
    <row r="101" ht="14.5" spans="1:18">
      <c r="A101" s="33" t="s">
        <v>328</v>
      </c>
      <c r="B101" s="12" t="str">
        <f t="shared" si="1"/>
        <v>EN_Gas turbine</v>
      </c>
      <c r="C101" s="33" t="s">
        <v>107</v>
      </c>
      <c r="D101" s="33">
        <v>2022</v>
      </c>
      <c r="F101" s="33">
        <v>400</v>
      </c>
      <c r="G101" s="33">
        <v>400</v>
      </c>
      <c r="H101" s="33">
        <v>350</v>
      </c>
      <c r="I101" s="33">
        <v>500</v>
      </c>
      <c r="J101" s="33">
        <v>400</v>
      </c>
      <c r="K101" s="33">
        <v>500</v>
      </c>
      <c r="L101" s="33">
        <v>450</v>
      </c>
      <c r="M101" s="33">
        <v>450</v>
      </c>
      <c r="N101" s="33">
        <v>500</v>
      </c>
      <c r="P101" s="33" t="s">
        <v>346</v>
      </c>
      <c r="R101"/>
    </row>
    <row r="102" ht="14.5" spans="1:18">
      <c r="A102" s="33" t="s">
        <v>328</v>
      </c>
      <c r="B102" s="12" t="str">
        <f t="shared" si="1"/>
        <v>EN_Gas turbine</v>
      </c>
      <c r="C102" s="33" t="s">
        <v>107</v>
      </c>
      <c r="D102" s="33">
        <v>2030</v>
      </c>
      <c r="F102" s="33">
        <v>400</v>
      </c>
      <c r="G102" s="33">
        <v>400</v>
      </c>
      <c r="H102" s="33">
        <v>350</v>
      </c>
      <c r="I102" s="33">
        <v>500</v>
      </c>
      <c r="J102" s="33">
        <v>400</v>
      </c>
      <c r="K102" s="33">
        <v>500</v>
      </c>
      <c r="L102" s="33">
        <v>450</v>
      </c>
      <c r="M102" s="33">
        <v>450</v>
      </c>
      <c r="N102" s="33">
        <v>500</v>
      </c>
      <c r="P102" s="33" t="s">
        <v>346</v>
      </c>
      <c r="R102"/>
    </row>
    <row r="103" ht="14.5" spans="1:18">
      <c r="A103" s="33" t="s">
        <v>328</v>
      </c>
      <c r="B103" s="12" t="str">
        <f t="shared" si="1"/>
        <v>EN_Gas turbine</v>
      </c>
      <c r="C103" s="33" t="s">
        <v>107</v>
      </c>
      <c r="D103" s="33">
        <v>2050</v>
      </c>
      <c r="F103" s="33">
        <v>400</v>
      </c>
      <c r="G103" s="33">
        <v>400</v>
      </c>
      <c r="H103" s="33">
        <v>350</v>
      </c>
      <c r="I103" s="33">
        <v>500</v>
      </c>
      <c r="J103" s="33">
        <v>400</v>
      </c>
      <c r="K103" s="33">
        <v>500</v>
      </c>
      <c r="L103" s="33">
        <v>450</v>
      </c>
      <c r="M103" s="33">
        <v>450</v>
      </c>
      <c r="N103" s="33">
        <v>500</v>
      </c>
      <c r="P103" s="33" t="s">
        <v>346</v>
      </c>
      <c r="R103"/>
    </row>
    <row r="104" ht="14.5" spans="1:18">
      <c r="A104" s="33" t="s">
        <v>328</v>
      </c>
      <c r="B104" s="12" t="str">
        <f t="shared" si="1"/>
        <v>EN_Geothermal</v>
      </c>
      <c r="C104" s="33" t="s">
        <v>329</v>
      </c>
      <c r="D104" s="33">
        <v>2022</v>
      </c>
      <c r="F104" s="33">
        <v>0.1</v>
      </c>
      <c r="G104" s="33" t="s">
        <v>372</v>
      </c>
      <c r="H104" s="33">
        <v>0.1</v>
      </c>
      <c r="I104" s="33">
        <v>0.1</v>
      </c>
      <c r="J104" s="33">
        <v>0.1</v>
      </c>
      <c r="K104" s="33">
        <v>0.1</v>
      </c>
      <c r="L104" s="33">
        <v>0.1</v>
      </c>
      <c r="M104" s="33">
        <v>0.1</v>
      </c>
      <c r="N104" s="33">
        <v>0.1</v>
      </c>
      <c r="P104" s="33" t="s">
        <v>347</v>
      </c>
      <c r="R104"/>
    </row>
    <row r="105" ht="14.5" spans="1:18">
      <c r="A105" s="33" t="s">
        <v>328</v>
      </c>
      <c r="B105" s="12" t="str">
        <f t="shared" si="1"/>
        <v>EN_Geothermal</v>
      </c>
      <c r="C105" s="33" t="s">
        <v>329</v>
      </c>
      <c r="D105" s="33">
        <v>2030</v>
      </c>
      <c r="F105" s="33">
        <v>0.1</v>
      </c>
      <c r="G105" s="33" t="s">
        <v>372</v>
      </c>
      <c r="H105" s="33">
        <v>0.1</v>
      </c>
      <c r="I105" s="33">
        <v>0.1</v>
      </c>
      <c r="J105" s="33">
        <v>0.1</v>
      </c>
      <c r="K105" s="33">
        <v>0.1</v>
      </c>
      <c r="L105" s="33">
        <v>0.1</v>
      </c>
      <c r="M105" s="33">
        <v>0.1</v>
      </c>
      <c r="N105" s="33">
        <v>0.1</v>
      </c>
      <c r="P105" s="33" t="s">
        <v>347</v>
      </c>
      <c r="R105"/>
    </row>
    <row r="106" ht="14.5" spans="1:18">
      <c r="A106" s="33" t="s">
        <v>328</v>
      </c>
      <c r="B106" s="12" t="str">
        <f t="shared" si="1"/>
        <v>EN_Geothermal</v>
      </c>
      <c r="C106" s="33" t="s">
        <v>329</v>
      </c>
      <c r="D106" s="33">
        <v>2050</v>
      </c>
      <c r="F106" s="33">
        <v>0.1</v>
      </c>
      <c r="G106" s="33" t="s">
        <v>372</v>
      </c>
      <c r="H106" s="33">
        <v>0.1</v>
      </c>
      <c r="I106" s="33">
        <v>0.1</v>
      </c>
      <c r="J106" s="33">
        <v>0.1</v>
      </c>
      <c r="K106" s="33">
        <v>0.1</v>
      </c>
      <c r="L106" s="33">
        <v>0.1</v>
      </c>
      <c r="M106" s="33">
        <v>0.1</v>
      </c>
      <c r="N106" s="33">
        <v>0.1</v>
      </c>
      <c r="P106" s="33" t="s">
        <v>347</v>
      </c>
      <c r="R106"/>
    </row>
    <row r="107" ht="14.5" spans="1:18">
      <c r="A107" s="33" t="s">
        <v>328</v>
      </c>
      <c r="B107" s="12" t="str">
        <f t="shared" si="1"/>
        <v>EN_Geothermal</v>
      </c>
      <c r="C107" s="33" t="s">
        <v>336</v>
      </c>
      <c r="D107" s="33">
        <v>2022</v>
      </c>
      <c r="F107" s="33">
        <v>60</v>
      </c>
      <c r="G107" s="33" t="s">
        <v>372</v>
      </c>
      <c r="H107" s="33">
        <v>45</v>
      </c>
      <c r="I107" s="33">
        <v>55</v>
      </c>
      <c r="J107" s="33">
        <v>70</v>
      </c>
      <c r="K107" s="33">
        <v>55</v>
      </c>
      <c r="L107" s="33">
        <v>45</v>
      </c>
      <c r="M107" s="33">
        <v>45</v>
      </c>
      <c r="N107" s="33">
        <v>45</v>
      </c>
      <c r="P107" s="33" t="s">
        <v>347</v>
      </c>
      <c r="R107"/>
    </row>
    <row r="108" ht="14.5" spans="1:18">
      <c r="A108" s="33" t="s">
        <v>328</v>
      </c>
      <c r="B108" s="12" t="str">
        <f t="shared" si="1"/>
        <v>EN_Geothermal</v>
      </c>
      <c r="C108" s="33" t="s">
        <v>336</v>
      </c>
      <c r="D108" s="33">
        <v>2030</v>
      </c>
      <c r="F108" s="33">
        <v>60</v>
      </c>
      <c r="G108" s="33" t="s">
        <v>372</v>
      </c>
      <c r="H108" s="33">
        <v>45</v>
      </c>
      <c r="I108" s="33">
        <v>55</v>
      </c>
      <c r="J108" s="33">
        <v>70</v>
      </c>
      <c r="K108" s="33">
        <v>55</v>
      </c>
      <c r="L108" s="33">
        <v>40</v>
      </c>
      <c r="M108" s="33">
        <v>40</v>
      </c>
      <c r="N108" s="33">
        <v>40</v>
      </c>
      <c r="P108" s="33" t="s">
        <v>347</v>
      </c>
      <c r="R108"/>
    </row>
    <row r="109" ht="14.5" spans="1:18">
      <c r="A109" s="33" t="s">
        <v>328</v>
      </c>
      <c r="B109" s="12" t="str">
        <f t="shared" si="1"/>
        <v>EN_Geothermal</v>
      </c>
      <c r="C109" s="33" t="s">
        <v>336</v>
      </c>
      <c r="D109" s="33">
        <v>2050</v>
      </c>
      <c r="F109" s="33">
        <v>55</v>
      </c>
      <c r="G109" s="33" t="s">
        <v>372</v>
      </c>
      <c r="H109" s="33">
        <v>40</v>
      </c>
      <c r="I109" s="33">
        <v>50</v>
      </c>
      <c r="J109" s="33">
        <v>65</v>
      </c>
      <c r="K109" s="33">
        <v>50</v>
      </c>
      <c r="L109" s="33">
        <v>40</v>
      </c>
      <c r="M109" s="33">
        <v>40</v>
      </c>
      <c r="N109" s="33">
        <v>40</v>
      </c>
      <c r="P109" s="33" t="s">
        <v>347</v>
      </c>
      <c r="R109"/>
    </row>
    <row r="110" ht="14.5" spans="1:18">
      <c r="A110" s="33" t="s">
        <v>328</v>
      </c>
      <c r="B110" s="12" t="str">
        <f t="shared" si="1"/>
        <v>EN_Geothermal</v>
      </c>
      <c r="C110" s="33" t="s">
        <v>107</v>
      </c>
      <c r="D110" s="33">
        <v>2022</v>
      </c>
      <c r="F110" s="33">
        <v>3050</v>
      </c>
      <c r="G110" s="33" t="s">
        <v>372</v>
      </c>
      <c r="H110" s="33">
        <v>2300</v>
      </c>
      <c r="I110" s="33">
        <v>2850</v>
      </c>
      <c r="J110" s="33">
        <v>3600</v>
      </c>
      <c r="K110" s="33">
        <v>2800</v>
      </c>
      <c r="L110" s="33">
        <v>2200</v>
      </c>
      <c r="M110" s="33">
        <v>2200</v>
      </c>
      <c r="N110" s="33">
        <v>2150</v>
      </c>
      <c r="P110" s="33" t="s">
        <v>347</v>
      </c>
      <c r="R110"/>
    </row>
    <row r="111" ht="14.5" spans="1:18">
      <c r="A111" s="33" t="s">
        <v>328</v>
      </c>
      <c r="B111" s="12" t="str">
        <f t="shared" si="1"/>
        <v>EN_Geothermal</v>
      </c>
      <c r="C111" s="33" t="s">
        <v>107</v>
      </c>
      <c r="D111" s="33">
        <v>2030</v>
      </c>
      <c r="F111" s="33">
        <v>2900</v>
      </c>
      <c r="G111" s="33" t="s">
        <v>372</v>
      </c>
      <c r="H111" s="33">
        <v>2200</v>
      </c>
      <c r="I111" s="33">
        <v>2750</v>
      </c>
      <c r="J111" s="33">
        <v>3450</v>
      </c>
      <c r="K111" s="33">
        <v>2700</v>
      </c>
      <c r="L111" s="33">
        <v>2100</v>
      </c>
      <c r="M111" s="33">
        <v>2100</v>
      </c>
      <c r="N111" s="33">
        <v>2100</v>
      </c>
      <c r="P111" s="33" t="s">
        <v>347</v>
      </c>
      <c r="R111"/>
    </row>
    <row r="112" ht="14.5" spans="1:18">
      <c r="A112" s="33" t="s">
        <v>328</v>
      </c>
      <c r="B112" s="12" t="str">
        <f t="shared" si="1"/>
        <v>EN_Geothermal</v>
      </c>
      <c r="C112" s="33" t="s">
        <v>107</v>
      </c>
      <c r="D112" s="33">
        <v>2050</v>
      </c>
      <c r="F112" s="33">
        <v>2700</v>
      </c>
      <c r="G112" s="33" t="s">
        <v>372</v>
      </c>
      <c r="H112" s="33">
        <v>2000</v>
      </c>
      <c r="I112" s="33">
        <v>2550</v>
      </c>
      <c r="J112" s="33">
        <v>3200</v>
      </c>
      <c r="K112" s="33">
        <v>2500</v>
      </c>
      <c r="L112" s="33">
        <v>2000</v>
      </c>
      <c r="M112" s="33">
        <v>1950</v>
      </c>
      <c r="N112" s="33">
        <v>1950</v>
      </c>
      <c r="P112" s="33" t="s">
        <v>347</v>
      </c>
      <c r="R112"/>
    </row>
    <row r="113" ht="14.5" spans="1:18">
      <c r="A113" s="33" t="s">
        <v>328</v>
      </c>
      <c r="B113" s="12" t="str">
        <f t="shared" si="1"/>
        <v>EN_Hydro*</v>
      </c>
      <c r="C113" s="33" t="s">
        <v>329</v>
      </c>
      <c r="D113" s="33">
        <v>2022</v>
      </c>
      <c r="F113" s="33">
        <v>1</v>
      </c>
      <c r="G113" s="33">
        <v>1</v>
      </c>
      <c r="H113" s="33">
        <v>1</v>
      </c>
      <c r="I113" s="33">
        <v>1</v>
      </c>
      <c r="J113" s="33">
        <v>1</v>
      </c>
      <c r="K113" s="33">
        <v>1</v>
      </c>
      <c r="L113" s="33">
        <v>1</v>
      </c>
      <c r="M113" s="33">
        <v>1</v>
      </c>
      <c r="N113" s="33">
        <v>1</v>
      </c>
      <c r="P113" s="33" t="s">
        <v>348</v>
      </c>
      <c r="R113"/>
    </row>
    <row r="114" ht="14.5" spans="1:18">
      <c r="A114" s="33" t="s">
        <v>328</v>
      </c>
      <c r="B114" s="12" t="str">
        <f t="shared" si="1"/>
        <v>EN_Hydro*</v>
      </c>
      <c r="C114" s="33" t="s">
        <v>329</v>
      </c>
      <c r="D114" s="33">
        <v>2030</v>
      </c>
      <c r="F114" s="33">
        <v>1</v>
      </c>
      <c r="G114" s="33">
        <v>1</v>
      </c>
      <c r="H114" s="33">
        <v>1</v>
      </c>
      <c r="I114" s="33">
        <v>1</v>
      </c>
      <c r="J114" s="33">
        <v>1</v>
      </c>
      <c r="K114" s="33">
        <v>1</v>
      </c>
      <c r="L114" s="33">
        <v>1</v>
      </c>
      <c r="M114" s="33">
        <v>1</v>
      </c>
      <c r="N114" s="33">
        <v>1</v>
      </c>
      <c r="P114" s="33" t="s">
        <v>348</v>
      </c>
      <c r="R114"/>
    </row>
    <row r="115" ht="14.5" spans="1:18">
      <c r="A115" s="33" t="s">
        <v>328</v>
      </c>
      <c r="B115" s="12" t="str">
        <f t="shared" si="1"/>
        <v>EN_Hydro*</v>
      </c>
      <c r="C115" s="33" t="s">
        <v>329</v>
      </c>
      <c r="D115" s="33">
        <v>2050</v>
      </c>
      <c r="F115" s="33">
        <v>1</v>
      </c>
      <c r="G115" s="33">
        <v>1</v>
      </c>
      <c r="H115" s="33">
        <v>1</v>
      </c>
      <c r="I115" s="33">
        <v>1</v>
      </c>
      <c r="J115" s="33">
        <v>1</v>
      </c>
      <c r="K115" s="33">
        <v>1</v>
      </c>
      <c r="L115" s="33">
        <v>1</v>
      </c>
      <c r="M115" s="33">
        <v>1</v>
      </c>
      <c r="N115" s="33">
        <v>1</v>
      </c>
      <c r="P115" s="33" t="s">
        <v>348</v>
      </c>
      <c r="R115"/>
    </row>
    <row r="116" ht="14.5" spans="1:18">
      <c r="A116" s="33" t="s">
        <v>328</v>
      </c>
      <c r="B116" s="12" t="str">
        <f t="shared" si="1"/>
        <v>EN_Hydro*</v>
      </c>
      <c r="C116" s="33" t="s">
        <v>336</v>
      </c>
      <c r="D116" s="33">
        <v>2022</v>
      </c>
      <c r="F116" s="33">
        <v>50</v>
      </c>
      <c r="G116" s="33">
        <v>55</v>
      </c>
      <c r="H116" s="33">
        <v>40</v>
      </c>
      <c r="I116" s="33">
        <v>60</v>
      </c>
      <c r="J116" s="33">
        <v>50</v>
      </c>
      <c r="K116" s="33">
        <v>60</v>
      </c>
      <c r="L116" s="33">
        <v>55</v>
      </c>
      <c r="M116" s="33">
        <v>50</v>
      </c>
      <c r="N116" s="33">
        <v>65</v>
      </c>
      <c r="P116" s="33" t="s">
        <v>348</v>
      </c>
      <c r="R116"/>
    </row>
    <row r="117" ht="14.5" spans="1:18">
      <c r="A117" s="33" t="s">
        <v>328</v>
      </c>
      <c r="B117" s="12" t="str">
        <f t="shared" si="1"/>
        <v>EN_Hydro*</v>
      </c>
      <c r="C117" s="33" t="s">
        <v>336</v>
      </c>
      <c r="D117" s="33">
        <v>2030</v>
      </c>
      <c r="F117" s="33">
        <v>50</v>
      </c>
      <c r="G117" s="33">
        <v>50</v>
      </c>
      <c r="H117" s="33">
        <v>40</v>
      </c>
      <c r="I117" s="33">
        <v>60</v>
      </c>
      <c r="J117" s="33">
        <v>50</v>
      </c>
      <c r="K117" s="33">
        <v>60</v>
      </c>
      <c r="L117" s="33">
        <v>55</v>
      </c>
      <c r="M117" s="33">
        <v>50</v>
      </c>
      <c r="N117" s="33">
        <v>65</v>
      </c>
      <c r="P117" s="33" t="s">
        <v>348</v>
      </c>
      <c r="R117"/>
    </row>
    <row r="118" ht="14.5" spans="1:18">
      <c r="A118" s="33" t="s">
        <v>328</v>
      </c>
      <c r="B118" s="12" t="str">
        <f t="shared" si="1"/>
        <v>EN_Hydro*</v>
      </c>
      <c r="C118" s="33" t="s">
        <v>336</v>
      </c>
      <c r="D118" s="33">
        <v>2050</v>
      </c>
      <c r="F118" s="33">
        <v>50</v>
      </c>
      <c r="G118" s="33">
        <v>50</v>
      </c>
      <c r="H118" s="33">
        <v>40</v>
      </c>
      <c r="I118" s="33">
        <v>60</v>
      </c>
      <c r="J118" s="33">
        <v>50</v>
      </c>
      <c r="K118" s="33">
        <v>60</v>
      </c>
      <c r="L118" s="33">
        <v>50</v>
      </c>
      <c r="M118" s="33">
        <v>50</v>
      </c>
      <c r="N118" s="33">
        <v>65</v>
      </c>
      <c r="P118" s="33" t="s">
        <v>348</v>
      </c>
      <c r="R118"/>
    </row>
    <row r="119" ht="14.5" spans="1:18">
      <c r="A119" s="33" t="s">
        <v>328</v>
      </c>
      <c r="B119" s="12" t="str">
        <f t="shared" si="1"/>
        <v>EN_Hydro*</v>
      </c>
      <c r="C119" s="33" t="s">
        <v>107</v>
      </c>
      <c r="D119" s="33">
        <v>2022</v>
      </c>
      <c r="F119" s="33">
        <v>2100</v>
      </c>
      <c r="G119" s="33">
        <v>2100</v>
      </c>
      <c r="H119" s="33">
        <v>1600</v>
      </c>
      <c r="I119" s="33">
        <v>2650</v>
      </c>
      <c r="J119" s="33">
        <v>2000</v>
      </c>
      <c r="K119" s="33">
        <v>2400</v>
      </c>
      <c r="L119" s="33">
        <v>2150</v>
      </c>
      <c r="M119" s="33">
        <v>2050</v>
      </c>
      <c r="N119" s="33">
        <v>2700</v>
      </c>
      <c r="P119" s="33" t="s">
        <v>348</v>
      </c>
      <c r="R119"/>
    </row>
    <row r="120" ht="14.5" spans="1:18">
      <c r="A120" s="33" t="s">
        <v>328</v>
      </c>
      <c r="B120" s="12" t="str">
        <f t="shared" si="1"/>
        <v>EN_Hydro*</v>
      </c>
      <c r="C120" s="33" t="s">
        <v>107</v>
      </c>
      <c r="D120" s="33">
        <v>2030</v>
      </c>
      <c r="F120" s="33">
        <v>2100</v>
      </c>
      <c r="G120" s="33">
        <v>2100</v>
      </c>
      <c r="H120" s="33">
        <v>1600</v>
      </c>
      <c r="I120" s="33">
        <v>2650</v>
      </c>
      <c r="J120" s="33">
        <v>2000</v>
      </c>
      <c r="K120" s="33">
        <v>2400</v>
      </c>
      <c r="L120" s="33">
        <v>2150</v>
      </c>
      <c r="M120" s="33">
        <v>2050</v>
      </c>
      <c r="N120" s="33">
        <v>2700</v>
      </c>
      <c r="P120" s="33" t="s">
        <v>348</v>
      </c>
      <c r="R120"/>
    </row>
    <row r="121" ht="14.5" spans="1:18">
      <c r="A121" s="33" t="s">
        <v>328</v>
      </c>
      <c r="B121" s="12" t="str">
        <f t="shared" si="1"/>
        <v>EN_Hydro*</v>
      </c>
      <c r="C121" s="33" t="s">
        <v>107</v>
      </c>
      <c r="D121" s="33">
        <v>2050</v>
      </c>
      <c r="F121" s="33">
        <v>2100</v>
      </c>
      <c r="G121" s="33">
        <v>2100</v>
      </c>
      <c r="H121" s="33">
        <v>1600</v>
      </c>
      <c r="I121" s="33">
        <v>2650</v>
      </c>
      <c r="J121" s="33">
        <v>2000</v>
      </c>
      <c r="K121" s="33">
        <v>2400</v>
      </c>
      <c r="L121" s="33">
        <v>2150</v>
      </c>
      <c r="M121" s="33">
        <v>2050</v>
      </c>
      <c r="N121" s="33">
        <v>2700</v>
      </c>
      <c r="P121" s="33" t="s">
        <v>348</v>
      </c>
      <c r="R121"/>
    </row>
    <row r="122" ht="14.5" spans="1:18">
      <c r="A122" s="33" t="s">
        <v>328</v>
      </c>
      <c r="B122" s="12" t="str">
        <f t="shared" si="1"/>
        <v>\I: EN_Hydropower - small-scale unit</v>
      </c>
      <c r="C122" s="33" t="s">
        <v>329</v>
      </c>
      <c r="D122" s="33">
        <v>2022</v>
      </c>
      <c r="F122" s="33">
        <v>1</v>
      </c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P122" s="33" t="s">
        <v>350</v>
      </c>
      <c r="R122"/>
    </row>
    <row r="123" ht="14.5" spans="1:18">
      <c r="A123" s="33" t="s">
        <v>328</v>
      </c>
      <c r="B123" s="12" t="str">
        <f t="shared" si="1"/>
        <v>\I: EN_Hydropower - small-scale unit</v>
      </c>
      <c r="C123" s="33" t="s">
        <v>329</v>
      </c>
      <c r="D123" s="33">
        <v>2030</v>
      </c>
      <c r="F123" s="33">
        <v>1</v>
      </c>
      <c r="G123" s="33">
        <v>1</v>
      </c>
      <c r="H123" s="33">
        <v>1</v>
      </c>
      <c r="I123" s="33">
        <v>1</v>
      </c>
      <c r="J123" s="33">
        <v>1</v>
      </c>
      <c r="K123" s="33">
        <v>1</v>
      </c>
      <c r="L123" s="33">
        <v>1</v>
      </c>
      <c r="M123" s="33">
        <v>1</v>
      </c>
      <c r="N123" s="33">
        <v>1</v>
      </c>
      <c r="P123" s="33" t="s">
        <v>350</v>
      </c>
      <c r="R123"/>
    </row>
    <row r="124" ht="14.5" spans="1:18">
      <c r="A124" s="33" t="s">
        <v>328</v>
      </c>
      <c r="B124" s="12" t="str">
        <f t="shared" si="1"/>
        <v>\I: EN_Hydropower - small-scale unit</v>
      </c>
      <c r="C124" s="33" t="s">
        <v>329</v>
      </c>
      <c r="D124" s="33">
        <v>2050</v>
      </c>
      <c r="F124" s="33">
        <v>1</v>
      </c>
      <c r="G124" s="33">
        <v>1</v>
      </c>
      <c r="H124" s="33">
        <v>1</v>
      </c>
      <c r="I124" s="33">
        <v>1</v>
      </c>
      <c r="J124" s="33">
        <v>1</v>
      </c>
      <c r="K124" s="33">
        <v>1</v>
      </c>
      <c r="L124" s="33">
        <v>1</v>
      </c>
      <c r="M124" s="33">
        <v>1</v>
      </c>
      <c r="N124" s="33">
        <v>1</v>
      </c>
      <c r="P124" s="33" t="s">
        <v>350</v>
      </c>
      <c r="R124"/>
    </row>
    <row r="125" ht="14.5" spans="1:18">
      <c r="A125" s="33" t="s">
        <v>328</v>
      </c>
      <c r="B125" s="12" t="str">
        <f t="shared" si="1"/>
        <v>\I: EN_Hydropower - small-scale unit</v>
      </c>
      <c r="C125" s="33" t="s">
        <v>336</v>
      </c>
      <c r="D125" s="33">
        <v>2022</v>
      </c>
      <c r="F125" s="33">
        <v>65</v>
      </c>
      <c r="G125" s="33">
        <v>65</v>
      </c>
      <c r="H125" s="33">
        <v>40</v>
      </c>
      <c r="I125" s="33">
        <v>80</v>
      </c>
      <c r="J125" s="33">
        <v>60</v>
      </c>
      <c r="K125" s="33">
        <v>70</v>
      </c>
      <c r="L125" s="33">
        <v>70</v>
      </c>
      <c r="M125" s="33">
        <v>70</v>
      </c>
      <c r="N125" s="33">
        <v>80</v>
      </c>
      <c r="P125" s="33" t="s">
        <v>350</v>
      </c>
      <c r="R125"/>
    </row>
    <row r="126" ht="14.5" spans="1:18">
      <c r="A126" s="33" t="s">
        <v>328</v>
      </c>
      <c r="B126" s="12" t="str">
        <f t="shared" si="1"/>
        <v>\I: EN_Hydropower - small-scale unit</v>
      </c>
      <c r="C126" s="33" t="s">
        <v>336</v>
      </c>
      <c r="D126" s="33">
        <v>2030</v>
      </c>
      <c r="F126" s="33">
        <v>65</v>
      </c>
      <c r="G126" s="33">
        <v>65</v>
      </c>
      <c r="H126" s="33">
        <v>40</v>
      </c>
      <c r="I126" s="33">
        <v>80</v>
      </c>
      <c r="J126" s="33">
        <v>60</v>
      </c>
      <c r="K126" s="33">
        <v>70</v>
      </c>
      <c r="L126" s="33">
        <v>70</v>
      </c>
      <c r="M126" s="33">
        <v>70</v>
      </c>
      <c r="N126" s="33">
        <v>80</v>
      </c>
      <c r="P126" s="33" t="s">
        <v>350</v>
      </c>
      <c r="R126"/>
    </row>
    <row r="127" ht="14.5" spans="1:18">
      <c r="A127" s="33" t="s">
        <v>328</v>
      </c>
      <c r="B127" s="12" t="str">
        <f t="shared" si="1"/>
        <v>\I: EN_Hydropower - small-scale unit</v>
      </c>
      <c r="C127" s="33" t="s">
        <v>336</v>
      </c>
      <c r="D127" s="33">
        <v>2050</v>
      </c>
      <c r="F127" s="33">
        <v>65</v>
      </c>
      <c r="G127" s="33">
        <v>65</v>
      </c>
      <c r="H127" s="33">
        <v>40</v>
      </c>
      <c r="I127" s="33">
        <v>80</v>
      </c>
      <c r="J127" s="33">
        <v>60</v>
      </c>
      <c r="K127" s="33">
        <v>70</v>
      </c>
      <c r="L127" s="33">
        <v>70</v>
      </c>
      <c r="M127" s="33">
        <v>70</v>
      </c>
      <c r="N127" s="33">
        <v>80</v>
      </c>
      <c r="P127" s="33" t="s">
        <v>350</v>
      </c>
      <c r="R127"/>
    </row>
    <row r="128" ht="14.5" spans="1:18">
      <c r="A128" s="33" t="s">
        <v>328</v>
      </c>
      <c r="B128" s="12" t="str">
        <f t="shared" si="1"/>
        <v>\I: EN_Hydropower - small-scale unit</v>
      </c>
      <c r="C128" s="33" t="s">
        <v>107</v>
      </c>
      <c r="D128" s="33">
        <v>2022</v>
      </c>
      <c r="F128" s="33">
        <v>3300</v>
      </c>
      <c r="G128" s="33">
        <v>3350</v>
      </c>
      <c r="H128" s="33">
        <v>2000</v>
      </c>
      <c r="I128" s="33">
        <v>3900</v>
      </c>
      <c r="J128" s="33">
        <v>3050</v>
      </c>
      <c r="K128" s="33">
        <v>3550</v>
      </c>
      <c r="L128" s="33">
        <v>3400</v>
      </c>
      <c r="M128" s="33">
        <v>3500</v>
      </c>
      <c r="N128" s="33">
        <v>4050</v>
      </c>
      <c r="P128" s="33" t="s">
        <v>350</v>
      </c>
      <c r="R128"/>
    </row>
    <row r="129" ht="14.5" spans="1:18">
      <c r="A129" s="33" t="s">
        <v>328</v>
      </c>
      <c r="B129" s="12" t="str">
        <f t="shared" si="1"/>
        <v>\I: EN_Hydropower - small-scale unit</v>
      </c>
      <c r="C129" s="33" t="s">
        <v>107</v>
      </c>
      <c r="D129" s="33">
        <v>2030</v>
      </c>
      <c r="F129" s="33">
        <v>3300</v>
      </c>
      <c r="G129" s="33">
        <v>3350</v>
      </c>
      <c r="H129" s="33">
        <v>2000</v>
      </c>
      <c r="I129" s="33">
        <v>3900</v>
      </c>
      <c r="J129" s="33">
        <v>3050</v>
      </c>
      <c r="K129" s="33">
        <v>3550</v>
      </c>
      <c r="L129" s="33">
        <v>3400</v>
      </c>
      <c r="M129" s="33">
        <v>3500</v>
      </c>
      <c r="N129" s="33">
        <v>4050</v>
      </c>
      <c r="P129" s="33" t="s">
        <v>350</v>
      </c>
      <c r="R129"/>
    </row>
    <row r="130" ht="14.5" spans="1:18">
      <c r="A130" s="33" t="s">
        <v>328</v>
      </c>
      <c r="B130" s="12" t="str">
        <f t="shared" si="1"/>
        <v>\I: EN_Hydropower - small-scale unit</v>
      </c>
      <c r="C130" s="33" t="s">
        <v>107</v>
      </c>
      <c r="D130" s="33">
        <v>2050</v>
      </c>
      <c r="F130" s="33">
        <v>3250</v>
      </c>
      <c r="G130" s="33">
        <v>3350</v>
      </c>
      <c r="H130" s="33">
        <v>2000</v>
      </c>
      <c r="I130" s="33">
        <v>3900</v>
      </c>
      <c r="J130" s="33">
        <v>3050</v>
      </c>
      <c r="K130" s="33">
        <v>3550</v>
      </c>
      <c r="L130" s="33">
        <v>3400</v>
      </c>
      <c r="M130" s="33">
        <v>3500</v>
      </c>
      <c r="N130" s="33">
        <v>4050</v>
      </c>
      <c r="P130" s="33" t="s">
        <v>350</v>
      </c>
      <c r="R130"/>
    </row>
    <row r="131" ht="14.5" spans="1:18">
      <c r="A131" s="33" t="s">
        <v>328</v>
      </c>
      <c r="B131" s="12" t="str">
        <f t="shared" si="1"/>
        <v>EN_IGCC</v>
      </c>
      <c r="C131" s="33" t="s">
        <v>329</v>
      </c>
      <c r="D131" s="33">
        <v>2022</v>
      </c>
      <c r="F131" s="33">
        <v>0.4</v>
      </c>
      <c r="G131" s="33">
        <v>0.44</v>
      </c>
      <c r="H131" s="33">
        <v>0.43</v>
      </c>
      <c r="I131" s="33">
        <v>0.44</v>
      </c>
      <c r="J131" s="33">
        <v>0.41</v>
      </c>
      <c r="K131" s="33">
        <v>0.44</v>
      </c>
      <c r="L131" s="33">
        <v>0.42</v>
      </c>
      <c r="M131" s="33">
        <v>0.44</v>
      </c>
      <c r="N131" s="33">
        <v>0.44</v>
      </c>
      <c r="P131" s="33" t="s">
        <v>352</v>
      </c>
      <c r="R131"/>
    </row>
    <row r="132" ht="14.5" spans="1:18">
      <c r="A132" s="33" t="s">
        <v>328</v>
      </c>
      <c r="B132" s="12" t="str">
        <f t="shared" si="1"/>
        <v>EN_IGCC</v>
      </c>
      <c r="C132" s="33" t="s">
        <v>329</v>
      </c>
      <c r="D132" s="33">
        <v>2030</v>
      </c>
      <c r="F132" s="33">
        <v>0.43</v>
      </c>
      <c r="G132" s="33">
        <v>0.47</v>
      </c>
      <c r="H132" s="33">
        <v>0.46</v>
      </c>
      <c r="I132" s="33">
        <v>0.47</v>
      </c>
      <c r="J132" s="33">
        <v>0.44</v>
      </c>
      <c r="K132" s="33">
        <v>0.47</v>
      </c>
      <c r="L132" s="33">
        <v>0.45</v>
      </c>
      <c r="M132" s="33">
        <v>0.47</v>
      </c>
      <c r="N132" s="33">
        <v>0.47</v>
      </c>
      <c r="P132" s="33" t="s">
        <v>352</v>
      </c>
      <c r="R132"/>
    </row>
    <row r="133" ht="14.5" spans="1:18">
      <c r="A133" s="33" t="s">
        <v>328</v>
      </c>
      <c r="B133" s="12" t="str">
        <f t="shared" si="1"/>
        <v>EN_IGCC</v>
      </c>
      <c r="C133" s="33" t="s">
        <v>329</v>
      </c>
      <c r="D133" s="33">
        <v>2050</v>
      </c>
      <c r="F133" s="33">
        <v>0.45</v>
      </c>
      <c r="G133" s="33">
        <v>0.49</v>
      </c>
      <c r="H133" s="33">
        <v>0.49</v>
      </c>
      <c r="I133" s="33">
        <v>0.49</v>
      </c>
      <c r="J133" s="33">
        <v>0.47</v>
      </c>
      <c r="K133" s="33">
        <v>0.49</v>
      </c>
      <c r="L133" s="33">
        <v>0.47</v>
      </c>
      <c r="M133" s="33">
        <v>0.49</v>
      </c>
      <c r="N133" s="33">
        <v>0.49</v>
      </c>
      <c r="P133" s="33" t="s">
        <v>352</v>
      </c>
      <c r="R133"/>
    </row>
    <row r="134" ht="14.5" spans="1:18">
      <c r="A134" s="33" t="s">
        <v>328</v>
      </c>
      <c r="B134" s="12" t="str">
        <f t="shared" si="1"/>
        <v>EN_IGCC</v>
      </c>
      <c r="C134" s="33" t="s">
        <v>336</v>
      </c>
      <c r="D134" s="33">
        <v>2022</v>
      </c>
      <c r="F134" s="33">
        <v>90</v>
      </c>
      <c r="G134" s="33">
        <v>90</v>
      </c>
      <c r="H134" s="33">
        <v>50</v>
      </c>
      <c r="I134" s="33">
        <v>95</v>
      </c>
      <c r="J134" s="33">
        <v>70</v>
      </c>
      <c r="K134" s="33">
        <v>100</v>
      </c>
      <c r="L134" s="33">
        <v>90</v>
      </c>
      <c r="M134" s="33">
        <v>90</v>
      </c>
      <c r="N134" s="33">
        <v>90</v>
      </c>
      <c r="P134" s="33" t="s">
        <v>352</v>
      </c>
      <c r="R134"/>
    </row>
    <row r="135" ht="14.5" spans="1:18">
      <c r="A135" s="33" t="s">
        <v>328</v>
      </c>
      <c r="B135" s="12" t="str">
        <f t="shared" ref="B135:B198" si="2">VLOOKUP(P135,$Q$4:$R$33,2,FALSE)</f>
        <v>EN_IGCC</v>
      </c>
      <c r="C135" s="33" t="s">
        <v>336</v>
      </c>
      <c r="D135" s="33">
        <v>2030</v>
      </c>
      <c r="F135" s="33">
        <v>85</v>
      </c>
      <c r="G135" s="33">
        <v>85</v>
      </c>
      <c r="H135" s="33">
        <v>45</v>
      </c>
      <c r="I135" s="33">
        <v>85</v>
      </c>
      <c r="J135" s="33">
        <v>70</v>
      </c>
      <c r="K135" s="33">
        <v>95</v>
      </c>
      <c r="L135" s="33">
        <v>85</v>
      </c>
      <c r="M135" s="33">
        <v>85</v>
      </c>
      <c r="N135" s="33">
        <v>85</v>
      </c>
      <c r="P135" s="33" t="s">
        <v>352</v>
      </c>
      <c r="R135"/>
    </row>
    <row r="136" ht="14.5" spans="1:18">
      <c r="A136" s="33" t="s">
        <v>328</v>
      </c>
      <c r="B136" s="12" t="str">
        <f t="shared" si="2"/>
        <v>EN_IGCC</v>
      </c>
      <c r="C136" s="33" t="s">
        <v>336</v>
      </c>
      <c r="D136" s="33">
        <v>2050</v>
      </c>
      <c r="F136" s="33">
        <v>85</v>
      </c>
      <c r="G136" s="33">
        <v>85</v>
      </c>
      <c r="H136" s="33">
        <v>40</v>
      </c>
      <c r="I136" s="33">
        <v>80</v>
      </c>
      <c r="J136" s="33">
        <v>70</v>
      </c>
      <c r="K136" s="33">
        <v>95</v>
      </c>
      <c r="L136" s="33">
        <v>85</v>
      </c>
      <c r="M136" s="33">
        <v>80</v>
      </c>
      <c r="N136" s="33">
        <v>85</v>
      </c>
      <c r="P136" s="33" t="s">
        <v>352</v>
      </c>
      <c r="R136"/>
    </row>
    <row r="137" ht="14.5" spans="1:18">
      <c r="A137" s="33" t="s">
        <v>328</v>
      </c>
      <c r="B137" s="12" t="str">
        <f t="shared" si="2"/>
        <v>EN_IGCC</v>
      </c>
      <c r="C137" s="33" t="s">
        <v>107</v>
      </c>
      <c r="D137" s="33">
        <v>2022</v>
      </c>
      <c r="F137" s="33">
        <v>2200</v>
      </c>
      <c r="G137" s="33">
        <v>2000</v>
      </c>
      <c r="H137" s="33">
        <v>1100</v>
      </c>
      <c r="I137" s="33">
        <v>2500</v>
      </c>
      <c r="J137" s="33">
        <v>1600</v>
      </c>
      <c r="K137" s="33">
        <v>2900</v>
      </c>
      <c r="L137" s="33">
        <v>2000</v>
      </c>
      <c r="M137" s="33">
        <v>2500</v>
      </c>
      <c r="N137" s="33">
        <v>2600</v>
      </c>
      <c r="P137" s="33" t="s">
        <v>352</v>
      </c>
      <c r="R137"/>
    </row>
    <row r="138" ht="14.5" spans="1:18">
      <c r="A138" s="33" t="s">
        <v>328</v>
      </c>
      <c r="B138" s="12" t="str">
        <f t="shared" si="2"/>
        <v>EN_IGCC</v>
      </c>
      <c r="C138" s="33" t="s">
        <v>107</v>
      </c>
      <c r="D138" s="33">
        <v>2030</v>
      </c>
      <c r="F138" s="33">
        <v>2100</v>
      </c>
      <c r="G138" s="33">
        <v>1900</v>
      </c>
      <c r="H138" s="33">
        <v>1000</v>
      </c>
      <c r="I138" s="33">
        <v>2350</v>
      </c>
      <c r="J138" s="33">
        <v>1500</v>
      </c>
      <c r="K138" s="33">
        <v>2750</v>
      </c>
      <c r="L138" s="33">
        <v>1900</v>
      </c>
      <c r="M138" s="33">
        <v>2350</v>
      </c>
      <c r="N138" s="33">
        <v>2450</v>
      </c>
      <c r="P138" s="33" t="s">
        <v>352</v>
      </c>
      <c r="R138"/>
    </row>
    <row r="139" ht="14.5" spans="1:18">
      <c r="A139" s="33" t="s">
        <v>328</v>
      </c>
      <c r="B139" s="12" t="str">
        <f t="shared" si="2"/>
        <v>EN_IGCC</v>
      </c>
      <c r="C139" s="33" t="s">
        <v>107</v>
      </c>
      <c r="D139" s="33">
        <v>2050</v>
      </c>
      <c r="F139" s="33">
        <v>2100</v>
      </c>
      <c r="G139" s="33">
        <v>1900</v>
      </c>
      <c r="H139" s="33">
        <v>900</v>
      </c>
      <c r="I139" s="33">
        <v>2300</v>
      </c>
      <c r="J139" s="33">
        <v>1500</v>
      </c>
      <c r="K139" s="33">
        <v>2700</v>
      </c>
      <c r="L139" s="33">
        <v>1900</v>
      </c>
      <c r="M139" s="33">
        <v>2300</v>
      </c>
      <c r="N139" s="33">
        <v>2400</v>
      </c>
      <c r="P139" s="33" t="s">
        <v>352</v>
      </c>
      <c r="R139"/>
    </row>
    <row r="140" ht="14.5" spans="1:18">
      <c r="A140" s="33" t="s">
        <v>328</v>
      </c>
      <c r="B140" s="12" t="str">
        <f t="shared" si="2"/>
        <v>EN_IGCC + CCS</v>
      </c>
      <c r="C140" s="33" t="s">
        <v>329</v>
      </c>
      <c r="D140" s="33">
        <v>2022</v>
      </c>
      <c r="F140" s="33">
        <v>0.32</v>
      </c>
      <c r="G140" s="33" t="s">
        <v>372</v>
      </c>
      <c r="H140" s="33">
        <v>0.34</v>
      </c>
      <c r="I140" s="33">
        <v>0.35</v>
      </c>
      <c r="J140" s="33">
        <v>0.32</v>
      </c>
      <c r="K140" s="33">
        <v>0.35</v>
      </c>
      <c r="L140" s="33" t="s">
        <v>372</v>
      </c>
      <c r="M140" s="33">
        <v>0.35</v>
      </c>
      <c r="N140" s="33">
        <v>0.35</v>
      </c>
      <c r="P140" s="33" t="s">
        <v>353</v>
      </c>
      <c r="R140"/>
    </row>
    <row r="141" ht="14.5" spans="1:18">
      <c r="A141" s="33" t="s">
        <v>328</v>
      </c>
      <c r="B141" s="12" t="str">
        <f t="shared" si="2"/>
        <v>EN_IGCC + CCS</v>
      </c>
      <c r="C141" s="33" t="s">
        <v>329</v>
      </c>
      <c r="D141" s="33">
        <v>2030</v>
      </c>
      <c r="F141" s="33">
        <v>0.32</v>
      </c>
      <c r="G141" s="33" t="s">
        <v>372</v>
      </c>
      <c r="H141" s="33">
        <v>0.35</v>
      </c>
      <c r="I141" s="33">
        <v>0.36</v>
      </c>
      <c r="J141" s="33">
        <v>0.33</v>
      </c>
      <c r="K141" s="33">
        <v>0.36</v>
      </c>
      <c r="L141" s="33" t="s">
        <v>372</v>
      </c>
      <c r="M141" s="33">
        <v>0.36</v>
      </c>
      <c r="N141" s="33">
        <v>0.36</v>
      </c>
      <c r="P141" s="33" t="s">
        <v>353</v>
      </c>
      <c r="R141"/>
    </row>
    <row r="142" ht="14.5" spans="1:18">
      <c r="A142" s="33" t="s">
        <v>328</v>
      </c>
      <c r="B142" s="12" t="str">
        <f t="shared" si="2"/>
        <v>EN_IGCC + CCS</v>
      </c>
      <c r="C142" s="33" t="s">
        <v>329</v>
      </c>
      <c r="D142" s="33">
        <v>2050</v>
      </c>
      <c r="F142" s="33">
        <v>0.35</v>
      </c>
      <c r="G142" s="33" t="s">
        <v>372</v>
      </c>
      <c r="H142" s="33">
        <v>0.38</v>
      </c>
      <c r="I142" s="33">
        <v>0.39</v>
      </c>
      <c r="J142" s="33">
        <v>0.36</v>
      </c>
      <c r="K142" s="33">
        <v>0.39</v>
      </c>
      <c r="L142" s="33" t="s">
        <v>372</v>
      </c>
      <c r="M142" s="33">
        <v>0.39</v>
      </c>
      <c r="N142" s="33">
        <v>0.39</v>
      </c>
      <c r="P142" s="33" t="s">
        <v>353</v>
      </c>
      <c r="R142"/>
    </row>
    <row r="143" ht="14.5" spans="1:18">
      <c r="A143" s="33" t="s">
        <v>328</v>
      </c>
      <c r="B143" s="12" t="str">
        <f t="shared" si="2"/>
        <v>EN_IGCC + CCS</v>
      </c>
      <c r="C143" s="33" t="s">
        <v>336</v>
      </c>
      <c r="D143" s="33">
        <v>2022</v>
      </c>
      <c r="F143" s="33">
        <v>220</v>
      </c>
      <c r="G143" s="33">
        <v>205</v>
      </c>
      <c r="H143" s="33">
        <v>165</v>
      </c>
      <c r="I143" s="33">
        <v>205</v>
      </c>
      <c r="J143" s="33">
        <v>200</v>
      </c>
      <c r="K143" s="33">
        <v>220</v>
      </c>
      <c r="L143" s="33">
        <v>230</v>
      </c>
      <c r="M143" s="33">
        <v>190</v>
      </c>
      <c r="N143" s="33">
        <v>210</v>
      </c>
      <c r="P143" s="33" t="s">
        <v>353</v>
      </c>
      <c r="R143"/>
    </row>
    <row r="144" ht="14.5" spans="1:18">
      <c r="A144" s="33" t="s">
        <v>328</v>
      </c>
      <c r="B144" s="12" t="str">
        <f t="shared" si="2"/>
        <v>EN_IGCC + CCS</v>
      </c>
      <c r="C144" s="33" t="s">
        <v>336</v>
      </c>
      <c r="D144" s="33">
        <v>2030</v>
      </c>
      <c r="F144" s="33">
        <v>210</v>
      </c>
      <c r="G144" s="33">
        <v>195</v>
      </c>
      <c r="H144" s="33">
        <v>160</v>
      </c>
      <c r="I144" s="33">
        <v>200</v>
      </c>
      <c r="J144" s="33">
        <v>190</v>
      </c>
      <c r="K144" s="33">
        <v>215</v>
      </c>
      <c r="L144" s="33">
        <v>220</v>
      </c>
      <c r="M144" s="33">
        <v>185</v>
      </c>
      <c r="N144" s="33">
        <v>205</v>
      </c>
      <c r="P144" s="33" t="s">
        <v>353</v>
      </c>
      <c r="R144"/>
    </row>
    <row r="145" ht="14.5" spans="1:18">
      <c r="A145" s="33" t="s">
        <v>328</v>
      </c>
      <c r="B145" s="12" t="str">
        <f t="shared" si="2"/>
        <v>EN_IGCC + CCS</v>
      </c>
      <c r="C145" s="33" t="s">
        <v>336</v>
      </c>
      <c r="D145" s="33">
        <v>2050</v>
      </c>
      <c r="F145" s="33">
        <v>190</v>
      </c>
      <c r="G145" s="33">
        <v>180</v>
      </c>
      <c r="H145" s="33">
        <v>135</v>
      </c>
      <c r="I145" s="33">
        <v>180</v>
      </c>
      <c r="J145" s="33">
        <v>170</v>
      </c>
      <c r="K145" s="33">
        <v>195</v>
      </c>
      <c r="L145" s="33">
        <v>200</v>
      </c>
      <c r="M145" s="33">
        <v>170</v>
      </c>
      <c r="N145" s="33">
        <v>180</v>
      </c>
      <c r="P145" s="33" t="s">
        <v>353</v>
      </c>
      <c r="R145"/>
    </row>
    <row r="146" ht="14.5" spans="1:18">
      <c r="A146" s="33" t="s">
        <v>328</v>
      </c>
      <c r="B146" s="12" t="str">
        <f t="shared" si="2"/>
        <v>EN_IGCC + CCS</v>
      </c>
      <c r="C146" s="33" t="s">
        <v>107</v>
      </c>
      <c r="D146" s="33">
        <v>2022</v>
      </c>
      <c r="F146" s="33">
        <v>4850</v>
      </c>
      <c r="G146" s="33">
        <v>4550</v>
      </c>
      <c r="H146" s="33">
        <v>3650</v>
      </c>
      <c r="I146" s="33">
        <v>5850</v>
      </c>
      <c r="J146" s="33">
        <v>4150</v>
      </c>
      <c r="K146" s="33">
        <v>6250</v>
      </c>
      <c r="L146" s="33">
        <v>5100</v>
      </c>
      <c r="M146" s="33">
        <v>5450</v>
      </c>
      <c r="N146" s="33">
        <v>5950</v>
      </c>
      <c r="P146" s="33" t="s">
        <v>353</v>
      </c>
      <c r="R146"/>
    </row>
    <row r="147" ht="14.5" spans="1:18">
      <c r="A147" s="33" t="s">
        <v>328</v>
      </c>
      <c r="B147" s="12" t="str">
        <f t="shared" si="2"/>
        <v>EN_IGCC + CCS</v>
      </c>
      <c r="C147" s="33" t="s">
        <v>107</v>
      </c>
      <c r="D147" s="33">
        <v>2030</v>
      </c>
      <c r="F147" s="33">
        <v>4650</v>
      </c>
      <c r="G147" s="33">
        <v>4350</v>
      </c>
      <c r="H147" s="33">
        <v>3550</v>
      </c>
      <c r="I147" s="33">
        <v>5700</v>
      </c>
      <c r="J147" s="33">
        <v>3950</v>
      </c>
      <c r="K147" s="33">
        <v>6100</v>
      </c>
      <c r="L147" s="33">
        <v>4900</v>
      </c>
      <c r="M147" s="33">
        <v>5300</v>
      </c>
      <c r="N147" s="33">
        <v>5850</v>
      </c>
      <c r="P147" s="33" t="s">
        <v>353</v>
      </c>
      <c r="R147"/>
    </row>
    <row r="148" ht="14.5" spans="1:18">
      <c r="A148" s="33" t="s">
        <v>328</v>
      </c>
      <c r="B148" s="12" t="str">
        <f t="shared" si="2"/>
        <v>EN_IGCC + CCS</v>
      </c>
      <c r="C148" s="33" t="s">
        <v>107</v>
      </c>
      <c r="D148" s="33">
        <v>2050</v>
      </c>
      <c r="F148" s="33">
        <v>4250</v>
      </c>
      <c r="G148" s="33">
        <v>4000</v>
      </c>
      <c r="H148" s="33">
        <v>3000</v>
      </c>
      <c r="I148" s="33">
        <v>5150</v>
      </c>
      <c r="J148" s="33">
        <v>3550</v>
      </c>
      <c r="K148" s="33">
        <v>5550</v>
      </c>
      <c r="L148" s="33">
        <v>4450</v>
      </c>
      <c r="M148" s="33">
        <v>4800</v>
      </c>
      <c r="N148" s="33">
        <v>5150</v>
      </c>
      <c r="P148" s="33" t="s">
        <v>353</v>
      </c>
      <c r="R148"/>
    </row>
    <row r="149" ht="14.5" spans="1:18">
      <c r="A149" s="33" t="s">
        <v>328</v>
      </c>
      <c r="B149" s="12" t="str">
        <f t="shared" si="2"/>
        <v>EN_Marine</v>
      </c>
      <c r="C149" s="33" t="s">
        <v>329</v>
      </c>
      <c r="D149" s="33">
        <v>2022</v>
      </c>
      <c r="F149" s="33">
        <v>1</v>
      </c>
      <c r="G149" s="33" t="s">
        <v>372</v>
      </c>
      <c r="H149" s="33">
        <v>1</v>
      </c>
      <c r="I149" s="33">
        <v>1</v>
      </c>
      <c r="J149" s="33">
        <v>1</v>
      </c>
      <c r="K149" s="33">
        <v>1</v>
      </c>
      <c r="L149" s="33">
        <v>1</v>
      </c>
      <c r="M149" s="33">
        <v>1</v>
      </c>
      <c r="N149" s="33">
        <v>1</v>
      </c>
      <c r="P149" s="33" t="s">
        <v>354</v>
      </c>
      <c r="R149"/>
    </row>
    <row r="150" ht="14.5" spans="1:18">
      <c r="A150" s="33" t="s">
        <v>328</v>
      </c>
      <c r="B150" s="12" t="str">
        <f t="shared" si="2"/>
        <v>EN_Marine</v>
      </c>
      <c r="C150" s="33" t="s">
        <v>329</v>
      </c>
      <c r="D150" s="33">
        <v>2030</v>
      </c>
      <c r="F150" s="33">
        <v>1</v>
      </c>
      <c r="G150" s="33" t="s">
        <v>372</v>
      </c>
      <c r="H150" s="33">
        <v>1</v>
      </c>
      <c r="I150" s="33">
        <v>1</v>
      </c>
      <c r="J150" s="33">
        <v>1</v>
      </c>
      <c r="K150" s="33">
        <v>1</v>
      </c>
      <c r="L150" s="33">
        <v>1</v>
      </c>
      <c r="M150" s="33">
        <v>1</v>
      </c>
      <c r="N150" s="33">
        <v>1</v>
      </c>
      <c r="P150" s="33" t="s">
        <v>354</v>
      </c>
      <c r="R150"/>
    </row>
    <row r="151" ht="14.5" spans="1:18">
      <c r="A151" s="33" t="s">
        <v>328</v>
      </c>
      <c r="B151" s="12" t="str">
        <f t="shared" si="2"/>
        <v>EN_Marine</v>
      </c>
      <c r="C151" s="33" t="s">
        <v>329</v>
      </c>
      <c r="D151" s="33">
        <v>2050</v>
      </c>
      <c r="F151" s="33">
        <v>1</v>
      </c>
      <c r="G151" s="33" t="s">
        <v>372</v>
      </c>
      <c r="H151" s="33">
        <v>1</v>
      </c>
      <c r="I151" s="33">
        <v>1</v>
      </c>
      <c r="J151" s="33">
        <v>1</v>
      </c>
      <c r="K151" s="33">
        <v>1</v>
      </c>
      <c r="L151" s="33">
        <v>1</v>
      </c>
      <c r="M151" s="33">
        <v>1</v>
      </c>
      <c r="N151" s="33">
        <v>1</v>
      </c>
      <c r="P151" s="33" t="s">
        <v>354</v>
      </c>
      <c r="R151"/>
    </row>
    <row r="152" ht="14.5" spans="1:18">
      <c r="A152" s="33" t="s">
        <v>328</v>
      </c>
      <c r="B152" s="12" t="str">
        <f t="shared" si="2"/>
        <v>EN_Marine</v>
      </c>
      <c r="C152" s="33" t="s">
        <v>336</v>
      </c>
      <c r="D152" s="33">
        <v>2022</v>
      </c>
      <c r="F152" s="33">
        <v>200</v>
      </c>
      <c r="G152" s="33" t="s">
        <v>372</v>
      </c>
      <c r="H152" s="33">
        <v>200</v>
      </c>
      <c r="I152" s="33">
        <v>210</v>
      </c>
      <c r="J152" s="33">
        <v>200</v>
      </c>
      <c r="K152" s="33">
        <v>210</v>
      </c>
      <c r="L152" s="33">
        <v>200</v>
      </c>
      <c r="M152" s="33">
        <v>200</v>
      </c>
      <c r="N152" s="33">
        <v>210</v>
      </c>
      <c r="P152" s="33" t="s">
        <v>354</v>
      </c>
      <c r="R152"/>
    </row>
    <row r="153" ht="14.5" spans="1:18">
      <c r="A153" s="33" t="s">
        <v>328</v>
      </c>
      <c r="B153" s="12" t="str">
        <f t="shared" si="2"/>
        <v>EN_Marine</v>
      </c>
      <c r="C153" s="33" t="s">
        <v>336</v>
      </c>
      <c r="D153" s="33">
        <v>2030</v>
      </c>
      <c r="F153" s="33">
        <v>160</v>
      </c>
      <c r="G153" s="33" t="s">
        <v>372</v>
      </c>
      <c r="H153" s="33">
        <v>160</v>
      </c>
      <c r="I153" s="33">
        <v>150</v>
      </c>
      <c r="J153" s="33">
        <v>160</v>
      </c>
      <c r="K153" s="33">
        <v>170</v>
      </c>
      <c r="L153" s="33">
        <v>160</v>
      </c>
      <c r="M153" s="33">
        <v>160</v>
      </c>
      <c r="N153" s="33">
        <v>150</v>
      </c>
      <c r="P153" s="33" t="s">
        <v>354</v>
      </c>
      <c r="R153"/>
    </row>
    <row r="154" ht="14.5" spans="1:18">
      <c r="A154" s="33" t="s">
        <v>328</v>
      </c>
      <c r="B154" s="12" t="str">
        <f t="shared" si="2"/>
        <v>EN_Marine</v>
      </c>
      <c r="C154" s="33" t="s">
        <v>336</v>
      </c>
      <c r="D154" s="33">
        <v>2050</v>
      </c>
      <c r="F154" s="33">
        <v>90</v>
      </c>
      <c r="G154" s="33" t="s">
        <v>372</v>
      </c>
      <c r="H154" s="33">
        <v>90</v>
      </c>
      <c r="I154" s="33">
        <v>90</v>
      </c>
      <c r="J154" s="33">
        <v>90</v>
      </c>
      <c r="K154" s="33">
        <v>90</v>
      </c>
      <c r="L154" s="33">
        <v>90</v>
      </c>
      <c r="M154" s="33">
        <v>90</v>
      </c>
      <c r="N154" s="33">
        <v>90</v>
      </c>
      <c r="P154" s="33" t="s">
        <v>354</v>
      </c>
      <c r="R154"/>
    </row>
    <row r="155" ht="14.5" spans="1:18">
      <c r="A155" s="33" t="s">
        <v>328</v>
      </c>
      <c r="B155" s="12" t="str">
        <f t="shared" si="2"/>
        <v>EN_Marine</v>
      </c>
      <c r="C155" s="33" t="s">
        <v>107</v>
      </c>
      <c r="D155" s="33">
        <v>2022</v>
      </c>
      <c r="F155" s="33">
        <v>6550</v>
      </c>
      <c r="G155" s="33" t="s">
        <v>372</v>
      </c>
      <c r="H155" s="33">
        <v>6600</v>
      </c>
      <c r="I155" s="33">
        <v>6950</v>
      </c>
      <c r="J155" s="33">
        <v>6500</v>
      </c>
      <c r="K155" s="33">
        <v>7000</v>
      </c>
      <c r="L155" s="33">
        <v>6650</v>
      </c>
      <c r="M155" s="33">
        <v>6650</v>
      </c>
      <c r="N155" s="33">
        <v>6850</v>
      </c>
      <c r="P155" s="33" t="s">
        <v>354</v>
      </c>
      <c r="R155"/>
    </row>
    <row r="156" ht="14.5" spans="1:18">
      <c r="A156" s="33" t="s">
        <v>328</v>
      </c>
      <c r="B156" s="12" t="str">
        <f t="shared" si="2"/>
        <v>EN_Marine</v>
      </c>
      <c r="C156" s="33" t="s">
        <v>107</v>
      </c>
      <c r="D156" s="33">
        <v>2030</v>
      </c>
      <c r="F156" s="33">
        <v>5250</v>
      </c>
      <c r="G156" s="33" t="s">
        <v>372</v>
      </c>
      <c r="H156" s="33">
        <v>5250</v>
      </c>
      <c r="I156" s="33">
        <v>5000</v>
      </c>
      <c r="J156" s="33">
        <v>5200</v>
      </c>
      <c r="K156" s="33">
        <v>5150</v>
      </c>
      <c r="L156" s="33">
        <v>5400</v>
      </c>
      <c r="M156" s="33">
        <v>5400</v>
      </c>
      <c r="N156" s="33">
        <v>4900</v>
      </c>
      <c r="P156" s="33" t="s">
        <v>354</v>
      </c>
      <c r="R156"/>
    </row>
    <row r="157" ht="14.5" spans="1:18">
      <c r="A157" s="33" t="s">
        <v>328</v>
      </c>
      <c r="B157" s="12" t="str">
        <f t="shared" si="2"/>
        <v>EN_Marine</v>
      </c>
      <c r="C157" s="33" t="s">
        <v>107</v>
      </c>
      <c r="D157" s="33">
        <v>2050</v>
      </c>
      <c r="F157" s="33">
        <v>2950</v>
      </c>
      <c r="G157" s="33" t="s">
        <v>372</v>
      </c>
      <c r="H157" s="33">
        <v>2850</v>
      </c>
      <c r="I157" s="33">
        <v>2800</v>
      </c>
      <c r="J157" s="33">
        <v>2850</v>
      </c>
      <c r="K157" s="33">
        <v>3000</v>
      </c>
      <c r="L157" s="33">
        <v>3100</v>
      </c>
      <c r="M157" s="33">
        <v>3100</v>
      </c>
      <c r="N157" s="33">
        <v>2900</v>
      </c>
      <c r="P157" s="33" t="s">
        <v>354</v>
      </c>
      <c r="R157"/>
    </row>
    <row r="158" ht="14.5" spans="1:18">
      <c r="A158" s="33" t="s">
        <v>328</v>
      </c>
      <c r="B158" s="12" t="str">
        <f t="shared" si="2"/>
        <v>EN_Nuclear</v>
      </c>
      <c r="C158" s="33" t="s">
        <v>329</v>
      </c>
      <c r="D158" s="33">
        <v>2022</v>
      </c>
      <c r="F158" s="33">
        <v>0.33</v>
      </c>
      <c r="G158" s="33">
        <v>0.33</v>
      </c>
      <c r="H158" s="33">
        <v>0.33</v>
      </c>
      <c r="I158" s="33">
        <v>0.33</v>
      </c>
      <c r="J158" s="33">
        <v>0.33</v>
      </c>
      <c r="K158" s="33">
        <v>0.33</v>
      </c>
      <c r="L158" s="33">
        <v>0.33</v>
      </c>
      <c r="M158" s="33">
        <v>0.33</v>
      </c>
      <c r="N158" s="33">
        <v>0.33</v>
      </c>
      <c r="P158" s="33" t="s">
        <v>355</v>
      </c>
      <c r="R158"/>
    </row>
    <row r="159" ht="14.5" spans="1:18">
      <c r="A159" s="33" t="s">
        <v>328</v>
      </c>
      <c r="B159" s="12" t="str">
        <f t="shared" si="2"/>
        <v>EN_Nuclear</v>
      </c>
      <c r="C159" s="33" t="s">
        <v>329</v>
      </c>
      <c r="D159" s="33">
        <v>2030</v>
      </c>
      <c r="F159" s="33">
        <v>0.33</v>
      </c>
      <c r="G159" s="33">
        <v>0.33</v>
      </c>
      <c r="H159" s="33">
        <v>0.33</v>
      </c>
      <c r="I159" s="33">
        <v>0.33</v>
      </c>
      <c r="J159" s="33">
        <v>0.33</v>
      </c>
      <c r="K159" s="33">
        <v>0.33</v>
      </c>
      <c r="L159" s="33">
        <v>0.33</v>
      </c>
      <c r="M159" s="33">
        <v>0.33</v>
      </c>
      <c r="N159" s="33">
        <v>0.33</v>
      </c>
      <c r="P159" s="33" t="s">
        <v>355</v>
      </c>
      <c r="R159"/>
    </row>
    <row r="160" ht="14.5" spans="1:18">
      <c r="A160" s="33" t="s">
        <v>328</v>
      </c>
      <c r="B160" s="12" t="str">
        <f t="shared" si="2"/>
        <v>EN_Nuclear</v>
      </c>
      <c r="C160" s="33" t="s">
        <v>329</v>
      </c>
      <c r="D160" s="33">
        <v>2050</v>
      </c>
      <c r="F160" s="33">
        <v>0.33</v>
      </c>
      <c r="G160" s="33">
        <v>0.33</v>
      </c>
      <c r="H160" s="33">
        <v>0.33</v>
      </c>
      <c r="I160" s="33">
        <v>0.33</v>
      </c>
      <c r="J160" s="33">
        <v>0.33</v>
      </c>
      <c r="K160" s="33">
        <v>0.33</v>
      </c>
      <c r="L160" s="33">
        <v>0.33</v>
      </c>
      <c r="M160" s="33">
        <v>0.33</v>
      </c>
      <c r="N160" s="33">
        <v>0.33</v>
      </c>
      <c r="P160" s="33" t="s">
        <v>355</v>
      </c>
      <c r="R160"/>
    </row>
    <row r="161" ht="14.5" spans="1:18">
      <c r="A161" s="33" t="s">
        <v>328</v>
      </c>
      <c r="B161" s="12" t="str">
        <f t="shared" si="2"/>
        <v>EN_Nuclear</v>
      </c>
      <c r="C161" s="33" t="s">
        <v>336</v>
      </c>
      <c r="D161" s="33">
        <v>2022</v>
      </c>
      <c r="F161" s="33">
        <v>170</v>
      </c>
      <c r="G161" s="33">
        <v>170</v>
      </c>
      <c r="H161" s="33">
        <v>120</v>
      </c>
      <c r="I161" s="33">
        <v>160</v>
      </c>
      <c r="J161" s="33">
        <v>140</v>
      </c>
      <c r="K161" s="33">
        <v>225</v>
      </c>
      <c r="L161" s="33">
        <v>160</v>
      </c>
      <c r="M161" s="33">
        <v>160</v>
      </c>
      <c r="N161" s="33">
        <v>175</v>
      </c>
      <c r="P161" s="33" t="s">
        <v>355</v>
      </c>
      <c r="R161"/>
    </row>
    <row r="162" ht="14.5" spans="1:18">
      <c r="A162" s="33" t="s">
        <v>328</v>
      </c>
      <c r="B162" s="12" t="str">
        <f t="shared" si="2"/>
        <v>EN_Nuclear</v>
      </c>
      <c r="C162" s="33" t="s">
        <v>336</v>
      </c>
      <c r="D162" s="33">
        <v>2030</v>
      </c>
      <c r="F162" s="33">
        <v>170</v>
      </c>
      <c r="G162" s="33">
        <v>170</v>
      </c>
      <c r="H162" s="33">
        <v>120</v>
      </c>
      <c r="I162" s="33">
        <v>160</v>
      </c>
      <c r="J162" s="33">
        <v>140</v>
      </c>
      <c r="K162" s="33">
        <v>225</v>
      </c>
      <c r="L162" s="33">
        <v>160</v>
      </c>
      <c r="M162" s="33">
        <v>160</v>
      </c>
      <c r="N162" s="33">
        <v>175</v>
      </c>
      <c r="P162" s="33" t="s">
        <v>355</v>
      </c>
      <c r="R162"/>
    </row>
    <row r="163" ht="14.5" spans="1:18">
      <c r="A163" s="33" t="s">
        <v>328</v>
      </c>
      <c r="B163" s="12" t="str">
        <f t="shared" si="2"/>
        <v>EN_Nuclear</v>
      </c>
      <c r="C163" s="33" t="s">
        <v>336</v>
      </c>
      <c r="D163" s="33">
        <v>2050</v>
      </c>
      <c r="F163" s="33">
        <v>170</v>
      </c>
      <c r="G163" s="33">
        <v>170</v>
      </c>
      <c r="H163" s="33">
        <v>120</v>
      </c>
      <c r="I163" s="33">
        <v>160</v>
      </c>
      <c r="J163" s="33">
        <v>140</v>
      </c>
      <c r="K163" s="33">
        <v>225</v>
      </c>
      <c r="L163" s="33">
        <v>160</v>
      </c>
      <c r="M163" s="33">
        <v>160</v>
      </c>
      <c r="N163" s="33">
        <v>175</v>
      </c>
      <c r="P163" s="33" t="s">
        <v>355</v>
      </c>
      <c r="R163"/>
    </row>
    <row r="164" ht="14.5" spans="1:18">
      <c r="A164" s="33" t="s">
        <v>328</v>
      </c>
      <c r="B164" s="12" t="str">
        <f t="shared" si="2"/>
        <v>EN_Nuclear</v>
      </c>
      <c r="C164" s="33" t="s">
        <v>107</v>
      </c>
      <c r="D164" s="33">
        <v>2022</v>
      </c>
      <c r="F164" s="33">
        <v>4000</v>
      </c>
      <c r="G164" s="33">
        <v>4000</v>
      </c>
      <c r="H164" s="33">
        <v>2800</v>
      </c>
      <c r="I164" s="33">
        <v>6600</v>
      </c>
      <c r="J164" s="33">
        <v>2800</v>
      </c>
      <c r="K164" s="33">
        <v>4200</v>
      </c>
      <c r="L164" s="33">
        <v>3500</v>
      </c>
      <c r="M164" s="33">
        <v>3800</v>
      </c>
      <c r="N164" s="33">
        <v>5000</v>
      </c>
      <c r="P164" s="33" t="s">
        <v>355</v>
      </c>
      <c r="R164"/>
    </row>
    <row r="165" ht="14.5" spans="1:18">
      <c r="A165" s="33" t="s">
        <v>328</v>
      </c>
      <c r="B165" s="12" t="str">
        <f t="shared" si="2"/>
        <v>EN_Nuclear</v>
      </c>
      <c r="C165" s="33" t="s">
        <v>107</v>
      </c>
      <c r="D165" s="33">
        <v>2030</v>
      </c>
      <c r="F165" s="33">
        <v>4000</v>
      </c>
      <c r="G165" s="33">
        <v>4000</v>
      </c>
      <c r="H165" s="33">
        <v>2800</v>
      </c>
      <c r="I165" s="33">
        <v>5100</v>
      </c>
      <c r="J165" s="33">
        <v>2800</v>
      </c>
      <c r="K165" s="33">
        <v>4000</v>
      </c>
      <c r="L165" s="33">
        <v>3500</v>
      </c>
      <c r="M165" s="33">
        <v>3800</v>
      </c>
      <c r="N165" s="33">
        <v>4800</v>
      </c>
      <c r="P165" s="33" t="s">
        <v>355</v>
      </c>
      <c r="R165"/>
    </row>
    <row r="166" ht="14.5" spans="1:18">
      <c r="A166" s="33" t="s">
        <v>328</v>
      </c>
      <c r="B166" s="12" t="str">
        <f t="shared" si="2"/>
        <v>EN_Nuclear</v>
      </c>
      <c r="C166" s="33" t="s">
        <v>107</v>
      </c>
      <c r="D166" s="33">
        <v>2050</v>
      </c>
      <c r="F166" s="33">
        <v>4000</v>
      </c>
      <c r="G166" s="33">
        <v>4000</v>
      </c>
      <c r="H166" s="33">
        <v>2500</v>
      </c>
      <c r="I166" s="33">
        <v>4500</v>
      </c>
      <c r="J166" s="33">
        <v>2800</v>
      </c>
      <c r="K166" s="33">
        <v>4000</v>
      </c>
      <c r="L166" s="33">
        <v>3500</v>
      </c>
      <c r="M166" s="33">
        <v>3800</v>
      </c>
      <c r="N166" s="33">
        <v>4500</v>
      </c>
      <c r="P166" s="33" t="s">
        <v>355</v>
      </c>
      <c r="R166"/>
    </row>
    <row r="167" ht="14.5" spans="1:18">
      <c r="A167" s="33" t="s">
        <v>328</v>
      </c>
      <c r="B167" s="12" t="str">
        <f t="shared" si="2"/>
        <v>\I: EN_Oxyfuel + CCS</v>
      </c>
      <c r="C167" s="33" t="s">
        <v>329</v>
      </c>
      <c r="D167" s="33">
        <v>2022</v>
      </c>
      <c r="F167" s="33">
        <v>0.33</v>
      </c>
      <c r="G167" s="33" t="s">
        <v>372</v>
      </c>
      <c r="H167" s="33">
        <v>0.35</v>
      </c>
      <c r="I167" s="33">
        <v>0.36</v>
      </c>
      <c r="J167" s="33">
        <v>0.31</v>
      </c>
      <c r="K167" s="33">
        <v>0.36</v>
      </c>
      <c r="L167" s="33" t="s">
        <v>372</v>
      </c>
      <c r="M167" s="33">
        <v>0.36</v>
      </c>
      <c r="N167" s="33">
        <v>0.36</v>
      </c>
      <c r="P167" s="33" t="s">
        <v>367</v>
      </c>
      <c r="R167"/>
    </row>
    <row r="168" ht="14.5" spans="1:18">
      <c r="A168" s="33" t="s">
        <v>328</v>
      </c>
      <c r="B168" s="12" t="str">
        <f t="shared" si="2"/>
        <v>\I: EN_Oxyfuel + CCS</v>
      </c>
      <c r="C168" s="33" t="s">
        <v>329</v>
      </c>
      <c r="D168" s="33">
        <v>2030</v>
      </c>
      <c r="F168" s="33">
        <v>0.33</v>
      </c>
      <c r="G168" s="33" t="s">
        <v>372</v>
      </c>
      <c r="H168" s="33">
        <v>0.36</v>
      </c>
      <c r="I168" s="33">
        <v>0.37</v>
      </c>
      <c r="J168" s="33">
        <v>0.32</v>
      </c>
      <c r="K168" s="33">
        <v>0.37</v>
      </c>
      <c r="L168" s="33" t="s">
        <v>372</v>
      </c>
      <c r="M168" s="33">
        <v>0.37</v>
      </c>
      <c r="N168" s="33">
        <v>0.37</v>
      </c>
      <c r="P168" s="33" t="s">
        <v>367</v>
      </c>
      <c r="R168"/>
    </row>
    <row r="169" ht="14.5" spans="1:18">
      <c r="A169" s="33" t="s">
        <v>328</v>
      </c>
      <c r="B169" s="12" t="str">
        <f t="shared" si="2"/>
        <v>\I: EN_Oxyfuel + CCS</v>
      </c>
      <c r="C169" s="33" t="s">
        <v>329</v>
      </c>
      <c r="D169" s="33">
        <v>2050</v>
      </c>
      <c r="F169" s="33">
        <v>0.33</v>
      </c>
      <c r="G169" s="33" t="s">
        <v>372</v>
      </c>
      <c r="H169" s="33">
        <v>0.36</v>
      </c>
      <c r="I169" s="33">
        <v>0.37</v>
      </c>
      <c r="J169" s="33">
        <v>0.32</v>
      </c>
      <c r="K169" s="33">
        <v>0.37</v>
      </c>
      <c r="L169" s="33" t="s">
        <v>372</v>
      </c>
      <c r="M169" s="33">
        <v>0.37</v>
      </c>
      <c r="N169" s="33">
        <v>0.37</v>
      </c>
      <c r="P169" s="33" t="s">
        <v>367</v>
      </c>
      <c r="R169"/>
    </row>
    <row r="170" ht="14.5" spans="1:18">
      <c r="A170" s="33" t="s">
        <v>328</v>
      </c>
      <c r="B170" s="12" t="str">
        <f t="shared" si="2"/>
        <v>\I: EN_Oxyfuel + CCS</v>
      </c>
      <c r="C170" s="33" t="s">
        <v>336</v>
      </c>
      <c r="D170" s="33">
        <v>2022</v>
      </c>
      <c r="F170" s="33">
        <v>185</v>
      </c>
      <c r="G170" s="33">
        <v>190</v>
      </c>
      <c r="H170" s="33">
        <v>140</v>
      </c>
      <c r="I170" s="33">
        <v>170</v>
      </c>
      <c r="J170" s="33">
        <v>165</v>
      </c>
      <c r="K170" s="33">
        <v>185</v>
      </c>
      <c r="L170" s="33">
        <v>170</v>
      </c>
      <c r="M170" s="33">
        <v>160</v>
      </c>
      <c r="N170" s="33">
        <v>175</v>
      </c>
      <c r="P170" s="33" t="s">
        <v>367</v>
      </c>
      <c r="R170"/>
    </row>
    <row r="171" ht="14.5" spans="1:18">
      <c r="A171" s="33" t="s">
        <v>328</v>
      </c>
      <c r="B171" s="12" t="str">
        <f t="shared" si="2"/>
        <v>\I: EN_Oxyfuel + CCS</v>
      </c>
      <c r="C171" s="33" t="s">
        <v>336</v>
      </c>
      <c r="D171" s="33">
        <v>2030</v>
      </c>
      <c r="F171" s="33">
        <v>185</v>
      </c>
      <c r="G171" s="33">
        <v>190</v>
      </c>
      <c r="H171" s="33">
        <v>140</v>
      </c>
      <c r="I171" s="33">
        <v>170</v>
      </c>
      <c r="J171" s="33">
        <v>165</v>
      </c>
      <c r="K171" s="33">
        <v>185</v>
      </c>
      <c r="L171" s="33">
        <v>170</v>
      </c>
      <c r="M171" s="33">
        <v>160</v>
      </c>
      <c r="N171" s="33">
        <v>175</v>
      </c>
      <c r="P171" s="33" t="s">
        <v>367</v>
      </c>
      <c r="R171"/>
    </row>
    <row r="172" ht="14.5" spans="1:18">
      <c r="A172" s="33" t="s">
        <v>328</v>
      </c>
      <c r="B172" s="12" t="str">
        <f t="shared" si="2"/>
        <v>\I: EN_Oxyfuel + CCS</v>
      </c>
      <c r="C172" s="33" t="s">
        <v>336</v>
      </c>
      <c r="D172" s="33">
        <v>2050</v>
      </c>
      <c r="F172" s="33">
        <v>165</v>
      </c>
      <c r="G172" s="33">
        <v>170</v>
      </c>
      <c r="H172" s="33">
        <v>120</v>
      </c>
      <c r="I172" s="33">
        <v>155</v>
      </c>
      <c r="J172" s="33">
        <v>150</v>
      </c>
      <c r="K172" s="33">
        <v>165</v>
      </c>
      <c r="L172" s="33">
        <v>155</v>
      </c>
      <c r="M172" s="33">
        <v>145</v>
      </c>
      <c r="N172" s="33">
        <v>155</v>
      </c>
      <c r="P172" s="33" t="s">
        <v>367</v>
      </c>
      <c r="R172"/>
    </row>
    <row r="173" ht="14.5" spans="1:18">
      <c r="A173" s="33" t="s">
        <v>328</v>
      </c>
      <c r="B173" s="12" t="str">
        <f t="shared" si="2"/>
        <v>\I: EN_Oxyfuel + CCS</v>
      </c>
      <c r="C173" s="33" t="s">
        <v>107</v>
      </c>
      <c r="D173" s="33">
        <v>2022</v>
      </c>
      <c r="F173" s="33">
        <v>4800</v>
      </c>
      <c r="G173" s="33">
        <v>4700</v>
      </c>
      <c r="H173" s="33">
        <v>3500</v>
      </c>
      <c r="I173" s="33">
        <v>5700</v>
      </c>
      <c r="J173" s="33">
        <v>4100</v>
      </c>
      <c r="K173" s="33">
        <v>6100</v>
      </c>
      <c r="L173" s="33">
        <v>4300</v>
      </c>
      <c r="M173" s="33">
        <v>5300</v>
      </c>
      <c r="N173" s="33">
        <v>5800</v>
      </c>
      <c r="P173" s="33" t="s">
        <v>367</v>
      </c>
      <c r="R173"/>
    </row>
    <row r="174" ht="14.5" spans="1:18">
      <c r="A174" s="33" t="s">
        <v>328</v>
      </c>
      <c r="B174" s="12" t="str">
        <f t="shared" si="2"/>
        <v>\I: EN_Oxyfuel + CCS</v>
      </c>
      <c r="C174" s="33" t="s">
        <v>107</v>
      </c>
      <c r="D174" s="33">
        <v>2030</v>
      </c>
      <c r="F174" s="33">
        <v>4800</v>
      </c>
      <c r="G174" s="33">
        <v>4700</v>
      </c>
      <c r="H174" s="33">
        <v>3500</v>
      </c>
      <c r="I174" s="33">
        <v>5700</v>
      </c>
      <c r="J174" s="33">
        <v>4100</v>
      </c>
      <c r="K174" s="33">
        <v>6100</v>
      </c>
      <c r="L174" s="33">
        <v>4300</v>
      </c>
      <c r="M174" s="33">
        <v>5300</v>
      </c>
      <c r="N174" s="33">
        <v>5800</v>
      </c>
      <c r="P174" s="33" t="s">
        <v>367</v>
      </c>
      <c r="R174"/>
    </row>
    <row r="175" ht="14.5" spans="1:18">
      <c r="A175" s="33" t="s">
        <v>328</v>
      </c>
      <c r="B175" s="12" t="str">
        <f t="shared" si="2"/>
        <v>\I: EN_Oxyfuel + CCS</v>
      </c>
      <c r="C175" s="33" t="s">
        <v>107</v>
      </c>
      <c r="D175" s="33">
        <v>2050</v>
      </c>
      <c r="F175" s="33">
        <v>4350</v>
      </c>
      <c r="G175" s="33">
        <v>4250</v>
      </c>
      <c r="H175" s="33">
        <v>3050</v>
      </c>
      <c r="I175" s="33">
        <v>5150</v>
      </c>
      <c r="J175" s="33">
        <v>3700</v>
      </c>
      <c r="K175" s="33">
        <v>5550</v>
      </c>
      <c r="L175" s="33">
        <v>3900</v>
      </c>
      <c r="M175" s="33">
        <v>4850</v>
      </c>
      <c r="N175" s="33">
        <v>5200</v>
      </c>
      <c r="P175" s="33" t="s">
        <v>367</v>
      </c>
      <c r="R175"/>
    </row>
    <row r="176" ht="14.5" spans="1:18">
      <c r="A176" s="33" t="s">
        <v>328</v>
      </c>
      <c r="B176" s="12" t="str">
        <f t="shared" si="2"/>
        <v>\I: EN_Solar photovoltaics - Buildings</v>
      </c>
      <c r="C176" s="33" t="s">
        <v>329</v>
      </c>
      <c r="D176" s="33">
        <v>2022</v>
      </c>
      <c r="F176" s="33">
        <v>1</v>
      </c>
      <c r="G176" s="33">
        <v>1</v>
      </c>
      <c r="H176" s="33">
        <v>1</v>
      </c>
      <c r="I176" s="33">
        <v>1</v>
      </c>
      <c r="J176" s="33">
        <v>1</v>
      </c>
      <c r="K176" s="33">
        <v>1</v>
      </c>
      <c r="L176" s="33">
        <v>1</v>
      </c>
      <c r="M176" s="33">
        <v>1</v>
      </c>
      <c r="N176" s="33">
        <v>1</v>
      </c>
      <c r="P176" s="33" t="s">
        <v>356</v>
      </c>
      <c r="R176"/>
    </row>
    <row r="177" ht="14.5" spans="1:18">
      <c r="A177" s="33" t="s">
        <v>328</v>
      </c>
      <c r="B177" s="12" t="str">
        <f t="shared" si="2"/>
        <v>\I: EN_Solar photovoltaics - Buildings</v>
      </c>
      <c r="C177" s="33" t="s">
        <v>329</v>
      </c>
      <c r="D177" s="33">
        <v>2030</v>
      </c>
      <c r="F177" s="33">
        <v>1</v>
      </c>
      <c r="G177" s="33">
        <v>1</v>
      </c>
      <c r="H177" s="33">
        <v>1</v>
      </c>
      <c r="I177" s="33">
        <v>1</v>
      </c>
      <c r="J177" s="33">
        <v>1</v>
      </c>
      <c r="K177" s="33">
        <v>1</v>
      </c>
      <c r="L177" s="33">
        <v>1</v>
      </c>
      <c r="M177" s="33">
        <v>1</v>
      </c>
      <c r="N177" s="33">
        <v>1</v>
      </c>
      <c r="P177" s="33" t="s">
        <v>356</v>
      </c>
      <c r="R177"/>
    </row>
    <row r="178" ht="14.5" spans="1:18">
      <c r="A178" s="33" t="s">
        <v>328</v>
      </c>
      <c r="B178" s="12" t="str">
        <f t="shared" si="2"/>
        <v>\I: EN_Solar photovoltaics - Buildings</v>
      </c>
      <c r="C178" s="33" t="s">
        <v>329</v>
      </c>
      <c r="D178" s="33">
        <v>2050</v>
      </c>
      <c r="F178" s="33">
        <v>1</v>
      </c>
      <c r="G178" s="33">
        <v>1</v>
      </c>
      <c r="H178" s="33">
        <v>1</v>
      </c>
      <c r="I178" s="33">
        <v>1</v>
      </c>
      <c r="J178" s="33">
        <v>1</v>
      </c>
      <c r="K178" s="33">
        <v>1</v>
      </c>
      <c r="L178" s="33">
        <v>1</v>
      </c>
      <c r="M178" s="33">
        <v>1</v>
      </c>
      <c r="N178" s="33">
        <v>1</v>
      </c>
      <c r="P178" s="33" t="s">
        <v>356</v>
      </c>
      <c r="R178"/>
    </row>
    <row r="179" ht="14.5" spans="1:18">
      <c r="A179" s="33" t="s">
        <v>328</v>
      </c>
      <c r="B179" s="12" t="str">
        <f t="shared" si="2"/>
        <v>\I: EN_Solar photovoltaics - Buildings</v>
      </c>
      <c r="C179" s="33" t="s">
        <v>336</v>
      </c>
      <c r="D179" s="33">
        <v>2022</v>
      </c>
      <c r="F179" s="33">
        <v>30</v>
      </c>
      <c r="G179" s="33">
        <v>8</v>
      </c>
      <c r="H179" s="33">
        <v>14</v>
      </c>
      <c r="I179" s="33">
        <v>20</v>
      </c>
      <c r="J179" s="33">
        <v>10</v>
      </c>
      <c r="K179" s="33">
        <v>28</v>
      </c>
      <c r="L179" s="33">
        <v>16</v>
      </c>
      <c r="M179" s="33">
        <v>34</v>
      </c>
      <c r="N179" s="33">
        <v>52</v>
      </c>
      <c r="P179" s="33" t="s">
        <v>356</v>
      </c>
      <c r="R179"/>
    </row>
    <row r="180" ht="14.5" spans="1:18">
      <c r="A180" s="33" t="s">
        <v>328</v>
      </c>
      <c r="B180" s="12" t="str">
        <f t="shared" si="2"/>
        <v>\I: EN_Solar photovoltaics - Buildings</v>
      </c>
      <c r="C180" s="33" t="s">
        <v>336</v>
      </c>
      <c r="D180" s="33">
        <v>2030</v>
      </c>
      <c r="F180" s="33">
        <v>26</v>
      </c>
      <c r="G180" s="33">
        <v>8</v>
      </c>
      <c r="H180" s="33">
        <v>12</v>
      </c>
      <c r="I180" s="33">
        <v>18</v>
      </c>
      <c r="J180" s="33">
        <v>10</v>
      </c>
      <c r="K180" s="33">
        <v>26</v>
      </c>
      <c r="L180" s="33">
        <v>14</v>
      </c>
      <c r="M180" s="33">
        <v>30</v>
      </c>
      <c r="N180" s="33">
        <v>48</v>
      </c>
      <c r="P180" s="33" t="s">
        <v>356</v>
      </c>
      <c r="R180"/>
    </row>
    <row r="181" ht="14.5" spans="1:18">
      <c r="A181" s="33" t="s">
        <v>328</v>
      </c>
      <c r="B181" s="12" t="str">
        <f t="shared" si="2"/>
        <v>\I: EN_Solar photovoltaics - Buildings</v>
      </c>
      <c r="C181" s="33" t="s">
        <v>336</v>
      </c>
      <c r="D181" s="33">
        <v>2050</v>
      </c>
      <c r="F181" s="33">
        <v>26</v>
      </c>
      <c r="G181" s="33">
        <v>8</v>
      </c>
      <c r="H181" s="33">
        <v>12</v>
      </c>
      <c r="I181" s="33">
        <v>18</v>
      </c>
      <c r="J181" s="33">
        <v>8</v>
      </c>
      <c r="K181" s="33">
        <v>24</v>
      </c>
      <c r="L181" s="33">
        <v>12</v>
      </c>
      <c r="M181" s="33">
        <v>28</v>
      </c>
      <c r="N181" s="33">
        <v>44</v>
      </c>
      <c r="P181" s="33" t="s">
        <v>356</v>
      </c>
      <c r="R181"/>
    </row>
    <row r="182" ht="14.5" spans="1:18">
      <c r="A182" s="33" t="s">
        <v>328</v>
      </c>
      <c r="B182" s="12" t="str">
        <f t="shared" si="2"/>
        <v>\I: EN_Solar photovoltaics - Buildings</v>
      </c>
      <c r="C182" s="33" t="s">
        <v>107</v>
      </c>
      <c r="D182" s="33">
        <v>2022</v>
      </c>
      <c r="F182" s="33">
        <v>1970</v>
      </c>
      <c r="G182" s="33">
        <v>580</v>
      </c>
      <c r="H182" s="33">
        <v>800</v>
      </c>
      <c r="I182" s="33">
        <v>1320</v>
      </c>
      <c r="J182" s="33">
        <v>700</v>
      </c>
      <c r="K182" s="33">
        <v>1880</v>
      </c>
      <c r="L182" s="33">
        <v>1020</v>
      </c>
      <c r="M182" s="33">
        <v>2210</v>
      </c>
      <c r="N182" s="33">
        <v>3490</v>
      </c>
      <c r="P182" s="33" t="s">
        <v>356</v>
      </c>
      <c r="R182"/>
    </row>
    <row r="183" ht="14.5" spans="1:18">
      <c r="A183" s="33" t="s">
        <v>328</v>
      </c>
      <c r="B183" s="12" t="str">
        <f t="shared" si="2"/>
        <v>\I: EN_Solar photovoltaics - Buildings</v>
      </c>
      <c r="C183" s="33" t="s">
        <v>107</v>
      </c>
      <c r="D183" s="33">
        <v>2030</v>
      </c>
      <c r="F183" s="33">
        <v>1150</v>
      </c>
      <c r="G183" s="33">
        <v>350</v>
      </c>
      <c r="H183" s="33">
        <v>480</v>
      </c>
      <c r="I183" s="33">
        <v>840</v>
      </c>
      <c r="J183" s="33">
        <v>430</v>
      </c>
      <c r="K183" s="33">
        <v>1280</v>
      </c>
      <c r="L183" s="33">
        <v>580</v>
      </c>
      <c r="M183" s="33">
        <v>1440</v>
      </c>
      <c r="N183" s="33">
        <v>2160</v>
      </c>
      <c r="P183" s="33" t="s">
        <v>356</v>
      </c>
      <c r="R183"/>
    </row>
    <row r="184" ht="14.5" spans="1:18">
      <c r="A184" s="33" t="s">
        <v>328</v>
      </c>
      <c r="B184" s="12" t="str">
        <f t="shared" si="2"/>
        <v>\I: EN_Solar photovoltaics - Buildings</v>
      </c>
      <c r="C184" s="33" t="s">
        <v>107</v>
      </c>
      <c r="D184" s="33">
        <v>2050</v>
      </c>
      <c r="F184" s="33">
        <v>770</v>
      </c>
      <c r="G184" s="33">
        <v>260</v>
      </c>
      <c r="H184" s="33">
        <v>340</v>
      </c>
      <c r="I184" s="33">
        <v>620</v>
      </c>
      <c r="J184" s="33">
        <v>290</v>
      </c>
      <c r="K184" s="33">
        <v>990</v>
      </c>
      <c r="L184" s="33">
        <v>390</v>
      </c>
      <c r="M184" s="33">
        <v>1010</v>
      </c>
      <c r="N184" s="33">
        <v>1510</v>
      </c>
      <c r="P184" s="33" t="s">
        <v>356</v>
      </c>
      <c r="R184"/>
    </row>
    <row r="185" ht="14.5" spans="1:18">
      <c r="A185" s="33" t="s">
        <v>328</v>
      </c>
      <c r="B185" s="12" t="str">
        <f t="shared" si="2"/>
        <v>EN_SPV*</v>
      </c>
      <c r="C185" s="33" t="s">
        <v>329</v>
      </c>
      <c r="D185" s="33">
        <v>2022</v>
      </c>
      <c r="F185" s="33">
        <v>1</v>
      </c>
      <c r="G185" s="33">
        <v>1</v>
      </c>
      <c r="H185" s="33">
        <v>1</v>
      </c>
      <c r="I185" s="33">
        <v>1</v>
      </c>
      <c r="J185" s="33">
        <v>1</v>
      </c>
      <c r="K185" s="33">
        <v>1</v>
      </c>
      <c r="L185" s="33">
        <v>1</v>
      </c>
      <c r="M185" s="33">
        <v>1</v>
      </c>
      <c r="N185" s="33">
        <v>1</v>
      </c>
      <c r="P185" s="33" t="s">
        <v>358</v>
      </c>
      <c r="R185"/>
    </row>
    <row r="186" ht="14.5" spans="1:18">
      <c r="A186" s="33" t="s">
        <v>328</v>
      </c>
      <c r="B186" s="12" t="str">
        <f t="shared" si="2"/>
        <v>EN_SPV*</v>
      </c>
      <c r="C186" s="33" t="s">
        <v>329</v>
      </c>
      <c r="D186" s="33">
        <v>2030</v>
      </c>
      <c r="F186" s="33">
        <v>1</v>
      </c>
      <c r="G186" s="33">
        <v>1</v>
      </c>
      <c r="H186" s="33">
        <v>1</v>
      </c>
      <c r="I186" s="33">
        <v>1</v>
      </c>
      <c r="J186" s="33">
        <v>1</v>
      </c>
      <c r="K186" s="33">
        <v>1</v>
      </c>
      <c r="L186" s="33">
        <v>1</v>
      </c>
      <c r="M186" s="33">
        <v>1</v>
      </c>
      <c r="N186" s="33">
        <v>1</v>
      </c>
      <c r="P186" s="33" t="s">
        <v>358</v>
      </c>
      <c r="R186"/>
    </row>
    <row r="187" ht="14.5" spans="1:18">
      <c r="A187" s="33" t="s">
        <v>328</v>
      </c>
      <c r="B187" s="12" t="str">
        <f t="shared" si="2"/>
        <v>EN_SPV*</v>
      </c>
      <c r="C187" s="33" t="s">
        <v>329</v>
      </c>
      <c r="D187" s="33">
        <v>2050</v>
      </c>
      <c r="F187" s="33">
        <v>1</v>
      </c>
      <c r="G187" s="33">
        <v>1</v>
      </c>
      <c r="H187" s="33">
        <v>1</v>
      </c>
      <c r="I187" s="33">
        <v>1</v>
      </c>
      <c r="J187" s="33">
        <v>1</v>
      </c>
      <c r="K187" s="33">
        <v>1</v>
      </c>
      <c r="L187" s="33">
        <v>1</v>
      </c>
      <c r="M187" s="33">
        <v>1</v>
      </c>
      <c r="N187" s="33">
        <v>1</v>
      </c>
      <c r="P187" s="33" t="s">
        <v>358</v>
      </c>
      <c r="R187"/>
    </row>
    <row r="188" ht="14.5" spans="1:18">
      <c r="A188" s="33" t="s">
        <v>328</v>
      </c>
      <c r="B188" s="12" t="str">
        <f t="shared" si="2"/>
        <v>EN_SPV*</v>
      </c>
      <c r="C188" s="33" t="s">
        <v>336</v>
      </c>
      <c r="D188" s="33">
        <v>2022</v>
      </c>
      <c r="F188" s="33">
        <v>22</v>
      </c>
      <c r="G188" s="33">
        <v>12</v>
      </c>
      <c r="H188" s="33">
        <v>12</v>
      </c>
      <c r="I188" s="33">
        <v>14</v>
      </c>
      <c r="J188" s="33">
        <v>10</v>
      </c>
      <c r="K188" s="33">
        <v>28</v>
      </c>
      <c r="L188" s="33">
        <v>10</v>
      </c>
      <c r="M188" s="33">
        <v>26</v>
      </c>
      <c r="N188" s="33">
        <v>16</v>
      </c>
      <c r="P188" s="33" t="s">
        <v>358</v>
      </c>
      <c r="R188"/>
    </row>
    <row r="189" ht="14.5" spans="1:18">
      <c r="A189" s="33" t="s">
        <v>328</v>
      </c>
      <c r="B189" s="12" t="str">
        <f t="shared" si="2"/>
        <v>EN_SPV*</v>
      </c>
      <c r="C189" s="33" t="s">
        <v>336</v>
      </c>
      <c r="D189" s="33">
        <v>2030</v>
      </c>
      <c r="F189" s="33">
        <v>20</v>
      </c>
      <c r="G189" s="33">
        <v>10</v>
      </c>
      <c r="H189" s="33">
        <v>10</v>
      </c>
      <c r="I189" s="33">
        <v>14</v>
      </c>
      <c r="J189" s="33">
        <v>8</v>
      </c>
      <c r="K189" s="33">
        <v>26</v>
      </c>
      <c r="L189" s="33">
        <v>8</v>
      </c>
      <c r="M189" s="33">
        <v>24</v>
      </c>
      <c r="N189" s="33">
        <v>16</v>
      </c>
      <c r="P189" s="33" t="s">
        <v>358</v>
      </c>
      <c r="R189"/>
    </row>
    <row r="190" ht="14.5" spans="1:18">
      <c r="A190" s="33" t="s">
        <v>328</v>
      </c>
      <c r="B190" s="12" t="str">
        <f t="shared" si="2"/>
        <v>EN_SPV*</v>
      </c>
      <c r="C190" s="33" t="s">
        <v>336</v>
      </c>
      <c r="D190" s="33">
        <v>2050</v>
      </c>
      <c r="F190" s="33">
        <v>18</v>
      </c>
      <c r="G190" s="33">
        <v>10</v>
      </c>
      <c r="H190" s="33">
        <v>10</v>
      </c>
      <c r="I190" s="33">
        <v>12</v>
      </c>
      <c r="J190" s="33">
        <v>8</v>
      </c>
      <c r="K190" s="33">
        <v>24</v>
      </c>
      <c r="L190" s="33">
        <v>8</v>
      </c>
      <c r="M190" s="33">
        <v>22</v>
      </c>
      <c r="N190" s="33">
        <v>16</v>
      </c>
      <c r="P190" s="33" t="s">
        <v>358</v>
      </c>
      <c r="R190"/>
    </row>
    <row r="191" ht="14.5" spans="1:18">
      <c r="A191" s="33" t="s">
        <v>328</v>
      </c>
      <c r="B191" s="12" t="str">
        <f t="shared" si="2"/>
        <v>EN_SPV*</v>
      </c>
      <c r="C191" s="33" t="s">
        <v>107</v>
      </c>
      <c r="D191" s="33">
        <v>2022</v>
      </c>
      <c r="F191" s="33">
        <v>1420</v>
      </c>
      <c r="G191" s="33">
        <v>750</v>
      </c>
      <c r="H191" s="33">
        <v>720</v>
      </c>
      <c r="I191" s="33">
        <v>990</v>
      </c>
      <c r="J191" s="33">
        <v>640</v>
      </c>
      <c r="K191" s="33">
        <v>1910</v>
      </c>
      <c r="L191" s="33">
        <v>620</v>
      </c>
      <c r="M191" s="33">
        <v>1710</v>
      </c>
      <c r="N191" s="33">
        <v>1120</v>
      </c>
      <c r="P191" s="33" t="s">
        <v>358</v>
      </c>
      <c r="R191"/>
    </row>
    <row r="192" ht="14.5" spans="1:18">
      <c r="A192" s="33" t="s">
        <v>328</v>
      </c>
      <c r="B192" s="12" t="str">
        <f t="shared" si="2"/>
        <v>EN_SPV*</v>
      </c>
      <c r="C192" s="33" t="s">
        <v>107</v>
      </c>
      <c r="D192" s="33">
        <v>2030</v>
      </c>
      <c r="F192" s="33">
        <v>850</v>
      </c>
      <c r="G192" s="33">
        <v>460</v>
      </c>
      <c r="H192" s="33">
        <v>430</v>
      </c>
      <c r="I192" s="33">
        <v>620</v>
      </c>
      <c r="J192" s="33">
        <v>390</v>
      </c>
      <c r="K192" s="33">
        <v>1250</v>
      </c>
      <c r="L192" s="33">
        <v>360</v>
      </c>
      <c r="M192" s="33">
        <v>1090</v>
      </c>
      <c r="N192" s="33">
        <v>690</v>
      </c>
      <c r="P192" s="33" t="s">
        <v>358</v>
      </c>
      <c r="R192"/>
    </row>
    <row r="193" ht="14.5" spans="1:18">
      <c r="A193" s="33" t="s">
        <v>328</v>
      </c>
      <c r="B193" s="12" t="str">
        <f t="shared" si="2"/>
        <v>EN_SPV*</v>
      </c>
      <c r="C193" s="33" t="s">
        <v>107</v>
      </c>
      <c r="D193" s="33">
        <v>2050</v>
      </c>
      <c r="F193" s="33">
        <v>580</v>
      </c>
      <c r="G193" s="33">
        <v>330</v>
      </c>
      <c r="H193" s="33">
        <v>300</v>
      </c>
      <c r="I193" s="33">
        <v>450</v>
      </c>
      <c r="J193" s="33">
        <v>270</v>
      </c>
      <c r="K193" s="33">
        <v>940</v>
      </c>
      <c r="L193" s="33">
        <v>250</v>
      </c>
      <c r="M193" s="33">
        <v>770</v>
      </c>
      <c r="N193" s="33">
        <v>480</v>
      </c>
      <c r="P193" s="33" t="s">
        <v>358</v>
      </c>
      <c r="R193"/>
    </row>
    <row r="194" ht="14.5" spans="1:18">
      <c r="A194" s="33" t="s">
        <v>328</v>
      </c>
      <c r="B194" s="12" t="str">
        <f t="shared" si="2"/>
        <v>EN_Steam Coal - SUBCRITICAL</v>
      </c>
      <c r="C194" s="33" t="s">
        <v>329</v>
      </c>
      <c r="D194" s="33">
        <v>2022</v>
      </c>
      <c r="F194" s="33">
        <v>0.35</v>
      </c>
      <c r="G194" s="33">
        <v>0.39</v>
      </c>
      <c r="H194" s="33">
        <v>0.37</v>
      </c>
      <c r="I194" s="33">
        <v>0.39</v>
      </c>
      <c r="J194" s="33">
        <v>0.36</v>
      </c>
      <c r="K194" s="33">
        <v>0.39</v>
      </c>
      <c r="L194" s="33">
        <v>0.37</v>
      </c>
      <c r="M194" s="33">
        <v>0.39</v>
      </c>
      <c r="N194" s="33">
        <v>0.39</v>
      </c>
      <c r="P194" s="33" t="s">
        <v>360</v>
      </c>
      <c r="R194"/>
    </row>
    <row r="195" ht="14.5" spans="1:18">
      <c r="A195" s="33" t="s">
        <v>328</v>
      </c>
      <c r="B195" s="12" t="str">
        <f t="shared" si="2"/>
        <v>EN_Steam Coal - SUBCRITICAL</v>
      </c>
      <c r="C195" s="33" t="s">
        <v>329</v>
      </c>
      <c r="D195" s="33">
        <v>2030</v>
      </c>
      <c r="F195" s="33">
        <v>0.35</v>
      </c>
      <c r="G195" s="33">
        <v>0.39</v>
      </c>
      <c r="H195" s="33">
        <v>0.37</v>
      </c>
      <c r="I195" s="33">
        <v>0.39</v>
      </c>
      <c r="J195" s="33">
        <v>0.36</v>
      </c>
      <c r="K195" s="33">
        <v>0.39</v>
      </c>
      <c r="L195" s="33">
        <v>0.37</v>
      </c>
      <c r="M195" s="33">
        <v>0.39</v>
      </c>
      <c r="N195" s="33">
        <v>0.39</v>
      </c>
      <c r="P195" s="33" t="s">
        <v>360</v>
      </c>
      <c r="R195"/>
    </row>
    <row r="196" ht="14.5" spans="1:18">
      <c r="A196" s="33" t="s">
        <v>328</v>
      </c>
      <c r="B196" s="12" t="str">
        <f t="shared" si="2"/>
        <v>EN_Steam Coal - SUBCRITICAL</v>
      </c>
      <c r="C196" s="33" t="s">
        <v>329</v>
      </c>
      <c r="D196" s="33">
        <v>2050</v>
      </c>
      <c r="F196" s="33">
        <v>0.35</v>
      </c>
      <c r="G196" s="33">
        <v>0.39</v>
      </c>
      <c r="H196" s="33">
        <v>0.37</v>
      </c>
      <c r="I196" s="33">
        <v>0.39</v>
      </c>
      <c r="J196" s="33">
        <v>0.37</v>
      </c>
      <c r="K196" s="33">
        <v>0.39</v>
      </c>
      <c r="L196" s="33">
        <v>0.37</v>
      </c>
      <c r="M196" s="33">
        <v>0.39</v>
      </c>
      <c r="N196" s="33">
        <v>0.39</v>
      </c>
      <c r="P196" s="33" t="s">
        <v>360</v>
      </c>
      <c r="R196"/>
    </row>
    <row r="197" ht="14.5" spans="1:18">
      <c r="A197" s="33" t="s">
        <v>328</v>
      </c>
      <c r="B197" s="12" t="str">
        <f t="shared" si="2"/>
        <v>EN_Steam Coal - SUBCRITICAL</v>
      </c>
      <c r="C197" s="33" t="s">
        <v>336</v>
      </c>
      <c r="D197" s="33">
        <v>2022</v>
      </c>
      <c r="F197" s="33">
        <v>45</v>
      </c>
      <c r="G197" s="33">
        <v>45</v>
      </c>
      <c r="H197" s="33">
        <v>20</v>
      </c>
      <c r="I197" s="33">
        <v>45</v>
      </c>
      <c r="J197" s="33">
        <v>35</v>
      </c>
      <c r="K197" s="33">
        <v>55</v>
      </c>
      <c r="L197" s="33">
        <v>45</v>
      </c>
      <c r="M197" s="33">
        <v>50</v>
      </c>
      <c r="N197" s="33">
        <v>45</v>
      </c>
      <c r="P197" s="33" t="s">
        <v>360</v>
      </c>
      <c r="R197"/>
    </row>
    <row r="198" ht="14.5" spans="1:18">
      <c r="A198" s="33" t="s">
        <v>328</v>
      </c>
      <c r="B198" s="12" t="str">
        <f t="shared" si="2"/>
        <v>EN_Steam Coal - SUBCRITICAL</v>
      </c>
      <c r="C198" s="33" t="s">
        <v>336</v>
      </c>
      <c r="D198" s="33">
        <v>2030</v>
      </c>
      <c r="F198" s="33">
        <v>45</v>
      </c>
      <c r="G198" s="33">
        <v>45</v>
      </c>
      <c r="H198" s="33">
        <v>20</v>
      </c>
      <c r="I198" s="33">
        <v>45</v>
      </c>
      <c r="J198" s="33">
        <v>35</v>
      </c>
      <c r="K198" s="33">
        <v>55</v>
      </c>
      <c r="L198" s="33">
        <v>45</v>
      </c>
      <c r="M198" s="33">
        <v>50</v>
      </c>
      <c r="N198" s="33">
        <v>45</v>
      </c>
      <c r="P198" s="33" t="s">
        <v>360</v>
      </c>
      <c r="R198"/>
    </row>
    <row r="199" ht="14.5" spans="1:18">
      <c r="A199" s="33" t="s">
        <v>328</v>
      </c>
      <c r="B199" s="12" t="str">
        <f t="shared" ref="B199:B238" si="3">VLOOKUP(P199,$Q$4:$R$33,2,FALSE)</f>
        <v>EN_Steam Coal - SUBCRITICAL</v>
      </c>
      <c r="C199" s="33" t="s">
        <v>336</v>
      </c>
      <c r="D199" s="33">
        <v>2050</v>
      </c>
      <c r="F199" s="33">
        <v>45</v>
      </c>
      <c r="G199" s="33">
        <v>45</v>
      </c>
      <c r="H199" s="33">
        <v>20</v>
      </c>
      <c r="I199" s="33">
        <v>45</v>
      </c>
      <c r="J199" s="33">
        <v>35</v>
      </c>
      <c r="K199" s="33">
        <v>55</v>
      </c>
      <c r="L199" s="33">
        <v>45</v>
      </c>
      <c r="M199" s="33">
        <v>50</v>
      </c>
      <c r="N199" s="33">
        <v>45</v>
      </c>
      <c r="P199" s="33" t="s">
        <v>360</v>
      </c>
      <c r="R199"/>
    </row>
    <row r="200" ht="14.5" spans="1:18">
      <c r="A200" s="33" t="s">
        <v>328</v>
      </c>
      <c r="B200" s="12" t="str">
        <f t="shared" si="3"/>
        <v>EN_Steam Coal - SUBCRITICAL</v>
      </c>
      <c r="C200" s="33" t="s">
        <v>107</v>
      </c>
      <c r="D200" s="33">
        <v>2022</v>
      </c>
      <c r="F200" s="33">
        <v>1300</v>
      </c>
      <c r="G200" s="33">
        <v>1300</v>
      </c>
      <c r="H200" s="33">
        <v>600</v>
      </c>
      <c r="I200" s="33">
        <v>1700</v>
      </c>
      <c r="J200" s="33">
        <v>1000</v>
      </c>
      <c r="K200" s="33">
        <v>2100</v>
      </c>
      <c r="L200" s="33">
        <v>1300</v>
      </c>
      <c r="M200" s="33">
        <v>1700</v>
      </c>
      <c r="N200" s="33">
        <v>1800</v>
      </c>
      <c r="P200" s="33" t="s">
        <v>360</v>
      </c>
      <c r="R200"/>
    </row>
    <row r="201" ht="14.5" spans="1:18">
      <c r="A201" s="33" t="s">
        <v>328</v>
      </c>
      <c r="B201" s="12" t="str">
        <f t="shared" si="3"/>
        <v>EN_Steam Coal - SUBCRITICAL</v>
      </c>
      <c r="C201" s="33" t="s">
        <v>107</v>
      </c>
      <c r="D201" s="33">
        <v>2030</v>
      </c>
      <c r="F201" s="33">
        <v>1300</v>
      </c>
      <c r="G201" s="33">
        <v>1300</v>
      </c>
      <c r="H201" s="33">
        <v>600</v>
      </c>
      <c r="I201" s="33">
        <v>1700</v>
      </c>
      <c r="J201" s="33">
        <v>1000</v>
      </c>
      <c r="K201" s="33">
        <v>2100</v>
      </c>
      <c r="L201" s="33">
        <v>1300</v>
      </c>
      <c r="M201" s="33">
        <v>1700</v>
      </c>
      <c r="N201" s="33">
        <v>1800</v>
      </c>
      <c r="P201" s="33" t="s">
        <v>360</v>
      </c>
      <c r="R201"/>
    </row>
    <row r="202" ht="14.5" spans="1:18">
      <c r="A202" s="33" t="s">
        <v>328</v>
      </c>
      <c r="B202" s="12" t="str">
        <f t="shared" si="3"/>
        <v>EN_Steam Coal - SUBCRITICAL</v>
      </c>
      <c r="C202" s="33" t="s">
        <v>107</v>
      </c>
      <c r="D202" s="33">
        <v>2050</v>
      </c>
      <c r="F202" s="33">
        <v>1300</v>
      </c>
      <c r="G202" s="33">
        <v>1300</v>
      </c>
      <c r="H202" s="33">
        <v>600</v>
      </c>
      <c r="I202" s="33">
        <v>1700</v>
      </c>
      <c r="J202" s="33">
        <v>1000</v>
      </c>
      <c r="K202" s="33">
        <v>2100</v>
      </c>
      <c r="L202" s="33">
        <v>1300</v>
      </c>
      <c r="M202" s="33">
        <v>1700</v>
      </c>
      <c r="N202" s="33">
        <v>1800</v>
      </c>
      <c r="P202" s="33" t="s">
        <v>360</v>
      </c>
      <c r="R202"/>
    </row>
    <row r="203" ht="14.5" spans="1:18">
      <c r="A203" s="33" t="s">
        <v>328</v>
      </c>
      <c r="B203" s="12" t="str">
        <f t="shared" si="3"/>
        <v>EN_Steam Coal - SUPERCRITICAL</v>
      </c>
      <c r="C203" s="33" t="s">
        <v>329</v>
      </c>
      <c r="D203" s="33">
        <v>2022</v>
      </c>
      <c r="F203" s="33">
        <v>0.39</v>
      </c>
      <c r="G203" s="33">
        <v>0.43</v>
      </c>
      <c r="H203" s="33">
        <v>0.41</v>
      </c>
      <c r="I203" s="33">
        <v>0.43</v>
      </c>
      <c r="J203" s="33">
        <v>0.4</v>
      </c>
      <c r="K203" s="33">
        <v>0.43</v>
      </c>
      <c r="L203" s="33">
        <v>0.41</v>
      </c>
      <c r="M203" s="33">
        <v>0.43</v>
      </c>
      <c r="N203" s="33">
        <v>0.43</v>
      </c>
      <c r="P203" s="33" t="s">
        <v>361</v>
      </c>
      <c r="R203"/>
    </row>
    <row r="204" ht="14.5" spans="1:18">
      <c r="A204" s="33" t="s">
        <v>328</v>
      </c>
      <c r="B204" s="12" t="str">
        <f t="shared" si="3"/>
        <v>EN_Steam Coal - SUPERCRITICAL</v>
      </c>
      <c r="C204" s="33" t="s">
        <v>329</v>
      </c>
      <c r="D204" s="33">
        <v>2030</v>
      </c>
      <c r="F204" s="33">
        <v>0.39</v>
      </c>
      <c r="G204" s="33">
        <v>0.43</v>
      </c>
      <c r="H204" s="33">
        <v>0.41</v>
      </c>
      <c r="I204" s="33">
        <v>0.43</v>
      </c>
      <c r="J204" s="33">
        <v>0.4</v>
      </c>
      <c r="K204" s="33">
        <v>0.43</v>
      </c>
      <c r="L204" s="33">
        <v>0.41</v>
      </c>
      <c r="M204" s="33">
        <v>0.43</v>
      </c>
      <c r="N204" s="33">
        <v>0.43</v>
      </c>
      <c r="P204" s="33" t="s">
        <v>361</v>
      </c>
      <c r="R204"/>
    </row>
    <row r="205" ht="14.5" spans="1:18">
      <c r="A205" s="33" t="s">
        <v>328</v>
      </c>
      <c r="B205" s="12" t="str">
        <f t="shared" si="3"/>
        <v>EN_Steam Coal - SUPERCRITICAL</v>
      </c>
      <c r="C205" s="33" t="s">
        <v>329</v>
      </c>
      <c r="D205" s="33">
        <v>2050</v>
      </c>
      <c r="F205" s="33">
        <v>0.39</v>
      </c>
      <c r="G205" s="33">
        <v>0.43</v>
      </c>
      <c r="H205" s="33">
        <v>0.41</v>
      </c>
      <c r="I205" s="33">
        <v>0.43</v>
      </c>
      <c r="J205" s="33">
        <v>0.4</v>
      </c>
      <c r="K205" s="33">
        <v>0.43</v>
      </c>
      <c r="L205" s="33">
        <v>0.41</v>
      </c>
      <c r="M205" s="33">
        <v>0.43</v>
      </c>
      <c r="N205" s="33">
        <v>0.43</v>
      </c>
      <c r="P205" s="33" t="s">
        <v>361</v>
      </c>
      <c r="R205"/>
    </row>
    <row r="206" ht="14.5" spans="1:18">
      <c r="A206" s="33" t="s">
        <v>328</v>
      </c>
      <c r="B206" s="12" t="str">
        <f t="shared" si="3"/>
        <v>EN_Steam Coal - SUPERCRITICAL</v>
      </c>
      <c r="C206" s="33" t="s">
        <v>336</v>
      </c>
      <c r="D206" s="33">
        <v>2022</v>
      </c>
      <c r="F206" s="33">
        <v>55</v>
      </c>
      <c r="G206" s="33">
        <v>65</v>
      </c>
      <c r="H206" s="33">
        <v>30</v>
      </c>
      <c r="I206" s="33">
        <v>60</v>
      </c>
      <c r="J206" s="33">
        <v>50</v>
      </c>
      <c r="K206" s="33">
        <v>70</v>
      </c>
      <c r="L206" s="33">
        <v>65</v>
      </c>
      <c r="M206" s="33">
        <v>70</v>
      </c>
      <c r="N206" s="33">
        <v>65</v>
      </c>
      <c r="P206" s="33" t="s">
        <v>361</v>
      </c>
      <c r="R206"/>
    </row>
    <row r="207" ht="14.5" spans="1:18">
      <c r="A207" s="33" t="s">
        <v>328</v>
      </c>
      <c r="B207" s="12" t="str">
        <f t="shared" si="3"/>
        <v>EN_Steam Coal - SUPERCRITICAL</v>
      </c>
      <c r="C207" s="33" t="s">
        <v>336</v>
      </c>
      <c r="D207" s="33">
        <v>2030</v>
      </c>
      <c r="F207" s="33">
        <v>55</v>
      </c>
      <c r="G207" s="33">
        <v>65</v>
      </c>
      <c r="H207" s="33">
        <v>30</v>
      </c>
      <c r="I207" s="33">
        <v>60</v>
      </c>
      <c r="J207" s="33">
        <v>50</v>
      </c>
      <c r="K207" s="33">
        <v>70</v>
      </c>
      <c r="L207" s="33">
        <v>65</v>
      </c>
      <c r="M207" s="33">
        <v>70</v>
      </c>
      <c r="N207" s="33">
        <v>65</v>
      </c>
      <c r="P207" s="33" t="s">
        <v>361</v>
      </c>
      <c r="R207"/>
    </row>
    <row r="208" ht="14.5" spans="1:18">
      <c r="A208" s="33" t="s">
        <v>328</v>
      </c>
      <c r="B208" s="12" t="str">
        <f t="shared" si="3"/>
        <v>EN_Steam Coal - SUPERCRITICAL</v>
      </c>
      <c r="C208" s="33" t="s">
        <v>336</v>
      </c>
      <c r="D208" s="33">
        <v>2050</v>
      </c>
      <c r="F208" s="33">
        <v>55</v>
      </c>
      <c r="G208" s="33">
        <v>65</v>
      </c>
      <c r="H208" s="33">
        <v>30</v>
      </c>
      <c r="I208" s="33">
        <v>60</v>
      </c>
      <c r="J208" s="33">
        <v>50</v>
      </c>
      <c r="K208" s="33">
        <v>70</v>
      </c>
      <c r="L208" s="33">
        <v>65</v>
      </c>
      <c r="M208" s="33">
        <v>70</v>
      </c>
      <c r="N208" s="33">
        <v>65</v>
      </c>
      <c r="P208" s="33" t="s">
        <v>361</v>
      </c>
      <c r="R208"/>
    </row>
    <row r="209" ht="14.5" spans="1:18">
      <c r="A209" s="33" t="s">
        <v>328</v>
      </c>
      <c r="B209" s="12" t="str">
        <f t="shared" si="3"/>
        <v>EN_Steam Coal - SUPERCRITICAL</v>
      </c>
      <c r="C209" s="33" t="s">
        <v>107</v>
      </c>
      <c r="D209" s="33">
        <v>2022</v>
      </c>
      <c r="F209" s="33">
        <v>1600</v>
      </c>
      <c r="G209" s="33">
        <v>1600</v>
      </c>
      <c r="H209" s="33">
        <v>700</v>
      </c>
      <c r="I209" s="33">
        <v>2000</v>
      </c>
      <c r="J209" s="33">
        <v>1200</v>
      </c>
      <c r="K209" s="33">
        <v>2400</v>
      </c>
      <c r="L209" s="33">
        <v>1600</v>
      </c>
      <c r="M209" s="33">
        <v>2000</v>
      </c>
      <c r="N209" s="33">
        <v>2100</v>
      </c>
      <c r="P209" s="33" t="s">
        <v>361</v>
      </c>
      <c r="R209"/>
    </row>
    <row r="210" ht="14.5" spans="1:18">
      <c r="A210" s="33" t="s">
        <v>328</v>
      </c>
      <c r="B210" s="12" t="str">
        <f t="shared" si="3"/>
        <v>EN_Steam Coal - SUPERCRITICAL</v>
      </c>
      <c r="C210" s="33" t="s">
        <v>107</v>
      </c>
      <c r="D210" s="33">
        <v>2030</v>
      </c>
      <c r="F210" s="33">
        <v>1600</v>
      </c>
      <c r="G210" s="33">
        <v>1600</v>
      </c>
      <c r="H210" s="33">
        <v>700</v>
      </c>
      <c r="I210" s="33">
        <v>2000</v>
      </c>
      <c r="J210" s="33">
        <v>1200</v>
      </c>
      <c r="K210" s="33">
        <v>2400</v>
      </c>
      <c r="L210" s="33">
        <v>1600</v>
      </c>
      <c r="M210" s="33">
        <v>2000</v>
      </c>
      <c r="N210" s="33">
        <v>2100</v>
      </c>
      <c r="P210" s="33" t="s">
        <v>361</v>
      </c>
      <c r="R210"/>
    </row>
    <row r="211" ht="14.5" spans="1:18">
      <c r="A211" s="33" t="s">
        <v>328</v>
      </c>
      <c r="B211" s="12" t="str">
        <f t="shared" si="3"/>
        <v>EN_Steam Coal - SUPERCRITICAL</v>
      </c>
      <c r="C211" s="33" t="s">
        <v>107</v>
      </c>
      <c r="D211" s="33">
        <v>2050</v>
      </c>
      <c r="F211" s="33">
        <v>1600</v>
      </c>
      <c r="G211" s="33">
        <v>1600</v>
      </c>
      <c r="H211" s="33">
        <v>700</v>
      </c>
      <c r="I211" s="33">
        <v>2000</v>
      </c>
      <c r="J211" s="33">
        <v>1200</v>
      </c>
      <c r="K211" s="33">
        <v>2400</v>
      </c>
      <c r="L211" s="33">
        <v>1600</v>
      </c>
      <c r="M211" s="33">
        <v>2000</v>
      </c>
      <c r="N211" s="33">
        <v>2100</v>
      </c>
      <c r="P211" s="33" t="s">
        <v>361</v>
      </c>
      <c r="R211"/>
    </row>
    <row r="212" ht="14.5" spans="1:18">
      <c r="A212" s="33" t="s">
        <v>328</v>
      </c>
      <c r="B212" s="12" t="str">
        <f t="shared" si="3"/>
        <v>EN_Steam Coal - ULTRASUPERCRITICAL</v>
      </c>
      <c r="C212" s="33" t="s">
        <v>329</v>
      </c>
      <c r="D212" s="33">
        <v>2022</v>
      </c>
      <c r="F212" s="33">
        <v>0.42</v>
      </c>
      <c r="G212" s="33">
        <v>0.45</v>
      </c>
      <c r="H212" s="33">
        <v>0.44</v>
      </c>
      <c r="I212" s="33">
        <v>0.45</v>
      </c>
      <c r="J212" s="33">
        <v>0.4</v>
      </c>
      <c r="K212" s="33">
        <v>0.45</v>
      </c>
      <c r="L212" s="33">
        <v>0.43</v>
      </c>
      <c r="M212" s="33">
        <v>0.45</v>
      </c>
      <c r="N212" s="33">
        <v>0.45</v>
      </c>
      <c r="P212" s="33" t="s">
        <v>362</v>
      </c>
      <c r="R212"/>
    </row>
    <row r="213" ht="14.5" spans="1:18">
      <c r="A213" s="33" t="s">
        <v>328</v>
      </c>
      <c r="B213" s="12" t="str">
        <f t="shared" si="3"/>
        <v>EN_Steam Coal - ULTRASUPERCRITICAL</v>
      </c>
      <c r="C213" s="33" t="s">
        <v>329</v>
      </c>
      <c r="D213" s="33">
        <v>2030</v>
      </c>
      <c r="F213" s="33">
        <v>0.43</v>
      </c>
      <c r="G213" s="33">
        <v>0.47</v>
      </c>
      <c r="H213" s="33">
        <v>0.46</v>
      </c>
      <c r="I213" s="33">
        <v>0.47</v>
      </c>
      <c r="J213" s="33">
        <v>0.42</v>
      </c>
      <c r="K213" s="33">
        <v>0.47</v>
      </c>
      <c r="L213" s="33">
        <v>0.45</v>
      </c>
      <c r="M213" s="33">
        <v>0.47</v>
      </c>
      <c r="N213" s="33">
        <v>0.47</v>
      </c>
      <c r="P213" s="33" t="s">
        <v>362</v>
      </c>
      <c r="R213"/>
    </row>
    <row r="214" ht="14.5" spans="1:18">
      <c r="A214" s="33" t="s">
        <v>328</v>
      </c>
      <c r="B214" s="12" t="str">
        <f t="shared" si="3"/>
        <v>EN_Steam Coal - ULTRASUPERCRITICAL</v>
      </c>
      <c r="C214" s="33" t="s">
        <v>329</v>
      </c>
      <c r="D214" s="33">
        <v>2050</v>
      </c>
      <c r="F214" s="33">
        <v>0.44</v>
      </c>
      <c r="G214" s="33">
        <v>0.47</v>
      </c>
      <c r="H214" s="33">
        <v>0.47</v>
      </c>
      <c r="I214" s="33">
        <v>0.47</v>
      </c>
      <c r="J214" s="33">
        <v>0.43</v>
      </c>
      <c r="K214" s="33">
        <v>0.47</v>
      </c>
      <c r="L214" s="33">
        <v>0.45</v>
      </c>
      <c r="M214" s="33">
        <v>0.47</v>
      </c>
      <c r="N214" s="33">
        <v>0.47</v>
      </c>
      <c r="P214" s="33" t="s">
        <v>362</v>
      </c>
      <c r="R214"/>
    </row>
    <row r="215" ht="14.5" spans="1:18">
      <c r="A215" s="33" t="s">
        <v>328</v>
      </c>
      <c r="B215" s="12" t="str">
        <f t="shared" si="3"/>
        <v>EN_Steam Coal - ULTRASUPERCRITICAL</v>
      </c>
      <c r="C215" s="33" t="s">
        <v>336</v>
      </c>
      <c r="D215" s="33">
        <v>2022</v>
      </c>
      <c r="F215" s="33">
        <v>70</v>
      </c>
      <c r="G215" s="33">
        <v>70</v>
      </c>
      <c r="H215" s="33">
        <v>30</v>
      </c>
      <c r="I215" s="33">
        <v>65</v>
      </c>
      <c r="J215" s="33">
        <v>55</v>
      </c>
      <c r="K215" s="33">
        <v>80</v>
      </c>
      <c r="L215" s="33">
        <v>65</v>
      </c>
      <c r="M215" s="33">
        <v>65</v>
      </c>
      <c r="N215" s="33">
        <v>70</v>
      </c>
      <c r="P215" s="33" t="s">
        <v>362</v>
      </c>
      <c r="R215"/>
    </row>
    <row r="216" ht="14.5" spans="1:18">
      <c r="A216" s="33" t="s">
        <v>328</v>
      </c>
      <c r="B216" s="12" t="str">
        <f t="shared" si="3"/>
        <v>EN_Steam Coal - ULTRASUPERCRITICAL</v>
      </c>
      <c r="C216" s="33" t="s">
        <v>336</v>
      </c>
      <c r="D216" s="33">
        <v>2030</v>
      </c>
      <c r="F216" s="33">
        <v>70</v>
      </c>
      <c r="G216" s="33">
        <v>70</v>
      </c>
      <c r="H216" s="33">
        <v>30</v>
      </c>
      <c r="I216" s="33">
        <v>65</v>
      </c>
      <c r="J216" s="33">
        <v>55</v>
      </c>
      <c r="K216" s="33">
        <v>80</v>
      </c>
      <c r="L216" s="33">
        <v>65</v>
      </c>
      <c r="M216" s="33">
        <v>65</v>
      </c>
      <c r="N216" s="33">
        <v>70</v>
      </c>
      <c r="P216" s="33" t="s">
        <v>362</v>
      </c>
      <c r="R216"/>
    </row>
    <row r="217" ht="14.5" spans="1:18">
      <c r="A217" s="33" t="s">
        <v>328</v>
      </c>
      <c r="B217" s="12" t="str">
        <f t="shared" si="3"/>
        <v>EN_Steam Coal - ULTRASUPERCRITICAL</v>
      </c>
      <c r="C217" s="33" t="s">
        <v>336</v>
      </c>
      <c r="D217" s="33">
        <v>2050</v>
      </c>
      <c r="F217" s="33">
        <v>70</v>
      </c>
      <c r="G217" s="33">
        <v>70</v>
      </c>
      <c r="H217" s="33">
        <v>30</v>
      </c>
      <c r="I217" s="33">
        <v>65</v>
      </c>
      <c r="J217" s="33">
        <v>55</v>
      </c>
      <c r="K217" s="33">
        <v>80</v>
      </c>
      <c r="L217" s="33">
        <v>65</v>
      </c>
      <c r="M217" s="33">
        <v>65</v>
      </c>
      <c r="N217" s="33">
        <v>70</v>
      </c>
      <c r="P217" s="33" t="s">
        <v>362</v>
      </c>
      <c r="R217"/>
    </row>
    <row r="218" ht="14.5" spans="1:18">
      <c r="A218" s="33" t="s">
        <v>328</v>
      </c>
      <c r="B218" s="12" t="str">
        <f t="shared" si="3"/>
        <v>EN_Steam Coal - ULTRASUPERCRITICAL</v>
      </c>
      <c r="C218" s="33" t="s">
        <v>107</v>
      </c>
      <c r="D218" s="33">
        <v>2022</v>
      </c>
      <c r="F218" s="33">
        <v>1900</v>
      </c>
      <c r="G218" s="33">
        <v>1800</v>
      </c>
      <c r="H218" s="33">
        <v>800</v>
      </c>
      <c r="I218" s="33">
        <v>2200</v>
      </c>
      <c r="J218" s="33">
        <v>1400</v>
      </c>
      <c r="K218" s="33">
        <v>2600</v>
      </c>
      <c r="L218" s="33">
        <v>1600</v>
      </c>
      <c r="M218" s="33">
        <v>2200</v>
      </c>
      <c r="N218" s="33">
        <v>2300</v>
      </c>
      <c r="P218" s="33" t="s">
        <v>362</v>
      </c>
      <c r="R218"/>
    </row>
    <row r="219" ht="14.5" spans="1:18">
      <c r="A219" s="33" t="s">
        <v>328</v>
      </c>
      <c r="B219" s="12" t="str">
        <f t="shared" si="3"/>
        <v>EN_Steam Coal - ULTRASUPERCRITICAL</v>
      </c>
      <c r="C219" s="33" t="s">
        <v>107</v>
      </c>
      <c r="D219" s="33">
        <v>2030</v>
      </c>
      <c r="F219" s="33">
        <v>1900</v>
      </c>
      <c r="G219" s="33">
        <v>1800</v>
      </c>
      <c r="H219" s="33">
        <v>800</v>
      </c>
      <c r="I219" s="33">
        <v>2200</v>
      </c>
      <c r="J219" s="33">
        <v>1400</v>
      </c>
      <c r="K219" s="33">
        <v>2600</v>
      </c>
      <c r="L219" s="33">
        <v>1600</v>
      </c>
      <c r="M219" s="33">
        <v>2200</v>
      </c>
      <c r="N219" s="33">
        <v>2300</v>
      </c>
      <c r="P219" s="33" t="s">
        <v>362</v>
      </c>
      <c r="R219"/>
    </row>
    <row r="220" ht="14.5" spans="1:18">
      <c r="A220" s="33" t="s">
        <v>328</v>
      </c>
      <c r="B220" s="12" t="str">
        <f t="shared" si="3"/>
        <v>EN_Steam Coal - ULTRASUPERCRITICAL</v>
      </c>
      <c r="C220" s="33" t="s">
        <v>107</v>
      </c>
      <c r="D220" s="33">
        <v>2050</v>
      </c>
      <c r="F220" s="33">
        <v>1900</v>
      </c>
      <c r="G220" s="33">
        <v>1800</v>
      </c>
      <c r="H220" s="33">
        <v>800</v>
      </c>
      <c r="I220" s="33">
        <v>2200</v>
      </c>
      <c r="J220" s="33">
        <v>1400</v>
      </c>
      <c r="K220" s="33">
        <v>2600</v>
      </c>
      <c r="L220" s="33">
        <v>1600</v>
      </c>
      <c r="M220" s="33">
        <v>2200</v>
      </c>
      <c r="N220" s="33">
        <v>2300</v>
      </c>
      <c r="P220" s="33" t="s">
        <v>362</v>
      </c>
      <c r="R220"/>
    </row>
    <row r="221" ht="14.5" spans="1:18">
      <c r="A221" s="33" t="s">
        <v>328</v>
      </c>
      <c r="B221" s="12" t="str">
        <f t="shared" si="3"/>
        <v>EN_WOF*</v>
      </c>
      <c r="C221" s="33" t="s">
        <v>329</v>
      </c>
      <c r="D221" s="33">
        <v>2022</v>
      </c>
      <c r="F221" s="33">
        <v>1</v>
      </c>
      <c r="G221" s="33">
        <v>1</v>
      </c>
      <c r="H221" s="33">
        <v>1</v>
      </c>
      <c r="I221" s="33">
        <v>1</v>
      </c>
      <c r="J221" s="33">
        <v>1</v>
      </c>
      <c r="K221" s="33">
        <v>1</v>
      </c>
      <c r="L221" s="33">
        <v>1</v>
      </c>
      <c r="M221" s="33">
        <v>1</v>
      </c>
      <c r="N221" s="33">
        <v>1</v>
      </c>
      <c r="P221" s="33" t="s">
        <v>363</v>
      </c>
      <c r="R221"/>
    </row>
    <row r="222" ht="14.5" spans="1:18">
      <c r="A222" s="33" t="s">
        <v>328</v>
      </c>
      <c r="B222" s="12" t="str">
        <f t="shared" si="3"/>
        <v>EN_WOF*</v>
      </c>
      <c r="C222" s="33" t="s">
        <v>329</v>
      </c>
      <c r="D222" s="33">
        <v>2030</v>
      </c>
      <c r="F222" s="33">
        <v>1</v>
      </c>
      <c r="G222" s="33">
        <v>1</v>
      </c>
      <c r="H222" s="33">
        <v>1</v>
      </c>
      <c r="I222" s="33">
        <v>1</v>
      </c>
      <c r="J222" s="33">
        <v>1</v>
      </c>
      <c r="K222" s="33">
        <v>1</v>
      </c>
      <c r="L222" s="33">
        <v>1</v>
      </c>
      <c r="M222" s="33">
        <v>1</v>
      </c>
      <c r="N222" s="33">
        <v>1</v>
      </c>
      <c r="P222" s="33" t="s">
        <v>363</v>
      </c>
      <c r="R222"/>
    </row>
    <row r="223" ht="14.5" spans="1:18">
      <c r="A223" s="33" t="s">
        <v>328</v>
      </c>
      <c r="B223" s="12" t="str">
        <f t="shared" si="3"/>
        <v>EN_WOF*</v>
      </c>
      <c r="C223" s="33" t="s">
        <v>329</v>
      </c>
      <c r="D223" s="33">
        <v>2050</v>
      </c>
      <c r="F223" s="33">
        <v>1</v>
      </c>
      <c r="G223" s="33">
        <v>1</v>
      </c>
      <c r="H223" s="33">
        <v>1</v>
      </c>
      <c r="I223" s="33">
        <v>1</v>
      </c>
      <c r="J223" s="33">
        <v>1</v>
      </c>
      <c r="K223" s="33">
        <v>1</v>
      </c>
      <c r="L223" s="33">
        <v>1</v>
      </c>
      <c r="M223" s="33">
        <v>1</v>
      </c>
      <c r="N223" s="33">
        <v>1</v>
      </c>
      <c r="P223" s="33" t="s">
        <v>363</v>
      </c>
      <c r="R223"/>
    </row>
    <row r="224" ht="14.5" spans="1:18">
      <c r="A224" s="33" t="s">
        <v>328</v>
      </c>
      <c r="B224" s="12" t="str">
        <f t="shared" si="3"/>
        <v>EN_WOF*</v>
      </c>
      <c r="C224" s="33" t="s">
        <v>336</v>
      </c>
      <c r="D224" s="33">
        <v>2022</v>
      </c>
      <c r="F224" s="33">
        <v>105</v>
      </c>
      <c r="G224" s="33">
        <v>110</v>
      </c>
      <c r="H224" s="33">
        <v>70</v>
      </c>
      <c r="I224" s="33">
        <v>70</v>
      </c>
      <c r="J224" s="33">
        <v>75</v>
      </c>
      <c r="K224" s="33">
        <v>165</v>
      </c>
      <c r="L224" s="33">
        <v>110</v>
      </c>
      <c r="M224" s="33">
        <v>115</v>
      </c>
      <c r="N224" s="33">
        <v>120</v>
      </c>
      <c r="P224" s="33" t="s">
        <v>363</v>
      </c>
      <c r="R224"/>
    </row>
    <row r="225" ht="14.5" spans="1:18">
      <c r="A225" s="33" t="s">
        <v>328</v>
      </c>
      <c r="B225" s="12" t="str">
        <f t="shared" si="3"/>
        <v>EN_WOF*</v>
      </c>
      <c r="C225" s="33" t="s">
        <v>336</v>
      </c>
      <c r="D225" s="33">
        <v>2030</v>
      </c>
      <c r="F225" s="33">
        <v>80</v>
      </c>
      <c r="G225" s="33">
        <v>80</v>
      </c>
      <c r="H225" s="33">
        <v>50</v>
      </c>
      <c r="I225" s="33">
        <v>50</v>
      </c>
      <c r="J225" s="33">
        <v>55</v>
      </c>
      <c r="K225" s="33">
        <v>115</v>
      </c>
      <c r="L225" s="33">
        <v>80</v>
      </c>
      <c r="M225" s="33">
        <v>85</v>
      </c>
      <c r="N225" s="33">
        <v>90</v>
      </c>
      <c r="P225" s="33" t="s">
        <v>363</v>
      </c>
      <c r="R225"/>
    </row>
    <row r="226" ht="14.5" spans="1:18">
      <c r="A226" s="33" t="s">
        <v>328</v>
      </c>
      <c r="B226" s="12" t="str">
        <f t="shared" si="3"/>
        <v>EN_WOF*</v>
      </c>
      <c r="C226" s="33" t="s">
        <v>336</v>
      </c>
      <c r="D226" s="33">
        <v>2050</v>
      </c>
      <c r="F226" s="33">
        <v>65</v>
      </c>
      <c r="G226" s="33">
        <v>65</v>
      </c>
      <c r="H226" s="33">
        <v>45</v>
      </c>
      <c r="I226" s="33">
        <v>45</v>
      </c>
      <c r="J226" s="33">
        <v>45</v>
      </c>
      <c r="K226" s="33">
        <v>95</v>
      </c>
      <c r="L226" s="33">
        <v>65</v>
      </c>
      <c r="M226" s="33">
        <v>70</v>
      </c>
      <c r="N226" s="33">
        <v>70</v>
      </c>
      <c r="P226" s="33" t="s">
        <v>363</v>
      </c>
      <c r="R226"/>
    </row>
    <row r="227" ht="14.5" spans="1:18">
      <c r="A227" s="33" t="s">
        <v>328</v>
      </c>
      <c r="B227" s="12" t="str">
        <f t="shared" si="3"/>
        <v>EN_WOF*</v>
      </c>
      <c r="C227" s="33" t="s">
        <v>107</v>
      </c>
      <c r="D227" s="33">
        <v>2022</v>
      </c>
      <c r="F227" s="33">
        <v>4260</v>
      </c>
      <c r="G227" s="33">
        <v>4440</v>
      </c>
      <c r="H227" s="33">
        <v>2820</v>
      </c>
      <c r="I227" s="33">
        <v>3420</v>
      </c>
      <c r="J227" s="33">
        <v>3060</v>
      </c>
      <c r="K227" s="33">
        <v>6640</v>
      </c>
      <c r="L227" s="33">
        <v>4400</v>
      </c>
      <c r="M227" s="33">
        <v>4600</v>
      </c>
      <c r="N227" s="33">
        <v>4060</v>
      </c>
      <c r="P227" s="33" t="s">
        <v>363</v>
      </c>
      <c r="R227"/>
    </row>
    <row r="228" ht="14.5" spans="1:18">
      <c r="A228" s="33" t="s">
        <v>328</v>
      </c>
      <c r="B228" s="12" t="str">
        <f t="shared" si="3"/>
        <v>EN_WOF*</v>
      </c>
      <c r="C228" s="33" t="s">
        <v>107</v>
      </c>
      <c r="D228" s="33">
        <v>2030</v>
      </c>
      <c r="F228" s="33">
        <v>2880</v>
      </c>
      <c r="G228" s="33">
        <v>3000</v>
      </c>
      <c r="H228" s="33">
        <v>1880</v>
      </c>
      <c r="I228" s="33">
        <v>2280</v>
      </c>
      <c r="J228" s="33">
        <v>2060</v>
      </c>
      <c r="K228" s="33">
        <v>4180</v>
      </c>
      <c r="L228" s="33">
        <v>3000</v>
      </c>
      <c r="M228" s="33">
        <v>3120</v>
      </c>
      <c r="N228" s="33">
        <v>2520</v>
      </c>
      <c r="P228" s="33" t="s">
        <v>363</v>
      </c>
      <c r="R228"/>
    </row>
    <row r="229" ht="14.5" spans="1:18">
      <c r="A229" s="33" t="s">
        <v>328</v>
      </c>
      <c r="B229" s="12" t="str">
        <f t="shared" si="3"/>
        <v>EN_WOF*</v>
      </c>
      <c r="C229" s="33" t="s">
        <v>107</v>
      </c>
      <c r="D229" s="33">
        <v>2050</v>
      </c>
      <c r="F229" s="33">
        <v>2080</v>
      </c>
      <c r="G229" s="33">
        <v>2160</v>
      </c>
      <c r="H229" s="33">
        <v>1420</v>
      </c>
      <c r="I229" s="33">
        <v>1740</v>
      </c>
      <c r="J229" s="33">
        <v>1500</v>
      </c>
      <c r="K229" s="33">
        <v>3160</v>
      </c>
      <c r="L229" s="33">
        <v>2180</v>
      </c>
      <c r="M229" s="33">
        <v>2280</v>
      </c>
      <c r="N229" s="33">
        <v>1900</v>
      </c>
      <c r="P229" s="33" t="s">
        <v>363</v>
      </c>
      <c r="R229"/>
    </row>
    <row r="230" ht="14.5" spans="1:18">
      <c r="A230" s="33" t="s">
        <v>328</v>
      </c>
      <c r="B230" s="12" t="str">
        <f t="shared" si="3"/>
        <v>EN_WON*</v>
      </c>
      <c r="C230" s="33" t="s">
        <v>329</v>
      </c>
      <c r="D230" s="33">
        <v>2022</v>
      </c>
      <c r="F230" s="33">
        <v>1</v>
      </c>
      <c r="G230" s="33">
        <v>1</v>
      </c>
      <c r="H230" s="33">
        <v>1</v>
      </c>
      <c r="I230" s="33">
        <v>1</v>
      </c>
      <c r="J230" s="33">
        <v>1</v>
      </c>
      <c r="K230" s="33">
        <v>1</v>
      </c>
      <c r="L230" s="33">
        <v>1</v>
      </c>
      <c r="M230" s="33">
        <v>1</v>
      </c>
      <c r="N230" s="33">
        <v>1</v>
      </c>
      <c r="P230" s="33" t="s">
        <v>365</v>
      </c>
      <c r="R230"/>
    </row>
    <row r="231" ht="14.5" spans="1:18">
      <c r="A231" s="33" t="s">
        <v>328</v>
      </c>
      <c r="B231" s="12" t="str">
        <f t="shared" si="3"/>
        <v>EN_WON*</v>
      </c>
      <c r="C231" s="33" t="s">
        <v>329</v>
      </c>
      <c r="D231" s="33">
        <v>2030</v>
      </c>
      <c r="F231" s="33">
        <v>1</v>
      </c>
      <c r="G231" s="33">
        <v>1</v>
      </c>
      <c r="H231" s="33">
        <v>1</v>
      </c>
      <c r="I231" s="33">
        <v>1</v>
      </c>
      <c r="J231" s="33">
        <v>1</v>
      </c>
      <c r="K231" s="33">
        <v>1</v>
      </c>
      <c r="L231" s="33">
        <v>1</v>
      </c>
      <c r="M231" s="33">
        <v>1</v>
      </c>
      <c r="N231" s="33">
        <v>1</v>
      </c>
      <c r="P231" s="33" t="s">
        <v>365</v>
      </c>
      <c r="R231"/>
    </row>
    <row r="232" ht="14.5" spans="1:18">
      <c r="A232" s="33" t="s">
        <v>328</v>
      </c>
      <c r="B232" s="12" t="str">
        <f t="shared" si="3"/>
        <v>EN_WON*</v>
      </c>
      <c r="C232" s="33" t="s">
        <v>329</v>
      </c>
      <c r="D232" s="33">
        <v>2050</v>
      </c>
      <c r="F232" s="33">
        <v>1</v>
      </c>
      <c r="G232" s="33">
        <v>1</v>
      </c>
      <c r="H232" s="33">
        <v>1</v>
      </c>
      <c r="I232" s="33">
        <v>1</v>
      </c>
      <c r="J232" s="33">
        <v>1</v>
      </c>
      <c r="K232" s="33">
        <v>1</v>
      </c>
      <c r="L232" s="33">
        <v>1</v>
      </c>
      <c r="M232" s="33">
        <v>1</v>
      </c>
      <c r="N232" s="33">
        <v>1</v>
      </c>
      <c r="P232" s="33" t="s">
        <v>365</v>
      </c>
      <c r="R232"/>
    </row>
    <row r="233" ht="14.5" spans="1:18">
      <c r="A233" s="33" t="s">
        <v>328</v>
      </c>
      <c r="B233" s="12" t="str">
        <f t="shared" si="3"/>
        <v>EN_WON*</v>
      </c>
      <c r="C233" s="33" t="s">
        <v>336</v>
      </c>
      <c r="D233" s="33">
        <v>2022</v>
      </c>
      <c r="F233" s="33">
        <v>48</v>
      </c>
      <c r="G233" s="33">
        <v>26</v>
      </c>
      <c r="H233" s="33">
        <v>28</v>
      </c>
      <c r="I233" s="33">
        <v>46</v>
      </c>
      <c r="J233" s="33">
        <v>28</v>
      </c>
      <c r="K233" s="33">
        <v>88</v>
      </c>
      <c r="L233" s="33">
        <v>48</v>
      </c>
      <c r="M233" s="33">
        <v>40</v>
      </c>
      <c r="N233" s="33">
        <v>30</v>
      </c>
      <c r="P233" s="33" t="s">
        <v>365</v>
      </c>
      <c r="R233"/>
    </row>
    <row r="234" ht="14.5" spans="1:18">
      <c r="A234" s="33" t="s">
        <v>328</v>
      </c>
      <c r="B234" s="12" t="str">
        <f t="shared" si="3"/>
        <v>EN_WON*</v>
      </c>
      <c r="C234" s="33" t="s">
        <v>336</v>
      </c>
      <c r="D234" s="33">
        <v>2030</v>
      </c>
      <c r="F234" s="33">
        <v>46</v>
      </c>
      <c r="G234" s="33">
        <v>26</v>
      </c>
      <c r="H234" s="33">
        <v>26</v>
      </c>
      <c r="I234" s="33">
        <v>42</v>
      </c>
      <c r="J234" s="33">
        <v>26</v>
      </c>
      <c r="K234" s="33">
        <v>84</v>
      </c>
      <c r="L234" s="33">
        <v>46</v>
      </c>
      <c r="M234" s="33">
        <v>40</v>
      </c>
      <c r="N234" s="33">
        <v>30</v>
      </c>
      <c r="P234" s="33" t="s">
        <v>365</v>
      </c>
      <c r="R234"/>
    </row>
    <row r="235" ht="14.5" spans="1:18">
      <c r="A235" s="33" t="s">
        <v>328</v>
      </c>
      <c r="B235" s="12" t="str">
        <f t="shared" si="3"/>
        <v>EN_WON*</v>
      </c>
      <c r="C235" s="33" t="s">
        <v>336</v>
      </c>
      <c r="D235" s="33">
        <v>2050</v>
      </c>
      <c r="F235" s="33">
        <v>44</v>
      </c>
      <c r="G235" s="33">
        <v>24</v>
      </c>
      <c r="H235" s="33">
        <v>26</v>
      </c>
      <c r="I235" s="33">
        <v>42</v>
      </c>
      <c r="J235" s="33">
        <v>26</v>
      </c>
      <c r="K235" s="33">
        <v>82</v>
      </c>
      <c r="L235" s="33">
        <v>44</v>
      </c>
      <c r="M235" s="33">
        <v>38</v>
      </c>
      <c r="N235" s="33">
        <v>30</v>
      </c>
      <c r="P235" s="33" t="s">
        <v>365</v>
      </c>
      <c r="R235"/>
    </row>
    <row r="236" ht="14.5" spans="1:18">
      <c r="A236" s="33" t="s">
        <v>328</v>
      </c>
      <c r="B236" s="12" t="str">
        <f t="shared" si="3"/>
        <v>EN_WON*</v>
      </c>
      <c r="C236" s="33" t="s">
        <v>107</v>
      </c>
      <c r="D236" s="33">
        <v>2022</v>
      </c>
      <c r="F236" s="33">
        <v>1950</v>
      </c>
      <c r="G236" s="33">
        <v>1050</v>
      </c>
      <c r="H236" s="33">
        <v>1100</v>
      </c>
      <c r="I236" s="33">
        <v>1750</v>
      </c>
      <c r="J236" s="33">
        <v>1120</v>
      </c>
      <c r="K236" s="33">
        <v>3520</v>
      </c>
      <c r="L236" s="33">
        <v>1950</v>
      </c>
      <c r="M236" s="33">
        <v>1640</v>
      </c>
      <c r="N236" s="33">
        <v>1220</v>
      </c>
      <c r="P236" s="33" t="s">
        <v>365</v>
      </c>
      <c r="R236"/>
    </row>
    <row r="237" ht="14.5" spans="1:18">
      <c r="A237" s="33" t="s">
        <v>328</v>
      </c>
      <c r="B237" s="12" t="str">
        <f t="shared" si="3"/>
        <v>EN_WON*</v>
      </c>
      <c r="C237" s="33" t="s">
        <v>107</v>
      </c>
      <c r="D237" s="33">
        <v>2030</v>
      </c>
      <c r="F237" s="33">
        <v>1830</v>
      </c>
      <c r="G237" s="33">
        <v>1000</v>
      </c>
      <c r="H237" s="33">
        <v>1040</v>
      </c>
      <c r="I237" s="33">
        <v>1670</v>
      </c>
      <c r="J237" s="33">
        <v>1060</v>
      </c>
      <c r="K237" s="33">
        <v>3320</v>
      </c>
      <c r="L237" s="33">
        <v>1830</v>
      </c>
      <c r="M237" s="33">
        <v>1550</v>
      </c>
      <c r="N237" s="33">
        <v>1160</v>
      </c>
      <c r="P237" s="33" t="s">
        <v>365</v>
      </c>
      <c r="R237"/>
    </row>
    <row r="238" ht="14.5" spans="1:18">
      <c r="A238" s="33" t="s">
        <v>328</v>
      </c>
      <c r="B238" s="12" t="str">
        <f t="shared" si="3"/>
        <v>EN_WON*</v>
      </c>
      <c r="C238" s="33" t="s">
        <v>107</v>
      </c>
      <c r="D238" s="33">
        <v>2050</v>
      </c>
      <c r="F238" s="33">
        <v>1740</v>
      </c>
      <c r="G238" s="33">
        <v>950</v>
      </c>
      <c r="H238" s="33">
        <v>1000</v>
      </c>
      <c r="I238" s="33">
        <v>1610</v>
      </c>
      <c r="J238" s="33">
        <v>1010</v>
      </c>
      <c r="K238" s="33">
        <v>3170</v>
      </c>
      <c r="L238" s="33">
        <v>1710</v>
      </c>
      <c r="M238" s="33">
        <v>1470</v>
      </c>
      <c r="N238" s="33">
        <v>1110</v>
      </c>
      <c r="P238" s="33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F17" sqref="F17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40" zoomScaleNormal="40" workbookViewId="0">
      <pane xSplit="5" ySplit="2" topLeftCell="F41" activePane="bottomRight" state="frozen"/>
      <selection/>
      <selection pane="topRight"/>
      <selection pane="bottomLeft"/>
      <selection pane="bottomRight" activeCell="H48" sqref="H48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451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393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452</v>
      </c>
    </row>
    <row r="4" spans="1:115">
      <c r="A4" s="22" t="str">
        <f>"???"&amp;MID(B4,4,10)</f>
        <v>???COB</v>
      </c>
      <c r="B4" t="s">
        <v>453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454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455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456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457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458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459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394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460</v>
      </c>
      <c r="DL15" s="25" t="s">
        <v>395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9" t="s">
        <v>461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9" t="s">
        <v>461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9" t="s">
        <v>461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9" t="s">
        <v>461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9" t="s">
        <v>461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9" t="s">
        <v>461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9" t="s">
        <v>461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394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460</v>
      </c>
      <c r="DL26" s="25" t="s">
        <v>395</v>
      </c>
      <c r="DM26" s="25" t="s">
        <v>42</v>
      </c>
      <c r="DP26" s="32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9" t="s">
        <v>461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9" t="s">
        <v>461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9" t="s">
        <v>461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9" t="s">
        <v>461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9" t="s">
        <v>461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9" t="s">
        <v>461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9" t="s">
        <v>461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464</v>
      </c>
    </row>
    <row r="37" spans="2:123">
      <c r="B37" s="22" t="s">
        <v>465</v>
      </c>
      <c r="C37" s="22"/>
      <c r="DS37" t="s">
        <v>466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460</v>
      </c>
      <c r="DL38" s="25" t="s">
        <v>395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475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476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460</v>
      </c>
      <c r="DL51" s="25" t="s">
        <v>395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477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475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476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460</v>
      </c>
      <c r="DL62" s="25" t="s">
        <v>395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477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9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483</v>
      </c>
      <c r="AC1" s="20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494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7">
        <v>39.18</v>
      </c>
      <c r="G3" s="7" t="s">
        <v>499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7">
        <v>19.34</v>
      </c>
      <c r="G4" s="7" t="s">
        <v>499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494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505</v>
      </c>
    </row>
    <row r="13" spans="1:3">
      <c r="A13" s="13" t="s">
        <v>506</v>
      </c>
      <c r="B13" s="13"/>
      <c r="C13" s="13"/>
    </row>
    <row r="14" spans="1:3">
      <c r="A14" s="13" t="s">
        <v>507</v>
      </c>
      <c r="B14" s="13"/>
      <c r="C14" s="13"/>
    </row>
    <row r="15" spans="1:3">
      <c r="A15" s="13" t="s">
        <v>508</v>
      </c>
      <c r="B15" s="13"/>
      <c r="C15" s="13"/>
    </row>
    <row r="17" spans="1:3">
      <c r="A17" s="13" t="s">
        <v>509</v>
      </c>
      <c r="B17" s="13" t="s">
        <v>510</v>
      </c>
      <c r="C17" s="13" t="s">
        <v>511</v>
      </c>
    </row>
    <row r="18" spans="1:3">
      <c r="A18" s="13" t="s">
        <v>512</v>
      </c>
      <c r="B18" s="13" t="s">
        <v>513</v>
      </c>
      <c r="C18" s="13">
        <v>253</v>
      </c>
    </row>
    <row r="19" spans="1:7">
      <c r="A19" s="13" t="s">
        <v>514</v>
      </c>
      <c r="B19" s="13" t="s">
        <v>513</v>
      </c>
      <c r="C19" s="13">
        <v>203</v>
      </c>
      <c r="G19" t="s">
        <v>89</v>
      </c>
    </row>
    <row r="20" spans="1:13">
      <c r="A20" s="13" t="s">
        <v>515</v>
      </c>
      <c r="B20" s="13" t="s">
        <v>516</v>
      </c>
      <c r="C20" s="13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517</v>
      </c>
      <c r="B21" s="13" t="s">
        <v>516</v>
      </c>
      <c r="C21" s="13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13" t="s">
        <v>521</v>
      </c>
      <c r="B22" s="13" t="s">
        <v>516</v>
      </c>
      <c r="C22" s="13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13" t="s">
        <v>523</v>
      </c>
      <c r="B23" s="13" t="s">
        <v>513</v>
      </c>
      <c r="C23" s="13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13" t="s">
        <v>525</v>
      </c>
      <c r="B24" s="13" t="s">
        <v>513</v>
      </c>
      <c r="C24" s="13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13" t="s">
        <v>527</v>
      </c>
      <c r="B25" s="13" t="s">
        <v>528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D13"/>
  <sheetViews>
    <sheetView tabSelected="1" workbookViewId="0">
      <selection activeCell="I11" sqref="I11"/>
    </sheetView>
  </sheetViews>
  <sheetFormatPr defaultColWidth="8.72727272727273" defaultRowHeight="14.5" outlineLevelCol="3"/>
  <cols>
    <col min="1" max="1" width="9.90909090909091" customWidth="1"/>
    <col min="3" max="3" width="11.0909090909091" customWidth="1"/>
  </cols>
  <sheetData>
    <row r="1" spans="1:1">
      <c r="A1" s="4" t="s">
        <v>532</v>
      </c>
    </row>
    <row r="11" spans="1:4">
      <c r="A11" t="s">
        <v>73</v>
      </c>
      <c r="B11" t="s">
        <v>77</v>
      </c>
      <c r="C11" t="s">
        <v>76</v>
      </c>
      <c r="D11" t="s">
        <v>75</v>
      </c>
    </row>
    <row r="12" spans="1:4">
      <c r="A12" t="s">
        <v>533</v>
      </c>
      <c r="B12" t="s">
        <v>534</v>
      </c>
      <c r="C12" t="s">
        <v>535</v>
      </c>
      <c r="D12" t="e">
        <f>VLOOKUP(MID(#REF!,4,7),#REF!,2,FALSE)*G12</f>
        <v>#REF!</v>
      </c>
    </row>
    <row r="13" spans="3:3">
      <c r="C13" t="s">
        <v>536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X9" sqref="X9:AB1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537</v>
      </c>
      <c r="E1" s="11" t="s">
        <v>538</v>
      </c>
      <c r="F1" s="11" t="s">
        <v>539</v>
      </c>
      <c r="R1" t="s">
        <v>540</v>
      </c>
      <c r="X1" t="s">
        <v>53</v>
      </c>
      <c r="AF1" t="s">
        <v>264</v>
      </c>
    </row>
    <row r="2" spans="1:34">
      <c r="A2" t="s">
        <v>541</v>
      </c>
      <c r="B2" t="str">
        <f>MID(A2,4,7)</f>
        <v>COA</v>
      </c>
      <c r="D2" s="12" t="s">
        <v>542</v>
      </c>
      <c r="E2" s="12">
        <f>N12</f>
        <v>55.99</v>
      </c>
      <c r="F2" s="12" t="s">
        <v>543</v>
      </c>
      <c r="G2" s="13" t="s">
        <v>544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545</v>
      </c>
      <c r="AH2" t="s">
        <v>253</v>
      </c>
    </row>
    <row r="3" spans="1:34">
      <c r="A3" t="s">
        <v>546</v>
      </c>
      <c r="B3" t="str">
        <f t="shared" ref="B3:B54" si="0">MID(A3,4,7)</f>
        <v>KER</v>
      </c>
      <c r="D3" s="12" t="s">
        <v>547</v>
      </c>
      <c r="E3" s="12">
        <f>E5</f>
        <v>98.43</v>
      </c>
      <c r="F3" s="12" t="s">
        <v>548</v>
      </c>
      <c r="G3" s="13"/>
      <c r="H3" s="13" t="s">
        <v>549</v>
      </c>
      <c r="I3" s="13"/>
      <c r="J3" s="13" t="s">
        <v>550</v>
      </c>
      <c r="K3" s="13"/>
      <c r="L3" s="13" t="s">
        <v>551</v>
      </c>
      <c r="M3" s="13" t="s">
        <v>550</v>
      </c>
      <c r="N3" s="13" t="s">
        <v>550</v>
      </c>
      <c r="R3" t="s">
        <v>552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553</v>
      </c>
      <c r="Z3" s="4" t="s">
        <v>554</v>
      </c>
      <c r="AA3" t="s">
        <v>415</v>
      </c>
      <c r="AB3">
        <v>1</v>
      </c>
      <c r="AF3" t="s">
        <v>555</v>
      </c>
      <c r="AG3" t="s">
        <v>99</v>
      </c>
      <c r="AH3" t="s">
        <v>556</v>
      </c>
    </row>
    <row r="4" spans="1:21">
      <c r="A4" t="s">
        <v>557</v>
      </c>
      <c r="B4" t="str">
        <f t="shared" si="0"/>
        <v>LPG</v>
      </c>
      <c r="D4" s="12" t="s">
        <v>558</v>
      </c>
      <c r="E4" s="12">
        <f>E3</f>
        <v>98.43</v>
      </c>
      <c r="F4" s="12" t="str">
        <f>F3</f>
        <v>b</v>
      </c>
      <c r="G4" s="13" t="s">
        <v>559</v>
      </c>
      <c r="H4" s="13" t="s">
        <v>560</v>
      </c>
      <c r="I4" s="13"/>
      <c r="J4" s="13" t="s">
        <v>560</v>
      </c>
      <c r="K4" s="13"/>
      <c r="L4" s="13" t="s">
        <v>561</v>
      </c>
      <c r="M4" s="13" t="s">
        <v>561</v>
      </c>
      <c r="N4" s="13" t="s">
        <v>562</v>
      </c>
      <c r="R4" t="s">
        <v>552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563</v>
      </c>
      <c r="B5" t="str">
        <f t="shared" si="0"/>
        <v>NGA</v>
      </c>
      <c r="D5" s="12" t="s">
        <v>564</v>
      </c>
      <c r="E5" s="12">
        <f>N30</f>
        <v>98.43</v>
      </c>
      <c r="F5" s="12" t="s">
        <v>543</v>
      </c>
      <c r="G5" s="13" t="s">
        <v>565</v>
      </c>
      <c r="H5" s="13"/>
      <c r="I5" s="13"/>
      <c r="J5" s="13"/>
      <c r="K5" s="13"/>
      <c r="L5" s="13"/>
      <c r="M5" s="13"/>
      <c r="N5" s="13"/>
      <c r="R5" t="s">
        <v>552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566</v>
      </c>
      <c r="B6" t="str">
        <f t="shared" si="0"/>
        <v>OIL</v>
      </c>
      <c r="D6" s="12" t="s">
        <v>567</v>
      </c>
      <c r="E6" s="12">
        <f>E5</f>
        <v>98.43</v>
      </c>
      <c r="F6" s="12" t="s">
        <v>543</v>
      </c>
      <c r="G6" s="13" t="s">
        <v>568</v>
      </c>
      <c r="H6" s="13">
        <v>12.7</v>
      </c>
      <c r="I6" s="13" t="s">
        <v>569</v>
      </c>
      <c r="J6" s="13">
        <v>5.76</v>
      </c>
      <c r="K6" s="13" t="s">
        <v>569</v>
      </c>
      <c r="L6" s="13">
        <v>139.05</v>
      </c>
      <c r="M6" s="13">
        <v>63.07</v>
      </c>
      <c r="N6" s="13">
        <v>66.54</v>
      </c>
      <c r="R6" t="s">
        <v>552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553</v>
      </c>
      <c r="Y6" s="15"/>
      <c r="Z6" s="15" t="s">
        <v>570</v>
      </c>
      <c r="AA6" s="15" t="s">
        <v>415</v>
      </c>
      <c r="AB6" s="16">
        <v>-0.001</v>
      </c>
    </row>
    <row r="7" spans="1:21">
      <c r="A7" t="s">
        <v>571</v>
      </c>
      <c r="B7" t="str">
        <f t="shared" si="0"/>
        <v>COA</v>
      </c>
      <c r="D7" s="12" t="s">
        <v>572</v>
      </c>
      <c r="E7" s="12">
        <f>N32</f>
        <v>103.08</v>
      </c>
      <c r="F7" s="12" t="s">
        <v>543</v>
      </c>
      <c r="G7" s="13" t="s">
        <v>573</v>
      </c>
      <c r="H7" s="13">
        <v>14.8</v>
      </c>
      <c r="I7" s="13" t="s">
        <v>569</v>
      </c>
      <c r="J7" s="13">
        <v>6.71</v>
      </c>
      <c r="K7" s="13" t="s">
        <v>569</v>
      </c>
      <c r="L7" s="13">
        <v>143.2</v>
      </c>
      <c r="M7" s="13">
        <v>64.95</v>
      </c>
      <c r="N7" s="13">
        <v>68.53</v>
      </c>
      <c r="R7" t="s">
        <v>552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574</v>
      </c>
      <c r="B8" t="str">
        <f t="shared" si="0"/>
        <v>HFO</v>
      </c>
      <c r="D8" s="12" t="s">
        <v>575</v>
      </c>
      <c r="E8" s="12">
        <f>E2</f>
        <v>55.99</v>
      </c>
      <c r="F8" s="12" t="s">
        <v>543</v>
      </c>
      <c r="G8" s="13" t="s">
        <v>576</v>
      </c>
      <c r="H8" s="13">
        <v>13.7</v>
      </c>
      <c r="I8" s="13" t="s">
        <v>569</v>
      </c>
      <c r="J8" s="13">
        <v>6.21</v>
      </c>
      <c r="K8" s="13" t="s">
        <v>569</v>
      </c>
      <c r="L8" s="13">
        <v>141.12</v>
      </c>
      <c r="M8" s="13">
        <v>64.01</v>
      </c>
      <c r="N8" s="13">
        <v>67.53</v>
      </c>
      <c r="R8" t="s">
        <v>552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577</v>
      </c>
    </row>
    <row r="9" spans="1:32">
      <c r="A9" t="s">
        <v>578</v>
      </c>
      <c r="B9" t="str">
        <f t="shared" si="0"/>
        <v>KER</v>
      </c>
      <c r="D9" s="12" t="s">
        <v>579</v>
      </c>
      <c r="E9" s="12">
        <f>N33</f>
        <v>120.4</v>
      </c>
      <c r="F9" s="12" t="s">
        <v>543</v>
      </c>
      <c r="G9" s="13" t="s">
        <v>580</v>
      </c>
      <c r="H9" s="13">
        <v>22.4</v>
      </c>
      <c r="I9" s="13" t="s">
        <v>569</v>
      </c>
      <c r="J9" s="13">
        <v>10.16</v>
      </c>
      <c r="K9" s="13" t="s">
        <v>569</v>
      </c>
      <c r="L9" s="13">
        <v>161.3</v>
      </c>
      <c r="M9" s="13">
        <v>73.16</v>
      </c>
      <c r="N9" s="13">
        <v>77.19</v>
      </c>
      <c r="R9" t="s">
        <v>552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581</v>
      </c>
      <c r="B10" t="str">
        <f t="shared" si="0"/>
        <v>LPG</v>
      </c>
      <c r="D10" s="12" t="s">
        <v>582</v>
      </c>
      <c r="E10" s="12">
        <f>N9</f>
        <v>77.19</v>
      </c>
      <c r="F10" s="12" t="s">
        <v>583</v>
      </c>
      <c r="G10" s="13" t="s">
        <v>584</v>
      </c>
      <c r="H10" s="13">
        <v>21.5</v>
      </c>
      <c r="I10" s="13" t="s">
        <v>569</v>
      </c>
      <c r="J10" s="13">
        <v>9.75</v>
      </c>
      <c r="K10" s="13" t="s">
        <v>569</v>
      </c>
      <c r="L10" s="13">
        <v>159.4</v>
      </c>
      <c r="M10" s="13">
        <v>72.3</v>
      </c>
      <c r="N10" s="13">
        <v>76.28</v>
      </c>
      <c r="R10" t="s">
        <v>552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545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585</v>
      </c>
      <c r="E11" s="12">
        <f>N6</f>
        <v>66.54</v>
      </c>
      <c r="F11" s="12" t="s">
        <v>586</v>
      </c>
      <c r="G11" s="13" t="s">
        <v>587</v>
      </c>
      <c r="H11" s="14">
        <v>4631.5</v>
      </c>
      <c r="I11" s="13" t="s">
        <v>588</v>
      </c>
      <c r="J11" s="14">
        <v>2100.82</v>
      </c>
      <c r="K11" s="13" t="s">
        <v>588</v>
      </c>
      <c r="L11" s="13">
        <v>210.2</v>
      </c>
      <c r="M11" s="13">
        <v>95.35</v>
      </c>
      <c r="N11" s="13">
        <v>100.59</v>
      </c>
      <c r="R11" t="s">
        <v>552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533</v>
      </c>
      <c r="Y11" t="s">
        <v>534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589</v>
      </c>
      <c r="B12" t="str">
        <f t="shared" si="0"/>
        <v>OIL</v>
      </c>
      <c r="D12" s="12" t="s">
        <v>590</v>
      </c>
      <c r="E12" s="12">
        <f>N12</f>
        <v>55.99</v>
      </c>
      <c r="F12" s="12" t="s">
        <v>586</v>
      </c>
      <c r="G12" s="13" t="s">
        <v>591</v>
      </c>
      <c r="H12" s="13">
        <v>117.1</v>
      </c>
      <c r="I12" s="13" t="s">
        <v>592</v>
      </c>
      <c r="J12" s="13">
        <v>53.12</v>
      </c>
      <c r="K12" s="13" t="s">
        <v>592</v>
      </c>
      <c r="L12" s="13">
        <v>117</v>
      </c>
      <c r="M12" s="13">
        <v>53.07</v>
      </c>
      <c r="N12" s="13">
        <v>55.99</v>
      </c>
      <c r="R12" t="s">
        <v>552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533</v>
      </c>
      <c r="Y12" t="s">
        <v>534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593</v>
      </c>
      <c r="E13" s="12">
        <f>N13</f>
        <v>75.22</v>
      </c>
      <c r="F13" s="12" t="s">
        <v>583</v>
      </c>
      <c r="G13" s="13" t="s">
        <v>594</v>
      </c>
      <c r="H13" s="13">
        <v>19.6</v>
      </c>
      <c r="I13" s="13" t="s">
        <v>569</v>
      </c>
      <c r="J13" s="13">
        <v>8.89</v>
      </c>
      <c r="K13" s="13" t="s">
        <v>569</v>
      </c>
      <c r="L13" s="13">
        <v>157.2</v>
      </c>
      <c r="M13" s="13">
        <v>71.3</v>
      </c>
      <c r="N13" s="13">
        <v>75.22</v>
      </c>
      <c r="R13" t="s">
        <v>552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533</v>
      </c>
      <c r="Y13" t="s">
        <v>534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595</v>
      </c>
      <c r="B14" t="str">
        <f t="shared" si="0"/>
        <v>CoaG</v>
      </c>
      <c r="D14" s="12" t="s">
        <v>596</v>
      </c>
      <c r="E14" s="12">
        <f>N26</f>
        <v>76.81</v>
      </c>
      <c r="F14" s="12" t="s">
        <v>583</v>
      </c>
      <c r="G14" s="13" t="s">
        <v>597</v>
      </c>
      <c r="H14" s="13">
        <v>26</v>
      </c>
      <c r="I14" s="13" t="s">
        <v>569</v>
      </c>
      <c r="J14" s="13">
        <v>11.79</v>
      </c>
      <c r="K14" s="13" t="s">
        <v>569</v>
      </c>
      <c r="L14" s="13">
        <v>173.7</v>
      </c>
      <c r="M14" s="13">
        <v>78.79</v>
      </c>
      <c r="N14" s="13">
        <v>83.12</v>
      </c>
      <c r="R14" t="s">
        <v>552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533</v>
      </c>
      <c r="Y14" t="s">
        <v>534</v>
      </c>
      <c r="Z14" t="str">
        <f>"INDCO2N"&amp;VLOOKUP(MID(AA14,1,3),$D$2:$F$27,3,FALSE)</f>
        <v>INDCO2Ng</v>
      </c>
      <c r="AA14" t="s">
        <v>598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599</v>
      </c>
      <c r="E15" s="12">
        <f>N14</f>
        <v>83.12</v>
      </c>
      <c r="F15" s="12" t="s">
        <v>583</v>
      </c>
      <c r="G15" s="13" t="s">
        <v>600</v>
      </c>
      <c r="H15" s="13"/>
      <c r="I15" s="13"/>
      <c r="J15" s="13"/>
      <c r="K15" s="13"/>
      <c r="L15" s="13"/>
      <c r="M15" s="13"/>
      <c r="N15" s="13">
        <v>0</v>
      </c>
      <c r="R15" t="s">
        <v>552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601</v>
      </c>
      <c r="B16" t="str">
        <f t="shared" si="0"/>
        <v>GAS</v>
      </c>
      <c r="D16" s="12" t="s">
        <v>602</v>
      </c>
      <c r="E16" s="12">
        <f>N16</f>
        <v>74.8</v>
      </c>
      <c r="F16" s="12" t="s">
        <v>583</v>
      </c>
      <c r="G16" s="13" t="s">
        <v>603</v>
      </c>
      <c r="H16" s="13">
        <v>21.1</v>
      </c>
      <c r="I16" s="13" t="s">
        <v>569</v>
      </c>
      <c r="J16" s="13">
        <v>9.57</v>
      </c>
      <c r="K16" s="13" t="s">
        <v>569</v>
      </c>
      <c r="L16" s="13">
        <v>156.3</v>
      </c>
      <c r="M16" s="13">
        <v>70.9</v>
      </c>
      <c r="N16" s="13">
        <v>74.8</v>
      </c>
      <c r="R16" t="s">
        <v>552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604</v>
      </c>
      <c r="E17" s="12">
        <f>N10</f>
        <v>76.28</v>
      </c>
      <c r="F17" s="12" t="s">
        <v>583</v>
      </c>
      <c r="G17" s="13" t="s">
        <v>605</v>
      </c>
      <c r="H17" s="13">
        <v>18.4</v>
      </c>
      <c r="I17" s="13" t="s">
        <v>569</v>
      </c>
      <c r="J17" s="13">
        <v>8.35</v>
      </c>
      <c r="K17" s="13" t="s">
        <v>569</v>
      </c>
      <c r="L17" s="13">
        <v>152.6</v>
      </c>
      <c r="M17" s="13">
        <v>69.2</v>
      </c>
      <c r="N17" s="13">
        <v>73.01</v>
      </c>
      <c r="R17" t="s">
        <v>552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606</v>
      </c>
      <c r="E18" s="12">
        <f>N8</f>
        <v>67.53</v>
      </c>
      <c r="F18" s="12" t="s">
        <v>583</v>
      </c>
      <c r="G18" s="13" t="s">
        <v>607</v>
      </c>
      <c r="H18" s="13"/>
      <c r="I18" s="13"/>
      <c r="J18" s="13"/>
      <c r="K18" s="13"/>
      <c r="L18" s="13"/>
      <c r="M18" s="13"/>
      <c r="N18" s="13">
        <v>0</v>
      </c>
      <c r="R18" t="s">
        <v>552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608</v>
      </c>
      <c r="E19" s="12">
        <f>N12</f>
        <v>55.99</v>
      </c>
      <c r="F19" s="12" t="s">
        <v>586</v>
      </c>
      <c r="G19" s="13" t="s">
        <v>609</v>
      </c>
      <c r="H19" s="13">
        <v>120.7</v>
      </c>
      <c r="I19" s="13" t="s">
        <v>592</v>
      </c>
      <c r="J19" s="13">
        <v>54.75</v>
      </c>
      <c r="K19" s="13" t="s">
        <v>592</v>
      </c>
      <c r="L19" s="13">
        <v>120.6</v>
      </c>
      <c r="M19" s="13">
        <v>54.7</v>
      </c>
      <c r="N19" s="13">
        <v>57.71</v>
      </c>
      <c r="R19" t="s">
        <v>552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610</v>
      </c>
      <c r="E20" s="12">
        <f>N14</f>
        <v>83.12</v>
      </c>
      <c r="F20" s="12" t="s">
        <v>583</v>
      </c>
      <c r="G20" s="13" t="s">
        <v>611</v>
      </c>
      <c r="H20" s="13">
        <v>32.4</v>
      </c>
      <c r="I20" s="13" t="s">
        <v>569</v>
      </c>
      <c r="J20" s="13">
        <v>14.7</v>
      </c>
      <c r="K20" s="13" t="s">
        <v>569</v>
      </c>
      <c r="L20" s="13">
        <v>225.1</v>
      </c>
      <c r="M20" s="13">
        <v>102.1</v>
      </c>
      <c r="N20" s="13">
        <v>107.72</v>
      </c>
      <c r="R20" t="s">
        <v>552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533</v>
      </c>
      <c r="Y20" t="s">
        <v>612</v>
      </c>
      <c r="Z20" t="s">
        <v>613</v>
      </c>
      <c r="AA20" t="s">
        <v>612</v>
      </c>
      <c r="AB20">
        <f>VLOOKUP(MID(AA20,1,3),$D$2:$F$27,2,FALSE)</f>
        <v>98.43</v>
      </c>
      <c r="AC20" t="s">
        <v>127</v>
      </c>
    </row>
    <row r="21" spans="1:29">
      <c r="A21" t="s">
        <v>614</v>
      </c>
      <c r="B21" t="str">
        <f t="shared" si="0"/>
        <v>WAS</v>
      </c>
      <c r="D21" s="12" t="s">
        <v>615</v>
      </c>
      <c r="E21" s="12">
        <f>N14</f>
        <v>83.12</v>
      </c>
      <c r="F21" s="12" t="s">
        <v>583</v>
      </c>
      <c r="G21" s="13" t="s">
        <v>616</v>
      </c>
      <c r="H21" s="13">
        <v>22.09</v>
      </c>
      <c r="I21" s="13" t="s">
        <v>569</v>
      </c>
      <c r="J21" s="13">
        <v>10.02</v>
      </c>
      <c r="K21" s="13" t="s">
        <v>569</v>
      </c>
      <c r="L21" s="13">
        <v>160.1</v>
      </c>
      <c r="M21" s="13">
        <v>72.62</v>
      </c>
      <c r="N21" s="13">
        <v>76.61</v>
      </c>
      <c r="R21" t="s">
        <v>552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533</v>
      </c>
      <c r="Y21" t="s">
        <v>617</v>
      </c>
      <c r="Z21" t="s">
        <v>618</v>
      </c>
      <c r="AA21" t="s">
        <v>617</v>
      </c>
      <c r="AB21">
        <f>VLOOKUP(MID(AA21,1,3),$D$2:$F$27,2,FALSE)</f>
        <v>98.43</v>
      </c>
      <c r="AC21" t="s">
        <v>127</v>
      </c>
    </row>
    <row r="22" spans="1:29">
      <c r="A22" t="s">
        <v>619</v>
      </c>
      <c r="B22" t="str">
        <f t="shared" si="0"/>
        <v>BFG</v>
      </c>
      <c r="D22" s="12" t="s">
        <v>620</v>
      </c>
      <c r="E22" s="12">
        <f>E10</f>
        <v>77.19</v>
      </c>
      <c r="F22" s="12" t="s">
        <v>583</v>
      </c>
      <c r="G22" s="13" t="s">
        <v>621</v>
      </c>
      <c r="H22" s="13"/>
      <c r="I22" s="13"/>
      <c r="J22" s="13"/>
      <c r="K22" s="13"/>
      <c r="L22" s="13"/>
      <c r="M22" s="13"/>
      <c r="N22" s="13">
        <v>0</v>
      </c>
      <c r="R22" t="s">
        <v>552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533</v>
      </c>
      <c r="Y22" t="s">
        <v>102</v>
      </c>
      <c r="Z22" t="s">
        <v>622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623</v>
      </c>
      <c r="E23" s="12">
        <f>N33</f>
        <v>120.4</v>
      </c>
      <c r="F23" s="12" t="s">
        <v>543</v>
      </c>
      <c r="G23" s="13" t="s">
        <v>624</v>
      </c>
      <c r="H23" s="13">
        <v>26.34</v>
      </c>
      <c r="I23" s="13" t="s">
        <v>569</v>
      </c>
      <c r="J23" s="13">
        <v>11.95</v>
      </c>
      <c r="K23" s="13" t="s">
        <v>569</v>
      </c>
      <c r="L23" s="13">
        <v>166.7</v>
      </c>
      <c r="M23" s="13">
        <v>75.61</v>
      </c>
      <c r="N23" s="13">
        <v>79.77</v>
      </c>
      <c r="R23" t="s">
        <v>552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625</v>
      </c>
      <c r="Y23" t="s">
        <v>626</v>
      </c>
      <c r="Z23" t="s">
        <v>627</v>
      </c>
      <c r="AA23" t="s">
        <v>626</v>
      </c>
      <c r="AB23">
        <v>1</v>
      </c>
      <c r="AC23" t="s">
        <v>628</v>
      </c>
    </row>
    <row r="24" spans="1:21">
      <c r="A24" t="s">
        <v>629</v>
      </c>
      <c r="B24" t="str">
        <f t="shared" si="0"/>
        <v>COA</v>
      </c>
      <c r="D24" s="12" t="s">
        <v>630</v>
      </c>
      <c r="E24" s="12">
        <f>N20</f>
        <v>107.72</v>
      </c>
      <c r="F24" s="12" t="s">
        <v>583</v>
      </c>
      <c r="G24" s="13" t="s">
        <v>631</v>
      </c>
      <c r="H24" s="13">
        <v>23.62</v>
      </c>
      <c r="I24" s="13" t="s">
        <v>569</v>
      </c>
      <c r="J24" s="13">
        <v>10.72</v>
      </c>
      <c r="K24" s="13" t="s">
        <v>569</v>
      </c>
      <c r="L24" s="13">
        <v>163.6</v>
      </c>
      <c r="M24" s="13">
        <v>74.21</v>
      </c>
      <c r="N24" s="13">
        <v>78.29</v>
      </c>
      <c r="R24" t="s">
        <v>552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632</v>
      </c>
      <c r="B25" t="str">
        <f t="shared" si="0"/>
        <v>COG</v>
      </c>
      <c r="D25" s="12" t="s">
        <v>633</v>
      </c>
      <c r="E25" s="12">
        <f>E2</f>
        <v>55.99</v>
      </c>
      <c r="F25" s="12" t="s">
        <v>583</v>
      </c>
      <c r="G25" s="13" t="s">
        <v>634</v>
      </c>
      <c r="H25" s="13">
        <v>24.74</v>
      </c>
      <c r="I25" s="13" t="s">
        <v>569</v>
      </c>
      <c r="J25" s="13">
        <v>11.22</v>
      </c>
      <c r="K25" s="13" t="s">
        <v>569</v>
      </c>
      <c r="L25" s="13">
        <v>156.6</v>
      </c>
      <c r="M25" s="13">
        <v>71.03</v>
      </c>
      <c r="N25" s="13">
        <v>74.94</v>
      </c>
      <c r="R25" t="s">
        <v>552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635</v>
      </c>
      <c r="B26" t="str">
        <f t="shared" si="0"/>
        <v>COK</v>
      </c>
      <c r="D26" s="12" t="s">
        <v>636</v>
      </c>
      <c r="E26" s="12">
        <f>N9</f>
        <v>77.19</v>
      </c>
      <c r="F26" s="12" t="s">
        <v>583</v>
      </c>
      <c r="G26" s="13" t="s">
        <v>637</v>
      </c>
      <c r="H26" s="13">
        <v>20.05</v>
      </c>
      <c r="I26" s="13" t="s">
        <v>569</v>
      </c>
      <c r="J26" s="13">
        <v>9.1</v>
      </c>
      <c r="K26" s="13" t="s">
        <v>569</v>
      </c>
      <c r="L26" s="13">
        <v>160.5</v>
      </c>
      <c r="M26" s="13">
        <v>72.8</v>
      </c>
      <c r="N26" s="13">
        <v>76.81</v>
      </c>
      <c r="R26" t="s">
        <v>552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638</v>
      </c>
      <c r="B27" t="str">
        <f t="shared" si="0"/>
        <v>HFO</v>
      </c>
      <c r="D27" s="12" t="s">
        <v>639</v>
      </c>
      <c r="E27" s="12">
        <f>N36</f>
        <v>43.98</v>
      </c>
      <c r="F27" s="12" t="s">
        <v>640</v>
      </c>
      <c r="G27" s="13" t="s">
        <v>641</v>
      </c>
      <c r="H27" s="13">
        <v>21.11</v>
      </c>
      <c r="I27" s="13" t="s">
        <v>569</v>
      </c>
      <c r="J27" s="13">
        <v>9.57</v>
      </c>
      <c r="K27" s="13" t="s">
        <v>569</v>
      </c>
      <c r="L27" s="13">
        <v>160.1</v>
      </c>
      <c r="M27" s="13">
        <v>72.62</v>
      </c>
      <c r="N27" s="13">
        <v>76.61</v>
      </c>
      <c r="R27" t="s">
        <v>552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642</v>
      </c>
      <c r="B28" t="str">
        <f t="shared" si="0"/>
        <v>LPG</v>
      </c>
      <c r="G28" s="13" t="s">
        <v>643</v>
      </c>
      <c r="H28" s="13"/>
      <c r="I28" s="13"/>
      <c r="J28" s="13"/>
      <c r="K28" s="13"/>
      <c r="L28" s="13"/>
      <c r="M28" s="13"/>
      <c r="N28" s="13"/>
      <c r="R28" t="s">
        <v>552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644</v>
      </c>
      <c r="H29" s="14">
        <v>5685</v>
      </c>
      <c r="I29" s="13" t="s">
        <v>588</v>
      </c>
      <c r="J29" s="14">
        <v>2578.68</v>
      </c>
      <c r="K29" s="13" t="s">
        <v>588</v>
      </c>
      <c r="L29" s="13">
        <v>228.6</v>
      </c>
      <c r="M29" s="13">
        <v>103.7</v>
      </c>
      <c r="N29" s="13">
        <v>109.4</v>
      </c>
      <c r="R29" t="s">
        <v>552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553</v>
      </c>
      <c r="Y29" t="s">
        <v>645</v>
      </c>
      <c r="Z29" t="s">
        <v>646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647</v>
      </c>
      <c r="H30" s="14">
        <v>4931.3</v>
      </c>
      <c r="I30" s="13" t="s">
        <v>588</v>
      </c>
      <c r="J30" s="14">
        <v>2236.8</v>
      </c>
      <c r="K30" s="13" t="s">
        <v>588</v>
      </c>
      <c r="L30" s="13">
        <v>205.7</v>
      </c>
      <c r="M30" s="13">
        <v>93.3</v>
      </c>
      <c r="N30" s="13">
        <v>98.43</v>
      </c>
      <c r="R30" t="s">
        <v>552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553</v>
      </c>
      <c r="AH30" s="18" t="s">
        <v>648</v>
      </c>
      <c r="AI30" s="18" t="s">
        <v>646</v>
      </c>
      <c r="AJ30" s="18">
        <v>-0.001</v>
      </c>
    </row>
    <row r="31" spans="1:24">
      <c r="A31" t="s">
        <v>649</v>
      </c>
      <c r="B31" t="str">
        <f t="shared" si="0"/>
        <v>OVC</v>
      </c>
      <c r="G31" s="13" t="s">
        <v>650</v>
      </c>
      <c r="H31" s="14">
        <v>3715.9</v>
      </c>
      <c r="I31" s="13" t="s">
        <v>588</v>
      </c>
      <c r="J31" s="14">
        <v>1685.51</v>
      </c>
      <c r="K31" s="13" t="s">
        <v>588</v>
      </c>
      <c r="L31" s="13">
        <v>214.3</v>
      </c>
      <c r="M31" s="13">
        <v>97.2</v>
      </c>
      <c r="N31" s="13">
        <v>102.55</v>
      </c>
      <c r="R31" t="s">
        <v>552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651</v>
      </c>
      <c r="B32" t="str">
        <f t="shared" si="0"/>
        <v>PTC</v>
      </c>
      <c r="G32" s="13" t="s">
        <v>652</v>
      </c>
      <c r="H32" s="14">
        <v>2791.6</v>
      </c>
      <c r="I32" s="13" t="s">
        <v>588</v>
      </c>
      <c r="J32" s="14">
        <v>1266.25</v>
      </c>
      <c r="K32" s="13" t="s">
        <v>588</v>
      </c>
      <c r="L32" s="13">
        <v>215.4</v>
      </c>
      <c r="M32" s="13">
        <v>97.7</v>
      </c>
      <c r="N32" s="13">
        <v>103.08</v>
      </c>
      <c r="R32" t="s">
        <v>552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553</v>
      </c>
      <c r="Y32" t="s">
        <v>653</v>
      </c>
      <c r="Z32" t="s">
        <v>654</v>
      </c>
      <c r="AA32">
        <v>0.001</v>
      </c>
    </row>
    <row r="33" spans="1:27">
      <c r="A33" t="s">
        <v>655</v>
      </c>
      <c r="B33" t="str">
        <f t="shared" si="0"/>
        <v>COA</v>
      </c>
      <c r="G33" s="13" t="s">
        <v>656</v>
      </c>
      <c r="H33" s="14">
        <v>6239.68</v>
      </c>
      <c r="I33" s="13" t="s">
        <v>588</v>
      </c>
      <c r="J33" s="14">
        <v>2830.27</v>
      </c>
      <c r="K33" s="13" t="s">
        <v>588</v>
      </c>
      <c r="L33" s="13">
        <v>251.6</v>
      </c>
      <c r="M33" s="13">
        <v>114.12</v>
      </c>
      <c r="N33" s="13">
        <v>120.4</v>
      </c>
      <c r="R33" t="s">
        <v>552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553</v>
      </c>
      <c r="Y33" t="s">
        <v>657</v>
      </c>
      <c r="Z33" t="s">
        <v>654</v>
      </c>
      <c r="AA33">
        <v>-0.001</v>
      </c>
    </row>
    <row r="34" spans="1:24">
      <c r="A34" t="s">
        <v>658</v>
      </c>
      <c r="B34" t="str">
        <f t="shared" si="0"/>
        <v>HFO</v>
      </c>
      <c r="G34" s="13" t="s">
        <v>659</v>
      </c>
      <c r="H34" s="13"/>
      <c r="I34" s="13"/>
      <c r="J34" s="13"/>
      <c r="K34" s="13"/>
      <c r="L34" s="13"/>
      <c r="M34" s="13"/>
      <c r="N34" s="13"/>
      <c r="R34" t="s">
        <v>552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660</v>
      </c>
      <c r="B35" t="str">
        <f t="shared" si="0"/>
        <v>KER</v>
      </c>
      <c r="G35" s="13" t="s">
        <v>661</v>
      </c>
      <c r="H35" s="13" t="s">
        <v>662</v>
      </c>
      <c r="I35" s="13"/>
      <c r="J35" s="13" t="s">
        <v>662</v>
      </c>
      <c r="K35" s="13"/>
      <c r="L35" s="13">
        <v>16.99</v>
      </c>
      <c r="M35" s="13">
        <v>7.71</v>
      </c>
      <c r="N35" s="13">
        <v>8.13</v>
      </c>
      <c r="R35" t="s">
        <v>552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553</v>
      </c>
      <c r="Y35" t="s">
        <v>663</v>
      </c>
      <c r="Z35" t="s">
        <v>664</v>
      </c>
      <c r="AA35">
        <v>0.001</v>
      </c>
    </row>
    <row r="36" spans="1:27">
      <c r="A36" t="s">
        <v>665</v>
      </c>
      <c r="B36" t="str">
        <f t="shared" si="0"/>
        <v>LPG</v>
      </c>
      <c r="G36" s="13" t="s">
        <v>666</v>
      </c>
      <c r="H36" s="14">
        <v>5771</v>
      </c>
      <c r="I36" s="13" t="s">
        <v>588</v>
      </c>
      <c r="J36" s="14">
        <v>2617.68</v>
      </c>
      <c r="K36" s="13" t="s">
        <v>588</v>
      </c>
      <c r="L36" s="13">
        <v>91.9</v>
      </c>
      <c r="M36" s="13">
        <v>41.69</v>
      </c>
      <c r="N36" s="13">
        <v>43.98</v>
      </c>
      <c r="R36" t="s">
        <v>552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667</v>
      </c>
      <c r="Y36" t="s">
        <v>627</v>
      </c>
      <c r="Z36" t="s">
        <v>664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668</v>
      </c>
      <c r="H37" s="14">
        <v>6160</v>
      </c>
      <c r="I37" s="13" t="s">
        <v>588</v>
      </c>
      <c r="J37" s="14">
        <v>2794.13</v>
      </c>
      <c r="K37" s="13" t="s">
        <v>588</v>
      </c>
      <c r="L37" s="13">
        <v>189.54</v>
      </c>
      <c r="M37" s="13">
        <v>85.97</v>
      </c>
      <c r="N37" s="13">
        <v>90.7</v>
      </c>
      <c r="R37" t="s">
        <v>552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553</v>
      </c>
      <c r="Y37" t="s">
        <v>669</v>
      </c>
      <c r="Z37" t="s">
        <v>664</v>
      </c>
      <c r="AA37">
        <v>-0.001</v>
      </c>
    </row>
    <row r="38" spans="1:27">
      <c r="A38" t="s">
        <v>670</v>
      </c>
      <c r="B38" t="str">
        <f t="shared" si="0"/>
        <v>OIL</v>
      </c>
      <c r="G38" s="13" t="s">
        <v>671</v>
      </c>
      <c r="H38" s="13">
        <v>924</v>
      </c>
      <c r="I38" s="13" t="s">
        <v>672</v>
      </c>
      <c r="J38" s="13">
        <v>419.12</v>
      </c>
      <c r="K38" s="13" t="s">
        <v>672</v>
      </c>
      <c r="L38" s="13">
        <v>210</v>
      </c>
      <c r="M38" s="13">
        <v>95.25</v>
      </c>
      <c r="N38" s="13">
        <v>100.49</v>
      </c>
      <c r="R38" t="s">
        <v>552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553</v>
      </c>
      <c r="Y38" t="s">
        <v>626</v>
      </c>
      <c r="Z38" t="s">
        <v>664</v>
      </c>
      <c r="AA38">
        <v>-0.001</v>
      </c>
    </row>
    <row r="39" spans="1:24">
      <c r="A39" t="s">
        <v>673</v>
      </c>
      <c r="B39" t="str">
        <f t="shared" si="0"/>
        <v>BFG</v>
      </c>
      <c r="G39" s="13" t="s">
        <v>674</v>
      </c>
      <c r="H39" s="13"/>
      <c r="I39" s="13"/>
      <c r="J39" s="13"/>
      <c r="K39" s="13"/>
      <c r="L39" s="13"/>
      <c r="M39" s="13"/>
      <c r="N39" s="13"/>
      <c r="R39" t="s">
        <v>552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675</v>
      </c>
      <c r="B40" t="str">
        <f t="shared" si="0"/>
        <v>BIO</v>
      </c>
      <c r="G40" s="13" t="s">
        <v>676</v>
      </c>
      <c r="H40" s="13"/>
      <c r="I40" s="13"/>
      <c r="J40" s="13"/>
      <c r="K40" s="13"/>
      <c r="L40" s="13"/>
      <c r="M40" s="13"/>
      <c r="N40" s="13"/>
      <c r="R40" t="s">
        <v>552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553</v>
      </c>
      <c r="Y40" t="s">
        <v>677</v>
      </c>
      <c r="Z40" t="s">
        <v>678</v>
      </c>
      <c r="AA40">
        <v>0.001</v>
      </c>
    </row>
    <row r="41" spans="1:27">
      <c r="A41" t="s">
        <v>679</v>
      </c>
      <c r="B41" t="str">
        <f t="shared" si="0"/>
        <v>COA</v>
      </c>
      <c r="G41" s="13" t="s">
        <v>680</v>
      </c>
      <c r="H41" s="13"/>
      <c r="I41" s="13"/>
      <c r="J41" s="13"/>
      <c r="K41" s="13"/>
      <c r="L41" s="13"/>
      <c r="M41" s="13"/>
      <c r="N41" s="13"/>
      <c r="R41" t="s">
        <v>552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553</v>
      </c>
      <c r="Y41" t="s">
        <v>681</v>
      </c>
      <c r="Z41" t="s">
        <v>682</v>
      </c>
      <c r="AA41">
        <v>0.001</v>
      </c>
    </row>
    <row r="42" spans="1:21">
      <c r="A42" t="s">
        <v>683</v>
      </c>
      <c r="B42" t="str">
        <f t="shared" si="0"/>
        <v>COG</v>
      </c>
      <c r="R42" t="s">
        <v>552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684</v>
      </c>
      <c r="B43" t="str">
        <f t="shared" si="0"/>
        <v>NGA</v>
      </c>
      <c r="R43" t="s">
        <v>552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685</v>
      </c>
      <c r="B44" t="str">
        <f t="shared" si="0"/>
        <v>OIL</v>
      </c>
      <c r="R44" t="s">
        <v>552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686</v>
      </c>
      <c r="B45" t="str">
        <f t="shared" si="0"/>
        <v>RFG</v>
      </c>
      <c r="R45" t="s">
        <v>552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687</v>
      </c>
      <c r="B46" t="str">
        <f t="shared" si="0"/>
        <v>RPP</v>
      </c>
      <c r="R46" t="s">
        <v>552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688</v>
      </c>
      <c r="B47" t="str">
        <f t="shared" si="0"/>
        <v>COA</v>
      </c>
      <c r="R47" t="s">
        <v>552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533</v>
      </c>
      <c r="Y47" t="s">
        <v>689</v>
      </c>
      <c r="Z47" t="s">
        <v>454</v>
      </c>
      <c r="AA47" t="s">
        <v>648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533</v>
      </c>
      <c r="Y48" t="s">
        <v>690</v>
      </c>
      <c r="Z48" t="s">
        <v>458</v>
      </c>
      <c r="AA48" t="s">
        <v>648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533</v>
      </c>
      <c r="Y49" t="s">
        <v>691</v>
      </c>
      <c r="Z49" t="s">
        <v>282</v>
      </c>
      <c r="AA49" t="s">
        <v>648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692</v>
      </c>
      <c r="B50" t="str">
        <f t="shared" si="0"/>
        <v>HFO</v>
      </c>
      <c r="R50" t="s">
        <v>552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693</v>
      </c>
      <c r="B52" t="str">
        <f t="shared" si="0"/>
        <v>LPG</v>
      </c>
      <c r="R52" t="s">
        <v>552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694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695</v>
      </c>
      <c r="B54" t="str">
        <f t="shared" si="0"/>
        <v>BIO</v>
      </c>
      <c r="R54" t="s">
        <v>552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622</v>
      </c>
      <c r="Z54" t="s">
        <v>696</v>
      </c>
      <c r="AA54" t="s">
        <v>533</v>
      </c>
      <c r="AB54" t="s">
        <v>127</v>
      </c>
      <c r="AC54">
        <v>0.9</v>
      </c>
      <c r="AD54">
        <v>0.95</v>
      </c>
      <c r="AE54" t="s">
        <v>669</v>
      </c>
    </row>
    <row r="55" spans="18:31">
      <c r="R55" t="s">
        <v>552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612</v>
      </c>
      <c r="Y55" t="s">
        <v>613</v>
      </c>
      <c r="Z55" t="s">
        <v>696</v>
      </c>
      <c r="AA55" t="s">
        <v>533</v>
      </c>
      <c r="AB55" t="s">
        <v>127</v>
      </c>
      <c r="AC55">
        <v>0.9</v>
      </c>
      <c r="AD55">
        <v>0.95</v>
      </c>
      <c r="AE55" t="s">
        <v>669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697</v>
      </c>
      <c r="S1" s="10" t="s">
        <v>698</v>
      </c>
    </row>
    <row r="2" spans="2:23">
      <c r="B2" t="s">
        <v>699</v>
      </c>
      <c r="H2" t="s">
        <v>243</v>
      </c>
      <c r="I2" t="s">
        <v>700</v>
      </c>
      <c r="J2" t="s">
        <v>277</v>
      </c>
      <c r="K2" t="s">
        <v>701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702</v>
      </c>
      <c r="C3" t="s">
        <v>314</v>
      </c>
      <c r="D3" t="s">
        <v>375</v>
      </c>
      <c r="E3" t="s">
        <v>58</v>
      </c>
      <c r="H3">
        <v>2019</v>
      </c>
      <c r="I3" t="s">
        <v>703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704</v>
      </c>
    </row>
    <row r="4" spans="2:23">
      <c r="B4" t="s">
        <v>241</v>
      </c>
      <c r="C4" t="s">
        <v>555</v>
      </c>
      <c r="D4">
        <v>0.08</v>
      </c>
      <c r="E4" t="s">
        <v>705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704</v>
      </c>
    </row>
    <row r="5" spans="2:23">
      <c r="B5" t="s">
        <v>240</v>
      </c>
      <c r="C5" t="s">
        <v>555</v>
      </c>
      <c r="D5">
        <v>0.01</v>
      </c>
      <c r="E5" t="s">
        <v>705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704</v>
      </c>
    </row>
    <row r="6" spans="2:23">
      <c r="B6" t="s">
        <v>239</v>
      </c>
      <c r="C6" t="s">
        <v>555</v>
      </c>
      <c r="D6">
        <v>0.05</v>
      </c>
      <c r="E6" t="s">
        <v>705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704</v>
      </c>
    </row>
    <row r="7" spans="2:23">
      <c r="B7" t="s">
        <v>238</v>
      </c>
      <c r="C7" t="s">
        <v>555</v>
      </c>
      <c r="D7">
        <v>0.0375</v>
      </c>
      <c r="E7" t="s">
        <v>705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704</v>
      </c>
    </row>
    <row r="8" spans="2:23">
      <c r="B8" t="s">
        <v>237</v>
      </c>
      <c r="C8" t="s">
        <v>555</v>
      </c>
      <c r="D8">
        <v>0.0375</v>
      </c>
      <c r="E8" t="s">
        <v>705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704</v>
      </c>
    </row>
    <row r="9" spans="2:23">
      <c r="B9" t="s">
        <v>236</v>
      </c>
      <c r="C9" t="s">
        <v>555</v>
      </c>
      <c r="D9">
        <v>0.025</v>
      </c>
      <c r="E9" t="s">
        <v>705</v>
      </c>
      <c r="H9">
        <v>2019</v>
      </c>
      <c r="I9" t="s">
        <v>706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704</v>
      </c>
    </row>
    <row r="10" spans="2:23">
      <c r="B10" t="s">
        <v>40</v>
      </c>
      <c r="C10" t="s">
        <v>555</v>
      </c>
      <c r="D10">
        <v>0.0375</v>
      </c>
      <c r="E10" t="s">
        <v>705</v>
      </c>
      <c r="H10">
        <v>2019</v>
      </c>
      <c r="I10" t="s">
        <v>707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704</v>
      </c>
    </row>
    <row r="11" spans="2:23">
      <c r="B11" t="s">
        <v>39</v>
      </c>
      <c r="C11" t="s">
        <v>555</v>
      </c>
      <c r="D11">
        <v>0.08</v>
      </c>
      <c r="E11" t="s">
        <v>705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704</v>
      </c>
    </row>
    <row r="12" spans="2:23">
      <c r="B12" t="s">
        <v>235</v>
      </c>
      <c r="C12" t="s">
        <v>555</v>
      </c>
      <c r="D12">
        <v>0.01</v>
      </c>
      <c r="E12" t="s">
        <v>705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704</v>
      </c>
    </row>
    <row r="13" spans="2:23">
      <c r="B13" t="s">
        <v>234</v>
      </c>
      <c r="C13" t="s">
        <v>555</v>
      </c>
      <c r="D13">
        <v>0.0375</v>
      </c>
      <c r="E13" t="s">
        <v>705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704</v>
      </c>
    </row>
    <row r="14" spans="2:23">
      <c r="B14" t="s">
        <v>38</v>
      </c>
      <c r="C14" t="s">
        <v>555</v>
      </c>
      <c r="D14">
        <v>0.0375</v>
      </c>
      <c r="E14" t="s">
        <v>705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704</v>
      </c>
    </row>
    <row r="15" spans="2:23">
      <c r="B15" t="s">
        <v>233</v>
      </c>
      <c r="C15" t="s">
        <v>555</v>
      </c>
      <c r="D15">
        <v>0.08</v>
      </c>
      <c r="E15" t="s">
        <v>705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704</v>
      </c>
    </row>
    <row r="16" spans="2:23">
      <c r="B16" t="s">
        <v>232</v>
      </c>
      <c r="C16" t="s">
        <v>555</v>
      </c>
      <c r="D16">
        <v>0.05</v>
      </c>
      <c r="E16" t="s">
        <v>705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704</v>
      </c>
    </row>
    <row r="17" spans="2:23">
      <c r="B17" t="s">
        <v>231</v>
      </c>
      <c r="C17" t="s">
        <v>555</v>
      </c>
      <c r="D17">
        <v>0.08</v>
      </c>
      <c r="E17" t="s">
        <v>705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704</v>
      </c>
    </row>
    <row r="18" spans="2:23">
      <c r="B18" t="s">
        <v>230</v>
      </c>
      <c r="C18" t="s">
        <v>555</v>
      </c>
      <c r="D18">
        <v>0.0375</v>
      </c>
      <c r="E18" t="s">
        <v>705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704</v>
      </c>
    </row>
    <row r="19" spans="2:23">
      <c r="B19" t="s">
        <v>229</v>
      </c>
      <c r="C19" t="s">
        <v>555</v>
      </c>
      <c r="D19">
        <v>0.1</v>
      </c>
      <c r="E19" t="s">
        <v>705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704</v>
      </c>
    </row>
    <row r="20" spans="2:23">
      <c r="B20" t="s">
        <v>37</v>
      </c>
      <c r="C20" t="s">
        <v>555</v>
      </c>
      <c r="D20">
        <v>0.08</v>
      </c>
      <c r="E20" t="s">
        <v>705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704</v>
      </c>
    </row>
    <row r="21" spans="2:23">
      <c r="B21" t="s">
        <v>228</v>
      </c>
      <c r="C21" t="s">
        <v>555</v>
      </c>
      <c r="D21">
        <v>0.08</v>
      </c>
      <c r="E21" t="s">
        <v>705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704</v>
      </c>
    </row>
    <row r="22" spans="2:23">
      <c r="B22" t="s">
        <v>227</v>
      </c>
      <c r="C22" t="s">
        <v>555</v>
      </c>
      <c r="D22">
        <v>0.08</v>
      </c>
      <c r="E22" t="s">
        <v>705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704</v>
      </c>
    </row>
    <row r="23" spans="2:23">
      <c r="B23" t="s">
        <v>226</v>
      </c>
      <c r="C23" t="s">
        <v>555</v>
      </c>
      <c r="D23">
        <v>0.08</v>
      </c>
      <c r="E23" t="s">
        <v>705</v>
      </c>
      <c r="H23">
        <v>2019</v>
      </c>
      <c r="I23" t="s">
        <v>708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704</v>
      </c>
    </row>
    <row r="24" spans="2:23">
      <c r="B24" t="s">
        <v>225</v>
      </c>
      <c r="C24" t="s">
        <v>555</v>
      </c>
      <c r="D24">
        <v>0.1</v>
      </c>
      <c r="E24" t="s">
        <v>705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704</v>
      </c>
    </row>
    <row r="25" s="5" customFormat="1" spans="2:23">
      <c r="B25" s="5" t="s">
        <v>34</v>
      </c>
      <c r="C25" s="5" t="s">
        <v>555</v>
      </c>
      <c r="D25" s="5">
        <v>0.08</v>
      </c>
      <c r="E25" s="5" t="s">
        <v>705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704</v>
      </c>
    </row>
    <row r="26" spans="2:23">
      <c r="B26" t="s">
        <v>224</v>
      </c>
      <c r="C26" t="s">
        <v>555</v>
      </c>
      <c r="D26">
        <v>0.08</v>
      </c>
      <c r="E26" t="s">
        <v>705</v>
      </c>
      <c r="H26">
        <v>2019</v>
      </c>
      <c r="I26" t="s">
        <v>709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704</v>
      </c>
    </row>
    <row r="27" spans="2:23">
      <c r="B27" t="s">
        <v>223</v>
      </c>
      <c r="C27" t="s">
        <v>555</v>
      </c>
      <c r="D27">
        <v>0.08</v>
      </c>
      <c r="E27" t="s">
        <v>705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704</v>
      </c>
    </row>
    <row r="28" spans="2:23">
      <c r="B28" t="s">
        <v>222</v>
      </c>
      <c r="C28" t="s">
        <v>555</v>
      </c>
      <c r="D28">
        <v>0.1</v>
      </c>
      <c r="E28" t="s">
        <v>705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704</v>
      </c>
    </row>
    <row r="29" spans="2:23">
      <c r="B29" t="s">
        <v>221</v>
      </c>
      <c r="C29" t="s">
        <v>555</v>
      </c>
      <c r="D29">
        <v>0.0375</v>
      </c>
      <c r="E29" t="s">
        <v>705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704</v>
      </c>
    </row>
    <row r="30" spans="2:23">
      <c r="B30" t="s">
        <v>33</v>
      </c>
      <c r="C30" t="s">
        <v>555</v>
      </c>
      <c r="D30">
        <v>0.01</v>
      </c>
      <c r="E30" t="s">
        <v>705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704</v>
      </c>
    </row>
    <row r="31" spans="2:23">
      <c r="B31" t="s">
        <v>32</v>
      </c>
      <c r="C31" t="s">
        <v>555</v>
      </c>
      <c r="D31">
        <v>0.05</v>
      </c>
      <c r="E31" t="s">
        <v>705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704</v>
      </c>
    </row>
    <row r="32" spans="2:23">
      <c r="B32" t="s">
        <v>220</v>
      </c>
      <c r="C32" t="s">
        <v>555</v>
      </c>
      <c r="D32">
        <v>0.08</v>
      </c>
      <c r="E32" t="s">
        <v>705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704</v>
      </c>
    </row>
    <row r="33" spans="2:23">
      <c r="B33" t="s">
        <v>219</v>
      </c>
      <c r="C33" t="s">
        <v>555</v>
      </c>
      <c r="D33">
        <v>0.01</v>
      </c>
      <c r="E33" t="s">
        <v>705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704</v>
      </c>
    </row>
    <row r="34" spans="2:23">
      <c r="B34" t="s">
        <v>218</v>
      </c>
      <c r="C34" t="s">
        <v>555</v>
      </c>
      <c r="D34">
        <v>0.08</v>
      </c>
      <c r="E34" t="s">
        <v>705</v>
      </c>
      <c r="H34">
        <v>2019</v>
      </c>
      <c r="I34" t="s">
        <v>710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704</v>
      </c>
    </row>
    <row r="35" spans="2:23">
      <c r="B35" t="s">
        <v>30</v>
      </c>
      <c r="C35" t="s">
        <v>555</v>
      </c>
      <c r="D35">
        <v>0.08</v>
      </c>
      <c r="E35" t="s">
        <v>705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704</v>
      </c>
    </row>
    <row r="36" spans="2:23">
      <c r="B36" t="s">
        <v>217</v>
      </c>
      <c r="C36" t="s">
        <v>555</v>
      </c>
      <c r="D36">
        <v>0.05</v>
      </c>
      <c r="E36" t="s">
        <v>705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704</v>
      </c>
    </row>
    <row r="37" spans="2:23">
      <c r="B37" t="s">
        <v>216</v>
      </c>
      <c r="C37" t="s">
        <v>555</v>
      </c>
      <c r="D37">
        <v>0.0375</v>
      </c>
      <c r="E37" t="s">
        <v>705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704</v>
      </c>
    </row>
    <row r="38" spans="2:23">
      <c r="B38" t="s">
        <v>215</v>
      </c>
      <c r="C38" t="s">
        <v>555</v>
      </c>
      <c r="D38">
        <v>0.05</v>
      </c>
      <c r="E38" t="s">
        <v>705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704</v>
      </c>
    </row>
    <row r="39" spans="2:23">
      <c r="B39" t="s">
        <v>214</v>
      </c>
      <c r="C39" t="s">
        <v>555</v>
      </c>
      <c r="D39">
        <v>0.01</v>
      </c>
      <c r="E39" t="s">
        <v>705</v>
      </c>
      <c r="H39">
        <v>2019</v>
      </c>
      <c r="I39" t="s">
        <v>711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704</v>
      </c>
    </row>
    <row r="40" spans="2:23">
      <c r="B40" t="s">
        <v>213</v>
      </c>
      <c r="C40" t="s">
        <v>555</v>
      </c>
      <c r="D40">
        <v>0.0375</v>
      </c>
      <c r="E40" t="s">
        <v>705</v>
      </c>
      <c r="H40">
        <v>2019</v>
      </c>
      <c r="I40" t="s">
        <v>712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704</v>
      </c>
    </row>
    <row r="41" spans="2:23">
      <c r="B41" t="s">
        <v>212</v>
      </c>
      <c r="C41" t="s">
        <v>555</v>
      </c>
      <c r="D41">
        <v>0.08</v>
      </c>
      <c r="E41" t="s">
        <v>705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704</v>
      </c>
    </row>
    <row r="42" spans="2:23">
      <c r="B42" t="s">
        <v>211</v>
      </c>
      <c r="C42" t="s">
        <v>555</v>
      </c>
      <c r="D42">
        <v>0.05</v>
      </c>
      <c r="E42" t="s">
        <v>705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704</v>
      </c>
    </row>
    <row r="43" spans="2:23">
      <c r="B43" t="s">
        <v>210</v>
      </c>
      <c r="C43" t="s">
        <v>555</v>
      </c>
      <c r="D43">
        <v>0.08</v>
      </c>
      <c r="E43" t="s">
        <v>705</v>
      </c>
      <c r="H43">
        <v>2019</v>
      </c>
      <c r="I43" t="s">
        <v>713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704</v>
      </c>
    </row>
    <row r="44" spans="2:23">
      <c r="B44" t="s">
        <v>209</v>
      </c>
      <c r="C44" t="s">
        <v>555</v>
      </c>
      <c r="D44">
        <v>0.01</v>
      </c>
      <c r="E44" t="s">
        <v>705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704</v>
      </c>
    </row>
    <row r="45" spans="2:23">
      <c r="B45" t="s">
        <v>29</v>
      </c>
      <c r="C45" t="s">
        <v>555</v>
      </c>
      <c r="D45">
        <v>0.08</v>
      </c>
      <c r="E45" t="s">
        <v>705</v>
      </c>
      <c r="H45">
        <v>2019</v>
      </c>
      <c r="I45" t="s">
        <v>714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704</v>
      </c>
    </row>
    <row r="46" spans="2:23">
      <c r="B46" t="s">
        <v>208</v>
      </c>
      <c r="C46" t="s">
        <v>555</v>
      </c>
      <c r="D46">
        <v>0.08</v>
      </c>
      <c r="E46" t="s">
        <v>705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704</v>
      </c>
    </row>
    <row r="47" spans="2:23">
      <c r="B47" t="s">
        <v>207</v>
      </c>
      <c r="C47" t="s">
        <v>555</v>
      </c>
      <c r="D47">
        <v>0.08</v>
      </c>
      <c r="E47" t="s">
        <v>705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704</v>
      </c>
    </row>
    <row r="48" spans="2:23">
      <c r="B48" t="s">
        <v>206</v>
      </c>
      <c r="C48" t="s">
        <v>555</v>
      </c>
      <c r="D48">
        <v>0.1</v>
      </c>
      <c r="E48" t="s">
        <v>705</v>
      </c>
      <c r="H48">
        <v>2019</v>
      </c>
      <c r="I48" t="s">
        <v>715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704</v>
      </c>
    </row>
    <row r="49" spans="2:23">
      <c r="B49" t="s">
        <v>205</v>
      </c>
      <c r="C49" t="s">
        <v>555</v>
      </c>
      <c r="D49">
        <v>0.08</v>
      </c>
      <c r="E49" t="s">
        <v>705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704</v>
      </c>
    </row>
    <row r="50" spans="2:23">
      <c r="B50" t="s">
        <v>204</v>
      </c>
      <c r="C50" t="s">
        <v>555</v>
      </c>
      <c r="D50">
        <v>0.05</v>
      </c>
      <c r="E50" t="s">
        <v>705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704</v>
      </c>
    </row>
    <row r="51" spans="2:23">
      <c r="B51" t="s">
        <v>203</v>
      </c>
      <c r="C51" t="s">
        <v>555</v>
      </c>
      <c r="D51">
        <v>0.05</v>
      </c>
      <c r="E51" t="s">
        <v>705</v>
      </c>
      <c r="H51">
        <v>2019</v>
      </c>
      <c r="I51" t="s">
        <v>716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704</v>
      </c>
    </row>
    <row r="52" spans="2:23">
      <c r="B52" t="s">
        <v>202</v>
      </c>
      <c r="C52" t="s">
        <v>555</v>
      </c>
      <c r="D52">
        <v>0.08</v>
      </c>
      <c r="E52" t="s">
        <v>705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704</v>
      </c>
    </row>
    <row r="53" spans="2:23">
      <c r="B53" t="s">
        <v>201</v>
      </c>
      <c r="C53" t="s">
        <v>555</v>
      </c>
      <c r="D53">
        <v>0.08</v>
      </c>
      <c r="E53" t="s">
        <v>705</v>
      </c>
      <c r="H53">
        <v>2019</v>
      </c>
      <c r="I53" t="s">
        <v>717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704</v>
      </c>
    </row>
    <row r="54" spans="2:23">
      <c r="B54" t="s">
        <v>200</v>
      </c>
      <c r="C54" t="s">
        <v>555</v>
      </c>
      <c r="D54">
        <v>0.0375</v>
      </c>
      <c r="E54" t="s">
        <v>705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704</v>
      </c>
    </row>
    <row r="55" spans="2:23">
      <c r="B55" t="s">
        <v>199</v>
      </c>
      <c r="C55" t="s">
        <v>555</v>
      </c>
      <c r="D55">
        <v>0.0375</v>
      </c>
      <c r="E55" t="s">
        <v>705</v>
      </c>
      <c r="H55">
        <v>2019</v>
      </c>
      <c r="I55" t="s">
        <v>718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704</v>
      </c>
    </row>
    <row r="56" spans="2:23">
      <c r="B56" t="s">
        <v>198</v>
      </c>
      <c r="C56" t="s">
        <v>555</v>
      </c>
      <c r="D56">
        <v>0.035</v>
      </c>
      <c r="E56" t="s">
        <v>705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704</v>
      </c>
    </row>
    <row r="57" spans="2:23">
      <c r="B57" t="s">
        <v>197</v>
      </c>
      <c r="C57" t="s">
        <v>555</v>
      </c>
      <c r="D57">
        <v>0.08</v>
      </c>
      <c r="E57" t="s">
        <v>705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704</v>
      </c>
    </row>
    <row r="58" spans="2:23">
      <c r="B58" t="s">
        <v>196</v>
      </c>
      <c r="C58" t="s">
        <v>555</v>
      </c>
      <c r="D58">
        <v>0.05</v>
      </c>
      <c r="E58" t="s">
        <v>705</v>
      </c>
      <c r="H58">
        <v>2019</v>
      </c>
      <c r="I58" t="s">
        <v>719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704</v>
      </c>
    </row>
    <row r="59" spans="2:23">
      <c r="B59" t="s">
        <v>195</v>
      </c>
      <c r="C59" t="s">
        <v>555</v>
      </c>
      <c r="D59">
        <v>0.0375</v>
      </c>
      <c r="E59" t="s">
        <v>705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704</v>
      </c>
    </row>
    <row r="60" spans="2:23">
      <c r="B60" t="s">
        <v>194</v>
      </c>
      <c r="C60" t="s">
        <v>555</v>
      </c>
      <c r="D60">
        <v>0.08</v>
      </c>
      <c r="E60" t="s">
        <v>705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704</v>
      </c>
    </row>
    <row r="61" spans="2:23">
      <c r="B61" t="s">
        <v>193</v>
      </c>
      <c r="C61" t="s">
        <v>555</v>
      </c>
      <c r="D61">
        <v>0.08</v>
      </c>
      <c r="E61" t="s">
        <v>705</v>
      </c>
      <c r="H61">
        <v>2019</v>
      </c>
      <c r="I61" t="s">
        <v>720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704</v>
      </c>
    </row>
    <row r="62" spans="2:23">
      <c r="B62" t="s">
        <v>192</v>
      </c>
      <c r="C62" t="s">
        <v>555</v>
      </c>
      <c r="D62">
        <v>0.08</v>
      </c>
      <c r="E62" t="s">
        <v>705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704</v>
      </c>
    </row>
    <row r="63" spans="2:23">
      <c r="B63" t="s">
        <v>191</v>
      </c>
      <c r="C63" t="s">
        <v>555</v>
      </c>
      <c r="D63">
        <v>0.08</v>
      </c>
      <c r="E63" t="s">
        <v>705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704</v>
      </c>
    </row>
    <row r="64" spans="2:23">
      <c r="B64" t="s">
        <v>190</v>
      </c>
      <c r="C64" t="s">
        <v>555</v>
      </c>
      <c r="D64">
        <v>0.0375</v>
      </c>
      <c r="E64" t="s">
        <v>705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704</v>
      </c>
    </row>
    <row r="65" spans="2:23">
      <c r="B65" t="s">
        <v>189</v>
      </c>
      <c r="C65" t="s">
        <v>555</v>
      </c>
      <c r="D65">
        <v>0.01</v>
      </c>
      <c r="E65" t="s">
        <v>705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704</v>
      </c>
    </row>
    <row r="66" spans="2:23">
      <c r="B66" t="s">
        <v>188</v>
      </c>
      <c r="C66" t="s">
        <v>555</v>
      </c>
      <c r="D66">
        <v>0.0375</v>
      </c>
      <c r="E66" t="s">
        <v>705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704</v>
      </c>
    </row>
    <row r="67" spans="2:23">
      <c r="B67" t="s">
        <v>187</v>
      </c>
      <c r="C67" t="s">
        <v>555</v>
      </c>
      <c r="D67">
        <v>0.08</v>
      </c>
      <c r="E67" t="s">
        <v>705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704</v>
      </c>
    </row>
    <row r="68" spans="2:23">
      <c r="B68" t="s">
        <v>186</v>
      </c>
      <c r="C68" t="s">
        <v>555</v>
      </c>
      <c r="D68">
        <v>0.0375</v>
      </c>
      <c r="E68" t="s">
        <v>705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704</v>
      </c>
    </row>
    <row r="69" spans="2:23">
      <c r="B69" t="s">
        <v>25</v>
      </c>
      <c r="C69" t="s">
        <v>555</v>
      </c>
      <c r="D69">
        <v>0.1</v>
      </c>
      <c r="E69" t="s">
        <v>705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704</v>
      </c>
    </row>
    <row r="70" spans="2:23">
      <c r="B70" t="s">
        <v>185</v>
      </c>
      <c r="C70" t="s">
        <v>555</v>
      </c>
      <c r="D70">
        <v>0.08</v>
      </c>
      <c r="E70" t="s">
        <v>705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704</v>
      </c>
    </row>
    <row r="71" spans="2:23">
      <c r="B71" t="s">
        <v>184</v>
      </c>
      <c r="C71" t="s">
        <v>555</v>
      </c>
      <c r="D71">
        <v>0.08</v>
      </c>
      <c r="E71" t="s">
        <v>705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704</v>
      </c>
    </row>
    <row r="72" spans="2:23">
      <c r="B72" t="s">
        <v>183</v>
      </c>
      <c r="C72" t="s">
        <v>555</v>
      </c>
      <c r="D72">
        <v>0.01</v>
      </c>
      <c r="E72" t="s">
        <v>705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704</v>
      </c>
    </row>
    <row r="73" spans="2:23">
      <c r="B73" t="s">
        <v>23</v>
      </c>
      <c r="C73" t="s">
        <v>555</v>
      </c>
      <c r="D73">
        <v>0.08</v>
      </c>
      <c r="E73" t="s">
        <v>705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704</v>
      </c>
    </row>
    <row r="74" spans="2:23">
      <c r="B74" t="s">
        <v>182</v>
      </c>
      <c r="C74" t="s">
        <v>555</v>
      </c>
      <c r="D74">
        <v>0.01</v>
      </c>
      <c r="E74" t="s">
        <v>705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704</v>
      </c>
    </row>
    <row r="75" spans="2:23">
      <c r="B75" t="s">
        <v>181</v>
      </c>
      <c r="C75" t="s">
        <v>555</v>
      </c>
      <c r="D75">
        <v>0.01</v>
      </c>
      <c r="E75" t="s">
        <v>705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704</v>
      </c>
    </row>
    <row r="76" spans="2:23">
      <c r="B76" t="s">
        <v>180</v>
      </c>
      <c r="C76" t="s">
        <v>555</v>
      </c>
      <c r="D76">
        <v>0.05</v>
      </c>
      <c r="E76" t="s">
        <v>705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704</v>
      </c>
    </row>
    <row r="77" spans="2:23">
      <c r="B77" t="s">
        <v>22</v>
      </c>
      <c r="C77" t="s">
        <v>555</v>
      </c>
      <c r="D77">
        <v>0.08</v>
      </c>
      <c r="E77" t="s">
        <v>705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704</v>
      </c>
    </row>
    <row r="78" spans="2:23">
      <c r="B78" t="s">
        <v>21</v>
      </c>
      <c r="C78" t="s">
        <v>555</v>
      </c>
      <c r="D78">
        <v>0.08</v>
      </c>
      <c r="E78" t="s">
        <v>705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704</v>
      </c>
    </row>
    <row r="79" spans="2:23">
      <c r="B79" t="s">
        <v>179</v>
      </c>
      <c r="C79" t="s">
        <v>555</v>
      </c>
      <c r="D79">
        <v>0.08</v>
      </c>
      <c r="E79" t="s">
        <v>705</v>
      </c>
      <c r="H79">
        <v>2019</v>
      </c>
      <c r="I79" t="s">
        <v>721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704</v>
      </c>
    </row>
    <row r="80" spans="2:23">
      <c r="B80" t="s">
        <v>178</v>
      </c>
      <c r="C80" t="s">
        <v>555</v>
      </c>
      <c r="D80">
        <v>0.08</v>
      </c>
      <c r="E80" t="s">
        <v>705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704</v>
      </c>
    </row>
    <row r="81" spans="2:23">
      <c r="B81" t="s">
        <v>177</v>
      </c>
      <c r="C81" t="s">
        <v>555</v>
      </c>
      <c r="D81">
        <v>0.08</v>
      </c>
      <c r="E81" t="s">
        <v>705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704</v>
      </c>
    </row>
    <row r="82" spans="2:23">
      <c r="B82" t="s">
        <v>18</v>
      </c>
      <c r="C82" t="s">
        <v>555</v>
      </c>
      <c r="D82">
        <v>0.08</v>
      </c>
      <c r="E82" t="s">
        <v>705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704</v>
      </c>
    </row>
    <row r="83" spans="2:23">
      <c r="B83" t="s">
        <v>176</v>
      </c>
      <c r="C83" t="s">
        <v>555</v>
      </c>
      <c r="D83">
        <v>0.0375</v>
      </c>
      <c r="E83" t="s">
        <v>705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704</v>
      </c>
    </row>
    <row r="84" spans="2:23">
      <c r="B84" t="s">
        <v>17</v>
      </c>
      <c r="C84" t="s">
        <v>555</v>
      </c>
      <c r="D84">
        <v>0.08</v>
      </c>
      <c r="E84" t="s">
        <v>705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704</v>
      </c>
    </row>
    <row r="85" spans="2:23">
      <c r="B85" t="s">
        <v>175</v>
      </c>
      <c r="C85" t="s">
        <v>555</v>
      </c>
      <c r="D85">
        <v>0.08</v>
      </c>
      <c r="E85" t="s">
        <v>705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704</v>
      </c>
    </row>
    <row r="86" spans="2:23">
      <c r="B86" t="s">
        <v>174</v>
      </c>
      <c r="C86" t="s">
        <v>555</v>
      </c>
      <c r="D86">
        <v>0.08</v>
      </c>
      <c r="E86" t="s">
        <v>705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704</v>
      </c>
    </row>
    <row r="87" spans="2:23">
      <c r="B87" t="s">
        <v>173</v>
      </c>
      <c r="C87" t="s">
        <v>555</v>
      </c>
      <c r="D87">
        <v>0.08</v>
      </c>
      <c r="E87" t="s">
        <v>705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704</v>
      </c>
    </row>
    <row r="88" spans="2:23">
      <c r="B88" t="s">
        <v>172</v>
      </c>
      <c r="C88" t="s">
        <v>555</v>
      </c>
      <c r="D88">
        <v>0.08</v>
      </c>
      <c r="E88" t="s">
        <v>705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704</v>
      </c>
    </row>
    <row r="89" spans="2:23">
      <c r="B89" t="s">
        <v>171</v>
      </c>
      <c r="C89" t="s">
        <v>555</v>
      </c>
      <c r="D89">
        <v>0.08</v>
      </c>
      <c r="E89" t="s">
        <v>705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704</v>
      </c>
    </row>
    <row r="90" spans="2:23">
      <c r="B90" t="s">
        <v>170</v>
      </c>
      <c r="C90" t="s">
        <v>555</v>
      </c>
      <c r="D90">
        <v>0.08</v>
      </c>
      <c r="E90" t="s">
        <v>705</v>
      </c>
      <c r="H90">
        <v>2019</v>
      </c>
      <c r="I90" t="s">
        <v>722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704</v>
      </c>
    </row>
    <row r="91" spans="2:23">
      <c r="B91" t="s">
        <v>169</v>
      </c>
      <c r="C91" t="s">
        <v>555</v>
      </c>
      <c r="D91">
        <v>0.08</v>
      </c>
      <c r="E91" t="s">
        <v>705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704</v>
      </c>
    </row>
    <row r="92" spans="2:23">
      <c r="B92" t="s">
        <v>168</v>
      </c>
      <c r="C92" t="s">
        <v>555</v>
      </c>
      <c r="D92">
        <v>0.08</v>
      </c>
      <c r="E92" t="s">
        <v>705</v>
      </c>
      <c r="H92">
        <v>2019</v>
      </c>
      <c r="I92" t="s">
        <v>723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704</v>
      </c>
    </row>
    <row r="93" spans="2:23">
      <c r="B93" t="s">
        <v>167</v>
      </c>
      <c r="C93" t="s">
        <v>555</v>
      </c>
      <c r="D93">
        <v>0.08</v>
      </c>
      <c r="E93" t="s">
        <v>705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704</v>
      </c>
    </row>
    <row r="94" spans="2:23">
      <c r="B94" t="s">
        <v>166</v>
      </c>
      <c r="C94" t="s">
        <v>555</v>
      </c>
      <c r="D94">
        <v>0.0375</v>
      </c>
      <c r="E94" t="s">
        <v>705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704</v>
      </c>
    </row>
    <row r="95" spans="2:23">
      <c r="B95" t="s">
        <v>14</v>
      </c>
      <c r="C95" t="s">
        <v>555</v>
      </c>
      <c r="D95">
        <v>0.04</v>
      </c>
      <c r="E95" t="s">
        <v>705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704</v>
      </c>
    </row>
    <row r="96" spans="2:23">
      <c r="B96" t="s">
        <v>165</v>
      </c>
      <c r="C96" t="s">
        <v>555</v>
      </c>
      <c r="D96">
        <v>0.0375</v>
      </c>
      <c r="E96" t="s">
        <v>705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704</v>
      </c>
    </row>
    <row r="97" spans="2:23">
      <c r="B97" t="s">
        <v>164</v>
      </c>
      <c r="C97" t="s">
        <v>555</v>
      </c>
      <c r="D97">
        <v>0.035</v>
      </c>
      <c r="E97" t="s">
        <v>705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704</v>
      </c>
    </row>
    <row r="98" spans="2:23">
      <c r="B98" t="s">
        <v>163</v>
      </c>
      <c r="C98" t="s">
        <v>555</v>
      </c>
      <c r="D98">
        <v>0.08</v>
      </c>
      <c r="E98" t="s">
        <v>705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704</v>
      </c>
    </row>
    <row r="99" spans="2:23">
      <c r="B99" t="s">
        <v>162</v>
      </c>
      <c r="C99" t="s">
        <v>555</v>
      </c>
      <c r="D99">
        <v>0.08</v>
      </c>
      <c r="E99" t="s">
        <v>705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704</v>
      </c>
    </row>
    <row r="100" spans="2:23">
      <c r="B100" t="s">
        <v>13</v>
      </c>
      <c r="C100" t="s">
        <v>555</v>
      </c>
      <c r="D100">
        <v>0.0375</v>
      </c>
      <c r="E100" t="s">
        <v>705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704</v>
      </c>
    </row>
    <row r="101" spans="2:23">
      <c r="B101" t="s">
        <v>161</v>
      </c>
      <c r="C101" t="s">
        <v>555</v>
      </c>
      <c r="D101">
        <v>0.0375</v>
      </c>
      <c r="E101" t="s">
        <v>705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704</v>
      </c>
    </row>
    <row r="102" spans="2:23">
      <c r="B102" t="s">
        <v>160</v>
      </c>
      <c r="C102" t="s">
        <v>555</v>
      </c>
      <c r="D102">
        <v>0.08</v>
      </c>
      <c r="E102" t="s">
        <v>705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704</v>
      </c>
    </row>
    <row r="103" spans="2:23">
      <c r="B103" t="s">
        <v>159</v>
      </c>
      <c r="C103" t="s">
        <v>555</v>
      </c>
      <c r="D103">
        <v>0.0375</v>
      </c>
      <c r="E103" t="s">
        <v>705</v>
      </c>
      <c r="H103">
        <v>2019</v>
      </c>
      <c r="I103" t="s">
        <v>724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704</v>
      </c>
    </row>
    <row r="104" spans="2:23">
      <c r="B104" t="s">
        <v>158</v>
      </c>
      <c r="C104" t="s">
        <v>555</v>
      </c>
      <c r="D104">
        <v>0.05</v>
      </c>
      <c r="E104" t="s">
        <v>705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704</v>
      </c>
    </row>
    <row r="105" spans="2:23">
      <c r="B105" t="s">
        <v>157</v>
      </c>
      <c r="C105" t="s">
        <v>555</v>
      </c>
      <c r="D105">
        <v>0.0375</v>
      </c>
      <c r="E105" t="s">
        <v>705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704</v>
      </c>
    </row>
    <row r="106" spans="2:23">
      <c r="B106" t="s">
        <v>10</v>
      </c>
      <c r="C106" t="s">
        <v>555</v>
      </c>
      <c r="D106">
        <v>0.08</v>
      </c>
      <c r="E106" t="s">
        <v>705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704</v>
      </c>
    </row>
    <row r="107" spans="2:23">
      <c r="B107" t="s">
        <v>9</v>
      </c>
      <c r="C107" t="s">
        <v>555</v>
      </c>
      <c r="D107">
        <v>0.1</v>
      </c>
      <c r="E107" t="s">
        <v>705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704</v>
      </c>
    </row>
    <row r="108" spans="2:23">
      <c r="B108" t="s">
        <v>156</v>
      </c>
      <c r="C108" t="s">
        <v>555</v>
      </c>
      <c r="D108">
        <v>0.0375</v>
      </c>
      <c r="E108" t="s">
        <v>705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704</v>
      </c>
    </row>
    <row r="109" spans="2:23">
      <c r="B109" t="s">
        <v>155</v>
      </c>
      <c r="C109" t="s">
        <v>555</v>
      </c>
      <c r="D109">
        <v>0.0375</v>
      </c>
      <c r="E109" t="s">
        <v>705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704</v>
      </c>
    </row>
    <row r="110" spans="2:23">
      <c r="B110" t="s">
        <v>154</v>
      </c>
      <c r="C110" t="s">
        <v>555</v>
      </c>
      <c r="D110">
        <v>0.08</v>
      </c>
      <c r="E110" t="s">
        <v>705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704</v>
      </c>
    </row>
    <row r="111" spans="2:23">
      <c r="B111" t="s">
        <v>153</v>
      </c>
      <c r="C111" t="s">
        <v>555</v>
      </c>
      <c r="D111">
        <v>0.08</v>
      </c>
      <c r="E111" t="s">
        <v>705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704</v>
      </c>
    </row>
    <row r="112" spans="2:23">
      <c r="B112" t="s">
        <v>152</v>
      </c>
      <c r="C112" t="s">
        <v>555</v>
      </c>
      <c r="D112">
        <v>0.0375</v>
      </c>
      <c r="E112" t="s">
        <v>705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704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704</v>
      </c>
    </row>
    <row r="114" spans="2:23">
      <c r="B114" t="s">
        <v>725</v>
      </c>
      <c r="C114" t="s">
        <v>555</v>
      </c>
      <c r="D114">
        <v>0.0375</v>
      </c>
      <c r="E114" t="s">
        <v>705</v>
      </c>
      <c r="H114">
        <v>2019</v>
      </c>
      <c r="I114" t="s">
        <v>726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704</v>
      </c>
    </row>
    <row r="115" spans="2:23">
      <c r="B115" t="s">
        <v>727</v>
      </c>
      <c r="C115" t="s">
        <v>555</v>
      </c>
      <c r="D115">
        <v>0.0375</v>
      </c>
      <c r="E115" t="s">
        <v>705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704</v>
      </c>
    </row>
    <row r="116" spans="2:23">
      <c r="B116" t="s">
        <v>728</v>
      </c>
      <c r="C116" t="s">
        <v>555</v>
      </c>
      <c r="D116">
        <v>0.0375</v>
      </c>
      <c r="E116" t="s">
        <v>705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704</v>
      </c>
    </row>
    <row r="117" spans="2:23">
      <c r="B117" t="s">
        <v>729</v>
      </c>
      <c r="C117" t="s">
        <v>555</v>
      </c>
      <c r="D117">
        <v>0.08</v>
      </c>
      <c r="E117" t="s">
        <v>705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704</v>
      </c>
    </row>
    <row r="118" spans="2:23">
      <c r="B118" t="s">
        <v>730</v>
      </c>
      <c r="C118" t="s">
        <v>555</v>
      </c>
      <c r="D118">
        <v>0.08</v>
      </c>
      <c r="E118" t="s">
        <v>705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704</v>
      </c>
    </row>
    <row r="119" spans="2:23">
      <c r="B119" t="s">
        <v>726</v>
      </c>
      <c r="C119" t="s">
        <v>555</v>
      </c>
      <c r="D119">
        <v>0.08</v>
      </c>
      <c r="E119" t="s">
        <v>705</v>
      </c>
      <c r="H119">
        <v>2019</v>
      </c>
      <c r="I119" t="s">
        <v>730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704</v>
      </c>
    </row>
    <row r="120" spans="2:23">
      <c r="B120" t="s">
        <v>724</v>
      </c>
      <c r="C120" t="s">
        <v>555</v>
      </c>
      <c r="D120">
        <v>0.08</v>
      </c>
      <c r="E120" t="s">
        <v>705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704</v>
      </c>
    </row>
    <row r="121" spans="2:23">
      <c r="B121" t="s">
        <v>723</v>
      </c>
      <c r="C121" t="s">
        <v>555</v>
      </c>
      <c r="D121">
        <v>0.08</v>
      </c>
      <c r="E121" t="s">
        <v>705</v>
      </c>
      <c r="H121">
        <v>2019</v>
      </c>
      <c r="I121" t="s">
        <v>729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704</v>
      </c>
    </row>
    <row r="122" spans="2:23">
      <c r="B122" t="s">
        <v>722</v>
      </c>
      <c r="C122" t="s">
        <v>555</v>
      </c>
      <c r="D122">
        <v>0.08</v>
      </c>
      <c r="E122" t="s">
        <v>705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704</v>
      </c>
    </row>
    <row r="123" spans="2:23">
      <c r="B123" t="s">
        <v>28</v>
      </c>
      <c r="C123" t="s">
        <v>555</v>
      </c>
      <c r="D123">
        <v>0.025</v>
      </c>
      <c r="E123" t="s">
        <v>705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704</v>
      </c>
    </row>
    <row r="124" spans="2:23">
      <c r="B124" t="s">
        <v>721</v>
      </c>
      <c r="C124" t="s">
        <v>555</v>
      </c>
      <c r="D124">
        <v>0.0375</v>
      </c>
      <c r="E124" t="s">
        <v>705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704</v>
      </c>
    </row>
    <row r="125" spans="2:23">
      <c r="B125" t="s">
        <v>374</v>
      </c>
      <c r="C125" t="s">
        <v>555</v>
      </c>
      <c r="D125">
        <v>0.08</v>
      </c>
      <c r="E125" t="s">
        <v>705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704</v>
      </c>
    </row>
    <row r="126" spans="2:23">
      <c r="B126" t="s">
        <v>26</v>
      </c>
      <c r="C126" t="s">
        <v>555</v>
      </c>
      <c r="D126">
        <v>0.0375</v>
      </c>
      <c r="E126" t="s">
        <v>705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704</v>
      </c>
    </row>
    <row r="127" spans="2:23">
      <c r="B127" t="s">
        <v>720</v>
      </c>
      <c r="C127" t="s">
        <v>555</v>
      </c>
      <c r="D127">
        <v>0.08</v>
      </c>
      <c r="E127" t="s">
        <v>705</v>
      </c>
      <c r="H127">
        <v>2019</v>
      </c>
      <c r="I127" t="s">
        <v>728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704</v>
      </c>
    </row>
    <row r="128" spans="2:23">
      <c r="B128" t="s">
        <v>719</v>
      </c>
      <c r="C128" t="s">
        <v>555</v>
      </c>
      <c r="D128">
        <v>0.08</v>
      </c>
      <c r="E128" t="s">
        <v>705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704</v>
      </c>
    </row>
    <row r="129" spans="2:23">
      <c r="B129" t="s">
        <v>718</v>
      </c>
      <c r="C129" t="s">
        <v>555</v>
      </c>
      <c r="D129">
        <v>0.01</v>
      </c>
      <c r="E129" t="s">
        <v>705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704</v>
      </c>
    </row>
    <row r="130" spans="2:23">
      <c r="B130" t="s">
        <v>717</v>
      </c>
      <c r="C130" t="s">
        <v>555</v>
      </c>
      <c r="D130">
        <v>0.05</v>
      </c>
      <c r="E130" t="s">
        <v>705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704</v>
      </c>
    </row>
    <row r="131" spans="2:23">
      <c r="B131" t="s">
        <v>716</v>
      </c>
      <c r="C131" t="s">
        <v>555</v>
      </c>
      <c r="D131">
        <v>0.08</v>
      </c>
      <c r="E131" t="s">
        <v>705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704</v>
      </c>
    </row>
    <row r="132" spans="2:23">
      <c r="B132" t="s">
        <v>715</v>
      </c>
      <c r="C132" t="s">
        <v>555</v>
      </c>
      <c r="D132">
        <v>0.08</v>
      </c>
      <c r="E132" t="s">
        <v>705</v>
      </c>
      <c r="H132">
        <v>2019</v>
      </c>
      <c r="I132" t="s">
        <v>727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704</v>
      </c>
    </row>
    <row r="133" spans="2:23">
      <c r="B133" t="s">
        <v>714</v>
      </c>
      <c r="C133" t="s">
        <v>555</v>
      </c>
      <c r="D133">
        <v>0.08</v>
      </c>
      <c r="E133" t="s">
        <v>705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704</v>
      </c>
    </row>
    <row r="134" spans="2:23">
      <c r="B134" t="s">
        <v>713</v>
      </c>
      <c r="C134" t="s">
        <v>555</v>
      </c>
      <c r="D134">
        <v>0.08</v>
      </c>
      <c r="E134" t="s">
        <v>705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704</v>
      </c>
    </row>
    <row r="135" spans="2:23">
      <c r="B135" t="s">
        <v>712</v>
      </c>
      <c r="C135" t="s">
        <v>555</v>
      </c>
      <c r="D135">
        <v>0.01</v>
      </c>
      <c r="E135" t="s">
        <v>705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704</v>
      </c>
    </row>
    <row r="136" spans="2:23">
      <c r="B136" t="s">
        <v>711</v>
      </c>
      <c r="C136" t="s">
        <v>555</v>
      </c>
      <c r="D136">
        <v>0.08</v>
      </c>
      <c r="E136" t="s">
        <v>705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704</v>
      </c>
    </row>
    <row r="137" spans="2:23">
      <c r="B137" t="s">
        <v>710</v>
      </c>
      <c r="C137" t="s">
        <v>555</v>
      </c>
      <c r="D137">
        <v>0.08</v>
      </c>
      <c r="E137" t="s">
        <v>705</v>
      </c>
      <c r="H137">
        <v>2019</v>
      </c>
      <c r="I137" t="s">
        <v>725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704</v>
      </c>
    </row>
    <row r="138" spans="2:23">
      <c r="B138" t="s">
        <v>709</v>
      </c>
      <c r="C138" t="s">
        <v>555</v>
      </c>
      <c r="D138">
        <v>0.04</v>
      </c>
      <c r="E138" t="s">
        <v>705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704</v>
      </c>
    </row>
    <row r="139" spans="2:23">
      <c r="B139" t="s">
        <v>708</v>
      </c>
      <c r="C139" t="s">
        <v>555</v>
      </c>
      <c r="D139">
        <v>0.08</v>
      </c>
      <c r="E139" t="s">
        <v>705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704</v>
      </c>
    </row>
    <row r="140" spans="2:5">
      <c r="B140" t="s">
        <v>11</v>
      </c>
      <c r="C140" t="s">
        <v>555</v>
      </c>
      <c r="D140">
        <v>0.08</v>
      </c>
      <c r="E140" t="s">
        <v>705</v>
      </c>
    </row>
    <row r="141" spans="2:5">
      <c r="B141" t="s">
        <v>707</v>
      </c>
      <c r="C141" t="s">
        <v>555</v>
      </c>
      <c r="D141">
        <v>0.05</v>
      </c>
      <c r="E141" t="s">
        <v>705</v>
      </c>
    </row>
    <row r="142" spans="2:5">
      <c r="B142" t="s">
        <v>706</v>
      </c>
      <c r="C142" t="s">
        <v>555</v>
      </c>
      <c r="D142">
        <v>0.1</v>
      </c>
      <c r="E142" t="s">
        <v>705</v>
      </c>
    </row>
    <row r="143" spans="2:5">
      <c r="B143" t="s">
        <v>703</v>
      </c>
      <c r="C143" t="s">
        <v>555</v>
      </c>
      <c r="D143">
        <v>0.08</v>
      </c>
      <c r="E143" t="s">
        <v>705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H15" sqref="H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731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732</v>
      </c>
      <c r="C7" s="1" t="s">
        <v>733</v>
      </c>
      <c r="D7" s="1" t="s">
        <v>734</v>
      </c>
      <c r="E7" s="2">
        <v>10</v>
      </c>
      <c r="F7" s="1">
        <v>0</v>
      </c>
      <c r="G7" s="1">
        <v>3</v>
      </c>
      <c r="I7" s="1" t="s">
        <v>735</v>
      </c>
    </row>
    <row r="8" spans="3:8">
      <c r="C8" s="3" t="s">
        <v>463</v>
      </c>
      <c r="D8" s="4" t="s">
        <v>736</v>
      </c>
      <c r="E8" s="4">
        <v>-60</v>
      </c>
      <c r="F8" s="4"/>
      <c r="G8" s="4"/>
      <c r="H8" s="4" t="s">
        <v>734</v>
      </c>
    </row>
    <row r="9" spans="3:8">
      <c r="C9" s="3" t="s">
        <v>463</v>
      </c>
      <c r="D9" s="4" t="s">
        <v>737</v>
      </c>
      <c r="E9" s="4">
        <v>-180</v>
      </c>
      <c r="F9" s="4"/>
      <c r="G9" s="4"/>
      <c r="H9" s="4" t="s">
        <v>734</v>
      </c>
    </row>
    <row r="10" spans="3:8">
      <c r="C10" t="s">
        <v>112</v>
      </c>
      <c r="D10" t="s">
        <v>738</v>
      </c>
      <c r="E10">
        <v>-600</v>
      </c>
      <c r="H10" t="s">
        <v>734</v>
      </c>
    </row>
    <row r="11" spans="3:8">
      <c r="C11" t="s">
        <v>112</v>
      </c>
      <c r="D11" t="s">
        <v>739</v>
      </c>
      <c r="E11">
        <v>-600</v>
      </c>
      <c r="H11" t="s">
        <v>734</v>
      </c>
    </row>
    <row r="12" s="1" customFormat="1" spans="3:8">
      <c r="C12" s="1" t="s">
        <v>112</v>
      </c>
      <c r="D12" s="1" t="s">
        <v>740</v>
      </c>
      <c r="E12" s="1">
        <v>-14.7692307692308</v>
      </c>
      <c r="H12" s="1" t="s">
        <v>734</v>
      </c>
    </row>
    <row r="13" spans="3:8">
      <c r="C13" t="s">
        <v>112</v>
      </c>
      <c r="D13" t="s">
        <v>741</v>
      </c>
      <c r="E13">
        <v>-16.8421052631579</v>
      </c>
      <c r="H13" t="s">
        <v>734</v>
      </c>
    </row>
    <row r="17" spans="3:3">
      <c r="C17" t="s">
        <v>731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742</v>
      </c>
      <c r="C19" t="s">
        <v>733</v>
      </c>
      <c r="D19" t="s">
        <v>734</v>
      </c>
      <c r="E19">
        <v>1</v>
      </c>
      <c r="F19">
        <v>0</v>
      </c>
      <c r="G19">
        <v>3</v>
      </c>
      <c r="I19" t="s">
        <v>743</v>
      </c>
    </row>
    <row r="20" spans="3:8">
      <c r="C20" t="s">
        <v>112</v>
      </c>
      <c r="D20" t="s">
        <v>736</v>
      </c>
      <c r="E20">
        <v>-60</v>
      </c>
      <c r="H20" t="s">
        <v>734</v>
      </c>
    </row>
    <row r="21" spans="3:8">
      <c r="C21" t="s">
        <v>112</v>
      </c>
      <c r="D21" t="s">
        <v>737</v>
      </c>
      <c r="E21">
        <v>-180</v>
      </c>
      <c r="H21" t="s">
        <v>734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Xiao_inserted_transco2captured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2026-02-12T23:57:34Z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