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6790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134"/>
          </rPr>
          <t>Insert Table</t>
        </r>
      </text>
    </comment>
    <comment ref="O5" authorId="2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<sst xmlns="http://schemas.openxmlformats.org/spreadsheetml/2006/main" count="320" uniqueCount="118">
  <si>
    <t>*use VLOOKUP to tell Veda inputting 1-end (comprising scenario group), each one as one scenario</t>
  </si>
  <si>
    <t>*Contributed by Amit</t>
  </si>
  <si>
    <t>~TFM_INS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</si>
  <si>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</si>
  <si>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</si>
  <si>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</si>
  <si>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</si>
  <si>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</si>
  <si>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</si>
  <si>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</si>
  <si>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</si>
  <si>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</si>
  <si>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</si>
  <si>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</si>
  <si>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</si>
  <si>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</si>
  <si>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</si>
  <si>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</si>
  <si>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*toRepurpose</t>
  </si>
  <si>
    <t>Tech</t>
  </si>
  <si>
    <t>Region</t>
  </si>
  <si>
    <t>year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</si>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</sst>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5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6" applyNumberFormat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22" fillId="13" borderId="6" applyNumberFormat="0" applyAlignment="0" applyProtection="0">
      <alignment vertical="center"/>
    </xf>
    <xf numFmtId="0" fontId="23" fillId="14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4" fillId="0" borderId="0"/>
    <xf numFmtId="0" fontId="30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0" fillId="0" borderId="0" xfId="0" applyFont="1" applyFill="1" applyBorder="1" applyAlignment="1"/>
    <xf numFmtId="0" fontId="0" fillId="5" borderId="0" xfId="0" applyFill="1"/>
    <xf numFmtId="178" fontId="0" fillId="0" borderId="0" xfId="0" applyNumberFormat="1" applyAlignment="1">
      <alignment horizontal="center" vertical="center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4" fillId="4" borderId="1" xfId="0" applyFont="1" applyFill="1" applyBorder="1" applyAlignment="1"/>
    <xf numFmtId="178" fontId="0" fillId="5" borderId="0" xfId="0" applyNumberFormat="1" applyFill="1"/>
    <xf numFmtId="0" fontId="5" fillId="7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8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6" fillId="10" borderId="2" xfId="0" applyFont="1" applyFill="1" applyBorder="1" applyAlignment="1">
      <alignment horizontal="center" wrapText="1"/>
    </xf>
    <xf numFmtId="0" fontId="6" fillId="10" borderId="2" xfId="0" applyFont="1" applyFill="1" applyBorder="1" applyAlignment="1">
      <alignment horizontal="right" vertical="top" wrapText="1"/>
    </xf>
    <xf numFmtId="0" fontId="9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right" vertical="top" wrapText="1"/>
    </xf>
    <xf numFmtId="0" fontId="11" fillId="10" borderId="2" xfId="0" applyFont="1" applyFill="1" applyBorder="1" applyAlignment="1">
      <alignment horizontal="center" wrapText="1"/>
    </xf>
    <xf numFmtId="0" fontId="11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3" zoomScaleNormal="73" workbookViewId="0">
      <selection activeCell="Q16" sqref="Q16"/>
    </sheetView>
  </sheetViews>
  <sheetFormatPr defaultColWidth="9" defaultRowHeight="14.5"/>
  <cols>
    <col min="2" max="2" width="13.0909090909091" customWidth="1"/>
    <col min="3" max="3" width="15.3636363636364" customWidth="1"/>
    <col min="4" max="4" width="10.1818181818182" customWidth="1"/>
    <col min="5" max="5" width="9.54545454545454" customWidth="1"/>
    <col min="6" max="6" width="11.6363636363636" customWidth="1"/>
    <col min="7" max="7" width="9.72727272727273" customWidth="1"/>
    <col min="8" max="8" width="10.7272727272727" customWidth="1"/>
    <col min="9" max="9" width="9.63636363636364" customWidth="1"/>
    <col min="10" max="10" width="13.6363636363636" customWidth="1"/>
    <col min="11" max="11" width="16.2727272727273" customWidth="1"/>
    <col min="12" max="12" width="8.36363636363636" customWidth="1"/>
    <col min="13" max="13" width="5.54545454545455" customWidth="1"/>
    <col min="14" max="14" width="8.72727272727273" customWidth="1"/>
    <col min="15" max="16" width="8.36363636363636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spans="3:20">
      <c r="C7" s="7"/>
      <c r="D7" s="7"/>
      <c r="H7" s="8"/>
      <c r="I7" s="8"/>
      <c r="J7" s="8" t="s">
        <v>17</v>
      </c>
      <c r="K7" s="8"/>
      <c r="L7" s="8"/>
      <c r="M7" s="8"/>
      <c r="N7">
        <v>2100</v>
      </c>
      <c r="O7" s="8"/>
      <c r="P7" s="8" t="s">
        <v>18</v>
      </c>
      <c r="Q7" s="8"/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8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19</v>
      </c>
      <c r="D16" s="7" t="s">
        <v>20</v>
      </c>
      <c r="E16" t="s">
        <v>21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18</v>
      </c>
      <c r="D17" s="7" t="s">
        <v>9</v>
      </c>
      <c r="E17">
        <v>2025</v>
      </c>
      <c r="G17" s="9">
        <f>B23+1</f>
        <v>8</v>
      </c>
      <c r="H17" s="9" t="s">
        <v>22</v>
      </c>
      <c r="I17" s="9" t="s">
        <v>9</v>
      </c>
      <c r="J17" s="15">
        <f>E19</f>
        <v>2030</v>
      </c>
      <c r="K17" s="9"/>
      <c r="L17" s="9">
        <f>G23+1</f>
        <v>1</v>
      </c>
      <c r="M17" s="9" t="s">
        <v>23</v>
      </c>
      <c r="N17" s="9" t="s">
        <v>9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">
        <v>18</v>
      </c>
      <c r="D18" s="7" t="s">
        <v>9</v>
      </c>
      <c r="E18" s="10">
        <v>2101</v>
      </c>
      <c r="G18" s="9">
        <f t="shared" ref="G18:G21" si="1">G17+1</f>
        <v>9</v>
      </c>
      <c r="H18" s="9" t="str">
        <f t="shared" ref="H18:H21" si="2">H17</f>
        <v>HydRecy*</v>
      </c>
      <c r="I18" s="9" t="s">
        <v>9</v>
      </c>
      <c r="J18" s="15">
        <f>E20</f>
        <v>2035</v>
      </c>
      <c r="K18" s="9"/>
      <c r="L18" s="9">
        <f t="shared" ref="L18:L21" si="3">L17+1</f>
        <v>2</v>
      </c>
      <c r="M18" s="9" t="s">
        <v>23</v>
      </c>
      <c r="N18" s="9" t="s">
        <v>9</v>
      </c>
      <c r="O18" s="15">
        <f>J18</f>
        <v>2035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">
        <v>18</v>
      </c>
      <c r="D19" s="7" t="s">
        <v>9</v>
      </c>
      <c r="E19" s="10">
        <v>2030</v>
      </c>
      <c r="G19" s="9">
        <f t="shared" si="1"/>
        <v>10</v>
      </c>
      <c r="H19" s="9" t="str">
        <f t="shared" si="2"/>
        <v>HydRecy*</v>
      </c>
      <c r="I19" s="9" t="s">
        <v>9</v>
      </c>
      <c r="J19" s="15">
        <f>E21</f>
        <v>2040</v>
      </c>
      <c r="K19" s="9"/>
      <c r="L19" s="9">
        <f t="shared" si="3"/>
        <v>3</v>
      </c>
      <c r="M19" s="9" t="str">
        <f t="shared" ref="M19:M21" si="4">M18</f>
        <v>PyroRecy*</v>
      </c>
      <c r="N19" s="9" t="s">
        <v>9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">
        <v>18</v>
      </c>
      <c r="D20" s="7" t="s">
        <v>9</v>
      </c>
      <c r="E20" s="10">
        <v>2035</v>
      </c>
      <c r="G20" s="9">
        <f t="shared" si="1"/>
        <v>11</v>
      </c>
      <c r="H20" s="9" t="str">
        <f t="shared" si="2"/>
        <v>HydRecy*</v>
      </c>
      <c r="I20" s="9" t="s">
        <v>9</v>
      </c>
      <c r="J20" s="15">
        <f>E22</f>
        <v>2045</v>
      </c>
      <c r="K20" s="9"/>
      <c r="L20" s="9">
        <f t="shared" si="3"/>
        <v>4</v>
      </c>
      <c r="M20" s="9" t="str">
        <f t="shared" si="4"/>
        <v>PyroRecy*</v>
      </c>
      <c r="N20" s="9" t="s">
        <v>9</v>
      </c>
      <c r="O20" s="15">
        <f>J20</f>
        <v>2045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">
        <v>18</v>
      </c>
      <c r="D21" s="7" t="s">
        <v>9</v>
      </c>
      <c r="E21" s="10">
        <v>2040</v>
      </c>
      <c r="G21" s="9">
        <f t="shared" si="1"/>
        <v>12</v>
      </c>
      <c r="H21" s="9" t="str">
        <f t="shared" si="2"/>
        <v>HydRecy*</v>
      </c>
      <c r="I21" s="9" t="s">
        <v>9</v>
      </c>
      <c r="J21" s="15">
        <f>E23</f>
        <v>2050</v>
      </c>
      <c r="K21" s="9"/>
      <c r="L21" s="9">
        <f t="shared" si="3"/>
        <v>5</v>
      </c>
      <c r="M21" s="9" t="str">
        <f t="shared" si="4"/>
        <v>PyroRecy*</v>
      </c>
      <c r="N21" s="9" t="s">
        <v>9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2:14">
      <c r="B22">
        <f t="shared" ref="B22:B24" si="5">B21+1</f>
        <v>6</v>
      </c>
      <c r="C22" s="7" t="s">
        <v>18</v>
      </c>
      <c r="D22" s="7" t="s">
        <v>9</v>
      </c>
      <c r="E22" s="10">
        <v>2045</v>
      </c>
      <c r="G22" s="9"/>
      <c r="H22" s="9"/>
      <c r="I22" s="9"/>
      <c r="K22" s="9"/>
      <c r="L22" s="9"/>
      <c r="M22" s="9"/>
      <c r="N22" s="9"/>
    </row>
    <row r="23" spans="2:14">
      <c r="B23">
        <f t="shared" si="5"/>
        <v>7</v>
      </c>
      <c r="C23" s="7" t="s">
        <v>18</v>
      </c>
      <c r="D23" s="7" t="s">
        <v>9</v>
      </c>
      <c r="E23" s="10">
        <v>2050</v>
      </c>
      <c r="G23" s="9"/>
      <c r="H23" s="9"/>
      <c r="I23" s="9"/>
      <c r="K23" s="9"/>
      <c r="L23" s="9"/>
      <c r="M23" s="9"/>
      <c r="N23" s="9"/>
    </row>
    <row r="24" spans="2:4">
      <c r="B24">
        <f t="shared" si="5"/>
        <v>8</v>
      </c>
      <c r="C24" s="7" t="s">
        <v>18</v>
      </c>
      <c r="D24" s="7" t="s">
        <v>9</v>
      </c>
    </row>
    <row r="222" ht="15.25"/>
    <row r="223" ht="35.25" spans="7:19">
      <c r="G223" s="18" t="s">
        <v>24</v>
      </c>
      <c r="H223" s="18" t="s">
        <v>25</v>
      </c>
      <c r="I223" s="18" t="s">
        <v>26</v>
      </c>
      <c r="J223" s="18" t="s">
        <v>27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28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29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30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31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20</v>
      </c>
      <c r="H236" s="16" t="s">
        <v>5</v>
      </c>
      <c r="I236" s="16" t="s">
        <v>32</v>
      </c>
      <c r="J236" s="16" t="s">
        <v>33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24</v>
      </c>
      <c r="H238" s="18" t="s">
        <v>25</v>
      </c>
      <c r="I238" s="18" t="s">
        <v>26</v>
      </c>
      <c r="J238" s="18" t="s">
        <v>34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35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36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37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38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39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40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41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42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43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44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45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46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47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20</v>
      </c>
      <c r="I263" s="16" t="s">
        <v>5</v>
      </c>
      <c r="J263" s="16" t="s">
        <v>32</v>
      </c>
      <c r="K263" s="16" t="s">
        <v>33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48</v>
      </c>
      <c r="I265" s="18" t="s">
        <v>25</v>
      </c>
      <c r="J265" s="18" t="s">
        <v>26</v>
      </c>
      <c r="K265" s="18" t="s">
        <v>49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50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51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52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53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54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55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56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57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20</v>
      </c>
      <c r="I281" s="16" t="s">
        <v>5</v>
      </c>
      <c r="J281" s="16" t="s">
        <v>32</v>
      </c>
      <c r="K281" s="16" t="s">
        <v>33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58</v>
      </c>
      <c r="I283" s="18" t="s">
        <v>25</v>
      </c>
      <c r="J283" s="18" t="s">
        <v>26</v>
      </c>
      <c r="K283" s="18" t="s">
        <v>59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60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61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62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63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64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65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66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67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20</v>
      </c>
      <c r="I300" s="16" t="s">
        <v>5</v>
      </c>
      <c r="J300" s="16" t="s">
        <v>32</v>
      </c>
      <c r="K300" s="16" t="s">
        <v>33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68</v>
      </c>
      <c r="I302" s="18" t="s">
        <v>25</v>
      </c>
      <c r="J302" s="18" t="s">
        <v>26</v>
      </c>
      <c r="K302" s="18" t="s">
        <v>69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70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71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72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73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74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75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76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77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20</v>
      </c>
      <c r="I317" s="16" t="s">
        <v>5</v>
      </c>
      <c r="J317" s="16" t="s">
        <v>32</v>
      </c>
      <c r="K317" s="16" t="s">
        <v>33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24</v>
      </c>
      <c r="I319" s="18" t="s">
        <v>25</v>
      </c>
      <c r="J319" s="18" t="s">
        <v>26</v>
      </c>
      <c r="K319" s="18" t="s">
        <v>78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79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80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81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82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83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84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85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86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20</v>
      </c>
      <c r="I332" s="16" t="s">
        <v>5</v>
      </c>
      <c r="J332" s="16" t="s">
        <v>32</v>
      </c>
      <c r="K332" s="16" t="s">
        <v>33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87</v>
      </c>
      <c r="I334" s="18" t="s">
        <v>25</v>
      </c>
      <c r="J334" s="18" t="s">
        <v>26</v>
      </c>
      <c r="K334" s="18" t="s">
        <v>88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89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90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91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92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93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94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95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96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20</v>
      </c>
      <c r="I352" s="16" t="s">
        <v>5</v>
      </c>
      <c r="J352" s="16" t="s">
        <v>32</v>
      </c>
      <c r="K352" s="16" t="s">
        <v>33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97</v>
      </c>
      <c r="I354" s="29" t="s">
        <v>25</v>
      </c>
      <c r="J354" s="29" t="s">
        <v>26</v>
      </c>
      <c r="K354" s="29" t="s">
        <v>98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99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100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101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102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103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104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105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106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20</v>
      </c>
      <c r="I370" s="16" t="s">
        <v>5</v>
      </c>
      <c r="J370" s="16" t="s">
        <v>32</v>
      </c>
      <c r="K370" s="16" t="s">
        <v>33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97</v>
      </c>
      <c r="I372" s="18" t="s">
        <v>25</v>
      </c>
      <c r="J372" s="18" t="s">
        <v>26</v>
      </c>
      <c r="K372" s="18" t="s">
        <v>107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108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109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110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111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112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113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114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115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20</v>
      </c>
      <c r="I391" s="16" t="s">
        <v>5</v>
      </c>
      <c r="J391" s="16" t="s">
        <v>32</v>
      </c>
      <c r="K391" s="16" t="s">
        <v>33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116</v>
      </c>
      <c r="I393" s="29" t="s">
        <v>25</v>
      </c>
      <c r="J393" s="29" t="s">
        <v>26</v>
      </c>
      <c r="K393" s="29" t="s">
        <v>39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40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41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42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43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44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45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46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47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20</v>
      </c>
      <c r="I406" s="16" t="s">
        <v>5</v>
      </c>
      <c r="J406" s="16" t="s">
        <v>32</v>
      </c>
      <c r="K406" s="16" t="s">
        <v>33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48</v>
      </c>
      <c r="I408" s="18" t="s">
        <v>25</v>
      </c>
      <c r="J408" s="18" t="s">
        <v>26</v>
      </c>
      <c r="K408" s="18" t="s">
        <v>49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50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51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52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53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54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55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56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57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20</v>
      </c>
      <c r="I419" s="16" t="s">
        <v>5</v>
      </c>
      <c r="J419" s="16" t="s">
        <v>32</v>
      </c>
      <c r="K419" s="16" t="s">
        <v>33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48</v>
      </c>
      <c r="I421" s="18" t="s">
        <v>117</v>
      </c>
      <c r="J421" s="18" t="s">
        <v>26</v>
      </c>
      <c r="K421" s="18" t="s">
        <v>49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50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51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52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53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54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55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56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57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20</v>
      </c>
      <c r="I437" s="16" t="s">
        <v>5</v>
      </c>
      <c r="J437" s="16" t="s">
        <v>32</v>
      </c>
      <c r="K437" s="16" t="s">
        <v>33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58</v>
      </c>
      <c r="I439" s="31" t="s">
        <v>25</v>
      </c>
      <c r="J439" s="31" t="s">
        <v>26</v>
      </c>
      <c r="K439" s="31" t="s">
        <v>59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60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61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62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63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64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65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66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67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20</v>
      </c>
      <c r="I454" s="16" t="s">
        <v>5</v>
      </c>
      <c r="J454" s="16" t="s">
        <v>32</v>
      </c>
      <c r="K454" s="16" t="s">
        <v>33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68</v>
      </c>
      <c r="I456" s="26" t="s">
        <v>25</v>
      </c>
      <c r="J456" s="26" t="s">
        <v>26</v>
      </c>
      <c r="K456" s="26" t="s">
        <v>69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70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71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72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73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74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75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76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77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20</v>
      </c>
      <c r="J473" s="16" t="s">
        <v>5</v>
      </c>
      <c r="K473" s="16" t="s">
        <v>32</v>
      </c>
      <c r="L473" s="16" t="s">
        <v>33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24</v>
      </c>
      <c r="J475" s="29" t="s">
        <v>25</v>
      </c>
      <c r="K475" s="29" t="s">
        <v>26</v>
      </c>
      <c r="L475" s="29" t="s">
        <v>78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79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80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81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82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83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84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85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86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20</v>
      </c>
      <c r="J489" s="16" t="s">
        <v>5</v>
      </c>
      <c r="K489" s="16" t="s">
        <v>32</v>
      </c>
      <c r="L489" s="16" t="s">
        <v>33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87</v>
      </c>
      <c r="J491" s="18" t="s">
        <v>25</v>
      </c>
      <c r="K491" s="18" t="s">
        <v>26</v>
      </c>
      <c r="L491" s="18" t="s">
        <v>88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89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90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91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92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93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94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95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96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20</v>
      </c>
      <c r="J506" s="16" t="s">
        <v>5</v>
      </c>
      <c r="K506" s="16" t="s">
        <v>32</v>
      </c>
      <c r="L506" s="16" t="s">
        <v>33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97</v>
      </c>
      <c r="J508" s="18" t="s">
        <v>25</v>
      </c>
      <c r="K508" s="18" t="s">
        <v>26</v>
      </c>
      <c r="L508" s="18" t="s">
        <v>98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99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100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101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102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103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104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105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106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2025-11-14T19:18:51Z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1033-12.2.0.23155</vt:lpwstr>
  </property>
</Properties>
</file>