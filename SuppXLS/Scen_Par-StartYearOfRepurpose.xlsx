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xiao_li8_mcgill_ca/Documents/Desktop/manu11_Battery_ISIE/KiNESYS_BattCircularity-main/KiNESYS_BattCircularity-main/SuppXLS/"/>
    </mc:Choice>
  </mc:AlternateContent>
  <xr:revisionPtr revIDLastSave="13" documentId="11_4D245B54E606F92CB2822B44FB8DC5F73215B0EC" xr6:coauthVersionLast="47" xr6:coauthVersionMax="47" xr10:uidLastSave="{E67AD1E2-A706-43E0-9E2B-D35FA06C4F8A}"/>
  <bookViews>
    <workbookView xWindow="-110" yWindow="-110" windowWidth="19420" windowHeight="12220" xr2:uid="{00000000-000D-0000-FFFF-FFFF00000000}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2" l="1"/>
  <c r="B23" i="2" s="1"/>
  <c r="U516" i="2"/>
  <c r="U515" i="2"/>
  <c r="U514" i="2"/>
  <c r="U513" i="2"/>
  <c r="U512" i="2"/>
  <c r="U511" i="2"/>
  <c r="U510" i="2"/>
  <c r="U509" i="2"/>
  <c r="U508" i="2"/>
  <c r="U499" i="2"/>
  <c r="U498" i="2"/>
  <c r="U497" i="2"/>
  <c r="U496" i="2"/>
  <c r="U495" i="2"/>
  <c r="U494" i="2"/>
  <c r="U493" i="2"/>
  <c r="U492" i="2"/>
  <c r="U491" i="2"/>
  <c r="U483" i="2"/>
  <c r="U482" i="2"/>
  <c r="U481" i="2"/>
  <c r="U480" i="2"/>
  <c r="U479" i="2"/>
  <c r="U478" i="2"/>
  <c r="U477" i="2"/>
  <c r="U476" i="2"/>
  <c r="U475" i="2"/>
  <c r="U464" i="2"/>
  <c r="U463" i="2"/>
  <c r="U462" i="2"/>
  <c r="U461" i="2"/>
  <c r="U460" i="2"/>
  <c r="U459" i="2"/>
  <c r="U458" i="2"/>
  <c r="U457" i="2"/>
  <c r="U456" i="2"/>
  <c r="U447" i="2"/>
  <c r="U446" i="2"/>
  <c r="U445" i="2"/>
  <c r="U444" i="2"/>
  <c r="U443" i="2"/>
  <c r="U442" i="2"/>
  <c r="U441" i="2"/>
  <c r="U440" i="2"/>
  <c r="U439" i="2"/>
  <c r="U429" i="2"/>
  <c r="U428" i="2"/>
  <c r="U427" i="2"/>
  <c r="U426" i="2"/>
  <c r="U425" i="2"/>
  <c r="U424" i="2"/>
  <c r="U423" i="2"/>
  <c r="U422" i="2"/>
  <c r="U421" i="2"/>
  <c r="U416" i="2"/>
  <c r="U415" i="2"/>
  <c r="U414" i="2"/>
  <c r="U413" i="2"/>
  <c r="U412" i="2"/>
  <c r="U411" i="2"/>
  <c r="U410" i="2"/>
  <c r="U409" i="2"/>
  <c r="U408" i="2"/>
  <c r="U401" i="2"/>
  <c r="U400" i="2"/>
  <c r="U399" i="2"/>
  <c r="U398" i="2"/>
  <c r="U397" i="2"/>
  <c r="U396" i="2"/>
  <c r="U395" i="2"/>
  <c r="U394" i="2"/>
  <c r="W393" i="2"/>
  <c r="U393" i="2"/>
  <c r="U380" i="2"/>
  <c r="U379" i="2"/>
  <c r="U378" i="2"/>
  <c r="U377" i="2"/>
  <c r="U376" i="2"/>
  <c r="U375" i="2"/>
  <c r="U374" i="2"/>
  <c r="U373" i="2"/>
  <c r="U372" i="2"/>
  <c r="U362" i="2"/>
  <c r="U361" i="2"/>
  <c r="U360" i="2"/>
  <c r="U359" i="2"/>
  <c r="U358" i="2"/>
  <c r="U357" i="2"/>
  <c r="U356" i="2"/>
  <c r="U355" i="2"/>
  <c r="U354" i="2"/>
  <c r="U342" i="2"/>
  <c r="U341" i="2"/>
  <c r="U340" i="2"/>
  <c r="U339" i="2"/>
  <c r="U338" i="2"/>
  <c r="U337" i="2"/>
  <c r="U336" i="2"/>
  <c r="U335" i="2"/>
  <c r="U334" i="2"/>
  <c r="U327" i="2"/>
  <c r="U326" i="2"/>
  <c r="U325" i="2"/>
  <c r="U324" i="2"/>
  <c r="U323" i="2"/>
  <c r="U322" i="2"/>
  <c r="U321" i="2"/>
  <c r="U320" i="2"/>
  <c r="U319" i="2"/>
  <c r="U310" i="2"/>
  <c r="U309" i="2"/>
  <c r="U308" i="2"/>
  <c r="U307" i="2"/>
  <c r="U306" i="2"/>
  <c r="U305" i="2"/>
  <c r="U304" i="2"/>
  <c r="U303" i="2"/>
  <c r="U302" i="2"/>
  <c r="U291" i="2"/>
  <c r="U290" i="2"/>
  <c r="U289" i="2"/>
  <c r="U288" i="2"/>
  <c r="U287" i="2"/>
  <c r="U286" i="2"/>
  <c r="U285" i="2"/>
  <c r="U284" i="2"/>
  <c r="U283" i="2"/>
  <c r="U273" i="2"/>
  <c r="U272" i="2"/>
  <c r="U271" i="2"/>
  <c r="U270" i="2"/>
  <c r="U269" i="2"/>
  <c r="U268" i="2"/>
  <c r="U267" i="2"/>
  <c r="U266" i="2"/>
  <c r="U265" i="2"/>
  <c r="Q258" i="2"/>
  <c r="Q257" i="2"/>
  <c r="Q256" i="2"/>
  <c r="Q255" i="2"/>
  <c r="Q254" i="2"/>
  <c r="Q253" i="2"/>
  <c r="Q252" i="2"/>
  <c r="Q251" i="2"/>
  <c r="Q250" i="2"/>
  <c r="S242" i="2"/>
  <c r="S241" i="2"/>
  <c r="S240" i="2"/>
  <c r="S239" i="2"/>
  <c r="S238" i="2"/>
  <c r="S227" i="2"/>
  <c r="S226" i="2"/>
  <c r="S225" i="2"/>
  <c r="S224" i="2"/>
  <c r="S223" i="2"/>
  <c r="AP21" i="2"/>
  <c r="M21" i="2"/>
  <c r="L21" i="2"/>
  <c r="J21" i="2"/>
  <c r="O21" i="2" s="1"/>
  <c r="H21" i="2"/>
  <c r="B21" i="2"/>
  <c r="AP20" i="2"/>
  <c r="M20" i="2"/>
  <c r="L20" i="2"/>
  <c r="J20" i="2"/>
  <c r="O20" i="2" s="1"/>
  <c r="H20" i="2"/>
  <c r="B20" i="2"/>
  <c r="AP19" i="2"/>
  <c r="M19" i="2"/>
  <c r="L19" i="2"/>
  <c r="J19" i="2"/>
  <c r="O19" i="2" s="1"/>
  <c r="H19" i="2"/>
  <c r="B19" i="2"/>
  <c r="AP18" i="2"/>
  <c r="O18" i="2"/>
  <c r="L18" i="2"/>
  <c r="J18" i="2"/>
  <c r="H18" i="2"/>
  <c r="AP17" i="2"/>
  <c r="L17" i="2"/>
  <c r="J17" i="2"/>
  <c r="O17" i="2" s="1"/>
  <c r="AP16" i="2"/>
  <c r="AP15" i="2"/>
  <c r="E5" i="2"/>
  <c r="N7" i="2" s="1"/>
  <c r="D5" i="2"/>
  <c r="C5" i="2"/>
  <c r="P7" i="2" s="1"/>
  <c r="B24" i="2" l="1"/>
  <c r="G17" i="2"/>
  <c r="G18" i="2" s="1"/>
  <c r="G19" i="2" s="1"/>
  <c r="G20" i="2" s="1"/>
  <c r="G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xli9</author>
    <author>Maurizio Gargiulo</author>
    <author>Gary Goldstein</author>
  </authors>
  <commentList>
    <comment ref="B3" authorId="0" shapeId="0" xr:uid="{00000000-0006-0000-0000-000001000000}">
      <text>
        <r>
          <rPr>
            <b/>
            <sz val="9"/>
            <rFont val="Times New Roman"/>
          </rPr>
          <t>xli9:</t>
        </r>
        <r>
          <rPr>
            <sz val="9"/>
            <rFont val="Times New Roman"/>
          </rPr>
          <t xml:space="preserve">
this is just one piece of them, one example</t>
        </r>
      </text>
    </comment>
    <comment ref="H5" authorId="1" shapeId="0" xr:uid="{00000000-0006-0000-0000-000002000000}">
      <text>
        <r>
          <rPr>
            <b/>
            <sz val="8"/>
            <rFont val="Tahoma"/>
          </rPr>
          <t>Insert Table</t>
        </r>
      </text>
    </comment>
    <comment ref="O5" authorId="2" shapeId="0" xr:uid="{00000000-0006-0000-0000-000003000000}">
      <text>
        <r>
          <rPr>
            <sz val="8"/>
            <rFont val="Tahoma"/>
          </rPr>
          <t>Define the qualifiers based upon technology set + topology + name + descriptions, according to both include and exclude specifications.</t>
        </r>
      </text>
    </comment>
    <comment ref="T5" authorId="2" shapeId="0" xr:uid="{00000000-0006-0000-0000-000004000000}">
      <text>
        <r>
          <rPr>
            <sz val="8"/>
            <rFont val="Tahoma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<sst xmlns="http://schemas.openxmlformats.org/spreadsheetml/2006/main" count="320" uniqueCount="119">
  <si>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</si>
  <si>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</si>
  <si>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</si>
  <si>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</si>
  <si>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</si>
  <si>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</si>
  <si>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</si>
  <si>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</si>
  <si>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</si>
  <si>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</si>
  <si>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</si>
  <si>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</si>
  <si>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</si>
  <si>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</si>
  <si>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</si>
  <si>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</si>
  <si>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</si>
  <si>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</si>
  <si>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Tech</t>
  </si>
  <si>
    <t>Region</t>
  </si>
  <si>
    <t>year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</si>
  <si>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</si>
  <si>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</si>
  <si>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</si>
  <si>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</si>
  <si>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</si>
  <si>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</si>
  <si>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</si>
  <si>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</si>
  <si>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</si>
  <si>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</si>
  <si>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</si>
  <si>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</si>
  <si>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</si>
  <si>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</si>
  <si>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</si>
  <si>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</si>
  <si>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</si>
  <si>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</si>
  <si>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</si>
  <si>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</si>
  <si>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</si>
  <si>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</si>
  <si>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</si>
  <si>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</si>
  <si>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</si>
  <si>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</si>
  <si>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</si>
  <si>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</si>
  <si>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</si>
  <si>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</si>
  <si>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</si>
  <si>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</si>
  <si>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</si>
  <si>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</si>
  <si>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</si>
  <si>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</si>
  <si>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</si>
  <si>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</si>
  <si>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</si>
  <si>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</si>
  <si>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</si>
  <si>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</si>
  <si>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</si>
  <si>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</si>
  <si>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</si>
  <si>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</si>
  <si>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</si>
  <si>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</si>
  <si>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</si>
  <si>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</si>
  <si>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</si>
  <si>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</si>
  <si>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</si>
  <si>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</si>
  <si>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</si>
  <si>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</si>
  <si>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</si>
  <si>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</si>
  <si>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</si>
  <si>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</si>
  <si>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</si>
  <si>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</si>
  <si>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</si>
  <si>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</si>
  <si>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</si>
  <si>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</si>
  <si>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</si>
  <si>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</si>
  <si>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</si>
  <si>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</si>
  <si>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</si>
  <si>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</si>
  <si>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</si>
  <si>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</si>
  <si>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</si>
  <si>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</si>
  <si>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</si>
  <si>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</si>
  <si>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</si>
  <si>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</si>
  <si>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</si>
  <si>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</si>
  <si>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</si>
  <si>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</si>
  <si>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</si>
  <si>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</si>
  <si>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</si>
  <si>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</si>
  <si>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</si>
  <si>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</si>
  <si>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</si>
  <si>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</si>
  <si>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</si>
  <si>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</si>
  <si>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</si>
  <si>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</si>
  <si>
    <t>~inputcell: 1-7</t>
  </si>
  <si>
    <t>*toRecy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</si>
</sst>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_ "/>
  </numFmts>
  <fonts count="19">
    <font>
      <sz val="11"/>
      <color theme="1"/>
      <name val="Calibri"/>
      <charset val="134"/>
      <scheme val="minor"/>
    </font>
    <font>
      <b/>
      <sz val="10"/>
      <color indexed="12"/>
      <name val="Arial"/>
    </font>
    <font>
      <sz val="11"/>
      <color rgb="FF9C5700"/>
      <name val="Calibri"/>
      <charset val="134"/>
      <scheme val="minor"/>
    </font>
    <font>
      <b/>
      <sz val="10"/>
      <name val="Arial"/>
    </font>
    <font>
      <sz val="11"/>
      <color theme="1"/>
      <name val="Calibri"/>
      <scheme val="minor"/>
    </font>
    <font>
      <sz val="10"/>
      <name val="Arial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</font>
    <font>
      <sz val="8"/>
      <name val="Tahoma"/>
    </font>
    <font>
      <sz val="9"/>
      <name val="Times New Roman"/>
    </font>
    <font>
      <b/>
      <sz val="8"/>
      <name val="Tahoma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13" fillId="0" borderId="0"/>
    <xf numFmtId="0" fontId="14" fillId="0" borderId="0"/>
  </cellStyleXfs>
  <cellXfs count="39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1" applyFill="1"/>
    <xf numFmtId="0" fontId="2" fillId="3" borderId="0" xfId="1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65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65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  <xf numFmtId="0" fontId="0" fillId="8" borderId="0" xfId="0" applyFill="1"/>
    <xf numFmtId="0" fontId="6" fillId="7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</cellXfs>
  <cellStyles count="4">
    <cellStyle name="Neutral" xfId="1" builtinId="28"/>
    <cellStyle name="Normal" xfId="0" builtinId="0"/>
    <cellStyle name="Normal 10" xfId="2" xr:uid="{00000000-0005-0000-0000-000031000000}"/>
    <cellStyle name="Normale_Scen_UC_IND-StrucConst" xfId="3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516"/>
  <sheetViews>
    <sheetView tabSelected="1" zoomScale="73" zoomScaleNormal="62" workbookViewId="0">
      <selection activeCell="C26" sqref="C26"/>
    </sheetView>
  </sheetViews>
  <sheetFormatPr defaultColWidth="9" defaultRowHeight="14.5"/>
  <cols>
    <col min="2" max="2" width="13.08984375" customWidth="1"/>
    <col min="3" max="3" width="15.36328125" customWidth="1"/>
    <col min="4" max="4" width="10.1796875" customWidth="1"/>
    <col min="5" max="5" width="9.54296875" customWidth="1"/>
    <col min="6" max="6" width="11.6328125" customWidth="1"/>
    <col min="7" max="7" width="9.7265625" customWidth="1"/>
    <col min="8" max="8" width="10.7265625" customWidth="1"/>
    <col min="9" max="9" width="9.6328125" customWidth="1"/>
    <col min="10" max="10" width="13.6328125" customWidth="1"/>
    <col min="11" max="11" width="16.26953125" customWidth="1"/>
    <col min="12" max="12" width="8.36328125" customWidth="1"/>
    <col min="13" max="13" width="5.54296875" customWidth="1"/>
    <col min="14" max="14" width="8.7265625" customWidth="1"/>
    <col min="15" max="16" width="8.36328125" customWidth="1"/>
    <col min="17" max="17" width="12.81640625"/>
    <col min="19" max="19" width="12.81640625"/>
    <col min="21" max="21" width="11.7265625"/>
    <col min="42" max="42" width="12.81640625"/>
  </cols>
  <sheetData>
    <row r="1" spans="2:42" ht="14.5" customHeight="1">
      <c r="I1" t="s">
        <v>0</v>
      </c>
    </row>
    <row r="2" spans="2:42" ht="14.5" customHeight="1">
      <c r="B2" t="s">
        <v>117</v>
      </c>
      <c r="I2" t="s">
        <v>1</v>
      </c>
    </row>
    <row r="3" spans="2:42" ht="14.5" customHeight="1">
      <c r="B3">
        <v>3</v>
      </c>
    </row>
    <row r="5" spans="2:42" ht="14.5" customHeight="1">
      <c r="C5" s="1" t="str">
        <f>VLOOKUP($B$3,$B$17:$E$37,C$6,FALSE)</f>
        <v>*toRecy</v>
      </c>
      <c r="D5" s="1" t="str">
        <f>VLOOKUP($B$3,$B$17:$E$37,D$6,FALSE)</f>
        <v>AllRegions</v>
      </c>
      <c r="E5" s="2">
        <f>VLOOKUP($B$3,$B$17:$E$37,E$6,FALSE)</f>
        <v>2030</v>
      </c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spans="2:42" ht="14.5" customHeight="1">
      <c r="C6" s="4">
        <v>2</v>
      </c>
      <c r="D6" s="4">
        <v>3</v>
      </c>
      <c r="E6" s="5">
        <v>4</v>
      </c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2:42">
      <c r="C7" s="7"/>
      <c r="D7" s="7"/>
      <c r="H7" s="8"/>
      <c r="I7" s="8"/>
      <c r="J7" s="8" t="s">
        <v>17</v>
      </c>
      <c r="K7" s="8"/>
      <c r="L7" s="8"/>
      <c r="M7" s="8"/>
      <c r="N7">
        <f>E5</f>
        <v>2030</v>
      </c>
      <c r="O7" s="8"/>
      <c r="P7" s="8" t="str">
        <f>C5</f>
        <v>*toRecy</v>
      </c>
      <c r="Q7" s="8"/>
      <c r="R7" s="8"/>
      <c r="S7" s="8"/>
      <c r="T7" s="8"/>
    </row>
    <row r="8" spans="2:42">
      <c r="H8" s="8"/>
      <c r="I8" s="8"/>
      <c r="J8" s="8"/>
      <c r="K8" s="8"/>
      <c r="L8" s="8"/>
      <c r="N8" s="8"/>
      <c r="O8" s="8"/>
      <c r="P8" s="8"/>
      <c r="Q8" s="8"/>
      <c r="R8" s="8"/>
      <c r="S8" s="8"/>
      <c r="T8" s="8"/>
    </row>
    <row r="9" spans="2:42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3" spans="2:42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2:42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spans="2:42">
      <c r="AC15" s="35"/>
      <c r="AD15" s="35"/>
      <c r="AE15" s="35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spans="2:42">
      <c r="C16" s="7" t="s">
        <v>18</v>
      </c>
      <c r="D16" s="7" t="s">
        <v>19</v>
      </c>
      <c r="E16" t="s">
        <v>20</v>
      </c>
      <c r="AC16" s="35"/>
      <c r="AD16" s="35"/>
      <c r="AE16" s="35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spans="2:42">
      <c r="B17">
        <v>1</v>
      </c>
      <c r="C17" s="7" t="s">
        <v>118</v>
      </c>
      <c r="D17" s="7" t="s">
        <v>9</v>
      </c>
      <c r="E17">
        <v>2020</v>
      </c>
      <c r="G17" s="10">
        <f>B23+1</f>
        <v>8</v>
      </c>
      <c r="H17" s="10" t="s">
        <v>21</v>
      </c>
      <c r="I17" s="10" t="s">
        <v>9</v>
      </c>
      <c r="J17" s="15">
        <f>E19</f>
        <v>2030</v>
      </c>
      <c r="K17" s="10"/>
      <c r="L17" s="10">
        <f>G23+1</f>
        <v>1</v>
      </c>
      <c r="M17" s="10" t="s">
        <v>22</v>
      </c>
      <c r="N17" s="10" t="s">
        <v>9</v>
      </c>
      <c r="O17" s="15">
        <f>J17</f>
        <v>2030</v>
      </c>
      <c r="AC17" s="35"/>
      <c r="AD17" s="35"/>
      <c r="AE17" s="35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spans="2:42">
      <c r="B18">
        <v>2</v>
      </c>
      <c r="C18" s="7" t="s">
        <v>118</v>
      </c>
      <c r="D18" s="7" t="s">
        <v>9</v>
      </c>
      <c r="E18" s="9">
        <v>2025</v>
      </c>
      <c r="G18" s="10">
        <f t="shared" ref="G18:G21" si="1">G17+1</f>
        <v>9</v>
      </c>
      <c r="H18" s="10" t="str">
        <f t="shared" ref="H18:H21" si="2">H17</f>
        <v>HydRecy*</v>
      </c>
      <c r="I18" s="10" t="s">
        <v>9</v>
      </c>
      <c r="J18" s="15">
        <f>E20</f>
        <v>2035</v>
      </c>
      <c r="K18" s="10"/>
      <c r="L18" s="10">
        <f t="shared" ref="L18:L21" si="3">L17+1</f>
        <v>2</v>
      </c>
      <c r="M18" s="10" t="s">
        <v>22</v>
      </c>
      <c r="N18" s="10" t="s">
        <v>9</v>
      </c>
      <c r="O18" s="15">
        <f>J18</f>
        <v>2035</v>
      </c>
      <c r="AC18" s="35"/>
      <c r="AD18" s="35"/>
      <c r="AE18" s="35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spans="2:42">
      <c r="B19">
        <f>B18+1</f>
        <v>3</v>
      </c>
      <c r="C19" s="7" t="s">
        <v>118</v>
      </c>
      <c r="D19" s="7" t="s">
        <v>9</v>
      </c>
      <c r="E19" s="9">
        <v>2030</v>
      </c>
      <c r="G19" s="10">
        <f t="shared" si="1"/>
        <v>10</v>
      </c>
      <c r="H19" s="10" t="str">
        <f t="shared" si="2"/>
        <v>HydRecy*</v>
      </c>
      <c r="I19" s="10" t="s">
        <v>9</v>
      </c>
      <c r="J19" s="15">
        <f>E21</f>
        <v>2040</v>
      </c>
      <c r="K19" s="10"/>
      <c r="L19" s="10">
        <f t="shared" si="3"/>
        <v>3</v>
      </c>
      <c r="M19" s="10" t="str">
        <f t="shared" ref="M19:M21" si="4">M18</f>
        <v>PyroRecy*</v>
      </c>
      <c r="N19" s="10" t="s">
        <v>9</v>
      </c>
      <c r="O19" s="15">
        <f>J19</f>
        <v>2040</v>
      </c>
      <c r="AC19" s="35"/>
      <c r="AD19" s="35"/>
      <c r="AE19" s="35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spans="2:42">
      <c r="B20">
        <f>B19+1</f>
        <v>4</v>
      </c>
      <c r="C20" s="7" t="s">
        <v>118</v>
      </c>
      <c r="D20" s="7" t="s">
        <v>9</v>
      </c>
      <c r="E20" s="9">
        <v>2035</v>
      </c>
      <c r="G20" s="10">
        <f t="shared" si="1"/>
        <v>11</v>
      </c>
      <c r="H20" s="10" t="str">
        <f t="shared" si="2"/>
        <v>HydRecy*</v>
      </c>
      <c r="I20" s="10" t="s">
        <v>9</v>
      </c>
      <c r="J20" s="15">
        <f>E22</f>
        <v>2045</v>
      </c>
      <c r="K20" s="10"/>
      <c r="L20" s="10">
        <f t="shared" si="3"/>
        <v>4</v>
      </c>
      <c r="M20" s="10" t="str">
        <f t="shared" si="4"/>
        <v>PyroRecy*</v>
      </c>
      <c r="N20" s="10" t="s">
        <v>9</v>
      </c>
      <c r="O20" s="15">
        <f>J20</f>
        <v>2045</v>
      </c>
      <c r="AC20" s="35"/>
      <c r="AD20" s="35"/>
      <c r="AE20" s="35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spans="2:42">
      <c r="B21">
        <f>B20+1</f>
        <v>5</v>
      </c>
      <c r="C21" s="7" t="s">
        <v>118</v>
      </c>
      <c r="D21" s="7" t="s">
        <v>9</v>
      </c>
      <c r="E21" s="9">
        <v>2040</v>
      </c>
      <c r="G21" s="10">
        <f t="shared" si="1"/>
        <v>12</v>
      </c>
      <c r="H21" s="10" t="str">
        <f t="shared" si="2"/>
        <v>HydRecy*</v>
      </c>
      <c r="I21" s="10" t="s">
        <v>9</v>
      </c>
      <c r="J21" s="15">
        <f>E23</f>
        <v>2050</v>
      </c>
      <c r="K21" s="10"/>
      <c r="L21" s="10">
        <f t="shared" si="3"/>
        <v>5</v>
      </c>
      <c r="M21" s="10" t="str">
        <f t="shared" si="4"/>
        <v>PyroRecy*</v>
      </c>
      <c r="N21" s="10" t="s">
        <v>9</v>
      </c>
      <c r="O21" s="15">
        <f>J21</f>
        <v>2050</v>
      </c>
      <c r="AC21" s="35"/>
      <c r="AD21" s="35"/>
      <c r="AE21" s="35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2:42">
      <c r="B22">
        <f t="shared" ref="B22:B24" si="5">B21+1</f>
        <v>6</v>
      </c>
      <c r="C22" s="7" t="s">
        <v>118</v>
      </c>
      <c r="D22" s="7" t="s">
        <v>9</v>
      </c>
      <c r="E22" s="9">
        <v>2045</v>
      </c>
      <c r="G22" s="10"/>
      <c r="H22" s="10"/>
      <c r="I22" s="10"/>
      <c r="K22" s="10"/>
      <c r="L22" s="10"/>
      <c r="M22" s="10"/>
      <c r="N22" s="10"/>
    </row>
    <row r="23" spans="2:42">
      <c r="B23">
        <f t="shared" si="5"/>
        <v>7</v>
      </c>
      <c r="C23" s="7" t="s">
        <v>118</v>
      </c>
      <c r="D23" s="7" t="s">
        <v>9</v>
      </c>
      <c r="E23" s="9">
        <v>2050</v>
      </c>
      <c r="G23" s="10"/>
      <c r="H23" s="10"/>
      <c r="I23" s="10"/>
      <c r="K23" s="10"/>
      <c r="L23" s="10"/>
      <c r="M23" s="10"/>
      <c r="N23" s="10"/>
    </row>
    <row r="24" spans="2:42">
      <c r="B24">
        <f t="shared" si="5"/>
        <v>8</v>
      </c>
      <c r="C24" s="7" t="s">
        <v>118</v>
      </c>
      <c r="D24" s="7" t="s">
        <v>9</v>
      </c>
      <c r="E24" s="9">
        <v>2101</v>
      </c>
    </row>
    <row r="223" spans="7:19" ht="35">
      <c r="G223" s="35" t="s">
        <v>23</v>
      </c>
      <c r="H223" s="35" t="s">
        <v>24</v>
      </c>
      <c r="I223" s="35" t="s">
        <v>25</v>
      </c>
      <c r="J223" s="18" t="s">
        <v>26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29674.560000000001</v>
      </c>
      <c r="Q223" s="19">
        <v>8100.75</v>
      </c>
      <c r="S223">
        <f>K223*1+L223*2+SUM(M223:Q223)*5</f>
        <v>1910513.82</v>
      </c>
    </row>
    <row r="224" spans="7:19" ht="35">
      <c r="G224" s="35"/>
      <c r="H224" s="35"/>
      <c r="I224" s="35"/>
      <c r="J224" s="18" t="s">
        <v>27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spans="4:19" ht="35">
      <c r="G225" s="35"/>
      <c r="H225" s="35"/>
      <c r="I225" s="35"/>
      <c r="J225" s="18" t="s">
        <v>28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1912005.5079999999</v>
      </c>
    </row>
    <row r="226" spans="4:19" ht="35">
      <c r="G226" s="35"/>
      <c r="H226" s="35"/>
      <c r="I226" s="35"/>
      <c r="J226" s="18" t="s">
        <v>29</v>
      </c>
      <c r="K226" s="19">
        <v>131619.41</v>
      </c>
      <c r="L226" s="19">
        <v>123125.02099999999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spans="4:19" ht="35">
      <c r="G227" s="35"/>
      <c r="H227" s="35"/>
      <c r="I227" s="35"/>
      <c r="J227" s="18" t="s">
        <v>30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72199.820000000007</v>
      </c>
      <c r="P227" s="19">
        <v>29664.74</v>
      </c>
      <c r="Q227" s="19">
        <v>7780.34</v>
      </c>
      <c r="S227">
        <f>K227*1+L227*2+SUM(M227:Q227)*5</f>
        <v>1909572.27</v>
      </c>
    </row>
    <row r="228" spans="4:19">
      <c r="G228" s="21"/>
      <c r="H228" s="21"/>
      <c r="I228" s="23"/>
    </row>
    <row r="229" spans="4:19">
      <c r="G229" s="21"/>
      <c r="H229" s="21"/>
      <c r="I229" s="23"/>
    </row>
    <row r="230" spans="4:19">
      <c r="G230" s="21"/>
      <c r="H230" s="21"/>
      <c r="I230" s="24"/>
      <c r="K230" s="23"/>
    </row>
    <row r="231" spans="4:19">
      <c r="G231" s="21"/>
      <c r="H231" s="21"/>
      <c r="K231" s="23"/>
    </row>
    <row r="232" spans="4:19">
      <c r="G232" s="21"/>
      <c r="H232" s="21"/>
      <c r="K232" s="21"/>
    </row>
    <row r="233" spans="4:19">
      <c r="G233" s="21"/>
      <c r="H233" s="21"/>
      <c r="K233" s="21"/>
    </row>
    <row r="236" spans="4:19" ht="28">
      <c r="D236" s="22"/>
      <c r="G236" s="16" t="s">
        <v>19</v>
      </c>
      <c r="H236" s="16" t="s">
        <v>5</v>
      </c>
      <c r="I236" s="16" t="s">
        <v>31</v>
      </c>
      <c r="J236" s="16" t="s">
        <v>32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spans="4:19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spans="4:19" ht="23.5">
      <c r="G238" s="35" t="s">
        <v>23</v>
      </c>
      <c r="H238" s="35" t="s">
        <v>24</v>
      </c>
      <c r="I238" s="35" t="s">
        <v>25</v>
      </c>
      <c r="J238" s="18" t="s">
        <v>33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67324.600000000006</v>
      </c>
      <c r="Q238" s="19">
        <v>30353.439999999999</v>
      </c>
      <c r="R238" s="20"/>
      <c r="S238">
        <f>K238*1+L238*2+SUM(M238:Q238)*5</f>
        <v>2280972.06</v>
      </c>
    </row>
    <row r="239" spans="4:19" ht="23.5">
      <c r="G239" s="35"/>
      <c r="H239" s="35"/>
      <c r="I239" s="35"/>
      <c r="J239" s="18" t="s">
        <v>34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82024.539999999994</v>
      </c>
      <c r="P239" s="19">
        <v>67326.62</v>
      </c>
      <c r="Q239" s="19">
        <v>30350.28</v>
      </c>
      <c r="R239" s="20"/>
      <c r="S239">
        <f>K239*1+L239*2+SUM(M239:Q239)*5</f>
        <v>2275518.4300000002</v>
      </c>
    </row>
    <row r="240" spans="4:19" ht="23.5">
      <c r="G240" s="35"/>
      <c r="H240" s="35"/>
      <c r="I240" s="35"/>
      <c r="J240" s="18" t="s">
        <v>35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82024.539999999994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spans="7:19" ht="23.5">
      <c r="G241" s="35"/>
      <c r="H241" s="35"/>
      <c r="I241" s="35"/>
      <c r="J241" s="18" t="s">
        <v>36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spans="7:19" ht="23.5">
      <c r="G242" s="35"/>
      <c r="H242" s="35"/>
      <c r="I242" s="35"/>
      <c r="J242" s="18" t="s">
        <v>37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50" spans="7:19" ht="23.5">
      <c r="H250" s="18" t="s">
        <v>38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74428.899999999994</v>
      </c>
      <c r="N250" s="19">
        <v>64788.55</v>
      </c>
      <c r="O250" s="19">
        <v>28835.43</v>
      </c>
      <c r="Q250" s="25">
        <f>I250*1+J250*2+SUM(K250:O250)*5</f>
        <v>2173357.71</v>
      </c>
    </row>
    <row r="251" spans="7:19" ht="23.5">
      <c r="H251" s="18" t="s">
        <v>39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spans="7:19" ht="23.5">
      <c r="H252" s="18" t="s">
        <v>40</v>
      </c>
      <c r="I252" s="19">
        <v>141586.92000000001</v>
      </c>
      <c r="J252" s="19">
        <v>122614.03</v>
      </c>
      <c r="K252" s="19">
        <v>102887.81</v>
      </c>
      <c r="L252" s="19">
        <v>86417.77</v>
      </c>
      <c r="M252" s="19">
        <v>74428.929999999993</v>
      </c>
      <c r="N252" s="19">
        <v>64777.62</v>
      </c>
      <c r="O252" s="19">
        <v>28828.97</v>
      </c>
      <c r="Q252" s="25">
        <f t="shared" si="6"/>
        <v>2173520.48</v>
      </c>
    </row>
    <row r="253" spans="7:19" ht="23.5">
      <c r="H253" s="18" t="s">
        <v>41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spans="7:19" ht="23.5">
      <c r="H254" s="18" t="s">
        <v>42</v>
      </c>
      <c r="I254" s="19">
        <v>141586.92000000001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28806.080999999998</v>
      </c>
      <c r="Q254" s="25">
        <f t="shared" si="6"/>
        <v>2173086.7349999999</v>
      </c>
    </row>
    <row r="255" spans="7:19" ht="23.5">
      <c r="H255" s="18" t="s">
        <v>43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spans="7:19" ht="23.5">
      <c r="H256" s="18" t="s">
        <v>44</v>
      </c>
      <c r="I256" s="19">
        <v>141586.9</v>
      </c>
      <c r="J256" s="19">
        <v>122614.01700000001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28806.080999999998</v>
      </c>
      <c r="Q256" s="25">
        <f t="shared" si="6"/>
        <v>2173197.4890000001</v>
      </c>
    </row>
    <row r="257" spans="8:21" ht="23.5">
      <c r="H257" s="18" t="s">
        <v>45</v>
      </c>
      <c r="I257" s="19">
        <v>141586.9</v>
      </c>
      <c r="J257" s="19">
        <v>122614.01700000001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2173835.9840000002</v>
      </c>
    </row>
    <row r="258" spans="8:21" ht="23.5">
      <c r="H258" s="18" t="s">
        <v>46</v>
      </c>
      <c r="I258" s="19">
        <v>141586.9</v>
      </c>
      <c r="J258" s="19">
        <v>122614.01700000001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2173414.0839999998</v>
      </c>
    </row>
    <row r="263" spans="8:21">
      <c r="H263" s="16" t="s">
        <v>19</v>
      </c>
      <c r="I263" s="16" t="s">
        <v>5</v>
      </c>
      <c r="J263" s="16" t="s">
        <v>31</v>
      </c>
      <c r="K263" s="16" t="s">
        <v>32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spans="8:21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spans="8:21">
      <c r="H265" s="35" t="s">
        <v>47</v>
      </c>
      <c r="I265" s="35" t="s">
        <v>24</v>
      </c>
      <c r="J265" s="35" t="s">
        <v>25</v>
      </c>
      <c r="K265" s="18" t="s">
        <v>48</v>
      </c>
      <c r="L265" s="19">
        <v>22470.063999999998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spans="8:21">
      <c r="H266" s="35"/>
      <c r="I266" s="35"/>
      <c r="J266" s="35"/>
      <c r="K266" s="18" t="s">
        <v>49</v>
      </c>
      <c r="L266" s="19">
        <v>22470.052</v>
      </c>
      <c r="M266" s="19">
        <v>17316.189999999999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spans="8:21">
      <c r="H267" s="35"/>
      <c r="I267" s="35"/>
      <c r="J267" s="35"/>
      <c r="K267" s="18" t="s">
        <v>50</v>
      </c>
      <c r="L267" s="19">
        <v>22470.053</v>
      </c>
      <c r="M267" s="19">
        <v>17306.939999999999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spans="8:21">
      <c r="H268" s="35"/>
      <c r="I268" s="35"/>
      <c r="J268" s="35"/>
      <c r="K268" s="18" t="s">
        <v>51</v>
      </c>
      <c r="L268" s="19">
        <v>22470.052</v>
      </c>
      <c r="M268" s="19">
        <v>17306.939999999999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spans="8:21">
      <c r="H269" s="35"/>
      <c r="I269" s="35"/>
      <c r="J269" s="35"/>
      <c r="K269" s="18" t="s">
        <v>52</v>
      </c>
      <c r="L269" s="19">
        <v>22470.050999999999</v>
      </c>
      <c r="M269" s="19">
        <v>17306.939999999999</v>
      </c>
      <c r="N269" s="19">
        <v>13475.97</v>
      </c>
      <c r="O269" s="19">
        <v>9464.15</v>
      </c>
      <c r="P269" s="19">
        <v>8152.0479999999998</v>
      </c>
      <c r="Q269" s="19">
        <v>3969.0940000000001</v>
      </c>
      <c r="R269" s="20"/>
      <c r="U269" s="25">
        <f t="shared" si="7"/>
        <v>152185.34</v>
      </c>
    </row>
    <row r="270" spans="8:21">
      <c r="H270" s="35"/>
      <c r="I270" s="35"/>
      <c r="J270" s="35"/>
      <c r="K270" s="18" t="s">
        <v>53</v>
      </c>
      <c r="L270" s="19">
        <v>22470.057000000001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spans="8:21">
      <c r="H271" s="35"/>
      <c r="I271" s="35"/>
      <c r="J271" s="35"/>
      <c r="K271" s="18" t="s">
        <v>54</v>
      </c>
      <c r="L271" s="19">
        <v>22470.035</v>
      </c>
      <c r="M271" s="19">
        <v>17306.93</v>
      </c>
      <c r="N271" s="19">
        <v>13494.24</v>
      </c>
      <c r="O271" s="19">
        <v>9482.0509999999995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spans="8:21">
      <c r="H272" s="35"/>
      <c r="I272" s="35"/>
      <c r="J272" s="35"/>
      <c r="K272" s="18" t="s">
        <v>55</v>
      </c>
      <c r="L272" s="19">
        <v>22469.3</v>
      </c>
      <c r="M272" s="19">
        <v>17305.11</v>
      </c>
      <c r="N272" s="19">
        <v>13480.099</v>
      </c>
      <c r="O272" s="19">
        <v>9468.2099999999991</v>
      </c>
      <c r="P272" s="19">
        <v>8192.17</v>
      </c>
      <c r="Q272" s="19">
        <v>3943.1</v>
      </c>
      <c r="R272" s="20"/>
      <c r="U272" s="25">
        <f t="shared" si="7"/>
        <v>152282.70800000001</v>
      </c>
    </row>
    <row r="273" spans="8:21">
      <c r="H273" s="35"/>
      <c r="I273" s="35"/>
      <c r="J273" s="35"/>
      <c r="K273" s="18" t="s">
        <v>56</v>
      </c>
      <c r="L273" s="19">
        <v>22470.046999999999</v>
      </c>
      <c r="M273" s="19">
        <v>17306.939999999999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152946.35999999999</v>
      </c>
    </row>
    <row r="281" spans="8:21">
      <c r="H281" s="16" t="s">
        <v>19</v>
      </c>
      <c r="I281" s="16" t="s">
        <v>5</v>
      </c>
      <c r="J281" s="16" t="s">
        <v>31</v>
      </c>
      <c r="K281" s="16" t="s">
        <v>32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spans="8:21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spans="8:21">
      <c r="H283" s="35" t="s">
        <v>57</v>
      </c>
      <c r="I283" s="35" t="s">
        <v>24</v>
      </c>
      <c r="J283" s="35" t="s">
        <v>25</v>
      </c>
      <c r="K283" s="18" t="s">
        <v>58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21510.720000000001</v>
      </c>
      <c r="Q283" s="19">
        <v>16540.86</v>
      </c>
      <c r="R283" s="20"/>
      <c r="U283" s="25">
        <f t="shared" ref="U283:U291" si="8">M283*1+N283*2+SUM(O283:S283)*5</f>
        <v>416708.05</v>
      </c>
    </row>
    <row r="284" spans="8:21">
      <c r="H284" s="35"/>
      <c r="I284" s="35"/>
      <c r="J284" s="35"/>
      <c r="K284" s="18" t="s">
        <v>59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21510.720000000001</v>
      </c>
      <c r="Q284" s="19">
        <v>16540.86</v>
      </c>
      <c r="R284" s="20"/>
      <c r="U284" s="25">
        <f t="shared" si="8"/>
        <v>416708.71</v>
      </c>
    </row>
    <row r="285" spans="8:21">
      <c r="H285" s="35"/>
      <c r="I285" s="35"/>
      <c r="J285" s="35"/>
      <c r="K285" s="18" t="s">
        <v>60</v>
      </c>
      <c r="L285" s="19">
        <v>50151.74</v>
      </c>
      <c r="M285" s="19">
        <v>31457.34</v>
      </c>
      <c r="N285" s="19">
        <v>29077.65</v>
      </c>
      <c r="O285" s="19">
        <v>27370.560000000001</v>
      </c>
      <c r="P285" s="19">
        <v>21508.66</v>
      </c>
      <c r="Q285" s="19">
        <v>16540.599999999999</v>
      </c>
      <c r="R285" s="20"/>
      <c r="U285" s="25">
        <f t="shared" si="8"/>
        <v>416711.74</v>
      </c>
    </row>
    <row r="286" spans="8:21">
      <c r="H286" s="35"/>
      <c r="I286" s="35"/>
      <c r="J286" s="35"/>
      <c r="K286" s="18" t="s">
        <v>61</v>
      </c>
      <c r="L286" s="19">
        <v>50151.74</v>
      </c>
      <c r="M286" s="19">
        <v>31457.34</v>
      </c>
      <c r="N286" s="19">
        <v>29077.65</v>
      </c>
      <c r="O286" s="19">
        <v>27370.560000000001</v>
      </c>
      <c r="P286" s="19">
        <v>21508.66</v>
      </c>
      <c r="Q286" s="19">
        <v>16540.599999999999</v>
      </c>
      <c r="R286" s="20"/>
      <c r="U286" s="25">
        <f t="shared" si="8"/>
        <v>416711.74</v>
      </c>
    </row>
    <row r="287" spans="8:21">
      <c r="H287" s="35"/>
      <c r="I287" s="35"/>
      <c r="J287" s="35"/>
      <c r="K287" s="18" t="s">
        <v>62</v>
      </c>
      <c r="L287" s="19">
        <v>50151.74</v>
      </c>
      <c r="M287" s="19">
        <v>31457.34</v>
      </c>
      <c r="N287" s="19">
        <v>29077.65</v>
      </c>
      <c r="O287" s="19">
        <v>27370.560000000001</v>
      </c>
      <c r="P287" s="19">
        <v>21508.66</v>
      </c>
      <c r="Q287" s="19">
        <v>16540.599999999999</v>
      </c>
      <c r="R287" s="20"/>
      <c r="U287" s="25">
        <f t="shared" si="8"/>
        <v>416711.74</v>
      </c>
    </row>
    <row r="288" spans="8:21">
      <c r="H288" s="35"/>
      <c r="I288" s="35"/>
      <c r="J288" s="35"/>
      <c r="K288" s="18" t="s">
        <v>63</v>
      </c>
      <c r="L288" s="19">
        <v>50151.74</v>
      </c>
      <c r="M288" s="19">
        <v>31457.34</v>
      </c>
      <c r="N288" s="19">
        <v>29077.65</v>
      </c>
      <c r="O288" s="19">
        <v>27370.560000000001</v>
      </c>
      <c r="P288" s="19">
        <v>21508.66</v>
      </c>
      <c r="Q288" s="19">
        <v>16540.599999999999</v>
      </c>
      <c r="R288" s="20"/>
      <c r="U288" s="25">
        <f t="shared" si="8"/>
        <v>416711.74</v>
      </c>
    </row>
    <row r="289" spans="8:21">
      <c r="H289" s="35"/>
      <c r="I289" s="35"/>
      <c r="J289" s="35"/>
      <c r="K289" s="18" t="s">
        <v>64</v>
      </c>
      <c r="L289" s="19">
        <v>50151.74</v>
      </c>
      <c r="M289" s="19">
        <v>31457.34</v>
      </c>
      <c r="N289" s="19">
        <v>29077.65</v>
      </c>
      <c r="O289" s="19">
        <v>27370.560000000001</v>
      </c>
      <c r="P289" s="19">
        <v>21508.66</v>
      </c>
      <c r="Q289" s="19">
        <v>16540.599999999999</v>
      </c>
      <c r="R289" s="20"/>
      <c r="U289" s="25">
        <f t="shared" si="8"/>
        <v>416711.74</v>
      </c>
    </row>
    <row r="290" spans="8:21">
      <c r="H290" s="35"/>
      <c r="I290" s="35"/>
      <c r="J290" s="35"/>
      <c r="K290" s="26" t="s">
        <v>65</v>
      </c>
      <c r="L290" s="27">
        <v>50151.74</v>
      </c>
      <c r="M290" s="27">
        <v>31457.34</v>
      </c>
      <c r="N290" s="27">
        <v>29077.65</v>
      </c>
      <c r="O290" s="27">
        <v>27370.560000000001</v>
      </c>
      <c r="P290" s="27">
        <v>21508.66</v>
      </c>
      <c r="Q290" s="27">
        <v>16540.599999999999</v>
      </c>
      <c r="R290" s="20"/>
      <c r="U290" s="25">
        <f t="shared" si="8"/>
        <v>416711.74</v>
      </c>
    </row>
    <row r="291" spans="8:21">
      <c r="H291" s="35"/>
      <c r="I291" s="35"/>
      <c r="J291" s="35"/>
      <c r="K291" s="18" t="s">
        <v>66</v>
      </c>
      <c r="L291" s="19">
        <v>50151.74</v>
      </c>
      <c r="M291" s="19">
        <v>31457.34</v>
      </c>
      <c r="N291" s="19">
        <v>29077.65</v>
      </c>
      <c r="O291" s="19">
        <v>27370.560000000001</v>
      </c>
      <c r="P291" s="19">
        <v>21508.66</v>
      </c>
      <c r="Q291" s="19">
        <v>16540.599999999999</v>
      </c>
      <c r="R291" s="20"/>
      <c r="U291" s="25">
        <f t="shared" si="8"/>
        <v>416711.74</v>
      </c>
    </row>
    <row r="300" spans="8:21">
      <c r="H300" s="16" t="s">
        <v>19</v>
      </c>
      <c r="I300" s="16" t="s">
        <v>5</v>
      </c>
      <c r="J300" s="16" t="s">
        <v>31</v>
      </c>
      <c r="K300" s="16" t="s">
        <v>32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spans="8:21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spans="8:21">
      <c r="H302" s="35" t="s">
        <v>67</v>
      </c>
      <c r="I302" s="35" t="s">
        <v>24</v>
      </c>
      <c r="J302" s="35" t="s">
        <v>25</v>
      </c>
      <c r="K302" s="18" t="s">
        <v>68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spans="8:21">
      <c r="H303" s="35"/>
      <c r="I303" s="35"/>
      <c r="J303" s="35"/>
      <c r="K303" s="18" t="s">
        <v>69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spans="8:21">
      <c r="H304" s="35"/>
      <c r="I304" s="35"/>
      <c r="J304" s="35"/>
      <c r="K304" s="18" t="s">
        <v>70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spans="8:21">
      <c r="H305" s="35"/>
      <c r="I305" s="35"/>
      <c r="J305" s="35"/>
      <c r="K305" s="18" t="s">
        <v>71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spans="8:21">
      <c r="H306" s="35"/>
      <c r="I306" s="35"/>
      <c r="J306" s="35"/>
      <c r="K306" s="18" t="s">
        <v>72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spans="8:21">
      <c r="H307" s="35"/>
      <c r="I307" s="35"/>
      <c r="J307" s="35"/>
      <c r="K307" s="18" t="s">
        <v>73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spans="8:21">
      <c r="H308" s="35"/>
      <c r="I308" s="35"/>
      <c r="J308" s="35"/>
      <c r="K308" s="18" t="s">
        <v>74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spans="8:21">
      <c r="H309" s="35"/>
      <c r="I309" s="35"/>
      <c r="J309" s="35"/>
      <c r="K309" s="26" t="s">
        <v>75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spans="8:21">
      <c r="H310" s="35"/>
      <c r="I310" s="35"/>
      <c r="J310" s="35"/>
      <c r="K310" s="18" t="s">
        <v>76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7" spans="8:21">
      <c r="H317" s="16" t="s">
        <v>19</v>
      </c>
      <c r="I317" s="16" t="s">
        <v>5</v>
      </c>
      <c r="J317" s="16" t="s">
        <v>31</v>
      </c>
      <c r="K317" s="16" t="s">
        <v>32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spans="8:21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spans="8:21">
      <c r="H319" s="35" t="s">
        <v>23</v>
      </c>
      <c r="I319" s="35" t="s">
        <v>24</v>
      </c>
      <c r="J319" s="35" t="s">
        <v>25</v>
      </c>
      <c r="K319" s="18" t="s">
        <v>77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67396.820000000007</v>
      </c>
      <c r="R319" s="19">
        <v>30398.030999999999</v>
      </c>
      <c r="S319" s="20"/>
      <c r="U319" s="25">
        <f t="shared" ref="U319:U327" si="10">M319*1+N319*2+SUM(O319:S319)*5</f>
        <v>1708832.165</v>
      </c>
    </row>
    <row r="320" spans="8:21">
      <c r="H320" s="35"/>
      <c r="I320" s="35"/>
      <c r="J320" s="35"/>
      <c r="K320" s="18" t="s">
        <v>78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67324.600000000006</v>
      </c>
      <c r="R320" s="19">
        <v>30353.439999999999</v>
      </c>
      <c r="S320" s="20"/>
      <c r="U320" s="25">
        <f t="shared" si="10"/>
        <v>1709078.46</v>
      </c>
    </row>
    <row r="321" spans="8:21">
      <c r="H321" s="35"/>
      <c r="I321" s="35"/>
      <c r="J321" s="35"/>
      <c r="K321" s="18" t="s">
        <v>79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82068.259999999995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spans="8:21">
      <c r="H322" s="35"/>
      <c r="I322" s="35"/>
      <c r="J322" s="35"/>
      <c r="K322" s="18" t="s">
        <v>80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82024.539999999994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spans="8:21">
      <c r="H323" s="35"/>
      <c r="I323" s="35"/>
      <c r="J323" s="35"/>
      <c r="K323" s="18" t="s">
        <v>81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82068.259999999995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spans="8:21">
      <c r="H324" s="35"/>
      <c r="I324" s="35"/>
      <c r="J324" s="35"/>
      <c r="K324" s="18" t="s">
        <v>82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82024.539999999994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spans="8:21">
      <c r="H325" s="35"/>
      <c r="I325" s="35"/>
      <c r="J325" s="35"/>
      <c r="K325" s="18" t="s">
        <v>83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spans="8:21">
      <c r="H326" s="35"/>
      <c r="I326" s="35"/>
      <c r="J326" s="35"/>
      <c r="K326" s="26" t="s">
        <v>84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spans="8:21">
      <c r="H327" s="35"/>
      <c r="I327" s="35"/>
      <c r="J327" s="35"/>
      <c r="K327" s="18" t="s">
        <v>85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2" spans="8:21">
      <c r="H332" s="16" t="s">
        <v>19</v>
      </c>
      <c r="I332" s="16" t="s">
        <v>5</v>
      </c>
      <c r="J332" s="16" t="s">
        <v>31</v>
      </c>
      <c r="K332" s="16" t="s">
        <v>32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spans="8:21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spans="8:21">
      <c r="H334" s="35" t="s">
        <v>86</v>
      </c>
      <c r="I334" s="35" t="s">
        <v>24</v>
      </c>
      <c r="J334" s="35" t="s">
        <v>25</v>
      </c>
      <c r="K334" s="18" t="s">
        <v>87</v>
      </c>
      <c r="L334" s="19">
        <v>63906.23</v>
      </c>
      <c r="M334" s="19">
        <v>41933.410000000003</v>
      </c>
      <c r="N334" s="19">
        <v>33494.099000000002</v>
      </c>
      <c r="O334" s="19">
        <v>27776.63</v>
      </c>
      <c r="P334" s="19">
        <v>24588.959999999999</v>
      </c>
      <c r="Q334" s="19">
        <v>19759.98</v>
      </c>
      <c r="R334" s="20"/>
      <c r="U334" s="25">
        <f t="shared" ref="U334:U342" si="11">M334*1+N334*2+SUM(O334:S334)*5</f>
        <v>469549.45799999998</v>
      </c>
    </row>
    <row r="335" spans="8:21">
      <c r="H335" s="35"/>
      <c r="I335" s="35"/>
      <c r="J335" s="35"/>
      <c r="K335" s="18" t="s">
        <v>88</v>
      </c>
      <c r="L335" s="19">
        <v>63906.23</v>
      </c>
      <c r="M335" s="19">
        <v>41933.51</v>
      </c>
      <c r="N335" s="19">
        <v>33549.269999999997</v>
      </c>
      <c r="O335" s="19">
        <v>27751.1</v>
      </c>
      <c r="P335" s="19">
        <v>24793.77</v>
      </c>
      <c r="Q335" s="19">
        <v>19561.990000000002</v>
      </c>
      <c r="R335" s="20"/>
      <c r="U335" s="25">
        <f t="shared" si="11"/>
        <v>469566.35</v>
      </c>
    </row>
    <row r="336" spans="8:21">
      <c r="H336" s="35"/>
      <c r="I336" s="35"/>
      <c r="J336" s="35"/>
      <c r="K336" s="18" t="s">
        <v>89</v>
      </c>
      <c r="L336" s="19">
        <v>63906.23</v>
      </c>
      <c r="M336" s="19">
        <v>41931.360000000001</v>
      </c>
      <c r="N336" s="19">
        <v>33346.22</v>
      </c>
      <c r="O336" s="19">
        <v>27776.639999999999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spans="8:21">
      <c r="H337" s="35"/>
      <c r="I337" s="35"/>
      <c r="J337" s="35"/>
      <c r="K337" s="18" t="s">
        <v>90</v>
      </c>
      <c r="L337" s="19">
        <v>63906.23</v>
      </c>
      <c r="M337" s="19">
        <v>41931.360000000001</v>
      </c>
      <c r="N337" s="19">
        <v>33371.300000000003</v>
      </c>
      <c r="O337" s="19">
        <v>27750.62</v>
      </c>
      <c r="P337" s="19">
        <v>24788.68</v>
      </c>
      <c r="Q337" s="19">
        <v>19560.669999999998</v>
      </c>
      <c r="R337" s="20"/>
      <c r="U337" s="25">
        <f t="shared" si="11"/>
        <v>469173.81</v>
      </c>
    </row>
    <row r="338" spans="8:21">
      <c r="H338" s="35"/>
      <c r="I338" s="35"/>
      <c r="J338" s="35"/>
      <c r="K338" s="18" t="s">
        <v>91</v>
      </c>
      <c r="L338" s="19">
        <v>63906.23</v>
      </c>
      <c r="M338" s="19">
        <v>41931.360000000001</v>
      </c>
      <c r="N338" s="19">
        <v>33346.012999999999</v>
      </c>
      <c r="O338" s="19">
        <v>27899.83</v>
      </c>
      <c r="P338" s="19">
        <v>24583.57</v>
      </c>
      <c r="Q338" s="19">
        <v>19622.240000000002</v>
      </c>
      <c r="R338" s="20"/>
      <c r="U338" s="25">
        <f t="shared" si="11"/>
        <v>469151.58600000001</v>
      </c>
    </row>
    <row r="339" spans="8:21">
      <c r="H339" s="35"/>
      <c r="I339" s="35"/>
      <c r="J339" s="35"/>
      <c r="K339" s="18" t="s">
        <v>92</v>
      </c>
      <c r="L339" s="19">
        <v>63906.23</v>
      </c>
      <c r="M339" s="19">
        <v>41931.360000000001</v>
      </c>
      <c r="N339" s="19">
        <v>33346.012999999999</v>
      </c>
      <c r="O339" s="19">
        <v>27941.200000000001</v>
      </c>
      <c r="P339" s="19">
        <v>24481.64</v>
      </c>
      <c r="Q339" s="19">
        <v>19459.599999999999</v>
      </c>
      <c r="R339" s="20"/>
      <c r="U339" s="25">
        <f t="shared" si="11"/>
        <v>468035.58600000001</v>
      </c>
    </row>
    <row r="340" spans="8:21">
      <c r="H340" s="35"/>
      <c r="I340" s="35"/>
      <c r="J340" s="35"/>
      <c r="K340" s="18" t="s">
        <v>93</v>
      </c>
      <c r="L340" s="19">
        <v>63906.23</v>
      </c>
      <c r="M340" s="19">
        <v>41931.360000000001</v>
      </c>
      <c r="N340" s="19">
        <v>33345.74</v>
      </c>
      <c r="O340" s="19">
        <v>27874.3</v>
      </c>
      <c r="P340" s="19">
        <v>24656.87</v>
      </c>
      <c r="Q340" s="19">
        <v>19622.240000000002</v>
      </c>
      <c r="R340" s="20"/>
      <c r="U340" s="25">
        <f t="shared" si="11"/>
        <v>469389.89</v>
      </c>
    </row>
    <row r="341" spans="8:21">
      <c r="H341" s="35"/>
      <c r="I341" s="35"/>
      <c r="J341" s="35"/>
      <c r="K341" s="18" t="s">
        <v>94</v>
      </c>
      <c r="L341" s="19">
        <v>63906.23</v>
      </c>
      <c r="M341" s="19">
        <v>41931.360000000001</v>
      </c>
      <c r="N341" s="19">
        <v>33345.74</v>
      </c>
      <c r="O341" s="19">
        <v>27874.3</v>
      </c>
      <c r="P341" s="19">
        <v>24656.87</v>
      </c>
      <c r="Q341" s="19">
        <v>19459.599999999999</v>
      </c>
      <c r="R341" s="20"/>
      <c r="U341" s="25">
        <f t="shared" si="11"/>
        <v>468576.69</v>
      </c>
    </row>
    <row r="342" spans="8:21">
      <c r="H342" s="35"/>
      <c r="I342" s="35"/>
      <c r="J342" s="35"/>
      <c r="K342" s="18" t="s">
        <v>95</v>
      </c>
      <c r="L342" s="19">
        <v>63906.23</v>
      </c>
      <c r="M342" s="19">
        <v>41931.360000000001</v>
      </c>
      <c r="N342" s="19">
        <v>33345.74</v>
      </c>
      <c r="O342" s="19">
        <v>27874.3</v>
      </c>
      <c r="P342" s="19">
        <v>24656.87</v>
      </c>
      <c r="Q342" s="19">
        <v>19809.849999999999</v>
      </c>
      <c r="R342" s="20"/>
      <c r="U342" s="25">
        <f t="shared" si="11"/>
        <v>470327.94</v>
      </c>
    </row>
    <row r="349" spans="8:21"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</row>
    <row r="350" spans="8:21"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</row>
    <row r="351" spans="8:21"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</row>
    <row r="352" spans="8:21">
      <c r="H352" s="16" t="s">
        <v>19</v>
      </c>
      <c r="I352" s="16" t="s">
        <v>5</v>
      </c>
      <c r="J352" s="16" t="s">
        <v>31</v>
      </c>
      <c r="K352" s="16" t="s">
        <v>32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spans="8:21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spans="8:21">
      <c r="H354" s="36" t="s">
        <v>96</v>
      </c>
      <c r="I354" s="36" t="s">
        <v>24</v>
      </c>
      <c r="J354" s="36" t="s">
        <v>25</v>
      </c>
      <c r="K354" s="29" t="s">
        <v>97</v>
      </c>
      <c r="L354" s="30">
        <v>26899.092000000001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6310.0649999999996</v>
      </c>
      <c r="R354" s="20"/>
      <c r="U354" s="25">
        <f t="shared" ref="U354:U362" si="12">M354*1+N354*2+SUM(O354:S354)*5</f>
        <v>215123.405</v>
      </c>
    </row>
    <row r="355" spans="8:21">
      <c r="H355" s="36"/>
      <c r="I355" s="36"/>
      <c r="J355" s="36"/>
      <c r="K355" s="29" t="s">
        <v>98</v>
      </c>
      <c r="L355" s="30">
        <v>26899.092000000001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6310.0005799999999</v>
      </c>
      <c r="R355" s="20"/>
      <c r="U355" s="25">
        <f t="shared" si="12"/>
        <v>214903.30290000001</v>
      </c>
    </row>
    <row r="356" spans="8:21">
      <c r="H356" s="36"/>
      <c r="I356" s="36"/>
      <c r="J356" s="36"/>
      <c r="K356" s="29" t="s">
        <v>99</v>
      </c>
      <c r="L356" s="30">
        <v>26899.092000000001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6310.0649999999996</v>
      </c>
      <c r="R356" s="20"/>
      <c r="U356" s="25">
        <f t="shared" si="12"/>
        <v>215130.30499999999</v>
      </c>
    </row>
    <row r="357" spans="8:21">
      <c r="H357" s="36"/>
      <c r="I357" s="36"/>
      <c r="J357" s="36"/>
      <c r="K357" s="29" t="s">
        <v>100</v>
      </c>
      <c r="L357" s="30">
        <v>26899.092000000001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6310.0005799999999</v>
      </c>
      <c r="R357" s="20"/>
      <c r="U357" s="25">
        <f t="shared" si="12"/>
        <v>214909.78289999999</v>
      </c>
    </row>
    <row r="358" spans="8:21">
      <c r="H358" s="36"/>
      <c r="I358" s="36"/>
      <c r="J358" s="36"/>
      <c r="K358" s="29" t="s">
        <v>101</v>
      </c>
      <c r="L358" s="30">
        <v>26899.092000000001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6310.0649999999996</v>
      </c>
      <c r="R358" s="20"/>
      <c r="U358" s="25">
        <f t="shared" si="12"/>
        <v>215335.35500000001</v>
      </c>
    </row>
    <row r="359" spans="8:21">
      <c r="H359" s="36"/>
      <c r="I359" s="36"/>
      <c r="J359" s="36"/>
      <c r="K359" s="29" t="s">
        <v>102</v>
      </c>
      <c r="L359" s="30">
        <v>26899.092000000001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6310.0559999999996</v>
      </c>
      <c r="R359" s="20"/>
      <c r="U359" s="25">
        <f t="shared" si="12"/>
        <v>215195.76</v>
      </c>
    </row>
    <row r="360" spans="8:21">
      <c r="H360" s="36"/>
      <c r="I360" s="36"/>
      <c r="J360" s="36"/>
      <c r="K360" s="29" t="s">
        <v>103</v>
      </c>
      <c r="L360" s="30">
        <v>26899.092000000001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6310.0659999999998</v>
      </c>
      <c r="R360" s="20"/>
      <c r="U360" s="25">
        <f t="shared" si="12"/>
        <v>215568.61</v>
      </c>
    </row>
    <row r="361" spans="8:21">
      <c r="H361" s="36"/>
      <c r="I361" s="36"/>
      <c r="J361" s="36"/>
      <c r="K361" s="29" t="s">
        <v>104</v>
      </c>
      <c r="L361" s="30">
        <v>26899.092000000001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6310.0659999999998</v>
      </c>
      <c r="R361" s="20"/>
      <c r="U361" s="25">
        <f t="shared" si="12"/>
        <v>215568.61</v>
      </c>
    </row>
    <row r="362" spans="8:21">
      <c r="H362" s="36"/>
      <c r="I362" s="36"/>
      <c r="J362" s="36"/>
      <c r="K362" s="29" t="s">
        <v>105</v>
      </c>
      <c r="L362" s="30">
        <v>26899.092000000001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6310.0659999999998</v>
      </c>
      <c r="R362" s="20"/>
      <c r="U362" s="25">
        <f t="shared" si="12"/>
        <v>215568.61</v>
      </c>
    </row>
    <row r="370" spans="8:21">
      <c r="H370" s="16" t="s">
        <v>19</v>
      </c>
      <c r="I370" s="16" t="s">
        <v>5</v>
      </c>
      <c r="J370" s="16" t="s">
        <v>31</v>
      </c>
      <c r="K370" s="16" t="s">
        <v>32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spans="8:21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spans="8:21" ht="23.5">
      <c r="H372" s="35" t="s">
        <v>96</v>
      </c>
      <c r="I372" s="35" t="s">
        <v>24</v>
      </c>
      <c r="J372" s="35" t="s">
        <v>25</v>
      </c>
      <c r="K372" s="18" t="s">
        <v>106</v>
      </c>
      <c r="L372" s="19">
        <v>27051.3</v>
      </c>
      <c r="M372" s="19">
        <v>22724.013999999999</v>
      </c>
      <c r="N372" s="19">
        <v>22617.62</v>
      </c>
      <c r="O372" s="19">
        <v>22428.61</v>
      </c>
      <c r="P372" s="19">
        <v>18576.060000000001</v>
      </c>
      <c r="Q372" s="19">
        <v>18404.009999999998</v>
      </c>
      <c r="R372" s="19">
        <v>17822.55</v>
      </c>
      <c r="S372" s="20"/>
      <c r="U372" s="25">
        <f t="shared" ref="U372:U380" si="13">M372*1+N372*2+SUM(O372:S372)*5</f>
        <v>454115.40399999998</v>
      </c>
    </row>
    <row r="373" spans="8:21" ht="23.5">
      <c r="H373" s="35"/>
      <c r="I373" s="35"/>
      <c r="J373" s="35"/>
      <c r="K373" s="18" t="s">
        <v>107</v>
      </c>
      <c r="L373" s="19">
        <v>27051.3</v>
      </c>
      <c r="M373" s="19">
        <v>22724.013999999999</v>
      </c>
      <c r="N373" s="19">
        <v>22617.62</v>
      </c>
      <c r="O373" s="19">
        <v>22428.61</v>
      </c>
      <c r="P373" s="19">
        <v>18576.060000000001</v>
      </c>
      <c r="Q373" s="19">
        <v>18404.009999999998</v>
      </c>
      <c r="R373" s="19">
        <v>17822.55</v>
      </c>
      <c r="S373" s="20"/>
      <c r="U373" s="25">
        <f t="shared" si="13"/>
        <v>454115.40399999998</v>
      </c>
    </row>
    <row r="374" spans="8:21" ht="23.5">
      <c r="H374" s="35"/>
      <c r="I374" s="35"/>
      <c r="J374" s="35"/>
      <c r="K374" s="18" t="s">
        <v>108</v>
      </c>
      <c r="L374" s="19">
        <v>27051.3</v>
      </c>
      <c r="M374" s="19">
        <v>22724.013999999999</v>
      </c>
      <c r="N374" s="19">
        <v>22617.62</v>
      </c>
      <c r="O374" s="19">
        <v>22428.61</v>
      </c>
      <c r="P374" s="19">
        <v>18576.060000000001</v>
      </c>
      <c r="Q374" s="19">
        <v>18404.009999999998</v>
      </c>
      <c r="R374" s="19">
        <v>17822.55</v>
      </c>
      <c r="S374" s="20"/>
      <c r="U374" s="25">
        <f t="shared" si="13"/>
        <v>454115.40399999998</v>
      </c>
    </row>
    <row r="375" spans="8:21" ht="23.5">
      <c r="H375" s="35"/>
      <c r="I375" s="35"/>
      <c r="J375" s="35"/>
      <c r="K375" s="18" t="s">
        <v>109</v>
      </c>
      <c r="L375" s="19">
        <v>27051.3</v>
      </c>
      <c r="M375" s="19">
        <v>22724.013999999999</v>
      </c>
      <c r="N375" s="19">
        <v>22617.62</v>
      </c>
      <c r="O375" s="19">
        <v>22428.61</v>
      </c>
      <c r="P375" s="19">
        <v>18576.060000000001</v>
      </c>
      <c r="Q375" s="19">
        <v>18404.009999999998</v>
      </c>
      <c r="R375" s="19">
        <v>17822.55</v>
      </c>
      <c r="S375" s="20"/>
      <c r="U375" s="25">
        <f t="shared" si="13"/>
        <v>454115.40399999998</v>
      </c>
    </row>
    <row r="376" spans="8:21" ht="23.5">
      <c r="H376" s="35"/>
      <c r="I376" s="35"/>
      <c r="J376" s="35"/>
      <c r="K376" s="18" t="s">
        <v>110</v>
      </c>
      <c r="L376" s="19">
        <v>27051.3</v>
      </c>
      <c r="M376" s="19">
        <v>22724.013999999999</v>
      </c>
      <c r="N376" s="19">
        <v>22617.62</v>
      </c>
      <c r="O376" s="19">
        <v>22428.61</v>
      </c>
      <c r="P376" s="19">
        <v>18576.060000000001</v>
      </c>
      <c r="Q376" s="19">
        <v>18404.009999999998</v>
      </c>
      <c r="R376" s="19">
        <v>17822.55</v>
      </c>
      <c r="S376" s="20"/>
      <c r="U376" s="25">
        <f t="shared" si="13"/>
        <v>454115.40399999998</v>
      </c>
    </row>
    <row r="377" spans="8:21" ht="23.5">
      <c r="H377" s="35"/>
      <c r="I377" s="35"/>
      <c r="J377" s="35"/>
      <c r="K377" s="18" t="s">
        <v>111</v>
      </c>
      <c r="L377" s="19">
        <v>27051.3</v>
      </c>
      <c r="M377" s="19">
        <v>22724.013999999999</v>
      </c>
      <c r="N377" s="19">
        <v>22617.62</v>
      </c>
      <c r="O377" s="19">
        <v>22428.61</v>
      </c>
      <c r="P377" s="19">
        <v>18576.060000000001</v>
      </c>
      <c r="Q377" s="19">
        <v>18404.009999999998</v>
      </c>
      <c r="R377" s="19">
        <v>17822.55</v>
      </c>
      <c r="S377" s="20"/>
      <c r="U377" s="25">
        <f t="shared" si="13"/>
        <v>454115.40399999998</v>
      </c>
    </row>
    <row r="378" spans="8:21" ht="23.5">
      <c r="H378" s="35"/>
      <c r="I378" s="35"/>
      <c r="J378" s="35"/>
      <c r="K378" s="18" t="s">
        <v>112</v>
      </c>
      <c r="L378" s="19">
        <v>27051.3</v>
      </c>
      <c r="M378" s="19">
        <v>22724.013999999999</v>
      </c>
      <c r="N378" s="19">
        <v>22617.62</v>
      </c>
      <c r="O378" s="19">
        <v>22428.61</v>
      </c>
      <c r="P378" s="19">
        <v>18576.060000000001</v>
      </c>
      <c r="Q378" s="19">
        <v>18404.009999999998</v>
      </c>
      <c r="R378" s="19">
        <v>17822.55</v>
      </c>
      <c r="S378" s="20"/>
      <c r="U378" s="25">
        <f t="shared" si="13"/>
        <v>454115.40399999998</v>
      </c>
    </row>
    <row r="379" spans="8:21" ht="23.5">
      <c r="H379" s="35"/>
      <c r="I379" s="35"/>
      <c r="J379" s="35"/>
      <c r="K379" s="18" t="s">
        <v>113</v>
      </c>
      <c r="L379" s="19">
        <v>27051.3</v>
      </c>
      <c r="M379" s="19">
        <v>22724.013999999999</v>
      </c>
      <c r="N379" s="19">
        <v>22617.62</v>
      </c>
      <c r="O379" s="19">
        <v>22428.61</v>
      </c>
      <c r="P379" s="19">
        <v>18576.060000000001</v>
      </c>
      <c r="Q379" s="19">
        <v>18404.009999999998</v>
      </c>
      <c r="R379" s="19">
        <v>17822.55</v>
      </c>
      <c r="S379" s="20"/>
      <c r="U379" s="25">
        <f t="shared" si="13"/>
        <v>454115.40399999998</v>
      </c>
    </row>
    <row r="380" spans="8:21" ht="23.5">
      <c r="H380" s="35"/>
      <c r="I380" s="35"/>
      <c r="J380" s="35"/>
      <c r="K380" s="26" t="s">
        <v>114</v>
      </c>
      <c r="L380" s="27">
        <v>27051.3</v>
      </c>
      <c r="M380" s="27">
        <v>22724.013999999999</v>
      </c>
      <c r="N380" s="27">
        <v>22617.62</v>
      </c>
      <c r="O380" s="27">
        <v>22428.61</v>
      </c>
      <c r="P380" s="27">
        <v>18576.060000000001</v>
      </c>
      <c r="Q380" s="27">
        <v>18404.009999999998</v>
      </c>
      <c r="R380" s="27">
        <v>17822.55</v>
      </c>
      <c r="S380" s="20"/>
      <c r="U380" s="25">
        <f t="shared" si="13"/>
        <v>454115.40399999998</v>
      </c>
    </row>
    <row r="388" spans="8:23"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</row>
    <row r="389" spans="8:23"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</row>
    <row r="390" spans="8:23"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</row>
    <row r="391" spans="8:23">
      <c r="H391" s="16" t="s">
        <v>19</v>
      </c>
      <c r="I391" s="16" t="s">
        <v>5</v>
      </c>
      <c r="J391" s="16" t="s">
        <v>31</v>
      </c>
      <c r="K391" s="16" t="s">
        <v>32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spans="8:23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spans="8:23">
      <c r="H393" s="36" t="s">
        <v>115</v>
      </c>
      <c r="I393" s="36" t="s">
        <v>24</v>
      </c>
      <c r="J393" s="36" t="s">
        <v>25</v>
      </c>
      <c r="K393" s="29" t="s">
        <v>38</v>
      </c>
      <c r="L393" s="30">
        <v>141586.88</v>
      </c>
      <c r="M393" s="30">
        <v>125533.81</v>
      </c>
      <c r="N393" s="30">
        <v>105438.39999999999</v>
      </c>
      <c r="O393" s="30">
        <v>88203.7</v>
      </c>
      <c r="P393" s="30">
        <v>75768.37</v>
      </c>
      <c r="Q393" s="30">
        <v>65681.53</v>
      </c>
      <c r="R393" s="30">
        <v>29281.919999999998</v>
      </c>
      <c r="S393" s="20"/>
      <c r="U393" s="25">
        <f>M393*1+N393*2+SUM(O393:S393)*5</f>
        <v>1631088.21</v>
      </c>
      <c r="W393">
        <f>(U393-U401)/30</f>
        <v>3.1059999999978301</v>
      </c>
    </row>
    <row r="394" spans="8:23">
      <c r="H394" s="36"/>
      <c r="I394" s="36"/>
      <c r="J394" s="36"/>
      <c r="K394" s="29" t="s">
        <v>39</v>
      </c>
      <c r="L394" s="30">
        <v>141586.96</v>
      </c>
      <c r="M394" s="30">
        <v>125533.87</v>
      </c>
      <c r="N394" s="30">
        <v>105488.29</v>
      </c>
      <c r="O394" s="30">
        <v>88576.009900000005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1633197.9495000001</v>
      </c>
    </row>
    <row r="395" spans="8:23">
      <c r="H395" s="36"/>
      <c r="I395" s="36"/>
      <c r="J395" s="36"/>
      <c r="K395" s="29" t="s">
        <v>40</v>
      </c>
      <c r="L395" s="30">
        <v>141586.92000000001</v>
      </c>
      <c r="M395" s="30">
        <v>125533.84</v>
      </c>
      <c r="N395" s="30">
        <v>105488.26</v>
      </c>
      <c r="O395" s="30">
        <v>88203.73</v>
      </c>
      <c r="P395" s="30">
        <v>75768.399999999994</v>
      </c>
      <c r="Q395" s="30">
        <v>65670.600000000006</v>
      </c>
      <c r="R395" s="30">
        <v>29275.46</v>
      </c>
      <c r="S395" s="20"/>
      <c r="U395" s="25">
        <f t="shared" si="14"/>
        <v>1631101.31</v>
      </c>
    </row>
    <row r="396" spans="8:23">
      <c r="H396" s="36"/>
      <c r="I396" s="36"/>
      <c r="J396" s="36"/>
      <c r="K396" s="29" t="s">
        <v>41</v>
      </c>
      <c r="L396" s="30">
        <v>141586.96</v>
      </c>
      <c r="M396" s="30">
        <v>125533.87</v>
      </c>
      <c r="N396" s="30">
        <v>105488.29</v>
      </c>
      <c r="O396" s="30">
        <v>88576.009900000005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1633197.9495000001</v>
      </c>
    </row>
    <row r="397" spans="8:23">
      <c r="H397" s="36"/>
      <c r="I397" s="36"/>
      <c r="J397" s="36"/>
      <c r="K397" s="29" t="s">
        <v>42</v>
      </c>
      <c r="L397" s="30">
        <v>141586.92000000001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spans="8:23">
      <c r="H398" s="36"/>
      <c r="I398" s="36"/>
      <c r="J398" s="36"/>
      <c r="K398" s="29" t="s">
        <v>43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75709.990000000005</v>
      </c>
      <c r="Q398" s="30">
        <v>65661.490000000005</v>
      </c>
      <c r="R398" s="30">
        <v>29389.360000000001</v>
      </c>
      <c r="S398" s="20"/>
      <c r="U398" s="25">
        <f t="shared" si="14"/>
        <v>1631014.05</v>
      </c>
    </row>
    <row r="399" spans="8:23">
      <c r="H399" s="36"/>
      <c r="I399" s="36"/>
      <c r="J399" s="36"/>
      <c r="K399" s="29" t="s">
        <v>44</v>
      </c>
      <c r="L399" s="30">
        <v>141586.9</v>
      </c>
      <c r="M399" s="30">
        <v>125533.83</v>
      </c>
      <c r="N399" s="30">
        <v>105488.25</v>
      </c>
      <c r="O399" s="30">
        <v>88139.839999999997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spans="8:23">
      <c r="H400" s="36"/>
      <c r="I400" s="36"/>
      <c r="J400" s="36"/>
      <c r="K400" s="29" t="s">
        <v>45</v>
      </c>
      <c r="L400" s="30">
        <v>141586.9</v>
      </c>
      <c r="M400" s="30">
        <v>125533.83</v>
      </c>
      <c r="N400" s="30">
        <v>105488.25</v>
      </c>
      <c r="O400" s="30">
        <v>88139.839999999997</v>
      </c>
      <c r="P400" s="30">
        <v>75790.59</v>
      </c>
      <c r="Q400" s="30">
        <v>65661.53</v>
      </c>
      <c r="R400" s="30">
        <v>29389.360000000001</v>
      </c>
      <c r="S400" s="20"/>
      <c r="U400" s="25">
        <f t="shared" si="14"/>
        <v>1631416.93</v>
      </c>
    </row>
    <row r="401" spans="8:21">
      <c r="H401" s="36"/>
      <c r="I401" s="36"/>
      <c r="J401" s="36"/>
      <c r="K401" s="29" t="s">
        <v>46</v>
      </c>
      <c r="L401" s="30">
        <v>141586.9</v>
      </c>
      <c r="M401" s="30">
        <v>125533.83</v>
      </c>
      <c r="N401" s="30">
        <v>105488.25</v>
      </c>
      <c r="O401" s="30">
        <v>88139.839999999997</v>
      </c>
      <c r="P401" s="30">
        <v>75790.59</v>
      </c>
      <c r="Q401" s="30">
        <v>65684.59</v>
      </c>
      <c r="R401" s="30">
        <v>29281.919999999998</v>
      </c>
      <c r="S401" s="20"/>
      <c r="U401" s="25">
        <f t="shared" si="14"/>
        <v>1630995.03</v>
      </c>
    </row>
    <row r="406" spans="8:21">
      <c r="H406" s="16" t="s">
        <v>19</v>
      </c>
      <c r="I406" s="16" t="s">
        <v>5</v>
      </c>
      <c r="J406" s="16" t="s">
        <v>31</v>
      </c>
      <c r="K406" s="16" t="s">
        <v>32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spans="8:21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spans="8:21">
      <c r="H408" s="35" t="s">
        <v>47</v>
      </c>
      <c r="I408" s="35" t="s">
        <v>24</v>
      </c>
      <c r="J408" s="35" t="s">
        <v>25</v>
      </c>
      <c r="K408" s="18" t="s">
        <v>48</v>
      </c>
      <c r="L408" s="19">
        <v>22470.063999999998</v>
      </c>
      <c r="M408" s="19">
        <v>19674.64</v>
      </c>
      <c r="N408" s="19">
        <v>15607.5</v>
      </c>
      <c r="O408" s="19">
        <v>10934.18</v>
      </c>
      <c r="P408" s="19">
        <v>9237.2099999999991</v>
      </c>
      <c r="Q408" s="19">
        <v>4732.37</v>
      </c>
      <c r="R408" s="20"/>
      <c r="U408" s="25">
        <f t="shared" ref="U408:U416" si="15">M408*1+N408*2+SUM(O408:S408)*5</f>
        <v>175408.44</v>
      </c>
    </row>
    <row r="409" spans="8:21">
      <c r="H409" s="35"/>
      <c r="I409" s="35"/>
      <c r="J409" s="35"/>
      <c r="K409" s="18" t="s">
        <v>49</v>
      </c>
      <c r="L409" s="19">
        <v>22470.050999999999</v>
      </c>
      <c r="M409" s="19">
        <v>19676.439999999999</v>
      </c>
      <c r="N409" s="19">
        <v>15573.26</v>
      </c>
      <c r="O409" s="19">
        <v>10894.46</v>
      </c>
      <c r="P409" s="19">
        <v>9218.82</v>
      </c>
      <c r="Q409" s="19">
        <v>4677.1099999999997</v>
      </c>
      <c r="R409" s="20"/>
      <c r="U409" s="25">
        <f t="shared" si="15"/>
        <v>174774.91</v>
      </c>
    </row>
    <row r="410" spans="8:21">
      <c r="H410" s="35"/>
      <c r="I410" s="35"/>
      <c r="J410" s="35"/>
      <c r="K410" s="18" t="s">
        <v>50</v>
      </c>
      <c r="L410" s="19">
        <v>22470.052</v>
      </c>
      <c r="M410" s="19">
        <v>19667.189999999999</v>
      </c>
      <c r="N410" s="19">
        <v>15567.008599999999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175097.30720000001</v>
      </c>
    </row>
    <row r="411" spans="8:21">
      <c r="H411" s="35"/>
      <c r="I411" s="35"/>
      <c r="J411" s="35"/>
      <c r="K411" s="18" t="s">
        <v>51</v>
      </c>
      <c r="L411" s="19">
        <v>22470.050999999999</v>
      </c>
      <c r="M411" s="19">
        <v>19667.189999999999</v>
      </c>
      <c r="N411" s="19">
        <v>15543.68</v>
      </c>
      <c r="O411" s="19">
        <v>10894.5</v>
      </c>
      <c r="P411" s="19">
        <v>9218.8700000000008</v>
      </c>
      <c r="Q411" s="19">
        <v>4677.1499999999996</v>
      </c>
      <c r="R411" s="20"/>
      <c r="U411" s="25">
        <f t="shared" si="15"/>
        <v>174707.15</v>
      </c>
    </row>
    <row r="412" spans="8:21">
      <c r="H412" s="35"/>
      <c r="I412" s="35"/>
      <c r="J412" s="35"/>
      <c r="K412" s="18" t="s">
        <v>52</v>
      </c>
      <c r="L412" s="19">
        <v>22470.05</v>
      </c>
      <c r="M412" s="19">
        <v>19667.189999999999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spans="8:21">
      <c r="H413" s="35"/>
      <c r="I413" s="35"/>
      <c r="J413" s="35"/>
      <c r="K413" s="18" t="s">
        <v>53</v>
      </c>
      <c r="L413" s="19">
        <v>22470.059000000001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4662.0770000000002</v>
      </c>
      <c r="R413" s="20"/>
      <c r="U413" s="25">
        <f t="shared" si="15"/>
        <v>174557.57500000001</v>
      </c>
    </row>
    <row r="414" spans="8:21">
      <c r="H414" s="35"/>
      <c r="I414" s="35"/>
      <c r="J414" s="35"/>
      <c r="K414" s="18" t="s">
        <v>54</v>
      </c>
      <c r="L414" s="19">
        <v>22470.035</v>
      </c>
      <c r="M414" s="19">
        <v>19667.169999999998</v>
      </c>
      <c r="N414" s="19">
        <v>15564.43</v>
      </c>
      <c r="O414" s="19">
        <v>10925.91</v>
      </c>
      <c r="P414" s="19">
        <v>9279.0730000000003</v>
      </c>
      <c r="Q414" s="19">
        <v>4697.6000000000004</v>
      </c>
      <c r="R414" s="20"/>
      <c r="U414" s="25">
        <f t="shared" si="15"/>
        <v>175308.94500000001</v>
      </c>
    </row>
    <row r="415" spans="8:21">
      <c r="H415" s="35"/>
      <c r="I415" s="35"/>
      <c r="J415" s="35"/>
      <c r="K415" s="18" t="s">
        <v>55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9268.4699999999993</v>
      </c>
      <c r="Q415" s="19">
        <v>4666.0150000000003</v>
      </c>
      <c r="R415" s="20"/>
      <c r="U415" s="25">
        <f t="shared" si="15"/>
        <v>175073.965</v>
      </c>
    </row>
    <row r="416" spans="8:21">
      <c r="H416" s="35"/>
      <c r="I416" s="35"/>
      <c r="J416" s="35"/>
      <c r="K416" s="18" t="s">
        <v>56</v>
      </c>
      <c r="L416" s="19">
        <v>22470.046999999999</v>
      </c>
      <c r="M416" s="19">
        <v>19667.189999999999</v>
      </c>
      <c r="N416" s="19">
        <v>15619.9</v>
      </c>
      <c r="O416" s="19">
        <v>10951.008</v>
      </c>
      <c r="P416" s="19">
        <v>9274.0280000000002</v>
      </c>
      <c r="Q416" s="19">
        <v>4744.0389999999998</v>
      </c>
      <c r="R416" s="20"/>
      <c r="U416" s="25">
        <f t="shared" si="15"/>
        <v>175752.36499999999</v>
      </c>
    </row>
    <row r="419" spans="8:21">
      <c r="H419" s="16" t="s">
        <v>19</v>
      </c>
      <c r="I419" s="16" t="s">
        <v>5</v>
      </c>
      <c r="J419" s="16" t="s">
        <v>31</v>
      </c>
      <c r="K419" s="16" t="s">
        <v>32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spans="8:21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spans="8:21">
      <c r="H421" s="35" t="s">
        <v>47</v>
      </c>
      <c r="I421" s="35" t="s">
        <v>116</v>
      </c>
      <c r="J421" s="35" t="s">
        <v>25</v>
      </c>
      <c r="K421" s="18" t="s">
        <v>48</v>
      </c>
      <c r="L421" s="19">
        <v>22470.063999999998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357557.21500000003</v>
      </c>
    </row>
    <row r="422" spans="8:21">
      <c r="H422" s="35"/>
      <c r="I422" s="35"/>
      <c r="J422" s="35"/>
      <c r="K422" s="18" t="s">
        <v>49</v>
      </c>
      <c r="L422" s="19">
        <v>22470.050999999999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11957.023999999999</v>
      </c>
      <c r="T422" s="20"/>
      <c r="U422" s="25">
        <f t="shared" si="16"/>
        <v>356546.71</v>
      </c>
    </row>
    <row r="423" spans="8:21">
      <c r="H423" s="35"/>
      <c r="I423" s="35"/>
      <c r="J423" s="35"/>
      <c r="K423" s="18" t="s">
        <v>50</v>
      </c>
      <c r="L423" s="19">
        <v>22470.052</v>
      </c>
      <c r="M423" s="19">
        <v>20916.169999999998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spans="8:21">
      <c r="H424" s="35"/>
      <c r="I424" s="35"/>
      <c r="J424" s="35"/>
      <c r="K424" s="18" t="s">
        <v>51</v>
      </c>
      <c r="L424" s="19">
        <v>22470.050999999999</v>
      </c>
      <c r="M424" s="19">
        <v>20916.169999999998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spans="8:21">
      <c r="H425" s="35"/>
      <c r="I425" s="35"/>
      <c r="J425" s="35"/>
      <c r="K425" s="18" t="s">
        <v>52</v>
      </c>
      <c r="L425" s="19">
        <v>22470.05</v>
      </c>
      <c r="M425" s="19">
        <v>20916.169999999998</v>
      </c>
      <c r="N425" s="19">
        <v>17054.939999999999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spans="8:21">
      <c r="H426" s="35"/>
      <c r="I426" s="35"/>
      <c r="J426" s="35"/>
      <c r="K426" s="18" t="s">
        <v>53</v>
      </c>
      <c r="L426" s="19">
        <v>22470.059000000001</v>
      </c>
      <c r="M426" s="19">
        <v>20916.18</v>
      </c>
      <c r="N426" s="19">
        <v>17064.560000000001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spans="8:21">
      <c r="H427" s="35"/>
      <c r="I427" s="35"/>
      <c r="J427" s="35"/>
      <c r="K427" s="18" t="s">
        <v>54</v>
      </c>
      <c r="L427" s="19">
        <v>22470.035</v>
      </c>
      <c r="M427" s="19">
        <v>20916.150000000001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spans="8:21">
      <c r="H428" s="35"/>
      <c r="I428" s="35"/>
      <c r="J428" s="35"/>
      <c r="K428" s="18" t="s">
        <v>55</v>
      </c>
      <c r="L428" s="19">
        <v>22469.89</v>
      </c>
      <c r="M428" s="19">
        <v>20908.14</v>
      </c>
      <c r="N428" s="19">
        <v>17069.330000000002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spans="8:21">
      <c r="H429" s="35"/>
      <c r="I429" s="35"/>
      <c r="J429" s="35"/>
      <c r="K429" s="18" t="s">
        <v>56</v>
      </c>
      <c r="L429" s="19">
        <v>22470.046999999999</v>
      </c>
      <c r="M429" s="19">
        <v>20916.16</v>
      </c>
      <c r="N429" s="19">
        <v>17127.043000000001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357871.54599999997</v>
      </c>
    </row>
    <row r="434" spans="8:21"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</row>
    <row r="435" spans="8:21"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</row>
    <row r="436" spans="8:21"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spans="8:21">
      <c r="H437" s="16" t="s">
        <v>19</v>
      </c>
      <c r="I437" s="16" t="s">
        <v>5</v>
      </c>
      <c r="J437" s="16" t="s">
        <v>31</v>
      </c>
      <c r="K437" s="16" t="s">
        <v>32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spans="8:21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spans="8:21">
      <c r="H439" s="37" t="s">
        <v>57</v>
      </c>
      <c r="I439" s="37" t="s">
        <v>24</v>
      </c>
      <c r="J439" s="37" t="s">
        <v>25</v>
      </c>
      <c r="K439" s="31" t="s">
        <v>58</v>
      </c>
      <c r="L439" s="32">
        <v>50151.13</v>
      </c>
      <c r="M439" s="32">
        <v>41373.046999999999</v>
      </c>
      <c r="N439" s="32">
        <v>37903.25</v>
      </c>
      <c r="O439" s="32">
        <v>33436.76</v>
      </c>
      <c r="P439" s="32">
        <v>26060.32</v>
      </c>
      <c r="Q439" s="32">
        <v>19573.919999999998</v>
      </c>
      <c r="R439" s="20"/>
      <c r="U439" s="25">
        <f t="shared" ref="U439:U447" si="17">M439*1+N439*2+SUM(O439:S439)*5</f>
        <v>512534.54700000002</v>
      </c>
    </row>
    <row r="440" spans="8:21">
      <c r="H440" s="37"/>
      <c r="I440" s="37"/>
      <c r="J440" s="37"/>
      <c r="K440" s="29" t="s">
        <v>59</v>
      </c>
      <c r="L440" s="30">
        <v>50151.13</v>
      </c>
      <c r="M440" s="30">
        <v>41373.046999999999</v>
      </c>
      <c r="N440" s="30">
        <v>37903.58</v>
      </c>
      <c r="O440" s="30">
        <v>33436.76</v>
      </c>
      <c r="P440" s="30">
        <v>26060.32</v>
      </c>
      <c r="Q440" s="30">
        <v>19573.919999999998</v>
      </c>
      <c r="R440" s="20"/>
      <c r="U440" s="25">
        <f t="shared" si="17"/>
        <v>512535.20699999999</v>
      </c>
    </row>
    <row r="441" spans="8:21">
      <c r="H441" s="37"/>
      <c r="I441" s="37"/>
      <c r="J441" s="37"/>
      <c r="K441" s="29" t="s">
        <v>60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19573.669999999998</v>
      </c>
      <c r="R441" s="20"/>
      <c r="U441" s="25">
        <f t="shared" si="17"/>
        <v>512538.28</v>
      </c>
    </row>
    <row r="442" spans="8:21">
      <c r="H442" s="37"/>
      <c r="I442" s="37"/>
      <c r="J442" s="37"/>
      <c r="K442" s="29" t="s">
        <v>61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19573.669999999998</v>
      </c>
      <c r="R442" s="20"/>
      <c r="U442" s="25">
        <f t="shared" si="17"/>
        <v>512538.28</v>
      </c>
    </row>
    <row r="443" spans="8:21">
      <c r="H443" s="37"/>
      <c r="I443" s="37"/>
      <c r="J443" s="37"/>
      <c r="K443" s="29" t="s">
        <v>62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19573.669999999998</v>
      </c>
      <c r="R443" s="20"/>
      <c r="U443" s="25">
        <f t="shared" si="17"/>
        <v>512538.28</v>
      </c>
    </row>
    <row r="444" spans="8:21">
      <c r="H444" s="37"/>
      <c r="I444" s="37"/>
      <c r="J444" s="37"/>
      <c r="K444" s="29" t="s">
        <v>63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19573.669999999998</v>
      </c>
      <c r="R444" s="20"/>
      <c r="U444" s="25">
        <f t="shared" si="17"/>
        <v>512538.28</v>
      </c>
    </row>
    <row r="445" spans="8:21">
      <c r="H445" s="37"/>
      <c r="I445" s="37"/>
      <c r="J445" s="37"/>
      <c r="K445" s="29" t="s">
        <v>64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19573.669999999998</v>
      </c>
      <c r="R445" s="20"/>
      <c r="U445" s="25">
        <f t="shared" si="17"/>
        <v>512538.28</v>
      </c>
    </row>
    <row r="446" spans="8:21">
      <c r="H446" s="37"/>
      <c r="I446" s="37"/>
      <c r="J446" s="37"/>
      <c r="K446" s="29" t="s">
        <v>65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19573.669999999998</v>
      </c>
      <c r="R446" s="20"/>
      <c r="U446" s="25">
        <f t="shared" si="17"/>
        <v>512538.28</v>
      </c>
    </row>
    <row r="447" spans="8:21">
      <c r="H447" s="37"/>
      <c r="I447" s="37"/>
      <c r="J447" s="37"/>
      <c r="K447" s="29" t="s">
        <v>66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19573.669999999998</v>
      </c>
      <c r="R447" s="20"/>
      <c r="U447" s="25">
        <f t="shared" si="17"/>
        <v>512538.28</v>
      </c>
    </row>
    <row r="454" spans="8:21">
      <c r="H454" s="16" t="s">
        <v>19</v>
      </c>
      <c r="I454" s="16" t="s">
        <v>5</v>
      </c>
      <c r="J454" s="16" t="s">
        <v>31</v>
      </c>
      <c r="K454" s="16" t="s">
        <v>32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spans="8:21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spans="8:21">
      <c r="H456" s="38" t="s">
        <v>67</v>
      </c>
      <c r="I456" s="38" t="s">
        <v>24</v>
      </c>
      <c r="J456" s="38" t="s">
        <v>25</v>
      </c>
      <c r="K456" s="26" t="s">
        <v>68</v>
      </c>
      <c r="L456" s="27">
        <v>15567.82</v>
      </c>
      <c r="M456" s="27">
        <v>13234.97</v>
      </c>
      <c r="N456" s="27">
        <v>12171.067999999999</v>
      </c>
      <c r="O456" s="27">
        <v>8927.0650000000005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123457.58100000001</v>
      </c>
    </row>
    <row r="457" spans="8:21">
      <c r="H457" s="38"/>
      <c r="I457" s="38"/>
      <c r="J457" s="38"/>
      <c r="K457" s="18" t="s">
        <v>69</v>
      </c>
      <c r="L457" s="19">
        <v>15567.82</v>
      </c>
      <c r="M457" s="19">
        <v>13234.97</v>
      </c>
      <c r="N457" s="19">
        <v>12171.067999999999</v>
      </c>
      <c r="O457" s="19">
        <v>8927.0650000000005</v>
      </c>
      <c r="P457" s="19">
        <v>6549.1</v>
      </c>
      <c r="Q457" s="19">
        <v>1699.93</v>
      </c>
      <c r="R457" s="20"/>
      <c r="U457" s="25">
        <f t="shared" si="18"/>
        <v>123457.58100000001</v>
      </c>
    </row>
    <row r="458" spans="8:21">
      <c r="H458" s="38"/>
      <c r="I458" s="38"/>
      <c r="J458" s="38"/>
      <c r="K458" s="18" t="s">
        <v>70</v>
      </c>
      <c r="L458" s="19">
        <v>15567.82</v>
      </c>
      <c r="M458" s="19">
        <v>13234.97</v>
      </c>
      <c r="N458" s="19">
        <v>12171.067999999999</v>
      </c>
      <c r="O458" s="19">
        <v>8927.0650000000005</v>
      </c>
      <c r="P458" s="19">
        <v>6549.1</v>
      </c>
      <c r="Q458" s="19">
        <v>1699.93</v>
      </c>
      <c r="R458" s="20"/>
      <c r="U458" s="25">
        <f t="shared" si="18"/>
        <v>123457.58100000001</v>
      </c>
    </row>
    <row r="459" spans="8:21">
      <c r="H459" s="38"/>
      <c r="I459" s="38"/>
      <c r="J459" s="38"/>
      <c r="K459" s="18" t="s">
        <v>71</v>
      </c>
      <c r="L459" s="19">
        <v>15567.82</v>
      </c>
      <c r="M459" s="19">
        <v>13234.97</v>
      </c>
      <c r="N459" s="19">
        <v>12171.067999999999</v>
      </c>
      <c r="O459" s="19">
        <v>8927.0650000000005</v>
      </c>
      <c r="P459" s="19">
        <v>6549.1</v>
      </c>
      <c r="Q459" s="19">
        <v>1699.93</v>
      </c>
      <c r="R459" s="20"/>
      <c r="U459" s="25">
        <f t="shared" si="18"/>
        <v>123457.58100000001</v>
      </c>
    </row>
    <row r="460" spans="8:21">
      <c r="H460" s="38"/>
      <c r="I460" s="38"/>
      <c r="J460" s="38"/>
      <c r="K460" s="18" t="s">
        <v>72</v>
      </c>
      <c r="L460" s="19">
        <v>15567.82</v>
      </c>
      <c r="M460" s="19">
        <v>13234.97</v>
      </c>
      <c r="N460" s="19">
        <v>12171.067999999999</v>
      </c>
      <c r="O460" s="19">
        <v>8927.0650000000005</v>
      </c>
      <c r="P460" s="19">
        <v>6549.1</v>
      </c>
      <c r="Q460" s="19">
        <v>1699.93</v>
      </c>
      <c r="R460" s="20"/>
      <c r="U460" s="25">
        <f t="shared" si="18"/>
        <v>123457.58100000001</v>
      </c>
    </row>
    <row r="461" spans="8:21">
      <c r="H461" s="38"/>
      <c r="I461" s="38"/>
      <c r="J461" s="38"/>
      <c r="K461" s="18" t="s">
        <v>73</v>
      </c>
      <c r="L461" s="19">
        <v>15567.82</v>
      </c>
      <c r="M461" s="19">
        <v>13234.97</v>
      </c>
      <c r="N461" s="19">
        <v>12171.067999999999</v>
      </c>
      <c r="O461" s="19">
        <v>8927.0650000000005</v>
      </c>
      <c r="P461" s="19">
        <v>6549.1</v>
      </c>
      <c r="Q461" s="19">
        <v>1699.93</v>
      </c>
      <c r="R461" s="20"/>
      <c r="U461" s="25">
        <f t="shared" si="18"/>
        <v>123457.58100000001</v>
      </c>
    </row>
    <row r="462" spans="8:21">
      <c r="H462" s="38"/>
      <c r="I462" s="38"/>
      <c r="J462" s="38"/>
      <c r="K462" s="18" t="s">
        <v>74</v>
      </c>
      <c r="L462" s="19">
        <v>15567.82</v>
      </c>
      <c r="M462" s="19">
        <v>13234.97</v>
      </c>
      <c r="N462" s="19">
        <v>12171.067999999999</v>
      </c>
      <c r="O462" s="19">
        <v>8927.0650000000005</v>
      </c>
      <c r="P462" s="19">
        <v>6549.1</v>
      </c>
      <c r="Q462" s="19">
        <v>1699.93</v>
      </c>
      <c r="R462" s="20"/>
      <c r="U462" s="25">
        <f t="shared" si="18"/>
        <v>123457.58100000001</v>
      </c>
    </row>
    <row r="463" spans="8:21">
      <c r="H463" s="38"/>
      <c r="I463" s="38"/>
      <c r="J463" s="38"/>
      <c r="K463" s="18" t="s">
        <v>75</v>
      </c>
      <c r="L463" s="19">
        <v>15567.82</v>
      </c>
      <c r="M463" s="19">
        <v>13234.97</v>
      </c>
      <c r="N463" s="19">
        <v>12171.067999999999</v>
      </c>
      <c r="O463" s="19">
        <v>8927.0650000000005</v>
      </c>
      <c r="P463" s="19">
        <v>6549.1</v>
      </c>
      <c r="Q463" s="19">
        <v>1699.93</v>
      </c>
      <c r="R463" s="20"/>
      <c r="U463" s="25">
        <f t="shared" si="18"/>
        <v>123457.58100000001</v>
      </c>
    </row>
    <row r="464" spans="8:21">
      <c r="H464" s="38"/>
      <c r="I464" s="38"/>
      <c r="J464" s="38"/>
      <c r="K464" s="18" t="s">
        <v>76</v>
      </c>
      <c r="L464" s="19">
        <v>15567.82</v>
      </c>
      <c r="M464" s="19">
        <v>13234.97</v>
      </c>
      <c r="N464" s="19">
        <v>12171.067999999999</v>
      </c>
      <c r="O464" s="19">
        <v>8927.0650000000005</v>
      </c>
      <c r="P464" s="19">
        <v>6549.1</v>
      </c>
      <c r="Q464" s="19">
        <v>1699.93</v>
      </c>
      <c r="R464" s="20"/>
      <c r="U464" s="25">
        <f t="shared" si="18"/>
        <v>123457.58100000001</v>
      </c>
    </row>
    <row r="471" spans="8:21"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</row>
    <row r="472" spans="8:21">
      <c r="H472" s="33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</row>
    <row r="473" spans="8:21">
      <c r="H473" s="33"/>
      <c r="I473" s="16" t="s">
        <v>19</v>
      </c>
      <c r="J473" s="16" t="s">
        <v>5</v>
      </c>
      <c r="K473" s="16" t="s">
        <v>31</v>
      </c>
      <c r="L473" s="16" t="s">
        <v>32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spans="8:21">
      <c r="H474" s="33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spans="8:21" ht="22">
      <c r="H475" s="33"/>
      <c r="I475" s="36" t="s">
        <v>23</v>
      </c>
      <c r="J475" s="36" t="s">
        <v>24</v>
      </c>
      <c r="K475" s="36" t="s">
        <v>25</v>
      </c>
      <c r="L475" s="29" t="s">
        <v>77</v>
      </c>
      <c r="M475" s="30">
        <v>132241.97</v>
      </c>
      <c r="N475" s="30">
        <v>117533.08100000001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2227078.2820000001</v>
      </c>
    </row>
    <row r="476" spans="8:21" ht="22">
      <c r="H476" s="33"/>
      <c r="I476" s="36"/>
      <c r="J476" s="36"/>
      <c r="K476" s="36"/>
      <c r="L476" s="29" t="s">
        <v>78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spans="8:21" ht="22">
      <c r="H477" s="33"/>
      <c r="I477" s="36"/>
      <c r="J477" s="36"/>
      <c r="K477" s="36"/>
      <c r="L477" s="29" t="s">
        <v>79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spans="8:21" ht="22">
      <c r="H478" s="33"/>
      <c r="I478" s="36"/>
      <c r="J478" s="36"/>
      <c r="K478" s="36"/>
      <c r="L478" s="29" t="s">
        <v>80</v>
      </c>
      <c r="M478" s="30">
        <v>132241.97</v>
      </c>
      <c r="N478" s="30">
        <v>117547.02800000001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2227336.5260000001</v>
      </c>
    </row>
    <row r="479" spans="8:21" ht="22">
      <c r="H479" s="33"/>
      <c r="I479" s="36"/>
      <c r="J479" s="36"/>
      <c r="K479" s="36"/>
      <c r="L479" s="29" t="s">
        <v>81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2226896.5299999998</v>
      </c>
    </row>
    <row r="480" spans="8:21" ht="22">
      <c r="H480" s="33"/>
      <c r="I480" s="36"/>
      <c r="J480" s="36"/>
      <c r="K480" s="36"/>
      <c r="L480" s="29" t="s">
        <v>82</v>
      </c>
      <c r="M480" s="30">
        <v>132241.97</v>
      </c>
      <c r="N480" s="30">
        <v>117547.02800000001</v>
      </c>
      <c r="O480" s="30">
        <v>112850.51</v>
      </c>
      <c r="P480" s="30">
        <v>98269.759999999995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2227437.7259999998</v>
      </c>
    </row>
    <row r="481" spans="8:21" ht="22">
      <c r="H481" s="33"/>
      <c r="I481" s="36"/>
      <c r="J481" s="36"/>
      <c r="K481" s="36"/>
      <c r="L481" s="29" t="s">
        <v>83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2226624.2000000002</v>
      </c>
    </row>
    <row r="482" spans="8:21" ht="22">
      <c r="H482" s="33"/>
      <c r="I482" s="36"/>
      <c r="J482" s="36"/>
      <c r="K482" s="36"/>
      <c r="L482" s="29" t="s">
        <v>84</v>
      </c>
      <c r="M482" s="30">
        <v>132241.97</v>
      </c>
      <c r="N482" s="30">
        <v>117548.36</v>
      </c>
      <c r="O482" s="30">
        <v>112737.82</v>
      </c>
      <c r="P482" s="30">
        <v>98183.051999999996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2226747.0499999998</v>
      </c>
    </row>
    <row r="483" spans="8:21" ht="22">
      <c r="I483" s="36"/>
      <c r="J483" s="36"/>
      <c r="K483" s="36"/>
      <c r="L483" s="29" t="s">
        <v>85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9" spans="8:21">
      <c r="I489" s="16" t="s">
        <v>19</v>
      </c>
      <c r="J489" s="16" t="s">
        <v>5</v>
      </c>
      <c r="K489" s="16" t="s">
        <v>31</v>
      </c>
      <c r="L489" s="16" t="s">
        <v>32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spans="8:21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spans="8:21" ht="35">
      <c r="I491" s="35" t="s">
        <v>86</v>
      </c>
      <c r="J491" s="35" t="s">
        <v>24</v>
      </c>
      <c r="K491" s="35" t="s">
        <v>25</v>
      </c>
      <c r="L491" s="18" t="s">
        <v>87</v>
      </c>
      <c r="M491" s="19">
        <v>63906.23</v>
      </c>
      <c r="N491" s="19">
        <v>49661.15</v>
      </c>
      <c r="O491" s="19">
        <v>40376.589999999997</v>
      </c>
      <c r="P491" s="19">
        <v>32503.45</v>
      </c>
      <c r="Q491" s="19">
        <v>28134.076000000001</v>
      </c>
      <c r="R491" s="19">
        <v>22123.39</v>
      </c>
      <c r="S491" s="20"/>
      <c r="U491" s="25">
        <f t="shared" ref="U491:U499" si="20">M491*1+N491*2+SUM(O491:S491)*5</f>
        <v>778916.06</v>
      </c>
    </row>
    <row r="492" spans="8:21" ht="35">
      <c r="I492" s="35"/>
      <c r="J492" s="35"/>
      <c r="K492" s="35"/>
      <c r="L492" s="18" t="s">
        <v>88</v>
      </c>
      <c r="M492" s="19">
        <v>63906.23</v>
      </c>
      <c r="N492" s="19">
        <v>49661.25</v>
      </c>
      <c r="O492" s="19">
        <v>40431.760000000002</v>
      </c>
      <c r="P492" s="19">
        <v>32477.919999999998</v>
      </c>
      <c r="Q492" s="19">
        <v>28338.880000000001</v>
      </c>
      <c r="R492" s="19">
        <v>21925.4</v>
      </c>
      <c r="S492" s="20"/>
      <c r="U492" s="25">
        <f t="shared" si="20"/>
        <v>779098.53</v>
      </c>
    </row>
    <row r="493" spans="8:21" ht="35">
      <c r="I493" s="35"/>
      <c r="J493" s="35"/>
      <c r="K493" s="35"/>
      <c r="L493" s="18" t="s">
        <v>89</v>
      </c>
      <c r="M493" s="19">
        <v>63906.23</v>
      </c>
      <c r="N493" s="19">
        <v>49659.1</v>
      </c>
      <c r="O493" s="19">
        <v>40228.720000000001</v>
      </c>
      <c r="P493" s="19">
        <v>32503.46</v>
      </c>
      <c r="Q493" s="19">
        <v>28134.066999999999</v>
      </c>
      <c r="R493" s="19">
        <v>22008.19</v>
      </c>
      <c r="S493" s="20"/>
      <c r="U493" s="25">
        <f t="shared" si="20"/>
        <v>777596.61499999999</v>
      </c>
    </row>
    <row r="494" spans="8:21" ht="35">
      <c r="I494" s="35"/>
      <c r="J494" s="35"/>
      <c r="K494" s="35"/>
      <c r="L494" s="18" t="s">
        <v>90</v>
      </c>
      <c r="M494" s="19">
        <v>63906.23</v>
      </c>
      <c r="N494" s="19">
        <v>49659.1</v>
      </c>
      <c r="O494" s="19">
        <v>40253.800000000003</v>
      </c>
      <c r="P494" s="19">
        <v>32477.439999999999</v>
      </c>
      <c r="Q494" s="19">
        <v>28333.79</v>
      </c>
      <c r="R494" s="19">
        <v>21924.081999999999</v>
      </c>
      <c r="S494" s="20"/>
      <c r="U494" s="25">
        <f t="shared" si="20"/>
        <v>778169.99</v>
      </c>
    </row>
    <row r="495" spans="8:21" ht="35">
      <c r="I495" s="35"/>
      <c r="J495" s="35"/>
      <c r="K495" s="35"/>
      <c r="L495" s="18" t="s">
        <v>91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spans="8:21" ht="35">
      <c r="I496" s="35"/>
      <c r="J496" s="35"/>
      <c r="K496" s="35"/>
      <c r="L496" s="18" t="s">
        <v>92</v>
      </c>
      <c r="M496" s="19">
        <v>63906.23</v>
      </c>
      <c r="N496" s="19">
        <v>49659.1</v>
      </c>
      <c r="O496" s="19">
        <v>40228.5</v>
      </c>
      <c r="P496" s="19">
        <v>32668.026999999998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spans="9:21" ht="35">
      <c r="I497" s="35"/>
      <c r="J497" s="35"/>
      <c r="K497" s="35"/>
      <c r="L497" s="18" t="s">
        <v>93</v>
      </c>
      <c r="M497" s="19">
        <v>63906.23</v>
      </c>
      <c r="N497" s="19">
        <v>49659.1</v>
      </c>
      <c r="O497" s="19">
        <v>40228.230000000003</v>
      </c>
      <c r="P497" s="19">
        <v>32601.119999999999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spans="9:21" ht="35">
      <c r="I498" s="35"/>
      <c r="J498" s="35"/>
      <c r="K498" s="35"/>
      <c r="L498" s="18" t="s">
        <v>94</v>
      </c>
      <c r="M498" s="19">
        <v>63906.23</v>
      </c>
      <c r="N498" s="19">
        <v>49659.1</v>
      </c>
      <c r="O498" s="19">
        <v>40228.230000000003</v>
      </c>
      <c r="P498" s="19">
        <v>32601.119999999999</v>
      </c>
      <c r="Q498" s="19">
        <v>28201.98</v>
      </c>
      <c r="R498" s="19">
        <v>21823.017</v>
      </c>
      <c r="S498" s="20"/>
      <c r="U498" s="25">
        <f t="shared" si="20"/>
        <v>777496.16500000004</v>
      </c>
    </row>
    <row r="499" spans="9:21" ht="35">
      <c r="I499" s="35"/>
      <c r="J499" s="35"/>
      <c r="K499" s="35"/>
      <c r="L499" s="18" t="s">
        <v>95</v>
      </c>
      <c r="M499" s="19">
        <v>63906.23</v>
      </c>
      <c r="N499" s="19">
        <v>49659.1</v>
      </c>
      <c r="O499" s="19">
        <v>40228.230000000003</v>
      </c>
      <c r="P499" s="19">
        <v>32601.119999999999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6" spans="9:21">
      <c r="I506" s="16" t="s">
        <v>19</v>
      </c>
      <c r="J506" s="16" t="s">
        <v>5</v>
      </c>
      <c r="K506" s="16" t="s">
        <v>31</v>
      </c>
      <c r="L506" s="16" t="s">
        <v>32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spans="9:21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spans="9:21" ht="35">
      <c r="I508" s="35" t="s">
        <v>96</v>
      </c>
      <c r="J508" s="35" t="s">
        <v>24</v>
      </c>
      <c r="K508" s="35" t="s">
        <v>25</v>
      </c>
      <c r="L508" s="18" t="s">
        <v>97</v>
      </c>
      <c r="M508" s="19">
        <v>26899.092000000001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343327.19699999999</v>
      </c>
    </row>
    <row r="509" spans="9:21" ht="35">
      <c r="I509" s="35"/>
      <c r="J509" s="35"/>
      <c r="K509" s="35"/>
      <c r="L509" s="18" t="s">
        <v>98</v>
      </c>
      <c r="M509" s="19">
        <v>26899.092000000001</v>
      </c>
      <c r="N509" s="19">
        <v>24377.51</v>
      </c>
      <c r="O509" s="19">
        <v>18842.349999999999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343107.66200000001</v>
      </c>
    </row>
    <row r="510" spans="9:21" ht="35">
      <c r="I510" s="35"/>
      <c r="J510" s="35"/>
      <c r="K510" s="35"/>
      <c r="L510" s="18" t="s">
        <v>99</v>
      </c>
      <c r="M510" s="19">
        <v>26899.092000000001</v>
      </c>
      <c r="N510" s="19">
        <v>24377.51</v>
      </c>
      <c r="O510" s="19">
        <v>18845.599999999999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343344.49699999997</v>
      </c>
    </row>
    <row r="511" spans="9:21" ht="35">
      <c r="I511" s="35"/>
      <c r="J511" s="35"/>
      <c r="K511" s="35"/>
      <c r="L511" s="18" t="s">
        <v>100</v>
      </c>
      <c r="M511" s="19">
        <v>26899.092000000001</v>
      </c>
      <c r="N511" s="19">
        <v>24377.51</v>
      </c>
      <c r="O511" s="19">
        <v>18845.599999999999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343123.91200000001</v>
      </c>
    </row>
    <row r="512" spans="9:21" ht="35">
      <c r="I512" s="35"/>
      <c r="J512" s="35"/>
      <c r="K512" s="35"/>
      <c r="L512" s="18" t="s">
        <v>101</v>
      </c>
      <c r="M512" s="19">
        <v>26899.092000000001</v>
      </c>
      <c r="N512" s="19">
        <v>24377.51</v>
      </c>
      <c r="O512" s="19">
        <v>18845.599999999999</v>
      </c>
      <c r="P512" s="19">
        <v>15692.031999999999</v>
      </c>
      <c r="Q512" s="19">
        <v>12085.68</v>
      </c>
      <c r="R512" s="19">
        <v>6955.78</v>
      </c>
      <c r="S512" s="20"/>
      <c r="U512" s="25">
        <f t="shared" si="21"/>
        <v>343549.57199999999</v>
      </c>
    </row>
    <row r="513" spans="9:21" ht="35">
      <c r="I513" s="35"/>
      <c r="J513" s="35"/>
      <c r="K513" s="35"/>
      <c r="L513" s="18" t="s">
        <v>102</v>
      </c>
      <c r="M513" s="19">
        <v>26899.092000000001</v>
      </c>
      <c r="N513" s="19">
        <v>24377.51</v>
      </c>
      <c r="O513" s="19">
        <v>18845.599999999999</v>
      </c>
      <c r="P513" s="19">
        <v>15692.031999999999</v>
      </c>
      <c r="Q513" s="19">
        <v>12057.77</v>
      </c>
      <c r="R513" s="19">
        <v>6955.77</v>
      </c>
      <c r="S513" s="20"/>
      <c r="U513" s="25">
        <f t="shared" si="21"/>
        <v>343409.97200000001</v>
      </c>
    </row>
    <row r="514" spans="9:21" ht="35">
      <c r="I514" s="35"/>
      <c r="J514" s="35"/>
      <c r="K514" s="35"/>
      <c r="L514" s="18" t="s">
        <v>103</v>
      </c>
      <c r="M514" s="19">
        <v>26899.092000000001</v>
      </c>
      <c r="N514" s="19">
        <v>24377.51</v>
      </c>
      <c r="O514" s="19">
        <v>18845.599999999999</v>
      </c>
      <c r="P514" s="19">
        <v>15692.031999999999</v>
      </c>
      <c r="Q514" s="19">
        <v>12132.33</v>
      </c>
      <c r="R514" s="19">
        <v>6955.78</v>
      </c>
      <c r="S514" s="20"/>
      <c r="U514" s="25">
        <f t="shared" si="21"/>
        <v>343782.82199999999</v>
      </c>
    </row>
    <row r="515" spans="9:21" ht="35">
      <c r="I515" s="35"/>
      <c r="J515" s="35"/>
      <c r="K515" s="35"/>
      <c r="L515" s="26" t="s">
        <v>104</v>
      </c>
      <c r="M515" s="27">
        <v>26899.092000000001</v>
      </c>
      <c r="N515" s="27">
        <v>24377.51</v>
      </c>
      <c r="O515" s="27">
        <v>18845.599999999999</v>
      </c>
      <c r="P515" s="27">
        <v>15692.031999999999</v>
      </c>
      <c r="Q515" s="27">
        <v>12132.33</v>
      </c>
      <c r="R515" s="27">
        <v>6955.78</v>
      </c>
      <c r="S515" s="20"/>
      <c r="U515" s="25">
        <f t="shared" si="21"/>
        <v>343782.82199999999</v>
      </c>
    </row>
    <row r="516" spans="9:21" ht="35">
      <c r="I516" s="35"/>
      <c r="J516" s="35"/>
      <c r="K516" s="35"/>
      <c r="L516" s="18" t="s">
        <v>105</v>
      </c>
      <c r="M516" s="19">
        <v>26899.092000000001</v>
      </c>
      <c r="N516" s="19">
        <v>24377.51</v>
      </c>
      <c r="O516" s="19">
        <v>18845.599999999999</v>
      </c>
      <c r="P516" s="19">
        <v>15692.031999999999</v>
      </c>
      <c r="Q516" s="19">
        <v>12132.33</v>
      </c>
      <c r="R516" s="19">
        <v>6955.78</v>
      </c>
      <c r="S516" s="20"/>
      <c r="U516" s="25">
        <f t="shared" si="21"/>
        <v>343782.82199999999</v>
      </c>
    </row>
  </sheetData>
  <mergeCells count="66">
    <mergeCell ref="AD15:AD21"/>
    <mergeCell ref="AE15:AE21"/>
    <mergeCell ref="J508:J516"/>
    <mergeCell ref="K475:K483"/>
    <mergeCell ref="K491:K499"/>
    <mergeCell ref="K508:K516"/>
    <mergeCell ref="AC15:AC21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I319:I327"/>
    <mergeCell ref="I334:I342"/>
    <mergeCell ref="I354:I362"/>
    <mergeCell ref="I372:I380"/>
    <mergeCell ref="I393:I401"/>
    <mergeCell ref="I223:I227"/>
    <mergeCell ref="I238:I242"/>
    <mergeCell ref="I265:I273"/>
    <mergeCell ref="I283:I291"/>
    <mergeCell ref="I302:I310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390:S390"/>
    <mergeCell ref="H434:R434"/>
    <mergeCell ref="H435:R435"/>
    <mergeCell ref="H436:R436"/>
    <mergeCell ref="I471:T471"/>
    <mergeCell ref="H456:H464"/>
    <mergeCell ref="H471:H482"/>
    <mergeCell ref="I408:I416"/>
    <mergeCell ref="I421:I429"/>
    <mergeCell ref="I439:I447"/>
    <mergeCell ref="I456:I464"/>
    <mergeCell ref="I475:I483"/>
    <mergeCell ref="H349:R349"/>
    <mergeCell ref="H350:R350"/>
    <mergeCell ref="H351:R351"/>
    <mergeCell ref="H388:S388"/>
    <mergeCell ref="H389:S389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Xiao Li</cp:lastModifiedBy>
  <dcterms:created xsi:type="dcterms:W3CDTF">2009-05-27T14:40:00Z</dcterms:created>
  <dcterms:modified xsi:type="dcterms:W3CDTF">2025-09-11T01:47:15Z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1033-12.2.0.21931</vt:lpwstr>
  </property>
</Properties>
</file>