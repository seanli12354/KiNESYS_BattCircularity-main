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134"/>
          </rPr>
          <t>Insert Table</t>
        </r>
      </text>
    </comment>
    <comment ref="O5" authorId="2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<sst xmlns="http://schemas.openxmlformats.org/spreadsheetml/2006/main" count="320" uniqueCount="119">
  <si>
    <t>*use VLOOKUP to tell Veda inputting 1-end (comprising scenario group), each one as one scenario</t>
  </si>
  <si>
    <t>~inputcell: 1-2</t>
  </si>
  <si>
    <t>*Contributed by Amit</t>
  </si>
  <si>
    <t>~TFM_INS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</si>
  <si>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</si>
  <si>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</si>
  <si>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</si>
  <si>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</si>
  <si>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</si>
  <si>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</si>
  <si>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</si>
  <si>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</si>
  <si>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</si>
  <si>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</si>
  <si>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</si>
  <si>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</si>
  <si>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</si>
  <si>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</si>
  <si>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</si>
  <si>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Tech</t>
  </si>
  <si>
    <t>Region</t>
  </si>
  <si>
    <t>year</t>
  </si>
  <si>
    <t>*toRecy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</si>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</sst>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5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134"/>
    </font>
    <font>
      <b/>
      <sz val="8"/>
      <name val="Tahoma"/>
      <charset val="134"/>
    </font>
    <font>
      <sz val="9"/>
      <name val="Times New Roman"/>
      <charset val="134"/>
    </font>
    <font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4" fillId="0" borderId="0"/>
    <xf numFmtId="0" fontId="30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0" fillId="0" borderId="0" xfId="0" applyFont="1" applyFill="1" applyBorder="1" applyAlignment="1"/>
    <xf numFmtId="0" fontId="0" fillId="5" borderId="0" xfId="0" applyFill="1"/>
    <xf numFmtId="178" fontId="0" fillId="0" borderId="0" xfId="0" applyNumberFormat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4" fillId="4" borderId="1" xfId="0" applyFont="1" applyFill="1" applyBorder="1" applyAlignment="1"/>
    <xf numFmtId="178" fontId="0" fillId="5" borderId="0" xfId="0" applyNumberFormat="1" applyFill="1"/>
    <xf numFmtId="0" fontId="5" fillId="7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8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6" fillId="10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right" vertical="top" wrapText="1"/>
    </xf>
    <xf numFmtId="0" fontId="9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right" vertical="top" wrapText="1"/>
    </xf>
    <xf numFmtId="0" fontId="11" fillId="10" borderId="2" xfId="0" applyFont="1" applyFill="1" applyBorder="1" applyAlignment="1">
      <alignment horizontal="center" wrapText="1"/>
    </xf>
    <xf numFmtId="0" fontId="11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3" zoomScaleNormal="73" workbookViewId="0">
      <selection activeCell="K11" sqref="K11"/>
    </sheetView>
  </sheetViews>
  <sheetFormatPr defaultColWidth="9" defaultRowHeight="14.5"/>
  <cols>
    <col min="2" max="2" width="13.0909090909091" customWidth="1"/>
    <col min="3" max="3" width="15.3636363636364" customWidth="1"/>
    <col min="4" max="4" width="10.1818181818182" customWidth="1"/>
    <col min="5" max="5" width="9.54545454545454" customWidth="1"/>
    <col min="6" max="6" width="11.6363636363636" customWidth="1"/>
    <col min="7" max="7" width="9.72727272727273" customWidth="1"/>
    <col min="8" max="8" width="10.7272727272727" customWidth="1"/>
    <col min="9" max="9" width="9.63636363636364" customWidth="1"/>
    <col min="10" max="10" width="13.6363636363636" customWidth="1"/>
    <col min="11" max="11" width="16.2727272727273" customWidth="1"/>
    <col min="12" max="12" width="8.36363636363636" customWidth="1"/>
    <col min="13" max="13" width="5.54545454545455" customWidth="1"/>
    <col min="14" max="14" width="8.72727272727273" customWidth="1"/>
    <col min="15" max="16" width="8.36363636363636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2:9">
      <c r="B2" t="s">
        <v>1</v>
      </c>
      <c r="I2" t="s">
        <v>2</v>
      </c>
    </row>
    <row r="3" customHeight="1" spans="2:2">
      <c r="B3">
        <v>1</v>
      </c>
    </row>
    <row r="5" customHeight="1" spans="3:21">
      <c r="C5" s="1" t="str">
        <f>VLOOKUP($B$3,$B$17:$E$37,C$6,FALSE)</f>
        <v>*toRecy</v>
      </c>
      <c r="D5" s="1" t="str">
        <f>VLOOKUP($B$3,$B$17:$E$37,D$6,FALSE)</f>
        <v>AllRegions</v>
      </c>
      <c r="E5" s="2">
        <f>VLOOKUP($B$3,$B$17:$E$37,E$6,FALSE)</f>
        <v>2025</v>
      </c>
      <c r="H5" s="3" t="s">
        <v>3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>
        <v>2</v>
      </c>
      <c r="D6" s="4">
        <v>3</v>
      </c>
      <c r="E6" s="5">
        <v>4</v>
      </c>
      <c r="H6" s="6" t="s">
        <v>4</v>
      </c>
      <c r="I6" s="6" t="s">
        <v>5</v>
      </c>
      <c r="J6" s="6" t="s">
        <v>6</v>
      </c>
      <c r="K6" s="6" t="s">
        <v>7</v>
      </c>
      <c r="L6" s="6" t="s">
        <v>8</v>
      </c>
      <c r="M6" s="6" t="s">
        <v>9</v>
      </c>
      <c r="N6" s="13" t="s">
        <v>10</v>
      </c>
      <c r="O6" s="14" t="s">
        <v>11</v>
      </c>
      <c r="P6" s="14" t="s">
        <v>12</v>
      </c>
      <c r="Q6" s="14" t="s">
        <v>13</v>
      </c>
      <c r="R6" s="14" t="s">
        <v>14</v>
      </c>
      <c r="S6" s="14" t="s">
        <v>15</v>
      </c>
      <c r="T6" s="14" t="s">
        <v>16</v>
      </c>
      <c r="U6" s="14" t="s">
        <v>17</v>
      </c>
    </row>
    <row r="7" spans="3:20">
      <c r="C7" s="7"/>
      <c r="D7" s="7"/>
      <c r="H7" s="8"/>
      <c r="I7" s="8"/>
      <c r="J7" s="8" t="s">
        <v>18</v>
      </c>
      <c r="K7" s="8"/>
      <c r="L7" s="8"/>
      <c r="M7" s="8"/>
      <c r="N7">
        <f>E5</f>
        <v>2025</v>
      </c>
      <c r="O7" s="8"/>
      <c r="P7" s="8" t="str">
        <f>C5</f>
        <v>*toRecy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22</v>
      </c>
      <c r="D17" s="7" t="s">
        <v>10</v>
      </c>
      <c r="E17">
        <v>2025</v>
      </c>
      <c r="G17" s="9">
        <f>B23+1</f>
        <v>8</v>
      </c>
      <c r="H17" s="9" t="s">
        <v>23</v>
      </c>
      <c r="I17" s="9" t="s">
        <v>10</v>
      </c>
      <c r="J17" s="15">
        <f>E19</f>
        <v>2030</v>
      </c>
      <c r="K17" s="9"/>
      <c r="L17" s="9">
        <f>G23+1</f>
        <v>1</v>
      </c>
      <c r="M17" s="9" t="s">
        <v>24</v>
      </c>
      <c r="N17" s="9" t="s">
        <v>10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">
        <v>22</v>
      </c>
      <c r="D18" s="7" t="s">
        <v>10</v>
      </c>
      <c r="E18" s="10">
        <v>2101</v>
      </c>
      <c r="G18" s="9">
        <f t="shared" ref="G18:G21" si="1">G17+1</f>
        <v>9</v>
      </c>
      <c r="H18" s="9" t="str">
        <f t="shared" ref="H18:H21" si="2">H17</f>
        <v>HydRecy*</v>
      </c>
      <c r="I18" s="9" t="s">
        <v>10</v>
      </c>
      <c r="J18" s="15">
        <f>E20</f>
        <v>2035</v>
      </c>
      <c r="K18" s="9"/>
      <c r="L18" s="9">
        <f t="shared" ref="L18:L21" si="3">L17+1</f>
        <v>2</v>
      </c>
      <c r="M18" s="9" t="s">
        <v>24</v>
      </c>
      <c r="N18" s="9" t="s">
        <v>10</v>
      </c>
      <c r="O18" s="15">
        <f>J18</f>
        <v>2035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">
        <v>22</v>
      </c>
      <c r="D19" s="7" t="s">
        <v>10</v>
      </c>
      <c r="E19" s="10">
        <v>2030</v>
      </c>
      <c r="G19" s="9">
        <f t="shared" si="1"/>
        <v>10</v>
      </c>
      <c r="H19" s="9" t="str">
        <f t="shared" si="2"/>
        <v>HydRecy*</v>
      </c>
      <c r="I19" s="9" t="s">
        <v>10</v>
      </c>
      <c r="J19" s="15">
        <f>E21</f>
        <v>2040</v>
      </c>
      <c r="K19" s="9"/>
      <c r="L19" s="9">
        <f t="shared" si="3"/>
        <v>3</v>
      </c>
      <c r="M19" s="9" t="str">
        <f t="shared" ref="M19:M21" si="4">M18</f>
        <v>PyroRecy*</v>
      </c>
      <c r="N19" s="9" t="s">
        <v>10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">
        <v>22</v>
      </c>
      <c r="D20" s="7" t="s">
        <v>10</v>
      </c>
      <c r="E20" s="10">
        <v>2035</v>
      </c>
      <c r="G20" s="9">
        <f t="shared" si="1"/>
        <v>11</v>
      </c>
      <c r="H20" s="9" t="str">
        <f t="shared" si="2"/>
        <v>HydRecy*</v>
      </c>
      <c r="I20" s="9" t="s">
        <v>10</v>
      </c>
      <c r="J20" s="15">
        <f>E22</f>
        <v>2045</v>
      </c>
      <c r="K20" s="9"/>
      <c r="L20" s="9">
        <f t="shared" si="3"/>
        <v>4</v>
      </c>
      <c r="M20" s="9" t="str">
        <f t="shared" si="4"/>
        <v>PyroRecy*</v>
      </c>
      <c r="N20" s="9" t="s">
        <v>10</v>
      </c>
      <c r="O20" s="15">
        <f>J20</f>
        <v>2045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">
        <v>22</v>
      </c>
      <c r="D21" s="7" t="s">
        <v>10</v>
      </c>
      <c r="E21" s="10">
        <v>2040</v>
      </c>
      <c r="G21" s="9">
        <f t="shared" si="1"/>
        <v>12</v>
      </c>
      <c r="H21" s="9" t="str">
        <f t="shared" si="2"/>
        <v>HydRecy*</v>
      </c>
      <c r="I21" s="9" t="s">
        <v>10</v>
      </c>
      <c r="J21" s="15">
        <f>E23</f>
        <v>2050</v>
      </c>
      <c r="K21" s="9"/>
      <c r="L21" s="9">
        <f t="shared" si="3"/>
        <v>5</v>
      </c>
      <c r="M21" s="9" t="str">
        <f t="shared" si="4"/>
        <v>PyroRecy*</v>
      </c>
      <c r="N21" s="9" t="s">
        <v>10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2:14">
      <c r="B22">
        <f t="shared" ref="B22:B24" si="5">B21+1</f>
        <v>6</v>
      </c>
      <c r="C22" s="7" t="s">
        <v>22</v>
      </c>
      <c r="D22" s="7" t="s">
        <v>10</v>
      </c>
      <c r="E22" s="10">
        <v>2045</v>
      </c>
      <c r="G22" s="9"/>
      <c r="H22" s="9"/>
      <c r="I22" s="9"/>
      <c r="K22" s="9"/>
      <c r="L22" s="9"/>
      <c r="M22" s="9"/>
      <c r="N22" s="9"/>
    </row>
    <row r="23" spans="2:14">
      <c r="B23">
        <f t="shared" si="5"/>
        <v>7</v>
      </c>
      <c r="C23" s="7" t="s">
        <v>22</v>
      </c>
      <c r="D23" s="7" t="s">
        <v>10</v>
      </c>
      <c r="E23" s="10">
        <v>2050</v>
      </c>
      <c r="G23" s="9"/>
      <c r="H23" s="9"/>
      <c r="I23" s="9"/>
      <c r="K23" s="9"/>
      <c r="L23" s="9"/>
      <c r="M23" s="9"/>
      <c r="N23" s="9"/>
    </row>
    <row r="24" spans="2:4">
      <c r="B24">
        <f t="shared" si="5"/>
        <v>8</v>
      </c>
      <c r="C24" s="7" t="s">
        <v>22</v>
      </c>
      <c r="D24" s="7" t="s">
        <v>10</v>
      </c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6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6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6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6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6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6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6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6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6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6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6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6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6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6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6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6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2025-09-13T17:47:00Z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