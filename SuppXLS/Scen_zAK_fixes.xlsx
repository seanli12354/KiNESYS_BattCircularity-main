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8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contrdict other limits, and does not work for storage projections so removed</t>
        </r>
      </text>
    </commen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  <comment ref="D28" authorId="1">
      <text>
        <r>
          <rPr>
            <b/>
            <sz val="8"/>
            <rFont val="Tahoma"/>
            <charset val="0"/>
          </rPr>
          <t>Insert Table</t>
        </r>
      </text>
    </comment>
    <comment ref="K28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P28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<sst xmlns="http://schemas.openxmlformats.org/spreadsheetml/2006/main" count="534" uniqueCount="193">
  <si>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</si>
  <si>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</si>
  <si>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</si>
  <si>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</si>
  <si>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</si>
  <si>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</si>
  <si>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</si>
  <si>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</si>
  <si>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</si>
  <si>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</si>
  <si>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</si>
  <si>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</si>
  <si>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</si>
  <si>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</si>
  <si>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</si>
  <si>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</si>
  <si>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</si>
  <si>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</si>
  <si>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</si>
  <si>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</si>
  <si>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</si>
  <si>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</si>
  <si>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</si>
  <si>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</si>
  <si>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</si>
  <si>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</si>
  <si>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</si>
  <si>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</si>
  <si>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</si>
  <si>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</si>
  <si>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</si>
  <si>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</si>
  <si>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</si>
  <si>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</si>
  <si>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</si>
  <si>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</si>
  <si>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</si>
  <si>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</si>
  <si>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</si>
  <si>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</si>
  <si>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</si>
  <si>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</si>
  <si>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</si>
  <si>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</si>
  <si>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</si>
  <si>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</si>
  <si>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</si>
  <si>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</si>
  <si>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</si>
  <si>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</si>
  <si>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</si>
  <si>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</si>
  <si>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</si>
  <si>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</si>
  <si>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</si>
  <si>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</si>
  <si>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</si>
  <si>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</si>
  <si>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</si>
  <si>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</si>
  <si>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</si>
  <si>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</si>
  <si>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</si>
  <si>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</si>
  <si>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</si>
  <si>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</si>
  <si>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</si>
  <si>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</si>
  <si>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elcagg_spv*</t>
  </si>
  <si>
    <t>Discharge of batteries should lower than a proportion of wind+pv</t>
  </si>
  <si>
    <t>elcagg_w*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</si>
  <si>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</si>
  <si>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</si>
  <si>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</si>
  <si>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</si>
  <si>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</si>
  <si>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</si>
  <si>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</si>
  <si>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</si>
  <si>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</si>
  <si>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</si>
  <si>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</si>
  <si>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</si>
  <si>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</si>
  <si>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</si>
  <si>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</si>
  <si>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</si>
  <si>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</si>
  <si>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</si>
  <si>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</si>
  <si>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</si>
  <si>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</si>
  <si>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</si>
  <si>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</si>
  <si>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</si>
  <si>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</si>
  <si>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</si>
  <si>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</si>
  <si>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</si>
  <si>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</si>
  <si>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</si>
  <si>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</si>
  <si>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</si>
  <si>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</si>
  <si>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</si>
  <si>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</si>
  <si>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</si>
  <si>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</si>
  <si>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</si>
  <si>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</si>
  <si>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</si>
  <si>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</si>
  <si>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</si>
  <si>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</si>
  <si>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</si>
  <si>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</si>
  <si>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</si>
  <si>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</si>
  <si>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</si>
  <si>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</si>
  <si>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</si>
  <si>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</si>
  <si>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</si>
  <si>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</si>
  <si>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</si>
  <si>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</si>
  <si>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</si>
  <si>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</si>
  <si>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</si>
  <si>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</si>
  <si>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</si>
  <si>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</si>
  <si>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</si>
  <si>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</si>
  <si>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</si>
  <si>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</si>
  <si>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</si>
  <si>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</si>
  <si>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</si>
  <si>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</si>
  <si>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</si>
  <si>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</si>
  <si>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</si>
  <si>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</si>
  <si>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</si>
  <si>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</si>
  <si>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</si>
  <si>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</si>
  <si>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</si>
  <si>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</si>
  <si>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</si>
  <si>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</si>
  <si>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</si>
  <si>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</si>
  <si>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</si>
  <si>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</si>
  <si>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</si>
  <si>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</si>
  <si>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</si>
  <si>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</si>
  <si>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</si>
  <si>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</si>
  <si>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</si>
  <si>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</si>
  <si>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</si>
  <si>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</si>
  <si>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</si>
  <si>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</si>
  <si>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</si>
  <si>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</si>
  <si>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</si>
  <si>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</si>
  <si>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</si>
  <si>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</si>
  <si>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>ELE,CHP</t>
  </si>
  <si>
    <t>E*</t>
  </si>
  <si>
    <t xml:space="preserve">ELc curtailment not beyond 5% of demand </t>
  </si>
  <si>
    <t>FT_TRAELC, FT_INDELC, ElecDemand, H2prd*, H2Conv*</t>
  </si>
  <si>
    <t>STG</t>
  </si>
  <si>
    <t>UC_COMCON</t>
  </si>
  <si>
    <t>UCE_CurtLimit</t>
  </si>
  <si>
    <t>elc_spv*,elc_won*,elc_wof*</t>
  </si>
  <si>
    <t>VRE curtailment &lt;= 5% of VRE output (annual)</t>
  </si>
  <si>
    <t>Attrib_Cond</t>
  </si>
  <si>
    <t>Val_Cond</t>
  </si>
  <si>
    <t>Pset_PD</t>
  </si>
  <si>
    <t>Pset_CO</t>
  </si>
  <si>
    <t>H2*</t>
  </si>
  <si>
    <t>Region</t>
  </si>
  <si>
    <t>China</t>
  </si>
  <si>
    <t>VAR_FIn</t>
  </si>
  <si>
    <t>VAR_FOut</t>
  </si>
  <si>
    <t>NorthAm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</si>
</sst>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41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0"/>
      <color indexed="12"/>
      <name val="Arial"/>
      <charset val="0"/>
    </font>
    <font>
      <sz val="11"/>
      <color theme="1"/>
      <name val="Calibri"/>
      <charset val="0"/>
      <scheme val="minor"/>
    </font>
    <font>
      <b/>
      <sz val="10"/>
      <name val="Arial"/>
      <charset val="0"/>
    </font>
    <font>
      <sz val="10"/>
      <name val="Arial"/>
      <charset val="0"/>
    </font>
    <font>
      <sz val="10.2"/>
      <color rgb="FF212529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  <font>
      <sz val="8"/>
      <name val="Tahoma"/>
      <charset val="0"/>
    </font>
    <font>
      <b/>
      <sz val="8"/>
      <name val="Tahoma"/>
      <charset val="0"/>
    </font>
  </fonts>
  <fills count="43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4" applyNumberFormat="0" applyAlignment="0" applyProtection="0">
      <alignment vertical="center"/>
    </xf>
    <xf numFmtId="0" fontId="25" fillId="15" borderId="8" applyNumberFormat="0" applyAlignment="0" applyProtection="0">
      <alignment vertical="center"/>
    </xf>
    <xf numFmtId="0" fontId="26" fillId="15" borderId="4" applyNumberFormat="0" applyAlignment="0" applyProtection="0">
      <alignment vertical="center"/>
    </xf>
    <xf numFmtId="0" fontId="27" fillId="16" borderId="9" applyNumberFormat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" fillId="4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14" fillId="0" borderId="0"/>
    <xf numFmtId="0" fontId="34" fillId="0" borderId="0"/>
    <xf numFmtId="0" fontId="12" fillId="14" borderId="4" applyNumberFormat="0" applyAlignment="0" applyProtection="0"/>
    <xf numFmtId="0" fontId="14" fillId="0" borderId="0"/>
  </cellStyleXfs>
  <cellXfs count="62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1" xfId="0" applyFont="1" applyFill="1" applyBorder="1" applyAlignment="1"/>
    <xf numFmtId="0" fontId="1" fillId="0" borderId="0" xfId="0" applyFont="1"/>
    <xf numFmtId="0" fontId="0" fillId="3" borderId="0" xfId="0" applyFill="1"/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4" fillId="4" borderId="2" xfId="0" applyFont="1" applyFill="1" applyBorder="1" applyAlignment="1"/>
    <xf numFmtId="0" fontId="4" fillId="5" borderId="2" xfId="0" applyFont="1" applyFill="1" applyBorder="1" applyAlignment="1"/>
    <xf numFmtId="0" fontId="5" fillId="4" borderId="2" xfId="0" applyFont="1" applyFill="1" applyBorder="1" applyAlignment="1"/>
    <xf numFmtId="0" fontId="6" fillId="0" borderId="0" xfId="0" applyFont="1"/>
    <xf numFmtId="0" fontId="7" fillId="6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right" vertical="top" wrapText="1"/>
    </xf>
    <xf numFmtId="0" fontId="0" fillId="7" borderId="0" xfId="0" applyFill="1"/>
    <xf numFmtId="0" fontId="9" fillId="7" borderId="3" xfId="0" applyFont="1" applyFill="1" applyBorder="1" applyAlignment="1">
      <alignment horizontal="center" wrapText="1"/>
    </xf>
    <xf numFmtId="0" fontId="10" fillId="7" borderId="3" xfId="0" applyFont="1" applyFill="1" applyBorder="1" applyAlignment="1">
      <alignment horizontal="center" wrapText="1"/>
    </xf>
    <xf numFmtId="0" fontId="9" fillId="7" borderId="3" xfId="0" applyFont="1" applyFill="1" applyBorder="1" applyAlignment="1">
      <alignment horizontal="right" vertical="top" wrapText="1"/>
    </xf>
    <xf numFmtId="0" fontId="0" fillId="8" borderId="0" xfId="0" applyFill="1"/>
    <xf numFmtId="0" fontId="11" fillId="8" borderId="0" xfId="0" applyFont="1" applyFill="1"/>
    <xf numFmtId="9" fontId="0" fillId="8" borderId="0" xfId="0" applyNumberFormat="1" applyFill="1"/>
    <xf numFmtId="9" fontId="0" fillId="0" borderId="0" xfId="0" applyNumberFormat="1"/>
    <xf numFmtId="9" fontId="0" fillId="8" borderId="0" xfId="0" applyNumberFormat="1" applyFill="1" applyAlignment="1">
      <alignment horizontal="right" vertical="center"/>
    </xf>
    <xf numFmtId="0" fontId="12" fillId="0" borderId="4" xfId="51" applyFill="1"/>
    <xf numFmtId="0" fontId="0" fillId="8" borderId="0" xfId="0" applyFill="1" applyAlignment="1">
      <alignment horizontal="right" vertical="center"/>
    </xf>
    <xf numFmtId="0" fontId="0" fillId="8" borderId="0" xfId="0" applyNumberFormat="1" applyFont="1" applyFill="1" applyBorder="1" applyAlignment="1" applyProtection="1"/>
    <xf numFmtId="0" fontId="6" fillId="8" borderId="0" xfId="0" applyFont="1" applyFill="1"/>
    <xf numFmtId="0" fontId="0" fillId="9" borderId="0" xfId="0" applyFill="1"/>
    <xf numFmtId="0" fontId="11" fillId="9" borderId="0" xfId="0" applyFont="1" applyFill="1"/>
    <xf numFmtId="9" fontId="0" fillId="9" borderId="0" xfId="0" applyNumberFormat="1" applyFill="1"/>
    <xf numFmtId="9" fontId="0" fillId="9" borderId="0" xfId="0" applyNumberFormat="1" applyFill="1" applyAlignment="1">
      <alignment horizontal="right" vertical="center"/>
    </xf>
    <xf numFmtId="0" fontId="0" fillId="9" borderId="0" xfId="0" applyFill="1" applyAlignment="1">
      <alignment horizontal="right" vertical="center"/>
    </xf>
    <xf numFmtId="0" fontId="0" fillId="9" borderId="0" xfId="0" applyNumberFormat="1" applyFont="1" applyFill="1" applyBorder="1" applyAlignment="1" applyProtection="1"/>
    <xf numFmtId="0" fontId="6" fillId="9" borderId="0" xfId="0" applyFont="1" applyFill="1"/>
    <xf numFmtId="0" fontId="13" fillId="2" borderId="0" xfId="0" applyFont="1" applyFill="1" applyAlignment="1">
      <alignment horizontal="center" wrapText="1"/>
    </xf>
    <xf numFmtId="0" fontId="0" fillId="2" borderId="0" xfId="0" applyFill="1" applyBorder="1"/>
    <xf numFmtId="0" fontId="0" fillId="2" borderId="0" xfId="0" applyFill="1" applyAlignment="1">
      <alignment wrapText="1"/>
    </xf>
    <xf numFmtId="0" fontId="6" fillId="2" borderId="0" xfId="0" applyFont="1" applyFill="1"/>
    <xf numFmtId="0" fontId="0" fillId="0" borderId="0" xfId="0" applyBorder="1"/>
    <xf numFmtId="0" fontId="6" fillId="0" borderId="0" xfId="0" applyFont="1" applyBorder="1"/>
    <xf numFmtId="0" fontId="6" fillId="7" borderId="0" xfId="0" applyFont="1" applyFill="1" applyBorder="1" applyAlignment="1">
      <alignment vertical="center" wrapText="1"/>
    </xf>
    <xf numFmtId="0" fontId="0" fillId="10" borderId="0" xfId="0" applyFill="1" applyBorder="1"/>
    <xf numFmtId="0" fontId="6" fillId="10" borderId="0" xfId="0" applyFont="1" applyFill="1"/>
    <xf numFmtId="0" fontId="0" fillId="11" borderId="0" xfId="0" applyFill="1" applyBorder="1"/>
    <xf numFmtId="0" fontId="0" fillId="0" borderId="0" xfId="0" applyFill="1" applyBorder="1"/>
    <xf numFmtId="0" fontId="14" fillId="10" borderId="0" xfId="49" applyFill="1" applyBorder="1"/>
    <xf numFmtId="0" fontId="14" fillId="0" borderId="0" xfId="49" applyFill="1" applyBorder="1"/>
    <xf numFmtId="3" fontId="0" fillId="0" borderId="0" xfId="0" applyNumberFormat="1" applyFill="1" applyBorder="1"/>
    <xf numFmtId="0" fontId="14" fillId="0" borderId="0" xfId="52" applyFill="1" applyBorder="1"/>
    <xf numFmtId="0" fontId="0" fillId="9" borderId="0" xfId="0" applyFill="1" applyBorder="1"/>
    <xf numFmtId="0" fontId="14" fillId="0" borderId="0" xfId="0" applyFont="1" applyFill="1" applyBorder="1" applyAlignment="1"/>
    <xf numFmtId="0" fontId="6" fillId="7" borderId="0" xfId="0" applyFont="1" applyFill="1" applyAlignment="1">
      <alignment vertical="center" wrapText="1"/>
    </xf>
    <xf numFmtId="0" fontId="14" fillId="12" borderId="0" xfId="52" applyFill="1" applyBorder="1"/>
    <xf numFmtId="0" fontId="5" fillId="0" borderId="0" xfId="0" applyFont="1" applyFill="1" applyBorder="1" applyAlignment="1"/>
    <xf numFmtId="0" fontId="0" fillId="12" borderId="0" xfId="0" applyFill="1"/>
    <xf numFmtId="0" fontId="0" fillId="10" borderId="0" xfId="0" applyFill="1"/>
    <xf numFmtId="0" fontId="14" fillId="10" borderId="0" xfId="52" applyFill="1" applyBorder="1"/>
    <xf numFmtId="0" fontId="15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59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31"/>
    </row>
    <row r="11" spans="1:11">
      <c r="K11" s="31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C5" sqref="C5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48" t="s">
        <v>23</v>
      </c>
      <c r="D5" s="52"/>
      <c r="E5" s="52"/>
      <c r="F5" s="42"/>
    </row>
    <row r="6" spans="2:13">
      <c r="B6" t="s">
        <v>33</v>
      </c>
      <c r="C6" t="s">
        <v>27</v>
      </c>
      <c r="D6" t="s">
        <v>24</v>
      </c>
      <c r="E6" t="s">
        <v>5</v>
      </c>
      <c r="K6" s="53"/>
    </row>
    <row r="7" spans="2:13">
      <c r="B7" t="s">
        <v>17</v>
      </c>
      <c r="C7" s="52" t="s">
        <v>34</v>
      </c>
      <c r="D7" s="52" t="s">
        <v>35</v>
      </c>
      <c r="E7" s="54">
        <v>10</v>
      </c>
    </row>
    <row r="8" spans="2:13">
      <c r="B8" t="s">
        <v>17</v>
      </c>
      <c r="C8" s="52" t="s">
        <v>36</v>
      </c>
      <c r="D8" s="52" t="s">
        <v>35</v>
      </c>
      <c r="E8" s="54">
        <v>7</v>
      </c>
      <c r="L8" s="52"/>
      <c r="M8" s="52"/>
    </row>
    <row r="9" ht="16" spans="2:13">
      <c r="B9" t="s">
        <v>17</v>
      </c>
      <c r="C9" s="13" t="s">
        <v>37</v>
      </c>
      <c r="D9" s="52" t="s">
        <v>35</v>
      </c>
      <c r="E9" s="54">
        <v>10</v>
      </c>
    </row>
    <row r="10" ht="16" spans="2:13">
      <c r="B10" t="s">
        <v>17</v>
      </c>
      <c r="C10" s="52" t="s">
        <v>38</v>
      </c>
      <c r="D10" s="52" t="s">
        <v>35</v>
      </c>
      <c r="E10" s="54">
        <v>8</v>
      </c>
      <c r="K10" s="55"/>
      <c r="L10" s="4"/>
    </row>
    <row r="11" ht="16" spans="2:13">
      <c r="B11" t="s">
        <v>17</v>
      </c>
      <c r="C11" s="13" t="s">
        <v>31</v>
      </c>
      <c r="D11" s="52" t="s">
        <v>35</v>
      </c>
      <c r="E11" s="52">
        <v>1.5</v>
      </c>
    </row>
    <row r="12" ht="16" spans="2:13">
      <c r="B12" t="s">
        <v>17</v>
      </c>
      <c r="C12" s="13" t="s">
        <v>32</v>
      </c>
      <c r="D12" s="52" t="s">
        <v>35</v>
      </c>
      <c r="E12" s="52">
        <v>1.5</v>
      </c>
    </row>
    <row r="13" spans="2:13">
      <c r="B13" t="s">
        <v>17</v>
      </c>
      <c r="C13" s="42" t="s">
        <v>39</v>
      </c>
      <c r="D13" s="52" t="s">
        <v>35</v>
      </c>
      <c r="E13" s="42">
        <v>2</v>
      </c>
    </row>
    <row r="14" spans="2:13">
      <c r="B14" t="s">
        <v>17</v>
      </c>
      <c r="C14" s="42" t="s">
        <v>40</v>
      </c>
      <c r="D14" s="52" t="s">
        <v>35</v>
      </c>
      <c r="E14" s="42">
        <v>0</v>
      </c>
    </row>
    <row r="15" ht="16" spans="2:13">
      <c r="B15" t="s">
        <v>17</v>
      </c>
      <c r="C15" s="43" t="s">
        <v>41</v>
      </c>
      <c r="D15" s="52" t="s">
        <v>35</v>
      </c>
      <c r="E15" s="42">
        <v>0</v>
      </c>
    </row>
    <row r="16" spans="2:13">
      <c r="B16" t="s">
        <v>17</v>
      </c>
      <c r="C16" s="52" t="s">
        <v>42</v>
      </c>
      <c r="D16" s="52" t="s">
        <v>35</v>
      </c>
      <c r="E16" s="56">
        <v>12</v>
      </c>
    </row>
    <row r="17" spans="2:6">
      <c r="B17" t="s">
        <v>17</v>
      </c>
      <c r="C17" s="52" t="s">
        <v>34</v>
      </c>
      <c r="D17" s="57" t="s">
        <v>43</v>
      </c>
      <c r="E17" s="58">
        <v>0.2</v>
      </c>
      <c r="F17" s="42"/>
    </row>
    <row r="18" spans="2:6">
      <c r="B18" t="s">
        <v>17</v>
      </c>
      <c r="C18" s="52" t="s">
        <v>36</v>
      </c>
      <c r="D18" s="57" t="s">
        <v>43</v>
      </c>
      <c r="E18" s="58">
        <v>0.2</v>
      </c>
      <c r="F18" s="42"/>
    </row>
    <row r="19" ht="16" spans="2:6">
      <c r="B19" t="s">
        <v>17</v>
      </c>
      <c r="C19" s="13" t="s">
        <v>37</v>
      </c>
      <c r="D19" s="57" t="s">
        <v>43</v>
      </c>
      <c r="E19" s="58">
        <v>0.2</v>
      </c>
      <c r="F19" s="42"/>
    </row>
    <row r="20" spans="2:6">
      <c r="B20" t="s">
        <v>17</v>
      </c>
      <c r="C20" s="52" t="s">
        <v>38</v>
      </c>
      <c r="D20" s="57" t="s">
        <v>43</v>
      </c>
      <c r="E20" s="58">
        <v>0.5</v>
      </c>
      <c r="F20" s="42"/>
    </row>
    <row r="21" ht="16" spans="2:6">
      <c r="B21" t="s">
        <v>17</v>
      </c>
      <c r="C21" s="13" t="s">
        <v>31</v>
      </c>
      <c r="D21" s="57" t="s">
        <v>43</v>
      </c>
      <c r="E21" s="58">
        <v>0.8</v>
      </c>
      <c r="F21" s="42"/>
    </row>
    <row r="22" ht="16" spans="2:6">
      <c r="B22" t="s">
        <v>17</v>
      </c>
      <c r="C22" s="13" t="s">
        <v>32</v>
      </c>
      <c r="D22" s="57" t="s">
        <v>43</v>
      </c>
      <c r="E22" s="52"/>
      <c r="F22" s="42"/>
    </row>
    <row r="23" spans="2:6">
      <c r="B23" t="s">
        <v>17</v>
      </c>
      <c r="C23" s="42" t="s">
        <v>39</v>
      </c>
      <c r="D23" s="57" t="s">
        <v>43</v>
      </c>
      <c r="E23" s="42">
        <v>1</v>
      </c>
      <c r="F23" s="42"/>
    </row>
    <row r="24" spans="2:6">
      <c r="B24" t="s">
        <v>17</v>
      </c>
      <c r="C24" s="42" t="s">
        <v>44</v>
      </c>
      <c r="D24" s="57" t="s">
        <v>43</v>
      </c>
      <c r="E24" s="42">
        <v>1</v>
      </c>
      <c r="F24" s="42"/>
    </row>
    <row r="25" ht="16" spans="2:6">
      <c r="B25" t="s">
        <v>17</v>
      </c>
      <c r="C25" s="43" t="s">
        <v>41</v>
      </c>
      <c r="D25" s="57" t="s">
        <v>43</v>
      </c>
      <c r="E25" s="42">
        <v>1</v>
      </c>
      <c r="F25" s="42"/>
    </row>
    <row r="26" spans="2:6">
      <c r="B26" t="s">
        <v>17</v>
      </c>
      <c r="C26" s="52" t="s">
        <v>42</v>
      </c>
      <c r="D26" s="57" t="s">
        <v>43</v>
      </c>
      <c r="E26" s="52">
        <v>0.05</v>
      </c>
      <c r="F26" s="42"/>
    </row>
    <row r="27" spans="2:6">
      <c r="B27" s="59" t="s">
        <v>17</v>
      </c>
      <c r="C27" s="60" t="s">
        <v>40</v>
      </c>
      <c r="D27" s="60" t="s">
        <v>45</v>
      </c>
      <c r="E27" s="60">
        <v>2020</v>
      </c>
      <c r="F27" s="42"/>
    </row>
    <row r="28" spans="2:6">
      <c r="C28" s="42" t="s">
        <v>46</v>
      </c>
      <c r="D28" s="60" t="s">
        <v>45</v>
      </c>
      <c r="E28" s="45">
        <v>2020</v>
      </c>
      <c r="F28" s="42"/>
    </row>
    <row r="29" spans="2:6">
      <c r="C29" s="42"/>
      <c r="D29" s="42"/>
      <c r="E29" s="42"/>
      <c r="F29" s="42"/>
    </row>
    <row r="30" spans="2:6">
      <c r="C30" s="42"/>
      <c r="D30" s="42"/>
      <c r="E30" s="42"/>
      <c r="F30" s="42"/>
    </row>
    <row r="31" spans="2:6">
      <c r="C31" s="42"/>
      <c r="D31" s="42"/>
      <c r="E31" s="42"/>
      <c r="F31" s="42"/>
    </row>
    <row r="32" spans="2:6">
      <c r="C32" s="42"/>
      <c r="D32" s="42"/>
      <c r="E32" s="42"/>
      <c r="F32" s="42"/>
    </row>
    <row r="38" spans="3:5">
      <c r="C38" s="2"/>
      <c r="D38" s="2"/>
      <c r="E38" s="2"/>
    </row>
    <row r="54" spans="3:11">
      <c r="C54" s="61" t="s">
        <v>47</v>
      </c>
    </row>
    <row r="56" spans="3:11">
      <c r="D56" s="61"/>
      <c r="E56" s="61"/>
      <c r="F56" s="61"/>
      <c r="G56" s="61"/>
      <c r="H56" s="61"/>
      <c r="I56" s="61"/>
      <c r="J56" s="61"/>
      <c r="K56" s="61"/>
    </row>
    <row r="57" spans="3:11">
      <c r="C57" s="61" t="s">
        <v>48</v>
      </c>
      <c r="D57" s="61" t="s">
        <v>5</v>
      </c>
      <c r="E57" s="61" t="s">
        <v>49</v>
      </c>
      <c r="F57" s="61" t="s">
        <v>50</v>
      </c>
      <c r="G57" s="61" t="s">
        <v>51</v>
      </c>
      <c r="H57" s="61" t="s">
        <v>52</v>
      </c>
      <c r="I57" s="61" t="s">
        <v>53</v>
      </c>
      <c r="J57" s="61" t="s">
        <v>54</v>
      </c>
      <c r="K57" s="61" t="s">
        <v>55</v>
      </c>
    </row>
    <row r="58" spans="3:11">
      <c r="C58" s="61"/>
      <c r="D58" s="61"/>
      <c r="E58" s="61"/>
      <c r="F58" s="61"/>
      <c r="G58" s="61"/>
      <c r="H58" s="61"/>
      <c r="I58" s="61"/>
      <c r="J58" s="61"/>
      <c r="K58" s="61"/>
    </row>
    <row r="59" spans="3:11">
      <c r="C59" s="61"/>
      <c r="D59" s="61"/>
      <c r="E59" s="61"/>
      <c r="F59" s="61"/>
      <c r="G59" s="61"/>
      <c r="H59" s="61"/>
      <c r="I59" s="61"/>
      <c r="J59" s="61"/>
      <c r="K59" s="61"/>
    </row>
    <row r="60" spans="3:11">
      <c r="C60" s="61"/>
      <c r="D60" s="61"/>
      <c r="E60" s="61"/>
      <c r="F60" s="61"/>
      <c r="G60" s="61"/>
      <c r="H60" s="61"/>
      <c r="I60" s="61"/>
      <c r="J60" s="61"/>
      <c r="K60" s="61"/>
    </row>
    <row r="61" spans="3:11">
      <c r="C61" s="61"/>
      <c r="D61" s="61"/>
      <c r="E61" s="61"/>
      <c r="F61" s="61"/>
      <c r="G61" s="61"/>
      <c r="H61" s="61"/>
      <c r="I61" s="61"/>
      <c r="J61" s="61"/>
      <c r="K61" s="61"/>
    </row>
    <row r="62" spans="3:11">
      <c r="C62" s="61"/>
      <c r="D62" s="61"/>
      <c r="E62" s="61"/>
      <c r="F62" s="61"/>
      <c r="G62" s="61"/>
      <c r="H62" s="61"/>
      <c r="I62" s="61"/>
      <c r="J62" s="61"/>
      <c r="K62" s="61"/>
    </row>
    <row r="63" spans="3:11">
      <c r="C63" s="61"/>
      <c r="D63" s="61"/>
      <c r="E63" s="61"/>
      <c r="F63" s="61"/>
      <c r="G63" s="61"/>
      <c r="H63" s="61"/>
      <c r="I63" s="61"/>
      <c r="J63" s="61"/>
      <c r="K63" s="61"/>
    </row>
    <row r="64" spans="3:11">
      <c r="C64" s="61"/>
      <c r="D64" s="61"/>
      <c r="E64" s="61"/>
      <c r="F64" s="61"/>
      <c r="G64" s="61"/>
      <c r="H64" s="61"/>
      <c r="I64" s="61"/>
      <c r="J64" s="61"/>
      <c r="K64" s="61"/>
    </row>
    <row r="65" spans="3:11">
      <c r="C65" s="61"/>
      <c r="D65" s="61"/>
      <c r="E65" s="61"/>
      <c r="F65" s="61"/>
      <c r="G65" s="61"/>
      <c r="H65" s="61"/>
      <c r="I65" s="61"/>
      <c r="J65" s="61"/>
      <c r="K65" s="61"/>
    </row>
    <row r="66" spans="3:11">
      <c r="C66" s="61"/>
      <c r="D66" s="61"/>
      <c r="E66" s="61"/>
      <c r="F66" s="61"/>
      <c r="G66" s="61"/>
      <c r="H66" s="61"/>
      <c r="I66" s="61"/>
      <c r="J66" s="61"/>
      <c r="K66" s="61"/>
    </row>
    <row r="67" spans="3:11">
      <c r="C67" s="61"/>
      <c r="D67" s="61"/>
      <c r="E67" s="61"/>
      <c r="F67" s="61"/>
      <c r="G67" s="61"/>
      <c r="H67" s="61"/>
      <c r="I67" s="61"/>
      <c r="J67" s="61"/>
      <c r="K67" s="61"/>
    </row>
    <row r="68" spans="3:11">
      <c r="C68" s="61"/>
      <c r="D68" s="61"/>
      <c r="E68" s="61"/>
      <c r="F68" s="61"/>
      <c r="G68" s="61"/>
      <c r="H68" s="61"/>
      <c r="I68" s="61"/>
      <c r="J68" s="61"/>
      <c r="K68" s="61"/>
    </row>
    <row r="69" spans="3:11">
      <c r="C69" s="61"/>
      <c r="D69" s="61"/>
      <c r="E69" s="61"/>
      <c r="F69" s="61"/>
      <c r="G69" s="61"/>
      <c r="H69" s="61"/>
      <c r="I69" s="61"/>
      <c r="J69" s="61"/>
      <c r="K69" s="61"/>
    </row>
    <row r="70" spans="3:11">
      <c r="C70" s="61"/>
      <c r="D70" s="61"/>
      <c r="E70" s="61"/>
      <c r="F70" s="61"/>
      <c r="G70" s="61"/>
      <c r="H70" s="61"/>
      <c r="I70" s="61"/>
      <c r="J70" s="61"/>
      <c r="K70" s="61"/>
    </row>
    <row r="71" spans="3:11">
      <c r="C71" s="61"/>
      <c r="D71" s="61"/>
      <c r="E71" s="61"/>
      <c r="F71" s="61"/>
      <c r="G71" s="61"/>
      <c r="H71" s="61"/>
      <c r="I71" s="61"/>
      <c r="J71" s="61"/>
      <c r="K71" s="61"/>
    </row>
    <row r="72" spans="3:11">
      <c r="C72" s="61"/>
      <c r="D72" s="61"/>
      <c r="E72" s="61"/>
      <c r="F72" s="61"/>
      <c r="G72" s="61"/>
      <c r="H72" s="61"/>
      <c r="I72" s="61"/>
      <c r="J72" s="61"/>
      <c r="K72" s="61"/>
    </row>
    <row r="73" spans="3:11">
      <c r="C73" s="61"/>
      <c r="D73" s="61"/>
      <c r="E73" s="61"/>
      <c r="F73" s="61"/>
      <c r="G73" s="61"/>
      <c r="H73" s="61"/>
      <c r="I73" s="61"/>
      <c r="J73" s="61"/>
      <c r="K73" s="61"/>
    </row>
    <row r="74" spans="3:11">
      <c r="C74" s="61"/>
      <c r="D74" s="61"/>
      <c r="E74" s="61"/>
      <c r="F74" s="61"/>
      <c r="G74" s="61"/>
      <c r="H74" s="61"/>
      <c r="I74" s="61"/>
      <c r="J74" s="61"/>
      <c r="K74" s="61"/>
    </row>
    <row r="75" spans="3:11">
      <c r="C75" s="61"/>
      <c r="D75" s="61"/>
      <c r="E75" s="61"/>
      <c r="F75" s="61"/>
      <c r="G75" s="61"/>
      <c r="H75" s="61"/>
      <c r="I75" s="61"/>
      <c r="J75" s="61"/>
      <c r="K75" s="61"/>
    </row>
    <row r="76" spans="3:11">
      <c r="C76" s="61"/>
      <c r="D76" s="61"/>
      <c r="E76" s="61"/>
      <c r="F76" s="61"/>
      <c r="G76" s="61"/>
      <c r="H76" s="61"/>
      <c r="I76" s="61"/>
      <c r="J76" s="61"/>
      <c r="K76" s="61"/>
    </row>
    <row r="77" spans="3:11">
      <c r="C77" s="61"/>
      <c r="D77" s="61"/>
      <c r="E77" s="61"/>
      <c r="F77" s="61"/>
      <c r="G77" s="61"/>
      <c r="H77" s="61"/>
      <c r="I77" s="61"/>
      <c r="J77" s="61"/>
      <c r="K77" s="61"/>
    </row>
    <row r="78" spans="3:11">
      <c r="C78" s="61"/>
      <c r="D78" s="61"/>
      <c r="E78" s="61"/>
      <c r="F78" s="61"/>
      <c r="G78" s="61"/>
      <c r="H78" s="61"/>
      <c r="I78" s="61"/>
      <c r="J78" s="61"/>
      <c r="K78" s="61"/>
    </row>
    <row r="79" spans="3:11">
      <c r="C79" s="61"/>
      <c r="D79" s="61"/>
      <c r="E79" s="61"/>
      <c r="F79" s="61"/>
      <c r="G79" s="61"/>
      <c r="H79" s="61"/>
      <c r="I79" s="61"/>
      <c r="J79" s="61"/>
      <c r="K79" s="61"/>
    </row>
    <row r="80" spans="3:11">
      <c r="C80" s="61"/>
      <c r="D80" s="61"/>
      <c r="E80" s="61"/>
      <c r="F80" s="61"/>
      <c r="G80" s="61"/>
      <c r="H80" s="61"/>
      <c r="I80" s="61"/>
      <c r="J80" s="61"/>
      <c r="K80" s="61"/>
    </row>
    <row r="81" spans="3:11">
      <c r="C81" s="61"/>
      <c r="D81" s="61"/>
      <c r="E81" s="61"/>
      <c r="F81" s="61"/>
      <c r="G81" s="61"/>
      <c r="H81" s="61"/>
      <c r="I81" s="61"/>
      <c r="J81" s="61"/>
      <c r="K81" s="61"/>
    </row>
    <row r="82" spans="3:11">
      <c r="C82" s="61"/>
      <c r="D82" s="61"/>
      <c r="E82" s="61"/>
      <c r="F82" s="61"/>
      <c r="G82" s="61"/>
      <c r="H82" s="61"/>
      <c r="I82" s="61"/>
      <c r="J82" s="61"/>
      <c r="K82" s="61"/>
    </row>
    <row r="83" spans="3:11">
      <c r="C83" s="61"/>
      <c r="D83" s="61"/>
      <c r="E83" s="61"/>
      <c r="F83" s="61"/>
      <c r="G83" s="61"/>
      <c r="H83" s="61"/>
      <c r="I83" s="61"/>
      <c r="J83" s="61"/>
      <c r="K83" s="61"/>
    </row>
    <row r="84" spans="3:11">
      <c r="C84" s="61" t="s">
        <v>56</v>
      </c>
      <c r="D84" s="61">
        <v>1</v>
      </c>
      <c r="E84" s="61"/>
      <c r="F84" s="61"/>
      <c r="G84" s="61"/>
      <c r="H84" s="61"/>
      <c r="I84" s="61"/>
      <c r="J84" s="61"/>
      <c r="K84" s="61"/>
    </row>
    <row r="85" spans="3:11">
      <c r="C85" s="61"/>
      <c r="D85" s="61"/>
      <c r="E85" s="61"/>
      <c r="F85" s="61"/>
      <c r="G85" s="61"/>
      <c r="H85" s="61"/>
      <c r="I85" s="61"/>
      <c r="J85" s="61"/>
      <c r="K85" s="61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O24" sqref="O24"/>
    </sheetView>
  </sheetViews>
  <sheetFormatPr defaultColWidth="8.72727272727273" defaultRowHeight="14.5"/>
  <cols>
    <col min="6" max="6" width="29.2727272727273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  <col min="16" max="16" width="12.6363636363636" customWidth="1"/>
  </cols>
  <sheetData>
    <row r="13" spans="5:21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5:21"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5:21"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5:21"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5:23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5:23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5:23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5:23"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5:23"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5:23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5:23"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5:23"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5:23">
      <c r="J25" s="2"/>
      <c r="K25" s="2"/>
      <c r="L25" s="2"/>
      <c r="M25" s="2"/>
      <c r="N25" s="2"/>
      <c r="P25" s="2"/>
      <c r="Q25" s="2"/>
      <c r="R25" s="2"/>
      <c r="S25" s="2"/>
      <c r="T25" s="2"/>
      <c r="U25" s="2"/>
      <c r="V25" s="2"/>
      <c r="W25" s="2"/>
    </row>
    <row r="26" spans="5:23">
      <c r="F26" s="2" t="s">
        <v>57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5:23">
      <c r="F27" s="2"/>
      <c r="G27" s="2"/>
      <c r="H27" s="2"/>
      <c r="I27" s="2"/>
      <c r="J27" s="2"/>
      <c r="K27" s="2"/>
      <c r="L27" s="5" t="s">
        <v>58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5:23"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5:23">
      <c r="F29" s="2"/>
      <c r="G29" s="2"/>
      <c r="H29" s="2"/>
      <c r="I29" s="2"/>
      <c r="J29" s="2"/>
      <c r="K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ht="15.25" spans="5:23">
      <c r="F30" s="2" t="s">
        <v>59</v>
      </c>
      <c r="G30" s="2" t="s">
        <v>25</v>
      </c>
      <c r="H30" s="2" t="s">
        <v>48</v>
      </c>
      <c r="I30" s="2" t="s">
        <v>60</v>
      </c>
      <c r="J30" s="2" t="s">
        <v>33</v>
      </c>
      <c r="K30" s="2" t="s">
        <v>61</v>
      </c>
      <c r="L30" s="2" t="s">
        <v>1</v>
      </c>
      <c r="M30" s="2" t="s">
        <v>62</v>
      </c>
      <c r="N30" s="2" t="s">
        <v>63</v>
      </c>
      <c r="O30" s="2" t="s">
        <v>64</v>
      </c>
      <c r="P30" t="s">
        <v>65</v>
      </c>
      <c r="Q30" s="2" t="s">
        <v>66</v>
      </c>
      <c r="R30" s="2"/>
      <c r="S30" s="2"/>
      <c r="T30" s="2"/>
      <c r="U30" s="2"/>
      <c r="V30" s="2"/>
    </row>
    <row r="31" ht="16" spans="5:23">
      <c r="F31" s="2" t="s">
        <v>67</v>
      </c>
      <c r="G31" s="2"/>
      <c r="H31" s="3" t="s">
        <v>68</v>
      </c>
      <c r="I31" s="2"/>
      <c r="J31" s="2"/>
      <c r="K31" s="2"/>
      <c r="L31" s="2"/>
      <c r="M31" s="2">
        <v>-0.25</v>
      </c>
      <c r="N31" s="2"/>
      <c r="O31" s="2">
        <v>0</v>
      </c>
      <c r="P31" s="2">
        <v>3</v>
      </c>
      <c r="Q31" s="2" t="s">
        <v>69</v>
      </c>
      <c r="R31" s="2"/>
      <c r="S31" s="2"/>
      <c r="T31" s="2"/>
      <c r="U31" s="2"/>
      <c r="V31" s="2"/>
    </row>
    <row r="32" ht="15.25" spans="5:23">
      <c r="F32" s="2"/>
      <c r="G32" s="2"/>
      <c r="H32" s="2" t="s">
        <v>70</v>
      </c>
      <c r="I32" s="2"/>
      <c r="J32" s="2"/>
      <c r="K32" s="2"/>
      <c r="L32" s="2"/>
      <c r="M32" s="2">
        <v>-0.1</v>
      </c>
      <c r="N32" s="2"/>
      <c r="O32" s="2"/>
      <c r="P32" s="2"/>
      <c r="Q32" s="2"/>
      <c r="R32" s="2"/>
      <c r="S32" s="2"/>
      <c r="T32" s="2"/>
      <c r="U32" s="2"/>
      <c r="V32" s="2"/>
    </row>
    <row r="33" spans="6:22">
      <c r="F33" s="2"/>
      <c r="G33" s="2"/>
      <c r="H33" s="2" t="s">
        <v>71</v>
      </c>
      <c r="I33" s="2"/>
      <c r="J33" s="2"/>
      <c r="K33" s="2" t="s">
        <v>72</v>
      </c>
      <c r="L33" s="2"/>
      <c r="M33" s="2"/>
      <c r="N33" s="2">
        <v>1</v>
      </c>
      <c r="O33" s="2"/>
      <c r="P33" s="2"/>
      <c r="Q33" s="2"/>
      <c r="R33" s="2"/>
      <c r="S33" s="2"/>
      <c r="T33" s="2"/>
      <c r="U33" s="2"/>
      <c r="V33" s="2"/>
    </row>
    <row r="34" spans="6:22"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6:22"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6:22"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6:22"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6:22"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topLeftCell="A33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73</v>
      </c>
    </row>
    <row r="3" spans="2:14">
      <c r="B3" t="s">
        <v>74</v>
      </c>
    </row>
    <row r="4" spans="2:14">
      <c r="D4" s="1"/>
      <c r="E4" s="1"/>
      <c r="F4" s="1"/>
      <c r="G4" s="1"/>
      <c r="H4" s="1" t="s">
        <v>75</v>
      </c>
      <c r="I4" s="1"/>
      <c r="J4" s="1"/>
      <c r="K4" s="1"/>
      <c r="L4" s="1"/>
      <c r="M4" s="1"/>
      <c r="N4" s="1"/>
    </row>
    <row r="5" spans="2:14"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>
      <c r="D8" s="38" t="s">
        <v>59</v>
      </c>
      <c r="E8" s="38" t="s">
        <v>76</v>
      </c>
      <c r="F8" s="38" t="s">
        <v>6</v>
      </c>
      <c r="G8" s="38" t="s">
        <v>77</v>
      </c>
      <c r="H8" s="38" t="s">
        <v>4</v>
      </c>
      <c r="I8" s="38" t="s">
        <v>2</v>
      </c>
      <c r="J8" s="38" t="s">
        <v>78</v>
      </c>
      <c r="K8" s="38" t="s">
        <v>79</v>
      </c>
      <c r="L8" s="39" t="s">
        <v>64</v>
      </c>
      <c r="M8" s="39" t="s">
        <v>65</v>
      </c>
      <c r="N8" s="38" t="s">
        <v>66</v>
      </c>
    </row>
    <row r="9" spans="2:14">
      <c r="D9" s="40" t="s">
        <v>80</v>
      </c>
      <c r="E9" s="1"/>
      <c r="F9" s="40" t="s">
        <v>81</v>
      </c>
      <c r="G9" s="40" t="s">
        <v>82</v>
      </c>
      <c r="H9" s="40" t="s">
        <v>83</v>
      </c>
      <c r="I9" s="40" t="s">
        <v>84</v>
      </c>
      <c r="J9" s="1">
        <v>1</v>
      </c>
      <c r="K9" s="40">
        <v>1.25</v>
      </c>
      <c r="L9" s="1">
        <v>0.05</v>
      </c>
      <c r="M9" s="40">
        <v>1</v>
      </c>
      <c r="N9" s="40"/>
    </row>
    <row r="10" spans="2:14">
      <c r="D10" s="40" t="s">
        <v>85</v>
      </c>
      <c r="E10" s="1"/>
      <c r="F10" s="40" t="s">
        <v>86</v>
      </c>
      <c r="G10" s="40" t="s">
        <v>82</v>
      </c>
      <c r="H10" s="40" t="s">
        <v>83</v>
      </c>
      <c r="I10" s="40" t="s">
        <v>84</v>
      </c>
      <c r="J10" s="1">
        <v>1</v>
      </c>
      <c r="K10" s="40">
        <v>1.11</v>
      </c>
      <c r="L10" s="1">
        <v>0.05</v>
      </c>
      <c r="M10" s="40">
        <v>1</v>
      </c>
      <c r="N10" s="40"/>
    </row>
    <row r="11" spans="2:14">
      <c r="D11" s="40" t="s">
        <v>87</v>
      </c>
      <c r="E11" s="1"/>
      <c r="F11" s="40" t="s">
        <v>88</v>
      </c>
      <c r="G11" s="40" t="s">
        <v>82</v>
      </c>
      <c r="H11" s="40" t="s">
        <v>83</v>
      </c>
      <c r="I11" s="40" t="s">
        <v>84</v>
      </c>
      <c r="J11" s="1">
        <v>1</v>
      </c>
      <c r="K11" s="40">
        <v>1.15</v>
      </c>
      <c r="L11" s="1">
        <v>0.08</v>
      </c>
      <c r="M11" s="40">
        <v>1</v>
      </c>
      <c r="N11" s="40"/>
    </row>
    <row r="12" ht="16" spans="2:14">
      <c r="D12" s="40" t="s">
        <v>89</v>
      </c>
      <c r="E12" s="1"/>
      <c r="F12" s="41" t="s">
        <v>90</v>
      </c>
      <c r="G12" s="40" t="s">
        <v>82</v>
      </c>
      <c r="H12" s="40" t="s">
        <v>83</v>
      </c>
      <c r="I12" s="40" t="s">
        <v>84</v>
      </c>
      <c r="J12" s="1">
        <v>1</v>
      </c>
      <c r="K12" s="40">
        <v>1.12</v>
      </c>
      <c r="L12" s="1">
        <v>0.03</v>
      </c>
      <c r="M12" s="40">
        <v>1</v>
      </c>
      <c r="N12" s="40"/>
    </row>
    <row r="13" spans="2:14">
      <c r="D13" s="40" t="s">
        <v>91</v>
      </c>
      <c r="E13" s="1"/>
      <c r="F13" s="40" t="s">
        <v>92</v>
      </c>
      <c r="G13" s="40" t="s">
        <v>82</v>
      </c>
      <c r="H13" s="40" t="s">
        <v>83</v>
      </c>
      <c r="I13" s="40" t="s">
        <v>84</v>
      </c>
      <c r="J13" s="1">
        <v>1</v>
      </c>
      <c r="K13" s="40">
        <v>1.2</v>
      </c>
      <c r="L13" s="1">
        <v>0.1</v>
      </c>
      <c r="M13" s="40">
        <v>1</v>
      </c>
      <c r="N13" s="40"/>
    </row>
    <row r="14" spans="2:14">
      <c r="D14" s="40" t="s">
        <v>93</v>
      </c>
      <c r="E14" s="1"/>
      <c r="F14" s="40" t="s">
        <v>94</v>
      </c>
      <c r="G14" s="40" t="s">
        <v>82</v>
      </c>
      <c r="H14" s="40" t="s">
        <v>83</v>
      </c>
      <c r="I14" s="40" t="s">
        <v>84</v>
      </c>
      <c r="J14" s="1">
        <v>1</v>
      </c>
      <c r="K14" s="40">
        <v>1.06</v>
      </c>
      <c r="L14" s="1">
        <v>0.15</v>
      </c>
      <c r="M14" s="40">
        <v>1</v>
      </c>
      <c r="N14" s="40"/>
    </row>
    <row r="15" spans="2:14">
      <c r="D15" s="40" t="s">
        <v>95</v>
      </c>
      <c r="E15" s="1"/>
      <c r="F15" s="40" t="s">
        <v>96</v>
      </c>
      <c r="G15" s="40" t="s">
        <v>82</v>
      </c>
      <c r="H15" s="40" t="s">
        <v>83</v>
      </c>
      <c r="I15" s="40" t="s">
        <v>84</v>
      </c>
      <c r="J15" s="1">
        <v>1</v>
      </c>
      <c r="K15" s="40">
        <v>1.06</v>
      </c>
      <c r="L15" s="1">
        <v>0.3</v>
      </c>
      <c r="M15" s="40">
        <v>1</v>
      </c>
      <c r="N15" s="40"/>
    </row>
    <row r="16" ht="16" spans="2:14">
      <c r="D16" s="40" t="s">
        <v>97</v>
      </c>
      <c r="E16" s="1"/>
      <c r="F16" s="41" t="s">
        <v>98</v>
      </c>
      <c r="G16" s="1" t="str">
        <f xml:space="preserve">G15</f>
        <v>CAP,GROWTH</v>
      </c>
      <c r="H16" s="1" t="str">
        <f xml:space="preserve">H15</f>
        <v>2025, 2150</v>
      </c>
      <c r="I16" s="40" t="s">
        <v>84</v>
      </c>
      <c r="J16" s="1">
        <f t="shared" ref="J16:L16" si="0" xml:space="preserve">J12</f>
        <v>1</v>
      </c>
      <c r="K16" s="1">
        <f t="shared" si="0"/>
        <v>1.12</v>
      </c>
      <c r="L16" s="1">
        <f t="shared" si="0"/>
        <v>0.03</v>
      </c>
      <c r="M16" s="1">
        <f xml:space="preserve">M15</f>
        <v>1</v>
      </c>
      <c r="N16" s="1"/>
    </row>
    <row r="17" ht="16" spans="4:14">
      <c r="D17" s="40" t="s">
        <v>99</v>
      </c>
      <c r="E17" s="1"/>
      <c r="F17" s="41" t="s">
        <v>100</v>
      </c>
      <c r="G17" s="1" t="str">
        <f t="shared" ref="G17:M17" si="1" xml:space="preserve">G16</f>
        <v>CAP,GROWTH</v>
      </c>
      <c r="H17" s="1" t="str">
        <f t="shared" si="1"/>
        <v>2025, 2150</v>
      </c>
      <c r="I17" s="40" t="s">
        <v>84</v>
      </c>
      <c r="J17" s="1">
        <f t="shared" si="1"/>
        <v>1</v>
      </c>
      <c r="K17" s="1">
        <f t="shared" si="1"/>
        <v>1.12</v>
      </c>
      <c r="L17" s="1">
        <f t="shared" si="1"/>
        <v>0.03</v>
      </c>
      <c r="M17" s="1">
        <f t="shared" si="1"/>
        <v>1</v>
      </c>
      <c r="N17" s="1"/>
    </row>
    <row r="18" ht="16" spans="4:14">
      <c r="D18" s="40" t="s">
        <v>101</v>
      </c>
      <c r="E18" s="1"/>
      <c r="F18" s="41" t="s">
        <v>102</v>
      </c>
      <c r="G18" s="1" t="str">
        <f xml:space="preserve">G17</f>
        <v>CAP,GROWTH</v>
      </c>
      <c r="H18" s="1" t="str">
        <f xml:space="preserve">H17</f>
        <v>2025, 2150</v>
      </c>
      <c r="I18" s="40" t="s">
        <v>84</v>
      </c>
      <c r="J18" s="1">
        <v>1</v>
      </c>
      <c r="K18" s="1">
        <v>1</v>
      </c>
      <c r="L18" s="1">
        <v>0</v>
      </c>
      <c r="M18" s="1">
        <v>1</v>
      </c>
      <c r="N18" s="1"/>
    </row>
    <row r="25" spans="4:14">
      <c r="K25" t="s">
        <v>103</v>
      </c>
      <c r="L25" s="31" t="s">
        <v>104</v>
      </c>
    </row>
    <row r="27" spans="4:14"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</row>
    <row r="28" spans="4:14">
      <c r="D28" s="42"/>
      <c r="E28" s="42"/>
      <c r="F28" s="42"/>
      <c r="G28" s="42"/>
      <c r="H28" s="42" t="s">
        <v>75</v>
      </c>
      <c r="I28" s="42"/>
      <c r="J28" s="42"/>
      <c r="K28" s="42"/>
      <c r="L28" s="42"/>
      <c r="M28" s="42"/>
      <c r="N28" s="42"/>
    </row>
    <row r="29" spans="4:14">
      <c r="D29" s="42" t="s">
        <v>59</v>
      </c>
      <c r="E29" s="42" t="s">
        <v>76</v>
      </c>
      <c r="F29" s="42" t="s">
        <v>6</v>
      </c>
      <c r="G29" s="42" t="s">
        <v>77</v>
      </c>
      <c r="H29" s="42" t="s">
        <v>4</v>
      </c>
      <c r="I29" s="42" t="s">
        <v>2</v>
      </c>
      <c r="J29" s="42" t="s">
        <v>78</v>
      </c>
      <c r="K29" s="42" t="s">
        <v>79</v>
      </c>
      <c r="L29" s="42" t="s">
        <v>64</v>
      </c>
      <c r="M29" s="42" t="s">
        <v>65</v>
      </c>
      <c r="N29" s="42" t="s">
        <v>66</v>
      </c>
    </row>
    <row r="30" ht="16" spans="4:14">
      <c r="D30" s="42" t="s">
        <v>105</v>
      </c>
      <c r="E30" s="42"/>
      <c r="F30" s="43" t="s">
        <v>106</v>
      </c>
      <c r="G30" s="42" t="s">
        <v>82</v>
      </c>
      <c r="H30" s="42" t="s">
        <v>107</v>
      </c>
      <c r="I30" s="42" t="s">
        <v>108</v>
      </c>
      <c r="J30" s="42">
        <v>1</v>
      </c>
      <c r="K30" s="42">
        <v>1</v>
      </c>
      <c r="L30" s="42">
        <v>0.01</v>
      </c>
      <c r="M30" s="42">
        <v>1</v>
      </c>
      <c r="N30" s="42"/>
    </row>
    <row r="31" ht="16" spans="4:14">
      <c r="D31" s="42" t="s">
        <v>109</v>
      </c>
      <c r="E31" s="42"/>
      <c r="F31" s="44" t="s">
        <v>110</v>
      </c>
      <c r="G31" s="42" t="s">
        <v>82</v>
      </c>
      <c r="H31" s="42" t="s">
        <v>107</v>
      </c>
      <c r="I31" s="42" t="s">
        <v>108</v>
      </c>
      <c r="J31" s="42">
        <v>1</v>
      </c>
      <c r="K31" s="42">
        <v>1</v>
      </c>
      <c r="L31" s="42">
        <f t="shared" ref="L31:L36" si="2" xml:space="preserve">L30</f>
        <v>0.01</v>
      </c>
      <c r="M31" s="42">
        <v>1</v>
      </c>
      <c r="N31" s="42"/>
    </row>
    <row r="32" ht="16" spans="4:14">
      <c r="D32" s="42" t="s">
        <v>111</v>
      </c>
      <c r="E32" s="42"/>
      <c r="F32" s="44" t="s">
        <v>112</v>
      </c>
      <c r="G32" s="42" t="s">
        <v>82</v>
      </c>
      <c r="H32" s="42" t="s">
        <v>107</v>
      </c>
      <c r="I32" s="42" t="s">
        <v>108</v>
      </c>
      <c r="J32" s="42">
        <v>1</v>
      </c>
      <c r="K32" s="42">
        <v>1</v>
      </c>
      <c r="L32" s="42">
        <f t="shared" si="2"/>
        <v>0.01</v>
      </c>
      <c r="M32" s="42">
        <v>1</v>
      </c>
      <c r="N32" s="42"/>
    </row>
    <row r="33" ht="16" spans="4:14">
      <c r="D33" s="42" t="s">
        <v>113</v>
      </c>
      <c r="E33" s="42"/>
      <c r="F33" s="43" t="s">
        <v>114</v>
      </c>
      <c r="G33" s="42" t="s">
        <v>82</v>
      </c>
      <c r="H33" s="42" t="s">
        <v>107</v>
      </c>
      <c r="I33" s="42" t="s">
        <v>108</v>
      </c>
      <c r="J33" s="42">
        <v>1</v>
      </c>
      <c r="K33" s="42">
        <f xml:space="preserve">K32</f>
        <v>1</v>
      </c>
      <c r="L33" s="42">
        <f t="shared" si="2"/>
        <v>0.01</v>
      </c>
      <c r="M33" s="42">
        <v>1</v>
      </c>
      <c r="N33" s="42"/>
    </row>
    <row r="34" ht="16" spans="4:14">
      <c r="D34" s="42" t="s">
        <v>115</v>
      </c>
      <c r="E34" s="42"/>
      <c r="F34" s="43" t="s">
        <v>116</v>
      </c>
      <c r="G34" s="42" t="s">
        <v>82</v>
      </c>
      <c r="H34" s="42" t="s">
        <v>107</v>
      </c>
      <c r="I34" s="42" t="s">
        <v>108</v>
      </c>
      <c r="J34" s="42">
        <v>1</v>
      </c>
      <c r="K34" s="42">
        <f xml:space="preserve">K33</f>
        <v>1</v>
      </c>
      <c r="L34" s="42">
        <f t="shared" si="2"/>
        <v>0.01</v>
      </c>
      <c r="M34" s="42">
        <v>1</v>
      </c>
      <c r="N34" s="42"/>
    </row>
    <row r="35" ht="16" spans="4:14">
      <c r="D35" s="42" t="s">
        <v>117</v>
      </c>
      <c r="E35" s="42"/>
      <c r="F35" s="43" t="s">
        <v>118</v>
      </c>
      <c r="G35" s="42" t="s">
        <v>82</v>
      </c>
      <c r="H35" s="42" t="s">
        <v>107</v>
      </c>
      <c r="I35" s="42" t="s">
        <v>108</v>
      </c>
      <c r="J35" s="42">
        <v>1</v>
      </c>
      <c r="K35" s="42">
        <f xml:space="preserve">K34</f>
        <v>1</v>
      </c>
      <c r="L35" s="42">
        <f t="shared" si="2"/>
        <v>0.01</v>
      </c>
      <c r="M35" s="42">
        <v>1</v>
      </c>
      <c r="N35" s="42"/>
    </row>
    <row r="36" ht="16" spans="4:14">
      <c r="D36" s="42" t="s">
        <v>119</v>
      </c>
      <c r="E36" s="42"/>
      <c r="F36" s="43" t="s">
        <v>120</v>
      </c>
      <c r="G36" s="42" t="s">
        <v>82</v>
      </c>
      <c r="H36" s="42" t="s">
        <v>107</v>
      </c>
      <c r="I36" s="42" t="s">
        <v>108</v>
      </c>
      <c r="J36" s="42">
        <v>1</v>
      </c>
      <c r="K36" s="42">
        <f xml:space="preserve">K35</f>
        <v>1</v>
      </c>
      <c r="L36" s="42">
        <f t="shared" si="2"/>
        <v>0.01</v>
      </c>
      <c r="M36" s="42">
        <v>1</v>
      </c>
      <c r="N36" s="42"/>
    </row>
    <row r="37" ht="16" spans="4:14">
      <c r="D37" s="45" t="s">
        <v>121</v>
      </c>
      <c r="E37" s="45"/>
      <c r="F37" s="46" t="s">
        <v>122</v>
      </c>
      <c r="G37" s="45" t="s">
        <v>82</v>
      </c>
      <c r="H37" s="45" t="s">
        <v>123</v>
      </c>
      <c r="I37" s="45" t="s">
        <v>108</v>
      </c>
      <c r="J37" s="45">
        <v>1</v>
      </c>
      <c r="K37" s="45">
        <v>1</v>
      </c>
      <c r="L37" s="45">
        <v>0</v>
      </c>
      <c r="M37" s="45">
        <v>3</v>
      </c>
      <c r="N37" s="42"/>
    </row>
    <row r="38" ht="16" spans="4:14">
      <c r="D38" s="47" t="s">
        <v>124</v>
      </c>
      <c r="F38" s="46" t="s">
        <v>125</v>
      </c>
      <c r="G38" s="45" t="s">
        <v>82</v>
      </c>
      <c r="H38" t="str">
        <f xml:space="preserve">H37</f>
        <v>2019, 2150</v>
      </c>
      <c r="I38" t="s">
        <v>84</v>
      </c>
      <c r="J38">
        <v>1</v>
      </c>
      <c r="K38">
        <v>1.1</v>
      </c>
      <c r="L38">
        <v>0</v>
      </c>
      <c r="M38">
        <v>3</v>
      </c>
      <c r="N38" s="42"/>
    </row>
    <row r="39" ht="16" spans="4:14">
      <c r="D39" s="47" t="s">
        <v>126</v>
      </c>
      <c r="E39" s="48"/>
      <c r="F39" s="46" t="s">
        <v>127</v>
      </c>
      <c r="G39" s="45" t="s">
        <v>82</v>
      </c>
      <c r="H39" t="str">
        <f t="shared" ref="H39:M39" si="3" xml:space="preserve">H38</f>
        <v>2019, 2150</v>
      </c>
      <c r="I39" s="48" t="str">
        <f t="shared" si="3"/>
        <v>UP</v>
      </c>
      <c r="J39" s="48">
        <f t="shared" si="3"/>
        <v>1</v>
      </c>
      <c r="K39" s="48">
        <f t="shared" si="3"/>
        <v>1.1</v>
      </c>
      <c r="L39" s="48">
        <f t="shared" si="3"/>
        <v>0</v>
      </c>
      <c r="M39" s="48">
        <f t="shared" si="3"/>
        <v>3</v>
      </c>
      <c r="N39" s="48"/>
    </row>
    <row r="40" ht="16" spans="4:14">
      <c r="D40" s="47" t="s">
        <v>128</v>
      </c>
      <c r="E40" s="48"/>
      <c r="F40" s="46" t="s">
        <v>129</v>
      </c>
      <c r="G40" s="45" t="s">
        <v>82</v>
      </c>
      <c r="H40" t="str">
        <f t="shared" ref="H40:M40" si="4" xml:space="preserve">H39</f>
        <v>2019, 2150</v>
      </c>
      <c r="I40" s="48" t="str">
        <f t="shared" si="4"/>
        <v>UP</v>
      </c>
      <c r="J40" s="48">
        <f t="shared" si="4"/>
        <v>1</v>
      </c>
      <c r="K40" s="48">
        <f t="shared" si="4"/>
        <v>1.1</v>
      </c>
      <c r="L40" s="48">
        <f t="shared" si="4"/>
        <v>0</v>
      </c>
      <c r="M40" s="48">
        <f t="shared" si="4"/>
        <v>3</v>
      </c>
      <c r="N40" s="48"/>
    </row>
    <row r="41" ht="16" spans="4:14">
      <c r="D41" s="47" t="s">
        <v>130</v>
      </c>
      <c r="E41" s="48"/>
      <c r="F41" s="46" t="s">
        <v>131</v>
      </c>
      <c r="G41" s="45" t="s">
        <v>82</v>
      </c>
      <c r="H41" t="str">
        <f t="shared" ref="H41:M41" si="5" xml:space="preserve">H40</f>
        <v>2019, 2150</v>
      </c>
      <c r="I41" s="48" t="str">
        <f t="shared" si="5"/>
        <v>UP</v>
      </c>
      <c r="J41" s="48">
        <f t="shared" si="5"/>
        <v>1</v>
      </c>
      <c r="K41" s="48">
        <f t="shared" si="5"/>
        <v>1.1</v>
      </c>
      <c r="L41" s="48">
        <f t="shared" si="5"/>
        <v>0</v>
      </c>
      <c r="M41" s="48">
        <f t="shared" si="5"/>
        <v>3</v>
      </c>
      <c r="N41" s="48"/>
    </row>
    <row r="42" ht="16" spans="4:14">
      <c r="D42" s="47" t="s">
        <v>132</v>
      </c>
      <c r="F42" s="46" t="s">
        <v>133</v>
      </c>
      <c r="G42" s="45" t="s">
        <v>82</v>
      </c>
      <c r="H42" t="str">
        <f t="shared" ref="H42:M42" si="6" xml:space="preserve">H41</f>
        <v>2019, 2150</v>
      </c>
      <c r="I42" s="48" t="str">
        <f t="shared" si="6"/>
        <v>UP</v>
      </c>
      <c r="J42" s="48">
        <f t="shared" si="6"/>
        <v>1</v>
      </c>
      <c r="K42" s="48">
        <f t="shared" si="6"/>
        <v>1.1</v>
      </c>
      <c r="L42" s="48">
        <f t="shared" si="6"/>
        <v>0</v>
      </c>
      <c r="M42" s="48">
        <f t="shared" si="6"/>
        <v>3</v>
      </c>
      <c r="N42" s="48"/>
    </row>
    <row r="43" spans="4:14">
      <c r="D43" s="45" t="s">
        <v>134</v>
      </c>
      <c r="E43" s="45"/>
      <c r="F43" s="49" t="s">
        <v>135</v>
      </c>
      <c r="G43" s="45" t="s">
        <v>82</v>
      </c>
      <c r="H43" s="45" t="s">
        <v>123</v>
      </c>
      <c r="I43" s="45" t="s">
        <v>108</v>
      </c>
      <c r="J43" s="45">
        <v>1</v>
      </c>
      <c r="K43" s="45">
        <v>1</v>
      </c>
      <c r="L43" s="45">
        <v>0</v>
      </c>
      <c r="M43" s="45">
        <v>3</v>
      </c>
      <c r="N43" s="48"/>
    </row>
    <row r="44" spans="4:14">
      <c r="D44" s="2"/>
      <c r="E44" s="2"/>
      <c r="F44" s="2"/>
      <c r="G44" s="2"/>
      <c r="H44" s="2"/>
      <c r="I44" s="2"/>
      <c r="J44" s="2"/>
      <c r="K44" s="2"/>
      <c r="L44" s="2"/>
      <c r="M44" s="2"/>
      <c r="N44" s="48"/>
    </row>
    <row r="45" spans="4:14">
      <c r="D45" s="48"/>
      <c r="E45" s="48"/>
      <c r="F45" s="50"/>
      <c r="G45" s="48"/>
      <c r="H45" s="48"/>
      <c r="I45" s="48"/>
      <c r="J45" s="48"/>
      <c r="K45" s="48"/>
      <c r="L45" s="48"/>
      <c r="M45" s="48"/>
      <c r="N45" s="48"/>
    </row>
    <row r="46" spans="4:14">
      <c r="D46" s="2"/>
      <c r="E46" s="2"/>
      <c r="F46" s="2"/>
      <c r="G46" s="2"/>
      <c r="H46" s="2"/>
      <c r="I46" s="2"/>
      <c r="J46" s="2"/>
      <c r="K46" s="2"/>
      <c r="L46" s="2"/>
      <c r="M46" s="2"/>
      <c r="N46" s="48"/>
    </row>
    <row r="47" spans="4:14">
      <c r="D47" s="2"/>
      <c r="E47" s="2"/>
      <c r="F47" s="2"/>
      <c r="G47" s="2"/>
      <c r="H47" s="2"/>
      <c r="I47" s="2"/>
      <c r="J47" s="2"/>
      <c r="K47" s="2"/>
      <c r="L47" s="2"/>
      <c r="M47" s="2"/>
      <c r="N47" s="48"/>
    </row>
    <row r="48" spans="4:14">
      <c r="D48" s="2"/>
      <c r="E48" s="2"/>
      <c r="F48" s="2"/>
      <c r="G48" s="2"/>
      <c r="H48" s="2"/>
      <c r="I48" s="2"/>
      <c r="J48" s="2"/>
      <c r="K48" s="2"/>
      <c r="L48" s="2"/>
      <c r="M48" s="2"/>
      <c r="N48" s="48"/>
    </row>
    <row r="49" spans="4:14">
      <c r="N49" s="42"/>
    </row>
    <row r="50" spans="4:14">
      <c r="D50" s="42"/>
      <c r="E50" s="42"/>
      <c r="F50" s="42"/>
      <c r="G50" s="42"/>
      <c r="H50" s="42" t="s">
        <v>75</v>
      </c>
      <c r="I50" s="42"/>
      <c r="J50" s="42"/>
      <c r="K50" s="42"/>
      <c r="L50" s="42"/>
      <c r="M50" s="42"/>
      <c r="N50" s="42"/>
    </row>
    <row r="51" ht="16" spans="4:14">
      <c r="D51" s="42" t="s">
        <v>59</v>
      </c>
      <c r="E51" s="42" t="s">
        <v>136</v>
      </c>
      <c r="F51" s="42" t="s">
        <v>61</v>
      </c>
      <c r="G51" s="42" t="s">
        <v>77</v>
      </c>
      <c r="H51" s="48" t="s">
        <v>4</v>
      </c>
      <c r="I51" s="42" t="s">
        <v>2</v>
      </c>
      <c r="J51" s="13" t="s">
        <v>137</v>
      </c>
      <c r="K51" s="42" t="s">
        <v>138</v>
      </c>
      <c r="L51" s="42" t="s">
        <v>64</v>
      </c>
      <c r="M51" s="42" t="s">
        <v>65</v>
      </c>
      <c r="N51" s="42" t="s">
        <v>66</v>
      </c>
    </row>
    <row r="52" spans="4:14">
      <c r="D52" s="42" t="s">
        <v>139</v>
      </c>
      <c r="E52" s="42"/>
      <c r="F52" s="4" t="s">
        <v>140</v>
      </c>
      <c r="G52" s="42" t="s">
        <v>141</v>
      </c>
      <c r="H52" s="48" t="s">
        <v>142</v>
      </c>
      <c r="I52" s="42" t="s">
        <v>84</v>
      </c>
      <c r="J52" s="42">
        <v>1</v>
      </c>
      <c r="K52" s="42">
        <v>1</v>
      </c>
      <c r="L52" s="42">
        <v>0</v>
      </c>
      <c r="M52" s="42">
        <v>5</v>
      </c>
      <c r="N52" s="42"/>
    </row>
    <row r="53" spans="4:14">
      <c r="D53" s="42" t="s">
        <v>143</v>
      </c>
      <c r="E53" s="42"/>
      <c r="F53" s="4" t="s">
        <v>144</v>
      </c>
      <c r="G53" s="42" t="s">
        <v>141</v>
      </c>
      <c r="H53" s="51" t="s">
        <v>123</v>
      </c>
      <c r="I53" s="42" t="s">
        <v>84</v>
      </c>
      <c r="J53" s="42">
        <v>1</v>
      </c>
      <c r="K53" s="42">
        <v>1</v>
      </c>
      <c r="L53" s="42">
        <f t="shared" ref="L53:L55" si="7" xml:space="preserve">L52</f>
        <v>0</v>
      </c>
      <c r="M53" s="42">
        <v>5</v>
      </c>
      <c r="N53" s="42"/>
    </row>
    <row r="54" spans="4:14">
      <c r="D54" s="42" t="s">
        <v>145</v>
      </c>
      <c r="E54" s="42"/>
      <c r="F54" s="4" t="s">
        <v>146</v>
      </c>
      <c r="G54" s="42" t="s">
        <v>141</v>
      </c>
      <c r="H54" s="48" t="s">
        <v>147</v>
      </c>
      <c r="I54" s="42" t="s">
        <v>84</v>
      </c>
      <c r="J54" s="42">
        <v>1</v>
      </c>
      <c r="K54" s="42">
        <v>1</v>
      </c>
      <c r="L54" s="42">
        <f t="shared" si="7"/>
        <v>0</v>
      </c>
      <c r="M54" s="42">
        <v>5</v>
      </c>
      <c r="N54" s="42"/>
    </row>
    <row r="55" ht="16" spans="4:14">
      <c r="D55" s="42" t="s">
        <v>148</v>
      </c>
      <c r="E55" s="42"/>
      <c r="F55" s="43" t="s">
        <v>149</v>
      </c>
      <c r="G55" s="42" t="s">
        <v>141</v>
      </c>
      <c r="H55" s="48" t="s">
        <v>142</v>
      </c>
      <c r="I55" s="42" t="s">
        <v>84</v>
      </c>
      <c r="J55" s="42">
        <v>1</v>
      </c>
      <c r="K55" s="42">
        <v>1</v>
      </c>
      <c r="L55" s="42">
        <f t="shared" si="7"/>
        <v>0</v>
      </c>
      <c r="M55" s="42">
        <v>5</v>
      </c>
      <c r="N55" s="42"/>
    </row>
    <row r="56" ht="16" spans="4:14">
      <c r="D56" s="42"/>
      <c r="E56" s="42"/>
      <c r="F56" s="43"/>
      <c r="G56" s="42"/>
      <c r="H56" s="48"/>
      <c r="I56" s="42"/>
      <c r="J56" s="42"/>
      <c r="K56" s="42"/>
      <c r="L56" s="42"/>
      <c r="M56" s="42"/>
      <c r="N56" s="42"/>
    </row>
    <row r="57" ht="16" spans="4:14">
      <c r="D57" s="42"/>
      <c r="E57" s="42"/>
      <c r="F57" s="43"/>
      <c r="G57" s="42"/>
      <c r="H57" s="42"/>
      <c r="I57" s="42"/>
      <c r="J57" s="42"/>
      <c r="K57" s="42"/>
      <c r="L57" s="42"/>
      <c r="M57" s="42"/>
      <c r="N57" s="42"/>
    </row>
    <row r="58" ht="16" spans="4:14">
      <c r="D58" s="42"/>
      <c r="E58" s="42"/>
      <c r="F58" s="43"/>
      <c r="G58" s="42"/>
      <c r="H58" s="42"/>
      <c r="I58" s="42"/>
      <c r="J58" s="42"/>
      <c r="K58" s="42"/>
      <c r="L58" s="42"/>
      <c r="M58" s="42"/>
      <c r="N58" s="4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topLeftCell="A7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2"/>
      <c r="L11" s="2"/>
      <c r="M11" s="2"/>
      <c r="N11" s="2"/>
      <c r="O11" s="2"/>
      <c r="P11" s="2"/>
      <c r="Q11" s="2"/>
      <c r="R11" s="2"/>
    </row>
    <row r="12" spans="6:18">
      <c r="K12" s="2"/>
      <c r="L12" s="2" t="s">
        <v>150</v>
      </c>
      <c r="M12" s="2"/>
      <c r="N12" s="2"/>
      <c r="O12" s="2"/>
      <c r="P12" s="2"/>
      <c r="Q12" s="2"/>
      <c r="R12" s="2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2" t="s">
        <v>61</v>
      </c>
      <c r="L13" s="2" t="s">
        <v>1</v>
      </c>
      <c r="M13" s="2" t="s">
        <v>78</v>
      </c>
      <c r="N13" s="2" t="s">
        <v>63</v>
      </c>
      <c r="O13" s="2" t="s">
        <v>64</v>
      </c>
      <c r="P13" s="2" t="s">
        <v>65</v>
      </c>
      <c r="Q13" s="2" t="s">
        <v>66</v>
      </c>
      <c r="R13" s="2"/>
    </row>
    <row r="14" spans="6:18">
      <c r="F14" t="s">
        <v>151</v>
      </c>
      <c r="H14" t="s">
        <v>152</v>
      </c>
      <c r="K14" s="2"/>
      <c r="L14" s="2"/>
      <c r="M14" s="2">
        <v>0.25</v>
      </c>
      <c r="N14" s="2"/>
      <c r="O14" s="2">
        <v>0</v>
      </c>
      <c r="P14" s="2">
        <v>5</v>
      </c>
      <c r="Q14" s="2"/>
      <c r="R14" s="2"/>
    </row>
    <row r="15" spans="6:18">
      <c r="H15" t="s">
        <v>153</v>
      </c>
      <c r="K15" s="2"/>
      <c r="L15" s="2"/>
      <c r="M15" s="2">
        <v>-1</v>
      </c>
      <c r="N15" s="2"/>
      <c r="O15" s="2"/>
      <c r="P15" s="2"/>
      <c r="Q15" s="2"/>
      <c r="R15" s="2"/>
    </row>
    <row r="16" spans="6:18">
      <c r="K16" s="2"/>
      <c r="L16" s="2"/>
      <c r="M16" s="2"/>
      <c r="N16" s="2"/>
      <c r="O16" s="2"/>
      <c r="P16" s="2"/>
      <c r="Q16" s="2"/>
      <c r="R16" s="2"/>
    </row>
    <row r="17" spans="6:18">
      <c r="K17" s="2"/>
      <c r="L17" s="2"/>
      <c r="M17" s="2"/>
      <c r="N17" s="2"/>
      <c r="O17" s="2"/>
      <c r="P17" s="2"/>
      <c r="Q17" s="2"/>
      <c r="R17" s="2"/>
    </row>
    <row r="18" spans="6:18">
      <c r="K18" s="2"/>
      <c r="L18" s="2"/>
      <c r="M18" s="2"/>
      <c r="N18" s="2"/>
      <c r="O18" s="2"/>
      <c r="P18" s="2"/>
      <c r="Q18" s="2"/>
      <c r="R18" s="2"/>
    </row>
    <row r="19" spans="6:18">
      <c r="K19" s="2"/>
      <c r="L19" s="2"/>
      <c r="M19" s="2"/>
      <c r="N19" s="2"/>
      <c r="O19" s="2"/>
      <c r="P19" s="2"/>
      <c r="Q19" s="2"/>
      <c r="R19" s="2"/>
    </row>
    <row r="20" spans="6:18">
      <c r="K20" s="2"/>
      <c r="L20" s="2"/>
      <c r="M20" s="2"/>
      <c r="N20" s="2"/>
      <c r="O20" s="2"/>
      <c r="P20" s="2"/>
      <c r="Q20" s="2"/>
      <c r="R20" s="2"/>
    </row>
    <row r="21" spans="6:18">
      <c r="K21" s="2"/>
      <c r="L21" s="2"/>
      <c r="M21" s="2"/>
      <c r="N21" s="2"/>
      <c r="O21" s="2"/>
      <c r="P21" s="2"/>
      <c r="Q21" s="2"/>
      <c r="R21" s="2"/>
    </row>
    <row r="22" spans="6:18">
      <c r="K22" s="2"/>
      <c r="L22" s="2"/>
      <c r="M22" s="2"/>
      <c r="N22" s="2"/>
      <c r="O22" s="2"/>
      <c r="P22" s="2"/>
      <c r="Q22" s="2"/>
      <c r="R22" s="2"/>
    </row>
    <row r="23" spans="6:18">
      <c r="K23" s="2"/>
      <c r="L23" s="2"/>
      <c r="M23" s="2"/>
      <c r="N23" s="2"/>
      <c r="O23" s="2"/>
      <c r="P23" s="2"/>
      <c r="Q23" s="2"/>
      <c r="R23" s="2"/>
    </row>
    <row r="24" spans="6:18">
      <c r="K24" s="2"/>
      <c r="L24" s="2"/>
      <c r="M24" s="2"/>
      <c r="N24" s="2"/>
      <c r="O24" s="2"/>
      <c r="P24" s="2"/>
      <c r="Q24" s="2"/>
      <c r="R24" s="2"/>
    </row>
    <row r="25" spans="6:18">
      <c r="K25" s="2"/>
      <c r="L25" s="2"/>
      <c r="M25" s="2"/>
      <c r="N25" s="2"/>
      <c r="O25" s="2"/>
      <c r="P25" s="2"/>
      <c r="Q25" s="2"/>
      <c r="R25" s="2"/>
    </row>
    <row r="26" spans="6:18">
      <c r="K26" s="2"/>
      <c r="L26" s="2" t="s">
        <v>150</v>
      </c>
      <c r="M26" s="2"/>
      <c r="N26" s="2"/>
      <c r="O26" s="2"/>
      <c r="P26" s="2"/>
      <c r="Q26" s="2"/>
      <c r="R26" s="2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2" t="s">
        <v>61</v>
      </c>
      <c r="L27" s="2" t="s">
        <v>1</v>
      </c>
      <c r="M27" s="2" t="s">
        <v>78</v>
      </c>
      <c r="N27" s="2" t="s">
        <v>63</v>
      </c>
      <c r="O27" s="2" t="s">
        <v>64</v>
      </c>
      <c r="P27" s="2" t="s">
        <v>65</v>
      </c>
      <c r="Q27" s="2" t="s">
        <v>66</v>
      </c>
      <c r="R27" s="2"/>
    </row>
    <row r="28" ht="16" spans="6:18">
      <c r="F28" t="s">
        <v>154</v>
      </c>
      <c r="H28" s="13" t="s">
        <v>155</v>
      </c>
      <c r="K28" s="2"/>
      <c r="L28" s="2"/>
      <c r="M28" s="2">
        <v>-0.1</v>
      </c>
      <c r="N28" s="2"/>
      <c r="O28" s="2">
        <v>0</v>
      </c>
      <c r="P28" s="2">
        <v>5</v>
      </c>
      <c r="Q28" s="2"/>
      <c r="R28" s="2"/>
    </row>
    <row r="29" spans="6:18">
      <c r="H29" t="s">
        <v>156</v>
      </c>
      <c r="K29" s="2"/>
      <c r="L29" s="2"/>
      <c r="M29" s="2">
        <v>1</v>
      </c>
      <c r="N29" s="2"/>
      <c r="O29" s="2"/>
      <c r="P29" s="2"/>
      <c r="Q29" s="2"/>
      <c r="R29" s="2"/>
    </row>
    <row r="30" spans="6:18">
      <c r="K30" s="2"/>
      <c r="L30" s="2"/>
      <c r="M30" s="2"/>
      <c r="N30" s="2"/>
      <c r="O30" s="2"/>
      <c r="P30" s="2"/>
      <c r="Q30" s="2"/>
      <c r="R30" s="2"/>
    </row>
    <row r="31" spans="6:18">
      <c r="K31" s="2"/>
      <c r="L31" s="2"/>
      <c r="M31" s="2"/>
      <c r="N31" s="2"/>
      <c r="O31" s="2"/>
      <c r="P31" s="2"/>
      <c r="Q31" s="2"/>
      <c r="R31" s="2"/>
    </row>
    <row r="32" spans="6:18">
      <c r="K32" s="2"/>
      <c r="L32" s="2"/>
      <c r="M32" s="2"/>
      <c r="N32" s="2"/>
      <c r="O32" s="2"/>
      <c r="P32" s="2"/>
      <c r="Q32" s="2"/>
      <c r="R32" s="2"/>
    </row>
    <row r="33" spans="6:18">
      <c r="K33" s="2"/>
      <c r="L33" s="2"/>
      <c r="M33" s="2"/>
      <c r="N33" s="2"/>
      <c r="O33" s="2"/>
      <c r="P33" s="2"/>
      <c r="Q33" s="2"/>
      <c r="R33" s="2"/>
    </row>
    <row r="34" spans="6:18">
      <c r="K34" s="2"/>
      <c r="L34" s="2"/>
      <c r="M34" s="2"/>
      <c r="N34" s="2"/>
      <c r="O34" s="2"/>
      <c r="P34" s="2"/>
      <c r="Q34" s="2"/>
      <c r="R34" s="2"/>
    </row>
    <row r="35" spans="6:18">
      <c r="K35" s="2"/>
      <c r="L35" s="2" t="s">
        <v>150</v>
      </c>
      <c r="M35" s="2"/>
      <c r="N35" s="2"/>
      <c r="O35" s="2"/>
      <c r="P35" s="2"/>
      <c r="Q35" s="2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2" t="s">
        <v>61</v>
      </c>
      <c r="L36" s="2" t="s">
        <v>1</v>
      </c>
      <c r="M36" s="2" t="s">
        <v>78</v>
      </c>
      <c r="N36" s="2" t="s">
        <v>63</v>
      </c>
      <c r="O36" s="2" t="s">
        <v>64</v>
      </c>
      <c r="P36" s="2" t="s">
        <v>65</v>
      </c>
      <c r="Q36" s="2" t="s">
        <v>66</v>
      </c>
    </row>
    <row r="37" spans="6:18">
      <c r="F37" t="s">
        <v>157</v>
      </c>
      <c r="H37" t="s">
        <v>158</v>
      </c>
      <c r="K37" s="2"/>
      <c r="L37" s="2"/>
      <c r="M37" s="2">
        <v>-0.1</v>
      </c>
      <c r="N37" s="2"/>
      <c r="O37" s="2">
        <v>0</v>
      </c>
      <c r="P37" s="2">
        <v>5</v>
      </c>
      <c r="Q37" s="2"/>
    </row>
    <row r="38" spans="6:18">
      <c r="H38" t="s">
        <v>159</v>
      </c>
      <c r="K38" s="2"/>
      <c r="L38" s="2"/>
      <c r="M38" s="2">
        <v>1</v>
      </c>
      <c r="N38" s="2"/>
      <c r="O38" s="2"/>
      <c r="P38" s="2"/>
      <c r="Q38" s="2"/>
    </row>
    <row r="51" spans="6:44">
      <c r="G51" s="22"/>
      <c r="H51" s="22"/>
      <c r="I51" s="23" t="s">
        <v>160</v>
      </c>
      <c r="J51" s="24"/>
      <c r="K51" s="24"/>
      <c r="L51" s="24"/>
      <c r="M51" s="24"/>
      <c r="N51" s="24"/>
      <c r="O51" s="24"/>
      <c r="P51" s="24"/>
      <c r="Q51" s="24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</row>
    <row r="52" spans="6:44">
      <c r="G52" s="22" t="s">
        <v>59</v>
      </c>
      <c r="H52" s="22" t="s">
        <v>161</v>
      </c>
      <c r="I52" s="26" t="s">
        <v>4</v>
      </c>
      <c r="J52" s="24" t="s">
        <v>162</v>
      </c>
      <c r="K52" s="22" t="s">
        <v>25</v>
      </c>
      <c r="L52" s="22" t="s">
        <v>33</v>
      </c>
      <c r="M52" s="24" t="s">
        <v>27</v>
      </c>
      <c r="N52" s="22" t="s">
        <v>61</v>
      </c>
      <c r="O52" t="s">
        <v>62</v>
      </c>
      <c r="P52" s="2" t="s">
        <v>64</v>
      </c>
      <c r="Q52" s="2" t="s">
        <v>65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</row>
    <row r="53" ht="16" spans="6:44">
      <c r="F53" s="27"/>
      <c r="G53" s="22" t="s">
        <v>163</v>
      </c>
      <c r="H53" s="22" t="s">
        <v>108</v>
      </c>
      <c r="I53" s="28">
        <v>2019</v>
      </c>
      <c r="J53" s="29">
        <v>-1</v>
      </c>
      <c r="K53" s="22"/>
      <c r="L53" s="13" t="s">
        <v>164</v>
      </c>
      <c r="M53" s="30" t="s">
        <v>165</v>
      </c>
      <c r="N53" s="13" t="s">
        <v>164</v>
      </c>
      <c r="O53" s="22">
        <v>10</v>
      </c>
      <c r="P53" s="2">
        <v>0</v>
      </c>
      <c r="Q53" s="2">
        <v>3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</row>
    <row r="54" spans="6:44">
      <c r="G54" s="22"/>
      <c r="H54" s="22"/>
      <c r="I54" s="22"/>
      <c r="J54" s="22"/>
      <c r="K54" s="22"/>
    </row>
    <row r="55" spans="6:44">
      <c r="G55" s="22"/>
      <c r="H55" s="22"/>
      <c r="I55" s="22"/>
      <c r="J55" s="22"/>
      <c r="K55" s="22"/>
      <c r="L55" s="22"/>
      <c r="M55" s="22"/>
      <c r="N55" s="22"/>
      <c r="O55" s="22"/>
    </row>
    <row r="56" spans="6:44">
      <c r="G56" s="22"/>
      <c r="H56" s="22"/>
      <c r="I56" s="22"/>
      <c r="J56" s="22"/>
      <c r="K56" s="22"/>
      <c r="L56" s="22"/>
      <c r="M56" s="22"/>
      <c r="N56" s="22"/>
      <c r="O56" s="22"/>
    </row>
    <row r="61" spans="6:44">
      <c r="G61" s="22"/>
      <c r="H61" s="22"/>
      <c r="I61" s="23" t="s">
        <v>160</v>
      </c>
      <c r="J61" s="24"/>
      <c r="K61" s="24"/>
      <c r="L61" s="24"/>
      <c r="M61" s="24"/>
      <c r="N61" s="24"/>
      <c r="O61" s="24"/>
      <c r="P61" s="25"/>
      <c r="Q61" s="25"/>
    </row>
    <row r="62" spans="6:44">
      <c r="G62" s="22" t="s">
        <v>59</v>
      </c>
      <c r="H62" s="22" t="s">
        <v>161</v>
      </c>
      <c r="I62" s="26" t="s">
        <v>4</v>
      </c>
      <c r="J62" s="24" t="s">
        <v>162</v>
      </c>
      <c r="K62" s="22" t="s">
        <v>25</v>
      </c>
      <c r="L62" s="22" t="s">
        <v>33</v>
      </c>
      <c r="M62" s="24" t="s">
        <v>27</v>
      </c>
      <c r="N62" s="22" t="s">
        <v>61</v>
      </c>
      <c r="O62" t="s">
        <v>62</v>
      </c>
      <c r="P62" s="2" t="s">
        <v>64</v>
      </c>
      <c r="Q62" s="2" t="s">
        <v>65</v>
      </c>
    </row>
    <row r="63" ht="16" spans="6:44">
      <c r="G63" s="22" t="s">
        <v>166</v>
      </c>
      <c r="H63" s="22" t="s">
        <v>108</v>
      </c>
      <c r="I63" s="28">
        <v>2019</v>
      </c>
      <c r="J63" s="29">
        <v>-1</v>
      </c>
      <c r="K63" s="22"/>
      <c r="L63" s="13" t="s">
        <v>164</v>
      </c>
      <c r="M63" s="30" t="s">
        <v>167</v>
      </c>
      <c r="N63" s="13" t="s">
        <v>164</v>
      </c>
      <c r="O63" s="22">
        <v>10</v>
      </c>
      <c r="P63" s="2">
        <v>0</v>
      </c>
      <c r="Q63" s="2">
        <v>3</v>
      </c>
    </row>
    <row r="64" spans="6:44">
      <c r="G64" s="22"/>
      <c r="H64" s="22"/>
      <c r="I64" s="22"/>
      <c r="J64" s="22"/>
      <c r="K64" s="22"/>
    </row>
    <row r="66" ht="15.25" spans="7:20"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T66" s="2"/>
    </row>
    <row r="67" ht="16" spans="7:20">
      <c r="G67" s="2"/>
      <c r="H67" s="2"/>
      <c r="I67" s="3"/>
      <c r="J67" s="2"/>
      <c r="K67" s="2"/>
      <c r="L67" s="2"/>
      <c r="M67" s="2"/>
      <c r="O67" s="2"/>
      <c r="P67" s="2"/>
      <c r="Q67" s="2"/>
      <c r="T67" s="2"/>
    </row>
    <row r="68" ht="15.25" spans="7:20"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T68" s="2"/>
    </row>
    <row r="69" spans="7:20"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T69" s="2"/>
    </row>
    <row r="70" spans="7:20">
      <c r="G70" s="31"/>
      <c r="H70" s="31"/>
      <c r="I70" s="32" t="s">
        <v>160</v>
      </c>
      <c r="J70" s="33"/>
      <c r="K70" s="33"/>
      <c r="L70" s="33"/>
      <c r="M70" s="33"/>
      <c r="N70" s="33"/>
      <c r="O70" s="33"/>
      <c r="P70" s="33"/>
      <c r="Q70" s="33"/>
      <c r="T70" s="2"/>
    </row>
    <row r="71" spans="7:20">
      <c r="G71" s="31" t="s">
        <v>59</v>
      </c>
      <c r="H71" s="31" t="s">
        <v>161</v>
      </c>
      <c r="I71" s="34" t="s">
        <v>4</v>
      </c>
      <c r="J71" s="33" t="s">
        <v>162</v>
      </c>
      <c r="K71" s="31" t="s">
        <v>25</v>
      </c>
      <c r="L71" s="31" t="s">
        <v>33</v>
      </c>
      <c r="M71" s="33" t="s">
        <v>27</v>
      </c>
      <c r="N71" s="31" t="s">
        <v>61</v>
      </c>
      <c r="O71" s="31" t="s">
        <v>62</v>
      </c>
      <c r="P71" s="31" t="s">
        <v>64</v>
      </c>
      <c r="Q71" s="31" t="s">
        <v>65</v>
      </c>
    </row>
    <row r="72" ht="16" spans="7:20">
      <c r="G72" s="31" t="s">
        <v>168</v>
      </c>
      <c r="H72" s="31" t="s">
        <v>108</v>
      </c>
      <c r="I72" s="35">
        <v>2019</v>
      </c>
      <c r="J72" s="36">
        <v>-1</v>
      </c>
      <c r="K72" s="31"/>
      <c r="L72" s="37" t="s">
        <v>72</v>
      </c>
      <c r="M72" s="37" t="s">
        <v>39</v>
      </c>
      <c r="N72" s="37" t="s">
        <v>72</v>
      </c>
      <c r="O72" s="31">
        <v>10</v>
      </c>
      <c r="P72" s="31">
        <v>0</v>
      </c>
      <c r="Q72" s="31">
        <v>3</v>
      </c>
    </row>
    <row r="73" spans="7:20"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80" spans="7:20">
      <c r="G80" s="22"/>
      <c r="H80" s="22"/>
      <c r="I80" s="23" t="s">
        <v>160</v>
      </c>
      <c r="J80" s="24"/>
      <c r="K80" s="24"/>
      <c r="L80" s="24"/>
      <c r="M80" s="24"/>
      <c r="N80" s="24"/>
      <c r="O80" s="24"/>
      <c r="P80" s="25"/>
      <c r="Q80" s="25"/>
    </row>
    <row r="81" spans="7:17">
      <c r="G81" s="22" t="s">
        <v>59</v>
      </c>
      <c r="H81" s="22" t="s">
        <v>161</v>
      </c>
      <c r="I81" s="26" t="s">
        <v>4</v>
      </c>
      <c r="J81" s="24" t="s">
        <v>162</v>
      </c>
      <c r="K81" s="22" t="s">
        <v>25</v>
      </c>
      <c r="L81" s="22" t="s">
        <v>33</v>
      </c>
      <c r="M81" s="24" t="s">
        <v>27</v>
      </c>
      <c r="N81" s="22" t="s">
        <v>61</v>
      </c>
      <c r="O81" t="s">
        <v>62</v>
      </c>
      <c r="P81" s="2" t="s">
        <v>64</v>
      </c>
      <c r="Q81" s="2" t="s">
        <v>65</v>
      </c>
    </row>
    <row r="82" ht="16" spans="7:17">
      <c r="G82" s="22" t="s">
        <v>169</v>
      </c>
      <c r="H82" s="22" t="s">
        <v>108</v>
      </c>
      <c r="I82" s="28">
        <v>2019</v>
      </c>
      <c r="J82" s="29">
        <v>-1</v>
      </c>
      <c r="K82" s="22"/>
      <c r="L82" s="13" t="s">
        <v>164</v>
      </c>
      <c r="M82" s="30" t="s">
        <v>170</v>
      </c>
      <c r="N82" s="13" t="s">
        <v>164</v>
      </c>
      <c r="O82" s="22">
        <v>10</v>
      </c>
      <c r="P82" s="2">
        <v>0</v>
      </c>
      <c r="Q82" s="2">
        <v>3</v>
      </c>
    </row>
    <row r="83" spans="7:17">
      <c r="G83" s="22"/>
      <c r="H83" s="22"/>
      <c r="I83" s="22"/>
      <c r="J83" s="22"/>
      <c r="K83" s="2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87"/>
  <sheetViews>
    <sheetView tabSelected="1" zoomScale="55" zoomScaleNormal="55" workbookViewId="0">
      <selection activeCell="I39" sqref="I39"/>
    </sheetView>
  </sheetViews>
  <sheetFormatPr defaultColWidth="8.72727272727273" defaultRowHeight="14.5"/>
  <cols>
    <col min="2" max="2" width="25.0909090909091" customWidth="1"/>
    <col min="4" max="4" width="51.9090909090909" customWidth="1"/>
    <col min="5" max="5" width="43.7272727272727" customWidth="1"/>
    <col min="7" max="7" width="11.1818181818182" customWidth="1"/>
    <col min="8" max="8" width="10.1818181818182" customWidth="1"/>
    <col min="9" max="9" width="26.8181818181818" customWidth="1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  <col min="14" max="23" width="12.8181818181818"/>
  </cols>
  <sheetData>
    <row r="1" customHeight="1"/>
    <row r="2" spans="2:13">
      <c r="B2" t="s">
        <v>57</v>
      </c>
    </row>
    <row r="3" customHeight="1" spans="2:13">
      <c r="H3" s="1" t="s">
        <v>58</v>
      </c>
    </row>
    <row r="4" customHeight="1" spans="2:13">
      <c r="E4" s="2"/>
      <c r="F4" s="2"/>
      <c r="G4" s="2"/>
      <c r="H4" s="2"/>
      <c r="I4" s="2"/>
      <c r="J4" s="2"/>
      <c r="K4" s="2"/>
      <c r="L4" s="2"/>
      <c r="M4" s="2"/>
    </row>
    <row r="5" customHeight="1" spans="2:13">
      <c r="E5" s="2"/>
      <c r="F5" s="2"/>
      <c r="G5" s="2"/>
      <c r="I5" s="2"/>
      <c r="J5" s="2"/>
      <c r="K5" s="2"/>
      <c r="L5" s="2"/>
      <c r="M5" s="2"/>
    </row>
    <row r="6" ht="16" customHeight="1" spans="2:13">
      <c r="B6" t="s">
        <v>59</v>
      </c>
      <c r="C6" t="s">
        <v>25</v>
      </c>
      <c r="D6" t="s">
        <v>48</v>
      </c>
      <c r="E6" s="2" t="s">
        <v>60</v>
      </c>
      <c r="F6" s="2" t="s">
        <v>33</v>
      </c>
      <c r="G6" s="2" t="s">
        <v>61</v>
      </c>
      <c r="H6" s="2" t="s">
        <v>1</v>
      </c>
      <c r="I6" s="2" t="s">
        <v>62</v>
      </c>
      <c r="J6" s="2" t="s">
        <v>63</v>
      </c>
      <c r="K6" s="2" t="s">
        <v>171</v>
      </c>
      <c r="L6" s="2" t="s">
        <v>172</v>
      </c>
      <c r="M6" s="2" t="s">
        <v>66</v>
      </c>
    </row>
    <row r="7" ht="16" spans="2:13">
      <c r="B7" t="s">
        <v>173</v>
      </c>
      <c r="C7" t="s">
        <v>174</v>
      </c>
      <c r="D7" s="3" t="s">
        <v>175</v>
      </c>
      <c r="E7" s="2"/>
      <c r="F7" s="2" t="s">
        <v>17</v>
      </c>
      <c r="G7" s="2" t="s">
        <v>17</v>
      </c>
      <c r="H7" s="2" t="s">
        <v>14</v>
      </c>
      <c r="I7" s="2">
        <v>1</v>
      </c>
      <c r="J7" s="2"/>
      <c r="K7" s="2">
        <v>0</v>
      </c>
      <c r="L7" s="2">
        <v>3</v>
      </c>
      <c r="M7" s="2" t="s">
        <v>176</v>
      </c>
    </row>
    <row r="8" ht="15.25" spans="2:13">
      <c r="D8" t="s">
        <v>177</v>
      </c>
      <c r="E8" s="2" t="s">
        <v>17</v>
      </c>
      <c r="F8" s="2"/>
      <c r="G8" t="s">
        <v>17</v>
      </c>
      <c r="H8" s="2" t="s">
        <v>14</v>
      </c>
      <c r="I8" s="2">
        <v>-1.05</v>
      </c>
      <c r="J8" s="2"/>
      <c r="K8" s="2"/>
      <c r="L8" s="2"/>
      <c r="M8" s="2"/>
    </row>
    <row r="9" spans="2:13">
      <c r="C9" t="s">
        <v>178</v>
      </c>
      <c r="D9" t="s">
        <v>175</v>
      </c>
      <c r="E9" s="2" t="s">
        <v>17</v>
      </c>
      <c r="F9" s="2"/>
      <c r="G9" t="s">
        <v>17</v>
      </c>
      <c r="H9" s="2" t="s">
        <v>14</v>
      </c>
      <c r="I9" s="2">
        <v>-1</v>
      </c>
      <c r="J9" s="2"/>
      <c r="K9" s="2"/>
      <c r="L9" s="2"/>
      <c r="M9" s="2"/>
    </row>
    <row r="10" spans="2:13">
      <c r="C10" t="s">
        <v>178</v>
      </c>
      <c r="D10" t="s">
        <v>175</v>
      </c>
      <c r="F10" s="2" t="s">
        <v>17</v>
      </c>
      <c r="G10" t="s">
        <v>17</v>
      </c>
      <c r="H10" s="2" t="s">
        <v>14</v>
      </c>
      <c r="I10" s="2">
        <v>1</v>
      </c>
      <c r="J10" s="2"/>
      <c r="K10" s="2"/>
      <c r="L10" s="2"/>
      <c r="M10" s="2"/>
    </row>
    <row r="11" spans="2:13">
      <c r="D11" s="4"/>
      <c r="E11" s="2"/>
      <c r="F11" s="2"/>
      <c r="H11" s="2"/>
      <c r="I11" s="2"/>
      <c r="J11" s="2"/>
      <c r="K11" s="2"/>
      <c r="L11" s="2"/>
      <c r="M11" s="2"/>
    </row>
    <row r="12" spans="2:13">
      <c r="E12" s="2"/>
      <c r="F12" s="2"/>
      <c r="G12" s="2"/>
      <c r="H12" s="2"/>
      <c r="I12" s="2"/>
      <c r="J12" s="2"/>
      <c r="K12" s="2"/>
      <c r="L12" s="2"/>
      <c r="M12" s="2"/>
    </row>
    <row r="13" spans="2:13">
      <c r="E13" s="2"/>
      <c r="F13" s="2"/>
      <c r="G13" s="2"/>
      <c r="H13" s="2"/>
      <c r="I13" s="2"/>
      <c r="J13" s="2"/>
      <c r="K13" s="2"/>
      <c r="L13" s="2"/>
      <c r="M13" s="2"/>
    </row>
    <row r="14" spans="2:13">
      <c r="E14" s="2"/>
      <c r="F14" s="2"/>
      <c r="G14" s="2"/>
      <c r="H14" s="2"/>
      <c r="I14" s="2"/>
      <c r="J14" s="2"/>
      <c r="K14" s="2"/>
      <c r="L14" s="2"/>
      <c r="M14" s="2"/>
    </row>
    <row r="15" spans="2:13">
      <c r="E15" s="2"/>
      <c r="F15" s="2"/>
      <c r="G15" s="2"/>
      <c r="H15" s="2"/>
      <c r="I15" s="2"/>
      <c r="J15" s="2"/>
      <c r="K15" s="2"/>
      <c r="L15" s="2"/>
      <c r="M15" s="5"/>
    </row>
    <row r="16" spans="2:13">
      <c r="D16" t="s">
        <v>57</v>
      </c>
    </row>
    <row r="18" spans="4:17">
      <c r="D18" t="s">
        <v>150</v>
      </c>
    </row>
    <row r="19" spans="4:17">
      <c r="D19" t="s">
        <v>59</v>
      </c>
      <c r="E19" t="s">
        <v>25</v>
      </c>
      <c r="F19" t="s">
        <v>48</v>
      </c>
      <c r="G19" t="s">
        <v>60</v>
      </c>
      <c r="H19" t="s">
        <v>33</v>
      </c>
      <c r="I19" t="s">
        <v>61</v>
      </c>
      <c r="J19" t="s">
        <v>1</v>
      </c>
      <c r="K19" t="s">
        <v>179</v>
      </c>
      <c r="L19" t="s">
        <v>63</v>
      </c>
      <c r="M19" t="s">
        <v>64</v>
      </c>
      <c r="N19" t="s">
        <v>65</v>
      </c>
      <c r="O19" t="s">
        <v>66</v>
      </c>
    </row>
    <row r="20" spans="4:17">
      <c r="D20" t="s">
        <v>180</v>
      </c>
      <c r="I20" t="s">
        <v>181</v>
      </c>
      <c r="K20">
        <v>1</v>
      </c>
      <c r="M20">
        <v>0</v>
      </c>
      <c r="N20">
        <v>3</v>
      </c>
      <c r="O20" t="s">
        <v>182</v>
      </c>
    </row>
    <row r="21" spans="4:17">
      <c r="I21" t="s">
        <v>181</v>
      </c>
      <c r="L21">
        <v>-0.95</v>
      </c>
    </row>
    <row r="23" spans="4:17">
      <c r="G23" s="2"/>
      <c r="I23" s="2"/>
      <c r="J23" s="2"/>
      <c r="K23" s="2"/>
    </row>
    <row r="24" spans="4:17">
      <c r="G24" s="2"/>
      <c r="H24" s="2"/>
      <c r="I24" s="2"/>
      <c r="J24" s="2"/>
      <c r="K24" s="2"/>
    </row>
    <row r="25" spans="4:17">
      <c r="G25" s="2"/>
      <c r="H25" s="2"/>
      <c r="I25" s="2"/>
      <c r="J25" s="2"/>
      <c r="K25" s="2"/>
    </row>
    <row r="26" spans="4:17">
      <c r="G26" s="2"/>
      <c r="H26" s="2"/>
      <c r="I26" s="2"/>
      <c r="J26" s="2"/>
      <c r="K26" s="2"/>
    </row>
    <row r="28" spans="4:17">
      <c r="D28" s="6" t="s">
        <v>23</v>
      </c>
      <c r="E28" s="7"/>
      <c r="F28" s="7"/>
      <c r="G28" s="7"/>
      <c r="H28" s="7"/>
      <c r="I28" s="7"/>
      <c r="J28" s="7"/>
      <c r="K28" s="8"/>
      <c r="L28" s="9"/>
      <c r="M28" s="9"/>
      <c r="N28" s="9"/>
      <c r="O28" s="9"/>
      <c r="P28" s="9"/>
      <c r="Q28" s="9"/>
    </row>
    <row r="29" ht="15.25" spans="4:17">
      <c r="D29" s="10" t="s">
        <v>1</v>
      </c>
      <c r="E29" s="10" t="s">
        <v>2</v>
      </c>
      <c r="F29" s="10" t="s">
        <v>3</v>
      </c>
      <c r="G29" s="10" t="s">
        <v>4</v>
      </c>
      <c r="H29" s="10" t="s">
        <v>183</v>
      </c>
      <c r="I29" s="10" t="s">
        <v>184</v>
      </c>
      <c r="J29" s="11" t="s">
        <v>5</v>
      </c>
      <c r="K29" s="12" t="s">
        <v>76</v>
      </c>
      <c r="L29" s="12" t="s">
        <v>6</v>
      </c>
      <c r="M29" s="12" t="s">
        <v>185</v>
      </c>
      <c r="N29" s="12" t="s">
        <v>60</v>
      </c>
      <c r="O29" s="12" t="s">
        <v>186</v>
      </c>
      <c r="P29" s="12" t="s">
        <v>136</v>
      </c>
      <c r="Q29" s="12" t="s">
        <v>61</v>
      </c>
    </row>
    <row r="30" ht="16" spans="4:17">
      <c r="D30" s="7"/>
      <c r="E30" s="7"/>
      <c r="F30" t="s">
        <v>45</v>
      </c>
      <c r="J30">
        <v>2150</v>
      </c>
      <c r="L30" s="13" t="s">
        <v>187</v>
      </c>
      <c r="N30" s="7"/>
      <c r="O30" s="7"/>
      <c r="P30" s="7"/>
    </row>
    <row r="44" ht="15.25"/>
    <row r="45" ht="15.25" spans="7:23">
      <c r="G45" s="14" t="s">
        <v>188</v>
      </c>
      <c r="H45" s="14" t="s">
        <v>3</v>
      </c>
      <c r="I45" s="14">
        <v>2019</v>
      </c>
      <c r="J45" s="14">
        <v>2020</v>
      </c>
      <c r="K45" s="14">
        <v>2025</v>
      </c>
      <c r="L45" s="14">
        <v>2030</v>
      </c>
      <c r="M45" s="14">
        <v>2035</v>
      </c>
      <c r="N45" s="14">
        <v>2040</v>
      </c>
      <c r="O45" s="14">
        <v>2050</v>
      </c>
      <c r="P45" s="14">
        <v>2060</v>
      </c>
      <c r="Q45" s="14">
        <v>2070</v>
      </c>
      <c r="R45" s="14">
        <v>2080</v>
      </c>
      <c r="S45" s="14">
        <v>2090</v>
      </c>
      <c r="T45" s="14">
        <v>2100</v>
      </c>
      <c r="U45" s="14">
        <v>2110</v>
      </c>
      <c r="V45" s="14">
        <v>2130</v>
      </c>
    </row>
    <row r="46" ht="15.25" spans="7:23"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25" spans="7:23">
      <c r="G47" s="16" t="s">
        <v>189</v>
      </c>
      <c r="H47" s="16" t="s">
        <v>190</v>
      </c>
      <c r="I47" s="17">
        <v>23147.55</v>
      </c>
      <c r="J47" s="17">
        <v>24048.86</v>
      </c>
      <c r="K47" s="17">
        <v>25614.9</v>
      </c>
      <c r="L47" s="17">
        <v>26682.27</v>
      </c>
      <c r="M47" s="17">
        <v>27327.39</v>
      </c>
      <c r="N47" s="17">
        <v>29455.19</v>
      </c>
      <c r="O47" s="17">
        <v>36120.9</v>
      </c>
      <c r="P47" s="17">
        <v>37765.053</v>
      </c>
      <c r="Q47" s="17">
        <v>39347.27</v>
      </c>
      <c r="R47" s="17">
        <v>40254.43</v>
      </c>
      <c r="S47" s="17">
        <v>41140.93</v>
      </c>
      <c r="T47" s="17">
        <v>41608.6</v>
      </c>
      <c r="U47" s="17">
        <v>41639.07</v>
      </c>
      <c r="V47" s="17">
        <v>41578.8</v>
      </c>
      <c r="W47" s="18"/>
    </row>
    <row r="48" ht="15.25" spans="7:23">
      <c r="G48" s="16"/>
      <c r="H48" s="16" t="s">
        <v>191</v>
      </c>
      <c r="I48" s="17">
        <v>25707.66</v>
      </c>
      <c r="J48" s="17">
        <v>26708.54</v>
      </c>
      <c r="K48" s="17">
        <v>28281.61</v>
      </c>
      <c r="L48" s="17">
        <v>29288.31</v>
      </c>
      <c r="M48" s="17">
        <v>29823.36</v>
      </c>
      <c r="N48" s="17">
        <v>31961.62</v>
      </c>
      <c r="O48" s="17">
        <v>38751.23</v>
      </c>
      <c r="P48" s="17">
        <v>40061.58</v>
      </c>
      <c r="Q48" s="17">
        <v>41281.95</v>
      </c>
      <c r="R48" s="17">
        <v>42233.66</v>
      </c>
      <c r="S48" s="17">
        <v>43166.25</v>
      </c>
      <c r="T48" s="17">
        <v>43657.5</v>
      </c>
      <c r="U48" s="17">
        <v>43687.063</v>
      </c>
      <c r="V48" s="17">
        <v>43626.04</v>
      </c>
      <c r="W48" s="18"/>
    </row>
    <row r="49" ht="15.25" spans="7:23">
      <c r="G49" s="16" t="s">
        <v>192</v>
      </c>
      <c r="H49" s="16" t="s">
        <v>190</v>
      </c>
      <c r="I49" s="17">
        <v>17208.23</v>
      </c>
      <c r="J49" s="17">
        <v>17167.02</v>
      </c>
      <c r="K49" s="17">
        <v>17588.94</v>
      </c>
      <c r="L49" s="17">
        <v>17552.39</v>
      </c>
      <c r="M49" s="17">
        <v>17929.042</v>
      </c>
      <c r="N49" s="17">
        <v>21788.048</v>
      </c>
      <c r="O49" s="17">
        <v>37977.74</v>
      </c>
      <c r="P49" s="17">
        <v>41150.28</v>
      </c>
      <c r="Q49" s="17">
        <v>44299.82</v>
      </c>
      <c r="R49" s="17">
        <v>46519.5</v>
      </c>
      <c r="S49" s="17">
        <v>48652.58</v>
      </c>
      <c r="T49" s="17">
        <v>50075.57</v>
      </c>
      <c r="U49" s="17">
        <v>50118.11</v>
      </c>
      <c r="V49" s="17">
        <v>50033.62</v>
      </c>
      <c r="W49" s="18"/>
    </row>
    <row r="50" ht="15.25" spans="7:23">
      <c r="G50" s="16"/>
      <c r="H50" s="16" t="s">
        <v>191</v>
      </c>
      <c r="I50" s="17">
        <v>18874.63</v>
      </c>
      <c r="J50" s="17">
        <v>18829.43</v>
      </c>
      <c r="K50" s="17">
        <v>19204.8</v>
      </c>
      <c r="L50" s="17">
        <v>19078.4</v>
      </c>
      <c r="M50" s="17">
        <v>19400.24</v>
      </c>
      <c r="N50" s="17">
        <v>23470.59</v>
      </c>
      <c r="O50" s="17">
        <v>40548.24</v>
      </c>
      <c r="P50" s="17">
        <v>43549.64</v>
      </c>
      <c r="Q50" s="17">
        <v>46485.71</v>
      </c>
      <c r="R50" s="17">
        <v>48816.36</v>
      </c>
      <c r="S50" s="17">
        <v>51054.94</v>
      </c>
      <c r="T50" s="17">
        <v>52548.3</v>
      </c>
      <c r="U50" s="17">
        <v>52592.9</v>
      </c>
      <c r="V50" s="17">
        <v>52504.13</v>
      </c>
      <c r="W50" s="18"/>
    </row>
    <row r="52" spans="7:23">
      <c r="I52">
        <f xml:space="preserve">(I48-I47)/I47</f>
        <v>0.11059960989392</v>
      </c>
      <c r="J52">
        <f xml:space="preserve">(J48-J47)/J47</f>
        <v>0.110594847323324</v>
      </c>
      <c r="K52">
        <f xml:space="preserve">(K48-K47)/K47</f>
        <v>0.104107765402168</v>
      </c>
      <c r="L52">
        <f xml:space="preserve">(L48-L47)/L47</f>
        <v>0.0976693512208669</v>
      </c>
      <c r="M52">
        <f xml:space="preserve">(M48-M47)/M47</f>
        <v>0.0913358355847376</v>
      </c>
      <c r="N52">
        <f t="shared" ref="N52:V52" si="0" xml:space="preserve">(N48-N47)/N47</f>
        <v>0.0850929836134141</v>
      </c>
      <c r="O52">
        <f t="shared" si="0"/>
        <v>0.0728201678252757</v>
      </c>
      <c r="P52">
        <f t="shared" si="0"/>
        <v>0.0608109036680023</v>
      </c>
      <c r="Q52">
        <f t="shared" si="0"/>
        <v>0.0491693578741295</v>
      </c>
      <c r="R52">
        <f t="shared" si="0"/>
        <v>0.0491680046146475</v>
      </c>
      <c r="S52">
        <f t="shared" si="0"/>
        <v>0.0492288336700216</v>
      </c>
      <c r="T52">
        <f t="shared" si="0"/>
        <v>0.0492422239633153</v>
      </c>
      <c r="U52">
        <f t="shared" si="0"/>
        <v>0.0491844078169854</v>
      </c>
      <c r="V52">
        <f t="shared" si="0"/>
        <v>0.0492375922345041</v>
      </c>
    </row>
    <row r="54" ht="15.25"/>
    <row r="55" ht="15.25" spans="7:23">
      <c r="G55" s="14" t="s">
        <v>188</v>
      </c>
      <c r="H55" s="14" t="s">
        <v>3</v>
      </c>
      <c r="I55" s="14">
        <v>2019</v>
      </c>
      <c r="J55" s="14">
        <v>2020</v>
      </c>
      <c r="K55" s="14">
        <v>2025</v>
      </c>
      <c r="L55" s="14">
        <v>2030</v>
      </c>
      <c r="M55" s="14">
        <v>2035</v>
      </c>
      <c r="N55" s="14">
        <v>2040</v>
      </c>
      <c r="O55" s="14">
        <v>2050</v>
      </c>
      <c r="P55" s="14">
        <v>2060</v>
      </c>
      <c r="Q55" s="14">
        <v>2070</v>
      </c>
      <c r="R55" s="14">
        <v>2080</v>
      </c>
      <c r="S55" s="14">
        <v>2090</v>
      </c>
      <c r="T55" s="14">
        <v>2100</v>
      </c>
      <c r="U55" s="14">
        <v>2110</v>
      </c>
      <c r="V55" s="14">
        <v>2130</v>
      </c>
    </row>
    <row r="56" ht="15.25" spans="7:23"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25" spans="7:23">
      <c r="G57" s="16" t="s">
        <v>189</v>
      </c>
      <c r="H57" s="16" t="s">
        <v>190</v>
      </c>
      <c r="I57" s="17">
        <v>23143.15</v>
      </c>
      <c r="J57" s="17">
        <v>24043.23</v>
      </c>
      <c r="K57" s="17">
        <v>25605.6</v>
      </c>
      <c r="L57" s="17">
        <v>26661.51</v>
      </c>
      <c r="M57" s="17">
        <v>27302.64</v>
      </c>
      <c r="N57" s="17">
        <v>29430.44</v>
      </c>
      <c r="O57" s="17">
        <v>36096.16</v>
      </c>
      <c r="P57" s="17">
        <v>37740.31</v>
      </c>
      <c r="Q57" s="17">
        <v>39322.52</v>
      </c>
      <c r="R57" s="17">
        <v>40229.67</v>
      </c>
      <c r="S57" s="17">
        <v>41116.14</v>
      </c>
      <c r="T57" s="17">
        <v>41583.77</v>
      </c>
      <c r="U57" s="17">
        <v>41614.22</v>
      </c>
      <c r="V57" s="17">
        <v>41553.81</v>
      </c>
      <c r="W57" s="18"/>
    </row>
    <row r="58" ht="15.25" spans="7:23">
      <c r="G58" s="16"/>
      <c r="H58" s="16" t="s">
        <v>191</v>
      </c>
      <c r="I58" s="17">
        <v>24300.3</v>
      </c>
      <c r="J58" s="17">
        <v>25245.39</v>
      </c>
      <c r="K58" s="17">
        <v>26885.88</v>
      </c>
      <c r="L58" s="17">
        <v>27994.58</v>
      </c>
      <c r="M58" s="17">
        <v>28667.77</v>
      </c>
      <c r="N58" s="17">
        <v>30901.97</v>
      </c>
      <c r="O58" s="17">
        <v>37900.97</v>
      </c>
      <c r="P58" s="17">
        <v>39627.32</v>
      </c>
      <c r="Q58" s="17">
        <v>41262.11</v>
      </c>
      <c r="R58" s="17">
        <v>42213.82</v>
      </c>
      <c r="S58" s="17">
        <v>43146.41</v>
      </c>
      <c r="T58" s="17">
        <v>43637.66</v>
      </c>
      <c r="U58" s="17">
        <v>43667.22</v>
      </c>
      <c r="V58" s="17">
        <v>43606.2</v>
      </c>
      <c r="W58" s="18"/>
    </row>
    <row r="59" ht="15.25" spans="7:23">
      <c r="G59" s="16" t="s">
        <v>192</v>
      </c>
      <c r="H59" s="16" t="s">
        <v>190</v>
      </c>
      <c r="I59" s="17">
        <v>17204.75</v>
      </c>
      <c r="J59" s="17">
        <v>17163.54</v>
      </c>
      <c r="K59" s="17">
        <v>17585.44</v>
      </c>
      <c r="L59" s="17">
        <v>17548.31</v>
      </c>
      <c r="M59" s="17">
        <v>17924.42</v>
      </c>
      <c r="N59" s="17">
        <v>21783.38</v>
      </c>
      <c r="O59" s="17">
        <v>37973.078</v>
      </c>
      <c r="P59" s="17">
        <v>41145.61</v>
      </c>
      <c r="Q59" s="17">
        <v>44295.14</v>
      </c>
      <c r="R59" s="17">
        <v>46514.82</v>
      </c>
      <c r="S59" s="17">
        <v>48647.87</v>
      </c>
      <c r="T59" s="17">
        <v>50070.83</v>
      </c>
      <c r="U59" s="17">
        <v>50113.32</v>
      </c>
      <c r="V59" s="17">
        <v>50028.74</v>
      </c>
      <c r="W59" s="18"/>
    </row>
    <row r="60" ht="15.25" spans="7:23">
      <c r="G60" s="16"/>
      <c r="H60" s="16" t="s">
        <v>191</v>
      </c>
      <c r="I60" s="17">
        <v>18064.98</v>
      </c>
      <c r="J60" s="17">
        <v>18021.71</v>
      </c>
      <c r="K60" s="17">
        <v>18464.72</v>
      </c>
      <c r="L60" s="17">
        <v>18425.72</v>
      </c>
      <c r="M60" s="17">
        <v>18820.64</v>
      </c>
      <c r="N60" s="17">
        <v>22872.55</v>
      </c>
      <c r="O60" s="17">
        <v>39871.73</v>
      </c>
      <c r="P60" s="17">
        <v>43202.89</v>
      </c>
      <c r="Q60" s="17">
        <v>46481.91</v>
      </c>
      <c r="R60" s="17">
        <v>48812.56</v>
      </c>
      <c r="S60" s="17">
        <v>51051.14</v>
      </c>
      <c r="T60" s="17">
        <v>52544.5</v>
      </c>
      <c r="U60" s="17">
        <v>52589.1</v>
      </c>
      <c r="V60" s="17">
        <v>52500.33</v>
      </c>
      <c r="W60" s="18"/>
    </row>
    <row r="62" spans="7:23">
      <c r="I62">
        <f xml:space="preserve">(I58-I57)/I57</f>
        <v>0.0499996759300267</v>
      </c>
      <c r="J62">
        <f xml:space="preserve">(J58-J57)/J57</f>
        <v>0.0499999376123757</v>
      </c>
      <c r="K62">
        <f xml:space="preserve">(K58-K57)/K57</f>
        <v>0.0500000000000001</v>
      </c>
      <c r="L62">
        <f xml:space="preserve">(L58-L57)/L57</f>
        <v>0.0499997937101088</v>
      </c>
    </row>
    <row r="65" ht="15.25"/>
    <row r="66" ht="15.25" spans="7:24">
      <c r="G66" s="18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</row>
    <row r="67" ht="15.25" spans="7:24">
      <c r="G67" s="18"/>
      <c r="H67" s="14" t="s">
        <v>188</v>
      </c>
      <c r="I67" s="14" t="s">
        <v>3</v>
      </c>
      <c r="J67" s="14">
        <v>2019</v>
      </c>
      <c r="K67" s="14">
        <v>2020</v>
      </c>
      <c r="L67" s="14">
        <v>2025</v>
      </c>
      <c r="M67" s="14">
        <v>2030</v>
      </c>
      <c r="N67" s="14">
        <v>2035</v>
      </c>
      <c r="O67" s="14">
        <v>2040</v>
      </c>
      <c r="P67" s="14">
        <v>2050</v>
      </c>
      <c r="Q67" s="14">
        <v>2060</v>
      </c>
      <c r="R67" s="14">
        <v>2070</v>
      </c>
      <c r="S67" s="14">
        <v>2080</v>
      </c>
      <c r="T67" s="14">
        <v>2090</v>
      </c>
      <c r="U67" s="14">
        <v>2100</v>
      </c>
      <c r="V67" s="14">
        <v>2110</v>
      </c>
      <c r="W67" s="14">
        <v>2130</v>
      </c>
      <c r="X67" s="18"/>
    </row>
    <row r="68" ht="15.25" spans="7:24">
      <c r="G68" s="18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</row>
    <row r="69" ht="15.25" spans="7:24">
      <c r="G69" s="18"/>
      <c r="H69" s="20" t="s">
        <v>189</v>
      </c>
      <c r="I69" s="20" t="s">
        <v>190</v>
      </c>
      <c r="J69" s="21">
        <v>23143.15</v>
      </c>
      <c r="K69" s="21">
        <v>24043.23</v>
      </c>
      <c r="L69" s="21">
        <v>25605.6</v>
      </c>
      <c r="M69" s="21">
        <v>26661.51</v>
      </c>
      <c r="N69" s="21">
        <v>27302.64</v>
      </c>
      <c r="O69" s="21">
        <v>29430.44</v>
      </c>
      <c r="P69" s="21">
        <v>36096.16</v>
      </c>
      <c r="Q69" s="21">
        <v>37740.31</v>
      </c>
      <c r="R69" s="21">
        <v>39322.53</v>
      </c>
      <c r="S69" s="21">
        <v>40229.69</v>
      </c>
      <c r="T69" s="21">
        <v>41116.19</v>
      </c>
      <c r="U69" s="21">
        <v>41583.86</v>
      </c>
      <c r="V69" s="21">
        <v>41614.32</v>
      </c>
      <c r="W69" s="21">
        <v>41554.059</v>
      </c>
      <c r="X69" s="18"/>
    </row>
    <row r="70" ht="15.25" spans="7:24">
      <c r="G70" s="18"/>
      <c r="H70" s="20"/>
      <c r="I70" s="20" t="s">
        <v>191</v>
      </c>
      <c r="J70" s="21">
        <v>24300.3</v>
      </c>
      <c r="K70" s="21">
        <v>25245.39</v>
      </c>
      <c r="L70" s="21">
        <v>26885.88</v>
      </c>
      <c r="M70" s="21">
        <v>27994.58</v>
      </c>
      <c r="N70" s="21">
        <v>28667.77</v>
      </c>
      <c r="O70" s="21">
        <v>30901.97</v>
      </c>
      <c r="P70" s="21">
        <v>37900.97</v>
      </c>
      <c r="Q70" s="21">
        <v>39627.32</v>
      </c>
      <c r="R70" s="21">
        <v>41262.11</v>
      </c>
      <c r="S70" s="21">
        <v>42213.82</v>
      </c>
      <c r="T70" s="21">
        <v>43146.41</v>
      </c>
      <c r="U70" s="21">
        <v>43637.66</v>
      </c>
      <c r="V70" s="21">
        <v>43667.22</v>
      </c>
      <c r="W70" s="21">
        <v>43606.2</v>
      </c>
      <c r="X70" s="18"/>
    </row>
    <row r="71" ht="15.25" spans="7:24">
      <c r="G71" s="18"/>
      <c r="H71" s="20" t="s">
        <v>192</v>
      </c>
      <c r="I71" s="20" t="s">
        <v>190</v>
      </c>
      <c r="J71" s="21">
        <v>17204.75</v>
      </c>
      <c r="K71" s="21">
        <v>17163.54</v>
      </c>
      <c r="L71" s="21">
        <v>17585.44</v>
      </c>
      <c r="M71" s="21">
        <v>17548.31</v>
      </c>
      <c r="N71" s="21">
        <v>17924.42</v>
      </c>
      <c r="O71" s="21">
        <v>21783.38</v>
      </c>
      <c r="P71" s="21">
        <v>37973.078</v>
      </c>
      <c r="Q71" s="21">
        <v>41145.61</v>
      </c>
      <c r="R71" s="21">
        <v>44295.15</v>
      </c>
      <c r="S71" s="21">
        <v>46514.84</v>
      </c>
      <c r="T71" s="21">
        <v>48647.92</v>
      </c>
      <c r="U71" s="21">
        <v>50070.91</v>
      </c>
      <c r="V71" s="21">
        <v>50113.45</v>
      </c>
      <c r="W71" s="21">
        <v>50028.95</v>
      </c>
      <c r="X71" s="18"/>
    </row>
    <row r="72" ht="15.25" spans="7:24">
      <c r="H72" s="20"/>
      <c r="I72" s="20" t="s">
        <v>191</v>
      </c>
      <c r="J72" s="21">
        <v>18064.98</v>
      </c>
      <c r="K72" s="21">
        <v>18021.71</v>
      </c>
      <c r="L72" s="21">
        <v>18464.72</v>
      </c>
      <c r="M72" s="21">
        <v>18425.72</v>
      </c>
      <c r="N72" s="21">
        <v>18820.64</v>
      </c>
      <c r="O72" s="21">
        <v>22872.55</v>
      </c>
      <c r="P72" s="21">
        <v>39871.73</v>
      </c>
      <c r="Q72" s="21">
        <v>43202.89</v>
      </c>
      <c r="R72" s="21">
        <v>46481.91</v>
      </c>
      <c r="S72" s="21">
        <v>48812.56</v>
      </c>
      <c r="T72" s="21">
        <v>51051.14</v>
      </c>
      <c r="U72" s="21">
        <v>52544.5</v>
      </c>
      <c r="V72" s="21">
        <v>52589.1</v>
      </c>
      <c r="W72" s="21">
        <v>52500.33</v>
      </c>
      <c r="X72" s="18"/>
    </row>
    <row r="74" spans="7:24">
      <c r="J74">
        <f xml:space="preserve">(J70-J69)/J69</f>
        <v>0.0499996759300267</v>
      </c>
      <c r="K74">
        <f xml:space="preserve">(K70-K69)/K69</f>
        <v>0.0499999376123757</v>
      </c>
      <c r="L74">
        <f xml:space="preserve">(L70-L69)/L69</f>
        <v>0.0500000000000001</v>
      </c>
      <c r="M74">
        <f xml:space="preserve">(M70-M69)/M69</f>
        <v>0.0499997937101088</v>
      </c>
      <c r="N74">
        <f xml:space="preserve">(N70-N69)/N69</f>
        <v>0.0499999267470106</v>
      </c>
      <c r="O74">
        <f t="shared" ref="O74:W74" si="1" xml:space="preserve">(O70-O69)/O69</f>
        <v>0.0500002718274006</v>
      </c>
      <c r="P74">
        <f t="shared" si="1"/>
        <v>0.0500000554075557</v>
      </c>
      <c r="Q74">
        <f t="shared" si="1"/>
        <v>0.0499998542672279</v>
      </c>
      <c r="R74">
        <f t="shared" si="1"/>
        <v>0.0493249035603762</v>
      </c>
      <c r="S74">
        <f t="shared" si="1"/>
        <v>0.0493200419888892</v>
      </c>
      <c r="T74">
        <f t="shared" si="1"/>
        <v>0.0493776295906795</v>
      </c>
      <c r="U74">
        <f t="shared" si="1"/>
        <v>0.0493893544274149</v>
      </c>
      <c r="V74">
        <f t="shared" si="1"/>
        <v>0.0493315762458692</v>
      </c>
      <c r="W74">
        <f t="shared" si="1"/>
        <v>0.049384850707364</v>
      </c>
    </row>
    <row r="79" ht="15.25"/>
    <row r="80" ht="15.25" spans="7:24">
      <c r="H80" s="14" t="s">
        <v>188</v>
      </c>
      <c r="I80" s="14" t="s">
        <v>3</v>
      </c>
      <c r="J80" s="14">
        <v>2019</v>
      </c>
      <c r="K80" s="14">
        <v>2020</v>
      </c>
      <c r="L80" s="14">
        <v>2025</v>
      </c>
      <c r="M80" s="14">
        <v>2030</v>
      </c>
      <c r="N80" s="14">
        <v>2035</v>
      </c>
      <c r="O80" s="14">
        <v>2040</v>
      </c>
      <c r="P80" s="14">
        <v>2050</v>
      </c>
      <c r="Q80" s="14">
        <v>2060</v>
      </c>
      <c r="R80" s="14">
        <v>2070</v>
      </c>
      <c r="S80" s="14">
        <v>2080</v>
      </c>
      <c r="T80" s="14">
        <v>2090</v>
      </c>
      <c r="U80" s="14">
        <v>2100</v>
      </c>
      <c r="V80" s="14">
        <v>2110</v>
      </c>
      <c r="W80" s="14">
        <v>2130</v>
      </c>
    </row>
    <row r="81" ht="15.25" spans="8:24"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</row>
    <row r="82" ht="15.25" spans="8:24">
      <c r="H82" s="16" t="s">
        <v>189</v>
      </c>
      <c r="I82" s="16" t="s">
        <v>190</v>
      </c>
      <c r="J82" s="17">
        <v>23143.15</v>
      </c>
      <c r="K82" s="17">
        <v>24043.23</v>
      </c>
      <c r="L82" s="17">
        <v>25605.6</v>
      </c>
      <c r="M82" s="17">
        <v>26661.51</v>
      </c>
      <c r="N82" s="17">
        <v>27302.64</v>
      </c>
      <c r="O82" s="17">
        <v>29430.44</v>
      </c>
      <c r="P82" s="17">
        <v>36096.16</v>
      </c>
      <c r="Q82" s="17">
        <v>37740.31</v>
      </c>
      <c r="R82" s="17">
        <v>39322.53</v>
      </c>
      <c r="S82" s="17">
        <v>40229.69</v>
      </c>
      <c r="T82" s="17">
        <v>41116.19</v>
      </c>
      <c r="U82" s="17">
        <v>41583.86</v>
      </c>
      <c r="V82" s="17">
        <v>41614.32</v>
      </c>
      <c r="W82" s="17">
        <v>41554.059</v>
      </c>
      <c r="X82" s="18"/>
    </row>
    <row r="83" ht="15.25" spans="8:24">
      <c r="H83" s="16"/>
      <c r="I83" s="16" t="s">
        <v>191</v>
      </c>
      <c r="J83" s="17">
        <v>25704.066</v>
      </c>
      <c r="K83" s="17">
        <v>26703.96</v>
      </c>
      <c r="L83" s="17">
        <v>28274.092</v>
      </c>
      <c r="M83" s="17">
        <v>29271.63</v>
      </c>
      <c r="N83" s="17">
        <v>29803.51</v>
      </c>
      <c r="O83" s="17">
        <v>31941.78</v>
      </c>
      <c r="P83" s="17">
        <v>38731.39</v>
      </c>
      <c r="Q83" s="17">
        <v>40041.74</v>
      </c>
      <c r="R83" s="17">
        <v>41262.11</v>
      </c>
      <c r="S83" s="17">
        <v>42213.82</v>
      </c>
      <c r="T83" s="17">
        <v>43146.41</v>
      </c>
      <c r="U83" s="17">
        <v>43637.66</v>
      </c>
      <c r="V83" s="17">
        <v>43667.22</v>
      </c>
      <c r="W83" s="17">
        <v>43606.2</v>
      </c>
      <c r="X83" s="18"/>
    </row>
    <row r="84" ht="15.25" spans="8:24">
      <c r="H84" s="16" t="s">
        <v>192</v>
      </c>
      <c r="I84" s="16" t="s">
        <v>190</v>
      </c>
      <c r="J84" s="17">
        <v>17204.75</v>
      </c>
      <c r="K84" s="17">
        <v>17163.54</v>
      </c>
      <c r="L84" s="17">
        <v>17585.44</v>
      </c>
      <c r="M84" s="17">
        <v>17548.31</v>
      </c>
      <c r="N84" s="17">
        <v>17924.42</v>
      </c>
      <c r="O84" s="17">
        <v>21783.38</v>
      </c>
      <c r="P84" s="17">
        <v>37973.078</v>
      </c>
      <c r="Q84" s="17">
        <v>41145.61</v>
      </c>
      <c r="R84" s="17">
        <v>44295.15</v>
      </c>
      <c r="S84" s="17">
        <v>46514.84</v>
      </c>
      <c r="T84" s="17">
        <v>48647.92</v>
      </c>
      <c r="U84" s="17">
        <v>50070.91</v>
      </c>
      <c r="V84" s="17">
        <v>50113.45</v>
      </c>
      <c r="W84" s="17">
        <v>50028.95</v>
      </c>
      <c r="X84" s="18"/>
    </row>
    <row r="85" ht="15.25" spans="8:24">
      <c r="H85" s="16"/>
      <c r="I85" s="16" t="s">
        <v>191</v>
      </c>
      <c r="J85" s="17">
        <v>18871.74</v>
      </c>
      <c r="K85" s="17">
        <v>18826.53</v>
      </c>
      <c r="L85" s="17">
        <v>19201.9</v>
      </c>
      <c r="M85" s="17">
        <v>19075.04</v>
      </c>
      <c r="N85" s="17">
        <v>19396.47</v>
      </c>
      <c r="O85" s="17">
        <v>23466.79</v>
      </c>
      <c r="P85" s="17">
        <v>40544.44</v>
      </c>
      <c r="Q85" s="17">
        <v>43545.84</v>
      </c>
      <c r="R85" s="17">
        <v>46481.91</v>
      </c>
      <c r="S85" s="17">
        <v>48812.56</v>
      </c>
      <c r="T85" s="17">
        <v>51051.14</v>
      </c>
      <c r="U85" s="17">
        <v>52544.5</v>
      </c>
      <c r="V85" s="17">
        <v>52589.1</v>
      </c>
      <c r="W85" s="17">
        <v>52500.33</v>
      </c>
      <c r="X85" s="18"/>
    </row>
    <row r="87" spans="8:24">
      <c r="J87">
        <f t="shared" ref="J87:W87" si="2" xml:space="preserve">(J83-J82)/J82</f>
        <v>0.110655463927771</v>
      </c>
      <c r="K87">
        <f t="shared" si="2"/>
        <v>0.110664415721182</v>
      </c>
      <c r="L87">
        <f t="shared" si="2"/>
        <v>0.104215171681195</v>
      </c>
      <c r="M87">
        <f t="shared" si="2"/>
        <v>0.0978984311091158</v>
      </c>
      <c r="N87">
        <f t="shared" si="2"/>
        <v>0.0915981018685372</v>
      </c>
      <c r="O87">
        <f t="shared" si="2"/>
        <v>0.0853313779882326</v>
      </c>
      <c r="P87">
        <f t="shared" si="2"/>
        <v>0.0730058266585697</v>
      </c>
      <c r="Q87">
        <f t="shared" si="2"/>
        <v>0.0609806861681846</v>
      </c>
      <c r="R87">
        <f t="shared" si="2"/>
        <v>0.0493249035603762</v>
      </c>
      <c r="S87">
        <f t="shared" si="2"/>
        <v>0.0493200419888892</v>
      </c>
      <c r="T87">
        <f t="shared" si="2"/>
        <v>0.0493776295906795</v>
      </c>
      <c r="U87">
        <f t="shared" si="2"/>
        <v>0.0493893544274149</v>
      </c>
      <c r="V87">
        <f t="shared" si="2"/>
        <v>0.0493315762458692</v>
      </c>
      <c r="W87">
        <f t="shared" si="2"/>
        <v>0.049384850707364</v>
      </c>
    </row>
  </sheetData>
  <mergeCells count="10">
    <mergeCell ref="H66:X66"/>
    <mergeCell ref="G47:G48"/>
    <mergeCell ref="G49:G50"/>
    <mergeCell ref="G57:G58"/>
    <mergeCell ref="G59:G60"/>
    <mergeCell ref="G66:G71"/>
    <mergeCell ref="H69:H70"/>
    <mergeCell ref="H71:H72"/>
    <mergeCell ref="H82:H83"/>
    <mergeCell ref="H84:H85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2026-10-22T07:13:59Z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