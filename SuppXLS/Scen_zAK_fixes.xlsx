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8350" windowHeight="8710" activeTab="5"/>
  </bookViews>
  <sheets>
    <sheet name="INS" sheetId="2" r:id="rId1"/>
    <sheet name="Sheet8" sheetId="8" r:id="rId2"/>
    <sheet name="Sheet9" sheetId="9" r:id="rId3"/>
    <sheet name="ROR_has_no_regulation_cap" sheetId="10" r:id="rId4"/>
    <sheet name="Ramp_rate_constraints" sheetId="11" r:id="rId5"/>
    <sheet name="Growth_rate" sheetId="12" r:id="rId6"/>
  </sheets>
  <definedNames>
    <definedName name="IQ_FWD_Q" hidden="1">501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F5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The utility-scale storage I have to revert *10 to *1: CAPEX was disaggregated into the battery pack cost and the pack assembly (balance-of-pack) cost. 
then why 0.55 i explainede here/in Methods</t>
        </r>
      </text>
    </comment>
    <comment ref="F14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refer to *https://www.pnnl.gov/sites/default/files/media/file/ESGC%20Cost%20Performance%20Report%202022%20PNNL-33283.pdf</t>
        </r>
      </text>
    </comment>
    <comment ref="F15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10-hour duration</t>
        </r>
      </text>
    </comment>
    <comment ref="F21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Not necessary bro</t>
        </r>
      </text>
    </comment>
  </commentList>
</comments>
</file>

<file path=xl/comments2.xml><?xml version="1.0" encoding="utf-8"?>
<comments xmlns="http://schemas.openxmlformats.org/spreadsheetml/2006/main">
  <authors>
    <author>xli9</author>
  </authors>
  <commentList>
    <comment ref="H9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dam hydropower should also have some limits, bcz not all dam hydropower are TGR</t>
        </r>
      </text>
    </comment>
  </commentList>
</comments>
</file>

<file path=xl/comments3.xml><?xml version="1.0" encoding="utf-8"?>
<comments xmlns="http://schemas.openxmlformats.org/spreadsheetml/2006/main">
  <authors>
    <author>xli9</author>
    <author>Xiao Li</author>
  </authors>
  <commentList>
    <comment ref="K6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Should not because then system will rely on HPS without battery expansion</t>
        </r>
      </text>
    </comment>
    <comment ref="E17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different from CAN-TIMES</t>
        </r>
      </text>
    </comment>
    <comment ref="C77" authorId="1">
      <text>
        <r>
          <rPr>
            <b/>
            <sz val="9"/>
            <rFont val="Tahoma"/>
            <charset val="0"/>
          </rPr>
          <t>Xiao Li:</t>
        </r>
        <r>
          <rPr>
            <sz val="9"/>
            <rFont val="Tahoma"/>
            <charset val="0"/>
          </rPr>
          <t xml:space="preserve">
we consider no new hydro-investment for AB and SK due to limited potential</t>
        </r>
      </text>
    </comment>
  </commentList>
</comments>
</file>

<file path=xl/sharedStrings.xml><?xml version="1.0" encoding="utf-8"?>
<sst xmlns="http://schemas.openxmlformats.org/spreadsheetml/2006/main" count="297" uniqueCount="133">
  <si>
    <t>~TFM_UPD</t>
  </si>
  <si>
    <t>TimeSlice</t>
  </si>
  <si>
    <t>LimType</t>
  </si>
  <si>
    <t>Attribute</t>
  </si>
  <si>
    <t>Year</t>
  </si>
  <si>
    <t>AllRegions</t>
  </si>
  <si>
    <t>Pset_PN</t>
  </si>
  <si>
    <t>invcost</t>
  </si>
  <si>
    <t>*0.55</t>
  </si>
  <si>
    <t>en*hbatt*, Util_Rep_Batt*</t>
  </si>
  <si>
    <t>~TFM_INS: curr=USD20</t>
  </si>
  <si>
    <t>other_indexes</t>
  </si>
  <si>
    <t>commodity</t>
  </si>
  <si>
    <t>year</t>
  </si>
  <si>
    <t>DAYNITE</t>
  </si>
  <si>
    <t>NRG</t>
  </si>
  <si>
    <t>AFC</t>
  </si>
  <si>
    <t>ELC</t>
  </si>
  <si>
    <t>ACT</t>
  </si>
  <si>
    <t>FIXOM</t>
  </si>
  <si>
    <t>EN_HPS_Storage</t>
  </si>
  <si>
    <t>DELIV</t>
  </si>
  <si>
    <t>*COM_FR is worse than utilization rate for ROR, but we need to put this constraint to avoild regulation capacities</t>
  </si>
  <si>
    <t>~TFM_INS</t>
  </si>
  <si>
    <t>attribute</t>
  </si>
  <si>
    <t>PSET_SET</t>
  </si>
  <si>
    <t>PSET_CI</t>
  </si>
  <si>
    <t>pset_pn</t>
  </si>
  <si>
    <t>AF</t>
  </si>
  <si>
    <t>ELE</t>
  </si>
  <si>
    <t>ELCHYD</t>
  </si>
  <si>
    <t>*HYD-DAM*</t>
  </si>
  <si>
    <t>*HYD-ROR*</t>
  </si>
  <si>
    <t>PSET_CO</t>
  </si>
  <si>
    <t>*bio*</t>
  </si>
  <si>
    <t>ACT_CSTRMP</t>
  </si>
  <si>
    <t>*coa*, *lig*</t>
  </si>
  <si>
    <t>EA_OIL*, EP_OIL*</t>
  </si>
  <si>
    <t>China</t>
  </si>
  <si>
    <t>en_gas*, ea_gas*, ep_gas*</t>
  </si>
  <si>
    <t>CAP_BND</t>
  </si>
  <si>
    <t>*HPS*</t>
  </si>
  <si>
    <t>EN_STG_4hBatt*</t>
  </si>
  <si>
    <t>Util_Rep_Batt*</t>
  </si>
  <si>
    <t>*nuc*</t>
  </si>
  <si>
    <t>ACT_UPS</t>
  </si>
  <si>
    <t>~TFM_AVA</t>
  </si>
  <si>
    <t>PSET_PN</t>
  </si>
  <si>
    <t>AL</t>
  </si>
  <si>
    <t>AT</t>
  </si>
  <si>
    <t>BC</t>
  </si>
  <si>
    <t>MA</t>
  </si>
  <si>
    <t>ON</t>
  </si>
  <si>
    <t>SA</t>
  </si>
  <si>
    <t>QU</t>
  </si>
  <si>
    <t>ENCAN01_SMR</t>
  </si>
  <si>
    <t>~UC_Sets: R_S: AllRegions</t>
  </si>
  <si>
    <t>~UC_Sets: T_SUC:</t>
  </si>
  <si>
    <t>~UC_T</t>
  </si>
  <si>
    <t>UC_N</t>
  </si>
  <si>
    <t>Pset_Set</t>
  </si>
  <si>
    <t>UC_ATTR~RHS</t>
  </si>
  <si>
    <t>UC_CAP</t>
  </si>
  <si>
    <t>UC_CAP~RHS</t>
  </si>
  <si>
    <t>UC_RHSTS</t>
  </si>
  <si>
    <t>UC_RHSTS~0</t>
  </si>
  <si>
    <t>UC_Desc</t>
  </si>
  <si>
    <t>UC_Grow_LI</t>
  </si>
  <si>
    <t>MINBatMaterials_LI</t>
  </si>
  <si>
    <t>CAP,GROWTH</t>
  </si>
  <si>
    <t>2025, 2150</t>
  </si>
  <si>
    <t>UP</t>
  </si>
  <si>
    <t>UC_Grow_GR</t>
  </si>
  <si>
    <t>MINBatMaterials_GR</t>
  </si>
  <si>
    <t>UC_Grow_NI</t>
  </si>
  <si>
    <t>MINBatMaterials_NI</t>
  </si>
  <si>
    <t>UC_Grow_COB_byCop</t>
  </si>
  <si>
    <t>MINBatMaterials_COB_byCop</t>
  </si>
  <si>
    <t>UC_Grow_MN</t>
  </si>
  <si>
    <t>MINBatMaterials_MN</t>
  </si>
  <si>
    <t>UC_Grow_COP</t>
  </si>
  <si>
    <t>MINBatMaterials_COP</t>
  </si>
  <si>
    <t>UC_Grow_AL</t>
  </si>
  <si>
    <t>MINBatMaterials_AL</t>
  </si>
  <si>
    <t>UC_Grow_COB_byNI_HPAL</t>
  </si>
  <si>
    <t>MINBatMaterials_COB_byNI_HPAL</t>
  </si>
  <si>
    <t>UC_Grow_COB_byNI_sulfide</t>
  </si>
  <si>
    <t>MINBatMaterials_COB_byNI_sulfide</t>
  </si>
  <si>
    <t>UC_Grow_COB_direct</t>
  </si>
  <si>
    <t>MINBatMaterials_COB_direct</t>
  </si>
  <si>
    <t>UC_Grow_Recy1</t>
  </si>
  <si>
    <t>PyroRecy-LFP</t>
  </si>
  <si>
    <t>LO</t>
  </si>
  <si>
    <t>UC_Grow_Recy2</t>
  </si>
  <si>
    <t>PyroRecy-LMO</t>
  </si>
  <si>
    <t>UC_Grow_Recy3</t>
  </si>
  <si>
    <t>PyroRecy-NCA</t>
  </si>
  <si>
    <t>UC_Grow_Recy4</t>
  </si>
  <si>
    <t>PyroRecy-NMC111</t>
  </si>
  <si>
    <t>UC_Grow_Recy5</t>
  </si>
  <si>
    <t>PyroRecy-NMC532</t>
  </si>
  <si>
    <t>UC_Grow_Recy6</t>
  </si>
  <si>
    <t>PyroRecy-NMC622</t>
  </si>
  <si>
    <t>UC_Grow_Recy7</t>
  </si>
  <si>
    <t>PyroRecy-NMC811</t>
  </si>
  <si>
    <t>UC_Grow_Recy8</t>
  </si>
  <si>
    <t>HydRecy-LFP</t>
  </si>
  <si>
    <t>UC_Grow_Recy9</t>
  </si>
  <si>
    <t>HydRecy-LMO</t>
  </si>
  <si>
    <t>UC_Grow_Recy10</t>
  </si>
  <si>
    <t>HydRecy-NCA</t>
  </si>
  <si>
    <t>UC_Grow_Recy11</t>
  </si>
  <si>
    <t>HydRecy-NMC111</t>
  </si>
  <si>
    <t>UC_Grow_Recy12</t>
  </si>
  <si>
    <t>HydRecy-NMC532</t>
  </si>
  <si>
    <t>UC_Grow_Recy13</t>
  </si>
  <si>
    <t>HydRecy-NMC622</t>
  </si>
  <si>
    <t>UC_Grow_Recy14</t>
  </si>
  <si>
    <t>HydRecy-NMC811</t>
  </si>
  <si>
    <t>UC_Grow_Recy15</t>
  </si>
  <si>
    <t>DirRecy-LFP</t>
  </si>
  <si>
    <t>UC_Grow_Recy16</t>
  </si>
  <si>
    <t>DirRecy-LMO</t>
  </si>
  <si>
    <t>UC_Grow_Recy17</t>
  </si>
  <si>
    <t>DirRecy-NCA</t>
  </si>
  <si>
    <t>UC_Grow_Recy18</t>
  </si>
  <si>
    <t>DirRecy-NMC111</t>
  </si>
  <si>
    <t>UC_Grow_Recy19</t>
  </si>
  <si>
    <t>DirRecy-NMC532</t>
  </si>
  <si>
    <t>UC_Grow_Recy20</t>
  </si>
  <si>
    <t>DirRecy-NMC622</t>
  </si>
  <si>
    <t>UC_Grow_Recy21</t>
  </si>
  <si>
    <t>DirRecy-NMC811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</si>
</sst>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</numFmts>
  <fonts count="32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0.2"/>
      <color rgb="FF212529"/>
      <name val="Segoe UI"/>
      <charset val="134"/>
    </font>
    <font>
      <sz val="10"/>
      <name val="Arial"/>
      <charset val="134"/>
    </font>
    <font>
      <sz val="8"/>
      <color rgb="FF3974D2"/>
      <name val="Segoe UI"/>
      <charset val="134"/>
    </font>
    <font>
      <sz val="10"/>
      <name val="Arial"/>
      <charset val="0"/>
    </font>
    <font>
      <sz val="11"/>
      <color indexed="8"/>
      <name val="Calibri"/>
      <charset val="0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indexed="8"/>
      <name val="Calibri"/>
      <charset val="134"/>
    </font>
    <font>
      <sz val="11"/>
      <color rgb="FF3F3F76"/>
      <name val="Calibri"/>
      <charset val="134"/>
      <scheme val="minor"/>
    </font>
    <font>
      <b/>
      <sz val="9"/>
      <name val="Times New Roman"/>
      <charset val="0"/>
    </font>
    <font>
      <sz val="9"/>
      <name val="Tahoma"/>
      <charset val="0"/>
    </font>
    <font>
      <sz val="9"/>
      <name val="Times New Roman"/>
      <charset val="0"/>
    </font>
    <font>
      <b/>
      <sz val="9"/>
      <name val="Tahoma"/>
      <charset val="0"/>
    </font>
  </fonts>
  <fills count="38">
    <fill>
      <patternFill patternType="none"/>
    </fill>
    <fill>
      <patternFill patternType="gray125"/>
    </fill>
    <fill>
      <patternFill patternType="solid">
        <fgColor theme="3" tint="0.79986000061035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3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7" borderId="3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4" fillId="0" borderId="5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8" borderId="6" applyNumberFormat="0" applyAlignment="0" applyProtection="0">
      <alignment vertical="center"/>
    </xf>
    <xf numFmtId="0" fontId="16" fillId="9" borderId="7" applyNumberFormat="0" applyAlignment="0" applyProtection="0">
      <alignment vertical="center"/>
    </xf>
    <xf numFmtId="0" fontId="17" fillId="9" borderId="6" applyNumberFormat="0" applyAlignment="0" applyProtection="0">
      <alignment vertical="center"/>
    </xf>
    <xf numFmtId="0" fontId="18" fillId="10" borderId="8" applyNumberFormat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0" borderId="10" applyNumberFormat="0" applyFill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  <xf numFmtId="0" fontId="24" fillId="37" borderId="0" applyNumberFormat="0" applyBorder="0" applyAlignment="0" applyProtection="0">
      <alignment vertical="center"/>
    </xf>
    <xf numFmtId="0" fontId="3" fillId="0" borderId="0"/>
    <xf numFmtId="0" fontId="26" fillId="0" borderId="0"/>
    <xf numFmtId="0" fontId="27" fillId="8" borderId="6" applyNumberFormat="0" applyAlignment="0" applyProtection="0"/>
    <xf numFmtId="0" fontId="3" fillId="0" borderId="0"/>
  </cellStyleXfs>
  <cellXfs count="21">
    <xf numFmtId="0" fontId="0" fillId="0" borderId="0" xfId="0"/>
    <xf numFmtId="0" fontId="1" fillId="0" borderId="0" xfId="0" applyFont="1" applyAlignment="1">
      <alignment horizontal="center" wrapText="1"/>
    </xf>
    <xf numFmtId="0" fontId="0" fillId="0" borderId="0" xfId="0" applyAlignment="1">
      <alignment wrapText="1"/>
    </xf>
    <xf numFmtId="0" fontId="2" fillId="0" borderId="0" xfId="0" applyFont="1"/>
    <xf numFmtId="0" fontId="3" fillId="2" borderId="1" xfId="49" applyFill="1" applyBorder="1"/>
    <xf numFmtId="0" fontId="3" fillId="2" borderId="2" xfId="49" applyFill="1" applyBorder="1"/>
    <xf numFmtId="0" fontId="0" fillId="0" borderId="0" xfId="0" applyFill="1" applyBorder="1"/>
    <xf numFmtId="0" fontId="3" fillId="0" borderId="0" xfId="52" applyFill="1" applyBorder="1"/>
    <xf numFmtId="0" fontId="0" fillId="0" borderId="0" xfId="0" applyBorder="1"/>
    <xf numFmtId="0" fontId="0" fillId="3" borderId="0" xfId="0" applyFill="1" applyBorder="1"/>
    <xf numFmtId="0" fontId="3" fillId="0" borderId="0" xfId="0" applyFont="1" applyFill="1" applyBorder="1" applyAlignment="1"/>
    <xf numFmtId="0" fontId="2" fillId="4" borderId="0" xfId="0" applyFont="1" applyFill="1" applyAlignment="1">
      <alignment vertical="center" wrapText="1"/>
    </xf>
    <xf numFmtId="0" fontId="4" fillId="0" borderId="0" xfId="0" applyFont="1"/>
    <xf numFmtId="0" fontId="2" fillId="0" borderId="0" xfId="0" applyFont="1" applyBorder="1"/>
    <xf numFmtId="0" fontId="3" fillId="5" borderId="0" xfId="52" applyFill="1" applyBorder="1"/>
    <xf numFmtId="0" fontId="5" fillId="0" borderId="0" xfId="0" applyFont="1" applyFill="1" applyBorder="1" applyAlignment="1"/>
    <xf numFmtId="0" fontId="0" fillId="5" borderId="0" xfId="0" applyFill="1"/>
    <xf numFmtId="0" fontId="0" fillId="0" borderId="0" xfId="0" applyFill="1"/>
    <xf numFmtId="0" fontId="6" fillId="0" borderId="0" xfId="0" applyFont="1" applyFill="1" applyBorder="1" applyAlignment="1"/>
    <xf numFmtId="0" fontId="0" fillId="3" borderId="0" xfId="0" applyFill="1"/>
    <xf numFmtId="0" fontId="0" fillId="6" borderId="0" xfId="0" applyFill="1"/>
  </cellXfs>
  <cellStyles count="53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10" xfId="49"/>
    <cellStyle name="Normale_Scen_UC_IND-StrucConst" xfId="50"/>
    <cellStyle name="Input 2" xfId="51"/>
    <cellStyle name="Normal 2" xf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H21"/>
  <sheetViews>
    <sheetView workbookViewId="0">
      <selection activeCell="G7" sqref="G7"/>
    </sheetView>
  </sheetViews>
  <sheetFormatPr defaultColWidth="9" defaultRowHeight="14.5" outlineLevelCol="7"/>
  <cols>
    <col min="1" max="1" width="11" customWidth="1"/>
    <col min="2" max="2" width="9.6" customWidth="1"/>
    <col min="3" max="3" width="11.8636363636364" customWidth="1"/>
    <col min="4" max="4" width="8.33636363636364" customWidth="1"/>
    <col min="5" max="5" width="11.0909090909091" customWidth="1"/>
    <col min="6" max="6" width="11.3363636363636" customWidth="1"/>
    <col min="7" max="7" width="25.0909090909091" customWidth="1"/>
    <col min="8" max="8" width="10.3363636363636" customWidth="1"/>
    <col min="9" max="9" width="8.06363636363636" customWidth="1"/>
    <col min="10" max="10" width="7.72727272727273" customWidth="1"/>
    <col min="11" max="11" width="7.8" customWidth="1"/>
    <col min="12" max="12" width="7.2" customWidth="1"/>
    <col min="13" max="13" width="8.06363636363636" customWidth="1"/>
    <col min="14" max="14" width="8.26363636363636" customWidth="1"/>
    <col min="15" max="15" width="8.13636363636364" customWidth="1"/>
    <col min="16" max="16" width="8.2" customWidth="1"/>
  </cols>
  <sheetData>
    <row r="3" spans="2:8">
      <c r="B3" t="s">
        <v>0</v>
      </c>
    </row>
    <row r="4" spans="2:8">
      <c r="B4" t="s">
        <v>1</v>
      </c>
      <c r="C4" t="s">
        <v>2</v>
      </c>
      <c r="D4" t="s">
        <v>3</v>
      </c>
      <c r="E4" t="s">
        <v>4</v>
      </c>
      <c r="F4" t="s">
        <v>5</v>
      </c>
      <c r="G4" t="s">
        <v>6</v>
      </c>
    </row>
    <row r="5" spans="2:8">
      <c r="D5" t="s">
        <v>7</v>
      </c>
      <c r="F5" t="s">
        <v>8</v>
      </c>
      <c r="G5" t="s">
        <v>9</v>
      </c>
    </row>
    <row r="9" spans="2:8">
      <c r="B9" t="s">
        <v>10</v>
      </c>
    </row>
    <row r="10" spans="2:8">
      <c r="B10" t="s">
        <v>1</v>
      </c>
      <c r="C10" t="s">
        <v>11</v>
      </c>
      <c r="D10" t="s">
        <v>3</v>
      </c>
      <c r="E10" t="s">
        <v>12</v>
      </c>
      <c r="F10" t="s">
        <v>5</v>
      </c>
      <c r="G10" t="s">
        <v>6</v>
      </c>
      <c r="H10" t="s">
        <v>13</v>
      </c>
    </row>
    <row r="11" spans="2:8">
      <c r="B11" t="s">
        <v>14</v>
      </c>
      <c r="C11" t="s">
        <v>15</v>
      </c>
      <c r="D11" t="s">
        <v>16</v>
      </c>
      <c r="E11" t="s">
        <v>17</v>
      </c>
      <c r="F11">
        <v>4</v>
      </c>
      <c r="G11" t="s">
        <v>9</v>
      </c>
    </row>
    <row r="12" spans="2:8">
      <c r="B12" t="s">
        <v>14</v>
      </c>
      <c r="C12" t="s">
        <v>18</v>
      </c>
      <c r="D12" t="s">
        <v>16</v>
      </c>
      <c r="E12" t="s">
        <v>17</v>
      </c>
      <c r="F12">
        <v>1</v>
      </c>
      <c r="G12" t="str">
        <f>G11</f>
        <v>en*hbatt*, Util_Rep_Batt*</v>
      </c>
    </row>
    <row r="13" spans="2:8">
      <c r="D13" t="s">
        <v>19</v>
      </c>
      <c r="F13">
        <v>3</v>
      </c>
      <c r="G13" t="str">
        <f>G21</f>
        <v>en*hbatt*, Util_Rep_Batt*</v>
      </c>
      <c r="H13">
        <v>2019</v>
      </c>
    </row>
    <row r="14" spans="2:8">
      <c r="D14" t="str">
        <f>D13</f>
        <v>FIXOM</v>
      </c>
      <c r="F14">
        <v>2</v>
      </c>
      <c r="G14" t="str">
        <f>G13</f>
        <v>en*hbatt*, Util_Rep_Batt*</v>
      </c>
      <c r="H14">
        <v>2030</v>
      </c>
    </row>
    <row r="15" spans="2:8">
      <c r="B15" t="s">
        <v>14</v>
      </c>
      <c r="C15" t="s">
        <v>18</v>
      </c>
      <c r="D15" t="s">
        <v>16</v>
      </c>
      <c r="F15">
        <v>0.31</v>
      </c>
      <c r="G15" t="s">
        <v>20</v>
      </c>
    </row>
    <row r="21" spans="4:7">
      <c r="D21" t="s">
        <v>21</v>
      </c>
      <c r="E21" t="s">
        <v>17</v>
      </c>
      <c r="F21" s="20">
        <v>0.5</v>
      </c>
      <c r="G21" t="str">
        <f>G12</f>
        <v>en*hbatt*, Util_Rep_Batt*</v>
      </c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zoomScale="47" zoomScaleNormal="47" workbookViewId="0">
      <selection activeCell="A1" sqref="A1"/>
    </sheetView>
  </sheetViews>
  <sheetFormatPr defaultColWidth="9" defaultRowHeight="14.5"/>
  <sheetData/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.5"/>
  <sheetData/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K11"/>
  <sheetViews>
    <sheetView zoomScale="63" zoomScaleNormal="63" workbookViewId="0">
      <selection activeCell="F8" sqref="F8"/>
    </sheetView>
  </sheetViews>
  <sheetFormatPr defaultColWidth="8.72727272727273" defaultRowHeight="14.5"/>
  <cols>
    <col min="1" max="1" width="25.0909090909091" customWidth="1"/>
    <col min="2" max="2" width="28.7272727272727" customWidth="1"/>
    <col min="4" max="4" width="105.363636363636" customWidth="1"/>
    <col min="5" max="5" width="12.8181818181818" customWidth="1"/>
    <col min="7" max="7" width="13.2727272727273" customWidth="1"/>
    <col min="9" max="9" width="12.4545454545455" customWidth="1"/>
  </cols>
  <sheetData>
    <row r="3" spans="1:11">
      <c r="D3" t="s">
        <v>22</v>
      </c>
    </row>
    <row r="4" ht="16" spans="1:11">
      <c r="A4" s="3"/>
    </row>
    <row r="7" spans="1:11">
      <c r="D7" t="s">
        <v>23</v>
      </c>
    </row>
    <row r="8" spans="1:11">
      <c r="D8" t="s">
        <v>24</v>
      </c>
      <c r="E8" t="s">
        <v>25</v>
      </c>
      <c r="F8" t="s">
        <v>26</v>
      </c>
      <c r="G8" t="s">
        <v>27</v>
      </c>
      <c r="H8" t="s">
        <v>5</v>
      </c>
    </row>
    <row r="9" spans="1:11">
      <c r="D9" t="s">
        <v>28</v>
      </c>
      <c r="E9" t="s">
        <v>29</v>
      </c>
      <c r="F9" t="s">
        <v>30</v>
      </c>
      <c r="G9" t="s">
        <v>31</v>
      </c>
      <c r="H9">
        <v>0.7</v>
      </c>
    </row>
    <row r="10" spans="1:11">
      <c r="D10" t="s">
        <v>28</v>
      </c>
      <c r="E10" t="s">
        <v>29</v>
      </c>
      <c r="F10" t="s">
        <v>30</v>
      </c>
      <c r="G10" t="s">
        <v>32</v>
      </c>
      <c r="H10">
        <v>0.48</v>
      </c>
      <c r="K10" s="19"/>
    </row>
    <row r="11" spans="1:11">
      <c r="K11" s="19"/>
    </row>
  </sheetData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5:N85"/>
  <sheetViews>
    <sheetView zoomScale="111" zoomScaleNormal="111" workbookViewId="0">
      <selection activeCell="N6" sqref="N6"/>
    </sheetView>
  </sheetViews>
  <sheetFormatPr defaultColWidth="8.72727272727273" defaultRowHeight="14.5"/>
  <cols>
    <col min="3" max="3" width="24.1818181818182" customWidth="1"/>
    <col min="4" max="4" width="14.0909090909091" customWidth="1"/>
    <col min="5" max="5" width="10.1818181818182" customWidth="1"/>
  </cols>
  <sheetData>
    <row r="5" spans="2:14">
      <c r="C5" s="6" t="s">
        <v>23</v>
      </c>
      <c r="D5" s="7"/>
      <c r="E5" s="7"/>
      <c r="F5" s="8"/>
    </row>
    <row r="6" spans="2:14">
      <c r="B6" t="s">
        <v>33</v>
      </c>
      <c r="C6" t="s">
        <v>27</v>
      </c>
      <c r="D6" t="s">
        <v>24</v>
      </c>
      <c r="E6" t="s">
        <v>5</v>
      </c>
      <c r="K6" s="9" t="s">
        <v>0</v>
      </c>
    </row>
    <row r="7" spans="2:14">
      <c r="B7" t="s">
        <v>17</v>
      </c>
      <c r="C7" s="7" t="s">
        <v>34</v>
      </c>
      <c r="D7" s="7" t="s">
        <v>35</v>
      </c>
      <c r="E7" s="10">
        <v>10</v>
      </c>
    </row>
    <row r="8" spans="2:14">
      <c r="B8" t="s">
        <v>17</v>
      </c>
      <c r="C8" s="7" t="s">
        <v>36</v>
      </c>
      <c r="D8" s="7" t="s">
        <v>35</v>
      </c>
      <c r="E8" s="10">
        <v>7</v>
      </c>
      <c r="L8" s="7"/>
      <c r="M8" s="7"/>
    </row>
    <row r="9" ht="16" spans="2:14">
      <c r="B9" t="s">
        <v>17</v>
      </c>
      <c r="C9" s="3" t="s">
        <v>37</v>
      </c>
      <c r="D9" s="7" t="s">
        <v>35</v>
      </c>
      <c r="E9" s="10">
        <v>10</v>
      </c>
      <c r="J9" t="s">
        <v>33</v>
      </c>
      <c r="K9" t="s">
        <v>27</v>
      </c>
      <c r="L9" t="s">
        <v>24</v>
      </c>
      <c r="M9" t="s">
        <v>5</v>
      </c>
      <c r="N9" t="s">
        <v>38</v>
      </c>
    </row>
    <row r="10" ht="32" spans="2:14">
      <c r="B10" t="s">
        <v>17</v>
      </c>
      <c r="C10" s="7" t="s">
        <v>39</v>
      </c>
      <c r="D10" s="7" t="s">
        <v>35</v>
      </c>
      <c r="E10" s="10">
        <v>8</v>
      </c>
      <c r="K10" s="11" t="s">
        <v>20</v>
      </c>
      <c r="L10" s="12" t="s">
        <v>40</v>
      </c>
      <c r="M10">
        <v>50</v>
      </c>
      <c r="N10">
        <v>200</v>
      </c>
    </row>
    <row r="11" ht="16" spans="2:14">
      <c r="B11" t="s">
        <v>17</v>
      </c>
      <c r="C11" s="3" t="s">
        <v>31</v>
      </c>
      <c r="D11" s="7" t="s">
        <v>35</v>
      </c>
      <c r="E11" s="7">
        <v>1.5</v>
      </c>
    </row>
    <row r="12" ht="16" spans="2:14">
      <c r="B12" t="s">
        <v>17</v>
      </c>
      <c r="C12" s="3" t="s">
        <v>32</v>
      </c>
      <c r="D12" s="7" t="s">
        <v>35</v>
      </c>
      <c r="E12" s="7">
        <v>1.5</v>
      </c>
    </row>
    <row r="13" spans="2:14">
      <c r="B13" t="s">
        <v>17</v>
      </c>
      <c r="C13" s="8" t="s">
        <v>41</v>
      </c>
      <c r="D13" s="7" t="s">
        <v>35</v>
      </c>
      <c r="E13" s="8">
        <v>2</v>
      </c>
    </row>
    <row r="14" spans="2:14">
      <c r="B14" t="s">
        <v>17</v>
      </c>
      <c r="C14" s="8" t="s">
        <v>42</v>
      </c>
      <c r="D14" s="7" t="s">
        <v>35</v>
      </c>
      <c r="E14" s="8">
        <v>0</v>
      </c>
    </row>
    <row r="15" ht="16" spans="2:14">
      <c r="B15" t="s">
        <v>17</v>
      </c>
      <c r="C15" s="13" t="s">
        <v>43</v>
      </c>
      <c r="D15" s="7" t="s">
        <v>35</v>
      </c>
      <c r="E15" s="8">
        <v>0</v>
      </c>
    </row>
    <row r="16" spans="2:14">
      <c r="B16" t="s">
        <v>17</v>
      </c>
      <c r="C16" s="7" t="s">
        <v>44</v>
      </c>
      <c r="D16" s="7" t="s">
        <v>35</v>
      </c>
      <c r="E16" s="14">
        <v>12</v>
      </c>
    </row>
    <row r="17" spans="2:6">
      <c r="B17" t="s">
        <v>17</v>
      </c>
      <c r="C17" s="7" t="s">
        <v>34</v>
      </c>
      <c r="D17" s="15" t="s">
        <v>45</v>
      </c>
      <c r="E17" s="16">
        <v>0.2</v>
      </c>
      <c r="F17" s="8"/>
    </row>
    <row r="18" spans="2:6">
      <c r="B18" t="s">
        <v>17</v>
      </c>
      <c r="C18" s="7" t="s">
        <v>36</v>
      </c>
      <c r="D18" s="15" t="s">
        <v>45</v>
      </c>
      <c r="E18" s="16">
        <v>0.2</v>
      </c>
      <c r="F18" s="8"/>
    </row>
    <row r="19" ht="16" spans="2:6">
      <c r="B19" t="s">
        <v>17</v>
      </c>
      <c r="C19" s="3" t="s">
        <v>37</v>
      </c>
      <c r="D19" s="15" t="s">
        <v>45</v>
      </c>
      <c r="E19" s="16">
        <v>0.2</v>
      </c>
      <c r="F19" s="8"/>
    </row>
    <row r="20" spans="2:6">
      <c r="B20" t="s">
        <v>17</v>
      </c>
      <c r="C20" s="7" t="s">
        <v>39</v>
      </c>
      <c r="D20" s="15" t="s">
        <v>45</v>
      </c>
      <c r="E20" s="16">
        <v>0.5</v>
      </c>
      <c r="F20" s="8"/>
    </row>
    <row r="21" ht="16" spans="2:6">
      <c r="B21" t="s">
        <v>17</v>
      </c>
      <c r="C21" s="3" t="s">
        <v>31</v>
      </c>
      <c r="D21" s="15" t="s">
        <v>45</v>
      </c>
      <c r="E21" s="16">
        <v>0.8</v>
      </c>
      <c r="F21" s="8"/>
    </row>
    <row r="22" ht="16" spans="2:6">
      <c r="B22" t="s">
        <v>17</v>
      </c>
      <c r="C22" s="3" t="s">
        <v>32</v>
      </c>
      <c r="D22" s="15" t="s">
        <v>45</v>
      </c>
      <c r="E22" s="7"/>
      <c r="F22" s="8"/>
    </row>
    <row r="23" spans="2:6">
      <c r="B23" t="s">
        <v>17</v>
      </c>
      <c r="C23" s="8" t="s">
        <v>41</v>
      </c>
      <c r="D23" s="15" t="s">
        <v>45</v>
      </c>
      <c r="E23" s="8">
        <v>1</v>
      </c>
      <c r="F23" s="8"/>
    </row>
    <row r="24" spans="2:6">
      <c r="B24" t="s">
        <v>17</v>
      </c>
      <c r="C24" s="8" t="s">
        <v>42</v>
      </c>
      <c r="D24" s="15" t="s">
        <v>45</v>
      </c>
      <c r="E24" s="8">
        <v>1</v>
      </c>
      <c r="F24" s="8"/>
    </row>
    <row r="25" ht="16" spans="2:6">
      <c r="B25" t="s">
        <v>17</v>
      </c>
      <c r="C25" s="13" t="s">
        <v>43</v>
      </c>
      <c r="D25" s="15" t="s">
        <v>45</v>
      </c>
      <c r="E25" s="8">
        <v>1</v>
      </c>
      <c r="F25" s="8"/>
    </row>
    <row r="26" spans="2:6">
      <c r="B26" t="s">
        <v>17</v>
      </c>
      <c r="C26" s="7" t="s">
        <v>44</v>
      </c>
      <c r="D26" s="15" t="s">
        <v>45</v>
      </c>
      <c r="E26" s="7">
        <v>0.05</v>
      </c>
      <c r="F26" s="8"/>
    </row>
    <row r="27" spans="2:6">
      <c r="C27" s="7"/>
      <c r="D27" s="7"/>
      <c r="E27" s="7"/>
      <c r="F27" s="8"/>
    </row>
    <row r="28" spans="2:6">
      <c r="C28" s="8"/>
      <c r="D28" s="8"/>
      <c r="E28" s="8"/>
      <c r="F28" s="8"/>
    </row>
    <row r="29" spans="2:6">
      <c r="C29" s="8"/>
      <c r="D29" s="8"/>
      <c r="E29" s="8"/>
      <c r="F29" s="8"/>
    </row>
    <row r="30" spans="2:6">
      <c r="C30" s="8"/>
      <c r="D30" s="8"/>
      <c r="E30" s="8"/>
      <c r="F30" s="8"/>
    </row>
    <row r="31" spans="2:6">
      <c r="C31" s="8"/>
      <c r="D31" s="8"/>
      <c r="E31" s="8"/>
      <c r="F31" s="8"/>
    </row>
    <row r="32" spans="2:6">
      <c r="C32" s="8"/>
      <c r="D32" s="8"/>
      <c r="E32" s="8"/>
      <c r="F32" s="8"/>
    </row>
    <row r="38" spans="3:5">
      <c r="C38" s="17"/>
      <c r="D38" s="17"/>
      <c r="E38" s="17"/>
    </row>
    <row r="54" spans="3:11">
      <c r="C54" s="18" t="s">
        <v>46</v>
      </c>
    </row>
    <row r="56" spans="3:11">
      <c r="D56" s="18"/>
      <c r="E56" s="18"/>
      <c r="F56" s="18"/>
      <c r="G56" s="18"/>
      <c r="H56" s="18"/>
      <c r="I56" s="18"/>
      <c r="J56" s="18"/>
      <c r="K56" s="18"/>
    </row>
    <row r="57" spans="3:11">
      <c r="C57" s="18" t="s">
        <v>47</v>
      </c>
      <c r="D57" s="18" t="s">
        <v>5</v>
      </c>
      <c r="E57" s="18" t="s">
        <v>48</v>
      </c>
      <c r="F57" s="18" t="s">
        <v>49</v>
      </c>
      <c r="G57" s="18" t="s">
        <v>50</v>
      </c>
      <c r="H57" s="18" t="s">
        <v>51</v>
      </c>
      <c r="I57" s="18" t="s">
        <v>52</v>
      </c>
      <c r="J57" s="18" t="s">
        <v>53</v>
      </c>
      <c r="K57" s="18" t="s">
        <v>54</v>
      </c>
    </row>
    <row r="58" spans="3:11">
      <c r="C58" s="18"/>
      <c r="D58" s="18"/>
      <c r="E58" s="18"/>
      <c r="F58" s="18"/>
      <c r="G58" s="18"/>
      <c r="H58" s="18"/>
      <c r="I58" s="18"/>
      <c r="J58" s="18"/>
      <c r="K58" s="18"/>
    </row>
    <row r="59" spans="3:11">
      <c r="C59" s="18"/>
      <c r="D59" s="18"/>
      <c r="E59" s="18"/>
      <c r="F59" s="18"/>
      <c r="G59" s="18"/>
      <c r="H59" s="18"/>
      <c r="I59" s="18"/>
      <c r="J59" s="18"/>
      <c r="K59" s="18"/>
    </row>
    <row r="60" spans="3:11">
      <c r="C60" s="18"/>
      <c r="D60" s="18"/>
      <c r="E60" s="18"/>
      <c r="F60" s="18"/>
      <c r="G60" s="18"/>
      <c r="H60" s="18"/>
      <c r="I60" s="18"/>
      <c r="J60" s="18"/>
      <c r="K60" s="18"/>
    </row>
    <row r="61" spans="3:11">
      <c r="C61" s="18"/>
      <c r="D61" s="18"/>
      <c r="E61" s="18"/>
      <c r="F61" s="18"/>
      <c r="G61" s="18"/>
      <c r="H61" s="18"/>
      <c r="I61" s="18"/>
      <c r="J61" s="18"/>
      <c r="K61" s="18"/>
    </row>
    <row r="62" spans="3:11">
      <c r="C62" s="18"/>
      <c r="D62" s="18"/>
      <c r="E62" s="18"/>
      <c r="F62" s="18"/>
      <c r="G62" s="18"/>
      <c r="H62" s="18"/>
      <c r="I62" s="18"/>
      <c r="J62" s="18"/>
      <c r="K62" s="18"/>
    </row>
    <row r="63" spans="3:11">
      <c r="C63" s="18"/>
      <c r="D63" s="18"/>
      <c r="E63" s="18"/>
      <c r="F63" s="18"/>
      <c r="G63" s="18"/>
      <c r="H63" s="18"/>
      <c r="I63" s="18"/>
      <c r="J63" s="18"/>
      <c r="K63" s="18"/>
    </row>
    <row r="64" spans="3:11">
      <c r="C64" s="18"/>
      <c r="D64" s="18"/>
      <c r="E64" s="18"/>
      <c r="F64" s="18"/>
      <c r="G64" s="18"/>
      <c r="H64" s="18"/>
      <c r="I64" s="18"/>
      <c r="J64" s="18"/>
      <c r="K64" s="18"/>
    </row>
    <row r="65" spans="3:11">
      <c r="C65" s="18"/>
      <c r="D65" s="18"/>
      <c r="E65" s="18"/>
      <c r="F65" s="18"/>
      <c r="G65" s="18"/>
      <c r="H65" s="18"/>
      <c r="I65" s="18"/>
      <c r="J65" s="18"/>
      <c r="K65" s="18"/>
    </row>
    <row r="66" spans="3:11">
      <c r="C66" s="18"/>
      <c r="D66" s="18"/>
      <c r="E66" s="18"/>
      <c r="F66" s="18"/>
      <c r="G66" s="18"/>
      <c r="H66" s="18"/>
      <c r="I66" s="18"/>
      <c r="J66" s="18"/>
      <c r="K66" s="18"/>
    </row>
    <row r="67" spans="3:11">
      <c r="C67" s="18"/>
      <c r="D67" s="18"/>
      <c r="E67" s="18"/>
      <c r="F67" s="18"/>
      <c r="G67" s="18"/>
      <c r="H67" s="18"/>
      <c r="I67" s="18"/>
      <c r="J67" s="18"/>
      <c r="K67" s="18"/>
    </row>
    <row r="68" spans="3:11">
      <c r="C68" s="18"/>
      <c r="D68" s="18"/>
      <c r="E68" s="18"/>
      <c r="F68" s="18"/>
      <c r="G68" s="18"/>
      <c r="H68" s="18"/>
      <c r="I68" s="18"/>
      <c r="J68" s="18"/>
      <c r="K68" s="18"/>
    </row>
    <row r="69" spans="3:11">
      <c r="C69" s="18"/>
      <c r="D69" s="18"/>
      <c r="E69" s="18"/>
      <c r="F69" s="18"/>
      <c r="G69" s="18"/>
      <c r="H69" s="18"/>
      <c r="I69" s="18"/>
      <c r="J69" s="18"/>
      <c r="K69" s="18"/>
    </row>
    <row r="70" spans="3:11">
      <c r="C70" s="18"/>
      <c r="D70" s="18"/>
      <c r="E70" s="18"/>
      <c r="F70" s="18"/>
      <c r="G70" s="18"/>
      <c r="H70" s="18"/>
      <c r="I70" s="18"/>
      <c r="J70" s="18"/>
      <c r="K70" s="18"/>
    </row>
    <row r="71" spans="3:11">
      <c r="C71" s="18"/>
      <c r="D71" s="18"/>
      <c r="E71" s="18"/>
      <c r="F71" s="18"/>
      <c r="G71" s="18"/>
      <c r="H71" s="18"/>
      <c r="I71" s="18"/>
      <c r="J71" s="18"/>
      <c r="K71" s="18"/>
    </row>
    <row r="72" spans="3:11">
      <c r="C72" s="18"/>
      <c r="D72" s="18"/>
      <c r="E72" s="18"/>
      <c r="F72" s="18"/>
      <c r="G72" s="18"/>
      <c r="H72" s="18"/>
      <c r="I72" s="18"/>
      <c r="J72" s="18"/>
      <c r="K72" s="18"/>
    </row>
    <row r="73" spans="3:11">
      <c r="C73" s="18"/>
      <c r="D73" s="18"/>
      <c r="E73" s="18"/>
      <c r="F73" s="18"/>
      <c r="G73" s="18"/>
      <c r="H73" s="18"/>
      <c r="I73" s="18"/>
      <c r="J73" s="18"/>
      <c r="K73" s="18"/>
    </row>
    <row r="74" spans="3:11">
      <c r="C74" s="18"/>
      <c r="D74" s="18"/>
      <c r="E74" s="18"/>
      <c r="F74" s="18"/>
      <c r="G74" s="18"/>
      <c r="H74" s="18"/>
      <c r="I74" s="18"/>
      <c r="J74" s="18"/>
      <c r="K74" s="18"/>
    </row>
    <row r="75" spans="3:11">
      <c r="C75" s="18"/>
      <c r="D75" s="18"/>
      <c r="E75" s="18"/>
      <c r="F75" s="18"/>
      <c r="G75" s="18"/>
      <c r="H75" s="18"/>
      <c r="I75" s="18"/>
      <c r="J75" s="18"/>
      <c r="K75" s="18"/>
    </row>
    <row r="76" spans="3:11">
      <c r="C76" s="18"/>
      <c r="D76" s="18"/>
      <c r="E76" s="18"/>
      <c r="F76" s="18"/>
      <c r="G76" s="18"/>
      <c r="H76" s="18"/>
      <c r="I76" s="18"/>
      <c r="J76" s="18"/>
      <c r="K76" s="18"/>
    </row>
    <row r="77" spans="3:11">
      <c r="C77" s="18"/>
      <c r="D77" s="18"/>
      <c r="E77" s="18"/>
      <c r="F77" s="18"/>
      <c r="G77" s="18"/>
      <c r="H77" s="18"/>
      <c r="I77" s="18"/>
      <c r="J77" s="18"/>
      <c r="K77" s="18"/>
    </row>
    <row r="78" spans="3:11">
      <c r="C78" s="18"/>
      <c r="D78" s="18"/>
      <c r="E78" s="18"/>
      <c r="F78" s="18"/>
      <c r="G78" s="18"/>
      <c r="H78" s="18"/>
      <c r="I78" s="18"/>
      <c r="J78" s="18"/>
      <c r="K78" s="18"/>
    </row>
    <row r="79" spans="3:11">
      <c r="C79" s="18"/>
      <c r="D79" s="18"/>
      <c r="E79" s="18"/>
      <c r="F79" s="18"/>
      <c r="G79" s="18"/>
      <c r="H79" s="18"/>
      <c r="I79" s="18"/>
      <c r="J79" s="18"/>
      <c r="K79" s="18"/>
    </row>
    <row r="80" spans="3:11">
      <c r="C80" s="18"/>
      <c r="D80" s="18"/>
      <c r="E80" s="18"/>
      <c r="F80" s="18"/>
      <c r="G80" s="18"/>
      <c r="H80" s="18"/>
      <c r="I80" s="18"/>
      <c r="J80" s="18"/>
      <c r="K80" s="18"/>
    </row>
    <row r="81" spans="3:11">
      <c r="C81" s="18"/>
      <c r="D81" s="18"/>
      <c r="E81" s="18"/>
      <c r="F81" s="18"/>
      <c r="G81" s="18"/>
      <c r="H81" s="18"/>
      <c r="I81" s="18"/>
      <c r="J81" s="18"/>
      <c r="K81" s="18"/>
    </row>
    <row r="82" spans="3:11">
      <c r="C82" s="18"/>
      <c r="D82" s="18"/>
      <c r="E82" s="18"/>
      <c r="F82" s="18"/>
      <c r="G82" s="18"/>
      <c r="H82" s="18"/>
      <c r="I82" s="18"/>
      <c r="J82" s="18"/>
      <c r="K82" s="18"/>
    </row>
    <row r="83" spans="3:11">
      <c r="C83" s="18"/>
      <c r="D83" s="18"/>
      <c r="E83" s="18"/>
      <c r="F83" s="18"/>
      <c r="G83" s="18"/>
      <c r="H83" s="18"/>
      <c r="I83" s="18"/>
      <c r="J83" s="18"/>
      <c r="K83" s="18"/>
    </row>
    <row r="84" spans="3:11">
      <c r="C84" s="18" t="s">
        <v>55</v>
      </c>
      <c r="D84" s="18">
        <v>1</v>
      </c>
      <c r="E84" s="18"/>
      <c r="F84" s="18"/>
      <c r="G84" s="18"/>
      <c r="H84" s="18"/>
      <c r="I84" s="18"/>
      <c r="J84" s="18"/>
      <c r="K84" s="18"/>
    </row>
    <row r="85" spans="3:11">
      <c r="C85" s="18"/>
      <c r="D85" s="18"/>
      <c r="E85" s="18"/>
      <c r="F85" s="18"/>
      <c r="G85" s="18"/>
      <c r="H85" s="18"/>
      <c r="I85" s="18"/>
      <c r="J85" s="18"/>
      <c r="K85" s="18"/>
    </row>
  </sheetData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N50"/>
  <sheetViews>
    <sheetView tabSelected="1" zoomScale="73" zoomScaleNormal="73" topLeftCell="C17" workbookViewId="0">
      <selection activeCell="G26" sqref="G26"/>
    </sheetView>
  </sheetViews>
  <sheetFormatPr defaultColWidth="8.72727272727273" defaultRowHeight="14.5"/>
  <cols>
    <col min="4" max="4" width="27.1636363636364" customWidth="1"/>
    <col min="6" max="6" width="31.9090909090909" customWidth="1"/>
    <col min="7" max="7" width="19.5272727272727" customWidth="1"/>
    <col min="8" max="8" width="16.7545454545455" customWidth="1"/>
    <col min="9" max="10" width="8.72727272727273" customWidth="1"/>
    <col min="11" max="11" width="12.8181818181818" customWidth="1"/>
    <col min="12" max="12" width="10.1818181818182" customWidth="1"/>
    <col min="13" max="13" width="12.3636363636364" customWidth="1"/>
  </cols>
  <sheetData>
    <row r="2" spans="2:14">
      <c r="B2" t="s">
        <v>56</v>
      </c>
    </row>
    <row r="3" spans="2:14">
      <c r="B3" t="s">
        <v>57</v>
      </c>
    </row>
    <row r="4" spans="2:14">
      <c r="H4" t="s">
        <v>58</v>
      </c>
    </row>
    <row r="8" spans="2:14">
      <c r="D8" s="1" t="s">
        <v>59</v>
      </c>
      <c r="E8" s="1" t="s">
        <v>60</v>
      </c>
      <c r="F8" s="1" t="s">
        <v>6</v>
      </c>
      <c r="G8" s="1" t="s">
        <v>61</v>
      </c>
      <c r="H8" s="1" t="s">
        <v>4</v>
      </c>
      <c r="I8" s="1" t="s">
        <v>2</v>
      </c>
      <c r="J8" s="1" t="s">
        <v>62</v>
      </c>
      <c r="K8" s="1" t="s">
        <v>63</v>
      </c>
      <c r="L8" s="1" t="s">
        <v>64</v>
      </c>
      <c r="M8" s="1" t="s">
        <v>65</v>
      </c>
      <c r="N8" s="1" t="s">
        <v>66</v>
      </c>
    </row>
    <row r="9" spans="2:14">
      <c r="D9" s="2" t="s">
        <v>67</v>
      </c>
      <c r="F9" s="2" t="s">
        <v>68</v>
      </c>
      <c r="G9" s="2" t="s">
        <v>69</v>
      </c>
      <c r="H9" s="2" t="s">
        <v>70</v>
      </c>
      <c r="I9" s="2" t="s">
        <v>71</v>
      </c>
      <c r="J9">
        <v>1</v>
      </c>
      <c r="K9" s="2">
        <v>1.25</v>
      </c>
      <c r="L9">
        <v>0.05</v>
      </c>
      <c r="M9" s="2">
        <v>1</v>
      </c>
      <c r="N9" s="2"/>
    </row>
    <row r="10" spans="2:14">
      <c r="D10" s="2" t="s">
        <v>72</v>
      </c>
      <c r="F10" s="2" t="s">
        <v>73</v>
      </c>
      <c r="G10" s="2" t="s">
        <v>69</v>
      </c>
      <c r="H10" s="2" t="s">
        <v>70</v>
      </c>
      <c r="I10" s="2" t="s">
        <v>71</v>
      </c>
      <c r="J10">
        <v>1</v>
      </c>
      <c r="K10" s="2">
        <v>1.11</v>
      </c>
      <c r="L10">
        <v>0.05</v>
      </c>
      <c r="M10" s="2">
        <v>1</v>
      </c>
      <c r="N10" s="2"/>
    </row>
    <row r="11" spans="2:14">
      <c r="D11" s="2" t="s">
        <v>74</v>
      </c>
      <c r="F11" s="2" t="s">
        <v>75</v>
      </c>
      <c r="G11" s="2" t="s">
        <v>69</v>
      </c>
      <c r="H11" s="2" t="s">
        <v>70</v>
      </c>
      <c r="I11" s="2" t="s">
        <v>71</v>
      </c>
      <c r="J11">
        <v>1</v>
      </c>
      <c r="K11" s="2">
        <v>1.15</v>
      </c>
      <c r="L11">
        <v>0.08</v>
      </c>
      <c r="M11" s="2">
        <v>1</v>
      </c>
      <c r="N11" s="2"/>
    </row>
    <row r="12" ht="16" spans="2:14">
      <c r="D12" s="2" t="s">
        <v>76</v>
      </c>
      <c r="F12" s="3" t="s">
        <v>77</v>
      </c>
      <c r="G12" s="2" t="s">
        <v>69</v>
      </c>
      <c r="H12" s="2" t="s">
        <v>70</v>
      </c>
      <c r="I12" s="2" t="s">
        <v>71</v>
      </c>
      <c r="J12">
        <v>1</v>
      </c>
      <c r="K12" s="2">
        <v>1.12</v>
      </c>
      <c r="L12">
        <v>0.03</v>
      </c>
      <c r="M12" s="2">
        <v>1</v>
      </c>
      <c r="N12" s="2"/>
    </row>
    <row r="13" spans="2:14">
      <c r="D13" s="2" t="s">
        <v>78</v>
      </c>
      <c r="F13" s="2" t="s">
        <v>79</v>
      </c>
      <c r="G13" s="2" t="s">
        <v>69</v>
      </c>
      <c r="H13" s="2" t="s">
        <v>70</v>
      </c>
      <c r="I13" s="2" t="s">
        <v>71</v>
      </c>
      <c r="J13">
        <v>1</v>
      </c>
      <c r="K13" s="2">
        <v>1.2</v>
      </c>
      <c r="L13">
        <v>0.1</v>
      </c>
      <c r="M13" s="2">
        <v>1</v>
      </c>
      <c r="N13" s="2"/>
    </row>
    <row r="14" spans="2:14">
      <c r="D14" s="2" t="s">
        <v>80</v>
      </c>
      <c r="F14" s="2" t="s">
        <v>81</v>
      </c>
      <c r="G14" s="2" t="s">
        <v>69</v>
      </c>
      <c r="H14" s="2" t="s">
        <v>70</v>
      </c>
      <c r="I14" s="2" t="s">
        <v>71</v>
      </c>
      <c r="J14">
        <v>1</v>
      </c>
      <c r="K14" s="2">
        <v>1.06</v>
      </c>
      <c r="L14">
        <v>0.15</v>
      </c>
      <c r="M14" s="2">
        <v>1</v>
      </c>
      <c r="N14" s="2"/>
    </row>
    <row r="15" spans="2:14">
      <c r="D15" s="2" t="s">
        <v>82</v>
      </c>
      <c r="F15" s="2" t="s">
        <v>83</v>
      </c>
      <c r="G15" s="2" t="s">
        <v>69</v>
      </c>
      <c r="H15" s="2" t="s">
        <v>70</v>
      </c>
      <c r="I15" s="2" t="s">
        <v>71</v>
      </c>
      <c r="J15">
        <v>1</v>
      </c>
      <c r="K15" s="2">
        <v>1.06</v>
      </c>
      <c r="L15">
        <v>0.3</v>
      </c>
      <c r="M15" s="2">
        <v>1</v>
      </c>
      <c r="N15" s="2"/>
    </row>
    <row r="16" ht="16" spans="2:14">
      <c r="D16" s="2" t="s">
        <v>84</v>
      </c>
      <c r="F16" s="3" t="s">
        <v>85</v>
      </c>
      <c r="G16" t="str">
        <f>G15</f>
        <v>CAP,GROWTH</v>
      </c>
      <c r="H16" t="str">
        <f>H15</f>
        <v>2025, 2150</v>
      </c>
      <c r="I16" s="2" t="s">
        <v>71</v>
      </c>
      <c r="J16">
        <f t="shared" ref="J16:L16" si="0">J12</f>
        <v>1</v>
      </c>
      <c r="K16">
        <f t="shared" si="0"/>
        <v>1.12</v>
      </c>
      <c r="L16">
        <f t="shared" si="0"/>
        <v>0.03</v>
      </c>
      <c r="M16">
        <f>M15</f>
        <v>1</v>
      </c>
    </row>
    <row r="17" ht="16" spans="4:14">
      <c r="D17" s="2" t="s">
        <v>86</v>
      </c>
      <c r="F17" s="3" t="s">
        <v>87</v>
      </c>
      <c r="G17" t="str">
        <f t="shared" ref="G17:M17" si="1">G16</f>
        <v>CAP,GROWTH</v>
      </c>
      <c r="H17" t="str">
        <f t="shared" si="1"/>
        <v>2025, 2150</v>
      </c>
      <c r="I17" s="2" t="s">
        <v>71</v>
      </c>
      <c r="J17">
        <f t="shared" si="1"/>
        <v>1</v>
      </c>
      <c r="K17">
        <f t="shared" si="1"/>
        <v>1.12</v>
      </c>
      <c r="L17">
        <f t="shared" si="1"/>
        <v>0.03</v>
      </c>
      <c r="M17">
        <f t="shared" si="1"/>
        <v>1</v>
      </c>
    </row>
    <row r="18" ht="16" spans="4:14">
      <c r="D18" s="2" t="s">
        <v>88</v>
      </c>
      <c r="F18" s="3" t="s">
        <v>89</v>
      </c>
      <c r="G18" t="str">
        <f>G17</f>
        <v>CAP,GROWTH</v>
      </c>
      <c r="H18" t="str">
        <f>H17</f>
        <v>2025, 2150</v>
      </c>
      <c r="I18" s="2" t="s">
        <v>71</v>
      </c>
      <c r="J18">
        <v>1</v>
      </c>
      <c r="K18">
        <v>1</v>
      </c>
      <c r="L18">
        <v>0</v>
      </c>
      <c r="M18">
        <v>1</v>
      </c>
    </row>
    <row r="28" spans="4:14">
      <c r="H28" t="s">
        <v>58</v>
      </c>
    </row>
    <row r="29" spans="4:14">
      <c r="D29" t="s">
        <v>59</v>
      </c>
      <c r="E29" t="s">
        <v>60</v>
      </c>
      <c r="F29" t="s">
        <v>6</v>
      </c>
      <c r="G29" t="s">
        <v>61</v>
      </c>
      <c r="H29" t="s">
        <v>4</v>
      </c>
      <c r="I29" t="s">
        <v>2</v>
      </c>
      <c r="J29" t="s">
        <v>62</v>
      </c>
      <c r="K29" t="s">
        <v>63</v>
      </c>
      <c r="L29" t="s">
        <v>64</v>
      </c>
      <c r="M29" t="s">
        <v>65</v>
      </c>
      <c r="N29" t="s">
        <v>66</v>
      </c>
    </row>
    <row r="30" spans="4:14">
      <c r="D30" t="s">
        <v>90</v>
      </c>
      <c r="F30" s="4" t="s">
        <v>91</v>
      </c>
      <c r="G30" t="s">
        <v>69</v>
      </c>
      <c r="H30" t="s">
        <v>70</v>
      </c>
      <c r="I30" t="s">
        <v>92</v>
      </c>
      <c r="J30">
        <v>1</v>
      </c>
      <c r="K30">
        <v>1</v>
      </c>
      <c r="L30">
        <v>0.01</v>
      </c>
      <c r="M30">
        <v>1</v>
      </c>
    </row>
    <row r="31" spans="4:14">
      <c r="D31" t="s">
        <v>93</v>
      </c>
      <c r="F31" s="4" t="s">
        <v>94</v>
      </c>
      <c r="G31" t="s">
        <v>69</v>
      </c>
      <c r="H31" t="s">
        <v>70</v>
      </c>
      <c r="I31" t="s">
        <v>92</v>
      </c>
      <c r="J31">
        <v>1</v>
      </c>
      <c r="K31">
        <v>1</v>
      </c>
      <c r="L31">
        <f>L30</f>
        <v>0.01</v>
      </c>
      <c r="M31">
        <v>1</v>
      </c>
    </row>
    <row r="32" spans="4:14">
      <c r="D32" t="s">
        <v>95</v>
      </c>
      <c r="F32" s="4" t="s">
        <v>96</v>
      </c>
      <c r="G32" t="s">
        <v>69</v>
      </c>
      <c r="H32" t="s">
        <v>70</v>
      </c>
      <c r="I32" t="s">
        <v>92</v>
      </c>
      <c r="J32">
        <v>1</v>
      </c>
      <c r="K32">
        <v>1</v>
      </c>
      <c r="L32">
        <f t="shared" ref="L32:L50" si="2">L31</f>
        <v>0.01</v>
      </c>
      <c r="M32">
        <v>1</v>
      </c>
    </row>
    <row r="33" spans="4:13">
      <c r="D33" t="s">
        <v>97</v>
      </c>
      <c r="F33" s="4" t="s">
        <v>98</v>
      </c>
      <c r="G33" t="s">
        <v>69</v>
      </c>
      <c r="H33" t="s">
        <v>70</v>
      </c>
      <c r="I33" t="s">
        <v>92</v>
      </c>
      <c r="J33">
        <v>1</v>
      </c>
      <c r="K33">
        <f t="shared" ref="K32:K50" si="3">K32</f>
        <v>1</v>
      </c>
      <c r="L33">
        <f t="shared" si="2"/>
        <v>0.01</v>
      </c>
      <c r="M33">
        <v>1</v>
      </c>
    </row>
    <row r="34" spans="4:13">
      <c r="D34" t="s">
        <v>99</v>
      </c>
      <c r="F34" s="4" t="s">
        <v>100</v>
      </c>
      <c r="G34" t="s">
        <v>69</v>
      </c>
      <c r="H34" t="s">
        <v>70</v>
      </c>
      <c r="I34" t="s">
        <v>92</v>
      </c>
      <c r="J34">
        <v>1</v>
      </c>
      <c r="K34">
        <f t="shared" si="3"/>
        <v>1</v>
      </c>
      <c r="L34">
        <f t="shared" si="2"/>
        <v>0.01</v>
      </c>
      <c r="M34">
        <v>1</v>
      </c>
    </row>
    <row r="35" spans="4:13">
      <c r="D35" t="s">
        <v>101</v>
      </c>
      <c r="F35" s="4" t="s">
        <v>102</v>
      </c>
      <c r="G35" t="s">
        <v>69</v>
      </c>
      <c r="H35" t="s">
        <v>70</v>
      </c>
      <c r="I35" t="s">
        <v>92</v>
      </c>
      <c r="J35">
        <v>1</v>
      </c>
      <c r="K35">
        <f t="shared" si="3"/>
        <v>1</v>
      </c>
      <c r="L35">
        <f t="shared" si="2"/>
        <v>0.01</v>
      </c>
      <c r="M35">
        <v>1</v>
      </c>
    </row>
    <row r="36" spans="4:13">
      <c r="D36" t="s">
        <v>103</v>
      </c>
      <c r="F36" s="4" t="s">
        <v>104</v>
      </c>
      <c r="G36" t="s">
        <v>69</v>
      </c>
      <c r="H36" t="s">
        <v>70</v>
      </c>
      <c r="I36" t="s">
        <v>92</v>
      </c>
      <c r="J36">
        <v>1</v>
      </c>
      <c r="K36">
        <f t="shared" si="3"/>
        <v>1</v>
      </c>
      <c r="L36">
        <f t="shared" si="2"/>
        <v>0.01</v>
      </c>
      <c r="M36">
        <v>1</v>
      </c>
    </row>
    <row r="37" spans="4:13">
      <c r="D37" t="s">
        <v>105</v>
      </c>
      <c r="F37" s="4" t="s">
        <v>106</v>
      </c>
      <c r="G37" t="s">
        <v>69</v>
      </c>
      <c r="H37" t="s">
        <v>70</v>
      </c>
      <c r="I37" t="s">
        <v>92</v>
      </c>
      <c r="J37">
        <v>1</v>
      </c>
      <c r="K37">
        <f t="shared" si="3"/>
        <v>1</v>
      </c>
      <c r="L37">
        <f t="shared" si="2"/>
        <v>0.01</v>
      </c>
      <c r="M37">
        <v>1</v>
      </c>
    </row>
    <row r="38" spans="4:13">
      <c r="D38" t="s">
        <v>107</v>
      </c>
      <c r="F38" s="4" t="s">
        <v>108</v>
      </c>
      <c r="G38" t="s">
        <v>69</v>
      </c>
      <c r="H38" t="s">
        <v>70</v>
      </c>
      <c r="I38" t="s">
        <v>92</v>
      </c>
      <c r="J38">
        <v>1</v>
      </c>
      <c r="K38">
        <f t="shared" si="3"/>
        <v>1</v>
      </c>
      <c r="L38">
        <f t="shared" si="2"/>
        <v>0.01</v>
      </c>
      <c r="M38">
        <v>1</v>
      </c>
    </row>
    <row r="39" spans="4:13">
      <c r="D39" t="s">
        <v>109</v>
      </c>
      <c r="F39" s="4" t="s">
        <v>110</v>
      </c>
      <c r="G39" t="s">
        <v>69</v>
      </c>
      <c r="H39" t="s">
        <v>70</v>
      </c>
      <c r="I39" t="s">
        <v>92</v>
      </c>
      <c r="J39">
        <v>1</v>
      </c>
      <c r="K39">
        <f t="shared" si="3"/>
        <v>1</v>
      </c>
      <c r="L39">
        <f t="shared" si="2"/>
        <v>0.01</v>
      </c>
      <c r="M39">
        <v>1</v>
      </c>
    </row>
    <row r="40" spans="4:13">
      <c r="D40" t="s">
        <v>111</v>
      </c>
      <c r="F40" s="4" t="s">
        <v>112</v>
      </c>
      <c r="G40" t="s">
        <v>69</v>
      </c>
      <c r="H40" t="str">
        <f t="shared" ref="H40:M40" si="4">H39</f>
        <v>2025, 2150</v>
      </c>
      <c r="I40" t="s">
        <v>92</v>
      </c>
      <c r="J40">
        <f t="shared" si="4"/>
        <v>1</v>
      </c>
      <c r="K40">
        <f t="shared" si="3"/>
        <v>1</v>
      </c>
      <c r="L40">
        <f t="shared" si="2"/>
        <v>0.01</v>
      </c>
      <c r="M40">
        <f t="shared" si="4"/>
        <v>1</v>
      </c>
    </row>
    <row r="41" spans="4:13">
      <c r="D41" t="s">
        <v>113</v>
      </c>
      <c r="F41" s="4" t="s">
        <v>114</v>
      </c>
      <c r="G41" t="s">
        <v>69</v>
      </c>
      <c r="H41" t="str">
        <f t="shared" ref="H41:M41" si="5">H40</f>
        <v>2025, 2150</v>
      </c>
      <c r="I41" t="s">
        <v>92</v>
      </c>
      <c r="J41">
        <f t="shared" si="5"/>
        <v>1</v>
      </c>
      <c r="K41">
        <f t="shared" si="3"/>
        <v>1</v>
      </c>
      <c r="L41">
        <f t="shared" si="2"/>
        <v>0.01</v>
      </c>
      <c r="M41">
        <f t="shared" si="5"/>
        <v>1</v>
      </c>
    </row>
    <row r="42" spans="4:13">
      <c r="D42" t="s">
        <v>115</v>
      </c>
      <c r="F42" s="4" t="s">
        <v>116</v>
      </c>
      <c r="G42" t="s">
        <v>69</v>
      </c>
      <c r="H42" t="str">
        <f t="shared" ref="H42:M42" si="6">H41</f>
        <v>2025, 2150</v>
      </c>
      <c r="I42" t="s">
        <v>92</v>
      </c>
      <c r="J42">
        <f t="shared" si="6"/>
        <v>1</v>
      </c>
      <c r="K42">
        <f t="shared" si="3"/>
        <v>1</v>
      </c>
      <c r="L42">
        <f t="shared" si="2"/>
        <v>0.01</v>
      </c>
      <c r="M42">
        <f t="shared" si="6"/>
        <v>1</v>
      </c>
    </row>
    <row r="43" spans="4:13">
      <c r="D43" t="s">
        <v>117</v>
      </c>
      <c r="F43" s="4" t="s">
        <v>118</v>
      </c>
      <c r="G43" t="s">
        <v>69</v>
      </c>
      <c r="H43" t="str">
        <f t="shared" ref="H43:M43" si="7">H42</f>
        <v>2025, 2150</v>
      </c>
      <c r="I43" t="s">
        <v>92</v>
      </c>
      <c r="J43">
        <f t="shared" si="7"/>
        <v>1</v>
      </c>
      <c r="K43">
        <f t="shared" si="3"/>
        <v>1</v>
      </c>
      <c r="L43">
        <f t="shared" si="2"/>
        <v>0.01</v>
      </c>
      <c r="M43">
        <f t="shared" si="7"/>
        <v>1</v>
      </c>
    </row>
    <row r="44" spans="4:13">
      <c r="D44" t="s">
        <v>119</v>
      </c>
      <c r="F44" s="4" t="s">
        <v>120</v>
      </c>
      <c r="G44" t="s">
        <v>69</v>
      </c>
      <c r="H44" t="str">
        <f t="shared" ref="H44:M44" si="8">H43</f>
        <v>2025, 2150</v>
      </c>
      <c r="I44" t="s">
        <v>92</v>
      </c>
      <c r="J44">
        <f t="shared" si="8"/>
        <v>1</v>
      </c>
      <c r="K44">
        <f t="shared" si="3"/>
        <v>1</v>
      </c>
      <c r="L44">
        <f t="shared" si="2"/>
        <v>0.01</v>
      </c>
      <c r="M44">
        <f t="shared" si="8"/>
        <v>1</v>
      </c>
    </row>
    <row r="45" spans="4:13">
      <c r="D45" t="s">
        <v>121</v>
      </c>
      <c r="F45" s="4" t="s">
        <v>122</v>
      </c>
      <c r="G45" t="s">
        <v>69</v>
      </c>
      <c r="H45" t="str">
        <f t="shared" ref="H45:M45" si="9">H44</f>
        <v>2025, 2150</v>
      </c>
      <c r="I45" t="s">
        <v>92</v>
      </c>
      <c r="J45">
        <f t="shared" si="9"/>
        <v>1</v>
      </c>
      <c r="K45">
        <f t="shared" si="3"/>
        <v>1</v>
      </c>
      <c r="L45">
        <f t="shared" si="2"/>
        <v>0.01</v>
      </c>
      <c r="M45">
        <f t="shared" si="9"/>
        <v>1</v>
      </c>
    </row>
    <row r="46" spans="4:13">
      <c r="D46" t="s">
        <v>123</v>
      </c>
      <c r="F46" s="4" t="s">
        <v>124</v>
      </c>
      <c r="G46" t="s">
        <v>69</v>
      </c>
      <c r="H46" t="str">
        <f t="shared" ref="H46:M46" si="10">H45</f>
        <v>2025, 2150</v>
      </c>
      <c r="I46" t="s">
        <v>92</v>
      </c>
      <c r="J46">
        <f t="shared" si="10"/>
        <v>1</v>
      </c>
      <c r="K46">
        <f t="shared" si="3"/>
        <v>1</v>
      </c>
      <c r="L46">
        <f t="shared" si="2"/>
        <v>0.01</v>
      </c>
      <c r="M46">
        <f t="shared" si="10"/>
        <v>1</v>
      </c>
    </row>
    <row r="47" spans="4:13">
      <c r="D47" t="s">
        <v>125</v>
      </c>
      <c r="F47" s="4" t="s">
        <v>126</v>
      </c>
      <c r="G47" t="s">
        <v>69</v>
      </c>
      <c r="H47" t="str">
        <f t="shared" ref="H47:M47" si="11">H46</f>
        <v>2025, 2150</v>
      </c>
      <c r="I47" t="s">
        <v>92</v>
      </c>
      <c r="J47">
        <f t="shared" si="11"/>
        <v>1</v>
      </c>
      <c r="K47">
        <f t="shared" si="3"/>
        <v>1</v>
      </c>
      <c r="L47">
        <f t="shared" si="2"/>
        <v>0.01</v>
      </c>
      <c r="M47">
        <f t="shared" si="11"/>
        <v>1</v>
      </c>
    </row>
    <row r="48" spans="4:13">
      <c r="D48" t="s">
        <v>127</v>
      </c>
      <c r="F48" s="4" t="s">
        <v>128</v>
      </c>
      <c r="G48" t="s">
        <v>69</v>
      </c>
      <c r="H48" t="str">
        <f t="shared" ref="H48:M48" si="12">H47</f>
        <v>2025, 2150</v>
      </c>
      <c r="I48" t="s">
        <v>92</v>
      </c>
      <c r="J48">
        <f t="shared" si="12"/>
        <v>1</v>
      </c>
      <c r="K48">
        <f t="shared" si="3"/>
        <v>1</v>
      </c>
      <c r="L48">
        <f t="shared" si="2"/>
        <v>0.01</v>
      </c>
      <c r="M48">
        <f t="shared" si="12"/>
        <v>1</v>
      </c>
    </row>
    <row r="49" spans="4:13">
      <c r="D49" t="s">
        <v>129</v>
      </c>
      <c r="F49" s="4" t="s">
        <v>130</v>
      </c>
      <c r="G49" t="s">
        <v>69</v>
      </c>
      <c r="H49" t="str">
        <f t="shared" ref="H49:M49" si="13">H48</f>
        <v>2025, 2150</v>
      </c>
      <c r="I49" t="s">
        <v>92</v>
      </c>
      <c r="J49">
        <f t="shared" si="13"/>
        <v>1</v>
      </c>
      <c r="K49">
        <f t="shared" si="3"/>
        <v>1</v>
      </c>
      <c r="L49">
        <f t="shared" si="2"/>
        <v>0.01</v>
      </c>
      <c r="M49">
        <f t="shared" si="13"/>
        <v>1</v>
      </c>
    </row>
    <row r="50" spans="4:13">
      <c r="D50" t="s">
        <v>131</v>
      </c>
      <c r="F50" s="5" t="s">
        <v>132</v>
      </c>
      <c r="G50" t="s">
        <v>69</v>
      </c>
      <c r="H50" t="str">
        <f t="shared" ref="H50:M50" si="14">H49</f>
        <v>2025, 2150</v>
      </c>
      <c r="I50" t="s">
        <v>92</v>
      </c>
      <c r="J50">
        <f t="shared" si="14"/>
        <v>1</v>
      </c>
      <c r="K50">
        <f t="shared" si="3"/>
        <v>1</v>
      </c>
      <c r="L50">
        <f t="shared" si="2"/>
        <v>0.01</v>
      </c>
      <c r="M50">
        <f t="shared" si="14"/>
        <v>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KanORS</Company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INS</vt:lpstr>
      <vt:lpstr>Sheet8</vt:lpstr>
      <vt:lpstr>Sheet9</vt:lpstr>
      <vt:lpstr>ROR_has_no_regulation_cap</vt:lpstr>
      <vt:lpstr>Ramp_rate_constraints</vt:lpstr>
      <vt:lpstr>Growth_rate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2009-05-27T15:40:00Z</dcterms:created>
  <dcterms:modified xsi:type="dcterms:W3CDTF">2026-09-18T04:48:27Z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975490756116480</vt:r8>
  </property>
  <property fmtid="{D5CDD505-2E9C-101B-9397-08002B2CF9AE}" pid="3" name="ICV">
    <vt:lpwstr>04EFFCDBBFCF49ECA237DEFC84B72D4A_13</vt:lpwstr>
  </property>
  <property fmtid="{D5CDD505-2E9C-101B-9397-08002B2CF9AE}" pid="4" name="KSOProductBuildVer">
    <vt:lpwstr>1033-12.1.0.28485</vt:lpwstr>
  </property>
  <property fmtid="{D5CDD505-2E9C-101B-9397-08002B2CF9AE}" pid="5" name="CalculationRule">
    <vt:i4>0</vt:i4>
  </property>
</Properties>
</file>