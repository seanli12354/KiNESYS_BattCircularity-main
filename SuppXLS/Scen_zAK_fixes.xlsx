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8"/>
  </bookViews>
  <sheets>
    <sheet name="INS" sheetId="1" state="visible" r:id="rId3"/>
    <sheet name="Sheet8" sheetId="2" state="visible" r:id="rId4"/>
    <sheet name="Sheet9" sheetId="3" state="visible" r:id="rId5"/>
    <sheet name="ROR_has_no_regulation_cap" sheetId="4" state="visible" r:id="rId6"/>
    <sheet name="Ramp_rate_constraints" sheetId="5" state="visible" r:id="rId7"/>
    <sheet name="Peak_demand_limit_battery" sheetId="6" state="visible" r:id="rId8"/>
    <sheet name="Growth_rate" sheetId="7" state="visible" r:id="rId9"/>
    <sheet name="util_limit" sheetId="8" state="visible" r:id="rId10"/>
    <sheet name="Elc_limit" sheetId="9" state="visible" r:id="rId11"/>
  </sheets>
  <definedNames>
    <definedName function="false" hidden="true" name="IQ_FWD_Q" vbProcedure="false">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xli9: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sz val="10"/>
            <rFont val="Arial"/>
            <family val="2"/>
          </rPr>
          <t xml:space="preserve">xli9:
refer to *https://www.pnnl.gov/sites/default/files/media/file/ESGC%20Cost%20Performance%20Report%202022%20PNNL-33283.pdf</t>
        </r>
      </text>
    </comment>
    <comment ref="F15" authorId="0">
      <text>
        <r>
          <rPr>
            <sz val="10"/>
            <rFont val="Arial"/>
            <family val="2"/>
          </rPr>
          <t xml:space="preserve">xli9:
10-hour duration</t>
        </r>
      </text>
    </comment>
    <comment ref="F21" authorId="0">
      <text>
        <r>
          <rPr>
            <sz val="10"/>
            <rFont val="Arial"/>
            <family val="2"/>
          </rPr>
          <t xml:space="preserve">xli9:
Not necessary bro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9" authorId="0">
      <text>
        <r>
          <rPr>
            <sz val="10"/>
            <rFont val="Arial"/>
            <family val="2"/>
          </rPr>
          <t xml:space="preserve">xli9:
dam hydropower should also have some limits, bcz not all dam hydropower are TGR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7" authorId="0">
      <text>
        <r>
          <rPr>
            <sz val="10"/>
            <rFont val="Arial"/>
            <family val="2"/>
          </rPr>
          <t xml:space="preserve">Xiao Li:
we consider no new hydro-investment for AB and SK due to limited potential</t>
        </r>
      </text>
    </comment>
    <comment ref="E17" authorId="0">
      <text>
        <r>
          <rPr>
            <sz val="10"/>
            <rFont val="Arial"/>
            <family val="2"/>
          </rPr>
          <t xml:space="preserve">xli9:
different from CAN-TIMES</t>
        </r>
      </text>
    </comment>
    <comment ref="K6" authorId="0">
      <text>
        <r>
          <rPr>
            <sz val="10"/>
            <rFont val="Arial"/>
            <family val="2"/>
          </rPr>
          <t xml:space="preserve">xli9:
Should not because then system will rely on HPS without battery expansion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7" authorId="0">
      <text>
        <r>
          <rPr>
            <sz val="10"/>
            <rFont val="Arial"/>
            <family val="2"/>
          </rPr>
          <t xml:space="preserve">xli9:
Should remove ,Tra_bev* bcz it’s already contained in AuxStoOut</t>
        </r>
      </text>
    </comment>
    <comment ref="D28" authorId="0">
      <text>
        <r>
          <rPr>
            <sz val="10"/>
            <rFont val="Arial"/>
            <family val="2"/>
          </rPr>
          <t xml:space="preserve">Insert Table</t>
        </r>
      </text>
    </comment>
    <comment ref="H3" authorId="0">
      <text>
        <r>
          <rPr>
            <sz val="10"/>
            <rFont val="Arial"/>
            <family val="2"/>
          </rPr>
          <t xml:space="preserve">xli9:
contrdict other limits, and does not work for storage projections so removed</t>
        </r>
      </text>
    </comment>
    <comment ref="K28" authorId="0">
      <text>
        <r>
          <rPr>
            <sz val="10"/>
            <rFont val="Arial"/>
            <family val="2"/>
          </rPr>
          <t xml:space="preserve">Define the qualifiers based upon technology set + topology + name + descriptions, according to both include and exclude specifications.</t>
        </r>
      </text>
    </comment>
    <comment ref="P28" authorId="0">
      <text>
        <r>
          <rPr>
            <sz val="10"/>
            <rFont val="Arial"/>
            <family val="2"/>
          </rPr>
          <t xml:space="preserve"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<sst xmlns="http://schemas.openxmlformats.org/spreadsheetml/2006/main" count="710" uniqueCount="246">
  <si>
    <t xml:space="preserve">~TFM_UPD</t>
  </si>
  <si>
    <t xml:space="preserve">TimeSlice</t>
  </si>
  <si>
    <t xml:space="preserve">LimType</t>
  </si>
  <si>
    <t xml:space="preserve">Attribute</t>
  </si>
  <si>
    <t xml:space="preserve">Year</t>
  </si>
  <si>
    <t xml:space="preserve">AllRegions</t>
  </si>
  <si>
    <t xml:space="preserve">Pset_PN</t>
  </si>
  <si>
    <t xml:space="preserve">invcost</t>
  </si>
  <si>
    <t xml:space="preserve">*0.55</t>
  </si>
  <si>
    <t xml:space="preserve">en*hbatt*, Util_Rep_Batt*</t>
  </si>
  <si>
    <t xml:space="preserve">~TFM_INS: curr=USD20</t>
  </si>
  <si>
    <t xml:space="preserve">other_indexes</t>
  </si>
  <si>
    <t xml:space="preserve">commodity</t>
  </si>
  <si>
    <t xml:space="preserve">year</t>
  </si>
  <si>
    <t xml:space="preserve">DAYNITE</t>
  </si>
  <si>
    <t xml:space="preserve">NRG</t>
  </si>
  <si>
    <t xml:space="preserve">AFC</t>
  </si>
  <si>
    <t xml:space="preserve">ELC</t>
  </si>
  <si>
    <t xml:space="preserve">ACT</t>
  </si>
  <si>
    <t xml:space="preserve">FIXOM</t>
  </si>
  <si>
    <t xml:space="preserve">EN_HPS_Storage</t>
  </si>
  <si>
    <t xml:space="preserve">DELIV</t>
  </si>
  <si>
    <t xml:space="preserve">*COM_FR is worse than utilization rate for ROR, but we need to put this constraint to avoild regulation capacities</t>
  </si>
  <si>
    <t xml:space="preserve">~TFM_INS</t>
  </si>
  <si>
    <t xml:space="preserve">attribute</t>
  </si>
  <si>
    <t xml:space="preserve">PSET_SET</t>
  </si>
  <si>
    <t xml:space="preserve">PSET_CI</t>
  </si>
  <si>
    <t xml:space="preserve">pset_pn</t>
  </si>
  <si>
    <t xml:space="preserve">AF</t>
  </si>
  <si>
    <t xml:space="preserve">ELE</t>
  </si>
  <si>
    <t xml:space="preserve">ELCHYD</t>
  </si>
  <si>
    <t xml:space="preserve">*HYD-DAM*</t>
  </si>
  <si>
    <t xml:space="preserve">*HYD-ROR*</t>
  </si>
  <si>
    <t xml:space="preserve">PSET_CO</t>
  </si>
  <si>
    <t xml:space="preserve">*bio*</t>
  </si>
  <si>
    <t xml:space="preserve">ACT_CSTRMP</t>
  </si>
  <si>
    <t xml:space="preserve">*coa*, *lig*</t>
  </si>
  <si>
    <t xml:space="preserve">EA_OIL*, EP_OIL*</t>
  </si>
  <si>
    <t xml:space="preserve">en_gas*, ea_gas*, ep_gas*</t>
  </si>
  <si>
    <t xml:space="preserve">*HPS*</t>
  </si>
  <si>
    <t xml:space="preserve">EN_STG_4hBatt*</t>
  </si>
  <si>
    <t xml:space="preserve">Util_Rep_Batt*</t>
  </si>
  <si>
    <t xml:space="preserve">*nuc*</t>
  </si>
  <si>
    <t xml:space="preserve">ACT_UPS</t>
  </si>
  <si>
    <t xml:space="preserve">EN_STG_4hBatt*, Tra_BEV_Batt_VtoG</t>
  </si>
  <si>
    <t xml:space="preserve">START</t>
  </si>
  <si>
    <t xml:space="preserve">Tra_EV_Bat*virgi*, -Tra_EV_Batt-Sodium_virgin_pack, -Tra_EV_Batt-Sodium_virgin</t>
  </si>
  <si>
    <t xml:space="preserve">~TFM_AVA</t>
  </si>
  <si>
    <t xml:space="preserve">PSET_PN</t>
  </si>
  <si>
    <t xml:space="preserve">AL</t>
  </si>
  <si>
    <t xml:space="preserve">AT</t>
  </si>
  <si>
    <t xml:space="preserve">BC</t>
  </si>
  <si>
    <t xml:space="preserve">MA</t>
  </si>
  <si>
    <t xml:space="preserve">ON</t>
  </si>
  <si>
    <t xml:space="preserve">SA</t>
  </si>
  <si>
    <t xml:space="preserve">QU</t>
  </si>
  <si>
    <t xml:space="preserve">ENCAN01_SMR</t>
  </si>
  <si>
    <t xml:space="preserve">~UC_Sets: R_E: AllRegions</t>
  </si>
  <si>
    <t xml:space="preserve">~UC_T: UP</t>
  </si>
  <si>
    <t xml:space="preserve">UC_N</t>
  </si>
  <si>
    <t xml:space="preserve">Pset_CI</t>
  </si>
  <si>
    <t xml:space="preserve">Cset_CN</t>
  </si>
  <si>
    <t xml:space="preserve">UC_FLO</t>
  </si>
  <si>
    <t xml:space="preserve">UC_COMPRD</t>
  </si>
  <si>
    <t xml:space="preserve">UC_RHSRT</t>
  </si>
  <si>
    <t xml:space="preserve">UC_RHSRT~0</t>
  </si>
  <si>
    <t xml:space="preserve">UC_Desc</t>
  </si>
  <si>
    <t xml:space="preserve">UCE_MaxOutput-of-gidstorage</t>
  </si>
  <si>
    <t xml:space="preserve">elcagg_spv*</t>
  </si>
  <si>
    <t xml:space="preserve">Discharge of batteries should lower than a proportion of wind+pv</t>
  </si>
  <si>
    <t xml:space="preserve">elcagg_w*</t>
  </si>
  <si>
    <t xml:space="preserve">E*, Uti*, Tra_BEV_Batt_VtoG</t>
  </si>
  <si>
    <t xml:space="preserve">AuxStoOUT</t>
  </si>
  <si>
    <t xml:space="preserve">~UC_Sets: R_S: AllRegions</t>
  </si>
  <si>
    <t xml:space="preserve">~UC_Sets: T_SUC:</t>
  </si>
  <si>
    <t xml:space="preserve">~UC_T</t>
  </si>
  <si>
    <t xml:space="preserve">Pset_Set</t>
  </si>
  <si>
    <t xml:space="preserve">UC_ATTR~RHS</t>
  </si>
  <si>
    <t xml:space="preserve">UC_CAP</t>
  </si>
  <si>
    <t xml:space="preserve">UC_CAP~RHS</t>
  </si>
  <si>
    <t xml:space="preserve">UC_Grow_LI</t>
  </si>
  <si>
    <t xml:space="preserve">MINBatMaterials_LI</t>
  </si>
  <si>
    <t xml:space="preserve">CAP,GROWTH</t>
  </si>
  <si>
    <t xml:space="preserve">2025, 2150</t>
  </si>
  <si>
    <t xml:space="preserve">UP</t>
  </si>
  <si>
    <t xml:space="preserve">UC_Grow_GR</t>
  </si>
  <si>
    <t xml:space="preserve">MINBatMaterials_GR</t>
  </si>
  <si>
    <t xml:space="preserve">UC_Grow_NI</t>
  </si>
  <si>
    <t xml:space="preserve">MINBatMaterials_NI</t>
  </si>
  <si>
    <t xml:space="preserve">UC_Grow_COB_byCop</t>
  </si>
  <si>
    <t xml:space="preserve">MINBatMaterials_COB_byCop</t>
  </si>
  <si>
    <t xml:space="preserve">UC_Grow_MN</t>
  </si>
  <si>
    <t xml:space="preserve">MINBatMaterials_MN</t>
  </si>
  <si>
    <t xml:space="preserve">UC_Grow_COP</t>
  </si>
  <si>
    <t xml:space="preserve">MINBatMaterials_COP</t>
  </si>
  <si>
    <t xml:space="preserve">UC_Grow_AL</t>
  </si>
  <si>
    <t xml:space="preserve">MINBatMaterials_AL</t>
  </si>
  <si>
    <t xml:space="preserve">UC_Grow_COB_byNI_HPAL</t>
  </si>
  <si>
    <t xml:space="preserve">MINBatMaterials_COB_byNI_HPAL</t>
  </si>
  <si>
    <t xml:space="preserve">UC_Grow_COB_byNI_sulfide</t>
  </si>
  <si>
    <t xml:space="preserve">MINBatMaterials_COB_byNI_sulfide</t>
  </si>
  <si>
    <t xml:space="preserve">UC_Grow_COB_direct</t>
  </si>
  <si>
    <t xml:space="preserve">MINBatMaterials_COB_direct</t>
  </si>
  <si>
    <t xml:space="preserve">Original : </t>
  </si>
  <si>
    <t xml:space="preserve">RHSTS</t>
  </si>
  <si>
    <t xml:space="preserve">UC_Grow_Recy1</t>
  </si>
  <si>
    <t xml:space="preserve">Tra_EV_Batt-LFP_fromrecy</t>
  </si>
  <si>
    <t xml:space="preserve">2030, 2150</t>
  </si>
  <si>
    <t xml:space="preserve">LO</t>
  </si>
  <si>
    <t xml:space="preserve">UC_Grow_Recy2</t>
  </si>
  <si>
    <t xml:space="preserve">Tra_EV_Batt-LMO_fromrecy</t>
  </si>
  <si>
    <t xml:space="preserve">UC_Grow_Recy3</t>
  </si>
  <si>
    <t xml:space="preserve">Tra_EV_Batt-NCA_fromrecy</t>
  </si>
  <si>
    <t xml:space="preserve">UC_Grow_Recy4</t>
  </si>
  <si>
    <t xml:space="preserve">Tra_EV_Batt-NMC111_fromrecy</t>
  </si>
  <si>
    <t xml:space="preserve">UC_Grow_Recy5</t>
  </si>
  <si>
    <t xml:space="preserve">Tra_EV_Batt-NMC532_fromrecy</t>
  </si>
  <si>
    <t xml:space="preserve">UC_Grow_Recy6</t>
  </si>
  <si>
    <t xml:space="preserve">Tra_EV_Batt-NMC622_fromrecy</t>
  </si>
  <si>
    <t xml:space="preserve">UC_Grow_Recy7</t>
  </si>
  <si>
    <t xml:space="preserve">Tra_EV_Batt-NMC811_fromrecy</t>
  </si>
  <si>
    <t xml:space="preserve">UC_Grow_Recy8</t>
  </si>
  <si>
    <t xml:space="preserve">EN_STG_4hBatt</t>
  </si>
  <si>
    <t xml:space="preserve">2019, 2150</t>
  </si>
  <si>
    <t xml:space="preserve">UC_Grow_Recy9</t>
  </si>
  <si>
    <t xml:space="preserve">EN_STG_4hBatt_LMO</t>
  </si>
  <si>
    <t xml:space="preserve">UC_Grow_Recy10</t>
  </si>
  <si>
    <t xml:space="preserve">EN_STG_4hBatt_NCA</t>
  </si>
  <si>
    <t xml:space="preserve">UC_Grow_Recy11</t>
  </si>
  <si>
    <t xml:space="preserve">EN_STG_4hBatt_NMC111</t>
  </si>
  <si>
    <t xml:space="preserve">UC_Grow_Recy12</t>
  </si>
  <si>
    <t xml:space="preserve">EN_STG_4hBatt_NMC532</t>
  </si>
  <si>
    <t xml:space="preserve">UC_Grow_Recy13</t>
  </si>
  <si>
    <t xml:space="preserve">EN_STG_4hBatt_NMC622</t>
  </si>
  <si>
    <t xml:space="preserve">UC_Grow_Recy14</t>
  </si>
  <si>
    <t xml:space="preserve">EN_STG_4hBatt_NMC811</t>
  </si>
  <si>
    <t xml:space="preserve">Cset_Set</t>
  </si>
  <si>
    <t xml:space="preserve">UC_COMNET</t>
  </si>
  <si>
    <t xml:space="preserve">UC_COMNET~RHS</t>
  </si>
  <si>
    <t xml:space="preserve">UC_coalEmi1</t>
  </si>
  <si>
    <t xml:space="preserve">ELCCO2Nc</t>
  </si>
  <si>
    <t xml:space="preserve">COMNET,GROWTH</t>
  </si>
  <si>
    <t xml:space="preserve">2040, 2150</t>
  </si>
  <si>
    <t xml:space="preserve">UC_OilEmi2</t>
  </si>
  <si>
    <t xml:space="preserve">ELCCO2No</t>
  </si>
  <si>
    <t xml:space="preserve">UC_gasEmi3</t>
  </si>
  <si>
    <t xml:space="preserve">ELCCO2Ng</t>
  </si>
  <si>
    <t xml:space="preserve">2050, 2150</t>
  </si>
  <si>
    <t xml:space="preserve">UC_totco2Emi4</t>
  </si>
  <si>
    <t xml:space="preserve">TOTCO2</t>
  </si>
  <si>
    <t xml:space="preserve">~UC_T: LO</t>
  </si>
  <si>
    <t xml:space="preserve">UCE_MaxUtility_scale</t>
  </si>
  <si>
    <t xml:space="preserve">Tra_E*fromrecy, Tra_EV_Bat*virgin_pack</t>
  </si>
  <si>
    <t xml:space="preserve">Util_Rep_B*</t>
  </si>
  <si>
    <t xml:space="preserve">UCE_2</t>
  </si>
  <si>
    <t xml:space="preserve">Tra_EV_Batt-LFP_fromrecy, Tra_EV_Batt-LFP_virgin_pack</t>
  </si>
  <si>
    <t xml:space="preserve">Tra_E*fromrecy, Tra_EV_Bat*virgin_pack, -Tra_EV_Batt-LFP_fromrecy, -Tra_EV_Batt-LFP_virgin_pack</t>
  </si>
  <si>
    <t xml:space="preserve">UCE_3</t>
  </si>
  <si>
    <t xml:space="preserve">EN_STG_4hBatt, Util_Rep_Batt-LFP</t>
  </si>
  <si>
    <t xml:space="preserve">EN_STG_4hBatt*, Util_Rep_Bat*, -EN_STG_4hBatt, -Util_Rep_Batt-LFP</t>
  </si>
  <si>
    <t xml:space="preserve">~UC_T: UC_CAP</t>
  </si>
  <si>
    <t xml:space="preserve">limtype</t>
  </si>
  <si>
    <t xml:space="preserve">Allregions</t>
  </si>
  <si>
    <t xml:space="preserve">UCE_MinAct_of_EVBattery</t>
  </si>
  <si>
    <t xml:space="preserve">AuxStoIN</t>
  </si>
  <si>
    <t xml:space="preserve">Tra_EV_Bat*fromrecy, Tra_EV_Bat*virgin_pack</t>
  </si>
  <si>
    <t xml:space="preserve">UCE_MinAct_of_GRIDBattery</t>
  </si>
  <si>
    <t xml:space="preserve">EN_STG_4hBatt*, Util_Rep_Bat*</t>
  </si>
  <si>
    <t xml:space="preserve">UCE_MinAct_of_HPS</t>
  </si>
  <si>
    <t xml:space="preserve">UCE_MinAct_of_vtog</t>
  </si>
  <si>
    <t xml:space="preserve">Tra_BEV_Batt_VtoG</t>
  </si>
  <si>
    <t xml:space="preserve">* 2026-10-27: deleted UCE_ElcBalance (DAYNITE supply &lt;= 1.05 x demand; infeasible per-timeslice, replaced by UCE_CurtLimit)</t>
  </si>
  <si>
    <t xml:space="preserve">UC_COMCON</t>
  </si>
  <si>
    <t xml:space="preserve">UCE_CurtLimit</t>
  </si>
  <si>
    <t xml:space="preserve">elc_spv*,elc_won*,elc_wof*</t>
  </si>
  <si>
    <t xml:space="preserve">VRE curtailment + battery round-trip losses &lt;= 8% of VRE output (annual)</t>
  </si>
  <si>
    <t xml:space="preserve">STG</t>
  </si>
  <si>
    <t xml:space="preserve">EN_STG_4hBatt*,Util_Rep_B*</t>
  </si>
  <si>
    <t xml:space="preserve">Attrib_Cond</t>
  </si>
  <si>
    <t xml:space="preserve">Val_Cond</t>
  </si>
  <si>
    <t xml:space="preserve">Pset_PD</t>
  </si>
  <si>
    <t xml:space="preserve">Pset_CO</t>
  </si>
  <si>
    <t xml:space="preserve">H2*</t>
  </si>
  <si>
    <t xml:space="preserve">HETHPU</t>
  </si>
  <si>
    <t xml:space="preserve">en_hp_air_10mw</t>
  </si>
  <si>
    <t xml:space="preserve">en_hop_electric_boiler</t>
  </si>
  <si>
    <t xml:space="preserve">UC_RHSRTS</t>
  </si>
  <si>
    <t xml:space="preserve">UC_RHSRTS~0</t>
  </si>
  <si>
    <t xml:space="preserve">UCE_CleanAdeq_W</t>
  </si>
  <si>
    <t xml:space="preserve">ELE,CHP</t>
  </si>
  <si>
    <t xml:space="preserve">EP_*,EA_*,-EP_HYD-ROR*,-*GAS*,-*COA*,-*LIG*</t>
  </si>
  <si>
    <t xml:space="preserve">*,-ELCSOL,-ELCWIN,-ELC,-ELCSPV,-elc[_]???[_]*</t>
  </si>
  <si>
    <t xml:space="preserve">S1H6</t>
  </si>
  <si>
    <t xml:space="preserve">Clean firm capacity &gt;= 1.15 x demand, winter peak, from 2050</t>
  </si>
  <si>
    <t xml:space="preserve">EP_*CCS*,EA_*CCS*</t>
  </si>
  <si>
    <t xml:space="preserve">en_*,-*gas*,-*coal*</t>
  </si>
  <si>
    <t xml:space="preserve">en_gas_ccs,en_coal_ccs,en_coal_igcc_ccs</t>
  </si>
  <si>
    <t xml:space="preserve">EP_HYD-ROR*</t>
  </si>
  <si>
    <t xml:space="preserve">en_won*,en_wof*</t>
  </si>
  <si>
    <t xml:space="preserve">en_spv*</t>
  </si>
  <si>
    <t xml:space="preserve">ElecDemand,FT_INDELC,FT_TRAELC</t>
  </si>
  <si>
    <t xml:space="preserve">UCE_CleanAdeq_S</t>
  </si>
  <si>
    <t xml:space="preserve">S4H6</t>
  </si>
  <si>
    <t xml:space="preserve">Clean firm capacity &gt;= 1.15 x demand, summer peak, from 2050</t>
  </si>
  <si>
    <t xml:space="preserve">~UC_T: UC_RHSRT</t>
  </si>
  <si>
    <t xml:space="preserve">Africa_North</t>
  </si>
  <si>
    <t xml:space="preserve">Africa_Other</t>
  </si>
  <si>
    <t xml:space="preserve">Australia</t>
  </si>
  <si>
    <t xml:space="preserve">Austria</t>
  </si>
  <si>
    <t xml:space="preserve">Baltics</t>
  </si>
  <si>
    <t xml:space="preserve">BeNeLux</t>
  </si>
  <si>
    <t xml:space="preserve">Brazil</t>
  </si>
  <si>
    <t xml:space="preserve">China</t>
  </si>
  <si>
    <t xml:space="preserve">CroSloven</t>
  </si>
  <si>
    <t xml:space="preserve">CzechSlovak</t>
  </si>
  <si>
    <t xml:space="preserve">France</t>
  </si>
  <si>
    <t xml:space="preserve">Germany</t>
  </si>
  <si>
    <t xml:space="preserve">GreeceCyp</t>
  </si>
  <si>
    <t xml:space="preserve">HunRomBul</t>
  </si>
  <si>
    <t xml:space="preserve">Iceland</t>
  </si>
  <si>
    <t xml:space="preserve">India</t>
  </si>
  <si>
    <t xml:space="preserve">Ireland</t>
  </si>
  <si>
    <t xml:space="preserve">ItalyMal</t>
  </si>
  <si>
    <t xml:space="preserve">Japan</t>
  </si>
  <si>
    <t xml:space="preserve">LatAm</t>
  </si>
  <si>
    <t xml:space="preserve">MidEast</t>
  </si>
  <si>
    <t xml:space="preserve">NorthAm</t>
  </si>
  <si>
    <t xml:space="preserve">Norway</t>
  </si>
  <si>
    <t xml:space="preserve">Poland</t>
  </si>
  <si>
    <t xml:space="preserve">ROW</t>
  </si>
  <si>
    <t xml:space="preserve">Russia</t>
  </si>
  <si>
    <t xml:space="preserve">SaudiArabia</t>
  </si>
  <si>
    <t xml:space="preserve">SouthAfrica</t>
  </si>
  <si>
    <t xml:space="preserve">SpainPor</t>
  </si>
  <si>
    <t xml:space="preserve">SweFinDen</t>
  </si>
  <si>
    <t xml:space="preserve">Switzerland</t>
  </si>
  <si>
    <t xml:space="preserve">Turkey</t>
  </si>
  <si>
    <t xml:space="preserve">UK</t>
  </si>
  <si>
    <t xml:space="preserve">Ukraine</t>
  </si>
  <si>
    <t xml:space="preserve">WestBalkans</t>
  </si>
  <si>
    <t xml:space="preserve">UCE_BioPowerCap</t>
  </si>
  <si>
    <t xml:space="preserve">ELCBSL</t>
  </si>
  <si>
    <t xml:space="preserve">UCE_BattLB</t>
  </si>
  <si>
    <t xml:space="preserve">UCE_EVBattCalib</t>
  </si>
  <si>
    <t xml:space="preserve">Tra_EV*virgin_pack, Tra_EV*fromrecy, Tra_EV_Batt-Sodium_virgin_pack</t>
  </si>
  <si>
    <t xml:space="preserve">EV battery stock (GWh) &lt;= calibrated 2020/2025 values; no bound after 2025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</si>
</sst>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1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F3F76"/>
      <name val="Calibri"/>
      <family val="0"/>
      <charset val="134"/>
    </font>
    <font>
      <sz val="10"/>
      <name val="Arial"/>
      <family val="0"/>
      <charset val="134"/>
    </font>
    <font>
      <sz val="11"/>
      <color rgb="FF000000"/>
      <name val="Calibri"/>
      <family val="0"/>
      <charset val="134"/>
    </font>
    <font>
      <sz val="10"/>
      <name val="Arial"/>
      <family val="2"/>
    </font>
    <font>
      <sz val="10.2"/>
      <color rgb="FF212529"/>
      <name val="Segoe UI"/>
      <family val="0"/>
      <charset val="134"/>
    </font>
    <font>
      <sz val="8"/>
      <color rgb="FF3974D2"/>
      <name val="Segoe UI"/>
      <family val="0"/>
      <charset val="134"/>
    </font>
    <font>
      <sz val="11"/>
      <color rgb="FF000000"/>
      <name val="Calibri"/>
      <family val="0"/>
    </font>
    <font>
      <b val="true"/>
      <sz val="11"/>
      <color theme="1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b val="true"/>
      <sz val="10"/>
      <color rgb="FF0000FF"/>
      <name val="Arial"/>
      <family val="0"/>
    </font>
    <font>
      <sz val="11"/>
      <color theme="1"/>
      <name val="Calibri"/>
      <family val="0"/>
    </font>
    <font>
      <b val="true"/>
      <sz val="10"/>
      <name val="Arial"/>
      <family val="0"/>
    </font>
  </fonts>
  <fills count="13">
    <fill>
      <patternFill patternType="none"/>
    </fill>
    <fill>
      <patternFill patternType="gray125"/>
    </fill>
    <fill>
      <patternFill patternType="solid">
        <fgColor rgb="FFFFCC99"/>
        <bgColor rgb="FFC0C0C0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theme="3"/>
        <bgColor rgb="FF3F3F76"/>
      </patternFill>
    </fill>
    <fill>
      <patternFill patternType="solid">
        <fgColor theme="4"/>
        <bgColor rgb="FF3974D2"/>
      </patternFill>
    </fill>
    <fill>
      <patternFill patternType="solid">
        <fgColor theme="0" tint="-0.35"/>
        <bgColor rgb="FFC0C0C0"/>
      </patternFill>
    </fill>
    <fill>
      <patternFill patternType="solid">
        <fgColor theme="3" tint="0.8"/>
        <bgColor rgb="FFDCE6F2"/>
      </patternFill>
    </fill>
    <fill>
      <patternFill patternType="solid">
        <fgColor theme="4" tint="0.8"/>
        <bgColor rgb="FFC6D9F1"/>
      </patternFill>
    </fill>
    <fill>
      <patternFill patternType="solid">
        <fgColor rgb="FFFFFF99"/>
        <bgColor rgb="FFFFFFCC"/>
      </patternFill>
    </fill>
    <fill>
      <patternFill patternType="solid">
        <fgColor rgb="FF99CCFF"/>
        <bgColor rgb="FFC6D9F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 style="thick">
        <color rgb="FFFC8462"/>
      </top>
      <bottom style="thick">
        <color rgb="FFFC8462"/>
      </bottom>
      <diagonal/>
    </border>
    <border diagonalUp="false" diagonalDown="false">
      <left/>
      <right/>
      <top style="thin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Input 2" xfId="20"/>
    <cellStyle name="Normal 10" xfId="21"/>
    <cellStyle name="Normal 2" xfId="22"/>
    <cellStyle name="Normale_Scen_UC_IND-StrucConst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DCE6F2"/>
      <rgbColor rgb="FF660066"/>
      <rgbColor rgb="FFFC8462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974D2"/>
      <rgbColor rgb="FF33CCCC"/>
      <rgbColor rgb="FF99CC00"/>
      <rgbColor rgb="FFFFCC00"/>
      <rgbColor rgb="FFFF9900"/>
      <rgbColor rgb="FFFF6600"/>
      <rgbColor rgb="FF4F81BD"/>
      <rgbColor rgb="FFA6A6A6"/>
      <rgbColor rgb="FF1F497D"/>
      <rgbColor rgb="FF339966"/>
      <rgbColor rgb="FF003300"/>
      <rgbColor rgb="FF333300"/>
      <rgbColor rgb="FF993300"/>
      <rgbColor rgb="FF993366"/>
      <rgbColor rgb="FF3F3F76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H21"/>
  <sheetViews>
    <sheetView showFormulas="false" showGridLines="true" showRowColHeaders="true" showZeros="true" rightToLeft="false" tabSelected="false" showOutlineSymbols="true" defaultGridColor="true" view="normal" topLeftCell="A1" colorId="64" zoomScale="62" zoomScaleNormal="62" zoomScalePageLayoutView="100" workbookViewId="0">
      <selection pane="topLeft" activeCell="F5" activeCellId="0" sqref="F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.6"/>
    <col collapsed="false" customWidth="true" hidden="false" outlineLevel="0" max="3" min="3" style="0" width="11.86"/>
    <col collapsed="false" customWidth="true" hidden="false" outlineLevel="0" max="4" min="4" style="0" width="8.34"/>
    <col collapsed="false" customWidth="true" hidden="false" outlineLevel="0" max="5" min="5" style="0" width="11.09"/>
    <col collapsed="false" customWidth="true" hidden="false" outlineLevel="0" max="6" min="6" style="0" width="11.33"/>
    <col collapsed="false" customWidth="true" hidden="false" outlineLevel="0" max="7" min="7" style="0" width="25.09"/>
    <col collapsed="false" customWidth="true" hidden="false" outlineLevel="0" max="8" min="8" style="0" width="10.33"/>
    <col collapsed="false" customWidth="true" hidden="false" outlineLevel="0" max="9" min="9" style="0" width="8.06"/>
    <col collapsed="false" customWidth="true" hidden="false" outlineLevel="0" max="10" min="10" style="0" width="7.73"/>
    <col collapsed="false" customWidth="true" hidden="false" outlineLevel="0" max="11" min="11" style="0" width="7.8"/>
    <col collapsed="false" customWidth="true" hidden="false" outlineLevel="0" max="12" min="12" style="0" width="7.2"/>
    <col collapsed="false" customWidth="true" hidden="false" outlineLevel="0" max="13" min="13" style="0" width="8.06"/>
    <col collapsed="false" customWidth="true" hidden="false" outlineLevel="0" max="14" min="14" style="0" width="8.26"/>
    <col collapsed="false" customWidth="true" hidden="false" outlineLevel="0" max="15" min="15" style="0" width="8.14"/>
    <col collapsed="false" customWidth="true" hidden="false" outlineLevel="0" max="16" min="16" style="0" width="8.2"/>
  </cols>
  <sheetData>
    <row r="3" customFormat="false" ht="14.25" hidden="false" customHeight="false" outlineLevel="0" collapsed="false">
      <c r="B3" s="0" t="s">
        <v>0</v>
      </c>
    </row>
    <row r="4" customFormat="false" ht="14.25" hidden="false" customHeight="false" outlineLevel="0" collapsed="false">
      <c r="B4" s="0" t="s">
        <v>1</v>
      </c>
      <c r="C4" s="0" t="s">
        <v>2</v>
      </c>
      <c r="D4" s="0" t="s">
        <v>3</v>
      </c>
      <c r="E4" s="0" t="s">
        <v>4</v>
      </c>
      <c r="F4" s="0" t="s">
        <v>5</v>
      </c>
      <c r="G4" s="0" t="s">
        <v>6</v>
      </c>
    </row>
    <row r="5" customFormat="false" ht="14.25" hidden="false" customHeight="false" outlineLevel="0" collapsed="false">
      <c r="D5" s="0" t="s">
        <v>7</v>
      </c>
      <c r="F5" s="0" t="s">
        <v>8</v>
      </c>
      <c r="G5" s="0" t="s">
        <v>9</v>
      </c>
    </row>
    <row r="9" customFormat="false" ht="14.25" hidden="false" customHeight="false" outlineLevel="0" collapsed="false">
      <c r="B9" s="0" t="s">
        <v>10</v>
      </c>
    </row>
    <row r="10" customFormat="false" ht="14.25" hidden="false" customHeight="false" outlineLevel="0" collapsed="false">
      <c r="B10" s="0" t="s">
        <v>1</v>
      </c>
      <c r="C10" s="0" t="s">
        <v>11</v>
      </c>
      <c r="D10" s="0" t="s">
        <v>3</v>
      </c>
      <c r="E10" s="0" t="s">
        <v>12</v>
      </c>
      <c r="F10" s="0" t="s">
        <v>5</v>
      </c>
      <c r="G10" s="0" t="s">
        <v>6</v>
      </c>
      <c r="H10" s="0" t="s">
        <v>13</v>
      </c>
    </row>
    <row r="11" customFormat="false" ht="14.25" hidden="false" customHeight="false" outlineLevel="0" collapsed="false">
      <c r="B11" s="0" t="s">
        <v>14</v>
      </c>
      <c r="C11" s="0" t="s">
        <v>15</v>
      </c>
      <c r="D11" s="0" t="s">
        <v>16</v>
      </c>
      <c r="E11" s="0" t="s">
        <v>17</v>
      </c>
      <c r="F11" s="0" t="n">
        <v>4</v>
      </c>
      <c r="G11" s="0" t="s">
        <v>9</v>
      </c>
    </row>
    <row r="12" customFormat="false" ht="14.25" hidden="false" customHeight="false" outlineLevel="0" collapsed="false">
      <c r="B12" s="0" t="s">
        <v>14</v>
      </c>
      <c r="C12" s="0" t="s">
        <v>18</v>
      </c>
      <c r="D12" s="0" t="s">
        <v>16</v>
      </c>
      <c r="E12" s="0" t="s">
        <v>17</v>
      </c>
      <c r="F12" s="0" t="n">
        <v>1</v>
      </c>
      <c r="G12" s="0" t="str">
        <f aca="false">G11</f>
        <v>en*hbatt*, Util_Rep_Batt*</v>
      </c>
    </row>
    <row r="13" customFormat="false" ht="14.25" hidden="false" customHeight="false" outlineLevel="0" collapsed="false">
      <c r="D13" s="0" t="s">
        <v>19</v>
      </c>
      <c r="F13" s="0" t="n">
        <v>3</v>
      </c>
      <c r="G13" s="0" t="str">
        <f aca="false">G21</f>
        <v>en*hbatt*, Util_Rep_Batt*</v>
      </c>
      <c r="H13" s="0" t="n">
        <v>2019</v>
      </c>
    </row>
    <row r="14" customFormat="false" ht="14.25" hidden="false" customHeight="false" outlineLevel="0" collapsed="false">
      <c r="D14" s="0" t="str">
        <f aca="false">D13</f>
        <v>FIXOM</v>
      </c>
      <c r="F14" s="0" t="n">
        <v>2</v>
      </c>
      <c r="G14" s="0" t="str">
        <f aca="false">G13</f>
        <v>en*hbatt*, Util_Rep_Batt*</v>
      </c>
      <c r="H14" s="0" t="n">
        <v>2030</v>
      </c>
    </row>
    <row r="15" customFormat="false" ht="14.25" hidden="false" customHeight="false" outlineLevel="0" collapsed="false">
      <c r="B15" s="0" t="s">
        <v>14</v>
      </c>
      <c r="C15" s="0" t="s">
        <v>18</v>
      </c>
      <c r="D15" s="0" t="s">
        <v>16</v>
      </c>
      <c r="F15" s="0" t="n">
        <v>0.31</v>
      </c>
      <c r="G15" s="0" t="s">
        <v>20</v>
      </c>
    </row>
    <row r="21" customFormat="false" ht="14.25" hidden="false" customHeight="false" outlineLevel="0" collapsed="false">
      <c r="D21" s="0" t="s">
        <v>21</v>
      </c>
      <c r="E21" s="0" t="s">
        <v>17</v>
      </c>
      <c r="F21" s="1" t="n">
        <v>0.5</v>
      </c>
      <c r="G21" s="0" t="str">
        <f aca="false">G12</f>
        <v>en*hbatt*, Util_Rep_Batt*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47" zoomScaleNormal="47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K11"/>
  <sheetViews>
    <sheetView showFormulas="false" showGridLines="true" showRowColHeaders="true" showZeros="true" rightToLeft="false" tabSelected="false" showOutlineSymbols="true" defaultGridColor="true" view="normal" topLeftCell="A1" colorId="64" zoomScale="63" zoomScaleNormal="63" zoomScalePageLayoutView="100" workbookViewId="0">
      <selection pane="topLeft" activeCell="F8" activeCellId="0" sqref="F8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25.09"/>
    <col collapsed="false" customWidth="true" hidden="false" outlineLevel="0" max="2" min="2" style="0" width="28.73"/>
    <col collapsed="false" customWidth="true" hidden="false" outlineLevel="0" max="4" min="4" style="0" width="105.36"/>
    <col collapsed="false" customWidth="true" hidden="false" outlineLevel="0" max="5" min="5" style="0" width="12.82"/>
    <col collapsed="false" customWidth="true" hidden="false" outlineLevel="0" max="7" min="7" style="0" width="13.27"/>
    <col collapsed="false" customWidth="true" hidden="false" outlineLevel="0" max="9" min="9" style="0" width="12.45"/>
  </cols>
  <sheetData>
    <row r="3" customFormat="false" ht="14.25" hidden="false" customHeight="false" outlineLevel="0" collapsed="false">
      <c r="D3" s="0" t="s">
        <v>22</v>
      </c>
    </row>
    <row r="4" customFormat="false" ht="15.75" hidden="false" customHeight="true" outlineLevel="0" collapsed="false">
      <c r="A4" s="2"/>
    </row>
    <row r="7" customFormat="false" ht="14.25" hidden="false" customHeight="false" outlineLevel="0" collapsed="false">
      <c r="D7" s="0" t="s">
        <v>23</v>
      </c>
    </row>
    <row r="8" customFormat="false" ht="14.25" hidden="false" customHeight="false" outlineLevel="0" collapsed="false">
      <c r="D8" s="0" t="s">
        <v>24</v>
      </c>
      <c r="E8" s="0" t="s">
        <v>25</v>
      </c>
      <c r="F8" s="3" t="s">
        <v>26</v>
      </c>
      <c r="G8" s="0" t="s">
        <v>27</v>
      </c>
      <c r="H8" s="3" t="s">
        <v>5</v>
      </c>
    </row>
    <row r="9" customFormat="false" ht="14.25" hidden="false" customHeight="false" outlineLevel="0" collapsed="false">
      <c r="D9" s="0" t="s">
        <v>28</v>
      </c>
      <c r="E9" s="0" t="s">
        <v>29</v>
      </c>
      <c r="F9" s="3" t="s">
        <v>30</v>
      </c>
      <c r="G9" s="0" t="s">
        <v>31</v>
      </c>
      <c r="H9" s="0" t="n">
        <v>0.7</v>
      </c>
    </row>
    <row r="10" customFormat="false" ht="14.25" hidden="false" customHeight="false" outlineLevel="0" collapsed="false">
      <c r="D10" s="0" t="s">
        <v>28</v>
      </c>
      <c r="E10" s="0" t="s">
        <v>29</v>
      </c>
      <c r="F10" s="3" t="s">
        <v>30</v>
      </c>
      <c r="G10" s="0" t="s">
        <v>32</v>
      </c>
      <c r="H10" s="0" t="n">
        <v>0.48</v>
      </c>
      <c r="K10" s="4"/>
    </row>
    <row r="11" customFormat="false" ht="14.25" hidden="false" customHeight="false" outlineLevel="0" collapsed="false">
      <c r="K11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M85"/>
  <sheetViews>
    <sheetView showFormulas="false" showGridLines="true" showRowColHeaders="true" showZeros="true" rightToLeft="false" tabSelected="false" showOutlineSymbols="true" defaultGridColor="true" view="normal" topLeftCell="A3" colorId="64" zoomScale="89" zoomScaleNormal="89" zoomScalePageLayoutView="100" workbookViewId="0">
      <selection pane="topLeft" activeCell="C5" activeCellId="0" sqref="C5"/>
    </sheetView>
  </sheetViews>
  <sheetFormatPr defaultColWidth="8.73046875" defaultRowHeight="14.25" zeroHeight="false" outlineLevelRow="0" outlineLevelCol="0"/>
  <cols>
    <col collapsed="false" customWidth="true" hidden="false" outlineLevel="0" max="3" min="3" style="0" width="35.64"/>
    <col collapsed="false" customWidth="true" hidden="false" outlineLevel="0" max="4" min="4" style="0" width="14.09"/>
    <col collapsed="false" customWidth="true" hidden="false" outlineLevel="0" max="5" min="5" style="0" width="10.18"/>
  </cols>
  <sheetData>
    <row r="5" customFormat="false" ht="14.25" hidden="false" customHeight="false" outlineLevel="0" collapsed="false">
      <c r="C5" s="0" t="s">
        <v>23</v>
      </c>
      <c r="D5" s="5"/>
      <c r="E5" s="5"/>
    </row>
    <row r="6" customFormat="false" ht="14.25" hidden="false" customHeight="false" outlineLevel="0" collapsed="false">
      <c r="B6" s="0" t="s">
        <v>33</v>
      </c>
      <c r="C6" s="0" t="s">
        <v>27</v>
      </c>
      <c r="D6" s="0" t="s">
        <v>24</v>
      </c>
      <c r="E6" s="0" t="s">
        <v>5</v>
      </c>
      <c r="K6" s="4"/>
    </row>
    <row r="7" customFormat="false" ht="14.25" hidden="false" customHeight="false" outlineLevel="0" collapsed="false">
      <c r="B7" s="0" t="s">
        <v>17</v>
      </c>
      <c r="C7" s="5" t="s">
        <v>34</v>
      </c>
      <c r="D7" s="5" t="s">
        <v>35</v>
      </c>
      <c r="E7" s="6" t="n">
        <v>10</v>
      </c>
    </row>
    <row r="8" customFormat="false" ht="14.25" hidden="false" customHeight="false" outlineLevel="0" collapsed="false">
      <c r="B8" s="0" t="s">
        <v>17</v>
      </c>
      <c r="C8" s="5" t="s">
        <v>36</v>
      </c>
      <c r="D8" s="5" t="s">
        <v>35</v>
      </c>
      <c r="E8" s="6" t="n">
        <v>7</v>
      </c>
      <c r="L8" s="5"/>
      <c r="M8" s="5"/>
    </row>
    <row r="9" customFormat="false" ht="15.75" hidden="false" customHeight="true" outlineLevel="0" collapsed="false">
      <c r="B9" s="0" t="s">
        <v>17</v>
      </c>
      <c r="C9" s="2" t="s">
        <v>37</v>
      </c>
      <c r="D9" s="5" t="s">
        <v>35</v>
      </c>
      <c r="E9" s="6" t="n">
        <v>10</v>
      </c>
    </row>
    <row r="10" customFormat="false" ht="15.75" hidden="false" customHeight="true" outlineLevel="0" collapsed="false">
      <c r="B10" s="0" t="s">
        <v>17</v>
      </c>
      <c r="C10" s="5" t="s">
        <v>38</v>
      </c>
      <c r="D10" s="5" t="s">
        <v>35</v>
      </c>
      <c r="E10" s="6" t="n">
        <v>8</v>
      </c>
      <c r="K10" s="7"/>
      <c r="L10" s="8"/>
    </row>
    <row r="11" customFormat="false" ht="15.75" hidden="false" customHeight="true" outlineLevel="0" collapsed="false">
      <c r="B11" s="0" t="s">
        <v>17</v>
      </c>
      <c r="C11" s="2" t="s">
        <v>31</v>
      </c>
      <c r="D11" s="5" t="s">
        <v>35</v>
      </c>
      <c r="E11" s="5" t="n">
        <v>1.5</v>
      </c>
    </row>
    <row r="12" customFormat="false" ht="15.75" hidden="false" customHeight="true" outlineLevel="0" collapsed="false">
      <c r="B12" s="0" t="s">
        <v>17</v>
      </c>
      <c r="C12" s="2" t="s">
        <v>32</v>
      </c>
      <c r="D12" s="5" t="s">
        <v>35</v>
      </c>
      <c r="E12" s="5" t="n">
        <v>1.5</v>
      </c>
    </row>
    <row r="13" customFormat="false" ht="14.25" hidden="false" customHeight="false" outlineLevel="0" collapsed="false">
      <c r="B13" s="0" t="s">
        <v>17</v>
      </c>
      <c r="C13" s="0" t="s">
        <v>39</v>
      </c>
      <c r="D13" s="5" t="s">
        <v>35</v>
      </c>
      <c r="E13" s="0" t="n">
        <v>2</v>
      </c>
    </row>
    <row r="14" customFormat="false" ht="14.25" hidden="false" customHeight="false" outlineLevel="0" collapsed="false">
      <c r="B14" s="0" t="s">
        <v>17</v>
      </c>
      <c r="C14" s="0" t="s">
        <v>40</v>
      </c>
      <c r="D14" s="5" t="s">
        <v>35</v>
      </c>
      <c r="E14" s="0" t="n">
        <v>0</v>
      </c>
    </row>
    <row r="15" customFormat="false" ht="15.75" hidden="false" customHeight="true" outlineLevel="0" collapsed="false">
      <c r="B15" s="0" t="s">
        <v>17</v>
      </c>
      <c r="C15" s="2" t="s">
        <v>41</v>
      </c>
      <c r="D15" s="5" t="s">
        <v>35</v>
      </c>
      <c r="E15" s="0" t="n">
        <v>0</v>
      </c>
    </row>
    <row r="16" customFormat="false" ht="14.25" hidden="false" customHeight="false" outlineLevel="0" collapsed="false">
      <c r="B16" s="0" t="s">
        <v>17</v>
      </c>
      <c r="C16" s="5" t="s">
        <v>42</v>
      </c>
      <c r="D16" s="5" t="s">
        <v>35</v>
      </c>
      <c r="E16" s="9" t="n">
        <v>12</v>
      </c>
    </row>
    <row r="17" customFormat="false" ht="14.25" hidden="false" customHeight="false" outlineLevel="0" collapsed="false">
      <c r="B17" s="0" t="s">
        <v>17</v>
      </c>
      <c r="C17" s="5" t="s">
        <v>34</v>
      </c>
      <c r="D17" s="10" t="s">
        <v>43</v>
      </c>
      <c r="E17" s="11" t="n">
        <v>0.2</v>
      </c>
    </row>
    <row r="18" customFormat="false" ht="14.25" hidden="false" customHeight="false" outlineLevel="0" collapsed="false">
      <c r="B18" s="0" t="s">
        <v>17</v>
      </c>
      <c r="C18" s="5" t="s">
        <v>36</v>
      </c>
      <c r="D18" s="10" t="s">
        <v>43</v>
      </c>
      <c r="E18" s="11" t="n">
        <v>0.2</v>
      </c>
    </row>
    <row r="19" customFormat="false" ht="15.75" hidden="false" customHeight="true" outlineLevel="0" collapsed="false">
      <c r="B19" s="0" t="s">
        <v>17</v>
      </c>
      <c r="C19" s="2" t="s">
        <v>37</v>
      </c>
      <c r="D19" s="10" t="s">
        <v>43</v>
      </c>
      <c r="E19" s="11" t="n">
        <v>0.2</v>
      </c>
    </row>
    <row r="20" customFormat="false" ht="14.25" hidden="false" customHeight="false" outlineLevel="0" collapsed="false">
      <c r="B20" s="0" t="s">
        <v>17</v>
      </c>
      <c r="C20" s="5" t="s">
        <v>38</v>
      </c>
      <c r="D20" s="10" t="s">
        <v>43</v>
      </c>
      <c r="E20" s="11" t="n">
        <v>0.5</v>
      </c>
    </row>
    <row r="21" customFormat="false" ht="15.75" hidden="false" customHeight="true" outlineLevel="0" collapsed="false">
      <c r="B21" s="0" t="s">
        <v>17</v>
      </c>
      <c r="C21" s="2" t="s">
        <v>31</v>
      </c>
      <c r="D21" s="10" t="s">
        <v>43</v>
      </c>
      <c r="E21" s="11" t="n">
        <v>0.8</v>
      </c>
    </row>
    <row r="22" customFormat="false" ht="15.75" hidden="false" customHeight="true" outlineLevel="0" collapsed="false">
      <c r="B22" s="0" t="s">
        <v>17</v>
      </c>
      <c r="C22" s="2" t="s">
        <v>32</v>
      </c>
      <c r="D22" s="10" t="s">
        <v>43</v>
      </c>
      <c r="E22" s="5"/>
    </row>
    <row r="23" customFormat="false" ht="14.25" hidden="false" customHeight="false" outlineLevel="0" collapsed="false">
      <c r="B23" s="0" t="s">
        <v>17</v>
      </c>
      <c r="C23" s="0" t="s">
        <v>39</v>
      </c>
      <c r="D23" s="10" t="s">
        <v>43</v>
      </c>
      <c r="E23" s="0" t="n">
        <v>1</v>
      </c>
    </row>
    <row r="24" customFormat="false" ht="14.25" hidden="false" customHeight="false" outlineLevel="0" collapsed="false">
      <c r="B24" s="0" t="s">
        <v>17</v>
      </c>
      <c r="C24" s="0" t="s">
        <v>44</v>
      </c>
      <c r="D24" s="10" t="s">
        <v>43</v>
      </c>
      <c r="E24" s="0" t="n">
        <v>1</v>
      </c>
    </row>
    <row r="25" customFormat="false" ht="15.75" hidden="false" customHeight="true" outlineLevel="0" collapsed="false">
      <c r="B25" s="0" t="s">
        <v>17</v>
      </c>
      <c r="C25" s="2" t="s">
        <v>41</v>
      </c>
      <c r="D25" s="10" t="s">
        <v>43</v>
      </c>
      <c r="E25" s="0" t="n">
        <v>1</v>
      </c>
    </row>
    <row r="26" customFormat="false" ht="14.25" hidden="false" customHeight="false" outlineLevel="0" collapsed="false">
      <c r="B26" s="0" t="s">
        <v>17</v>
      </c>
      <c r="C26" s="5" t="s">
        <v>42</v>
      </c>
      <c r="D26" s="10" t="s">
        <v>43</v>
      </c>
      <c r="E26" s="5" t="n">
        <v>0.05</v>
      </c>
    </row>
    <row r="27" customFormat="false" ht="14.25" hidden="false" customHeight="false" outlineLevel="0" collapsed="false">
      <c r="B27" s="1" t="s">
        <v>17</v>
      </c>
      <c r="C27" s="12" t="s">
        <v>40</v>
      </c>
      <c r="D27" s="12" t="s">
        <v>45</v>
      </c>
      <c r="E27" s="12" t="n">
        <v>2020</v>
      </c>
    </row>
    <row r="28" customFormat="false" ht="14.25" hidden="false" customHeight="false" outlineLevel="0" collapsed="false">
      <c r="C28" s="0" t="s">
        <v>46</v>
      </c>
      <c r="D28" s="12" t="s">
        <v>45</v>
      </c>
      <c r="E28" s="1" t="n">
        <v>2020</v>
      </c>
    </row>
    <row r="54" customFormat="false" ht="14.25" hidden="false" customHeight="false" outlineLevel="0" collapsed="false">
      <c r="C54" s="13" t="s">
        <v>47</v>
      </c>
    </row>
    <row r="56" customFormat="false" ht="14.25" hidden="false" customHeight="false" outlineLevel="0" collapsed="false">
      <c r="D56" s="13"/>
      <c r="E56" s="13"/>
      <c r="F56" s="13"/>
      <c r="G56" s="13"/>
      <c r="H56" s="13"/>
      <c r="I56" s="13"/>
      <c r="J56" s="13"/>
      <c r="K56" s="13"/>
    </row>
    <row r="57" customFormat="false" ht="14.25" hidden="false" customHeight="false" outlineLevel="0" collapsed="false">
      <c r="C57" s="13" t="s">
        <v>48</v>
      </c>
      <c r="D57" s="13" t="s">
        <v>5</v>
      </c>
      <c r="E57" s="13" t="s">
        <v>49</v>
      </c>
      <c r="F57" s="13" t="s">
        <v>50</v>
      </c>
      <c r="G57" s="13" t="s">
        <v>51</v>
      </c>
      <c r="H57" s="13" t="s">
        <v>52</v>
      </c>
      <c r="I57" s="13" t="s">
        <v>53</v>
      </c>
      <c r="J57" s="13" t="s">
        <v>54</v>
      </c>
      <c r="K57" s="13" t="s">
        <v>55</v>
      </c>
    </row>
    <row r="58" customFormat="false" ht="14.25" hidden="false" customHeight="false" outlineLevel="0" collapsed="false">
      <c r="C58" s="13"/>
      <c r="D58" s="13"/>
      <c r="E58" s="13"/>
      <c r="F58" s="13"/>
      <c r="G58" s="13"/>
      <c r="H58" s="13"/>
      <c r="I58" s="13"/>
      <c r="J58" s="13"/>
      <c r="K58" s="13"/>
    </row>
    <row r="59" customFormat="false" ht="14.25" hidden="false" customHeight="false" outlineLevel="0" collapsed="false">
      <c r="C59" s="13"/>
      <c r="D59" s="13"/>
      <c r="E59" s="13"/>
      <c r="F59" s="13"/>
      <c r="G59" s="13"/>
      <c r="H59" s="13"/>
      <c r="I59" s="13"/>
      <c r="J59" s="13"/>
      <c r="K59" s="13"/>
    </row>
    <row r="60" customFormat="false" ht="14.25" hidden="false" customHeight="false" outlineLevel="0" collapsed="false">
      <c r="C60" s="13"/>
      <c r="D60" s="13"/>
      <c r="E60" s="13"/>
      <c r="F60" s="13"/>
      <c r="G60" s="13"/>
      <c r="H60" s="13"/>
      <c r="I60" s="13"/>
      <c r="J60" s="13"/>
      <c r="K60" s="13"/>
    </row>
    <row r="61" customFormat="false" ht="14.25" hidden="false" customHeight="false" outlineLevel="0" collapsed="false">
      <c r="C61" s="13"/>
      <c r="D61" s="13"/>
      <c r="E61" s="13"/>
      <c r="F61" s="13"/>
      <c r="G61" s="13"/>
      <c r="H61" s="13"/>
      <c r="I61" s="13"/>
      <c r="J61" s="13"/>
      <c r="K61" s="13"/>
    </row>
    <row r="62" customFormat="false" ht="14.25" hidden="false" customHeight="false" outlineLevel="0" collapsed="false">
      <c r="C62" s="13"/>
      <c r="D62" s="13"/>
      <c r="E62" s="13"/>
      <c r="F62" s="13"/>
      <c r="G62" s="13"/>
      <c r="H62" s="13"/>
      <c r="I62" s="13"/>
      <c r="J62" s="13"/>
      <c r="K62" s="13"/>
    </row>
    <row r="63" customFormat="false" ht="14.25" hidden="false" customHeight="false" outlineLevel="0" collapsed="false">
      <c r="C63" s="13"/>
      <c r="D63" s="13"/>
      <c r="E63" s="13"/>
      <c r="F63" s="13"/>
      <c r="G63" s="13"/>
      <c r="H63" s="13"/>
      <c r="I63" s="13"/>
      <c r="J63" s="13"/>
      <c r="K63" s="13"/>
    </row>
    <row r="64" customFormat="false" ht="14.25" hidden="false" customHeight="false" outlineLevel="0" collapsed="false">
      <c r="C64" s="13"/>
      <c r="D64" s="13"/>
      <c r="E64" s="13"/>
      <c r="F64" s="13"/>
      <c r="G64" s="13"/>
      <c r="H64" s="13"/>
      <c r="I64" s="13"/>
      <c r="J64" s="13"/>
      <c r="K64" s="13"/>
    </row>
    <row r="65" customFormat="false" ht="14.25" hidden="false" customHeight="false" outlineLevel="0" collapsed="false">
      <c r="C65" s="13"/>
      <c r="D65" s="13"/>
      <c r="E65" s="13"/>
      <c r="F65" s="13"/>
      <c r="G65" s="13"/>
      <c r="H65" s="13"/>
      <c r="I65" s="13"/>
      <c r="J65" s="13"/>
      <c r="K65" s="13"/>
    </row>
    <row r="66" customFormat="false" ht="14.25" hidden="false" customHeight="false" outlineLevel="0" collapsed="false">
      <c r="C66" s="13"/>
      <c r="D66" s="13"/>
      <c r="E66" s="13"/>
      <c r="F66" s="13"/>
      <c r="G66" s="13"/>
      <c r="H66" s="13"/>
      <c r="I66" s="13"/>
      <c r="J66" s="13"/>
      <c r="K66" s="13"/>
    </row>
    <row r="67" customFormat="false" ht="14.25" hidden="false" customHeight="false" outlineLevel="0" collapsed="false">
      <c r="C67" s="13"/>
      <c r="D67" s="13"/>
      <c r="E67" s="13"/>
      <c r="F67" s="13"/>
      <c r="G67" s="13"/>
      <c r="H67" s="13"/>
      <c r="I67" s="13"/>
      <c r="J67" s="13"/>
      <c r="K67" s="13"/>
    </row>
    <row r="68" customFormat="false" ht="14.25" hidden="false" customHeight="false" outlineLevel="0" collapsed="false">
      <c r="C68" s="13"/>
      <c r="D68" s="13"/>
      <c r="E68" s="13"/>
      <c r="F68" s="13"/>
      <c r="G68" s="13"/>
      <c r="H68" s="13"/>
      <c r="I68" s="13"/>
      <c r="J68" s="13"/>
      <c r="K68" s="13"/>
    </row>
    <row r="69" customFormat="false" ht="14.25" hidden="false" customHeight="false" outlineLevel="0" collapsed="false">
      <c r="C69" s="13"/>
      <c r="D69" s="13"/>
      <c r="E69" s="13"/>
      <c r="F69" s="13"/>
      <c r="G69" s="13"/>
      <c r="H69" s="13"/>
      <c r="I69" s="13"/>
      <c r="J69" s="13"/>
      <c r="K69" s="13"/>
    </row>
    <row r="70" customFormat="false" ht="14.25" hidden="false" customHeight="false" outlineLevel="0" collapsed="false">
      <c r="C70" s="13"/>
      <c r="D70" s="13"/>
      <c r="E70" s="13"/>
      <c r="F70" s="13"/>
      <c r="G70" s="13"/>
      <c r="H70" s="13"/>
      <c r="I70" s="13"/>
      <c r="J70" s="13"/>
      <c r="K70" s="13"/>
    </row>
    <row r="71" customFormat="false" ht="14.25" hidden="false" customHeight="false" outlineLevel="0" collapsed="false">
      <c r="C71" s="13"/>
      <c r="D71" s="13"/>
      <c r="E71" s="13"/>
      <c r="F71" s="13"/>
      <c r="G71" s="13"/>
      <c r="H71" s="13"/>
      <c r="I71" s="13"/>
      <c r="J71" s="13"/>
      <c r="K71" s="13"/>
    </row>
    <row r="72" customFormat="false" ht="14.25" hidden="false" customHeight="false" outlineLevel="0" collapsed="false">
      <c r="C72" s="13"/>
      <c r="D72" s="13"/>
      <c r="E72" s="13"/>
      <c r="F72" s="13"/>
      <c r="G72" s="13"/>
      <c r="H72" s="13"/>
      <c r="I72" s="13"/>
      <c r="J72" s="13"/>
      <c r="K72" s="13"/>
    </row>
    <row r="73" customFormat="false" ht="14.25" hidden="false" customHeight="false" outlineLevel="0" collapsed="false">
      <c r="C73" s="13"/>
      <c r="D73" s="13"/>
      <c r="E73" s="13"/>
      <c r="F73" s="13"/>
      <c r="G73" s="13"/>
      <c r="H73" s="13"/>
      <c r="I73" s="13"/>
      <c r="J73" s="13"/>
      <c r="K73" s="13"/>
    </row>
    <row r="74" customFormat="false" ht="14.25" hidden="false" customHeight="false" outlineLevel="0" collapsed="false">
      <c r="C74" s="13"/>
      <c r="D74" s="13"/>
      <c r="E74" s="13"/>
      <c r="F74" s="13"/>
      <c r="G74" s="13"/>
      <c r="H74" s="13"/>
      <c r="I74" s="13"/>
      <c r="J74" s="13"/>
      <c r="K74" s="13"/>
    </row>
    <row r="75" customFormat="false" ht="14.25" hidden="false" customHeight="false" outlineLevel="0" collapsed="false">
      <c r="C75" s="13"/>
      <c r="D75" s="13"/>
      <c r="E75" s="13"/>
      <c r="F75" s="13"/>
      <c r="G75" s="13"/>
      <c r="H75" s="13"/>
      <c r="I75" s="13"/>
      <c r="J75" s="13"/>
      <c r="K75" s="13"/>
    </row>
    <row r="76" customFormat="false" ht="14.25" hidden="false" customHeight="false" outlineLevel="0" collapsed="false">
      <c r="C76" s="13"/>
      <c r="D76" s="13"/>
      <c r="E76" s="13"/>
      <c r="F76" s="13"/>
      <c r="G76" s="13"/>
      <c r="H76" s="13"/>
      <c r="I76" s="13"/>
      <c r="J76" s="13"/>
      <c r="K76" s="13"/>
    </row>
    <row r="77" customFormat="false" ht="14.25" hidden="false" customHeight="false" outlineLevel="0" collapsed="false">
      <c r="C77" s="13"/>
      <c r="D77" s="13"/>
      <c r="E77" s="13"/>
      <c r="F77" s="13"/>
      <c r="G77" s="13"/>
      <c r="H77" s="13"/>
      <c r="I77" s="13"/>
      <c r="J77" s="13"/>
      <c r="K77" s="13"/>
    </row>
    <row r="78" customFormat="false" ht="14.25" hidden="false" customHeight="false" outlineLevel="0" collapsed="false">
      <c r="C78" s="13"/>
      <c r="D78" s="13"/>
      <c r="E78" s="13"/>
      <c r="F78" s="13"/>
      <c r="G78" s="13"/>
      <c r="H78" s="13"/>
      <c r="I78" s="13"/>
      <c r="J78" s="13"/>
      <c r="K78" s="13"/>
    </row>
    <row r="79" customFormat="false" ht="14.25" hidden="false" customHeight="false" outlineLevel="0" collapsed="false">
      <c r="C79" s="13"/>
      <c r="D79" s="13"/>
      <c r="E79" s="13"/>
      <c r="F79" s="13"/>
      <c r="G79" s="13"/>
      <c r="H79" s="13"/>
      <c r="I79" s="13"/>
      <c r="J79" s="13"/>
      <c r="K79" s="13"/>
    </row>
    <row r="80" customFormat="false" ht="14.25" hidden="false" customHeight="false" outlineLevel="0" collapsed="false">
      <c r="C80" s="13"/>
      <c r="D80" s="13"/>
      <c r="E80" s="13"/>
      <c r="F80" s="13"/>
      <c r="G80" s="13"/>
      <c r="H80" s="13"/>
      <c r="I80" s="13"/>
      <c r="J80" s="13"/>
      <c r="K80" s="13"/>
    </row>
    <row r="81" customFormat="false" ht="14.25" hidden="false" customHeight="false" outlineLevel="0" collapsed="false">
      <c r="C81" s="13"/>
      <c r="D81" s="13"/>
      <c r="E81" s="13"/>
      <c r="F81" s="13"/>
      <c r="G81" s="13"/>
      <c r="H81" s="13"/>
      <c r="I81" s="13"/>
      <c r="J81" s="13"/>
      <c r="K81" s="13"/>
    </row>
    <row r="82" customFormat="false" ht="14.25" hidden="false" customHeight="false" outlineLevel="0" collapsed="false">
      <c r="C82" s="13"/>
      <c r="D82" s="13"/>
      <c r="E82" s="13"/>
      <c r="F82" s="13"/>
      <c r="G82" s="13"/>
      <c r="H82" s="13"/>
      <c r="I82" s="13"/>
      <c r="J82" s="13"/>
      <c r="K82" s="13"/>
    </row>
    <row r="83" customFormat="false" ht="14.25" hidden="false" customHeight="false" outlineLevel="0" collapsed="false">
      <c r="C83" s="13"/>
      <c r="D83" s="13"/>
      <c r="E83" s="13"/>
      <c r="F83" s="13"/>
      <c r="G83" s="13"/>
      <c r="H83" s="13"/>
      <c r="I83" s="13"/>
      <c r="J83" s="13"/>
      <c r="K83" s="13"/>
    </row>
    <row r="84" customFormat="false" ht="14.25" hidden="false" customHeight="false" outlineLevel="0" collapsed="false">
      <c r="C84" s="13" t="s">
        <v>56</v>
      </c>
      <c r="D84" s="13" t="n">
        <v>1</v>
      </c>
      <c r="E84" s="13"/>
      <c r="F84" s="13"/>
      <c r="G84" s="13"/>
      <c r="H84" s="13"/>
      <c r="I84" s="13"/>
      <c r="J84" s="13"/>
      <c r="K84" s="13"/>
    </row>
    <row r="85" customFormat="false" ht="14.25" hidden="false" customHeight="false" outlineLevel="0" collapsed="false">
      <c r="C85" s="13"/>
      <c r="D85" s="13"/>
      <c r="E85" s="13"/>
      <c r="F85" s="13"/>
      <c r="G85" s="13"/>
      <c r="H85" s="13"/>
      <c r="I85" s="13"/>
      <c r="J85" s="13"/>
      <c r="K85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26:Q33"/>
  <sheetViews>
    <sheetView showFormulas="false" showGridLines="true" showRowColHeaders="true" showZeros="true" rightToLeft="false" tabSelected="false" showOutlineSymbols="true" defaultGridColor="true" view="normal" topLeftCell="A1" colorId="64" zoomScale="48" zoomScaleNormal="48" zoomScalePageLayoutView="100" workbookViewId="0">
      <selection pane="topLeft" activeCell="O24" activeCellId="0" sqref="O24"/>
    </sheetView>
  </sheetViews>
  <sheetFormatPr defaultColWidth="8.73046875" defaultRowHeight="14.25" zeroHeight="false" outlineLevelRow="0" outlineLevelCol="0"/>
  <cols>
    <col collapsed="false" customWidth="true" hidden="false" outlineLevel="0" max="6" min="6" style="0" width="29.27"/>
    <col collapsed="false" customWidth="true" hidden="false" outlineLevel="0" max="8" min="8" style="0" width="27"/>
    <col collapsed="false" customWidth="true" hidden="false" outlineLevel="0" max="9" min="9" style="0" width="43.73"/>
    <col collapsed="false" customWidth="true" hidden="false" outlineLevel="0" max="12" min="12" style="0" width="10.27"/>
    <col collapsed="false" customWidth="true" hidden="false" outlineLevel="0" max="14" min="14" style="0" width="12.82"/>
    <col collapsed="false" customWidth="true" hidden="false" outlineLevel="0" max="15" min="15" style="0" width="11.36"/>
    <col collapsed="false" customWidth="true" hidden="false" outlineLevel="0" max="16" min="16" style="0" width="12.64"/>
  </cols>
  <sheetData>
    <row r="26" customFormat="false" ht="14.25" hidden="false" customHeight="false" outlineLevel="0" collapsed="false">
      <c r="F26" s="0" t="s">
        <v>57</v>
      </c>
    </row>
    <row r="27" customFormat="false" ht="14.25" hidden="false" customHeight="false" outlineLevel="0" collapsed="false">
      <c r="L27" s="14" t="s">
        <v>58</v>
      </c>
    </row>
    <row r="30" customFormat="false" ht="15" hidden="false" customHeight="true" outlineLevel="0" collapsed="false">
      <c r="F30" s="0" t="s">
        <v>59</v>
      </c>
      <c r="G30" s="3" t="s">
        <v>25</v>
      </c>
      <c r="H30" s="0" t="s">
        <v>48</v>
      </c>
      <c r="I30" s="0" t="s">
        <v>60</v>
      </c>
      <c r="J30" s="3" t="s">
        <v>33</v>
      </c>
      <c r="K30" s="3" t="s">
        <v>61</v>
      </c>
      <c r="L30" s="0" t="s">
        <v>1</v>
      </c>
      <c r="M30" s="3" t="s">
        <v>62</v>
      </c>
      <c r="N30" s="0" t="s">
        <v>63</v>
      </c>
      <c r="O30" s="0" t="s">
        <v>64</v>
      </c>
      <c r="P30" s="0" t="s">
        <v>65</v>
      </c>
      <c r="Q30" s="3" t="s">
        <v>66</v>
      </c>
    </row>
    <row r="31" customFormat="false" ht="15.75" hidden="false" customHeight="true" outlineLevel="0" collapsed="false">
      <c r="F31" s="0" t="s">
        <v>67</v>
      </c>
      <c r="H31" s="15" t="s">
        <v>68</v>
      </c>
      <c r="M31" s="0" t="n">
        <v>-0.25</v>
      </c>
      <c r="O31" s="0" t="n">
        <v>0</v>
      </c>
      <c r="P31" s="0" t="n">
        <v>3</v>
      </c>
      <c r="Q31" s="3" t="s">
        <v>69</v>
      </c>
    </row>
    <row r="32" customFormat="false" ht="15" hidden="false" customHeight="true" outlineLevel="0" collapsed="false">
      <c r="H32" s="0" t="s">
        <v>70</v>
      </c>
      <c r="M32" s="0" t="n">
        <v>-0.1</v>
      </c>
    </row>
    <row r="33" customFormat="false" ht="14.25" hidden="false" customHeight="false" outlineLevel="0" collapsed="false">
      <c r="H33" s="0" t="s">
        <v>71</v>
      </c>
      <c r="K33" s="3" t="s">
        <v>72</v>
      </c>
      <c r="N3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58"/>
  <sheetViews>
    <sheetView showFormulas="false" showGridLines="true" showRowColHeaders="true" showZeros="true" rightToLeft="false" tabSelected="false" showOutlineSymbols="true" defaultGridColor="true" view="normal" topLeftCell="A33" colorId="64" zoomScale="73" zoomScaleNormal="73" zoomScalePageLayoutView="100" workbookViewId="0">
      <selection pane="topLeft" activeCell="K60" activeCellId="0" sqref="K60"/>
    </sheetView>
  </sheetViews>
  <sheetFormatPr defaultColWidth="8.73046875" defaultRowHeight="14.25" zeroHeight="false" outlineLevelRow="0" outlineLevelCol="0"/>
  <cols>
    <col collapsed="false" customWidth="true" hidden="false" outlineLevel="0" max="4" min="4" style="0" width="27.16"/>
    <col collapsed="false" customWidth="true" hidden="false" outlineLevel="0" max="6" min="6" style="0" width="31.91"/>
    <col collapsed="false" customWidth="true" hidden="false" outlineLevel="0" max="7" min="7" style="0" width="19.53"/>
    <col collapsed="false" customWidth="true" hidden="false" outlineLevel="0" max="8" min="8" style="0" width="16.76"/>
    <col collapsed="false" customWidth="true" hidden="false" outlineLevel="0" max="10" min="10" style="0" width="12.18"/>
    <col collapsed="false" customWidth="true" hidden="false" outlineLevel="0" max="11" min="11" style="0" width="17.55"/>
    <col collapsed="false" customWidth="true" hidden="false" outlineLevel="0" max="12" min="12" style="0" width="10.18"/>
    <col collapsed="false" customWidth="true" hidden="false" outlineLevel="0" max="13" min="13" style="0" width="12.36"/>
  </cols>
  <sheetData>
    <row r="2" customFormat="false" ht="14.25" hidden="false" customHeight="false" outlineLevel="0" collapsed="false">
      <c r="B2" s="0" t="s">
        <v>73</v>
      </c>
    </row>
    <row r="3" customFormat="false" ht="14.25" hidden="false" customHeight="false" outlineLevel="0" collapsed="false">
      <c r="B3" s="0" t="s">
        <v>74</v>
      </c>
    </row>
    <row r="4" customFormat="false" ht="14.25" hidden="false" customHeight="false" outlineLevel="0" collapsed="false">
      <c r="D4" s="16"/>
      <c r="E4" s="16"/>
      <c r="F4" s="16"/>
      <c r="G4" s="16"/>
      <c r="H4" s="16" t="s">
        <v>75</v>
      </c>
      <c r="I4" s="16"/>
      <c r="J4" s="16"/>
      <c r="K4" s="16"/>
      <c r="L4" s="16"/>
      <c r="M4" s="16"/>
      <c r="N4" s="16"/>
    </row>
    <row r="5" customFormat="false" ht="14.25" hidden="false" customHeight="false" outlineLevel="0" collapsed="false"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</row>
    <row r="6" customFormat="false" ht="14.25" hidden="false" customHeight="false" outlineLevel="0" collapsed="false"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</row>
    <row r="7" customFormat="false" ht="14.25" hidden="false" customHeight="false" outlineLevel="0" collapsed="false"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</row>
    <row r="8" customFormat="false" ht="14.25" hidden="false" customHeight="false" outlineLevel="0" collapsed="false">
      <c r="D8" s="17" t="s">
        <v>59</v>
      </c>
      <c r="E8" s="17" t="s">
        <v>76</v>
      </c>
      <c r="F8" s="17" t="s">
        <v>6</v>
      </c>
      <c r="G8" s="17" t="s">
        <v>77</v>
      </c>
      <c r="H8" s="17" t="s">
        <v>4</v>
      </c>
      <c r="I8" s="17" t="s">
        <v>2</v>
      </c>
      <c r="J8" s="17" t="s">
        <v>78</v>
      </c>
      <c r="K8" s="17" t="s">
        <v>79</v>
      </c>
      <c r="L8" s="16" t="s">
        <v>64</v>
      </c>
      <c r="M8" s="16" t="s">
        <v>65</v>
      </c>
      <c r="N8" s="17" t="s">
        <v>66</v>
      </c>
    </row>
    <row r="9" customFormat="false" ht="14.25" hidden="false" customHeight="false" outlineLevel="0" collapsed="false">
      <c r="D9" s="18" t="s">
        <v>80</v>
      </c>
      <c r="E9" s="16"/>
      <c r="F9" s="18" t="s">
        <v>81</v>
      </c>
      <c r="G9" s="18" t="s">
        <v>82</v>
      </c>
      <c r="H9" s="18" t="s">
        <v>83</v>
      </c>
      <c r="I9" s="18" t="s">
        <v>84</v>
      </c>
      <c r="J9" s="16" t="n">
        <v>1</v>
      </c>
      <c r="K9" s="18" t="n">
        <v>1.25</v>
      </c>
      <c r="L9" s="16" t="n">
        <v>0.05</v>
      </c>
      <c r="M9" s="18" t="n">
        <v>1</v>
      </c>
      <c r="N9" s="18"/>
    </row>
    <row r="10" customFormat="false" ht="14.25" hidden="false" customHeight="false" outlineLevel="0" collapsed="false">
      <c r="D10" s="18" t="s">
        <v>85</v>
      </c>
      <c r="E10" s="16"/>
      <c r="F10" s="18" t="s">
        <v>86</v>
      </c>
      <c r="G10" s="18" t="s">
        <v>82</v>
      </c>
      <c r="H10" s="18" t="s">
        <v>83</v>
      </c>
      <c r="I10" s="18" t="s">
        <v>84</v>
      </c>
      <c r="J10" s="16" t="n">
        <v>1</v>
      </c>
      <c r="K10" s="18" t="n">
        <v>1.11</v>
      </c>
      <c r="L10" s="16" t="n">
        <v>0.05</v>
      </c>
      <c r="M10" s="18" t="n">
        <v>1</v>
      </c>
      <c r="N10" s="18"/>
    </row>
    <row r="11" customFormat="false" ht="14.25" hidden="false" customHeight="false" outlineLevel="0" collapsed="false">
      <c r="D11" s="18" t="s">
        <v>87</v>
      </c>
      <c r="E11" s="16"/>
      <c r="F11" s="18" t="s">
        <v>88</v>
      </c>
      <c r="G11" s="18" t="s">
        <v>82</v>
      </c>
      <c r="H11" s="18" t="s">
        <v>83</v>
      </c>
      <c r="I11" s="18" t="s">
        <v>84</v>
      </c>
      <c r="J11" s="16" t="n">
        <v>1</v>
      </c>
      <c r="K11" s="18" t="n">
        <v>1.15</v>
      </c>
      <c r="L11" s="16" t="n">
        <v>0.08</v>
      </c>
      <c r="M11" s="18" t="n">
        <v>1</v>
      </c>
      <c r="N11" s="18"/>
    </row>
    <row r="12" customFormat="false" ht="15.75" hidden="false" customHeight="true" outlineLevel="0" collapsed="false">
      <c r="D12" s="18" t="s">
        <v>89</v>
      </c>
      <c r="E12" s="16"/>
      <c r="F12" s="19" t="s">
        <v>90</v>
      </c>
      <c r="G12" s="18" t="s">
        <v>82</v>
      </c>
      <c r="H12" s="18" t="s">
        <v>83</v>
      </c>
      <c r="I12" s="18" t="s">
        <v>84</v>
      </c>
      <c r="J12" s="16" t="n">
        <v>1</v>
      </c>
      <c r="K12" s="18" t="n">
        <v>1.12</v>
      </c>
      <c r="L12" s="16" t="n">
        <v>0.03</v>
      </c>
      <c r="M12" s="18" t="n">
        <v>1</v>
      </c>
      <c r="N12" s="18"/>
    </row>
    <row r="13" customFormat="false" ht="14.25" hidden="false" customHeight="false" outlineLevel="0" collapsed="false">
      <c r="D13" s="18" t="s">
        <v>91</v>
      </c>
      <c r="E13" s="16"/>
      <c r="F13" s="18" t="s">
        <v>92</v>
      </c>
      <c r="G13" s="18" t="s">
        <v>82</v>
      </c>
      <c r="H13" s="18" t="s">
        <v>83</v>
      </c>
      <c r="I13" s="18" t="s">
        <v>84</v>
      </c>
      <c r="J13" s="16" t="n">
        <v>1</v>
      </c>
      <c r="K13" s="18" t="n">
        <v>1.2</v>
      </c>
      <c r="L13" s="16" t="n">
        <v>0.1</v>
      </c>
      <c r="M13" s="18" t="n">
        <v>1</v>
      </c>
      <c r="N13" s="18"/>
    </row>
    <row r="14" customFormat="false" ht="14.25" hidden="false" customHeight="false" outlineLevel="0" collapsed="false">
      <c r="D14" s="18" t="s">
        <v>93</v>
      </c>
      <c r="E14" s="16"/>
      <c r="F14" s="18" t="s">
        <v>94</v>
      </c>
      <c r="G14" s="18" t="s">
        <v>82</v>
      </c>
      <c r="H14" s="18" t="s">
        <v>83</v>
      </c>
      <c r="I14" s="18" t="s">
        <v>84</v>
      </c>
      <c r="J14" s="16" t="n">
        <v>1</v>
      </c>
      <c r="K14" s="18" t="n">
        <v>1.06</v>
      </c>
      <c r="L14" s="16" t="n">
        <v>0.15</v>
      </c>
      <c r="M14" s="18" t="n">
        <v>1</v>
      </c>
      <c r="N14" s="18"/>
    </row>
    <row r="15" customFormat="false" ht="14.25" hidden="false" customHeight="false" outlineLevel="0" collapsed="false">
      <c r="D15" s="18" t="s">
        <v>95</v>
      </c>
      <c r="E15" s="16"/>
      <c r="F15" s="18" t="s">
        <v>96</v>
      </c>
      <c r="G15" s="18" t="s">
        <v>82</v>
      </c>
      <c r="H15" s="18" t="s">
        <v>83</v>
      </c>
      <c r="I15" s="18" t="s">
        <v>84</v>
      </c>
      <c r="J15" s="16" t="n">
        <v>1</v>
      </c>
      <c r="K15" s="18" t="n">
        <v>1.06</v>
      </c>
      <c r="L15" s="16" t="n">
        <v>0.3</v>
      </c>
      <c r="M15" s="18" t="n">
        <v>1</v>
      </c>
      <c r="N15" s="18"/>
    </row>
    <row r="16" customFormat="false" ht="15.75" hidden="false" customHeight="true" outlineLevel="0" collapsed="false">
      <c r="D16" s="18" t="s">
        <v>97</v>
      </c>
      <c r="E16" s="16"/>
      <c r="F16" s="19" t="s">
        <v>98</v>
      </c>
      <c r="G16" s="16" t="str">
        <f aca="false">G15</f>
        <v>CAP,GROWTH</v>
      </c>
      <c r="H16" s="16" t="str">
        <f aca="false">H15</f>
        <v>2025, 2150</v>
      </c>
      <c r="I16" s="18" t="s">
        <v>84</v>
      </c>
      <c r="J16" s="16" t="n">
        <f aca="false">J12</f>
        <v>1</v>
      </c>
      <c r="K16" s="16" t="n">
        <f aca="false">K12</f>
        <v>1.12</v>
      </c>
      <c r="L16" s="16" t="n">
        <f aca="false">L12</f>
        <v>0.03</v>
      </c>
      <c r="M16" s="16" t="n">
        <f aca="false">M15</f>
        <v>1</v>
      </c>
      <c r="N16" s="16"/>
    </row>
    <row r="17" customFormat="false" ht="15.75" hidden="false" customHeight="true" outlineLevel="0" collapsed="false">
      <c r="D17" s="18" t="s">
        <v>99</v>
      </c>
      <c r="E17" s="16"/>
      <c r="F17" s="19" t="s">
        <v>100</v>
      </c>
      <c r="G17" s="16" t="str">
        <f aca="false">G16</f>
        <v>CAP,GROWTH</v>
      </c>
      <c r="H17" s="16" t="str">
        <f aca="false">H16</f>
        <v>2025, 2150</v>
      </c>
      <c r="I17" s="18" t="s">
        <v>84</v>
      </c>
      <c r="J17" s="16" t="n">
        <f aca="false">J16</f>
        <v>1</v>
      </c>
      <c r="K17" s="16" t="n">
        <f aca="false">K16</f>
        <v>1.12</v>
      </c>
      <c r="L17" s="16" t="n">
        <f aca="false">L16</f>
        <v>0.03</v>
      </c>
      <c r="M17" s="16" t="n">
        <f aca="false">M16</f>
        <v>1</v>
      </c>
      <c r="N17" s="16"/>
    </row>
    <row r="18" customFormat="false" ht="15.75" hidden="false" customHeight="true" outlineLevel="0" collapsed="false">
      <c r="D18" s="18" t="s">
        <v>101</v>
      </c>
      <c r="E18" s="16"/>
      <c r="F18" s="19" t="s">
        <v>102</v>
      </c>
      <c r="G18" s="16" t="str">
        <f aca="false">G17</f>
        <v>CAP,GROWTH</v>
      </c>
      <c r="H18" s="16" t="str">
        <f aca="false">H17</f>
        <v>2025, 2150</v>
      </c>
      <c r="I18" s="18" t="s">
        <v>84</v>
      </c>
      <c r="J18" s="16" t="n">
        <v>1</v>
      </c>
      <c r="K18" s="16" t="n">
        <v>1</v>
      </c>
      <c r="L18" s="16" t="n">
        <v>0</v>
      </c>
      <c r="M18" s="16" t="n">
        <v>1</v>
      </c>
      <c r="N18" s="16"/>
    </row>
    <row r="25" customFormat="false" ht="14.25" hidden="false" customHeight="false" outlineLevel="0" collapsed="false">
      <c r="K25" s="0" t="s">
        <v>103</v>
      </c>
      <c r="L25" s="4" t="s">
        <v>104</v>
      </c>
    </row>
    <row r="28" customFormat="false" ht="14.25" hidden="false" customHeight="false" outlineLevel="0" collapsed="false">
      <c r="H28" s="0" t="s">
        <v>75</v>
      </c>
    </row>
    <row r="29" customFormat="false" ht="14.25" hidden="false" customHeight="false" outlineLevel="0" collapsed="false">
      <c r="D29" s="0" t="s">
        <v>59</v>
      </c>
      <c r="E29" s="3" t="s">
        <v>76</v>
      </c>
      <c r="F29" s="0" t="s">
        <v>6</v>
      </c>
      <c r="G29" s="0" t="s">
        <v>77</v>
      </c>
      <c r="H29" s="0" t="s">
        <v>4</v>
      </c>
      <c r="I29" s="0" t="s">
        <v>2</v>
      </c>
      <c r="J29" s="0" t="s">
        <v>78</v>
      </c>
      <c r="K29" s="0" t="s">
        <v>79</v>
      </c>
      <c r="L29" s="0" t="s">
        <v>64</v>
      </c>
      <c r="M29" s="0" t="s">
        <v>65</v>
      </c>
      <c r="N29" s="3" t="s">
        <v>66</v>
      </c>
    </row>
    <row r="30" customFormat="false" ht="15.75" hidden="false" customHeight="true" outlineLevel="0" collapsed="false">
      <c r="D30" s="0" t="s">
        <v>105</v>
      </c>
      <c r="F30" s="2" t="s">
        <v>106</v>
      </c>
      <c r="G30" s="0" t="s">
        <v>82</v>
      </c>
      <c r="H30" s="0" t="s">
        <v>107</v>
      </c>
      <c r="I30" s="0" t="s">
        <v>108</v>
      </c>
      <c r="J30" s="0" t="n">
        <v>1</v>
      </c>
      <c r="K30" s="0" t="n">
        <v>1</v>
      </c>
      <c r="L30" s="0" t="n">
        <v>0.01</v>
      </c>
      <c r="M30" s="0" t="n">
        <v>1</v>
      </c>
    </row>
    <row r="31" customFormat="false" ht="15.75" hidden="false" customHeight="true" outlineLevel="0" collapsed="false">
      <c r="D31" s="0" t="s">
        <v>109</v>
      </c>
      <c r="F31" s="7" t="s">
        <v>110</v>
      </c>
      <c r="G31" s="0" t="s">
        <v>82</v>
      </c>
      <c r="H31" s="0" t="s">
        <v>107</v>
      </c>
      <c r="I31" s="0" t="s">
        <v>108</v>
      </c>
      <c r="J31" s="0" t="n">
        <v>1</v>
      </c>
      <c r="K31" s="0" t="n">
        <v>1</v>
      </c>
      <c r="L31" s="0" t="n">
        <f aca="false">L30</f>
        <v>0.01</v>
      </c>
      <c r="M31" s="0" t="n">
        <v>1</v>
      </c>
    </row>
    <row r="32" customFormat="false" ht="15.75" hidden="false" customHeight="true" outlineLevel="0" collapsed="false">
      <c r="D32" s="0" t="s">
        <v>111</v>
      </c>
      <c r="F32" s="7" t="s">
        <v>112</v>
      </c>
      <c r="G32" s="0" t="s">
        <v>82</v>
      </c>
      <c r="H32" s="0" t="s">
        <v>107</v>
      </c>
      <c r="I32" s="0" t="s">
        <v>108</v>
      </c>
      <c r="J32" s="0" t="n">
        <v>1</v>
      </c>
      <c r="K32" s="0" t="n">
        <v>1</v>
      </c>
      <c r="L32" s="0" t="n">
        <f aca="false">L31</f>
        <v>0.01</v>
      </c>
      <c r="M32" s="0" t="n">
        <v>1</v>
      </c>
    </row>
    <row r="33" customFormat="false" ht="15.75" hidden="false" customHeight="true" outlineLevel="0" collapsed="false">
      <c r="D33" s="0" t="s">
        <v>113</v>
      </c>
      <c r="F33" s="2" t="s">
        <v>114</v>
      </c>
      <c r="G33" s="0" t="s">
        <v>82</v>
      </c>
      <c r="H33" s="0" t="s">
        <v>107</v>
      </c>
      <c r="I33" s="0" t="s">
        <v>108</v>
      </c>
      <c r="J33" s="0" t="n">
        <v>1</v>
      </c>
      <c r="K33" s="0" t="n">
        <f aca="false">K32</f>
        <v>1</v>
      </c>
      <c r="L33" s="0" t="n">
        <f aca="false">L32</f>
        <v>0.01</v>
      </c>
      <c r="M33" s="0" t="n">
        <v>1</v>
      </c>
    </row>
    <row r="34" customFormat="false" ht="15.75" hidden="false" customHeight="true" outlineLevel="0" collapsed="false">
      <c r="D34" s="0" t="s">
        <v>115</v>
      </c>
      <c r="F34" s="2" t="s">
        <v>116</v>
      </c>
      <c r="G34" s="0" t="s">
        <v>82</v>
      </c>
      <c r="H34" s="0" t="s">
        <v>107</v>
      </c>
      <c r="I34" s="0" t="s">
        <v>108</v>
      </c>
      <c r="J34" s="0" t="n">
        <v>1</v>
      </c>
      <c r="K34" s="0" t="n">
        <f aca="false">K33</f>
        <v>1</v>
      </c>
      <c r="L34" s="0" t="n">
        <f aca="false">L33</f>
        <v>0.01</v>
      </c>
      <c r="M34" s="0" t="n">
        <v>1</v>
      </c>
    </row>
    <row r="35" customFormat="false" ht="15.75" hidden="false" customHeight="true" outlineLevel="0" collapsed="false">
      <c r="D35" s="0" t="s">
        <v>117</v>
      </c>
      <c r="F35" s="2" t="s">
        <v>118</v>
      </c>
      <c r="G35" s="0" t="s">
        <v>82</v>
      </c>
      <c r="H35" s="0" t="s">
        <v>107</v>
      </c>
      <c r="I35" s="0" t="s">
        <v>108</v>
      </c>
      <c r="J35" s="0" t="n">
        <v>1</v>
      </c>
      <c r="K35" s="0" t="n">
        <f aca="false">K34</f>
        <v>1</v>
      </c>
      <c r="L35" s="0" t="n">
        <f aca="false">L34</f>
        <v>0.01</v>
      </c>
      <c r="M35" s="0" t="n">
        <v>1</v>
      </c>
    </row>
    <row r="36" customFormat="false" ht="15.75" hidden="false" customHeight="true" outlineLevel="0" collapsed="false">
      <c r="D36" s="0" t="s">
        <v>119</v>
      </c>
      <c r="F36" s="2" t="s">
        <v>120</v>
      </c>
      <c r="G36" s="0" t="s">
        <v>82</v>
      </c>
      <c r="H36" s="0" t="s">
        <v>107</v>
      </c>
      <c r="I36" s="0" t="s">
        <v>108</v>
      </c>
      <c r="J36" s="0" t="n">
        <v>1</v>
      </c>
      <c r="K36" s="0" t="n">
        <f aca="false">K35</f>
        <v>1</v>
      </c>
      <c r="L36" s="0" t="n">
        <f aca="false">L35</f>
        <v>0.01</v>
      </c>
      <c r="M36" s="0" t="n">
        <v>1</v>
      </c>
    </row>
    <row r="37" customFormat="false" ht="15.75" hidden="false" customHeight="true" outlineLevel="0" collapsed="false">
      <c r="D37" s="1" t="s">
        <v>121</v>
      </c>
      <c r="E37" s="1"/>
      <c r="F37" s="20" t="s">
        <v>122</v>
      </c>
      <c r="G37" s="1" t="s">
        <v>82</v>
      </c>
      <c r="H37" s="1" t="s">
        <v>123</v>
      </c>
      <c r="I37" s="1" t="s">
        <v>108</v>
      </c>
      <c r="J37" s="1" t="n">
        <v>1</v>
      </c>
      <c r="K37" s="1" t="n">
        <v>1</v>
      </c>
      <c r="L37" s="1" t="n">
        <v>0</v>
      </c>
      <c r="M37" s="1" t="n">
        <v>3</v>
      </c>
    </row>
    <row r="38" customFormat="false" ht="15.75" hidden="false" customHeight="true" outlineLevel="0" collapsed="false">
      <c r="D38" s="21" t="s">
        <v>124</v>
      </c>
      <c r="F38" s="20" t="s">
        <v>125</v>
      </c>
      <c r="G38" s="1" t="s">
        <v>82</v>
      </c>
      <c r="H38" s="0" t="str">
        <f aca="false">H37</f>
        <v>2019, 2150</v>
      </c>
      <c r="I38" s="0" t="s">
        <v>84</v>
      </c>
      <c r="J38" s="0" t="n">
        <v>1</v>
      </c>
      <c r="K38" s="0" t="n">
        <v>1.1</v>
      </c>
      <c r="L38" s="0" t="n">
        <v>0</v>
      </c>
      <c r="M38" s="0" t="n">
        <v>3</v>
      </c>
    </row>
    <row r="39" customFormat="false" ht="15.75" hidden="false" customHeight="true" outlineLevel="0" collapsed="false">
      <c r="D39" s="21" t="s">
        <v>126</v>
      </c>
      <c r="F39" s="20" t="s">
        <v>127</v>
      </c>
      <c r="G39" s="1" t="s">
        <v>82</v>
      </c>
      <c r="H39" s="0" t="str">
        <f aca="false">H38</f>
        <v>2019, 2150</v>
      </c>
      <c r="I39" s="0" t="str">
        <f aca="false">I38</f>
        <v>UP</v>
      </c>
      <c r="J39" s="0" t="n">
        <f aca="false">J38</f>
        <v>1</v>
      </c>
      <c r="K39" s="0" t="n">
        <f aca="false">K38</f>
        <v>1.1</v>
      </c>
      <c r="L39" s="0" t="n">
        <f aca="false">L38</f>
        <v>0</v>
      </c>
      <c r="M39" s="0" t="n">
        <f aca="false">M38</f>
        <v>3</v>
      </c>
    </row>
    <row r="40" customFormat="false" ht="15.75" hidden="false" customHeight="true" outlineLevel="0" collapsed="false">
      <c r="D40" s="21" t="s">
        <v>128</v>
      </c>
      <c r="F40" s="20" t="s">
        <v>129</v>
      </c>
      <c r="G40" s="1" t="s">
        <v>82</v>
      </c>
      <c r="H40" s="0" t="str">
        <f aca="false">H39</f>
        <v>2019, 2150</v>
      </c>
      <c r="I40" s="0" t="str">
        <f aca="false">I39</f>
        <v>UP</v>
      </c>
      <c r="J40" s="0" t="n">
        <f aca="false">J39</f>
        <v>1</v>
      </c>
      <c r="K40" s="0" t="n">
        <f aca="false">K39</f>
        <v>1.1</v>
      </c>
      <c r="L40" s="0" t="n">
        <f aca="false">L39</f>
        <v>0</v>
      </c>
      <c r="M40" s="0" t="n">
        <f aca="false">M39</f>
        <v>3</v>
      </c>
    </row>
    <row r="41" customFormat="false" ht="15.75" hidden="false" customHeight="true" outlineLevel="0" collapsed="false">
      <c r="D41" s="21" t="s">
        <v>130</v>
      </c>
      <c r="F41" s="20" t="s">
        <v>131</v>
      </c>
      <c r="G41" s="1" t="s">
        <v>82</v>
      </c>
      <c r="H41" s="0" t="str">
        <f aca="false">H40</f>
        <v>2019, 2150</v>
      </c>
      <c r="I41" s="0" t="str">
        <f aca="false">I40</f>
        <v>UP</v>
      </c>
      <c r="J41" s="0" t="n">
        <f aca="false">J40</f>
        <v>1</v>
      </c>
      <c r="K41" s="0" t="n">
        <f aca="false">K40</f>
        <v>1.1</v>
      </c>
      <c r="L41" s="0" t="n">
        <f aca="false">L40</f>
        <v>0</v>
      </c>
      <c r="M41" s="0" t="n">
        <f aca="false">M40</f>
        <v>3</v>
      </c>
    </row>
    <row r="42" customFormat="false" ht="15.75" hidden="false" customHeight="true" outlineLevel="0" collapsed="false">
      <c r="D42" s="21" t="s">
        <v>132</v>
      </c>
      <c r="F42" s="20" t="s">
        <v>133</v>
      </c>
      <c r="G42" s="1" t="s">
        <v>82</v>
      </c>
      <c r="H42" s="0" t="str">
        <f aca="false">H41</f>
        <v>2019, 2150</v>
      </c>
      <c r="I42" s="0" t="str">
        <f aca="false">I41</f>
        <v>UP</v>
      </c>
      <c r="J42" s="0" t="n">
        <f aca="false">J41</f>
        <v>1</v>
      </c>
      <c r="K42" s="0" t="n">
        <f aca="false">K41</f>
        <v>1.1</v>
      </c>
      <c r="L42" s="0" t="n">
        <f aca="false">L41</f>
        <v>0</v>
      </c>
      <c r="M42" s="0" t="n">
        <f aca="false">M41</f>
        <v>3</v>
      </c>
    </row>
    <row r="43" customFormat="false" ht="14.25" hidden="false" customHeight="false" outlineLevel="0" collapsed="false">
      <c r="D43" s="1" t="s">
        <v>134</v>
      </c>
      <c r="E43" s="1"/>
      <c r="F43" s="22" t="s">
        <v>135</v>
      </c>
      <c r="G43" s="1" t="s">
        <v>82</v>
      </c>
      <c r="H43" s="1" t="s">
        <v>123</v>
      </c>
      <c r="I43" s="1" t="s">
        <v>108</v>
      </c>
      <c r="J43" s="1" t="n">
        <v>1</v>
      </c>
      <c r="K43" s="1" t="n">
        <v>1</v>
      </c>
      <c r="L43" s="1" t="n">
        <v>0</v>
      </c>
      <c r="M43" s="1" t="n">
        <v>3</v>
      </c>
    </row>
    <row r="45" customFormat="false" ht="14.25" hidden="false" customHeight="false" outlineLevel="0" collapsed="false">
      <c r="F45" s="23"/>
    </row>
    <row r="50" customFormat="false" ht="14.25" hidden="false" customHeight="false" outlineLevel="0" collapsed="false">
      <c r="H50" s="0" t="s">
        <v>75</v>
      </c>
    </row>
    <row r="51" customFormat="false" ht="15.75" hidden="false" customHeight="true" outlineLevel="0" collapsed="false">
      <c r="D51" s="0" t="s">
        <v>59</v>
      </c>
      <c r="E51" s="3" t="s">
        <v>136</v>
      </c>
      <c r="F51" s="0" t="s">
        <v>61</v>
      </c>
      <c r="G51" s="0" t="s">
        <v>77</v>
      </c>
      <c r="H51" s="0" t="s">
        <v>4</v>
      </c>
      <c r="I51" s="0" t="s">
        <v>2</v>
      </c>
      <c r="J51" s="2" t="s">
        <v>137</v>
      </c>
      <c r="K51" s="0" t="s">
        <v>138</v>
      </c>
      <c r="L51" s="0" t="s">
        <v>64</v>
      </c>
      <c r="M51" s="0" t="s">
        <v>65</v>
      </c>
      <c r="N51" s="3" t="s">
        <v>66</v>
      </c>
    </row>
    <row r="52" customFormat="false" ht="14.25" hidden="false" customHeight="false" outlineLevel="0" collapsed="false">
      <c r="D52" s="0" t="s">
        <v>139</v>
      </c>
      <c r="F52" s="8" t="s">
        <v>140</v>
      </c>
      <c r="G52" s="0" t="s">
        <v>141</v>
      </c>
      <c r="H52" s="0" t="s">
        <v>142</v>
      </c>
      <c r="I52" s="0" t="s">
        <v>84</v>
      </c>
      <c r="J52" s="0" t="n">
        <v>1</v>
      </c>
      <c r="K52" s="0" t="n">
        <v>1</v>
      </c>
      <c r="L52" s="0" t="n">
        <v>0</v>
      </c>
      <c r="M52" s="0" t="n">
        <v>5</v>
      </c>
    </row>
    <row r="53" customFormat="false" ht="14.25" hidden="false" customHeight="false" outlineLevel="0" collapsed="false">
      <c r="D53" s="0" t="s">
        <v>143</v>
      </c>
      <c r="F53" s="8" t="s">
        <v>144</v>
      </c>
      <c r="G53" s="0" t="s">
        <v>141</v>
      </c>
      <c r="H53" s="24" t="s">
        <v>123</v>
      </c>
      <c r="I53" s="0" t="s">
        <v>84</v>
      </c>
      <c r="J53" s="0" t="n">
        <v>1</v>
      </c>
      <c r="K53" s="0" t="n">
        <v>1</v>
      </c>
      <c r="L53" s="0" t="n">
        <f aca="false">L52</f>
        <v>0</v>
      </c>
      <c r="M53" s="0" t="n">
        <v>5</v>
      </c>
    </row>
    <row r="54" customFormat="false" ht="14.25" hidden="false" customHeight="false" outlineLevel="0" collapsed="false">
      <c r="D54" s="0" t="s">
        <v>145</v>
      </c>
      <c r="F54" s="8" t="s">
        <v>146</v>
      </c>
      <c r="G54" s="0" t="s">
        <v>141</v>
      </c>
      <c r="H54" s="0" t="s">
        <v>147</v>
      </c>
      <c r="I54" s="0" t="s">
        <v>84</v>
      </c>
      <c r="J54" s="0" t="n">
        <v>1</v>
      </c>
      <c r="K54" s="0" t="n">
        <v>1</v>
      </c>
      <c r="L54" s="0" t="n">
        <f aca="false">L53</f>
        <v>0</v>
      </c>
      <c r="M54" s="0" t="n">
        <v>5</v>
      </c>
    </row>
    <row r="55" customFormat="false" ht="15.75" hidden="false" customHeight="true" outlineLevel="0" collapsed="false">
      <c r="D55" s="0" t="s">
        <v>148</v>
      </c>
      <c r="F55" s="2" t="s">
        <v>149</v>
      </c>
      <c r="G55" s="0" t="s">
        <v>141</v>
      </c>
      <c r="H55" s="0" t="s">
        <v>142</v>
      </c>
      <c r="I55" s="0" t="s">
        <v>84</v>
      </c>
      <c r="J55" s="0" t="n">
        <v>1</v>
      </c>
      <c r="K55" s="0" t="n">
        <v>1</v>
      </c>
      <c r="L55" s="0" t="n">
        <f aca="false">L54</f>
        <v>0</v>
      </c>
      <c r="M55" s="0" t="n">
        <v>5</v>
      </c>
    </row>
    <row r="56" customFormat="false" ht="15.75" hidden="false" customHeight="true" outlineLevel="0" collapsed="false">
      <c r="F56" s="2"/>
    </row>
    <row r="57" customFormat="false" ht="15.75" hidden="false" customHeight="true" outlineLevel="0" collapsed="false">
      <c r="F57" s="2"/>
    </row>
    <row r="58" customFormat="false" ht="15.75" hidden="false" customHeight="true" outlineLevel="0" collapsed="false">
      <c r="F5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9:AR83"/>
  <sheetViews>
    <sheetView showFormulas="false" showGridLines="true" showRowColHeaders="true" showZeros="true" rightToLeft="false" tabSelected="false" showOutlineSymbols="true" defaultGridColor="true" view="normal" topLeftCell="A7" colorId="64" zoomScale="46" zoomScaleNormal="46" zoomScalePageLayoutView="100" workbookViewId="0">
      <selection pane="topLeft" activeCell="H52" activeCellId="0" sqref="H52"/>
    </sheetView>
  </sheetViews>
  <sheetFormatPr defaultColWidth="8.73046875" defaultRowHeight="14.25" zeroHeight="false" outlineLevelRow="0" outlineLevelCol="0"/>
  <cols>
    <col collapsed="false" customWidth="true" hidden="false" outlineLevel="0" max="6" min="6" style="0" width="24.55"/>
    <col collapsed="false" customWidth="true" hidden="false" outlineLevel="0" max="7" min="7" style="0" width="25.36"/>
    <col collapsed="false" customWidth="true" hidden="false" outlineLevel="0" max="8" min="8" style="0" width="56.36"/>
    <col collapsed="false" customWidth="true" hidden="false" outlineLevel="0" max="9" min="9" style="0" width="43.73"/>
    <col collapsed="false" customWidth="true" hidden="false" outlineLevel="0" max="12" min="12" style="0" width="11"/>
    <col collapsed="false" customWidth="true" hidden="false" outlineLevel="0" max="13" min="13" style="0" width="40.18"/>
    <col collapsed="false" customWidth="true" hidden="false" outlineLevel="0" max="14" min="14" style="0" width="12.82"/>
    <col collapsed="false" customWidth="true" hidden="false" outlineLevel="0" max="15" min="15" style="0" width="40.18"/>
    <col collapsed="false" customWidth="true" hidden="false" outlineLevel="0" max="16" min="16" style="0" width="12.64"/>
    <col collapsed="false" customWidth="true" hidden="false" outlineLevel="0" max="17" min="17" style="0" width="12.36"/>
    <col collapsed="false" customWidth="true" hidden="false" outlineLevel="0" max="18" min="18" style="0" width="10.36"/>
    <col collapsed="false" customWidth="true" hidden="false" outlineLevel="0" max="48" min="48" style="0" width="12.64"/>
  </cols>
  <sheetData>
    <row r="9" customFormat="false" ht="14.25" hidden="false" customHeight="false" outlineLevel="0" collapsed="false">
      <c r="F9" s="0" t="s">
        <v>57</v>
      </c>
    </row>
    <row r="12" customFormat="false" ht="14.25" hidden="false" customHeight="false" outlineLevel="0" collapsed="false">
      <c r="L12" s="0" t="s">
        <v>150</v>
      </c>
    </row>
    <row r="13" customFormat="false" ht="14.25" hidden="false" customHeight="false" outlineLevel="0" collapsed="false">
      <c r="F13" s="0" t="s">
        <v>59</v>
      </c>
      <c r="G13" s="0" t="s">
        <v>25</v>
      </c>
      <c r="H13" s="0" t="s">
        <v>48</v>
      </c>
      <c r="I13" s="0" t="s">
        <v>60</v>
      </c>
      <c r="J13" s="3" t="s">
        <v>33</v>
      </c>
      <c r="K13" s="3" t="s">
        <v>61</v>
      </c>
      <c r="L13" s="0" t="s">
        <v>1</v>
      </c>
      <c r="M13" s="0" t="s">
        <v>78</v>
      </c>
      <c r="N13" s="0" t="s">
        <v>63</v>
      </c>
      <c r="O13" s="0" t="s">
        <v>64</v>
      </c>
      <c r="P13" s="0" t="s">
        <v>65</v>
      </c>
      <c r="Q13" s="0" t="s">
        <v>66</v>
      </c>
    </row>
    <row r="14" customFormat="false" ht="14.25" hidden="false" customHeight="false" outlineLevel="0" collapsed="false">
      <c r="F14" s="0" t="s">
        <v>151</v>
      </c>
      <c r="H14" s="0" t="s">
        <v>152</v>
      </c>
      <c r="M14" s="0" t="n">
        <v>0.25</v>
      </c>
      <c r="O14" s="0" t="n">
        <v>0</v>
      </c>
      <c r="P14" s="0" t="n">
        <v>5</v>
      </c>
    </row>
    <row r="15" customFormat="false" ht="14.25" hidden="false" customHeight="false" outlineLevel="0" collapsed="false">
      <c r="H15" s="0" t="s">
        <v>153</v>
      </c>
      <c r="M15" s="0" t="n">
        <v>-1</v>
      </c>
    </row>
    <row r="26" customFormat="false" ht="14.25" hidden="false" customHeight="false" outlineLevel="0" collapsed="false">
      <c r="L26" s="0" t="s">
        <v>150</v>
      </c>
    </row>
    <row r="27" customFormat="false" ht="14.25" hidden="false" customHeight="false" outlineLevel="0" collapsed="false">
      <c r="F27" s="0" t="s">
        <v>59</v>
      </c>
      <c r="G27" s="0" t="s">
        <v>25</v>
      </c>
      <c r="H27" s="0" t="s">
        <v>48</v>
      </c>
      <c r="I27" s="0" t="s">
        <v>60</v>
      </c>
      <c r="J27" s="3" t="s">
        <v>33</v>
      </c>
      <c r="K27" s="3" t="s">
        <v>61</v>
      </c>
      <c r="L27" s="0" t="s">
        <v>1</v>
      </c>
      <c r="M27" s="0" t="s">
        <v>78</v>
      </c>
      <c r="N27" s="0" t="s">
        <v>63</v>
      </c>
      <c r="O27" s="0" t="s">
        <v>64</v>
      </c>
      <c r="P27" s="0" t="s">
        <v>65</v>
      </c>
      <c r="Q27" s="0" t="s">
        <v>66</v>
      </c>
    </row>
    <row r="28" customFormat="false" ht="15.75" hidden="false" customHeight="true" outlineLevel="0" collapsed="false">
      <c r="F28" s="0" t="s">
        <v>154</v>
      </c>
      <c r="H28" s="2" t="s">
        <v>155</v>
      </c>
      <c r="M28" s="0" t="n">
        <v>-0.1</v>
      </c>
      <c r="O28" s="0" t="n">
        <v>0</v>
      </c>
      <c r="P28" s="0" t="n">
        <v>5</v>
      </c>
    </row>
    <row r="29" customFormat="false" ht="14.25" hidden="false" customHeight="false" outlineLevel="0" collapsed="false">
      <c r="H29" s="0" t="s">
        <v>156</v>
      </c>
      <c r="M29" s="0" t="n">
        <v>1</v>
      </c>
    </row>
    <row r="35" customFormat="false" ht="14.25" hidden="false" customHeight="false" outlineLevel="0" collapsed="false">
      <c r="L35" s="0" t="s">
        <v>150</v>
      </c>
    </row>
    <row r="36" customFormat="false" ht="14.25" hidden="false" customHeight="false" outlineLevel="0" collapsed="false">
      <c r="F36" s="0" t="s">
        <v>59</v>
      </c>
      <c r="G36" s="0" t="s">
        <v>25</v>
      </c>
      <c r="H36" s="0" t="s">
        <v>48</v>
      </c>
      <c r="I36" s="0" t="s">
        <v>60</v>
      </c>
      <c r="J36" s="3" t="s">
        <v>33</v>
      </c>
      <c r="K36" s="3" t="s">
        <v>61</v>
      </c>
      <c r="L36" s="0" t="s">
        <v>1</v>
      </c>
      <c r="M36" s="0" t="s">
        <v>78</v>
      </c>
      <c r="N36" s="0" t="s">
        <v>63</v>
      </c>
      <c r="O36" s="0" t="s">
        <v>64</v>
      </c>
      <c r="P36" s="0" t="s">
        <v>65</v>
      </c>
      <c r="Q36" s="0" t="s">
        <v>66</v>
      </c>
    </row>
    <row r="37" customFormat="false" ht="14.25" hidden="false" customHeight="false" outlineLevel="0" collapsed="false">
      <c r="F37" s="0" t="s">
        <v>157</v>
      </c>
      <c r="H37" s="0" t="s">
        <v>158</v>
      </c>
      <c r="M37" s="0" t="n">
        <v>-0.1</v>
      </c>
      <c r="O37" s="0" t="n">
        <v>0</v>
      </c>
      <c r="P37" s="0" t="n">
        <v>5</v>
      </c>
    </row>
    <row r="38" customFormat="false" ht="14.25" hidden="false" customHeight="false" outlineLevel="0" collapsed="false">
      <c r="H38" s="0" t="s">
        <v>159</v>
      </c>
      <c r="M38" s="0" t="n">
        <v>1</v>
      </c>
    </row>
    <row r="51" customFormat="false" ht="14.25" hidden="false" customHeight="false" outlineLevel="0" collapsed="false">
      <c r="G51" s="25"/>
      <c r="H51" s="25"/>
      <c r="I51" s="26" t="s">
        <v>160</v>
      </c>
      <c r="J51" s="27"/>
      <c r="K51" s="27"/>
      <c r="L51" s="27"/>
      <c r="M51" s="27"/>
      <c r="N51" s="27"/>
      <c r="O51" s="27"/>
      <c r="P51" s="27"/>
      <c r="Q51" s="27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</row>
    <row r="52" customFormat="false" ht="14.25" hidden="false" customHeight="false" outlineLevel="0" collapsed="false">
      <c r="G52" s="25" t="s">
        <v>59</v>
      </c>
      <c r="H52" s="25" t="s">
        <v>161</v>
      </c>
      <c r="I52" s="29" t="s">
        <v>4</v>
      </c>
      <c r="J52" s="27" t="s">
        <v>162</v>
      </c>
      <c r="K52" s="25" t="s">
        <v>25</v>
      </c>
      <c r="L52" s="25" t="s">
        <v>33</v>
      </c>
      <c r="M52" s="27" t="s">
        <v>27</v>
      </c>
      <c r="N52" s="25" t="s">
        <v>61</v>
      </c>
      <c r="O52" s="0" t="s">
        <v>62</v>
      </c>
      <c r="P52" s="0" t="s">
        <v>64</v>
      </c>
      <c r="Q52" s="0" t="s">
        <v>65</v>
      </c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</row>
    <row r="53" customFormat="false" ht="15.75" hidden="false" customHeight="true" outlineLevel="0" collapsed="false">
      <c r="F53" s="30"/>
      <c r="G53" s="25" t="s">
        <v>163</v>
      </c>
      <c r="H53" s="25" t="s">
        <v>108</v>
      </c>
      <c r="I53" s="31" t="n">
        <v>2019</v>
      </c>
      <c r="J53" s="25" t="n">
        <v>-1</v>
      </c>
      <c r="K53" s="25"/>
      <c r="L53" s="2" t="s">
        <v>164</v>
      </c>
      <c r="M53" s="32" t="s">
        <v>165</v>
      </c>
      <c r="N53" s="2" t="s">
        <v>164</v>
      </c>
      <c r="O53" s="25" t="n">
        <v>10</v>
      </c>
      <c r="P53" s="0" t="n">
        <v>0</v>
      </c>
      <c r="Q53" s="0" t="n">
        <v>3</v>
      </c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</row>
    <row r="54" customFormat="false" ht="14.25" hidden="false" customHeight="false" outlineLevel="0" collapsed="false">
      <c r="G54" s="25"/>
      <c r="H54" s="25"/>
      <c r="I54" s="25"/>
      <c r="J54" s="25"/>
      <c r="K54" s="25"/>
    </row>
    <row r="55" customFormat="false" ht="14.25" hidden="false" customHeight="false" outlineLevel="0" collapsed="false">
      <c r="G55" s="25"/>
      <c r="H55" s="25"/>
      <c r="I55" s="25"/>
      <c r="J55" s="25"/>
      <c r="K55" s="25"/>
      <c r="L55" s="25"/>
      <c r="M55" s="25"/>
      <c r="N55" s="25"/>
      <c r="O55" s="25"/>
    </row>
    <row r="56" customFormat="false" ht="14.25" hidden="false" customHeight="false" outlineLevel="0" collapsed="false">
      <c r="G56" s="25"/>
      <c r="H56" s="25"/>
      <c r="I56" s="25"/>
      <c r="J56" s="25"/>
      <c r="K56" s="25"/>
      <c r="L56" s="25"/>
      <c r="M56" s="25"/>
      <c r="N56" s="25"/>
      <c r="O56" s="25"/>
    </row>
    <row r="61" customFormat="false" ht="14.25" hidden="false" customHeight="false" outlineLevel="0" collapsed="false">
      <c r="G61" s="25"/>
      <c r="H61" s="25"/>
      <c r="I61" s="26" t="s">
        <v>160</v>
      </c>
      <c r="J61" s="27"/>
      <c r="K61" s="27"/>
      <c r="L61" s="27"/>
      <c r="M61" s="27"/>
      <c r="N61" s="27"/>
      <c r="O61" s="27"/>
      <c r="P61" s="28"/>
      <c r="Q61" s="28"/>
    </row>
    <row r="62" customFormat="false" ht="14.25" hidden="false" customHeight="false" outlineLevel="0" collapsed="false">
      <c r="G62" s="25" t="s">
        <v>59</v>
      </c>
      <c r="H62" s="25" t="s">
        <v>161</v>
      </c>
      <c r="I62" s="29" t="s">
        <v>4</v>
      </c>
      <c r="J62" s="27" t="s">
        <v>162</v>
      </c>
      <c r="K62" s="25" t="s">
        <v>25</v>
      </c>
      <c r="L62" s="25" t="s">
        <v>33</v>
      </c>
      <c r="M62" s="27" t="s">
        <v>27</v>
      </c>
      <c r="N62" s="25" t="s">
        <v>61</v>
      </c>
      <c r="O62" s="0" t="s">
        <v>62</v>
      </c>
      <c r="P62" s="0" t="s">
        <v>64</v>
      </c>
      <c r="Q62" s="0" t="s">
        <v>65</v>
      </c>
    </row>
    <row r="63" customFormat="false" ht="15.75" hidden="false" customHeight="true" outlineLevel="0" collapsed="false">
      <c r="G63" s="25" t="s">
        <v>166</v>
      </c>
      <c r="H63" s="25" t="s">
        <v>108</v>
      </c>
      <c r="I63" s="31" t="n">
        <v>2019</v>
      </c>
      <c r="J63" s="25" t="n">
        <v>-1</v>
      </c>
      <c r="K63" s="25"/>
      <c r="L63" s="2" t="s">
        <v>164</v>
      </c>
      <c r="M63" s="32" t="s">
        <v>167</v>
      </c>
      <c r="N63" s="2" t="s">
        <v>164</v>
      </c>
      <c r="O63" s="25" t="n">
        <v>10</v>
      </c>
      <c r="P63" s="0" t="n">
        <v>0</v>
      </c>
      <c r="Q63" s="0" t="n">
        <v>3</v>
      </c>
    </row>
    <row r="64" customFormat="false" ht="14.25" hidden="false" customHeight="false" outlineLevel="0" collapsed="false">
      <c r="G64" s="25"/>
      <c r="H64" s="25"/>
      <c r="I64" s="25"/>
      <c r="J64" s="25"/>
      <c r="K64" s="25"/>
    </row>
    <row r="66" customFormat="false" ht="15" hidden="false" customHeight="true" outlineLevel="0" collapsed="false"/>
    <row r="67" customFormat="false" ht="15.75" hidden="false" customHeight="true" outlineLevel="0" collapsed="false">
      <c r="I67" s="15"/>
    </row>
    <row r="68" customFormat="false" ht="15" hidden="false" customHeight="true" outlineLevel="0" collapsed="false"/>
    <row r="70" customFormat="false" ht="14.25" hidden="false" customHeight="false" outlineLevel="0" collapsed="false">
      <c r="G70" s="4"/>
      <c r="H70" s="4"/>
      <c r="I70" s="33" t="s">
        <v>160</v>
      </c>
      <c r="J70" s="34"/>
      <c r="K70" s="34"/>
      <c r="L70" s="34"/>
      <c r="M70" s="34"/>
      <c r="N70" s="34"/>
      <c r="O70" s="34"/>
      <c r="P70" s="34"/>
      <c r="Q70" s="34"/>
    </row>
    <row r="71" customFormat="false" ht="14.25" hidden="false" customHeight="false" outlineLevel="0" collapsed="false">
      <c r="G71" s="4" t="s">
        <v>59</v>
      </c>
      <c r="H71" s="4" t="s">
        <v>161</v>
      </c>
      <c r="I71" s="35" t="s">
        <v>4</v>
      </c>
      <c r="J71" s="34" t="s">
        <v>162</v>
      </c>
      <c r="K71" s="4" t="s">
        <v>25</v>
      </c>
      <c r="L71" s="4" t="s">
        <v>33</v>
      </c>
      <c r="M71" s="34" t="s">
        <v>27</v>
      </c>
      <c r="N71" s="4" t="s">
        <v>61</v>
      </c>
      <c r="O71" s="4" t="s">
        <v>62</v>
      </c>
      <c r="P71" s="4" t="s">
        <v>64</v>
      </c>
      <c r="Q71" s="4" t="s">
        <v>65</v>
      </c>
    </row>
    <row r="72" customFormat="false" ht="15.75" hidden="false" customHeight="true" outlineLevel="0" collapsed="false">
      <c r="G72" s="4" t="s">
        <v>168</v>
      </c>
      <c r="H72" s="4" t="s">
        <v>108</v>
      </c>
      <c r="I72" s="36" t="n">
        <v>2019</v>
      </c>
      <c r="J72" s="4" t="n">
        <v>-1</v>
      </c>
      <c r="K72" s="4"/>
      <c r="L72" s="37" t="s">
        <v>72</v>
      </c>
      <c r="M72" s="37" t="s">
        <v>39</v>
      </c>
      <c r="N72" s="37" t="s">
        <v>72</v>
      </c>
      <c r="O72" s="4" t="n">
        <v>10</v>
      </c>
      <c r="P72" s="4" t="n">
        <v>0</v>
      </c>
      <c r="Q72" s="4" t="n">
        <v>3</v>
      </c>
    </row>
    <row r="73" customFormat="false" ht="14.25" hidden="false" customHeight="false" outlineLevel="0" collapsed="false"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80" customFormat="false" ht="14.25" hidden="false" customHeight="false" outlineLevel="0" collapsed="false">
      <c r="G80" s="25"/>
      <c r="H80" s="25"/>
      <c r="I80" s="26" t="s">
        <v>160</v>
      </c>
      <c r="J80" s="27"/>
      <c r="K80" s="27"/>
      <c r="L80" s="27"/>
      <c r="M80" s="27"/>
      <c r="N80" s="27"/>
      <c r="O80" s="27"/>
      <c r="P80" s="28"/>
      <c r="Q80" s="28"/>
    </row>
    <row r="81" customFormat="false" ht="14.25" hidden="false" customHeight="false" outlineLevel="0" collapsed="false">
      <c r="G81" s="25" t="s">
        <v>59</v>
      </c>
      <c r="H81" s="25" t="s">
        <v>161</v>
      </c>
      <c r="I81" s="29" t="s">
        <v>4</v>
      </c>
      <c r="J81" s="27" t="s">
        <v>162</v>
      </c>
      <c r="K81" s="25" t="s">
        <v>25</v>
      </c>
      <c r="L81" s="25" t="s">
        <v>33</v>
      </c>
      <c r="M81" s="27" t="s">
        <v>27</v>
      </c>
      <c r="N81" s="25" t="s">
        <v>61</v>
      </c>
      <c r="O81" s="0" t="s">
        <v>62</v>
      </c>
      <c r="P81" s="0" t="s">
        <v>64</v>
      </c>
      <c r="Q81" s="0" t="s">
        <v>65</v>
      </c>
    </row>
    <row r="82" customFormat="false" ht="15.75" hidden="false" customHeight="true" outlineLevel="0" collapsed="false">
      <c r="G82" s="25" t="s">
        <v>169</v>
      </c>
      <c r="H82" s="25" t="s">
        <v>108</v>
      </c>
      <c r="I82" s="31" t="n">
        <v>2019</v>
      </c>
      <c r="J82" s="25" t="n">
        <v>-1</v>
      </c>
      <c r="K82" s="25"/>
      <c r="L82" s="2" t="s">
        <v>164</v>
      </c>
      <c r="M82" s="32" t="s">
        <v>170</v>
      </c>
      <c r="N82" s="2" t="s">
        <v>164</v>
      </c>
      <c r="O82" s="25" t="n">
        <v>10</v>
      </c>
      <c r="P82" s="0" t="n">
        <v>0</v>
      </c>
      <c r="Q82" s="0" t="n">
        <v>3</v>
      </c>
    </row>
    <row r="83" customFormat="false" ht="14.25" hidden="false" customHeight="false" outlineLevel="0" collapsed="false">
      <c r="G83" s="25"/>
      <c r="H83" s="25"/>
      <c r="I83" s="25"/>
      <c r="J83" s="25"/>
      <c r="K83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R120"/>
  <sheetViews>
    <sheetView showFormulas="false" showGridLines="true" showRowColHeaders="true" showZeros="true" rightToLeft="false" tabSelected="true" showOutlineSymbols="true" defaultGridColor="true" view="normal" topLeftCell="J48" colorId="64" zoomScale="41" zoomScaleNormal="41" zoomScalePageLayoutView="100" workbookViewId="0">
      <selection pane="topLeft" activeCell="AN99" activeCellId="0" sqref="AN99"/>
    </sheetView>
  </sheetViews>
  <sheetFormatPr defaultColWidth="8.73046875" defaultRowHeight="14.25" zeroHeight="false" outlineLevelRow="0" outlineLevelCol="0"/>
  <cols>
    <col collapsed="false" customWidth="true" hidden="false" outlineLevel="0" max="2" min="2" style="0" width="25.09"/>
    <col collapsed="false" customWidth="true" hidden="false" outlineLevel="0" max="4" min="4" style="0" width="51.91"/>
    <col collapsed="false" customWidth="true" hidden="false" outlineLevel="0" max="5" min="5" style="0" width="43.73"/>
    <col collapsed="false" customWidth="true" hidden="false" outlineLevel="0" max="6" min="6" style="0" width="33.45"/>
    <col collapsed="false" customWidth="true" hidden="false" outlineLevel="0" max="7" min="7" style="0" width="11.18"/>
    <col collapsed="false" customWidth="true" hidden="false" outlineLevel="0" max="8" min="8" style="0" width="10.18"/>
    <col collapsed="false" customWidth="true" hidden="false" outlineLevel="0" max="9" min="9" style="0" width="26.82"/>
    <col collapsed="false" customWidth="true" hidden="false" outlineLevel="0" max="10" min="10" style="0" width="12.82"/>
    <col collapsed="false" customWidth="true" hidden="false" outlineLevel="0" max="11" min="11" style="0" width="11.36"/>
    <col collapsed="false" customWidth="true" hidden="false" outlineLevel="0" max="12" min="12" style="0" width="13.64"/>
    <col collapsed="false" customWidth="true" hidden="false" outlineLevel="0" max="13" min="13" style="0" width="56.82"/>
    <col collapsed="false" customWidth="true" hidden="false" outlineLevel="0" max="23" min="14" style="0" width="12.82"/>
  </cols>
  <sheetData>
    <row r="2" customFormat="false" ht="14.25" hidden="false" customHeight="false" outlineLevel="0" collapsed="false">
      <c r="B2" s="0" t="s">
        <v>171</v>
      </c>
    </row>
    <row r="3" customFormat="false" ht="14.25" hidden="false" customHeight="false" outlineLevel="0" collapsed="false">
      <c r="H3" s="16"/>
    </row>
    <row r="6" customFormat="false" ht="15.75" hidden="false" customHeight="true" outlineLevel="0" collapsed="false"/>
    <row r="7" customFormat="false" ht="15.75" hidden="false" customHeight="true" outlineLevel="0" collapsed="false">
      <c r="D7" s="15"/>
    </row>
    <row r="8" customFormat="false" ht="15" hidden="false" customHeight="true" outlineLevel="0" collapsed="false"/>
    <row r="11" customFormat="false" ht="14.25" hidden="false" customHeight="false" outlineLevel="0" collapsed="false">
      <c r="D11" s="8"/>
    </row>
    <row r="15" customFormat="false" ht="14.25" hidden="false" customHeight="false" outlineLevel="0" collapsed="false">
      <c r="M15" s="14"/>
    </row>
    <row r="16" customFormat="false" ht="14.25" hidden="false" customHeight="false" outlineLevel="0" collapsed="false">
      <c r="D16" s="0" t="s">
        <v>57</v>
      </c>
    </row>
    <row r="18" customFormat="false" ht="14.25" hidden="false" customHeight="false" outlineLevel="0" collapsed="false">
      <c r="D18" s="0" t="s">
        <v>150</v>
      </c>
    </row>
    <row r="19" customFormat="false" ht="14.25" hidden="false" customHeight="false" outlineLevel="0" collapsed="false">
      <c r="D19" s="0" t="s">
        <v>59</v>
      </c>
      <c r="E19" s="0" t="s">
        <v>25</v>
      </c>
      <c r="F19" s="0" t="s">
        <v>48</v>
      </c>
      <c r="G19" s="0" t="s">
        <v>60</v>
      </c>
      <c r="H19" s="0" t="s">
        <v>33</v>
      </c>
      <c r="I19" s="0" t="s">
        <v>61</v>
      </c>
      <c r="J19" s="0" t="s">
        <v>1</v>
      </c>
      <c r="K19" s="0" t="s">
        <v>172</v>
      </c>
      <c r="L19" s="0" t="s">
        <v>63</v>
      </c>
      <c r="M19" s="0" t="s">
        <v>64</v>
      </c>
      <c r="N19" s="0" t="s">
        <v>65</v>
      </c>
      <c r="O19" s="0" t="s">
        <v>66</v>
      </c>
      <c r="P19" s="0" t="s">
        <v>62</v>
      </c>
    </row>
    <row r="20" customFormat="false" ht="14.25" hidden="false" customHeight="false" outlineLevel="0" collapsed="false">
      <c r="D20" s="0" t="s">
        <v>173</v>
      </c>
      <c r="I20" s="0" t="s">
        <v>174</v>
      </c>
      <c r="K20" s="0" t="n">
        <v>1</v>
      </c>
      <c r="M20" s="0" t="n">
        <v>0</v>
      </c>
      <c r="N20" s="0" t="n">
        <v>3</v>
      </c>
      <c r="O20" s="0" t="s">
        <v>175</v>
      </c>
    </row>
    <row r="21" customFormat="false" ht="14.25" hidden="false" customHeight="false" outlineLevel="0" collapsed="false">
      <c r="I21" s="0" t="s">
        <v>174</v>
      </c>
      <c r="L21" s="0" t="n">
        <v>-0.92</v>
      </c>
    </row>
    <row r="22" customFormat="false" ht="14.25" hidden="false" customHeight="false" outlineLevel="0" collapsed="false">
      <c r="E22" s="0" t="s">
        <v>176</v>
      </c>
      <c r="F22" s="0" t="s">
        <v>177</v>
      </c>
      <c r="G22" s="0" t="s">
        <v>17</v>
      </c>
      <c r="I22" s="0" t="s">
        <v>17</v>
      </c>
      <c r="P22" s="0" t="n">
        <v>-1</v>
      </c>
    </row>
    <row r="23" customFormat="false" ht="14.25" hidden="false" customHeight="false" outlineLevel="0" collapsed="false">
      <c r="E23" s="0" t="s">
        <v>176</v>
      </c>
      <c r="F23" s="0" t="s">
        <v>177</v>
      </c>
      <c r="H23" s="0" t="s">
        <v>17</v>
      </c>
      <c r="I23" s="0" t="s">
        <v>17</v>
      </c>
      <c r="P23" s="0" t="n">
        <v>1</v>
      </c>
    </row>
    <row r="28" customFormat="false" ht="14.25" hidden="false" customHeight="false" outlineLevel="0" collapsed="false">
      <c r="D28" s="38" t="s">
        <v>23</v>
      </c>
      <c r="E28" s="39"/>
      <c r="F28" s="39"/>
      <c r="G28" s="39"/>
      <c r="H28" s="39"/>
      <c r="I28" s="39"/>
      <c r="J28" s="39"/>
      <c r="K28" s="40"/>
      <c r="L28" s="41"/>
      <c r="M28" s="41"/>
      <c r="N28" s="41"/>
      <c r="O28" s="41"/>
      <c r="P28" s="41"/>
      <c r="Q28" s="41"/>
    </row>
    <row r="29" customFormat="false" ht="15" hidden="false" customHeight="true" outlineLevel="0" collapsed="false">
      <c r="D29" s="42" t="s">
        <v>1</v>
      </c>
      <c r="E29" s="42" t="s">
        <v>2</v>
      </c>
      <c r="F29" s="42" t="s">
        <v>3</v>
      </c>
      <c r="G29" s="42" t="s">
        <v>4</v>
      </c>
      <c r="H29" s="42" t="s">
        <v>178</v>
      </c>
      <c r="I29" s="42" t="s">
        <v>179</v>
      </c>
      <c r="J29" s="43" t="s">
        <v>5</v>
      </c>
      <c r="K29" s="44" t="s">
        <v>76</v>
      </c>
      <c r="L29" s="44" t="s">
        <v>6</v>
      </c>
      <c r="M29" s="44" t="s">
        <v>180</v>
      </c>
      <c r="N29" s="44" t="s">
        <v>60</v>
      </c>
      <c r="O29" s="44" t="s">
        <v>181</v>
      </c>
      <c r="P29" s="44" t="s">
        <v>136</v>
      </c>
      <c r="Q29" s="44" t="s">
        <v>61</v>
      </c>
    </row>
    <row r="30" customFormat="false" ht="15.75" hidden="false" customHeight="true" outlineLevel="0" collapsed="false">
      <c r="D30" s="39"/>
      <c r="E30" s="39"/>
      <c r="F30" s="0" t="s">
        <v>45</v>
      </c>
      <c r="J30" s="0" t="n">
        <v>2150</v>
      </c>
      <c r="L30" s="2" t="s">
        <v>182</v>
      </c>
      <c r="N30" s="39"/>
      <c r="O30" s="39"/>
      <c r="P30" s="39"/>
    </row>
    <row r="31" customFormat="false" ht="15.75" hidden="false" customHeight="true" outlineLevel="0" collapsed="false">
      <c r="F31" s="0" t="str">
        <f aca="false">F30</f>
        <v>START</v>
      </c>
      <c r="J31" s="0" t="n">
        <f aca="false">J30</f>
        <v>2150</v>
      </c>
      <c r="L31" s="2" t="s">
        <v>183</v>
      </c>
    </row>
    <row r="32" customFormat="false" ht="15.75" hidden="false" customHeight="true" outlineLevel="0" collapsed="false">
      <c r="F32" s="0" t="str">
        <f aca="false">F31</f>
        <v>START</v>
      </c>
      <c r="J32" s="0" t="n">
        <f aca="false">J31</f>
        <v>2150</v>
      </c>
      <c r="L32" s="2" t="s">
        <v>184</v>
      </c>
    </row>
    <row r="33" customFormat="false" ht="15.75" hidden="false" customHeight="true" outlineLevel="0" collapsed="false">
      <c r="F33" s="0" t="str">
        <f aca="false">F32</f>
        <v>START</v>
      </c>
      <c r="J33" s="0" t="n">
        <f aca="false">J32</f>
        <v>2150</v>
      </c>
      <c r="L33" s="2" t="s">
        <v>185</v>
      </c>
    </row>
    <row r="49" customFormat="false" ht="14.25" hidden="false" customHeight="false" outlineLevel="0" collapsed="false">
      <c r="D49" s="0" t="s">
        <v>57</v>
      </c>
    </row>
    <row r="50" customFormat="false" ht="14.25" hidden="false" customHeight="false" outlineLevel="0" collapsed="false">
      <c r="D50" s="0" t="s">
        <v>150</v>
      </c>
    </row>
    <row r="51" customFormat="false" ht="14.25" hidden="false" customHeight="false" outlineLevel="0" collapsed="false">
      <c r="D51" s="0" t="s">
        <v>59</v>
      </c>
      <c r="E51" s="0" t="s">
        <v>25</v>
      </c>
      <c r="F51" s="0" t="s">
        <v>48</v>
      </c>
      <c r="G51" s="0" t="s">
        <v>60</v>
      </c>
      <c r="H51" s="0" t="s">
        <v>33</v>
      </c>
      <c r="I51" s="0" t="s">
        <v>61</v>
      </c>
      <c r="J51" s="0" t="s">
        <v>1</v>
      </c>
      <c r="K51" s="0" t="s">
        <v>4</v>
      </c>
      <c r="L51" s="0" t="s">
        <v>78</v>
      </c>
      <c r="M51" s="0" t="s">
        <v>62</v>
      </c>
      <c r="N51" s="0" t="s">
        <v>186</v>
      </c>
      <c r="O51" s="0" t="s">
        <v>187</v>
      </c>
      <c r="P51" s="0" t="s">
        <v>66</v>
      </c>
    </row>
    <row r="52" customFormat="false" ht="14.25" hidden="false" customHeight="false" outlineLevel="0" collapsed="false">
      <c r="D52" s="0" t="s">
        <v>188</v>
      </c>
      <c r="E52" s="0" t="s">
        <v>189</v>
      </c>
      <c r="F52" s="0" t="s">
        <v>190</v>
      </c>
      <c r="G52" s="0" t="s">
        <v>191</v>
      </c>
      <c r="J52" s="0" t="s">
        <v>192</v>
      </c>
      <c r="K52" s="0" t="n">
        <v>2050</v>
      </c>
      <c r="L52" s="0" t="n">
        <v>0.2121</v>
      </c>
      <c r="N52" s="0" t="n">
        <v>0</v>
      </c>
      <c r="O52" s="0" t="n">
        <v>5</v>
      </c>
      <c r="P52" s="0" t="s">
        <v>193</v>
      </c>
    </row>
    <row r="53" customFormat="false" ht="14.25" hidden="false" customHeight="false" outlineLevel="0" collapsed="false">
      <c r="E53" s="0" t="s">
        <v>189</v>
      </c>
      <c r="F53" s="0" t="s">
        <v>194</v>
      </c>
      <c r="J53" s="0" t="s">
        <v>192</v>
      </c>
      <c r="K53" s="0" t="n">
        <v>2050</v>
      </c>
      <c r="L53" s="0" t="n">
        <v>0.2121</v>
      </c>
    </row>
    <row r="54" customFormat="false" ht="14.25" hidden="false" customHeight="false" outlineLevel="0" collapsed="false">
      <c r="E54" s="0" t="s">
        <v>189</v>
      </c>
      <c r="F54" s="0" t="s">
        <v>195</v>
      </c>
      <c r="G54" s="0" t="s">
        <v>191</v>
      </c>
      <c r="J54" s="0" t="s">
        <v>192</v>
      </c>
      <c r="K54" s="0" t="n">
        <v>2050</v>
      </c>
      <c r="L54" s="0" t="n">
        <v>0.2121</v>
      </c>
    </row>
    <row r="55" customFormat="false" ht="14.25" hidden="false" customHeight="false" outlineLevel="0" collapsed="false">
      <c r="E55" s="0" t="s">
        <v>189</v>
      </c>
      <c r="F55" s="0" t="s">
        <v>196</v>
      </c>
      <c r="J55" s="0" t="s">
        <v>192</v>
      </c>
      <c r="K55" s="0" t="n">
        <v>2050</v>
      </c>
      <c r="L55" s="0" t="n">
        <v>0.2121</v>
      </c>
    </row>
    <row r="56" customFormat="false" ht="14.25" hidden="false" customHeight="false" outlineLevel="0" collapsed="false">
      <c r="E56" s="0" t="s">
        <v>189</v>
      </c>
      <c r="F56" s="0" t="s">
        <v>197</v>
      </c>
      <c r="J56" s="0" t="s">
        <v>192</v>
      </c>
      <c r="K56" s="0" t="n">
        <v>2050</v>
      </c>
      <c r="L56" s="0" t="n">
        <v>0.0893</v>
      </c>
    </row>
    <row r="57" customFormat="false" ht="14.25" hidden="false" customHeight="false" outlineLevel="0" collapsed="false">
      <c r="E57" s="0" t="s">
        <v>176</v>
      </c>
      <c r="F57" s="0" t="s">
        <v>39</v>
      </c>
      <c r="J57" s="0" t="s">
        <v>192</v>
      </c>
      <c r="K57" s="0" t="n">
        <v>2050</v>
      </c>
      <c r="L57" s="0" t="n">
        <v>0.1897</v>
      </c>
    </row>
    <row r="58" customFormat="false" ht="14.25" hidden="false" customHeight="false" outlineLevel="0" collapsed="false">
      <c r="E58" s="0" t="s">
        <v>176</v>
      </c>
      <c r="F58" s="0" t="s">
        <v>177</v>
      </c>
      <c r="J58" s="0" t="s">
        <v>192</v>
      </c>
      <c r="K58" s="0" t="n">
        <v>2050</v>
      </c>
      <c r="L58" s="0" t="n">
        <v>0.0474</v>
      </c>
    </row>
    <row r="59" customFormat="false" ht="14.25" hidden="false" customHeight="false" outlineLevel="0" collapsed="false">
      <c r="F59" s="0" t="s">
        <v>198</v>
      </c>
      <c r="J59" s="0" t="s">
        <v>192</v>
      </c>
      <c r="K59" s="0" t="n">
        <v>2050</v>
      </c>
      <c r="L59" s="0" t="n">
        <v>0.0223</v>
      </c>
    </row>
    <row r="60" customFormat="false" ht="14.25" hidden="false" customHeight="false" outlineLevel="0" collapsed="false">
      <c r="F60" s="0" t="s">
        <v>199</v>
      </c>
      <c r="J60" s="0" t="s">
        <v>192</v>
      </c>
      <c r="K60" s="0" t="n">
        <v>2050</v>
      </c>
      <c r="L60" s="0" t="n">
        <v>0</v>
      </c>
    </row>
    <row r="61" customFormat="false" ht="14.25" hidden="false" customHeight="false" outlineLevel="0" collapsed="false">
      <c r="F61" s="0" t="s">
        <v>200</v>
      </c>
      <c r="G61" s="0" t="s">
        <v>17</v>
      </c>
      <c r="I61" s="0" t="s">
        <v>17</v>
      </c>
      <c r="J61" s="0" t="s">
        <v>192</v>
      </c>
      <c r="K61" s="0" t="n">
        <v>2050</v>
      </c>
      <c r="M61" s="0" t="n">
        <v>-1.15</v>
      </c>
    </row>
    <row r="62" customFormat="false" ht="14.25" hidden="false" customHeight="false" outlineLevel="0" collapsed="false">
      <c r="D62" s="0" t="s">
        <v>201</v>
      </c>
      <c r="E62" s="0" t="s">
        <v>189</v>
      </c>
      <c r="F62" s="0" t="s">
        <v>190</v>
      </c>
      <c r="G62" s="0" t="s">
        <v>191</v>
      </c>
      <c r="J62" s="0" t="s">
        <v>202</v>
      </c>
      <c r="K62" s="0" t="n">
        <v>2050</v>
      </c>
      <c r="L62" s="0" t="n">
        <v>0.2086</v>
      </c>
      <c r="N62" s="0" t="n">
        <v>0</v>
      </c>
      <c r="O62" s="0" t="n">
        <v>5</v>
      </c>
      <c r="P62" s="0" t="s">
        <v>203</v>
      </c>
    </row>
    <row r="63" customFormat="false" ht="14.25" hidden="false" customHeight="false" outlineLevel="0" collapsed="false">
      <c r="E63" s="0" t="s">
        <v>189</v>
      </c>
      <c r="F63" s="0" t="s">
        <v>194</v>
      </c>
      <c r="J63" s="0" t="s">
        <v>202</v>
      </c>
      <c r="K63" s="0" t="n">
        <v>2050</v>
      </c>
      <c r="L63" s="0" t="n">
        <v>0.2086</v>
      </c>
    </row>
    <row r="64" customFormat="false" ht="14.25" hidden="false" customHeight="false" outlineLevel="0" collapsed="false">
      <c r="E64" s="0" t="s">
        <v>189</v>
      </c>
      <c r="F64" s="0" t="s">
        <v>195</v>
      </c>
      <c r="G64" s="0" t="s">
        <v>191</v>
      </c>
      <c r="J64" s="0" t="s">
        <v>202</v>
      </c>
      <c r="K64" s="0" t="n">
        <v>2050</v>
      </c>
      <c r="L64" s="0" t="n">
        <v>0.2086</v>
      </c>
    </row>
    <row r="65" customFormat="false" ht="14.25" hidden="false" customHeight="false" outlineLevel="0" collapsed="false">
      <c r="E65" s="0" t="s">
        <v>189</v>
      </c>
      <c r="F65" s="0" t="s">
        <v>196</v>
      </c>
      <c r="J65" s="0" t="s">
        <v>202</v>
      </c>
      <c r="K65" s="0" t="n">
        <v>2050</v>
      </c>
      <c r="L65" s="0" t="n">
        <v>0.2086</v>
      </c>
    </row>
    <row r="66" customFormat="false" ht="14.25" hidden="false" customHeight="false" outlineLevel="0" collapsed="false">
      <c r="E66" s="0" t="s">
        <v>189</v>
      </c>
      <c r="F66" s="0" t="s">
        <v>197</v>
      </c>
      <c r="J66" s="0" t="s">
        <v>202</v>
      </c>
      <c r="K66" s="0" t="n">
        <v>2050</v>
      </c>
      <c r="L66" s="0" t="n">
        <v>0.0878</v>
      </c>
    </row>
    <row r="67" customFormat="false" ht="14.25" hidden="false" customHeight="false" outlineLevel="0" collapsed="false">
      <c r="E67" s="0" t="s">
        <v>176</v>
      </c>
      <c r="F67" s="0" t="s">
        <v>39</v>
      </c>
      <c r="J67" s="0" t="s">
        <v>202</v>
      </c>
      <c r="K67" s="0" t="n">
        <v>2050</v>
      </c>
      <c r="L67" s="0" t="n">
        <v>0.1867</v>
      </c>
    </row>
    <row r="68" customFormat="false" ht="14.25" hidden="false" customHeight="false" outlineLevel="0" collapsed="false">
      <c r="E68" s="0" t="s">
        <v>176</v>
      </c>
      <c r="F68" s="0" t="s">
        <v>177</v>
      </c>
      <c r="J68" s="0" t="s">
        <v>202</v>
      </c>
      <c r="K68" s="0" t="n">
        <v>2050</v>
      </c>
      <c r="L68" s="0" t="n">
        <v>0.0467</v>
      </c>
    </row>
    <row r="69" customFormat="false" ht="14.25" hidden="false" customHeight="false" outlineLevel="0" collapsed="false">
      <c r="F69" s="0" t="s">
        <v>198</v>
      </c>
      <c r="J69" s="0" t="s">
        <v>202</v>
      </c>
      <c r="K69" s="0" t="n">
        <v>2050</v>
      </c>
      <c r="L69" s="0" t="n">
        <v>0.022</v>
      </c>
    </row>
    <row r="70" customFormat="false" ht="14.25" hidden="false" customHeight="false" outlineLevel="0" collapsed="false">
      <c r="F70" s="0" t="s">
        <v>199</v>
      </c>
      <c r="J70" s="0" t="s">
        <v>202</v>
      </c>
      <c r="K70" s="0" t="n">
        <v>2050</v>
      </c>
      <c r="L70" s="0" t="n">
        <v>0.022</v>
      </c>
    </row>
    <row r="71" customFormat="false" ht="14.25" hidden="false" customHeight="false" outlineLevel="0" collapsed="false">
      <c r="F71" s="0" t="s">
        <v>200</v>
      </c>
      <c r="G71" s="0" t="s">
        <v>17</v>
      </c>
      <c r="I71" s="0" t="s">
        <v>17</v>
      </c>
      <c r="J71" s="0" t="s">
        <v>202</v>
      </c>
      <c r="K71" s="0" t="n">
        <v>2050</v>
      </c>
      <c r="M71" s="0" t="n">
        <v>-1.15</v>
      </c>
    </row>
    <row r="89" customFormat="false" ht="14.25" hidden="false" customHeight="false" outlineLevel="0" collapsed="false">
      <c r="D89" s="0" t="s">
        <v>57</v>
      </c>
    </row>
    <row r="90" customFormat="false" ht="14.25" hidden="false" customHeight="false" outlineLevel="0" collapsed="false">
      <c r="D90" s="0" t="s">
        <v>204</v>
      </c>
    </row>
    <row r="91" customFormat="false" ht="14.25" hidden="false" customHeight="false" outlineLevel="0" collapsed="false">
      <c r="D91" s="0" t="s">
        <v>59</v>
      </c>
      <c r="E91" s="0" t="s">
        <v>61</v>
      </c>
      <c r="F91" s="0" t="s">
        <v>4</v>
      </c>
      <c r="G91" s="0" t="s">
        <v>2</v>
      </c>
      <c r="H91" s="0" t="s">
        <v>172</v>
      </c>
      <c r="I91" s="0" t="s">
        <v>205</v>
      </c>
      <c r="J91" s="0" t="s">
        <v>206</v>
      </c>
      <c r="K91" s="0" t="s">
        <v>207</v>
      </c>
      <c r="L91" s="0" t="s">
        <v>208</v>
      </c>
      <c r="M91" s="0" t="s">
        <v>209</v>
      </c>
      <c r="N91" s="0" t="s">
        <v>210</v>
      </c>
      <c r="O91" s="0" t="s">
        <v>211</v>
      </c>
      <c r="P91" s="0" t="s">
        <v>212</v>
      </c>
      <c r="Q91" s="0" t="s">
        <v>213</v>
      </c>
      <c r="R91" s="0" t="s">
        <v>214</v>
      </c>
      <c r="S91" s="0" t="s">
        <v>215</v>
      </c>
      <c r="T91" s="0" t="s">
        <v>216</v>
      </c>
      <c r="U91" s="0" t="s">
        <v>217</v>
      </c>
      <c r="V91" s="0" t="s">
        <v>218</v>
      </c>
      <c r="W91" s="0" t="s">
        <v>219</v>
      </c>
      <c r="X91" s="3" t="s">
        <v>220</v>
      </c>
      <c r="Y91" s="3" t="s">
        <v>221</v>
      </c>
      <c r="Z91" s="3" t="s">
        <v>222</v>
      </c>
      <c r="AA91" s="3" t="s">
        <v>223</v>
      </c>
      <c r="AB91" s="3" t="s">
        <v>224</v>
      </c>
      <c r="AC91" s="3" t="s">
        <v>225</v>
      </c>
      <c r="AD91" s="3" t="s">
        <v>226</v>
      </c>
      <c r="AE91" s="3" t="s">
        <v>227</v>
      </c>
      <c r="AF91" s="3" t="s">
        <v>228</v>
      </c>
      <c r="AG91" s="3" t="s">
        <v>229</v>
      </c>
      <c r="AH91" s="3" t="s">
        <v>230</v>
      </c>
      <c r="AI91" s="3" t="s">
        <v>231</v>
      </c>
      <c r="AJ91" s="3" t="s">
        <v>232</v>
      </c>
      <c r="AK91" s="3" t="s">
        <v>233</v>
      </c>
      <c r="AL91" s="3" t="s">
        <v>234</v>
      </c>
      <c r="AM91" s="3" t="s">
        <v>235</v>
      </c>
      <c r="AN91" s="3" t="s">
        <v>236</v>
      </c>
      <c r="AO91" s="3" t="s">
        <v>237</v>
      </c>
      <c r="AP91" s="3" t="s">
        <v>238</v>
      </c>
      <c r="AQ91" s="3" t="s">
        <v>239</v>
      </c>
    </row>
    <row r="92" customFormat="false" ht="14.25" hidden="false" customHeight="false" outlineLevel="0" collapsed="false">
      <c r="D92" s="0" t="s">
        <v>240</v>
      </c>
      <c r="E92" s="0" t="s">
        <v>241</v>
      </c>
      <c r="F92" s="0" t="n">
        <v>2030</v>
      </c>
      <c r="G92" s="0" t="s">
        <v>84</v>
      </c>
      <c r="H92" s="0" t="n">
        <v>1</v>
      </c>
      <c r="I92" s="0" t="n">
        <v>280</v>
      </c>
      <c r="J92" s="0" t="n">
        <v>4200</v>
      </c>
      <c r="K92" s="0" t="n">
        <v>700</v>
      </c>
      <c r="L92" s="0" t="n">
        <v>140</v>
      </c>
      <c r="M92" s="0" t="n">
        <v>100</v>
      </c>
      <c r="N92" s="0" t="n">
        <v>100</v>
      </c>
      <c r="O92" s="0" t="n">
        <v>2800</v>
      </c>
      <c r="P92" s="0" t="n">
        <v>3000</v>
      </c>
      <c r="Q92" s="0" t="n">
        <v>70</v>
      </c>
      <c r="R92" s="0" t="n">
        <v>140</v>
      </c>
      <c r="S92" s="0" t="n">
        <v>520</v>
      </c>
      <c r="T92" s="0" t="n">
        <v>420</v>
      </c>
      <c r="U92" s="0" t="n">
        <v>50</v>
      </c>
      <c r="V92" s="0" t="n">
        <v>320</v>
      </c>
      <c r="W92" s="0" t="n">
        <v>7</v>
      </c>
      <c r="X92" s="0" t="n">
        <v>2100</v>
      </c>
      <c r="Y92" s="0" t="n">
        <v>50</v>
      </c>
      <c r="Z92" s="0" t="n">
        <v>320</v>
      </c>
      <c r="AA92" s="0" t="n">
        <v>210</v>
      </c>
      <c r="AB92" s="0" t="n">
        <v>2100</v>
      </c>
      <c r="AC92" s="0" t="n">
        <v>210</v>
      </c>
      <c r="AD92" s="0" t="n">
        <v>5080</v>
      </c>
      <c r="AE92" s="0" t="n">
        <v>100</v>
      </c>
      <c r="AF92" s="0" t="n">
        <v>280</v>
      </c>
      <c r="AG92" s="0" t="n">
        <v>3500</v>
      </c>
      <c r="AH92" s="0" t="n">
        <v>2100</v>
      </c>
      <c r="AI92" s="0" t="n">
        <v>35</v>
      </c>
      <c r="AJ92" s="0" t="n">
        <v>210</v>
      </c>
      <c r="AK92" s="0" t="n">
        <v>350</v>
      </c>
      <c r="AL92" s="0" t="n">
        <v>520</v>
      </c>
      <c r="AM92" s="0" t="n">
        <v>50</v>
      </c>
      <c r="AN92" s="0" t="n">
        <v>280</v>
      </c>
      <c r="AO92" s="0" t="n">
        <v>210</v>
      </c>
      <c r="AP92" s="0" t="n">
        <v>420</v>
      </c>
      <c r="AQ92" s="0" t="n">
        <v>90</v>
      </c>
    </row>
    <row r="93" customFormat="false" ht="14.25" hidden="false" customHeight="false" outlineLevel="0" collapsed="false">
      <c r="D93" s="0" t="s">
        <v>240</v>
      </c>
      <c r="E93" s="0" t="s">
        <v>241</v>
      </c>
      <c r="F93" s="0" t="n">
        <v>0</v>
      </c>
      <c r="G93" s="0" t="s">
        <v>84</v>
      </c>
      <c r="I93" s="0" t="n">
        <v>5</v>
      </c>
      <c r="J93" s="0" t="n">
        <v>5</v>
      </c>
      <c r="K93" s="0" t="n">
        <v>5</v>
      </c>
      <c r="L93" s="0" t="n">
        <v>5</v>
      </c>
      <c r="M93" s="0" t="n">
        <v>5</v>
      </c>
      <c r="N93" s="0" t="n">
        <v>5</v>
      </c>
      <c r="O93" s="0" t="n">
        <v>5</v>
      </c>
      <c r="P93" s="0" t="n">
        <v>5</v>
      </c>
      <c r="Q93" s="0" t="n">
        <v>5</v>
      </c>
      <c r="R93" s="0" t="n">
        <v>5</v>
      </c>
      <c r="S93" s="0" t="n">
        <v>5</v>
      </c>
      <c r="T93" s="0" t="n">
        <v>5</v>
      </c>
      <c r="U93" s="0" t="n">
        <v>5</v>
      </c>
      <c r="V93" s="0" t="n">
        <v>5</v>
      </c>
      <c r="W93" s="0" t="n">
        <v>5</v>
      </c>
      <c r="X93" s="0" t="n">
        <v>5</v>
      </c>
      <c r="Y93" s="0" t="n">
        <v>5</v>
      </c>
      <c r="Z93" s="0" t="n">
        <v>5</v>
      </c>
      <c r="AA93" s="0" t="n">
        <v>5</v>
      </c>
      <c r="AB93" s="0" t="n">
        <v>5</v>
      </c>
      <c r="AC93" s="0" t="n">
        <v>5</v>
      </c>
      <c r="AD93" s="0" t="n">
        <v>5</v>
      </c>
      <c r="AE93" s="0" t="n">
        <v>5</v>
      </c>
      <c r="AF93" s="0" t="n">
        <v>5</v>
      </c>
      <c r="AG93" s="0" t="n">
        <v>5</v>
      </c>
      <c r="AH93" s="0" t="n">
        <v>5</v>
      </c>
      <c r="AI93" s="0" t="n">
        <v>5</v>
      </c>
      <c r="AJ93" s="0" t="n">
        <v>5</v>
      </c>
      <c r="AK93" s="0" t="n">
        <v>5</v>
      </c>
      <c r="AL93" s="0" t="n">
        <v>5</v>
      </c>
      <c r="AM93" s="0" t="n">
        <v>5</v>
      </c>
      <c r="AN93" s="0" t="n">
        <v>5</v>
      </c>
      <c r="AO93" s="0" t="n">
        <v>5</v>
      </c>
      <c r="AP93" s="0" t="n">
        <v>5</v>
      </c>
      <c r="AQ93" s="0" t="n">
        <v>5</v>
      </c>
    </row>
    <row r="107" customFormat="false" ht="14.25" hidden="false" customHeight="false" outlineLevel="0" collapsed="false">
      <c r="D107" s="0" t="s">
        <v>57</v>
      </c>
    </row>
    <row r="108" customFormat="false" ht="14.25" hidden="false" customHeight="false" outlineLevel="0" collapsed="false">
      <c r="D108" s="0" t="s">
        <v>204</v>
      </c>
    </row>
    <row r="109" customFormat="false" ht="14.25" hidden="false" customHeight="false" outlineLevel="0" collapsed="false">
      <c r="D109" s="0" t="s">
        <v>59</v>
      </c>
      <c r="E109" s="0" t="s">
        <v>48</v>
      </c>
      <c r="F109" s="0" t="s">
        <v>4</v>
      </c>
      <c r="G109" s="0" t="s">
        <v>2</v>
      </c>
      <c r="H109" s="0" t="s">
        <v>78</v>
      </c>
      <c r="I109" s="0" t="s">
        <v>205</v>
      </c>
      <c r="J109" s="0" t="s">
        <v>206</v>
      </c>
      <c r="K109" s="0" t="s">
        <v>207</v>
      </c>
      <c r="L109" s="0" t="s">
        <v>208</v>
      </c>
      <c r="M109" s="0" t="s">
        <v>209</v>
      </c>
      <c r="N109" s="0" t="s">
        <v>210</v>
      </c>
      <c r="O109" s="0" t="s">
        <v>211</v>
      </c>
      <c r="P109" s="0" t="s">
        <v>212</v>
      </c>
      <c r="Q109" s="0" t="s">
        <v>213</v>
      </c>
      <c r="R109" s="0" t="s">
        <v>214</v>
      </c>
      <c r="S109" s="0" t="s">
        <v>215</v>
      </c>
      <c r="T109" s="0" t="s">
        <v>216</v>
      </c>
      <c r="U109" s="0" t="s">
        <v>217</v>
      </c>
      <c r="V109" s="0" t="s">
        <v>218</v>
      </c>
      <c r="W109" s="0" t="s">
        <v>219</v>
      </c>
      <c r="X109" s="3" t="s">
        <v>220</v>
      </c>
      <c r="Y109" s="3" t="s">
        <v>221</v>
      </c>
      <c r="Z109" s="3" t="s">
        <v>222</v>
      </c>
      <c r="AA109" s="3" t="s">
        <v>223</v>
      </c>
      <c r="AB109" s="3" t="s">
        <v>224</v>
      </c>
      <c r="AC109" s="3" t="s">
        <v>225</v>
      </c>
      <c r="AD109" s="3" t="s">
        <v>226</v>
      </c>
      <c r="AE109" s="3" t="s">
        <v>227</v>
      </c>
      <c r="AF109" s="3" t="s">
        <v>228</v>
      </c>
      <c r="AG109" s="3" t="s">
        <v>229</v>
      </c>
      <c r="AH109" s="3" t="s">
        <v>230</v>
      </c>
      <c r="AI109" s="3" t="s">
        <v>231</v>
      </c>
      <c r="AJ109" s="3" t="s">
        <v>232</v>
      </c>
      <c r="AK109" s="3" t="s">
        <v>233</v>
      </c>
      <c r="AL109" s="3" t="s">
        <v>234</v>
      </c>
      <c r="AM109" s="3" t="s">
        <v>235</v>
      </c>
      <c r="AN109" s="3" t="s">
        <v>236</v>
      </c>
      <c r="AO109" s="3" t="s">
        <v>237</v>
      </c>
      <c r="AP109" s="3" t="s">
        <v>238</v>
      </c>
      <c r="AQ109" s="3" t="s">
        <v>239</v>
      </c>
    </row>
    <row r="110" customFormat="false" ht="14.25" hidden="false" customHeight="false" outlineLevel="0" collapsed="false">
      <c r="D110" s="0" t="s">
        <v>242</v>
      </c>
      <c r="E110" s="0" t="s">
        <v>177</v>
      </c>
      <c r="F110" s="0" t="n">
        <v>2025</v>
      </c>
      <c r="G110" s="0" t="s">
        <v>108</v>
      </c>
      <c r="H110" s="0" t="n">
        <v>1</v>
      </c>
      <c r="I110" s="0" t="n">
        <v>0</v>
      </c>
      <c r="J110" s="0" t="n">
        <v>0</v>
      </c>
      <c r="K110" s="0" t="n">
        <v>6</v>
      </c>
      <c r="L110" s="0" t="n">
        <v>0</v>
      </c>
      <c r="M110" s="0" t="n">
        <v>0</v>
      </c>
      <c r="N110" s="0" t="n">
        <v>1</v>
      </c>
      <c r="O110" s="0" t="n">
        <v>0.5</v>
      </c>
      <c r="P110" s="0" t="n">
        <v>200</v>
      </c>
      <c r="Q110" s="0" t="n">
        <v>0</v>
      </c>
      <c r="R110" s="0" t="n">
        <v>0</v>
      </c>
      <c r="S110" s="0" t="n">
        <v>1</v>
      </c>
      <c r="T110" s="0" t="n">
        <v>15</v>
      </c>
      <c r="U110" s="0" t="n">
        <v>0</v>
      </c>
      <c r="V110" s="0" t="n">
        <v>0</v>
      </c>
      <c r="W110" s="0" t="n">
        <v>0</v>
      </c>
      <c r="X110" s="0" t="n">
        <v>1</v>
      </c>
      <c r="Y110" s="0" t="n">
        <v>1</v>
      </c>
      <c r="Z110" s="0" t="n">
        <v>5</v>
      </c>
      <c r="AA110" s="0" t="n">
        <v>4</v>
      </c>
      <c r="AB110" s="0" t="n">
        <v>2</v>
      </c>
      <c r="AC110" s="0" t="n">
        <v>2</v>
      </c>
      <c r="AD110" s="0" t="n">
        <v>80</v>
      </c>
      <c r="AE110" s="0" t="n">
        <v>0</v>
      </c>
      <c r="AF110" s="0" t="n">
        <v>0</v>
      </c>
      <c r="AG110" s="0" t="n">
        <v>10</v>
      </c>
      <c r="AH110" s="0" t="n">
        <v>0</v>
      </c>
      <c r="AI110" s="0" t="n">
        <v>1</v>
      </c>
      <c r="AJ110" s="0" t="n">
        <v>0.5</v>
      </c>
      <c r="AK110" s="0" t="n">
        <v>1</v>
      </c>
      <c r="AL110" s="0" t="n">
        <v>1</v>
      </c>
      <c r="AM110" s="0" t="n">
        <v>0</v>
      </c>
      <c r="AN110" s="0" t="n">
        <v>0</v>
      </c>
      <c r="AO110" s="0" t="n">
        <v>6</v>
      </c>
      <c r="AP110" s="0" t="n">
        <v>0</v>
      </c>
      <c r="AQ110" s="0" t="n">
        <v>0</v>
      </c>
    </row>
    <row r="111" customFormat="false" ht="14.25" hidden="false" customHeight="false" outlineLevel="0" collapsed="false">
      <c r="D111" s="0" t="s">
        <v>242</v>
      </c>
      <c r="E111" s="0" t="s">
        <v>177</v>
      </c>
      <c r="F111" s="0" t="n">
        <v>2030</v>
      </c>
      <c r="G111" s="0" t="s">
        <v>108</v>
      </c>
      <c r="H111" s="0" t="n">
        <v>1</v>
      </c>
      <c r="I111" s="0" t="n">
        <v>0</v>
      </c>
      <c r="J111" s="0" t="n">
        <v>0</v>
      </c>
      <c r="K111" s="0" t="n">
        <v>40</v>
      </c>
      <c r="L111" s="0" t="n">
        <v>0</v>
      </c>
      <c r="M111" s="0" t="n">
        <v>0</v>
      </c>
      <c r="N111" s="0" t="n">
        <v>5</v>
      </c>
      <c r="O111" s="0" t="n">
        <v>3</v>
      </c>
      <c r="P111" s="0" t="n">
        <v>600</v>
      </c>
      <c r="Q111" s="0" t="n">
        <v>0</v>
      </c>
      <c r="R111" s="0" t="n">
        <v>0</v>
      </c>
      <c r="S111" s="0" t="n">
        <v>5</v>
      </c>
      <c r="T111" s="0" t="n">
        <v>40</v>
      </c>
      <c r="U111" s="0" t="n">
        <v>0</v>
      </c>
      <c r="V111" s="0" t="n">
        <v>0</v>
      </c>
      <c r="W111" s="0" t="n">
        <v>0</v>
      </c>
      <c r="X111" s="0" t="n">
        <v>50</v>
      </c>
      <c r="Y111" s="0" t="n">
        <v>3</v>
      </c>
      <c r="Z111" s="0" t="n">
        <v>20</v>
      </c>
      <c r="AA111" s="0" t="n">
        <v>15</v>
      </c>
      <c r="AB111" s="0" t="n">
        <v>10</v>
      </c>
      <c r="AC111" s="0" t="n">
        <v>15</v>
      </c>
      <c r="AD111" s="0" t="n">
        <v>250</v>
      </c>
      <c r="AE111" s="0" t="n">
        <v>0</v>
      </c>
      <c r="AF111" s="0" t="n">
        <v>3</v>
      </c>
      <c r="AG111" s="0" t="n">
        <v>40</v>
      </c>
      <c r="AH111" s="0" t="n">
        <v>0</v>
      </c>
      <c r="AI111" s="0" t="n">
        <v>30</v>
      </c>
      <c r="AJ111" s="0" t="n">
        <v>5</v>
      </c>
      <c r="AK111" s="0" t="n">
        <v>10</v>
      </c>
      <c r="AL111" s="0" t="n">
        <v>4</v>
      </c>
      <c r="AM111" s="0" t="n">
        <v>0</v>
      </c>
      <c r="AN111" s="0" t="n">
        <v>0</v>
      </c>
      <c r="AO111" s="0" t="n">
        <v>25</v>
      </c>
      <c r="AP111" s="0" t="n">
        <v>0</v>
      </c>
      <c r="AQ111" s="0" t="n">
        <v>0</v>
      </c>
    </row>
    <row r="115" customFormat="false" ht="14.25" hidden="false" customHeight="false" outlineLevel="0" collapsed="false">
      <c r="D115" s="0" t="s">
        <v>57</v>
      </c>
    </row>
    <row r="116" customFormat="false" ht="14.25" hidden="false" customHeight="false" outlineLevel="0" collapsed="false">
      <c r="D116" s="0" t="s">
        <v>204</v>
      </c>
    </row>
    <row r="117" customFormat="false" ht="14.25" hidden="false" customHeight="false" outlineLevel="0" collapsed="false">
      <c r="D117" s="0" t="s">
        <v>59</v>
      </c>
      <c r="E117" s="0" t="s">
        <v>48</v>
      </c>
      <c r="F117" s="0" t="s">
        <v>4</v>
      </c>
      <c r="G117" s="0" t="s">
        <v>2</v>
      </c>
      <c r="H117" s="0" t="s">
        <v>78</v>
      </c>
      <c r="I117" s="0" t="s">
        <v>205</v>
      </c>
      <c r="J117" s="0" t="s">
        <v>206</v>
      </c>
      <c r="K117" s="0" t="s">
        <v>207</v>
      </c>
      <c r="L117" s="0" t="s">
        <v>208</v>
      </c>
      <c r="M117" s="0" t="s">
        <v>209</v>
      </c>
      <c r="N117" s="0" t="s">
        <v>210</v>
      </c>
      <c r="O117" s="0" t="s">
        <v>211</v>
      </c>
      <c r="P117" s="0" t="s">
        <v>212</v>
      </c>
      <c r="Q117" s="0" t="s">
        <v>213</v>
      </c>
      <c r="R117" s="0" t="s">
        <v>214</v>
      </c>
      <c r="S117" s="0" t="s">
        <v>215</v>
      </c>
      <c r="T117" s="0" t="s">
        <v>216</v>
      </c>
      <c r="U117" s="0" t="s">
        <v>217</v>
      </c>
      <c r="V117" s="0" t="s">
        <v>218</v>
      </c>
      <c r="W117" s="0" t="s">
        <v>219</v>
      </c>
      <c r="X117" s="3" t="s">
        <v>220</v>
      </c>
      <c r="Y117" s="3" t="s">
        <v>221</v>
      </c>
      <c r="Z117" s="3" t="s">
        <v>222</v>
      </c>
      <c r="AA117" s="3" t="s">
        <v>223</v>
      </c>
      <c r="AB117" s="3" t="s">
        <v>224</v>
      </c>
      <c r="AC117" s="3" t="s">
        <v>225</v>
      </c>
      <c r="AD117" s="3" t="s">
        <v>226</v>
      </c>
      <c r="AE117" s="3" t="s">
        <v>227</v>
      </c>
      <c r="AF117" s="3" t="s">
        <v>228</v>
      </c>
      <c r="AG117" s="3" t="s">
        <v>229</v>
      </c>
      <c r="AH117" s="3" t="s">
        <v>230</v>
      </c>
      <c r="AI117" s="3" t="s">
        <v>231</v>
      </c>
      <c r="AJ117" s="3" t="s">
        <v>232</v>
      </c>
      <c r="AK117" s="3" t="s">
        <v>233</v>
      </c>
      <c r="AL117" s="3" t="s">
        <v>234</v>
      </c>
      <c r="AM117" s="3" t="s">
        <v>235</v>
      </c>
      <c r="AN117" s="3" t="s">
        <v>236</v>
      </c>
      <c r="AO117" s="3" t="s">
        <v>237</v>
      </c>
      <c r="AP117" s="3" t="s">
        <v>238</v>
      </c>
      <c r="AQ117" s="3" t="s">
        <v>239</v>
      </c>
      <c r="AR117" s="3" t="s">
        <v>66</v>
      </c>
    </row>
    <row r="118" customFormat="false" ht="14.25" hidden="false" customHeight="false" outlineLevel="0" collapsed="false">
      <c r="D118" s="0" t="s">
        <v>243</v>
      </c>
      <c r="E118" s="0" t="s">
        <v>244</v>
      </c>
      <c r="F118" s="0" t="n">
        <v>2020</v>
      </c>
      <c r="G118" s="0" t="s">
        <v>84</v>
      </c>
      <c r="H118" s="0" t="n">
        <v>1</v>
      </c>
      <c r="I118" s="0" t="n">
        <v>1</v>
      </c>
      <c r="J118" s="0" t="n">
        <v>1</v>
      </c>
      <c r="K118" s="0" t="n">
        <v>2</v>
      </c>
      <c r="L118" s="0" t="n">
        <v>4</v>
      </c>
      <c r="M118" s="0" t="n">
        <v>1</v>
      </c>
      <c r="N118" s="0" t="n">
        <v>25</v>
      </c>
      <c r="O118" s="0" t="n">
        <v>1</v>
      </c>
      <c r="P118" s="0" t="n">
        <v>400</v>
      </c>
      <c r="Q118" s="0" t="n">
        <v>1</v>
      </c>
      <c r="R118" s="0" t="n">
        <v>1.5</v>
      </c>
      <c r="S118" s="0" t="n">
        <v>25</v>
      </c>
      <c r="T118" s="0" t="n">
        <v>30</v>
      </c>
      <c r="U118" s="0" t="n">
        <v>1</v>
      </c>
      <c r="V118" s="0" t="n">
        <v>2</v>
      </c>
      <c r="W118" s="0" t="n">
        <v>1.5</v>
      </c>
      <c r="X118" s="0" t="n">
        <v>5</v>
      </c>
      <c r="Y118" s="0" t="n">
        <v>2</v>
      </c>
      <c r="Z118" s="0" t="n">
        <v>6</v>
      </c>
      <c r="AA118" s="0" t="n">
        <v>10</v>
      </c>
      <c r="AB118" s="0" t="n">
        <v>2</v>
      </c>
      <c r="AC118" s="0" t="n">
        <v>2</v>
      </c>
      <c r="AD118" s="0" t="n">
        <v>130</v>
      </c>
      <c r="AE118" s="0" t="n">
        <v>30</v>
      </c>
      <c r="AF118" s="0" t="n">
        <v>1.5</v>
      </c>
      <c r="AG118" s="0" t="n">
        <v>25</v>
      </c>
      <c r="AH118" s="0" t="n">
        <v>1</v>
      </c>
      <c r="AI118" s="0" t="n">
        <v>0.5</v>
      </c>
      <c r="AJ118" s="0" t="n">
        <v>0.5</v>
      </c>
      <c r="AK118" s="0" t="n">
        <v>6</v>
      </c>
      <c r="AL118" s="0" t="n">
        <v>15</v>
      </c>
      <c r="AM118" s="0" t="n">
        <v>4</v>
      </c>
      <c r="AN118" s="0" t="n">
        <v>1</v>
      </c>
      <c r="AO118" s="0" t="n">
        <v>25</v>
      </c>
      <c r="AP118" s="0" t="n">
        <v>1</v>
      </c>
      <c r="AQ118" s="0" t="n">
        <v>0.5</v>
      </c>
      <c r="AR118" s="3" t="s">
        <v>245</v>
      </c>
    </row>
    <row r="119" customFormat="false" ht="14.25" hidden="false" customHeight="false" outlineLevel="0" collapsed="false">
      <c r="D119" s="0" t="s">
        <v>243</v>
      </c>
      <c r="E119" s="0" t="s">
        <v>244</v>
      </c>
      <c r="F119" s="0" t="n">
        <v>2025</v>
      </c>
      <c r="G119" s="0" t="s">
        <v>84</v>
      </c>
      <c r="H119" s="0" t="n">
        <v>1</v>
      </c>
      <c r="I119" s="0" t="n">
        <v>3</v>
      </c>
      <c r="J119" s="0" t="n">
        <v>3</v>
      </c>
      <c r="K119" s="0" t="n">
        <v>25</v>
      </c>
      <c r="L119" s="0" t="n">
        <v>20</v>
      </c>
      <c r="M119" s="0" t="n">
        <v>4</v>
      </c>
      <c r="N119" s="0" t="n">
        <v>105</v>
      </c>
      <c r="O119" s="0" t="n">
        <v>15</v>
      </c>
      <c r="P119" s="0" t="n">
        <v>3000</v>
      </c>
      <c r="Q119" s="0" t="n">
        <v>4</v>
      </c>
      <c r="R119" s="0" t="n">
        <v>7</v>
      </c>
      <c r="S119" s="0" t="n">
        <v>125</v>
      </c>
      <c r="T119" s="0" t="n">
        <v>200</v>
      </c>
      <c r="U119" s="0" t="n">
        <v>5</v>
      </c>
      <c r="V119" s="0" t="n">
        <v>13</v>
      </c>
      <c r="W119" s="0" t="n">
        <v>5</v>
      </c>
      <c r="X119" s="0" t="n">
        <v>55</v>
      </c>
      <c r="Y119" s="0" t="n">
        <v>13</v>
      </c>
      <c r="Z119" s="0" t="n">
        <v>35</v>
      </c>
      <c r="AA119" s="0" t="n">
        <v>25</v>
      </c>
      <c r="AB119" s="0" t="n">
        <v>15</v>
      </c>
      <c r="AC119" s="0" t="n">
        <v>18</v>
      </c>
      <c r="AD119" s="0" t="n">
        <v>650</v>
      </c>
      <c r="AE119" s="0" t="n">
        <v>80</v>
      </c>
      <c r="AF119" s="0" t="n">
        <v>10</v>
      </c>
      <c r="AG119" s="0" t="n">
        <v>130</v>
      </c>
      <c r="AH119" s="0" t="n">
        <v>5</v>
      </c>
      <c r="AI119" s="0" t="n">
        <v>3</v>
      </c>
      <c r="AJ119" s="0" t="n">
        <v>3</v>
      </c>
      <c r="AK119" s="0" t="n">
        <v>45</v>
      </c>
      <c r="AL119" s="0" t="n">
        <v>100</v>
      </c>
      <c r="AM119" s="0" t="n">
        <v>26</v>
      </c>
      <c r="AN119" s="0" t="n">
        <v>25</v>
      </c>
      <c r="AO119" s="0" t="n">
        <v>145</v>
      </c>
      <c r="AP119" s="0" t="n">
        <v>10</v>
      </c>
      <c r="AQ119" s="0" t="n">
        <v>2</v>
      </c>
    </row>
    <row r="120" customFormat="false" ht="14.25" hidden="false" customHeight="false" outlineLevel="0" collapsed="false">
      <c r="D120" s="0" t="s">
        <v>243</v>
      </c>
      <c r="E120" s="0" t="s">
        <v>244</v>
      </c>
      <c r="F120" s="0" t="n">
        <v>0</v>
      </c>
      <c r="G120" s="0" t="s">
        <v>84</v>
      </c>
      <c r="I120" s="0" t="n">
        <v>1</v>
      </c>
      <c r="J120" s="0" t="n">
        <v>1</v>
      </c>
      <c r="K120" s="0" t="n">
        <v>1</v>
      </c>
      <c r="L120" s="0" t="n">
        <v>1</v>
      </c>
      <c r="M120" s="0" t="n">
        <v>1</v>
      </c>
      <c r="N120" s="0" t="n">
        <v>1</v>
      </c>
      <c r="O120" s="0" t="n">
        <v>1</v>
      </c>
      <c r="P120" s="0" t="n">
        <v>1</v>
      </c>
      <c r="Q120" s="0" t="n">
        <v>1</v>
      </c>
      <c r="R120" s="0" t="n">
        <v>1</v>
      </c>
      <c r="S120" s="0" t="n">
        <v>1</v>
      </c>
      <c r="T120" s="0" t="n">
        <v>1</v>
      </c>
      <c r="U120" s="0" t="n">
        <v>1</v>
      </c>
      <c r="V120" s="0" t="n">
        <v>1</v>
      </c>
      <c r="W120" s="0" t="n">
        <v>1</v>
      </c>
      <c r="X120" s="0" t="n">
        <v>1</v>
      </c>
      <c r="Y120" s="0" t="n">
        <v>1</v>
      </c>
      <c r="Z120" s="0" t="n">
        <v>1</v>
      </c>
      <c r="AA120" s="0" t="n">
        <v>1</v>
      </c>
      <c r="AB120" s="0" t="n">
        <v>1</v>
      </c>
      <c r="AC120" s="0" t="n">
        <v>1</v>
      </c>
      <c r="AD120" s="0" t="n">
        <v>1</v>
      </c>
      <c r="AE120" s="0" t="n">
        <v>1</v>
      </c>
      <c r="AF120" s="0" t="n">
        <v>1</v>
      </c>
      <c r="AG120" s="0" t="n">
        <v>1</v>
      </c>
      <c r="AH120" s="0" t="n">
        <v>1</v>
      </c>
      <c r="AI120" s="0" t="n">
        <v>1</v>
      </c>
      <c r="AJ120" s="0" t="n">
        <v>1</v>
      </c>
      <c r="AK120" s="0" t="n">
        <v>1</v>
      </c>
      <c r="AL120" s="0" t="n">
        <v>1</v>
      </c>
      <c r="AM120" s="0" t="n">
        <v>1</v>
      </c>
      <c r="AN120" s="0" t="n">
        <v>1</v>
      </c>
      <c r="AO120" s="0" t="n">
        <v>1</v>
      </c>
      <c r="AP120" s="0" t="n">
        <v>1</v>
      </c>
      <c r="AQ120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2009-05-27T15:40:00Z</dcterms:created>
  <dc:creator>Amit Kanudia</dc:creator>
  <dc:description/>
  <dc:language>en-US</dc:language>
  <cp:lastModifiedBy>李潇</cp:lastModifiedBy>
  <dcterms:modified xsi:type="dcterms:W3CDTF">2026-10-27T13:45:11Z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SaveCode">
    <vt:r8>975490756116480</vt:r8>
  </property>
</Properties>
</file>