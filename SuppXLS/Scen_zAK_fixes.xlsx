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8"/>
  </bookViews>
  <sheets>
    <sheet name="INS" sheetId="1" state="visible" r:id="rId3"/>
    <sheet name="Sheet8" sheetId="2" state="visible" r:id="rId4"/>
    <sheet name="Sheet9" sheetId="3" state="visible" r:id="rId5"/>
    <sheet name="ROR_has_no_regulation_cap" sheetId="4" state="visible" r:id="rId6"/>
    <sheet name="Ramp_rate_constraints" sheetId="5" state="visible" r:id="rId7"/>
    <sheet name="Peak_demand_limit_battery" sheetId="6" state="visible" r:id="rId8"/>
    <sheet name="Growth_rate" sheetId="7" state="visible" r:id="rId9"/>
    <sheet name="util_limit" sheetId="8" state="visible" r:id="rId10"/>
    <sheet name="Elc_limit" sheetId="9" state="visible" r:id="rId11"/>
    <sheet name="EV_share" sheetId="10" state="visible" r:id="rId12"/>
    <sheet name="LFP_share" sheetId="11" state="visible" r:id="rId13"/>
  </sheets>
  <definedNames>
    <definedName function="false" hidden="true" name="IQ_FWD_Q" vbProcedure="false">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xli9:
The utility-scale storage I have to revert *10 to *1: CAPEX was disaggregated into the battery pack cost and the pack assembly (balance-of-pack) cost. 
then why 0.55 i explainede here/in Methods</t>
        </r>
      </text>
    </comment>
    <comment ref="F14" authorId="0">
      <text>
        <r>
          <rPr>
            <sz val="10"/>
            <rFont val="Arial"/>
            <family val="2"/>
          </rPr>
          <t xml:space="preserve">xli9:
refer to *https://www.pnnl.gov/sites/default/files/media/file/ESGC%20Cost%20Performance%20Report%202022%20PNNL-33283.pdf</t>
        </r>
      </text>
    </comment>
    <comment ref="F15" authorId="0">
      <text>
        <r>
          <rPr>
            <sz val="10"/>
            <rFont val="Arial"/>
            <family val="2"/>
          </rPr>
          <t xml:space="preserve">xli9:
10-hour duration</t>
        </r>
      </text>
    </comment>
    <comment ref="F21" authorId="0">
      <text>
        <r>
          <rPr>
            <sz val="10"/>
            <rFont val="Arial"/>
            <family val="2"/>
          </rPr>
          <t xml:space="preserve">xli9:
Not necessary bro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9" authorId="0">
      <text>
        <r>
          <rPr>
            <sz val="10"/>
            <rFont val="Arial"/>
            <family val="2"/>
          </rPr>
          <t xml:space="preserve">xli9:
dam hydropower should also have some limits, bcz not all dam hydropower are TGR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7" authorId="0">
      <text>
        <r>
          <rPr>
            <sz val="10"/>
            <rFont val="Arial"/>
            <family val="2"/>
          </rPr>
          <t xml:space="preserve">Xiao Li:
we consider no new hydro-investment for AB and SK due to limited potential</t>
        </r>
      </text>
    </comment>
    <comment ref="E17" authorId="0">
      <text>
        <r>
          <rPr>
            <sz val="10"/>
            <rFont val="Arial"/>
            <family val="2"/>
          </rPr>
          <t xml:space="preserve">xli9:
different from CAN-TIMES</t>
        </r>
      </text>
    </comment>
    <comment ref="K6" authorId="0">
      <text>
        <r>
          <rPr>
            <sz val="10"/>
            <rFont val="Arial"/>
            <family val="2"/>
          </rPr>
          <t xml:space="preserve">xli9:
Should not because then system will rely on HPS without battery expansion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Arial"/>
            <family val="2"/>
          </rPr>
          <t xml:space="preserve">xli9:
Should remove ,Tra_bev* bcz it’s already contained in AuxStoOut</t>
        </r>
      </text>
    </comment>
    <comment ref="D28" authorId="0">
      <text>
        <r>
          <rPr>
            <sz val="10"/>
            <rFont val="Arial"/>
            <family val="2"/>
          </rPr>
          <t xml:space="preserve">Insert Table</t>
        </r>
      </text>
    </comment>
    <comment ref="H3" authorId="0">
      <text>
        <r>
          <rPr>
            <sz val="10"/>
            <rFont val="Arial"/>
            <family val="2"/>
          </rPr>
          <t xml:space="preserve">xli9:
contrdict other limits, and does not work for storage projections so removed</t>
        </r>
      </text>
    </comment>
    <comment ref="K28" authorId="0">
      <text>
        <r>
          <rPr>
            <sz val="10"/>
            <rFont val="Arial"/>
            <family val="2"/>
          </rPr>
          <t xml:space="preserve">Define the qualifiers based upon technology set + topology + name + descriptions, according to both include and exclude specifications.</t>
        </r>
      </text>
    </comment>
    <comment ref="P28" authorId="0">
      <text>
        <r>
          <rPr>
            <sz val="10"/>
            <rFont val="Arial"/>
            <family val="2"/>
          </rPr>
          <t xml:space="preserve"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<sst xmlns="http://schemas.openxmlformats.org/spreadsheetml/2006/main" count="1015" uniqueCount="301">
  <si>
    <t xml:space="preserve">~TFM_UPD</t>
  </si>
  <si>
    <t xml:space="preserve">TimeSlice</t>
  </si>
  <si>
    <t xml:space="preserve">LimType</t>
  </si>
  <si>
    <t xml:space="preserve">Attribute</t>
  </si>
  <si>
    <t xml:space="preserve">Year</t>
  </si>
  <si>
    <t xml:space="preserve">AllRegions</t>
  </si>
  <si>
    <t xml:space="preserve">Pset_PN</t>
  </si>
  <si>
    <t xml:space="preserve">invcost</t>
  </si>
  <si>
    <t xml:space="preserve">*0.55</t>
  </si>
  <si>
    <t xml:space="preserve">en*hbatt*, Util_Rep_Batt*</t>
  </si>
  <si>
    <t xml:space="preserve">~TFM_INS: curr=USD20</t>
  </si>
  <si>
    <t xml:space="preserve">other_indexes</t>
  </si>
  <si>
    <t xml:space="preserve">commodity</t>
  </si>
  <si>
    <t xml:space="preserve">year</t>
  </si>
  <si>
    <t xml:space="preserve">DAYNITE</t>
  </si>
  <si>
    <t xml:space="preserve">NRG</t>
  </si>
  <si>
    <t xml:space="preserve">AFC</t>
  </si>
  <si>
    <t xml:space="preserve">ELC</t>
  </si>
  <si>
    <t xml:space="preserve">ACT</t>
  </si>
  <si>
    <t xml:space="preserve">FIXOM</t>
  </si>
  <si>
    <t xml:space="preserve">EN_HPS_Storage</t>
  </si>
  <si>
    <t xml:space="preserve">NCAP_PKCNT</t>
  </si>
  <si>
    <t xml:space="preserve">Tra_BEV_Batt_VtoG</t>
  </si>
  <si>
    <t xml:space="preserve">EN_STG_4hBatt*, Util_Rep_Batt*</t>
  </si>
  <si>
    <t xml:space="preserve">DELIV</t>
  </si>
  <si>
    <t xml:space="preserve">*COM_FR is worse than utilization rate for ROR, but we need to put this constraint to avoild regulation capacities</t>
  </si>
  <si>
    <t xml:space="preserve">~TFM_INS</t>
  </si>
  <si>
    <t xml:space="preserve">attribute</t>
  </si>
  <si>
    <t xml:space="preserve">PSET_SET</t>
  </si>
  <si>
    <t xml:space="preserve">PSET_CI</t>
  </si>
  <si>
    <t xml:space="preserve">pset_pn</t>
  </si>
  <si>
    <t xml:space="preserve">AF</t>
  </si>
  <si>
    <t xml:space="preserve">ELE</t>
  </si>
  <si>
    <t xml:space="preserve">ELCHYD</t>
  </si>
  <si>
    <t xml:space="preserve">*HYD-DAM*</t>
  </si>
  <si>
    <t xml:space="preserve">*HYD-ROR*</t>
  </si>
  <si>
    <t xml:space="preserve">PSET_CO</t>
  </si>
  <si>
    <t xml:space="preserve">*bio*</t>
  </si>
  <si>
    <t xml:space="preserve">ACT_CSTRMP</t>
  </si>
  <si>
    <t xml:space="preserve">*coa*, *lig*</t>
  </si>
  <si>
    <t xml:space="preserve">EA_OIL*, EP_OIL*</t>
  </si>
  <si>
    <t xml:space="preserve">en_gas*, ea_gas*, ep_gas*</t>
  </si>
  <si>
    <t xml:space="preserve">*HPS*</t>
  </si>
  <si>
    <t xml:space="preserve">EN_STG_4hBatt*</t>
  </si>
  <si>
    <t xml:space="preserve">Util_Rep_Batt*</t>
  </si>
  <si>
    <t xml:space="preserve">*nuc*</t>
  </si>
  <si>
    <t xml:space="preserve">ACT_UPS</t>
  </si>
  <si>
    <t xml:space="preserve">EN_STG_4hBatt*, Tra_BEV_Batt_VtoG</t>
  </si>
  <si>
    <t xml:space="preserve">START</t>
  </si>
  <si>
    <t xml:space="preserve">Tra_EV_Bat*virgi*, -Tra_EV_Batt-Sodium_virgin_pack, -Tra_EV_Batt-Sodium_virgin</t>
  </si>
  <si>
    <t xml:space="preserve">~TFM_AVA</t>
  </si>
  <si>
    <t xml:space="preserve">PSET_PN</t>
  </si>
  <si>
    <t xml:space="preserve">AL</t>
  </si>
  <si>
    <t xml:space="preserve">AT</t>
  </si>
  <si>
    <t xml:space="preserve">BC</t>
  </si>
  <si>
    <t xml:space="preserve">MA</t>
  </si>
  <si>
    <t xml:space="preserve">ON</t>
  </si>
  <si>
    <t xml:space="preserve">SA</t>
  </si>
  <si>
    <t xml:space="preserve">QU</t>
  </si>
  <si>
    <t xml:space="preserve">ENCAN01_SMR</t>
  </si>
  <si>
    <t xml:space="preserve">~UC_Sets: R_E: AllRegions</t>
  </si>
  <si>
    <t xml:space="preserve">~UC_T: UP</t>
  </si>
  <si>
    <t xml:space="preserve">UC_N</t>
  </si>
  <si>
    <t xml:space="preserve">Pset_CI</t>
  </si>
  <si>
    <t xml:space="preserve">Cset_CN</t>
  </si>
  <si>
    <t xml:space="preserve">UC_FLO</t>
  </si>
  <si>
    <t xml:space="preserve">UC_COMPRD</t>
  </si>
  <si>
    <t xml:space="preserve">UC_RHSRT</t>
  </si>
  <si>
    <t xml:space="preserve">UC_RHSRT~0</t>
  </si>
  <si>
    <t xml:space="preserve">UC_Desc</t>
  </si>
  <si>
    <t xml:space="preserve">UCE_MaxOutput-of-gidstorage</t>
  </si>
  <si>
    <t xml:space="preserve">elcagg_spv*</t>
  </si>
  <si>
    <t xml:space="preserve">Discharge of batteries should lower than a proportion of wind+pv</t>
  </si>
  <si>
    <t xml:space="preserve">elcagg_w*</t>
  </si>
  <si>
    <t xml:space="preserve">E*, Uti*, Tra_BEV_Batt_VtoG</t>
  </si>
  <si>
    <t xml:space="preserve">AuxStoOUT</t>
  </si>
  <si>
    <t xml:space="preserve">~UC_Sets: R_S: AllRegions</t>
  </si>
  <si>
    <t xml:space="preserve">~UC_Sets: T_SUC:</t>
  </si>
  <si>
    <t xml:space="preserve">~UC_T</t>
  </si>
  <si>
    <t xml:space="preserve">Pset_Set</t>
  </si>
  <si>
    <t xml:space="preserve">UC_ATTR~RHS</t>
  </si>
  <si>
    <t xml:space="preserve">UC_CAP</t>
  </si>
  <si>
    <t xml:space="preserve">UC_CAP~RHS</t>
  </si>
  <si>
    <t xml:space="preserve">UC_Grow_LI</t>
  </si>
  <si>
    <t xml:space="preserve">MINBatMaterials_LI</t>
  </si>
  <si>
    <t xml:space="preserve">CAP,GROWTH</t>
  </si>
  <si>
    <t xml:space="preserve">2025, 2150</t>
  </si>
  <si>
    <t xml:space="preserve">UP</t>
  </si>
  <si>
    <t xml:space="preserve">UC_Grow_GR</t>
  </si>
  <si>
    <t xml:space="preserve">MINBatMaterials_GR</t>
  </si>
  <si>
    <t xml:space="preserve">UC_Grow_NI</t>
  </si>
  <si>
    <t xml:space="preserve">MINBatMaterials_NI</t>
  </si>
  <si>
    <t xml:space="preserve">UC_Grow_COB_byCop</t>
  </si>
  <si>
    <t xml:space="preserve">MINBatMaterials_COB_byCop</t>
  </si>
  <si>
    <t xml:space="preserve">UC_Grow_MN</t>
  </si>
  <si>
    <t xml:space="preserve">MINBatMaterials_MN</t>
  </si>
  <si>
    <t xml:space="preserve">UC_Grow_COP</t>
  </si>
  <si>
    <t xml:space="preserve">MINBatMaterials_COP</t>
  </si>
  <si>
    <t xml:space="preserve">UC_Grow_AL</t>
  </si>
  <si>
    <t xml:space="preserve">MINBatMaterials_AL</t>
  </si>
  <si>
    <t xml:space="preserve">UC_Grow_COB_byNI_HPAL</t>
  </si>
  <si>
    <t xml:space="preserve">MINBatMaterials_COB_byNI_HPAL</t>
  </si>
  <si>
    <t xml:space="preserve">UC_Grow_COB_byNI_sulfide</t>
  </si>
  <si>
    <t xml:space="preserve">MINBatMaterials_COB_byNI_sulfide</t>
  </si>
  <si>
    <t xml:space="preserve">UC_Grow_COB_direct</t>
  </si>
  <si>
    <t xml:space="preserve">MINBatMaterials_COB_direct</t>
  </si>
  <si>
    <t xml:space="preserve">Original : </t>
  </si>
  <si>
    <t xml:space="preserve">RHSTS</t>
  </si>
  <si>
    <t xml:space="preserve">\I:UC_Grow_Recy1</t>
  </si>
  <si>
    <t xml:space="preserve">Tra_EV_Batt-LFP_fromrecy</t>
  </si>
  <si>
    <t xml:space="preserve">2030, 2150</t>
  </si>
  <si>
    <t xml:space="preserve">LO</t>
  </si>
  <si>
    <t xml:space="preserve">\I:UC_Grow_Recy2</t>
  </si>
  <si>
    <t xml:space="preserve">Tra_EV_Batt-LMO_fromrecy</t>
  </si>
  <si>
    <t xml:space="preserve">\I:UC_Grow_Recy3</t>
  </si>
  <si>
    <t xml:space="preserve">Tra_EV_Batt-NCA_fromrecy</t>
  </si>
  <si>
    <t xml:space="preserve">\I:UC_Grow_Recy4</t>
  </si>
  <si>
    <t xml:space="preserve">Tra_EV_Batt-NMC111_fromrecy</t>
  </si>
  <si>
    <t xml:space="preserve">\I:UC_Grow_Recy5</t>
  </si>
  <si>
    <t xml:space="preserve">Tra_EV_Batt-NMC532_fromrecy</t>
  </si>
  <si>
    <t xml:space="preserve">\I:UC_Grow_Recy6</t>
  </si>
  <si>
    <t xml:space="preserve">Tra_EV_Batt-NMC622_fromrecy</t>
  </si>
  <si>
    <t xml:space="preserve">\I:UC_Grow_Recy7</t>
  </si>
  <si>
    <t xml:space="preserve">Tra_EV_Batt-NMC811_fromrecy</t>
  </si>
  <si>
    <t xml:space="preserve">UC_Grow_Recy8</t>
  </si>
  <si>
    <t xml:space="preserve">EN_STG_4hBatt</t>
  </si>
  <si>
    <t xml:space="preserve">2019, 2150</t>
  </si>
  <si>
    <t xml:space="preserve">UC_Grow_Recy9</t>
  </si>
  <si>
    <t xml:space="preserve">EN_STG_4hBatt_LMO</t>
  </si>
  <si>
    <t xml:space="preserve">UC_Grow_Recy10</t>
  </si>
  <si>
    <t xml:space="preserve">EN_STG_4hBatt_NCA</t>
  </si>
  <si>
    <t xml:space="preserve">UC_Grow_Recy11</t>
  </si>
  <si>
    <t xml:space="preserve">EN_STG_4hBatt_NMC111</t>
  </si>
  <si>
    <t xml:space="preserve">UC_Grow_Recy12</t>
  </si>
  <si>
    <t xml:space="preserve">EN_STG_4hBatt_NMC532</t>
  </si>
  <si>
    <t xml:space="preserve">UC_Grow_Recy13</t>
  </si>
  <si>
    <t xml:space="preserve">EN_STG_4hBatt_NMC622</t>
  </si>
  <si>
    <t xml:space="preserve">UC_Grow_Recy14</t>
  </si>
  <si>
    <t xml:space="preserve">EN_STG_4hBatt_NMC811</t>
  </si>
  <si>
    <t xml:space="preserve">Cset_Set</t>
  </si>
  <si>
    <t xml:space="preserve">UC_COMNET</t>
  </si>
  <si>
    <t xml:space="preserve">UC_COMNET~RHS</t>
  </si>
  <si>
    <t xml:space="preserve">UC_coalEmi1</t>
  </si>
  <si>
    <t xml:space="preserve">ELCCO2Nc</t>
  </si>
  <si>
    <t xml:space="preserve">COMNET,GROWTH</t>
  </si>
  <si>
    <t xml:space="preserve">2040, 2150</t>
  </si>
  <si>
    <t xml:space="preserve">UC_OilEmi2</t>
  </si>
  <si>
    <t xml:space="preserve">ELCCO2No</t>
  </si>
  <si>
    <t xml:space="preserve">UC_gasEmi3</t>
  </si>
  <si>
    <t xml:space="preserve">ELCCO2Ng</t>
  </si>
  <si>
    <t xml:space="preserve">2050, 2150</t>
  </si>
  <si>
    <t xml:space="preserve">UC_totco2Emi4</t>
  </si>
  <si>
    <t xml:space="preserve">TOTCO2</t>
  </si>
  <si>
    <t xml:space="preserve">~UC_T: LO</t>
  </si>
  <si>
    <t xml:space="preserve">UCE_MaxUtility_scale</t>
  </si>
  <si>
    <t xml:space="preserve">Tra_E*fromrecy, Tra_EV_Bat*virgin_pack</t>
  </si>
  <si>
    <t xml:space="preserve">Util_Rep_B*</t>
  </si>
  <si>
    <t xml:space="preserve">UCE_2</t>
  </si>
  <si>
    <t xml:space="preserve">Tra_EV_Batt-LFP_fromrecy, Tra_EV_Batt-LFP_virgin_pack</t>
  </si>
  <si>
    <t xml:space="preserve">Tra_E*fromrecy, Tra_EV_Bat*virgin_pack, -Tra_EV_Batt-LFP_fromrecy, -Tra_EV_Batt-LFP_virgin_pack</t>
  </si>
  <si>
    <t xml:space="preserve">UCE_3</t>
  </si>
  <si>
    <t xml:space="preserve">EN_STG_4hBatt, Util_Rep_Batt-LFP</t>
  </si>
  <si>
    <t xml:space="preserve">EN_STG_4hBatt*, Util_Rep_Bat*, -EN_STG_4hBatt, -Util_Rep_Batt-LFP</t>
  </si>
  <si>
    <t xml:space="preserve">~UC_T: UC_CAP</t>
  </si>
  <si>
    <t xml:space="preserve">limtype</t>
  </si>
  <si>
    <t xml:space="preserve">Allregions</t>
  </si>
  <si>
    <t xml:space="preserve">UCE_MinAct_of_EVBattery</t>
  </si>
  <si>
    <t xml:space="preserve">AuxStoIN</t>
  </si>
  <si>
    <t xml:space="preserve">Tra_EV_Bat*fromrecy, Tra_EV_Bat*virgin_pack</t>
  </si>
  <si>
    <t xml:space="preserve">UCE_MinAct_of_GRIDBattery</t>
  </si>
  <si>
    <t xml:space="preserve">EN_STG_4hBatt*, Util_Rep_Bat*</t>
  </si>
  <si>
    <t xml:space="preserve">UCE_MinAct_of_HPS</t>
  </si>
  <si>
    <t xml:space="preserve">UCE_MinAct_of_vtog</t>
  </si>
  <si>
    <t xml:space="preserve">* 2026-10-27: deleted UCE_ElcBalance (DAYNITE supply &lt;= 1.05 x demand; infeasible per-timeslice, replaced by UCE_CurtLimit)</t>
  </si>
  <si>
    <t xml:space="preserve">UC_COMCON</t>
  </si>
  <si>
    <t xml:space="preserve">UCE_CurtLimit</t>
  </si>
  <si>
    <t xml:space="preserve">elc_spv*,elc_won*,elc_wof*</t>
  </si>
  <si>
    <t xml:space="preserve">VRE curtailment + battery round-trip losses &lt;= 8% of VRE output (annual)</t>
  </si>
  <si>
    <t xml:space="preserve">STG</t>
  </si>
  <si>
    <t xml:space="preserve">EN_STG_4hBatt*,Util_Rep_B*</t>
  </si>
  <si>
    <t xml:space="preserve">Attrib_Cond</t>
  </si>
  <si>
    <t xml:space="preserve">Val_Cond</t>
  </si>
  <si>
    <t xml:space="preserve">Pset_PD</t>
  </si>
  <si>
    <t xml:space="preserve">Pset_CO</t>
  </si>
  <si>
    <t xml:space="preserve">H2*</t>
  </si>
  <si>
    <t xml:space="preserve">HETHPU</t>
  </si>
  <si>
    <t xml:space="preserve">en_hp_air_10mw</t>
  </si>
  <si>
    <t xml:space="preserve">en_hop_electric_boiler</t>
  </si>
  <si>
    <t xml:space="preserve">UC_RHSRTS</t>
  </si>
  <si>
    <t xml:space="preserve">UC_RHSRTS~0</t>
  </si>
  <si>
    <t xml:space="preserve">UCE_CleanAdeq_W</t>
  </si>
  <si>
    <t xml:space="preserve">ELE,CHP</t>
  </si>
  <si>
    <t xml:space="preserve">EP_*,EA_*,-EP_HYD-ROR*,-*GAS*,-*COA*,-*LIG*</t>
  </si>
  <si>
    <t xml:space="preserve">*,-ELCSOL,-ELCWIN,-ELC,-ELCSPV,-elc[_]???[_]*</t>
  </si>
  <si>
    <t xml:space="preserve">S1H6</t>
  </si>
  <si>
    <t xml:space="preserve">Clean firm capacity &gt;= 1.15 x demand, winter peak, from 2050</t>
  </si>
  <si>
    <t xml:space="preserve">EP_*CCS*,EA_*CCS*</t>
  </si>
  <si>
    <t xml:space="preserve">en_*,-*gas*,-*coal*</t>
  </si>
  <si>
    <t xml:space="preserve">en_gas_ccs,en_coal_ccs,en_coal_igcc_ccs</t>
  </si>
  <si>
    <t xml:space="preserve">EP_HYD-ROR*</t>
  </si>
  <si>
    <t xml:space="preserve">en_won*,en_wof*</t>
  </si>
  <si>
    <t xml:space="preserve">en_spv*</t>
  </si>
  <si>
    <t xml:space="preserve">ElecDemand,FT_INDELC,FT_TRAELC</t>
  </si>
  <si>
    <t xml:space="preserve">UCE_CleanAdeq_S</t>
  </si>
  <si>
    <t xml:space="preserve">S4H6</t>
  </si>
  <si>
    <t xml:space="preserve">Clean firm capacity &gt;= 1.15 x demand, summer peak, from 2050</t>
  </si>
  <si>
    <t xml:space="preserve">~UC_T: UC_RHSRT</t>
  </si>
  <si>
    <t xml:space="preserve">Africa_North</t>
  </si>
  <si>
    <t xml:space="preserve">Africa_Other</t>
  </si>
  <si>
    <t xml:space="preserve">Australia</t>
  </si>
  <si>
    <t xml:space="preserve">Austria</t>
  </si>
  <si>
    <t xml:space="preserve">Baltics</t>
  </si>
  <si>
    <t xml:space="preserve">BeNeLux</t>
  </si>
  <si>
    <t xml:space="preserve">Brazil</t>
  </si>
  <si>
    <t xml:space="preserve">China</t>
  </si>
  <si>
    <t xml:space="preserve">CroSloven</t>
  </si>
  <si>
    <t xml:space="preserve">CzechSlovak</t>
  </si>
  <si>
    <t xml:space="preserve">France</t>
  </si>
  <si>
    <t xml:space="preserve">Germany</t>
  </si>
  <si>
    <t xml:space="preserve">GreeceCyp</t>
  </si>
  <si>
    <t xml:space="preserve">HunRomBul</t>
  </si>
  <si>
    <t xml:space="preserve">Iceland</t>
  </si>
  <si>
    <t xml:space="preserve">India</t>
  </si>
  <si>
    <t xml:space="preserve">Ireland</t>
  </si>
  <si>
    <t xml:space="preserve">ItalyMal</t>
  </si>
  <si>
    <t xml:space="preserve">Japan</t>
  </si>
  <si>
    <t xml:space="preserve">LatAm</t>
  </si>
  <si>
    <t xml:space="preserve">MidEast</t>
  </si>
  <si>
    <t xml:space="preserve">NorthAm</t>
  </si>
  <si>
    <t xml:space="preserve">Norway</t>
  </si>
  <si>
    <t xml:space="preserve">Poland</t>
  </si>
  <si>
    <t xml:space="preserve">ROW</t>
  </si>
  <si>
    <t xml:space="preserve">Russia</t>
  </si>
  <si>
    <t xml:space="preserve">SaudiArabia</t>
  </si>
  <si>
    <t xml:space="preserve">SouthAfrica</t>
  </si>
  <si>
    <t xml:space="preserve">SpainPor</t>
  </si>
  <si>
    <t xml:space="preserve">SweFinDen</t>
  </si>
  <si>
    <t xml:space="preserve">Switzerland</t>
  </si>
  <si>
    <t xml:space="preserve">Turkey</t>
  </si>
  <si>
    <t xml:space="preserve">UK</t>
  </si>
  <si>
    <t xml:space="preserve">Ukraine</t>
  </si>
  <si>
    <t xml:space="preserve">WestBalkans</t>
  </si>
  <si>
    <t xml:space="preserve">UCE_BioPowerCap</t>
  </si>
  <si>
    <t xml:space="preserve">ELCBSL</t>
  </si>
  <si>
    <t xml:space="preserve">UCE_BattLB</t>
  </si>
  <si>
    <t xml:space="preserve">*~UC_Sets: R_E: AllRegions</t>
  </si>
  <si>
    <t xml:space="preserve">*~UC_T: UC_RHSRT  (2026-10-29: replaced by EV_share sheet)</t>
  </si>
  <si>
    <t xml:space="preserve">UCE_EVBattCalib</t>
  </si>
  <si>
    <t xml:space="preserve">Tra_EV*virgin_pack, Tra_EV*fromrecy, Tra_EV_Batt-Sodium_virgin_pack</t>
  </si>
  <si>
    <t xml:space="preserve">EV battery stock (GWh) &lt;= calibrated 2020/2025 values; no bound after 2025</t>
  </si>
  <si>
    <t xml:space="preserve">EV share of new vehicles, 2020 &amp; 2025 periods: IEA GEVO 2026 historical sales share (sales-weighted by model region), upper bound = 1.25 x share + 1pp (2020) / + 2pp (2025)</t>
  </si>
  <si>
    <t xml:space="preserve">Constraint per region &amp; period: sum NCAP(EV) &lt;= u x sum NCAP(all of mode). EV = BEV (elc) + PHEV (pih). Coefficients: EV rows = 1-u, non-EV rows = -u. u = upper bound share shown in the matching table at right/below (fraction).</t>
  </si>
  <si>
    <t xml:space="preserve">~UC_T: UC_NCAP</t>
  </si>
  <si>
    <t xml:space="preserve">UCE_EVshareHist_car</t>
  </si>
  <si>
    <t xml:space="preserve">Trd_car_elc*,Trd_car_*-pih*</t>
  </si>
  <si>
    <t xml:space="preserve">Cars EV share of new vehicles &lt;= u (EV row)</t>
  </si>
  <si>
    <t xml:space="preserve">Trd_car_*,-Trd_car_elc*,-Trd_car_*-pih*</t>
  </si>
  <si>
    <t xml:space="preserve">Cars EV share of new vehicles &lt;= u (nonEV row)</t>
  </si>
  <si>
    <t xml:space="preserve">UCE_EVshareHist_lcv</t>
  </si>
  <si>
    <t xml:space="preserve">Trd_lcv_elc*,Trd_lcv_*-pih*</t>
  </si>
  <si>
    <t xml:space="preserve">Vans EV share of new vehicles &lt;= u (EV row)</t>
  </si>
  <si>
    <t xml:space="preserve">Trd_lcv_*,-Trd_lcv_elc*,-Trd_lcv_*-pih*</t>
  </si>
  <si>
    <t xml:space="preserve">Vans EV share of new vehicles &lt;= u (nonEV row)</t>
  </si>
  <si>
    <t xml:space="preserve">UCE_EVshareHist_bus</t>
  </si>
  <si>
    <t xml:space="preserve">Trd_bus_elc*</t>
  </si>
  <si>
    <t xml:space="preserve">Buses EV share of new vehicles &lt;= u (EV row)</t>
  </si>
  <si>
    <t xml:space="preserve">Trd_bus_*,-Trd_bus_elc*</t>
  </si>
  <si>
    <t xml:space="preserve">Buses EV share of new vehicles &lt;= u (nonEV row)</t>
  </si>
  <si>
    <t xml:space="preserve">UCE_EVshareHist_hdt</t>
  </si>
  <si>
    <t xml:space="preserve">Trd_hdt_elc*</t>
  </si>
  <si>
    <t xml:space="preserve">Trucks EV share of new vehicles &lt;= u (EV row)</t>
  </si>
  <si>
    <t xml:space="preserve">Trd_hdt_*,-Trd_hdt_elc*</t>
  </si>
  <si>
    <t xml:space="preserve">Trucks EV share of new vehicles &lt;= u (nonEV row)</t>
  </si>
  <si>
    <t xml:space="preserve">UCE_EVshareHist_2w3w</t>
  </si>
  <si>
    <t xml:space="preserve">Trd_2w_elc*,Trd_3w_elc*</t>
  </si>
  <si>
    <t xml:space="preserve">2 and 3 wheelers EV share of new vehicles &lt;= u (EV row)</t>
  </si>
  <si>
    <t xml:space="preserve">Trd_2w_*,Trd_3w_*,-Trd_2w_elc*,-Trd_3w_elc*</t>
  </si>
  <si>
    <t xml:space="preserve">2 and 3 wheelers EV share of new vehicles &lt;= u (nonEV row)</t>
  </si>
  <si>
    <t xml:space="preserve">* Upper-bound EV share of new vehicles (%), for reference only (comment rows, not read by VEDA)</t>
  </si>
  <si>
    <t xml:space="preserve">*mode</t>
  </si>
  <si>
    <t xml:space="preserve">*Cars</t>
  </si>
  <si>
    <t xml:space="preserve">2020</t>
  </si>
  <si>
    <t xml:space="preserve">2025</t>
  </si>
  <si>
    <t xml:space="preserve">*Vans</t>
  </si>
  <si>
    <t xml:space="preserve">*Buses</t>
  </si>
  <si>
    <t xml:space="preserve">*Trucks</t>
  </si>
  <si>
    <t xml:space="preserve">*2 and 3 wheelers</t>
  </si>
  <si>
    <t xml:space="preserve">LFP share of NEW EV battery packs (virgin + recycled, GWh), 2025 &amp; 2030. Basis: IEA GEVO 2026 ch.5 (2025: LFP &gt;55% global; China ~3/4; EMDEs excl. China ~2/3 of electric cars; EU &gt;10%; US &lt;10%, halved in 2025). Bounds = 2025 share +/- margin; 2030 wider. After 2030 only the existing global stock cap (util_limit UCE_2, ~91%) applies.</t>
  </si>
  <si>
    <t xml:space="preserve">UCE_LFPshare_UP</t>
  </si>
  <si>
    <t xml:space="preserve">Tra_EV_Batt-LFP_virgin_pack,Tra_EV_Batt-LFP_fromrecy</t>
  </si>
  <si>
    <t xml:space="preserve">LFP share of new EV packs &lt;= bound (LFP row)</t>
  </si>
  <si>
    <t xml:space="preserve">Tra_EV*virgin_pack,Tra_EV*fromrecy,-Tra_EV_Batt-LFP_virgin_pack,-Tra_EV_Batt-LFP_fromrecy</t>
  </si>
  <si>
    <t xml:space="preserve">LFP share of new EV packs &lt;= bound (nonLFP row)</t>
  </si>
  <si>
    <t xml:space="preserve">UCE_LFPshare_LO</t>
  </si>
  <si>
    <t xml:space="preserve">LFP share of new EV packs &gt;= bound (LFP row)</t>
  </si>
  <si>
    <t xml:space="preserve">LFP share of new EV packs &gt;= bound (nonLFP row)</t>
  </si>
  <si>
    <t xml:space="preserve">* Bounds (share), reference only</t>
  </si>
  <si>
    <t xml:space="preserve">*2025 LO</t>
  </si>
  <si>
    <t xml:space="preserve">*2025 UP</t>
  </si>
  <si>
    <t xml:space="preserve">*2030 LO</t>
  </si>
  <si>
    <t xml:space="preserve">*2030 UP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</si>
</sst>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8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F3F76"/>
      <name val="Calibri"/>
      <family val="0"/>
      <charset val="134"/>
    </font>
    <font>
      <sz val="10"/>
      <name val="Arial"/>
      <family val="0"/>
      <charset val="134"/>
    </font>
    <font>
      <sz val="11"/>
      <color rgb="FF000000"/>
      <name val="Calibri"/>
      <family val="0"/>
      <charset val="134"/>
    </font>
    <font>
      <sz val="10"/>
      <name val="Arial"/>
      <family val="2"/>
    </font>
    <font>
      <sz val="10.2"/>
      <color rgb="FF212529"/>
      <name val="Segoe UI"/>
      <family val="0"/>
      <charset val="134"/>
    </font>
    <font>
      <sz val="8"/>
      <color rgb="FF3974D2"/>
      <name val="Segoe UI"/>
      <family val="0"/>
      <charset val="134"/>
    </font>
    <font>
      <sz val="1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theme="1"/>
      <name val="Calibri"/>
      <family val="0"/>
      <charset val="134"/>
    </font>
    <font>
      <b val="true"/>
      <sz val="10"/>
      <color theme="1"/>
      <name val="Calibri"/>
      <family val="0"/>
      <charset val="134"/>
    </font>
    <font>
      <b val="true"/>
      <sz val="10"/>
      <color rgb="FF0000FF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0"/>
      <name val="Arial"/>
      <family val="0"/>
      <charset val="1"/>
    </font>
    <font>
      <b val="true"/>
      <sz val="11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theme="3"/>
        <bgColor rgb="FF3F3F76"/>
      </patternFill>
    </fill>
    <fill>
      <patternFill patternType="solid">
        <fgColor theme="4"/>
        <bgColor rgb="FF3974D2"/>
      </patternFill>
    </fill>
    <fill>
      <patternFill patternType="solid">
        <fgColor theme="0" tint="-0.35"/>
        <bgColor rgb="FFC0C0C0"/>
      </patternFill>
    </fill>
    <fill>
      <patternFill patternType="solid">
        <fgColor theme="3" tint="0.8"/>
        <bgColor rgb="FFDCE6F2"/>
      </patternFill>
    </fill>
    <fill>
      <patternFill patternType="solid">
        <fgColor theme="4" tint="0.8"/>
        <bgColor rgb="FFC6D9F1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6D9F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/>
      <top style="thick">
        <color rgb="FFFC8462"/>
      </top>
      <bottom style="thick">
        <color rgb="FFFC8462"/>
      </bottom>
      <diagonal/>
    </border>
    <border diagonalUp="false" diagonalDown="false">
      <left/>
      <right/>
      <top style="thin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Input 2" xfId="20"/>
    <cellStyle name="Normal 10" xfId="21"/>
    <cellStyle name="Normal 2" xfId="22"/>
    <cellStyle name="Normale_Scen_UC_IND-StrucConst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DCE6F2"/>
      <rgbColor rgb="FF660066"/>
      <rgbColor rgb="FFFC8462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974D2"/>
      <rgbColor rgb="FF33CCCC"/>
      <rgbColor rgb="FF99CC00"/>
      <rgbColor rgb="FFFFCC00"/>
      <rgbColor rgb="FFFF9900"/>
      <rgbColor rgb="FFFF6600"/>
      <rgbColor rgb="FF4F81BD"/>
      <rgbColor rgb="FFA6A6A6"/>
      <rgbColor rgb="FF1F497D"/>
      <rgbColor rgb="FF339966"/>
      <rgbColor rgb="FF003300"/>
      <rgbColor rgb="FF333300"/>
      <rgbColor rgb="FF993300"/>
      <rgbColor rgb="FF993366"/>
      <rgbColor rgb="FF3F3F76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H21"/>
  <sheetViews>
    <sheetView showFormulas="false" showGridLines="true" showRowColHeaders="true" showZeros="true" rightToLeft="false" tabSelected="false" showOutlineSymbols="true" defaultGridColor="true" view="normal" topLeftCell="A1" colorId="64" zoomScale="62" zoomScaleNormal="62" zoomScalePageLayoutView="100" workbookViewId="0">
      <selection pane="topLeft" activeCell="F5" activeCellId="0" sqref="F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9.6"/>
    <col collapsed="false" customWidth="true" hidden="false" outlineLevel="0" max="3" min="3" style="1" width="11.85"/>
    <col collapsed="false" customWidth="true" hidden="false" outlineLevel="0" max="4" min="4" style="1" width="8.34"/>
    <col collapsed="false" customWidth="true" hidden="false" outlineLevel="0" max="5" min="5" style="1" width="11.09"/>
    <col collapsed="false" customWidth="true" hidden="false" outlineLevel="0" max="6" min="6" style="1" width="11.33"/>
    <col collapsed="false" customWidth="true" hidden="false" outlineLevel="0" max="7" min="7" style="1" width="25.09"/>
    <col collapsed="false" customWidth="true" hidden="false" outlineLevel="0" max="8" min="8" style="1" width="10.33"/>
    <col collapsed="false" customWidth="true" hidden="false" outlineLevel="0" max="9" min="9" style="1" width="8.06"/>
    <col collapsed="false" customWidth="true" hidden="false" outlineLevel="0" max="10" min="10" style="1" width="7.73"/>
    <col collapsed="false" customWidth="true" hidden="false" outlineLevel="0" max="11" min="11" style="1" width="7.8"/>
    <col collapsed="false" customWidth="true" hidden="false" outlineLevel="0" max="12" min="12" style="1" width="7.2"/>
    <col collapsed="false" customWidth="true" hidden="false" outlineLevel="0" max="13" min="13" style="1" width="8.06"/>
    <col collapsed="false" customWidth="true" hidden="false" outlineLevel="0" max="14" min="14" style="1" width="8.26"/>
    <col collapsed="false" customWidth="true" hidden="false" outlineLevel="0" max="15" min="15" style="1" width="8.15"/>
    <col collapsed="false" customWidth="true" hidden="false" outlineLevel="0" max="16" min="16" style="1" width="8.2"/>
  </cols>
  <sheetData>
    <row r="3" customFormat="false" ht="14.25" hidden="false" customHeight="true" outlineLevel="0" collapsed="false">
      <c r="B3" s="1" t="s">
        <v>0</v>
      </c>
    </row>
    <row r="4" customFormat="false" ht="14.25" hidden="false" customHeight="true" outlineLevel="0" collapsed="false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customFormat="false" ht="14.25" hidden="false" customHeight="true" outlineLevel="0" collapsed="false">
      <c r="D5" s="1" t="s">
        <v>7</v>
      </c>
      <c r="F5" s="1" t="s">
        <v>8</v>
      </c>
      <c r="G5" s="1" t="s">
        <v>9</v>
      </c>
    </row>
    <row r="9" customFormat="false" ht="14.25" hidden="false" customHeight="true" outlineLevel="0" collapsed="false">
      <c r="B9" s="1" t="s">
        <v>10</v>
      </c>
    </row>
    <row r="10" customFormat="false" ht="14.25" hidden="false" customHeight="true" outlineLevel="0" collapsed="false">
      <c r="B10" s="1" t="s">
        <v>1</v>
      </c>
      <c r="C10" s="1" t="s">
        <v>11</v>
      </c>
      <c r="D10" s="1" t="s">
        <v>3</v>
      </c>
      <c r="E10" s="1" t="s">
        <v>12</v>
      </c>
      <c r="F10" s="1" t="s">
        <v>5</v>
      </c>
      <c r="G10" s="1" t="s">
        <v>6</v>
      </c>
      <c r="H10" s="1" t="s">
        <v>13</v>
      </c>
    </row>
    <row r="11" customFormat="false" ht="14.25" hidden="false" customHeight="true" outlineLevel="0" collapsed="false">
      <c r="B11" s="1" t="s">
        <v>14</v>
      </c>
      <c r="C11" s="1" t="s">
        <v>15</v>
      </c>
      <c r="D11" s="1" t="s">
        <v>16</v>
      </c>
      <c r="E11" s="1" t="s">
        <v>17</v>
      </c>
      <c r="F11" s="1" t="n">
        <v>4</v>
      </c>
      <c r="G11" s="1" t="s">
        <v>9</v>
      </c>
    </row>
    <row r="12" customFormat="false" ht="14.25" hidden="false" customHeight="true" outlineLevel="0" collapsed="false">
      <c r="B12" s="1" t="s">
        <v>14</v>
      </c>
      <c r="C12" s="1" t="s">
        <v>18</v>
      </c>
      <c r="D12" s="1" t="s">
        <v>16</v>
      </c>
      <c r="E12" s="1" t="s">
        <v>17</v>
      </c>
      <c r="F12" s="1" t="n">
        <v>1</v>
      </c>
      <c r="G12" s="1" t="str">
        <f aca="false">G11</f>
        <v>en*hbatt*, Util_Rep_Batt*</v>
      </c>
    </row>
    <row r="13" customFormat="false" ht="14.25" hidden="false" customHeight="true" outlineLevel="0" collapsed="false">
      <c r="D13" s="1" t="s">
        <v>19</v>
      </c>
      <c r="F13" s="1" t="n">
        <v>3</v>
      </c>
      <c r="G13" s="1" t="str">
        <f aca="false">G21</f>
        <v>en*hbatt*, Util_Rep_Batt*</v>
      </c>
      <c r="H13" s="1" t="n">
        <v>2019</v>
      </c>
    </row>
    <row r="14" customFormat="false" ht="14.25" hidden="false" customHeight="true" outlineLevel="0" collapsed="false">
      <c r="D14" s="1" t="str">
        <f aca="false">D13</f>
        <v>FIXOM</v>
      </c>
      <c r="F14" s="1" t="n">
        <v>2</v>
      </c>
      <c r="G14" s="1" t="str">
        <f aca="false">G13</f>
        <v>en*hbatt*, Util_Rep_Batt*</v>
      </c>
      <c r="H14" s="1" t="n">
        <v>2030</v>
      </c>
    </row>
    <row r="15" customFormat="false" ht="14.25" hidden="false" customHeight="true" outlineLevel="0" collapsed="false">
      <c r="B15" s="1" t="s">
        <v>14</v>
      </c>
      <c r="C15" s="1" t="s">
        <v>18</v>
      </c>
      <c r="D15" s="1" t="s">
        <v>16</v>
      </c>
      <c r="F15" s="1" t="n">
        <v>0.31</v>
      </c>
      <c r="G15" s="1" t="s">
        <v>20</v>
      </c>
    </row>
    <row r="16" customFormat="false" ht="14.25" hidden="false" customHeight="false" outlineLevel="0" collapsed="false">
      <c r="D16" s="1" t="s">
        <v>21</v>
      </c>
      <c r="F16" s="1" t="n">
        <v>0.2</v>
      </c>
      <c r="G16" s="1" t="s">
        <v>22</v>
      </c>
    </row>
    <row r="17" customFormat="false" ht="14.25" hidden="false" customHeight="false" outlineLevel="0" collapsed="false">
      <c r="D17" s="1" t="s">
        <v>21</v>
      </c>
      <c r="F17" s="1" t="n">
        <v>0.9</v>
      </c>
      <c r="G17" s="1" t="s">
        <v>23</v>
      </c>
    </row>
    <row r="21" customFormat="false" ht="14.25" hidden="false" customHeight="true" outlineLevel="0" collapsed="false">
      <c r="D21" s="1" t="s">
        <v>24</v>
      </c>
      <c r="E21" s="1" t="s">
        <v>17</v>
      </c>
      <c r="F21" s="2" t="n">
        <v>0.5</v>
      </c>
      <c r="G21" s="1" t="str">
        <f aca="false">G12</f>
        <v>en*hbatt*, Util_Rep_Batt*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47" zoomScaleNormal="47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K11"/>
  <sheetViews>
    <sheetView showFormulas="false" showGridLines="true" showRowColHeaders="true" showZeros="true" rightToLeft="false" tabSelected="false" showOutlineSymbols="true" defaultGridColor="true" view="normal" topLeftCell="A1" colorId="64" zoomScale="63" zoomScaleNormal="63" zoomScalePageLayoutView="100" workbookViewId="0">
      <selection pane="topLeft" activeCell="F8" activeCellId="0" sqref="F8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25.09"/>
    <col collapsed="false" customWidth="true" hidden="false" outlineLevel="0" max="2" min="2" style="1" width="28.73"/>
    <col collapsed="false" customWidth="true" hidden="false" outlineLevel="0" max="4" min="4" style="1" width="105.36"/>
    <col collapsed="false" customWidth="true" hidden="false" outlineLevel="0" max="5" min="5" style="1" width="12.82"/>
    <col collapsed="false" customWidth="true" hidden="false" outlineLevel="0" max="7" min="7" style="1" width="13.27"/>
    <col collapsed="false" customWidth="true" hidden="false" outlineLevel="0" max="9" min="9" style="1" width="12.45"/>
  </cols>
  <sheetData>
    <row r="3" customFormat="false" ht="14.25" hidden="false" customHeight="true" outlineLevel="0" collapsed="false">
      <c r="D3" s="1" t="s">
        <v>25</v>
      </c>
    </row>
    <row r="4" customFormat="false" ht="15.75" hidden="false" customHeight="true" outlineLevel="0" collapsed="false">
      <c r="A4" s="3"/>
    </row>
    <row r="7" customFormat="false" ht="14.25" hidden="false" customHeight="true" outlineLevel="0" collapsed="false">
      <c r="D7" s="1" t="s">
        <v>26</v>
      </c>
    </row>
    <row r="8" customFormat="false" ht="14.25" hidden="false" customHeight="true" outlineLevel="0" collapsed="false">
      <c r="D8" s="1" t="s">
        <v>27</v>
      </c>
      <c r="E8" s="1" t="s">
        <v>28</v>
      </c>
      <c r="F8" s="1" t="s">
        <v>29</v>
      </c>
      <c r="G8" s="1" t="s">
        <v>30</v>
      </c>
      <c r="H8" s="1" t="s">
        <v>5</v>
      </c>
    </row>
    <row r="9" customFormat="false" ht="14.25" hidden="false" customHeight="true" outlineLevel="0" collapsed="false">
      <c r="D9" s="1" t="s">
        <v>31</v>
      </c>
      <c r="E9" s="1" t="s">
        <v>32</v>
      </c>
      <c r="F9" s="1" t="s">
        <v>33</v>
      </c>
      <c r="G9" s="1" t="s">
        <v>34</v>
      </c>
      <c r="H9" s="1" t="n">
        <v>0.7</v>
      </c>
    </row>
    <row r="10" customFormat="false" ht="14.25" hidden="false" customHeight="true" outlineLevel="0" collapsed="false">
      <c r="D10" s="1" t="s">
        <v>31</v>
      </c>
      <c r="E10" s="1" t="s">
        <v>32</v>
      </c>
      <c r="F10" s="1" t="s">
        <v>33</v>
      </c>
      <c r="G10" s="1" t="s">
        <v>35</v>
      </c>
      <c r="H10" s="1" t="n">
        <v>0.48</v>
      </c>
      <c r="K10" s="4"/>
    </row>
    <row r="11" customFormat="false" ht="14.25" hidden="false" customHeight="true" outlineLevel="0" collapsed="false">
      <c r="K1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M85"/>
  <sheetViews>
    <sheetView showFormulas="false" showGridLines="true" showRowColHeaders="true" showZeros="true" rightToLeft="false" tabSelected="false" showOutlineSymbols="true" defaultGridColor="true" view="normal" topLeftCell="A3" colorId="64" zoomScale="89" zoomScaleNormal="89" zoomScalePageLayoutView="100" workbookViewId="0">
      <selection pane="topLeft" activeCell="C5" activeCellId="0" sqref="C5"/>
    </sheetView>
  </sheetViews>
  <sheetFormatPr defaultColWidth="8.73046875" defaultRowHeight="14.25" zeroHeight="false" outlineLevelRow="0" outlineLevelCol="0"/>
  <cols>
    <col collapsed="false" customWidth="true" hidden="false" outlineLevel="0" max="3" min="3" style="1" width="35.64"/>
    <col collapsed="false" customWidth="true" hidden="false" outlineLevel="0" max="4" min="4" style="1" width="14.09"/>
    <col collapsed="false" customWidth="true" hidden="false" outlineLevel="0" max="5" min="5" style="1" width="10.18"/>
  </cols>
  <sheetData>
    <row r="5" customFormat="false" ht="14.25" hidden="false" customHeight="true" outlineLevel="0" collapsed="false">
      <c r="C5" s="1" t="s">
        <v>26</v>
      </c>
      <c r="D5" s="5"/>
      <c r="E5" s="5"/>
    </row>
    <row r="6" customFormat="false" ht="14.25" hidden="false" customHeight="true" outlineLevel="0" collapsed="false">
      <c r="B6" s="1" t="s">
        <v>36</v>
      </c>
      <c r="C6" s="1" t="s">
        <v>30</v>
      </c>
      <c r="D6" s="1" t="s">
        <v>27</v>
      </c>
      <c r="E6" s="1" t="s">
        <v>5</v>
      </c>
      <c r="K6" s="4"/>
    </row>
    <row r="7" customFormat="false" ht="14.25" hidden="false" customHeight="true" outlineLevel="0" collapsed="false">
      <c r="B7" s="1" t="s">
        <v>17</v>
      </c>
      <c r="C7" s="5" t="s">
        <v>37</v>
      </c>
      <c r="D7" s="5" t="s">
        <v>38</v>
      </c>
      <c r="E7" s="5" t="n">
        <v>10</v>
      </c>
    </row>
    <row r="8" customFormat="false" ht="14.25" hidden="false" customHeight="true" outlineLevel="0" collapsed="false">
      <c r="B8" s="1" t="s">
        <v>17</v>
      </c>
      <c r="C8" s="5" t="s">
        <v>39</v>
      </c>
      <c r="D8" s="5" t="s">
        <v>38</v>
      </c>
      <c r="E8" s="5" t="n">
        <v>7</v>
      </c>
      <c r="L8" s="5"/>
      <c r="M8" s="5"/>
    </row>
    <row r="9" customFormat="false" ht="15.75" hidden="false" customHeight="true" outlineLevel="0" collapsed="false">
      <c r="B9" s="1" t="s">
        <v>17</v>
      </c>
      <c r="C9" s="3" t="s">
        <v>40</v>
      </c>
      <c r="D9" s="5" t="s">
        <v>38</v>
      </c>
      <c r="E9" s="5" t="n">
        <v>10</v>
      </c>
    </row>
    <row r="10" customFormat="false" ht="15.75" hidden="false" customHeight="true" outlineLevel="0" collapsed="false">
      <c r="B10" s="1" t="s">
        <v>17</v>
      </c>
      <c r="C10" s="5" t="s">
        <v>41</v>
      </c>
      <c r="D10" s="5" t="s">
        <v>38</v>
      </c>
      <c r="E10" s="5" t="n">
        <v>8</v>
      </c>
      <c r="K10" s="6"/>
      <c r="L10" s="7"/>
    </row>
    <row r="11" customFormat="false" ht="15.75" hidden="false" customHeight="true" outlineLevel="0" collapsed="false">
      <c r="B11" s="1" t="s">
        <v>17</v>
      </c>
      <c r="C11" s="3" t="s">
        <v>34</v>
      </c>
      <c r="D11" s="5" t="s">
        <v>38</v>
      </c>
      <c r="E11" s="5" t="n">
        <v>1.5</v>
      </c>
    </row>
    <row r="12" customFormat="false" ht="15.75" hidden="false" customHeight="true" outlineLevel="0" collapsed="false">
      <c r="B12" s="1" t="s">
        <v>17</v>
      </c>
      <c r="C12" s="3" t="s">
        <v>35</v>
      </c>
      <c r="D12" s="5" t="s">
        <v>38</v>
      </c>
      <c r="E12" s="5" t="n">
        <v>1.5</v>
      </c>
    </row>
    <row r="13" customFormat="false" ht="14.25" hidden="false" customHeight="true" outlineLevel="0" collapsed="false">
      <c r="B13" s="1" t="s">
        <v>17</v>
      </c>
      <c r="C13" s="1" t="s">
        <v>42</v>
      </c>
      <c r="D13" s="5" t="s">
        <v>38</v>
      </c>
      <c r="E13" s="1" t="n">
        <v>2</v>
      </c>
    </row>
    <row r="14" customFormat="false" ht="14.25" hidden="false" customHeight="true" outlineLevel="0" collapsed="false">
      <c r="B14" s="1" t="s">
        <v>17</v>
      </c>
      <c r="C14" s="1" t="s">
        <v>43</v>
      </c>
      <c r="D14" s="5" t="s">
        <v>38</v>
      </c>
      <c r="E14" s="1" t="n">
        <v>0</v>
      </c>
    </row>
    <row r="15" customFormat="false" ht="15.75" hidden="false" customHeight="true" outlineLevel="0" collapsed="false">
      <c r="B15" s="1" t="s">
        <v>17</v>
      </c>
      <c r="C15" s="3" t="s">
        <v>44</v>
      </c>
      <c r="D15" s="5" t="s">
        <v>38</v>
      </c>
      <c r="E15" s="1" t="n">
        <v>0</v>
      </c>
    </row>
    <row r="16" customFormat="false" ht="14.25" hidden="false" customHeight="true" outlineLevel="0" collapsed="false">
      <c r="B16" s="1" t="s">
        <v>17</v>
      </c>
      <c r="C16" s="5" t="s">
        <v>45</v>
      </c>
      <c r="D16" s="5" t="s">
        <v>38</v>
      </c>
      <c r="E16" s="8" t="n">
        <v>12</v>
      </c>
    </row>
    <row r="17" customFormat="false" ht="14.25" hidden="false" customHeight="true" outlineLevel="0" collapsed="false">
      <c r="B17" s="1" t="s">
        <v>17</v>
      </c>
      <c r="C17" s="5" t="s">
        <v>37</v>
      </c>
      <c r="D17" s="9" t="s">
        <v>46</v>
      </c>
      <c r="E17" s="10" t="n">
        <v>0.2</v>
      </c>
    </row>
    <row r="18" customFormat="false" ht="14.25" hidden="false" customHeight="true" outlineLevel="0" collapsed="false">
      <c r="B18" s="1" t="s">
        <v>17</v>
      </c>
      <c r="C18" s="5" t="s">
        <v>39</v>
      </c>
      <c r="D18" s="9" t="s">
        <v>46</v>
      </c>
      <c r="E18" s="10" t="n">
        <v>0.2</v>
      </c>
    </row>
    <row r="19" customFormat="false" ht="15.75" hidden="false" customHeight="true" outlineLevel="0" collapsed="false">
      <c r="B19" s="1" t="s">
        <v>17</v>
      </c>
      <c r="C19" s="3" t="s">
        <v>40</v>
      </c>
      <c r="D19" s="9" t="s">
        <v>46</v>
      </c>
      <c r="E19" s="10" t="n">
        <v>0.2</v>
      </c>
    </row>
    <row r="20" customFormat="false" ht="14.25" hidden="false" customHeight="true" outlineLevel="0" collapsed="false">
      <c r="B20" s="1" t="s">
        <v>17</v>
      </c>
      <c r="C20" s="5" t="s">
        <v>41</v>
      </c>
      <c r="D20" s="9" t="s">
        <v>46</v>
      </c>
      <c r="E20" s="10" t="n">
        <v>0.5</v>
      </c>
    </row>
    <row r="21" customFormat="false" ht="15.75" hidden="false" customHeight="true" outlineLevel="0" collapsed="false">
      <c r="B21" s="1" t="s">
        <v>17</v>
      </c>
      <c r="C21" s="3" t="s">
        <v>34</v>
      </c>
      <c r="D21" s="9" t="s">
        <v>46</v>
      </c>
      <c r="E21" s="10" t="n">
        <v>0.8</v>
      </c>
    </row>
    <row r="22" customFormat="false" ht="15.75" hidden="false" customHeight="true" outlineLevel="0" collapsed="false">
      <c r="B22" s="1" t="s">
        <v>17</v>
      </c>
      <c r="C22" s="3" t="s">
        <v>35</v>
      </c>
      <c r="D22" s="9" t="s">
        <v>46</v>
      </c>
      <c r="E22" s="5"/>
    </row>
    <row r="23" customFormat="false" ht="14.25" hidden="false" customHeight="true" outlineLevel="0" collapsed="false">
      <c r="B23" s="1" t="s">
        <v>17</v>
      </c>
      <c r="C23" s="1" t="s">
        <v>42</v>
      </c>
      <c r="D23" s="9" t="s">
        <v>46</v>
      </c>
      <c r="E23" s="1" t="n">
        <v>1</v>
      </c>
    </row>
    <row r="24" customFormat="false" ht="14.25" hidden="false" customHeight="true" outlineLevel="0" collapsed="false">
      <c r="B24" s="1" t="s">
        <v>17</v>
      </c>
      <c r="C24" s="1" t="s">
        <v>47</v>
      </c>
      <c r="D24" s="9" t="s">
        <v>46</v>
      </c>
      <c r="E24" s="1" t="n">
        <v>1</v>
      </c>
    </row>
    <row r="25" customFormat="false" ht="15.75" hidden="false" customHeight="true" outlineLevel="0" collapsed="false">
      <c r="B25" s="1" t="s">
        <v>17</v>
      </c>
      <c r="C25" s="3" t="s">
        <v>44</v>
      </c>
      <c r="D25" s="9" t="s">
        <v>46</v>
      </c>
      <c r="E25" s="1" t="n">
        <v>1</v>
      </c>
    </row>
    <row r="26" customFormat="false" ht="14.25" hidden="false" customHeight="true" outlineLevel="0" collapsed="false">
      <c r="B26" s="1" t="s">
        <v>17</v>
      </c>
      <c r="C26" s="5" t="s">
        <v>45</v>
      </c>
      <c r="D26" s="9" t="s">
        <v>46</v>
      </c>
      <c r="E26" s="5" t="n">
        <v>0.05</v>
      </c>
    </row>
    <row r="27" customFormat="false" ht="14.25" hidden="false" customHeight="true" outlineLevel="0" collapsed="false">
      <c r="B27" s="2" t="s">
        <v>17</v>
      </c>
      <c r="C27" s="11" t="s">
        <v>43</v>
      </c>
      <c r="D27" s="11" t="s">
        <v>48</v>
      </c>
      <c r="E27" s="11" t="n">
        <v>2020</v>
      </c>
    </row>
    <row r="28" customFormat="false" ht="14.25" hidden="false" customHeight="true" outlineLevel="0" collapsed="false">
      <c r="C28" s="1" t="s">
        <v>49</v>
      </c>
      <c r="D28" s="11" t="s">
        <v>48</v>
      </c>
      <c r="E28" s="2" t="n">
        <v>2020</v>
      </c>
    </row>
    <row r="54" customFormat="false" ht="14.25" hidden="false" customHeight="true" outlineLevel="0" collapsed="false">
      <c r="C54" s="12" t="s">
        <v>50</v>
      </c>
    </row>
    <row r="56" customFormat="false" ht="14.25" hidden="false" customHeight="true" outlineLevel="0" collapsed="false">
      <c r="D56" s="12"/>
      <c r="E56" s="12"/>
      <c r="F56" s="12"/>
      <c r="G56" s="12"/>
      <c r="H56" s="12"/>
      <c r="I56" s="12"/>
      <c r="J56" s="12"/>
      <c r="K56" s="12"/>
    </row>
    <row r="57" customFormat="false" ht="14.25" hidden="false" customHeight="true" outlineLevel="0" collapsed="false">
      <c r="C57" s="12" t="s">
        <v>51</v>
      </c>
      <c r="D57" s="12" t="s">
        <v>5</v>
      </c>
      <c r="E57" s="12" t="s">
        <v>52</v>
      </c>
      <c r="F57" s="12" t="s">
        <v>53</v>
      </c>
      <c r="G57" s="12" t="s">
        <v>54</v>
      </c>
      <c r="H57" s="12" t="s">
        <v>55</v>
      </c>
      <c r="I57" s="12" t="s">
        <v>56</v>
      </c>
      <c r="J57" s="12" t="s">
        <v>57</v>
      </c>
      <c r="K57" s="12" t="s">
        <v>58</v>
      </c>
    </row>
    <row r="58" customFormat="false" ht="14.25" hidden="false" customHeight="true" outlineLevel="0" collapsed="false">
      <c r="C58" s="12"/>
      <c r="D58" s="12"/>
      <c r="E58" s="12"/>
      <c r="F58" s="12"/>
      <c r="G58" s="12"/>
      <c r="H58" s="12"/>
      <c r="I58" s="12"/>
      <c r="J58" s="12"/>
      <c r="K58" s="12"/>
    </row>
    <row r="59" customFormat="false" ht="14.25" hidden="false" customHeight="true" outlineLevel="0" collapsed="false">
      <c r="C59" s="12"/>
      <c r="D59" s="12"/>
      <c r="E59" s="12"/>
      <c r="F59" s="12"/>
      <c r="G59" s="12"/>
      <c r="H59" s="12"/>
      <c r="I59" s="12"/>
      <c r="J59" s="12"/>
      <c r="K59" s="12"/>
    </row>
    <row r="60" customFormat="false" ht="14.25" hidden="false" customHeight="true" outlineLevel="0" collapsed="false">
      <c r="C60" s="12"/>
      <c r="D60" s="12"/>
      <c r="E60" s="12"/>
      <c r="F60" s="12"/>
      <c r="G60" s="12"/>
      <c r="H60" s="12"/>
      <c r="I60" s="12"/>
      <c r="J60" s="12"/>
      <c r="K60" s="12"/>
    </row>
    <row r="61" customFormat="false" ht="14.25" hidden="false" customHeight="true" outlineLevel="0" collapsed="false">
      <c r="C61" s="12"/>
      <c r="D61" s="12"/>
      <c r="E61" s="12"/>
      <c r="F61" s="12"/>
      <c r="G61" s="12"/>
      <c r="H61" s="12"/>
      <c r="I61" s="12"/>
      <c r="J61" s="12"/>
      <c r="K61" s="12"/>
    </row>
    <row r="62" customFormat="false" ht="14.25" hidden="false" customHeight="true" outlineLevel="0" collapsed="false">
      <c r="C62" s="12"/>
      <c r="D62" s="12"/>
      <c r="E62" s="12"/>
      <c r="F62" s="12"/>
      <c r="G62" s="12"/>
      <c r="H62" s="12"/>
      <c r="I62" s="12"/>
      <c r="J62" s="12"/>
      <c r="K62" s="12"/>
    </row>
    <row r="63" customFormat="false" ht="14.25" hidden="false" customHeight="true" outlineLevel="0" collapsed="false">
      <c r="C63" s="12"/>
      <c r="D63" s="12"/>
      <c r="E63" s="12"/>
      <c r="F63" s="12"/>
      <c r="G63" s="12"/>
      <c r="H63" s="12"/>
      <c r="I63" s="12"/>
      <c r="J63" s="12"/>
      <c r="K63" s="12"/>
    </row>
    <row r="64" customFormat="false" ht="14.25" hidden="false" customHeight="true" outlineLevel="0" collapsed="false">
      <c r="C64" s="12"/>
      <c r="D64" s="12"/>
      <c r="E64" s="12"/>
      <c r="F64" s="12"/>
      <c r="G64" s="12"/>
      <c r="H64" s="12"/>
      <c r="I64" s="12"/>
      <c r="J64" s="12"/>
      <c r="K64" s="12"/>
    </row>
    <row r="65" customFormat="false" ht="14.25" hidden="false" customHeight="true" outlineLevel="0" collapsed="false">
      <c r="C65" s="12"/>
      <c r="D65" s="12"/>
      <c r="E65" s="12"/>
      <c r="F65" s="12"/>
      <c r="G65" s="12"/>
      <c r="H65" s="12"/>
      <c r="I65" s="12"/>
      <c r="J65" s="12"/>
      <c r="K65" s="12"/>
    </row>
    <row r="66" customFormat="false" ht="14.25" hidden="false" customHeight="true" outlineLevel="0" collapsed="false">
      <c r="C66" s="12"/>
      <c r="D66" s="12"/>
      <c r="E66" s="12"/>
      <c r="F66" s="12"/>
      <c r="G66" s="12"/>
      <c r="H66" s="12"/>
      <c r="I66" s="12"/>
      <c r="J66" s="12"/>
      <c r="K66" s="12"/>
    </row>
    <row r="67" customFormat="false" ht="14.25" hidden="false" customHeight="true" outlineLevel="0" collapsed="false">
      <c r="C67" s="12"/>
      <c r="D67" s="12"/>
      <c r="E67" s="12"/>
      <c r="F67" s="12"/>
      <c r="G67" s="12"/>
      <c r="H67" s="12"/>
      <c r="I67" s="12"/>
      <c r="J67" s="12"/>
      <c r="K67" s="12"/>
    </row>
    <row r="68" customFormat="false" ht="14.25" hidden="false" customHeight="true" outlineLevel="0" collapsed="false">
      <c r="C68" s="12"/>
      <c r="D68" s="12"/>
      <c r="E68" s="12"/>
      <c r="F68" s="12"/>
      <c r="G68" s="12"/>
      <c r="H68" s="12"/>
      <c r="I68" s="12"/>
      <c r="J68" s="12"/>
      <c r="K68" s="12"/>
    </row>
    <row r="69" customFormat="false" ht="14.25" hidden="false" customHeight="true" outlineLevel="0" collapsed="false">
      <c r="C69" s="12"/>
      <c r="D69" s="12"/>
      <c r="E69" s="12"/>
      <c r="F69" s="12"/>
      <c r="G69" s="12"/>
      <c r="H69" s="12"/>
      <c r="I69" s="12"/>
      <c r="J69" s="12"/>
      <c r="K69" s="12"/>
    </row>
    <row r="70" customFormat="false" ht="14.25" hidden="false" customHeight="true" outlineLevel="0" collapsed="false">
      <c r="C70" s="12"/>
      <c r="D70" s="12"/>
      <c r="E70" s="12"/>
      <c r="F70" s="12"/>
      <c r="G70" s="12"/>
      <c r="H70" s="12"/>
      <c r="I70" s="12"/>
      <c r="J70" s="12"/>
      <c r="K70" s="12"/>
    </row>
    <row r="71" customFormat="false" ht="14.25" hidden="false" customHeight="true" outlineLevel="0" collapsed="false">
      <c r="C71" s="12"/>
      <c r="D71" s="12"/>
      <c r="E71" s="12"/>
      <c r="F71" s="12"/>
      <c r="G71" s="12"/>
      <c r="H71" s="12"/>
      <c r="I71" s="12"/>
      <c r="J71" s="12"/>
      <c r="K71" s="12"/>
    </row>
    <row r="72" customFormat="false" ht="14.25" hidden="false" customHeight="true" outlineLevel="0" collapsed="false">
      <c r="C72" s="12"/>
      <c r="D72" s="12"/>
      <c r="E72" s="12"/>
      <c r="F72" s="12"/>
      <c r="G72" s="12"/>
      <c r="H72" s="12"/>
      <c r="I72" s="12"/>
      <c r="J72" s="12"/>
      <c r="K72" s="12"/>
    </row>
    <row r="73" customFormat="false" ht="14.25" hidden="false" customHeight="true" outlineLevel="0" collapsed="false">
      <c r="C73" s="12"/>
      <c r="D73" s="12"/>
      <c r="E73" s="12"/>
      <c r="F73" s="12"/>
      <c r="G73" s="12"/>
      <c r="H73" s="12"/>
      <c r="I73" s="12"/>
      <c r="J73" s="12"/>
      <c r="K73" s="12"/>
    </row>
    <row r="74" customFormat="false" ht="14.25" hidden="false" customHeight="true" outlineLevel="0" collapsed="false">
      <c r="C74" s="12"/>
      <c r="D74" s="12"/>
      <c r="E74" s="12"/>
      <c r="F74" s="12"/>
      <c r="G74" s="12"/>
      <c r="H74" s="12"/>
      <c r="I74" s="12"/>
      <c r="J74" s="12"/>
      <c r="K74" s="12"/>
    </row>
    <row r="75" customFormat="false" ht="14.25" hidden="false" customHeight="true" outlineLevel="0" collapsed="false">
      <c r="C75" s="12"/>
      <c r="D75" s="12"/>
      <c r="E75" s="12"/>
      <c r="F75" s="12"/>
      <c r="G75" s="12"/>
      <c r="H75" s="12"/>
      <c r="I75" s="12"/>
      <c r="J75" s="12"/>
      <c r="K75" s="12"/>
    </row>
    <row r="76" customFormat="false" ht="14.25" hidden="false" customHeight="true" outlineLevel="0" collapsed="false">
      <c r="C76" s="12"/>
      <c r="D76" s="12"/>
      <c r="E76" s="12"/>
      <c r="F76" s="12"/>
      <c r="G76" s="12"/>
      <c r="H76" s="12"/>
      <c r="I76" s="12"/>
      <c r="J76" s="12"/>
      <c r="K76" s="12"/>
    </row>
    <row r="77" customFormat="false" ht="14.25" hidden="false" customHeight="true" outlineLevel="0" collapsed="false">
      <c r="C77" s="12"/>
      <c r="D77" s="12"/>
      <c r="E77" s="12"/>
      <c r="F77" s="12"/>
      <c r="G77" s="12"/>
      <c r="H77" s="12"/>
      <c r="I77" s="12"/>
      <c r="J77" s="12"/>
      <c r="K77" s="12"/>
    </row>
    <row r="78" customFormat="false" ht="14.25" hidden="false" customHeight="true" outlineLevel="0" collapsed="false">
      <c r="C78" s="12"/>
      <c r="D78" s="12"/>
      <c r="E78" s="12"/>
      <c r="F78" s="12"/>
      <c r="G78" s="12"/>
      <c r="H78" s="12"/>
      <c r="I78" s="12"/>
      <c r="J78" s="12"/>
      <c r="K78" s="12"/>
    </row>
    <row r="79" customFormat="false" ht="14.25" hidden="false" customHeight="true" outlineLevel="0" collapsed="false">
      <c r="C79" s="12"/>
      <c r="D79" s="12"/>
      <c r="E79" s="12"/>
      <c r="F79" s="12"/>
      <c r="G79" s="12"/>
      <c r="H79" s="12"/>
      <c r="I79" s="12"/>
      <c r="J79" s="12"/>
      <c r="K79" s="12"/>
    </row>
    <row r="80" customFormat="false" ht="14.25" hidden="false" customHeight="true" outlineLevel="0" collapsed="false">
      <c r="C80" s="12"/>
      <c r="D80" s="12"/>
      <c r="E80" s="12"/>
      <c r="F80" s="12"/>
      <c r="G80" s="12"/>
      <c r="H80" s="12"/>
      <c r="I80" s="12"/>
      <c r="J80" s="12"/>
      <c r="K80" s="12"/>
    </row>
    <row r="81" customFormat="false" ht="14.25" hidden="false" customHeight="true" outlineLevel="0" collapsed="false">
      <c r="C81" s="12"/>
      <c r="D81" s="12"/>
      <c r="E81" s="12"/>
      <c r="F81" s="12"/>
      <c r="G81" s="12"/>
      <c r="H81" s="12"/>
      <c r="I81" s="12"/>
      <c r="J81" s="12"/>
      <c r="K81" s="12"/>
    </row>
    <row r="82" customFormat="false" ht="14.25" hidden="false" customHeight="true" outlineLevel="0" collapsed="false">
      <c r="C82" s="12"/>
      <c r="D82" s="12"/>
      <c r="E82" s="12"/>
      <c r="F82" s="12"/>
      <c r="G82" s="12"/>
      <c r="H82" s="12"/>
      <c r="I82" s="12"/>
      <c r="J82" s="12"/>
      <c r="K82" s="12"/>
    </row>
    <row r="83" customFormat="false" ht="14.25" hidden="false" customHeight="true" outlineLevel="0" collapsed="false">
      <c r="C83" s="12"/>
      <c r="D83" s="12"/>
      <c r="E83" s="12"/>
      <c r="F83" s="12"/>
      <c r="G83" s="12"/>
      <c r="H83" s="12"/>
      <c r="I83" s="12"/>
      <c r="J83" s="12"/>
      <c r="K83" s="12"/>
    </row>
    <row r="84" customFormat="false" ht="14.25" hidden="false" customHeight="true" outlineLevel="0" collapsed="false">
      <c r="C84" s="12" t="s">
        <v>59</v>
      </c>
      <c r="D84" s="12" t="n">
        <v>1</v>
      </c>
      <c r="E84" s="12"/>
      <c r="F84" s="12"/>
      <c r="G84" s="12"/>
      <c r="H84" s="12"/>
      <c r="I84" s="12"/>
      <c r="J84" s="12"/>
      <c r="K84" s="12"/>
    </row>
    <row r="85" customFormat="false" ht="14.25" hidden="false" customHeight="true" outlineLevel="0" collapsed="false">
      <c r="C85" s="12"/>
      <c r="D85" s="12"/>
      <c r="E85" s="12"/>
      <c r="F85" s="12"/>
      <c r="G85" s="12"/>
      <c r="H85" s="12"/>
      <c r="I85" s="12"/>
      <c r="J85" s="12"/>
      <c r="K85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26:Q33"/>
  <sheetViews>
    <sheetView showFormulas="false" showGridLines="true" showRowColHeaders="true" showZeros="true" rightToLeft="false" tabSelected="false" showOutlineSymbols="true" defaultGridColor="true" view="normal" topLeftCell="A1" colorId="64" zoomScale="48" zoomScaleNormal="48" zoomScalePageLayoutView="100" workbookViewId="0">
      <selection pane="topLeft" activeCell="O24" activeCellId="0" sqref="O24"/>
    </sheetView>
  </sheetViews>
  <sheetFormatPr defaultColWidth="8.73046875" defaultRowHeight="14.25" zeroHeight="false" outlineLevelRow="0" outlineLevelCol="0"/>
  <cols>
    <col collapsed="false" customWidth="true" hidden="false" outlineLevel="0" max="6" min="6" style="1" width="29.27"/>
    <col collapsed="false" customWidth="true" hidden="false" outlineLevel="0" max="8" min="8" style="1" width="27"/>
    <col collapsed="false" customWidth="true" hidden="false" outlineLevel="0" max="9" min="9" style="1" width="43.73"/>
    <col collapsed="false" customWidth="true" hidden="false" outlineLevel="0" max="12" min="12" style="1" width="10.27"/>
    <col collapsed="false" customWidth="true" hidden="false" outlineLevel="0" max="14" min="14" style="1" width="12.82"/>
    <col collapsed="false" customWidth="true" hidden="false" outlineLevel="0" max="15" min="15" style="1" width="11.36"/>
    <col collapsed="false" customWidth="true" hidden="false" outlineLevel="0" max="16" min="16" style="1" width="12.64"/>
  </cols>
  <sheetData>
    <row r="26" customFormat="false" ht="14.25" hidden="false" customHeight="true" outlineLevel="0" collapsed="false">
      <c r="F26" s="1" t="s">
        <v>60</v>
      </c>
    </row>
    <row r="27" customFormat="false" ht="14.25" hidden="false" customHeight="true" outlineLevel="0" collapsed="false">
      <c r="L27" s="13" t="s">
        <v>61</v>
      </c>
    </row>
    <row r="30" customFormat="false" ht="15" hidden="false" customHeight="true" outlineLevel="0" collapsed="false">
      <c r="F30" s="1" t="s">
        <v>62</v>
      </c>
      <c r="G30" s="1" t="s">
        <v>28</v>
      </c>
      <c r="H30" s="1" t="s">
        <v>51</v>
      </c>
      <c r="I30" s="1" t="s">
        <v>63</v>
      </c>
      <c r="J30" s="1" t="s">
        <v>36</v>
      </c>
      <c r="K30" s="1" t="s">
        <v>64</v>
      </c>
      <c r="L30" s="1" t="s">
        <v>1</v>
      </c>
      <c r="M30" s="1" t="s">
        <v>65</v>
      </c>
      <c r="N30" s="1" t="s">
        <v>66</v>
      </c>
      <c r="O30" s="1" t="s">
        <v>67</v>
      </c>
      <c r="P30" s="1" t="s">
        <v>68</v>
      </c>
      <c r="Q30" s="1" t="s">
        <v>69</v>
      </c>
    </row>
    <row r="31" customFormat="false" ht="15.75" hidden="false" customHeight="true" outlineLevel="0" collapsed="false">
      <c r="F31" s="1" t="s">
        <v>70</v>
      </c>
      <c r="H31" s="14" t="s">
        <v>71</v>
      </c>
      <c r="M31" s="1" t="n">
        <v>-0.25</v>
      </c>
      <c r="O31" s="1" t="n">
        <v>0</v>
      </c>
      <c r="P31" s="1" t="n">
        <v>3</v>
      </c>
      <c r="Q31" s="1" t="s">
        <v>72</v>
      </c>
    </row>
    <row r="32" customFormat="false" ht="15" hidden="false" customHeight="true" outlineLevel="0" collapsed="false">
      <c r="H32" s="1" t="s">
        <v>73</v>
      </c>
      <c r="M32" s="1" t="n">
        <v>-0.1</v>
      </c>
    </row>
    <row r="33" customFormat="false" ht="14.25" hidden="false" customHeight="true" outlineLevel="0" collapsed="false">
      <c r="H33" s="1" t="s">
        <v>74</v>
      </c>
      <c r="K33" s="1" t="s">
        <v>75</v>
      </c>
      <c r="N33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58"/>
  <sheetViews>
    <sheetView showFormulas="false" showGridLines="true" showRowColHeaders="true" showZeros="true" rightToLeft="false" tabSelected="false" showOutlineSymbols="true" defaultGridColor="true" view="normal" topLeftCell="A33" colorId="64" zoomScale="73" zoomScaleNormal="73" zoomScalePageLayoutView="100" workbookViewId="0">
      <selection pane="topLeft" activeCell="K60" activeCellId="0" sqref="K60"/>
    </sheetView>
  </sheetViews>
  <sheetFormatPr defaultColWidth="8.73046875" defaultRowHeight="14.25" zeroHeight="false" outlineLevelRow="0" outlineLevelCol="0"/>
  <cols>
    <col collapsed="false" customWidth="true" hidden="false" outlineLevel="0" max="4" min="4" style="1" width="27.16"/>
    <col collapsed="false" customWidth="true" hidden="false" outlineLevel="0" max="6" min="6" style="1" width="31.91"/>
    <col collapsed="false" customWidth="true" hidden="false" outlineLevel="0" max="7" min="7" style="1" width="19.53"/>
    <col collapsed="false" customWidth="true" hidden="false" outlineLevel="0" max="8" min="8" style="1" width="16.76"/>
    <col collapsed="false" customWidth="true" hidden="false" outlineLevel="0" max="10" min="10" style="1" width="12.18"/>
    <col collapsed="false" customWidth="true" hidden="false" outlineLevel="0" max="11" min="11" style="1" width="17.55"/>
    <col collapsed="false" customWidth="true" hidden="false" outlineLevel="0" max="12" min="12" style="1" width="10.18"/>
    <col collapsed="false" customWidth="true" hidden="false" outlineLevel="0" max="13" min="13" style="1" width="12.36"/>
  </cols>
  <sheetData>
    <row r="2" customFormat="false" ht="14.25" hidden="false" customHeight="true" outlineLevel="0" collapsed="false">
      <c r="B2" s="1" t="s">
        <v>76</v>
      </c>
    </row>
    <row r="3" customFormat="false" ht="14.25" hidden="false" customHeight="true" outlineLevel="0" collapsed="false">
      <c r="B3" s="1" t="s">
        <v>77</v>
      </c>
    </row>
    <row r="4" customFormat="false" ht="14.25" hidden="false" customHeight="true" outlineLevel="0" collapsed="false">
      <c r="D4" s="15"/>
      <c r="E4" s="15"/>
      <c r="F4" s="15"/>
      <c r="G4" s="15"/>
      <c r="H4" s="15" t="s">
        <v>78</v>
      </c>
      <c r="I4" s="15"/>
      <c r="J4" s="15"/>
      <c r="K4" s="15"/>
      <c r="L4" s="15"/>
      <c r="M4" s="15"/>
      <c r="N4" s="15"/>
    </row>
    <row r="5" customFormat="false" ht="14.25" hidden="false" customHeight="true" outlineLevel="0" collapsed="false"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customFormat="false" ht="14.25" hidden="false" customHeight="true" outlineLevel="0" collapsed="false"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customFormat="false" ht="14.25" hidden="false" customHeight="true" outlineLevel="0" collapsed="false"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customFormat="false" ht="14.25" hidden="false" customHeight="true" outlineLevel="0" collapsed="false">
      <c r="D8" s="16" t="s">
        <v>62</v>
      </c>
      <c r="E8" s="16" t="s">
        <v>79</v>
      </c>
      <c r="F8" s="16" t="s">
        <v>6</v>
      </c>
      <c r="G8" s="16" t="s">
        <v>80</v>
      </c>
      <c r="H8" s="16" t="s">
        <v>4</v>
      </c>
      <c r="I8" s="16" t="s">
        <v>2</v>
      </c>
      <c r="J8" s="16" t="s">
        <v>81</v>
      </c>
      <c r="K8" s="16" t="s">
        <v>82</v>
      </c>
      <c r="L8" s="15" t="s">
        <v>67</v>
      </c>
      <c r="M8" s="15" t="s">
        <v>68</v>
      </c>
      <c r="N8" s="16" t="s">
        <v>69</v>
      </c>
    </row>
    <row r="9" customFormat="false" ht="14.25" hidden="false" customHeight="true" outlineLevel="0" collapsed="false">
      <c r="D9" s="17" t="s">
        <v>83</v>
      </c>
      <c r="E9" s="15"/>
      <c r="F9" s="17" t="s">
        <v>84</v>
      </c>
      <c r="G9" s="17" t="s">
        <v>85</v>
      </c>
      <c r="H9" s="17" t="s">
        <v>86</v>
      </c>
      <c r="I9" s="17" t="s">
        <v>87</v>
      </c>
      <c r="J9" s="15" t="n">
        <v>1</v>
      </c>
      <c r="K9" s="17" t="n">
        <v>1.25</v>
      </c>
      <c r="L9" s="15" t="n">
        <v>0.05</v>
      </c>
      <c r="M9" s="17" t="n">
        <v>1</v>
      </c>
      <c r="N9" s="17"/>
    </row>
    <row r="10" customFormat="false" ht="14.25" hidden="false" customHeight="true" outlineLevel="0" collapsed="false">
      <c r="D10" s="17" t="s">
        <v>88</v>
      </c>
      <c r="E10" s="15"/>
      <c r="F10" s="17" t="s">
        <v>89</v>
      </c>
      <c r="G10" s="17" t="s">
        <v>85</v>
      </c>
      <c r="H10" s="17" t="s">
        <v>86</v>
      </c>
      <c r="I10" s="17" t="s">
        <v>87</v>
      </c>
      <c r="J10" s="15" t="n">
        <v>1</v>
      </c>
      <c r="K10" s="17" t="n">
        <v>1.11</v>
      </c>
      <c r="L10" s="15" t="n">
        <v>0.05</v>
      </c>
      <c r="M10" s="17" t="n">
        <v>1</v>
      </c>
      <c r="N10" s="17"/>
    </row>
    <row r="11" customFormat="false" ht="14.25" hidden="false" customHeight="true" outlineLevel="0" collapsed="false">
      <c r="D11" s="17" t="s">
        <v>90</v>
      </c>
      <c r="E11" s="15"/>
      <c r="F11" s="17" t="s">
        <v>91</v>
      </c>
      <c r="G11" s="17" t="s">
        <v>85</v>
      </c>
      <c r="H11" s="17" t="s">
        <v>86</v>
      </c>
      <c r="I11" s="17" t="s">
        <v>87</v>
      </c>
      <c r="J11" s="15" t="n">
        <v>1</v>
      </c>
      <c r="K11" s="17" t="n">
        <v>1.15</v>
      </c>
      <c r="L11" s="15" t="n">
        <v>0.08</v>
      </c>
      <c r="M11" s="17" t="n">
        <v>1</v>
      </c>
      <c r="N11" s="17"/>
    </row>
    <row r="12" customFormat="false" ht="15.75" hidden="false" customHeight="true" outlineLevel="0" collapsed="false">
      <c r="D12" s="17" t="s">
        <v>92</v>
      </c>
      <c r="E12" s="15"/>
      <c r="F12" s="18" t="s">
        <v>93</v>
      </c>
      <c r="G12" s="17" t="s">
        <v>85</v>
      </c>
      <c r="H12" s="17" t="s">
        <v>86</v>
      </c>
      <c r="I12" s="17" t="s">
        <v>87</v>
      </c>
      <c r="J12" s="15" t="n">
        <v>1</v>
      </c>
      <c r="K12" s="17" t="n">
        <v>1.12</v>
      </c>
      <c r="L12" s="15" t="n">
        <v>0.03</v>
      </c>
      <c r="M12" s="17" t="n">
        <v>1</v>
      </c>
      <c r="N12" s="17"/>
    </row>
    <row r="13" customFormat="false" ht="14.25" hidden="false" customHeight="true" outlineLevel="0" collapsed="false">
      <c r="D13" s="17" t="s">
        <v>94</v>
      </c>
      <c r="E13" s="15"/>
      <c r="F13" s="17" t="s">
        <v>95</v>
      </c>
      <c r="G13" s="17" t="s">
        <v>85</v>
      </c>
      <c r="H13" s="17" t="s">
        <v>86</v>
      </c>
      <c r="I13" s="17" t="s">
        <v>87</v>
      </c>
      <c r="J13" s="15" t="n">
        <v>1</v>
      </c>
      <c r="K13" s="17" t="n">
        <v>1.2</v>
      </c>
      <c r="L13" s="15" t="n">
        <v>0.1</v>
      </c>
      <c r="M13" s="17" t="n">
        <v>1</v>
      </c>
      <c r="N13" s="17"/>
    </row>
    <row r="14" customFormat="false" ht="14.25" hidden="false" customHeight="true" outlineLevel="0" collapsed="false">
      <c r="D14" s="17" t="s">
        <v>96</v>
      </c>
      <c r="E14" s="15"/>
      <c r="F14" s="17" t="s">
        <v>97</v>
      </c>
      <c r="G14" s="17" t="s">
        <v>85</v>
      </c>
      <c r="H14" s="17" t="s">
        <v>86</v>
      </c>
      <c r="I14" s="17" t="s">
        <v>87</v>
      </c>
      <c r="J14" s="15" t="n">
        <v>1</v>
      </c>
      <c r="K14" s="17" t="n">
        <v>1.06</v>
      </c>
      <c r="L14" s="15" t="n">
        <v>0.15</v>
      </c>
      <c r="M14" s="17" t="n">
        <v>1</v>
      </c>
      <c r="N14" s="17"/>
    </row>
    <row r="15" customFormat="false" ht="14.25" hidden="false" customHeight="true" outlineLevel="0" collapsed="false">
      <c r="D15" s="17" t="s">
        <v>98</v>
      </c>
      <c r="E15" s="15"/>
      <c r="F15" s="17" t="s">
        <v>99</v>
      </c>
      <c r="G15" s="17" t="s">
        <v>85</v>
      </c>
      <c r="H15" s="17" t="s">
        <v>86</v>
      </c>
      <c r="I15" s="17" t="s">
        <v>87</v>
      </c>
      <c r="J15" s="15" t="n">
        <v>1</v>
      </c>
      <c r="K15" s="17" t="n">
        <v>1.06</v>
      </c>
      <c r="L15" s="15" t="n">
        <v>0.3</v>
      </c>
      <c r="M15" s="17" t="n">
        <v>1</v>
      </c>
      <c r="N15" s="17"/>
    </row>
    <row r="16" customFormat="false" ht="15.75" hidden="false" customHeight="true" outlineLevel="0" collapsed="false">
      <c r="D16" s="17" t="s">
        <v>100</v>
      </c>
      <c r="E16" s="15"/>
      <c r="F16" s="18" t="s">
        <v>101</v>
      </c>
      <c r="G16" s="15" t="str">
        <f aca="false">G15</f>
        <v>CAP,GROWTH</v>
      </c>
      <c r="H16" s="15" t="str">
        <f aca="false">H15</f>
        <v>2025, 2150</v>
      </c>
      <c r="I16" s="17" t="s">
        <v>87</v>
      </c>
      <c r="J16" s="15" t="n">
        <f aca="false">J12</f>
        <v>1</v>
      </c>
      <c r="K16" s="15" t="n">
        <f aca="false">K12</f>
        <v>1.12</v>
      </c>
      <c r="L16" s="15" t="n">
        <f aca="false">L12</f>
        <v>0.03</v>
      </c>
      <c r="M16" s="15" t="n">
        <f aca="false">M15</f>
        <v>1</v>
      </c>
      <c r="N16" s="15"/>
    </row>
    <row r="17" customFormat="false" ht="15.75" hidden="false" customHeight="true" outlineLevel="0" collapsed="false">
      <c r="D17" s="17" t="s">
        <v>102</v>
      </c>
      <c r="E17" s="15"/>
      <c r="F17" s="18" t="s">
        <v>103</v>
      </c>
      <c r="G17" s="15" t="str">
        <f aca="false">G16</f>
        <v>CAP,GROWTH</v>
      </c>
      <c r="H17" s="15" t="str">
        <f aca="false">H16</f>
        <v>2025, 2150</v>
      </c>
      <c r="I17" s="17" t="s">
        <v>87</v>
      </c>
      <c r="J17" s="15" t="n">
        <f aca="false">J16</f>
        <v>1</v>
      </c>
      <c r="K17" s="15" t="n">
        <f aca="false">K16</f>
        <v>1.12</v>
      </c>
      <c r="L17" s="15" t="n">
        <f aca="false">L16</f>
        <v>0.03</v>
      </c>
      <c r="M17" s="15" t="n">
        <f aca="false">M16</f>
        <v>1</v>
      </c>
      <c r="N17" s="15"/>
    </row>
    <row r="18" customFormat="false" ht="15.75" hidden="false" customHeight="true" outlineLevel="0" collapsed="false">
      <c r="D18" s="17" t="s">
        <v>104</v>
      </c>
      <c r="E18" s="15"/>
      <c r="F18" s="18" t="s">
        <v>105</v>
      </c>
      <c r="G18" s="15" t="str">
        <f aca="false">G17</f>
        <v>CAP,GROWTH</v>
      </c>
      <c r="H18" s="15" t="str">
        <f aca="false">H17</f>
        <v>2025, 2150</v>
      </c>
      <c r="I18" s="17" t="s">
        <v>87</v>
      </c>
      <c r="J18" s="15" t="n">
        <v>1</v>
      </c>
      <c r="K18" s="15" t="n">
        <v>1</v>
      </c>
      <c r="L18" s="15" t="n">
        <v>0</v>
      </c>
      <c r="M18" s="15" t="n">
        <v>1</v>
      </c>
      <c r="N18" s="15"/>
    </row>
    <row r="25" customFormat="false" ht="14.25" hidden="false" customHeight="true" outlineLevel="0" collapsed="false">
      <c r="K25" s="1" t="s">
        <v>106</v>
      </c>
      <c r="L25" s="4" t="s">
        <v>107</v>
      </c>
    </row>
    <row r="28" customFormat="false" ht="14.25" hidden="false" customHeight="true" outlineLevel="0" collapsed="false">
      <c r="H28" s="1" t="s">
        <v>78</v>
      </c>
    </row>
    <row r="29" customFormat="false" ht="14.25" hidden="false" customHeight="true" outlineLevel="0" collapsed="false">
      <c r="D29" s="1" t="s">
        <v>62</v>
      </c>
      <c r="E29" s="1" t="s">
        <v>79</v>
      </c>
      <c r="F29" s="1" t="s">
        <v>6</v>
      </c>
      <c r="G29" s="1" t="s">
        <v>80</v>
      </c>
      <c r="H29" s="1" t="s">
        <v>4</v>
      </c>
      <c r="I29" s="1" t="s">
        <v>2</v>
      </c>
      <c r="J29" s="1" t="s">
        <v>81</v>
      </c>
      <c r="K29" s="1" t="s">
        <v>82</v>
      </c>
      <c r="L29" s="1" t="s">
        <v>67</v>
      </c>
      <c r="M29" s="1" t="s">
        <v>68</v>
      </c>
      <c r="N29" s="1" t="s">
        <v>69</v>
      </c>
    </row>
    <row r="30" customFormat="false" ht="15.75" hidden="false" customHeight="true" outlineLevel="0" collapsed="false">
      <c r="D30" s="1" t="s">
        <v>108</v>
      </c>
      <c r="F30" s="3" t="s">
        <v>109</v>
      </c>
      <c r="G30" s="1" t="s">
        <v>85</v>
      </c>
      <c r="H30" s="1" t="s">
        <v>110</v>
      </c>
      <c r="I30" s="1" t="s">
        <v>111</v>
      </c>
      <c r="J30" s="1" t="n">
        <v>1</v>
      </c>
      <c r="K30" s="1" t="n">
        <v>1</v>
      </c>
      <c r="L30" s="1" t="n">
        <v>0.01</v>
      </c>
      <c r="M30" s="1" t="n">
        <v>1</v>
      </c>
    </row>
    <row r="31" customFormat="false" ht="15.75" hidden="false" customHeight="true" outlineLevel="0" collapsed="false">
      <c r="D31" s="1" t="s">
        <v>112</v>
      </c>
      <c r="F31" s="6" t="s">
        <v>113</v>
      </c>
      <c r="G31" s="1" t="s">
        <v>85</v>
      </c>
      <c r="H31" s="1" t="s">
        <v>110</v>
      </c>
      <c r="I31" s="1" t="s">
        <v>111</v>
      </c>
      <c r="J31" s="1" t="n">
        <v>1</v>
      </c>
      <c r="K31" s="1" t="n">
        <v>1</v>
      </c>
      <c r="L31" s="1" t="n">
        <f aca="false">L30</f>
        <v>0.01</v>
      </c>
      <c r="M31" s="1" t="n">
        <v>1</v>
      </c>
    </row>
    <row r="32" customFormat="false" ht="15.75" hidden="false" customHeight="true" outlineLevel="0" collapsed="false">
      <c r="D32" s="1" t="s">
        <v>114</v>
      </c>
      <c r="F32" s="6" t="s">
        <v>115</v>
      </c>
      <c r="G32" s="1" t="s">
        <v>85</v>
      </c>
      <c r="H32" s="1" t="s">
        <v>110</v>
      </c>
      <c r="I32" s="1" t="s">
        <v>111</v>
      </c>
      <c r="J32" s="1" t="n">
        <v>1</v>
      </c>
      <c r="K32" s="1" t="n">
        <v>1</v>
      </c>
      <c r="L32" s="1" t="n">
        <f aca="false">L31</f>
        <v>0.01</v>
      </c>
      <c r="M32" s="1" t="n">
        <v>1</v>
      </c>
    </row>
    <row r="33" customFormat="false" ht="15.75" hidden="false" customHeight="true" outlineLevel="0" collapsed="false">
      <c r="D33" s="1" t="s">
        <v>116</v>
      </c>
      <c r="F33" s="3" t="s">
        <v>117</v>
      </c>
      <c r="G33" s="1" t="s">
        <v>85</v>
      </c>
      <c r="H33" s="1" t="s">
        <v>110</v>
      </c>
      <c r="I33" s="1" t="s">
        <v>111</v>
      </c>
      <c r="J33" s="1" t="n">
        <v>1</v>
      </c>
      <c r="K33" s="1" t="n">
        <f aca="false">K32</f>
        <v>1</v>
      </c>
      <c r="L33" s="1" t="n">
        <f aca="false">L32</f>
        <v>0.01</v>
      </c>
      <c r="M33" s="1" t="n">
        <v>1</v>
      </c>
    </row>
    <row r="34" customFormat="false" ht="15.75" hidden="false" customHeight="true" outlineLevel="0" collapsed="false">
      <c r="D34" s="1" t="s">
        <v>118</v>
      </c>
      <c r="F34" s="3" t="s">
        <v>119</v>
      </c>
      <c r="G34" s="1" t="s">
        <v>85</v>
      </c>
      <c r="H34" s="1" t="s">
        <v>110</v>
      </c>
      <c r="I34" s="1" t="s">
        <v>111</v>
      </c>
      <c r="J34" s="1" t="n">
        <v>1</v>
      </c>
      <c r="K34" s="1" t="n">
        <f aca="false">K33</f>
        <v>1</v>
      </c>
      <c r="L34" s="1" t="n">
        <f aca="false">L33</f>
        <v>0.01</v>
      </c>
      <c r="M34" s="1" t="n">
        <v>1</v>
      </c>
    </row>
    <row r="35" customFormat="false" ht="15.75" hidden="false" customHeight="true" outlineLevel="0" collapsed="false">
      <c r="D35" s="1" t="s">
        <v>120</v>
      </c>
      <c r="F35" s="3" t="s">
        <v>121</v>
      </c>
      <c r="G35" s="1" t="s">
        <v>85</v>
      </c>
      <c r="H35" s="1" t="s">
        <v>110</v>
      </c>
      <c r="I35" s="1" t="s">
        <v>111</v>
      </c>
      <c r="J35" s="1" t="n">
        <v>1</v>
      </c>
      <c r="K35" s="1" t="n">
        <f aca="false">K34</f>
        <v>1</v>
      </c>
      <c r="L35" s="1" t="n">
        <f aca="false">L34</f>
        <v>0.01</v>
      </c>
      <c r="M35" s="1" t="n">
        <v>1</v>
      </c>
    </row>
    <row r="36" customFormat="false" ht="15.75" hidden="false" customHeight="true" outlineLevel="0" collapsed="false">
      <c r="D36" s="1" t="s">
        <v>122</v>
      </c>
      <c r="F36" s="3" t="s">
        <v>123</v>
      </c>
      <c r="G36" s="1" t="s">
        <v>85</v>
      </c>
      <c r="H36" s="1" t="s">
        <v>110</v>
      </c>
      <c r="I36" s="1" t="s">
        <v>111</v>
      </c>
      <c r="J36" s="1" t="n">
        <v>1</v>
      </c>
      <c r="K36" s="1" t="n">
        <f aca="false">K35</f>
        <v>1</v>
      </c>
      <c r="L36" s="1" t="n">
        <f aca="false">L35</f>
        <v>0.01</v>
      </c>
      <c r="M36" s="1" t="n">
        <v>1</v>
      </c>
    </row>
    <row r="37" customFormat="false" ht="15.75" hidden="false" customHeight="true" outlineLevel="0" collapsed="false">
      <c r="D37" s="2" t="s">
        <v>124</v>
      </c>
      <c r="E37" s="2"/>
      <c r="F37" s="19" t="s">
        <v>125</v>
      </c>
      <c r="G37" s="2" t="s">
        <v>85</v>
      </c>
      <c r="H37" s="2" t="s">
        <v>126</v>
      </c>
      <c r="I37" s="2" t="s">
        <v>111</v>
      </c>
      <c r="J37" s="2" t="n">
        <v>1</v>
      </c>
      <c r="K37" s="2" t="n">
        <v>1</v>
      </c>
      <c r="L37" s="2" t="n">
        <v>0</v>
      </c>
      <c r="M37" s="2" t="n">
        <v>3</v>
      </c>
    </row>
    <row r="38" customFormat="false" ht="15.75" hidden="false" customHeight="true" outlineLevel="0" collapsed="false">
      <c r="D38" s="20" t="s">
        <v>127</v>
      </c>
      <c r="F38" s="19" t="s">
        <v>128</v>
      </c>
      <c r="G38" s="2" t="s">
        <v>85</v>
      </c>
      <c r="H38" s="1" t="str">
        <f aca="false">H37</f>
        <v>2019, 2150</v>
      </c>
      <c r="I38" s="1" t="s">
        <v>87</v>
      </c>
      <c r="J38" s="1" t="n">
        <v>1</v>
      </c>
      <c r="K38" s="1" t="n">
        <v>1.1</v>
      </c>
      <c r="L38" s="1" t="n">
        <v>0</v>
      </c>
      <c r="M38" s="1" t="n">
        <v>3</v>
      </c>
    </row>
    <row r="39" customFormat="false" ht="15.75" hidden="false" customHeight="true" outlineLevel="0" collapsed="false">
      <c r="D39" s="20" t="s">
        <v>129</v>
      </c>
      <c r="F39" s="19" t="s">
        <v>130</v>
      </c>
      <c r="G39" s="2" t="s">
        <v>85</v>
      </c>
      <c r="H39" s="1" t="str">
        <f aca="false">H38</f>
        <v>2019, 2150</v>
      </c>
      <c r="I39" s="1" t="str">
        <f aca="false">I38</f>
        <v>UP</v>
      </c>
      <c r="J39" s="1" t="n">
        <f aca="false">J38</f>
        <v>1</v>
      </c>
      <c r="K39" s="1" t="n">
        <f aca="false">K38</f>
        <v>1.1</v>
      </c>
      <c r="L39" s="1" t="n">
        <f aca="false">L38</f>
        <v>0</v>
      </c>
      <c r="M39" s="1" t="n">
        <f aca="false">M38</f>
        <v>3</v>
      </c>
    </row>
    <row r="40" customFormat="false" ht="15.75" hidden="false" customHeight="true" outlineLevel="0" collapsed="false">
      <c r="D40" s="20" t="s">
        <v>131</v>
      </c>
      <c r="F40" s="19" t="s">
        <v>132</v>
      </c>
      <c r="G40" s="2" t="s">
        <v>85</v>
      </c>
      <c r="H40" s="1" t="str">
        <f aca="false">H39</f>
        <v>2019, 2150</v>
      </c>
      <c r="I40" s="1" t="str">
        <f aca="false">I39</f>
        <v>UP</v>
      </c>
      <c r="J40" s="1" t="n">
        <f aca="false">J39</f>
        <v>1</v>
      </c>
      <c r="K40" s="1" t="n">
        <f aca="false">K39</f>
        <v>1.1</v>
      </c>
      <c r="L40" s="1" t="n">
        <f aca="false">L39</f>
        <v>0</v>
      </c>
      <c r="M40" s="1" t="n">
        <f aca="false">M39</f>
        <v>3</v>
      </c>
    </row>
    <row r="41" customFormat="false" ht="15.75" hidden="false" customHeight="true" outlineLevel="0" collapsed="false">
      <c r="D41" s="20" t="s">
        <v>133</v>
      </c>
      <c r="F41" s="19" t="s">
        <v>134</v>
      </c>
      <c r="G41" s="2" t="s">
        <v>85</v>
      </c>
      <c r="H41" s="1" t="str">
        <f aca="false">H40</f>
        <v>2019, 2150</v>
      </c>
      <c r="I41" s="1" t="str">
        <f aca="false">I40</f>
        <v>UP</v>
      </c>
      <c r="J41" s="1" t="n">
        <f aca="false">J40</f>
        <v>1</v>
      </c>
      <c r="K41" s="1" t="n">
        <f aca="false">K40</f>
        <v>1.1</v>
      </c>
      <c r="L41" s="1" t="n">
        <f aca="false">L40</f>
        <v>0</v>
      </c>
      <c r="M41" s="1" t="n">
        <f aca="false">M40</f>
        <v>3</v>
      </c>
    </row>
    <row r="42" customFormat="false" ht="15.75" hidden="false" customHeight="true" outlineLevel="0" collapsed="false">
      <c r="D42" s="20" t="s">
        <v>135</v>
      </c>
      <c r="F42" s="19" t="s">
        <v>136</v>
      </c>
      <c r="G42" s="2" t="s">
        <v>85</v>
      </c>
      <c r="H42" s="1" t="str">
        <f aca="false">H41</f>
        <v>2019, 2150</v>
      </c>
      <c r="I42" s="1" t="str">
        <f aca="false">I41</f>
        <v>UP</v>
      </c>
      <c r="J42" s="1" t="n">
        <f aca="false">J41</f>
        <v>1</v>
      </c>
      <c r="K42" s="1" t="n">
        <f aca="false">K41</f>
        <v>1.1</v>
      </c>
      <c r="L42" s="1" t="n">
        <f aca="false">L41</f>
        <v>0</v>
      </c>
      <c r="M42" s="1" t="n">
        <f aca="false">M41</f>
        <v>3</v>
      </c>
    </row>
    <row r="43" customFormat="false" ht="14.25" hidden="false" customHeight="true" outlineLevel="0" collapsed="false">
      <c r="D43" s="2" t="s">
        <v>137</v>
      </c>
      <c r="E43" s="2"/>
      <c r="F43" s="11" t="s">
        <v>138</v>
      </c>
      <c r="G43" s="2" t="s">
        <v>85</v>
      </c>
      <c r="H43" s="2" t="s">
        <v>126</v>
      </c>
      <c r="I43" s="2" t="s">
        <v>111</v>
      </c>
      <c r="J43" s="2" t="n">
        <v>1</v>
      </c>
      <c r="K43" s="2" t="n">
        <v>1</v>
      </c>
      <c r="L43" s="2" t="n">
        <v>0</v>
      </c>
      <c r="M43" s="2" t="n">
        <v>3</v>
      </c>
    </row>
    <row r="45" customFormat="false" ht="14.25" hidden="false" customHeight="true" outlineLevel="0" collapsed="false">
      <c r="F45" s="5"/>
    </row>
    <row r="50" customFormat="false" ht="14.25" hidden="false" customHeight="true" outlineLevel="0" collapsed="false">
      <c r="H50" s="1" t="s">
        <v>78</v>
      </c>
    </row>
    <row r="51" customFormat="false" ht="15.75" hidden="false" customHeight="true" outlineLevel="0" collapsed="false">
      <c r="D51" s="1" t="s">
        <v>62</v>
      </c>
      <c r="E51" s="1" t="s">
        <v>139</v>
      </c>
      <c r="F51" s="1" t="s">
        <v>64</v>
      </c>
      <c r="G51" s="1" t="s">
        <v>80</v>
      </c>
      <c r="H51" s="1" t="s">
        <v>4</v>
      </c>
      <c r="I51" s="1" t="s">
        <v>2</v>
      </c>
      <c r="J51" s="3" t="s">
        <v>140</v>
      </c>
      <c r="K51" s="1" t="s">
        <v>141</v>
      </c>
      <c r="L51" s="1" t="s">
        <v>67</v>
      </c>
      <c r="M51" s="1" t="s">
        <v>68</v>
      </c>
      <c r="N51" s="1" t="s">
        <v>69</v>
      </c>
    </row>
    <row r="52" customFormat="false" ht="14.25" hidden="false" customHeight="true" outlineLevel="0" collapsed="false">
      <c r="D52" s="1" t="s">
        <v>142</v>
      </c>
      <c r="F52" s="7" t="s">
        <v>143</v>
      </c>
      <c r="G52" s="1" t="s">
        <v>144</v>
      </c>
      <c r="H52" s="1" t="s">
        <v>145</v>
      </c>
      <c r="I52" s="1" t="s">
        <v>87</v>
      </c>
      <c r="J52" s="1" t="n">
        <v>1</v>
      </c>
      <c r="K52" s="1" t="n">
        <v>1</v>
      </c>
      <c r="L52" s="1" t="n">
        <v>0</v>
      </c>
      <c r="M52" s="1" t="n">
        <v>5</v>
      </c>
    </row>
    <row r="53" customFormat="false" ht="14.25" hidden="false" customHeight="true" outlineLevel="0" collapsed="false">
      <c r="D53" s="1" t="s">
        <v>146</v>
      </c>
      <c r="F53" s="7" t="s">
        <v>147</v>
      </c>
      <c r="G53" s="1" t="s">
        <v>144</v>
      </c>
      <c r="H53" s="21" t="s">
        <v>126</v>
      </c>
      <c r="I53" s="1" t="s">
        <v>87</v>
      </c>
      <c r="J53" s="1" t="n">
        <v>1</v>
      </c>
      <c r="K53" s="1" t="n">
        <v>1</v>
      </c>
      <c r="L53" s="1" t="n">
        <f aca="false">L52</f>
        <v>0</v>
      </c>
      <c r="M53" s="1" t="n">
        <v>5</v>
      </c>
    </row>
    <row r="54" customFormat="false" ht="14.25" hidden="false" customHeight="true" outlineLevel="0" collapsed="false">
      <c r="D54" s="1" t="s">
        <v>148</v>
      </c>
      <c r="F54" s="7" t="s">
        <v>149</v>
      </c>
      <c r="G54" s="1" t="s">
        <v>144</v>
      </c>
      <c r="H54" s="1" t="s">
        <v>150</v>
      </c>
      <c r="I54" s="1" t="s">
        <v>87</v>
      </c>
      <c r="J54" s="1" t="n">
        <v>1</v>
      </c>
      <c r="K54" s="1" t="n">
        <v>1</v>
      </c>
      <c r="L54" s="1" t="n">
        <f aca="false">L53</f>
        <v>0</v>
      </c>
      <c r="M54" s="1" t="n">
        <v>5</v>
      </c>
    </row>
    <row r="55" customFormat="false" ht="15.75" hidden="false" customHeight="true" outlineLevel="0" collapsed="false">
      <c r="D55" s="1" t="s">
        <v>151</v>
      </c>
      <c r="F55" s="3" t="s">
        <v>152</v>
      </c>
      <c r="G55" s="1" t="s">
        <v>144</v>
      </c>
      <c r="H55" s="1" t="s">
        <v>145</v>
      </c>
      <c r="I55" s="1" t="s">
        <v>87</v>
      </c>
      <c r="J55" s="1" t="n">
        <v>1</v>
      </c>
      <c r="K55" s="1" t="n">
        <v>1</v>
      </c>
      <c r="L55" s="1" t="n">
        <f aca="false">L54</f>
        <v>0</v>
      </c>
      <c r="M55" s="1" t="n">
        <v>5</v>
      </c>
    </row>
    <row r="56" customFormat="false" ht="15.75" hidden="false" customHeight="true" outlineLevel="0" collapsed="false">
      <c r="F56" s="3"/>
    </row>
    <row r="57" customFormat="false" ht="15.75" hidden="false" customHeight="true" outlineLevel="0" collapsed="false">
      <c r="F57" s="3"/>
    </row>
    <row r="58" customFormat="false" ht="15.75" hidden="false" customHeight="true" outlineLevel="0" collapsed="false">
      <c r="F5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9:AR83"/>
  <sheetViews>
    <sheetView showFormulas="false" showGridLines="true" showRowColHeaders="true" showZeros="true" rightToLeft="false" tabSelected="false" showOutlineSymbols="true" defaultGridColor="true" view="normal" topLeftCell="A7" colorId="64" zoomScale="46" zoomScaleNormal="46" zoomScalePageLayoutView="100" workbookViewId="0">
      <selection pane="topLeft" activeCell="H52" activeCellId="0" sqref="H52"/>
    </sheetView>
  </sheetViews>
  <sheetFormatPr defaultColWidth="8.73046875" defaultRowHeight="14.25" zeroHeight="false" outlineLevelRow="0" outlineLevelCol="0"/>
  <cols>
    <col collapsed="false" customWidth="true" hidden="false" outlineLevel="0" max="6" min="6" style="1" width="24.55"/>
    <col collapsed="false" customWidth="true" hidden="false" outlineLevel="0" max="7" min="7" style="1" width="25.36"/>
    <col collapsed="false" customWidth="true" hidden="false" outlineLevel="0" max="8" min="8" style="1" width="56.36"/>
    <col collapsed="false" customWidth="true" hidden="false" outlineLevel="0" max="9" min="9" style="1" width="43.73"/>
    <col collapsed="false" customWidth="true" hidden="false" outlineLevel="0" max="12" min="12" style="1" width="11"/>
    <col collapsed="false" customWidth="true" hidden="false" outlineLevel="0" max="13" min="13" style="1" width="40.18"/>
    <col collapsed="false" customWidth="true" hidden="false" outlineLevel="0" max="14" min="14" style="1" width="12.82"/>
    <col collapsed="false" customWidth="true" hidden="false" outlineLevel="0" max="15" min="15" style="1" width="40.18"/>
    <col collapsed="false" customWidth="true" hidden="false" outlineLevel="0" max="16" min="16" style="1" width="12.64"/>
    <col collapsed="false" customWidth="true" hidden="false" outlineLevel="0" max="17" min="17" style="1" width="12.36"/>
    <col collapsed="false" customWidth="true" hidden="false" outlineLevel="0" max="18" min="18" style="1" width="10.36"/>
    <col collapsed="false" customWidth="true" hidden="false" outlineLevel="0" max="48" min="48" style="1" width="12.64"/>
  </cols>
  <sheetData>
    <row r="9" customFormat="false" ht="14.25" hidden="false" customHeight="true" outlineLevel="0" collapsed="false">
      <c r="F9" s="1" t="s">
        <v>60</v>
      </c>
    </row>
    <row r="12" customFormat="false" ht="14.25" hidden="false" customHeight="true" outlineLevel="0" collapsed="false">
      <c r="L12" s="1" t="s">
        <v>153</v>
      </c>
    </row>
    <row r="13" customFormat="false" ht="14.25" hidden="false" customHeight="true" outlineLevel="0" collapsed="false">
      <c r="F13" s="1" t="s">
        <v>62</v>
      </c>
      <c r="G13" s="1" t="s">
        <v>28</v>
      </c>
      <c r="H13" s="1" t="s">
        <v>51</v>
      </c>
      <c r="I13" s="1" t="s">
        <v>63</v>
      </c>
      <c r="J13" s="1" t="s">
        <v>36</v>
      </c>
      <c r="K13" s="1" t="s">
        <v>64</v>
      </c>
      <c r="L13" s="1" t="s">
        <v>1</v>
      </c>
      <c r="M13" s="1" t="s">
        <v>81</v>
      </c>
      <c r="N13" s="1" t="s">
        <v>66</v>
      </c>
      <c r="O13" s="1" t="s">
        <v>67</v>
      </c>
      <c r="P13" s="1" t="s">
        <v>68</v>
      </c>
      <c r="Q13" s="1" t="s">
        <v>69</v>
      </c>
    </row>
    <row r="14" customFormat="false" ht="14.25" hidden="false" customHeight="true" outlineLevel="0" collapsed="false">
      <c r="F14" s="1" t="s">
        <v>154</v>
      </c>
      <c r="H14" s="1" t="s">
        <v>155</v>
      </c>
      <c r="M14" s="1" t="n">
        <v>0.25</v>
      </c>
      <c r="O14" s="1" t="n">
        <v>0</v>
      </c>
      <c r="P14" s="1" t="n">
        <v>5</v>
      </c>
    </row>
    <row r="15" customFormat="false" ht="14.25" hidden="false" customHeight="true" outlineLevel="0" collapsed="false">
      <c r="H15" s="1" t="s">
        <v>156</v>
      </c>
      <c r="M15" s="1" t="n">
        <v>-1</v>
      </c>
    </row>
    <row r="26" customFormat="false" ht="14.25" hidden="false" customHeight="true" outlineLevel="0" collapsed="false">
      <c r="L26" s="1" t="s">
        <v>153</v>
      </c>
    </row>
    <row r="27" customFormat="false" ht="14.25" hidden="false" customHeight="true" outlineLevel="0" collapsed="false">
      <c r="F27" s="1" t="s">
        <v>62</v>
      </c>
      <c r="G27" s="1" t="s">
        <v>28</v>
      </c>
      <c r="H27" s="1" t="s">
        <v>51</v>
      </c>
      <c r="I27" s="1" t="s">
        <v>63</v>
      </c>
      <c r="J27" s="1" t="s">
        <v>36</v>
      </c>
      <c r="K27" s="1" t="s">
        <v>64</v>
      </c>
      <c r="L27" s="1" t="s">
        <v>1</v>
      </c>
      <c r="M27" s="1" t="s">
        <v>81</v>
      </c>
      <c r="N27" s="1" t="s">
        <v>66</v>
      </c>
      <c r="O27" s="1" t="s">
        <v>67</v>
      </c>
      <c r="P27" s="1" t="s">
        <v>68</v>
      </c>
      <c r="Q27" s="1" t="s">
        <v>69</v>
      </c>
    </row>
    <row r="28" customFormat="false" ht="15.75" hidden="false" customHeight="true" outlineLevel="0" collapsed="false">
      <c r="F28" s="1" t="s">
        <v>157</v>
      </c>
      <c r="H28" s="3" t="s">
        <v>158</v>
      </c>
      <c r="M28" s="1" t="n">
        <v>-0.1</v>
      </c>
      <c r="O28" s="1" t="n">
        <v>0</v>
      </c>
      <c r="P28" s="1" t="n">
        <v>5</v>
      </c>
    </row>
    <row r="29" customFormat="false" ht="14.25" hidden="false" customHeight="true" outlineLevel="0" collapsed="false">
      <c r="H29" s="1" t="s">
        <v>159</v>
      </c>
      <c r="M29" s="1" t="n">
        <v>1</v>
      </c>
    </row>
    <row r="35" customFormat="false" ht="14.25" hidden="false" customHeight="true" outlineLevel="0" collapsed="false">
      <c r="L35" s="1" t="s">
        <v>153</v>
      </c>
    </row>
    <row r="36" customFormat="false" ht="14.25" hidden="false" customHeight="true" outlineLevel="0" collapsed="false">
      <c r="F36" s="1" t="s">
        <v>62</v>
      </c>
      <c r="G36" s="1" t="s">
        <v>28</v>
      </c>
      <c r="H36" s="1" t="s">
        <v>51</v>
      </c>
      <c r="I36" s="1" t="s">
        <v>63</v>
      </c>
      <c r="J36" s="1" t="s">
        <v>36</v>
      </c>
      <c r="K36" s="1" t="s">
        <v>64</v>
      </c>
      <c r="L36" s="1" t="s">
        <v>1</v>
      </c>
      <c r="M36" s="1" t="s">
        <v>81</v>
      </c>
      <c r="N36" s="1" t="s">
        <v>66</v>
      </c>
      <c r="O36" s="1" t="s">
        <v>67</v>
      </c>
      <c r="P36" s="1" t="s">
        <v>68</v>
      </c>
      <c r="Q36" s="1" t="s">
        <v>69</v>
      </c>
    </row>
    <row r="37" customFormat="false" ht="14.25" hidden="false" customHeight="true" outlineLevel="0" collapsed="false">
      <c r="F37" s="1" t="s">
        <v>160</v>
      </c>
      <c r="H37" s="1" t="s">
        <v>161</v>
      </c>
      <c r="M37" s="1" t="n">
        <v>-0.1</v>
      </c>
      <c r="O37" s="1" t="n">
        <v>0</v>
      </c>
      <c r="P37" s="1" t="n">
        <v>5</v>
      </c>
    </row>
    <row r="38" customFormat="false" ht="14.25" hidden="false" customHeight="true" outlineLevel="0" collapsed="false">
      <c r="H38" s="1" t="s">
        <v>162</v>
      </c>
      <c r="M38" s="1" t="n">
        <v>1</v>
      </c>
    </row>
    <row r="51" customFormat="false" ht="14.25" hidden="false" customHeight="true" outlineLevel="0" collapsed="false">
      <c r="G51" s="22"/>
      <c r="H51" s="22"/>
      <c r="I51" s="23" t="s">
        <v>163</v>
      </c>
      <c r="J51" s="24"/>
      <c r="K51" s="24"/>
      <c r="L51" s="24"/>
      <c r="M51" s="24"/>
      <c r="N51" s="24"/>
      <c r="O51" s="24"/>
      <c r="P51" s="24"/>
      <c r="Q51" s="24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</row>
    <row r="52" customFormat="false" ht="14.25" hidden="false" customHeight="true" outlineLevel="0" collapsed="false">
      <c r="G52" s="22" t="s">
        <v>62</v>
      </c>
      <c r="H52" s="22" t="s">
        <v>164</v>
      </c>
      <c r="I52" s="26" t="s">
        <v>4</v>
      </c>
      <c r="J52" s="24" t="s">
        <v>165</v>
      </c>
      <c r="K52" s="22" t="s">
        <v>28</v>
      </c>
      <c r="L52" s="22" t="s">
        <v>36</v>
      </c>
      <c r="M52" s="24" t="s">
        <v>30</v>
      </c>
      <c r="N52" s="22" t="s">
        <v>64</v>
      </c>
      <c r="O52" s="1" t="s">
        <v>65</v>
      </c>
      <c r="P52" s="1" t="s">
        <v>67</v>
      </c>
      <c r="Q52" s="1" t="s">
        <v>68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</row>
    <row r="53" customFormat="false" ht="15.75" hidden="false" customHeight="true" outlineLevel="0" collapsed="false">
      <c r="F53" s="27"/>
      <c r="G53" s="22" t="s">
        <v>166</v>
      </c>
      <c r="H53" s="22" t="s">
        <v>111</v>
      </c>
      <c r="I53" s="28" t="n">
        <v>2019</v>
      </c>
      <c r="J53" s="22" t="n">
        <v>-1</v>
      </c>
      <c r="K53" s="22"/>
      <c r="L53" s="3" t="s">
        <v>167</v>
      </c>
      <c r="M53" s="29" t="s">
        <v>168</v>
      </c>
      <c r="N53" s="3" t="s">
        <v>167</v>
      </c>
      <c r="O53" s="22" t="n">
        <v>10</v>
      </c>
      <c r="P53" s="1" t="n">
        <v>0</v>
      </c>
      <c r="Q53" s="1" t="n">
        <v>3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</row>
    <row r="54" customFormat="false" ht="14.25" hidden="false" customHeight="true" outlineLevel="0" collapsed="false">
      <c r="G54" s="22"/>
      <c r="H54" s="22"/>
      <c r="I54" s="22"/>
      <c r="J54" s="22"/>
      <c r="K54" s="22"/>
    </row>
    <row r="55" customFormat="false" ht="14.25" hidden="false" customHeight="true" outlineLevel="0" collapsed="false">
      <c r="G55" s="22"/>
      <c r="H55" s="22"/>
      <c r="I55" s="22"/>
      <c r="J55" s="22"/>
      <c r="K55" s="22"/>
      <c r="L55" s="22"/>
      <c r="M55" s="22"/>
      <c r="N55" s="22"/>
      <c r="O55" s="22"/>
    </row>
    <row r="56" customFormat="false" ht="14.25" hidden="false" customHeight="true" outlineLevel="0" collapsed="false">
      <c r="G56" s="22"/>
      <c r="H56" s="22"/>
      <c r="I56" s="22"/>
      <c r="J56" s="22"/>
      <c r="K56" s="22"/>
      <c r="L56" s="22"/>
      <c r="M56" s="22"/>
      <c r="N56" s="22"/>
      <c r="O56" s="22"/>
    </row>
    <row r="61" customFormat="false" ht="14.25" hidden="false" customHeight="true" outlineLevel="0" collapsed="false">
      <c r="G61" s="22"/>
      <c r="H61" s="22"/>
      <c r="I61" s="23" t="s">
        <v>163</v>
      </c>
      <c r="J61" s="24"/>
      <c r="K61" s="24"/>
      <c r="L61" s="24"/>
      <c r="M61" s="24"/>
      <c r="N61" s="24"/>
      <c r="O61" s="24"/>
      <c r="P61" s="25"/>
      <c r="Q61" s="25"/>
    </row>
    <row r="62" customFormat="false" ht="14.25" hidden="false" customHeight="true" outlineLevel="0" collapsed="false">
      <c r="G62" s="22" t="s">
        <v>62</v>
      </c>
      <c r="H62" s="22" t="s">
        <v>164</v>
      </c>
      <c r="I62" s="26" t="s">
        <v>4</v>
      </c>
      <c r="J62" s="24" t="s">
        <v>165</v>
      </c>
      <c r="K62" s="22" t="s">
        <v>28</v>
      </c>
      <c r="L62" s="22" t="s">
        <v>36</v>
      </c>
      <c r="M62" s="24" t="s">
        <v>30</v>
      </c>
      <c r="N62" s="22" t="s">
        <v>64</v>
      </c>
      <c r="O62" s="1" t="s">
        <v>65</v>
      </c>
      <c r="P62" s="1" t="s">
        <v>67</v>
      </c>
      <c r="Q62" s="1" t="s">
        <v>68</v>
      </c>
    </row>
    <row r="63" customFormat="false" ht="15.75" hidden="false" customHeight="true" outlineLevel="0" collapsed="false">
      <c r="G63" s="22" t="s">
        <v>169</v>
      </c>
      <c r="H63" s="22" t="s">
        <v>111</v>
      </c>
      <c r="I63" s="28" t="n">
        <v>2019</v>
      </c>
      <c r="J63" s="22" t="n">
        <v>-1</v>
      </c>
      <c r="K63" s="22"/>
      <c r="L63" s="3" t="s">
        <v>167</v>
      </c>
      <c r="M63" s="29" t="s">
        <v>170</v>
      </c>
      <c r="N63" s="3" t="s">
        <v>167</v>
      </c>
      <c r="O63" s="22" t="n">
        <v>10</v>
      </c>
      <c r="P63" s="1" t="n">
        <v>0</v>
      </c>
      <c r="Q63" s="1" t="n">
        <v>3</v>
      </c>
    </row>
    <row r="64" customFormat="false" ht="14.25" hidden="false" customHeight="true" outlineLevel="0" collapsed="false">
      <c r="G64" s="22"/>
      <c r="H64" s="22"/>
      <c r="I64" s="22"/>
      <c r="J64" s="22"/>
      <c r="K64" s="22"/>
    </row>
    <row r="66" customFormat="false" ht="15" hidden="false" customHeight="true" outlineLevel="0" collapsed="false"/>
    <row r="67" customFormat="false" ht="15.75" hidden="false" customHeight="true" outlineLevel="0" collapsed="false">
      <c r="I67" s="14"/>
    </row>
    <row r="68" customFormat="false" ht="15" hidden="false" customHeight="true" outlineLevel="0" collapsed="false"/>
    <row r="70" customFormat="false" ht="14.25" hidden="false" customHeight="true" outlineLevel="0" collapsed="false">
      <c r="G70" s="4"/>
      <c r="H70" s="4"/>
      <c r="I70" s="30" t="s">
        <v>163</v>
      </c>
      <c r="J70" s="31"/>
      <c r="K70" s="31"/>
      <c r="L70" s="31"/>
      <c r="M70" s="31"/>
      <c r="N70" s="31"/>
      <c r="O70" s="31"/>
      <c r="P70" s="31"/>
      <c r="Q70" s="31"/>
    </row>
    <row r="71" customFormat="false" ht="14.25" hidden="false" customHeight="true" outlineLevel="0" collapsed="false">
      <c r="G71" s="4" t="s">
        <v>62</v>
      </c>
      <c r="H71" s="4" t="s">
        <v>164</v>
      </c>
      <c r="I71" s="32" t="s">
        <v>4</v>
      </c>
      <c r="J71" s="31" t="s">
        <v>165</v>
      </c>
      <c r="K71" s="4" t="s">
        <v>28</v>
      </c>
      <c r="L71" s="4" t="s">
        <v>36</v>
      </c>
      <c r="M71" s="31" t="s">
        <v>30</v>
      </c>
      <c r="N71" s="4" t="s">
        <v>64</v>
      </c>
      <c r="O71" s="4" t="s">
        <v>65</v>
      </c>
      <c r="P71" s="4" t="s">
        <v>67</v>
      </c>
      <c r="Q71" s="4" t="s">
        <v>68</v>
      </c>
    </row>
    <row r="72" customFormat="false" ht="15.75" hidden="false" customHeight="true" outlineLevel="0" collapsed="false">
      <c r="G72" s="4" t="s">
        <v>171</v>
      </c>
      <c r="H72" s="4" t="s">
        <v>111</v>
      </c>
      <c r="I72" s="33" t="n">
        <v>2019</v>
      </c>
      <c r="J72" s="4" t="n">
        <v>-1</v>
      </c>
      <c r="K72" s="4"/>
      <c r="L72" s="34" t="s">
        <v>75</v>
      </c>
      <c r="M72" s="34" t="s">
        <v>42</v>
      </c>
      <c r="N72" s="34" t="s">
        <v>75</v>
      </c>
      <c r="O72" s="4" t="n">
        <v>10</v>
      </c>
      <c r="P72" s="4" t="n">
        <v>0</v>
      </c>
      <c r="Q72" s="4" t="n">
        <v>3</v>
      </c>
    </row>
    <row r="73" customFormat="false" ht="14.25" hidden="false" customHeight="true" outlineLevel="0" collapsed="false"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80" customFormat="false" ht="14.25" hidden="false" customHeight="true" outlineLevel="0" collapsed="false">
      <c r="G80" s="22"/>
      <c r="H80" s="22"/>
      <c r="I80" s="23" t="s">
        <v>163</v>
      </c>
      <c r="J80" s="24"/>
      <c r="K80" s="24"/>
      <c r="L80" s="24"/>
      <c r="M80" s="24"/>
      <c r="N80" s="24"/>
      <c r="O80" s="24"/>
      <c r="P80" s="25"/>
      <c r="Q80" s="25"/>
    </row>
    <row r="81" customFormat="false" ht="14.25" hidden="false" customHeight="true" outlineLevel="0" collapsed="false">
      <c r="G81" s="22" t="s">
        <v>62</v>
      </c>
      <c r="H81" s="22" t="s">
        <v>164</v>
      </c>
      <c r="I81" s="26" t="s">
        <v>4</v>
      </c>
      <c r="J81" s="24" t="s">
        <v>165</v>
      </c>
      <c r="K81" s="22" t="s">
        <v>28</v>
      </c>
      <c r="L81" s="22" t="s">
        <v>36</v>
      </c>
      <c r="M81" s="24" t="s">
        <v>30</v>
      </c>
      <c r="N81" s="22" t="s">
        <v>64</v>
      </c>
      <c r="O81" s="1" t="s">
        <v>65</v>
      </c>
      <c r="P81" s="1" t="s">
        <v>67</v>
      </c>
      <c r="Q81" s="1" t="s">
        <v>68</v>
      </c>
    </row>
    <row r="82" customFormat="false" ht="15.75" hidden="false" customHeight="true" outlineLevel="0" collapsed="false">
      <c r="G82" s="22" t="s">
        <v>172</v>
      </c>
      <c r="H82" s="22" t="s">
        <v>111</v>
      </c>
      <c r="I82" s="28" t="n">
        <v>2019</v>
      </c>
      <c r="J82" s="22" t="n">
        <v>-1</v>
      </c>
      <c r="K82" s="22"/>
      <c r="L82" s="3" t="s">
        <v>167</v>
      </c>
      <c r="M82" s="29" t="s">
        <v>22</v>
      </c>
      <c r="N82" s="3" t="s">
        <v>167</v>
      </c>
      <c r="O82" s="22" t="n">
        <v>10</v>
      </c>
      <c r="P82" s="1" t="n">
        <v>0</v>
      </c>
      <c r="Q82" s="1" t="n">
        <v>3</v>
      </c>
    </row>
    <row r="83" customFormat="false" ht="14.25" hidden="false" customHeight="true" outlineLevel="0" collapsed="false">
      <c r="G83" s="22"/>
      <c r="H83" s="22"/>
      <c r="I83" s="22"/>
      <c r="J83" s="22"/>
      <c r="K83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R120"/>
  <sheetViews>
    <sheetView showFormulas="false" showGridLines="true" showRowColHeaders="true" showZeros="true" rightToLeft="false" tabSelected="true" showOutlineSymbols="true" defaultGridColor="true" view="normal" topLeftCell="J48" colorId="64" zoomScale="41" zoomScaleNormal="41" zoomScalePageLayoutView="100" workbookViewId="0">
      <selection pane="topLeft" activeCell="AN99" activeCellId="0" sqref="AN99"/>
    </sheetView>
  </sheetViews>
  <sheetFormatPr defaultColWidth="8.73046875" defaultRowHeight="14.25" zeroHeight="false" outlineLevelRow="0" outlineLevelCol="0"/>
  <cols>
    <col collapsed="false" customWidth="true" hidden="false" outlineLevel="0" max="2" min="2" style="1" width="25.09"/>
    <col collapsed="false" customWidth="true" hidden="false" outlineLevel="0" max="4" min="4" style="1" width="51.91"/>
    <col collapsed="false" customWidth="true" hidden="false" outlineLevel="0" max="5" min="5" style="1" width="43.73"/>
    <col collapsed="false" customWidth="true" hidden="false" outlineLevel="0" max="6" min="6" style="1" width="33.45"/>
    <col collapsed="false" customWidth="true" hidden="false" outlineLevel="0" max="7" min="7" style="1" width="11.18"/>
    <col collapsed="false" customWidth="true" hidden="false" outlineLevel="0" max="8" min="8" style="1" width="10.18"/>
    <col collapsed="false" customWidth="true" hidden="false" outlineLevel="0" max="9" min="9" style="1" width="26.82"/>
    <col collapsed="false" customWidth="true" hidden="false" outlineLevel="0" max="10" min="10" style="1" width="12.82"/>
    <col collapsed="false" customWidth="true" hidden="false" outlineLevel="0" max="11" min="11" style="1" width="11.36"/>
    <col collapsed="false" customWidth="true" hidden="false" outlineLevel="0" max="12" min="12" style="1" width="13.64"/>
    <col collapsed="false" customWidth="true" hidden="false" outlineLevel="0" max="13" min="13" style="1" width="56.82"/>
    <col collapsed="false" customWidth="true" hidden="false" outlineLevel="0" max="23" min="14" style="1" width="12.82"/>
  </cols>
  <sheetData>
    <row r="2" customFormat="false" ht="14.25" hidden="false" customHeight="true" outlineLevel="0" collapsed="false">
      <c r="B2" s="1" t="s">
        <v>173</v>
      </c>
    </row>
    <row r="3" customFormat="false" ht="14.25" hidden="false" customHeight="true" outlineLevel="0" collapsed="false">
      <c r="H3" s="15"/>
    </row>
    <row r="6" customFormat="false" ht="15.75" hidden="false" customHeight="true" outlineLevel="0" collapsed="false"/>
    <row r="7" customFormat="false" ht="15.75" hidden="false" customHeight="true" outlineLevel="0" collapsed="false">
      <c r="D7" s="14"/>
    </row>
    <row r="8" customFormat="false" ht="15" hidden="false" customHeight="true" outlineLevel="0" collapsed="false"/>
    <row r="11" customFormat="false" ht="14.25" hidden="false" customHeight="true" outlineLevel="0" collapsed="false">
      <c r="D11" s="7"/>
    </row>
    <row r="15" customFormat="false" ht="14.25" hidden="false" customHeight="true" outlineLevel="0" collapsed="false">
      <c r="M15" s="13"/>
    </row>
    <row r="16" customFormat="false" ht="14.25" hidden="false" customHeight="true" outlineLevel="0" collapsed="false">
      <c r="D16" s="1" t="s">
        <v>60</v>
      </c>
    </row>
    <row r="18" customFormat="false" ht="14.25" hidden="false" customHeight="true" outlineLevel="0" collapsed="false">
      <c r="D18" s="1" t="s">
        <v>153</v>
      </c>
    </row>
    <row r="19" customFormat="false" ht="14.25" hidden="false" customHeight="true" outlineLevel="0" collapsed="false">
      <c r="D19" s="1" t="s">
        <v>62</v>
      </c>
      <c r="E19" s="1" t="s">
        <v>28</v>
      </c>
      <c r="F19" s="1" t="s">
        <v>51</v>
      </c>
      <c r="G19" s="1" t="s">
        <v>63</v>
      </c>
      <c r="H19" s="1" t="s">
        <v>36</v>
      </c>
      <c r="I19" s="1" t="s">
        <v>64</v>
      </c>
      <c r="J19" s="1" t="s">
        <v>1</v>
      </c>
      <c r="K19" s="1" t="s">
        <v>174</v>
      </c>
      <c r="L19" s="1" t="s">
        <v>66</v>
      </c>
      <c r="M19" s="1" t="s">
        <v>67</v>
      </c>
      <c r="N19" s="1" t="s">
        <v>68</v>
      </c>
      <c r="O19" s="1" t="s">
        <v>69</v>
      </c>
      <c r="P19" s="1" t="s">
        <v>65</v>
      </c>
    </row>
    <row r="20" customFormat="false" ht="14.25" hidden="false" customHeight="true" outlineLevel="0" collapsed="false">
      <c r="D20" s="1" t="s">
        <v>175</v>
      </c>
      <c r="I20" s="1" t="s">
        <v>176</v>
      </c>
      <c r="K20" s="1" t="n">
        <v>1</v>
      </c>
      <c r="M20" s="1" t="n">
        <v>0</v>
      </c>
      <c r="N20" s="1" t="n">
        <v>3</v>
      </c>
      <c r="O20" s="1" t="s">
        <v>177</v>
      </c>
    </row>
    <row r="21" customFormat="false" ht="14.25" hidden="false" customHeight="true" outlineLevel="0" collapsed="false">
      <c r="I21" s="1" t="s">
        <v>176</v>
      </c>
      <c r="L21" s="1" t="n">
        <v>-0.92</v>
      </c>
    </row>
    <row r="22" customFormat="false" ht="14.25" hidden="false" customHeight="true" outlineLevel="0" collapsed="false">
      <c r="E22" s="1" t="s">
        <v>178</v>
      </c>
      <c r="F22" s="1" t="s">
        <v>179</v>
      </c>
      <c r="G22" s="1" t="s">
        <v>17</v>
      </c>
      <c r="I22" s="1" t="s">
        <v>17</v>
      </c>
      <c r="P22" s="1" t="n">
        <v>-1</v>
      </c>
    </row>
    <row r="23" customFormat="false" ht="14.25" hidden="false" customHeight="true" outlineLevel="0" collapsed="false">
      <c r="E23" s="1" t="s">
        <v>178</v>
      </c>
      <c r="F23" s="1" t="s">
        <v>179</v>
      </c>
      <c r="H23" s="1" t="s">
        <v>17</v>
      </c>
      <c r="I23" s="1" t="s">
        <v>17</v>
      </c>
      <c r="P23" s="1" t="n">
        <v>1</v>
      </c>
    </row>
    <row r="28" customFormat="false" ht="14.25" hidden="false" customHeight="true" outlineLevel="0" collapsed="false">
      <c r="D28" s="35" t="s">
        <v>26</v>
      </c>
      <c r="E28" s="36"/>
      <c r="F28" s="36"/>
      <c r="G28" s="36"/>
      <c r="H28" s="36"/>
      <c r="I28" s="36"/>
      <c r="J28" s="36"/>
      <c r="K28" s="37"/>
      <c r="L28" s="38"/>
      <c r="M28" s="38"/>
      <c r="N28" s="38"/>
      <c r="O28" s="38"/>
      <c r="P28" s="38"/>
      <c r="Q28" s="38"/>
    </row>
    <row r="29" customFormat="false" ht="15" hidden="false" customHeight="true" outlineLevel="0" collapsed="false">
      <c r="D29" s="39" t="s">
        <v>1</v>
      </c>
      <c r="E29" s="39" t="s">
        <v>2</v>
      </c>
      <c r="F29" s="39" t="s">
        <v>3</v>
      </c>
      <c r="G29" s="39" t="s">
        <v>4</v>
      </c>
      <c r="H29" s="39" t="s">
        <v>180</v>
      </c>
      <c r="I29" s="39" t="s">
        <v>181</v>
      </c>
      <c r="J29" s="40" t="s">
        <v>5</v>
      </c>
      <c r="K29" s="41" t="s">
        <v>79</v>
      </c>
      <c r="L29" s="41" t="s">
        <v>6</v>
      </c>
      <c r="M29" s="41" t="s">
        <v>182</v>
      </c>
      <c r="N29" s="41" t="s">
        <v>63</v>
      </c>
      <c r="O29" s="41" t="s">
        <v>183</v>
      </c>
      <c r="P29" s="41" t="s">
        <v>139</v>
      </c>
      <c r="Q29" s="41" t="s">
        <v>64</v>
      </c>
    </row>
    <row r="30" customFormat="false" ht="15.75" hidden="false" customHeight="true" outlineLevel="0" collapsed="false">
      <c r="D30" s="36"/>
      <c r="E30" s="36"/>
      <c r="F30" s="1" t="s">
        <v>48</v>
      </c>
      <c r="J30" s="1" t="n">
        <v>2150</v>
      </c>
      <c r="L30" s="3" t="s">
        <v>184</v>
      </c>
      <c r="N30" s="36"/>
      <c r="O30" s="36"/>
      <c r="P30" s="36"/>
    </row>
    <row r="31" customFormat="false" ht="15.75" hidden="false" customHeight="true" outlineLevel="0" collapsed="false">
      <c r="F31" s="1" t="str">
        <f aca="false">F30</f>
        <v>START</v>
      </c>
      <c r="J31" s="1" t="n">
        <f aca="false">J30</f>
        <v>2150</v>
      </c>
      <c r="L31" s="3" t="s">
        <v>185</v>
      </c>
    </row>
    <row r="32" customFormat="false" ht="15.75" hidden="false" customHeight="true" outlineLevel="0" collapsed="false">
      <c r="F32" s="1" t="str">
        <f aca="false">F31</f>
        <v>START</v>
      </c>
      <c r="J32" s="1" t="n">
        <f aca="false">J31</f>
        <v>2150</v>
      </c>
      <c r="L32" s="3" t="s">
        <v>186</v>
      </c>
    </row>
    <row r="33" customFormat="false" ht="15.75" hidden="false" customHeight="true" outlineLevel="0" collapsed="false">
      <c r="F33" s="1" t="str">
        <f aca="false">F32</f>
        <v>START</v>
      </c>
      <c r="J33" s="1" t="n">
        <f aca="false">J32</f>
        <v>2150</v>
      </c>
      <c r="L33" s="3" t="s">
        <v>187</v>
      </c>
    </row>
    <row r="49" customFormat="false" ht="14.25" hidden="false" customHeight="true" outlineLevel="0" collapsed="false">
      <c r="D49" s="1" t="s">
        <v>60</v>
      </c>
    </row>
    <row r="50" customFormat="false" ht="14.25" hidden="false" customHeight="true" outlineLevel="0" collapsed="false">
      <c r="D50" s="1" t="s">
        <v>153</v>
      </c>
    </row>
    <row r="51" customFormat="false" ht="14.25" hidden="false" customHeight="true" outlineLevel="0" collapsed="false">
      <c r="D51" s="1" t="s">
        <v>62</v>
      </c>
      <c r="E51" s="1" t="s">
        <v>28</v>
      </c>
      <c r="F51" s="1" t="s">
        <v>51</v>
      </c>
      <c r="G51" s="1" t="s">
        <v>63</v>
      </c>
      <c r="H51" s="1" t="s">
        <v>36</v>
      </c>
      <c r="I51" s="1" t="s">
        <v>64</v>
      </c>
      <c r="J51" s="1" t="s">
        <v>1</v>
      </c>
      <c r="K51" s="1" t="s">
        <v>4</v>
      </c>
      <c r="L51" s="1" t="s">
        <v>81</v>
      </c>
      <c r="M51" s="1" t="s">
        <v>65</v>
      </c>
      <c r="N51" s="1" t="s">
        <v>188</v>
      </c>
      <c r="O51" s="1" t="s">
        <v>189</v>
      </c>
      <c r="P51" s="1" t="s">
        <v>69</v>
      </c>
    </row>
    <row r="52" customFormat="false" ht="14.25" hidden="false" customHeight="true" outlineLevel="0" collapsed="false">
      <c r="D52" s="1" t="s">
        <v>190</v>
      </c>
      <c r="E52" s="1" t="s">
        <v>191</v>
      </c>
      <c r="F52" s="1" t="s">
        <v>192</v>
      </c>
      <c r="G52" s="1" t="s">
        <v>193</v>
      </c>
      <c r="J52" s="1" t="s">
        <v>194</v>
      </c>
      <c r="K52" s="1" t="n">
        <v>2050</v>
      </c>
      <c r="L52" s="1" t="n">
        <v>0.2121</v>
      </c>
      <c r="N52" s="1" t="n">
        <v>0</v>
      </c>
      <c r="O52" s="1" t="n">
        <v>5</v>
      </c>
      <c r="P52" s="1" t="s">
        <v>195</v>
      </c>
    </row>
    <row r="53" customFormat="false" ht="14.25" hidden="false" customHeight="true" outlineLevel="0" collapsed="false">
      <c r="E53" s="1" t="s">
        <v>191</v>
      </c>
      <c r="F53" s="1" t="s">
        <v>196</v>
      </c>
      <c r="J53" s="1" t="s">
        <v>194</v>
      </c>
      <c r="K53" s="1" t="n">
        <v>2050</v>
      </c>
      <c r="L53" s="1" t="n">
        <v>0.2121</v>
      </c>
    </row>
    <row r="54" customFormat="false" ht="14.25" hidden="false" customHeight="true" outlineLevel="0" collapsed="false">
      <c r="E54" s="1" t="s">
        <v>191</v>
      </c>
      <c r="F54" s="1" t="s">
        <v>197</v>
      </c>
      <c r="G54" s="1" t="s">
        <v>193</v>
      </c>
      <c r="J54" s="1" t="s">
        <v>194</v>
      </c>
      <c r="K54" s="1" t="n">
        <v>2050</v>
      </c>
      <c r="L54" s="1" t="n">
        <v>0.2121</v>
      </c>
    </row>
    <row r="55" customFormat="false" ht="14.25" hidden="false" customHeight="true" outlineLevel="0" collapsed="false">
      <c r="E55" s="1" t="s">
        <v>191</v>
      </c>
      <c r="F55" s="1" t="s">
        <v>198</v>
      </c>
      <c r="J55" s="1" t="s">
        <v>194</v>
      </c>
      <c r="K55" s="1" t="n">
        <v>2050</v>
      </c>
      <c r="L55" s="1" t="n">
        <v>0.2121</v>
      </c>
    </row>
    <row r="56" customFormat="false" ht="14.25" hidden="false" customHeight="true" outlineLevel="0" collapsed="false">
      <c r="E56" s="1" t="s">
        <v>191</v>
      </c>
      <c r="F56" s="1" t="s">
        <v>199</v>
      </c>
      <c r="J56" s="1" t="s">
        <v>194</v>
      </c>
      <c r="K56" s="1" t="n">
        <v>2050</v>
      </c>
      <c r="L56" s="1" t="n">
        <v>0.0893</v>
      </c>
    </row>
    <row r="57" customFormat="false" ht="14.25" hidden="false" customHeight="true" outlineLevel="0" collapsed="false">
      <c r="E57" s="1" t="s">
        <v>178</v>
      </c>
      <c r="F57" s="1" t="s">
        <v>42</v>
      </c>
      <c r="J57" s="1" t="s">
        <v>194</v>
      </c>
      <c r="K57" s="1" t="n">
        <v>2050</v>
      </c>
      <c r="L57" s="1" t="n">
        <v>0.1897</v>
      </c>
    </row>
    <row r="58" customFormat="false" ht="14.25" hidden="false" customHeight="true" outlineLevel="0" collapsed="false">
      <c r="E58" s="1" t="s">
        <v>178</v>
      </c>
      <c r="F58" s="1" t="s">
        <v>179</v>
      </c>
      <c r="J58" s="1" t="s">
        <v>194</v>
      </c>
      <c r="K58" s="1" t="n">
        <v>2050</v>
      </c>
      <c r="L58" s="1" t="n">
        <v>0.0474</v>
      </c>
    </row>
    <row r="59" customFormat="false" ht="14.25" hidden="false" customHeight="true" outlineLevel="0" collapsed="false">
      <c r="F59" s="1" t="s">
        <v>200</v>
      </c>
      <c r="J59" s="1" t="s">
        <v>194</v>
      </c>
      <c r="K59" s="1" t="n">
        <v>2050</v>
      </c>
      <c r="L59" s="1" t="n">
        <v>0.0223</v>
      </c>
    </row>
    <row r="60" customFormat="false" ht="14.25" hidden="false" customHeight="true" outlineLevel="0" collapsed="false">
      <c r="F60" s="1" t="s">
        <v>201</v>
      </c>
      <c r="J60" s="1" t="s">
        <v>194</v>
      </c>
      <c r="K60" s="1" t="n">
        <v>2050</v>
      </c>
      <c r="L60" s="1" t="n">
        <v>0</v>
      </c>
    </row>
    <row r="61" customFormat="false" ht="14.25" hidden="false" customHeight="true" outlineLevel="0" collapsed="false">
      <c r="F61" s="1" t="s">
        <v>202</v>
      </c>
      <c r="G61" s="1" t="s">
        <v>17</v>
      </c>
      <c r="I61" s="1" t="s">
        <v>17</v>
      </c>
      <c r="J61" s="1" t="s">
        <v>194</v>
      </c>
      <c r="K61" s="1" t="n">
        <v>2050</v>
      </c>
      <c r="M61" s="1" t="n">
        <v>-1.15</v>
      </c>
    </row>
    <row r="62" customFormat="false" ht="14.25" hidden="false" customHeight="true" outlineLevel="0" collapsed="false">
      <c r="D62" s="1" t="s">
        <v>203</v>
      </c>
      <c r="E62" s="1" t="s">
        <v>191</v>
      </c>
      <c r="F62" s="1" t="s">
        <v>192</v>
      </c>
      <c r="G62" s="1" t="s">
        <v>193</v>
      </c>
      <c r="J62" s="1" t="s">
        <v>204</v>
      </c>
      <c r="K62" s="1" t="n">
        <v>2050</v>
      </c>
      <c r="L62" s="1" t="n">
        <v>0.2086</v>
      </c>
      <c r="N62" s="1" t="n">
        <v>0</v>
      </c>
      <c r="O62" s="1" t="n">
        <v>5</v>
      </c>
      <c r="P62" s="1" t="s">
        <v>205</v>
      </c>
    </row>
    <row r="63" customFormat="false" ht="14.25" hidden="false" customHeight="true" outlineLevel="0" collapsed="false">
      <c r="E63" s="1" t="s">
        <v>191</v>
      </c>
      <c r="F63" s="1" t="s">
        <v>196</v>
      </c>
      <c r="J63" s="1" t="s">
        <v>204</v>
      </c>
      <c r="K63" s="1" t="n">
        <v>2050</v>
      </c>
      <c r="L63" s="1" t="n">
        <v>0.2086</v>
      </c>
    </row>
    <row r="64" customFormat="false" ht="14.25" hidden="false" customHeight="true" outlineLevel="0" collapsed="false">
      <c r="E64" s="1" t="s">
        <v>191</v>
      </c>
      <c r="F64" s="1" t="s">
        <v>197</v>
      </c>
      <c r="G64" s="1" t="s">
        <v>193</v>
      </c>
      <c r="J64" s="1" t="s">
        <v>204</v>
      </c>
      <c r="K64" s="1" t="n">
        <v>2050</v>
      </c>
      <c r="L64" s="1" t="n">
        <v>0.2086</v>
      </c>
    </row>
    <row r="65" customFormat="false" ht="14.25" hidden="false" customHeight="true" outlineLevel="0" collapsed="false">
      <c r="E65" s="1" t="s">
        <v>191</v>
      </c>
      <c r="F65" s="1" t="s">
        <v>198</v>
      </c>
      <c r="J65" s="1" t="s">
        <v>204</v>
      </c>
      <c r="K65" s="1" t="n">
        <v>2050</v>
      </c>
      <c r="L65" s="1" t="n">
        <v>0.2086</v>
      </c>
    </row>
    <row r="66" customFormat="false" ht="14.25" hidden="false" customHeight="true" outlineLevel="0" collapsed="false">
      <c r="E66" s="1" t="s">
        <v>191</v>
      </c>
      <c r="F66" s="1" t="s">
        <v>199</v>
      </c>
      <c r="J66" s="1" t="s">
        <v>204</v>
      </c>
      <c r="K66" s="1" t="n">
        <v>2050</v>
      </c>
      <c r="L66" s="1" t="n">
        <v>0.0878</v>
      </c>
    </row>
    <row r="67" customFormat="false" ht="14.25" hidden="false" customHeight="true" outlineLevel="0" collapsed="false">
      <c r="E67" s="1" t="s">
        <v>178</v>
      </c>
      <c r="F67" s="1" t="s">
        <v>42</v>
      </c>
      <c r="J67" s="1" t="s">
        <v>204</v>
      </c>
      <c r="K67" s="1" t="n">
        <v>2050</v>
      </c>
      <c r="L67" s="1" t="n">
        <v>0.1867</v>
      </c>
    </row>
    <row r="68" customFormat="false" ht="14.25" hidden="false" customHeight="true" outlineLevel="0" collapsed="false">
      <c r="E68" s="1" t="s">
        <v>178</v>
      </c>
      <c r="F68" s="1" t="s">
        <v>179</v>
      </c>
      <c r="J68" s="1" t="s">
        <v>204</v>
      </c>
      <c r="K68" s="1" t="n">
        <v>2050</v>
      </c>
      <c r="L68" s="1" t="n">
        <v>0.0467</v>
      </c>
    </row>
    <row r="69" customFormat="false" ht="14.25" hidden="false" customHeight="true" outlineLevel="0" collapsed="false">
      <c r="F69" s="1" t="s">
        <v>200</v>
      </c>
      <c r="J69" s="1" t="s">
        <v>204</v>
      </c>
      <c r="K69" s="1" t="n">
        <v>2050</v>
      </c>
      <c r="L69" s="1" t="n">
        <v>0.022</v>
      </c>
    </row>
    <row r="70" customFormat="false" ht="14.25" hidden="false" customHeight="true" outlineLevel="0" collapsed="false">
      <c r="F70" s="1" t="s">
        <v>201</v>
      </c>
      <c r="J70" s="1" t="s">
        <v>204</v>
      </c>
      <c r="K70" s="1" t="n">
        <v>2050</v>
      </c>
      <c r="L70" s="1" t="n">
        <v>0.022</v>
      </c>
    </row>
    <row r="71" customFormat="false" ht="14.25" hidden="false" customHeight="true" outlineLevel="0" collapsed="false">
      <c r="F71" s="1" t="s">
        <v>202</v>
      </c>
      <c r="G71" s="1" t="s">
        <v>17</v>
      </c>
      <c r="I71" s="1" t="s">
        <v>17</v>
      </c>
      <c r="J71" s="1" t="s">
        <v>204</v>
      </c>
      <c r="K71" s="1" t="n">
        <v>2050</v>
      </c>
      <c r="M71" s="1" t="n">
        <v>-1.15</v>
      </c>
    </row>
    <row r="89" customFormat="false" ht="14.25" hidden="false" customHeight="true" outlineLevel="0" collapsed="false">
      <c r="D89" s="1" t="s">
        <v>60</v>
      </c>
    </row>
    <row r="90" customFormat="false" ht="14.25" hidden="false" customHeight="true" outlineLevel="0" collapsed="false">
      <c r="D90" s="1" t="s">
        <v>206</v>
      </c>
    </row>
    <row r="91" customFormat="false" ht="14.25" hidden="false" customHeight="true" outlineLevel="0" collapsed="false">
      <c r="D91" s="1" t="s">
        <v>62</v>
      </c>
      <c r="E91" s="1" t="s">
        <v>64</v>
      </c>
      <c r="F91" s="1" t="s">
        <v>4</v>
      </c>
      <c r="G91" s="1" t="s">
        <v>2</v>
      </c>
      <c r="H91" s="1" t="s">
        <v>174</v>
      </c>
      <c r="I91" s="1" t="s">
        <v>207</v>
      </c>
      <c r="J91" s="1" t="s">
        <v>208</v>
      </c>
      <c r="K91" s="1" t="s">
        <v>209</v>
      </c>
      <c r="L91" s="1" t="s">
        <v>210</v>
      </c>
      <c r="M91" s="1" t="s">
        <v>211</v>
      </c>
      <c r="N91" s="1" t="s">
        <v>212</v>
      </c>
      <c r="O91" s="1" t="s">
        <v>213</v>
      </c>
      <c r="P91" s="1" t="s">
        <v>214</v>
      </c>
      <c r="Q91" s="1" t="s">
        <v>215</v>
      </c>
      <c r="R91" s="1" t="s">
        <v>216</v>
      </c>
      <c r="S91" s="1" t="s">
        <v>217</v>
      </c>
      <c r="T91" s="1" t="s">
        <v>218</v>
      </c>
      <c r="U91" s="1" t="s">
        <v>219</v>
      </c>
      <c r="V91" s="1" t="s">
        <v>220</v>
      </c>
      <c r="W91" s="1" t="s">
        <v>221</v>
      </c>
      <c r="X91" s="1" t="s">
        <v>222</v>
      </c>
      <c r="Y91" s="1" t="s">
        <v>223</v>
      </c>
      <c r="Z91" s="1" t="s">
        <v>224</v>
      </c>
      <c r="AA91" s="1" t="s">
        <v>225</v>
      </c>
      <c r="AB91" s="1" t="s">
        <v>226</v>
      </c>
      <c r="AC91" s="1" t="s">
        <v>227</v>
      </c>
      <c r="AD91" s="1" t="s">
        <v>228</v>
      </c>
      <c r="AE91" s="1" t="s">
        <v>229</v>
      </c>
      <c r="AF91" s="1" t="s">
        <v>230</v>
      </c>
      <c r="AG91" s="1" t="s">
        <v>231</v>
      </c>
      <c r="AH91" s="1" t="s">
        <v>232</v>
      </c>
      <c r="AI91" s="1" t="s">
        <v>233</v>
      </c>
      <c r="AJ91" s="1" t="s">
        <v>234</v>
      </c>
      <c r="AK91" s="1" t="s">
        <v>235</v>
      </c>
      <c r="AL91" s="1" t="s">
        <v>236</v>
      </c>
      <c r="AM91" s="1" t="s">
        <v>237</v>
      </c>
      <c r="AN91" s="1" t="s">
        <v>238</v>
      </c>
      <c r="AO91" s="1" t="s">
        <v>239</v>
      </c>
      <c r="AP91" s="1" t="s">
        <v>240</v>
      </c>
      <c r="AQ91" s="1" t="s">
        <v>241</v>
      </c>
    </row>
    <row r="92" customFormat="false" ht="14.25" hidden="false" customHeight="true" outlineLevel="0" collapsed="false">
      <c r="D92" s="1" t="s">
        <v>242</v>
      </c>
      <c r="E92" s="1" t="s">
        <v>243</v>
      </c>
      <c r="F92" s="1" t="n">
        <v>2030</v>
      </c>
      <c r="G92" s="1" t="s">
        <v>87</v>
      </c>
      <c r="H92" s="1" t="n">
        <v>1</v>
      </c>
      <c r="I92" s="1" t="n">
        <v>280</v>
      </c>
      <c r="J92" s="1" t="n">
        <v>4200</v>
      </c>
      <c r="K92" s="1" t="n">
        <v>700</v>
      </c>
      <c r="L92" s="1" t="n">
        <v>140</v>
      </c>
      <c r="M92" s="1" t="n">
        <v>100</v>
      </c>
      <c r="N92" s="1" t="n">
        <v>100</v>
      </c>
      <c r="O92" s="1" t="n">
        <v>2800</v>
      </c>
      <c r="P92" s="1" t="n">
        <v>3000</v>
      </c>
      <c r="Q92" s="1" t="n">
        <v>70</v>
      </c>
      <c r="R92" s="1" t="n">
        <v>140</v>
      </c>
      <c r="S92" s="1" t="n">
        <v>520</v>
      </c>
      <c r="T92" s="1" t="n">
        <v>420</v>
      </c>
      <c r="U92" s="1" t="n">
        <v>50</v>
      </c>
      <c r="V92" s="1" t="n">
        <v>320</v>
      </c>
      <c r="W92" s="1" t="n">
        <v>7</v>
      </c>
      <c r="X92" s="1" t="n">
        <v>2100</v>
      </c>
      <c r="Y92" s="1" t="n">
        <v>50</v>
      </c>
      <c r="Z92" s="1" t="n">
        <v>320</v>
      </c>
      <c r="AA92" s="1" t="n">
        <v>210</v>
      </c>
      <c r="AB92" s="1" t="n">
        <v>2100</v>
      </c>
      <c r="AC92" s="1" t="n">
        <v>210</v>
      </c>
      <c r="AD92" s="1" t="n">
        <v>5080</v>
      </c>
      <c r="AE92" s="1" t="n">
        <v>100</v>
      </c>
      <c r="AF92" s="1" t="n">
        <v>280</v>
      </c>
      <c r="AG92" s="1" t="n">
        <v>3500</v>
      </c>
      <c r="AH92" s="1" t="n">
        <v>2100</v>
      </c>
      <c r="AI92" s="1" t="n">
        <v>35</v>
      </c>
      <c r="AJ92" s="1" t="n">
        <v>210</v>
      </c>
      <c r="AK92" s="1" t="n">
        <v>350</v>
      </c>
      <c r="AL92" s="1" t="n">
        <v>520</v>
      </c>
      <c r="AM92" s="1" t="n">
        <v>50</v>
      </c>
      <c r="AN92" s="1" t="n">
        <v>280</v>
      </c>
      <c r="AO92" s="1" t="n">
        <v>210</v>
      </c>
      <c r="AP92" s="1" t="n">
        <v>420</v>
      </c>
      <c r="AQ92" s="1" t="n">
        <v>90</v>
      </c>
    </row>
    <row r="93" customFormat="false" ht="14.25" hidden="false" customHeight="true" outlineLevel="0" collapsed="false">
      <c r="D93" s="1" t="s">
        <v>242</v>
      </c>
      <c r="E93" s="1" t="s">
        <v>243</v>
      </c>
      <c r="F93" s="1" t="n">
        <v>0</v>
      </c>
      <c r="G93" s="1" t="s">
        <v>87</v>
      </c>
      <c r="I93" s="1" t="n">
        <v>5</v>
      </c>
      <c r="J93" s="1" t="n">
        <v>5</v>
      </c>
      <c r="K93" s="1" t="n">
        <v>5</v>
      </c>
      <c r="L93" s="1" t="n">
        <v>5</v>
      </c>
      <c r="M93" s="1" t="n">
        <v>5</v>
      </c>
      <c r="N93" s="1" t="n">
        <v>5</v>
      </c>
      <c r="O93" s="1" t="n">
        <v>5</v>
      </c>
      <c r="P93" s="1" t="n">
        <v>5</v>
      </c>
      <c r="Q93" s="1" t="n">
        <v>5</v>
      </c>
      <c r="R93" s="1" t="n">
        <v>5</v>
      </c>
      <c r="S93" s="1" t="n">
        <v>5</v>
      </c>
      <c r="T93" s="1" t="n">
        <v>5</v>
      </c>
      <c r="U93" s="1" t="n">
        <v>5</v>
      </c>
      <c r="V93" s="1" t="n">
        <v>5</v>
      </c>
      <c r="W93" s="1" t="n">
        <v>5</v>
      </c>
      <c r="X93" s="1" t="n">
        <v>5</v>
      </c>
      <c r="Y93" s="1" t="n">
        <v>5</v>
      </c>
      <c r="Z93" s="1" t="n">
        <v>5</v>
      </c>
      <c r="AA93" s="1" t="n">
        <v>5</v>
      </c>
      <c r="AB93" s="1" t="n">
        <v>5</v>
      </c>
      <c r="AC93" s="1" t="n">
        <v>5</v>
      </c>
      <c r="AD93" s="1" t="n">
        <v>5</v>
      </c>
      <c r="AE93" s="1" t="n">
        <v>5</v>
      </c>
      <c r="AF93" s="1" t="n">
        <v>5</v>
      </c>
      <c r="AG93" s="1" t="n">
        <v>5</v>
      </c>
      <c r="AH93" s="1" t="n">
        <v>5</v>
      </c>
      <c r="AI93" s="1" t="n">
        <v>5</v>
      </c>
      <c r="AJ93" s="1" t="n">
        <v>5</v>
      </c>
      <c r="AK93" s="1" t="n">
        <v>5</v>
      </c>
      <c r="AL93" s="1" t="n">
        <v>5</v>
      </c>
      <c r="AM93" s="1" t="n">
        <v>5</v>
      </c>
      <c r="AN93" s="1" t="n">
        <v>5</v>
      </c>
      <c r="AO93" s="1" t="n">
        <v>5</v>
      </c>
      <c r="AP93" s="1" t="n">
        <v>5</v>
      </c>
      <c r="AQ93" s="1" t="n">
        <v>5</v>
      </c>
    </row>
    <row r="107" customFormat="false" ht="14.25" hidden="false" customHeight="true" outlineLevel="0" collapsed="false">
      <c r="D107" s="1" t="s">
        <v>60</v>
      </c>
    </row>
    <row r="108" customFormat="false" ht="14.25" hidden="false" customHeight="true" outlineLevel="0" collapsed="false">
      <c r="D108" s="1" t="s">
        <v>206</v>
      </c>
    </row>
    <row r="109" customFormat="false" ht="14.25" hidden="false" customHeight="true" outlineLevel="0" collapsed="false">
      <c r="D109" s="1" t="s">
        <v>62</v>
      </c>
      <c r="E109" s="1" t="s">
        <v>51</v>
      </c>
      <c r="F109" s="1" t="s">
        <v>4</v>
      </c>
      <c r="G109" s="1" t="s">
        <v>2</v>
      </c>
      <c r="H109" s="1" t="s">
        <v>81</v>
      </c>
      <c r="I109" s="1" t="s">
        <v>207</v>
      </c>
      <c r="J109" s="1" t="s">
        <v>208</v>
      </c>
      <c r="K109" s="1" t="s">
        <v>209</v>
      </c>
      <c r="L109" s="1" t="s">
        <v>210</v>
      </c>
      <c r="M109" s="1" t="s">
        <v>211</v>
      </c>
      <c r="N109" s="1" t="s">
        <v>212</v>
      </c>
      <c r="O109" s="1" t="s">
        <v>213</v>
      </c>
      <c r="P109" s="1" t="s">
        <v>214</v>
      </c>
      <c r="Q109" s="1" t="s">
        <v>215</v>
      </c>
      <c r="R109" s="1" t="s">
        <v>216</v>
      </c>
      <c r="S109" s="1" t="s">
        <v>217</v>
      </c>
      <c r="T109" s="1" t="s">
        <v>218</v>
      </c>
      <c r="U109" s="1" t="s">
        <v>219</v>
      </c>
      <c r="V109" s="1" t="s">
        <v>220</v>
      </c>
      <c r="W109" s="1" t="s">
        <v>221</v>
      </c>
      <c r="X109" s="1" t="s">
        <v>222</v>
      </c>
      <c r="Y109" s="1" t="s">
        <v>223</v>
      </c>
      <c r="Z109" s="1" t="s">
        <v>224</v>
      </c>
      <c r="AA109" s="1" t="s">
        <v>225</v>
      </c>
      <c r="AB109" s="1" t="s">
        <v>226</v>
      </c>
      <c r="AC109" s="1" t="s">
        <v>227</v>
      </c>
      <c r="AD109" s="1" t="s">
        <v>228</v>
      </c>
      <c r="AE109" s="1" t="s">
        <v>229</v>
      </c>
      <c r="AF109" s="1" t="s">
        <v>230</v>
      </c>
      <c r="AG109" s="1" t="s">
        <v>231</v>
      </c>
      <c r="AH109" s="1" t="s">
        <v>232</v>
      </c>
      <c r="AI109" s="1" t="s">
        <v>233</v>
      </c>
      <c r="AJ109" s="1" t="s">
        <v>234</v>
      </c>
      <c r="AK109" s="1" t="s">
        <v>235</v>
      </c>
      <c r="AL109" s="1" t="s">
        <v>236</v>
      </c>
      <c r="AM109" s="1" t="s">
        <v>237</v>
      </c>
      <c r="AN109" s="1" t="s">
        <v>238</v>
      </c>
      <c r="AO109" s="1" t="s">
        <v>239</v>
      </c>
      <c r="AP109" s="1" t="s">
        <v>240</v>
      </c>
      <c r="AQ109" s="1" t="s">
        <v>241</v>
      </c>
    </row>
    <row r="110" customFormat="false" ht="14.25" hidden="false" customHeight="true" outlineLevel="0" collapsed="false">
      <c r="D110" s="1" t="s">
        <v>244</v>
      </c>
      <c r="E110" s="1" t="s">
        <v>179</v>
      </c>
      <c r="F110" s="1" t="n">
        <v>2025</v>
      </c>
      <c r="G110" s="1" t="s">
        <v>111</v>
      </c>
      <c r="H110" s="1" t="n">
        <v>1</v>
      </c>
      <c r="I110" s="1" t="n">
        <v>0</v>
      </c>
      <c r="J110" s="1" t="n">
        <v>0</v>
      </c>
      <c r="K110" s="1" t="n">
        <v>6</v>
      </c>
      <c r="L110" s="1" t="n">
        <v>0</v>
      </c>
      <c r="M110" s="1" t="n">
        <v>0</v>
      </c>
      <c r="N110" s="1" t="n">
        <v>1</v>
      </c>
      <c r="O110" s="1" t="n">
        <v>0.5</v>
      </c>
      <c r="P110" s="1" t="n">
        <v>200</v>
      </c>
      <c r="Q110" s="1" t="n">
        <v>0</v>
      </c>
      <c r="R110" s="1" t="n">
        <v>0</v>
      </c>
      <c r="S110" s="1" t="n">
        <v>1</v>
      </c>
      <c r="T110" s="1" t="n">
        <v>15</v>
      </c>
      <c r="U110" s="1" t="n">
        <v>0</v>
      </c>
      <c r="V110" s="1" t="n">
        <v>0</v>
      </c>
      <c r="W110" s="1" t="n">
        <v>0</v>
      </c>
      <c r="X110" s="1" t="n">
        <v>1</v>
      </c>
      <c r="Y110" s="1" t="n">
        <v>1</v>
      </c>
      <c r="Z110" s="1" t="n">
        <v>5</v>
      </c>
      <c r="AA110" s="1" t="n">
        <v>4</v>
      </c>
      <c r="AB110" s="1" t="n">
        <v>2</v>
      </c>
      <c r="AC110" s="1" t="n">
        <v>2</v>
      </c>
      <c r="AD110" s="1" t="n">
        <v>80</v>
      </c>
      <c r="AE110" s="1" t="n">
        <v>0</v>
      </c>
      <c r="AF110" s="1" t="n">
        <v>0</v>
      </c>
      <c r="AG110" s="1" t="n">
        <v>10</v>
      </c>
      <c r="AH110" s="1" t="n">
        <v>0</v>
      </c>
      <c r="AI110" s="1" t="n">
        <v>1</v>
      </c>
      <c r="AJ110" s="1" t="n">
        <v>0.5</v>
      </c>
      <c r="AK110" s="1" t="n">
        <v>1</v>
      </c>
      <c r="AL110" s="1" t="n">
        <v>1</v>
      </c>
      <c r="AM110" s="1" t="n">
        <v>0</v>
      </c>
      <c r="AN110" s="1" t="n">
        <v>0</v>
      </c>
      <c r="AO110" s="1" t="n">
        <v>6</v>
      </c>
      <c r="AP110" s="1" t="n">
        <v>0</v>
      </c>
      <c r="AQ110" s="1" t="n">
        <v>0</v>
      </c>
    </row>
    <row r="111" customFormat="false" ht="14.25" hidden="false" customHeight="true" outlineLevel="0" collapsed="false">
      <c r="D111" s="1" t="s">
        <v>244</v>
      </c>
      <c r="E111" s="1" t="s">
        <v>179</v>
      </c>
      <c r="F111" s="1" t="n">
        <v>2030</v>
      </c>
      <c r="G111" s="1" t="s">
        <v>111</v>
      </c>
      <c r="H111" s="1" t="n">
        <v>1</v>
      </c>
      <c r="I111" s="1" t="n">
        <v>0</v>
      </c>
      <c r="J111" s="1" t="n">
        <v>0</v>
      </c>
      <c r="K111" s="1" t="n">
        <v>40</v>
      </c>
      <c r="L111" s="1" t="n">
        <v>0</v>
      </c>
      <c r="M111" s="1" t="n">
        <v>0</v>
      </c>
      <c r="N111" s="1" t="n">
        <v>5</v>
      </c>
      <c r="O111" s="1" t="n">
        <v>3</v>
      </c>
      <c r="P111" s="1" t="n">
        <v>600</v>
      </c>
      <c r="Q111" s="1" t="n">
        <v>0</v>
      </c>
      <c r="R111" s="1" t="n">
        <v>0</v>
      </c>
      <c r="S111" s="1" t="n">
        <v>5</v>
      </c>
      <c r="T111" s="1" t="n">
        <v>40</v>
      </c>
      <c r="U111" s="1" t="n">
        <v>0</v>
      </c>
      <c r="V111" s="1" t="n">
        <v>0</v>
      </c>
      <c r="W111" s="1" t="n">
        <v>0</v>
      </c>
      <c r="X111" s="1" t="n">
        <v>50</v>
      </c>
      <c r="Y111" s="1" t="n">
        <v>3</v>
      </c>
      <c r="Z111" s="1" t="n">
        <v>20</v>
      </c>
      <c r="AA111" s="1" t="n">
        <v>15</v>
      </c>
      <c r="AB111" s="1" t="n">
        <v>10</v>
      </c>
      <c r="AC111" s="1" t="n">
        <v>15</v>
      </c>
      <c r="AD111" s="1" t="n">
        <v>250</v>
      </c>
      <c r="AE111" s="1" t="n">
        <v>0</v>
      </c>
      <c r="AF111" s="1" t="n">
        <v>3</v>
      </c>
      <c r="AG111" s="1" t="n">
        <v>40</v>
      </c>
      <c r="AH111" s="1" t="n">
        <v>0</v>
      </c>
      <c r="AI111" s="1" t="n">
        <v>30</v>
      </c>
      <c r="AJ111" s="1" t="n">
        <v>5</v>
      </c>
      <c r="AK111" s="1" t="n">
        <v>10</v>
      </c>
      <c r="AL111" s="1" t="n">
        <v>4</v>
      </c>
      <c r="AM111" s="1" t="n">
        <v>0</v>
      </c>
      <c r="AN111" s="1" t="n">
        <v>0</v>
      </c>
      <c r="AO111" s="1" t="n">
        <v>25</v>
      </c>
      <c r="AP111" s="1" t="n">
        <v>0</v>
      </c>
      <c r="AQ111" s="1" t="n">
        <v>0</v>
      </c>
    </row>
    <row r="115" customFormat="false" ht="14.25" hidden="false" customHeight="true" outlineLevel="0" collapsed="false">
      <c r="D115" s="1" t="s">
        <v>245</v>
      </c>
    </row>
    <row r="116" customFormat="false" ht="14.25" hidden="false" customHeight="true" outlineLevel="0" collapsed="false">
      <c r="D116" s="1" t="s">
        <v>246</v>
      </c>
    </row>
    <row r="117" customFormat="false" ht="14.25" hidden="false" customHeight="true" outlineLevel="0" collapsed="false">
      <c r="D117" s="1" t="s">
        <v>62</v>
      </c>
      <c r="E117" s="1" t="s">
        <v>51</v>
      </c>
      <c r="F117" s="1" t="s">
        <v>4</v>
      </c>
      <c r="G117" s="1" t="s">
        <v>2</v>
      </c>
      <c r="H117" s="1" t="s">
        <v>81</v>
      </c>
      <c r="I117" s="1" t="s">
        <v>207</v>
      </c>
      <c r="J117" s="1" t="s">
        <v>208</v>
      </c>
      <c r="K117" s="1" t="s">
        <v>209</v>
      </c>
      <c r="L117" s="1" t="s">
        <v>210</v>
      </c>
      <c r="M117" s="1" t="s">
        <v>211</v>
      </c>
      <c r="N117" s="1" t="s">
        <v>212</v>
      </c>
      <c r="O117" s="1" t="s">
        <v>213</v>
      </c>
      <c r="P117" s="1" t="s">
        <v>214</v>
      </c>
      <c r="Q117" s="1" t="s">
        <v>215</v>
      </c>
      <c r="R117" s="1" t="s">
        <v>216</v>
      </c>
      <c r="S117" s="1" t="s">
        <v>217</v>
      </c>
      <c r="T117" s="1" t="s">
        <v>218</v>
      </c>
      <c r="U117" s="1" t="s">
        <v>219</v>
      </c>
      <c r="V117" s="1" t="s">
        <v>220</v>
      </c>
      <c r="W117" s="1" t="s">
        <v>221</v>
      </c>
      <c r="X117" s="1" t="s">
        <v>222</v>
      </c>
      <c r="Y117" s="1" t="s">
        <v>223</v>
      </c>
      <c r="Z117" s="1" t="s">
        <v>224</v>
      </c>
      <c r="AA117" s="1" t="s">
        <v>225</v>
      </c>
      <c r="AB117" s="1" t="s">
        <v>226</v>
      </c>
      <c r="AC117" s="1" t="s">
        <v>227</v>
      </c>
      <c r="AD117" s="1" t="s">
        <v>228</v>
      </c>
      <c r="AE117" s="1" t="s">
        <v>229</v>
      </c>
      <c r="AF117" s="1" t="s">
        <v>230</v>
      </c>
      <c r="AG117" s="1" t="s">
        <v>231</v>
      </c>
      <c r="AH117" s="1" t="s">
        <v>232</v>
      </c>
      <c r="AI117" s="1" t="s">
        <v>233</v>
      </c>
      <c r="AJ117" s="1" t="s">
        <v>234</v>
      </c>
      <c r="AK117" s="1" t="s">
        <v>235</v>
      </c>
      <c r="AL117" s="1" t="s">
        <v>236</v>
      </c>
      <c r="AM117" s="1" t="s">
        <v>237</v>
      </c>
      <c r="AN117" s="1" t="s">
        <v>238</v>
      </c>
      <c r="AO117" s="1" t="s">
        <v>239</v>
      </c>
      <c r="AP117" s="1" t="s">
        <v>240</v>
      </c>
      <c r="AQ117" s="1" t="s">
        <v>241</v>
      </c>
      <c r="AR117" s="1" t="s">
        <v>69</v>
      </c>
    </row>
    <row r="118" customFormat="false" ht="14.25" hidden="false" customHeight="true" outlineLevel="0" collapsed="false">
      <c r="D118" s="1" t="s">
        <v>247</v>
      </c>
      <c r="E118" s="1" t="s">
        <v>248</v>
      </c>
      <c r="F118" s="1" t="n">
        <v>2020</v>
      </c>
      <c r="G118" s="1" t="s">
        <v>87</v>
      </c>
      <c r="H118" s="1" t="n">
        <v>1</v>
      </c>
      <c r="I118" s="1" t="n">
        <v>1</v>
      </c>
      <c r="J118" s="1" t="n">
        <v>1</v>
      </c>
      <c r="K118" s="1" t="n">
        <v>2</v>
      </c>
      <c r="L118" s="1" t="n">
        <v>4</v>
      </c>
      <c r="M118" s="1" t="n">
        <v>1</v>
      </c>
      <c r="N118" s="1" t="n">
        <v>25</v>
      </c>
      <c r="O118" s="1" t="n">
        <v>1</v>
      </c>
      <c r="P118" s="1" t="n">
        <v>400</v>
      </c>
      <c r="Q118" s="1" t="n">
        <v>1</v>
      </c>
      <c r="R118" s="1" t="n">
        <v>1.5</v>
      </c>
      <c r="S118" s="1" t="n">
        <v>25</v>
      </c>
      <c r="T118" s="1" t="n">
        <v>30</v>
      </c>
      <c r="U118" s="1" t="n">
        <v>1</v>
      </c>
      <c r="V118" s="1" t="n">
        <v>2</v>
      </c>
      <c r="W118" s="1" t="n">
        <v>1.5</v>
      </c>
      <c r="X118" s="1" t="n">
        <v>5</v>
      </c>
      <c r="Y118" s="1" t="n">
        <v>2</v>
      </c>
      <c r="Z118" s="1" t="n">
        <v>6</v>
      </c>
      <c r="AA118" s="1" t="n">
        <v>10</v>
      </c>
      <c r="AB118" s="1" t="n">
        <v>2</v>
      </c>
      <c r="AC118" s="1" t="n">
        <v>2</v>
      </c>
      <c r="AD118" s="1" t="n">
        <v>130</v>
      </c>
      <c r="AE118" s="1" t="n">
        <v>30</v>
      </c>
      <c r="AF118" s="1" t="n">
        <v>1.5</v>
      </c>
      <c r="AG118" s="1" t="n">
        <v>25</v>
      </c>
      <c r="AH118" s="1" t="n">
        <v>1</v>
      </c>
      <c r="AI118" s="1" t="n">
        <v>0.5</v>
      </c>
      <c r="AJ118" s="1" t="n">
        <v>0.5</v>
      </c>
      <c r="AK118" s="1" t="n">
        <v>6</v>
      </c>
      <c r="AL118" s="1" t="n">
        <v>15</v>
      </c>
      <c r="AM118" s="1" t="n">
        <v>4</v>
      </c>
      <c r="AN118" s="1" t="n">
        <v>1</v>
      </c>
      <c r="AO118" s="1" t="n">
        <v>25</v>
      </c>
      <c r="AP118" s="1" t="n">
        <v>1</v>
      </c>
      <c r="AQ118" s="1" t="n">
        <v>0.5</v>
      </c>
      <c r="AR118" s="1" t="s">
        <v>249</v>
      </c>
    </row>
    <row r="119" customFormat="false" ht="14.25" hidden="false" customHeight="true" outlineLevel="0" collapsed="false">
      <c r="D119" s="1" t="s">
        <v>247</v>
      </c>
      <c r="E119" s="1" t="s">
        <v>248</v>
      </c>
      <c r="F119" s="1" t="n">
        <v>2025</v>
      </c>
      <c r="G119" s="1" t="s">
        <v>87</v>
      </c>
      <c r="H119" s="1" t="n">
        <v>1</v>
      </c>
      <c r="I119" s="1" t="n">
        <v>3</v>
      </c>
      <c r="J119" s="1" t="n">
        <v>3</v>
      </c>
      <c r="K119" s="1" t="n">
        <v>25</v>
      </c>
      <c r="L119" s="1" t="n">
        <v>20</v>
      </c>
      <c r="M119" s="1" t="n">
        <v>4</v>
      </c>
      <c r="N119" s="1" t="n">
        <v>105</v>
      </c>
      <c r="O119" s="1" t="n">
        <v>15</v>
      </c>
      <c r="P119" s="1" t="n">
        <v>3000</v>
      </c>
      <c r="Q119" s="1" t="n">
        <v>4</v>
      </c>
      <c r="R119" s="1" t="n">
        <v>7</v>
      </c>
      <c r="S119" s="1" t="n">
        <v>125</v>
      </c>
      <c r="T119" s="1" t="n">
        <v>200</v>
      </c>
      <c r="U119" s="1" t="n">
        <v>5</v>
      </c>
      <c r="V119" s="1" t="n">
        <v>13</v>
      </c>
      <c r="W119" s="1" t="n">
        <v>5</v>
      </c>
      <c r="X119" s="1" t="n">
        <v>55</v>
      </c>
      <c r="Y119" s="1" t="n">
        <v>13</v>
      </c>
      <c r="Z119" s="1" t="n">
        <v>35</v>
      </c>
      <c r="AA119" s="1" t="n">
        <v>25</v>
      </c>
      <c r="AB119" s="1" t="n">
        <v>15</v>
      </c>
      <c r="AC119" s="1" t="n">
        <v>18</v>
      </c>
      <c r="AD119" s="1" t="n">
        <v>650</v>
      </c>
      <c r="AE119" s="1" t="n">
        <v>80</v>
      </c>
      <c r="AF119" s="1" t="n">
        <v>10</v>
      </c>
      <c r="AG119" s="1" t="n">
        <v>130</v>
      </c>
      <c r="AH119" s="1" t="n">
        <v>5</v>
      </c>
      <c r="AI119" s="1" t="n">
        <v>3</v>
      </c>
      <c r="AJ119" s="1" t="n">
        <v>3</v>
      </c>
      <c r="AK119" s="1" t="n">
        <v>45</v>
      </c>
      <c r="AL119" s="1" t="n">
        <v>100</v>
      </c>
      <c r="AM119" s="1" t="n">
        <v>26</v>
      </c>
      <c r="AN119" s="1" t="n">
        <v>25</v>
      </c>
      <c r="AO119" s="1" t="n">
        <v>145</v>
      </c>
      <c r="AP119" s="1" t="n">
        <v>10</v>
      </c>
      <c r="AQ119" s="1" t="n">
        <v>2</v>
      </c>
    </row>
    <row r="120" customFormat="false" ht="14.25" hidden="false" customHeight="true" outlineLevel="0" collapsed="false">
      <c r="D120" s="1" t="s">
        <v>247</v>
      </c>
      <c r="E120" s="1" t="s">
        <v>248</v>
      </c>
      <c r="F120" s="1" t="n">
        <v>0</v>
      </c>
      <c r="G120" s="1" t="s">
        <v>87</v>
      </c>
      <c r="I120" s="1" t="n">
        <v>1</v>
      </c>
      <c r="J120" s="1" t="n">
        <v>1</v>
      </c>
      <c r="K120" s="1" t="n">
        <v>1</v>
      </c>
      <c r="L120" s="1" t="n">
        <v>1</v>
      </c>
      <c r="M120" s="1" t="n">
        <v>1</v>
      </c>
      <c r="N120" s="1" t="n">
        <v>1</v>
      </c>
      <c r="O120" s="1" t="n">
        <v>1</v>
      </c>
      <c r="P120" s="1" t="n">
        <v>1</v>
      </c>
      <c r="Q120" s="1" t="n">
        <v>1</v>
      </c>
      <c r="R120" s="1" t="n">
        <v>1</v>
      </c>
      <c r="S120" s="1" t="n">
        <v>1</v>
      </c>
      <c r="T120" s="1" t="n">
        <v>1</v>
      </c>
      <c r="U120" s="1" t="n">
        <v>1</v>
      </c>
      <c r="V120" s="1" t="n">
        <v>1</v>
      </c>
      <c r="W120" s="1" t="n">
        <v>1</v>
      </c>
      <c r="X120" s="1" t="n">
        <v>1</v>
      </c>
      <c r="Y120" s="1" t="n">
        <v>1</v>
      </c>
      <c r="Z120" s="1" t="n">
        <v>1</v>
      </c>
      <c r="AA120" s="1" t="n">
        <v>1</v>
      </c>
      <c r="AB120" s="1" t="n">
        <v>1</v>
      </c>
      <c r="AC120" s="1" t="n">
        <v>1</v>
      </c>
      <c r="AD120" s="1" t="n">
        <v>1</v>
      </c>
      <c r="AE120" s="1" t="n">
        <v>1</v>
      </c>
      <c r="AF120" s="1" t="n">
        <v>1</v>
      </c>
      <c r="AG120" s="1" t="n">
        <v>1</v>
      </c>
      <c r="AH120" s="1" t="n">
        <v>1</v>
      </c>
      <c r="AI120" s="1" t="n">
        <v>1</v>
      </c>
      <c r="AJ120" s="1" t="n">
        <v>1</v>
      </c>
      <c r="AK120" s="1" t="n">
        <v>1</v>
      </c>
      <c r="AL120" s="1" t="n">
        <v>1</v>
      </c>
      <c r="AM120" s="1" t="n">
        <v>1</v>
      </c>
      <c r="AN120" s="1" t="n">
        <v>1</v>
      </c>
      <c r="AO120" s="1" t="n">
        <v>1</v>
      </c>
      <c r="AP120" s="1" t="n">
        <v>1</v>
      </c>
      <c r="AQ120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42" t="s">
        <v>250</v>
      </c>
    </row>
    <row r="2" customFormat="false" ht="15" hidden="false" customHeight="true" outlineLevel="0" collapsed="false">
      <c r="A2" s="1" t="s">
        <v>251</v>
      </c>
    </row>
    <row r="4" customFormat="false" ht="15" hidden="false" customHeight="true" outlineLevel="0" collapsed="false">
      <c r="B4" s="1" t="s">
        <v>60</v>
      </c>
    </row>
    <row r="6" customFormat="false" ht="15" hidden="false" customHeight="true" outlineLevel="0" collapsed="false">
      <c r="B6" s="1" t="s">
        <v>252</v>
      </c>
    </row>
    <row r="7" customFormat="false" ht="15" hidden="false" customHeight="true" outlineLevel="0" collapsed="false">
      <c r="B7" s="1" t="s">
        <v>62</v>
      </c>
      <c r="C7" s="1" t="s">
        <v>51</v>
      </c>
      <c r="D7" s="1" t="s">
        <v>4</v>
      </c>
      <c r="E7" s="1" t="s">
        <v>2</v>
      </c>
      <c r="F7" s="1" t="s">
        <v>67</v>
      </c>
      <c r="G7" s="1" t="s">
        <v>68</v>
      </c>
      <c r="H7" s="1" t="s">
        <v>69</v>
      </c>
      <c r="I7" s="1" t="s">
        <v>207</v>
      </c>
      <c r="J7" s="1" t="s">
        <v>208</v>
      </c>
      <c r="K7" s="1" t="s">
        <v>209</v>
      </c>
      <c r="L7" s="1" t="s">
        <v>210</v>
      </c>
      <c r="M7" s="1" t="s">
        <v>211</v>
      </c>
      <c r="N7" s="1" t="s">
        <v>212</v>
      </c>
      <c r="O7" s="1" t="s">
        <v>213</v>
      </c>
      <c r="P7" s="1" t="s">
        <v>214</v>
      </c>
      <c r="Q7" s="1" t="s">
        <v>215</v>
      </c>
      <c r="R7" s="1" t="s">
        <v>216</v>
      </c>
      <c r="S7" s="1" t="s">
        <v>217</v>
      </c>
      <c r="T7" s="1" t="s">
        <v>218</v>
      </c>
      <c r="U7" s="1" t="s">
        <v>219</v>
      </c>
      <c r="V7" s="1" t="s">
        <v>220</v>
      </c>
      <c r="W7" s="1" t="s">
        <v>221</v>
      </c>
      <c r="X7" s="1" t="s">
        <v>222</v>
      </c>
      <c r="Y7" s="1" t="s">
        <v>223</v>
      </c>
      <c r="Z7" s="1" t="s">
        <v>224</v>
      </c>
      <c r="AA7" s="1" t="s">
        <v>225</v>
      </c>
      <c r="AB7" s="1" t="s">
        <v>226</v>
      </c>
      <c r="AC7" s="1" t="s">
        <v>227</v>
      </c>
      <c r="AD7" s="1" t="s">
        <v>228</v>
      </c>
      <c r="AE7" s="1" t="s">
        <v>229</v>
      </c>
      <c r="AF7" s="1" t="s">
        <v>230</v>
      </c>
      <c r="AG7" s="1" t="s">
        <v>231</v>
      </c>
      <c r="AH7" s="1" t="s">
        <v>232</v>
      </c>
      <c r="AI7" s="1" t="s">
        <v>233</v>
      </c>
      <c r="AJ7" s="1" t="s">
        <v>234</v>
      </c>
      <c r="AK7" s="1" t="s">
        <v>235</v>
      </c>
      <c r="AL7" s="1" t="s">
        <v>236</v>
      </c>
      <c r="AM7" s="1" t="s">
        <v>237</v>
      </c>
      <c r="AN7" s="1" t="s">
        <v>238</v>
      </c>
      <c r="AO7" s="1" t="s">
        <v>239</v>
      </c>
      <c r="AP7" s="1" t="s">
        <v>240</v>
      </c>
      <c r="AQ7" s="1" t="s">
        <v>241</v>
      </c>
    </row>
    <row r="8" customFormat="false" ht="15" hidden="false" customHeight="true" outlineLevel="0" collapsed="false">
      <c r="B8" s="1" t="s">
        <v>253</v>
      </c>
      <c r="C8" s="1" t="s">
        <v>254</v>
      </c>
      <c r="D8" s="1" t="n">
        <v>2020</v>
      </c>
      <c r="E8" s="1" t="s">
        <v>87</v>
      </c>
      <c r="F8" s="1" t="n">
        <v>0</v>
      </c>
      <c r="G8" s="1" t="n">
        <v>1</v>
      </c>
      <c r="H8" s="1" t="s">
        <v>255</v>
      </c>
      <c r="I8" s="1" t="n">
        <v>0.9896</v>
      </c>
      <c r="J8" s="1" t="n">
        <v>0.9896</v>
      </c>
      <c r="K8" s="1" t="n">
        <v>0.9778</v>
      </c>
      <c r="L8" s="1" t="n">
        <v>0.8712</v>
      </c>
      <c r="M8" s="1" t="n">
        <v>0.9702</v>
      </c>
      <c r="N8" s="1" t="n">
        <v>0.7785</v>
      </c>
      <c r="O8" s="1" t="n">
        <v>0.988</v>
      </c>
      <c r="P8" s="1" t="n">
        <v>0.9187</v>
      </c>
      <c r="Q8" s="1" t="n">
        <v>0.9573</v>
      </c>
      <c r="R8" s="1" t="n">
        <v>0.9594</v>
      </c>
      <c r="S8" s="1" t="n">
        <v>0.8525</v>
      </c>
      <c r="T8" s="1" t="n">
        <v>0.815</v>
      </c>
      <c r="U8" s="1" t="n">
        <v>0.9579</v>
      </c>
      <c r="V8" s="1" t="n">
        <v>0.941</v>
      </c>
      <c r="W8" s="1" t="n">
        <v>0.34</v>
      </c>
      <c r="X8" s="1" t="n">
        <v>0.9885</v>
      </c>
      <c r="Y8" s="1" t="n">
        <v>0.8975</v>
      </c>
      <c r="Z8" s="1" t="n">
        <v>0.9375</v>
      </c>
      <c r="AA8" s="1" t="n">
        <v>0.9804</v>
      </c>
      <c r="AB8" s="1" t="n">
        <v>0.982</v>
      </c>
      <c r="AC8" s="1" t="n">
        <v>0.9673</v>
      </c>
      <c r="AD8" s="1" t="n">
        <v>0.9605</v>
      </c>
      <c r="AE8" s="1" t="n">
        <v>0.0525</v>
      </c>
      <c r="AF8" s="1" t="n">
        <v>0.9663</v>
      </c>
      <c r="AG8" s="1" t="n">
        <v>0.97</v>
      </c>
      <c r="AH8" s="1" t="n">
        <v>0.9888</v>
      </c>
      <c r="AI8" s="1" t="n">
        <v>0.9889</v>
      </c>
      <c r="AJ8" s="1" t="n">
        <v>0.9888</v>
      </c>
      <c r="AK8" s="1" t="n">
        <v>0.9188</v>
      </c>
      <c r="AL8" s="1" t="n">
        <v>0.6863</v>
      </c>
      <c r="AM8" s="1" t="n">
        <v>0.815</v>
      </c>
      <c r="AN8" s="1" t="n">
        <v>0.9874</v>
      </c>
      <c r="AO8" s="1" t="n">
        <v>0.8525</v>
      </c>
      <c r="AP8" s="1" t="n">
        <v>0.9868</v>
      </c>
      <c r="AQ8" s="1" t="n">
        <v>0.9868</v>
      </c>
    </row>
    <row r="9" customFormat="false" ht="15" hidden="false" customHeight="true" outlineLevel="0" collapsed="false">
      <c r="B9" s="1" t="s">
        <v>253</v>
      </c>
      <c r="C9" s="1" t="s">
        <v>256</v>
      </c>
      <c r="D9" s="1" t="n">
        <v>2020</v>
      </c>
      <c r="E9" s="1" t="s">
        <v>87</v>
      </c>
      <c r="F9" s="1" t="n">
        <v>0</v>
      </c>
      <c r="G9" s="1" t="n">
        <v>1</v>
      </c>
      <c r="H9" s="1" t="s">
        <v>257</v>
      </c>
      <c r="I9" s="1" t="n">
        <v>-0.0104</v>
      </c>
      <c r="J9" s="1" t="n">
        <v>-0.0104</v>
      </c>
      <c r="K9" s="1" t="n">
        <v>-0.0223</v>
      </c>
      <c r="L9" s="1" t="n">
        <v>-0.1288</v>
      </c>
      <c r="M9" s="1" t="n">
        <v>-0.0298</v>
      </c>
      <c r="N9" s="1" t="n">
        <v>-0.2215</v>
      </c>
      <c r="O9" s="1" t="n">
        <v>-0.012</v>
      </c>
      <c r="P9" s="1" t="n">
        <v>-0.0813</v>
      </c>
      <c r="Q9" s="1" t="n">
        <v>-0.0427</v>
      </c>
      <c r="R9" s="1" t="n">
        <v>-0.0406</v>
      </c>
      <c r="S9" s="1" t="n">
        <v>-0.1475</v>
      </c>
      <c r="T9" s="1" t="n">
        <v>-0.185</v>
      </c>
      <c r="U9" s="1" t="n">
        <v>-0.0421</v>
      </c>
      <c r="V9" s="1" t="n">
        <v>-0.059</v>
      </c>
      <c r="W9" s="1" t="n">
        <v>-0.66</v>
      </c>
      <c r="X9" s="1" t="n">
        <v>-0.0115</v>
      </c>
      <c r="Y9" s="1" t="n">
        <v>-0.1025</v>
      </c>
      <c r="Z9" s="1" t="n">
        <v>-0.0625</v>
      </c>
      <c r="AA9" s="1" t="n">
        <v>-0.0196</v>
      </c>
      <c r="AB9" s="1" t="n">
        <v>-0.018</v>
      </c>
      <c r="AC9" s="1" t="n">
        <v>-0.0327</v>
      </c>
      <c r="AD9" s="1" t="n">
        <v>-0.0395</v>
      </c>
      <c r="AE9" s="1" t="n">
        <v>-0.9475</v>
      </c>
      <c r="AF9" s="1" t="n">
        <v>-0.0338</v>
      </c>
      <c r="AG9" s="1" t="n">
        <v>-0.03</v>
      </c>
      <c r="AH9" s="1" t="n">
        <v>-0.0112</v>
      </c>
      <c r="AI9" s="1" t="n">
        <v>-0.0111</v>
      </c>
      <c r="AJ9" s="1" t="n">
        <v>-0.0112</v>
      </c>
      <c r="AK9" s="1" t="n">
        <v>-0.0812</v>
      </c>
      <c r="AL9" s="1" t="n">
        <v>-0.3137</v>
      </c>
      <c r="AM9" s="1" t="n">
        <v>-0.185</v>
      </c>
      <c r="AN9" s="1" t="n">
        <v>-0.0126</v>
      </c>
      <c r="AO9" s="1" t="n">
        <v>-0.1475</v>
      </c>
      <c r="AP9" s="1" t="n">
        <v>-0.0132</v>
      </c>
      <c r="AQ9" s="1" t="n">
        <v>-0.0132</v>
      </c>
    </row>
    <row r="10" customFormat="false" ht="15" hidden="false" customHeight="true" outlineLevel="0" collapsed="false">
      <c r="B10" s="1" t="s">
        <v>253</v>
      </c>
      <c r="C10" s="1" t="s">
        <v>254</v>
      </c>
      <c r="D10" s="1" t="n">
        <v>2025</v>
      </c>
      <c r="E10" s="1" t="s">
        <v>87</v>
      </c>
      <c r="F10" s="1" t="n">
        <v>0</v>
      </c>
      <c r="G10" s="1" t="n">
        <v>1</v>
      </c>
      <c r="H10" s="1" t="s">
        <v>255</v>
      </c>
      <c r="I10" s="1" t="n">
        <v>0.9675</v>
      </c>
      <c r="J10" s="1" t="n">
        <v>0.9675</v>
      </c>
      <c r="K10" s="1" t="n">
        <v>0.7925</v>
      </c>
      <c r="L10" s="1" t="n">
        <v>0.5925</v>
      </c>
      <c r="M10" s="1" t="n">
        <v>0.7535</v>
      </c>
      <c r="N10" s="1" t="n">
        <v>0.3554</v>
      </c>
      <c r="O10" s="1" t="n">
        <v>0.8675</v>
      </c>
      <c r="P10" s="1" t="n">
        <v>0.3175</v>
      </c>
      <c r="Q10" s="1" t="n">
        <v>0.8597</v>
      </c>
      <c r="R10" s="1" t="n">
        <v>0.8581</v>
      </c>
      <c r="S10" s="1" t="n">
        <v>0.655</v>
      </c>
      <c r="T10" s="1" t="n">
        <v>0.605</v>
      </c>
      <c r="U10" s="1" t="n">
        <v>0.8038</v>
      </c>
      <c r="V10" s="1" t="n">
        <v>0.8689</v>
      </c>
      <c r="W10" s="1" t="n">
        <v>0.205</v>
      </c>
      <c r="X10" s="1" t="n">
        <v>0.93</v>
      </c>
      <c r="Y10" s="1" t="n">
        <v>0.555</v>
      </c>
      <c r="Z10" s="1" t="n">
        <v>0.8175</v>
      </c>
      <c r="AA10" s="1" t="n">
        <v>0.9425</v>
      </c>
      <c r="AB10" s="1" t="n">
        <v>0.8531</v>
      </c>
      <c r="AC10" s="1" t="n">
        <v>0.792</v>
      </c>
      <c r="AD10" s="1" t="n">
        <v>0.8566</v>
      </c>
      <c r="AE10" s="1" t="n">
        <v>0</v>
      </c>
      <c r="AF10" s="1" t="n">
        <v>0.805</v>
      </c>
      <c r="AG10" s="1" t="n">
        <v>0.7981</v>
      </c>
      <c r="AH10" s="1" t="n">
        <v>0.955</v>
      </c>
      <c r="AI10" s="1" t="n">
        <v>0.93</v>
      </c>
      <c r="AJ10" s="1" t="n">
        <v>0.969</v>
      </c>
      <c r="AK10" s="1" t="n">
        <v>0.693</v>
      </c>
      <c r="AL10" s="1" t="n">
        <v>0.1809</v>
      </c>
      <c r="AM10" s="1" t="n">
        <v>0.555</v>
      </c>
      <c r="AN10" s="1" t="n">
        <v>0.705</v>
      </c>
      <c r="AO10" s="1" t="n">
        <v>0.5425</v>
      </c>
      <c r="AP10" s="1" t="n">
        <v>0.905</v>
      </c>
      <c r="AQ10" s="1" t="n">
        <v>0.905</v>
      </c>
    </row>
    <row r="11" customFormat="false" ht="15" hidden="false" customHeight="true" outlineLevel="0" collapsed="false">
      <c r="B11" s="1" t="s">
        <v>253</v>
      </c>
      <c r="C11" s="1" t="s">
        <v>256</v>
      </c>
      <c r="D11" s="1" t="n">
        <v>2025</v>
      </c>
      <c r="E11" s="1" t="s">
        <v>87</v>
      </c>
      <c r="F11" s="1" t="n">
        <v>0</v>
      </c>
      <c r="G11" s="1" t="n">
        <v>1</v>
      </c>
      <c r="H11" s="1" t="s">
        <v>257</v>
      </c>
      <c r="I11" s="1" t="n">
        <v>-0.0325</v>
      </c>
      <c r="J11" s="1" t="n">
        <v>-0.0325</v>
      </c>
      <c r="K11" s="1" t="n">
        <v>-0.2075</v>
      </c>
      <c r="L11" s="1" t="n">
        <v>-0.4075</v>
      </c>
      <c r="M11" s="1" t="n">
        <v>-0.2465</v>
      </c>
      <c r="N11" s="1" t="n">
        <v>-0.6446</v>
      </c>
      <c r="O11" s="1" t="n">
        <v>-0.1325</v>
      </c>
      <c r="P11" s="1" t="n">
        <v>-0.6825</v>
      </c>
      <c r="Q11" s="1" t="n">
        <v>-0.1403</v>
      </c>
      <c r="R11" s="1" t="n">
        <v>-0.1419</v>
      </c>
      <c r="S11" s="1" t="n">
        <v>-0.345</v>
      </c>
      <c r="T11" s="1" t="n">
        <v>-0.395</v>
      </c>
      <c r="U11" s="1" t="n">
        <v>-0.1962</v>
      </c>
      <c r="V11" s="1" t="n">
        <v>-0.1311</v>
      </c>
      <c r="W11" s="1" t="n">
        <v>-0.795</v>
      </c>
      <c r="X11" s="1" t="n">
        <v>-0.07</v>
      </c>
      <c r="Y11" s="1" t="n">
        <v>-0.445</v>
      </c>
      <c r="Z11" s="1" t="n">
        <v>-0.1825</v>
      </c>
      <c r="AA11" s="1" t="n">
        <v>-0.0575</v>
      </c>
      <c r="AB11" s="1" t="n">
        <v>-0.1469</v>
      </c>
      <c r="AC11" s="1" t="n">
        <v>-0.208</v>
      </c>
      <c r="AD11" s="1" t="n">
        <v>-0.1434</v>
      </c>
      <c r="AE11" s="1" t="n">
        <v>-1</v>
      </c>
      <c r="AF11" s="1" t="n">
        <v>-0.195</v>
      </c>
      <c r="AG11" s="1" t="n">
        <v>-0.2019</v>
      </c>
      <c r="AH11" s="1" t="n">
        <v>-0.045</v>
      </c>
      <c r="AI11" s="1" t="n">
        <v>-0.07</v>
      </c>
      <c r="AJ11" s="1" t="n">
        <v>-0.031</v>
      </c>
      <c r="AK11" s="1" t="n">
        <v>-0.307</v>
      </c>
      <c r="AL11" s="1" t="n">
        <v>-0.8191</v>
      </c>
      <c r="AM11" s="1" t="n">
        <v>-0.445</v>
      </c>
      <c r="AN11" s="1" t="n">
        <v>-0.295</v>
      </c>
      <c r="AO11" s="1" t="n">
        <v>-0.4575</v>
      </c>
      <c r="AP11" s="1" t="n">
        <v>-0.095</v>
      </c>
      <c r="AQ11" s="1" t="n">
        <v>-0.095</v>
      </c>
    </row>
    <row r="12" customFormat="false" ht="15" hidden="false" customHeight="true" outlineLevel="0" collapsed="false">
      <c r="B12" s="1" t="s">
        <v>258</v>
      </c>
      <c r="C12" s="1" t="s">
        <v>259</v>
      </c>
      <c r="D12" s="1" t="n">
        <v>2020</v>
      </c>
      <c r="E12" s="1" t="s">
        <v>87</v>
      </c>
      <c r="F12" s="1" t="n">
        <v>0</v>
      </c>
      <c r="G12" s="1" t="n">
        <v>1</v>
      </c>
      <c r="H12" s="1" t="s">
        <v>260</v>
      </c>
      <c r="I12" s="1" t="n">
        <v>0.9898</v>
      </c>
      <c r="J12" s="1" t="n">
        <v>0.9898</v>
      </c>
      <c r="K12" s="1" t="n">
        <v>0.9738</v>
      </c>
      <c r="L12" s="1" t="n">
        <v>0.965</v>
      </c>
      <c r="M12" s="1" t="n">
        <v>0.965</v>
      </c>
      <c r="N12" s="1" t="n">
        <v>0.9691</v>
      </c>
      <c r="O12" s="1" t="n">
        <v>0.9898</v>
      </c>
      <c r="P12" s="1" t="n">
        <v>0.9858</v>
      </c>
      <c r="Q12" s="1" t="n">
        <v>0.965</v>
      </c>
      <c r="R12" s="1" t="n">
        <v>0.965</v>
      </c>
      <c r="S12" s="1" t="n">
        <v>0.965</v>
      </c>
      <c r="T12" s="1" t="n">
        <v>0.9463</v>
      </c>
      <c r="U12" s="1" t="n">
        <v>0.965</v>
      </c>
      <c r="V12" s="1" t="n">
        <v>0.965</v>
      </c>
      <c r="W12" s="1" t="n">
        <v>0.965</v>
      </c>
      <c r="X12" s="1" t="n">
        <v>0.9871</v>
      </c>
      <c r="Y12" s="1" t="n">
        <v>0.965</v>
      </c>
      <c r="Z12" s="1" t="n">
        <v>0.9791</v>
      </c>
      <c r="AA12" s="1" t="n">
        <v>0.987</v>
      </c>
      <c r="AB12" s="1" t="n">
        <v>0.9836</v>
      </c>
      <c r="AC12" s="1" t="n">
        <v>0.9765</v>
      </c>
      <c r="AD12" s="1" t="n">
        <v>0.9725</v>
      </c>
      <c r="AE12" s="1" t="n">
        <v>0.8838</v>
      </c>
      <c r="AF12" s="1" t="n">
        <v>0.9854</v>
      </c>
      <c r="AG12" s="1" t="n">
        <v>0.917</v>
      </c>
      <c r="AH12" s="1" t="n">
        <v>0.99</v>
      </c>
      <c r="AI12" s="1" t="n">
        <v>0.9898</v>
      </c>
      <c r="AJ12" s="1" t="n">
        <v>0.9889</v>
      </c>
      <c r="AK12" s="1" t="n">
        <v>0.9643</v>
      </c>
      <c r="AL12" s="1" t="n">
        <v>0.9409</v>
      </c>
      <c r="AM12" s="1" t="n">
        <v>0.955</v>
      </c>
      <c r="AN12" s="1" t="n">
        <v>0.965</v>
      </c>
      <c r="AO12" s="1" t="n">
        <v>0.9637</v>
      </c>
      <c r="AP12" s="1" t="n">
        <v>0.9894</v>
      </c>
      <c r="AQ12" s="1" t="n">
        <v>0.9894</v>
      </c>
    </row>
    <row r="13" customFormat="false" ht="15" hidden="false" customHeight="true" outlineLevel="0" collapsed="false">
      <c r="B13" s="1" t="s">
        <v>258</v>
      </c>
      <c r="C13" s="1" t="s">
        <v>261</v>
      </c>
      <c r="D13" s="1" t="n">
        <v>2020</v>
      </c>
      <c r="E13" s="1" t="s">
        <v>87</v>
      </c>
      <c r="F13" s="1" t="n">
        <v>0</v>
      </c>
      <c r="G13" s="1" t="n">
        <v>1</v>
      </c>
      <c r="H13" s="1" t="s">
        <v>262</v>
      </c>
      <c r="I13" s="1" t="n">
        <v>-0.0102</v>
      </c>
      <c r="J13" s="1" t="n">
        <v>-0.0102</v>
      </c>
      <c r="K13" s="1" t="n">
        <v>-0.0262</v>
      </c>
      <c r="L13" s="1" t="n">
        <v>-0.035</v>
      </c>
      <c r="M13" s="1" t="n">
        <v>-0.035</v>
      </c>
      <c r="N13" s="1" t="n">
        <v>-0.0309</v>
      </c>
      <c r="O13" s="1" t="n">
        <v>-0.0102</v>
      </c>
      <c r="P13" s="1" t="n">
        <v>-0.0143</v>
      </c>
      <c r="Q13" s="1" t="n">
        <v>-0.035</v>
      </c>
      <c r="R13" s="1" t="n">
        <v>-0.035</v>
      </c>
      <c r="S13" s="1" t="n">
        <v>-0.035</v>
      </c>
      <c r="T13" s="1" t="n">
        <v>-0.0538</v>
      </c>
      <c r="U13" s="1" t="n">
        <v>-0.035</v>
      </c>
      <c r="V13" s="1" t="n">
        <v>-0.035</v>
      </c>
      <c r="W13" s="1" t="n">
        <v>-0.035</v>
      </c>
      <c r="X13" s="1" t="n">
        <v>-0.0129</v>
      </c>
      <c r="Y13" s="1" t="n">
        <v>-0.035</v>
      </c>
      <c r="Z13" s="1" t="n">
        <v>-0.0209</v>
      </c>
      <c r="AA13" s="1" t="n">
        <v>-0.013</v>
      </c>
      <c r="AB13" s="1" t="n">
        <v>-0.0164</v>
      </c>
      <c r="AC13" s="1" t="n">
        <v>-0.0235</v>
      </c>
      <c r="AD13" s="1" t="n">
        <v>-0.0275</v>
      </c>
      <c r="AE13" s="1" t="n">
        <v>-0.1163</v>
      </c>
      <c r="AF13" s="1" t="n">
        <v>-0.0146</v>
      </c>
      <c r="AG13" s="1" t="n">
        <v>-0.083</v>
      </c>
      <c r="AH13" s="1" t="n">
        <v>-0.01</v>
      </c>
      <c r="AI13" s="1" t="n">
        <v>-0.0102</v>
      </c>
      <c r="AJ13" s="1" t="n">
        <v>-0.0111</v>
      </c>
      <c r="AK13" s="1" t="n">
        <v>-0.0357</v>
      </c>
      <c r="AL13" s="1" t="n">
        <v>-0.0591</v>
      </c>
      <c r="AM13" s="1" t="n">
        <v>-0.045</v>
      </c>
      <c r="AN13" s="1" t="n">
        <v>-0.035</v>
      </c>
      <c r="AO13" s="1" t="n">
        <v>-0.0363</v>
      </c>
      <c r="AP13" s="1" t="n">
        <v>-0.0106</v>
      </c>
      <c r="AQ13" s="1" t="n">
        <v>-0.0106</v>
      </c>
    </row>
    <row r="14" customFormat="false" ht="15" hidden="false" customHeight="true" outlineLevel="0" collapsed="false">
      <c r="B14" s="1" t="s">
        <v>258</v>
      </c>
      <c r="C14" s="1" t="s">
        <v>259</v>
      </c>
      <c r="D14" s="1" t="n">
        <v>2025</v>
      </c>
      <c r="E14" s="1" t="s">
        <v>87</v>
      </c>
      <c r="F14" s="1" t="n">
        <v>0</v>
      </c>
      <c r="G14" s="1" t="n">
        <v>1</v>
      </c>
      <c r="H14" s="1" t="s">
        <v>260</v>
      </c>
      <c r="I14" s="1" t="n">
        <v>0.9789</v>
      </c>
      <c r="J14" s="1" t="n">
        <v>0.9789</v>
      </c>
      <c r="K14" s="1" t="n">
        <v>0.9175</v>
      </c>
      <c r="L14" s="1" t="n">
        <v>0.855</v>
      </c>
      <c r="M14" s="1" t="n">
        <v>0.855</v>
      </c>
      <c r="N14" s="1" t="n">
        <v>0.6711</v>
      </c>
      <c r="O14" s="1" t="n">
        <v>0.9765</v>
      </c>
      <c r="P14" s="1" t="n">
        <v>0.805</v>
      </c>
      <c r="Q14" s="1" t="n">
        <v>0.855</v>
      </c>
      <c r="R14" s="1" t="n">
        <v>0.855</v>
      </c>
      <c r="S14" s="1" t="n">
        <v>0.855</v>
      </c>
      <c r="T14" s="1" t="n">
        <v>0.8425</v>
      </c>
      <c r="U14" s="1" t="n">
        <v>0.855</v>
      </c>
      <c r="V14" s="1" t="n">
        <v>0.855</v>
      </c>
      <c r="W14" s="1" t="n">
        <v>0.855</v>
      </c>
      <c r="X14" s="1" t="n">
        <v>0.9675</v>
      </c>
      <c r="Y14" s="1" t="n">
        <v>0.855</v>
      </c>
      <c r="Z14" s="1" t="n">
        <v>0.93</v>
      </c>
      <c r="AA14" s="1" t="n">
        <v>0.968</v>
      </c>
      <c r="AB14" s="1" t="n">
        <v>0.9175</v>
      </c>
      <c r="AC14" s="1" t="n">
        <v>0.9425</v>
      </c>
      <c r="AD14" s="1" t="n">
        <v>0.9593</v>
      </c>
      <c r="AE14" s="1" t="n">
        <v>0.38</v>
      </c>
      <c r="AF14" s="1" t="n">
        <v>0.93</v>
      </c>
      <c r="AG14" s="1" t="n">
        <v>0.9242</v>
      </c>
      <c r="AH14" s="1" t="n">
        <v>0.9741</v>
      </c>
      <c r="AI14" s="1" t="n">
        <v>0.972</v>
      </c>
      <c r="AJ14" s="1" t="n">
        <v>0.9785</v>
      </c>
      <c r="AK14" s="1" t="n">
        <v>0.9076</v>
      </c>
      <c r="AL14" s="1" t="n">
        <v>0.6332</v>
      </c>
      <c r="AM14" s="1" t="n">
        <v>0.7675</v>
      </c>
      <c r="AN14" s="1" t="n">
        <v>0.855</v>
      </c>
      <c r="AO14" s="1" t="n">
        <v>0.8425</v>
      </c>
      <c r="AP14" s="1" t="n">
        <v>0.9741</v>
      </c>
      <c r="AQ14" s="1" t="n">
        <v>0.9741</v>
      </c>
    </row>
    <row r="15" customFormat="false" ht="15" hidden="false" customHeight="true" outlineLevel="0" collapsed="false">
      <c r="B15" s="1" t="s">
        <v>258</v>
      </c>
      <c r="C15" s="1" t="s">
        <v>261</v>
      </c>
      <c r="D15" s="1" t="n">
        <v>2025</v>
      </c>
      <c r="E15" s="1" t="s">
        <v>87</v>
      </c>
      <c r="F15" s="1" t="n">
        <v>0</v>
      </c>
      <c r="G15" s="1" t="n">
        <v>1</v>
      </c>
      <c r="H15" s="1" t="s">
        <v>262</v>
      </c>
      <c r="I15" s="1" t="n">
        <v>-0.0211</v>
      </c>
      <c r="J15" s="1" t="n">
        <v>-0.0211</v>
      </c>
      <c r="K15" s="1" t="n">
        <v>-0.0825</v>
      </c>
      <c r="L15" s="1" t="n">
        <v>-0.145</v>
      </c>
      <c r="M15" s="1" t="n">
        <v>-0.145</v>
      </c>
      <c r="N15" s="1" t="n">
        <v>-0.3289</v>
      </c>
      <c r="O15" s="1" t="n">
        <v>-0.0235</v>
      </c>
      <c r="P15" s="1" t="n">
        <v>-0.195</v>
      </c>
      <c r="Q15" s="1" t="n">
        <v>-0.145</v>
      </c>
      <c r="R15" s="1" t="n">
        <v>-0.145</v>
      </c>
      <c r="S15" s="1" t="n">
        <v>-0.145</v>
      </c>
      <c r="T15" s="1" t="n">
        <v>-0.1575</v>
      </c>
      <c r="U15" s="1" t="n">
        <v>-0.145</v>
      </c>
      <c r="V15" s="1" t="n">
        <v>-0.145</v>
      </c>
      <c r="W15" s="1" t="n">
        <v>-0.145</v>
      </c>
      <c r="X15" s="1" t="n">
        <v>-0.0325</v>
      </c>
      <c r="Y15" s="1" t="n">
        <v>-0.145</v>
      </c>
      <c r="Z15" s="1" t="n">
        <v>-0.07</v>
      </c>
      <c r="AA15" s="1" t="n">
        <v>-0.032</v>
      </c>
      <c r="AB15" s="1" t="n">
        <v>-0.0825</v>
      </c>
      <c r="AC15" s="1" t="n">
        <v>-0.0575</v>
      </c>
      <c r="AD15" s="1" t="n">
        <v>-0.0407</v>
      </c>
      <c r="AE15" s="1" t="n">
        <v>-0.62</v>
      </c>
      <c r="AF15" s="1" t="n">
        <v>-0.07</v>
      </c>
      <c r="AG15" s="1" t="n">
        <v>-0.0758</v>
      </c>
      <c r="AH15" s="1" t="n">
        <v>-0.0259</v>
      </c>
      <c r="AI15" s="1" t="n">
        <v>-0.028</v>
      </c>
      <c r="AJ15" s="1" t="n">
        <v>-0.0215</v>
      </c>
      <c r="AK15" s="1" t="n">
        <v>-0.0924</v>
      </c>
      <c r="AL15" s="1" t="n">
        <v>-0.3668</v>
      </c>
      <c r="AM15" s="1" t="n">
        <v>-0.2325</v>
      </c>
      <c r="AN15" s="1" t="n">
        <v>-0.145</v>
      </c>
      <c r="AO15" s="1" t="n">
        <v>-0.1575</v>
      </c>
      <c r="AP15" s="1" t="n">
        <v>-0.0259</v>
      </c>
      <c r="AQ15" s="1" t="n">
        <v>-0.0259</v>
      </c>
    </row>
    <row r="16" customFormat="false" ht="15" hidden="false" customHeight="true" outlineLevel="0" collapsed="false">
      <c r="B16" s="1" t="s">
        <v>263</v>
      </c>
      <c r="C16" s="1" t="s">
        <v>264</v>
      </c>
      <c r="D16" s="1" t="n">
        <v>2020</v>
      </c>
      <c r="E16" s="1" t="s">
        <v>87</v>
      </c>
      <c r="F16" s="1" t="n">
        <v>0</v>
      </c>
      <c r="G16" s="1" t="n">
        <v>1</v>
      </c>
      <c r="H16" s="1" t="s">
        <v>265</v>
      </c>
      <c r="I16" s="1" t="n">
        <v>0.99</v>
      </c>
      <c r="J16" s="1" t="n">
        <v>0.99</v>
      </c>
      <c r="K16" s="1" t="n">
        <v>0.9637</v>
      </c>
      <c r="L16" s="1" t="n">
        <v>0.9313</v>
      </c>
      <c r="M16" s="1" t="n">
        <v>0.9313</v>
      </c>
      <c r="N16" s="1" t="n">
        <v>0.5453</v>
      </c>
      <c r="O16" s="1" t="n">
        <v>0.9779</v>
      </c>
      <c r="P16" s="1" t="n">
        <v>0.215</v>
      </c>
      <c r="Q16" s="1" t="n">
        <v>0.9313</v>
      </c>
      <c r="R16" s="1" t="n">
        <v>0.9313</v>
      </c>
      <c r="S16" s="1" t="n">
        <v>0.9537</v>
      </c>
      <c r="T16" s="1" t="n">
        <v>0.9138</v>
      </c>
      <c r="U16" s="1" t="n">
        <v>0.9313</v>
      </c>
      <c r="V16" s="1" t="n">
        <v>0.9313</v>
      </c>
      <c r="W16" s="1" t="n">
        <v>0.9313</v>
      </c>
      <c r="X16" s="1" t="n">
        <v>0.9175</v>
      </c>
      <c r="Y16" s="1" t="n">
        <v>0.9313</v>
      </c>
      <c r="Z16" s="1" t="n">
        <v>0.9513</v>
      </c>
      <c r="AA16" s="1" t="n">
        <v>0.9637</v>
      </c>
      <c r="AB16" s="1" t="n">
        <v>0.79</v>
      </c>
      <c r="AC16" s="1" t="n">
        <v>0.9791</v>
      </c>
      <c r="AD16" s="1" t="n">
        <v>0.9792</v>
      </c>
      <c r="AE16" s="1" t="n">
        <v>0.7275</v>
      </c>
      <c r="AF16" s="1" t="n">
        <v>0.5025</v>
      </c>
      <c r="AG16" s="1" t="n">
        <v>0.9692</v>
      </c>
      <c r="AH16" s="1" t="n">
        <v>0.9712</v>
      </c>
      <c r="AI16" s="1" t="n">
        <v>0.9872</v>
      </c>
      <c r="AJ16" s="1" t="n">
        <v>0.99</v>
      </c>
      <c r="AK16" s="1" t="n">
        <v>0.9594</v>
      </c>
      <c r="AL16" s="1" t="n">
        <v>0.8839</v>
      </c>
      <c r="AM16" s="1" t="n">
        <v>0.9487</v>
      </c>
      <c r="AN16" s="1" t="n">
        <v>0.9313</v>
      </c>
      <c r="AO16" s="1" t="n">
        <v>0.8525</v>
      </c>
      <c r="AP16" s="1" t="n">
        <v>0.9851</v>
      </c>
      <c r="AQ16" s="1" t="n">
        <v>0.9851</v>
      </c>
    </row>
    <row r="17" customFormat="false" ht="15" hidden="false" customHeight="true" outlineLevel="0" collapsed="false">
      <c r="B17" s="1" t="s">
        <v>263</v>
      </c>
      <c r="C17" s="1" t="s">
        <v>266</v>
      </c>
      <c r="D17" s="1" t="n">
        <v>2020</v>
      </c>
      <c r="E17" s="1" t="s">
        <v>87</v>
      </c>
      <c r="F17" s="1" t="n">
        <v>0</v>
      </c>
      <c r="G17" s="1" t="n">
        <v>1</v>
      </c>
      <c r="H17" s="1" t="s">
        <v>267</v>
      </c>
      <c r="I17" s="1" t="n">
        <v>-0.01</v>
      </c>
      <c r="J17" s="1" t="n">
        <v>-0.01</v>
      </c>
      <c r="K17" s="1" t="n">
        <v>-0.0362</v>
      </c>
      <c r="L17" s="1" t="n">
        <v>-0.0688</v>
      </c>
      <c r="M17" s="1" t="n">
        <v>-0.0688</v>
      </c>
      <c r="N17" s="1" t="n">
        <v>-0.4547</v>
      </c>
      <c r="O17" s="1" t="n">
        <v>-0.0221</v>
      </c>
      <c r="P17" s="1" t="n">
        <v>-0.785</v>
      </c>
      <c r="Q17" s="1" t="n">
        <v>-0.0688</v>
      </c>
      <c r="R17" s="1" t="n">
        <v>-0.0688</v>
      </c>
      <c r="S17" s="1" t="n">
        <v>-0.0462</v>
      </c>
      <c r="T17" s="1" t="n">
        <v>-0.0862</v>
      </c>
      <c r="U17" s="1" t="n">
        <v>-0.0688</v>
      </c>
      <c r="V17" s="1" t="n">
        <v>-0.0688</v>
      </c>
      <c r="W17" s="1" t="n">
        <v>-0.0688</v>
      </c>
      <c r="X17" s="1" t="n">
        <v>-0.0825</v>
      </c>
      <c r="Y17" s="1" t="n">
        <v>-0.0688</v>
      </c>
      <c r="Z17" s="1" t="n">
        <v>-0.0488</v>
      </c>
      <c r="AA17" s="1" t="n">
        <v>-0.0362</v>
      </c>
      <c r="AB17" s="1" t="n">
        <v>-0.21</v>
      </c>
      <c r="AC17" s="1" t="n">
        <v>-0.0209</v>
      </c>
      <c r="AD17" s="1" t="n">
        <v>-0.0208</v>
      </c>
      <c r="AE17" s="1" t="n">
        <v>-0.2725</v>
      </c>
      <c r="AF17" s="1" t="n">
        <v>-0.4975</v>
      </c>
      <c r="AG17" s="1" t="n">
        <v>-0.0308</v>
      </c>
      <c r="AH17" s="1" t="n">
        <v>-0.0288</v>
      </c>
      <c r="AI17" s="1" t="n">
        <v>-0.0127</v>
      </c>
      <c r="AJ17" s="1" t="n">
        <v>-0.01</v>
      </c>
      <c r="AK17" s="1" t="n">
        <v>-0.0406</v>
      </c>
      <c r="AL17" s="1" t="n">
        <v>-0.1161</v>
      </c>
      <c r="AM17" s="1" t="n">
        <v>-0.0512</v>
      </c>
      <c r="AN17" s="1" t="n">
        <v>-0.0688</v>
      </c>
      <c r="AO17" s="1" t="n">
        <v>-0.1475</v>
      </c>
      <c r="AP17" s="1" t="n">
        <v>-0.0149</v>
      </c>
      <c r="AQ17" s="1" t="n">
        <v>-0.0149</v>
      </c>
    </row>
    <row r="18" customFormat="false" ht="15" hidden="false" customHeight="true" outlineLevel="0" collapsed="false">
      <c r="B18" s="1" t="s">
        <v>263</v>
      </c>
      <c r="C18" s="1" t="s">
        <v>264</v>
      </c>
      <c r="D18" s="1" t="n">
        <v>2025</v>
      </c>
      <c r="E18" s="1" t="s">
        <v>87</v>
      </c>
      <c r="F18" s="1" t="n">
        <v>0</v>
      </c>
      <c r="G18" s="1" t="n">
        <v>1</v>
      </c>
      <c r="H18" s="1" t="s">
        <v>265</v>
      </c>
      <c r="I18" s="1" t="n">
        <v>0.9795</v>
      </c>
      <c r="J18" s="1" t="n">
        <v>0.9795</v>
      </c>
      <c r="K18" s="1" t="n">
        <v>0.88</v>
      </c>
      <c r="L18" s="1" t="n">
        <v>0.8175</v>
      </c>
      <c r="M18" s="1" t="n">
        <v>0.8175</v>
      </c>
      <c r="N18" s="1" t="n">
        <v>0.5153</v>
      </c>
      <c r="O18" s="1" t="n">
        <v>0.9425</v>
      </c>
      <c r="P18" s="1" t="n">
        <v>0.205</v>
      </c>
      <c r="Q18" s="1" t="n">
        <v>0.8175</v>
      </c>
      <c r="R18" s="1" t="n">
        <v>0.8175</v>
      </c>
      <c r="S18" s="1" t="n">
        <v>0.8425</v>
      </c>
      <c r="T18" s="1" t="n">
        <v>0.655</v>
      </c>
      <c r="U18" s="1" t="n">
        <v>0.8175</v>
      </c>
      <c r="V18" s="1" t="n">
        <v>0.8175</v>
      </c>
      <c r="W18" s="1" t="n">
        <v>0.8175</v>
      </c>
      <c r="X18" s="1" t="n">
        <v>0.93</v>
      </c>
      <c r="Y18" s="1" t="n">
        <v>0.8175</v>
      </c>
      <c r="Z18" s="1" t="n">
        <v>0.6675</v>
      </c>
      <c r="AA18" s="1" t="n">
        <v>0.88</v>
      </c>
      <c r="AB18" s="1" t="n">
        <v>0.5175</v>
      </c>
      <c r="AC18" s="1" t="n">
        <v>0.9775</v>
      </c>
      <c r="AD18" s="1" t="n">
        <v>0.9496</v>
      </c>
      <c r="AE18" s="1" t="n">
        <v>0.205</v>
      </c>
      <c r="AF18" s="1" t="n">
        <v>0.7925</v>
      </c>
      <c r="AG18" s="1" t="n">
        <v>0.921</v>
      </c>
      <c r="AH18" s="1" t="n">
        <v>0.973</v>
      </c>
      <c r="AI18" s="1" t="n">
        <v>0.955</v>
      </c>
      <c r="AJ18" s="1" t="n">
        <v>0.9741</v>
      </c>
      <c r="AK18" s="1" t="n">
        <v>0.8273</v>
      </c>
      <c r="AL18" s="1" t="n">
        <v>0.3911</v>
      </c>
      <c r="AM18" s="1" t="n">
        <v>0.605</v>
      </c>
      <c r="AN18" s="1" t="n">
        <v>0.8175</v>
      </c>
      <c r="AO18" s="1" t="n">
        <v>0.605</v>
      </c>
      <c r="AP18" s="1" t="n">
        <v>0.9698</v>
      </c>
      <c r="AQ18" s="1" t="n">
        <v>0.9698</v>
      </c>
    </row>
    <row r="19" customFormat="false" ht="15" hidden="false" customHeight="true" outlineLevel="0" collapsed="false">
      <c r="B19" s="1" t="s">
        <v>263</v>
      </c>
      <c r="C19" s="1" t="s">
        <v>266</v>
      </c>
      <c r="D19" s="1" t="n">
        <v>2025</v>
      </c>
      <c r="E19" s="1" t="s">
        <v>87</v>
      </c>
      <c r="F19" s="1" t="n">
        <v>0</v>
      </c>
      <c r="G19" s="1" t="n">
        <v>1</v>
      </c>
      <c r="H19" s="1" t="s">
        <v>267</v>
      </c>
      <c r="I19" s="1" t="n">
        <v>-0.0205</v>
      </c>
      <c r="J19" s="1" t="n">
        <v>-0.0205</v>
      </c>
      <c r="K19" s="1" t="n">
        <v>-0.12</v>
      </c>
      <c r="L19" s="1" t="n">
        <v>-0.1825</v>
      </c>
      <c r="M19" s="1" t="n">
        <v>-0.1825</v>
      </c>
      <c r="N19" s="1" t="n">
        <v>-0.4847</v>
      </c>
      <c r="O19" s="1" t="n">
        <v>-0.0575</v>
      </c>
      <c r="P19" s="1" t="n">
        <v>-0.795</v>
      </c>
      <c r="Q19" s="1" t="n">
        <v>-0.1825</v>
      </c>
      <c r="R19" s="1" t="n">
        <v>-0.1825</v>
      </c>
      <c r="S19" s="1" t="n">
        <v>-0.1575</v>
      </c>
      <c r="T19" s="1" t="n">
        <v>-0.345</v>
      </c>
      <c r="U19" s="1" t="n">
        <v>-0.1825</v>
      </c>
      <c r="V19" s="1" t="n">
        <v>-0.1825</v>
      </c>
      <c r="W19" s="1" t="n">
        <v>-0.1825</v>
      </c>
      <c r="X19" s="1" t="n">
        <v>-0.07</v>
      </c>
      <c r="Y19" s="1" t="n">
        <v>-0.1825</v>
      </c>
      <c r="Z19" s="1" t="n">
        <v>-0.3325</v>
      </c>
      <c r="AA19" s="1" t="n">
        <v>-0.12</v>
      </c>
      <c r="AB19" s="1" t="n">
        <v>-0.4825</v>
      </c>
      <c r="AC19" s="1" t="n">
        <v>-0.0225</v>
      </c>
      <c r="AD19" s="1" t="n">
        <v>-0.0504</v>
      </c>
      <c r="AE19" s="1" t="n">
        <v>-0.795</v>
      </c>
      <c r="AF19" s="1" t="n">
        <v>-0.2075</v>
      </c>
      <c r="AG19" s="1" t="n">
        <v>-0.079</v>
      </c>
      <c r="AH19" s="1" t="n">
        <v>-0.027</v>
      </c>
      <c r="AI19" s="1" t="n">
        <v>-0.045</v>
      </c>
      <c r="AJ19" s="1" t="n">
        <v>-0.0259</v>
      </c>
      <c r="AK19" s="1" t="n">
        <v>-0.1727</v>
      </c>
      <c r="AL19" s="1" t="n">
        <v>-0.6089</v>
      </c>
      <c r="AM19" s="1" t="n">
        <v>-0.395</v>
      </c>
      <c r="AN19" s="1" t="n">
        <v>-0.1825</v>
      </c>
      <c r="AO19" s="1" t="n">
        <v>-0.395</v>
      </c>
      <c r="AP19" s="1" t="n">
        <v>-0.0302</v>
      </c>
      <c r="AQ19" s="1" t="n">
        <v>-0.0302</v>
      </c>
    </row>
    <row r="20" customFormat="false" ht="15" hidden="false" customHeight="true" outlineLevel="0" collapsed="false">
      <c r="B20" s="1" t="s">
        <v>268</v>
      </c>
      <c r="C20" s="1" t="s">
        <v>269</v>
      </c>
      <c r="D20" s="1" t="n">
        <v>2020</v>
      </c>
      <c r="E20" s="1" t="s">
        <v>87</v>
      </c>
      <c r="F20" s="1" t="n">
        <v>0</v>
      </c>
      <c r="G20" s="1" t="n">
        <v>1</v>
      </c>
      <c r="H20" s="1" t="s">
        <v>270</v>
      </c>
      <c r="I20" s="1" t="n">
        <v>0.9861</v>
      </c>
      <c r="J20" s="1" t="n">
        <v>0.9861</v>
      </c>
      <c r="K20" s="1" t="n">
        <v>0.9889</v>
      </c>
      <c r="L20" s="1" t="n">
        <v>0.9865</v>
      </c>
      <c r="M20" s="1" t="n">
        <v>0.9865</v>
      </c>
      <c r="N20" s="1" t="n">
        <v>0.9839</v>
      </c>
      <c r="O20" s="1" t="n">
        <v>0.9899</v>
      </c>
      <c r="P20" s="1" t="n">
        <v>0.9832</v>
      </c>
      <c r="Q20" s="1" t="n">
        <v>0.9865</v>
      </c>
      <c r="R20" s="1" t="n">
        <v>0.9865</v>
      </c>
      <c r="S20" s="1" t="n">
        <v>0.9894</v>
      </c>
      <c r="T20" s="1" t="n">
        <v>0.9762</v>
      </c>
      <c r="U20" s="1" t="n">
        <v>0.9865</v>
      </c>
      <c r="V20" s="1" t="n">
        <v>0.9865</v>
      </c>
      <c r="W20" s="1" t="n">
        <v>0.9865</v>
      </c>
      <c r="X20" s="1" t="n">
        <v>0.9899</v>
      </c>
      <c r="Y20" s="1" t="n">
        <v>0.9865</v>
      </c>
      <c r="Z20" s="1" t="n">
        <v>0.9865</v>
      </c>
      <c r="AA20" s="1" t="n">
        <v>0.9897</v>
      </c>
      <c r="AB20" s="1" t="n">
        <v>0.9899</v>
      </c>
      <c r="AC20" s="1" t="n">
        <v>0.8875</v>
      </c>
      <c r="AD20" s="1" t="n">
        <v>0.9889</v>
      </c>
      <c r="AE20" s="1" t="n">
        <v>0.9844</v>
      </c>
      <c r="AF20" s="1" t="n">
        <v>0.9865</v>
      </c>
      <c r="AG20" s="1" t="n">
        <v>0.9845</v>
      </c>
      <c r="AH20" s="1" t="n">
        <v>0.9899</v>
      </c>
      <c r="AI20" s="1" t="n">
        <v>0.9899</v>
      </c>
      <c r="AJ20" s="1" t="n">
        <v>0.9861</v>
      </c>
      <c r="AK20" s="1" t="n">
        <v>0.9895</v>
      </c>
      <c r="AL20" s="1" t="n">
        <v>0.9858</v>
      </c>
      <c r="AM20" s="1" t="n">
        <v>0.978</v>
      </c>
      <c r="AN20" s="1" t="n">
        <v>0.9865</v>
      </c>
      <c r="AO20" s="1" t="n">
        <v>0.9895</v>
      </c>
      <c r="AP20" s="1" t="n">
        <v>0.9899</v>
      </c>
      <c r="AQ20" s="1" t="n">
        <v>0.9899</v>
      </c>
    </row>
    <row r="21" customFormat="false" ht="15" hidden="false" customHeight="true" outlineLevel="0" collapsed="false">
      <c r="B21" s="1" t="s">
        <v>268</v>
      </c>
      <c r="C21" s="1" t="s">
        <v>271</v>
      </c>
      <c r="D21" s="1" t="n">
        <v>2020</v>
      </c>
      <c r="E21" s="1" t="s">
        <v>87</v>
      </c>
      <c r="F21" s="1" t="n">
        <v>0</v>
      </c>
      <c r="G21" s="1" t="n">
        <v>1</v>
      </c>
      <c r="H21" s="1" t="s">
        <v>272</v>
      </c>
      <c r="I21" s="1" t="n">
        <v>-0.0139</v>
      </c>
      <c r="J21" s="1" t="n">
        <v>-0.0139</v>
      </c>
      <c r="K21" s="1" t="n">
        <v>-0.0112</v>
      </c>
      <c r="L21" s="1" t="n">
        <v>-0.0135</v>
      </c>
      <c r="M21" s="1" t="n">
        <v>-0.0135</v>
      </c>
      <c r="N21" s="1" t="n">
        <v>-0.0161</v>
      </c>
      <c r="O21" s="1" t="n">
        <v>-0.0101</v>
      </c>
      <c r="P21" s="1" t="n">
        <v>-0.0168</v>
      </c>
      <c r="Q21" s="1" t="n">
        <v>-0.0135</v>
      </c>
      <c r="R21" s="1" t="n">
        <v>-0.0135</v>
      </c>
      <c r="S21" s="1" t="n">
        <v>-0.0106</v>
      </c>
      <c r="T21" s="1" t="n">
        <v>-0.0238</v>
      </c>
      <c r="U21" s="1" t="n">
        <v>-0.0135</v>
      </c>
      <c r="V21" s="1" t="n">
        <v>-0.0135</v>
      </c>
      <c r="W21" s="1" t="n">
        <v>-0.0135</v>
      </c>
      <c r="X21" s="1" t="n">
        <v>-0.0101</v>
      </c>
      <c r="Y21" s="1" t="n">
        <v>-0.0135</v>
      </c>
      <c r="Z21" s="1" t="n">
        <v>-0.0135</v>
      </c>
      <c r="AA21" s="1" t="n">
        <v>-0.0103</v>
      </c>
      <c r="AB21" s="1" t="n">
        <v>-0.0101</v>
      </c>
      <c r="AC21" s="1" t="n">
        <v>-0.1125</v>
      </c>
      <c r="AD21" s="1" t="n">
        <v>-0.0112</v>
      </c>
      <c r="AE21" s="1" t="n">
        <v>-0.0156</v>
      </c>
      <c r="AF21" s="1" t="n">
        <v>-0.0135</v>
      </c>
      <c r="AG21" s="1" t="n">
        <v>-0.0155</v>
      </c>
      <c r="AH21" s="1" t="n">
        <v>-0.0101</v>
      </c>
      <c r="AI21" s="1" t="n">
        <v>-0.0101</v>
      </c>
      <c r="AJ21" s="1" t="n">
        <v>-0.0139</v>
      </c>
      <c r="AK21" s="1" t="n">
        <v>-0.0105</v>
      </c>
      <c r="AL21" s="1" t="n">
        <v>-0.0142</v>
      </c>
      <c r="AM21" s="1" t="n">
        <v>-0.022</v>
      </c>
      <c r="AN21" s="1" t="n">
        <v>-0.0135</v>
      </c>
      <c r="AO21" s="1" t="n">
        <v>-0.0105</v>
      </c>
      <c r="AP21" s="1" t="n">
        <v>-0.0101</v>
      </c>
      <c r="AQ21" s="1" t="n">
        <v>-0.0101</v>
      </c>
    </row>
    <row r="22" customFormat="false" ht="15" hidden="false" customHeight="true" outlineLevel="0" collapsed="false">
      <c r="B22" s="1" t="s">
        <v>268</v>
      </c>
      <c r="C22" s="1" t="s">
        <v>269</v>
      </c>
      <c r="D22" s="1" t="n">
        <v>2025</v>
      </c>
      <c r="E22" s="1" t="s">
        <v>87</v>
      </c>
      <c r="F22" s="1" t="n">
        <v>0</v>
      </c>
      <c r="G22" s="1" t="n">
        <v>1</v>
      </c>
      <c r="H22" s="1" t="s">
        <v>270</v>
      </c>
      <c r="I22" s="1" t="n">
        <v>0.9795</v>
      </c>
      <c r="J22" s="1" t="n">
        <v>0.9795</v>
      </c>
      <c r="K22" s="1" t="n">
        <v>0.955</v>
      </c>
      <c r="L22" s="1" t="n">
        <v>0.9425</v>
      </c>
      <c r="M22" s="1" t="n">
        <v>0.9425</v>
      </c>
      <c r="N22" s="1" t="n">
        <v>0.8675</v>
      </c>
      <c r="O22" s="1" t="n">
        <v>0.9772</v>
      </c>
      <c r="P22" s="1" t="n">
        <v>0.655</v>
      </c>
      <c r="Q22" s="1" t="n">
        <v>0.9425</v>
      </c>
      <c r="R22" s="1" t="n">
        <v>0.9425</v>
      </c>
      <c r="S22" s="1" t="n">
        <v>0.93</v>
      </c>
      <c r="T22" s="1" t="n">
        <v>0.905</v>
      </c>
      <c r="U22" s="1" t="n">
        <v>0.9425</v>
      </c>
      <c r="V22" s="1" t="n">
        <v>0.9425</v>
      </c>
      <c r="W22" s="1" t="n">
        <v>0.9425</v>
      </c>
      <c r="X22" s="1" t="n">
        <v>0.9793</v>
      </c>
      <c r="Y22" s="1" t="n">
        <v>0.9425</v>
      </c>
      <c r="Z22" s="1" t="n">
        <v>0.9425</v>
      </c>
      <c r="AA22" s="1" t="n">
        <v>0.955</v>
      </c>
      <c r="AB22" s="1" t="n">
        <v>0.9772</v>
      </c>
      <c r="AC22" s="1" t="n">
        <v>0.855</v>
      </c>
      <c r="AD22" s="1" t="n">
        <v>0.955</v>
      </c>
      <c r="AE22" s="1" t="n">
        <v>0.755</v>
      </c>
      <c r="AF22" s="1" t="n">
        <v>0.9425</v>
      </c>
      <c r="AG22" s="1" t="n">
        <v>0.979</v>
      </c>
      <c r="AH22" s="1" t="n">
        <v>0.9793</v>
      </c>
      <c r="AI22" s="1" t="n">
        <v>0.9798</v>
      </c>
      <c r="AJ22" s="1" t="n">
        <v>0.9769</v>
      </c>
      <c r="AK22" s="1" t="n">
        <v>0.9685</v>
      </c>
      <c r="AL22" s="1" t="n">
        <v>0.8186</v>
      </c>
      <c r="AM22" s="1" t="n">
        <v>0.7175</v>
      </c>
      <c r="AN22" s="1" t="n">
        <v>0.9425</v>
      </c>
      <c r="AO22" s="1" t="n">
        <v>0.905</v>
      </c>
      <c r="AP22" s="1" t="n">
        <v>0.9793</v>
      </c>
      <c r="AQ22" s="1" t="n">
        <v>0.9793</v>
      </c>
    </row>
    <row r="23" customFormat="false" ht="15" hidden="false" customHeight="true" outlineLevel="0" collapsed="false">
      <c r="B23" s="1" t="s">
        <v>268</v>
      </c>
      <c r="C23" s="1" t="s">
        <v>271</v>
      </c>
      <c r="D23" s="1" t="n">
        <v>2025</v>
      </c>
      <c r="E23" s="1" t="s">
        <v>87</v>
      </c>
      <c r="F23" s="1" t="n">
        <v>0</v>
      </c>
      <c r="G23" s="1" t="n">
        <v>1</v>
      </c>
      <c r="H23" s="1" t="s">
        <v>272</v>
      </c>
      <c r="I23" s="1" t="n">
        <v>-0.0205</v>
      </c>
      <c r="J23" s="1" t="n">
        <v>-0.0205</v>
      </c>
      <c r="K23" s="1" t="n">
        <v>-0.045</v>
      </c>
      <c r="L23" s="1" t="n">
        <v>-0.0575</v>
      </c>
      <c r="M23" s="1" t="n">
        <v>-0.0575</v>
      </c>
      <c r="N23" s="1" t="n">
        <v>-0.1325</v>
      </c>
      <c r="O23" s="1" t="n">
        <v>-0.0227</v>
      </c>
      <c r="P23" s="1" t="n">
        <v>-0.345</v>
      </c>
      <c r="Q23" s="1" t="n">
        <v>-0.0575</v>
      </c>
      <c r="R23" s="1" t="n">
        <v>-0.0575</v>
      </c>
      <c r="S23" s="1" t="n">
        <v>-0.07</v>
      </c>
      <c r="T23" s="1" t="n">
        <v>-0.095</v>
      </c>
      <c r="U23" s="1" t="n">
        <v>-0.0575</v>
      </c>
      <c r="V23" s="1" t="n">
        <v>-0.0575</v>
      </c>
      <c r="W23" s="1" t="n">
        <v>-0.0575</v>
      </c>
      <c r="X23" s="1" t="n">
        <v>-0.0207</v>
      </c>
      <c r="Y23" s="1" t="n">
        <v>-0.0575</v>
      </c>
      <c r="Z23" s="1" t="n">
        <v>-0.0575</v>
      </c>
      <c r="AA23" s="1" t="n">
        <v>-0.045</v>
      </c>
      <c r="AB23" s="1" t="n">
        <v>-0.0227</v>
      </c>
      <c r="AC23" s="1" t="n">
        <v>-0.145</v>
      </c>
      <c r="AD23" s="1" t="n">
        <v>-0.045</v>
      </c>
      <c r="AE23" s="1" t="n">
        <v>-0.245</v>
      </c>
      <c r="AF23" s="1" t="n">
        <v>-0.0575</v>
      </c>
      <c r="AG23" s="1" t="n">
        <v>-0.021</v>
      </c>
      <c r="AH23" s="1" t="n">
        <v>-0.0207</v>
      </c>
      <c r="AI23" s="1" t="n">
        <v>-0.0202</v>
      </c>
      <c r="AJ23" s="1" t="n">
        <v>-0.0231</v>
      </c>
      <c r="AK23" s="1" t="n">
        <v>-0.0315</v>
      </c>
      <c r="AL23" s="1" t="n">
        <v>-0.1814</v>
      </c>
      <c r="AM23" s="1" t="n">
        <v>-0.2825</v>
      </c>
      <c r="AN23" s="1" t="n">
        <v>-0.0575</v>
      </c>
      <c r="AO23" s="1" t="n">
        <v>-0.095</v>
      </c>
      <c r="AP23" s="1" t="n">
        <v>-0.0207</v>
      </c>
      <c r="AQ23" s="1" t="n">
        <v>-0.0207</v>
      </c>
    </row>
    <row r="24" customFormat="false" ht="15" hidden="false" customHeight="true" outlineLevel="0" collapsed="false">
      <c r="B24" s="1" t="s">
        <v>273</v>
      </c>
      <c r="C24" s="1" t="s">
        <v>274</v>
      </c>
      <c r="D24" s="1" t="n">
        <v>2020</v>
      </c>
      <c r="E24" s="1" t="s">
        <v>87</v>
      </c>
      <c r="F24" s="1" t="n">
        <v>0</v>
      </c>
      <c r="G24" s="1" t="n">
        <v>1</v>
      </c>
      <c r="H24" s="1" t="s">
        <v>275</v>
      </c>
      <c r="I24" s="1" t="n">
        <v>0.9894</v>
      </c>
      <c r="J24" s="1" t="n">
        <v>0.9894</v>
      </c>
      <c r="K24" s="1" t="n">
        <v>0.9637</v>
      </c>
      <c r="L24" s="1" t="n">
        <v>0.92</v>
      </c>
      <c r="M24" s="1" t="n">
        <v>0.9225</v>
      </c>
      <c r="N24" s="1" t="n">
        <v>0.7591</v>
      </c>
      <c r="O24" s="1" t="n">
        <v>0.9884</v>
      </c>
      <c r="P24" s="1" t="n">
        <v>0.4275</v>
      </c>
      <c r="Q24" s="1" t="n">
        <v>0.9225</v>
      </c>
      <c r="R24" s="1" t="n">
        <v>0.9225</v>
      </c>
      <c r="S24" s="1" t="n">
        <v>0.9337</v>
      </c>
      <c r="T24" s="1" t="n">
        <v>0.965</v>
      </c>
      <c r="U24" s="1" t="n">
        <v>0.9842</v>
      </c>
      <c r="V24" s="1" t="n">
        <v>0.9225</v>
      </c>
      <c r="W24" s="1" t="n">
        <v>0.3025</v>
      </c>
      <c r="X24" s="1" t="n">
        <v>0.9798</v>
      </c>
      <c r="Y24" s="1" t="n">
        <v>0.9225</v>
      </c>
      <c r="Z24" s="1" t="n">
        <v>0.9375</v>
      </c>
      <c r="AA24" s="1" t="n">
        <v>0.9831</v>
      </c>
      <c r="AB24" s="1" t="n">
        <v>0.9787</v>
      </c>
      <c r="AC24" s="1" t="n">
        <v>0.9774</v>
      </c>
      <c r="AD24" s="1" t="n">
        <v>0.9818</v>
      </c>
      <c r="AE24" s="1" t="n">
        <v>0.8975</v>
      </c>
      <c r="AF24" s="1" t="n">
        <v>0.9313</v>
      </c>
      <c r="AG24" s="1" t="n">
        <v>0.9625</v>
      </c>
      <c r="AH24" s="1" t="n">
        <v>0.9899</v>
      </c>
      <c r="AI24" s="1" t="n">
        <v>0.99</v>
      </c>
      <c r="AJ24" s="1" t="n">
        <v>0.9859</v>
      </c>
      <c r="AK24" s="1" t="n">
        <v>0.9087</v>
      </c>
      <c r="AL24" s="1" t="n">
        <v>0.8075</v>
      </c>
      <c r="AM24" s="1" t="n">
        <v>0.9587</v>
      </c>
      <c r="AN24" s="1" t="n">
        <v>0.95</v>
      </c>
      <c r="AO24" s="1" t="n">
        <v>0.9688</v>
      </c>
      <c r="AP24" s="1" t="n">
        <v>0.9725</v>
      </c>
      <c r="AQ24" s="1" t="n">
        <v>0.9725</v>
      </c>
    </row>
    <row r="25" customFormat="false" ht="15" hidden="false" customHeight="true" outlineLevel="0" collapsed="false">
      <c r="B25" s="1" t="s">
        <v>273</v>
      </c>
      <c r="C25" s="1" t="s">
        <v>276</v>
      </c>
      <c r="D25" s="1" t="n">
        <v>2020</v>
      </c>
      <c r="E25" s="1" t="s">
        <v>87</v>
      </c>
      <c r="F25" s="1" t="n">
        <v>0</v>
      </c>
      <c r="G25" s="1" t="n">
        <v>1</v>
      </c>
      <c r="H25" s="1" t="s">
        <v>277</v>
      </c>
      <c r="I25" s="1" t="n">
        <v>-0.0106</v>
      </c>
      <c r="J25" s="1" t="n">
        <v>-0.0106</v>
      </c>
      <c r="K25" s="1" t="n">
        <v>-0.0362</v>
      </c>
      <c r="L25" s="1" t="n">
        <v>-0.08</v>
      </c>
      <c r="M25" s="1" t="n">
        <v>-0.0775</v>
      </c>
      <c r="N25" s="1" t="n">
        <v>-0.2409</v>
      </c>
      <c r="O25" s="1" t="n">
        <v>-0.0116</v>
      </c>
      <c r="P25" s="1" t="n">
        <v>-0.5725</v>
      </c>
      <c r="Q25" s="1" t="n">
        <v>-0.0775</v>
      </c>
      <c r="R25" s="1" t="n">
        <v>-0.0775</v>
      </c>
      <c r="S25" s="1" t="n">
        <v>-0.0663</v>
      </c>
      <c r="T25" s="1" t="n">
        <v>-0.035</v>
      </c>
      <c r="U25" s="1" t="n">
        <v>-0.0157</v>
      </c>
      <c r="V25" s="1" t="n">
        <v>-0.0775</v>
      </c>
      <c r="W25" s="1" t="n">
        <v>-0.6975</v>
      </c>
      <c r="X25" s="1" t="n">
        <v>-0.0203</v>
      </c>
      <c r="Y25" s="1" t="n">
        <v>-0.0775</v>
      </c>
      <c r="Z25" s="1" t="n">
        <v>-0.0625</v>
      </c>
      <c r="AA25" s="1" t="n">
        <v>-0.0169</v>
      </c>
      <c r="AB25" s="1" t="n">
        <v>-0.0213</v>
      </c>
      <c r="AC25" s="1" t="n">
        <v>-0.0226</v>
      </c>
      <c r="AD25" s="1" t="n">
        <v>-0.0182</v>
      </c>
      <c r="AE25" s="1" t="n">
        <v>-0.1025</v>
      </c>
      <c r="AF25" s="1" t="n">
        <v>-0.0688</v>
      </c>
      <c r="AG25" s="1" t="n">
        <v>-0.0375</v>
      </c>
      <c r="AH25" s="1" t="n">
        <v>-0.01</v>
      </c>
      <c r="AI25" s="1" t="n">
        <v>-0.01</v>
      </c>
      <c r="AJ25" s="1" t="n">
        <v>-0.0141</v>
      </c>
      <c r="AK25" s="1" t="n">
        <v>-0.0913</v>
      </c>
      <c r="AL25" s="1" t="n">
        <v>-0.1925</v>
      </c>
      <c r="AM25" s="1" t="n">
        <v>-0.0413</v>
      </c>
      <c r="AN25" s="1" t="n">
        <v>-0.05</v>
      </c>
      <c r="AO25" s="1" t="n">
        <v>-0.0312</v>
      </c>
      <c r="AP25" s="1" t="n">
        <v>-0.0275</v>
      </c>
      <c r="AQ25" s="1" t="n">
        <v>-0.0275</v>
      </c>
    </row>
    <row r="26" customFormat="false" ht="15" hidden="false" customHeight="true" outlineLevel="0" collapsed="false">
      <c r="B26" s="1" t="s">
        <v>273</v>
      </c>
      <c r="C26" s="1" t="s">
        <v>274</v>
      </c>
      <c r="D26" s="1" t="n">
        <v>2025</v>
      </c>
      <c r="E26" s="1" t="s">
        <v>87</v>
      </c>
      <c r="F26" s="1" t="n">
        <v>0</v>
      </c>
      <c r="G26" s="1" t="n">
        <v>1</v>
      </c>
      <c r="H26" s="1" t="s">
        <v>275</v>
      </c>
      <c r="I26" s="1" t="n">
        <v>0.955</v>
      </c>
      <c r="J26" s="1" t="n">
        <v>0.955</v>
      </c>
      <c r="K26" s="1" t="n">
        <v>0.955</v>
      </c>
      <c r="L26" s="1" t="n">
        <v>0.8925</v>
      </c>
      <c r="M26" s="1" t="n">
        <v>0.8425</v>
      </c>
      <c r="N26" s="1" t="n">
        <v>0.8043</v>
      </c>
      <c r="O26" s="1" t="n">
        <v>0.975</v>
      </c>
      <c r="P26" s="1" t="n">
        <v>0.355</v>
      </c>
      <c r="Q26" s="1" t="n">
        <v>0.8425</v>
      </c>
      <c r="R26" s="1" t="n">
        <v>0.8425</v>
      </c>
      <c r="S26" s="1" t="n">
        <v>0.855</v>
      </c>
      <c r="T26" s="1" t="n">
        <v>0.9175</v>
      </c>
      <c r="U26" s="1" t="n">
        <v>0.9675</v>
      </c>
      <c r="V26" s="1" t="n">
        <v>0.8425</v>
      </c>
      <c r="W26" s="1" t="n">
        <v>0.8675</v>
      </c>
      <c r="X26" s="1" t="n">
        <v>0.855</v>
      </c>
      <c r="Y26" s="1" t="n">
        <v>0.8425</v>
      </c>
      <c r="Z26" s="1" t="n">
        <v>0.955</v>
      </c>
      <c r="AA26" s="1" t="n">
        <v>0.88</v>
      </c>
      <c r="AB26" s="1" t="n">
        <v>0.9753</v>
      </c>
      <c r="AC26" s="1" t="n">
        <v>0.8925</v>
      </c>
      <c r="AD26" s="1" t="n">
        <v>0.9707</v>
      </c>
      <c r="AE26" s="1" t="n">
        <v>0.8425</v>
      </c>
      <c r="AF26" s="1" t="n">
        <v>0.9175</v>
      </c>
      <c r="AG26" s="1" t="n">
        <v>0.919</v>
      </c>
      <c r="AH26" s="1" t="n">
        <v>0.905</v>
      </c>
      <c r="AI26" s="1" t="n">
        <v>0.9425</v>
      </c>
      <c r="AJ26" s="1" t="n">
        <v>0.9425</v>
      </c>
      <c r="AK26" s="1" t="n">
        <v>0.9226</v>
      </c>
      <c r="AL26" s="1" t="n">
        <v>0.6681</v>
      </c>
      <c r="AM26" s="1" t="n">
        <v>0.905</v>
      </c>
      <c r="AN26" s="1" t="n">
        <v>0.7425</v>
      </c>
      <c r="AO26" s="1" t="n">
        <v>0.9175</v>
      </c>
      <c r="AP26" s="1" t="n">
        <v>0.905</v>
      </c>
      <c r="AQ26" s="1" t="n">
        <v>0.905</v>
      </c>
    </row>
    <row r="27" customFormat="false" ht="15" hidden="false" customHeight="true" outlineLevel="0" collapsed="false">
      <c r="B27" s="1" t="s">
        <v>273</v>
      </c>
      <c r="C27" s="1" t="s">
        <v>276</v>
      </c>
      <c r="D27" s="1" t="n">
        <v>2025</v>
      </c>
      <c r="E27" s="1" t="s">
        <v>87</v>
      </c>
      <c r="F27" s="1" t="n">
        <v>0</v>
      </c>
      <c r="G27" s="1" t="n">
        <v>1</v>
      </c>
      <c r="H27" s="1" t="s">
        <v>277</v>
      </c>
      <c r="I27" s="1" t="n">
        <v>-0.045</v>
      </c>
      <c r="J27" s="1" t="n">
        <v>-0.045</v>
      </c>
      <c r="K27" s="1" t="n">
        <v>-0.045</v>
      </c>
      <c r="L27" s="1" t="n">
        <v>-0.1075</v>
      </c>
      <c r="M27" s="1" t="n">
        <v>-0.1575</v>
      </c>
      <c r="N27" s="1" t="n">
        <v>-0.1957</v>
      </c>
      <c r="O27" s="1" t="n">
        <v>-0.025</v>
      </c>
      <c r="P27" s="1" t="n">
        <v>-0.645</v>
      </c>
      <c r="Q27" s="1" t="n">
        <v>-0.1575</v>
      </c>
      <c r="R27" s="1" t="n">
        <v>-0.1575</v>
      </c>
      <c r="S27" s="1" t="n">
        <v>-0.145</v>
      </c>
      <c r="T27" s="1" t="n">
        <v>-0.0825</v>
      </c>
      <c r="U27" s="1" t="n">
        <v>-0.0325</v>
      </c>
      <c r="V27" s="1" t="n">
        <v>-0.1575</v>
      </c>
      <c r="W27" s="1" t="n">
        <v>-0.1325</v>
      </c>
      <c r="X27" s="1" t="n">
        <v>-0.145</v>
      </c>
      <c r="Y27" s="1" t="n">
        <v>-0.1575</v>
      </c>
      <c r="Z27" s="1" t="n">
        <v>-0.045</v>
      </c>
      <c r="AA27" s="1" t="n">
        <v>-0.12</v>
      </c>
      <c r="AB27" s="1" t="n">
        <v>-0.0247</v>
      </c>
      <c r="AC27" s="1" t="n">
        <v>-0.1075</v>
      </c>
      <c r="AD27" s="1" t="n">
        <v>-0.0293</v>
      </c>
      <c r="AE27" s="1" t="n">
        <v>-0.1575</v>
      </c>
      <c r="AF27" s="1" t="n">
        <v>-0.0825</v>
      </c>
      <c r="AG27" s="1" t="n">
        <v>-0.081</v>
      </c>
      <c r="AH27" s="1" t="n">
        <v>-0.095</v>
      </c>
      <c r="AI27" s="1" t="n">
        <v>-0.0575</v>
      </c>
      <c r="AJ27" s="1" t="n">
        <v>-0.0575</v>
      </c>
      <c r="AK27" s="1" t="n">
        <v>-0.0774</v>
      </c>
      <c r="AL27" s="1" t="n">
        <v>-0.3319</v>
      </c>
      <c r="AM27" s="1" t="n">
        <v>-0.095</v>
      </c>
      <c r="AN27" s="1" t="n">
        <v>-0.2575</v>
      </c>
      <c r="AO27" s="1" t="n">
        <v>-0.0825</v>
      </c>
      <c r="AP27" s="1" t="n">
        <v>-0.095</v>
      </c>
      <c r="AQ27" s="1" t="n">
        <v>-0.095</v>
      </c>
    </row>
    <row r="31" customFormat="false" ht="15" hidden="false" customHeight="true" outlineLevel="0" collapsed="false">
      <c r="B31" s="42" t="s">
        <v>278</v>
      </c>
    </row>
    <row r="32" customFormat="false" ht="15" hidden="false" customHeight="true" outlineLevel="0" collapsed="false">
      <c r="B32" s="1" t="s">
        <v>279</v>
      </c>
      <c r="C32" s="1" t="s">
        <v>13</v>
      </c>
      <c r="H32" s="1" t="s">
        <v>207</v>
      </c>
      <c r="I32" s="1" t="s">
        <v>208</v>
      </c>
      <c r="J32" s="1" t="s">
        <v>209</v>
      </c>
      <c r="K32" s="1" t="s">
        <v>210</v>
      </c>
      <c r="L32" s="1" t="s">
        <v>211</v>
      </c>
      <c r="M32" s="1" t="s">
        <v>212</v>
      </c>
      <c r="N32" s="1" t="s">
        <v>213</v>
      </c>
      <c r="O32" s="1" t="s">
        <v>214</v>
      </c>
      <c r="P32" s="1" t="s">
        <v>215</v>
      </c>
      <c r="Q32" s="1" t="s">
        <v>216</v>
      </c>
      <c r="R32" s="1" t="s">
        <v>217</v>
      </c>
      <c r="S32" s="1" t="s">
        <v>218</v>
      </c>
      <c r="T32" s="1" t="s">
        <v>219</v>
      </c>
      <c r="U32" s="1" t="s">
        <v>220</v>
      </c>
      <c r="V32" s="1" t="s">
        <v>221</v>
      </c>
      <c r="W32" s="1" t="s">
        <v>222</v>
      </c>
      <c r="X32" s="1" t="s">
        <v>223</v>
      </c>
      <c r="Y32" s="1" t="s">
        <v>224</v>
      </c>
      <c r="Z32" s="1" t="s">
        <v>225</v>
      </c>
      <c r="AA32" s="1" t="s">
        <v>226</v>
      </c>
      <c r="AB32" s="1" t="s">
        <v>227</v>
      </c>
      <c r="AC32" s="1" t="s">
        <v>228</v>
      </c>
      <c r="AD32" s="1" t="s">
        <v>229</v>
      </c>
      <c r="AE32" s="1" t="s">
        <v>230</v>
      </c>
      <c r="AF32" s="1" t="s">
        <v>231</v>
      </c>
      <c r="AG32" s="1" t="s">
        <v>232</v>
      </c>
      <c r="AH32" s="1" t="s">
        <v>233</v>
      </c>
      <c r="AI32" s="1" t="s">
        <v>234</v>
      </c>
      <c r="AJ32" s="1" t="s">
        <v>235</v>
      </c>
      <c r="AK32" s="1" t="s">
        <v>236</v>
      </c>
      <c r="AL32" s="1" t="s">
        <v>237</v>
      </c>
      <c r="AM32" s="1" t="s">
        <v>238</v>
      </c>
      <c r="AN32" s="1" t="s">
        <v>239</v>
      </c>
      <c r="AO32" s="1" t="s">
        <v>240</v>
      </c>
      <c r="AP32" s="1" t="s">
        <v>241</v>
      </c>
    </row>
    <row r="33" customFormat="false" ht="15" hidden="false" customHeight="true" outlineLevel="0" collapsed="false">
      <c r="B33" s="1" t="s">
        <v>280</v>
      </c>
      <c r="C33" s="1" t="s">
        <v>281</v>
      </c>
      <c r="H33" s="1" t="n">
        <v>1</v>
      </c>
      <c r="I33" s="1" t="n">
        <v>1</v>
      </c>
      <c r="J33" s="1" t="n">
        <v>2.2</v>
      </c>
      <c r="K33" s="1" t="n">
        <v>12.9</v>
      </c>
      <c r="L33" s="1" t="n">
        <v>3</v>
      </c>
      <c r="M33" s="1" t="n">
        <v>22.2</v>
      </c>
      <c r="N33" s="1" t="n">
        <v>1.2</v>
      </c>
      <c r="O33" s="1" t="n">
        <v>8.1</v>
      </c>
      <c r="P33" s="1" t="n">
        <v>4.3</v>
      </c>
      <c r="Q33" s="1" t="n">
        <v>4.1</v>
      </c>
      <c r="R33" s="1" t="n">
        <v>14.8</v>
      </c>
      <c r="S33" s="1" t="n">
        <v>18.5</v>
      </c>
      <c r="T33" s="1" t="n">
        <v>4.2</v>
      </c>
      <c r="U33" s="1" t="n">
        <v>5.9</v>
      </c>
      <c r="V33" s="1" t="n">
        <v>66</v>
      </c>
      <c r="W33" s="1" t="n">
        <v>1.1</v>
      </c>
      <c r="X33" s="1" t="n">
        <v>10.3</v>
      </c>
      <c r="Y33" s="1" t="n">
        <v>6.2</v>
      </c>
      <c r="Z33" s="1" t="n">
        <v>2</v>
      </c>
      <c r="AA33" s="1" t="n">
        <v>1.8</v>
      </c>
      <c r="AB33" s="1" t="n">
        <v>3.3</v>
      </c>
      <c r="AC33" s="1" t="n">
        <v>4</v>
      </c>
      <c r="AD33" s="1" t="n">
        <v>94.8</v>
      </c>
      <c r="AE33" s="1" t="n">
        <v>3.4</v>
      </c>
      <c r="AF33" s="1" t="n">
        <v>3</v>
      </c>
      <c r="AG33" s="1" t="n">
        <v>1.1</v>
      </c>
      <c r="AH33" s="1" t="n">
        <v>1.1</v>
      </c>
      <c r="AI33" s="1" t="n">
        <v>1.1</v>
      </c>
      <c r="AJ33" s="1" t="n">
        <v>8.1</v>
      </c>
      <c r="AK33" s="1" t="n">
        <v>31.4</v>
      </c>
      <c r="AL33" s="1" t="n">
        <v>18.5</v>
      </c>
      <c r="AM33" s="1" t="n">
        <v>1.3</v>
      </c>
      <c r="AN33" s="1" t="n">
        <v>14.8</v>
      </c>
      <c r="AO33" s="1" t="n">
        <v>1.3</v>
      </c>
      <c r="AP33" s="1" t="n">
        <v>1.3</v>
      </c>
    </row>
    <row r="34" customFormat="false" ht="15" hidden="false" customHeight="true" outlineLevel="0" collapsed="false">
      <c r="B34" s="1" t="s">
        <v>280</v>
      </c>
      <c r="C34" s="1" t="s">
        <v>282</v>
      </c>
      <c r="H34" s="1" t="n">
        <v>3.2</v>
      </c>
      <c r="I34" s="1" t="n">
        <v>3.2</v>
      </c>
      <c r="J34" s="1" t="n">
        <v>20.7</v>
      </c>
      <c r="K34" s="1" t="n">
        <v>40.8</v>
      </c>
      <c r="L34" s="1" t="n">
        <v>24.6</v>
      </c>
      <c r="M34" s="1" t="n">
        <v>64.5</v>
      </c>
      <c r="N34" s="1" t="n">
        <v>13.2</v>
      </c>
      <c r="O34" s="1" t="n">
        <v>68.3</v>
      </c>
      <c r="P34" s="1" t="n">
        <v>14</v>
      </c>
      <c r="Q34" s="1" t="n">
        <v>14.2</v>
      </c>
      <c r="R34" s="1" t="n">
        <v>34.5</v>
      </c>
      <c r="S34" s="1" t="n">
        <v>39.5</v>
      </c>
      <c r="T34" s="1" t="n">
        <v>19.6</v>
      </c>
      <c r="U34" s="1" t="n">
        <v>13.1</v>
      </c>
      <c r="V34" s="1" t="n">
        <v>79.5</v>
      </c>
      <c r="W34" s="1" t="n">
        <v>7</v>
      </c>
      <c r="X34" s="1" t="n">
        <v>44.5</v>
      </c>
      <c r="Y34" s="1" t="n">
        <v>18.3</v>
      </c>
      <c r="Z34" s="1" t="n">
        <v>5.8</v>
      </c>
      <c r="AA34" s="1" t="n">
        <v>14.7</v>
      </c>
      <c r="AB34" s="1" t="n">
        <v>20.8</v>
      </c>
      <c r="AC34" s="1" t="n">
        <v>14.3</v>
      </c>
      <c r="AD34" s="1" t="n">
        <v>100</v>
      </c>
      <c r="AE34" s="1" t="n">
        <v>19.5</v>
      </c>
      <c r="AF34" s="1" t="n">
        <v>20.2</v>
      </c>
      <c r="AG34" s="1" t="n">
        <v>4.5</v>
      </c>
      <c r="AH34" s="1" t="n">
        <v>7</v>
      </c>
      <c r="AI34" s="1" t="n">
        <v>3.1</v>
      </c>
      <c r="AJ34" s="1" t="n">
        <v>30.7</v>
      </c>
      <c r="AK34" s="1" t="n">
        <v>81.9</v>
      </c>
      <c r="AL34" s="1" t="n">
        <v>44.5</v>
      </c>
      <c r="AM34" s="1" t="n">
        <v>29.5</v>
      </c>
      <c r="AN34" s="1" t="n">
        <v>45.7</v>
      </c>
      <c r="AO34" s="1" t="n">
        <v>9.5</v>
      </c>
      <c r="AP34" s="1" t="n">
        <v>9.5</v>
      </c>
    </row>
    <row r="35" customFormat="false" ht="15" hidden="false" customHeight="true" outlineLevel="0" collapsed="false">
      <c r="B35" s="1" t="s">
        <v>283</v>
      </c>
      <c r="C35" s="1" t="s">
        <v>281</v>
      </c>
      <c r="H35" s="1" t="n">
        <v>1</v>
      </c>
      <c r="I35" s="1" t="n">
        <v>1</v>
      </c>
      <c r="J35" s="1" t="n">
        <v>2.6</v>
      </c>
      <c r="K35" s="1" t="n">
        <v>3.5</v>
      </c>
      <c r="L35" s="1" t="n">
        <v>3.5</v>
      </c>
      <c r="M35" s="1" t="n">
        <v>3.1</v>
      </c>
      <c r="N35" s="1" t="n">
        <v>1</v>
      </c>
      <c r="O35" s="1" t="n">
        <v>1.4</v>
      </c>
      <c r="P35" s="1" t="n">
        <v>3.5</v>
      </c>
      <c r="Q35" s="1" t="n">
        <v>3.5</v>
      </c>
      <c r="R35" s="1" t="n">
        <v>3.5</v>
      </c>
      <c r="S35" s="1" t="n">
        <v>5.4</v>
      </c>
      <c r="T35" s="1" t="n">
        <v>3.5</v>
      </c>
      <c r="U35" s="1" t="n">
        <v>3.5</v>
      </c>
      <c r="V35" s="1" t="n">
        <v>3.5</v>
      </c>
      <c r="W35" s="1" t="n">
        <v>1.3</v>
      </c>
      <c r="X35" s="1" t="n">
        <v>3.5</v>
      </c>
      <c r="Y35" s="1" t="n">
        <v>2.1</v>
      </c>
      <c r="Z35" s="1" t="n">
        <v>1.3</v>
      </c>
      <c r="AA35" s="1" t="n">
        <v>1.6</v>
      </c>
      <c r="AB35" s="1" t="n">
        <v>2.4</v>
      </c>
      <c r="AC35" s="1" t="n">
        <v>2.7</v>
      </c>
      <c r="AD35" s="1" t="n">
        <v>11.6</v>
      </c>
      <c r="AE35" s="1" t="n">
        <v>1.5</v>
      </c>
      <c r="AF35" s="1" t="n">
        <v>8.3</v>
      </c>
      <c r="AG35" s="1" t="n">
        <v>1</v>
      </c>
      <c r="AH35" s="1" t="n">
        <v>1</v>
      </c>
      <c r="AI35" s="1" t="n">
        <v>1.1</v>
      </c>
      <c r="AJ35" s="1" t="n">
        <v>3.6</v>
      </c>
      <c r="AK35" s="1" t="n">
        <v>5.9</v>
      </c>
      <c r="AL35" s="1" t="n">
        <v>4.5</v>
      </c>
      <c r="AM35" s="1" t="n">
        <v>3.5</v>
      </c>
      <c r="AN35" s="1" t="n">
        <v>3.6</v>
      </c>
      <c r="AO35" s="1" t="n">
        <v>1.1</v>
      </c>
      <c r="AP35" s="1" t="n">
        <v>1.1</v>
      </c>
    </row>
    <row r="36" customFormat="false" ht="15" hidden="false" customHeight="true" outlineLevel="0" collapsed="false">
      <c r="B36" s="1" t="s">
        <v>283</v>
      </c>
      <c r="C36" s="1" t="s">
        <v>282</v>
      </c>
      <c r="H36" s="1" t="n">
        <v>2.1</v>
      </c>
      <c r="I36" s="1" t="n">
        <v>2.1</v>
      </c>
      <c r="J36" s="1" t="n">
        <v>8.2</v>
      </c>
      <c r="K36" s="1" t="n">
        <v>14.5</v>
      </c>
      <c r="L36" s="1" t="n">
        <v>14.5</v>
      </c>
      <c r="M36" s="1" t="n">
        <v>32.9</v>
      </c>
      <c r="N36" s="1" t="n">
        <v>2.4</v>
      </c>
      <c r="O36" s="1" t="n">
        <v>19.5</v>
      </c>
      <c r="P36" s="1" t="n">
        <v>14.5</v>
      </c>
      <c r="Q36" s="1" t="n">
        <v>14.5</v>
      </c>
      <c r="R36" s="1" t="n">
        <v>14.5</v>
      </c>
      <c r="S36" s="1" t="n">
        <v>15.8</v>
      </c>
      <c r="T36" s="1" t="n">
        <v>14.5</v>
      </c>
      <c r="U36" s="1" t="n">
        <v>14.5</v>
      </c>
      <c r="V36" s="1" t="n">
        <v>14.5</v>
      </c>
      <c r="W36" s="1" t="n">
        <v>3.2</v>
      </c>
      <c r="X36" s="1" t="n">
        <v>14.5</v>
      </c>
      <c r="Y36" s="1" t="n">
        <v>7</v>
      </c>
      <c r="Z36" s="1" t="n">
        <v>3.2</v>
      </c>
      <c r="AA36" s="1" t="n">
        <v>8.2</v>
      </c>
      <c r="AB36" s="1" t="n">
        <v>5.8</v>
      </c>
      <c r="AC36" s="1" t="n">
        <v>4.1</v>
      </c>
      <c r="AD36" s="1" t="n">
        <v>62</v>
      </c>
      <c r="AE36" s="1" t="n">
        <v>7</v>
      </c>
      <c r="AF36" s="1" t="n">
        <v>7.6</v>
      </c>
      <c r="AG36" s="1" t="n">
        <v>2.6</v>
      </c>
      <c r="AH36" s="1" t="n">
        <v>2.8</v>
      </c>
      <c r="AI36" s="1" t="n">
        <v>2.1</v>
      </c>
      <c r="AJ36" s="1" t="n">
        <v>9.2</v>
      </c>
      <c r="AK36" s="1" t="n">
        <v>36.7</v>
      </c>
      <c r="AL36" s="1" t="n">
        <v>23.2</v>
      </c>
      <c r="AM36" s="1" t="n">
        <v>14.5</v>
      </c>
      <c r="AN36" s="1" t="n">
        <v>15.8</v>
      </c>
      <c r="AO36" s="1" t="n">
        <v>2.6</v>
      </c>
      <c r="AP36" s="1" t="n">
        <v>2.6</v>
      </c>
    </row>
    <row r="37" customFormat="false" ht="15" hidden="false" customHeight="true" outlineLevel="0" collapsed="false">
      <c r="B37" s="1" t="s">
        <v>284</v>
      </c>
      <c r="C37" s="1" t="s">
        <v>281</v>
      </c>
      <c r="H37" s="1" t="n">
        <v>1</v>
      </c>
      <c r="I37" s="1" t="n">
        <v>1</v>
      </c>
      <c r="J37" s="1" t="n">
        <v>3.6</v>
      </c>
      <c r="K37" s="1" t="n">
        <v>6.9</v>
      </c>
      <c r="L37" s="1" t="n">
        <v>6.9</v>
      </c>
      <c r="M37" s="1" t="n">
        <v>45.5</v>
      </c>
      <c r="N37" s="1" t="n">
        <v>2.2</v>
      </c>
      <c r="O37" s="1" t="n">
        <v>78.5</v>
      </c>
      <c r="P37" s="1" t="n">
        <v>6.9</v>
      </c>
      <c r="Q37" s="1" t="n">
        <v>6.9</v>
      </c>
      <c r="R37" s="1" t="n">
        <v>4.6</v>
      </c>
      <c r="S37" s="1" t="n">
        <v>8.6</v>
      </c>
      <c r="T37" s="1" t="n">
        <v>6.9</v>
      </c>
      <c r="U37" s="1" t="n">
        <v>6.9</v>
      </c>
      <c r="V37" s="1" t="n">
        <v>6.9</v>
      </c>
      <c r="W37" s="1" t="n">
        <v>8.2</v>
      </c>
      <c r="X37" s="1" t="n">
        <v>6.9</v>
      </c>
      <c r="Y37" s="1" t="n">
        <v>4.9</v>
      </c>
      <c r="Z37" s="1" t="n">
        <v>3.6</v>
      </c>
      <c r="AA37" s="1" t="n">
        <v>21</v>
      </c>
      <c r="AB37" s="1" t="n">
        <v>2.1</v>
      </c>
      <c r="AC37" s="1" t="n">
        <v>2.1</v>
      </c>
      <c r="AD37" s="1" t="n">
        <v>27.2</v>
      </c>
      <c r="AE37" s="1" t="n">
        <v>49.8</v>
      </c>
      <c r="AF37" s="1" t="n">
        <v>3.1</v>
      </c>
      <c r="AG37" s="1" t="n">
        <v>2.9</v>
      </c>
      <c r="AH37" s="1" t="n">
        <v>1.3</v>
      </c>
      <c r="AI37" s="1" t="n">
        <v>1</v>
      </c>
      <c r="AJ37" s="1" t="n">
        <v>4.1</v>
      </c>
      <c r="AK37" s="1" t="n">
        <v>11.6</v>
      </c>
      <c r="AL37" s="1" t="n">
        <v>5.1</v>
      </c>
      <c r="AM37" s="1" t="n">
        <v>6.9</v>
      </c>
      <c r="AN37" s="1" t="n">
        <v>14.8</v>
      </c>
      <c r="AO37" s="1" t="n">
        <v>1.5</v>
      </c>
      <c r="AP37" s="1" t="n">
        <v>1.5</v>
      </c>
    </row>
    <row r="38" customFormat="false" ht="15" hidden="false" customHeight="true" outlineLevel="0" collapsed="false">
      <c r="B38" s="1" t="s">
        <v>284</v>
      </c>
      <c r="C38" s="1" t="s">
        <v>282</v>
      </c>
      <c r="H38" s="1" t="n">
        <v>2.1</v>
      </c>
      <c r="I38" s="1" t="n">
        <v>2.1</v>
      </c>
      <c r="J38" s="1" t="n">
        <v>12</v>
      </c>
      <c r="K38" s="1" t="n">
        <v>18.2</v>
      </c>
      <c r="L38" s="1" t="n">
        <v>18.2</v>
      </c>
      <c r="M38" s="1" t="n">
        <v>48.5</v>
      </c>
      <c r="N38" s="1" t="n">
        <v>5.8</v>
      </c>
      <c r="O38" s="1" t="n">
        <v>79.5</v>
      </c>
      <c r="P38" s="1" t="n">
        <v>18.2</v>
      </c>
      <c r="Q38" s="1" t="n">
        <v>18.2</v>
      </c>
      <c r="R38" s="1" t="n">
        <v>15.8</v>
      </c>
      <c r="S38" s="1" t="n">
        <v>34.5</v>
      </c>
      <c r="T38" s="1" t="n">
        <v>18.2</v>
      </c>
      <c r="U38" s="1" t="n">
        <v>18.2</v>
      </c>
      <c r="V38" s="1" t="n">
        <v>18.2</v>
      </c>
      <c r="W38" s="1" t="n">
        <v>7</v>
      </c>
      <c r="X38" s="1" t="n">
        <v>18.2</v>
      </c>
      <c r="Y38" s="1" t="n">
        <v>33.2</v>
      </c>
      <c r="Z38" s="1" t="n">
        <v>12</v>
      </c>
      <c r="AA38" s="1" t="n">
        <v>48.2</v>
      </c>
      <c r="AB38" s="1" t="n">
        <v>2.2</v>
      </c>
      <c r="AC38" s="1" t="n">
        <v>5</v>
      </c>
      <c r="AD38" s="1" t="n">
        <v>79.5</v>
      </c>
      <c r="AE38" s="1" t="n">
        <v>20.7</v>
      </c>
      <c r="AF38" s="1" t="n">
        <v>7.9</v>
      </c>
      <c r="AG38" s="1" t="n">
        <v>2.7</v>
      </c>
      <c r="AH38" s="1" t="n">
        <v>4.5</v>
      </c>
      <c r="AI38" s="1" t="n">
        <v>2.6</v>
      </c>
      <c r="AJ38" s="1" t="n">
        <v>17.3</v>
      </c>
      <c r="AK38" s="1" t="n">
        <v>60.9</v>
      </c>
      <c r="AL38" s="1" t="n">
        <v>39.5</v>
      </c>
      <c r="AM38" s="1" t="n">
        <v>18.2</v>
      </c>
      <c r="AN38" s="1" t="n">
        <v>39.5</v>
      </c>
      <c r="AO38" s="1" t="n">
        <v>3</v>
      </c>
      <c r="AP38" s="1" t="n">
        <v>3</v>
      </c>
    </row>
    <row r="39" customFormat="false" ht="15" hidden="false" customHeight="true" outlineLevel="0" collapsed="false">
      <c r="B39" s="1" t="s">
        <v>285</v>
      </c>
      <c r="C39" s="1" t="s">
        <v>281</v>
      </c>
      <c r="H39" s="1" t="n">
        <v>1.4</v>
      </c>
      <c r="I39" s="1" t="n">
        <v>1.4</v>
      </c>
      <c r="J39" s="1" t="n">
        <v>1.1</v>
      </c>
      <c r="K39" s="1" t="n">
        <v>1.4</v>
      </c>
      <c r="L39" s="1" t="n">
        <v>1.4</v>
      </c>
      <c r="M39" s="1" t="n">
        <v>1.6</v>
      </c>
      <c r="N39" s="1" t="n">
        <v>1</v>
      </c>
      <c r="O39" s="1" t="n">
        <v>1.7</v>
      </c>
      <c r="P39" s="1" t="n">
        <v>1.4</v>
      </c>
      <c r="Q39" s="1" t="n">
        <v>1.4</v>
      </c>
      <c r="R39" s="1" t="n">
        <v>1.1</v>
      </c>
      <c r="S39" s="1" t="n">
        <v>2.4</v>
      </c>
      <c r="T39" s="1" t="n">
        <v>1.4</v>
      </c>
      <c r="U39" s="1" t="n">
        <v>1.4</v>
      </c>
      <c r="V39" s="1" t="n">
        <v>1.4</v>
      </c>
      <c r="W39" s="1" t="n">
        <v>1</v>
      </c>
      <c r="X39" s="1" t="n">
        <v>1.4</v>
      </c>
      <c r="Y39" s="1" t="n">
        <v>1.4</v>
      </c>
      <c r="Z39" s="1" t="n">
        <v>1</v>
      </c>
      <c r="AA39" s="1" t="n">
        <v>1</v>
      </c>
      <c r="AB39" s="1" t="n">
        <v>11.2</v>
      </c>
      <c r="AC39" s="1" t="n">
        <v>1.1</v>
      </c>
      <c r="AD39" s="1" t="n">
        <v>1.6</v>
      </c>
      <c r="AE39" s="1" t="n">
        <v>1.4</v>
      </c>
      <c r="AF39" s="1" t="n">
        <v>1.6</v>
      </c>
      <c r="AG39" s="1" t="n">
        <v>1</v>
      </c>
      <c r="AH39" s="1" t="n">
        <v>1</v>
      </c>
      <c r="AI39" s="1" t="n">
        <v>1.4</v>
      </c>
      <c r="AJ39" s="1" t="n">
        <v>1.1</v>
      </c>
      <c r="AK39" s="1" t="n">
        <v>1.4</v>
      </c>
      <c r="AL39" s="1" t="n">
        <v>2.2</v>
      </c>
      <c r="AM39" s="1" t="n">
        <v>1.4</v>
      </c>
      <c r="AN39" s="1" t="n">
        <v>1.1</v>
      </c>
      <c r="AO39" s="1" t="n">
        <v>1</v>
      </c>
      <c r="AP39" s="1" t="n">
        <v>1</v>
      </c>
    </row>
    <row r="40" customFormat="false" ht="15" hidden="false" customHeight="true" outlineLevel="0" collapsed="false">
      <c r="B40" s="1" t="s">
        <v>285</v>
      </c>
      <c r="C40" s="1" t="s">
        <v>282</v>
      </c>
      <c r="H40" s="1" t="n">
        <v>2</v>
      </c>
      <c r="I40" s="1" t="n">
        <v>2</v>
      </c>
      <c r="J40" s="1" t="n">
        <v>4.5</v>
      </c>
      <c r="K40" s="1" t="n">
        <v>5.8</v>
      </c>
      <c r="L40" s="1" t="n">
        <v>5.8</v>
      </c>
      <c r="M40" s="1" t="n">
        <v>13.2</v>
      </c>
      <c r="N40" s="1" t="n">
        <v>2.3</v>
      </c>
      <c r="O40" s="1" t="n">
        <v>34.5</v>
      </c>
      <c r="P40" s="1" t="n">
        <v>5.8</v>
      </c>
      <c r="Q40" s="1" t="n">
        <v>5.8</v>
      </c>
      <c r="R40" s="1" t="n">
        <v>7</v>
      </c>
      <c r="S40" s="1" t="n">
        <v>9.5</v>
      </c>
      <c r="T40" s="1" t="n">
        <v>5.8</v>
      </c>
      <c r="U40" s="1" t="n">
        <v>5.8</v>
      </c>
      <c r="V40" s="1" t="n">
        <v>5.8</v>
      </c>
      <c r="W40" s="1" t="n">
        <v>2.1</v>
      </c>
      <c r="X40" s="1" t="n">
        <v>5.8</v>
      </c>
      <c r="Y40" s="1" t="n">
        <v>5.8</v>
      </c>
      <c r="Z40" s="1" t="n">
        <v>4.5</v>
      </c>
      <c r="AA40" s="1" t="n">
        <v>2.3</v>
      </c>
      <c r="AB40" s="1" t="n">
        <v>14.5</v>
      </c>
      <c r="AC40" s="1" t="n">
        <v>4.5</v>
      </c>
      <c r="AD40" s="1" t="n">
        <v>24.5</v>
      </c>
      <c r="AE40" s="1" t="n">
        <v>5.8</v>
      </c>
      <c r="AF40" s="1" t="n">
        <v>2.1</v>
      </c>
      <c r="AG40" s="1" t="n">
        <v>2.1</v>
      </c>
      <c r="AH40" s="1" t="n">
        <v>2</v>
      </c>
      <c r="AI40" s="1" t="n">
        <v>2.3</v>
      </c>
      <c r="AJ40" s="1" t="n">
        <v>3.2</v>
      </c>
      <c r="AK40" s="1" t="n">
        <v>18.1</v>
      </c>
      <c r="AL40" s="1" t="n">
        <v>28.2</v>
      </c>
      <c r="AM40" s="1" t="n">
        <v>5.8</v>
      </c>
      <c r="AN40" s="1" t="n">
        <v>9.5</v>
      </c>
      <c r="AO40" s="1" t="n">
        <v>2.1</v>
      </c>
      <c r="AP40" s="1" t="n">
        <v>2.1</v>
      </c>
    </row>
    <row r="41" customFormat="false" ht="15" hidden="false" customHeight="true" outlineLevel="0" collapsed="false">
      <c r="B41" s="1" t="s">
        <v>286</v>
      </c>
      <c r="C41" s="1" t="s">
        <v>281</v>
      </c>
      <c r="H41" s="1" t="n">
        <v>1.1</v>
      </c>
      <c r="I41" s="1" t="n">
        <v>1.1</v>
      </c>
      <c r="J41" s="1" t="n">
        <v>3.6</v>
      </c>
      <c r="K41" s="1" t="n">
        <v>8</v>
      </c>
      <c r="L41" s="1" t="n">
        <v>7.8</v>
      </c>
      <c r="M41" s="1" t="n">
        <v>24.1</v>
      </c>
      <c r="N41" s="1" t="n">
        <v>1.2</v>
      </c>
      <c r="O41" s="1" t="n">
        <v>57.3</v>
      </c>
      <c r="P41" s="1" t="n">
        <v>7.8</v>
      </c>
      <c r="Q41" s="1" t="n">
        <v>7.8</v>
      </c>
      <c r="R41" s="1" t="n">
        <v>6.6</v>
      </c>
      <c r="S41" s="1" t="n">
        <v>3.5</v>
      </c>
      <c r="T41" s="1" t="n">
        <v>1.6</v>
      </c>
      <c r="U41" s="1" t="n">
        <v>7.8</v>
      </c>
      <c r="V41" s="1" t="n">
        <v>69.8</v>
      </c>
      <c r="W41" s="1" t="n">
        <v>2</v>
      </c>
      <c r="X41" s="1" t="n">
        <v>7.8</v>
      </c>
      <c r="Y41" s="1" t="n">
        <v>6.2</v>
      </c>
      <c r="Z41" s="1" t="n">
        <v>1.7</v>
      </c>
      <c r="AA41" s="1" t="n">
        <v>2.1</v>
      </c>
      <c r="AB41" s="1" t="n">
        <v>2.3</v>
      </c>
      <c r="AC41" s="1" t="n">
        <v>1.8</v>
      </c>
      <c r="AD41" s="1" t="n">
        <v>10.3</v>
      </c>
      <c r="AE41" s="1" t="n">
        <v>6.9</v>
      </c>
      <c r="AF41" s="1" t="n">
        <v>3.8</v>
      </c>
      <c r="AG41" s="1" t="n">
        <v>1</v>
      </c>
      <c r="AH41" s="1" t="n">
        <v>1</v>
      </c>
      <c r="AI41" s="1" t="n">
        <v>1.4</v>
      </c>
      <c r="AJ41" s="1" t="n">
        <v>9.1</v>
      </c>
      <c r="AK41" s="1" t="n">
        <v>19.3</v>
      </c>
      <c r="AL41" s="1" t="n">
        <v>4.1</v>
      </c>
      <c r="AM41" s="1" t="n">
        <v>5</v>
      </c>
      <c r="AN41" s="1" t="n">
        <v>3.1</v>
      </c>
      <c r="AO41" s="1" t="n">
        <v>2.8</v>
      </c>
      <c r="AP41" s="1" t="n">
        <v>2.8</v>
      </c>
    </row>
    <row r="42" customFormat="false" ht="15" hidden="false" customHeight="true" outlineLevel="0" collapsed="false">
      <c r="B42" s="1" t="s">
        <v>286</v>
      </c>
      <c r="C42" s="1" t="s">
        <v>282</v>
      </c>
      <c r="H42" s="1" t="n">
        <v>4.5</v>
      </c>
      <c r="I42" s="1" t="n">
        <v>4.5</v>
      </c>
      <c r="J42" s="1" t="n">
        <v>4.5</v>
      </c>
      <c r="K42" s="1" t="n">
        <v>10.8</v>
      </c>
      <c r="L42" s="1" t="n">
        <v>15.8</v>
      </c>
      <c r="M42" s="1" t="n">
        <v>19.6</v>
      </c>
      <c r="N42" s="1" t="n">
        <v>2.5</v>
      </c>
      <c r="O42" s="1" t="n">
        <v>64.5</v>
      </c>
      <c r="P42" s="1" t="n">
        <v>15.8</v>
      </c>
      <c r="Q42" s="1" t="n">
        <v>15.8</v>
      </c>
      <c r="R42" s="1" t="n">
        <v>14.5</v>
      </c>
      <c r="S42" s="1" t="n">
        <v>8.2</v>
      </c>
      <c r="T42" s="1" t="n">
        <v>3.2</v>
      </c>
      <c r="U42" s="1" t="n">
        <v>15.8</v>
      </c>
      <c r="V42" s="1" t="n">
        <v>13.2</v>
      </c>
      <c r="W42" s="1" t="n">
        <v>14.5</v>
      </c>
      <c r="X42" s="1" t="n">
        <v>15.8</v>
      </c>
      <c r="Y42" s="1" t="n">
        <v>4.5</v>
      </c>
      <c r="Z42" s="1" t="n">
        <v>12</v>
      </c>
      <c r="AA42" s="1" t="n">
        <v>2.5</v>
      </c>
      <c r="AB42" s="1" t="n">
        <v>10.8</v>
      </c>
      <c r="AC42" s="1" t="n">
        <v>2.9</v>
      </c>
      <c r="AD42" s="1" t="n">
        <v>15.8</v>
      </c>
      <c r="AE42" s="1" t="n">
        <v>8.2</v>
      </c>
      <c r="AF42" s="1" t="n">
        <v>8.1</v>
      </c>
      <c r="AG42" s="1" t="n">
        <v>9.5</v>
      </c>
      <c r="AH42" s="1" t="n">
        <v>5.8</v>
      </c>
      <c r="AI42" s="1" t="n">
        <v>5.8</v>
      </c>
      <c r="AJ42" s="1" t="n">
        <v>7.7</v>
      </c>
      <c r="AK42" s="1" t="n">
        <v>33.2</v>
      </c>
      <c r="AL42" s="1" t="n">
        <v>9.5</v>
      </c>
      <c r="AM42" s="1" t="n">
        <v>25.8</v>
      </c>
      <c r="AN42" s="1" t="n">
        <v>8.2</v>
      </c>
      <c r="AO42" s="1" t="n">
        <v>9.5</v>
      </c>
      <c r="AP42" s="1" t="n">
        <v>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3" t="s">
        <v>287</v>
      </c>
    </row>
    <row r="4" customFormat="false" ht="15" hidden="false" customHeight="false" outlineLevel="0" collapsed="false">
      <c r="B4" s="0" t="s">
        <v>60</v>
      </c>
    </row>
    <row r="6" customFormat="false" ht="15" hidden="false" customHeight="false" outlineLevel="0" collapsed="false">
      <c r="B6" s="0" t="s">
        <v>252</v>
      </c>
    </row>
    <row r="7" customFormat="false" ht="15" hidden="false" customHeight="false" outlineLevel="0" collapsed="false">
      <c r="B7" s="0" t="s">
        <v>62</v>
      </c>
      <c r="C7" s="0" t="s">
        <v>51</v>
      </c>
      <c r="D7" s="0" t="s">
        <v>4</v>
      </c>
      <c r="E7" s="0" t="s">
        <v>2</v>
      </c>
      <c r="F7" s="0" t="s">
        <v>67</v>
      </c>
      <c r="G7" s="0" t="s">
        <v>68</v>
      </c>
      <c r="H7" s="0" t="s">
        <v>69</v>
      </c>
      <c r="I7" s="0" t="s">
        <v>207</v>
      </c>
      <c r="J7" s="0" t="s">
        <v>208</v>
      </c>
      <c r="K7" s="0" t="s">
        <v>209</v>
      </c>
      <c r="L7" s="0" t="s">
        <v>210</v>
      </c>
      <c r="M7" s="0" t="s">
        <v>211</v>
      </c>
      <c r="N7" s="0" t="s">
        <v>212</v>
      </c>
      <c r="O7" s="0" t="s">
        <v>213</v>
      </c>
      <c r="P7" s="0" t="s">
        <v>214</v>
      </c>
      <c r="Q7" s="0" t="s">
        <v>215</v>
      </c>
      <c r="R7" s="0" t="s">
        <v>216</v>
      </c>
      <c r="S7" s="0" t="s">
        <v>217</v>
      </c>
      <c r="T7" s="0" t="s">
        <v>218</v>
      </c>
      <c r="U7" s="0" t="s">
        <v>219</v>
      </c>
      <c r="V7" s="0" t="s">
        <v>220</v>
      </c>
      <c r="W7" s="0" t="s">
        <v>221</v>
      </c>
      <c r="X7" s="0" t="s">
        <v>222</v>
      </c>
      <c r="Y7" s="0" t="s">
        <v>223</v>
      </c>
      <c r="Z7" s="0" t="s">
        <v>224</v>
      </c>
      <c r="AA7" s="0" t="s">
        <v>225</v>
      </c>
      <c r="AB7" s="0" t="s">
        <v>226</v>
      </c>
      <c r="AC7" s="0" t="s">
        <v>227</v>
      </c>
      <c r="AD7" s="0" t="s">
        <v>228</v>
      </c>
      <c r="AE7" s="0" t="s">
        <v>229</v>
      </c>
      <c r="AF7" s="0" t="s">
        <v>230</v>
      </c>
      <c r="AG7" s="0" t="s">
        <v>231</v>
      </c>
      <c r="AH7" s="0" t="s">
        <v>232</v>
      </c>
      <c r="AI7" s="0" t="s">
        <v>233</v>
      </c>
      <c r="AJ7" s="0" t="s">
        <v>234</v>
      </c>
      <c r="AK7" s="0" t="s">
        <v>235</v>
      </c>
      <c r="AL7" s="0" t="s">
        <v>236</v>
      </c>
      <c r="AM7" s="0" t="s">
        <v>237</v>
      </c>
      <c r="AN7" s="0" t="s">
        <v>238</v>
      </c>
      <c r="AO7" s="0" t="s">
        <v>239</v>
      </c>
      <c r="AP7" s="0" t="s">
        <v>240</v>
      </c>
      <c r="AQ7" s="0" t="s">
        <v>241</v>
      </c>
    </row>
    <row r="8" customFormat="false" ht="15" hidden="false" customHeight="false" outlineLevel="0" collapsed="false">
      <c r="B8" s="0" t="s">
        <v>288</v>
      </c>
      <c r="C8" s="0" t="s">
        <v>289</v>
      </c>
      <c r="D8" s="0" t="n">
        <v>2025</v>
      </c>
      <c r="E8" s="0" t="s">
        <v>87</v>
      </c>
      <c r="F8" s="0" t="n">
        <v>0</v>
      </c>
      <c r="G8" s="0" t="n">
        <v>1</v>
      </c>
      <c r="H8" s="0" t="s">
        <v>290</v>
      </c>
      <c r="I8" s="0" t="n">
        <v>0.15</v>
      </c>
      <c r="J8" s="0" t="n">
        <v>0.15</v>
      </c>
      <c r="K8" s="0" t="n">
        <v>0.3</v>
      </c>
      <c r="L8" s="0" t="n">
        <v>0.75</v>
      </c>
      <c r="M8" s="0" t="n">
        <v>0.75</v>
      </c>
      <c r="N8" s="0" t="n">
        <v>0.75</v>
      </c>
      <c r="O8" s="0" t="n">
        <v>0.15</v>
      </c>
      <c r="P8" s="0" t="n">
        <v>0.1</v>
      </c>
      <c r="Q8" s="0" t="n">
        <v>0.75</v>
      </c>
      <c r="R8" s="0" t="n">
        <v>0.75</v>
      </c>
      <c r="S8" s="0" t="n">
        <v>0.75</v>
      </c>
      <c r="T8" s="0" t="n">
        <v>0.75</v>
      </c>
      <c r="U8" s="0" t="n">
        <v>0.75</v>
      </c>
      <c r="V8" s="0" t="n">
        <v>0.75</v>
      </c>
      <c r="W8" s="0" t="n">
        <v>0.75</v>
      </c>
      <c r="X8" s="0" t="n">
        <v>0.15</v>
      </c>
      <c r="Y8" s="0" t="n">
        <v>0.75</v>
      </c>
      <c r="Z8" s="0" t="n">
        <v>0.75</v>
      </c>
      <c r="AA8" s="0" t="n">
        <v>0.75</v>
      </c>
      <c r="AB8" s="0" t="n">
        <v>0.15</v>
      </c>
      <c r="AC8" s="0" t="n">
        <v>0.15</v>
      </c>
      <c r="AD8" s="0" t="n">
        <v>0.85</v>
      </c>
      <c r="AE8" s="0" t="n">
        <v>0.75</v>
      </c>
      <c r="AF8" s="0" t="n">
        <v>0.75</v>
      </c>
      <c r="AG8" s="0" t="n">
        <v>0.15</v>
      </c>
      <c r="AH8" s="0" t="n">
        <v>0.15</v>
      </c>
      <c r="AI8" s="0" t="n">
        <v>0.15</v>
      </c>
      <c r="AJ8" s="0" t="n">
        <v>0.15</v>
      </c>
      <c r="AK8" s="0" t="n">
        <v>0.75</v>
      </c>
      <c r="AL8" s="0" t="n">
        <v>0.75</v>
      </c>
      <c r="AM8" s="0" t="n">
        <v>0.75</v>
      </c>
      <c r="AN8" s="0" t="n">
        <v>0.15</v>
      </c>
      <c r="AO8" s="0" t="n">
        <v>0.75</v>
      </c>
      <c r="AP8" s="0" t="n">
        <v>0.15</v>
      </c>
      <c r="AQ8" s="0" t="n">
        <v>0.15</v>
      </c>
    </row>
    <row r="9" customFormat="false" ht="15" hidden="false" customHeight="false" outlineLevel="0" collapsed="false">
      <c r="B9" s="0" t="s">
        <v>288</v>
      </c>
      <c r="C9" s="0" t="s">
        <v>291</v>
      </c>
      <c r="D9" s="0" t="n">
        <v>2025</v>
      </c>
      <c r="E9" s="0" t="s">
        <v>87</v>
      </c>
      <c r="F9" s="0" t="n">
        <v>0</v>
      </c>
      <c r="G9" s="0" t="n">
        <v>1</v>
      </c>
      <c r="H9" s="0" t="s">
        <v>292</v>
      </c>
      <c r="I9" s="0" t="n">
        <v>-0.85</v>
      </c>
      <c r="J9" s="0" t="n">
        <v>-0.85</v>
      </c>
      <c r="K9" s="0" t="n">
        <v>-0.7</v>
      </c>
      <c r="L9" s="0" t="n">
        <v>-0.25</v>
      </c>
      <c r="M9" s="0" t="n">
        <v>-0.25</v>
      </c>
      <c r="N9" s="0" t="n">
        <v>-0.25</v>
      </c>
      <c r="O9" s="0" t="n">
        <v>-0.85</v>
      </c>
      <c r="P9" s="0" t="n">
        <v>-0.9</v>
      </c>
      <c r="Q9" s="0" t="n">
        <v>-0.25</v>
      </c>
      <c r="R9" s="0" t="n">
        <v>-0.25</v>
      </c>
      <c r="S9" s="0" t="n">
        <v>-0.25</v>
      </c>
      <c r="T9" s="0" t="n">
        <v>-0.25</v>
      </c>
      <c r="U9" s="0" t="n">
        <v>-0.25</v>
      </c>
      <c r="V9" s="0" t="n">
        <v>-0.25</v>
      </c>
      <c r="W9" s="0" t="n">
        <v>-0.25</v>
      </c>
      <c r="X9" s="0" t="n">
        <v>-0.85</v>
      </c>
      <c r="Y9" s="0" t="n">
        <v>-0.25</v>
      </c>
      <c r="Z9" s="0" t="n">
        <v>-0.25</v>
      </c>
      <c r="AA9" s="0" t="n">
        <v>-0.25</v>
      </c>
      <c r="AB9" s="0" t="n">
        <v>-0.85</v>
      </c>
      <c r="AC9" s="0" t="n">
        <v>-0.85</v>
      </c>
      <c r="AD9" s="0" t="n">
        <v>-0.15</v>
      </c>
      <c r="AE9" s="0" t="n">
        <v>-0.25</v>
      </c>
      <c r="AF9" s="0" t="n">
        <v>-0.25</v>
      </c>
      <c r="AG9" s="0" t="n">
        <v>-0.85</v>
      </c>
      <c r="AH9" s="0" t="n">
        <v>-0.85</v>
      </c>
      <c r="AI9" s="0" t="n">
        <v>-0.85</v>
      </c>
      <c r="AJ9" s="0" t="n">
        <v>-0.85</v>
      </c>
      <c r="AK9" s="0" t="n">
        <v>-0.25</v>
      </c>
      <c r="AL9" s="0" t="n">
        <v>-0.25</v>
      </c>
      <c r="AM9" s="0" t="n">
        <v>-0.25</v>
      </c>
      <c r="AN9" s="0" t="n">
        <v>-0.85</v>
      </c>
      <c r="AO9" s="0" t="n">
        <v>-0.25</v>
      </c>
      <c r="AP9" s="0" t="n">
        <v>-0.85</v>
      </c>
      <c r="AQ9" s="0" t="n">
        <v>-0.85</v>
      </c>
    </row>
    <row r="10" customFormat="false" ht="15" hidden="false" customHeight="false" outlineLevel="0" collapsed="false">
      <c r="B10" s="0" t="s">
        <v>288</v>
      </c>
      <c r="C10" s="0" t="s">
        <v>289</v>
      </c>
      <c r="D10" s="0" t="n">
        <v>2030</v>
      </c>
      <c r="E10" s="0" t="s">
        <v>87</v>
      </c>
      <c r="F10" s="0" t="n">
        <v>0</v>
      </c>
      <c r="G10" s="0" t="n">
        <v>1</v>
      </c>
      <c r="H10" s="0" t="s">
        <v>290</v>
      </c>
      <c r="I10" s="0" t="n">
        <v>0.1</v>
      </c>
      <c r="J10" s="0" t="n">
        <v>0.1</v>
      </c>
      <c r="K10" s="0" t="n">
        <v>0.15</v>
      </c>
      <c r="L10" s="0" t="n">
        <v>0.55</v>
      </c>
      <c r="M10" s="0" t="n">
        <v>0.55</v>
      </c>
      <c r="N10" s="0" t="n">
        <v>0.55</v>
      </c>
      <c r="O10" s="0" t="n">
        <v>0.1</v>
      </c>
      <c r="P10" s="0" t="n">
        <v>0.1</v>
      </c>
      <c r="Q10" s="0" t="n">
        <v>0.55</v>
      </c>
      <c r="R10" s="0" t="n">
        <v>0.55</v>
      </c>
      <c r="S10" s="0" t="n">
        <v>0.55</v>
      </c>
      <c r="T10" s="0" t="n">
        <v>0.55</v>
      </c>
      <c r="U10" s="0" t="n">
        <v>0.55</v>
      </c>
      <c r="V10" s="0" t="n">
        <v>0.55</v>
      </c>
      <c r="W10" s="0" t="n">
        <v>0.55</v>
      </c>
      <c r="X10" s="0" t="n">
        <v>0.1</v>
      </c>
      <c r="Y10" s="0" t="n">
        <v>0.55</v>
      </c>
      <c r="Z10" s="0" t="n">
        <v>0.55</v>
      </c>
      <c r="AA10" s="0" t="n">
        <v>0.6</v>
      </c>
      <c r="AB10" s="0" t="n">
        <v>0.1</v>
      </c>
      <c r="AC10" s="0" t="n">
        <v>0.1</v>
      </c>
      <c r="AD10" s="0" t="n">
        <v>0.6</v>
      </c>
      <c r="AE10" s="0" t="n">
        <v>0.55</v>
      </c>
      <c r="AF10" s="0" t="n">
        <v>0.55</v>
      </c>
      <c r="AG10" s="0" t="n">
        <v>0.1</v>
      </c>
      <c r="AH10" s="0" t="n">
        <v>0.1</v>
      </c>
      <c r="AI10" s="0" t="n">
        <v>0.1</v>
      </c>
      <c r="AJ10" s="0" t="n">
        <v>0.1</v>
      </c>
      <c r="AK10" s="0" t="n">
        <v>0.55</v>
      </c>
      <c r="AL10" s="0" t="n">
        <v>0.55</v>
      </c>
      <c r="AM10" s="0" t="n">
        <v>0.55</v>
      </c>
      <c r="AN10" s="0" t="n">
        <v>0.1</v>
      </c>
      <c r="AO10" s="0" t="n">
        <v>0.55</v>
      </c>
      <c r="AP10" s="0" t="n">
        <v>0.1</v>
      </c>
      <c r="AQ10" s="0" t="n">
        <v>0.1</v>
      </c>
    </row>
    <row r="11" customFormat="false" ht="15" hidden="false" customHeight="false" outlineLevel="0" collapsed="false">
      <c r="B11" s="0" t="s">
        <v>288</v>
      </c>
      <c r="C11" s="0" t="s">
        <v>291</v>
      </c>
      <c r="D11" s="0" t="n">
        <v>2030</v>
      </c>
      <c r="E11" s="0" t="s">
        <v>87</v>
      </c>
      <c r="F11" s="0" t="n">
        <v>0</v>
      </c>
      <c r="G11" s="0" t="n">
        <v>1</v>
      </c>
      <c r="H11" s="0" t="s">
        <v>292</v>
      </c>
      <c r="I11" s="0" t="n">
        <v>-0.9</v>
      </c>
      <c r="J11" s="0" t="n">
        <v>-0.9</v>
      </c>
      <c r="K11" s="0" t="n">
        <v>-0.85</v>
      </c>
      <c r="L11" s="0" t="n">
        <v>-0.45</v>
      </c>
      <c r="M11" s="0" t="n">
        <v>-0.45</v>
      </c>
      <c r="N11" s="0" t="n">
        <v>-0.45</v>
      </c>
      <c r="O11" s="0" t="n">
        <v>-0.9</v>
      </c>
      <c r="P11" s="0" t="n">
        <v>-0.9</v>
      </c>
      <c r="Q11" s="0" t="n">
        <v>-0.45</v>
      </c>
      <c r="R11" s="0" t="n">
        <v>-0.45</v>
      </c>
      <c r="S11" s="0" t="n">
        <v>-0.45</v>
      </c>
      <c r="T11" s="0" t="n">
        <v>-0.45</v>
      </c>
      <c r="U11" s="0" t="n">
        <v>-0.45</v>
      </c>
      <c r="V11" s="0" t="n">
        <v>-0.45</v>
      </c>
      <c r="W11" s="0" t="n">
        <v>-0.45</v>
      </c>
      <c r="X11" s="0" t="n">
        <v>-0.9</v>
      </c>
      <c r="Y11" s="0" t="n">
        <v>-0.45</v>
      </c>
      <c r="Z11" s="0" t="n">
        <v>-0.45</v>
      </c>
      <c r="AA11" s="0" t="n">
        <v>-0.4</v>
      </c>
      <c r="AB11" s="0" t="n">
        <v>-0.9</v>
      </c>
      <c r="AC11" s="0" t="n">
        <v>-0.9</v>
      </c>
      <c r="AD11" s="0" t="n">
        <v>-0.4</v>
      </c>
      <c r="AE11" s="0" t="n">
        <v>-0.45</v>
      </c>
      <c r="AF11" s="0" t="n">
        <v>-0.45</v>
      </c>
      <c r="AG11" s="0" t="n">
        <v>-0.9</v>
      </c>
      <c r="AH11" s="0" t="n">
        <v>-0.9</v>
      </c>
      <c r="AI11" s="0" t="n">
        <v>-0.9</v>
      </c>
      <c r="AJ11" s="0" t="n">
        <v>-0.9</v>
      </c>
      <c r="AK11" s="0" t="n">
        <v>-0.45</v>
      </c>
      <c r="AL11" s="0" t="n">
        <v>-0.45</v>
      </c>
      <c r="AM11" s="0" t="n">
        <v>-0.45</v>
      </c>
      <c r="AN11" s="0" t="n">
        <v>-0.9</v>
      </c>
      <c r="AO11" s="0" t="n">
        <v>-0.45</v>
      </c>
      <c r="AP11" s="0" t="n">
        <v>-0.9</v>
      </c>
      <c r="AQ11" s="0" t="n">
        <v>-0.9</v>
      </c>
    </row>
    <row r="12" customFormat="false" ht="15" hidden="false" customHeight="false" outlineLevel="0" collapsed="false">
      <c r="B12" s="0" t="s">
        <v>293</v>
      </c>
      <c r="C12" s="0" t="s">
        <v>289</v>
      </c>
      <c r="D12" s="0" t="n">
        <v>2025</v>
      </c>
      <c r="E12" s="0" t="s">
        <v>111</v>
      </c>
      <c r="F12" s="0" t="n">
        <v>0</v>
      </c>
      <c r="G12" s="0" t="n">
        <v>1</v>
      </c>
      <c r="H12" s="0" t="s">
        <v>294</v>
      </c>
      <c r="I12" s="0" t="n">
        <v>0.55</v>
      </c>
      <c r="J12" s="0" t="n">
        <v>0.55</v>
      </c>
      <c r="K12" s="0" t="n">
        <v>0.75</v>
      </c>
      <c r="L12" s="0" t="n">
        <v>0.98</v>
      </c>
      <c r="M12" s="0" t="n">
        <v>0.98</v>
      </c>
      <c r="N12" s="0" t="n">
        <v>0.98</v>
      </c>
      <c r="O12" s="0" t="n">
        <v>0.55</v>
      </c>
      <c r="P12" s="0" t="n">
        <v>0.35</v>
      </c>
      <c r="Q12" s="0" t="n">
        <v>0.98</v>
      </c>
      <c r="R12" s="0" t="n">
        <v>0.98</v>
      </c>
      <c r="S12" s="0" t="n">
        <v>0.98</v>
      </c>
      <c r="T12" s="0" t="n">
        <v>0.98</v>
      </c>
      <c r="U12" s="0" t="n">
        <v>0.98</v>
      </c>
      <c r="V12" s="0" t="n">
        <v>0.98</v>
      </c>
      <c r="W12" s="0" t="n">
        <v>0.98</v>
      </c>
      <c r="X12" s="0" t="n">
        <v>0.55</v>
      </c>
      <c r="Y12" s="0" t="n">
        <v>0.98</v>
      </c>
      <c r="Z12" s="0" t="n">
        <v>0.98</v>
      </c>
      <c r="AA12" s="0" t="n">
        <v>1</v>
      </c>
      <c r="AB12" s="0" t="n">
        <v>0.55</v>
      </c>
      <c r="AC12" s="0" t="n">
        <v>0.55</v>
      </c>
      <c r="AD12" s="0" t="n">
        <v>1</v>
      </c>
      <c r="AE12" s="0" t="n">
        <v>0.98</v>
      </c>
      <c r="AF12" s="0" t="n">
        <v>0.98</v>
      </c>
      <c r="AG12" s="0" t="n">
        <v>0.55</v>
      </c>
      <c r="AH12" s="0" t="n">
        <v>0.55</v>
      </c>
      <c r="AI12" s="0" t="n">
        <v>0.55</v>
      </c>
      <c r="AJ12" s="0" t="n">
        <v>0.55</v>
      </c>
      <c r="AK12" s="0" t="n">
        <v>0.98</v>
      </c>
      <c r="AL12" s="0" t="n">
        <v>0.98</v>
      </c>
      <c r="AM12" s="0" t="n">
        <v>0.98</v>
      </c>
      <c r="AN12" s="0" t="n">
        <v>0.55</v>
      </c>
      <c r="AO12" s="0" t="n">
        <v>0.98</v>
      </c>
      <c r="AP12" s="0" t="n">
        <v>0.55</v>
      </c>
      <c r="AQ12" s="0" t="n">
        <v>0.55</v>
      </c>
    </row>
    <row r="13" customFormat="false" ht="15" hidden="false" customHeight="false" outlineLevel="0" collapsed="false">
      <c r="B13" s="0" t="s">
        <v>293</v>
      </c>
      <c r="C13" s="0" t="s">
        <v>291</v>
      </c>
      <c r="D13" s="0" t="n">
        <v>2025</v>
      </c>
      <c r="E13" s="0" t="s">
        <v>111</v>
      </c>
      <c r="F13" s="0" t="n">
        <v>0</v>
      </c>
      <c r="G13" s="0" t="n">
        <v>1</v>
      </c>
      <c r="H13" s="0" t="s">
        <v>295</v>
      </c>
      <c r="I13" s="0" t="n">
        <v>-0.45</v>
      </c>
      <c r="J13" s="0" t="n">
        <v>-0.45</v>
      </c>
      <c r="K13" s="0" t="n">
        <v>-0.25</v>
      </c>
      <c r="L13" s="0" t="n">
        <v>-0.02</v>
      </c>
      <c r="M13" s="0" t="n">
        <v>-0.02</v>
      </c>
      <c r="N13" s="0" t="n">
        <v>-0.02</v>
      </c>
      <c r="O13" s="0" t="n">
        <v>-0.45</v>
      </c>
      <c r="P13" s="0" t="n">
        <v>-0.65</v>
      </c>
      <c r="Q13" s="0" t="n">
        <v>-0.02</v>
      </c>
      <c r="R13" s="0" t="n">
        <v>-0.02</v>
      </c>
      <c r="S13" s="0" t="n">
        <v>-0.02</v>
      </c>
      <c r="T13" s="0" t="n">
        <v>-0.02</v>
      </c>
      <c r="U13" s="0" t="n">
        <v>-0.02</v>
      </c>
      <c r="V13" s="0" t="n">
        <v>-0.02</v>
      </c>
      <c r="W13" s="0" t="n">
        <v>-0.02</v>
      </c>
      <c r="X13" s="0" t="n">
        <v>-0.45</v>
      </c>
      <c r="Y13" s="0" t="n">
        <v>-0.02</v>
      </c>
      <c r="Z13" s="0" t="n">
        <v>-0.02</v>
      </c>
      <c r="AA13" s="0" t="n">
        <v>0</v>
      </c>
      <c r="AB13" s="0" t="n">
        <v>-0.45</v>
      </c>
      <c r="AC13" s="0" t="n">
        <v>-0.45</v>
      </c>
      <c r="AD13" s="0" t="n">
        <v>0</v>
      </c>
      <c r="AE13" s="0" t="n">
        <v>-0.02</v>
      </c>
      <c r="AF13" s="0" t="n">
        <v>-0.02</v>
      </c>
      <c r="AG13" s="0" t="n">
        <v>-0.45</v>
      </c>
      <c r="AH13" s="0" t="n">
        <v>-0.45</v>
      </c>
      <c r="AI13" s="0" t="n">
        <v>-0.45</v>
      </c>
      <c r="AJ13" s="0" t="n">
        <v>-0.45</v>
      </c>
      <c r="AK13" s="0" t="n">
        <v>-0.02</v>
      </c>
      <c r="AL13" s="0" t="n">
        <v>-0.02</v>
      </c>
      <c r="AM13" s="0" t="n">
        <v>-0.02</v>
      </c>
      <c r="AN13" s="0" t="n">
        <v>-0.45</v>
      </c>
      <c r="AO13" s="0" t="n">
        <v>-0.02</v>
      </c>
      <c r="AP13" s="0" t="n">
        <v>-0.45</v>
      </c>
      <c r="AQ13" s="0" t="n">
        <v>-0.45</v>
      </c>
    </row>
    <row r="14" customFormat="false" ht="15" hidden="false" customHeight="false" outlineLevel="0" collapsed="false">
      <c r="B14" s="0" t="s">
        <v>293</v>
      </c>
      <c r="C14" s="0" t="s">
        <v>289</v>
      </c>
      <c r="D14" s="0" t="n">
        <v>2030</v>
      </c>
      <c r="E14" s="0" t="s">
        <v>111</v>
      </c>
      <c r="F14" s="0" t="n">
        <v>0</v>
      </c>
      <c r="G14" s="0" t="n">
        <v>1</v>
      </c>
      <c r="H14" s="0" t="s">
        <v>294</v>
      </c>
      <c r="I14" s="0" t="n">
        <v>0.6</v>
      </c>
      <c r="J14" s="0" t="n">
        <v>0.6</v>
      </c>
      <c r="K14" s="0" t="n">
        <v>0.8</v>
      </c>
      <c r="L14" s="0" t="n">
        <v>0.95</v>
      </c>
      <c r="M14" s="0" t="n">
        <v>0.95</v>
      </c>
      <c r="N14" s="0" t="n">
        <v>0.95</v>
      </c>
      <c r="O14" s="0" t="n">
        <v>0.6</v>
      </c>
      <c r="P14" s="0" t="n">
        <v>0.4</v>
      </c>
      <c r="Q14" s="0" t="n">
        <v>0.95</v>
      </c>
      <c r="R14" s="0" t="n">
        <v>0.95</v>
      </c>
      <c r="S14" s="0" t="n">
        <v>0.95</v>
      </c>
      <c r="T14" s="0" t="n">
        <v>0.95</v>
      </c>
      <c r="U14" s="0" t="n">
        <v>0.95</v>
      </c>
      <c r="V14" s="0" t="n">
        <v>0.95</v>
      </c>
      <c r="W14" s="0" t="n">
        <v>0.95</v>
      </c>
      <c r="X14" s="0" t="n">
        <v>0.6</v>
      </c>
      <c r="Y14" s="0" t="n">
        <v>0.95</v>
      </c>
      <c r="Z14" s="0" t="n">
        <v>0.95</v>
      </c>
      <c r="AA14" s="0" t="n">
        <v>1</v>
      </c>
      <c r="AB14" s="0" t="n">
        <v>0.6</v>
      </c>
      <c r="AC14" s="0" t="n">
        <v>0.6</v>
      </c>
      <c r="AD14" s="0" t="n">
        <v>1</v>
      </c>
      <c r="AE14" s="0" t="n">
        <v>0.95</v>
      </c>
      <c r="AF14" s="0" t="n">
        <v>0.95</v>
      </c>
      <c r="AG14" s="0" t="n">
        <v>0.6</v>
      </c>
      <c r="AH14" s="0" t="n">
        <v>0.6</v>
      </c>
      <c r="AI14" s="0" t="n">
        <v>0.6</v>
      </c>
      <c r="AJ14" s="0" t="n">
        <v>0.6</v>
      </c>
      <c r="AK14" s="0" t="n">
        <v>0.95</v>
      </c>
      <c r="AL14" s="0" t="n">
        <v>0.95</v>
      </c>
      <c r="AM14" s="0" t="n">
        <v>0.95</v>
      </c>
      <c r="AN14" s="0" t="n">
        <v>0.6</v>
      </c>
      <c r="AO14" s="0" t="n">
        <v>0.95</v>
      </c>
      <c r="AP14" s="0" t="n">
        <v>0.6</v>
      </c>
      <c r="AQ14" s="0" t="n">
        <v>0.6</v>
      </c>
    </row>
    <row r="15" customFormat="false" ht="15" hidden="false" customHeight="false" outlineLevel="0" collapsed="false">
      <c r="B15" s="0" t="s">
        <v>293</v>
      </c>
      <c r="C15" s="0" t="s">
        <v>291</v>
      </c>
      <c r="D15" s="0" t="n">
        <v>2030</v>
      </c>
      <c r="E15" s="0" t="s">
        <v>111</v>
      </c>
      <c r="F15" s="0" t="n">
        <v>0</v>
      </c>
      <c r="G15" s="0" t="n">
        <v>1</v>
      </c>
      <c r="H15" s="0" t="s">
        <v>295</v>
      </c>
      <c r="I15" s="0" t="n">
        <v>-0.4</v>
      </c>
      <c r="J15" s="0" t="n">
        <v>-0.4</v>
      </c>
      <c r="K15" s="0" t="n">
        <v>-0.2</v>
      </c>
      <c r="L15" s="0" t="n">
        <v>-0.05</v>
      </c>
      <c r="M15" s="0" t="n">
        <v>-0.05</v>
      </c>
      <c r="N15" s="0" t="n">
        <v>-0.05</v>
      </c>
      <c r="O15" s="0" t="n">
        <v>-0.4</v>
      </c>
      <c r="P15" s="0" t="n">
        <v>-0.6</v>
      </c>
      <c r="Q15" s="0" t="n">
        <v>-0.05</v>
      </c>
      <c r="R15" s="0" t="n">
        <v>-0.05</v>
      </c>
      <c r="S15" s="0" t="n">
        <v>-0.05</v>
      </c>
      <c r="T15" s="0" t="n">
        <v>-0.05</v>
      </c>
      <c r="U15" s="0" t="n">
        <v>-0.05</v>
      </c>
      <c r="V15" s="0" t="n">
        <v>-0.05</v>
      </c>
      <c r="W15" s="0" t="n">
        <v>-0.05</v>
      </c>
      <c r="X15" s="0" t="n">
        <v>-0.4</v>
      </c>
      <c r="Y15" s="0" t="n">
        <v>-0.05</v>
      </c>
      <c r="Z15" s="0" t="n">
        <v>-0.05</v>
      </c>
      <c r="AA15" s="0" t="n">
        <v>0</v>
      </c>
      <c r="AB15" s="0" t="n">
        <v>-0.4</v>
      </c>
      <c r="AC15" s="0" t="n">
        <v>-0.4</v>
      </c>
      <c r="AD15" s="0" t="n">
        <v>0</v>
      </c>
      <c r="AE15" s="0" t="n">
        <v>-0.05</v>
      </c>
      <c r="AF15" s="0" t="n">
        <v>-0.05</v>
      </c>
      <c r="AG15" s="0" t="n">
        <v>-0.4</v>
      </c>
      <c r="AH15" s="0" t="n">
        <v>-0.4</v>
      </c>
      <c r="AI15" s="0" t="n">
        <v>-0.4</v>
      </c>
      <c r="AJ15" s="0" t="n">
        <v>-0.4</v>
      </c>
      <c r="AK15" s="0" t="n">
        <v>-0.05</v>
      </c>
      <c r="AL15" s="0" t="n">
        <v>-0.05</v>
      </c>
      <c r="AM15" s="0" t="n">
        <v>-0.05</v>
      </c>
      <c r="AN15" s="0" t="n">
        <v>-0.4</v>
      </c>
      <c r="AO15" s="0" t="n">
        <v>-0.05</v>
      </c>
      <c r="AP15" s="0" t="n">
        <v>-0.4</v>
      </c>
      <c r="AQ15" s="0" t="n">
        <v>-0.4</v>
      </c>
    </row>
    <row r="18" customFormat="false" ht="15" hidden="false" customHeight="false" outlineLevel="0" collapsed="false">
      <c r="B18" s="43" t="s">
        <v>296</v>
      </c>
    </row>
    <row r="19" customFormat="false" ht="15" hidden="false" customHeight="false" outlineLevel="0" collapsed="false">
      <c r="I19" s="0" t="s">
        <v>207</v>
      </c>
      <c r="J19" s="0" t="s">
        <v>208</v>
      </c>
      <c r="K19" s="0" t="s">
        <v>209</v>
      </c>
      <c r="L19" s="0" t="s">
        <v>210</v>
      </c>
      <c r="M19" s="0" t="s">
        <v>211</v>
      </c>
      <c r="N19" s="0" t="s">
        <v>212</v>
      </c>
      <c r="O19" s="0" t="s">
        <v>213</v>
      </c>
      <c r="P19" s="0" t="s">
        <v>214</v>
      </c>
      <c r="Q19" s="0" t="s">
        <v>215</v>
      </c>
      <c r="R19" s="0" t="s">
        <v>216</v>
      </c>
      <c r="S19" s="0" t="s">
        <v>217</v>
      </c>
      <c r="T19" s="0" t="s">
        <v>218</v>
      </c>
      <c r="U19" s="0" t="s">
        <v>219</v>
      </c>
      <c r="V19" s="0" t="s">
        <v>220</v>
      </c>
      <c r="W19" s="0" t="s">
        <v>221</v>
      </c>
      <c r="X19" s="0" t="s">
        <v>222</v>
      </c>
      <c r="Y19" s="0" t="s">
        <v>223</v>
      </c>
      <c r="Z19" s="0" t="s">
        <v>224</v>
      </c>
      <c r="AA19" s="0" t="s">
        <v>225</v>
      </c>
      <c r="AB19" s="0" t="s">
        <v>226</v>
      </c>
      <c r="AC19" s="0" t="s">
        <v>227</v>
      </c>
      <c r="AD19" s="0" t="s">
        <v>228</v>
      </c>
      <c r="AE19" s="0" t="s">
        <v>229</v>
      </c>
      <c r="AF19" s="0" t="s">
        <v>230</v>
      </c>
      <c r="AG19" s="0" t="s">
        <v>231</v>
      </c>
      <c r="AH19" s="0" t="s">
        <v>232</v>
      </c>
      <c r="AI19" s="0" t="s">
        <v>233</v>
      </c>
      <c r="AJ19" s="0" t="s">
        <v>234</v>
      </c>
      <c r="AK19" s="0" t="s">
        <v>235</v>
      </c>
      <c r="AL19" s="0" t="s">
        <v>236</v>
      </c>
      <c r="AM19" s="0" t="s">
        <v>237</v>
      </c>
      <c r="AN19" s="0" t="s">
        <v>238</v>
      </c>
      <c r="AO19" s="0" t="s">
        <v>239</v>
      </c>
      <c r="AP19" s="0" t="s">
        <v>240</v>
      </c>
      <c r="AQ19" s="0" t="s">
        <v>241</v>
      </c>
    </row>
    <row r="20" customFormat="false" ht="15" hidden="false" customHeight="false" outlineLevel="0" collapsed="false">
      <c r="B20" s="0" t="s">
        <v>297</v>
      </c>
      <c r="I20" s="0" t="n">
        <v>0.45</v>
      </c>
      <c r="J20" s="0" t="n">
        <v>0.45</v>
      </c>
      <c r="K20" s="0" t="n">
        <v>0.25</v>
      </c>
      <c r="L20" s="0" t="n">
        <v>0.02</v>
      </c>
      <c r="M20" s="0" t="n">
        <v>0.02</v>
      </c>
      <c r="N20" s="0" t="n">
        <v>0.02</v>
      </c>
      <c r="O20" s="0" t="n">
        <v>0.45</v>
      </c>
      <c r="P20" s="0" t="n">
        <v>0.65</v>
      </c>
      <c r="Q20" s="0" t="n">
        <v>0.02</v>
      </c>
      <c r="R20" s="0" t="n">
        <v>0.02</v>
      </c>
      <c r="S20" s="0" t="n">
        <v>0.02</v>
      </c>
      <c r="T20" s="0" t="n">
        <v>0.02</v>
      </c>
      <c r="U20" s="0" t="n">
        <v>0.02</v>
      </c>
      <c r="V20" s="0" t="n">
        <v>0.02</v>
      </c>
      <c r="W20" s="0" t="n">
        <v>0.02</v>
      </c>
      <c r="X20" s="0" t="n">
        <v>0.45</v>
      </c>
      <c r="Y20" s="0" t="n">
        <v>0.02</v>
      </c>
      <c r="Z20" s="0" t="n">
        <v>0.02</v>
      </c>
      <c r="AA20" s="0" t="n">
        <v>0</v>
      </c>
      <c r="AB20" s="0" t="n">
        <v>0.45</v>
      </c>
      <c r="AC20" s="0" t="n">
        <v>0.45</v>
      </c>
      <c r="AD20" s="0" t="n">
        <v>0</v>
      </c>
      <c r="AE20" s="0" t="n">
        <v>0.02</v>
      </c>
      <c r="AF20" s="0" t="n">
        <v>0.02</v>
      </c>
      <c r="AG20" s="0" t="n">
        <v>0.45</v>
      </c>
      <c r="AH20" s="0" t="n">
        <v>0.45</v>
      </c>
      <c r="AI20" s="0" t="n">
        <v>0.45</v>
      </c>
      <c r="AJ20" s="0" t="n">
        <v>0.45</v>
      </c>
      <c r="AK20" s="0" t="n">
        <v>0.02</v>
      </c>
      <c r="AL20" s="0" t="n">
        <v>0.02</v>
      </c>
      <c r="AM20" s="0" t="n">
        <v>0.02</v>
      </c>
      <c r="AN20" s="0" t="n">
        <v>0.45</v>
      </c>
      <c r="AO20" s="0" t="n">
        <v>0.02</v>
      </c>
      <c r="AP20" s="0" t="n">
        <v>0.45</v>
      </c>
      <c r="AQ20" s="0" t="n">
        <v>0.45</v>
      </c>
    </row>
    <row r="21" customFormat="false" ht="15" hidden="false" customHeight="false" outlineLevel="0" collapsed="false">
      <c r="B21" s="0" t="s">
        <v>298</v>
      </c>
      <c r="I21" s="0" t="n">
        <v>0.85</v>
      </c>
      <c r="J21" s="0" t="n">
        <v>0.85</v>
      </c>
      <c r="K21" s="0" t="n">
        <v>0.7</v>
      </c>
      <c r="L21" s="0" t="n">
        <v>0.25</v>
      </c>
      <c r="M21" s="0" t="n">
        <v>0.25</v>
      </c>
      <c r="N21" s="0" t="n">
        <v>0.25</v>
      </c>
      <c r="O21" s="0" t="n">
        <v>0.85</v>
      </c>
      <c r="P21" s="0" t="n">
        <v>0.9</v>
      </c>
      <c r="Q21" s="0" t="n">
        <v>0.25</v>
      </c>
      <c r="R21" s="0" t="n">
        <v>0.25</v>
      </c>
      <c r="S21" s="0" t="n">
        <v>0.25</v>
      </c>
      <c r="T21" s="0" t="n">
        <v>0.25</v>
      </c>
      <c r="U21" s="0" t="n">
        <v>0.25</v>
      </c>
      <c r="V21" s="0" t="n">
        <v>0.25</v>
      </c>
      <c r="W21" s="0" t="n">
        <v>0.25</v>
      </c>
      <c r="X21" s="0" t="n">
        <v>0.85</v>
      </c>
      <c r="Y21" s="0" t="n">
        <v>0.25</v>
      </c>
      <c r="Z21" s="0" t="n">
        <v>0.25</v>
      </c>
      <c r="AA21" s="0" t="n">
        <v>0.25</v>
      </c>
      <c r="AB21" s="0" t="n">
        <v>0.85</v>
      </c>
      <c r="AC21" s="0" t="n">
        <v>0.85</v>
      </c>
      <c r="AD21" s="0" t="n">
        <v>0.15</v>
      </c>
      <c r="AE21" s="0" t="n">
        <v>0.25</v>
      </c>
      <c r="AF21" s="0" t="n">
        <v>0.25</v>
      </c>
      <c r="AG21" s="0" t="n">
        <v>0.85</v>
      </c>
      <c r="AH21" s="0" t="n">
        <v>0.85</v>
      </c>
      <c r="AI21" s="0" t="n">
        <v>0.85</v>
      </c>
      <c r="AJ21" s="0" t="n">
        <v>0.85</v>
      </c>
      <c r="AK21" s="0" t="n">
        <v>0.25</v>
      </c>
      <c r="AL21" s="0" t="n">
        <v>0.25</v>
      </c>
      <c r="AM21" s="0" t="n">
        <v>0.25</v>
      </c>
      <c r="AN21" s="0" t="n">
        <v>0.85</v>
      </c>
      <c r="AO21" s="0" t="n">
        <v>0.25</v>
      </c>
      <c r="AP21" s="0" t="n">
        <v>0.85</v>
      </c>
      <c r="AQ21" s="0" t="n">
        <v>0.85</v>
      </c>
    </row>
    <row r="22" customFormat="false" ht="15" hidden="false" customHeight="false" outlineLevel="0" collapsed="false">
      <c r="B22" s="0" t="s">
        <v>299</v>
      </c>
      <c r="I22" s="0" t="n">
        <v>0.4</v>
      </c>
      <c r="J22" s="0" t="n">
        <v>0.4</v>
      </c>
      <c r="K22" s="0" t="n">
        <v>0.2</v>
      </c>
      <c r="L22" s="0" t="n">
        <v>0.05</v>
      </c>
      <c r="M22" s="0" t="n">
        <v>0.05</v>
      </c>
      <c r="N22" s="0" t="n">
        <v>0.05</v>
      </c>
      <c r="O22" s="0" t="n">
        <v>0.4</v>
      </c>
      <c r="P22" s="0" t="n">
        <v>0.6</v>
      </c>
      <c r="Q22" s="0" t="n">
        <v>0.05</v>
      </c>
      <c r="R22" s="0" t="n">
        <v>0.05</v>
      </c>
      <c r="S22" s="0" t="n">
        <v>0.05</v>
      </c>
      <c r="T22" s="0" t="n">
        <v>0.05</v>
      </c>
      <c r="U22" s="0" t="n">
        <v>0.05</v>
      </c>
      <c r="V22" s="0" t="n">
        <v>0.05</v>
      </c>
      <c r="W22" s="0" t="n">
        <v>0.05</v>
      </c>
      <c r="X22" s="0" t="n">
        <v>0.4</v>
      </c>
      <c r="Y22" s="0" t="n">
        <v>0.05</v>
      </c>
      <c r="Z22" s="0" t="n">
        <v>0.05</v>
      </c>
      <c r="AA22" s="0" t="n">
        <v>0</v>
      </c>
      <c r="AB22" s="0" t="n">
        <v>0.4</v>
      </c>
      <c r="AC22" s="0" t="n">
        <v>0.4</v>
      </c>
      <c r="AD22" s="0" t="n">
        <v>0</v>
      </c>
      <c r="AE22" s="0" t="n">
        <v>0.05</v>
      </c>
      <c r="AF22" s="0" t="n">
        <v>0.05</v>
      </c>
      <c r="AG22" s="0" t="n">
        <v>0.4</v>
      </c>
      <c r="AH22" s="0" t="n">
        <v>0.4</v>
      </c>
      <c r="AI22" s="0" t="n">
        <v>0.4</v>
      </c>
      <c r="AJ22" s="0" t="n">
        <v>0.4</v>
      </c>
      <c r="AK22" s="0" t="n">
        <v>0.05</v>
      </c>
      <c r="AL22" s="0" t="n">
        <v>0.05</v>
      </c>
      <c r="AM22" s="0" t="n">
        <v>0.05</v>
      </c>
      <c r="AN22" s="0" t="n">
        <v>0.4</v>
      </c>
      <c r="AO22" s="0" t="n">
        <v>0.05</v>
      </c>
      <c r="AP22" s="0" t="n">
        <v>0.4</v>
      </c>
      <c r="AQ22" s="0" t="n">
        <v>0.4</v>
      </c>
    </row>
    <row r="23" customFormat="false" ht="15" hidden="false" customHeight="false" outlineLevel="0" collapsed="false">
      <c r="B23" s="0" t="s">
        <v>300</v>
      </c>
      <c r="I23" s="0" t="n">
        <v>0.9</v>
      </c>
      <c r="J23" s="0" t="n">
        <v>0.9</v>
      </c>
      <c r="K23" s="0" t="n">
        <v>0.85</v>
      </c>
      <c r="L23" s="0" t="n">
        <v>0.45</v>
      </c>
      <c r="M23" s="0" t="n">
        <v>0.45</v>
      </c>
      <c r="N23" s="0" t="n">
        <v>0.45</v>
      </c>
      <c r="O23" s="0" t="n">
        <v>0.9</v>
      </c>
      <c r="P23" s="0" t="n">
        <v>0.9</v>
      </c>
      <c r="Q23" s="0" t="n">
        <v>0.45</v>
      </c>
      <c r="R23" s="0" t="n">
        <v>0.45</v>
      </c>
      <c r="S23" s="0" t="n">
        <v>0.45</v>
      </c>
      <c r="T23" s="0" t="n">
        <v>0.45</v>
      </c>
      <c r="U23" s="0" t="n">
        <v>0.45</v>
      </c>
      <c r="V23" s="0" t="n">
        <v>0.45</v>
      </c>
      <c r="W23" s="0" t="n">
        <v>0.45</v>
      </c>
      <c r="X23" s="0" t="n">
        <v>0.9</v>
      </c>
      <c r="Y23" s="0" t="n">
        <v>0.45</v>
      </c>
      <c r="Z23" s="0" t="n">
        <v>0.45</v>
      </c>
      <c r="AA23" s="0" t="n">
        <v>0.4</v>
      </c>
      <c r="AB23" s="0" t="n">
        <v>0.9</v>
      </c>
      <c r="AC23" s="0" t="n">
        <v>0.9</v>
      </c>
      <c r="AD23" s="0" t="n">
        <v>0.4</v>
      </c>
      <c r="AE23" s="0" t="n">
        <v>0.45</v>
      </c>
      <c r="AF23" s="0" t="n">
        <v>0.45</v>
      </c>
      <c r="AG23" s="0" t="n">
        <v>0.9</v>
      </c>
      <c r="AH23" s="0" t="n">
        <v>0.9</v>
      </c>
      <c r="AI23" s="0" t="n">
        <v>0.9</v>
      </c>
      <c r="AJ23" s="0" t="n">
        <v>0.9</v>
      </c>
      <c r="AK23" s="0" t="n">
        <v>0.45</v>
      </c>
      <c r="AL23" s="0" t="n">
        <v>0.45</v>
      </c>
      <c r="AM23" s="0" t="n">
        <v>0.45</v>
      </c>
      <c r="AN23" s="0" t="n">
        <v>0.9</v>
      </c>
      <c r="AO23" s="0" t="n">
        <v>0.45</v>
      </c>
      <c r="AP23" s="0" t="n">
        <v>0.9</v>
      </c>
      <c r="AQ23" s="0" t="n">
        <v>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2009-05-27T15:40:00Z</dcterms:created>
  <dc:creator>Amit Kanudia</dc:creator>
  <dc:description/>
  <dc:language>en-US</dc:language>
  <cp:lastModifiedBy>李潇</cp:lastModifiedBy>
  <dcterms:modified xsi:type="dcterms:W3CDTF">2026-10-30T06:16:40Z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04EFFCDBBFCF49ECA237DEFC84B72D4A_13</vt:lpwstr>
  </property>
  <property fmtid="{D5CDD505-2E9C-101B-9397-08002B2CF9AE}" pid="4" name="KSOProductBuildVer">
    <vt:lpwstr>1033-12.1.0.29162</vt:lpwstr>
  </property>
  <property fmtid="{D5CDD505-2E9C-101B-9397-08002B2CF9AE}" pid="5" name="SaveCode">
    <vt:r8>975490756116480</vt:r8>
  </property>
</Properties>
</file>