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<sst xmlns="http://schemas.openxmlformats.org/spreadsheetml/2006/main" count="310" uniqueCount="119">
  <si>
    <t>*use VLOOKUP to tell Veda inputting 1-end (comprising scenario group), each one as one scenario</t>
  </si>
  <si>
    <t>~inputcell: 1-5</t>
  </si>
  <si>
    <t>*Contributed by Amit</t>
  </si>
  <si>
    <t>~TFM_INS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</si>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</sst>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8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9" zoomScaleNormal="69" workbookViewId="0">
      <selection activeCell="K12" sqref="K12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5.54545454545455" customWidth="1"/>
    <col min="14" max="14" width="8.72727272727273" customWidth="1"/>
    <col min="15" max="16" width="8.4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2:9">
      <c r="B2" t="s">
        <v>1</v>
      </c>
      <c r="I2" t="s">
        <v>2</v>
      </c>
    </row>
    <row r="3" customHeight="1" spans="2:2">
      <c r="B3">
        <v>3</v>
      </c>
    </row>
    <row r="5" customHeight="1" spans="3:21">
      <c r="C5" s="1" t="str">
        <f>VLOOKUP($B$3,$B$17:$E$37,C$6,FALSE)</f>
        <v>DirRecy*</v>
      </c>
      <c r="D5" s="1" t="str">
        <f>VLOOKUP($B$3,$B$17:$E$37,D$6,FALSE)</f>
        <v>AllRegions</v>
      </c>
      <c r="E5" s="2">
        <f>VLOOKUP($B$3,$B$17:$E$37,E$6,FALSE)</f>
        <v>2040</v>
      </c>
      <c r="H5" s="3" t="s">
        <v>3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>
        <v>2</v>
      </c>
      <c r="D6" s="4">
        <v>3</v>
      </c>
      <c r="E6" s="5">
        <v>4</v>
      </c>
      <c r="H6" s="6" t="s">
        <v>4</v>
      </c>
      <c r="I6" s="6" t="s">
        <v>5</v>
      </c>
      <c r="J6" s="6" t="s">
        <v>6</v>
      </c>
      <c r="K6" s="6" t="s">
        <v>7</v>
      </c>
      <c r="L6" s="6" t="s">
        <v>8</v>
      </c>
      <c r="M6" s="6" t="s">
        <v>9</v>
      </c>
      <c r="N6" s="13" t="s">
        <v>10</v>
      </c>
      <c r="O6" s="14" t="s">
        <v>11</v>
      </c>
      <c r="P6" s="14" t="s">
        <v>12</v>
      </c>
      <c r="Q6" s="14" t="s">
        <v>13</v>
      </c>
      <c r="R6" s="14" t="s">
        <v>14</v>
      </c>
      <c r="S6" s="14" t="s">
        <v>15</v>
      </c>
      <c r="T6" s="14" t="s">
        <v>16</v>
      </c>
      <c r="U6" s="14" t="s">
        <v>17</v>
      </c>
    </row>
    <row r="7" spans="3:20">
      <c r="C7" s="7"/>
      <c r="D7" s="7"/>
      <c r="H7" s="8"/>
      <c r="I7" s="8"/>
      <c r="J7" s="8" t="s">
        <v>18</v>
      </c>
      <c r="K7" s="8"/>
      <c r="L7" s="8"/>
      <c r="M7" s="8"/>
      <c r="N7">
        <f>E5</f>
        <v>2040</v>
      </c>
      <c r="O7" s="8"/>
      <c r="P7" s="8" t="str">
        <f>C5</f>
        <v>DirRecy*</v>
      </c>
      <c r="Q7" s="8"/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8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22</v>
      </c>
      <c r="D17" s="7" t="s">
        <v>10</v>
      </c>
      <c r="E17" s="9">
        <v>2030</v>
      </c>
      <c r="G17" s="10">
        <f>B23+1</f>
        <v>1</v>
      </c>
      <c r="H17" s="10" t="s">
        <v>23</v>
      </c>
      <c r="I17" s="10" t="s">
        <v>10</v>
      </c>
      <c r="J17" s="15">
        <f>E17</f>
        <v>2030</v>
      </c>
      <c r="K17" s="10"/>
      <c r="L17" s="10">
        <f>G23+1</f>
        <v>1</v>
      </c>
      <c r="M17" s="10" t="s">
        <v>24</v>
      </c>
      <c r="N17" s="10" t="s">
        <v>10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10</v>
      </c>
      <c r="E18" s="9">
        <v>2035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10</v>
      </c>
      <c r="J18" s="15">
        <f>E18</f>
        <v>2035</v>
      </c>
      <c r="K18" s="10"/>
      <c r="L18" s="10">
        <f t="shared" ref="L18:L23" si="4">L17+1</f>
        <v>2</v>
      </c>
      <c r="M18" s="10" t="s">
        <v>24</v>
      </c>
      <c r="N18" s="10" t="s">
        <v>10</v>
      </c>
      <c r="O18" s="15">
        <f>J18</f>
        <v>2035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10</v>
      </c>
      <c r="E19" s="9">
        <v>2040</v>
      </c>
      <c r="G19" s="10">
        <f t="shared" si="2"/>
        <v>3</v>
      </c>
      <c r="H19" s="10" t="str">
        <f t="shared" si="3"/>
        <v>HydRecy*</v>
      </c>
      <c r="I19" s="10" t="s">
        <v>10</v>
      </c>
      <c r="J19" s="15">
        <f>E19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10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10</v>
      </c>
      <c r="E20" s="9">
        <v>2045</v>
      </c>
      <c r="G20" s="10">
        <f t="shared" si="2"/>
        <v>4</v>
      </c>
      <c r="H20" s="10" t="str">
        <f t="shared" si="3"/>
        <v>HydRecy*</v>
      </c>
      <c r="I20" s="10" t="s">
        <v>10</v>
      </c>
      <c r="J20" s="15">
        <f>E20</f>
        <v>2045</v>
      </c>
      <c r="K20" s="10"/>
      <c r="L20" s="10">
        <f t="shared" si="4"/>
        <v>4</v>
      </c>
      <c r="M20" s="10" t="str">
        <f t="shared" si="5"/>
        <v>PyroRecy*</v>
      </c>
      <c r="N20" s="10" t="s">
        <v>10</v>
      </c>
      <c r="O20" s="15">
        <f>J20</f>
        <v>2045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10</v>
      </c>
      <c r="E21" s="9">
        <v>2050</v>
      </c>
      <c r="G21" s="10">
        <f t="shared" si="2"/>
        <v>5</v>
      </c>
      <c r="H21" s="10" t="str">
        <f t="shared" si="3"/>
        <v>HydRecy*</v>
      </c>
      <c r="I21" s="10" t="s">
        <v>10</v>
      </c>
      <c r="J21" s="15">
        <f>E21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10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25</v>
      </c>
      <c r="H223" s="18" t="s">
        <v>26</v>
      </c>
      <c r="I223" s="18" t="s">
        <v>27</v>
      </c>
      <c r="J223" s="18" t="s">
        <v>28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29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30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31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32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20</v>
      </c>
      <c r="H236" s="16" t="s">
        <v>6</v>
      </c>
      <c r="I236" s="16" t="s">
        <v>33</v>
      </c>
      <c r="J236" s="16" t="s">
        <v>34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25</v>
      </c>
      <c r="H238" s="18" t="s">
        <v>26</v>
      </c>
      <c r="I238" s="18" t="s">
        <v>27</v>
      </c>
      <c r="J238" s="18" t="s">
        <v>35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36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37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38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39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40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41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42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43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44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45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46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47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48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20</v>
      </c>
      <c r="I263" s="16" t="s">
        <v>6</v>
      </c>
      <c r="J263" s="16" t="s">
        <v>33</v>
      </c>
      <c r="K263" s="16" t="s">
        <v>34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49</v>
      </c>
      <c r="I265" s="18" t="s">
        <v>26</v>
      </c>
      <c r="J265" s="18" t="s">
        <v>27</v>
      </c>
      <c r="K265" s="18" t="s">
        <v>50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51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52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53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54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55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56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57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58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20</v>
      </c>
      <c r="I281" s="16" t="s">
        <v>6</v>
      </c>
      <c r="J281" s="16" t="s">
        <v>33</v>
      </c>
      <c r="K281" s="16" t="s">
        <v>34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59</v>
      </c>
      <c r="I283" s="18" t="s">
        <v>26</v>
      </c>
      <c r="J283" s="18" t="s">
        <v>27</v>
      </c>
      <c r="K283" s="18" t="s">
        <v>60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61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62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63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64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65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66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67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68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20</v>
      </c>
      <c r="I300" s="16" t="s">
        <v>6</v>
      </c>
      <c r="J300" s="16" t="s">
        <v>33</v>
      </c>
      <c r="K300" s="16" t="s">
        <v>34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69</v>
      </c>
      <c r="I302" s="18" t="s">
        <v>26</v>
      </c>
      <c r="J302" s="18" t="s">
        <v>27</v>
      </c>
      <c r="K302" s="18" t="s">
        <v>70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71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72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73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74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75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76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77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78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20</v>
      </c>
      <c r="I317" s="16" t="s">
        <v>6</v>
      </c>
      <c r="J317" s="16" t="s">
        <v>33</v>
      </c>
      <c r="K317" s="16" t="s">
        <v>34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25</v>
      </c>
      <c r="I319" s="18" t="s">
        <v>26</v>
      </c>
      <c r="J319" s="18" t="s">
        <v>27</v>
      </c>
      <c r="K319" s="18" t="s">
        <v>79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80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81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82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83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84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85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86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87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20</v>
      </c>
      <c r="I332" s="16" t="s">
        <v>6</v>
      </c>
      <c r="J332" s="16" t="s">
        <v>33</v>
      </c>
      <c r="K332" s="16" t="s">
        <v>34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88</v>
      </c>
      <c r="I334" s="18" t="s">
        <v>26</v>
      </c>
      <c r="J334" s="18" t="s">
        <v>27</v>
      </c>
      <c r="K334" s="18" t="s">
        <v>89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90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91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92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93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94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95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96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97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20</v>
      </c>
      <c r="I352" s="16" t="s">
        <v>6</v>
      </c>
      <c r="J352" s="16" t="s">
        <v>33</v>
      </c>
      <c r="K352" s="16" t="s">
        <v>34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98</v>
      </c>
      <c r="I354" s="29" t="s">
        <v>26</v>
      </c>
      <c r="J354" s="29" t="s">
        <v>27</v>
      </c>
      <c r="K354" s="29" t="s">
        <v>99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100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101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102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103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104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105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106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107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20</v>
      </c>
      <c r="I370" s="16" t="s">
        <v>6</v>
      </c>
      <c r="J370" s="16" t="s">
        <v>33</v>
      </c>
      <c r="K370" s="16" t="s">
        <v>34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98</v>
      </c>
      <c r="I372" s="18" t="s">
        <v>26</v>
      </c>
      <c r="J372" s="18" t="s">
        <v>27</v>
      </c>
      <c r="K372" s="18" t="s">
        <v>108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109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110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111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112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113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114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115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116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20</v>
      </c>
      <c r="I391" s="16" t="s">
        <v>6</v>
      </c>
      <c r="J391" s="16" t="s">
        <v>33</v>
      </c>
      <c r="K391" s="16" t="s">
        <v>34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117</v>
      </c>
      <c r="I393" s="29" t="s">
        <v>26</v>
      </c>
      <c r="J393" s="29" t="s">
        <v>27</v>
      </c>
      <c r="K393" s="29" t="s">
        <v>40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41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42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43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44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45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46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47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48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20</v>
      </c>
      <c r="I406" s="16" t="s">
        <v>6</v>
      </c>
      <c r="J406" s="16" t="s">
        <v>33</v>
      </c>
      <c r="K406" s="16" t="s">
        <v>34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49</v>
      </c>
      <c r="I408" s="18" t="s">
        <v>26</v>
      </c>
      <c r="J408" s="18" t="s">
        <v>27</v>
      </c>
      <c r="K408" s="18" t="s">
        <v>50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51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52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53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54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55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56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57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58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20</v>
      </c>
      <c r="I419" s="16" t="s">
        <v>6</v>
      </c>
      <c r="J419" s="16" t="s">
        <v>33</v>
      </c>
      <c r="K419" s="16" t="s">
        <v>34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49</v>
      </c>
      <c r="I421" s="18" t="s">
        <v>118</v>
      </c>
      <c r="J421" s="18" t="s">
        <v>27</v>
      </c>
      <c r="K421" s="18" t="s">
        <v>50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51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52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53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54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55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56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57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58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20</v>
      </c>
      <c r="I437" s="16" t="s">
        <v>6</v>
      </c>
      <c r="J437" s="16" t="s">
        <v>33</v>
      </c>
      <c r="K437" s="16" t="s">
        <v>34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59</v>
      </c>
      <c r="I439" s="31" t="s">
        <v>26</v>
      </c>
      <c r="J439" s="31" t="s">
        <v>27</v>
      </c>
      <c r="K439" s="31" t="s">
        <v>60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61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62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63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64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65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66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67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68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20</v>
      </c>
      <c r="I454" s="16" t="s">
        <v>6</v>
      </c>
      <c r="J454" s="16" t="s">
        <v>33</v>
      </c>
      <c r="K454" s="16" t="s">
        <v>34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69</v>
      </c>
      <c r="I456" s="26" t="s">
        <v>26</v>
      </c>
      <c r="J456" s="26" t="s">
        <v>27</v>
      </c>
      <c r="K456" s="26" t="s">
        <v>70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71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72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73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74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75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76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77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78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20</v>
      </c>
      <c r="J473" s="16" t="s">
        <v>6</v>
      </c>
      <c r="K473" s="16" t="s">
        <v>33</v>
      </c>
      <c r="L473" s="16" t="s">
        <v>34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25</v>
      </c>
      <c r="J475" s="29" t="s">
        <v>26</v>
      </c>
      <c r="K475" s="29" t="s">
        <v>27</v>
      </c>
      <c r="L475" s="29" t="s">
        <v>79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80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81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82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83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84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85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86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87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20</v>
      </c>
      <c r="J489" s="16" t="s">
        <v>6</v>
      </c>
      <c r="K489" s="16" t="s">
        <v>33</v>
      </c>
      <c r="L489" s="16" t="s">
        <v>34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88</v>
      </c>
      <c r="J491" s="18" t="s">
        <v>26</v>
      </c>
      <c r="K491" s="18" t="s">
        <v>27</v>
      </c>
      <c r="L491" s="18" t="s">
        <v>89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90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91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92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93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94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95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96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97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20</v>
      </c>
      <c r="J506" s="16" t="s">
        <v>6</v>
      </c>
      <c r="K506" s="16" t="s">
        <v>33</v>
      </c>
      <c r="L506" s="16" t="s">
        <v>34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98</v>
      </c>
      <c r="J508" s="18" t="s">
        <v>26</v>
      </c>
      <c r="K508" s="18" t="s">
        <v>27</v>
      </c>
      <c r="L508" s="18" t="s">
        <v>99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100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101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102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103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104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105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106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107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2025-09-13T17:48:02Z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1033-12.2.0.22549</vt:lpwstr>
  </property>
</Properties>
</file>