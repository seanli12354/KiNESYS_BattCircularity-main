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6790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134"/>
          </rPr>
          <t>Insert Table</t>
        </r>
      </text>
    </comment>
    <comment ref="O5" authorId="2">
      <text>
        <r>
          <rPr>
            <sz val="8"/>
            <rFont val="Tahoma"/>
            <charset val="134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134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<sst xmlns="http://schemas.openxmlformats.org/spreadsheetml/2006/main" count="320" uniqueCount="118">
  <si>
    <t>*use VLOOKUP to tell Veda inputting 1-end (comprising scenario group), each one as one scenario</t>
  </si>
  <si>
    <t>*Contributed by Amit</t>
  </si>
  <si>
    <t>~TFM_INS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</si>
  <si>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</si>
  <si>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</si>
  <si>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</si>
  <si>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</si>
  <si>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</si>
  <si>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</si>
  <si>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</si>
  <si>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</si>
  <si>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</si>
  <si>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</si>
  <si>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</si>
  <si>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</si>
  <si>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</si>
  <si>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</si>
  <si>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</si>
  <si>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*toRepurpose</t>
  </si>
  <si>
    <t>Tech</t>
  </si>
  <si>
    <t>Region</t>
  </si>
  <si>
    <t>year</t>
  </si>
  <si>
    <t>HydRecy*</t>
  </si>
  <si>
    <t>PyroRecy*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</si>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</sst>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</numFmts>
  <fonts count="35">
    <font>
      <sz val="11"/>
      <color theme="1"/>
      <name val="Calibri"/>
      <charset val="134"/>
      <scheme val="minor"/>
    </font>
    <font>
      <b/>
      <sz val="10"/>
      <color indexed="12"/>
      <name val="Arial"/>
      <charset val="134"/>
    </font>
    <font>
      <sz val="11"/>
      <color rgb="FF9C5700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9"/>
      <name val="Times New Roman"/>
      <charset val="134"/>
    </font>
    <font>
      <sz val="9"/>
      <name val="Times New Roman"/>
      <charset val="134"/>
    </font>
    <font>
      <b/>
      <sz val="8"/>
      <name val="Tahoma"/>
      <charset val="134"/>
    </font>
    <font>
      <sz val="8"/>
      <name val="Tahoma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13" borderId="6" applyNumberFormat="0" applyAlignment="0" applyProtection="0">
      <alignment vertical="center"/>
    </xf>
    <xf numFmtId="0" fontId="23" fillId="14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4" fillId="0" borderId="0"/>
    <xf numFmtId="0" fontId="30" fillId="0" borderId="0"/>
  </cellStyleXfs>
  <cellXfs count="33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0" fillId="0" borderId="0" xfId="0" applyFont="1" applyFill="1" applyBorder="1" applyAlignment="1"/>
    <xf numFmtId="0" fontId="0" fillId="5" borderId="0" xfId="0" applyFill="1"/>
    <xf numFmtId="178" fontId="0" fillId="0" borderId="0" xfId="0" applyNumberFormat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4" fillId="4" borderId="1" xfId="0" applyFont="1" applyFill="1" applyBorder="1" applyAlignment="1"/>
    <xf numFmtId="178" fontId="0" fillId="5" borderId="0" xfId="0" applyNumberFormat="1" applyFill="1"/>
    <xf numFmtId="0" fontId="5" fillId="7" borderId="2" xfId="0" applyFont="1" applyFill="1" applyBorder="1" applyAlignment="1">
      <alignment horizontal="center" wrapText="1"/>
    </xf>
    <xf numFmtId="0" fontId="6" fillId="8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6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8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6" fillId="10" borderId="2" xfId="0" applyFont="1" applyFill="1" applyBorder="1" applyAlignment="1">
      <alignment horizontal="center" wrapText="1"/>
    </xf>
    <xf numFmtId="0" fontId="6" fillId="10" borderId="2" xfId="0" applyFont="1" applyFill="1" applyBorder="1" applyAlignment="1">
      <alignment horizontal="right" vertical="top" wrapText="1"/>
    </xf>
    <xf numFmtId="0" fontId="9" fillId="8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right" vertical="top" wrapText="1"/>
    </xf>
    <xf numFmtId="0" fontId="11" fillId="10" borderId="2" xfId="0" applyFont="1" applyFill="1" applyBorder="1" applyAlignment="1">
      <alignment horizontal="center" wrapText="1"/>
    </xf>
    <xf numFmtId="0" fontId="11" fillId="10" borderId="2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516"/>
  <sheetViews>
    <sheetView tabSelected="1" zoomScale="73" zoomScaleNormal="73" workbookViewId="0">
      <selection activeCell="T18" sqref="T18"/>
    </sheetView>
  </sheetViews>
  <sheetFormatPr defaultColWidth="9" defaultRowHeight="14.5"/>
  <cols>
    <col min="2" max="2" width="13.0909090909091" customWidth="1"/>
    <col min="3" max="3" width="15.3636363636364" customWidth="1"/>
    <col min="4" max="4" width="10.1818181818182" customWidth="1"/>
    <col min="5" max="5" width="9.54545454545454" customWidth="1"/>
    <col min="6" max="6" width="11.6363636363636" customWidth="1"/>
    <col min="7" max="7" width="9.72727272727273" customWidth="1"/>
    <col min="8" max="8" width="10.7272727272727" customWidth="1"/>
    <col min="9" max="9" width="9.63636363636364" customWidth="1"/>
    <col min="10" max="10" width="13.6363636363636" customWidth="1"/>
    <col min="11" max="11" width="16.2727272727273" customWidth="1"/>
    <col min="12" max="12" width="8.36363636363636" customWidth="1"/>
    <col min="13" max="13" width="5.54545454545455" customWidth="1"/>
    <col min="14" max="14" width="8.72727272727273" customWidth="1"/>
    <col min="15" max="16" width="8.36363636363636" customWidth="1"/>
    <col min="17" max="17" width="12.8181818181818"/>
    <col min="19" max="19" width="12.8181818181818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9:9">
      <c r="I2" t="s">
        <v>1</v>
      </c>
    </row>
    <row r="3" customHeight="1" spans="2:2">
      <c r="B3"/>
    </row>
    <row r="5" customHeight="1" spans="3:21">
      <c r="C5" s="1"/>
      <c r="D5" s="1"/>
      <c r="E5" s="2"/>
      <c r="H5" s="3" t="s">
        <v>2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customHeight="1" spans="3:21">
      <c r="C6" s="4"/>
      <c r="D6" s="4"/>
      <c r="E6" s="5"/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13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4" t="s">
        <v>15</v>
      </c>
      <c r="U6" s="14" t="s">
        <v>16</v>
      </c>
    </row>
    <row r="7" spans="3:20">
      <c r="C7" s="7"/>
      <c r="D7" s="7"/>
      <c r="H7" s="8"/>
      <c r="I7" s="8"/>
      <c r="J7" s="8" t="s">
        <v>17</v>
      </c>
      <c r="K7" s="8"/>
      <c r="L7" s="8"/>
      <c r="M7" s="8"/>
      <c r="N7">
        <v>2025</v>
      </c>
      <c r="O7" s="8"/>
      <c r="P7" s="8" t="s">
        <v>18</v>
      </c>
      <c r="Q7" s="8"/>
      <c r="R7" s="8"/>
      <c r="S7" s="8"/>
      <c r="T7" s="8"/>
    </row>
    <row r="8" spans="8:20">
      <c r="H8" s="8"/>
      <c r="I8" s="8"/>
      <c r="J8" s="8"/>
      <c r="K8" s="8"/>
      <c r="L8" s="8"/>
      <c r="N8" s="8"/>
      <c r="O8" s="8"/>
      <c r="P8" s="8"/>
      <c r="Q8" s="8"/>
      <c r="R8" s="8"/>
      <c r="S8" s="8"/>
      <c r="T8" s="8"/>
    </row>
    <row r="9" spans="8:20"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2" ht="15.25"/>
    <row r="13" ht="15.25" spans="29:40"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15.25" spans="29:41"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ht="15.25" spans="29:42">
      <c r="AC15" s="18"/>
      <c r="AD15" s="18"/>
      <c r="AE15" s="18"/>
      <c r="AF15" s="18"/>
      <c r="AG15" s="19"/>
      <c r="AH15" s="19"/>
      <c r="AI15" s="19"/>
      <c r="AJ15" s="19"/>
      <c r="AK15" s="19"/>
      <c r="AL15" s="19"/>
      <c r="AM15" s="19"/>
      <c r="AN15" s="19"/>
      <c r="AO15" s="20"/>
      <c r="AP15">
        <f>AG15*1+AH15*2+SUM(AI15:AN15)*5</f>
        <v>0</v>
      </c>
    </row>
    <row r="16" ht="15.25" spans="3:42">
      <c r="C16" s="7" t="s">
        <v>19</v>
      </c>
      <c r="D16" s="7" t="s">
        <v>20</v>
      </c>
      <c r="E16" t="s">
        <v>21</v>
      </c>
      <c r="AC16" s="18"/>
      <c r="AD16" s="18"/>
      <c r="AE16" s="18"/>
      <c r="AF16" s="18"/>
      <c r="AG16" s="19"/>
      <c r="AH16" s="19"/>
      <c r="AI16" s="19"/>
      <c r="AJ16" s="19"/>
      <c r="AK16" s="19"/>
      <c r="AL16" s="19"/>
      <c r="AM16" s="19"/>
      <c r="AN16" s="19"/>
      <c r="AO16" s="20"/>
      <c r="AP16">
        <f t="shared" ref="AP16:AP21" si="0">AG16*1+AH16*2+SUM(AI16:AN16)*5</f>
        <v>0</v>
      </c>
    </row>
    <row r="17" ht="15.25" spans="2:42">
      <c r="B17">
        <v>1</v>
      </c>
      <c r="C17" s="7" t="s">
        <v>18</v>
      </c>
      <c r="D17" s="7" t="s">
        <v>9</v>
      </c>
      <c r="E17">
        <v>2025</v>
      </c>
      <c r="G17" s="9">
        <f>B23+1</f>
        <v>8</v>
      </c>
      <c r="H17" s="9" t="s">
        <v>22</v>
      </c>
      <c r="I17" s="9" t="s">
        <v>9</v>
      </c>
      <c r="J17" s="15">
        <f>E19</f>
        <v>2030</v>
      </c>
      <c r="K17" s="9"/>
      <c r="L17" s="9">
        <f>G23+1</f>
        <v>1</v>
      </c>
      <c r="M17" s="9" t="s">
        <v>23</v>
      </c>
      <c r="N17" s="9" t="s">
        <v>9</v>
      </c>
      <c r="O17" s="15">
        <f>J17</f>
        <v>2030</v>
      </c>
      <c r="AC17" s="18"/>
      <c r="AD17" s="18"/>
      <c r="AE17" s="18"/>
      <c r="AF17" s="18"/>
      <c r="AG17" s="19"/>
      <c r="AH17" s="19"/>
      <c r="AI17" s="19"/>
      <c r="AJ17" s="19"/>
      <c r="AK17" s="19"/>
      <c r="AL17" s="19"/>
      <c r="AM17" s="19"/>
      <c r="AN17" s="19"/>
      <c r="AO17" s="20"/>
      <c r="AP17">
        <f t="shared" si="0"/>
        <v>0</v>
      </c>
    </row>
    <row r="18" ht="15.25" spans="2:42">
      <c r="B18">
        <v>2</v>
      </c>
      <c r="C18" s="7" t="s">
        <v>18</v>
      </c>
      <c r="D18" s="7" t="s">
        <v>9</v>
      </c>
      <c r="E18" s="10">
        <v>2101</v>
      </c>
      <c r="G18" s="9">
        <f t="shared" ref="G18:G21" si="1">G17+1</f>
        <v>9</v>
      </c>
      <c r="H18" s="9" t="str">
        <f t="shared" ref="H18:H21" si="2">H17</f>
        <v>HydRecy*</v>
      </c>
      <c r="I18" s="9" t="s">
        <v>9</v>
      </c>
      <c r="J18" s="15">
        <f>E20</f>
        <v>2035</v>
      </c>
      <c r="K18" s="9"/>
      <c r="L18" s="9">
        <f t="shared" ref="L18:L21" si="3">L17+1</f>
        <v>2</v>
      </c>
      <c r="M18" s="9" t="s">
        <v>23</v>
      </c>
      <c r="N18" s="9" t="s">
        <v>9</v>
      </c>
      <c r="O18" s="15">
        <f>J18</f>
        <v>2035</v>
      </c>
      <c r="AC18" s="18"/>
      <c r="AD18" s="18"/>
      <c r="AE18" s="18"/>
      <c r="AF18" s="18"/>
      <c r="AG18" s="19"/>
      <c r="AH18" s="19"/>
      <c r="AI18" s="19"/>
      <c r="AJ18" s="19"/>
      <c r="AK18" s="19"/>
      <c r="AL18" s="19"/>
      <c r="AM18" s="19"/>
      <c r="AN18" s="19"/>
      <c r="AO18" s="20"/>
      <c r="AP18">
        <f t="shared" si="0"/>
        <v>0</v>
      </c>
    </row>
    <row r="19" ht="15.25" spans="2:42">
      <c r="B19">
        <f>B18+1</f>
        <v>3</v>
      </c>
      <c r="C19" s="7" t="s">
        <v>18</v>
      </c>
      <c r="D19" s="7" t="s">
        <v>9</v>
      </c>
      <c r="E19" s="10">
        <v>2030</v>
      </c>
      <c r="G19" s="9">
        <f t="shared" si="1"/>
        <v>10</v>
      </c>
      <c r="H19" s="9" t="str">
        <f t="shared" si="2"/>
        <v>HydRecy*</v>
      </c>
      <c r="I19" s="9" t="s">
        <v>9</v>
      </c>
      <c r="J19" s="15">
        <f>E21</f>
        <v>2040</v>
      </c>
      <c r="K19" s="9"/>
      <c r="L19" s="9">
        <f t="shared" si="3"/>
        <v>3</v>
      </c>
      <c r="M19" s="9" t="str">
        <f t="shared" ref="M19:M21" si="4">M18</f>
        <v>PyroRecy*</v>
      </c>
      <c r="N19" s="9" t="s">
        <v>9</v>
      </c>
      <c r="O19" s="15">
        <f>J19</f>
        <v>2040</v>
      </c>
      <c r="AC19" s="18"/>
      <c r="AD19" s="18"/>
      <c r="AE19" s="18"/>
      <c r="AF19" s="18"/>
      <c r="AG19" s="19"/>
      <c r="AH19" s="19"/>
      <c r="AI19" s="19"/>
      <c r="AJ19" s="19"/>
      <c r="AK19" s="19"/>
      <c r="AL19" s="19"/>
      <c r="AM19" s="19"/>
      <c r="AN19" s="19"/>
      <c r="AO19" s="20"/>
      <c r="AP19">
        <f t="shared" si="0"/>
        <v>0</v>
      </c>
    </row>
    <row r="20" ht="15.25" spans="2:42">
      <c r="B20">
        <f>B19+1</f>
        <v>4</v>
      </c>
      <c r="C20" s="7" t="s">
        <v>18</v>
      </c>
      <c r="D20" s="7" t="s">
        <v>9</v>
      </c>
      <c r="E20" s="10">
        <v>2035</v>
      </c>
      <c r="G20" s="9">
        <f t="shared" si="1"/>
        <v>11</v>
      </c>
      <c r="H20" s="9" t="str">
        <f t="shared" si="2"/>
        <v>HydRecy*</v>
      </c>
      <c r="I20" s="9" t="s">
        <v>9</v>
      </c>
      <c r="J20" s="15">
        <f>E22</f>
        <v>2045</v>
      </c>
      <c r="K20" s="9"/>
      <c r="L20" s="9">
        <f t="shared" si="3"/>
        <v>4</v>
      </c>
      <c r="M20" s="9" t="str">
        <f t="shared" si="4"/>
        <v>PyroRecy*</v>
      </c>
      <c r="N20" s="9" t="s">
        <v>9</v>
      </c>
      <c r="O20" s="15">
        <f>J20</f>
        <v>2045</v>
      </c>
      <c r="AC20" s="18"/>
      <c r="AD20" s="18"/>
      <c r="AE20" s="18"/>
      <c r="AF20" s="18"/>
      <c r="AG20" s="19"/>
      <c r="AH20" s="19"/>
      <c r="AI20" s="19"/>
      <c r="AJ20" s="19"/>
      <c r="AK20" s="19"/>
      <c r="AL20" s="19"/>
      <c r="AM20" s="19"/>
      <c r="AN20" s="19"/>
      <c r="AO20" s="20"/>
      <c r="AP20">
        <f t="shared" si="0"/>
        <v>0</v>
      </c>
    </row>
    <row r="21" ht="15.25" spans="2:42">
      <c r="B21">
        <f>B20+1</f>
        <v>5</v>
      </c>
      <c r="C21" s="7" t="s">
        <v>18</v>
      </c>
      <c r="D21" s="7" t="s">
        <v>9</v>
      </c>
      <c r="E21" s="10">
        <v>2040</v>
      </c>
      <c r="G21" s="9">
        <f t="shared" si="1"/>
        <v>12</v>
      </c>
      <c r="H21" s="9" t="str">
        <f t="shared" si="2"/>
        <v>HydRecy*</v>
      </c>
      <c r="I21" s="9" t="s">
        <v>9</v>
      </c>
      <c r="J21" s="15">
        <f>E23</f>
        <v>2050</v>
      </c>
      <c r="K21" s="9"/>
      <c r="L21" s="9">
        <f t="shared" si="3"/>
        <v>5</v>
      </c>
      <c r="M21" s="9" t="str">
        <f t="shared" si="4"/>
        <v>PyroRecy*</v>
      </c>
      <c r="N21" s="9" t="s">
        <v>9</v>
      </c>
      <c r="O21" s="15">
        <f>J21</f>
        <v>2050</v>
      </c>
      <c r="AC21" s="18"/>
      <c r="AD21" s="18"/>
      <c r="AE21" s="18"/>
      <c r="AF21" s="18"/>
      <c r="AG21" s="19"/>
      <c r="AH21" s="19"/>
      <c r="AI21" s="19"/>
      <c r="AJ21" s="19"/>
      <c r="AK21" s="19"/>
      <c r="AL21" s="19"/>
      <c r="AM21" s="19"/>
      <c r="AN21" s="19"/>
      <c r="AO21" s="20"/>
      <c r="AP21">
        <f t="shared" si="0"/>
        <v>0</v>
      </c>
    </row>
    <row r="22" spans="2:14">
      <c r="B22">
        <f t="shared" ref="B22:B24" si="5">B21+1</f>
        <v>6</v>
      </c>
      <c r="C22" s="7" t="s">
        <v>18</v>
      </c>
      <c r="D22" s="7" t="s">
        <v>9</v>
      </c>
      <c r="E22" s="10">
        <v>2045</v>
      </c>
      <c r="G22" s="9"/>
      <c r="H22" s="9"/>
      <c r="I22" s="9"/>
      <c r="K22" s="9"/>
      <c r="L22" s="9"/>
      <c r="M22" s="9"/>
      <c r="N22" s="9"/>
    </row>
    <row r="23" spans="2:14">
      <c r="B23">
        <f t="shared" si="5"/>
        <v>7</v>
      </c>
      <c r="C23" s="7" t="s">
        <v>18</v>
      </c>
      <c r="D23" s="7" t="s">
        <v>9</v>
      </c>
      <c r="E23" s="10">
        <v>2050</v>
      </c>
      <c r="G23" s="9"/>
      <c r="H23" s="9"/>
      <c r="I23" s="9"/>
      <c r="K23" s="9"/>
      <c r="L23" s="9"/>
      <c r="M23" s="9"/>
      <c r="N23" s="9"/>
    </row>
    <row r="24" spans="2:4">
      <c r="B24">
        <f t="shared" si="5"/>
        <v>8</v>
      </c>
      <c r="C24" s="7" t="s">
        <v>18</v>
      </c>
      <c r="D24" s="7" t="s">
        <v>9</v>
      </c>
    </row>
    <row r="222" ht="15.25"/>
    <row r="223" ht="35.25" spans="7:19">
      <c r="G223" s="18" t="s">
        <v>24</v>
      </c>
      <c r="H223" s="18" t="s">
        <v>25</v>
      </c>
      <c r="I223" s="18" t="s">
        <v>26</v>
      </c>
      <c r="J223" s="18" t="s">
        <v>27</v>
      </c>
      <c r="K223" s="19">
        <v>131619.41</v>
      </c>
      <c r="L223" s="19">
        <v>122999.53</v>
      </c>
      <c r="M223" s="19">
        <v>112264.81</v>
      </c>
      <c r="N223" s="19">
        <v>84251.68</v>
      </c>
      <c r="O223" s="19">
        <v>72287.27</v>
      </c>
      <c r="P223" s="19">
        <v>29674.56</v>
      </c>
      <c r="Q223" s="19">
        <v>8100.75</v>
      </c>
      <c r="S223">
        <f>K223*1+L223*2+SUM(M223:Q223)*5</f>
        <v>1910513.82</v>
      </c>
    </row>
    <row r="224" ht="35.25" spans="7:19">
      <c r="G224" s="18"/>
      <c r="H224" s="18"/>
      <c r="I224" s="18"/>
      <c r="J224" s="18" t="s">
        <v>28</v>
      </c>
      <c r="K224" s="19">
        <v>131619.41</v>
      </c>
      <c r="L224" s="19">
        <v>123124.52</v>
      </c>
      <c r="M224" s="19">
        <v>112403.54</v>
      </c>
      <c r="N224" s="19">
        <v>84268.12</v>
      </c>
      <c r="O224" s="19">
        <v>72286.44</v>
      </c>
      <c r="P224" s="19">
        <v>29675.26</v>
      </c>
      <c r="Q224" s="19">
        <v>8100.75</v>
      </c>
      <c r="S224">
        <f>K224*1+L224*2+SUM(M224:Q224)*5</f>
        <v>1911539</v>
      </c>
    </row>
    <row r="225" ht="35.25" spans="7:19">
      <c r="G225" s="18"/>
      <c r="H225" s="18"/>
      <c r="I225" s="18"/>
      <c r="J225" s="18" t="s">
        <v>29</v>
      </c>
      <c r="K225" s="19">
        <v>131619.41</v>
      </c>
      <c r="L225" s="19">
        <v>123129.099</v>
      </c>
      <c r="M225" s="19">
        <v>112390.74</v>
      </c>
      <c r="N225" s="19">
        <v>84376.71</v>
      </c>
      <c r="O225" s="19">
        <v>72286.44</v>
      </c>
      <c r="P225" s="19">
        <v>29670.89</v>
      </c>
      <c r="Q225" s="19">
        <v>8100.8</v>
      </c>
      <c r="S225">
        <f>K225*1+L225*2+SUM(M225:Q225)*5</f>
        <v>1912005.508</v>
      </c>
    </row>
    <row r="226" ht="35.25" spans="7:19">
      <c r="G226" s="18"/>
      <c r="H226" s="18"/>
      <c r="I226" s="18"/>
      <c r="J226" s="18" t="s">
        <v>30</v>
      </c>
      <c r="K226" s="19">
        <v>131619.41</v>
      </c>
      <c r="L226" s="19">
        <v>123125.021</v>
      </c>
      <c r="M226" s="19">
        <v>112399.9</v>
      </c>
      <c r="N226" s="19">
        <v>84298.77</v>
      </c>
      <c r="O226" s="19">
        <v>72203.78</v>
      </c>
      <c r="P226" s="19">
        <v>29666.76</v>
      </c>
      <c r="Q226" s="19">
        <v>8100.84</v>
      </c>
      <c r="S226">
        <f>K226*1+L226*2+SUM(M226:Q226)*5</f>
        <v>1911219.702</v>
      </c>
    </row>
    <row r="227" ht="35.25" spans="7:19">
      <c r="G227" s="18"/>
      <c r="H227" s="18"/>
      <c r="I227" s="18"/>
      <c r="J227" s="18" t="s">
        <v>31</v>
      </c>
      <c r="K227" s="19">
        <v>131619.41</v>
      </c>
      <c r="L227" s="19">
        <v>123124.47</v>
      </c>
      <c r="M227" s="19">
        <v>112398.024</v>
      </c>
      <c r="N227" s="19">
        <v>84297.86</v>
      </c>
      <c r="O227" s="19">
        <v>72199.82</v>
      </c>
      <c r="P227" s="19">
        <v>29664.74</v>
      </c>
      <c r="Q227" s="19">
        <v>7780.34</v>
      </c>
      <c r="S227">
        <f>K227*1+L227*2+SUM(M227:Q227)*5</f>
        <v>1909572.27</v>
      </c>
    </row>
    <row r="228" spans="7:9">
      <c r="G228" s="21"/>
      <c r="H228" s="21"/>
      <c r="I228" s="23"/>
    </row>
    <row r="229" spans="7:9">
      <c r="G229" s="21"/>
      <c r="H229" s="21"/>
      <c r="I229" s="23"/>
    </row>
    <row r="230" spans="7:11">
      <c r="G230" s="21"/>
      <c r="H230" s="21"/>
      <c r="I230" s="24"/>
      <c r="K230" s="23"/>
    </row>
    <row r="231" spans="7:11">
      <c r="G231" s="21"/>
      <c r="H231" s="21"/>
      <c r="K231" s="23"/>
    </row>
    <row r="232" spans="7:11">
      <c r="G232" s="21"/>
      <c r="H232" s="21"/>
      <c r="K232" s="21"/>
    </row>
    <row r="233" spans="7:11">
      <c r="G233" s="21"/>
      <c r="H233" s="21"/>
      <c r="K233" s="21"/>
    </row>
    <row r="235" ht="15.25"/>
    <row r="236" ht="28.75" spans="4:17">
      <c r="D236" s="22"/>
      <c r="G236" s="16" t="s">
        <v>20</v>
      </c>
      <c r="H236" s="16" t="s">
        <v>5</v>
      </c>
      <c r="I236" s="16" t="s">
        <v>32</v>
      </c>
      <c r="J236" s="16" t="s">
        <v>33</v>
      </c>
      <c r="K236" s="16">
        <v>2020</v>
      </c>
      <c r="L236" s="16">
        <v>2021</v>
      </c>
      <c r="M236" s="16">
        <v>2025</v>
      </c>
      <c r="N236" s="16">
        <v>2030</v>
      </c>
      <c r="O236" s="16">
        <v>2035</v>
      </c>
      <c r="P236" s="16">
        <v>2040</v>
      </c>
      <c r="Q236" s="16">
        <v>2045</v>
      </c>
    </row>
    <row r="237" ht="15.25" spans="7:18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23.75" spans="7:19">
      <c r="G238" s="18" t="s">
        <v>24</v>
      </c>
      <c r="H238" s="18" t="s">
        <v>25</v>
      </c>
      <c r="I238" s="18" t="s">
        <v>26</v>
      </c>
      <c r="J238" s="18" t="s">
        <v>34</v>
      </c>
      <c r="K238" s="19">
        <v>132241.97</v>
      </c>
      <c r="L238" s="19">
        <v>110695.72</v>
      </c>
      <c r="M238" s="19">
        <v>109651.97</v>
      </c>
      <c r="N238" s="19">
        <v>96115.77</v>
      </c>
      <c r="O238" s="19">
        <v>82021.95</v>
      </c>
      <c r="P238" s="19">
        <v>67324.6</v>
      </c>
      <c r="Q238" s="19">
        <v>30353.44</v>
      </c>
      <c r="R238" s="20"/>
      <c r="S238">
        <f>K238*1+L238*2+SUM(M238:Q238)*5</f>
        <v>2280972.06</v>
      </c>
    </row>
    <row r="239" ht="23.75" spans="7:19">
      <c r="G239" s="18"/>
      <c r="H239" s="18"/>
      <c r="I239" s="18"/>
      <c r="J239" s="18" t="s">
        <v>35</v>
      </c>
      <c r="K239" s="19">
        <v>132241.97</v>
      </c>
      <c r="L239" s="19">
        <v>110700.88</v>
      </c>
      <c r="M239" s="19">
        <v>109118.22</v>
      </c>
      <c r="N239" s="19">
        <v>95555.28</v>
      </c>
      <c r="O239" s="19">
        <v>82024.54</v>
      </c>
      <c r="P239" s="19">
        <v>67326.62</v>
      </c>
      <c r="Q239" s="19">
        <v>30350.28</v>
      </c>
      <c r="R239" s="20"/>
      <c r="S239">
        <f>K239*1+L239*2+SUM(M239:Q239)*5</f>
        <v>2275518.43</v>
      </c>
    </row>
    <row r="240" ht="23.75" spans="7:19">
      <c r="G240" s="18"/>
      <c r="H240" s="18"/>
      <c r="I240" s="18"/>
      <c r="J240" s="18" t="s">
        <v>36</v>
      </c>
      <c r="K240" s="19">
        <v>132241.97</v>
      </c>
      <c r="L240" s="19">
        <v>110700.88</v>
      </c>
      <c r="M240" s="19">
        <v>109118.22</v>
      </c>
      <c r="N240" s="19">
        <v>95575.51</v>
      </c>
      <c r="O240" s="19">
        <v>82024.54</v>
      </c>
      <c r="P240" s="19">
        <v>67326.62</v>
      </c>
      <c r="Q240" s="19">
        <v>30350.28</v>
      </c>
      <c r="R240" s="20"/>
      <c r="S240">
        <f>K240*1+L240*2+SUM(M240:Q240)*5</f>
        <v>2275619.58</v>
      </c>
    </row>
    <row r="241" ht="23.75" spans="7:19">
      <c r="G241" s="18"/>
      <c r="H241" s="18"/>
      <c r="I241" s="18"/>
      <c r="J241" s="18" t="s">
        <v>37</v>
      </c>
      <c r="K241" s="19">
        <v>132241.97</v>
      </c>
      <c r="L241" s="19">
        <v>110700.88</v>
      </c>
      <c r="M241" s="19">
        <v>109118.22</v>
      </c>
      <c r="N241" s="19">
        <v>95564.37</v>
      </c>
      <c r="O241" s="19">
        <v>82300.69</v>
      </c>
      <c r="P241" s="19">
        <v>67326.62</v>
      </c>
      <c r="Q241" s="19">
        <v>30350.28</v>
      </c>
      <c r="R241" s="20"/>
      <c r="S241">
        <f>K241*1+L241*2+SUM(M241:Q241)*5</f>
        <v>2276944.63</v>
      </c>
    </row>
    <row r="242" ht="23.75" spans="7:19">
      <c r="G242" s="18"/>
      <c r="H242" s="18"/>
      <c r="I242" s="18"/>
      <c r="J242" s="18" t="s">
        <v>38</v>
      </c>
      <c r="K242" s="19">
        <v>132241.97</v>
      </c>
      <c r="L242" s="19">
        <v>110696.21</v>
      </c>
      <c r="M242" s="19">
        <v>109304.34</v>
      </c>
      <c r="N242" s="19">
        <v>95849.54</v>
      </c>
      <c r="O242" s="19">
        <v>82089.63</v>
      </c>
      <c r="P242" s="19">
        <v>67410.41</v>
      </c>
      <c r="Q242" s="19">
        <v>30392.27</v>
      </c>
      <c r="R242" s="20"/>
      <c r="S242">
        <f>K242*1+L242*2+SUM(M242:Q242)*5</f>
        <v>2278865.34</v>
      </c>
    </row>
    <row r="249" ht="15.25"/>
    <row r="250" ht="23.75" spans="8:17">
      <c r="H250" s="18" t="s">
        <v>39</v>
      </c>
      <c r="I250" s="19">
        <v>141586.88</v>
      </c>
      <c r="J250" s="19">
        <v>122613.99</v>
      </c>
      <c r="K250" s="19">
        <v>102837.95</v>
      </c>
      <c r="L250" s="19">
        <v>86417.74</v>
      </c>
      <c r="M250" s="19">
        <v>74428.9</v>
      </c>
      <c r="N250" s="19">
        <v>64788.55</v>
      </c>
      <c r="O250" s="19">
        <v>28835.43</v>
      </c>
      <c r="Q250" s="25">
        <f>I250*1+J250*2+SUM(K250:O250)*5</f>
        <v>2173357.71</v>
      </c>
    </row>
    <row r="251" ht="23.75" spans="8:17">
      <c r="H251" s="18" t="s">
        <v>40</v>
      </c>
      <c r="I251" s="19">
        <v>141586.96</v>
      </c>
      <c r="J251" s="19">
        <v>122614.065</v>
      </c>
      <c r="K251" s="19">
        <v>102887.84</v>
      </c>
      <c r="L251" s="19">
        <v>86790.05</v>
      </c>
      <c r="M251" s="19">
        <v>74370.47</v>
      </c>
      <c r="N251" s="19">
        <v>64768.47</v>
      </c>
      <c r="O251" s="19">
        <v>28943.61</v>
      </c>
      <c r="Q251">
        <f t="shared" ref="Q251:Q258" si="6">I251*1+J251*2+SUM(K251:O251)*5</f>
        <v>2175617.29</v>
      </c>
    </row>
    <row r="252" ht="23.75" spans="8:17">
      <c r="H252" s="18" t="s">
        <v>41</v>
      </c>
      <c r="I252" s="19">
        <v>141586.92</v>
      </c>
      <c r="J252" s="19">
        <v>122614.03</v>
      </c>
      <c r="K252" s="19">
        <v>102887.81</v>
      </c>
      <c r="L252" s="19">
        <v>86417.77</v>
      </c>
      <c r="M252" s="19">
        <v>74428.93</v>
      </c>
      <c r="N252" s="19">
        <v>64777.62</v>
      </c>
      <c r="O252" s="19">
        <v>28828.97</v>
      </c>
      <c r="Q252" s="25">
        <f t="shared" si="6"/>
        <v>2173520.48</v>
      </c>
    </row>
    <row r="253" ht="23.75" spans="8:17">
      <c r="H253" s="18" t="s">
        <v>42</v>
      </c>
      <c r="I253" s="19">
        <v>141586.96</v>
      </c>
      <c r="J253" s="19">
        <v>122614.065</v>
      </c>
      <c r="K253" s="19">
        <v>102887.84</v>
      </c>
      <c r="L253" s="19">
        <v>86790.05</v>
      </c>
      <c r="M253" s="19">
        <v>74370.47</v>
      </c>
      <c r="N253" s="19">
        <v>64768.47</v>
      </c>
      <c r="O253" s="19">
        <v>28943.61</v>
      </c>
      <c r="Q253">
        <f t="shared" si="6"/>
        <v>2175617.29</v>
      </c>
    </row>
    <row r="254" ht="23.75" spans="8:17">
      <c r="H254" s="18" t="s">
        <v>43</v>
      </c>
      <c r="I254" s="19">
        <v>141586.92</v>
      </c>
      <c r="J254" s="19">
        <v>122614.03</v>
      </c>
      <c r="K254" s="19">
        <v>102887.81</v>
      </c>
      <c r="L254" s="19">
        <v>86353.89</v>
      </c>
      <c r="M254" s="19">
        <v>74428.94</v>
      </c>
      <c r="N254" s="19">
        <v>64777.63</v>
      </c>
      <c r="O254" s="19">
        <v>28806.081</v>
      </c>
      <c r="Q254" s="25">
        <f t="shared" si="6"/>
        <v>2173086.735</v>
      </c>
    </row>
    <row r="255" ht="23.75" spans="8:17">
      <c r="H255" s="18" t="s">
        <v>44</v>
      </c>
      <c r="I255" s="19">
        <v>141586.96</v>
      </c>
      <c r="J255" s="19">
        <v>122614.065</v>
      </c>
      <c r="K255" s="19">
        <v>102887.84</v>
      </c>
      <c r="L255" s="19">
        <v>86353.93</v>
      </c>
      <c r="M255" s="19">
        <v>74370.52</v>
      </c>
      <c r="N255" s="19">
        <v>64768.51</v>
      </c>
      <c r="O255" s="19">
        <v>28942.87</v>
      </c>
      <c r="Q255">
        <f t="shared" si="6"/>
        <v>2173433.44</v>
      </c>
    </row>
    <row r="256" ht="23.75" spans="8:17">
      <c r="H256" s="18" t="s">
        <v>45</v>
      </c>
      <c r="I256" s="19">
        <v>141586.9</v>
      </c>
      <c r="J256" s="19">
        <v>122614.017</v>
      </c>
      <c r="K256" s="19">
        <v>102887.79</v>
      </c>
      <c r="L256" s="19">
        <v>86353.88</v>
      </c>
      <c r="M256" s="19">
        <v>74451.12</v>
      </c>
      <c r="N256" s="19">
        <v>64777.64</v>
      </c>
      <c r="O256" s="19">
        <v>28806.081</v>
      </c>
      <c r="Q256" s="25">
        <f t="shared" si="6"/>
        <v>2173197.489</v>
      </c>
    </row>
    <row r="257" ht="23.75" spans="8:17">
      <c r="H257" s="18" t="s">
        <v>46</v>
      </c>
      <c r="I257" s="19">
        <v>141586.9</v>
      </c>
      <c r="J257" s="19">
        <v>122614.017</v>
      </c>
      <c r="K257" s="19">
        <v>102887.79</v>
      </c>
      <c r="L257" s="19">
        <v>86353.88</v>
      </c>
      <c r="M257" s="19">
        <v>74451.12</v>
      </c>
      <c r="N257" s="19">
        <v>64768.55</v>
      </c>
      <c r="O257" s="19">
        <v>28942.87</v>
      </c>
      <c r="Q257">
        <f t="shared" si="6"/>
        <v>2173835.984</v>
      </c>
    </row>
    <row r="258" ht="23.75" spans="8:17">
      <c r="H258" s="18" t="s">
        <v>47</v>
      </c>
      <c r="I258" s="19">
        <v>141586.9</v>
      </c>
      <c r="J258" s="19">
        <v>122614.017</v>
      </c>
      <c r="K258" s="19">
        <v>102887.79</v>
      </c>
      <c r="L258" s="19">
        <v>86353.88</v>
      </c>
      <c r="M258" s="19">
        <v>74451.12</v>
      </c>
      <c r="N258" s="19">
        <v>64791.61</v>
      </c>
      <c r="O258" s="19">
        <v>28835.43</v>
      </c>
      <c r="Q258" s="25">
        <f t="shared" si="6"/>
        <v>2173414.084</v>
      </c>
    </row>
    <row r="262" ht="15.25"/>
    <row r="263" ht="15.25" spans="8:17">
      <c r="H263" s="16" t="s">
        <v>20</v>
      </c>
      <c r="I263" s="16" t="s">
        <v>5</v>
      </c>
      <c r="J263" s="16" t="s">
        <v>32</v>
      </c>
      <c r="K263" s="16" t="s">
        <v>33</v>
      </c>
      <c r="L263" s="16">
        <v>2020</v>
      </c>
      <c r="M263" s="16">
        <v>2021</v>
      </c>
      <c r="N263" s="16">
        <v>2025</v>
      </c>
      <c r="O263" s="16">
        <v>2030</v>
      </c>
      <c r="P263" s="16">
        <v>2035</v>
      </c>
      <c r="Q263" s="16">
        <v>2040</v>
      </c>
    </row>
    <row r="264" ht="15.25" spans="8:18"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15.25" spans="8:21">
      <c r="H265" s="18" t="s">
        <v>48</v>
      </c>
      <c r="I265" s="18" t="s">
        <v>25</v>
      </c>
      <c r="J265" s="18" t="s">
        <v>26</v>
      </c>
      <c r="K265" s="18" t="s">
        <v>49</v>
      </c>
      <c r="L265" s="19">
        <v>22470.064</v>
      </c>
      <c r="M265" s="19">
        <v>17314.39</v>
      </c>
      <c r="N265" s="19">
        <v>13495.35</v>
      </c>
      <c r="O265" s="19">
        <v>9483.75</v>
      </c>
      <c r="P265" s="19">
        <v>8148.81</v>
      </c>
      <c r="Q265" s="19">
        <v>4005.74</v>
      </c>
      <c r="R265" s="20"/>
      <c r="U265" s="25">
        <f>M265*1+N265*2+SUM(O265:S265)*5</f>
        <v>152496.59</v>
      </c>
    </row>
    <row r="266" ht="15.25" spans="8:21">
      <c r="H266" s="18"/>
      <c r="I266" s="18"/>
      <c r="J266" s="18"/>
      <c r="K266" s="18" t="s">
        <v>50</v>
      </c>
      <c r="L266" s="19">
        <v>22470.052</v>
      </c>
      <c r="M266" s="19">
        <v>17316.19</v>
      </c>
      <c r="N266" s="19">
        <v>13470.77</v>
      </c>
      <c r="O266" s="19">
        <v>9450.43</v>
      </c>
      <c r="P266" s="19">
        <v>8135.6</v>
      </c>
      <c r="Q266" s="19">
        <v>3954.95</v>
      </c>
      <c r="R266" s="20"/>
      <c r="U266" s="25">
        <f t="shared" ref="U266:U273" si="7">M266*1+N266*2+SUM(O266:S266)*5</f>
        <v>151962.63</v>
      </c>
    </row>
    <row r="267" ht="15.25" spans="8:21">
      <c r="H267" s="18"/>
      <c r="I267" s="18"/>
      <c r="J267" s="18"/>
      <c r="K267" s="18" t="s">
        <v>51</v>
      </c>
      <c r="L267" s="19">
        <v>22470.053</v>
      </c>
      <c r="M267" s="19">
        <v>17306.94</v>
      </c>
      <c r="N267" s="19">
        <v>13485.15</v>
      </c>
      <c r="O267" s="19">
        <v>9465.89</v>
      </c>
      <c r="P267" s="19">
        <v>8149.51</v>
      </c>
      <c r="Q267" s="19">
        <v>3970.44</v>
      </c>
      <c r="R267" s="20"/>
      <c r="U267" s="25">
        <f t="shared" si="7"/>
        <v>152206.44</v>
      </c>
    </row>
    <row r="268" ht="15.25" spans="8:21">
      <c r="H268" s="18"/>
      <c r="I268" s="18"/>
      <c r="J268" s="18"/>
      <c r="K268" s="18" t="s">
        <v>52</v>
      </c>
      <c r="L268" s="19">
        <v>22470.052</v>
      </c>
      <c r="M268" s="19">
        <v>17306.94</v>
      </c>
      <c r="N268" s="19">
        <v>13478.45</v>
      </c>
      <c r="O268" s="19">
        <v>9450.43</v>
      </c>
      <c r="P268" s="19">
        <v>8135.6</v>
      </c>
      <c r="Q268" s="19">
        <v>3954.95</v>
      </c>
      <c r="R268" s="20"/>
      <c r="U268" s="25">
        <f t="shared" si="7"/>
        <v>151968.74</v>
      </c>
    </row>
    <row r="269" ht="15.25" spans="8:21">
      <c r="H269" s="18"/>
      <c r="I269" s="18"/>
      <c r="J269" s="18"/>
      <c r="K269" s="18" t="s">
        <v>53</v>
      </c>
      <c r="L269" s="19">
        <v>22470.051</v>
      </c>
      <c r="M269" s="19">
        <v>17306.94</v>
      </c>
      <c r="N269" s="19">
        <v>13475.97</v>
      </c>
      <c r="O269" s="19">
        <v>9464.15</v>
      </c>
      <c r="P269" s="19">
        <v>8152.048</v>
      </c>
      <c r="Q269" s="19">
        <v>3969.094</v>
      </c>
      <c r="R269" s="20"/>
      <c r="U269" s="25">
        <f t="shared" si="7"/>
        <v>152185.34</v>
      </c>
    </row>
    <row r="270" ht="15.25" spans="8:21">
      <c r="H270" s="18"/>
      <c r="I270" s="18"/>
      <c r="J270" s="18"/>
      <c r="K270" s="18" t="s">
        <v>54</v>
      </c>
      <c r="L270" s="19">
        <v>22470.057</v>
      </c>
      <c r="M270" s="19">
        <v>17306.95</v>
      </c>
      <c r="N270" s="19">
        <v>13454.81</v>
      </c>
      <c r="O270" s="19">
        <v>9447.5</v>
      </c>
      <c r="P270" s="19">
        <v>8120.4</v>
      </c>
      <c r="Q270" s="19">
        <v>3940.61</v>
      </c>
      <c r="R270" s="20"/>
      <c r="U270" s="25">
        <f t="shared" si="7"/>
        <v>151759.12</v>
      </c>
    </row>
    <row r="271" ht="15.25" spans="8:21">
      <c r="H271" s="18"/>
      <c r="I271" s="18"/>
      <c r="J271" s="18"/>
      <c r="K271" s="18" t="s">
        <v>55</v>
      </c>
      <c r="L271" s="19">
        <v>22470.035</v>
      </c>
      <c r="M271" s="19">
        <v>17306.93</v>
      </c>
      <c r="N271" s="19">
        <v>13494.24</v>
      </c>
      <c r="O271" s="19">
        <v>9482.051</v>
      </c>
      <c r="P271" s="19">
        <v>8196.24</v>
      </c>
      <c r="Q271" s="19">
        <v>3975.69</v>
      </c>
      <c r="R271" s="20"/>
      <c r="U271" s="25">
        <f t="shared" si="7"/>
        <v>152565.315</v>
      </c>
    </row>
    <row r="272" ht="15.25" spans="8:21">
      <c r="H272" s="18"/>
      <c r="I272" s="18"/>
      <c r="J272" s="18"/>
      <c r="K272" s="18" t="s">
        <v>56</v>
      </c>
      <c r="L272" s="19">
        <v>22469.3</v>
      </c>
      <c r="M272" s="19">
        <v>17305.11</v>
      </c>
      <c r="N272" s="19">
        <v>13480.099</v>
      </c>
      <c r="O272" s="19">
        <v>9468.21</v>
      </c>
      <c r="P272" s="19">
        <v>8192.17</v>
      </c>
      <c r="Q272" s="19">
        <v>3943.1</v>
      </c>
      <c r="R272" s="20"/>
      <c r="U272" s="25">
        <f t="shared" si="7"/>
        <v>152282.708</v>
      </c>
    </row>
    <row r="273" ht="15.25" spans="8:21">
      <c r="H273" s="18"/>
      <c r="I273" s="18"/>
      <c r="J273" s="18"/>
      <c r="K273" s="18" t="s">
        <v>57</v>
      </c>
      <c r="L273" s="19">
        <v>22470.047</v>
      </c>
      <c r="M273" s="19">
        <v>17306.94</v>
      </c>
      <c r="N273" s="19">
        <v>13517.81</v>
      </c>
      <c r="O273" s="19">
        <v>9507.31</v>
      </c>
      <c r="P273" s="19">
        <v>8191.26</v>
      </c>
      <c r="Q273" s="19">
        <v>4022.19</v>
      </c>
      <c r="R273" s="20"/>
      <c r="U273" s="25">
        <f t="shared" si="7"/>
        <v>152946.36</v>
      </c>
    </row>
    <row r="280" ht="15.25"/>
    <row r="281" ht="15.25" spans="8:17">
      <c r="H281" s="16" t="s">
        <v>20</v>
      </c>
      <c r="I281" s="16" t="s">
        <v>5</v>
      </c>
      <c r="J281" s="16" t="s">
        <v>32</v>
      </c>
      <c r="K281" s="16" t="s">
        <v>33</v>
      </c>
      <c r="L281" s="16">
        <v>2020</v>
      </c>
      <c r="M281" s="16">
        <v>2021</v>
      </c>
      <c r="N281" s="16">
        <v>2025</v>
      </c>
      <c r="O281" s="16">
        <v>2030</v>
      </c>
      <c r="P281" s="16">
        <v>2035</v>
      </c>
      <c r="Q281" s="16">
        <v>2040</v>
      </c>
    </row>
    <row r="282" ht="15.25" spans="8:18"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15.25" spans="8:21">
      <c r="H283" s="18" t="s">
        <v>58</v>
      </c>
      <c r="I283" s="18" t="s">
        <v>25</v>
      </c>
      <c r="J283" s="18" t="s">
        <v>26</v>
      </c>
      <c r="K283" s="18" t="s">
        <v>59</v>
      </c>
      <c r="L283" s="19">
        <v>50151.13</v>
      </c>
      <c r="M283" s="19">
        <v>31455.7</v>
      </c>
      <c r="N283" s="19">
        <v>29070.65</v>
      </c>
      <c r="O283" s="19">
        <v>27370.63</v>
      </c>
      <c r="P283" s="19">
        <v>21510.72</v>
      </c>
      <c r="Q283" s="19">
        <v>16540.86</v>
      </c>
      <c r="R283" s="20"/>
      <c r="U283" s="25">
        <f t="shared" ref="U283:U291" si="8">M283*1+N283*2+SUM(O283:S283)*5</f>
        <v>416708.05</v>
      </c>
    </row>
    <row r="284" ht="15.25" spans="8:21">
      <c r="H284" s="18"/>
      <c r="I284" s="18"/>
      <c r="J284" s="18"/>
      <c r="K284" s="18" t="s">
        <v>60</v>
      </c>
      <c r="L284" s="19">
        <v>50151.13</v>
      </c>
      <c r="M284" s="19">
        <v>31455.7</v>
      </c>
      <c r="N284" s="19">
        <v>29070.98</v>
      </c>
      <c r="O284" s="19">
        <v>27370.63</v>
      </c>
      <c r="P284" s="19">
        <v>21510.72</v>
      </c>
      <c r="Q284" s="19">
        <v>16540.86</v>
      </c>
      <c r="R284" s="20"/>
      <c r="U284" s="25">
        <f t="shared" si="8"/>
        <v>416708.71</v>
      </c>
    </row>
    <row r="285" ht="15.25" spans="8:21">
      <c r="H285" s="18"/>
      <c r="I285" s="18"/>
      <c r="J285" s="18"/>
      <c r="K285" s="18" t="s">
        <v>61</v>
      </c>
      <c r="L285" s="19">
        <v>50151.74</v>
      </c>
      <c r="M285" s="19">
        <v>31457.34</v>
      </c>
      <c r="N285" s="19">
        <v>29077.65</v>
      </c>
      <c r="O285" s="19">
        <v>27370.56</v>
      </c>
      <c r="P285" s="19">
        <v>21508.66</v>
      </c>
      <c r="Q285" s="19">
        <v>16540.6</v>
      </c>
      <c r="R285" s="20"/>
      <c r="U285" s="25">
        <f t="shared" si="8"/>
        <v>416711.74</v>
      </c>
    </row>
    <row r="286" ht="15.25" spans="8:21">
      <c r="H286" s="18"/>
      <c r="I286" s="18"/>
      <c r="J286" s="18"/>
      <c r="K286" s="18" t="s">
        <v>62</v>
      </c>
      <c r="L286" s="19">
        <v>50151.74</v>
      </c>
      <c r="M286" s="19">
        <v>31457.34</v>
      </c>
      <c r="N286" s="19">
        <v>29077.65</v>
      </c>
      <c r="O286" s="19">
        <v>27370.56</v>
      </c>
      <c r="P286" s="19">
        <v>21508.66</v>
      </c>
      <c r="Q286" s="19">
        <v>16540.6</v>
      </c>
      <c r="R286" s="20"/>
      <c r="U286" s="25">
        <f t="shared" si="8"/>
        <v>416711.74</v>
      </c>
    </row>
    <row r="287" ht="15.25" spans="8:21">
      <c r="H287" s="18"/>
      <c r="I287" s="18"/>
      <c r="J287" s="18"/>
      <c r="K287" s="18" t="s">
        <v>63</v>
      </c>
      <c r="L287" s="19">
        <v>50151.74</v>
      </c>
      <c r="M287" s="19">
        <v>31457.34</v>
      </c>
      <c r="N287" s="19">
        <v>29077.65</v>
      </c>
      <c r="O287" s="19">
        <v>27370.56</v>
      </c>
      <c r="P287" s="19">
        <v>21508.66</v>
      </c>
      <c r="Q287" s="19">
        <v>16540.6</v>
      </c>
      <c r="R287" s="20"/>
      <c r="U287" s="25">
        <f t="shared" si="8"/>
        <v>416711.74</v>
      </c>
    </row>
    <row r="288" ht="15.25" spans="8:21">
      <c r="H288" s="18"/>
      <c r="I288" s="18"/>
      <c r="J288" s="18"/>
      <c r="K288" s="18" t="s">
        <v>64</v>
      </c>
      <c r="L288" s="19">
        <v>50151.74</v>
      </c>
      <c r="M288" s="19">
        <v>31457.34</v>
      </c>
      <c r="N288" s="19">
        <v>29077.65</v>
      </c>
      <c r="O288" s="19">
        <v>27370.56</v>
      </c>
      <c r="P288" s="19">
        <v>21508.66</v>
      </c>
      <c r="Q288" s="19">
        <v>16540.6</v>
      </c>
      <c r="R288" s="20"/>
      <c r="U288" s="25">
        <f t="shared" si="8"/>
        <v>416711.74</v>
      </c>
    </row>
    <row r="289" ht="15.25" spans="8:21">
      <c r="H289" s="18"/>
      <c r="I289" s="18"/>
      <c r="J289" s="18"/>
      <c r="K289" s="18" t="s">
        <v>65</v>
      </c>
      <c r="L289" s="19">
        <v>50151.74</v>
      </c>
      <c r="M289" s="19">
        <v>31457.34</v>
      </c>
      <c r="N289" s="19">
        <v>29077.65</v>
      </c>
      <c r="O289" s="19">
        <v>27370.56</v>
      </c>
      <c r="P289" s="19">
        <v>21508.66</v>
      </c>
      <c r="Q289" s="19">
        <v>16540.6</v>
      </c>
      <c r="R289" s="20"/>
      <c r="U289" s="25">
        <f t="shared" si="8"/>
        <v>416711.74</v>
      </c>
    </row>
    <row r="290" ht="15.25" spans="8:21">
      <c r="H290" s="18"/>
      <c r="I290" s="18"/>
      <c r="J290" s="18"/>
      <c r="K290" s="26" t="s">
        <v>66</v>
      </c>
      <c r="L290" s="27">
        <v>50151.74</v>
      </c>
      <c r="M290" s="27">
        <v>31457.34</v>
      </c>
      <c r="N290" s="27">
        <v>29077.65</v>
      </c>
      <c r="O290" s="27">
        <v>27370.56</v>
      </c>
      <c r="P290" s="27">
        <v>21508.66</v>
      </c>
      <c r="Q290" s="27">
        <v>16540.6</v>
      </c>
      <c r="R290" s="20"/>
      <c r="U290" s="25">
        <f t="shared" si="8"/>
        <v>416711.74</v>
      </c>
    </row>
    <row r="291" ht="15.25" spans="8:21">
      <c r="H291" s="18"/>
      <c r="I291" s="18"/>
      <c r="J291" s="18"/>
      <c r="K291" s="18" t="s">
        <v>67</v>
      </c>
      <c r="L291" s="19">
        <v>50151.74</v>
      </c>
      <c r="M291" s="19">
        <v>31457.34</v>
      </c>
      <c r="N291" s="19">
        <v>29077.65</v>
      </c>
      <c r="O291" s="19">
        <v>27370.56</v>
      </c>
      <c r="P291" s="19">
        <v>21508.66</v>
      </c>
      <c r="Q291" s="19">
        <v>16540.6</v>
      </c>
      <c r="R291" s="20"/>
      <c r="U291" s="25">
        <f t="shared" si="8"/>
        <v>416711.74</v>
      </c>
    </row>
    <row r="299" ht="15.25"/>
    <row r="300" ht="15.25" spans="8:17">
      <c r="H300" s="16" t="s">
        <v>20</v>
      </c>
      <c r="I300" s="16" t="s">
        <v>5</v>
      </c>
      <c r="J300" s="16" t="s">
        <v>32</v>
      </c>
      <c r="K300" s="16" t="s">
        <v>33</v>
      </c>
      <c r="L300" s="16">
        <v>2020</v>
      </c>
      <c r="M300" s="16">
        <v>2021</v>
      </c>
      <c r="N300" s="16">
        <v>2025</v>
      </c>
      <c r="O300" s="16">
        <v>2030</v>
      </c>
      <c r="P300" s="16">
        <v>2035</v>
      </c>
      <c r="Q300" s="16">
        <v>2040</v>
      </c>
    </row>
    <row r="301" ht="15.25" spans="8:18"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15.25" spans="8:21">
      <c r="H302" s="18" t="s">
        <v>68</v>
      </c>
      <c r="I302" s="18" t="s">
        <v>25</v>
      </c>
      <c r="J302" s="18" t="s">
        <v>26</v>
      </c>
      <c r="K302" s="18" t="s">
        <v>69</v>
      </c>
      <c r="L302" s="19">
        <v>15567.82</v>
      </c>
      <c r="M302" s="19">
        <v>11236.88</v>
      </c>
      <c r="N302" s="19">
        <v>10391.52</v>
      </c>
      <c r="O302" s="19">
        <v>7704.89</v>
      </c>
      <c r="P302" s="19">
        <v>5632.48</v>
      </c>
      <c r="Q302" s="19">
        <v>1192.22</v>
      </c>
      <c r="R302" s="20"/>
      <c r="U302" s="25">
        <f t="shared" ref="U302:U310" si="9">M302*1+N302*2+SUM(O302:S302)*5</f>
        <v>104667.87</v>
      </c>
    </row>
    <row r="303" ht="15.25" spans="8:21">
      <c r="H303" s="18"/>
      <c r="I303" s="18"/>
      <c r="J303" s="18"/>
      <c r="K303" s="18" t="s">
        <v>70</v>
      </c>
      <c r="L303" s="19">
        <v>15567.82</v>
      </c>
      <c r="M303" s="19">
        <v>11236.88</v>
      </c>
      <c r="N303" s="19">
        <v>10391.52</v>
      </c>
      <c r="O303" s="19">
        <v>7704.89</v>
      </c>
      <c r="P303" s="19">
        <v>5632.48</v>
      </c>
      <c r="Q303" s="19">
        <v>1192.22</v>
      </c>
      <c r="R303" s="20"/>
      <c r="U303" s="25">
        <f t="shared" si="9"/>
        <v>104667.87</v>
      </c>
    </row>
    <row r="304" ht="15.25" spans="8:21">
      <c r="H304" s="18"/>
      <c r="I304" s="18"/>
      <c r="J304" s="18"/>
      <c r="K304" s="18" t="s">
        <v>71</v>
      </c>
      <c r="L304" s="19">
        <v>15567.82</v>
      </c>
      <c r="M304" s="19">
        <v>11236.88</v>
      </c>
      <c r="N304" s="19">
        <v>10391.52</v>
      </c>
      <c r="O304" s="19">
        <v>7704.89</v>
      </c>
      <c r="P304" s="19">
        <v>5632.48</v>
      </c>
      <c r="Q304" s="19">
        <v>1192.22</v>
      </c>
      <c r="R304" s="20"/>
      <c r="U304" s="25">
        <f t="shared" si="9"/>
        <v>104667.87</v>
      </c>
    </row>
    <row r="305" ht="15.25" spans="8:21">
      <c r="H305" s="18"/>
      <c r="I305" s="18"/>
      <c r="J305" s="18"/>
      <c r="K305" s="18" t="s">
        <v>72</v>
      </c>
      <c r="L305" s="19">
        <v>15567.82</v>
      </c>
      <c r="M305" s="19">
        <v>11236.88</v>
      </c>
      <c r="N305" s="19">
        <v>10391.52</v>
      </c>
      <c r="O305" s="19">
        <v>7704.89</v>
      </c>
      <c r="P305" s="19">
        <v>5632.48</v>
      </c>
      <c r="Q305" s="19">
        <v>1192.22</v>
      </c>
      <c r="R305" s="20"/>
      <c r="U305" s="25">
        <f t="shared" si="9"/>
        <v>104667.87</v>
      </c>
    </row>
    <row r="306" ht="15.25" spans="8:21">
      <c r="H306" s="18"/>
      <c r="I306" s="18"/>
      <c r="J306" s="18"/>
      <c r="K306" s="18" t="s">
        <v>73</v>
      </c>
      <c r="L306" s="19">
        <v>15567.82</v>
      </c>
      <c r="M306" s="19">
        <v>11236.88</v>
      </c>
      <c r="N306" s="19">
        <v>10391.52</v>
      </c>
      <c r="O306" s="19">
        <v>7704.89</v>
      </c>
      <c r="P306" s="19">
        <v>5632.48</v>
      </c>
      <c r="Q306" s="19">
        <v>1192.22</v>
      </c>
      <c r="R306" s="20"/>
      <c r="U306" s="25">
        <f t="shared" si="9"/>
        <v>104667.87</v>
      </c>
    </row>
    <row r="307" ht="15.25" spans="8:21">
      <c r="H307" s="18"/>
      <c r="I307" s="18"/>
      <c r="J307" s="18"/>
      <c r="K307" s="18" t="s">
        <v>74</v>
      </c>
      <c r="L307" s="19">
        <v>15567.82</v>
      </c>
      <c r="M307" s="19">
        <v>11236.88</v>
      </c>
      <c r="N307" s="19">
        <v>10391.52</v>
      </c>
      <c r="O307" s="19">
        <v>7704.89</v>
      </c>
      <c r="P307" s="19">
        <v>5632.48</v>
      </c>
      <c r="Q307" s="19">
        <v>1192.22</v>
      </c>
      <c r="R307" s="20"/>
      <c r="U307" s="25">
        <f t="shared" si="9"/>
        <v>104667.87</v>
      </c>
    </row>
    <row r="308" ht="15.25" spans="8:21">
      <c r="H308" s="18"/>
      <c r="I308" s="18"/>
      <c r="J308" s="18"/>
      <c r="K308" s="18" t="s">
        <v>75</v>
      </c>
      <c r="L308" s="19">
        <v>15567.82</v>
      </c>
      <c r="M308" s="19">
        <v>11236.88</v>
      </c>
      <c r="N308" s="19">
        <v>10391.52</v>
      </c>
      <c r="O308" s="19">
        <v>7704.89</v>
      </c>
      <c r="P308" s="19">
        <v>5632.48</v>
      </c>
      <c r="Q308" s="19">
        <v>1192.22</v>
      </c>
      <c r="R308" s="20"/>
      <c r="U308" s="25">
        <f t="shared" si="9"/>
        <v>104667.87</v>
      </c>
    </row>
    <row r="309" ht="15.25" spans="8:21">
      <c r="H309" s="18"/>
      <c r="I309" s="18"/>
      <c r="J309" s="18"/>
      <c r="K309" s="26" t="s">
        <v>76</v>
      </c>
      <c r="L309" s="27">
        <v>15567.82</v>
      </c>
      <c r="M309" s="27">
        <v>11236.88</v>
      </c>
      <c r="N309" s="27">
        <v>10391.52</v>
      </c>
      <c r="O309" s="27">
        <v>7704.89</v>
      </c>
      <c r="P309" s="27">
        <v>5632.48</v>
      </c>
      <c r="Q309" s="27">
        <v>1192.22</v>
      </c>
      <c r="R309" s="20"/>
      <c r="U309" s="25">
        <f t="shared" si="9"/>
        <v>104667.87</v>
      </c>
    </row>
    <row r="310" ht="15.25" spans="8:21">
      <c r="H310" s="18"/>
      <c r="I310" s="18"/>
      <c r="J310" s="18"/>
      <c r="K310" s="18" t="s">
        <v>77</v>
      </c>
      <c r="L310" s="19">
        <v>15567.82</v>
      </c>
      <c r="M310" s="19">
        <v>11236.88</v>
      </c>
      <c r="N310" s="19">
        <v>10391.52</v>
      </c>
      <c r="O310" s="19">
        <v>7704.89</v>
      </c>
      <c r="P310" s="19">
        <v>5632.48</v>
      </c>
      <c r="Q310" s="19">
        <v>1192.22</v>
      </c>
      <c r="R310" s="20"/>
      <c r="U310" s="25">
        <f t="shared" si="9"/>
        <v>104667.87</v>
      </c>
    </row>
    <row r="316" ht="15.25"/>
    <row r="317" ht="15.25" spans="8:18">
      <c r="H317" s="16" t="s">
        <v>20</v>
      </c>
      <c r="I317" s="16" t="s">
        <v>5</v>
      </c>
      <c r="J317" s="16" t="s">
        <v>32</v>
      </c>
      <c r="K317" s="16" t="s">
        <v>33</v>
      </c>
      <c r="L317" s="16">
        <v>2020</v>
      </c>
      <c r="M317" s="16">
        <v>2021</v>
      </c>
      <c r="N317" s="16">
        <v>2025</v>
      </c>
      <c r="O317" s="16">
        <v>2030</v>
      </c>
      <c r="P317" s="16">
        <v>2035</v>
      </c>
      <c r="Q317" s="16">
        <v>2040</v>
      </c>
      <c r="R317" s="16">
        <v>2045</v>
      </c>
    </row>
    <row r="318" ht="15.25" spans="8:19"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ht="15.25" spans="8:21">
      <c r="H319" s="18" t="s">
        <v>24</v>
      </c>
      <c r="I319" s="18" t="s">
        <v>25</v>
      </c>
      <c r="J319" s="18" t="s">
        <v>26</v>
      </c>
      <c r="K319" s="18" t="s">
        <v>78</v>
      </c>
      <c r="L319" s="19">
        <v>132241.97</v>
      </c>
      <c r="M319" s="19">
        <v>110690.39</v>
      </c>
      <c r="N319" s="19">
        <v>109552.46</v>
      </c>
      <c r="O319" s="19">
        <v>96034.36</v>
      </c>
      <c r="P319" s="19">
        <v>81978.16</v>
      </c>
      <c r="Q319" s="19">
        <v>67396.82</v>
      </c>
      <c r="R319" s="19">
        <v>30398.031</v>
      </c>
      <c r="S319" s="20"/>
      <c r="U319" s="25">
        <f t="shared" ref="U319:U327" si="10">M319*1+N319*2+SUM(O319:S319)*5</f>
        <v>1708832.165</v>
      </c>
    </row>
    <row r="320" ht="15.25" spans="8:21">
      <c r="H320" s="18"/>
      <c r="I320" s="18"/>
      <c r="J320" s="18"/>
      <c r="K320" s="18" t="s">
        <v>79</v>
      </c>
      <c r="L320" s="19">
        <v>132241.97</v>
      </c>
      <c r="M320" s="19">
        <v>110695.72</v>
      </c>
      <c r="N320" s="19">
        <v>109651.97</v>
      </c>
      <c r="O320" s="19">
        <v>96115.77</v>
      </c>
      <c r="P320" s="19">
        <v>82021.95</v>
      </c>
      <c r="Q320" s="19">
        <v>67324.6</v>
      </c>
      <c r="R320" s="19">
        <v>30353.44</v>
      </c>
      <c r="S320" s="20"/>
      <c r="U320" s="25">
        <f t="shared" si="10"/>
        <v>1709078.46</v>
      </c>
    </row>
    <row r="321" ht="15.25" spans="8:21">
      <c r="H321" s="18"/>
      <c r="I321" s="18"/>
      <c r="J321" s="18"/>
      <c r="K321" s="18" t="s">
        <v>80</v>
      </c>
      <c r="L321" s="19">
        <v>132241.97</v>
      </c>
      <c r="M321" s="19">
        <v>110700.88</v>
      </c>
      <c r="N321" s="19">
        <v>109290.98</v>
      </c>
      <c r="O321" s="19">
        <v>95816.87</v>
      </c>
      <c r="P321" s="19">
        <v>82068.26</v>
      </c>
      <c r="Q321" s="19">
        <v>67365.8</v>
      </c>
      <c r="R321" s="19">
        <v>30392.54</v>
      </c>
      <c r="S321" s="20"/>
      <c r="U321" s="25">
        <f t="shared" si="10"/>
        <v>1707500.19</v>
      </c>
    </row>
    <row r="322" ht="15.25" spans="8:21">
      <c r="H322" s="18"/>
      <c r="I322" s="18"/>
      <c r="J322" s="18"/>
      <c r="K322" s="18" t="s">
        <v>81</v>
      </c>
      <c r="L322" s="19">
        <v>132241.97</v>
      </c>
      <c r="M322" s="19">
        <v>110700.88</v>
      </c>
      <c r="N322" s="19">
        <v>109118.22</v>
      </c>
      <c r="O322" s="19">
        <v>95555.28</v>
      </c>
      <c r="P322" s="19">
        <v>82024.54</v>
      </c>
      <c r="Q322" s="19">
        <v>67326.62</v>
      </c>
      <c r="R322" s="19">
        <v>30350.28</v>
      </c>
      <c r="S322" s="20"/>
      <c r="U322" s="25">
        <f t="shared" si="10"/>
        <v>1705220.92</v>
      </c>
    </row>
    <row r="323" ht="15.25" spans="8:21">
      <c r="H323" s="18"/>
      <c r="I323" s="18"/>
      <c r="J323" s="18"/>
      <c r="K323" s="18" t="s">
        <v>82</v>
      </c>
      <c r="L323" s="19">
        <v>132241.97</v>
      </c>
      <c r="M323" s="19">
        <v>110700.88</v>
      </c>
      <c r="N323" s="19">
        <v>109290.98</v>
      </c>
      <c r="O323" s="19">
        <v>95828.81</v>
      </c>
      <c r="P323" s="19">
        <v>82068.26</v>
      </c>
      <c r="Q323" s="19">
        <v>67365.8</v>
      </c>
      <c r="R323" s="19">
        <v>30370.94</v>
      </c>
      <c r="S323" s="20"/>
      <c r="U323" s="25">
        <f t="shared" si="10"/>
        <v>1707451.89</v>
      </c>
    </row>
    <row r="324" ht="15.25" spans="8:21">
      <c r="H324" s="18"/>
      <c r="I324" s="18"/>
      <c r="J324" s="18"/>
      <c r="K324" s="18" t="s">
        <v>83</v>
      </c>
      <c r="L324" s="19">
        <v>132241.97</v>
      </c>
      <c r="M324" s="19">
        <v>110700.88</v>
      </c>
      <c r="N324" s="19">
        <v>109118.22</v>
      </c>
      <c r="O324" s="19">
        <v>95575.51</v>
      </c>
      <c r="P324" s="19">
        <v>82024.54</v>
      </c>
      <c r="Q324" s="19">
        <v>67326.62</v>
      </c>
      <c r="R324" s="19">
        <v>30350.28</v>
      </c>
      <c r="S324" s="20"/>
      <c r="U324" s="25">
        <f t="shared" si="10"/>
        <v>1705322.07</v>
      </c>
    </row>
    <row r="325" ht="15.25" spans="8:21">
      <c r="H325" s="18"/>
      <c r="I325" s="18"/>
      <c r="J325" s="18"/>
      <c r="K325" s="18" t="s">
        <v>84</v>
      </c>
      <c r="L325" s="19">
        <v>132241.97</v>
      </c>
      <c r="M325" s="19">
        <v>110700.88</v>
      </c>
      <c r="N325" s="19">
        <v>109290.98</v>
      </c>
      <c r="O325" s="19">
        <v>95823.63</v>
      </c>
      <c r="P325" s="19">
        <v>82203.53</v>
      </c>
      <c r="Q325" s="19">
        <v>67365.8</v>
      </c>
      <c r="R325" s="19">
        <v>30370.94</v>
      </c>
      <c r="S325" s="20"/>
      <c r="U325" s="25">
        <f t="shared" si="10"/>
        <v>1708102.34</v>
      </c>
    </row>
    <row r="326" ht="15.25" spans="8:21">
      <c r="H326" s="18"/>
      <c r="I326" s="18"/>
      <c r="J326" s="18"/>
      <c r="K326" s="26" t="s">
        <v>85</v>
      </c>
      <c r="L326" s="27">
        <v>132241.97</v>
      </c>
      <c r="M326" s="27">
        <v>110700.88</v>
      </c>
      <c r="N326" s="27">
        <v>109118.22</v>
      </c>
      <c r="O326" s="27">
        <v>95564.37</v>
      </c>
      <c r="P326" s="27">
        <v>82300.69</v>
      </c>
      <c r="Q326" s="27">
        <v>67326.62</v>
      </c>
      <c r="R326" s="27">
        <v>30350.28</v>
      </c>
      <c r="S326" s="20"/>
      <c r="U326" s="25">
        <f t="shared" si="10"/>
        <v>1706647.12</v>
      </c>
    </row>
    <row r="327" ht="15.25" spans="8:21">
      <c r="H327" s="18"/>
      <c r="I327" s="18"/>
      <c r="J327" s="18"/>
      <c r="K327" s="18" t="s">
        <v>86</v>
      </c>
      <c r="L327" s="19">
        <v>132241.97</v>
      </c>
      <c r="M327" s="19">
        <v>110696.21</v>
      </c>
      <c r="N327" s="19">
        <v>109304.34</v>
      </c>
      <c r="O327" s="19">
        <v>95849.54</v>
      </c>
      <c r="P327" s="19">
        <v>82089.63</v>
      </c>
      <c r="Q327" s="19">
        <v>67410.41</v>
      </c>
      <c r="R327" s="19">
        <v>30392.27</v>
      </c>
      <c r="S327" s="20"/>
      <c r="U327" s="25">
        <f t="shared" si="10"/>
        <v>1708014.14</v>
      </c>
    </row>
    <row r="331" ht="15.25"/>
    <row r="332" ht="15.25" spans="8:17">
      <c r="H332" s="16" t="s">
        <v>20</v>
      </c>
      <c r="I332" s="16" t="s">
        <v>5</v>
      </c>
      <c r="J332" s="16" t="s">
        <v>32</v>
      </c>
      <c r="K332" s="16" t="s">
        <v>33</v>
      </c>
      <c r="L332" s="16">
        <v>2020</v>
      </c>
      <c r="M332" s="16">
        <v>2021</v>
      </c>
      <c r="N332" s="16">
        <v>2025</v>
      </c>
      <c r="O332" s="16">
        <v>2030</v>
      </c>
      <c r="P332" s="16">
        <v>2035</v>
      </c>
      <c r="Q332" s="16">
        <v>2040</v>
      </c>
    </row>
    <row r="333" ht="15.25" spans="8:18"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15.25" spans="8:21">
      <c r="H334" s="18" t="s">
        <v>87</v>
      </c>
      <c r="I334" s="18" t="s">
        <v>25</v>
      </c>
      <c r="J334" s="18" t="s">
        <v>26</v>
      </c>
      <c r="K334" s="18" t="s">
        <v>88</v>
      </c>
      <c r="L334" s="19">
        <v>63906.23</v>
      </c>
      <c r="M334" s="19">
        <v>41933.41</v>
      </c>
      <c r="N334" s="19">
        <v>33494.099</v>
      </c>
      <c r="O334" s="19">
        <v>27776.63</v>
      </c>
      <c r="P334" s="19">
        <v>24588.96</v>
      </c>
      <c r="Q334" s="19">
        <v>19759.98</v>
      </c>
      <c r="R334" s="20"/>
      <c r="U334" s="25">
        <f t="shared" ref="U334:U342" si="11">M334*1+N334*2+SUM(O334:S334)*5</f>
        <v>469549.458</v>
      </c>
    </row>
    <row r="335" ht="15.25" spans="8:21">
      <c r="H335" s="18"/>
      <c r="I335" s="18"/>
      <c r="J335" s="18"/>
      <c r="K335" s="18" t="s">
        <v>89</v>
      </c>
      <c r="L335" s="19">
        <v>63906.23</v>
      </c>
      <c r="M335" s="19">
        <v>41933.51</v>
      </c>
      <c r="N335" s="19">
        <v>33549.27</v>
      </c>
      <c r="O335" s="19">
        <v>27751.1</v>
      </c>
      <c r="P335" s="19">
        <v>24793.77</v>
      </c>
      <c r="Q335" s="19">
        <v>19561.99</v>
      </c>
      <c r="R335" s="20"/>
      <c r="U335" s="25">
        <f t="shared" si="11"/>
        <v>469566.35</v>
      </c>
    </row>
    <row r="336" ht="15.25" spans="8:21">
      <c r="H336" s="18"/>
      <c r="I336" s="18"/>
      <c r="J336" s="18"/>
      <c r="K336" s="18" t="s">
        <v>90</v>
      </c>
      <c r="L336" s="19">
        <v>63906.23</v>
      </c>
      <c r="M336" s="19">
        <v>41931.36</v>
      </c>
      <c r="N336" s="19">
        <v>33346.22</v>
      </c>
      <c r="O336" s="19">
        <v>27776.64</v>
      </c>
      <c r="P336" s="19">
        <v>24588.95</v>
      </c>
      <c r="Q336" s="19">
        <v>19644.79</v>
      </c>
      <c r="R336" s="20"/>
      <c r="U336" s="25">
        <f t="shared" si="11"/>
        <v>468675.7</v>
      </c>
    </row>
    <row r="337" ht="15.25" spans="8:21">
      <c r="H337" s="18"/>
      <c r="I337" s="18"/>
      <c r="J337" s="18"/>
      <c r="K337" s="18" t="s">
        <v>91</v>
      </c>
      <c r="L337" s="19">
        <v>63906.23</v>
      </c>
      <c r="M337" s="19">
        <v>41931.36</v>
      </c>
      <c r="N337" s="19">
        <v>33371.3</v>
      </c>
      <c r="O337" s="19">
        <v>27750.62</v>
      </c>
      <c r="P337" s="19">
        <v>24788.68</v>
      </c>
      <c r="Q337" s="19">
        <v>19560.67</v>
      </c>
      <c r="R337" s="20"/>
      <c r="U337" s="25">
        <f t="shared" si="11"/>
        <v>469173.81</v>
      </c>
    </row>
    <row r="338" ht="15.25" spans="8:21">
      <c r="H338" s="18"/>
      <c r="I338" s="18"/>
      <c r="J338" s="18"/>
      <c r="K338" s="18" t="s">
        <v>92</v>
      </c>
      <c r="L338" s="19">
        <v>63906.23</v>
      </c>
      <c r="M338" s="19">
        <v>41931.36</v>
      </c>
      <c r="N338" s="19">
        <v>33346.013</v>
      </c>
      <c r="O338" s="19">
        <v>27899.83</v>
      </c>
      <c r="P338" s="19">
        <v>24583.57</v>
      </c>
      <c r="Q338" s="19">
        <v>19622.24</v>
      </c>
      <c r="R338" s="20"/>
      <c r="U338" s="25">
        <f t="shared" si="11"/>
        <v>469151.586</v>
      </c>
    </row>
    <row r="339" ht="15.25" spans="8:21">
      <c r="H339" s="18"/>
      <c r="I339" s="18"/>
      <c r="J339" s="18"/>
      <c r="K339" s="18" t="s">
        <v>93</v>
      </c>
      <c r="L339" s="19">
        <v>63906.23</v>
      </c>
      <c r="M339" s="19">
        <v>41931.36</v>
      </c>
      <c r="N339" s="19">
        <v>33346.013</v>
      </c>
      <c r="O339" s="19">
        <v>27941.2</v>
      </c>
      <c r="P339" s="19">
        <v>24481.64</v>
      </c>
      <c r="Q339" s="19">
        <v>19459.6</v>
      </c>
      <c r="R339" s="20"/>
      <c r="U339" s="25">
        <f t="shared" si="11"/>
        <v>468035.586</v>
      </c>
    </row>
    <row r="340" ht="15.25" spans="8:21">
      <c r="H340" s="18"/>
      <c r="I340" s="18"/>
      <c r="J340" s="18"/>
      <c r="K340" s="18" t="s">
        <v>94</v>
      </c>
      <c r="L340" s="19">
        <v>63906.23</v>
      </c>
      <c r="M340" s="19">
        <v>41931.36</v>
      </c>
      <c r="N340" s="19">
        <v>33345.74</v>
      </c>
      <c r="O340" s="19">
        <v>27874.3</v>
      </c>
      <c r="P340" s="19">
        <v>24656.87</v>
      </c>
      <c r="Q340" s="19">
        <v>19622.24</v>
      </c>
      <c r="R340" s="20"/>
      <c r="U340" s="25">
        <f t="shared" si="11"/>
        <v>469389.89</v>
      </c>
    </row>
    <row r="341" ht="15.25" spans="8:21">
      <c r="H341" s="18"/>
      <c r="I341" s="18"/>
      <c r="J341" s="18"/>
      <c r="K341" s="18" t="s">
        <v>95</v>
      </c>
      <c r="L341" s="19">
        <v>63906.23</v>
      </c>
      <c r="M341" s="19">
        <v>41931.36</v>
      </c>
      <c r="N341" s="19">
        <v>33345.74</v>
      </c>
      <c r="O341" s="19">
        <v>27874.3</v>
      </c>
      <c r="P341" s="19">
        <v>24656.87</v>
      </c>
      <c r="Q341" s="19">
        <v>19459.6</v>
      </c>
      <c r="R341" s="20"/>
      <c r="U341" s="25">
        <f t="shared" si="11"/>
        <v>468576.69</v>
      </c>
    </row>
    <row r="342" ht="15.25" spans="8:21">
      <c r="H342" s="18"/>
      <c r="I342" s="18"/>
      <c r="J342" s="18"/>
      <c r="K342" s="18" t="s">
        <v>96</v>
      </c>
      <c r="L342" s="19">
        <v>63906.23</v>
      </c>
      <c r="M342" s="19">
        <v>41931.36</v>
      </c>
      <c r="N342" s="19">
        <v>33345.74</v>
      </c>
      <c r="O342" s="19">
        <v>27874.3</v>
      </c>
      <c r="P342" s="19">
        <v>24656.87</v>
      </c>
      <c r="Q342" s="19">
        <v>19809.85</v>
      </c>
      <c r="R342" s="20"/>
      <c r="U342" s="25">
        <f t="shared" si="11"/>
        <v>470327.94</v>
      </c>
    </row>
    <row r="349" spans="8:18"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</row>
    <row r="350" ht="15.25" spans="8:18"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</row>
    <row r="351" ht="15.25" spans="8:18"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ht="15.25" spans="8:18">
      <c r="H352" s="16" t="s">
        <v>20</v>
      </c>
      <c r="I352" s="16" t="s">
        <v>5</v>
      </c>
      <c r="J352" s="16" t="s">
        <v>32</v>
      </c>
      <c r="K352" s="16" t="s">
        <v>33</v>
      </c>
      <c r="L352" s="16">
        <v>2020</v>
      </c>
      <c r="M352" s="16">
        <v>2021</v>
      </c>
      <c r="N352" s="16">
        <v>2025</v>
      </c>
      <c r="O352" s="16">
        <v>2030</v>
      </c>
      <c r="P352" s="16">
        <v>2035</v>
      </c>
      <c r="Q352" s="16">
        <v>2040</v>
      </c>
      <c r="R352" s="20"/>
    </row>
    <row r="353" ht="15.25" spans="8:18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25" spans="8:21">
      <c r="H354" s="29" t="s">
        <v>97</v>
      </c>
      <c r="I354" s="29" t="s">
        <v>25</v>
      </c>
      <c r="J354" s="29" t="s">
        <v>26</v>
      </c>
      <c r="K354" s="29" t="s">
        <v>98</v>
      </c>
      <c r="L354" s="30">
        <v>26899.092</v>
      </c>
      <c r="M354" s="30">
        <v>22266.18</v>
      </c>
      <c r="N354" s="30">
        <v>16961.75</v>
      </c>
      <c r="O354" s="30">
        <v>14359.58</v>
      </c>
      <c r="P354" s="30">
        <v>11117.1</v>
      </c>
      <c r="Q354" s="30">
        <v>6310.065</v>
      </c>
      <c r="R354" s="20"/>
      <c r="U354" s="25">
        <f t="shared" ref="U354:U362" si="12">M354*1+N354*2+SUM(O354:S354)*5</f>
        <v>215123.405</v>
      </c>
    </row>
    <row r="355" ht="15.25" spans="8:21">
      <c r="H355" s="29"/>
      <c r="I355" s="29"/>
      <c r="J355" s="29"/>
      <c r="K355" s="29" t="s">
        <v>99</v>
      </c>
      <c r="L355" s="30">
        <v>26899.092</v>
      </c>
      <c r="M355" s="30">
        <v>22266.18</v>
      </c>
      <c r="N355" s="30">
        <v>16961.96</v>
      </c>
      <c r="O355" s="30">
        <v>14343.75</v>
      </c>
      <c r="P355" s="30">
        <v>11088.89</v>
      </c>
      <c r="Q355" s="30">
        <v>6310.00058</v>
      </c>
      <c r="R355" s="20"/>
      <c r="U355" s="25">
        <f t="shared" si="12"/>
        <v>214903.3029</v>
      </c>
    </row>
    <row r="356" ht="15.25" spans="8:21">
      <c r="H356" s="29"/>
      <c r="I356" s="29"/>
      <c r="J356" s="29"/>
      <c r="K356" s="29" t="s">
        <v>100</v>
      </c>
      <c r="L356" s="30">
        <v>26899.092</v>
      </c>
      <c r="M356" s="30">
        <v>22266.18</v>
      </c>
      <c r="N356" s="30">
        <v>16965.2</v>
      </c>
      <c r="O356" s="30">
        <v>14359.58</v>
      </c>
      <c r="P356" s="30">
        <v>11117.1</v>
      </c>
      <c r="Q356" s="30">
        <v>6310.065</v>
      </c>
      <c r="R356" s="20"/>
      <c r="U356" s="25">
        <f t="shared" si="12"/>
        <v>215130.305</v>
      </c>
    </row>
    <row r="357" ht="15.25" spans="8:21">
      <c r="H357" s="29"/>
      <c r="I357" s="29"/>
      <c r="J357" s="29"/>
      <c r="K357" s="29" t="s">
        <v>101</v>
      </c>
      <c r="L357" s="30">
        <v>26899.092</v>
      </c>
      <c r="M357" s="30">
        <v>22266.18</v>
      </c>
      <c r="N357" s="30">
        <v>16965.2</v>
      </c>
      <c r="O357" s="30">
        <v>14343.75</v>
      </c>
      <c r="P357" s="30">
        <v>11088.89</v>
      </c>
      <c r="Q357" s="30">
        <v>6310.00058</v>
      </c>
      <c r="R357" s="20"/>
      <c r="U357" s="25">
        <f t="shared" si="12"/>
        <v>214909.7829</v>
      </c>
    </row>
    <row r="358" ht="15.25" spans="8:21">
      <c r="H358" s="29"/>
      <c r="I358" s="29"/>
      <c r="J358" s="29"/>
      <c r="K358" s="29" t="s">
        <v>102</v>
      </c>
      <c r="L358" s="30">
        <v>26899.092</v>
      </c>
      <c r="M358" s="30">
        <v>22266.18</v>
      </c>
      <c r="N358" s="30">
        <v>16965.2</v>
      </c>
      <c r="O358" s="30">
        <v>14400.59</v>
      </c>
      <c r="P358" s="30">
        <v>11117.1</v>
      </c>
      <c r="Q358" s="30">
        <v>6310.065</v>
      </c>
      <c r="R358" s="20"/>
      <c r="U358" s="25">
        <f t="shared" si="12"/>
        <v>215335.355</v>
      </c>
    </row>
    <row r="359" ht="15.25" spans="8:21">
      <c r="H359" s="29"/>
      <c r="I359" s="29"/>
      <c r="J359" s="29"/>
      <c r="K359" s="29" t="s">
        <v>103</v>
      </c>
      <c r="L359" s="30">
        <v>26899.092</v>
      </c>
      <c r="M359" s="30">
        <v>22266.18</v>
      </c>
      <c r="N359" s="30">
        <v>16965.2</v>
      </c>
      <c r="O359" s="30">
        <v>14400.59</v>
      </c>
      <c r="P359" s="30">
        <v>11089.19</v>
      </c>
      <c r="Q359" s="30">
        <v>6310.056</v>
      </c>
      <c r="R359" s="20"/>
      <c r="U359" s="25">
        <f t="shared" si="12"/>
        <v>215195.76</v>
      </c>
    </row>
    <row r="360" ht="15.25" spans="8:21">
      <c r="H360" s="29"/>
      <c r="I360" s="29"/>
      <c r="J360" s="29"/>
      <c r="K360" s="29" t="s">
        <v>104</v>
      </c>
      <c r="L360" s="30">
        <v>26899.092</v>
      </c>
      <c r="M360" s="30">
        <v>22266.18</v>
      </c>
      <c r="N360" s="30">
        <v>16965.2</v>
      </c>
      <c r="O360" s="30">
        <v>14400.59</v>
      </c>
      <c r="P360" s="30">
        <v>11163.75</v>
      </c>
      <c r="Q360" s="30">
        <v>6310.066</v>
      </c>
      <c r="R360" s="20"/>
      <c r="U360" s="25">
        <f t="shared" si="12"/>
        <v>215568.61</v>
      </c>
    </row>
    <row r="361" ht="15.25" spans="8:21">
      <c r="H361" s="29"/>
      <c r="I361" s="29"/>
      <c r="J361" s="29"/>
      <c r="K361" s="29" t="s">
        <v>105</v>
      </c>
      <c r="L361" s="30">
        <v>26899.092</v>
      </c>
      <c r="M361" s="30">
        <v>22266.18</v>
      </c>
      <c r="N361" s="30">
        <v>16965.2</v>
      </c>
      <c r="O361" s="30">
        <v>14400.59</v>
      </c>
      <c r="P361" s="30">
        <v>11163.75</v>
      </c>
      <c r="Q361" s="30">
        <v>6310.066</v>
      </c>
      <c r="R361" s="20"/>
      <c r="U361" s="25">
        <f t="shared" si="12"/>
        <v>215568.61</v>
      </c>
    </row>
    <row r="362" ht="15.25" spans="8:21">
      <c r="H362" s="29"/>
      <c r="I362" s="29"/>
      <c r="J362" s="29"/>
      <c r="K362" s="29" t="s">
        <v>106</v>
      </c>
      <c r="L362" s="30">
        <v>26899.092</v>
      </c>
      <c r="M362" s="30">
        <v>22266.18</v>
      </c>
      <c r="N362" s="30">
        <v>16965.2</v>
      </c>
      <c r="O362" s="30">
        <v>14400.59</v>
      </c>
      <c r="P362" s="30">
        <v>11163.75</v>
      </c>
      <c r="Q362" s="30">
        <v>6310.066</v>
      </c>
      <c r="R362" s="20"/>
      <c r="U362" s="25">
        <f t="shared" si="12"/>
        <v>215568.61</v>
      </c>
    </row>
    <row r="369" ht="15.25"/>
    <row r="370" ht="15.25" spans="8:18">
      <c r="H370" s="16" t="s">
        <v>20</v>
      </c>
      <c r="I370" s="16" t="s">
        <v>5</v>
      </c>
      <c r="J370" s="16" t="s">
        <v>32</v>
      </c>
      <c r="K370" s="16" t="s">
        <v>33</v>
      </c>
      <c r="L370" s="16">
        <v>2020</v>
      </c>
      <c r="M370" s="16">
        <v>2021</v>
      </c>
      <c r="N370" s="16">
        <v>2025</v>
      </c>
      <c r="O370" s="16">
        <v>2030</v>
      </c>
      <c r="P370" s="16">
        <v>2035</v>
      </c>
      <c r="Q370" s="16">
        <v>2040</v>
      </c>
      <c r="R370" s="16">
        <v>2045</v>
      </c>
    </row>
    <row r="371" ht="15.25" spans="8:19"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ht="23.75" spans="8:21">
      <c r="H372" s="18" t="s">
        <v>97</v>
      </c>
      <c r="I372" s="18" t="s">
        <v>25</v>
      </c>
      <c r="J372" s="18" t="s">
        <v>26</v>
      </c>
      <c r="K372" s="18" t="s">
        <v>107</v>
      </c>
      <c r="L372" s="19">
        <v>27051.3</v>
      </c>
      <c r="M372" s="19">
        <v>22724.014</v>
      </c>
      <c r="N372" s="19">
        <v>22617.62</v>
      </c>
      <c r="O372" s="19">
        <v>22428.61</v>
      </c>
      <c r="P372" s="19">
        <v>18576.06</v>
      </c>
      <c r="Q372" s="19">
        <v>18404.01</v>
      </c>
      <c r="R372" s="19">
        <v>17822.55</v>
      </c>
      <c r="S372" s="20"/>
      <c r="U372" s="25">
        <f t="shared" ref="U372:U380" si="13">M372*1+N372*2+SUM(O372:S372)*5</f>
        <v>454115.404</v>
      </c>
    </row>
    <row r="373" ht="23.75" spans="8:21">
      <c r="H373" s="18"/>
      <c r="I373" s="18"/>
      <c r="J373" s="18"/>
      <c r="K373" s="18" t="s">
        <v>108</v>
      </c>
      <c r="L373" s="19">
        <v>27051.3</v>
      </c>
      <c r="M373" s="19">
        <v>22724.014</v>
      </c>
      <c r="N373" s="19">
        <v>22617.62</v>
      </c>
      <c r="O373" s="19">
        <v>22428.61</v>
      </c>
      <c r="P373" s="19">
        <v>18576.06</v>
      </c>
      <c r="Q373" s="19">
        <v>18404.01</v>
      </c>
      <c r="R373" s="19">
        <v>17822.55</v>
      </c>
      <c r="S373" s="20"/>
      <c r="U373" s="25">
        <f t="shared" si="13"/>
        <v>454115.404</v>
      </c>
    </row>
    <row r="374" ht="23.75" spans="8:21">
      <c r="H374" s="18"/>
      <c r="I374" s="18"/>
      <c r="J374" s="18"/>
      <c r="K374" s="18" t="s">
        <v>109</v>
      </c>
      <c r="L374" s="19">
        <v>27051.3</v>
      </c>
      <c r="M374" s="19">
        <v>22724.014</v>
      </c>
      <c r="N374" s="19">
        <v>22617.62</v>
      </c>
      <c r="O374" s="19">
        <v>22428.61</v>
      </c>
      <c r="P374" s="19">
        <v>18576.06</v>
      </c>
      <c r="Q374" s="19">
        <v>18404.01</v>
      </c>
      <c r="R374" s="19">
        <v>17822.55</v>
      </c>
      <c r="S374" s="20"/>
      <c r="U374" s="25">
        <f t="shared" si="13"/>
        <v>454115.404</v>
      </c>
    </row>
    <row r="375" ht="23.75" spans="8:21">
      <c r="H375" s="18"/>
      <c r="I375" s="18"/>
      <c r="J375" s="18"/>
      <c r="K375" s="18" t="s">
        <v>110</v>
      </c>
      <c r="L375" s="19">
        <v>27051.3</v>
      </c>
      <c r="M375" s="19">
        <v>22724.014</v>
      </c>
      <c r="N375" s="19">
        <v>22617.62</v>
      </c>
      <c r="O375" s="19">
        <v>22428.61</v>
      </c>
      <c r="P375" s="19">
        <v>18576.06</v>
      </c>
      <c r="Q375" s="19">
        <v>18404.01</v>
      </c>
      <c r="R375" s="19">
        <v>17822.55</v>
      </c>
      <c r="S375" s="20"/>
      <c r="U375" s="25">
        <f t="shared" si="13"/>
        <v>454115.404</v>
      </c>
    </row>
    <row r="376" ht="23.75" spans="8:21">
      <c r="H376" s="18"/>
      <c r="I376" s="18"/>
      <c r="J376" s="18"/>
      <c r="K376" s="18" t="s">
        <v>111</v>
      </c>
      <c r="L376" s="19">
        <v>27051.3</v>
      </c>
      <c r="M376" s="19">
        <v>22724.014</v>
      </c>
      <c r="N376" s="19">
        <v>22617.62</v>
      </c>
      <c r="O376" s="19">
        <v>22428.61</v>
      </c>
      <c r="P376" s="19">
        <v>18576.06</v>
      </c>
      <c r="Q376" s="19">
        <v>18404.01</v>
      </c>
      <c r="R376" s="19">
        <v>17822.55</v>
      </c>
      <c r="S376" s="20"/>
      <c r="U376" s="25">
        <f t="shared" si="13"/>
        <v>454115.404</v>
      </c>
    </row>
    <row r="377" ht="23.75" spans="8:21">
      <c r="H377" s="18"/>
      <c r="I377" s="18"/>
      <c r="J377" s="18"/>
      <c r="K377" s="18" t="s">
        <v>112</v>
      </c>
      <c r="L377" s="19">
        <v>27051.3</v>
      </c>
      <c r="M377" s="19">
        <v>22724.014</v>
      </c>
      <c r="N377" s="19">
        <v>22617.62</v>
      </c>
      <c r="O377" s="19">
        <v>22428.61</v>
      </c>
      <c r="P377" s="19">
        <v>18576.06</v>
      </c>
      <c r="Q377" s="19">
        <v>18404.01</v>
      </c>
      <c r="R377" s="19">
        <v>17822.55</v>
      </c>
      <c r="S377" s="20"/>
      <c r="U377" s="25">
        <f t="shared" si="13"/>
        <v>454115.404</v>
      </c>
    </row>
    <row r="378" ht="23.75" spans="8:21">
      <c r="H378" s="18"/>
      <c r="I378" s="18"/>
      <c r="J378" s="18"/>
      <c r="K378" s="18" t="s">
        <v>113</v>
      </c>
      <c r="L378" s="19">
        <v>27051.3</v>
      </c>
      <c r="M378" s="19">
        <v>22724.014</v>
      </c>
      <c r="N378" s="19">
        <v>22617.62</v>
      </c>
      <c r="O378" s="19">
        <v>22428.61</v>
      </c>
      <c r="P378" s="19">
        <v>18576.06</v>
      </c>
      <c r="Q378" s="19">
        <v>18404.01</v>
      </c>
      <c r="R378" s="19">
        <v>17822.55</v>
      </c>
      <c r="S378" s="20"/>
      <c r="U378" s="25">
        <f t="shared" si="13"/>
        <v>454115.404</v>
      </c>
    </row>
    <row r="379" ht="23.75" spans="8:21">
      <c r="H379" s="18"/>
      <c r="I379" s="18"/>
      <c r="J379" s="18"/>
      <c r="K379" s="18" t="s">
        <v>114</v>
      </c>
      <c r="L379" s="19">
        <v>27051.3</v>
      </c>
      <c r="M379" s="19">
        <v>22724.014</v>
      </c>
      <c r="N379" s="19">
        <v>22617.62</v>
      </c>
      <c r="O379" s="19">
        <v>22428.61</v>
      </c>
      <c r="P379" s="19">
        <v>18576.06</v>
      </c>
      <c r="Q379" s="19">
        <v>18404.01</v>
      </c>
      <c r="R379" s="19">
        <v>17822.55</v>
      </c>
      <c r="S379" s="20"/>
      <c r="U379" s="25">
        <f t="shared" si="13"/>
        <v>454115.404</v>
      </c>
    </row>
    <row r="380" ht="23.75" spans="8:21">
      <c r="H380" s="18"/>
      <c r="I380" s="18"/>
      <c r="J380" s="18"/>
      <c r="K380" s="26" t="s">
        <v>115</v>
      </c>
      <c r="L380" s="27">
        <v>27051.3</v>
      </c>
      <c r="M380" s="27">
        <v>22724.014</v>
      </c>
      <c r="N380" s="27">
        <v>22617.62</v>
      </c>
      <c r="O380" s="27">
        <v>22428.61</v>
      </c>
      <c r="P380" s="27">
        <v>18576.06</v>
      </c>
      <c r="Q380" s="27">
        <v>18404.01</v>
      </c>
      <c r="R380" s="27">
        <v>17822.55</v>
      </c>
      <c r="S380" s="20"/>
      <c r="U380" s="25">
        <f t="shared" si="13"/>
        <v>454115.404</v>
      </c>
    </row>
    <row r="388" spans="8:19"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</row>
    <row r="389" ht="15.25" spans="8:19"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ht="15.25" spans="8:19"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ht="15.25" spans="8:19">
      <c r="H391" s="16" t="s">
        <v>20</v>
      </c>
      <c r="I391" s="16" t="s">
        <v>5</v>
      </c>
      <c r="J391" s="16" t="s">
        <v>32</v>
      </c>
      <c r="K391" s="16" t="s">
        <v>33</v>
      </c>
      <c r="L391" s="16">
        <v>2020</v>
      </c>
      <c r="M391" s="16">
        <v>2021</v>
      </c>
      <c r="N391" s="16">
        <v>2025</v>
      </c>
      <c r="O391" s="16">
        <v>2030</v>
      </c>
      <c r="P391" s="16">
        <v>2035</v>
      </c>
      <c r="Q391" s="16">
        <v>2040</v>
      </c>
      <c r="R391" s="16">
        <v>2045</v>
      </c>
      <c r="S391" s="20"/>
    </row>
    <row r="392" ht="15.25" spans="8:19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ht="15.25" spans="8:23">
      <c r="H393" s="29" t="s">
        <v>116</v>
      </c>
      <c r="I393" s="29" t="s">
        <v>25</v>
      </c>
      <c r="J393" s="29" t="s">
        <v>26</v>
      </c>
      <c r="K393" s="29" t="s">
        <v>39</v>
      </c>
      <c r="L393" s="30">
        <v>141586.88</v>
      </c>
      <c r="M393" s="30">
        <v>125533.81</v>
      </c>
      <c r="N393" s="30">
        <v>105438.4</v>
      </c>
      <c r="O393" s="30">
        <v>88203.7</v>
      </c>
      <c r="P393" s="30">
        <v>75768.37</v>
      </c>
      <c r="Q393" s="30">
        <v>65681.53</v>
      </c>
      <c r="R393" s="30">
        <v>29281.92</v>
      </c>
      <c r="S393" s="20"/>
      <c r="U393" s="25">
        <f>M393*1+N393*2+SUM(O393:S393)*5</f>
        <v>1631088.21</v>
      </c>
      <c r="W393">
        <f>(U393-U401)/30</f>
        <v>3.10599999999783</v>
      </c>
    </row>
    <row r="394" ht="15.25" spans="8:21">
      <c r="H394" s="29"/>
      <c r="I394" s="29"/>
      <c r="J394" s="29"/>
      <c r="K394" s="29" t="s">
        <v>40</v>
      </c>
      <c r="L394" s="30">
        <v>141586.96</v>
      </c>
      <c r="M394" s="30">
        <v>125533.87</v>
      </c>
      <c r="N394" s="30">
        <v>105488.29</v>
      </c>
      <c r="O394" s="30">
        <v>88576.0099</v>
      </c>
      <c r="P394" s="30">
        <v>75709.94</v>
      </c>
      <c r="Q394" s="30">
        <v>65661.45</v>
      </c>
      <c r="R394" s="30">
        <v>29390.1</v>
      </c>
      <c r="S394" s="20"/>
      <c r="U394" s="25">
        <f t="shared" ref="U394:U401" si="14">M394*1+N394*2+SUM(O394:S394)*5</f>
        <v>1633197.9495</v>
      </c>
    </row>
    <row r="395" ht="15.25" spans="8:21">
      <c r="H395" s="29"/>
      <c r="I395" s="29"/>
      <c r="J395" s="29"/>
      <c r="K395" s="29" t="s">
        <v>41</v>
      </c>
      <c r="L395" s="30">
        <v>141586.92</v>
      </c>
      <c r="M395" s="30">
        <v>125533.84</v>
      </c>
      <c r="N395" s="30">
        <v>105488.26</v>
      </c>
      <c r="O395" s="30">
        <v>88203.73</v>
      </c>
      <c r="P395" s="30">
        <v>75768.4</v>
      </c>
      <c r="Q395" s="30">
        <v>65670.6</v>
      </c>
      <c r="R395" s="30">
        <v>29275.46</v>
      </c>
      <c r="S395" s="20"/>
      <c r="U395" s="25">
        <f t="shared" si="14"/>
        <v>1631101.31</v>
      </c>
    </row>
    <row r="396" ht="15.25" spans="8:21">
      <c r="H396" s="29"/>
      <c r="I396" s="29"/>
      <c r="J396" s="29"/>
      <c r="K396" s="29" t="s">
        <v>42</v>
      </c>
      <c r="L396" s="30">
        <v>141586.96</v>
      </c>
      <c r="M396" s="30">
        <v>125533.87</v>
      </c>
      <c r="N396" s="30">
        <v>105488.29</v>
      </c>
      <c r="O396" s="30">
        <v>88576.0099</v>
      </c>
      <c r="P396" s="30">
        <v>75709.94</v>
      </c>
      <c r="Q396" s="30">
        <v>65661.45</v>
      </c>
      <c r="R396" s="30">
        <v>29390.1</v>
      </c>
      <c r="S396" s="20"/>
      <c r="U396" s="25">
        <f t="shared" si="14"/>
        <v>1633197.9495</v>
      </c>
    </row>
    <row r="397" ht="15.25" spans="8:21">
      <c r="H397" s="29"/>
      <c r="I397" s="29"/>
      <c r="J397" s="29"/>
      <c r="K397" s="29" t="s">
        <v>43</v>
      </c>
      <c r="L397" s="30">
        <v>141586.92</v>
      </c>
      <c r="M397" s="30">
        <v>125533.84</v>
      </c>
      <c r="N397" s="30">
        <v>105488.26</v>
      </c>
      <c r="O397" s="30">
        <v>88139.85</v>
      </c>
      <c r="P397" s="30">
        <v>75768.41</v>
      </c>
      <c r="Q397" s="30">
        <v>65670.61</v>
      </c>
      <c r="R397" s="30">
        <v>29252.57</v>
      </c>
      <c r="S397" s="20"/>
      <c r="U397" s="25">
        <f t="shared" si="14"/>
        <v>1630667.56</v>
      </c>
    </row>
    <row r="398" ht="15.25" spans="8:21">
      <c r="H398" s="29"/>
      <c r="I398" s="29"/>
      <c r="J398" s="29"/>
      <c r="K398" s="29" t="s">
        <v>44</v>
      </c>
      <c r="L398" s="30">
        <v>141586.96</v>
      </c>
      <c r="M398" s="30">
        <v>125533.87</v>
      </c>
      <c r="N398" s="30">
        <v>105488.29</v>
      </c>
      <c r="O398" s="30">
        <v>88139.88</v>
      </c>
      <c r="P398" s="30">
        <v>75709.99</v>
      </c>
      <c r="Q398" s="30">
        <v>65661.49</v>
      </c>
      <c r="R398" s="30">
        <v>29389.36</v>
      </c>
      <c r="S398" s="20"/>
      <c r="U398" s="25">
        <f t="shared" si="14"/>
        <v>1631014.05</v>
      </c>
    </row>
    <row r="399" ht="15.25" spans="8:21">
      <c r="H399" s="29"/>
      <c r="I399" s="29"/>
      <c r="J399" s="29"/>
      <c r="K399" s="29" t="s">
        <v>45</v>
      </c>
      <c r="L399" s="30">
        <v>141586.9</v>
      </c>
      <c r="M399" s="30">
        <v>125533.83</v>
      </c>
      <c r="N399" s="30">
        <v>105488.25</v>
      </c>
      <c r="O399" s="30">
        <v>88139.84</v>
      </c>
      <c r="P399" s="30">
        <v>75790.59</v>
      </c>
      <c r="Q399" s="30">
        <v>65670.62</v>
      </c>
      <c r="R399" s="30">
        <v>29252.57</v>
      </c>
      <c r="S399" s="20"/>
      <c r="U399" s="25">
        <f t="shared" si="14"/>
        <v>1630778.43</v>
      </c>
    </row>
    <row r="400" ht="15.25" spans="8:21">
      <c r="H400" s="29"/>
      <c r="I400" s="29"/>
      <c r="J400" s="29"/>
      <c r="K400" s="29" t="s">
        <v>46</v>
      </c>
      <c r="L400" s="30">
        <v>141586.9</v>
      </c>
      <c r="M400" s="30">
        <v>125533.83</v>
      </c>
      <c r="N400" s="30">
        <v>105488.25</v>
      </c>
      <c r="O400" s="30">
        <v>88139.84</v>
      </c>
      <c r="P400" s="30">
        <v>75790.59</v>
      </c>
      <c r="Q400" s="30">
        <v>65661.53</v>
      </c>
      <c r="R400" s="30">
        <v>29389.36</v>
      </c>
      <c r="S400" s="20"/>
      <c r="U400" s="25">
        <f t="shared" si="14"/>
        <v>1631416.93</v>
      </c>
    </row>
    <row r="401" ht="15.25" spans="8:21">
      <c r="H401" s="29"/>
      <c r="I401" s="29"/>
      <c r="J401" s="29"/>
      <c r="K401" s="29" t="s">
        <v>47</v>
      </c>
      <c r="L401" s="30">
        <v>141586.9</v>
      </c>
      <c r="M401" s="30">
        <v>125533.83</v>
      </c>
      <c r="N401" s="30">
        <v>105488.25</v>
      </c>
      <c r="O401" s="30">
        <v>88139.84</v>
      </c>
      <c r="P401" s="30">
        <v>75790.59</v>
      </c>
      <c r="Q401" s="30">
        <v>65684.59</v>
      </c>
      <c r="R401" s="30">
        <v>29281.92</v>
      </c>
      <c r="S401" s="20"/>
      <c r="U401" s="25">
        <f t="shared" si="14"/>
        <v>1630995.03</v>
      </c>
    </row>
    <row r="405" ht="15.25"/>
    <row r="406" ht="15.25" spans="8:17">
      <c r="H406" s="16" t="s">
        <v>20</v>
      </c>
      <c r="I406" s="16" t="s">
        <v>5</v>
      </c>
      <c r="J406" s="16" t="s">
        <v>32</v>
      </c>
      <c r="K406" s="16" t="s">
        <v>33</v>
      </c>
      <c r="L406" s="16">
        <v>2020</v>
      </c>
      <c r="M406" s="16">
        <v>2021</v>
      </c>
      <c r="N406" s="16">
        <v>2025</v>
      </c>
      <c r="O406" s="16">
        <v>2030</v>
      </c>
      <c r="P406" s="16">
        <v>2035</v>
      </c>
      <c r="Q406" s="16">
        <v>2040</v>
      </c>
    </row>
    <row r="407" ht="15.25" spans="8:18"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15.25" spans="8:21">
      <c r="H408" s="18" t="s">
        <v>48</v>
      </c>
      <c r="I408" s="18" t="s">
        <v>25</v>
      </c>
      <c r="J408" s="18" t="s">
        <v>26</v>
      </c>
      <c r="K408" s="18" t="s">
        <v>49</v>
      </c>
      <c r="L408" s="19">
        <v>22470.064</v>
      </c>
      <c r="M408" s="19">
        <v>19674.64</v>
      </c>
      <c r="N408" s="19">
        <v>15607.5</v>
      </c>
      <c r="O408" s="19">
        <v>10934.18</v>
      </c>
      <c r="P408" s="19">
        <v>9237.21</v>
      </c>
      <c r="Q408" s="19">
        <v>4732.37</v>
      </c>
      <c r="R408" s="20"/>
      <c r="U408" s="25">
        <f t="shared" ref="U408:U416" si="15">M408*1+N408*2+SUM(O408:S408)*5</f>
        <v>175408.44</v>
      </c>
    </row>
    <row r="409" ht="15.25" spans="8:21">
      <c r="H409" s="18"/>
      <c r="I409" s="18"/>
      <c r="J409" s="18"/>
      <c r="K409" s="18" t="s">
        <v>50</v>
      </c>
      <c r="L409" s="19">
        <v>22470.051</v>
      </c>
      <c r="M409" s="19">
        <v>19676.44</v>
      </c>
      <c r="N409" s="19">
        <v>15573.26</v>
      </c>
      <c r="O409" s="19">
        <v>10894.46</v>
      </c>
      <c r="P409" s="19">
        <v>9218.82</v>
      </c>
      <c r="Q409" s="19">
        <v>4677.11</v>
      </c>
      <c r="R409" s="20"/>
      <c r="U409" s="25">
        <f t="shared" si="15"/>
        <v>174774.91</v>
      </c>
    </row>
    <row r="410" ht="15.25" spans="8:21">
      <c r="H410" s="18"/>
      <c r="I410" s="18"/>
      <c r="J410" s="18"/>
      <c r="K410" s="18" t="s">
        <v>51</v>
      </c>
      <c r="L410" s="19">
        <v>22470.052</v>
      </c>
      <c r="M410" s="19">
        <v>19667.19</v>
      </c>
      <c r="N410" s="19">
        <v>15567.0086</v>
      </c>
      <c r="O410" s="19">
        <v>10917.71</v>
      </c>
      <c r="P410" s="19">
        <v>9241.33</v>
      </c>
      <c r="Q410" s="19">
        <v>4700.18</v>
      </c>
      <c r="R410" s="20"/>
      <c r="U410" s="25">
        <f t="shared" si="15"/>
        <v>175097.3072</v>
      </c>
    </row>
    <row r="411" ht="15.25" spans="8:21">
      <c r="H411" s="18"/>
      <c r="I411" s="18"/>
      <c r="J411" s="18"/>
      <c r="K411" s="18" t="s">
        <v>52</v>
      </c>
      <c r="L411" s="19">
        <v>22470.051</v>
      </c>
      <c r="M411" s="19">
        <v>19667.19</v>
      </c>
      <c r="N411" s="19">
        <v>15543.68</v>
      </c>
      <c r="O411" s="19">
        <v>10894.5</v>
      </c>
      <c r="P411" s="19">
        <v>9218.87</v>
      </c>
      <c r="Q411" s="19">
        <v>4677.15</v>
      </c>
      <c r="R411" s="20"/>
      <c r="U411" s="25">
        <f t="shared" si="15"/>
        <v>174707.15</v>
      </c>
    </row>
    <row r="412" ht="15.25" spans="8:21">
      <c r="H412" s="18"/>
      <c r="I412" s="18"/>
      <c r="J412" s="18"/>
      <c r="K412" s="18" t="s">
        <v>53</v>
      </c>
      <c r="L412" s="19">
        <v>22470.05</v>
      </c>
      <c r="M412" s="19">
        <v>19667.19</v>
      </c>
      <c r="N412" s="19">
        <v>15547.8</v>
      </c>
      <c r="O412" s="19">
        <v>10907.84</v>
      </c>
      <c r="P412" s="19">
        <v>9234.98</v>
      </c>
      <c r="Q412" s="19">
        <v>4690.93</v>
      </c>
      <c r="R412" s="20"/>
      <c r="U412" s="25">
        <f t="shared" si="15"/>
        <v>174931.54</v>
      </c>
    </row>
    <row r="413" ht="15.25" spans="8:21">
      <c r="H413" s="18"/>
      <c r="I413" s="18"/>
      <c r="J413" s="18"/>
      <c r="K413" s="18" t="s">
        <v>54</v>
      </c>
      <c r="L413" s="19">
        <v>22470.059</v>
      </c>
      <c r="M413" s="19">
        <v>19667.2</v>
      </c>
      <c r="N413" s="19">
        <v>15557.42</v>
      </c>
      <c r="O413" s="19">
        <v>10891.54</v>
      </c>
      <c r="P413" s="19">
        <v>9201.49</v>
      </c>
      <c r="Q413" s="19">
        <v>4662.077</v>
      </c>
      <c r="R413" s="20"/>
      <c r="U413" s="25">
        <f t="shared" si="15"/>
        <v>174557.575</v>
      </c>
    </row>
    <row r="414" ht="15.25" spans="8:21">
      <c r="H414" s="18"/>
      <c r="I414" s="18"/>
      <c r="J414" s="18"/>
      <c r="K414" s="18" t="s">
        <v>55</v>
      </c>
      <c r="L414" s="19">
        <v>22470.035</v>
      </c>
      <c r="M414" s="19">
        <v>19667.17</v>
      </c>
      <c r="N414" s="19">
        <v>15564.43</v>
      </c>
      <c r="O414" s="19">
        <v>10925.91</v>
      </c>
      <c r="P414" s="19">
        <v>9279.073</v>
      </c>
      <c r="Q414" s="19">
        <v>4697.6</v>
      </c>
      <c r="R414" s="20"/>
      <c r="U414" s="25">
        <f t="shared" si="15"/>
        <v>175308.945</v>
      </c>
    </row>
    <row r="415" ht="15.25" spans="8:21">
      <c r="H415" s="18"/>
      <c r="I415" s="18"/>
      <c r="J415" s="18"/>
      <c r="K415" s="18" t="s">
        <v>56</v>
      </c>
      <c r="L415" s="19">
        <v>22469.89</v>
      </c>
      <c r="M415" s="19">
        <v>19659.16</v>
      </c>
      <c r="N415" s="19">
        <v>15562.19</v>
      </c>
      <c r="O415" s="19">
        <v>10923.6</v>
      </c>
      <c r="P415" s="19">
        <v>9268.47</v>
      </c>
      <c r="Q415" s="19">
        <v>4666.015</v>
      </c>
      <c r="R415" s="20"/>
      <c r="U415" s="25">
        <f t="shared" si="15"/>
        <v>175073.965</v>
      </c>
    </row>
    <row r="416" ht="15.25" spans="8:21">
      <c r="H416" s="18"/>
      <c r="I416" s="18"/>
      <c r="J416" s="18"/>
      <c r="K416" s="18" t="s">
        <v>57</v>
      </c>
      <c r="L416" s="19">
        <v>22470.047</v>
      </c>
      <c r="M416" s="19">
        <v>19667.19</v>
      </c>
      <c r="N416" s="19">
        <v>15619.9</v>
      </c>
      <c r="O416" s="19">
        <v>10951.008</v>
      </c>
      <c r="P416" s="19">
        <v>9274.028</v>
      </c>
      <c r="Q416" s="19">
        <v>4744.039</v>
      </c>
      <c r="R416" s="20"/>
      <c r="U416" s="25">
        <f t="shared" si="15"/>
        <v>175752.365</v>
      </c>
    </row>
    <row r="418" ht="15.25"/>
    <row r="419" ht="15.25" spans="8:19">
      <c r="H419" s="16" t="s">
        <v>20</v>
      </c>
      <c r="I419" s="16" t="s">
        <v>5</v>
      </c>
      <c r="J419" s="16" t="s">
        <v>32</v>
      </c>
      <c r="K419" s="16" t="s">
        <v>33</v>
      </c>
      <c r="L419" s="16">
        <v>2020</v>
      </c>
      <c r="M419" s="16">
        <v>2021</v>
      </c>
      <c r="N419" s="16">
        <v>2025</v>
      </c>
      <c r="O419" s="16">
        <v>2030</v>
      </c>
      <c r="P419" s="16">
        <v>2035</v>
      </c>
      <c r="Q419" s="16">
        <v>2040</v>
      </c>
      <c r="R419" s="16">
        <v>2045</v>
      </c>
      <c r="S419" s="16">
        <v>2050</v>
      </c>
    </row>
    <row r="420" ht="15.25" spans="8:20"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15.25" spans="8:21">
      <c r="H421" s="18" t="s">
        <v>48</v>
      </c>
      <c r="I421" s="18" t="s">
        <v>117</v>
      </c>
      <c r="J421" s="18" t="s">
        <v>26</v>
      </c>
      <c r="K421" s="18" t="s">
        <v>49</v>
      </c>
      <c r="L421" s="19">
        <v>22470.064</v>
      </c>
      <c r="M421" s="19">
        <v>20923.62</v>
      </c>
      <c r="N421" s="19">
        <v>17114.64</v>
      </c>
      <c r="O421" s="19">
        <v>13100.31</v>
      </c>
      <c r="P421" s="19">
        <v>11933.053</v>
      </c>
      <c r="Q421" s="19">
        <v>11668.18</v>
      </c>
      <c r="R421" s="19">
        <v>11778.78</v>
      </c>
      <c r="S421" s="19">
        <v>12000.54</v>
      </c>
      <c r="T421" s="20"/>
      <c r="U421" s="25">
        <f t="shared" ref="U421:U429" si="16">M421*1+N421*2+SUM(O421:S421)*5</f>
        <v>357557.215</v>
      </c>
    </row>
    <row r="422" ht="15.25" spans="8:21">
      <c r="H422" s="18"/>
      <c r="I422" s="18"/>
      <c r="J422" s="18"/>
      <c r="K422" s="18" t="s">
        <v>50</v>
      </c>
      <c r="L422" s="19">
        <v>22470.051</v>
      </c>
      <c r="M422" s="19">
        <v>20925.41</v>
      </c>
      <c r="N422" s="19">
        <v>17080.39</v>
      </c>
      <c r="O422" s="19">
        <v>13060.59</v>
      </c>
      <c r="P422" s="19">
        <v>11914.66</v>
      </c>
      <c r="Q422" s="19">
        <v>11612.91</v>
      </c>
      <c r="R422" s="19">
        <v>11746.92</v>
      </c>
      <c r="S422" s="19">
        <v>11957.024</v>
      </c>
      <c r="T422" s="20"/>
      <c r="U422" s="25">
        <f t="shared" si="16"/>
        <v>356546.71</v>
      </c>
    </row>
    <row r="423" ht="15.25" spans="8:21">
      <c r="H423" s="18"/>
      <c r="I423" s="18"/>
      <c r="J423" s="18"/>
      <c r="K423" s="18" t="s">
        <v>51</v>
      </c>
      <c r="L423" s="19">
        <v>22470.052</v>
      </c>
      <c r="M423" s="19">
        <v>20916.17</v>
      </c>
      <c r="N423" s="19">
        <v>17074.14</v>
      </c>
      <c r="O423" s="19">
        <v>13083.84</v>
      </c>
      <c r="P423" s="19">
        <v>11937.18</v>
      </c>
      <c r="Q423" s="19">
        <v>11635.99</v>
      </c>
      <c r="R423" s="19">
        <v>11764.46</v>
      </c>
      <c r="S423" s="19">
        <v>12018.47</v>
      </c>
      <c r="T423" s="20"/>
      <c r="U423" s="25">
        <f t="shared" si="16"/>
        <v>357264.15</v>
      </c>
    </row>
    <row r="424" ht="15.25" spans="8:21">
      <c r="H424" s="18"/>
      <c r="I424" s="18"/>
      <c r="J424" s="18"/>
      <c r="K424" s="18" t="s">
        <v>52</v>
      </c>
      <c r="L424" s="19">
        <v>22470.051</v>
      </c>
      <c r="M424" s="19">
        <v>20916.17</v>
      </c>
      <c r="N424" s="19">
        <v>17050.82</v>
      </c>
      <c r="O424" s="19">
        <v>13060.63</v>
      </c>
      <c r="P424" s="19">
        <v>11914.71</v>
      </c>
      <c r="Q424" s="19">
        <v>11612.95</v>
      </c>
      <c r="R424" s="19">
        <v>11740.18</v>
      </c>
      <c r="S424" s="19">
        <v>11960.25</v>
      </c>
      <c r="T424" s="20"/>
      <c r="U424" s="25">
        <f t="shared" si="16"/>
        <v>356461.41</v>
      </c>
    </row>
    <row r="425" ht="15.25" spans="8:21">
      <c r="H425" s="18"/>
      <c r="I425" s="18"/>
      <c r="J425" s="18"/>
      <c r="K425" s="18" t="s">
        <v>53</v>
      </c>
      <c r="L425" s="19">
        <v>22470.05</v>
      </c>
      <c r="M425" s="19">
        <v>20916.17</v>
      </c>
      <c r="N425" s="19">
        <v>17054.94</v>
      </c>
      <c r="O425" s="19">
        <v>13073.98</v>
      </c>
      <c r="P425" s="19">
        <v>11930.82</v>
      </c>
      <c r="Q425" s="19">
        <v>11626.74</v>
      </c>
      <c r="R425" s="19">
        <v>11731.38</v>
      </c>
      <c r="S425" s="19">
        <v>12014.98</v>
      </c>
      <c r="T425" s="20"/>
      <c r="U425" s="25">
        <f t="shared" si="16"/>
        <v>356915.55</v>
      </c>
    </row>
    <row r="426" ht="15.25" spans="8:21">
      <c r="H426" s="18"/>
      <c r="I426" s="18"/>
      <c r="J426" s="18"/>
      <c r="K426" s="18" t="s">
        <v>54</v>
      </c>
      <c r="L426" s="19">
        <v>22470.059</v>
      </c>
      <c r="M426" s="19">
        <v>20916.18</v>
      </c>
      <c r="N426" s="19">
        <v>17064.56</v>
      </c>
      <c r="O426" s="19">
        <v>13057.67</v>
      </c>
      <c r="P426" s="19">
        <v>11897.33</v>
      </c>
      <c r="Q426" s="19">
        <v>11597.87</v>
      </c>
      <c r="R426" s="19">
        <v>11737.57</v>
      </c>
      <c r="S426" s="19">
        <v>11958.062</v>
      </c>
      <c r="T426" s="20"/>
      <c r="U426" s="25">
        <f t="shared" si="16"/>
        <v>356287.81</v>
      </c>
    </row>
    <row r="427" ht="15.25" spans="8:21">
      <c r="H427" s="18"/>
      <c r="I427" s="18"/>
      <c r="J427" s="18"/>
      <c r="K427" s="18" t="s">
        <v>55</v>
      </c>
      <c r="L427" s="19">
        <v>22470.035</v>
      </c>
      <c r="M427" s="19">
        <v>20916.15</v>
      </c>
      <c r="N427" s="19">
        <v>17071.57</v>
      </c>
      <c r="O427" s="19">
        <v>13092.044</v>
      </c>
      <c r="P427" s="19">
        <v>11974.91</v>
      </c>
      <c r="Q427" s="19">
        <v>11633.4</v>
      </c>
      <c r="R427" s="19">
        <v>11738.41</v>
      </c>
      <c r="S427" s="19">
        <v>11968.4</v>
      </c>
      <c r="T427" s="20"/>
      <c r="U427" s="25">
        <f t="shared" si="16"/>
        <v>357095.11</v>
      </c>
    </row>
    <row r="428" ht="15.25" spans="8:21">
      <c r="H428" s="18"/>
      <c r="I428" s="18"/>
      <c r="J428" s="18"/>
      <c r="K428" s="18" t="s">
        <v>56</v>
      </c>
      <c r="L428" s="19">
        <v>22469.89</v>
      </c>
      <c r="M428" s="19">
        <v>20908.14</v>
      </c>
      <c r="N428" s="19">
        <v>17069.33</v>
      </c>
      <c r="O428" s="19">
        <v>13089.73</v>
      </c>
      <c r="P428" s="19">
        <v>11964.31</v>
      </c>
      <c r="Q428" s="19">
        <v>11601.81</v>
      </c>
      <c r="R428" s="19">
        <v>11740.73</v>
      </c>
      <c r="S428" s="19">
        <v>11967.24</v>
      </c>
      <c r="T428" s="20"/>
      <c r="U428" s="25">
        <f t="shared" si="16"/>
        <v>356865.9</v>
      </c>
    </row>
    <row r="429" ht="15.25" spans="8:21">
      <c r="H429" s="18"/>
      <c r="I429" s="18"/>
      <c r="J429" s="18"/>
      <c r="K429" s="18" t="s">
        <v>57</v>
      </c>
      <c r="L429" s="19">
        <v>22470.047</v>
      </c>
      <c r="M429" s="19">
        <v>20916.16</v>
      </c>
      <c r="N429" s="19">
        <v>17127.043</v>
      </c>
      <c r="O429" s="19">
        <v>13117.14</v>
      </c>
      <c r="P429" s="19">
        <v>11969.86</v>
      </c>
      <c r="Q429" s="19">
        <v>11679.84</v>
      </c>
      <c r="R429" s="19">
        <v>11774.12</v>
      </c>
      <c r="S429" s="19">
        <v>11999.3</v>
      </c>
      <c r="T429" s="20"/>
      <c r="U429" s="25">
        <f t="shared" si="16"/>
        <v>357871.546</v>
      </c>
    </row>
    <row r="434" spans="8:18"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</row>
    <row r="435" ht="15.25" spans="8:18"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</row>
    <row r="436" ht="15.25" spans="8:18"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ht="15.25" spans="8:18">
      <c r="H437" s="16" t="s">
        <v>20</v>
      </c>
      <c r="I437" s="16" t="s">
        <v>5</v>
      </c>
      <c r="J437" s="16" t="s">
        <v>32</v>
      </c>
      <c r="K437" s="16" t="s">
        <v>33</v>
      </c>
      <c r="L437" s="16">
        <v>2020</v>
      </c>
      <c r="M437" s="16">
        <v>2021</v>
      </c>
      <c r="N437" s="16">
        <v>2025</v>
      </c>
      <c r="O437" s="16">
        <v>2030</v>
      </c>
      <c r="P437" s="16">
        <v>2035</v>
      </c>
      <c r="Q437" s="16">
        <v>2040</v>
      </c>
      <c r="R437" s="20"/>
    </row>
    <row r="438" ht="15.25" spans="8:18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25" spans="8:21">
      <c r="H439" s="31" t="s">
        <v>58</v>
      </c>
      <c r="I439" s="31" t="s">
        <v>25</v>
      </c>
      <c r="J439" s="31" t="s">
        <v>26</v>
      </c>
      <c r="K439" s="31" t="s">
        <v>59</v>
      </c>
      <c r="L439" s="32">
        <v>50151.13</v>
      </c>
      <c r="M439" s="32">
        <v>41373.047</v>
      </c>
      <c r="N439" s="32">
        <v>37903.25</v>
      </c>
      <c r="O439" s="32">
        <v>33436.76</v>
      </c>
      <c r="P439" s="32">
        <v>26060.32</v>
      </c>
      <c r="Q439" s="32">
        <v>19573.92</v>
      </c>
      <c r="R439" s="20"/>
      <c r="U439" s="25">
        <f t="shared" ref="U439:U447" si="17">M439*1+N439*2+SUM(O439:S439)*5</f>
        <v>512534.547</v>
      </c>
    </row>
    <row r="440" ht="15.25" spans="8:21">
      <c r="H440" s="31"/>
      <c r="I440" s="31"/>
      <c r="J440" s="31"/>
      <c r="K440" s="29" t="s">
        <v>60</v>
      </c>
      <c r="L440" s="30">
        <v>50151.13</v>
      </c>
      <c r="M440" s="30">
        <v>41373.047</v>
      </c>
      <c r="N440" s="30">
        <v>37903.58</v>
      </c>
      <c r="O440" s="30">
        <v>33436.76</v>
      </c>
      <c r="P440" s="30">
        <v>26060.32</v>
      </c>
      <c r="Q440" s="30">
        <v>19573.92</v>
      </c>
      <c r="R440" s="20"/>
      <c r="U440" s="25">
        <f t="shared" si="17"/>
        <v>512535.207</v>
      </c>
    </row>
    <row r="441" ht="15.25" spans="8:21">
      <c r="H441" s="31"/>
      <c r="I441" s="31"/>
      <c r="J441" s="31"/>
      <c r="K441" s="29" t="s">
        <v>61</v>
      </c>
      <c r="L441" s="30">
        <v>50151.74</v>
      </c>
      <c r="M441" s="30">
        <v>41374.68</v>
      </c>
      <c r="N441" s="30">
        <v>37910.25</v>
      </c>
      <c r="O441" s="30">
        <v>33436.69</v>
      </c>
      <c r="P441" s="30">
        <v>26058.26</v>
      </c>
      <c r="Q441" s="30">
        <v>19573.67</v>
      </c>
      <c r="R441" s="20"/>
      <c r="U441" s="25">
        <f t="shared" si="17"/>
        <v>512538.28</v>
      </c>
    </row>
    <row r="442" ht="15.25" spans="8:21">
      <c r="H442" s="31"/>
      <c r="I442" s="31"/>
      <c r="J442" s="31"/>
      <c r="K442" s="29" t="s">
        <v>62</v>
      </c>
      <c r="L442" s="30">
        <v>50151.74</v>
      </c>
      <c r="M442" s="30">
        <v>41374.68</v>
      </c>
      <c r="N442" s="30">
        <v>37910.25</v>
      </c>
      <c r="O442" s="30">
        <v>33436.69</v>
      </c>
      <c r="P442" s="30">
        <v>26058.26</v>
      </c>
      <c r="Q442" s="30">
        <v>19573.67</v>
      </c>
      <c r="R442" s="20"/>
      <c r="U442" s="25">
        <f t="shared" si="17"/>
        <v>512538.28</v>
      </c>
    </row>
    <row r="443" ht="15.25" spans="8:21">
      <c r="H443" s="31"/>
      <c r="I443" s="31"/>
      <c r="J443" s="31"/>
      <c r="K443" s="29" t="s">
        <v>63</v>
      </c>
      <c r="L443" s="30">
        <v>50151.74</v>
      </c>
      <c r="M443" s="30">
        <v>41374.68</v>
      </c>
      <c r="N443" s="30">
        <v>37910.25</v>
      </c>
      <c r="O443" s="30">
        <v>33436.69</v>
      </c>
      <c r="P443" s="30">
        <v>26058.26</v>
      </c>
      <c r="Q443" s="30">
        <v>19573.67</v>
      </c>
      <c r="R443" s="20"/>
      <c r="U443" s="25">
        <f t="shared" si="17"/>
        <v>512538.28</v>
      </c>
    </row>
    <row r="444" ht="15.25" spans="8:21">
      <c r="H444" s="31"/>
      <c r="I444" s="31"/>
      <c r="J444" s="31"/>
      <c r="K444" s="29" t="s">
        <v>64</v>
      </c>
      <c r="L444" s="30">
        <v>50151.74</v>
      </c>
      <c r="M444" s="30">
        <v>41374.68</v>
      </c>
      <c r="N444" s="30">
        <v>37910.25</v>
      </c>
      <c r="O444" s="30">
        <v>33436.69</v>
      </c>
      <c r="P444" s="30">
        <v>26058.26</v>
      </c>
      <c r="Q444" s="30">
        <v>19573.67</v>
      </c>
      <c r="R444" s="20"/>
      <c r="U444" s="25">
        <f t="shared" si="17"/>
        <v>512538.28</v>
      </c>
    </row>
    <row r="445" ht="15.25" spans="8:21">
      <c r="H445" s="31"/>
      <c r="I445" s="31"/>
      <c r="J445" s="31"/>
      <c r="K445" s="29" t="s">
        <v>65</v>
      </c>
      <c r="L445" s="30">
        <v>50151.74</v>
      </c>
      <c r="M445" s="30">
        <v>41374.68</v>
      </c>
      <c r="N445" s="30">
        <v>37910.25</v>
      </c>
      <c r="O445" s="30">
        <v>33436.69</v>
      </c>
      <c r="P445" s="30">
        <v>26058.26</v>
      </c>
      <c r="Q445" s="30">
        <v>19573.67</v>
      </c>
      <c r="R445" s="20"/>
      <c r="U445" s="25">
        <f t="shared" si="17"/>
        <v>512538.28</v>
      </c>
    </row>
    <row r="446" ht="15.25" spans="8:21">
      <c r="H446" s="31"/>
      <c r="I446" s="31"/>
      <c r="J446" s="31"/>
      <c r="K446" s="29" t="s">
        <v>66</v>
      </c>
      <c r="L446" s="30">
        <v>50151.74</v>
      </c>
      <c r="M446" s="30">
        <v>41374.68</v>
      </c>
      <c r="N446" s="30">
        <v>37910.25</v>
      </c>
      <c r="O446" s="30">
        <v>33436.69</v>
      </c>
      <c r="P446" s="30">
        <v>26058.26</v>
      </c>
      <c r="Q446" s="30">
        <v>19573.67</v>
      </c>
      <c r="R446" s="20"/>
      <c r="U446" s="25">
        <f t="shared" si="17"/>
        <v>512538.28</v>
      </c>
    </row>
    <row r="447" ht="15.25" spans="8:21">
      <c r="H447" s="31"/>
      <c r="I447" s="31"/>
      <c r="J447" s="31"/>
      <c r="K447" s="29" t="s">
        <v>67</v>
      </c>
      <c r="L447" s="30">
        <v>50151.74</v>
      </c>
      <c r="M447" s="30">
        <v>41374.68</v>
      </c>
      <c r="N447" s="30">
        <v>37910.25</v>
      </c>
      <c r="O447" s="30">
        <v>33436.69</v>
      </c>
      <c r="P447" s="30">
        <v>26058.26</v>
      </c>
      <c r="Q447" s="30">
        <v>19573.67</v>
      </c>
      <c r="R447" s="20"/>
      <c r="U447" s="25">
        <f t="shared" si="17"/>
        <v>512538.28</v>
      </c>
    </row>
    <row r="453" ht="15.25"/>
    <row r="454" ht="15.25" spans="8:17">
      <c r="H454" s="16" t="s">
        <v>20</v>
      </c>
      <c r="I454" s="16" t="s">
        <v>5</v>
      </c>
      <c r="J454" s="16" t="s">
        <v>32</v>
      </c>
      <c r="K454" s="16" t="s">
        <v>33</v>
      </c>
      <c r="L454" s="16">
        <v>2020</v>
      </c>
      <c r="M454" s="16">
        <v>2021</v>
      </c>
      <c r="N454" s="16">
        <v>2025</v>
      </c>
      <c r="O454" s="16">
        <v>2030</v>
      </c>
      <c r="P454" s="16">
        <v>2035</v>
      </c>
      <c r="Q454" s="16">
        <v>2040</v>
      </c>
    </row>
    <row r="455" ht="15.25" spans="8:18"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ht="15.25" spans="8:21">
      <c r="H456" s="26" t="s">
        <v>68</v>
      </c>
      <c r="I456" s="26" t="s">
        <v>25</v>
      </c>
      <c r="J456" s="26" t="s">
        <v>26</v>
      </c>
      <c r="K456" s="26" t="s">
        <v>69</v>
      </c>
      <c r="L456" s="27">
        <v>15567.82</v>
      </c>
      <c r="M456" s="27">
        <v>13234.97</v>
      </c>
      <c r="N456" s="27">
        <v>12171.068</v>
      </c>
      <c r="O456" s="27">
        <v>8927.065</v>
      </c>
      <c r="P456" s="27">
        <v>6549.1</v>
      </c>
      <c r="Q456" s="27">
        <v>1699.93</v>
      </c>
      <c r="R456" s="20"/>
      <c r="U456" s="25">
        <f t="shared" ref="U456:U464" si="18">M456*1+N456*2+SUM(O456:S456)*5</f>
        <v>123457.581</v>
      </c>
    </row>
    <row r="457" ht="15.25" spans="8:21">
      <c r="H457" s="26"/>
      <c r="I457" s="26"/>
      <c r="J457" s="26"/>
      <c r="K457" s="18" t="s">
        <v>70</v>
      </c>
      <c r="L457" s="19">
        <v>15567.82</v>
      </c>
      <c r="M457" s="19">
        <v>13234.97</v>
      </c>
      <c r="N457" s="19">
        <v>12171.068</v>
      </c>
      <c r="O457" s="19">
        <v>8927.065</v>
      </c>
      <c r="P457" s="19">
        <v>6549.1</v>
      </c>
      <c r="Q457" s="19">
        <v>1699.93</v>
      </c>
      <c r="R457" s="20"/>
      <c r="U457" s="25">
        <f t="shared" si="18"/>
        <v>123457.581</v>
      </c>
    </row>
    <row r="458" ht="15.25" spans="8:21">
      <c r="H458" s="26"/>
      <c r="I458" s="26"/>
      <c r="J458" s="26"/>
      <c r="K458" s="18" t="s">
        <v>71</v>
      </c>
      <c r="L458" s="19">
        <v>15567.82</v>
      </c>
      <c r="M458" s="19">
        <v>13234.97</v>
      </c>
      <c r="N458" s="19">
        <v>12171.068</v>
      </c>
      <c r="O458" s="19">
        <v>8927.065</v>
      </c>
      <c r="P458" s="19">
        <v>6549.1</v>
      </c>
      <c r="Q458" s="19">
        <v>1699.93</v>
      </c>
      <c r="R458" s="20"/>
      <c r="U458" s="25">
        <f t="shared" si="18"/>
        <v>123457.581</v>
      </c>
    </row>
    <row r="459" ht="15.25" spans="8:21">
      <c r="H459" s="26"/>
      <c r="I459" s="26"/>
      <c r="J459" s="26"/>
      <c r="K459" s="18" t="s">
        <v>72</v>
      </c>
      <c r="L459" s="19">
        <v>15567.82</v>
      </c>
      <c r="M459" s="19">
        <v>13234.97</v>
      </c>
      <c r="N459" s="19">
        <v>12171.068</v>
      </c>
      <c r="O459" s="19">
        <v>8927.065</v>
      </c>
      <c r="P459" s="19">
        <v>6549.1</v>
      </c>
      <c r="Q459" s="19">
        <v>1699.93</v>
      </c>
      <c r="R459" s="20"/>
      <c r="U459" s="25">
        <f t="shared" si="18"/>
        <v>123457.581</v>
      </c>
    </row>
    <row r="460" ht="15.25" spans="8:21">
      <c r="H460" s="26"/>
      <c r="I460" s="26"/>
      <c r="J460" s="26"/>
      <c r="K460" s="18" t="s">
        <v>73</v>
      </c>
      <c r="L460" s="19">
        <v>15567.82</v>
      </c>
      <c r="M460" s="19">
        <v>13234.97</v>
      </c>
      <c r="N460" s="19">
        <v>12171.068</v>
      </c>
      <c r="O460" s="19">
        <v>8927.065</v>
      </c>
      <c r="P460" s="19">
        <v>6549.1</v>
      </c>
      <c r="Q460" s="19">
        <v>1699.93</v>
      </c>
      <c r="R460" s="20"/>
      <c r="U460" s="25">
        <f t="shared" si="18"/>
        <v>123457.581</v>
      </c>
    </row>
    <row r="461" ht="15.25" spans="8:21">
      <c r="H461" s="26"/>
      <c r="I461" s="26"/>
      <c r="J461" s="26"/>
      <c r="K461" s="18" t="s">
        <v>74</v>
      </c>
      <c r="L461" s="19">
        <v>15567.82</v>
      </c>
      <c r="M461" s="19">
        <v>13234.97</v>
      </c>
      <c r="N461" s="19">
        <v>12171.068</v>
      </c>
      <c r="O461" s="19">
        <v>8927.065</v>
      </c>
      <c r="P461" s="19">
        <v>6549.1</v>
      </c>
      <c r="Q461" s="19">
        <v>1699.93</v>
      </c>
      <c r="R461" s="20"/>
      <c r="U461" s="25">
        <f t="shared" si="18"/>
        <v>123457.581</v>
      </c>
    </row>
    <row r="462" ht="15.25" spans="8:21">
      <c r="H462" s="26"/>
      <c r="I462" s="26"/>
      <c r="J462" s="26"/>
      <c r="K462" s="18" t="s">
        <v>75</v>
      </c>
      <c r="L462" s="19">
        <v>15567.82</v>
      </c>
      <c r="M462" s="19">
        <v>13234.97</v>
      </c>
      <c r="N462" s="19">
        <v>12171.068</v>
      </c>
      <c r="O462" s="19">
        <v>8927.065</v>
      </c>
      <c r="P462" s="19">
        <v>6549.1</v>
      </c>
      <c r="Q462" s="19">
        <v>1699.93</v>
      </c>
      <c r="R462" s="20"/>
      <c r="U462" s="25">
        <f t="shared" si="18"/>
        <v>123457.581</v>
      </c>
    </row>
    <row r="463" ht="15.25" spans="8:21">
      <c r="H463" s="26"/>
      <c r="I463" s="26"/>
      <c r="J463" s="26"/>
      <c r="K463" s="18" t="s">
        <v>76</v>
      </c>
      <c r="L463" s="19">
        <v>15567.82</v>
      </c>
      <c r="M463" s="19">
        <v>13234.97</v>
      </c>
      <c r="N463" s="19">
        <v>12171.068</v>
      </c>
      <c r="O463" s="19">
        <v>8927.065</v>
      </c>
      <c r="P463" s="19">
        <v>6549.1</v>
      </c>
      <c r="Q463" s="19">
        <v>1699.93</v>
      </c>
      <c r="R463" s="20"/>
      <c r="U463" s="25">
        <f t="shared" si="18"/>
        <v>123457.581</v>
      </c>
    </row>
    <row r="464" ht="15.25" spans="8:21">
      <c r="H464" s="26"/>
      <c r="I464" s="26"/>
      <c r="J464" s="26"/>
      <c r="K464" s="18" t="s">
        <v>77</v>
      </c>
      <c r="L464" s="19">
        <v>15567.82</v>
      </c>
      <c r="M464" s="19">
        <v>13234.97</v>
      </c>
      <c r="N464" s="19">
        <v>12171.068</v>
      </c>
      <c r="O464" s="19">
        <v>8927.065</v>
      </c>
      <c r="P464" s="19">
        <v>6549.1</v>
      </c>
      <c r="Q464" s="19">
        <v>1699.93</v>
      </c>
      <c r="R464" s="20"/>
      <c r="U464" s="25">
        <f t="shared" si="18"/>
        <v>123457.581</v>
      </c>
    </row>
    <row r="471" ht="15.25" spans="8:20"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ht="15.25" spans="8:20">
      <c r="H472" s="2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15.25" spans="8:20">
      <c r="H473" s="20"/>
      <c r="I473" s="16" t="s">
        <v>20</v>
      </c>
      <c r="J473" s="16" t="s">
        <v>5</v>
      </c>
      <c r="K473" s="16" t="s">
        <v>32</v>
      </c>
      <c r="L473" s="16" t="s">
        <v>33</v>
      </c>
      <c r="M473" s="16">
        <v>2020</v>
      </c>
      <c r="N473" s="16">
        <v>2021</v>
      </c>
      <c r="O473" s="16">
        <v>2025</v>
      </c>
      <c r="P473" s="16">
        <v>2030</v>
      </c>
      <c r="Q473" s="16">
        <v>2035</v>
      </c>
      <c r="R473" s="16">
        <v>2040</v>
      </c>
      <c r="S473" s="16">
        <v>2045</v>
      </c>
      <c r="T473" s="20"/>
    </row>
    <row r="474" ht="15.25" spans="8:20">
      <c r="H474" s="20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ht="21.75" spans="8:21">
      <c r="H475" s="20"/>
      <c r="I475" s="29" t="s">
        <v>24</v>
      </c>
      <c r="J475" s="29" t="s">
        <v>25</v>
      </c>
      <c r="K475" s="29" t="s">
        <v>26</v>
      </c>
      <c r="L475" s="29" t="s">
        <v>78</v>
      </c>
      <c r="M475" s="30">
        <v>132241.97</v>
      </c>
      <c r="N475" s="30">
        <v>117533.081</v>
      </c>
      <c r="O475" s="30">
        <v>112767.33</v>
      </c>
      <c r="P475" s="30">
        <v>98214.21</v>
      </c>
      <c r="Q475" s="30">
        <v>86000.82</v>
      </c>
      <c r="R475" s="30">
        <v>53528.1</v>
      </c>
      <c r="S475" s="30">
        <v>21443.57</v>
      </c>
      <c r="T475" s="20"/>
      <c r="U475" s="25">
        <f t="shared" ref="U475:U483" si="19">M475*1+N475*2+SUM(O475:S475)*5</f>
        <v>2227078.282</v>
      </c>
    </row>
    <row r="476" ht="21.75" spans="8:21">
      <c r="H476" s="20"/>
      <c r="I476" s="29"/>
      <c r="J476" s="29"/>
      <c r="K476" s="29"/>
      <c r="L476" s="29" t="s">
        <v>79</v>
      </c>
      <c r="M476" s="30">
        <v>132241.97</v>
      </c>
      <c r="N476" s="30">
        <v>117547.22</v>
      </c>
      <c r="O476" s="30">
        <v>112812.94</v>
      </c>
      <c r="P476" s="30">
        <v>98263.13</v>
      </c>
      <c r="Q476" s="30">
        <v>85957.04</v>
      </c>
      <c r="R476" s="30">
        <v>53528.1</v>
      </c>
      <c r="S476" s="30">
        <v>21432.1</v>
      </c>
      <c r="T476" s="20"/>
      <c r="U476" s="25">
        <f t="shared" si="19"/>
        <v>2227302.96</v>
      </c>
    </row>
    <row r="477" ht="21.75" spans="8:21">
      <c r="H477" s="20"/>
      <c r="I477" s="29"/>
      <c r="J477" s="29"/>
      <c r="K477" s="29"/>
      <c r="L477" s="29" t="s">
        <v>80</v>
      </c>
      <c r="M477" s="30">
        <v>132241.97</v>
      </c>
      <c r="N477" s="30">
        <v>117535.66</v>
      </c>
      <c r="O477" s="30">
        <v>112764.1</v>
      </c>
      <c r="P477" s="30">
        <v>98191.79</v>
      </c>
      <c r="Q477" s="30">
        <v>86000.82</v>
      </c>
      <c r="R477" s="30">
        <v>53528.1</v>
      </c>
      <c r="S477" s="30">
        <v>21440.76</v>
      </c>
      <c r="T477" s="20"/>
      <c r="U477" s="25">
        <f t="shared" si="19"/>
        <v>2226941.14</v>
      </c>
    </row>
    <row r="478" ht="21.75" spans="8:21">
      <c r="H478" s="20"/>
      <c r="I478" s="29"/>
      <c r="J478" s="29"/>
      <c r="K478" s="29"/>
      <c r="L478" s="29" t="s">
        <v>81</v>
      </c>
      <c r="M478" s="30">
        <v>132241.97</v>
      </c>
      <c r="N478" s="30">
        <v>117547.028</v>
      </c>
      <c r="O478" s="30">
        <v>112850.51</v>
      </c>
      <c r="P478" s="30">
        <v>98249.52</v>
      </c>
      <c r="Q478" s="30">
        <v>85939.87</v>
      </c>
      <c r="R478" s="30">
        <v>53528.1</v>
      </c>
      <c r="S478" s="30">
        <v>21432.1</v>
      </c>
      <c r="T478" s="20"/>
      <c r="U478" s="25">
        <f t="shared" si="19"/>
        <v>2227336.526</v>
      </c>
    </row>
    <row r="479" ht="21.75" spans="8:21">
      <c r="H479" s="20"/>
      <c r="I479" s="29"/>
      <c r="J479" s="29"/>
      <c r="K479" s="29"/>
      <c r="L479" s="29" t="s">
        <v>82</v>
      </c>
      <c r="M479" s="30">
        <v>132241.97</v>
      </c>
      <c r="N479" s="30">
        <v>117535.63</v>
      </c>
      <c r="O479" s="30">
        <v>112764.11</v>
      </c>
      <c r="P479" s="30">
        <v>98203.73</v>
      </c>
      <c r="Q479" s="30">
        <v>86000.82</v>
      </c>
      <c r="R479" s="30">
        <v>53528.1</v>
      </c>
      <c r="S479" s="30">
        <v>21419.9</v>
      </c>
      <c r="T479" s="20"/>
      <c r="U479" s="25">
        <f t="shared" si="19"/>
        <v>2226896.53</v>
      </c>
    </row>
    <row r="480" ht="21.75" spans="8:21">
      <c r="H480" s="20"/>
      <c r="I480" s="29"/>
      <c r="J480" s="29"/>
      <c r="K480" s="29"/>
      <c r="L480" s="29" t="s">
        <v>83</v>
      </c>
      <c r="M480" s="30">
        <v>132241.97</v>
      </c>
      <c r="N480" s="30">
        <v>117547.028</v>
      </c>
      <c r="O480" s="30">
        <v>112850.51</v>
      </c>
      <c r="P480" s="30">
        <v>98269.76</v>
      </c>
      <c r="Q480" s="30">
        <v>85939.87</v>
      </c>
      <c r="R480" s="30">
        <v>53528.1</v>
      </c>
      <c r="S480" s="30">
        <v>21432.1</v>
      </c>
      <c r="T480" s="20"/>
      <c r="U480" s="25">
        <f t="shared" si="19"/>
        <v>2227437.726</v>
      </c>
    </row>
    <row r="481" ht="21.75" spans="8:21">
      <c r="H481" s="20"/>
      <c r="I481" s="29"/>
      <c r="J481" s="29"/>
      <c r="K481" s="29"/>
      <c r="L481" s="29" t="s">
        <v>84</v>
      </c>
      <c r="M481" s="30">
        <v>132241.97</v>
      </c>
      <c r="N481" s="30">
        <v>117537.24</v>
      </c>
      <c r="O481" s="30">
        <v>112733.95</v>
      </c>
      <c r="P481" s="30">
        <v>98178.98</v>
      </c>
      <c r="Q481" s="30">
        <v>86000.82</v>
      </c>
      <c r="R481" s="30">
        <v>53528.1</v>
      </c>
      <c r="S481" s="30">
        <v>21419.7</v>
      </c>
      <c r="T481" s="20"/>
      <c r="U481" s="25">
        <f t="shared" si="19"/>
        <v>2226624.2</v>
      </c>
    </row>
    <row r="482" ht="21.75" spans="8:21">
      <c r="H482" s="20"/>
      <c r="I482" s="29"/>
      <c r="J482" s="29"/>
      <c r="K482" s="29"/>
      <c r="L482" s="29" t="s">
        <v>85</v>
      </c>
      <c r="M482" s="30">
        <v>132241.97</v>
      </c>
      <c r="N482" s="30">
        <v>117548.36</v>
      </c>
      <c r="O482" s="30">
        <v>112737.82</v>
      </c>
      <c r="P482" s="30">
        <v>98183.052</v>
      </c>
      <c r="Q482" s="30">
        <v>86000.82</v>
      </c>
      <c r="R482" s="30">
        <v>53528.1</v>
      </c>
      <c r="S482" s="30">
        <v>21431.88</v>
      </c>
      <c r="T482" s="20"/>
      <c r="U482" s="25">
        <f t="shared" si="19"/>
        <v>2226747.05</v>
      </c>
    </row>
    <row r="483" ht="21.75" spans="9:21">
      <c r="I483" s="29"/>
      <c r="J483" s="29"/>
      <c r="K483" s="29"/>
      <c r="L483" s="29" t="s">
        <v>86</v>
      </c>
      <c r="M483" s="30">
        <v>132241.97</v>
      </c>
      <c r="N483" s="30">
        <v>117532.79</v>
      </c>
      <c r="O483" s="30">
        <v>112732.4</v>
      </c>
      <c r="P483" s="30">
        <v>98177.35</v>
      </c>
      <c r="Q483" s="30">
        <v>86000.82</v>
      </c>
      <c r="R483" s="30">
        <v>53528.1</v>
      </c>
      <c r="S483" s="30">
        <v>21462.14</v>
      </c>
      <c r="T483" s="20"/>
      <c r="U483" s="25">
        <f t="shared" si="19"/>
        <v>2226811.6</v>
      </c>
    </row>
    <row r="488" ht="15.25"/>
    <row r="489" ht="15.25" spans="9:18">
      <c r="I489" s="16" t="s">
        <v>20</v>
      </c>
      <c r="J489" s="16" t="s">
        <v>5</v>
      </c>
      <c r="K489" s="16" t="s">
        <v>32</v>
      </c>
      <c r="L489" s="16" t="s">
        <v>33</v>
      </c>
      <c r="M489" s="16">
        <v>2020</v>
      </c>
      <c r="N489" s="16">
        <v>2021</v>
      </c>
      <c r="O489" s="16">
        <v>2025</v>
      </c>
      <c r="P489" s="16">
        <v>2030</v>
      </c>
      <c r="Q489" s="16">
        <v>2035</v>
      </c>
      <c r="R489" s="16">
        <v>2040</v>
      </c>
    </row>
    <row r="490" ht="15.25" spans="9:19"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ht="35.25" spans="9:21">
      <c r="I491" s="18" t="s">
        <v>87</v>
      </c>
      <c r="J491" s="18" t="s">
        <v>25</v>
      </c>
      <c r="K491" s="18" t="s">
        <v>26</v>
      </c>
      <c r="L491" s="18" t="s">
        <v>88</v>
      </c>
      <c r="M491" s="19">
        <v>63906.23</v>
      </c>
      <c r="N491" s="19">
        <v>49661.15</v>
      </c>
      <c r="O491" s="19">
        <v>40376.59</v>
      </c>
      <c r="P491" s="19">
        <v>32503.45</v>
      </c>
      <c r="Q491" s="19">
        <v>28134.076</v>
      </c>
      <c r="R491" s="19">
        <v>22123.39</v>
      </c>
      <c r="S491" s="20"/>
      <c r="U491" s="25">
        <f t="shared" ref="U491:U499" si="20">M491*1+N491*2+SUM(O491:S491)*5</f>
        <v>778916.06</v>
      </c>
    </row>
    <row r="492" ht="35.25" spans="9:21">
      <c r="I492" s="18"/>
      <c r="J492" s="18"/>
      <c r="K492" s="18"/>
      <c r="L492" s="18" t="s">
        <v>89</v>
      </c>
      <c r="M492" s="19">
        <v>63906.23</v>
      </c>
      <c r="N492" s="19">
        <v>49661.25</v>
      </c>
      <c r="O492" s="19">
        <v>40431.76</v>
      </c>
      <c r="P492" s="19">
        <v>32477.92</v>
      </c>
      <c r="Q492" s="19">
        <v>28338.88</v>
      </c>
      <c r="R492" s="19">
        <v>21925.4</v>
      </c>
      <c r="S492" s="20"/>
      <c r="U492" s="25">
        <f t="shared" si="20"/>
        <v>779098.53</v>
      </c>
    </row>
    <row r="493" ht="35.25" spans="9:21">
      <c r="I493" s="18"/>
      <c r="J493" s="18"/>
      <c r="K493" s="18"/>
      <c r="L493" s="18" t="s">
        <v>90</v>
      </c>
      <c r="M493" s="19">
        <v>63906.23</v>
      </c>
      <c r="N493" s="19">
        <v>49659.1</v>
      </c>
      <c r="O493" s="19">
        <v>40228.72</v>
      </c>
      <c r="P493" s="19">
        <v>32503.46</v>
      </c>
      <c r="Q493" s="19">
        <v>28134.067</v>
      </c>
      <c r="R493" s="19">
        <v>22008.19</v>
      </c>
      <c r="S493" s="20"/>
      <c r="U493" s="25">
        <f t="shared" si="20"/>
        <v>777596.615</v>
      </c>
    </row>
    <row r="494" ht="35.25" spans="9:21">
      <c r="I494" s="18"/>
      <c r="J494" s="18"/>
      <c r="K494" s="18"/>
      <c r="L494" s="18" t="s">
        <v>91</v>
      </c>
      <c r="M494" s="19">
        <v>63906.23</v>
      </c>
      <c r="N494" s="19">
        <v>49659.1</v>
      </c>
      <c r="O494" s="19">
        <v>40253.8</v>
      </c>
      <c r="P494" s="19">
        <v>32477.44</v>
      </c>
      <c r="Q494" s="19">
        <v>28333.79</v>
      </c>
      <c r="R494" s="19">
        <v>21924.082</v>
      </c>
      <c r="S494" s="20"/>
      <c r="U494" s="25">
        <f t="shared" si="20"/>
        <v>778169.99</v>
      </c>
    </row>
    <row r="495" ht="35.25" spans="9:21">
      <c r="I495" s="18"/>
      <c r="J495" s="18"/>
      <c r="K495" s="18"/>
      <c r="L495" s="18" t="s">
        <v>92</v>
      </c>
      <c r="M495" s="19">
        <v>63906.23</v>
      </c>
      <c r="N495" s="19">
        <v>49659.1</v>
      </c>
      <c r="O495" s="19">
        <v>40228.5</v>
      </c>
      <c r="P495" s="19">
        <v>32626.65</v>
      </c>
      <c r="Q495" s="19">
        <v>28128.69</v>
      </c>
      <c r="R495" s="19">
        <v>21985.65</v>
      </c>
      <c r="S495" s="20"/>
      <c r="U495" s="25">
        <f t="shared" si="20"/>
        <v>778071.88</v>
      </c>
    </row>
    <row r="496" ht="35.25" spans="9:21">
      <c r="I496" s="18"/>
      <c r="J496" s="18"/>
      <c r="K496" s="18"/>
      <c r="L496" s="18" t="s">
        <v>93</v>
      </c>
      <c r="M496" s="19">
        <v>63906.23</v>
      </c>
      <c r="N496" s="19">
        <v>49659.1</v>
      </c>
      <c r="O496" s="19">
        <v>40228.5</v>
      </c>
      <c r="P496" s="19">
        <v>32668.027</v>
      </c>
      <c r="Q496" s="19">
        <v>28026.76</v>
      </c>
      <c r="R496" s="19">
        <v>21823.017</v>
      </c>
      <c r="S496" s="20"/>
      <c r="U496" s="25">
        <f t="shared" si="20"/>
        <v>776955.95</v>
      </c>
    </row>
    <row r="497" ht="35.25" spans="9:21">
      <c r="I497" s="18"/>
      <c r="J497" s="18"/>
      <c r="K497" s="18"/>
      <c r="L497" s="18" t="s">
        <v>94</v>
      </c>
      <c r="M497" s="19">
        <v>63906.23</v>
      </c>
      <c r="N497" s="19">
        <v>49659.1</v>
      </c>
      <c r="O497" s="19">
        <v>40228.23</v>
      </c>
      <c r="P497" s="19">
        <v>32601.12</v>
      </c>
      <c r="Q497" s="19">
        <v>28201.98</v>
      </c>
      <c r="R497" s="19">
        <v>21985.65</v>
      </c>
      <c r="S497" s="20"/>
      <c r="U497" s="25">
        <f t="shared" si="20"/>
        <v>778309.33</v>
      </c>
    </row>
    <row r="498" ht="35.25" spans="9:21">
      <c r="I498" s="18"/>
      <c r="J498" s="18"/>
      <c r="K498" s="18"/>
      <c r="L498" s="18" t="s">
        <v>95</v>
      </c>
      <c r="M498" s="19">
        <v>63906.23</v>
      </c>
      <c r="N498" s="19">
        <v>49659.1</v>
      </c>
      <c r="O498" s="19">
        <v>40228.23</v>
      </c>
      <c r="P498" s="19">
        <v>32601.12</v>
      </c>
      <c r="Q498" s="19">
        <v>28201.98</v>
      </c>
      <c r="R498" s="19">
        <v>21823.017</v>
      </c>
      <c r="S498" s="20"/>
      <c r="U498" s="25">
        <f t="shared" si="20"/>
        <v>777496.165</v>
      </c>
    </row>
    <row r="499" ht="35.25" spans="9:21">
      <c r="I499" s="18"/>
      <c r="J499" s="18"/>
      <c r="K499" s="18"/>
      <c r="L499" s="18" t="s">
        <v>96</v>
      </c>
      <c r="M499" s="19">
        <v>63906.23</v>
      </c>
      <c r="N499" s="19">
        <v>49659.1</v>
      </c>
      <c r="O499" s="19">
        <v>40228.23</v>
      </c>
      <c r="P499" s="19">
        <v>32601.12</v>
      </c>
      <c r="Q499" s="19">
        <v>28201.98</v>
      </c>
      <c r="R499" s="19">
        <v>22173.26</v>
      </c>
      <c r="S499" s="20"/>
      <c r="U499" s="25">
        <f t="shared" si="20"/>
        <v>779247.38</v>
      </c>
    </row>
    <row r="505" ht="15.25"/>
    <row r="506" ht="15.25" spans="9:18">
      <c r="I506" s="16" t="s">
        <v>20</v>
      </c>
      <c r="J506" s="16" t="s">
        <v>5</v>
      </c>
      <c r="K506" s="16" t="s">
        <v>32</v>
      </c>
      <c r="L506" s="16" t="s">
        <v>33</v>
      </c>
      <c r="M506" s="16">
        <v>2020</v>
      </c>
      <c r="N506" s="16">
        <v>2021</v>
      </c>
      <c r="O506" s="16">
        <v>2025</v>
      </c>
      <c r="P506" s="16">
        <v>2030</v>
      </c>
      <c r="Q506" s="16">
        <v>2035</v>
      </c>
      <c r="R506" s="16">
        <v>2040</v>
      </c>
    </row>
    <row r="507" ht="15.25" spans="9:19"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ht="35.25" spans="9:21">
      <c r="I508" s="18" t="s">
        <v>97</v>
      </c>
      <c r="J508" s="18" t="s">
        <v>25</v>
      </c>
      <c r="K508" s="18" t="s">
        <v>26</v>
      </c>
      <c r="L508" s="18" t="s">
        <v>98</v>
      </c>
      <c r="M508" s="19">
        <v>26899.092</v>
      </c>
      <c r="N508" s="19">
        <v>24377.51</v>
      </c>
      <c r="O508" s="19">
        <v>18842.14</v>
      </c>
      <c r="P508" s="19">
        <v>15651.017</v>
      </c>
      <c r="Q508" s="19">
        <v>12085.68</v>
      </c>
      <c r="R508" s="19">
        <v>6955.78</v>
      </c>
      <c r="S508" s="20"/>
      <c r="U508" s="25">
        <f t="shared" ref="U508:U516" si="21">M508*1+N508*2+SUM(O508:S508)*5</f>
        <v>343327.197</v>
      </c>
    </row>
    <row r="509" ht="35.25" spans="9:21">
      <c r="I509" s="18"/>
      <c r="J509" s="18"/>
      <c r="K509" s="18"/>
      <c r="L509" s="18" t="s">
        <v>99</v>
      </c>
      <c r="M509" s="19">
        <v>26899.092</v>
      </c>
      <c r="N509" s="19">
        <v>24377.51</v>
      </c>
      <c r="O509" s="19">
        <v>18842.35</v>
      </c>
      <c r="P509" s="19">
        <v>15635.19</v>
      </c>
      <c r="Q509" s="19">
        <v>12057.46</v>
      </c>
      <c r="R509" s="19">
        <v>6955.71</v>
      </c>
      <c r="S509" s="20"/>
      <c r="U509" s="25">
        <f t="shared" si="21"/>
        <v>343107.662</v>
      </c>
    </row>
    <row r="510" ht="35.25" spans="9:21">
      <c r="I510" s="18"/>
      <c r="J510" s="18"/>
      <c r="K510" s="18"/>
      <c r="L510" s="18" t="s">
        <v>100</v>
      </c>
      <c r="M510" s="19">
        <v>26899.092</v>
      </c>
      <c r="N510" s="19">
        <v>24377.51</v>
      </c>
      <c r="O510" s="19">
        <v>18845.6</v>
      </c>
      <c r="P510" s="19">
        <v>15651.017</v>
      </c>
      <c r="Q510" s="19">
        <v>12085.68</v>
      </c>
      <c r="R510" s="19">
        <v>6955.78</v>
      </c>
      <c r="S510" s="20"/>
      <c r="U510" s="25">
        <f t="shared" si="21"/>
        <v>343344.497</v>
      </c>
    </row>
    <row r="511" ht="35.25" spans="9:21">
      <c r="I511" s="18"/>
      <c r="J511" s="18"/>
      <c r="K511" s="18"/>
      <c r="L511" s="18" t="s">
        <v>101</v>
      </c>
      <c r="M511" s="19">
        <v>26899.092</v>
      </c>
      <c r="N511" s="19">
        <v>24377.51</v>
      </c>
      <c r="O511" s="19">
        <v>18845.6</v>
      </c>
      <c r="P511" s="19">
        <v>15635.19</v>
      </c>
      <c r="Q511" s="19">
        <v>12057.46</v>
      </c>
      <c r="R511" s="19">
        <v>6955.71</v>
      </c>
      <c r="S511" s="20"/>
      <c r="U511" s="25">
        <f t="shared" si="21"/>
        <v>343123.912</v>
      </c>
    </row>
    <row r="512" ht="35.25" spans="9:21">
      <c r="I512" s="18"/>
      <c r="J512" s="18"/>
      <c r="K512" s="18"/>
      <c r="L512" s="18" t="s">
        <v>102</v>
      </c>
      <c r="M512" s="19">
        <v>26899.092</v>
      </c>
      <c r="N512" s="19">
        <v>24377.51</v>
      </c>
      <c r="O512" s="19">
        <v>18845.6</v>
      </c>
      <c r="P512" s="19">
        <v>15692.032</v>
      </c>
      <c r="Q512" s="19">
        <v>12085.68</v>
      </c>
      <c r="R512" s="19">
        <v>6955.78</v>
      </c>
      <c r="S512" s="20"/>
      <c r="U512" s="25">
        <f t="shared" si="21"/>
        <v>343549.572</v>
      </c>
    </row>
    <row r="513" ht="35.25" spans="9:21">
      <c r="I513" s="18"/>
      <c r="J513" s="18"/>
      <c r="K513" s="18"/>
      <c r="L513" s="18" t="s">
        <v>103</v>
      </c>
      <c r="M513" s="19">
        <v>26899.092</v>
      </c>
      <c r="N513" s="19">
        <v>24377.51</v>
      </c>
      <c r="O513" s="19">
        <v>18845.6</v>
      </c>
      <c r="P513" s="19">
        <v>15692.032</v>
      </c>
      <c r="Q513" s="19">
        <v>12057.77</v>
      </c>
      <c r="R513" s="19">
        <v>6955.77</v>
      </c>
      <c r="S513" s="20"/>
      <c r="U513" s="25">
        <f t="shared" si="21"/>
        <v>343409.972</v>
      </c>
    </row>
    <row r="514" ht="35.25" spans="9:21">
      <c r="I514" s="18"/>
      <c r="J514" s="18"/>
      <c r="K514" s="18"/>
      <c r="L514" s="18" t="s">
        <v>104</v>
      </c>
      <c r="M514" s="19">
        <v>26899.092</v>
      </c>
      <c r="N514" s="19">
        <v>24377.51</v>
      </c>
      <c r="O514" s="19">
        <v>18845.6</v>
      </c>
      <c r="P514" s="19">
        <v>15692.032</v>
      </c>
      <c r="Q514" s="19">
        <v>12132.33</v>
      </c>
      <c r="R514" s="19">
        <v>6955.78</v>
      </c>
      <c r="S514" s="20"/>
      <c r="U514" s="25">
        <f t="shared" si="21"/>
        <v>343782.822</v>
      </c>
    </row>
    <row r="515" ht="35.25" spans="9:21">
      <c r="I515" s="18"/>
      <c r="J515" s="18"/>
      <c r="K515" s="18"/>
      <c r="L515" s="26" t="s">
        <v>105</v>
      </c>
      <c r="M515" s="27">
        <v>26899.092</v>
      </c>
      <c r="N515" s="27">
        <v>24377.51</v>
      </c>
      <c r="O515" s="27">
        <v>18845.6</v>
      </c>
      <c r="P515" s="27">
        <v>15692.032</v>
      </c>
      <c r="Q515" s="27">
        <v>12132.33</v>
      </c>
      <c r="R515" s="27">
        <v>6955.78</v>
      </c>
      <c r="S515" s="20"/>
      <c r="U515" s="25">
        <f t="shared" si="21"/>
        <v>343782.822</v>
      </c>
    </row>
    <row r="516" ht="35.25" spans="9:21">
      <c r="I516" s="18"/>
      <c r="J516" s="18"/>
      <c r="K516" s="18"/>
      <c r="L516" s="18" t="s">
        <v>106</v>
      </c>
      <c r="M516" s="19">
        <v>26899.092</v>
      </c>
      <c r="N516" s="19">
        <v>24377.51</v>
      </c>
      <c r="O516" s="19">
        <v>18845.6</v>
      </c>
      <c r="P516" s="19">
        <v>15692.032</v>
      </c>
      <c r="Q516" s="19">
        <v>12132.33</v>
      </c>
      <c r="R516" s="19">
        <v>6955.78</v>
      </c>
      <c r="S516" s="20"/>
      <c r="U516" s="25">
        <f t="shared" si="21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2025-11-14T19:18:14Z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1033-12.2.0.23155</vt:lpwstr>
  </property>
</Properties>
</file>