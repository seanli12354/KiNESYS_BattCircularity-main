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710" activeTab="1"/>
  </bookViews>
  <sheets>
    <sheet name="Bi - markets" sheetId="5" r:id="rId1"/>
    <sheet name="Bi - markets_RecyMat_XiaoAdd" sheetId="6" r:id="rId2"/>
  </sheets>
  <definedNames>
    <definedName name="TradeLink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<sst xmlns="http://schemas.openxmlformats.org/spreadsheetml/2006/main" count="114" uniqueCount="52">
  <si>
    <t>m_lithium</t>
  </si>
  <si>
    <t>m_nickel</t>
  </si>
  <si>
    <t>m_cobalt</t>
  </si>
  <si>
    <t>~Tradelinks</t>
  </si>
  <si>
    <t>m_manganese</t>
  </si>
  <si>
    <t>Africa_North</t>
  </si>
  <si>
    <t>m_aluminum</t>
  </si>
  <si>
    <t>m_copper</t>
  </si>
  <si>
    <t>m_graphite</t>
  </si>
  <si>
    <t>Region</t>
  </si>
  <si>
    <t>\I:Africa_North</t>
  </si>
  <si>
    <t>Africa_Other</t>
  </si>
  <si>
    <t>Australia</t>
  </si>
  <si>
    <t>Austria</t>
  </si>
  <si>
    <t>Baltics</t>
  </si>
  <si>
    <t>BeNeLux</t>
  </si>
  <si>
    <t>Brazil</t>
  </si>
  <si>
    <t>China</t>
  </si>
  <si>
    <t>CroSloven</t>
  </si>
  <si>
    <t>CzechSlovak</t>
  </si>
  <si>
    <t>France</t>
  </si>
  <si>
    <t>Germany</t>
  </si>
  <si>
    <t>GreeceCyp</t>
  </si>
  <si>
    <t>HunRomBul</t>
  </si>
  <si>
    <t>Iceland</t>
  </si>
  <si>
    <t>India</t>
  </si>
  <si>
    <t>Ireland</t>
  </si>
  <si>
    <t>ItalyMal</t>
  </si>
  <si>
    <t>Japan</t>
  </si>
  <si>
    <t>LatAm</t>
  </si>
  <si>
    <t>MidEast</t>
  </si>
  <si>
    <t>NorthAm</t>
  </si>
  <si>
    <t>Norway</t>
  </si>
  <si>
    <t>Poland</t>
  </si>
  <si>
    <t>ROW</t>
  </si>
  <si>
    <t>Russia</t>
  </si>
  <si>
    <t>SaudiArabia</t>
  </si>
  <si>
    <t>SouthAfrica</t>
  </si>
  <si>
    <t>SpainPor</t>
  </si>
  <si>
    <t>SweFinDen</t>
  </si>
  <si>
    <t>Switzerland</t>
  </si>
  <si>
    <t>Turkey</t>
  </si>
  <si>
    <t>UK</t>
  </si>
  <si>
    <t>Ukraine</t>
  </si>
  <si>
    <t>WestBalkans</t>
  </si>
  <si>
    <t>m_fromrecy_lithium</t>
  </si>
  <si>
    <t>m_fromrecy_nickel</t>
  </si>
  <si>
    <t>m_fromrecy_cobalt</t>
  </si>
  <si>
    <t>m_fromrecy_manganese</t>
  </si>
  <si>
    <t>m_fromrecy_aluminum</t>
  </si>
  <si>
    <t>m_fromrecy_copper</t>
  </si>
  <si>
    <t>m_fromrecy_graphite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</si>
</sst>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0">
    <font>
      <sz val="11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/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35"/>
    <xf numFmtId="0" fontId="1" fillId="3" borderId="0" xfId="23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zoomScale="48" zoomScaleNormal="48" workbookViewId="0">
      <selection activeCell="U46" sqref="U46"/>
    </sheetView>
  </sheetViews>
  <sheetFormatPr defaultColWidth="9" defaultRowHeight="14.5"/>
  <cols>
    <col min="4" max="4" width="14.6363636363636" customWidth="1"/>
    <col min="5" max="5" width="17.7272727272727" customWidth="1"/>
    <col min="7" max="7" width="14.6363636363636" customWidth="1"/>
    <col min="8" max="8" width="17.7272727272727" customWidth="1"/>
  </cols>
  <sheetData>
    <row r="1" spans="1:23">
      <c r="A1">
        <v>1</v>
      </c>
      <c r="B1" t="s">
        <v>0</v>
      </c>
      <c r="D1">
        <v>1</v>
      </c>
      <c r="G1">
        <f>D1+1</f>
        <v>2</v>
      </c>
      <c r="J1">
        <f>G1+1</f>
        <v>3</v>
      </c>
      <c r="M1">
        <f>J1+1</f>
        <v>4</v>
      </c>
      <c r="P1">
        <f>M1+1</f>
        <v>5</v>
      </c>
      <c r="S1">
        <f>P1+1</f>
        <v>6</v>
      </c>
      <c r="V1">
        <f>S1+1</f>
        <v>7</v>
      </c>
    </row>
    <row r="2" spans="1:23">
      <c r="A2">
        <v>2</v>
      </c>
      <c r="B2" t="s">
        <v>1</v>
      </c>
    </row>
    <row r="3" spans="1:23">
      <c r="A3">
        <v>3</v>
      </c>
      <c r="B3" t="s">
        <v>2</v>
      </c>
      <c r="D3" t="s">
        <v>3</v>
      </c>
      <c r="G3" t="s">
        <v>3</v>
      </c>
      <c r="J3" t="s">
        <v>3</v>
      </c>
      <c r="M3" t="s">
        <v>3</v>
      </c>
      <c r="P3" t="s">
        <v>3</v>
      </c>
      <c r="S3" t="s">
        <v>3</v>
      </c>
      <c r="V3" t="s">
        <v>3</v>
      </c>
    </row>
    <row r="4" spans="1:23">
      <c r="A4">
        <v>4</v>
      </c>
      <c r="B4" t="s">
        <v>4</v>
      </c>
      <c r="D4" t="str">
        <f>VLOOKUP(D1,$A$1:$B$27,2,FALSE)</f>
        <v>m_lithium</v>
      </c>
      <c r="E4" s="1" t="s">
        <v>5</v>
      </c>
      <c r="G4" t="str">
        <f>VLOOKUP(G1,$A$1:$B$27,2,FALSE)</f>
        <v>m_nickel</v>
      </c>
      <c r="H4" s="1" t="s">
        <v>5</v>
      </c>
      <c r="J4" t="str">
        <f>VLOOKUP(J1,$A$1:$B$27,2,FALSE)</f>
        <v>m_cobalt</v>
      </c>
      <c r="K4" s="1" t="s">
        <v>5</v>
      </c>
      <c r="M4" t="str">
        <f>VLOOKUP(M1,$A$1:$B$27,2,FALSE)</f>
        <v>m_manganese</v>
      </c>
      <c r="N4" s="1" t="s">
        <v>5</v>
      </c>
      <c r="P4" t="str">
        <f>VLOOKUP(P1,$A$1:$B$27,2,FALSE)</f>
        <v>m_aluminum</v>
      </c>
      <c r="Q4" s="1" t="s">
        <v>5</v>
      </c>
      <c r="S4" t="str">
        <f>VLOOKUP(S1,$A$1:$B$27,2,FALSE)</f>
        <v>m_copper</v>
      </c>
      <c r="T4" s="1" t="s">
        <v>5</v>
      </c>
      <c r="V4" t="str">
        <f>VLOOKUP(V1,$A$1:$B$27,2,FALSE)</f>
        <v>m_graphite</v>
      </c>
      <c r="W4" s="1" t="s">
        <v>5</v>
      </c>
    </row>
    <row r="5" spans="1:23">
      <c r="A5">
        <v>5</v>
      </c>
      <c r="B5" t="s">
        <v>6</v>
      </c>
      <c r="D5" s="1" t="str">
        <f>IF(A37="","\I:",A37)</f>
        <v>\I:Africa_North</v>
      </c>
      <c r="E5" t="str">
        <f>"GlbMarket_"&amp;VLOOKUP(D1,$A$1:$B$29,2,FALSE)</f>
        <v>GlbMarket_m_lithium</v>
      </c>
      <c r="G5" t="str">
        <f>IF($D5="","\I:",$D5)</f>
        <v>\I:Africa_North</v>
      </c>
      <c r="H5" t="str">
        <f>"GlbMarket_"&amp;VLOOKUP(G1,$A$1:$B$29,2,FALSE)</f>
        <v>GlbMarket_m_nickel</v>
      </c>
      <c r="J5" t="str">
        <f>$D5</f>
        <v>\I:Africa_North</v>
      </c>
      <c r="K5" t="str">
        <f>"GlbMarket_"&amp;VLOOKUP(J1,$A$1:$B$29,2,FALSE)</f>
        <v>GlbMarket_m_cobalt</v>
      </c>
      <c r="M5" t="str">
        <f>$D5</f>
        <v>\I:Africa_North</v>
      </c>
      <c r="N5" t="str">
        <f>"GlbMarket_"&amp;VLOOKUP(M1,$A$1:$B$29,2,FALSE)</f>
        <v>GlbMarket_m_manganese</v>
      </c>
      <c r="P5" t="str">
        <f>$D5</f>
        <v>\I:Africa_North</v>
      </c>
      <c r="Q5" t="str">
        <f>"GlbMarket_"&amp;VLOOKUP(P1,$A$1:$B$29,2,FALSE)</f>
        <v>GlbMarket_m_aluminum</v>
      </c>
      <c r="S5" t="str">
        <f>$D5</f>
        <v>\I:Africa_North</v>
      </c>
      <c r="T5" t="str">
        <f>"GlbMarket_"&amp;VLOOKUP(S1,$A$1:$B$29,2,FALSE)</f>
        <v>GlbMarket_m_copper</v>
      </c>
      <c r="V5" t="str">
        <f>$D5</f>
        <v>\I:Africa_North</v>
      </c>
      <c r="W5" t="str">
        <f>"GlbMarket_"&amp;VLOOKUP(V1,$A$1:$B$29,2,FALSE)</f>
        <v>GlbMarket_m_graphite</v>
      </c>
    </row>
    <row r="6" spans="1:23">
      <c r="A6">
        <v>6</v>
      </c>
      <c r="B6" t="s">
        <v>7</v>
      </c>
      <c r="D6" s="1" t="str">
        <f t="shared" ref="D6:D34" si="0">IF(A38="","\I:",A38)</f>
        <v>Africa_Other</v>
      </c>
      <c r="E6" t="str">
        <f>"GlbMarket_"&amp;VLOOKUP(D1,$A$1:$B$29,2,FALSE)</f>
        <v>GlbMarket_m_lithium</v>
      </c>
      <c r="G6" t="str">
        <f t="shared" ref="G6:G34" si="1">$D6</f>
        <v>Africa_Other</v>
      </c>
      <c r="H6" t="str">
        <f>"GlbMarket_"&amp;VLOOKUP(G1,$A$1:$B$29,2,FALSE)</f>
        <v>GlbMarket_m_nickel</v>
      </c>
      <c r="J6" t="str">
        <f t="shared" ref="J6:J34" si="2">$D6</f>
        <v>Africa_Other</v>
      </c>
      <c r="K6" t="str">
        <f>"GlbMarket_"&amp;VLOOKUP(J1,$A$1:$B$29,2,FALSE)</f>
        <v>GlbMarket_m_cobalt</v>
      </c>
      <c r="M6" t="str">
        <f t="shared" ref="M6:M34" si="3">$D6</f>
        <v>Africa_Other</v>
      </c>
      <c r="N6" t="str">
        <f>"GlbMarket_"&amp;VLOOKUP(M1,$A$1:$B$29,2,FALSE)</f>
        <v>GlbMarket_m_manganese</v>
      </c>
      <c r="P6" t="str">
        <f t="shared" ref="P6:P34" si="4">$D6</f>
        <v>Africa_Other</v>
      </c>
      <c r="Q6" t="str">
        <f>"GlbMarket_"&amp;VLOOKUP(P1,$A$1:$B$29,2,FALSE)</f>
        <v>GlbMarket_m_aluminum</v>
      </c>
      <c r="S6" t="str">
        <f t="shared" ref="S6:S34" si="5">$D6</f>
        <v>Africa_Other</v>
      </c>
      <c r="T6" t="str">
        <f>"GlbMarket_"&amp;VLOOKUP(S1,$A$1:$B$29,2,FALSE)</f>
        <v>GlbMarket_m_copper</v>
      </c>
      <c r="V6" t="str">
        <f t="shared" ref="V6:V34" si="6">$D6</f>
        <v>Africa_Other</v>
      </c>
      <c r="W6" t="str">
        <f>"GlbMarket_"&amp;VLOOKUP(V1,$A$1:$B$29,2,FALSE)</f>
        <v>GlbMarket_m_graphite</v>
      </c>
    </row>
    <row r="7" spans="1:23">
      <c r="A7">
        <v>7</v>
      </c>
      <c r="B7" t="s">
        <v>8</v>
      </c>
      <c r="D7" s="1" t="str">
        <f t="shared" si="0"/>
        <v>Australia</v>
      </c>
      <c r="E7" t="str">
        <f>"GlbMarket_"&amp;VLOOKUP(D1,$A$1:$B$29,2,FALSE)</f>
        <v>GlbMarket_m_lithium</v>
      </c>
      <c r="G7" t="str">
        <f t="shared" si="1"/>
        <v>Australia</v>
      </c>
      <c r="H7" t="str">
        <f>"GlbMarket_"&amp;VLOOKUP(G1,$A$1:$B$29,2,FALSE)</f>
        <v>GlbMarket_m_nickel</v>
      </c>
      <c r="J7" t="str">
        <f t="shared" si="2"/>
        <v>Australia</v>
      </c>
      <c r="K7" t="str">
        <f>"GlbMarket_"&amp;VLOOKUP(J1,$A$1:$B$29,2,FALSE)</f>
        <v>GlbMarket_m_cobalt</v>
      </c>
      <c r="M7" t="str">
        <f t="shared" si="3"/>
        <v>Australia</v>
      </c>
      <c r="N7" t="str">
        <f>"GlbMarket_"&amp;VLOOKUP(M1,$A$1:$B$29,2,FALSE)</f>
        <v>GlbMarket_m_manganese</v>
      </c>
      <c r="P7" t="str">
        <f t="shared" si="4"/>
        <v>Australia</v>
      </c>
      <c r="Q7" t="str">
        <f>"GlbMarket_"&amp;VLOOKUP(P1,$A$1:$B$29,2,FALSE)</f>
        <v>GlbMarket_m_aluminum</v>
      </c>
      <c r="S7" t="str">
        <f t="shared" si="5"/>
        <v>Australia</v>
      </c>
      <c r="T7" t="str">
        <f>"GlbMarket_"&amp;VLOOKUP(S1,$A$1:$B$29,2,FALSE)</f>
        <v>GlbMarket_m_copper</v>
      </c>
      <c r="V7" t="str">
        <f t="shared" si="6"/>
        <v>Australia</v>
      </c>
      <c r="W7" t="str">
        <f>"GlbMarket_"&amp;VLOOKUP(V1,$A$1:$B$29,2,FALSE)</f>
        <v>GlbMarket_m_graphite</v>
      </c>
    </row>
    <row r="8" spans="1:23">
      <c r="A8">
        <v>8</v>
      </c>
      <c r="D8" s="1" t="str">
        <f t="shared" si="0"/>
        <v>Austria</v>
      </c>
      <c r="E8" t="str">
        <f>"GlbMarket_"&amp;VLOOKUP(D1,$A$1:$B$29,2,FALSE)</f>
        <v>GlbMarket_m_lithium</v>
      </c>
      <c r="G8" t="str">
        <f t="shared" si="1"/>
        <v>Austria</v>
      </c>
      <c r="H8" t="str">
        <f>"GlbMarket_"&amp;VLOOKUP(G1,$A$1:$B$29,2,FALSE)</f>
        <v>GlbMarket_m_nickel</v>
      </c>
      <c r="J8" t="str">
        <f t="shared" si="2"/>
        <v>Austria</v>
      </c>
      <c r="K8" t="str">
        <f>"GlbMarket_"&amp;VLOOKUP(J1,$A$1:$B$29,2,FALSE)</f>
        <v>GlbMarket_m_cobalt</v>
      </c>
      <c r="M8" t="str">
        <f t="shared" si="3"/>
        <v>Austria</v>
      </c>
      <c r="N8" t="str">
        <f>"GlbMarket_"&amp;VLOOKUP(M1,$A$1:$B$29,2,FALSE)</f>
        <v>GlbMarket_m_manganese</v>
      </c>
      <c r="P8" t="str">
        <f t="shared" si="4"/>
        <v>Austria</v>
      </c>
      <c r="Q8" t="str">
        <f>"GlbMarket_"&amp;VLOOKUP(P1,$A$1:$B$29,2,FALSE)</f>
        <v>GlbMarket_m_aluminum</v>
      </c>
      <c r="S8" t="str">
        <f t="shared" si="5"/>
        <v>Austria</v>
      </c>
      <c r="T8" t="str">
        <f>"GlbMarket_"&amp;VLOOKUP(S1,$A$1:$B$29,2,FALSE)</f>
        <v>GlbMarket_m_copper</v>
      </c>
      <c r="V8" t="str">
        <f t="shared" si="6"/>
        <v>Austria</v>
      </c>
      <c r="W8" t="str">
        <f>"GlbMarket_"&amp;VLOOKUP(V1,$A$1:$B$29,2,FALSE)</f>
        <v>GlbMarket_m_graphite</v>
      </c>
    </row>
    <row r="9" spans="1:23">
      <c r="A9">
        <v>9</v>
      </c>
      <c r="D9" s="1" t="str">
        <f t="shared" si="0"/>
        <v>Baltics</v>
      </c>
      <c r="E9" t="str">
        <f>"GlbMarket_"&amp;VLOOKUP(D1,$A$1:$B$29,2,FALSE)</f>
        <v>GlbMarket_m_lithium</v>
      </c>
      <c r="G9" t="str">
        <f t="shared" si="1"/>
        <v>Baltics</v>
      </c>
      <c r="H9" t="str">
        <f>"GlbMarket_"&amp;VLOOKUP(G1,$A$1:$B$29,2,FALSE)</f>
        <v>GlbMarket_m_nickel</v>
      </c>
      <c r="J9" t="str">
        <f t="shared" si="2"/>
        <v>Baltics</v>
      </c>
      <c r="K9" t="str">
        <f>"GlbMarket_"&amp;VLOOKUP(J1,$A$1:$B$29,2,FALSE)</f>
        <v>GlbMarket_m_cobalt</v>
      </c>
      <c r="M9" t="str">
        <f t="shared" si="3"/>
        <v>Baltics</v>
      </c>
      <c r="N9" t="str">
        <f>"GlbMarket_"&amp;VLOOKUP(M1,$A$1:$B$29,2,FALSE)</f>
        <v>GlbMarket_m_manganese</v>
      </c>
      <c r="P9" t="str">
        <f t="shared" si="4"/>
        <v>Baltics</v>
      </c>
      <c r="Q9" t="str">
        <f>"GlbMarket_"&amp;VLOOKUP(P1,$A$1:$B$29,2,FALSE)</f>
        <v>GlbMarket_m_aluminum</v>
      </c>
      <c r="S9" t="str">
        <f t="shared" si="5"/>
        <v>Baltics</v>
      </c>
      <c r="T9" t="str">
        <f>"GlbMarket_"&amp;VLOOKUP(S1,$A$1:$B$29,2,FALSE)</f>
        <v>GlbMarket_m_copper</v>
      </c>
      <c r="V9" t="str">
        <f t="shared" si="6"/>
        <v>Baltics</v>
      </c>
      <c r="W9" t="str">
        <f>"GlbMarket_"&amp;VLOOKUP(V1,$A$1:$B$29,2,FALSE)</f>
        <v>GlbMarket_m_graphite</v>
      </c>
    </row>
    <row r="10" spans="1:23">
      <c r="A10">
        <v>10</v>
      </c>
      <c r="D10" s="1" t="str">
        <f t="shared" si="0"/>
        <v>BeNeLux</v>
      </c>
      <c r="E10" t="str">
        <f>"GlbMarket_"&amp;VLOOKUP(D1,$A$1:$B$29,2,FALSE)</f>
        <v>GlbMarket_m_lithium</v>
      </c>
      <c r="G10" t="str">
        <f t="shared" si="1"/>
        <v>BeNeLux</v>
      </c>
      <c r="H10" t="str">
        <f>"GlbMarket_"&amp;VLOOKUP(G1,$A$1:$B$29,2,FALSE)</f>
        <v>GlbMarket_m_nickel</v>
      </c>
      <c r="J10" t="str">
        <f t="shared" si="2"/>
        <v>BeNeLux</v>
      </c>
      <c r="K10" t="str">
        <f>"GlbMarket_"&amp;VLOOKUP(J1,$A$1:$B$29,2,FALSE)</f>
        <v>GlbMarket_m_cobalt</v>
      </c>
      <c r="M10" t="str">
        <f t="shared" si="3"/>
        <v>BeNeLux</v>
      </c>
      <c r="N10" t="str">
        <f>"GlbMarket_"&amp;VLOOKUP(M1,$A$1:$B$29,2,FALSE)</f>
        <v>GlbMarket_m_manganese</v>
      </c>
      <c r="P10" t="str">
        <f t="shared" si="4"/>
        <v>BeNeLux</v>
      </c>
      <c r="Q10" t="str">
        <f>"GlbMarket_"&amp;VLOOKUP(P1,$A$1:$B$29,2,FALSE)</f>
        <v>GlbMarket_m_aluminum</v>
      </c>
      <c r="S10" t="str">
        <f t="shared" si="5"/>
        <v>BeNeLux</v>
      </c>
      <c r="T10" t="str">
        <f>"GlbMarket_"&amp;VLOOKUP(S1,$A$1:$B$29,2,FALSE)</f>
        <v>GlbMarket_m_copper</v>
      </c>
      <c r="V10" t="str">
        <f t="shared" si="6"/>
        <v>BeNeLux</v>
      </c>
      <c r="W10" t="str">
        <f>"GlbMarket_"&amp;VLOOKUP(V1,$A$1:$B$29,2,FALSE)</f>
        <v>GlbMarket_m_graphite</v>
      </c>
    </row>
    <row r="11" spans="1:23">
      <c r="A11">
        <v>11</v>
      </c>
      <c r="D11" s="1" t="str">
        <f t="shared" si="0"/>
        <v>Brazil</v>
      </c>
      <c r="E11" t="str">
        <f>"GlbMarket_"&amp;VLOOKUP(D1,$A$1:$B$29,2,FALSE)</f>
        <v>GlbMarket_m_lithium</v>
      </c>
      <c r="G11" t="str">
        <f t="shared" si="1"/>
        <v>Brazil</v>
      </c>
      <c r="H11" t="str">
        <f>"GlbMarket_"&amp;VLOOKUP(G1,$A$1:$B$29,2,FALSE)</f>
        <v>GlbMarket_m_nickel</v>
      </c>
      <c r="J11" t="str">
        <f t="shared" si="2"/>
        <v>Brazil</v>
      </c>
      <c r="K11" t="str">
        <f>"GlbMarket_"&amp;VLOOKUP(J1,$A$1:$B$29,2,FALSE)</f>
        <v>GlbMarket_m_cobalt</v>
      </c>
      <c r="M11" t="str">
        <f t="shared" si="3"/>
        <v>Brazil</v>
      </c>
      <c r="N11" t="str">
        <f>"GlbMarket_"&amp;VLOOKUP(M1,$A$1:$B$29,2,FALSE)</f>
        <v>GlbMarket_m_manganese</v>
      </c>
      <c r="P11" t="str">
        <f t="shared" si="4"/>
        <v>Brazil</v>
      </c>
      <c r="Q11" t="str">
        <f>"GlbMarket_"&amp;VLOOKUP(P1,$A$1:$B$29,2,FALSE)</f>
        <v>GlbMarket_m_aluminum</v>
      </c>
      <c r="S11" t="str">
        <f t="shared" si="5"/>
        <v>Brazil</v>
      </c>
      <c r="T11" t="str">
        <f>"GlbMarket_"&amp;VLOOKUP(S1,$A$1:$B$29,2,FALSE)</f>
        <v>GlbMarket_m_copper</v>
      </c>
      <c r="V11" t="str">
        <f t="shared" si="6"/>
        <v>Brazil</v>
      </c>
      <c r="W11" t="str">
        <f>"GlbMarket_"&amp;VLOOKUP(V1,$A$1:$B$29,2,FALSE)</f>
        <v>GlbMarket_m_graphite</v>
      </c>
    </row>
    <row r="12" spans="1:23">
      <c r="A12">
        <v>12</v>
      </c>
      <c r="D12" s="1" t="str">
        <f t="shared" si="0"/>
        <v>China</v>
      </c>
      <c r="E12" t="str">
        <f>"GlbMarket_"&amp;VLOOKUP(D1,$A$1:$B$29,2,FALSE)</f>
        <v>GlbMarket_m_lithium</v>
      </c>
      <c r="G12" t="str">
        <f t="shared" si="1"/>
        <v>China</v>
      </c>
      <c r="H12" t="str">
        <f>"GlbMarket_"&amp;VLOOKUP(G1,$A$1:$B$29,2,FALSE)</f>
        <v>GlbMarket_m_nickel</v>
      </c>
      <c r="J12" t="str">
        <f t="shared" si="2"/>
        <v>China</v>
      </c>
      <c r="K12" t="str">
        <f>"GlbMarket_"&amp;VLOOKUP(J1,$A$1:$B$29,2,FALSE)</f>
        <v>GlbMarket_m_cobalt</v>
      </c>
      <c r="M12" t="str">
        <f t="shared" si="3"/>
        <v>China</v>
      </c>
      <c r="N12" t="str">
        <f>"GlbMarket_"&amp;VLOOKUP(M1,$A$1:$B$29,2,FALSE)</f>
        <v>GlbMarket_m_manganese</v>
      </c>
      <c r="P12" t="str">
        <f t="shared" si="4"/>
        <v>China</v>
      </c>
      <c r="Q12" t="str">
        <f>"GlbMarket_"&amp;VLOOKUP(P1,$A$1:$B$29,2,FALSE)</f>
        <v>GlbMarket_m_aluminum</v>
      </c>
      <c r="S12" t="str">
        <f t="shared" si="5"/>
        <v>China</v>
      </c>
      <c r="T12" t="str">
        <f>"GlbMarket_"&amp;VLOOKUP(S1,$A$1:$B$29,2,FALSE)</f>
        <v>GlbMarket_m_copper</v>
      </c>
      <c r="V12" t="str">
        <f t="shared" si="6"/>
        <v>China</v>
      </c>
      <c r="W12" t="str">
        <f>"GlbMarket_"&amp;VLOOKUP(V1,$A$1:$B$29,2,FALSE)</f>
        <v>GlbMarket_m_graphite</v>
      </c>
    </row>
    <row r="13" spans="1:23">
      <c r="A13">
        <v>13</v>
      </c>
      <c r="D13" s="1" t="str">
        <f t="shared" si="0"/>
        <v>CroSloven</v>
      </c>
      <c r="E13" t="str">
        <f>"GlbMarket_"&amp;VLOOKUP(D1,$A$1:$B$29,2,FALSE)</f>
        <v>GlbMarket_m_lithium</v>
      </c>
      <c r="G13" t="str">
        <f t="shared" si="1"/>
        <v>CroSloven</v>
      </c>
      <c r="H13" t="str">
        <f>"GlbMarket_"&amp;VLOOKUP(G1,$A$1:$B$29,2,FALSE)</f>
        <v>GlbMarket_m_nickel</v>
      </c>
      <c r="J13" t="str">
        <f t="shared" si="2"/>
        <v>CroSloven</v>
      </c>
      <c r="K13" t="str">
        <f>"GlbMarket_"&amp;VLOOKUP(J1,$A$1:$B$29,2,FALSE)</f>
        <v>GlbMarket_m_cobalt</v>
      </c>
      <c r="M13" t="str">
        <f t="shared" si="3"/>
        <v>CroSloven</v>
      </c>
      <c r="N13" t="str">
        <f>"GlbMarket_"&amp;VLOOKUP(M1,$A$1:$B$29,2,FALSE)</f>
        <v>GlbMarket_m_manganese</v>
      </c>
      <c r="P13" t="str">
        <f t="shared" si="4"/>
        <v>CroSloven</v>
      </c>
      <c r="Q13" t="str">
        <f>"GlbMarket_"&amp;VLOOKUP(P1,$A$1:$B$29,2,FALSE)</f>
        <v>GlbMarket_m_aluminum</v>
      </c>
      <c r="S13" t="str">
        <f t="shared" si="5"/>
        <v>CroSloven</v>
      </c>
      <c r="T13" t="str">
        <f>"GlbMarket_"&amp;VLOOKUP(S1,$A$1:$B$29,2,FALSE)</f>
        <v>GlbMarket_m_copper</v>
      </c>
      <c r="V13" t="str">
        <f t="shared" si="6"/>
        <v>CroSloven</v>
      </c>
      <c r="W13" t="str">
        <f>"GlbMarket_"&amp;VLOOKUP(V1,$A$1:$B$29,2,FALSE)</f>
        <v>GlbMarket_m_graphite</v>
      </c>
    </row>
    <row r="14" spans="1:23">
      <c r="A14">
        <v>14</v>
      </c>
      <c r="D14" s="1" t="str">
        <f t="shared" si="0"/>
        <v>CzechSlovak</v>
      </c>
      <c r="E14" t="str">
        <f>"GlbMarket_"&amp;VLOOKUP(D1,$A$1:$B$29,2,FALSE)</f>
        <v>GlbMarket_m_lithium</v>
      </c>
      <c r="G14" t="str">
        <f t="shared" si="1"/>
        <v>CzechSlovak</v>
      </c>
      <c r="H14" t="str">
        <f>"GlbMarket_"&amp;VLOOKUP(G1,$A$1:$B$29,2,FALSE)</f>
        <v>GlbMarket_m_nickel</v>
      </c>
      <c r="J14" t="str">
        <f t="shared" si="2"/>
        <v>CzechSlovak</v>
      </c>
      <c r="K14" t="str">
        <f>"GlbMarket_"&amp;VLOOKUP(J1,$A$1:$B$29,2,FALSE)</f>
        <v>GlbMarket_m_cobalt</v>
      </c>
      <c r="M14" t="str">
        <f t="shared" si="3"/>
        <v>CzechSlovak</v>
      </c>
      <c r="N14" t="str">
        <f>"GlbMarket_"&amp;VLOOKUP(M1,$A$1:$B$29,2,FALSE)</f>
        <v>GlbMarket_m_manganese</v>
      </c>
      <c r="P14" t="str">
        <f t="shared" si="4"/>
        <v>CzechSlovak</v>
      </c>
      <c r="Q14" t="str">
        <f>"GlbMarket_"&amp;VLOOKUP(P1,$A$1:$B$29,2,FALSE)</f>
        <v>GlbMarket_m_aluminum</v>
      </c>
      <c r="S14" t="str">
        <f t="shared" si="5"/>
        <v>CzechSlovak</v>
      </c>
      <c r="T14" t="str">
        <f>"GlbMarket_"&amp;VLOOKUP(S1,$A$1:$B$29,2,FALSE)</f>
        <v>GlbMarket_m_copper</v>
      </c>
      <c r="V14" t="str">
        <f t="shared" si="6"/>
        <v>CzechSlovak</v>
      </c>
      <c r="W14" t="str">
        <f>"GlbMarket_"&amp;VLOOKUP(V1,$A$1:$B$29,2,FALSE)</f>
        <v>GlbMarket_m_graphite</v>
      </c>
    </row>
    <row r="15" spans="1:23">
      <c r="A15">
        <v>15</v>
      </c>
      <c r="D15" s="1" t="str">
        <f t="shared" si="0"/>
        <v>France</v>
      </c>
      <c r="E15" t="str">
        <f>"GlbMarket_"&amp;VLOOKUP(D1,$A$1:$B$29,2,FALSE)</f>
        <v>GlbMarket_m_lithium</v>
      </c>
      <c r="G15" t="str">
        <f t="shared" si="1"/>
        <v>France</v>
      </c>
      <c r="H15" t="str">
        <f>"GlbMarket_"&amp;VLOOKUP(G1,$A$1:$B$29,2,FALSE)</f>
        <v>GlbMarket_m_nickel</v>
      </c>
      <c r="J15" t="str">
        <f t="shared" si="2"/>
        <v>France</v>
      </c>
      <c r="K15" t="str">
        <f>"GlbMarket_"&amp;VLOOKUP(J1,$A$1:$B$29,2,FALSE)</f>
        <v>GlbMarket_m_cobalt</v>
      </c>
      <c r="M15" t="str">
        <f t="shared" si="3"/>
        <v>France</v>
      </c>
      <c r="N15" t="str">
        <f>"GlbMarket_"&amp;VLOOKUP(M1,$A$1:$B$29,2,FALSE)</f>
        <v>GlbMarket_m_manganese</v>
      </c>
      <c r="P15" t="str">
        <f t="shared" si="4"/>
        <v>France</v>
      </c>
      <c r="Q15" t="str">
        <f>"GlbMarket_"&amp;VLOOKUP(P1,$A$1:$B$29,2,FALSE)</f>
        <v>GlbMarket_m_aluminum</v>
      </c>
      <c r="S15" t="str">
        <f t="shared" si="5"/>
        <v>France</v>
      </c>
      <c r="T15" t="str">
        <f>"GlbMarket_"&amp;VLOOKUP(S1,$A$1:$B$29,2,FALSE)</f>
        <v>GlbMarket_m_copper</v>
      </c>
      <c r="V15" t="str">
        <f t="shared" si="6"/>
        <v>France</v>
      </c>
      <c r="W15" t="str">
        <f>"GlbMarket_"&amp;VLOOKUP(V1,$A$1:$B$29,2,FALSE)</f>
        <v>GlbMarket_m_graphite</v>
      </c>
    </row>
    <row r="16" spans="1:23">
      <c r="A16">
        <v>16</v>
      </c>
      <c r="D16" s="1" t="str">
        <f t="shared" si="0"/>
        <v>Germany</v>
      </c>
      <c r="E16" t="str">
        <f>"GlbMarket_"&amp;VLOOKUP(D1,$A$1:$B$29,2,FALSE)</f>
        <v>GlbMarket_m_lithium</v>
      </c>
      <c r="G16" t="str">
        <f t="shared" si="1"/>
        <v>Germany</v>
      </c>
      <c r="H16" t="str">
        <f>"GlbMarket_"&amp;VLOOKUP(G1,$A$1:$B$29,2,FALSE)</f>
        <v>GlbMarket_m_nickel</v>
      </c>
      <c r="J16" t="str">
        <f t="shared" si="2"/>
        <v>Germany</v>
      </c>
      <c r="K16" t="str">
        <f>"GlbMarket_"&amp;VLOOKUP(J1,$A$1:$B$29,2,FALSE)</f>
        <v>GlbMarket_m_cobalt</v>
      </c>
      <c r="M16" t="str">
        <f t="shared" si="3"/>
        <v>Germany</v>
      </c>
      <c r="N16" t="str">
        <f>"GlbMarket_"&amp;VLOOKUP(M1,$A$1:$B$29,2,FALSE)</f>
        <v>GlbMarket_m_manganese</v>
      </c>
      <c r="P16" t="str">
        <f t="shared" si="4"/>
        <v>Germany</v>
      </c>
      <c r="Q16" t="str">
        <f>"GlbMarket_"&amp;VLOOKUP(P1,$A$1:$B$29,2,FALSE)</f>
        <v>GlbMarket_m_aluminum</v>
      </c>
      <c r="S16" t="str">
        <f t="shared" si="5"/>
        <v>Germany</v>
      </c>
      <c r="T16" t="str">
        <f>"GlbMarket_"&amp;VLOOKUP(S1,$A$1:$B$29,2,FALSE)</f>
        <v>GlbMarket_m_copper</v>
      </c>
      <c r="V16" t="str">
        <f t="shared" si="6"/>
        <v>Germany</v>
      </c>
      <c r="W16" t="str">
        <f>"GlbMarket_"&amp;VLOOKUP(V1,$A$1:$B$29,2,FALSE)</f>
        <v>GlbMarket_m_graphite</v>
      </c>
    </row>
    <row r="17" spans="1:23">
      <c r="A17">
        <v>17</v>
      </c>
      <c r="D17" s="1" t="str">
        <f t="shared" si="0"/>
        <v>GreeceCyp</v>
      </c>
      <c r="E17" t="str">
        <f>"GlbMarket_"&amp;VLOOKUP(D1,$A$1:$B$29,2,FALSE)</f>
        <v>GlbMarket_m_lithium</v>
      </c>
      <c r="G17" t="str">
        <f t="shared" si="1"/>
        <v>GreeceCyp</v>
      </c>
      <c r="H17" t="str">
        <f>"GlbMarket_"&amp;VLOOKUP(G1,$A$1:$B$29,2,FALSE)</f>
        <v>GlbMarket_m_nickel</v>
      </c>
      <c r="J17" t="str">
        <f t="shared" si="2"/>
        <v>GreeceCyp</v>
      </c>
      <c r="K17" t="str">
        <f>"GlbMarket_"&amp;VLOOKUP(J1,$A$1:$B$29,2,FALSE)</f>
        <v>GlbMarket_m_cobalt</v>
      </c>
      <c r="M17" t="str">
        <f t="shared" si="3"/>
        <v>GreeceCyp</v>
      </c>
      <c r="N17" t="str">
        <f>"GlbMarket_"&amp;VLOOKUP(M1,$A$1:$B$29,2,FALSE)</f>
        <v>GlbMarket_m_manganese</v>
      </c>
      <c r="P17" t="str">
        <f t="shared" si="4"/>
        <v>GreeceCyp</v>
      </c>
      <c r="Q17" t="str">
        <f>"GlbMarket_"&amp;VLOOKUP(P1,$A$1:$B$29,2,FALSE)</f>
        <v>GlbMarket_m_aluminum</v>
      </c>
      <c r="S17" t="str">
        <f t="shared" si="5"/>
        <v>GreeceCyp</v>
      </c>
      <c r="T17" t="str">
        <f>"GlbMarket_"&amp;VLOOKUP(S1,$A$1:$B$29,2,FALSE)</f>
        <v>GlbMarket_m_copper</v>
      </c>
      <c r="V17" t="str">
        <f t="shared" si="6"/>
        <v>GreeceCyp</v>
      </c>
      <c r="W17" t="str">
        <f>"GlbMarket_"&amp;VLOOKUP(V1,$A$1:$B$29,2,FALSE)</f>
        <v>GlbMarket_m_graphite</v>
      </c>
    </row>
    <row r="18" spans="1:23">
      <c r="A18">
        <v>18</v>
      </c>
      <c r="D18" s="1" t="str">
        <f t="shared" si="0"/>
        <v>HunRomBul</v>
      </c>
      <c r="E18" t="str">
        <f>"GlbMarket_"&amp;VLOOKUP(D1,$A$1:$B$29,2,FALSE)</f>
        <v>GlbMarket_m_lithium</v>
      </c>
      <c r="G18" t="str">
        <f t="shared" si="1"/>
        <v>HunRomBul</v>
      </c>
      <c r="H18" t="str">
        <f>"GlbMarket_"&amp;VLOOKUP(G1,$A$1:$B$29,2,FALSE)</f>
        <v>GlbMarket_m_nickel</v>
      </c>
      <c r="J18" t="str">
        <f t="shared" si="2"/>
        <v>HunRomBul</v>
      </c>
      <c r="K18" t="str">
        <f>"GlbMarket_"&amp;VLOOKUP(J1,$A$1:$B$29,2,FALSE)</f>
        <v>GlbMarket_m_cobalt</v>
      </c>
      <c r="M18" t="str">
        <f t="shared" si="3"/>
        <v>HunRomBul</v>
      </c>
      <c r="N18" t="str">
        <f>"GlbMarket_"&amp;VLOOKUP(M1,$A$1:$B$29,2,FALSE)</f>
        <v>GlbMarket_m_manganese</v>
      </c>
      <c r="P18" t="str">
        <f t="shared" si="4"/>
        <v>HunRomBul</v>
      </c>
      <c r="Q18" t="str">
        <f>"GlbMarket_"&amp;VLOOKUP(P1,$A$1:$B$29,2,FALSE)</f>
        <v>GlbMarket_m_aluminum</v>
      </c>
      <c r="S18" t="str">
        <f t="shared" si="5"/>
        <v>HunRomBul</v>
      </c>
      <c r="T18" t="str">
        <f>"GlbMarket_"&amp;VLOOKUP(S1,$A$1:$B$29,2,FALSE)</f>
        <v>GlbMarket_m_copper</v>
      </c>
      <c r="V18" t="str">
        <f t="shared" si="6"/>
        <v>HunRomBul</v>
      </c>
      <c r="W18" t="str">
        <f>"GlbMarket_"&amp;VLOOKUP(V1,$A$1:$B$29,2,FALSE)</f>
        <v>GlbMarket_m_graphite</v>
      </c>
    </row>
    <row r="19" spans="1:23">
      <c r="A19">
        <v>19</v>
      </c>
      <c r="D19" s="1" t="str">
        <f t="shared" si="0"/>
        <v>Iceland</v>
      </c>
      <c r="E19" t="str">
        <f>"GlbMarket_"&amp;VLOOKUP(D1,$A$1:$B$29,2,FALSE)</f>
        <v>GlbMarket_m_lithium</v>
      </c>
      <c r="G19" t="str">
        <f t="shared" si="1"/>
        <v>Iceland</v>
      </c>
      <c r="H19" t="str">
        <f>"GlbMarket_"&amp;VLOOKUP(G1,$A$1:$B$29,2,FALSE)</f>
        <v>GlbMarket_m_nickel</v>
      </c>
      <c r="J19" t="str">
        <f t="shared" si="2"/>
        <v>Iceland</v>
      </c>
      <c r="K19" t="str">
        <f>"GlbMarket_"&amp;VLOOKUP(J1,$A$1:$B$29,2,FALSE)</f>
        <v>GlbMarket_m_cobalt</v>
      </c>
      <c r="M19" t="str">
        <f t="shared" si="3"/>
        <v>Iceland</v>
      </c>
      <c r="N19" t="str">
        <f>"GlbMarket_"&amp;VLOOKUP(M1,$A$1:$B$29,2,FALSE)</f>
        <v>GlbMarket_m_manganese</v>
      </c>
      <c r="P19" t="str">
        <f t="shared" si="4"/>
        <v>Iceland</v>
      </c>
      <c r="Q19" t="str">
        <f>"GlbMarket_"&amp;VLOOKUP(P1,$A$1:$B$29,2,FALSE)</f>
        <v>GlbMarket_m_aluminum</v>
      </c>
      <c r="S19" t="str">
        <f t="shared" si="5"/>
        <v>Iceland</v>
      </c>
      <c r="T19" t="str">
        <f>"GlbMarket_"&amp;VLOOKUP(S1,$A$1:$B$29,2,FALSE)</f>
        <v>GlbMarket_m_copper</v>
      </c>
      <c r="V19" t="str">
        <f t="shared" si="6"/>
        <v>Iceland</v>
      </c>
      <c r="W19" t="str">
        <f>"GlbMarket_"&amp;VLOOKUP(V1,$A$1:$B$29,2,FALSE)</f>
        <v>GlbMarket_m_graphite</v>
      </c>
    </row>
    <row r="20" spans="1:23">
      <c r="A20">
        <v>20</v>
      </c>
      <c r="D20" s="1" t="str">
        <f t="shared" si="0"/>
        <v>India</v>
      </c>
      <c r="E20" t="str">
        <f>"GlbMarket_"&amp;VLOOKUP(D1,$A$1:$B$29,2,FALSE)</f>
        <v>GlbMarket_m_lithium</v>
      </c>
      <c r="G20" t="str">
        <f t="shared" si="1"/>
        <v>India</v>
      </c>
      <c r="H20" t="str">
        <f>"GlbMarket_"&amp;VLOOKUP(G1,$A$1:$B$29,2,FALSE)</f>
        <v>GlbMarket_m_nickel</v>
      </c>
      <c r="J20" t="str">
        <f t="shared" si="2"/>
        <v>India</v>
      </c>
      <c r="K20" t="str">
        <f>"GlbMarket_"&amp;VLOOKUP(J1,$A$1:$B$29,2,FALSE)</f>
        <v>GlbMarket_m_cobalt</v>
      </c>
      <c r="M20" t="str">
        <f t="shared" si="3"/>
        <v>India</v>
      </c>
      <c r="N20" t="str">
        <f>"GlbMarket_"&amp;VLOOKUP(M1,$A$1:$B$29,2,FALSE)</f>
        <v>GlbMarket_m_manganese</v>
      </c>
      <c r="P20" t="str">
        <f t="shared" si="4"/>
        <v>India</v>
      </c>
      <c r="Q20" t="str">
        <f>"GlbMarket_"&amp;VLOOKUP(P1,$A$1:$B$29,2,FALSE)</f>
        <v>GlbMarket_m_aluminum</v>
      </c>
      <c r="S20" t="str">
        <f t="shared" si="5"/>
        <v>India</v>
      </c>
      <c r="T20" t="str">
        <f>"GlbMarket_"&amp;VLOOKUP(S1,$A$1:$B$29,2,FALSE)</f>
        <v>GlbMarket_m_copper</v>
      </c>
      <c r="V20" t="str">
        <f t="shared" si="6"/>
        <v>India</v>
      </c>
      <c r="W20" t="str">
        <f>"GlbMarket_"&amp;VLOOKUP(V1,$A$1:$B$29,2,FALSE)</f>
        <v>GlbMarket_m_graphite</v>
      </c>
    </row>
    <row r="21" spans="1:23">
      <c r="A21">
        <v>21</v>
      </c>
      <c r="D21" s="1" t="str">
        <f t="shared" si="0"/>
        <v>Ireland</v>
      </c>
      <c r="E21" t="str">
        <f>"GlbMarket_"&amp;VLOOKUP(D1,$A$1:$B$29,2,FALSE)</f>
        <v>GlbMarket_m_lithium</v>
      </c>
      <c r="G21" t="str">
        <f t="shared" si="1"/>
        <v>Ireland</v>
      </c>
      <c r="H21" t="str">
        <f>"GlbMarket_"&amp;VLOOKUP(G1,$A$1:$B$29,2,FALSE)</f>
        <v>GlbMarket_m_nickel</v>
      </c>
      <c r="J21" t="str">
        <f t="shared" si="2"/>
        <v>Ireland</v>
      </c>
      <c r="K21" t="str">
        <f>"GlbMarket_"&amp;VLOOKUP(J1,$A$1:$B$29,2,FALSE)</f>
        <v>GlbMarket_m_cobalt</v>
      </c>
      <c r="M21" t="str">
        <f t="shared" si="3"/>
        <v>Ireland</v>
      </c>
      <c r="N21" t="str">
        <f>"GlbMarket_"&amp;VLOOKUP(M1,$A$1:$B$29,2,FALSE)</f>
        <v>GlbMarket_m_manganese</v>
      </c>
      <c r="P21" t="str">
        <f t="shared" si="4"/>
        <v>Ireland</v>
      </c>
      <c r="Q21" t="str">
        <f>"GlbMarket_"&amp;VLOOKUP(P1,$A$1:$B$29,2,FALSE)</f>
        <v>GlbMarket_m_aluminum</v>
      </c>
      <c r="S21" t="str">
        <f t="shared" si="5"/>
        <v>Ireland</v>
      </c>
      <c r="T21" t="str">
        <f>"GlbMarket_"&amp;VLOOKUP(S1,$A$1:$B$29,2,FALSE)</f>
        <v>GlbMarket_m_copper</v>
      </c>
      <c r="V21" t="str">
        <f t="shared" si="6"/>
        <v>Ireland</v>
      </c>
      <c r="W21" t="str">
        <f>"GlbMarket_"&amp;VLOOKUP(V1,$A$1:$B$29,2,FALSE)</f>
        <v>GlbMarket_m_graphite</v>
      </c>
    </row>
    <row r="22" spans="1:23">
      <c r="A22">
        <v>22</v>
      </c>
      <c r="D22" s="1" t="str">
        <f t="shared" si="0"/>
        <v>ItalyMal</v>
      </c>
      <c r="E22" t="str">
        <f>E21</f>
        <v>GlbMarket_m_lithium</v>
      </c>
      <c r="G22" t="str">
        <f t="shared" si="1"/>
        <v>ItalyMal</v>
      </c>
      <c r="H22" t="str">
        <f>H21</f>
        <v>GlbMarket_m_nickel</v>
      </c>
      <c r="J22" t="str">
        <f t="shared" si="2"/>
        <v>ItalyMal</v>
      </c>
      <c r="K22" t="str">
        <f>K21</f>
        <v>GlbMarket_m_cobalt</v>
      </c>
      <c r="M22" t="str">
        <f t="shared" si="3"/>
        <v>ItalyMal</v>
      </c>
      <c r="N22" t="str">
        <f>N21</f>
        <v>GlbMarket_m_manganese</v>
      </c>
      <c r="P22" t="str">
        <f t="shared" si="4"/>
        <v>ItalyMal</v>
      </c>
      <c r="Q22" t="str">
        <f>Q21</f>
        <v>GlbMarket_m_aluminum</v>
      </c>
      <c r="S22" t="str">
        <f t="shared" si="5"/>
        <v>ItalyMal</v>
      </c>
      <c r="T22" t="str">
        <f>T21</f>
        <v>GlbMarket_m_copper</v>
      </c>
      <c r="V22" t="str">
        <f t="shared" si="6"/>
        <v>ItalyMal</v>
      </c>
      <c r="W22" t="str">
        <f>W21</f>
        <v>GlbMarket_m_graphite</v>
      </c>
    </row>
    <row r="23" spans="1:23">
      <c r="A23">
        <v>23</v>
      </c>
      <c r="D23" s="1" t="str">
        <f t="shared" si="0"/>
        <v>Japan</v>
      </c>
      <c r="E23" t="str">
        <f t="shared" ref="E23:E34" si="7">E22</f>
        <v>GlbMarket_m_lithium</v>
      </c>
      <c r="G23" t="str">
        <f t="shared" si="1"/>
        <v>Japan</v>
      </c>
      <c r="H23" t="str">
        <f t="shared" ref="H23:H34" si="8">H22</f>
        <v>GlbMarket_m_nickel</v>
      </c>
      <c r="J23" t="str">
        <f t="shared" si="2"/>
        <v>Japan</v>
      </c>
      <c r="K23" t="str">
        <f t="shared" ref="K23:K34" si="9">K22</f>
        <v>GlbMarket_m_cobalt</v>
      </c>
      <c r="M23" t="str">
        <f t="shared" si="3"/>
        <v>Japan</v>
      </c>
      <c r="N23" t="str">
        <f t="shared" ref="N23:N34" si="10">N22</f>
        <v>GlbMarket_m_manganese</v>
      </c>
      <c r="P23" t="str">
        <f t="shared" si="4"/>
        <v>Japan</v>
      </c>
      <c r="Q23" t="str">
        <f t="shared" ref="Q23:Q34" si="11">Q22</f>
        <v>GlbMarket_m_aluminum</v>
      </c>
      <c r="S23" t="str">
        <f t="shared" si="5"/>
        <v>Japan</v>
      </c>
      <c r="T23" t="str">
        <f t="shared" ref="T23:T34" si="12">T22</f>
        <v>GlbMarket_m_copper</v>
      </c>
      <c r="V23" t="str">
        <f t="shared" si="6"/>
        <v>Japan</v>
      </c>
      <c r="W23" t="str">
        <f t="shared" ref="W23:W34" si="13">W22</f>
        <v>GlbMarket_m_graphite</v>
      </c>
    </row>
    <row r="24" spans="1:23">
      <c r="A24">
        <v>24</v>
      </c>
      <c r="D24" s="1" t="str">
        <f t="shared" si="0"/>
        <v>LatAm</v>
      </c>
      <c r="E24" t="str">
        <f t="shared" si="7"/>
        <v>GlbMarket_m_lithium</v>
      </c>
      <c r="G24" t="str">
        <f t="shared" si="1"/>
        <v>LatAm</v>
      </c>
      <c r="H24" t="str">
        <f t="shared" si="8"/>
        <v>GlbMarket_m_nickel</v>
      </c>
      <c r="J24" t="str">
        <f t="shared" si="2"/>
        <v>LatAm</v>
      </c>
      <c r="K24" t="str">
        <f t="shared" si="9"/>
        <v>GlbMarket_m_cobalt</v>
      </c>
      <c r="M24" t="str">
        <f t="shared" si="3"/>
        <v>LatAm</v>
      </c>
      <c r="N24" t="str">
        <f t="shared" si="10"/>
        <v>GlbMarket_m_manganese</v>
      </c>
      <c r="P24" t="str">
        <f t="shared" si="4"/>
        <v>LatAm</v>
      </c>
      <c r="Q24" t="str">
        <f t="shared" si="11"/>
        <v>GlbMarket_m_aluminum</v>
      </c>
      <c r="S24" t="str">
        <f t="shared" si="5"/>
        <v>LatAm</v>
      </c>
      <c r="T24" t="str">
        <f t="shared" si="12"/>
        <v>GlbMarket_m_copper</v>
      </c>
      <c r="V24" t="str">
        <f t="shared" si="6"/>
        <v>LatAm</v>
      </c>
      <c r="W24" t="str">
        <f t="shared" si="13"/>
        <v>GlbMarket_m_graphite</v>
      </c>
    </row>
    <row r="25" spans="1:23">
      <c r="A25">
        <v>25</v>
      </c>
      <c r="D25" s="1" t="str">
        <f t="shared" si="0"/>
        <v>MidEast</v>
      </c>
      <c r="E25" t="str">
        <f t="shared" si="7"/>
        <v>GlbMarket_m_lithium</v>
      </c>
      <c r="G25" t="str">
        <f t="shared" si="1"/>
        <v>MidEast</v>
      </c>
      <c r="H25" t="str">
        <f t="shared" si="8"/>
        <v>GlbMarket_m_nickel</v>
      </c>
      <c r="J25" t="str">
        <f t="shared" si="2"/>
        <v>MidEast</v>
      </c>
      <c r="K25" t="str">
        <f t="shared" si="9"/>
        <v>GlbMarket_m_cobalt</v>
      </c>
      <c r="M25" t="str">
        <f t="shared" si="3"/>
        <v>MidEast</v>
      </c>
      <c r="N25" t="str">
        <f t="shared" si="10"/>
        <v>GlbMarket_m_manganese</v>
      </c>
      <c r="P25" t="str">
        <f t="shared" si="4"/>
        <v>MidEast</v>
      </c>
      <c r="Q25" t="str">
        <f t="shared" si="11"/>
        <v>GlbMarket_m_aluminum</v>
      </c>
      <c r="S25" t="str">
        <f t="shared" si="5"/>
        <v>MidEast</v>
      </c>
      <c r="T25" t="str">
        <f t="shared" si="12"/>
        <v>GlbMarket_m_copper</v>
      </c>
      <c r="V25" t="str">
        <f t="shared" si="6"/>
        <v>MidEast</v>
      </c>
      <c r="W25" t="str">
        <f t="shared" si="13"/>
        <v>GlbMarket_m_graphite</v>
      </c>
    </row>
    <row r="26" spans="1:23">
      <c r="A26">
        <v>26</v>
      </c>
      <c r="D26" s="1" t="str">
        <f t="shared" si="0"/>
        <v>NorthAm</v>
      </c>
      <c r="E26" t="str">
        <f t="shared" si="7"/>
        <v>GlbMarket_m_lithium</v>
      </c>
      <c r="G26" t="str">
        <f t="shared" si="1"/>
        <v>NorthAm</v>
      </c>
      <c r="H26" t="str">
        <f t="shared" si="8"/>
        <v>GlbMarket_m_nickel</v>
      </c>
      <c r="J26" t="str">
        <f t="shared" si="2"/>
        <v>NorthAm</v>
      </c>
      <c r="K26" t="str">
        <f t="shared" si="9"/>
        <v>GlbMarket_m_cobalt</v>
      </c>
      <c r="M26" t="str">
        <f t="shared" si="3"/>
        <v>NorthAm</v>
      </c>
      <c r="N26" t="str">
        <f t="shared" si="10"/>
        <v>GlbMarket_m_manganese</v>
      </c>
      <c r="P26" t="str">
        <f t="shared" si="4"/>
        <v>NorthAm</v>
      </c>
      <c r="Q26" t="str">
        <f t="shared" si="11"/>
        <v>GlbMarket_m_aluminum</v>
      </c>
      <c r="S26" t="str">
        <f t="shared" si="5"/>
        <v>NorthAm</v>
      </c>
      <c r="T26" t="str">
        <f t="shared" si="12"/>
        <v>GlbMarket_m_copper</v>
      </c>
      <c r="V26" t="str">
        <f t="shared" si="6"/>
        <v>NorthAm</v>
      </c>
      <c r="W26" t="str">
        <f t="shared" si="13"/>
        <v>GlbMarket_m_graphite</v>
      </c>
    </row>
    <row r="27" spans="1:23">
      <c r="A27">
        <v>27</v>
      </c>
      <c r="D27" s="1" t="str">
        <f t="shared" si="0"/>
        <v>Norway</v>
      </c>
      <c r="E27" t="str">
        <f t="shared" si="7"/>
        <v>GlbMarket_m_lithium</v>
      </c>
      <c r="G27" t="str">
        <f t="shared" si="1"/>
        <v>Norway</v>
      </c>
      <c r="H27" t="str">
        <f t="shared" si="8"/>
        <v>GlbMarket_m_nickel</v>
      </c>
      <c r="J27" t="str">
        <f t="shared" si="2"/>
        <v>Norway</v>
      </c>
      <c r="K27" t="str">
        <f t="shared" si="9"/>
        <v>GlbMarket_m_cobalt</v>
      </c>
      <c r="M27" t="str">
        <f t="shared" si="3"/>
        <v>Norway</v>
      </c>
      <c r="N27" t="str">
        <f t="shared" si="10"/>
        <v>GlbMarket_m_manganese</v>
      </c>
      <c r="P27" t="str">
        <f t="shared" si="4"/>
        <v>Norway</v>
      </c>
      <c r="Q27" t="str">
        <f t="shared" si="11"/>
        <v>GlbMarket_m_aluminum</v>
      </c>
      <c r="S27" t="str">
        <f t="shared" si="5"/>
        <v>Norway</v>
      </c>
      <c r="T27" t="str">
        <f t="shared" si="12"/>
        <v>GlbMarket_m_copper</v>
      </c>
      <c r="V27" t="str">
        <f t="shared" si="6"/>
        <v>Norway</v>
      </c>
      <c r="W27" t="str">
        <f t="shared" si="13"/>
        <v>GlbMarket_m_graphite</v>
      </c>
    </row>
    <row r="28" spans="1:23">
      <c r="A28">
        <v>28</v>
      </c>
      <c r="D28" s="1" t="str">
        <f t="shared" si="0"/>
        <v>Poland</v>
      </c>
      <c r="E28" t="str">
        <f t="shared" si="7"/>
        <v>GlbMarket_m_lithium</v>
      </c>
      <c r="G28" t="str">
        <f t="shared" si="1"/>
        <v>Poland</v>
      </c>
      <c r="H28" t="str">
        <f t="shared" si="8"/>
        <v>GlbMarket_m_nickel</v>
      </c>
      <c r="J28" t="str">
        <f t="shared" si="2"/>
        <v>Poland</v>
      </c>
      <c r="K28" t="str">
        <f t="shared" si="9"/>
        <v>GlbMarket_m_cobalt</v>
      </c>
      <c r="M28" t="str">
        <f t="shared" si="3"/>
        <v>Poland</v>
      </c>
      <c r="N28" t="str">
        <f t="shared" si="10"/>
        <v>GlbMarket_m_manganese</v>
      </c>
      <c r="P28" t="str">
        <f t="shared" si="4"/>
        <v>Poland</v>
      </c>
      <c r="Q28" t="str">
        <f t="shared" si="11"/>
        <v>GlbMarket_m_aluminum</v>
      </c>
      <c r="S28" t="str">
        <f t="shared" si="5"/>
        <v>Poland</v>
      </c>
      <c r="T28" t="str">
        <f t="shared" si="12"/>
        <v>GlbMarket_m_copper</v>
      </c>
      <c r="V28" t="str">
        <f t="shared" si="6"/>
        <v>Poland</v>
      </c>
      <c r="W28" t="str">
        <f t="shared" si="13"/>
        <v>GlbMarket_m_graphite</v>
      </c>
    </row>
    <row r="29" spans="1:23">
      <c r="A29">
        <v>29</v>
      </c>
      <c r="D29" s="1" t="str">
        <f t="shared" si="0"/>
        <v>ROW</v>
      </c>
      <c r="E29" t="str">
        <f t="shared" si="7"/>
        <v>GlbMarket_m_lithium</v>
      </c>
      <c r="G29" t="str">
        <f t="shared" si="1"/>
        <v>ROW</v>
      </c>
      <c r="H29" t="str">
        <f t="shared" si="8"/>
        <v>GlbMarket_m_nickel</v>
      </c>
      <c r="J29" t="str">
        <f t="shared" si="2"/>
        <v>ROW</v>
      </c>
      <c r="K29" t="str">
        <f t="shared" si="9"/>
        <v>GlbMarket_m_cobalt</v>
      </c>
      <c r="M29" t="str">
        <f t="shared" si="3"/>
        <v>ROW</v>
      </c>
      <c r="N29" t="str">
        <f t="shared" si="10"/>
        <v>GlbMarket_m_manganese</v>
      </c>
      <c r="P29" t="str">
        <f t="shared" si="4"/>
        <v>ROW</v>
      </c>
      <c r="Q29" t="str">
        <f t="shared" si="11"/>
        <v>GlbMarket_m_aluminum</v>
      </c>
      <c r="S29" t="str">
        <f t="shared" si="5"/>
        <v>ROW</v>
      </c>
      <c r="T29" t="str">
        <f t="shared" si="12"/>
        <v>GlbMarket_m_copper</v>
      </c>
      <c r="V29" t="str">
        <f t="shared" si="6"/>
        <v>ROW</v>
      </c>
      <c r="W29" t="str">
        <f t="shared" si="13"/>
        <v>GlbMarket_m_graphite</v>
      </c>
    </row>
    <row r="30" spans="1:23">
      <c r="D30" s="1" t="str">
        <f t="shared" si="0"/>
        <v>Russia</v>
      </c>
      <c r="E30" t="str">
        <f t="shared" si="7"/>
        <v>GlbMarket_m_lithium</v>
      </c>
      <c r="G30" t="str">
        <f t="shared" si="1"/>
        <v>Russia</v>
      </c>
      <c r="H30" t="str">
        <f t="shared" si="8"/>
        <v>GlbMarket_m_nickel</v>
      </c>
      <c r="J30" t="str">
        <f t="shared" si="2"/>
        <v>Russia</v>
      </c>
      <c r="K30" t="str">
        <f t="shared" si="9"/>
        <v>GlbMarket_m_cobalt</v>
      </c>
      <c r="M30" t="str">
        <f t="shared" si="3"/>
        <v>Russia</v>
      </c>
      <c r="N30" t="str">
        <f t="shared" si="10"/>
        <v>GlbMarket_m_manganese</v>
      </c>
      <c r="P30" t="str">
        <f t="shared" si="4"/>
        <v>Russia</v>
      </c>
      <c r="Q30" t="str">
        <f t="shared" si="11"/>
        <v>GlbMarket_m_aluminum</v>
      </c>
      <c r="S30" t="str">
        <f t="shared" si="5"/>
        <v>Russia</v>
      </c>
      <c r="T30" t="str">
        <f t="shared" si="12"/>
        <v>GlbMarket_m_copper</v>
      </c>
      <c r="V30" t="str">
        <f t="shared" si="6"/>
        <v>Russia</v>
      </c>
      <c r="W30" t="str">
        <f t="shared" si="13"/>
        <v>GlbMarket_m_graphite</v>
      </c>
    </row>
    <row r="31" spans="1:23">
      <c r="D31" s="1" t="str">
        <f t="shared" si="0"/>
        <v>SaudiArabia</v>
      </c>
      <c r="E31" t="str">
        <f t="shared" si="7"/>
        <v>GlbMarket_m_lithium</v>
      </c>
      <c r="G31" t="str">
        <f t="shared" si="1"/>
        <v>SaudiArabia</v>
      </c>
      <c r="H31" t="str">
        <f t="shared" si="8"/>
        <v>GlbMarket_m_nickel</v>
      </c>
      <c r="J31" t="str">
        <f t="shared" si="2"/>
        <v>SaudiArabia</v>
      </c>
      <c r="K31" t="str">
        <f t="shared" si="9"/>
        <v>GlbMarket_m_cobalt</v>
      </c>
      <c r="M31" t="str">
        <f t="shared" si="3"/>
        <v>SaudiArabia</v>
      </c>
      <c r="N31" t="str">
        <f t="shared" si="10"/>
        <v>GlbMarket_m_manganese</v>
      </c>
      <c r="P31" t="str">
        <f t="shared" si="4"/>
        <v>SaudiArabia</v>
      </c>
      <c r="Q31" t="str">
        <f t="shared" si="11"/>
        <v>GlbMarket_m_aluminum</v>
      </c>
      <c r="S31" t="str">
        <f t="shared" si="5"/>
        <v>SaudiArabia</v>
      </c>
      <c r="T31" t="str">
        <f t="shared" si="12"/>
        <v>GlbMarket_m_copper</v>
      </c>
      <c r="V31" t="str">
        <f t="shared" si="6"/>
        <v>SaudiArabia</v>
      </c>
      <c r="W31" t="str">
        <f t="shared" si="13"/>
        <v>GlbMarket_m_graphite</v>
      </c>
    </row>
    <row r="32" spans="1:23">
      <c r="D32" s="1" t="str">
        <f t="shared" si="0"/>
        <v>SouthAfrica</v>
      </c>
      <c r="E32" t="str">
        <f t="shared" si="7"/>
        <v>GlbMarket_m_lithium</v>
      </c>
      <c r="G32" t="str">
        <f t="shared" si="1"/>
        <v>SouthAfrica</v>
      </c>
      <c r="H32" t="str">
        <f t="shared" si="8"/>
        <v>GlbMarket_m_nickel</v>
      </c>
      <c r="J32" t="str">
        <f t="shared" si="2"/>
        <v>SouthAfrica</v>
      </c>
      <c r="K32" t="str">
        <f t="shared" si="9"/>
        <v>GlbMarket_m_cobalt</v>
      </c>
      <c r="M32" t="str">
        <f t="shared" si="3"/>
        <v>SouthAfrica</v>
      </c>
      <c r="N32" t="str">
        <f t="shared" si="10"/>
        <v>GlbMarket_m_manganese</v>
      </c>
      <c r="P32" t="str">
        <f t="shared" si="4"/>
        <v>SouthAfrica</v>
      </c>
      <c r="Q32" t="str">
        <f t="shared" si="11"/>
        <v>GlbMarket_m_aluminum</v>
      </c>
      <c r="S32" t="str">
        <f t="shared" si="5"/>
        <v>SouthAfrica</v>
      </c>
      <c r="T32" t="str">
        <f t="shared" si="12"/>
        <v>GlbMarket_m_copper</v>
      </c>
      <c r="V32" t="str">
        <f t="shared" si="6"/>
        <v>SouthAfrica</v>
      </c>
      <c r="W32" t="str">
        <f t="shared" si="13"/>
        <v>GlbMarket_m_graphite</v>
      </c>
    </row>
    <row r="33" spans="1:23">
      <c r="D33" s="1" t="str">
        <f t="shared" si="0"/>
        <v>SpainPor</v>
      </c>
      <c r="E33" t="str">
        <f t="shared" si="7"/>
        <v>GlbMarket_m_lithium</v>
      </c>
      <c r="G33" t="str">
        <f t="shared" si="1"/>
        <v>SpainPor</v>
      </c>
      <c r="H33" t="str">
        <f t="shared" si="8"/>
        <v>GlbMarket_m_nickel</v>
      </c>
      <c r="J33" t="str">
        <f t="shared" si="2"/>
        <v>SpainPor</v>
      </c>
      <c r="K33" t="str">
        <f t="shared" si="9"/>
        <v>GlbMarket_m_cobalt</v>
      </c>
      <c r="M33" t="str">
        <f t="shared" si="3"/>
        <v>SpainPor</v>
      </c>
      <c r="N33" t="str">
        <f t="shared" si="10"/>
        <v>GlbMarket_m_manganese</v>
      </c>
      <c r="P33" t="str">
        <f t="shared" si="4"/>
        <v>SpainPor</v>
      </c>
      <c r="Q33" t="str">
        <f t="shared" si="11"/>
        <v>GlbMarket_m_aluminum</v>
      </c>
      <c r="S33" t="str">
        <f t="shared" si="5"/>
        <v>SpainPor</v>
      </c>
      <c r="T33" t="str">
        <f t="shared" si="12"/>
        <v>GlbMarket_m_copper</v>
      </c>
      <c r="V33" t="str">
        <f t="shared" si="6"/>
        <v>SpainPor</v>
      </c>
      <c r="W33" t="str">
        <f t="shared" si="13"/>
        <v>GlbMarket_m_graphite</v>
      </c>
    </row>
    <row r="34" spans="1:23">
      <c r="D34" s="1" t="str">
        <f t="shared" si="0"/>
        <v>SweFinDen</v>
      </c>
      <c r="E34" t="str">
        <f t="shared" si="7"/>
        <v>GlbMarket_m_lithium</v>
      </c>
      <c r="G34" t="str">
        <f t="shared" si="1"/>
        <v>SweFinDen</v>
      </c>
      <c r="H34" t="str">
        <f t="shared" si="8"/>
        <v>GlbMarket_m_nickel</v>
      </c>
      <c r="J34" t="str">
        <f t="shared" si="2"/>
        <v>SweFinDen</v>
      </c>
      <c r="K34" t="str">
        <f t="shared" si="9"/>
        <v>GlbMarket_m_cobalt</v>
      </c>
      <c r="M34" t="str">
        <f t="shared" si="3"/>
        <v>SweFinDen</v>
      </c>
      <c r="N34" t="str">
        <f t="shared" si="10"/>
        <v>GlbMarket_m_manganese</v>
      </c>
      <c r="P34" t="str">
        <f t="shared" si="4"/>
        <v>SweFinDen</v>
      </c>
      <c r="Q34" t="str">
        <f t="shared" si="11"/>
        <v>GlbMarket_m_aluminum</v>
      </c>
      <c r="S34" t="str">
        <f t="shared" si="5"/>
        <v>SweFinDen</v>
      </c>
      <c r="T34" t="str">
        <f t="shared" si="12"/>
        <v>GlbMarket_m_copper</v>
      </c>
      <c r="V34" t="str">
        <f t="shared" si="6"/>
        <v>SweFinDen</v>
      </c>
      <c r="W34" t="str">
        <f t="shared" si="13"/>
        <v>GlbMarket_m_graphite</v>
      </c>
    </row>
    <row r="35" spans="1:23">
      <c r="D35" s="1" t="str">
        <f t="shared" ref="D35:D40" si="14">IF(A67="","\I:",A67)</f>
        <v>Switzerland</v>
      </c>
      <c r="E35" t="str">
        <f>E34</f>
        <v>GlbMarket_m_lithium</v>
      </c>
      <c r="G35" t="str">
        <f>$D35</f>
        <v>Switzerland</v>
      </c>
      <c r="H35" t="str">
        <f>H34</f>
        <v>GlbMarket_m_nickel</v>
      </c>
      <c r="J35" t="str">
        <f>$D35</f>
        <v>Switzerland</v>
      </c>
      <c r="K35" t="str">
        <f>K34</f>
        <v>GlbMarket_m_cobalt</v>
      </c>
      <c r="M35" t="str">
        <f>$D35</f>
        <v>Switzerland</v>
      </c>
      <c r="N35" t="str">
        <f>N34</f>
        <v>GlbMarket_m_manganese</v>
      </c>
      <c r="P35" t="str">
        <f>$D35</f>
        <v>Switzerland</v>
      </c>
      <c r="Q35" t="str">
        <f>Q34</f>
        <v>GlbMarket_m_aluminum</v>
      </c>
      <c r="S35" t="str">
        <f>$D35</f>
        <v>Switzerland</v>
      </c>
      <c r="T35" t="str">
        <f>T34</f>
        <v>GlbMarket_m_copper</v>
      </c>
      <c r="V35" t="str">
        <f>$D35</f>
        <v>Switzerland</v>
      </c>
      <c r="W35" t="str">
        <f>W34</f>
        <v>GlbMarket_m_graphite</v>
      </c>
    </row>
    <row r="36" spans="1:23">
      <c r="A36" s="2" t="s">
        <v>9</v>
      </c>
      <c r="D36" s="1" t="str">
        <f t="shared" si="14"/>
        <v>Turkey</v>
      </c>
      <c r="E36" t="str">
        <f>E35</f>
        <v>GlbMarket_m_lithium</v>
      </c>
      <c r="G36" t="str">
        <f>$D36</f>
        <v>Turkey</v>
      </c>
      <c r="H36" t="str">
        <f>H35</f>
        <v>GlbMarket_m_nickel</v>
      </c>
      <c r="J36" t="str">
        <f>$D36</f>
        <v>Turkey</v>
      </c>
      <c r="K36" t="str">
        <f>K35</f>
        <v>GlbMarket_m_cobalt</v>
      </c>
      <c r="M36" t="str">
        <f>$D36</f>
        <v>Turkey</v>
      </c>
      <c r="N36" t="str">
        <f>N35</f>
        <v>GlbMarket_m_manganese</v>
      </c>
      <c r="P36" t="str">
        <f>$D36</f>
        <v>Turkey</v>
      </c>
      <c r="Q36" t="str">
        <f>Q35</f>
        <v>GlbMarket_m_aluminum</v>
      </c>
      <c r="S36" t="str">
        <f>$D36</f>
        <v>Turkey</v>
      </c>
      <c r="T36" t="str">
        <f>T35</f>
        <v>GlbMarket_m_copper</v>
      </c>
      <c r="V36" t="str">
        <f>$D36</f>
        <v>Turkey</v>
      </c>
      <c r="W36" t="str">
        <f>W35</f>
        <v>GlbMarket_m_graphite</v>
      </c>
    </row>
    <row r="37" spans="1:23">
      <c r="A37" t="s">
        <v>10</v>
      </c>
      <c r="D37" s="1" t="str">
        <f t="shared" si="14"/>
        <v>UK</v>
      </c>
      <c r="E37" t="str">
        <f>E36</f>
        <v>GlbMarket_m_lithium</v>
      </c>
      <c r="G37" t="str">
        <f>$D37</f>
        <v>UK</v>
      </c>
      <c r="H37" t="str">
        <f>H36</f>
        <v>GlbMarket_m_nickel</v>
      </c>
      <c r="J37" t="str">
        <f>$D37</f>
        <v>UK</v>
      </c>
      <c r="K37" t="str">
        <f>K36</f>
        <v>GlbMarket_m_cobalt</v>
      </c>
      <c r="M37" t="str">
        <f>$D37</f>
        <v>UK</v>
      </c>
      <c r="N37" t="str">
        <f>N36</f>
        <v>GlbMarket_m_manganese</v>
      </c>
      <c r="P37" t="str">
        <f>$D37</f>
        <v>UK</v>
      </c>
      <c r="Q37" t="str">
        <f>Q36</f>
        <v>GlbMarket_m_aluminum</v>
      </c>
      <c r="S37" t="str">
        <f>$D37</f>
        <v>UK</v>
      </c>
      <c r="T37" t="str">
        <f>T36</f>
        <v>GlbMarket_m_copper</v>
      </c>
      <c r="V37" t="str">
        <f>$D37</f>
        <v>UK</v>
      </c>
      <c r="W37" t="str">
        <f>W36</f>
        <v>GlbMarket_m_graphite</v>
      </c>
    </row>
    <row r="38" spans="1:23">
      <c r="A38" t="s">
        <v>11</v>
      </c>
      <c r="D38" s="1" t="str">
        <f t="shared" si="14"/>
        <v>Ukraine</v>
      </c>
      <c r="E38" t="str">
        <f>E37</f>
        <v>GlbMarket_m_lithium</v>
      </c>
      <c r="G38" t="str">
        <f>$D38</f>
        <v>Ukraine</v>
      </c>
      <c r="H38" t="str">
        <f>H37</f>
        <v>GlbMarket_m_nickel</v>
      </c>
      <c r="J38" t="str">
        <f>$D38</f>
        <v>Ukraine</v>
      </c>
      <c r="K38" t="str">
        <f>K37</f>
        <v>GlbMarket_m_cobalt</v>
      </c>
      <c r="M38" t="str">
        <f>$D38</f>
        <v>Ukraine</v>
      </c>
      <c r="N38" t="str">
        <f>N37</f>
        <v>GlbMarket_m_manganese</v>
      </c>
      <c r="P38" t="str">
        <f>$D38</f>
        <v>Ukraine</v>
      </c>
      <c r="Q38" t="str">
        <f>Q37</f>
        <v>GlbMarket_m_aluminum</v>
      </c>
      <c r="S38" t="str">
        <f>$D38</f>
        <v>Ukraine</v>
      </c>
      <c r="T38" t="str">
        <f>T37</f>
        <v>GlbMarket_m_copper</v>
      </c>
      <c r="V38" t="str">
        <f>$D38</f>
        <v>Ukraine</v>
      </c>
      <c r="W38" t="str">
        <f>W37</f>
        <v>GlbMarket_m_graphite</v>
      </c>
    </row>
    <row r="39" spans="1:23">
      <c r="A39" t="s">
        <v>12</v>
      </c>
      <c r="D39" s="1" t="str">
        <f t="shared" si="14"/>
        <v>WestBalkans</v>
      </c>
      <c r="E39" t="str">
        <f>E38</f>
        <v>GlbMarket_m_lithium</v>
      </c>
      <c r="G39" t="str">
        <f>$D39</f>
        <v>WestBalkans</v>
      </c>
      <c r="H39" t="str">
        <f>H38</f>
        <v>GlbMarket_m_nickel</v>
      </c>
      <c r="J39" t="str">
        <f>$D39</f>
        <v>WestBalkans</v>
      </c>
      <c r="K39" t="str">
        <f>K38</f>
        <v>GlbMarket_m_cobalt</v>
      </c>
      <c r="M39" t="str">
        <f>$D39</f>
        <v>WestBalkans</v>
      </c>
      <c r="N39" t="str">
        <f>N38</f>
        <v>GlbMarket_m_manganese</v>
      </c>
      <c r="P39" t="str">
        <f>$D39</f>
        <v>WestBalkans</v>
      </c>
      <c r="Q39" t="str">
        <f>Q38</f>
        <v>GlbMarket_m_aluminum</v>
      </c>
      <c r="S39" t="str">
        <f>$D39</f>
        <v>WestBalkans</v>
      </c>
      <c r="T39" t="str">
        <f>T38</f>
        <v>GlbMarket_m_copper</v>
      </c>
      <c r="V39" t="str">
        <f>$D39</f>
        <v>WestBalkans</v>
      </c>
      <c r="W39" t="str">
        <f>W38</f>
        <v>GlbMarket_m_graphite</v>
      </c>
    </row>
    <row r="40" spans="1:23">
      <c r="A40" t="s">
        <v>13</v>
      </c>
      <c r="D40" s="1"/>
    </row>
    <row r="41" spans="1:23">
      <c r="A41" t="s">
        <v>14</v>
      </c>
    </row>
    <row r="42" spans="1:23">
      <c r="A42" t="s">
        <v>15</v>
      </c>
    </row>
    <row r="43" spans="1:23">
      <c r="A43" t="s">
        <v>16</v>
      </c>
    </row>
    <row r="44" spans="1:23">
      <c r="A44" t="s">
        <v>17</v>
      </c>
    </row>
    <row r="45" spans="1:23">
      <c r="A45" t="s">
        <v>18</v>
      </c>
    </row>
    <row r="46" spans="1:23">
      <c r="A46" t="s">
        <v>19</v>
      </c>
    </row>
    <row r="47" spans="1:23">
      <c r="A47" t="s">
        <v>20</v>
      </c>
    </row>
    <row r="48" spans="1:23">
      <c r="A48" t="s">
        <v>21</v>
      </c>
    </row>
    <row r="49" spans="1:1">
      <c r="A49" t="s">
        <v>22</v>
      </c>
    </row>
    <row r="50" spans="1:1">
      <c r="A50" t="s">
        <v>23</v>
      </c>
    </row>
    <row r="51" spans="1:1">
      <c r="A51" t="s">
        <v>24</v>
      </c>
    </row>
    <row r="52" spans="1:1">
      <c r="A52" t="s">
        <v>25</v>
      </c>
    </row>
    <row r="53" spans="1:1">
      <c r="A53" t="s">
        <v>26</v>
      </c>
    </row>
    <row r="54" spans="1:1">
      <c r="A54" t="s">
        <v>27</v>
      </c>
    </row>
    <row r="55" spans="1:1">
      <c r="A55" t="s">
        <v>28</v>
      </c>
    </row>
    <row r="56" spans="1:1">
      <c r="A56" t="s">
        <v>29</v>
      </c>
    </row>
    <row r="57" spans="1:1">
      <c r="A57" t="s">
        <v>30</v>
      </c>
    </row>
    <row r="58" spans="1:1">
      <c r="A58" t="s">
        <v>31</v>
      </c>
    </row>
    <row r="59" spans="1:1">
      <c r="A59" t="s">
        <v>32</v>
      </c>
    </row>
    <row r="60" spans="1:1">
      <c r="A60" t="s">
        <v>33</v>
      </c>
    </row>
    <row r="61" spans="1:1">
      <c r="A61" t="s">
        <v>34</v>
      </c>
    </row>
    <row r="62" spans="1:1">
      <c r="A62" t="s">
        <v>35</v>
      </c>
    </row>
    <row r="63" spans="1:1">
      <c r="A63" t="s">
        <v>36</v>
      </c>
    </row>
    <row r="64" spans="1:1">
      <c r="A64" t="s">
        <v>37</v>
      </c>
    </row>
    <row r="65" spans="1:1">
      <c r="A65" t="s">
        <v>38</v>
      </c>
    </row>
    <row r="66" spans="1:1">
      <c r="A66" t="s">
        <v>39</v>
      </c>
    </row>
    <row r="67" spans="1:1">
      <c r="A67" t="s">
        <v>40</v>
      </c>
    </row>
    <row r="68" spans="1:1">
      <c r="A68" t="s">
        <v>41</v>
      </c>
    </row>
    <row r="69" spans="1:1">
      <c r="A69" t="s">
        <v>42</v>
      </c>
    </row>
    <row r="70" spans="1:1">
      <c r="A70" t="s">
        <v>43</v>
      </c>
    </row>
    <row r="71" spans="1:1">
      <c r="A71" t="s">
        <v>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tabSelected="1" zoomScale="50" zoomScaleNormal="50" workbookViewId="0">
      <selection activeCell="F49" sqref="F49"/>
    </sheetView>
  </sheetViews>
  <sheetFormatPr defaultColWidth="9" defaultRowHeight="14.5"/>
  <cols>
    <col min="2" max="2" width="23.8181818181818" customWidth="1"/>
    <col min="4" max="4" width="12.2636363636364" customWidth="1"/>
    <col min="5" max="5" width="30.7272727272727" customWidth="1"/>
    <col min="7" max="7" width="14.6363636363636" customWidth="1"/>
    <col min="8" max="8" width="17.7272727272727" customWidth="1"/>
    <col min="11" max="11" width="29.9090909090909" customWidth="1"/>
  </cols>
  <sheetData>
    <row r="1" spans="1:23">
      <c r="A1">
        <v>1</v>
      </c>
      <c r="B1" t="s">
        <v>45</v>
      </c>
      <c r="D1">
        <v>1</v>
      </c>
      <c r="G1">
        <f>D1+1</f>
        <v>2</v>
      </c>
      <c r="J1">
        <f>G1+1</f>
        <v>3</v>
      </c>
      <c r="M1">
        <f>J1+1</f>
        <v>4</v>
      </c>
      <c r="P1">
        <f>M1+1</f>
        <v>5</v>
      </c>
      <c r="S1">
        <f>P1+1</f>
        <v>6</v>
      </c>
      <c r="V1">
        <f>S1+1</f>
        <v>7</v>
      </c>
    </row>
    <row r="2" spans="1:23">
      <c r="A2">
        <v>2</v>
      </c>
      <c r="B2" t="s">
        <v>46</v>
      </c>
    </row>
    <row r="3" spans="1:23">
      <c r="A3">
        <v>3</v>
      </c>
      <c r="B3" t="s">
        <v>47</v>
      </c>
      <c r="D3" t="s">
        <v>3</v>
      </c>
      <c r="G3" t="s">
        <v>3</v>
      </c>
      <c r="J3" t="s">
        <v>3</v>
      </c>
      <c r="M3" t="s">
        <v>3</v>
      </c>
      <c r="P3" t="s">
        <v>3</v>
      </c>
      <c r="S3" t="s">
        <v>3</v>
      </c>
      <c r="V3" t="s">
        <v>3</v>
      </c>
    </row>
    <row r="4" spans="1:23">
      <c r="A4">
        <v>4</v>
      </c>
      <c r="B4" t="s">
        <v>48</v>
      </c>
      <c r="D4" t="str">
        <f>VLOOKUP(D1,$A$1:$B$27,2,FALSE)</f>
        <v>m_fromrecy_lithium</v>
      </c>
      <c r="E4" s="1" t="s">
        <v>5</v>
      </c>
      <c r="G4" t="str">
        <f>VLOOKUP(G1,$A$1:$B$27,2,FALSE)</f>
        <v>m_fromrecy_nickel</v>
      </c>
      <c r="H4" s="1" t="s">
        <v>5</v>
      </c>
      <c r="J4" t="str">
        <f>VLOOKUP(J1,$A$1:$B$27,2,FALSE)</f>
        <v>m_fromrecy_cobalt</v>
      </c>
      <c r="K4" s="1" t="s">
        <v>5</v>
      </c>
      <c r="M4" t="str">
        <f>VLOOKUP(M1,$A$1:$B$27,2,FALSE)</f>
        <v>m_fromrecy_manganese</v>
      </c>
      <c r="N4" s="1" t="s">
        <v>5</v>
      </c>
      <c r="P4" t="str">
        <f>VLOOKUP(P1,$A$1:$B$27,2,FALSE)</f>
        <v>m_fromrecy_aluminum</v>
      </c>
      <c r="Q4" s="1" t="s">
        <v>5</v>
      </c>
      <c r="S4" t="str">
        <f>VLOOKUP(S1,$A$1:$B$27,2,FALSE)</f>
        <v>m_fromrecy_copper</v>
      </c>
      <c r="T4" s="1" t="s">
        <v>5</v>
      </c>
      <c r="V4" t="str">
        <f>VLOOKUP(V1,$A$1:$B$27,2,FALSE)</f>
        <v>m_fromrecy_graphite</v>
      </c>
      <c r="W4" s="1" t="s">
        <v>5</v>
      </c>
    </row>
    <row r="5" spans="1:23">
      <c r="A5">
        <v>5</v>
      </c>
      <c r="B5" t="s">
        <v>49</v>
      </c>
      <c r="D5" s="1" t="str">
        <f t="shared" ref="D5:D34" si="0">IF(A37="","\I:",A37)</f>
        <v>\I:Africa_North</v>
      </c>
      <c r="E5" t="str">
        <f>"GlbMarket_"&amp;VLOOKUP(D1,$A$1:$B$29,2,FALSE)</f>
        <v>GlbMarket_m_fromrecy_lithium</v>
      </c>
      <c r="G5" t="str">
        <f>IF($D5="","\I:",$D5)</f>
        <v>\I:Africa_North</v>
      </c>
      <c r="H5" t="str">
        <f>"GlbMarket_"&amp;VLOOKUP(G1,$A$1:$B$29,2,FALSE)</f>
        <v>GlbMarket_m_fromrecy_nickel</v>
      </c>
      <c r="J5" t="str">
        <f t="shared" ref="J5:J34" si="1">$D5</f>
        <v>\I:Africa_North</v>
      </c>
      <c r="K5" t="str">
        <f>"GlbMarket_"&amp;VLOOKUP(J1,$A$1:$B$29,2,FALSE)</f>
        <v>GlbMarket_m_fromrecy_cobalt</v>
      </c>
      <c r="M5" t="str">
        <f t="shared" ref="M5:M34" si="2">$D5</f>
        <v>\I:Africa_North</v>
      </c>
      <c r="N5" t="str">
        <f>"GlbMarket_"&amp;VLOOKUP(M1,$A$1:$B$29,2,FALSE)</f>
        <v>GlbMarket_m_fromrecy_manganese</v>
      </c>
      <c r="P5" t="str">
        <f t="shared" ref="P5:P34" si="3">$D5</f>
        <v>\I:Africa_North</v>
      </c>
      <c r="Q5" t="str">
        <f>"GlbMarket_"&amp;VLOOKUP(P1,$A$1:$B$29,2,FALSE)</f>
        <v>GlbMarket_m_fromrecy_aluminum</v>
      </c>
      <c r="S5" t="str">
        <f t="shared" ref="S5:S34" si="4">$D5</f>
        <v>\I:Africa_North</v>
      </c>
      <c r="T5" t="str">
        <f>"GlbMarket_"&amp;VLOOKUP(S1,$A$1:$B$29,2,FALSE)</f>
        <v>GlbMarket_m_fromrecy_copper</v>
      </c>
      <c r="V5" t="str">
        <f t="shared" ref="V5:V34" si="5">$D5</f>
        <v>\I:Africa_North</v>
      </c>
      <c r="W5" t="str">
        <f>"GlbMarket_"&amp;VLOOKUP(V1,$A$1:$B$29,2,FALSE)</f>
        <v>GlbMarket_m_fromrecy_graphite</v>
      </c>
    </row>
    <row r="6" spans="1:23">
      <c r="A6">
        <v>6</v>
      </c>
      <c r="B6" t="s">
        <v>50</v>
      </c>
      <c r="D6" s="1" t="str">
        <f t="shared" si="0"/>
        <v>Africa_Other</v>
      </c>
      <c r="E6" t="str">
        <f>"GlbMarket_"&amp;VLOOKUP(D1,$A$1:$B$29,2,FALSE)</f>
        <v>GlbMarket_m_fromrecy_lithium</v>
      </c>
      <c r="G6" t="str">
        <f t="shared" ref="G6:G34" si="6">$D6</f>
        <v>Africa_Other</v>
      </c>
      <c r="H6" t="str">
        <f>"GlbMarket_"&amp;VLOOKUP(G1,$A$1:$B$29,2,FALSE)</f>
        <v>GlbMarket_m_fromrecy_nickel</v>
      </c>
      <c r="J6" t="str">
        <f t="shared" si="1"/>
        <v>Africa_Other</v>
      </c>
      <c r="K6" t="str">
        <f>"GlbMarket_"&amp;VLOOKUP(J1,$A$1:$B$29,2,FALSE)</f>
        <v>GlbMarket_m_fromrecy_cobalt</v>
      </c>
      <c r="M6" t="str">
        <f t="shared" si="2"/>
        <v>Africa_Other</v>
      </c>
      <c r="N6" t="str">
        <f>"GlbMarket_"&amp;VLOOKUP(M1,$A$1:$B$29,2,FALSE)</f>
        <v>GlbMarket_m_fromrecy_manganese</v>
      </c>
      <c r="P6" t="str">
        <f t="shared" si="3"/>
        <v>Africa_Other</v>
      </c>
      <c r="Q6" t="str">
        <f>"GlbMarket_"&amp;VLOOKUP(P1,$A$1:$B$29,2,FALSE)</f>
        <v>GlbMarket_m_fromrecy_aluminum</v>
      </c>
      <c r="S6" t="str">
        <f t="shared" si="4"/>
        <v>Africa_Other</v>
      </c>
      <c r="T6" t="str">
        <f>"GlbMarket_"&amp;VLOOKUP(S1,$A$1:$B$29,2,FALSE)</f>
        <v>GlbMarket_m_fromrecy_copper</v>
      </c>
      <c r="V6" t="str">
        <f t="shared" si="5"/>
        <v>Africa_Other</v>
      </c>
      <c r="W6" t="str">
        <f>"GlbMarket_"&amp;VLOOKUP(V1,$A$1:$B$29,2,FALSE)</f>
        <v>GlbMarket_m_fromrecy_graphite</v>
      </c>
    </row>
    <row r="7" spans="1:23">
      <c r="A7">
        <v>7</v>
      </c>
      <c r="B7" t="s">
        <v>51</v>
      </c>
      <c r="D7" s="1" t="str">
        <f t="shared" si="0"/>
        <v>Australia</v>
      </c>
      <c r="E7" t="str">
        <f>"GlbMarket_"&amp;VLOOKUP(D1,$A$1:$B$29,2,FALSE)</f>
        <v>GlbMarket_m_fromrecy_lithium</v>
      </c>
      <c r="G7" t="str">
        <f t="shared" si="6"/>
        <v>Australia</v>
      </c>
      <c r="H7" t="str">
        <f>"GlbMarket_"&amp;VLOOKUP(G1,$A$1:$B$29,2,FALSE)</f>
        <v>GlbMarket_m_fromrecy_nickel</v>
      </c>
      <c r="J7" t="str">
        <f t="shared" si="1"/>
        <v>Australia</v>
      </c>
      <c r="K7" t="str">
        <f>"GlbMarket_"&amp;VLOOKUP(J1,$A$1:$B$29,2,FALSE)</f>
        <v>GlbMarket_m_fromrecy_cobalt</v>
      </c>
      <c r="M7" t="str">
        <f t="shared" si="2"/>
        <v>Australia</v>
      </c>
      <c r="N7" t="str">
        <f>"GlbMarket_"&amp;VLOOKUP(M1,$A$1:$B$29,2,FALSE)</f>
        <v>GlbMarket_m_fromrecy_manganese</v>
      </c>
      <c r="P7" t="str">
        <f t="shared" si="3"/>
        <v>Australia</v>
      </c>
      <c r="Q7" t="str">
        <f>"GlbMarket_"&amp;VLOOKUP(P1,$A$1:$B$29,2,FALSE)</f>
        <v>GlbMarket_m_fromrecy_aluminum</v>
      </c>
      <c r="S7" t="str">
        <f t="shared" si="4"/>
        <v>Australia</v>
      </c>
      <c r="T7" t="str">
        <f>"GlbMarket_"&amp;VLOOKUP(S1,$A$1:$B$29,2,FALSE)</f>
        <v>GlbMarket_m_fromrecy_copper</v>
      </c>
      <c r="V7" t="str">
        <f t="shared" si="5"/>
        <v>Australia</v>
      </c>
      <c r="W7" t="str">
        <f>"GlbMarket_"&amp;VLOOKUP(V1,$A$1:$B$29,2,FALSE)</f>
        <v>GlbMarket_m_fromrecy_graphite</v>
      </c>
    </row>
    <row r="8" spans="1:23">
      <c r="A8">
        <v>8</v>
      </c>
      <c r="D8" s="1" t="str">
        <f t="shared" si="0"/>
        <v>Austria</v>
      </c>
      <c r="E8" t="str">
        <f>"GlbMarket_"&amp;VLOOKUP(D1,$A$1:$B$29,2,FALSE)</f>
        <v>GlbMarket_m_fromrecy_lithium</v>
      </c>
      <c r="G8" t="str">
        <f t="shared" si="6"/>
        <v>Austria</v>
      </c>
      <c r="H8" t="str">
        <f>"GlbMarket_"&amp;VLOOKUP(G1,$A$1:$B$29,2,FALSE)</f>
        <v>GlbMarket_m_fromrecy_nickel</v>
      </c>
      <c r="J8" t="str">
        <f t="shared" si="1"/>
        <v>Austria</v>
      </c>
      <c r="K8" t="str">
        <f>"GlbMarket_"&amp;VLOOKUP(J1,$A$1:$B$29,2,FALSE)</f>
        <v>GlbMarket_m_fromrecy_cobalt</v>
      </c>
      <c r="M8" t="str">
        <f t="shared" si="2"/>
        <v>Austria</v>
      </c>
      <c r="N8" t="str">
        <f>"GlbMarket_"&amp;VLOOKUP(M1,$A$1:$B$29,2,FALSE)</f>
        <v>GlbMarket_m_fromrecy_manganese</v>
      </c>
      <c r="P8" t="str">
        <f t="shared" si="3"/>
        <v>Austria</v>
      </c>
      <c r="Q8" t="str">
        <f>"GlbMarket_"&amp;VLOOKUP(P1,$A$1:$B$29,2,FALSE)</f>
        <v>GlbMarket_m_fromrecy_aluminum</v>
      </c>
      <c r="S8" t="str">
        <f t="shared" si="4"/>
        <v>Austria</v>
      </c>
      <c r="T8" t="str">
        <f>"GlbMarket_"&amp;VLOOKUP(S1,$A$1:$B$29,2,FALSE)</f>
        <v>GlbMarket_m_fromrecy_copper</v>
      </c>
      <c r="V8" t="str">
        <f t="shared" si="5"/>
        <v>Austria</v>
      </c>
      <c r="W8" t="str">
        <f>"GlbMarket_"&amp;VLOOKUP(V1,$A$1:$B$29,2,FALSE)</f>
        <v>GlbMarket_m_fromrecy_graphite</v>
      </c>
    </row>
    <row r="9" spans="1:23">
      <c r="A9">
        <v>9</v>
      </c>
      <c r="D9" s="1" t="str">
        <f t="shared" si="0"/>
        <v>Baltics</v>
      </c>
      <c r="E9" t="str">
        <f>"GlbMarket_"&amp;VLOOKUP(D1,$A$1:$B$29,2,FALSE)</f>
        <v>GlbMarket_m_fromrecy_lithium</v>
      </c>
      <c r="G9" t="str">
        <f t="shared" si="6"/>
        <v>Baltics</v>
      </c>
      <c r="H9" t="str">
        <f>"GlbMarket_"&amp;VLOOKUP(G1,$A$1:$B$29,2,FALSE)</f>
        <v>GlbMarket_m_fromrecy_nickel</v>
      </c>
      <c r="J9" t="str">
        <f t="shared" si="1"/>
        <v>Baltics</v>
      </c>
      <c r="K9" t="str">
        <f>"GlbMarket_"&amp;VLOOKUP(J1,$A$1:$B$29,2,FALSE)</f>
        <v>GlbMarket_m_fromrecy_cobalt</v>
      </c>
      <c r="M9" t="str">
        <f t="shared" si="2"/>
        <v>Baltics</v>
      </c>
      <c r="N9" t="str">
        <f>"GlbMarket_"&amp;VLOOKUP(M1,$A$1:$B$29,2,FALSE)</f>
        <v>GlbMarket_m_fromrecy_manganese</v>
      </c>
      <c r="P9" t="str">
        <f t="shared" si="3"/>
        <v>Baltics</v>
      </c>
      <c r="Q9" t="str">
        <f>"GlbMarket_"&amp;VLOOKUP(P1,$A$1:$B$29,2,FALSE)</f>
        <v>GlbMarket_m_fromrecy_aluminum</v>
      </c>
      <c r="S9" t="str">
        <f t="shared" si="4"/>
        <v>Baltics</v>
      </c>
      <c r="T9" t="str">
        <f>"GlbMarket_"&amp;VLOOKUP(S1,$A$1:$B$29,2,FALSE)</f>
        <v>GlbMarket_m_fromrecy_copper</v>
      </c>
      <c r="V9" t="str">
        <f t="shared" si="5"/>
        <v>Baltics</v>
      </c>
      <c r="W9" t="str">
        <f>"GlbMarket_"&amp;VLOOKUP(V1,$A$1:$B$29,2,FALSE)</f>
        <v>GlbMarket_m_fromrecy_graphite</v>
      </c>
    </row>
    <row r="10" spans="1:23">
      <c r="A10">
        <v>10</v>
      </c>
      <c r="D10" s="1" t="str">
        <f t="shared" si="0"/>
        <v>BeNeLux</v>
      </c>
      <c r="E10" t="str">
        <f>"GlbMarket_"&amp;VLOOKUP(D1,$A$1:$B$29,2,FALSE)</f>
        <v>GlbMarket_m_fromrecy_lithium</v>
      </c>
      <c r="G10" t="str">
        <f t="shared" si="6"/>
        <v>BeNeLux</v>
      </c>
      <c r="H10" t="str">
        <f>"GlbMarket_"&amp;VLOOKUP(G1,$A$1:$B$29,2,FALSE)</f>
        <v>GlbMarket_m_fromrecy_nickel</v>
      </c>
      <c r="J10" t="str">
        <f t="shared" si="1"/>
        <v>BeNeLux</v>
      </c>
      <c r="K10" t="str">
        <f>"GlbMarket_"&amp;VLOOKUP(J1,$A$1:$B$29,2,FALSE)</f>
        <v>GlbMarket_m_fromrecy_cobalt</v>
      </c>
      <c r="M10" t="str">
        <f t="shared" si="2"/>
        <v>BeNeLux</v>
      </c>
      <c r="N10" t="str">
        <f>"GlbMarket_"&amp;VLOOKUP(M1,$A$1:$B$29,2,FALSE)</f>
        <v>GlbMarket_m_fromrecy_manganese</v>
      </c>
      <c r="P10" t="str">
        <f t="shared" si="3"/>
        <v>BeNeLux</v>
      </c>
      <c r="Q10" t="str">
        <f>"GlbMarket_"&amp;VLOOKUP(P1,$A$1:$B$29,2,FALSE)</f>
        <v>GlbMarket_m_fromrecy_aluminum</v>
      </c>
      <c r="S10" t="str">
        <f t="shared" si="4"/>
        <v>BeNeLux</v>
      </c>
      <c r="T10" t="str">
        <f>"GlbMarket_"&amp;VLOOKUP(S1,$A$1:$B$29,2,FALSE)</f>
        <v>GlbMarket_m_fromrecy_copper</v>
      </c>
      <c r="V10" t="str">
        <f t="shared" si="5"/>
        <v>BeNeLux</v>
      </c>
      <c r="W10" t="str">
        <f>"GlbMarket_"&amp;VLOOKUP(V1,$A$1:$B$29,2,FALSE)</f>
        <v>GlbMarket_m_fromrecy_graphite</v>
      </c>
    </row>
    <row r="11" spans="1:23">
      <c r="A11">
        <v>11</v>
      </c>
      <c r="D11" s="1" t="str">
        <f t="shared" si="0"/>
        <v>Brazil</v>
      </c>
      <c r="E11" t="str">
        <f>"GlbMarket_"&amp;VLOOKUP(D1,$A$1:$B$29,2,FALSE)</f>
        <v>GlbMarket_m_fromrecy_lithium</v>
      </c>
      <c r="G11" t="str">
        <f t="shared" si="6"/>
        <v>Brazil</v>
      </c>
      <c r="H11" t="str">
        <f>"GlbMarket_"&amp;VLOOKUP(G1,$A$1:$B$29,2,FALSE)</f>
        <v>GlbMarket_m_fromrecy_nickel</v>
      </c>
      <c r="J11" t="str">
        <f t="shared" si="1"/>
        <v>Brazil</v>
      </c>
      <c r="K11" t="str">
        <f>"GlbMarket_"&amp;VLOOKUP(J1,$A$1:$B$29,2,FALSE)</f>
        <v>GlbMarket_m_fromrecy_cobalt</v>
      </c>
      <c r="M11" t="str">
        <f t="shared" si="2"/>
        <v>Brazil</v>
      </c>
      <c r="N11" t="str">
        <f>"GlbMarket_"&amp;VLOOKUP(M1,$A$1:$B$29,2,FALSE)</f>
        <v>GlbMarket_m_fromrecy_manganese</v>
      </c>
      <c r="P11" t="str">
        <f t="shared" si="3"/>
        <v>Brazil</v>
      </c>
      <c r="Q11" t="str">
        <f>"GlbMarket_"&amp;VLOOKUP(P1,$A$1:$B$29,2,FALSE)</f>
        <v>GlbMarket_m_fromrecy_aluminum</v>
      </c>
      <c r="S11" t="str">
        <f t="shared" si="4"/>
        <v>Brazil</v>
      </c>
      <c r="T11" t="str">
        <f>"GlbMarket_"&amp;VLOOKUP(S1,$A$1:$B$29,2,FALSE)</f>
        <v>GlbMarket_m_fromrecy_copper</v>
      </c>
      <c r="V11" t="str">
        <f t="shared" si="5"/>
        <v>Brazil</v>
      </c>
      <c r="W11" t="str">
        <f>"GlbMarket_"&amp;VLOOKUP(V1,$A$1:$B$29,2,FALSE)</f>
        <v>GlbMarket_m_fromrecy_graphite</v>
      </c>
    </row>
    <row r="12" spans="1:23">
      <c r="A12">
        <v>12</v>
      </c>
      <c r="D12" s="1" t="str">
        <f t="shared" si="0"/>
        <v>China</v>
      </c>
      <c r="E12" t="str">
        <f>"GlbMarket_"&amp;VLOOKUP(D1,$A$1:$B$29,2,FALSE)</f>
        <v>GlbMarket_m_fromrecy_lithium</v>
      </c>
      <c r="G12" t="str">
        <f t="shared" si="6"/>
        <v>China</v>
      </c>
      <c r="H12" t="str">
        <f>"GlbMarket_"&amp;VLOOKUP(G1,$A$1:$B$29,2,FALSE)</f>
        <v>GlbMarket_m_fromrecy_nickel</v>
      </c>
      <c r="J12" t="str">
        <f t="shared" si="1"/>
        <v>China</v>
      </c>
      <c r="K12" t="str">
        <f>"GlbMarket_"&amp;VLOOKUP(J1,$A$1:$B$29,2,FALSE)</f>
        <v>GlbMarket_m_fromrecy_cobalt</v>
      </c>
      <c r="M12" t="str">
        <f t="shared" si="2"/>
        <v>China</v>
      </c>
      <c r="N12" t="str">
        <f>"GlbMarket_"&amp;VLOOKUP(M1,$A$1:$B$29,2,FALSE)</f>
        <v>GlbMarket_m_fromrecy_manganese</v>
      </c>
      <c r="P12" t="str">
        <f t="shared" si="3"/>
        <v>China</v>
      </c>
      <c r="Q12" t="str">
        <f>"GlbMarket_"&amp;VLOOKUP(P1,$A$1:$B$29,2,FALSE)</f>
        <v>GlbMarket_m_fromrecy_aluminum</v>
      </c>
      <c r="S12" t="str">
        <f t="shared" si="4"/>
        <v>China</v>
      </c>
      <c r="T12" t="str">
        <f>"GlbMarket_"&amp;VLOOKUP(S1,$A$1:$B$29,2,FALSE)</f>
        <v>GlbMarket_m_fromrecy_copper</v>
      </c>
      <c r="V12" t="str">
        <f t="shared" si="5"/>
        <v>China</v>
      </c>
      <c r="W12" t="str">
        <f>"GlbMarket_"&amp;VLOOKUP(V1,$A$1:$B$29,2,FALSE)</f>
        <v>GlbMarket_m_fromrecy_graphite</v>
      </c>
    </row>
    <row r="13" spans="1:23">
      <c r="A13">
        <v>13</v>
      </c>
      <c r="D13" s="1" t="str">
        <f t="shared" si="0"/>
        <v>CroSloven</v>
      </c>
      <c r="E13" t="str">
        <f>"GlbMarket_"&amp;VLOOKUP(D1,$A$1:$B$29,2,FALSE)</f>
        <v>GlbMarket_m_fromrecy_lithium</v>
      </c>
      <c r="G13" t="str">
        <f t="shared" si="6"/>
        <v>CroSloven</v>
      </c>
      <c r="H13" t="str">
        <f>"GlbMarket_"&amp;VLOOKUP(G1,$A$1:$B$29,2,FALSE)</f>
        <v>GlbMarket_m_fromrecy_nickel</v>
      </c>
      <c r="J13" t="str">
        <f t="shared" si="1"/>
        <v>CroSloven</v>
      </c>
      <c r="K13" t="str">
        <f>"GlbMarket_"&amp;VLOOKUP(J1,$A$1:$B$29,2,FALSE)</f>
        <v>GlbMarket_m_fromrecy_cobalt</v>
      </c>
      <c r="M13" t="str">
        <f t="shared" si="2"/>
        <v>CroSloven</v>
      </c>
      <c r="N13" t="str">
        <f>"GlbMarket_"&amp;VLOOKUP(M1,$A$1:$B$29,2,FALSE)</f>
        <v>GlbMarket_m_fromrecy_manganese</v>
      </c>
      <c r="P13" t="str">
        <f t="shared" si="3"/>
        <v>CroSloven</v>
      </c>
      <c r="Q13" t="str">
        <f>"GlbMarket_"&amp;VLOOKUP(P1,$A$1:$B$29,2,FALSE)</f>
        <v>GlbMarket_m_fromrecy_aluminum</v>
      </c>
      <c r="S13" t="str">
        <f t="shared" si="4"/>
        <v>CroSloven</v>
      </c>
      <c r="T13" t="str">
        <f>"GlbMarket_"&amp;VLOOKUP(S1,$A$1:$B$29,2,FALSE)</f>
        <v>GlbMarket_m_fromrecy_copper</v>
      </c>
      <c r="V13" t="str">
        <f t="shared" si="5"/>
        <v>CroSloven</v>
      </c>
      <c r="W13" t="str">
        <f>"GlbMarket_"&amp;VLOOKUP(V1,$A$1:$B$29,2,FALSE)</f>
        <v>GlbMarket_m_fromrecy_graphite</v>
      </c>
    </row>
    <row r="14" spans="1:23">
      <c r="A14">
        <v>14</v>
      </c>
      <c r="D14" s="1" t="str">
        <f t="shared" si="0"/>
        <v>CzechSlovak</v>
      </c>
      <c r="E14" t="str">
        <f>"GlbMarket_"&amp;VLOOKUP(D1,$A$1:$B$29,2,FALSE)</f>
        <v>GlbMarket_m_fromrecy_lithium</v>
      </c>
      <c r="G14" t="str">
        <f t="shared" si="6"/>
        <v>CzechSlovak</v>
      </c>
      <c r="H14" t="str">
        <f>"GlbMarket_"&amp;VLOOKUP(G1,$A$1:$B$29,2,FALSE)</f>
        <v>GlbMarket_m_fromrecy_nickel</v>
      </c>
      <c r="J14" t="str">
        <f t="shared" si="1"/>
        <v>CzechSlovak</v>
      </c>
      <c r="K14" t="str">
        <f>"GlbMarket_"&amp;VLOOKUP(J1,$A$1:$B$29,2,FALSE)</f>
        <v>GlbMarket_m_fromrecy_cobalt</v>
      </c>
      <c r="M14" t="str">
        <f t="shared" si="2"/>
        <v>CzechSlovak</v>
      </c>
      <c r="N14" t="str">
        <f>"GlbMarket_"&amp;VLOOKUP(M1,$A$1:$B$29,2,FALSE)</f>
        <v>GlbMarket_m_fromrecy_manganese</v>
      </c>
      <c r="P14" t="str">
        <f t="shared" si="3"/>
        <v>CzechSlovak</v>
      </c>
      <c r="Q14" t="str">
        <f>"GlbMarket_"&amp;VLOOKUP(P1,$A$1:$B$29,2,FALSE)</f>
        <v>GlbMarket_m_fromrecy_aluminum</v>
      </c>
      <c r="S14" t="str">
        <f t="shared" si="4"/>
        <v>CzechSlovak</v>
      </c>
      <c r="T14" t="str">
        <f>"GlbMarket_"&amp;VLOOKUP(S1,$A$1:$B$29,2,FALSE)</f>
        <v>GlbMarket_m_fromrecy_copper</v>
      </c>
      <c r="V14" t="str">
        <f t="shared" si="5"/>
        <v>CzechSlovak</v>
      </c>
      <c r="W14" t="str">
        <f>"GlbMarket_"&amp;VLOOKUP(V1,$A$1:$B$29,2,FALSE)</f>
        <v>GlbMarket_m_fromrecy_graphite</v>
      </c>
    </row>
    <row r="15" spans="1:23">
      <c r="A15">
        <v>15</v>
      </c>
      <c r="D15" s="1" t="str">
        <f t="shared" si="0"/>
        <v>France</v>
      </c>
      <c r="E15" t="str">
        <f>"GlbMarket_"&amp;VLOOKUP(D1,$A$1:$B$29,2,FALSE)</f>
        <v>GlbMarket_m_fromrecy_lithium</v>
      </c>
      <c r="G15" t="str">
        <f t="shared" si="6"/>
        <v>France</v>
      </c>
      <c r="H15" t="str">
        <f>"GlbMarket_"&amp;VLOOKUP(G1,$A$1:$B$29,2,FALSE)</f>
        <v>GlbMarket_m_fromrecy_nickel</v>
      </c>
      <c r="J15" t="str">
        <f t="shared" si="1"/>
        <v>France</v>
      </c>
      <c r="K15" t="str">
        <f>"GlbMarket_"&amp;VLOOKUP(J1,$A$1:$B$29,2,FALSE)</f>
        <v>GlbMarket_m_fromrecy_cobalt</v>
      </c>
      <c r="M15" t="str">
        <f t="shared" si="2"/>
        <v>France</v>
      </c>
      <c r="N15" t="str">
        <f>"GlbMarket_"&amp;VLOOKUP(M1,$A$1:$B$29,2,FALSE)</f>
        <v>GlbMarket_m_fromrecy_manganese</v>
      </c>
      <c r="P15" t="str">
        <f t="shared" si="3"/>
        <v>France</v>
      </c>
      <c r="Q15" t="str">
        <f>"GlbMarket_"&amp;VLOOKUP(P1,$A$1:$B$29,2,FALSE)</f>
        <v>GlbMarket_m_fromrecy_aluminum</v>
      </c>
      <c r="S15" t="str">
        <f t="shared" si="4"/>
        <v>France</v>
      </c>
      <c r="T15" t="str">
        <f>"GlbMarket_"&amp;VLOOKUP(S1,$A$1:$B$29,2,FALSE)</f>
        <v>GlbMarket_m_fromrecy_copper</v>
      </c>
      <c r="V15" t="str">
        <f t="shared" si="5"/>
        <v>France</v>
      </c>
      <c r="W15" t="str">
        <f>"GlbMarket_"&amp;VLOOKUP(V1,$A$1:$B$29,2,FALSE)</f>
        <v>GlbMarket_m_fromrecy_graphite</v>
      </c>
    </row>
    <row r="16" spans="1:23">
      <c r="A16">
        <v>16</v>
      </c>
      <c r="D16" s="1" t="str">
        <f t="shared" si="0"/>
        <v>Germany</v>
      </c>
      <c r="E16" t="str">
        <f>"GlbMarket_"&amp;VLOOKUP(D1,$A$1:$B$29,2,FALSE)</f>
        <v>GlbMarket_m_fromrecy_lithium</v>
      </c>
      <c r="G16" t="str">
        <f t="shared" si="6"/>
        <v>Germany</v>
      </c>
      <c r="H16" t="str">
        <f>"GlbMarket_"&amp;VLOOKUP(G1,$A$1:$B$29,2,FALSE)</f>
        <v>GlbMarket_m_fromrecy_nickel</v>
      </c>
      <c r="J16" t="str">
        <f t="shared" si="1"/>
        <v>Germany</v>
      </c>
      <c r="K16" t="str">
        <f>"GlbMarket_"&amp;VLOOKUP(J1,$A$1:$B$29,2,FALSE)</f>
        <v>GlbMarket_m_fromrecy_cobalt</v>
      </c>
      <c r="M16" t="str">
        <f t="shared" si="2"/>
        <v>Germany</v>
      </c>
      <c r="N16" t="str">
        <f>"GlbMarket_"&amp;VLOOKUP(M1,$A$1:$B$29,2,FALSE)</f>
        <v>GlbMarket_m_fromrecy_manganese</v>
      </c>
      <c r="P16" t="str">
        <f t="shared" si="3"/>
        <v>Germany</v>
      </c>
      <c r="Q16" t="str">
        <f>"GlbMarket_"&amp;VLOOKUP(P1,$A$1:$B$29,2,FALSE)</f>
        <v>GlbMarket_m_fromrecy_aluminum</v>
      </c>
      <c r="S16" t="str">
        <f t="shared" si="4"/>
        <v>Germany</v>
      </c>
      <c r="T16" t="str">
        <f>"GlbMarket_"&amp;VLOOKUP(S1,$A$1:$B$29,2,FALSE)</f>
        <v>GlbMarket_m_fromrecy_copper</v>
      </c>
      <c r="V16" t="str">
        <f t="shared" si="5"/>
        <v>Germany</v>
      </c>
      <c r="W16" t="str">
        <f>"GlbMarket_"&amp;VLOOKUP(V1,$A$1:$B$29,2,FALSE)</f>
        <v>GlbMarket_m_fromrecy_graphite</v>
      </c>
    </row>
    <row r="17" spans="1:23">
      <c r="A17">
        <v>17</v>
      </c>
      <c r="D17" s="1" t="str">
        <f t="shared" si="0"/>
        <v>GreeceCyp</v>
      </c>
      <c r="E17" t="str">
        <f>"GlbMarket_"&amp;VLOOKUP(D1,$A$1:$B$29,2,FALSE)</f>
        <v>GlbMarket_m_fromrecy_lithium</v>
      </c>
      <c r="G17" t="str">
        <f t="shared" si="6"/>
        <v>GreeceCyp</v>
      </c>
      <c r="H17" t="str">
        <f>"GlbMarket_"&amp;VLOOKUP(G1,$A$1:$B$29,2,FALSE)</f>
        <v>GlbMarket_m_fromrecy_nickel</v>
      </c>
      <c r="J17" t="str">
        <f t="shared" si="1"/>
        <v>GreeceCyp</v>
      </c>
      <c r="K17" t="str">
        <f>"GlbMarket_"&amp;VLOOKUP(J1,$A$1:$B$29,2,FALSE)</f>
        <v>GlbMarket_m_fromrecy_cobalt</v>
      </c>
      <c r="M17" t="str">
        <f t="shared" si="2"/>
        <v>GreeceCyp</v>
      </c>
      <c r="N17" t="str">
        <f>"GlbMarket_"&amp;VLOOKUP(M1,$A$1:$B$29,2,FALSE)</f>
        <v>GlbMarket_m_fromrecy_manganese</v>
      </c>
      <c r="P17" t="str">
        <f t="shared" si="3"/>
        <v>GreeceCyp</v>
      </c>
      <c r="Q17" t="str">
        <f>"GlbMarket_"&amp;VLOOKUP(P1,$A$1:$B$29,2,FALSE)</f>
        <v>GlbMarket_m_fromrecy_aluminum</v>
      </c>
      <c r="S17" t="str">
        <f t="shared" si="4"/>
        <v>GreeceCyp</v>
      </c>
      <c r="T17" t="str">
        <f>"GlbMarket_"&amp;VLOOKUP(S1,$A$1:$B$29,2,FALSE)</f>
        <v>GlbMarket_m_fromrecy_copper</v>
      </c>
      <c r="V17" t="str">
        <f t="shared" si="5"/>
        <v>GreeceCyp</v>
      </c>
      <c r="W17" t="str">
        <f>"GlbMarket_"&amp;VLOOKUP(V1,$A$1:$B$29,2,FALSE)</f>
        <v>GlbMarket_m_fromrecy_graphite</v>
      </c>
    </row>
    <row r="18" spans="1:23">
      <c r="A18">
        <v>18</v>
      </c>
      <c r="D18" s="1" t="str">
        <f t="shared" si="0"/>
        <v>HunRomBul</v>
      </c>
      <c r="E18" t="str">
        <f>"GlbMarket_"&amp;VLOOKUP(D1,$A$1:$B$29,2,FALSE)</f>
        <v>GlbMarket_m_fromrecy_lithium</v>
      </c>
      <c r="G18" t="str">
        <f t="shared" si="6"/>
        <v>HunRomBul</v>
      </c>
      <c r="H18" t="str">
        <f>"GlbMarket_"&amp;VLOOKUP(G1,$A$1:$B$29,2,FALSE)</f>
        <v>GlbMarket_m_fromrecy_nickel</v>
      </c>
      <c r="J18" t="str">
        <f t="shared" si="1"/>
        <v>HunRomBul</v>
      </c>
      <c r="K18" t="str">
        <f>"GlbMarket_"&amp;VLOOKUP(J1,$A$1:$B$29,2,FALSE)</f>
        <v>GlbMarket_m_fromrecy_cobalt</v>
      </c>
      <c r="M18" t="str">
        <f t="shared" si="2"/>
        <v>HunRomBul</v>
      </c>
      <c r="N18" t="str">
        <f>"GlbMarket_"&amp;VLOOKUP(M1,$A$1:$B$29,2,FALSE)</f>
        <v>GlbMarket_m_fromrecy_manganese</v>
      </c>
      <c r="P18" t="str">
        <f t="shared" si="3"/>
        <v>HunRomBul</v>
      </c>
      <c r="Q18" t="str">
        <f>"GlbMarket_"&amp;VLOOKUP(P1,$A$1:$B$29,2,FALSE)</f>
        <v>GlbMarket_m_fromrecy_aluminum</v>
      </c>
      <c r="S18" t="str">
        <f t="shared" si="4"/>
        <v>HunRomBul</v>
      </c>
      <c r="T18" t="str">
        <f>"GlbMarket_"&amp;VLOOKUP(S1,$A$1:$B$29,2,FALSE)</f>
        <v>GlbMarket_m_fromrecy_copper</v>
      </c>
      <c r="V18" t="str">
        <f t="shared" si="5"/>
        <v>HunRomBul</v>
      </c>
      <c r="W18" t="str">
        <f>"GlbMarket_"&amp;VLOOKUP(V1,$A$1:$B$29,2,FALSE)</f>
        <v>GlbMarket_m_fromrecy_graphite</v>
      </c>
    </row>
    <row r="19" spans="1:23">
      <c r="A19">
        <v>19</v>
      </c>
      <c r="D19" s="1" t="str">
        <f t="shared" si="0"/>
        <v>Iceland</v>
      </c>
      <c r="E19" t="str">
        <f>"GlbMarket_"&amp;VLOOKUP(D1,$A$1:$B$29,2,FALSE)</f>
        <v>GlbMarket_m_fromrecy_lithium</v>
      </c>
      <c r="G19" t="str">
        <f t="shared" si="6"/>
        <v>Iceland</v>
      </c>
      <c r="H19" t="str">
        <f>"GlbMarket_"&amp;VLOOKUP(G1,$A$1:$B$29,2,FALSE)</f>
        <v>GlbMarket_m_fromrecy_nickel</v>
      </c>
      <c r="J19" t="str">
        <f t="shared" si="1"/>
        <v>Iceland</v>
      </c>
      <c r="K19" t="str">
        <f>"GlbMarket_"&amp;VLOOKUP(J1,$A$1:$B$29,2,FALSE)</f>
        <v>GlbMarket_m_fromrecy_cobalt</v>
      </c>
      <c r="M19" t="str">
        <f t="shared" si="2"/>
        <v>Iceland</v>
      </c>
      <c r="N19" t="str">
        <f>"GlbMarket_"&amp;VLOOKUP(M1,$A$1:$B$29,2,FALSE)</f>
        <v>GlbMarket_m_fromrecy_manganese</v>
      </c>
      <c r="P19" t="str">
        <f t="shared" si="3"/>
        <v>Iceland</v>
      </c>
      <c r="Q19" t="str">
        <f>"GlbMarket_"&amp;VLOOKUP(P1,$A$1:$B$29,2,FALSE)</f>
        <v>GlbMarket_m_fromrecy_aluminum</v>
      </c>
      <c r="S19" t="str">
        <f t="shared" si="4"/>
        <v>Iceland</v>
      </c>
      <c r="T19" t="str">
        <f>"GlbMarket_"&amp;VLOOKUP(S1,$A$1:$B$29,2,FALSE)</f>
        <v>GlbMarket_m_fromrecy_copper</v>
      </c>
      <c r="V19" t="str">
        <f t="shared" si="5"/>
        <v>Iceland</v>
      </c>
      <c r="W19" t="str">
        <f>"GlbMarket_"&amp;VLOOKUP(V1,$A$1:$B$29,2,FALSE)</f>
        <v>GlbMarket_m_fromrecy_graphite</v>
      </c>
    </row>
    <row r="20" spans="1:23">
      <c r="A20">
        <v>20</v>
      </c>
      <c r="D20" s="1" t="str">
        <f t="shared" si="0"/>
        <v>India</v>
      </c>
      <c r="E20" t="str">
        <f>"GlbMarket_"&amp;VLOOKUP(D1,$A$1:$B$29,2,FALSE)</f>
        <v>GlbMarket_m_fromrecy_lithium</v>
      </c>
      <c r="G20" t="str">
        <f t="shared" si="6"/>
        <v>India</v>
      </c>
      <c r="H20" t="str">
        <f>"GlbMarket_"&amp;VLOOKUP(G1,$A$1:$B$29,2,FALSE)</f>
        <v>GlbMarket_m_fromrecy_nickel</v>
      </c>
      <c r="J20" t="str">
        <f t="shared" si="1"/>
        <v>India</v>
      </c>
      <c r="K20" t="str">
        <f>"GlbMarket_"&amp;VLOOKUP(J1,$A$1:$B$29,2,FALSE)</f>
        <v>GlbMarket_m_fromrecy_cobalt</v>
      </c>
      <c r="M20" t="str">
        <f t="shared" si="2"/>
        <v>India</v>
      </c>
      <c r="N20" t="str">
        <f>"GlbMarket_"&amp;VLOOKUP(M1,$A$1:$B$29,2,FALSE)</f>
        <v>GlbMarket_m_fromrecy_manganese</v>
      </c>
      <c r="P20" t="str">
        <f t="shared" si="3"/>
        <v>India</v>
      </c>
      <c r="Q20" t="str">
        <f>"GlbMarket_"&amp;VLOOKUP(P1,$A$1:$B$29,2,FALSE)</f>
        <v>GlbMarket_m_fromrecy_aluminum</v>
      </c>
      <c r="S20" t="str">
        <f t="shared" si="4"/>
        <v>India</v>
      </c>
      <c r="T20" t="str">
        <f>"GlbMarket_"&amp;VLOOKUP(S1,$A$1:$B$29,2,FALSE)</f>
        <v>GlbMarket_m_fromrecy_copper</v>
      </c>
      <c r="V20" t="str">
        <f t="shared" si="5"/>
        <v>India</v>
      </c>
      <c r="W20" t="str">
        <f>"GlbMarket_"&amp;VLOOKUP(V1,$A$1:$B$29,2,FALSE)</f>
        <v>GlbMarket_m_fromrecy_graphite</v>
      </c>
    </row>
    <row r="21" spans="1:23">
      <c r="A21">
        <v>21</v>
      </c>
      <c r="D21" s="1" t="str">
        <f t="shared" si="0"/>
        <v>Ireland</v>
      </c>
      <c r="E21" t="str">
        <f>"GlbMarket_"&amp;VLOOKUP(D1,$A$1:$B$29,2,FALSE)</f>
        <v>GlbMarket_m_fromrecy_lithium</v>
      </c>
      <c r="G21" t="str">
        <f t="shared" si="6"/>
        <v>Ireland</v>
      </c>
      <c r="H21" t="str">
        <f>"GlbMarket_"&amp;VLOOKUP(G1,$A$1:$B$29,2,FALSE)</f>
        <v>GlbMarket_m_fromrecy_nickel</v>
      </c>
      <c r="J21" t="str">
        <f t="shared" si="1"/>
        <v>Ireland</v>
      </c>
      <c r="K21" t="str">
        <f>"GlbMarket_"&amp;VLOOKUP(J1,$A$1:$B$29,2,FALSE)</f>
        <v>GlbMarket_m_fromrecy_cobalt</v>
      </c>
      <c r="M21" t="str">
        <f t="shared" si="2"/>
        <v>Ireland</v>
      </c>
      <c r="N21" t="str">
        <f>"GlbMarket_"&amp;VLOOKUP(M1,$A$1:$B$29,2,FALSE)</f>
        <v>GlbMarket_m_fromrecy_manganese</v>
      </c>
      <c r="P21" t="str">
        <f t="shared" si="3"/>
        <v>Ireland</v>
      </c>
      <c r="Q21" t="str">
        <f>"GlbMarket_"&amp;VLOOKUP(P1,$A$1:$B$29,2,FALSE)</f>
        <v>GlbMarket_m_fromrecy_aluminum</v>
      </c>
      <c r="S21" t="str">
        <f t="shared" si="4"/>
        <v>Ireland</v>
      </c>
      <c r="T21" t="str">
        <f>"GlbMarket_"&amp;VLOOKUP(S1,$A$1:$B$29,2,FALSE)</f>
        <v>GlbMarket_m_fromrecy_copper</v>
      </c>
      <c r="V21" t="str">
        <f t="shared" si="5"/>
        <v>Ireland</v>
      </c>
      <c r="W21" t="str">
        <f>"GlbMarket_"&amp;VLOOKUP(V1,$A$1:$B$29,2,FALSE)</f>
        <v>GlbMarket_m_fromrecy_graphite</v>
      </c>
    </row>
    <row r="22" spans="1:23">
      <c r="A22">
        <v>22</v>
      </c>
      <c r="D22" s="1" t="str">
        <f t="shared" si="0"/>
        <v>ItalyMal</v>
      </c>
      <c r="E22" t="str">
        <f t="shared" ref="E22:E34" si="7">E21</f>
        <v>GlbMarket_m_fromrecy_lithium</v>
      </c>
      <c r="G22" t="str">
        <f t="shared" si="6"/>
        <v>ItalyMal</v>
      </c>
      <c r="H22" t="str">
        <f t="shared" ref="H22:H34" si="8">H21</f>
        <v>GlbMarket_m_fromrecy_nickel</v>
      </c>
      <c r="J22" t="str">
        <f t="shared" si="1"/>
        <v>ItalyMal</v>
      </c>
      <c r="K22" t="str">
        <f t="shared" ref="K22:K34" si="9">K21</f>
        <v>GlbMarket_m_fromrecy_cobalt</v>
      </c>
      <c r="M22" t="str">
        <f t="shared" si="2"/>
        <v>ItalyMal</v>
      </c>
      <c r="N22" t="str">
        <f t="shared" ref="N22:N34" si="10">N21</f>
        <v>GlbMarket_m_fromrecy_manganese</v>
      </c>
      <c r="P22" t="str">
        <f t="shared" si="3"/>
        <v>ItalyMal</v>
      </c>
      <c r="Q22" t="str">
        <f t="shared" ref="Q22:Q34" si="11">Q21</f>
        <v>GlbMarket_m_fromrecy_aluminum</v>
      </c>
      <c r="S22" t="str">
        <f t="shared" si="4"/>
        <v>ItalyMal</v>
      </c>
      <c r="T22" t="str">
        <f t="shared" ref="T22:T34" si="12">T21</f>
        <v>GlbMarket_m_fromrecy_copper</v>
      </c>
      <c r="V22" t="str">
        <f t="shared" si="5"/>
        <v>ItalyMal</v>
      </c>
      <c r="W22" t="str">
        <f t="shared" ref="W22:W34" si="13">W21</f>
        <v>GlbMarket_m_fromrecy_graphite</v>
      </c>
    </row>
    <row r="23" spans="1:23">
      <c r="A23">
        <v>23</v>
      </c>
      <c r="D23" s="1" t="str">
        <f t="shared" si="0"/>
        <v>Japan</v>
      </c>
      <c r="E23" t="str">
        <f t="shared" si="7"/>
        <v>GlbMarket_m_fromrecy_lithium</v>
      </c>
      <c r="G23" t="str">
        <f t="shared" si="6"/>
        <v>Japan</v>
      </c>
      <c r="H23" t="str">
        <f t="shared" si="8"/>
        <v>GlbMarket_m_fromrecy_nickel</v>
      </c>
      <c r="J23" t="str">
        <f t="shared" si="1"/>
        <v>Japan</v>
      </c>
      <c r="K23" t="str">
        <f t="shared" si="9"/>
        <v>GlbMarket_m_fromrecy_cobalt</v>
      </c>
      <c r="M23" t="str">
        <f t="shared" si="2"/>
        <v>Japan</v>
      </c>
      <c r="N23" t="str">
        <f t="shared" si="10"/>
        <v>GlbMarket_m_fromrecy_manganese</v>
      </c>
      <c r="P23" t="str">
        <f t="shared" si="3"/>
        <v>Japan</v>
      </c>
      <c r="Q23" t="str">
        <f t="shared" si="11"/>
        <v>GlbMarket_m_fromrecy_aluminum</v>
      </c>
      <c r="S23" t="str">
        <f t="shared" si="4"/>
        <v>Japan</v>
      </c>
      <c r="T23" t="str">
        <f t="shared" si="12"/>
        <v>GlbMarket_m_fromrecy_copper</v>
      </c>
      <c r="V23" t="str">
        <f t="shared" si="5"/>
        <v>Japan</v>
      </c>
      <c r="W23" t="str">
        <f t="shared" si="13"/>
        <v>GlbMarket_m_fromrecy_graphite</v>
      </c>
    </row>
    <row r="24" spans="1:23">
      <c r="A24">
        <v>24</v>
      </c>
      <c r="D24" s="1" t="str">
        <f t="shared" si="0"/>
        <v>LatAm</v>
      </c>
      <c r="E24" t="str">
        <f t="shared" si="7"/>
        <v>GlbMarket_m_fromrecy_lithium</v>
      </c>
      <c r="G24" t="str">
        <f t="shared" si="6"/>
        <v>LatAm</v>
      </c>
      <c r="H24" t="str">
        <f t="shared" si="8"/>
        <v>GlbMarket_m_fromrecy_nickel</v>
      </c>
      <c r="J24" t="str">
        <f t="shared" si="1"/>
        <v>LatAm</v>
      </c>
      <c r="K24" t="str">
        <f t="shared" si="9"/>
        <v>GlbMarket_m_fromrecy_cobalt</v>
      </c>
      <c r="M24" t="str">
        <f t="shared" si="2"/>
        <v>LatAm</v>
      </c>
      <c r="N24" t="str">
        <f t="shared" si="10"/>
        <v>GlbMarket_m_fromrecy_manganese</v>
      </c>
      <c r="P24" t="str">
        <f t="shared" si="3"/>
        <v>LatAm</v>
      </c>
      <c r="Q24" t="str">
        <f t="shared" si="11"/>
        <v>GlbMarket_m_fromrecy_aluminum</v>
      </c>
      <c r="S24" t="str">
        <f t="shared" si="4"/>
        <v>LatAm</v>
      </c>
      <c r="T24" t="str">
        <f t="shared" si="12"/>
        <v>GlbMarket_m_fromrecy_copper</v>
      </c>
      <c r="V24" t="str">
        <f t="shared" si="5"/>
        <v>LatAm</v>
      </c>
      <c r="W24" t="str">
        <f t="shared" si="13"/>
        <v>GlbMarket_m_fromrecy_graphite</v>
      </c>
    </row>
    <row r="25" spans="1:23">
      <c r="A25">
        <v>25</v>
      </c>
      <c r="D25" s="1" t="str">
        <f t="shared" si="0"/>
        <v>MidEast</v>
      </c>
      <c r="E25" t="str">
        <f t="shared" si="7"/>
        <v>GlbMarket_m_fromrecy_lithium</v>
      </c>
      <c r="G25" t="str">
        <f t="shared" si="6"/>
        <v>MidEast</v>
      </c>
      <c r="H25" t="str">
        <f t="shared" si="8"/>
        <v>GlbMarket_m_fromrecy_nickel</v>
      </c>
      <c r="J25" t="str">
        <f t="shared" si="1"/>
        <v>MidEast</v>
      </c>
      <c r="K25" t="str">
        <f t="shared" si="9"/>
        <v>GlbMarket_m_fromrecy_cobalt</v>
      </c>
      <c r="M25" t="str">
        <f t="shared" si="2"/>
        <v>MidEast</v>
      </c>
      <c r="N25" t="str">
        <f t="shared" si="10"/>
        <v>GlbMarket_m_fromrecy_manganese</v>
      </c>
      <c r="P25" t="str">
        <f t="shared" si="3"/>
        <v>MidEast</v>
      </c>
      <c r="Q25" t="str">
        <f t="shared" si="11"/>
        <v>GlbMarket_m_fromrecy_aluminum</v>
      </c>
      <c r="S25" t="str">
        <f t="shared" si="4"/>
        <v>MidEast</v>
      </c>
      <c r="T25" t="str">
        <f t="shared" si="12"/>
        <v>GlbMarket_m_fromrecy_copper</v>
      </c>
      <c r="V25" t="str">
        <f t="shared" si="5"/>
        <v>MidEast</v>
      </c>
      <c r="W25" t="str">
        <f t="shared" si="13"/>
        <v>GlbMarket_m_fromrecy_graphite</v>
      </c>
    </row>
    <row r="26" spans="1:23">
      <c r="A26">
        <v>26</v>
      </c>
      <c r="D26" s="1" t="str">
        <f t="shared" si="0"/>
        <v>NorthAm</v>
      </c>
      <c r="E26" t="str">
        <f t="shared" si="7"/>
        <v>GlbMarket_m_fromrecy_lithium</v>
      </c>
      <c r="G26" t="str">
        <f t="shared" si="6"/>
        <v>NorthAm</v>
      </c>
      <c r="H26" t="str">
        <f t="shared" si="8"/>
        <v>GlbMarket_m_fromrecy_nickel</v>
      </c>
      <c r="J26" t="str">
        <f t="shared" si="1"/>
        <v>NorthAm</v>
      </c>
      <c r="K26" t="str">
        <f t="shared" si="9"/>
        <v>GlbMarket_m_fromrecy_cobalt</v>
      </c>
      <c r="M26" t="str">
        <f t="shared" si="2"/>
        <v>NorthAm</v>
      </c>
      <c r="N26" t="str">
        <f t="shared" si="10"/>
        <v>GlbMarket_m_fromrecy_manganese</v>
      </c>
      <c r="P26" t="str">
        <f t="shared" si="3"/>
        <v>NorthAm</v>
      </c>
      <c r="Q26" t="str">
        <f t="shared" si="11"/>
        <v>GlbMarket_m_fromrecy_aluminum</v>
      </c>
      <c r="S26" t="str">
        <f t="shared" si="4"/>
        <v>NorthAm</v>
      </c>
      <c r="T26" t="str">
        <f t="shared" si="12"/>
        <v>GlbMarket_m_fromrecy_copper</v>
      </c>
      <c r="V26" t="str">
        <f t="shared" si="5"/>
        <v>NorthAm</v>
      </c>
      <c r="W26" t="str">
        <f t="shared" si="13"/>
        <v>GlbMarket_m_fromrecy_graphite</v>
      </c>
    </row>
    <row r="27" spans="1:23">
      <c r="A27">
        <v>27</v>
      </c>
      <c r="D27" s="1" t="str">
        <f t="shared" si="0"/>
        <v>Norway</v>
      </c>
      <c r="E27" t="str">
        <f t="shared" si="7"/>
        <v>GlbMarket_m_fromrecy_lithium</v>
      </c>
      <c r="G27" t="str">
        <f t="shared" si="6"/>
        <v>Norway</v>
      </c>
      <c r="H27" t="str">
        <f t="shared" si="8"/>
        <v>GlbMarket_m_fromrecy_nickel</v>
      </c>
      <c r="J27" t="str">
        <f t="shared" si="1"/>
        <v>Norway</v>
      </c>
      <c r="K27" t="str">
        <f t="shared" si="9"/>
        <v>GlbMarket_m_fromrecy_cobalt</v>
      </c>
      <c r="M27" t="str">
        <f t="shared" si="2"/>
        <v>Norway</v>
      </c>
      <c r="N27" t="str">
        <f t="shared" si="10"/>
        <v>GlbMarket_m_fromrecy_manganese</v>
      </c>
      <c r="P27" t="str">
        <f t="shared" si="3"/>
        <v>Norway</v>
      </c>
      <c r="Q27" t="str">
        <f t="shared" si="11"/>
        <v>GlbMarket_m_fromrecy_aluminum</v>
      </c>
      <c r="S27" t="str">
        <f t="shared" si="4"/>
        <v>Norway</v>
      </c>
      <c r="T27" t="str">
        <f t="shared" si="12"/>
        <v>GlbMarket_m_fromrecy_copper</v>
      </c>
      <c r="V27" t="str">
        <f t="shared" si="5"/>
        <v>Norway</v>
      </c>
      <c r="W27" t="str">
        <f t="shared" si="13"/>
        <v>GlbMarket_m_fromrecy_graphite</v>
      </c>
    </row>
    <row r="28" spans="1:23">
      <c r="A28">
        <v>28</v>
      </c>
      <c r="D28" s="1" t="str">
        <f t="shared" si="0"/>
        <v>Poland</v>
      </c>
      <c r="E28" t="str">
        <f t="shared" si="7"/>
        <v>GlbMarket_m_fromrecy_lithium</v>
      </c>
      <c r="G28" t="str">
        <f t="shared" si="6"/>
        <v>Poland</v>
      </c>
      <c r="H28" t="str">
        <f t="shared" si="8"/>
        <v>GlbMarket_m_fromrecy_nickel</v>
      </c>
      <c r="J28" t="str">
        <f t="shared" si="1"/>
        <v>Poland</v>
      </c>
      <c r="K28" t="str">
        <f t="shared" si="9"/>
        <v>GlbMarket_m_fromrecy_cobalt</v>
      </c>
      <c r="M28" t="str">
        <f t="shared" si="2"/>
        <v>Poland</v>
      </c>
      <c r="N28" t="str">
        <f t="shared" si="10"/>
        <v>GlbMarket_m_fromrecy_manganese</v>
      </c>
      <c r="P28" t="str">
        <f t="shared" si="3"/>
        <v>Poland</v>
      </c>
      <c r="Q28" t="str">
        <f t="shared" si="11"/>
        <v>GlbMarket_m_fromrecy_aluminum</v>
      </c>
      <c r="S28" t="str">
        <f t="shared" si="4"/>
        <v>Poland</v>
      </c>
      <c r="T28" t="str">
        <f t="shared" si="12"/>
        <v>GlbMarket_m_fromrecy_copper</v>
      </c>
      <c r="V28" t="str">
        <f t="shared" si="5"/>
        <v>Poland</v>
      </c>
      <c r="W28" t="str">
        <f t="shared" si="13"/>
        <v>GlbMarket_m_fromrecy_graphite</v>
      </c>
    </row>
    <row r="29" spans="1:23">
      <c r="A29">
        <v>29</v>
      </c>
      <c r="D29" s="1" t="str">
        <f t="shared" si="0"/>
        <v>ROW</v>
      </c>
      <c r="E29" t="str">
        <f t="shared" si="7"/>
        <v>GlbMarket_m_fromrecy_lithium</v>
      </c>
      <c r="G29" t="str">
        <f t="shared" si="6"/>
        <v>ROW</v>
      </c>
      <c r="H29" t="str">
        <f t="shared" si="8"/>
        <v>GlbMarket_m_fromrecy_nickel</v>
      </c>
      <c r="J29" t="str">
        <f t="shared" si="1"/>
        <v>ROW</v>
      </c>
      <c r="K29" t="str">
        <f t="shared" si="9"/>
        <v>GlbMarket_m_fromrecy_cobalt</v>
      </c>
      <c r="M29" t="str">
        <f t="shared" si="2"/>
        <v>ROW</v>
      </c>
      <c r="N29" t="str">
        <f t="shared" si="10"/>
        <v>GlbMarket_m_fromrecy_manganese</v>
      </c>
      <c r="P29" t="str">
        <f t="shared" si="3"/>
        <v>ROW</v>
      </c>
      <c r="Q29" t="str">
        <f t="shared" si="11"/>
        <v>GlbMarket_m_fromrecy_aluminum</v>
      </c>
      <c r="S29" t="str">
        <f t="shared" si="4"/>
        <v>ROW</v>
      </c>
      <c r="T29" t="str">
        <f t="shared" si="12"/>
        <v>GlbMarket_m_fromrecy_copper</v>
      </c>
      <c r="V29" t="str">
        <f t="shared" si="5"/>
        <v>ROW</v>
      </c>
      <c r="W29" t="str">
        <f t="shared" si="13"/>
        <v>GlbMarket_m_fromrecy_graphite</v>
      </c>
    </row>
    <row r="30" spans="1:23">
      <c r="D30" s="1" t="str">
        <f t="shared" si="0"/>
        <v>Russia</v>
      </c>
      <c r="E30" t="str">
        <f t="shared" si="7"/>
        <v>GlbMarket_m_fromrecy_lithium</v>
      </c>
      <c r="G30" t="str">
        <f t="shared" si="6"/>
        <v>Russia</v>
      </c>
      <c r="H30" t="str">
        <f t="shared" si="8"/>
        <v>GlbMarket_m_fromrecy_nickel</v>
      </c>
      <c r="J30" t="str">
        <f t="shared" si="1"/>
        <v>Russia</v>
      </c>
      <c r="K30" t="str">
        <f t="shared" si="9"/>
        <v>GlbMarket_m_fromrecy_cobalt</v>
      </c>
      <c r="M30" t="str">
        <f t="shared" si="2"/>
        <v>Russia</v>
      </c>
      <c r="N30" t="str">
        <f t="shared" si="10"/>
        <v>GlbMarket_m_fromrecy_manganese</v>
      </c>
      <c r="P30" t="str">
        <f t="shared" si="3"/>
        <v>Russia</v>
      </c>
      <c r="Q30" t="str">
        <f t="shared" si="11"/>
        <v>GlbMarket_m_fromrecy_aluminum</v>
      </c>
      <c r="S30" t="str">
        <f t="shared" si="4"/>
        <v>Russia</v>
      </c>
      <c r="T30" t="str">
        <f t="shared" si="12"/>
        <v>GlbMarket_m_fromrecy_copper</v>
      </c>
      <c r="V30" t="str">
        <f t="shared" si="5"/>
        <v>Russia</v>
      </c>
      <c r="W30" t="str">
        <f t="shared" si="13"/>
        <v>GlbMarket_m_fromrecy_graphite</v>
      </c>
    </row>
    <row r="31" spans="1:23">
      <c r="D31" s="1" t="str">
        <f t="shared" si="0"/>
        <v>SaudiArabia</v>
      </c>
      <c r="E31" t="str">
        <f t="shared" si="7"/>
        <v>GlbMarket_m_fromrecy_lithium</v>
      </c>
      <c r="G31" t="str">
        <f t="shared" si="6"/>
        <v>SaudiArabia</v>
      </c>
      <c r="H31" t="str">
        <f t="shared" si="8"/>
        <v>GlbMarket_m_fromrecy_nickel</v>
      </c>
      <c r="J31" t="str">
        <f t="shared" si="1"/>
        <v>SaudiArabia</v>
      </c>
      <c r="K31" t="str">
        <f t="shared" si="9"/>
        <v>GlbMarket_m_fromrecy_cobalt</v>
      </c>
      <c r="M31" t="str">
        <f t="shared" si="2"/>
        <v>SaudiArabia</v>
      </c>
      <c r="N31" t="str">
        <f t="shared" si="10"/>
        <v>GlbMarket_m_fromrecy_manganese</v>
      </c>
      <c r="P31" t="str">
        <f t="shared" si="3"/>
        <v>SaudiArabia</v>
      </c>
      <c r="Q31" t="str">
        <f t="shared" si="11"/>
        <v>GlbMarket_m_fromrecy_aluminum</v>
      </c>
      <c r="S31" t="str">
        <f t="shared" si="4"/>
        <v>SaudiArabia</v>
      </c>
      <c r="T31" t="str">
        <f t="shared" si="12"/>
        <v>GlbMarket_m_fromrecy_copper</v>
      </c>
      <c r="V31" t="str">
        <f t="shared" si="5"/>
        <v>SaudiArabia</v>
      </c>
      <c r="W31" t="str">
        <f t="shared" si="13"/>
        <v>GlbMarket_m_fromrecy_graphite</v>
      </c>
    </row>
    <row r="32" spans="1:23">
      <c r="D32" s="1" t="str">
        <f t="shared" si="0"/>
        <v>SouthAfrica</v>
      </c>
      <c r="E32" t="str">
        <f t="shared" si="7"/>
        <v>GlbMarket_m_fromrecy_lithium</v>
      </c>
      <c r="G32" t="str">
        <f t="shared" si="6"/>
        <v>SouthAfrica</v>
      </c>
      <c r="H32" t="str">
        <f t="shared" si="8"/>
        <v>GlbMarket_m_fromrecy_nickel</v>
      </c>
      <c r="J32" t="str">
        <f t="shared" si="1"/>
        <v>SouthAfrica</v>
      </c>
      <c r="K32" t="str">
        <f t="shared" si="9"/>
        <v>GlbMarket_m_fromrecy_cobalt</v>
      </c>
      <c r="M32" t="str">
        <f t="shared" si="2"/>
        <v>SouthAfrica</v>
      </c>
      <c r="N32" t="str">
        <f t="shared" si="10"/>
        <v>GlbMarket_m_fromrecy_manganese</v>
      </c>
      <c r="P32" t="str">
        <f t="shared" si="3"/>
        <v>SouthAfrica</v>
      </c>
      <c r="Q32" t="str">
        <f t="shared" si="11"/>
        <v>GlbMarket_m_fromrecy_aluminum</v>
      </c>
      <c r="S32" t="str">
        <f t="shared" si="4"/>
        <v>SouthAfrica</v>
      </c>
      <c r="T32" t="str">
        <f t="shared" si="12"/>
        <v>GlbMarket_m_fromrecy_copper</v>
      </c>
      <c r="V32" t="str">
        <f t="shared" si="5"/>
        <v>SouthAfrica</v>
      </c>
      <c r="W32" t="str">
        <f t="shared" si="13"/>
        <v>GlbMarket_m_fromrecy_graphite</v>
      </c>
    </row>
    <row r="33" spans="1:23">
      <c r="D33" s="1" t="str">
        <f t="shared" si="0"/>
        <v>SpainPor</v>
      </c>
      <c r="E33" t="str">
        <f t="shared" si="7"/>
        <v>GlbMarket_m_fromrecy_lithium</v>
      </c>
      <c r="G33" t="str">
        <f t="shared" si="6"/>
        <v>SpainPor</v>
      </c>
      <c r="H33" t="str">
        <f t="shared" si="8"/>
        <v>GlbMarket_m_fromrecy_nickel</v>
      </c>
      <c r="J33" t="str">
        <f t="shared" si="1"/>
        <v>SpainPor</v>
      </c>
      <c r="K33" t="str">
        <f t="shared" si="9"/>
        <v>GlbMarket_m_fromrecy_cobalt</v>
      </c>
      <c r="M33" t="str">
        <f t="shared" si="2"/>
        <v>SpainPor</v>
      </c>
      <c r="N33" t="str">
        <f t="shared" si="10"/>
        <v>GlbMarket_m_fromrecy_manganese</v>
      </c>
      <c r="P33" t="str">
        <f t="shared" si="3"/>
        <v>SpainPor</v>
      </c>
      <c r="Q33" t="str">
        <f t="shared" si="11"/>
        <v>GlbMarket_m_fromrecy_aluminum</v>
      </c>
      <c r="S33" t="str">
        <f t="shared" si="4"/>
        <v>SpainPor</v>
      </c>
      <c r="T33" t="str">
        <f t="shared" si="12"/>
        <v>GlbMarket_m_fromrecy_copper</v>
      </c>
      <c r="V33" t="str">
        <f t="shared" si="5"/>
        <v>SpainPor</v>
      </c>
      <c r="W33" t="str">
        <f t="shared" si="13"/>
        <v>GlbMarket_m_fromrecy_graphite</v>
      </c>
    </row>
    <row r="34" spans="1:23">
      <c r="D34" s="1" t="str">
        <f t="shared" si="0"/>
        <v>SweFinDen</v>
      </c>
      <c r="E34" t="str">
        <f t="shared" si="7"/>
        <v>GlbMarket_m_fromrecy_lithium</v>
      </c>
      <c r="G34" t="str">
        <f t="shared" si="6"/>
        <v>SweFinDen</v>
      </c>
      <c r="H34" t="str">
        <f t="shared" si="8"/>
        <v>GlbMarket_m_fromrecy_nickel</v>
      </c>
      <c r="J34" t="str">
        <f t="shared" si="1"/>
        <v>SweFinDen</v>
      </c>
      <c r="K34" t="str">
        <f t="shared" si="9"/>
        <v>GlbMarket_m_fromrecy_cobalt</v>
      </c>
      <c r="M34" t="str">
        <f t="shared" si="2"/>
        <v>SweFinDen</v>
      </c>
      <c r="N34" t="str">
        <f t="shared" si="10"/>
        <v>GlbMarket_m_fromrecy_manganese</v>
      </c>
      <c r="P34" t="str">
        <f t="shared" si="3"/>
        <v>SweFinDen</v>
      </c>
      <c r="Q34" t="str">
        <f t="shared" si="11"/>
        <v>GlbMarket_m_fromrecy_aluminum</v>
      </c>
      <c r="S34" t="str">
        <f t="shared" si="4"/>
        <v>SweFinDen</v>
      </c>
      <c r="T34" t="str">
        <f t="shared" si="12"/>
        <v>GlbMarket_m_fromrecy_copper</v>
      </c>
      <c r="V34" t="str">
        <f t="shared" si="5"/>
        <v>SweFinDen</v>
      </c>
      <c r="W34" t="str">
        <f t="shared" si="13"/>
        <v>GlbMarket_m_fromrecy_graphite</v>
      </c>
    </row>
    <row r="35" spans="1:23">
      <c r="D35" s="1" t="str">
        <f t="shared" ref="D35:D40" si="14">IF(A67="","\I:",A67)</f>
        <v>Switzerland</v>
      </c>
      <c r="E35" t="str">
        <f t="shared" ref="E35:E40" si="15">E34</f>
        <v>GlbMarket_m_fromrecy_lithium</v>
      </c>
      <c r="G35" t="str">
        <f t="shared" ref="G35:G40" si="16">$D35</f>
        <v>Switzerland</v>
      </c>
      <c r="H35" t="str">
        <f t="shared" ref="H35:H40" si="17">H34</f>
        <v>GlbMarket_m_fromrecy_nickel</v>
      </c>
      <c r="J35" t="str">
        <f t="shared" ref="J35:J40" si="18">$D35</f>
        <v>Switzerland</v>
      </c>
      <c r="K35" t="str">
        <f t="shared" ref="K35:K40" si="19">K34</f>
        <v>GlbMarket_m_fromrecy_cobalt</v>
      </c>
      <c r="M35" t="str">
        <f t="shared" ref="M35:M40" si="20">$D35</f>
        <v>Switzerland</v>
      </c>
      <c r="N35" t="str">
        <f t="shared" ref="N35:N40" si="21">N34</f>
        <v>GlbMarket_m_fromrecy_manganese</v>
      </c>
      <c r="P35" t="str">
        <f t="shared" ref="P35:P40" si="22">$D35</f>
        <v>Switzerland</v>
      </c>
      <c r="Q35" t="str">
        <f t="shared" ref="Q35:Q40" si="23">Q34</f>
        <v>GlbMarket_m_fromrecy_aluminum</v>
      </c>
      <c r="S35" t="str">
        <f t="shared" ref="S35:S40" si="24">$D35</f>
        <v>Switzerland</v>
      </c>
      <c r="T35" t="str">
        <f t="shared" ref="T35:T40" si="25">T34</f>
        <v>GlbMarket_m_fromrecy_copper</v>
      </c>
      <c r="V35" t="str">
        <f t="shared" ref="V35:V40" si="26">$D35</f>
        <v>Switzerland</v>
      </c>
      <c r="W35" t="str">
        <f t="shared" ref="W35:W40" si="27">W34</f>
        <v>GlbMarket_m_fromrecy_graphite</v>
      </c>
    </row>
    <row r="36" spans="1:23">
      <c r="A36" s="2" t="s">
        <v>9</v>
      </c>
      <c r="D36" s="1" t="str">
        <f t="shared" si="14"/>
        <v>Turkey</v>
      </c>
      <c r="E36" t="str">
        <f t="shared" si="15"/>
        <v>GlbMarket_m_fromrecy_lithium</v>
      </c>
      <c r="G36" t="str">
        <f t="shared" si="16"/>
        <v>Turkey</v>
      </c>
      <c r="H36" t="str">
        <f t="shared" si="17"/>
        <v>GlbMarket_m_fromrecy_nickel</v>
      </c>
      <c r="J36" t="str">
        <f t="shared" si="18"/>
        <v>Turkey</v>
      </c>
      <c r="K36" t="str">
        <f t="shared" si="19"/>
        <v>GlbMarket_m_fromrecy_cobalt</v>
      </c>
      <c r="M36" t="str">
        <f t="shared" si="20"/>
        <v>Turkey</v>
      </c>
      <c r="N36" t="str">
        <f t="shared" si="21"/>
        <v>GlbMarket_m_fromrecy_manganese</v>
      </c>
      <c r="P36" t="str">
        <f t="shared" si="22"/>
        <v>Turkey</v>
      </c>
      <c r="Q36" t="str">
        <f t="shared" si="23"/>
        <v>GlbMarket_m_fromrecy_aluminum</v>
      </c>
      <c r="S36" t="str">
        <f t="shared" si="24"/>
        <v>Turkey</v>
      </c>
      <c r="T36" t="str">
        <f t="shared" si="25"/>
        <v>GlbMarket_m_fromrecy_copper</v>
      </c>
      <c r="V36" t="str">
        <f t="shared" si="26"/>
        <v>Turkey</v>
      </c>
      <c r="W36" t="str">
        <f t="shared" si="27"/>
        <v>GlbMarket_m_fromrecy_graphite</v>
      </c>
    </row>
    <row r="37" spans="1:23">
      <c r="A37" t="s">
        <v>10</v>
      </c>
      <c r="D37" s="1" t="str">
        <f t="shared" si="14"/>
        <v>UK</v>
      </c>
      <c r="E37" t="str">
        <f t="shared" si="15"/>
        <v>GlbMarket_m_fromrecy_lithium</v>
      </c>
      <c r="G37" t="str">
        <f t="shared" si="16"/>
        <v>UK</v>
      </c>
      <c r="H37" t="str">
        <f t="shared" si="17"/>
        <v>GlbMarket_m_fromrecy_nickel</v>
      </c>
      <c r="J37" t="str">
        <f t="shared" si="18"/>
        <v>UK</v>
      </c>
      <c r="K37" t="str">
        <f t="shared" si="19"/>
        <v>GlbMarket_m_fromrecy_cobalt</v>
      </c>
      <c r="M37" t="str">
        <f t="shared" si="20"/>
        <v>UK</v>
      </c>
      <c r="N37" t="str">
        <f t="shared" si="21"/>
        <v>GlbMarket_m_fromrecy_manganese</v>
      </c>
      <c r="P37" t="str">
        <f t="shared" si="22"/>
        <v>UK</v>
      </c>
      <c r="Q37" t="str">
        <f t="shared" si="23"/>
        <v>GlbMarket_m_fromrecy_aluminum</v>
      </c>
      <c r="S37" t="str">
        <f t="shared" si="24"/>
        <v>UK</v>
      </c>
      <c r="T37" t="str">
        <f t="shared" si="25"/>
        <v>GlbMarket_m_fromrecy_copper</v>
      </c>
      <c r="V37" t="str">
        <f t="shared" si="26"/>
        <v>UK</v>
      </c>
      <c r="W37" t="str">
        <f t="shared" si="27"/>
        <v>GlbMarket_m_fromrecy_graphite</v>
      </c>
    </row>
    <row r="38" spans="1:23">
      <c r="A38" t="s">
        <v>11</v>
      </c>
      <c r="D38" s="1" t="str">
        <f t="shared" si="14"/>
        <v>Ukraine</v>
      </c>
      <c r="E38" t="str">
        <f t="shared" si="15"/>
        <v>GlbMarket_m_fromrecy_lithium</v>
      </c>
      <c r="G38" t="str">
        <f t="shared" si="16"/>
        <v>Ukraine</v>
      </c>
      <c r="H38" t="str">
        <f t="shared" si="17"/>
        <v>GlbMarket_m_fromrecy_nickel</v>
      </c>
      <c r="J38" t="str">
        <f t="shared" si="18"/>
        <v>Ukraine</v>
      </c>
      <c r="K38" t="str">
        <f t="shared" si="19"/>
        <v>GlbMarket_m_fromrecy_cobalt</v>
      </c>
      <c r="M38" t="str">
        <f t="shared" si="20"/>
        <v>Ukraine</v>
      </c>
      <c r="N38" t="str">
        <f t="shared" si="21"/>
        <v>GlbMarket_m_fromrecy_manganese</v>
      </c>
      <c r="P38" t="str">
        <f t="shared" si="22"/>
        <v>Ukraine</v>
      </c>
      <c r="Q38" t="str">
        <f t="shared" si="23"/>
        <v>GlbMarket_m_fromrecy_aluminum</v>
      </c>
      <c r="S38" t="str">
        <f t="shared" si="24"/>
        <v>Ukraine</v>
      </c>
      <c r="T38" t="str">
        <f t="shared" si="25"/>
        <v>GlbMarket_m_fromrecy_copper</v>
      </c>
      <c r="V38" t="str">
        <f t="shared" si="26"/>
        <v>Ukraine</v>
      </c>
      <c r="W38" t="str">
        <f t="shared" si="27"/>
        <v>GlbMarket_m_fromrecy_graphite</v>
      </c>
    </row>
    <row r="39" spans="1:23">
      <c r="A39" t="s">
        <v>12</v>
      </c>
      <c r="D39" s="1" t="str">
        <f t="shared" si="14"/>
        <v>WestBalkans</v>
      </c>
      <c r="E39" t="str">
        <f t="shared" si="15"/>
        <v>GlbMarket_m_fromrecy_lithium</v>
      </c>
      <c r="G39" t="str">
        <f t="shared" si="16"/>
        <v>WestBalkans</v>
      </c>
      <c r="H39" t="str">
        <f t="shared" si="17"/>
        <v>GlbMarket_m_fromrecy_nickel</v>
      </c>
      <c r="J39" t="str">
        <f t="shared" si="18"/>
        <v>WestBalkans</v>
      </c>
      <c r="K39" t="str">
        <f t="shared" si="19"/>
        <v>GlbMarket_m_fromrecy_cobalt</v>
      </c>
      <c r="M39" t="str">
        <f t="shared" si="20"/>
        <v>WestBalkans</v>
      </c>
      <c r="N39" t="str">
        <f t="shared" si="21"/>
        <v>GlbMarket_m_fromrecy_manganese</v>
      </c>
      <c r="P39" t="str">
        <f t="shared" si="22"/>
        <v>WestBalkans</v>
      </c>
      <c r="Q39" t="str">
        <f t="shared" si="23"/>
        <v>GlbMarket_m_fromrecy_aluminum</v>
      </c>
      <c r="S39" t="str">
        <f t="shared" si="24"/>
        <v>WestBalkans</v>
      </c>
      <c r="T39" t="str">
        <f t="shared" si="25"/>
        <v>GlbMarket_m_fromrecy_copper</v>
      </c>
      <c r="V39" t="str">
        <f t="shared" si="26"/>
        <v>WestBalkans</v>
      </c>
      <c r="W39" t="str">
        <f t="shared" si="27"/>
        <v>GlbMarket_m_fromrecy_graphite</v>
      </c>
    </row>
    <row r="40" spans="1:23">
      <c r="A40" t="s">
        <v>13</v>
      </c>
      <c r="D40" s="1"/>
    </row>
    <row r="41" spans="1:23">
      <c r="A41" t="s">
        <v>14</v>
      </c>
    </row>
    <row r="42" spans="1:23">
      <c r="A42" t="s">
        <v>15</v>
      </c>
    </row>
    <row r="43" spans="1:23">
      <c r="A43" t="s">
        <v>16</v>
      </c>
    </row>
    <row r="44" spans="1:23">
      <c r="A44" t="s">
        <v>17</v>
      </c>
    </row>
    <row r="45" spans="1:23">
      <c r="A45" t="s">
        <v>18</v>
      </c>
    </row>
    <row r="46" spans="1:23">
      <c r="A46" t="s">
        <v>19</v>
      </c>
    </row>
    <row r="47" spans="1:23">
      <c r="A47" t="s">
        <v>20</v>
      </c>
    </row>
    <row r="48" spans="1:23">
      <c r="A48" t="s">
        <v>21</v>
      </c>
    </row>
    <row r="49" spans="1:1">
      <c r="A49" t="s">
        <v>22</v>
      </c>
    </row>
    <row r="50" spans="1:1">
      <c r="A50" t="s">
        <v>23</v>
      </c>
    </row>
    <row r="51" spans="1:1">
      <c r="A51" t="s">
        <v>24</v>
      </c>
    </row>
    <row r="52" spans="1:1">
      <c r="A52" t="s">
        <v>25</v>
      </c>
    </row>
    <row r="53" spans="1:1">
      <c r="A53" t="s">
        <v>26</v>
      </c>
    </row>
    <row r="54" spans="1:1">
      <c r="A54" t="s">
        <v>27</v>
      </c>
    </row>
    <row r="55" spans="1:1">
      <c r="A55" t="s">
        <v>28</v>
      </c>
    </row>
    <row r="56" spans="1:1">
      <c r="A56" t="s">
        <v>29</v>
      </c>
    </row>
    <row r="57" spans="1:1">
      <c r="A57" t="s">
        <v>30</v>
      </c>
    </row>
    <row r="58" spans="1:1">
      <c r="A58" t="s">
        <v>31</v>
      </c>
    </row>
    <row r="59" spans="1:1">
      <c r="A59" t="s">
        <v>32</v>
      </c>
    </row>
    <row r="60" spans="1:1">
      <c r="A60" t="s">
        <v>33</v>
      </c>
    </row>
    <row r="61" spans="1:1">
      <c r="A61" t="s">
        <v>34</v>
      </c>
    </row>
    <row r="62" spans="1:1">
      <c r="A62" t="s">
        <v>35</v>
      </c>
    </row>
    <row r="63" spans="1:1">
      <c r="A63" t="s">
        <v>36</v>
      </c>
    </row>
    <row r="64" spans="1:1">
      <c r="A64" t="s">
        <v>37</v>
      </c>
    </row>
    <row r="65" spans="1:1">
      <c r="A65" t="s">
        <v>38</v>
      </c>
    </row>
    <row r="66" spans="1:1">
      <c r="A66" t="s">
        <v>39</v>
      </c>
    </row>
    <row r="67" spans="1:1">
      <c r="A67" t="s">
        <v>40</v>
      </c>
    </row>
    <row r="68" spans="1:1">
      <c r="A68" t="s">
        <v>41</v>
      </c>
    </row>
    <row r="69" spans="1:1">
      <c r="A69" t="s">
        <v>42</v>
      </c>
    </row>
    <row r="70" spans="1:1">
      <c r="A70" t="s">
        <v>43</v>
      </c>
    </row>
    <row r="71" spans="1:1">
      <c r="A71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 - markets</vt:lpstr>
      <vt:lpstr>Bi - markets_RecyMat_XiaoAdd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</dc:creator>
  <cp:lastModifiedBy>李潇</cp:lastModifiedBy>
  <dcterms:created xsi:type="dcterms:W3CDTF">2016-11-29T01:29:00Z</dcterms:created>
  <dcterms:modified xsi:type="dcterms:W3CDTF">2026-08-06T12:34:48Z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398677990440960</vt:r8>
  </property>
  <property fmtid="{D5CDD505-2E9C-101B-9397-08002B2CF9AE}" pid="3" name="{A44787D4-0540-4523-9961-78E4036D8C6D}">
    <vt:lpwstr>{DA8C07FF-67D8-4DC0-B741-A9FEF79D9CCE}</vt:lpwstr>
  </property>
  <property fmtid="{D5CDD505-2E9C-101B-9397-08002B2CF9AE}" pid="4" name="ICV">
    <vt:lpwstr>2F3CAE4F5BE04538B0216AD5BB41C1A3_12</vt:lpwstr>
  </property>
  <property fmtid="{D5CDD505-2E9C-101B-9397-08002B2CF9AE}" pid="5" name="KSOProductBuildVer">
    <vt:lpwstr>1033-12.1.0.28032</vt:lpwstr>
  </property>
  <property fmtid="{D5CDD505-2E9C-101B-9397-08002B2CF9AE}" pid="6" name="CalculationRule">
    <vt:i4>0</vt:i4>
  </property>
</Properties>
</file>