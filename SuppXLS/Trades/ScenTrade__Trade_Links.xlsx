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Trades\"/>
    </mc:Choice>
  </mc:AlternateContent>
  <xr:revisionPtr revIDLastSave="0" documentId="13_ncr:1_{9D105A8D-18C7-4741-889A-55CEFDB11A84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Bi - markets" sheetId="5" r:id="rId1"/>
    <sheet name="Bi - markets_RecyMat_XiaoAdd" sheetId="6" r:id="rId2"/>
    <sheet name="ELC_Trades" sheetId="7" r:id="rId3"/>
  </sheets>
  <definedNames>
    <definedName name="TradeLink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9" i="5" l="1"/>
  <c r="V39" i="5"/>
  <c r="T39" i="5"/>
  <c r="S39" i="5"/>
  <c r="Q39" i="5"/>
  <c r="P39" i="5"/>
  <c r="N39" i="5"/>
  <c r="M39" i="5"/>
  <c r="K39" i="5"/>
  <c r="J39" i="5"/>
  <c r="H39" i="5"/>
  <c r="G39" i="5"/>
  <c r="E39" i="5"/>
  <c r="D39" i="5"/>
  <c r="W38" i="5"/>
  <c r="V38" i="5"/>
  <c r="T38" i="5"/>
  <c r="S38" i="5"/>
  <c r="Q38" i="5"/>
  <c r="P38" i="5"/>
  <c r="N38" i="5"/>
  <c r="M38" i="5"/>
  <c r="K38" i="5"/>
  <c r="J38" i="5"/>
  <c r="H38" i="5"/>
  <c r="G38" i="5"/>
  <c r="E38" i="5"/>
  <c r="D38" i="5"/>
  <c r="W37" i="5"/>
  <c r="V37" i="5"/>
  <c r="T37" i="5"/>
  <c r="S37" i="5"/>
  <c r="Q37" i="5"/>
  <c r="P37" i="5"/>
  <c r="N37" i="5"/>
  <c r="M37" i="5"/>
  <c r="K37" i="5"/>
  <c r="J37" i="5"/>
  <c r="H37" i="5"/>
  <c r="G37" i="5"/>
  <c r="E37" i="5"/>
  <c r="D37" i="5"/>
  <c r="W36" i="5"/>
  <c r="V36" i="5"/>
  <c r="T36" i="5"/>
  <c r="S36" i="5"/>
  <c r="Q36" i="5"/>
  <c r="P36" i="5"/>
  <c r="N36" i="5"/>
  <c r="M36" i="5"/>
  <c r="K36" i="5"/>
  <c r="J36" i="5"/>
  <c r="H36" i="5"/>
  <c r="G36" i="5"/>
  <c r="E36" i="5"/>
  <c r="D36" i="5"/>
  <c r="W35" i="5"/>
  <c r="V35" i="5"/>
  <c r="T35" i="5"/>
  <c r="S35" i="5"/>
  <c r="Q35" i="5"/>
  <c r="P35" i="5"/>
  <c r="N35" i="5"/>
  <c r="M35" i="5"/>
  <c r="K35" i="5"/>
  <c r="J35" i="5"/>
  <c r="H35" i="5"/>
  <c r="G35" i="5"/>
  <c r="E35" i="5"/>
  <c r="D35" i="5"/>
  <c r="W34" i="5"/>
  <c r="V34" i="5"/>
  <c r="T34" i="5"/>
  <c r="S34" i="5"/>
  <c r="Q34" i="5"/>
  <c r="P34" i="5"/>
  <c r="N34" i="5"/>
  <c r="M34" i="5"/>
  <c r="K34" i="5"/>
  <c r="J34" i="5"/>
  <c r="H34" i="5"/>
  <c r="G34" i="5"/>
  <c r="E34" i="5"/>
  <c r="D34" i="5"/>
  <c r="W33" i="5"/>
  <c r="V33" i="5"/>
  <c r="T33" i="5"/>
  <c r="S33" i="5"/>
  <c r="Q33" i="5"/>
  <c r="P33" i="5"/>
  <c r="N33" i="5"/>
  <c r="M33" i="5"/>
  <c r="K33" i="5"/>
  <c r="J33" i="5"/>
  <c r="H33" i="5"/>
  <c r="G33" i="5"/>
  <c r="E33" i="5"/>
  <c r="D33" i="5"/>
  <c r="W32" i="5"/>
  <c r="V32" i="5"/>
  <c r="T32" i="5"/>
  <c r="S32" i="5"/>
  <c r="Q32" i="5"/>
  <c r="P32" i="5"/>
  <c r="N32" i="5"/>
  <c r="M32" i="5"/>
  <c r="K32" i="5"/>
  <c r="J32" i="5"/>
  <c r="H32" i="5"/>
  <c r="G32" i="5"/>
  <c r="E32" i="5"/>
  <c r="D32" i="5"/>
  <c r="W31" i="5"/>
  <c r="V31" i="5"/>
  <c r="T31" i="5"/>
  <c r="S31" i="5"/>
  <c r="Q31" i="5"/>
  <c r="P31" i="5"/>
  <c r="N31" i="5"/>
  <c r="M31" i="5"/>
  <c r="K31" i="5"/>
  <c r="J31" i="5"/>
  <c r="H31" i="5"/>
  <c r="G31" i="5"/>
  <c r="E31" i="5"/>
  <c r="D31" i="5"/>
  <c r="W30" i="5"/>
  <c r="V30" i="5"/>
  <c r="T30" i="5"/>
  <c r="S30" i="5"/>
  <c r="Q30" i="5"/>
  <c r="P30" i="5"/>
  <c r="N30" i="5"/>
  <c r="M30" i="5"/>
  <c r="K30" i="5"/>
  <c r="J30" i="5"/>
  <c r="H30" i="5"/>
  <c r="G30" i="5"/>
  <c r="E30" i="5"/>
  <c r="D30" i="5"/>
  <c r="W29" i="5"/>
  <c r="V29" i="5"/>
  <c r="T29" i="5"/>
  <c r="S29" i="5"/>
  <c r="Q29" i="5"/>
  <c r="P29" i="5"/>
  <c r="N29" i="5"/>
  <c r="M29" i="5"/>
  <c r="K29" i="5"/>
  <c r="J29" i="5"/>
  <c r="H29" i="5"/>
  <c r="G29" i="5"/>
  <c r="E29" i="5"/>
  <c r="D29" i="5"/>
  <c r="W28" i="5"/>
  <c r="V28" i="5"/>
  <c r="T28" i="5"/>
  <c r="S28" i="5"/>
  <c r="Q28" i="5"/>
  <c r="P28" i="5"/>
  <c r="N28" i="5"/>
  <c r="M28" i="5"/>
  <c r="K28" i="5"/>
  <c r="J28" i="5"/>
  <c r="H28" i="5"/>
  <c r="G28" i="5"/>
  <c r="E28" i="5"/>
  <c r="D28" i="5"/>
  <c r="W27" i="5"/>
  <c r="V27" i="5"/>
  <c r="T27" i="5"/>
  <c r="S27" i="5"/>
  <c r="Q27" i="5"/>
  <c r="P27" i="5"/>
  <c r="N27" i="5"/>
  <c r="M27" i="5"/>
  <c r="K27" i="5"/>
  <c r="J27" i="5"/>
  <c r="H27" i="5"/>
  <c r="G27" i="5"/>
  <c r="E27" i="5"/>
  <c r="D27" i="5"/>
  <c r="W26" i="5"/>
  <c r="V26" i="5"/>
  <c r="T26" i="5"/>
  <c r="S26" i="5"/>
  <c r="Q26" i="5"/>
  <c r="P26" i="5"/>
  <c r="N26" i="5"/>
  <c r="M26" i="5"/>
  <c r="K26" i="5"/>
  <c r="J26" i="5"/>
  <c r="H26" i="5"/>
  <c r="G26" i="5"/>
  <c r="E26" i="5"/>
  <c r="D26" i="5"/>
  <c r="W25" i="5"/>
  <c r="V25" i="5"/>
  <c r="T25" i="5"/>
  <c r="S25" i="5"/>
  <c r="Q25" i="5"/>
  <c r="P25" i="5"/>
  <c r="N25" i="5"/>
  <c r="M25" i="5"/>
  <c r="K25" i="5"/>
  <c r="J25" i="5"/>
  <c r="H25" i="5"/>
  <c r="G25" i="5"/>
  <c r="E25" i="5"/>
  <c r="D25" i="5"/>
  <c r="W24" i="5"/>
  <c r="V24" i="5"/>
  <c r="T24" i="5"/>
  <c r="S24" i="5"/>
  <c r="Q24" i="5"/>
  <c r="P24" i="5"/>
  <c r="N24" i="5"/>
  <c r="M24" i="5"/>
  <c r="K24" i="5"/>
  <c r="J24" i="5"/>
  <c r="H24" i="5"/>
  <c r="G24" i="5"/>
  <c r="E24" i="5"/>
  <c r="D24" i="5"/>
  <c r="W23" i="5"/>
  <c r="V23" i="5"/>
  <c r="T23" i="5"/>
  <c r="S23" i="5"/>
  <c r="Q23" i="5"/>
  <c r="P23" i="5"/>
  <c r="N23" i="5"/>
  <c r="M23" i="5"/>
  <c r="K23" i="5"/>
  <c r="J23" i="5"/>
  <c r="H23" i="5"/>
  <c r="G23" i="5"/>
  <c r="E23" i="5"/>
  <c r="D23" i="5"/>
  <c r="W22" i="5"/>
  <c r="V22" i="5"/>
  <c r="T22" i="5"/>
  <c r="S22" i="5"/>
  <c r="Q22" i="5"/>
  <c r="P22" i="5"/>
  <c r="N22" i="5"/>
  <c r="M22" i="5"/>
  <c r="K22" i="5"/>
  <c r="J22" i="5"/>
  <c r="H22" i="5"/>
  <c r="G22" i="5"/>
  <c r="E22" i="5"/>
  <c r="D22" i="5"/>
  <c r="W21" i="5"/>
  <c r="V21" i="5"/>
  <c r="T21" i="5"/>
  <c r="S21" i="5"/>
  <c r="Q21" i="5"/>
  <c r="P21" i="5"/>
  <c r="N21" i="5"/>
  <c r="M21" i="5"/>
  <c r="K21" i="5"/>
  <c r="J21" i="5"/>
  <c r="H21" i="5"/>
  <c r="G21" i="5"/>
  <c r="E21" i="5"/>
  <c r="D21" i="5"/>
  <c r="W20" i="5"/>
  <c r="V20" i="5"/>
  <c r="T20" i="5"/>
  <c r="S20" i="5"/>
  <c r="Q20" i="5"/>
  <c r="P20" i="5"/>
  <c r="N20" i="5"/>
  <c r="M20" i="5"/>
  <c r="K20" i="5"/>
  <c r="J20" i="5"/>
  <c r="H20" i="5"/>
  <c r="G20" i="5"/>
  <c r="E20" i="5"/>
  <c r="D20" i="5"/>
  <c r="W19" i="5"/>
  <c r="V19" i="5"/>
  <c r="T19" i="5"/>
  <c r="S19" i="5"/>
  <c r="Q19" i="5"/>
  <c r="P19" i="5"/>
  <c r="N19" i="5"/>
  <c r="M19" i="5"/>
  <c r="K19" i="5"/>
  <c r="J19" i="5"/>
  <c r="H19" i="5"/>
  <c r="G19" i="5"/>
  <c r="E19" i="5"/>
  <c r="D19" i="5"/>
  <c r="W18" i="5"/>
  <c r="V18" i="5"/>
  <c r="T18" i="5"/>
  <c r="S18" i="5"/>
  <c r="Q18" i="5"/>
  <c r="P18" i="5"/>
  <c r="N18" i="5"/>
  <c r="M18" i="5"/>
  <c r="K18" i="5"/>
  <c r="J18" i="5"/>
  <c r="H18" i="5"/>
  <c r="G18" i="5"/>
  <c r="E18" i="5"/>
  <c r="D18" i="5"/>
  <c r="W17" i="5"/>
  <c r="V17" i="5"/>
  <c r="T17" i="5"/>
  <c r="S17" i="5"/>
  <c r="Q17" i="5"/>
  <c r="P17" i="5"/>
  <c r="N17" i="5"/>
  <c r="M17" i="5"/>
  <c r="K17" i="5"/>
  <c r="J17" i="5"/>
  <c r="H17" i="5"/>
  <c r="G17" i="5"/>
  <c r="E17" i="5"/>
  <c r="D17" i="5"/>
  <c r="W16" i="5"/>
  <c r="V16" i="5"/>
  <c r="T16" i="5"/>
  <c r="S16" i="5"/>
  <c r="Q16" i="5"/>
  <c r="P16" i="5"/>
  <c r="N16" i="5"/>
  <c r="M16" i="5"/>
  <c r="K16" i="5"/>
  <c r="J16" i="5"/>
  <c r="H16" i="5"/>
  <c r="G16" i="5"/>
  <c r="E16" i="5"/>
  <c r="D16" i="5"/>
  <c r="W15" i="5"/>
  <c r="V15" i="5"/>
  <c r="T15" i="5"/>
  <c r="S15" i="5"/>
  <c r="Q15" i="5"/>
  <c r="P15" i="5"/>
  <c r="N15" i="5"/>
  <c r="M15" i="5"/>
  <c r="K15" i="5"/>
  <c r="J15" i="5"/>
  <c r="H15" i="5"/>
  <c r="G15" i="5"/>
  <c r="E15" i="5"/>
  <c r="D15" i="5"/>
  <c r="W14" i="5"/>
  <c r="V14" i="5"/>
  <c r="T14" i="5"/>
  <c r="S14" i="5"/>
  <c r="Q14" i="5"/>
  <c r="P14" i="5"/>
  <c r="N14" i="5"/>
  <c r="M14" i="5"/>
  <c r="K14" i="5"/>
  <c r="J14" i="5"/>
  <c r="H14" i="5"/>
  <c r="G14" i="5"/>
  <c r="E14" i="5"/>
  <c r="D14" i="5"/>
  <c r="W13" i="5"/>
  <c r="V13" i="5"/>
  <c r="T13" i="5"/>
  <c r="S13" i="5"/>
  <c r="Q13" i="5"/>
  <c r="P13" i="5"/>
  <c r="N13" i="5"/>
  <c r="M13" i="5"/>
  <c r="K13" i="5"/>
  <c r="J13" i="5"/>
  <c r="H13" i="5"/>
  <c r="G13" i="5"/>
  <c r="E13" i="5"/>
  <c r="D13" i="5"/>
  <c r="W12" i="5"/>
  <c r="V12" i="5"/>
  <c r="T12" i="5"/>
  <c r="S12" i="5"/>
  <c r="Q12" i="5"/>
  <c r="P12" i="5"/>
  <c r="N12" i="5"/>
  <c r="M12" i="5"/>
  <c r="K12" i="5"/>
  <c r="J12" i="5"/>
  <c r="H12" i="5"/>
  <c r="G12" i="5"/>
  <c r="E12" i="5"/>
  <c r="D12" i="5"/>
  <c r="W11" i="5"/>
  <c r="V11" i="5"/>
  <c r="T11" i="5"/>
  <c r="S11" i="5"/>
  <c r="Q11" i="5"/>
  <c r="P11" i="5"/>
  <c r="N11" i="5"/>
  <c r="M11" i="5"/>
  <c r="K11" i="5"/>
  <c r="J11" i="5"/>
  <c r="H11" i="5"/>
  <c r="G11" i="5"/>
  <c r="E11" i="5"/>
  <c r="D11" i="5"/>
  <c r="W10" i="5"/>
  <c r="V10" i="5"/>
  <c r="T10" i="5"/>
  <c r="S10" i="5"/>
  <c r="Q10" i="5"/>
  <c r="P10" i="5"/>
  <c r="N10" i="5"/>
  <c r="M10" i="5"/>
  <c r="K10" i="5"/>
  <c r="J10" i="5"/>
  <c r="H10" i="5"/>
  <c r="G10" i="5"/>
  <c r="E10" i="5"/>
  <c r="D10" i="5"/>
  <c r="W9" i="5"/>
  <c r="V9" i="5"/>
  <c r="T9" i="5"/>
  <c r="S9" i="5"/>
  <c r="Q9" i="5"/>
  <c r="P9" i="5"/>
  <c r="N9" i="5"/>
  <c r="M9" i="5"/>
  <c r="K9" i="5"/>
  <c r="J9" i="5"/>
  <c r="H9" i="5"/>
  <c r="G9" i="5"/>
  <c r="E9" i="5"/>
  <c r="D9" i="5"/>
  <c r="W8" i="5"/>
  <c r="V8" i="5"/>
  <c r="T8" i="5"/>
  <c r="S8" i="5"/>
  <c r="Q8" i="5"/>
  <c r="P8" i="5"/>
  <c r="N8" i="5"/>
  <c r="M8" i="5"/>
  <c r="K8" i="5"/>
  <c r="J8" i="5"/>
  <c r="H8" i="5"/>
  <c r="G8" i="5"/>
  <c r="E8" i="5"/>
  <c r="D8" i="5"/>
  <c r="W7" i="5"/>
  <c r="V7" i="5"/>
  <c r="T7" i="5"/>
  <c r="S7" i="5"/>
  <c r="Q7" i="5"/>
  <c r="P7" i="5"/>
  <c r="N7" i="5"/>
  <c r="M7" i="5"/>
  <c r="K7" i="5"/>
  <c r="J7" i="5"/>
  <c r="H7" i="5"/>
  <c r="G7" i="5"/>
  <c r="E7" i="5"/>
  <c r="D7" i="5"/>
  <c r="W6" i="5"/>
  <c r="V6" i="5"/>
  <c r="T6" i="5"/>
  <c r="S6" i="5"/>
  <c r="Q6" i="5"/>
  <c r="P6" i="5"/>
  <c r="N6" i="5"/>
  <c r="M6" i="5"/>
  <c r="K6" i="5"/>
  <c r="J6" i="5"/>
  <c r="H6" i="5"/>
  <c r="G6" i="5"/>
  <c r="E6" i="5"/>
  <c r="D6" i="5"/>
  <c r="W5" i="5"/>
  <c r="V5" i="5"/>
  <c r="T5" i="5"/>
  <c r="S5" i="5"/>
  <c r="Q5" i="5"/>
  <c r="P5" i="5"/>
  <c r="N5" i="5"/>
  <c r="M5" i="5"/>
  <c r="K5" i="5"/>
  <c r="J5" i="5"/>
  <c r="H5" i="5"/>
  <c r="G5" i="5"/>
  <c r="E5" i="5"/>
  <c r="D5" i="5"/>
  <c r="V4" i="5"/>
  <c r="S4" i="5"/>
  <c r="P4" i="5"/>
  <c r="M4" i="5"/>
  <c r="J4" i="5"/>
  <c r="G4" i="5"/>
  <c r="D4" i="5"/>
  <c r="V1" i="5"/>
  <c r="S1" i="5"/>
  <c r="P1" i="5"/>
  <c r="M1" i="5"/>
  <c r="J1" i="5"/>
  <c r="G1" i="5"/>
  <c r="W39" i="6"/>
  <c r="V39" i="6"/>
  <c r="T39" i="6"/>
  <c r="S39" i="6"/>
  <c r="Q39" i="6"/>
  <c r="P39" i="6"/>
  <c r="N39" i="6"/>
  <c r="M39" i="6"/>
  <c r="K39" i="6"/>
  <c r="J39" i="6"/>
  <c r="H39" i="6"/>
  <c r="G39" i="6"/>
  <c r="E39" i="6"/>
  <c r="D39" i="6"/>
  <c r="W38" i="6"/>
  <c r="V38" i="6"/>
  <c r="T38" i="6"/>
  <c r="S38" i="6"/>
  <c r="Q38" i="6"/>
  <c r="P38" i="6"/>
  <c r="N38" i="6"/>
  <c r="M38" i="6"/>
  <c r="K38" i="6"/>
  <c r="J38" i="6"/>
  <c r="H38" i="6"/>
  <c r="G38" i="6"/>
  <c r="E38" i="6"/>
  <c r="D38" i="6"/>
  <c r="W37" i="6"/>
  <c r="V37" i="6"/>
  <c r="T37" i="6"/>
  <c r="S37" i="6"/>
  <c r="Q37" i="6"/>
  <c r="P37" i="6"/>
  <c r="N37" i="6"/>
  <c r="M37" i="6"/>
  <c r="K37" i="6"/>
  <c r="J37" i="6"/>
  <c r="H37" i="6"/>
  <c r="G37" i="6"/>
  <c r="E37" i="6"/>
  <c r="D37" i="6"/>
  <c r="W36" i="6"/>
  <c r="V36" i="6"/>
  <c r="T36" i="6"/>
  <c r="S36" i="6"/>
  <c r="Q36" i="6"/>
  <c r="P36" i="6"/>
  <c r="N36" i="6"/>
  <c r="M36" i="6"/>
  <c r="K36" i="6"/>
  <c r="J36" i="6"/>
  <c r="H36" i="6"/>
  <c r="G36" i="6"/>
  <c r="E36" i="6"/>
  <c r="D36" i="6"/>
  <c r="W35" i="6"/>
  <c r="V35" i="6"/>
  <c r="T35" i="6"/>
  <c r="S35" i="6"/>
  <c r="Q35" i="6"/>
  <c r="P35" i="6"/>
  <c r="N35" i="6"/>
  <c r="M35" i="6"/>
  <c r="K35" i="6"/>
  <c r="J35" i="6"/>
  <c r="H35" i="6"/>
  <c r="G35" i="6"/>
  <c r="E35" i="6"/>
  <c r="D35" i="6"/>
  <c r="W34" i="6"/>
  <c r="V34" i="6"/>
  <c r="T34" i="6"/>
  <c r="S34" i="6"/>
  <c r="Q34" i="6"/>
  <c r="P34" i="6"/>
  <c r="N34" i="6"/>
  <c r="M34" i="6"/>
  <c r="K34" i="6"/>
  <c r="J34" i="6"/>
  <c r="H34" i="6"/>
  <c r="G34" i="6"/>
  <c r="E34" i="6"/>
  <c r="D34" i="6"/>
  <c r="W33" i="6"/>
  <c r="V33" i="6"/>
  <c r="T33" i="6"/>
  <c r="S33" i="6"/>
  <c r="Q33" i="6"/>
  <c r="P33" i="6"/>
  <c r="N33" i="6"/>
  <c r="M33" i="6"/>
  <c r="K33" i="6"/>
  <c r="J33" i="6"/>
  <c r="H33" i="6"/>
  <c r="G33" i="6"/>
  <c r="E33" i="6"/>
  <c r="D33" i="6"/>
  <c r="W32" i="6"/>
  <c r="V32" i="6"/>
  <c r="T32" i="6"/>
  <c r="S32" i="6"/>
  <c r="Q32" i="6"/>
  <c r="P32" i="6"/>
  <c r="N32" i="6"/>
  <c r="M32" i="6"/>
  <c r="K32" i="6"/>
  <c r="J32" i="6"/>
  <c r="H32" i="6"/>
  <c r="G32" i="6"/>
  <c r="E32" i="6"/>
  <c r="D32" i="6"/>
  <c r="W31" i="6"/>
  <c r="V31" i="6"/>
  <c r="T31" i="6"/>
  <c r="S31" i="6"/>
  <c r="Q31" i="6"/>
  <c r="P31" i="6"/>
  <c r="N31" i="6"/>
  <c r="M31" i="6"/>
  <c r="K31" i="6"/>
  <c r="J31" i="6"/>
  <c r="H31" i="6"/>
  <c r="G31" i="6"/>
  <c r="E31" i="6"/>
  <c r="D31" i="6"/>
  <c r="W30" i="6"/>
  <c r="V30" i="6"/>
  <c r="T30" i="6"/>
  <c r="S30" i="6"/>
  <c r="Q30" i="6"/>
  <c r="P30" i="6"/>
  <c r="N30" i="6"/>
  <c r="M30" i="6"/>
  <c r="K30" i="6"/>
  <c r="J30" i="6"/>
  <c r="H30" i="6"/>
  <c r="G30" i="6"/>
  <c r="E30" i="6"/>
  <c r="D30" i="6"/>
  <c r="W29" i="6"/>
  <c r="V29" i="6"/>
  <c r="T29" i="6"/>
  <c r="S29" i="6"/>
  <c r="Q29" i="6"/>
  <c r="P29" i="6"/>
  <c r="N29" i="6"/>
  <c r="M29" i="6"/>
  <c r="K29" i="6"/>
  <c r="J29" i="6"/>
  <c r="H29" i="6"/>
  <c r="G29" i="6"/>
  <c r="E29" i="6"/>
  <c r="D29" i="6"/>
  <c r="W28" i="6"/>
  <c r="V28" i="6"/>
  <c r="T28" i="6"/>
  <c r="S28" i="6"/>
  <c r="Q28" i="6"/>
  <c r="P28" i="6"/>
  <c r="N28" i="6"/>
  <c r="M28" i="6"/>
  <c r="K28" i="6"/>
  <c r="J28" i="6"/>
  <c r="H28" i="6"/>
  <c r="G28" i="6"/>
  <c r="E28" i="6"/>
  <c r="D28" i="6"/>
  <c r="W27" i="6"/>
  <c r="V27" i="6"/>
  <c r="T27" i="6"/>
  <c r="S27" i="6"/>
  <c r="Q27" i="6"/>
  <c r="P27" i="6"/>
  <c r="N27" i="6"/>
  <c r="M27" i="6"/>
  <c r="K27" i="6"/>
  <c r="J27" i="6"/>
  <c r="H27" i="6"/>
  <c r="G27" i="6"/>
  <c r="E27" i="6"/>
  <c r="D27" i="6"/>
  <c r="W26" i="6"/>
  <c r="V26" i="6"/>
  <c r="T26" i="6"/>
  <c r="S26" i="6"/>
  <c r="Q26" i="6"/>
  <c r="P26" i="6"/>
  <c r="N26" i="6"/>
  <c r="M26" i="6"/>
  <c r="K26" i="6"/>
  <c r="J26" i="6"/>
  <c r="H26" i="6"/>
  <c r="G26" i="6"/>
  <c r="E26" i="6"/>
  <c r="D26" i="6"/>
  <c r="W25" i="6"/>
  <c r="V25" i="6"/>
  <c r="T25" i="6"/>
  <c r="S25" i="6"/>
  <c r="Q25" i="6"/>
  <c r="P25" i="6"/>
  <c r="N25" i="6"/>
  <c r="M25" i="6"/>
  <c r="K25" i="6"/>
  <c r="J25" i="6"/>
  <c r="H25" i="6"/>
  <c r="G25" i="6"/>
  <c r="E25" i="6"/>
  <c r="D25" i="6"/>
  <c r="W24" i="6"/>
  <c r="V24" i="6"/>
  <c r="T24" i="6"/>
  <c r="S24" i="6"/>
  <c r="Q24" i="6"/>
  <c r="P24" i="6"/>
  <c r="N24" i="6"/>
  <c r="M24" i="6"/>
  <c r="K24" i="6"/>
  <c r="J24" i="6"/>
  <c r="H24" i="6"/>
  <c r="G24" i="6"/>
  <c r="E24" i="6"/>
  <c r="D24" i="6"/>
  <c r="W23" i="6"/>
  <c r="V23" i="6"/>
  <c r="T23" i="6"/>
  <c r="S23" i="6"/>
  <c r="Q23" i="6"/>
  <c r="P23" i="6"/>
  <c r="N23" i="6"/>
  <c r="M23" i="6"/>
  <c r="K23" i="6"/>
  <c r="J23" i="6"/>
  <c r="H23" i="6"/>
  <c r="G23" i="6"/>
  <c r="E23" i="6"/>
  <c r="D23" i="6"/>
  <c r="W22" i="6"/>
  <c r="V22" i="6"/>
  <c r="T22" i="6"/>
  <c r="S22" i="6"/>
  <c r="Q22" i="6"/>
  <c r="P22" i="6"/>
  <c r="N22" i="6"/>
  <c r="M22" i="6"/>
  <c r="K22" i="6"/>
  <c r="J22" i="6"/>
  <c r="H22" i="6"/>
  <c r="G22" i="6"/>
  <c r="E22" i="6"/>
  <c r="D22" i="6"/>
  <c r="W21" i="6"/>
  <c r="V21" i="6"/>
  <c r="T21" i="6"/>
  <c r="S21" i="6"/>
  <c r="Q21" i="6"/>
  <c r="P21" i="6"/>
  <c r="N21" i="6"/>
  <c r="M21" i="6"/>
  <c r="K21" i="6"/>
  <c r="J21" i="6"/>
  <c r="H21" i="6"/>
  <c r="G21" i="6"/>
  <c r="E21" i="6"/>
  <c r="D21" i="6"/>
  <c r="W20" i="6"/>
  <c r="V20" i="6"/>
  <c r="T20" i="6"/>
  <c r="S20" i="6"/>
  <c r="Q20" i="6"/>
  <c r="P20" i="6"/>
  <c r="N20" i="6"/>
  <c r="M20" i="6"/>
  <c r="K20" i="6"/>
  <c r="J20" i="6"/>
  <c r="H20" i="6"/>
  <c r="G20" i="6"/>
  <c r="E20" i="6"/>
  <c r="D20" i="6"/>
  <c r="W19" i="6"/>
  <c r="V19" i="6"/>
  <c r="T19" i="6"/>
  <c r="S19" i="6"/>
  <c r="Q19" i="6"/>
  <c r="P19" i="6"/>
  <c r="N19" i="6"/>
  <c r="M19" i="6"/>
  <c r="K19" i="6"/>
  <c r="J19" i="6"/>
  <c r="H19" i="6"/>
  <c r="G19" i="6"/>
  <c r="E19" i="6"/>
  <c r="D19" i="6"/>
  <c r="W18" i="6"/>
  <c r="V18" i="6"/>
  <c r="T18" i="6"/>
  <c r="S18" i="6"/>
  <c r="Q18" i="6"/>
  <c r="P18" i="6"/>
  <c r="N18" i="6"/>
  <c r="M18" i="6"/>
  <c r="K18" i="6"/>
  <c r="J18" i="6"/>
  <c r="H18" i="6"/>
  <c r="G18" i="6"/>
  <c r="E18" i="6"/>
  <c r="D18" i="6"/>
  <c r="W17" i="6"/>
  <c r="V17" i="6"/>
  <c r="T17" i="6"/>
  <c r="S17" i="6"/>
  <c r="Q17" i="6"/>
  <c r="P17" i="6"/>
  <c r="N17" i="6"/>
  <c r="M17" i="6"/>
  <c r="K17" i="6"/>
  <c r="J17" i="6"/>
  <c r="H17" i="6"/>
  <c r="G17" i="6"/>
  <c r="E17" i="6"/>
  <c r="D17" i="6"/>
  <c r="W16" i="6"/>
  <c r="V16" i="6"/>
  <c r="T16" i="6"/>
  <c r="S16" i="6"/>
  <c r="Q16" i="6"/>
  <c r="P16" i="6"/>
  <c r="N16" i="6"/>
  <c r="M16" i="6"/>
  <c r="K16" i="6"/>
  <c r="J16" i="6"/>
  <c r="H16" i="6"/>
  <c r="G16" i="6"/>
  <c r="E16" i="6"/>
  <c r="D16" i="6"/>
  <c r="W15" i="6"/>
  <c r="V15" i="6"/>
  <c r="T15" i="6"/>
  <c r="S15" i="6"/>
  <c r="Q15" i="6"/>
  <c r="P15" i="6"/>
  <c r="N15" i="6"/>
  <c r="M15" i="6"/>
  <c r="K15" i="6"/>
  <c r="J15" i="6"/>
  <c r="H15" i="6"/>
  <c r="G15" i="6"/>
  <c r="E15" i="6"/>
  <c r="D15" i="6"/>
  <c r="W14" i="6"/>
  <c r="V14" i="6"/>
  <c r="T14" i="6"/>
  <c r="S14" i="6"/>
  <c r="Q14" i="6"/>
  <c r="P14" i="6"/>
  <c r="N14" i="6"/>
  <c r="M14" i="6"/>
  <c r="K14" i="6"/>
  <c r="J14" i="6"/>
  <c r="H14" i="6"/>
  <c r="G14" i="6"/>
  <c r="E14" i="6"/>
  <c r="D14" i="6"/>
  <c r="W13" i="6"/>
  <c r="V13" i="6"/>
  <c r="T13" i="6"/>
  <c r="S13" i="6"/>
  <c r="Q13" i="6"/>
  <c r="P13" i="6"/>
  <c r="N13" i="6"/>
  <c r="M13" i="6"/>
  <c r="K13" i="6"/>
  <c r="J13" i="6"/>
  <c r="H13" i="6"/>
  <c r="G13" i="6"/>
  <c r="E13" i="6"/>
  <c r="D13" i="6"/>
  <c r="W12" i="6"/>
  <c r="V12" i="6"/>
  <c r="T12" i="6"/>
  <c r="S12" i="6"/>
  <c r="Q12" i="6"/>
  <c r="P12" i="6"/>
  <c r="N12" i="6"/>
  <c r="M12" i="6"/>
  <c r="K12" i="6"/>
  <c r="J12" i="6"/>
  <c r="H12" i="6"/>
  <c r="G12" i="6"/>
  <c r="E12" i="6"/>
  <c r="D12" i="6"/>
  <c r="W11" i="6"/>
  <c r="V11" i="6"/>
  <c r="T11" i="6"/>
  <c r="S11" i="6"/>
  <c r="Q11" i="6"/>
  <c r="P11" i="6"/>
  <c r="N11" i="6"/>
  <c r="M11" i="6"/>
  <c r="K11" i="6"/>
  <c r="J11" i="6"/>
  <c r="H11" i="6"/>
  <c r="G11" i="6"/>
  <c r="E11" i="6"/>
  <c r="D11" i="6"/>
  <c r="W10" i="6"/>
  <c r="V10" i="6"/>
  <c r="T10" i="6"/>
  <c r="S10" i="6"/>
  <c r="Q10" i="6"/>
  <c r="P10" i="6"/>
  <c r="N10" i="6"/>
  <c r="M10" i="6"/>
  <c r="K10" i="6"/>
  <c r="J10" i="6"/>
  <c r="H10" i="6"/>
  <c r="G10" i="6"/>
  <c r="E10" i="6"/>
  <c r="D10" i="6"/>
  <c r="W9" i="6"/>
  <c r="V9" i="6"/>
  <c r="T9" i="6"/>
  <c r="S9" i="6"/>
  <c r="Q9" i="6"/>
  <c r="P9" i="6"/>
  <c r="N9" i="6"/>
  <c r="M9" i="6"/>
  <c r="K9" i="6"/>
  <c r="J9" i="6"/>
  <c r="H9" i="6"/>
  <c r="G9" i="6"/>
  <c r="E9" i="6"/>
  <c r="D9" i="6"/>
  <c r="W8" i="6"/>
  <c r="V8" i="6"/>
  <c r="T8" i="6"/>
  <c r="S8" i="6"/>
  <c r="Q8" i="6"/>
  <c r="P8" i="6"/>
  <c r="N8" i="6"/>
  <c r="M8" i="6"/>
  <c r="K8" i="6"/>
  <c r="J8" i="6"/>
  <c r="H8" i="6"/>
  <c r="G8" i="6"/>
  <c r="E8" i="6"/>
  <c r="D8" i="6"/>
  <c r="W7" i="6"/>
  <c r="V7" i="6"/>
  <c r="T7" i="6"/>
  <c r="S7" i="6"/>
  <c r="Q7" i="6"/>
  <c r="P7" i="6"/>
  <c r="N7" i="6"/>
  <c r="M7" i="6"/>
  <c r="K7" i="6"/>
  <c r="J7" i="6"/>
  <c r="H7" i="6"/>
  <c r="G7" i="6"/>
  <c r="E7" i="6"/>
  <c r="D7" i="6"/>
  <c r="W6" i="6"/>
  <c r="V6" i="6"/>
  <c r="T6" i="6"/>
  <c r="S6" i="6"/>
  <c r="Q6" i="6"/>
  <c r="P6" i="6"/>
  <c r="N6" i="6"/>
  <c r="M6" i="6"/>
  <c r="K6" i="6"/>
  <c r="J6" i="6"/>
  <c r="H6" i="6"/>
  <c r="G6" i="6"/>
  <c r="E6" i="6"/>
  <c r="D6" i="6"/>
  <c r="W5" i="6"/>
  <c r="V5" i="6"/>
  <c r="T5" i="6"/>
  <c r="S5" i="6"/>
  <c r="Q5" i="6"/>
  <c r="P5" i="6"/>
  <c r="N5" i="6"/>
  <c r="M5" i="6"/>
  <c r="K5" i="6"/>
  <c r="J5" i="6"/>
  <c r="H5" i="6"/>
  <c r="G5" i="6"/>
  <c r="E5" i="6"/>
  <c r="D5" i="6"/>
  <c r="V4" i="6"/>
  <c r="S4" i="6"/>
  <c r="P4" i="6"/>
  <c r="M4" i="6"/>
  <c r="J4" i="6"/>
  <c r="G4" i="6"/>
  <c r="D4" i="6"/>
  <c r="V1" i="6"/>
  <c r="S1" i="6"/>
  <c r="P1" i="6"/>
  <c r="M1" i="6"/>
  <c r="J1" i="6"/>
  <c r="G1" i="6"/>
</calcChain>
</file>

<file path=xl/sharedStrings.xml><?xml version="1.0" encoding="utf-8"?>
<sst xmlns="http://schemas.openxmlformats.org/spreadsheetml/2006/main" count="1074" uniqueCount="198">
  <si>
    <t>m_lithium</t>
  </si>
  <si>
    <t>m_nickel</t>
  </si>
  <si>
    <t>m_cobalt</t>
  </si>
  <si>
    <t>~Tradelinks</t>
  </si>
  <si>
    <t>m_manganese</t>
  </si>
  <si>
    <t>Africa_North</t>
  </si>
  <si>
    <t>m_aluminum</t>
  </si>
  <si>
    <t>m_copper</t>
  </si>
  <si>
    <t>m_graphite</t>
  </si>
  <si>
    <t>Region</t>
  </si>
  <si>
    <t>\I:Africa_North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</si>
  <si>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</si>
  <si>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</si>
  <si>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</si>
  <si>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</si>
  <si>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</si>
  <si>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</si>
  <si>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</si>
  <si>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</si>
  <si>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</si>
  <si>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</si>
  <si>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</si>
  <si>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</si>
  <si>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</si>
  <si>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</si>
  <si>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</si>
  <si>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</si>
  <si>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</si>
  <si>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</si>
  <si>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</si>
  <si>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</si>
  <si>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</si>
  <si>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</si>
  <si>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</si>
  <si>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</si>
  <si>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</si>
  <si>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</si>
  <si>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</si>
  <si>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</si>
  <si>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</si>
  <si>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</si>
  <si>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</si>
  <si>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</si>
  <si>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</si>
  <si>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</si>
  <si>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m_fromrecy_lithium</t>
  </si>
  <si>
    <t>m_fromrecy_nickel</t>
  </si>
  <si>
    <t>m_fromrecy_cobalt</t>
  </si>
  <si>
    <t>m_fromrecy_manganese</t>
  </si>
  <si>
    <t>m_fromrecy_aluminum</t>
  </si>
  <si>
    <t>m_fromrecy_copper</t>
  </si>
  <si>
    <t>m_fromrecy_graphite</t>
  </si>
  <si>
    <t>Reg1</t>
  </si>
  <si>
    <t>Reg2</t>
  </si>
  <si>
    <t>Comm</t>
  </si>
  <si>
    <t>Comm1</t>
  </si>
  <si>
    <t>Comm2</t>
  </si>
  <si>
    <t>Tech</t>
  </si>
  <si>
    <t>TradeLink</t>
  </si>
  <si>
    <t>ELC</t>
  </si>
  <si>
    <t>TU_ELC_Africa_North-Africa_Other</t>
  </si>
  <si>
    <t>U</t>
  </si>
  <si>
    <t>TU_ELC_Africa_North-GreeceCyp</t>
  </si>
  <si>
    <t>TU_ELC_Africa_North-ItalyMal</t>
  </si>
  <si>
    <t>TU_ELC_Africa_North-MidEast</t>
  </si>
  <si>
    <t>TU_ELC_Africa_North-SaudiArabia</t>
  </si>
  <si>
    <t>TU_ELC_Africa_North-SpainPor</t>
  </si>
  <si>
    <t>TU_ELC_Africa_Other-Africa_North</t>
  </si>
  <si>
    <t>TU_ELC_Africa_Other-SouthAfrica</t>
  </si>
  <si>
    <t>TU_ELC_Austria-CroSloven</t>
  </si>
  <si>
    <t>TU_ELC_Austria-CzechSlovak</t>
  </si>
  <si>
    <t>TU_ELC_Austria-Germany</t>
  </si>
  <si>
    <t>TU_ELC_Austria-HunRomBul</t>
  </si>
  <si>
    <t>TU_ELC_Austria-ItalyMal</t>
  </si>
  <si>
    <t>TU_ELC_Austria-Switzerland</t>
  </si>
  <si>
    <t>TU_ELC_Baltics-Poland</t>
  </si>
  <si>
    <t>TU_ELC_Baltics-Russia</t>
  </si>
  <si>
    <t>TU_ELC_Baltics-SweFinDen</t>
  </si>
  <si>
    <t>TU_ELC_BeNeLux-France</t>
  </si>
  <si>
    <t>TU_ELC_BeNeLux-Germany</t>
  </si>
  <si>
    <t>TU_ELC_BeNeLux-Norway</t>
  </si>
  <si>
    <t>TU_ELC_BeNeLux-SweFinDen</t>
  </si>
  <si>
    <t>TU_ELC_BeNeLux-UK</t>
  </si>
  <si>
    <t>TU_ELC_Brazil-LatAm</t>
  </si>
  <si>
    <t>TU_ELC_China-ROW</t>
  </si>
  <si>
    <t>TU_ELC_China-Russia</t>
  </si>
  <si>
    <t>TU_ELC_CroSloven-Austria</t>
  </si>
  <si>
    <t>TU_ELC_CroSloven-HunRomBul</t>
  </si>
  <si>
    <t>TU_ELC_CroSloven-ItalyMal</t>
  </si>
  <si>
    <t>TU_ELC_CroSloven-WestBalkans</t>
  </si>
  <si>
    <t>TU_ELC_CzechSlovak-Austria</t>
  </si>
  <si>
    <t>TU_ELC_CzechSlovak-Germany</t>
  </si>
  <si>
    <t>TU_ELC_CzechSlovak-HunRomBul</t>
  </si>
  <si>
    <t>TU_ELC_CzechSlovak-Poland</t>
  </si>
  <si>
    <t>TU_ELC_CzechSlovak-Ukraine</t>
  </si>
  <si>
    <t>TU_ELC_France-BeNeLux</t>
  </si>
  <si>
    <t>TU_ELC_France-Germany</t>
  </si>
  <si>
    <t>TU_ELC_France-Ireland</t>
  </si>
  <si>
    <t>TU_ELC_France-ItalyMal</t>
  </si>
  <si>
    <t>TU_ELC_France-SpainPor</t>
  </si>
  <si>
    <t>TU_ELC_France-Switzerland</t>
  </si>
  <si>
    <t>TU_ELC_France-UK</t>
  </si>
  <si>
    <t>TU_ELC_Germany-Austria</t>
  </si>
  <si>
    <t>TU_ELC_Germany-BeNeLux</t>
  </si>
  <si>
    <t>TU_ELC_Germany-CzechSlovak</t>
  </si>
  <si>
    <t>TU_ELC_Germany-France</t>
  </si>
  <si>
    <t>TU_ELC_Germany-Norway</t>
  </si>
  <si>
    <t>TU_ELC_Germany-Poland</t>
  </si>
  <si>
    <t>TU_ELC_Germany-SweFinDen</t>
  </si>
  <si>
    <t>TU_ELC_Germany-Switzerland</t>
  </si>
  <si>
    <t>TU_ELC_Germany-UK</t>
  </si>
  <si>
    <t>TU_ELC_GreeceCyp-HunRomBul</t>
  </si>
  <si>
    <t>TU_ELC_GreeceCyp-Africa_North</t>
  </si>
  <si>
    <t>TU_ELC_GreeceCyp-ItalyMal</t>
  </si>
  <si>
    <t>TU_ELC_GreeceCyp-Turkey</t>
  </si>
  <si>
    <t>TU_ELC_GreeceCyp-WestBalkans</t>
  </si>
  <si>
    <t>TU_ELC_GreeceCyp-MidEast</t>
  </si>
  <si>
    <t>TU_ELC_HunRomBul-Austria</t>
  </si>
  <si>
    <t>TU_ELC_HunRomBul-CroSloven</t>
  </si>
  <si>
    <t>TU_ELC_HunRomBul-CzechSlovak</t>
  </si>
  <si>
    <t>TU_ELC_HunRomBul-GreeceCyp</t>
  </si>
  <si>
    <t>TU_ELC_HunRomBul-ROW</t>
  </si>
  <si>
    <t>TU_ELC_HunRomBul-Turkey</t>
  </si>
  <si>
    <t>TU_ELC_HunRomBul-Ukraine</t>
  </si>
  <si>
    <t>TU_ELC_HunRomBul-WestBalkans</t>
  </si>
  <si>
    <t>TU_ELC_Iceland-UK</t>
  </si>
  <si>
    <t>TU_ELC_India-ROW</t>
  </si>
  <si>
    <t>TU_ELC_Ireland-France</t>
  </si>
  <si>
    <t>TU_ELC_Ireland-UK</t>
  </si>
  <si>
    <t>TU_ELC_ItalyMal-Africa_North</t>
  </si>
  <si>
    <t>TU_ELC_ItalyMal-Austria</t>
  </si>
  <si>
    <t>TU_ELC_ItalyMal-CroSloven</t>
  </si>
  <si>
    <t>TU_ELC_ItalyMal-France</t>
  </si>
  <si>
    <t>TU_ELC_ItalyMal-GreeceCyp</t>
  </si>
  <si>
    <t>TU_ELC_ItalyMal-Switzerland</t>
  </si>
  <si>
    <t>TU_ELC_ItalyMal-WestBalkans</t>
  </si>
  <si>
    <t>TU_ELC_LatAm-Brazil</t>
  </si>
  <si>
    <t>TU_ELC_LatAm-NorthAm</t>
  </si>
  <si>
    <t>TU_ELC_MidEast-Africa_North</t>
  </si>
  <si>
    <t>TU_ELC_MidEast-ROW</t>
  </si>
  <si>
    <t>TU_ELC_MidEast-SaudiArabia</t>
  </si>
  <si>
    <t>TU_ELC_MidEast-Turkey</t>
  </si>
  <si>
    <t>TU_ELC_MidEast-GreeceCyp</t>
  </si>
  <si>
    <t>TU_ELC_NorthAm-LatAm</t>
  </si>
  <si>
    <t>TU_ELC_Norway-BeNeLux</t>
  </si>
  <si>
    <t>TU_ELC_Norway-Germany</t>
  </si>
  <si>
    <t>TU_ELC_Norway-SweFinDen</t>
  </si>
  <si>
    <t>TU_ELC_Norway-UK</t>
  </si>
  <si>
    <t>TU_ELC_Poland-Baltics</t>
  </si>
  <si>
    <t>TU_ELC_Poland-CzechSlovak</t>
  </si>
  <si>
    <t>TU_ELC_Poland-Germany</t>
  </si>
  <si>
    <t>TU_ELC_Poland-SweFinDen</t>
  </si>
  <si>
    <t>TU_ELC_Poland-Ukraine</t>
  </si>
  <si>
    <t>TU_ELC_ROW-China</t>
  </si>
  <si>
    <t>TU_ELC_ROW-HunRomBul</t>
  </si>
  <si>
    <t>TU_ELC_ROW-India</t>
  </si>
  <si>
    <t>TU_ELC_ROW-MidEast</t>
  </si>
  <si>
    <t>TU_ELC_ROW-Russia</t>
  </si>
  <si>
    <t>TU_ELC_ROW-Turkey</t>
  </si>
  <si>
    <t>TU_ELC_ROW-Ukraine</t>
  </si>
  <si>
    <t>TU_ELC_Russia-Baltics</t>
  </si>
  <si>
    <t>TU_ELC_Russia-China</t>
  </si>
  <si>
    <t>TU_ELC_Russia-ROW</t>
  </si>
  <si>
    <t>TU_ELC_SaudiArabia-Africa_North</t>
  </si>
  <si>
    <t>TU_ELC_SaudiArabia-MidEast</t>
  </si>
  <si>
    <t>TU_ELC_SouthAfrica-Africa_Other</t>
  </si>
  <si>
    <t>TU_ELC_SpainPor-Africa_North</t>
  </si>
  <si>
    <t>TU_ELC_SpainPor-France</t>
  </si>
  <si>
    <t>TU_ELC_SweFinDen-Baltics</t>
  </si>
  <si>
    <t>TU_ELC_SweFinDen-BeNeLux</t>
  </si>
  <si>
    <t>TU_ELC_SweFinDen-Germany</t>
  </si>
  <si>
    <t>TU_ELC_SweFinDen-Norway</t>
  </si>
  <si>
    <t>TU_ELC_SweFinDen-Poland</t>
  </si>
  <si>
    <t>TU_ELC_SweFinDen-UK</t>
  </si>
  <si>
    <t>TU_ELC_Switzerland-Austria</t>
  </si>
  <si>
    <t>TU_ELC_Switzerland-France</t>
  </si>
  <si>
    <t>TU_ELC_Switzerland-Germany</t>
  </si>
  <si>
    <t>TU_ELC_Switzerland-ItalyMal</t>
  </si>
  <si>
    <t>TU_ELC_Turkey-GreeceCyp</t>
  </si>
  <si>
    <t>TU_ELC_Turkey-HunRomBul</t>
  </si>
  <si>
    <t>TU_ELC_Turkey-MidEast</t>
  </si>
  <si>
    <t>TU_ELC_Turkey-ROW</t>
  </si>
  <si>
    <t>TU_ELC_UK-BeNeLux</t>
  </si>
  <si>
    <t>TU_ELC_UK-France</t>
  </si>
  <si>
    <t>TU_ELC_UK-Germany</t>
  </si>
  <si>
    <t>TU_ELC_UK-Iceland</t>
  </si>
  <si>
    <t>TU_ELC_UK-Ireland</t>
  </si>
  <si>
    <t>TU_ELC_UK-Norway</t>
  </si>
  <si>
    <t>TU_ELC_UK-SweFinDen</t>
  </si>
  <si>
    <t>TU_ELC_Ukraine-CzechSlovak</t>
  </si>
  <si>
    <t>TU_ELC_Ukraine-HunRomBul</t>
  </si>
  <si>
    <t>TU_ELC_Ukraine-Poland</t>
  </si>
  <si>
    <t>TU_ELC_Ukraine-ROW</t>
  </si>
  <si>
    <t>TU_ELC_WestBalkans-CroSloven</t>
  </si>
  <si>
    <t>TU_ELC_WestBalkans-GreeceCyp</t>
  </si>
  <si>
    <t>TU_ELC_WestBalkans-HunRomBul</t>
  </si>
  <si>
    <t>TU_ELC_WestBalkans-ItalyMal</t>
  </si>
  <si>
    <t>~TradeLinks_DINS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</si>
</sst>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charset val="134"/>
      <scheme val="minor"/>
    </font>
    <font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3" borderId="0" applyNumberFormat="0" applyBorder="0" applyAlignment="0" applyProtection="0"/>
    <xf numFmtId="0" fontId="3" fillId="2" borderId="0" applyNumberFormat="0" applyBorder="0" applyAlignment="0" applyProtection="0"/>
    <xf numFmtId="0" fontId="1" fillId="0" borderId="0"/>
  </cellStyleXfs>
  <cellXfs count="4">
    <xf numFmtId="0" fontId="0" fillId="0" borderId="0" xfId="0"/>
    <xf numFmtId="0" fontId="3" fillId="2" borderId="0" xfId="2"/>
    <xf numFmtId="0" fontId="2" fillId="3" borderId="0" xfId="1"/>
    <xf numFmtId="0" fontId="1" fillId="0" borderId="0" xfId="3"/>
  </cellXfs>
  <cellStyles count="4">
    <cellStyle name="40% - Accent3" xfId="2" builtinId="39"/>
    <cellStyle name="Bad" xfId="1" builtinId="27"/>
    <cellStyle name="Normal" xfId="0" builtinId="0"/>
    <cellStyle name="Normal 2" xfId="3" xr:uid="{743D950F-DCA2-4CC3-98AB-BCEE9F80E2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zoomScale="48" zoomScaleNormal="48" workbookViewId="0"/>
  </sheetViews>
  <sheetFormatPr defaultColWidth="9" defaultRowHeight="14.25"/>
  <cols>
    <col min="4" max="4" width="14.59765625" customWidth="1"/>
    <col min="5" max="5" width="17.73046875" customWidth="1"/>
    <col min="7" max="7" width="14.59765625" customWidth="1"/>
    <col min="8" max="8" width="17.73046875" customWidth="1"/>
  </cols>
  <sheetData>
    <row r="1" spans="1:23">
      <c r="A1">
        <v>1</v>
      </c>
      <c r="B1" t="s">
        <v>0</v>
      </c>
      <c r="D1">
        <v>1</v>
      </c>
      <c r="G1">
        <f>D1+1</f>
        <v>2</v>
      </c>
      <c r="J1">
        <f>G1+1</f>
        <v>3</v>
      </c>
      <c r="M1">
        <f>J1+1</f>
        <v>4</v>
      </c>
      <c r="P1">
        <f>M1+1</f>
        <v>5</v>
      </c>
      <c r="S1">
        <f>P1+1</f>
        <v>6</v>
      </c>
      <c r="V1">
        <f>S1+1</f>
        <v>7</v>
      </c>
    </row>
    <row r="2" spans="1:23">
      <c r="A2">
        <v>2</v>
      </c>
      <c r="B2" t="s">
        <v>1</v>
      </c>
    </row>
    <row r="3" spans="1:23">
      <c r="A3">
        <v>3</v>
      </c>
      <c r="B3" t="s">
        <v>2</v>
      </c>
      <c r="D3" t="s">
        <v>3</v>
      </c>
      <c r="G3" t="s">
        <v>3</v>
      </c>
      <c r="J3" t="s">
        <v>3</v>
      </c>
      <c r="M3" t="s">
        <v>3</v>
      </c>
      <c r="P3" t="s">
        <v>3</v>
      </c>
      <c r="S3" t="s">
        <v>3</v>
      </c>
      <c r="V3" t="s">
        <v>3</v>
      </c>
    </row>
    <row r="4" spans="1:23">
      <c r="A4">
        <v>4</v>
      </c>
      <c r="B4" t="s">
        <v>4</v>
      </c>
      <c r="D4" t="str">
        <f>VLOOKUP(D1,$A$1:$B$27,2,FALSE)</f>
        <v>m_lithium</v>
      </c>
      <c r="E4" s="1" t="s">
        <v>5</v>
      </c>
      <c r="G4" t="str">
        <f>VLOOKUP(G1,$A$1:$B$27,2,FALSE)</f>
        <v>m_nickel</v>
      </c>
      <c r="H4" s="1" t="s">
        <v>5</v>
      </c>
      <c r="J4" t="str">
        <f>VLOOKUP(J1,$A$1:$B$27,2,FALSE)</f>
        <v>m_cobalt</v>
      </c>
      <c r="K4" s="1" t="s">
        <v>5</v>
      </c>
      <c r="M4" t="str">
        <f>VLOOKUP(M1,$A$1:$B$27,2,FALSE)</f>
        <v>m_manganese</v>
      </c>
      <c r="N4" s="1" t="s">
        <v>5</v>
      </c>
      <c r="P4" t="str">
        <f>VLOOKUP(P1,$A$1:$B$27,2,FALSE)</f>
        <v>m_aluminum</v>
      </c>
      <c r="Q4" s="1" t="s">
        <v>5</v>
      </c>
      <c r="S4" t="str">
        <f>VLOOKUP(S1,$A$1:$B$27,2,FALSE)</f>
        <v>m_copper</v>
      </c>
      <c r="T4" s="1" t="s">
        <v>5</v>
      </c>
      <c r="V4" t="str">
        <f>VLOOKUP(V1,$A$1:$B$27,2,FALSE)</f>
        <v>m_graphite</v>
      </c>
      <c r="W4" s="1" t="s">
        <v>5</v>
      </c>
    </row>
    <row r="5" spans="1:23">
      <c r="A5">
        <v>5</v>
      </c>
      <c r="B5" t="s">
        <v>6</v>
      </c>
      <c r="D5" s="1" t="str">
        <f>IF(A37="","\I:",A37)</f>
        <v>\I:Africa_North</v>
      </c>
      <c r="E5" t="str">
        <f>"GlbMarket_"&amp;VLOOKUP(D1,$A$1:$B$29,2,FALSE)</f>
        <v>GlbMarket_m_lithium</v>
      </c>
      <c r="G5" t="str">
        <f>IF($D5="","\I:",$D5)</f>
        <v>\I:Africa_North</v>
      </c>
      <c r="H5" t="str">
        <f>"GlbMarket_"&amp;VLOOKUP(G1,$A$1:$B$29,2,FALSE)</f>
        <v>GlbMarket_m_nickel</v>
      </c>
      <c r="J5" t="str">
        <f>$D5</f>
        <v>\I:Africa_North</v>
      </c>
      <c r="K5" t="str">
        <f>"GlbMarket_"&amp;VLOOKUP(J1,$A$1:$B$29,2,FALSE)</f>
        <v>GlbMarket_m_cobalt</v>
      </c>
      <c r="M5" t="str">
        <f>$D5</f>
        <v>\I:Africa_North</v>
      </c>
      <c r="N5" t="str">
        <f>"GlbMarket_"&amp;VLOOKUP(M1,$A$1:$B$29,2,FALSE)</f>
        <v>GlbMarket_m_manganese</v>
      </c>
      <c r="P5" t="str">
        <f>$D5</f>
        <v>\I:Africa_North</v>
      </c>
      <c r="Q5" t="str">
        <f>"GlbMarket_"&amp;VLOOKUP(P1,$A$1:$B$29,2,FALSE)</f>
        <v>GlbMarket_m_aluminum</v>
      </c>
      <c r="S5" t="str">
        <f>$D5</f>
        <v>\I:Africa_North</v>
      </c>
      <c r="T5" t="str">
        <f>"GlbMarket_"&amp;VLOOKUP(S1,$A$1:$B$29,2,FALSE)</f>
        <v>GlbMarket_m_copper</v>
      </c>
      <c r="V5" t="str">
        <f>$D5</f>
        <v>\I:Africa_North</v>
      </c>
      <c r="W5" t="str">
        <f>"GlbMarket_"&amp;VLOOKUP(V1,$A$1:$B$29,2,FALSE)</f>
        <v>GlbMarket_m_graphite</v>
      </c>
    </row>
    <row r="6" spans="1:23">
      <c r="A6">
        <v>6</v>
      </c>
      <c r="B6" t="s">
        <v>7</v>
      </c>
      <c r="D6" s="1" t="str">
        <f t="shared" ref="D6:D34" si="0">IF(A38="","\I:",A38)</f>
        <v>Africa_Other</v>
      </c>
      <c r="E6" t="str">
        <f>"GlbMarket_"&amp;VLOOKUP(D1,$A$1:$B$29,2,FALSE)</f>
        <v>GlbMarket_m_lithium</v>
      </c>
      <c r="G6" t="str">
        <f t="shared" ref="G6:G34" si="1">$D6</f>
        <v>Africa_Other</v>
      </c>
      <c r="H6" t="str">
        <f>"GlbMarket_"&amp;VLOOKUP(G1,$A$1:$B$29,2,FALSE)</f>
        <v>GlbMarket_m_nickel</v>
      </c>
      <c r="J6" t="str">
        <f t="shared" ref="J6:J34" si="2">$D6</f>
        <v>Africa_Other</v>
      </c>
      <c r="K6" t="str">
        <f>"GlbMarket_"&amp;VLOOKUP(J1,$A$1:$B$29,2,FALSE)</f>
        <v>GlbMarket_m_cobalt</v>
      </c>
      <c r="M6" t="str">
        <f t="shared" ref="M6:M34" si="3">$D6</f>
        <v>Africa_Other</v>
      </c>
      <c r="N6" t="str">
        <f>"GlbMarket_"&amp;VLOOKUP(M1,$A$1:$B$29,2,FALSE)</f>
        <v>GlbMarket_m_manganese</v>
      </c>
      <c r="P6" t="str">
        <f t="shared" ref="P6:P34" si="4">$D6</f>
        <v>Africa_Other</v>
      </c>
      <c r="Q6" t="str">
        <f>"GlbMarket_"&amp;VLOOKUP(P1,$A$1:$B$29,2,FALSE)</f>
        <v>GlbMarket_m_aluminum</v>
      </c>
      <c r="S6" t="str">
        <f t="shared" ref="S6:S34" si="5">$D6</f>
        <v>Africa_Other</v>
      </c>
      <c r="T6" t="str">
        <f>"GlbMarket_"&amp;VLOOKUP(S1,$A$1:$B$29,2,FALSE)</f>
        <v>GlbMarket_m_copper</v>
      </c>
      <c r="V6" t="str">
        <f t="shared" ref="V6:V34" si="6">$D6</f>
        <v>Africa_Other</v>
      </c>
      <c r="W6" t="str">
        <f>"GlbMarket_"&amp;VLOOKUP(V1,$A$1:$B$29,2,FALSE)</f>
        <v>GlbMarket_m_graphite</v>
      </c>
    </row>
    <row r="7" spans="1:23">
      <c r="A7">
        <v>7</v>
      </c>
      <c r="B7" t="s">
        <v>8</v>
      </c>
      <c r="D7" s="1" t="str">
        <f t="shared" si="0"/>
        <v>Australia</v>
      </c>
      <c r="E7" t="str">
        <f>"GlbMarket_"&amp;VLOOKUP(D1,$A$1:$B$29,2,FALSE)</f>
        <v>GlbMarket_m_lithium</v>
      </c>
      <c r="G7" t="str">
        <f t="shared" si="1"/>
        <v>Australia</v>
      </c>
      <c r="H7" t="str">
        <f>"GlbMarket_"&amp;VLOOKUP(G1,$A$1:$B$29,2,FALSE)</f>
        <v>GlbMarket_m_nickel</v>
      </c>
      <c r="J7" t="str">
        <f t="shared" si="2"/>
        <v>Australia</v>
      </c>
      <c r="K7" t="str">
        <f>"GlbMarket_"&amp;VLOOKUP(J1,$A$1:$B$29,2,FALSE)</f>
        <v>GlbMarket_m_cobalt</v>
      </c>
      <c r="M7" t="str">
        <f t="shared" si="3"/>
        <v>Australia</v>
      </c>
      <c r="N7" t="str">
        <f>"GlbMarket_"&amp;VLOOKUP(M1,$A$1:$B$29,2,FALSE)</f>
        <v>GlbMarket_m_manganese</v>
      </c>
      <c r="P7" t="str">
        <f t="shared" si="4"/>
        <v>Australia</v>
      </c>
      <c r="Q7" t="str">
        <f>"GlbMarket_"&amp;VLOOKUP(P1,$A$1:$B$29,2,FALSE)</f>
        <v>GlbMarket_m_aluminum</v>
      </c>
      <c r="S7" t="str">
        <f t="shared" si="5"/>
        <v>Australia</v>
      </c>
      <c r="T7" t="str">
        <f>"GlbMarket_"&amp;VLOOKUP(S1,$A$1:$B$29,2,FALSE)</f>
        <v>GlbMarket_m_copper</v>
      </c>
      <c r="V7" t="str">
        <f t="shared" si="6"/>
        <v>Australia</v>
      </c>
      <c r="W7" t="str">
        <f>"GlbMarket_"&amp;VLOOKUP(V1,$A$1:$B$29,2,FALSE)</f>
        <v>GlbMarket_m_graphite</v>
      </c>
    </row>
    <row r="8" spans="1:23">
      <c r="A8">
        <v>8</v>
      </c>
      <c r="D8" s="1" t="str">
        <f t="shared" si="0"/>
        <v>Austria</v>
      </c>
      <c r="E8" t="str">
        <f>"GlbMarket_"&amp;VLOOKUP(D1,$A$1:$B$29,2,FALSE)</f>
        <v>GlbMarket_m_lithium</v>
      </c>
      <c r="G8" t="str">
        <f t="shared" si="1"/>
        <v>Austria</v>
      </c>
      <c r="H8" t="str">
        <f>"GlbMarket_"&amp;VLOOKUP(G1,$A$1:$B$29,2,FALSE)</f>
        <v>GlbMarket_m_nickel</v>
      </c>
      <c r="J8" t="str">
        <f t="shared" si="2"/>
        <v>Austria</v>
      </c>
      <c r="K8" t="str">
        <f>"GlbMarket_"&amp;VLOOKUP(J1,$A$1:$B$29,2,FALSE)</f>
        <v>GlbMarket_m_cobalt</v>
      </c>
      <c r="M8" t="str">
        <f t="shared" si="3"/>
        <v>Austria</v>
      </c>
      <c r="N8" t="str">
        <f>"GlbMarket_"&amp;VLOOKUP(M1,$A$1:$B$29,2,FALSE)</f>
        <v>GlbMarket_m_manganese</v>
      </c>
      <c r="P8" t="str">
        <f t="shared" si="4"/>
        <v>Austria</v>
      </c>
      <c r="Q8" t="str">
        <f>"GlbMarket_"&amp;VLOOKUP(P1,$A$1:$B$29,2,FALSE)</f>
        <v>GlbMarket_m_aluminum</v>
      </c>
      <c r="S8" t="str">
        <f t="shared" si="5"/>
        <v>Austria</v>
      </c>
      <c r="T8" t="str">
        <f>"GlbMarket_"&amp;VLOOKUP(S1,$A$1:$B$29,2,FALSE)</f>
        <v>GlbMarket_m_copper</v>
      </c>
      <c r="V8" t="str">
        <f t="shared" si="6"/>
        <v>Austria</v>
      </c>
      <c r="W8" t="str">
        <f>"GlbMarket_"&amp;VLOOKUP(V1,$A$1:$B$29,2,FALSE)</f>
        <v>GlbMarket_m_graphite</v>
      </c>
    </row>
    <row r="9" spans="1:23">
      <c r="A9">
        <v>9</v>
      </c>
      <c r="D9" s="1" t="str">
        <f t="shared" si="0"/>
        <v>Baltics</v>
      </c>
      <c r="E9" t="str">
        <f>"GlbMarket_"&amp;VLOOKUP(D1,$A$1:$B$29,2,FALSE)</f>
        <v>GlbMarket_m_lithium</v>
      </c>
      <c r="G9" t="str">
        <f t="shared" si="1"/>
        <v>Baltics</v>
      </c>
      <c r="H9" t="str">
        <f>"GlbMarket_"&amp;VLOOKUP(G1,$A$1:$B$29,2,FALSE)</f>
        <v>GlbMarket_m_nickel</v>
      </c>
      <c r="J9" t="str">
        <f t="shared" si="2"/>
        <v>Baltics</v>
      </c>
      <c r="K9" t="str">
        <f>"GlbMarket_"&amp;VLOOKUP(J1,$A$1:$B$29,2,FALSE)</f>
        <v>GlbMarket_m_cobalt</v>
      </c>
      <c r="M9" t="str">
        <f t="shared" si="3"/>
        <v>Baltics</v>
      </c>
      <c r="N9" t="str">
        <f>"GlbMarket_"&amp;VLOOKUP(M1,$A$1:$B$29,2,FALSE)</f>
        <v>GlbMarket_m_manganese</v>
      </c>
      <c r="P9" t="str">
        <f t="shared" si="4"/>
        <v>Baltics</v>
      </c>
      <c r="Q9" t="str">
        <f>"GlbMarket_"&amp;VLOOKUP(P1,$A$1:$B$29,2,FALSE)</f>
        <v>GlbMarket_m_aluminum</v>
      </c>
      <c r="S9" t="str">
        <f t="shared" si="5"/>
        <v>Baltics</v>
      </c>
      <c r="T9" t="str">
        <f>"GlbMarket_"&amp;VLOOKUP(S1,$A$1:$B$29,2,FALSE)</f>
        <v>GlbMarket_m_copper</v>
      </c>
      <c r="V9" t="str">
        <f t="shared" si="6"/>
        <v>Baltics</v>
      </c>
      <c r="W9" t="str">
        <f>"GlbMarket_"&amp;VLOOKUP(V1,$A$1:$B$29,2,FALSE)</f>
        <v>GlbMarket_m_graphite</v>
      </c>
    </row>
    <row r="10" spans="1:23">
      <c r="A10">
        <v>10</v>
      </c>
      <c r="D10" s="1" t="str">
        <f t="shared" si="0"/>
        <v>BeNeLux</v>
      </c>
      <c r="E10" t="str">
        <f>"GlbMarket_"&amp;VLOOKUP(D1,$A$1:$B$29,2,FALSE)</f>
        <v>GlbMarket_m_lithium</v>
      </c>
      <c r="G10" t="str">
        <f t="shared" si="1"/>
        <v>BeNeLux</v>
      </c>
      <c r="H10" t="str">
        <f>"GlbMarket_"&amp;VLOOKUP(G1,$A$1:$B$29,2,FALSE)</f>
        <v>GlbMarket_m_nickel</v>
      </c>
      <c r="J10" t="str">
        <f t="shared" si="2"/>
        <v>BeNeLux</v>
      </c>
      <c r="K10" t="str">
        <f>"GlbMarket_"&amp;VLOOKUP(J1,$A$1:$B$29,2,FALSE)</f>
        <v>GlbMarket_m_cobalt</v>
      </c>
      <c r="M10" t="str">
        <f t="shared" si="3"/>
        <v>BeNeLux</v>
      </c>
      <c r="N10" t="str">
        <f>"GlbMarket_"&amp;VLOOKUP(M1,$A$1:$B$29,2,FALSE)</f>
        <v>GlbMarket_m_manganese</v>
      </c>
      <c r="P10" t="str">
        <f t="shared" si="4"/>
        <v>BeNeLux</v>
      </c>
      <c r="Q10" t="str">
        <f>"GlbMarket_"&amp;VLOOKUP(P1,$A$1:$B$29,2,FALSE)</f>
        <v>GlbMarket_m_aluminum</v>
      </c>
      <c r="S10" t="str">
        <f t="shared" si="5"/>
        <v>BeNeLux</v>
      </c>
      <c r="T10" t="str">
        <f>"GlbMarket_"&amp;VLOOKUP(S1,$A$1:$B$29,2,FALSE)</f>
        <v>GlbMarket_m_copper</v>
      </c>
      <c r="V10" t="str">
        <f t="shared" si="6"/>
        <v>BeNeLux</v>
      </c>
      <c r="W10" t="str">
        <f>"GlbMarket_"&amp;VLOOKUP(V1,$A$1:$B$29,2,FALSE)</f>
        <v>GlbMarket_m_graphite</v>
      </c>
    </row>
    <row r="11" spans="1:23">
      <c r="A11">
        <v>11</v>
      </c>
      <c r="D11" s="1" t="str">
        <f t="shared" si="0"/>
        <v>Brazil</v>
      </c>
      <c r="E11" t="str">
        <f>"GlbMarket_"&amp;VLOOKUP(D1,$A$1:$B$29,2,FALSE)</f>
        <v>GlbMarket_m_lithium</v>
      </c>
      <c r="G11" t="str">
        <f t="shared" si="1"/>
        <v>Brazil</v>
      </c>
      <c r="H11" t="str">
        <f>"GlbMarket_"&amp;VLOOKUP(G1,$A$1:$B$29,2,FALSE)</f>
        <v>GlbMarket_m_nickel</v>
      </c>
      <c r="J11" t="str">
        <f t="shared" si="2"/>
        <v>Brazil</v>
      </c>
      <c r="K11" t="str">
        <f>"GlbMarket_"&amp;VLOOKUP(J1,$A$1:$B$29,2,FALSE)</f>
        <v>GlbMarket_m_cobalt</v>
      </c>
      <c r="M11" t="str">
        <f t="shared" si="3"/>
        <v>Brazil</v>
      </c>
      <c r="N11" t="str">
        <f>"GlbMarket_"&amp;VLOOKUP(M1,$A$1:$B$29,2,FALSE)</f>
        <v>GlbMarket_m_manganese</v>
      </c>
      <c r="P11" t="str">
        <f t="shared" si="4"/>
        <v>Brazil</v>
      </c>
      <c r="Q11" t="str">
        <f>"GlbMarket_"&amp;VLOOKUP(P1,$A$1:$B$29,2,FALSE)</f>
        <v>GlbMarket_m_aluminum</v>
      </c>
      <c r="S11" t="str">
        <f t="shared" si="5"/>
        <v>Brazil</v>
      </c>
      <c r="T11" t="str">
        <f>"GlbMarket_"&amp;VLOOKUP(S1,$A$1:$B$29,2,FALSE)</f>
        <v>GlbMarket_m_copper</v>
      </c>
      <c r="V11" t="str">
        <f t="shared" si="6"/>
        <v>Brazil</v>
      </c>
      <c r="W11" t="str">
        <f>"GlbMarket_"&amp;VLOOKUP(V1,$A$1:$B$29,2,FALSE)</f>
        <v>GlbMarket_m_graphite</v>
      </c>
    </row>
    <row r="12" spans="1:23">
      <c r="A12">
        <v>12</v>
      </c>
      <c r="D12" s="1" t="str">
        <f t="shared" si="0"/>
        <v>China</v>
      </c>
      <c r="E12" t="str">
        <f>"GlbMarket_"&amp;VLOOKUP(D1,$A$1:$B$29,2,FALSE)</f>
        <v>GlbMarket_m_lithium</v>
      </c>
      <c r="G12" t="str">
        <f t="shared" si="1"/>
        <v>China</v>
      </c>
      <c r="H12" t="str">
        <f>"GlbMarket_"&amp;VLOOKUP(G1,$A$1:$B$29,2,FALSE)</f>
        <v>GlbMarket_m_nickel</v>
      </c>
      <c r="J12" t="str">
        <f t="shared" si="2"/>
        <v>China</v>
      </c>
      <c r="K12" t="str">
        <f>"GlbMarket_"&amp;VLOOKUP(J1,$A$1:$B$29,2,FALSE)</f>
        <v>GlbMarket_m_cobalt</v>
      </c>
      <c r="M12" t="str">
        <f t="shared" si="3"/>
        <v>China</v>
      </c>
      <c r="N12" t="str">
        <f>"GlbMarket_"&amp;VLOOKUP(M1,$A$1:$B$29,2,FALSE)</f>
        <v>GlbMarket_m_manganese</v>
      </c>
      <c r="P12" t="str">
        <f t="shared" si="4"/>
        <v>China</v>
      </c>
      <c r="Q12" t="str">
        <f>"GlbMarket_"&amp;VLOOKUP(P1,$A$1:$B$29,2,FALSE)</f>
        <v>GlbMarket_m_aluminum</v>
      </c>
      <c r="S12" t="str">
        <f t="shared" si="5"/>
        <v>China</v>
      </c>
      <c r="T12" t="str">
        <f>"GlbMarket_"&amp;VLOOKUP(S1,$A$1:$B$29,2,FALSE)</f>
        <v>GlbMarket_m_copper</v>
      </c>
      <c r="V12" t="str">
        <f t="shared" si="6"/>
        <v>China</v>
      </c>
      <c r="W12" t="str">
        <f>"GlbMarket_"&amp;VLOOKUP(V1,$A$1:$B$29,2,FALSE)</f>
        <v>GlbMarket_m_graphite</v>
      </c>
    </row>
    <row r="13" spans="1:23">
      <c r="A13">
        <v>13</v>
      </c>
      <c r="D13" s="1" t="str">
        <f t="shared" si="0"/>
        <v>CroSloven</v>
      </c>
      <c r="E13" t="str">
        <f>"GlbMarket_"&amp;VLOOKUP(D1,$A$1:$B$29,2,FALSE)</f>
        <v>GlbMarket_m_lithium</v>
      </c>
      <c r="G13" t="str">
        <f t="shared" si="1"/>
        <v>CroSloven</v>
      </c>
      <c r="H13" t="str">
        <f>"GlbMarket_"&amp;VLOOKUP(G1,$A$1:$B$29,2,FALSE)</f>
        <v>GlbMarket_m_nickel</v>
      </c>
      <c r="J13" t="str">
        <f t="shared" si="2"/>
        <v>CroSloven</v>
      </c>
      <c r="K13" t="str">
        <f>"GlbMarket_"&amp;VLOOKUP(J1,$A$1:$B$29,2,FALSE)</f>
        <v>GlbMarket_m_cobalt</v>
      </c>
      <c r="M13" t="str">
        <f t="shared" si="3"/>
        <v>CroSloven</v>
      </c>
      <c r="N13" t="str">
        <f>"GlbMarket_"&amp;VLOOKUP(M1,$A$1:$B$29,2,FALSE)</f>
        <v>GlbMarket_m_manganese</v>
      </c>
      <c r="P13" t="str">
        <f t="shared" si="4"/>
        <v>CroSloven</v>
      </c>
      <c r="Q13" t="str">
        <f>"GlbMarket_"&amp;VLOOKUP(P1,$A$1:$B$29,2,FALSE)</f>
        <v>GlbMarket_m_aluminum</v>
      </c>
      <c r="S13" t="str">
        <f t="shared" si="5"/>
        <v>CroSloven</v>
      </c>
      <c r="T13" t="str">
        <f>"GlbMarket_"&amp;VLOOKUP(S1,$A$1:$B$29,2,FALSE)</f>
        <v>GlbMarket_m_copper</v>
      </c>
      <c r="V13" t="str">
        <f t="shared" si="6"/>
        <v>CroSloven</v>
      </c>
      <c r="W13" t="str">
        <f>"GlbMarket_"&amp;VLOOKUP(V1,$A$1:$B$29,2,FALSE)</f>
        <v>GlbMarket_m_graphite</v>
      </c>
    </row>
    <row r="14" spans="1:23">
      <c r="A14">
        <v>14</v>
      </c>
      <c r="D14" s="1" t="str">
        <f t="shared" si="0"/>
        <v>CzechSlovak</v>
      </c>
      <c r="E14" t="str">
        <f>"GlbMarket_"&amp;VLOOKUP(D1,$A$1:$B$29,2,FALSE)</f>
        <v>GlbMarket_m_lithium</v>
      </c>
      <c r="G14" t="str">
        <f t="shared" si="1"/>
        <v>CzechSlovak</v>
      </c>
      <c r="H14" t="str">
        <f>"GlbMarket_"&amp;VLOOKUP(G1,$A$1:$B$29,2,FALSE)</f>
        <v>GlbMarket_m_nickel</v>
      </c>
      <c r="J14" t="str">
        <f t="shared" si="2"/>
        <v>CzechSlovak</v>
      </c>
      <c r="K14" t="str">
        <f>"GlbMarket_"&amp;VLOOKUP(J1,$A$1:$B$29,2,FALSE)</f>
        <v>GlbMarket_m_cobalt</v>
      </c>
      <c r="M14" t="str">
        <f t="shared" si="3"/>
        <v>CzechSlovak</v>
      </c>
      <c r="N14" t="str">
        <f>"GlbMarket_"&amp;VLOOKUP(M1,$A$1:$B$29,2,FALSE)</f>
        <v>GlbMarket_m_manganese</v>
      </c>
      <c r="P14" t="str">
        <f t="shared" si="4"/>
        <v>CzechSlovak</v>
      </c>
      <c r="Q14" t="str">
        <f>"GlbMarket_"&amp;VLOOKUP(P1,$A$1:$B$29,2,FALSE)</f>
        <v>GlbMarket_m_aluminum</v>
      </c>
      <c r="S14" t="str">
        <f t="shared" si="5"/>
        <v>CzechSlovak</v>
      </c>
      <c r="T14" t="str">
        <f>"GlbMarket_"&amp;VLOOKUP(S1,$A$1:$B$29,2,FALSE)</f>
        <v>GlbMarket_m_copper</v>
      </c>
      <c r="V14" t="str">
        <f t="shared" si="6"/>
        <v>CzechSlovak</v>
      </c>
      <c r="W14" t="str">
        <f>"GlbMarket_"&amp;VLOOKUP(V1,$A$1:$B$29,2,FALSE)</f>
        <v>GlbMarket_m_graphite</v>
      </c>
    </row>
    <row r="15" spans="1:23">
      <c r="A15">
        <v>15</v>
      </c>
      <c r="D15" s="1" t="str">
        <f t="shared" si="0"/>
        <v>France</v>
      </c>
      <c r="E15" t="str">
        <f>"GlbMarket_"&amp;VLOOKUP(D1,$A$1:$B$29,2,FALSE)</f>
        <v>GlbMarket_m_lithium</v>
      </c>
      <c r="G15" t="str">
        <f t="shared" si="1"/>
        <v>France</v>
      </c>
      <c r="H15" t="str">
        <f>"GlbMarket_"&amp;VLOOKUP(G1,$A$1:$B$29,2,FALSE)</f>
        <v>GlbMarket_m_nickel</v>
      </c>
      <c r="J15" t="str">
        <f t="shared" si="2"/>
        <v>France</v>
      </c>
      <c r="K15" t="str">
        <f>"GlbMarket_"&amp;VLOOKUP(J1,$A$1:$B$29,2,FALSE)</f>
        <v>GlbMarket_m_cobalt</v>
      </c>
      <c r="M15" t="str">
        <f t="shared" si="3"/>
        <v>France</v>
      </c>
      <c r="N15" t="str">
        <f>"GlbMarket_"&amp;VLOOKUP(M1,$A$1:$B$29,2,FALSE)</f>
        <v>GlbMarket_m_manganese</v>
      </c>
      <c r="P15" t="str">
        <f t="shared" si="4"/>
        <v>France</v>
      </c>
      <c r="Q15" t="str">
        <f>"GlbMarket_"&amp;VLOOKUP(P1,$A$1:$B$29,2,FALSE)</f>
        <v>GlbMarket_m_aluminum</v>
      </c>
      <c r="S15" t="str">
        <f t="shared" si="5"/>
        <v>France</v>
      </c>
      <c r="T15" t="str">
        <f>"GlbMarket_"&amp;VLOOKUP(S1,$A$1:$B$29,2,FALSE)</f>
        <v>GlbMarket_m_copper</v>
      </c>
      <c r="V15" t="str">
        <f t="shared" si="6"/>
        <v>France</v>
      </c>
      <c r="W15" t="str">
        <f>"GlbMarket_"&amp;VLOOKUP(V1,$A$1:$B$29,2,FALSE)</f>
        <v>GlbMarket_m_graphite</v>
      </c>
    </row>
    <row r="16" spans="1:23">
      <c r="A16">
        <v>16</v>
      </c>
      <c r="D16" s="1" t="str">
        <f t="shared" si="0"/>
        <v>Germany</v>
      </c>
      <c r="E16" t="str">
        <f>"GlbMarket_"&amp;VLOOKUP(D1,$A$1:$B$29,2,FALSE)</f>
        <v>GlbMarket_m_lithium</v>
      </c>
      <c r="G16" t="str">
        <f t="shared" si="1"/>
        <v>Germany</v>
      </c>
      <c r="H16" t="str">
        <f>"GlbMarket_"&amp;VLOOKUP(G1,$A$1:$B$29,2,FALSE)</f>
        <v>GlbMarket_m_nickel</v>
      </c>
      <c r="J16" t="str">
        <f t="shared" si="2"/>
        <v>Germany</v>
      </c>
      <c r="K16" t="str">
        <f>"GlbMarket_"&amp;VLOOKUP(J1,$A$1:$B$29,2,FALSE)</f>
        <v>GlbMarket_m_cobalt</v>
      </c>
      <c r="M16" t="str">
        <f t="shared" si="3"/>
        <v>Germany</v>
      </c>
      <c r="N16" t="str">
        <f>"GlbMarket_"&amp;VLOOKUP(M1,$A$1:$B$29,2,FALSE)</f>
        <v>GlbMarket_m_manganese</v>
      </c>
      <c r="P16" t="str">
        <f t="shared" si="4"/>
        <v>Germany</v>
      </c>
      <c r="Q16" t="str">
        <f>"GlbMarket_"&amp;VLOOKUP(P1,$A$1:$B$29,2,FALSE)</f>
        <v>GlbMarket_m_aluminum</v>
      </c>
      <c r="S16" t="str">
        <f t="shared" si="5"/>
        <v>Germany</v>
      </c>
      <c r="T16" t="str">
        <f>"GlbMarket_"&amp;VLOOKUP(S1,$A$1:$B$29,2,FALSE)</f>
        <v>GlbMarket_m_copper</v>
      </c>
      <c r="V16" t="str">
        <f t="shared" si="6"/>
        <v>Germany</v>
      </c>
      <c r="W16" t="str">
        <f>"GlbMarket_"&amp;VLOOKUP(V1,$A$1:$B$29,2,FALSE)</f>
        <v>GlbMarket_m_graphite</v>
      </c>
    </row>
    <row r="17" spans="1:23">
      <c r="A17">
        <v>17</v>
      </c>
      <c r="D17" s="1" t="str">
        <f t="shared" si="0"/>
        <v>GreeceCyp</v>
      </c>
      <c r="E17" t="str">
        <f>"GlbMarket_"&amp;VLOOKUP(D1,$A$1:$B$29,2,FALSE)</f>
        <v>GlbMarket_m_lithium</v>
      </c>
      <c r="G17" t="str">
        <f t="shared" si="1"/>
        <v>GreeceCyp</v>
      </c>
      <c r="H17" t="str">
        <f>"GlbMarket_"&amp;VLOOKUP(G1,$A$1:$B$29,2,FALSE)</f>
        <v>GlbMarket_m_nickel</v>
      </c>
      <c r="J17" t="str">
        <f t="shared" si="2"/>
        <v>GreeceCyp</v>
      </c>
      <c r="K17" t="str">
        <f>"GlbMarket_"&amp;VLOOKUP(J1,$A$1:$B$29,2,FALSE)</f>
        <v>GlbMarket_m_cobalt</v>
      </c>
      <c r="M17" t="str">
        <f t="shared" si="3"/>
        <v>GreeceCyp</v>
      </c>
      <c r="N17" t="str">
        <f>"GlbMarket_"&amp;VLOOKUP(M1,$A$1:$B$29,2,FALSE)</f>
        <v>GlbMarket_m_manganese</v>
      </c>
      <c r="P17" t="str">
        <f t="shared" si="4"/>
        <v>GreeceCyp</v>
      </c>
      <c r="Q17" t="str">
        <f>"GlbMarket_"&amp;VLOOKUP(P1,$A$1:$B$29,2,FALSE)</f>
        <v>GlbMarket_m_aluminum</v>
      </c>
      <c r="S17" t="str">
        <f t="shared" si="5"/>
        <v>GreeceCyp</v>
      </c>
      <c r="T17" t="str">
        <f>"GlbMarket_"&amp;VLOOKUP(S1,$A$1:$B$29,2,FALSE)</f>
        <v>GlbMarket_m_copper</v>
      </c>
      <c r="V17" t="str">
        <f t="shared" si="6"/>
        <v>GreeceCyp</v>
      </c>
      <c r="W17" t="str">
        <f>"GlbMarket_"&amp;VLOOKUP(V1,$A$1:$B$29,2,FALSE)</f>
        <v>GlbMarket_m_graphite</v>
      </c>
    </row>
    <row r="18" spans="1:23">
      <c r="A18">
        <v>18</v>
      </c>
      <c r="D18" s="1" t="str">
        <f t="shared" si="0"/>
        <v>HunRomBul</v>
      </c>
      <c r="E18" t="str">
        <f>"GlbMarket_"&amp;VLOOKUP(D1,$A$1:$B$29,2,FALSE)</f>
        <v>GlbMarket_m_lithium</v>
      </c>
      <c r="G18" t="str">
        <f t="shared" si="1"/>
        <v>HunRomBul</v>
      </c>
      <c r="H18" t="str">
        <f>"GlbMarket_"&amp;VLOOKUP(G1,$A$1:$B$29,2,FALSE)</f>
        <v>GlbMarket_m_nickel</v>
      </c>
      <c r="J18" t="str">
        <f t="shared" si="2"/>
        <v>HunRomBul</v>
      </c>
      <c r="K18" t="str">
        <f>"GlbMarket_"&amp;VLOOKUP(J1,$A$1:$B$29,2,FALSE)</f>
        <v>GlbMarket_m_cobalt</v>
      </c>
      <c r="M18" t="str">
        <f t="shared" si="3"/>
        <v>HunRomBul</v>
      </c>
      <c r="N18" t="str">
        <f>"GlbMarket_"&amp;VLOOKUP(M1,$A$1:$B$29,2,FALSE)</f>
        <v>GlbMarket_m_manganese</v>
      </c>
      <c r="P18" t="str">
        <f t="shared" si="4"/>
        <v>HunRomBul</v>
      </c>
      <c r="Q18" t="str">
        <f>"GlbMarket_"&amp;VLOOKUP(P1,$A$1:$B$29,2,FALSE)</f>
        <v>GlbMarket_m_aluminum</v>
      </c>
      <c r="S18" t="str">
        <f t="shared" si="5"/>
        <v>HunRomBul</v>
      </c>
      <c r="T18" t="str">
        <f>"GlbMarket_"&amp;VLOOKUP(S1,$A$1:$B$29,2,FALSE)</f>
        <v>GlbMarket_m_copper</v>
      </c>
      <c r="V18" t="str">
        <f t="shared" si="6"/>
        <v>HunRomBul</v>
      </c>
      <c r="W18" t="str">
        <f>"GlbMarket_"&amp;VLOOKUP(V1,$A$1:$B$29,2,FALSE)</f>
        <v>GlbMarket_m_graphite</v>
      </c>
    </row>
    <row r="19" spans="1:23">
      <c r="A19">
        <v>19</v>
      </c>
      <c r="D19" s="1" t="str">
        <f t="shared" si="0"/>
        <v>Iceland</v>
      </c>
      <c r="E19" t="str">
        <f>"GlbMarket_"&amp;VLOOKUP(D1,$A$1:$B$29,2,FALSE)</f>
        <v>GlbMarket_m_lithium</v>
      </c>
      <c r="G19" t="str">
        <f t="shared" si="1"/>
        <v>Iceland</v>
      </c>
      <c r="H19" t="str">
        <f>"GlbMarket_"&amp;VLOOKUP(G1,$A$1:$B$29,2,FALSE)</f>
        <v>GlbMarket_m_nickel</v>
      </c>
      <c r="J19" t="str">
        <f t="shared" si="2"/>
        <v>Iceland</v>
      </c>
      <c r="K19" t="str">
        <f>"GlbMarket_"&amp;VLOOKUP(J1,$A$1:$B$29,2,FALSE)</f>
        <v>GlbMarket_m_cobalt</v>
      </c>
      <c r="M19" t="str">
        <f t="shared" si="3"/>
        <v>Iceland</v>
      </c>
      <c r="N19" t="str">
        <f>"GlbMarket_"&amp;VLOOKUP(M1,$A$1:$B$29,2,FALSE)</f>
        <v>GlbMarket_m_manganese</v>
      </c>
      <c r="P19" t="str">
        <f t="shared" si="4"/>
        <v>Iceland</v>
      </c>
      <c r="Q19" t="str">
        <f>"GlbMarket_"&amp;VLOOKUP(P1,$A$1:$B$29,2,FALSE)</f>
        <v>GlbMarket_m_aluminum</v>
      </c>
      <c r="S19" t="str">
        <f t="shared" si="5"/>
        <v>Iceland</v>
      </c>
      <c r="T19" t="str">
        <f>"GlbMarket_"&amp;VLOOKUP(S1,$A$1:$B$29,2,FALSE)</f>
        <v>GlbMarket_m_copper</v>
      </c>
      <c r="V19" t="str">
        <f t="shared" si="6"/>
        <v>Iceland</v>
      </c>
      <c r="W19" t="str">
        <f>"GlbMarket_"&amp;VLOOKUP(V1,$A$1:$B$29,2,FALSE)</f>
        <v>GlbMarket_m_graphite</v>
      </c>
    </row>
    <row r="20" spans="1:23">
      <c r="A20">
        <v>20</v>
      </c>
      <c r="D20" s="1" t="str">
        <f t="shared" si="0"/>
        <v>India</v>
      </c>
      <c r="E20" t="str">
        <f>"GlbMarket_"&amp;VLOOKUP(D1,$A$1:$B$29,2,FALSE)</f>
        <v>GlbMarket_m_lithium</v>
      </c>
      <c r="G20" t="str">
        <f t="shared" si="1"/>
        <v>India</v>
      </c>
      <c r="H20" t="str">
        <f>"GlbMarket_"&amp;VLOOKUP(G1,$A$1:$B$29,2,FALSE)</f>
        <v>GlbMarket_m_nickel</v>
      </c>
      <c r="J20" t="str">
        <f t="shared" si="2"/>
        <v>India</v>
      </c>
      <c r="K20" t="str">
        <f>"GlbMarket_"&amp;VLOOKUP(J1,$A$1:$B$29,2,FALSE)</f>
        <v>GlbMarket_m_cobalt</v>
      </c>
      <c r="M20" t="str">
        <f t="shared" si="3"/>
        <v>India</v>
      </c>
      <c r="N20" t="str">
        <f>"GlbMarket_"&amp;VLOOKUP(M1,$A$1:$B$29,2,FALSE)</f>
        <v>GlbMarket_m_manganese</v>
      </c>
      <c r="P20" t="str">
        <f t="shared" si="4"/>
        <v>India</v>
      </c>
      <c r="Q20" t="str">
        <f>"GlbMarket_"&amp;VLOOKUP(P1,$A$1:$B$29,2,FALSE)</f>
        <v>GlbMarket_m_aluminum</v>
      </c>
      <c r="S20" t="str">
        <f t="shared" si="5"/>
        <v>India</v>
      </c>
      <c r="T20" t="str">
        <f>"GlbMarket_"&amp;VLOOKUP(S1,$A$1:$B$29,2,FALSE)</f>
        <v>GlbMarket_m_copper</v>
      </c>
      <c r="V20" t="str">
        <f t="shared" si="6"/>
        <v>India</v>
      </c>
      <c r="W20" t="str">
        <f>"GlbMarket_"&amp;VLOOKUP(V1,$A$1:$B$29,2,FALSE)</f>
        <v>GlbMarket_m_graphite</v>
      </c>
    </row>
    <row r="21" spans="1:23">
      <c r="A21">
        <v>21</v>
      </c>
      <c r="D21" s="1" t="str">
        <f t="shared" si="0"/>
        <v>Ireland</v>
      </c>
      <c r="E21" t="str">
        <f>"GlbMarket_"&amp;VLOOKUP(D1,$A$1:$B$29,2,FALSE)</f>
        <v>GlbMarket_m_lithium</v>
      </c>
      <c r="G21" t="str">
        <f t="shared" si="1"/>
        <v>Ireland</v>
      </c>
      <c r="H21" t="str">
        <f>"GlbMarket_"&amp;VLOOKUP(G1,$A$1:$B$29,2,FALSE)</f>
        <v>GlbMarket_m_nickel</v>
      </c>
      <c r="J21" t="str">
        <f t="shared" si="2"/>
        <v>Ireland</v>
      </c>
      <c r="K21" t="str">
        <f>"GlbMarket_"&amp;VLOOKUP(J1,$A$1:$B$29,2,FALSE)</f>
        <v>GlbMarket_m_cobalt</v>
      </c>
      <c r="M21" t="str">
        <f t="shared" si="3"/>
        <v>Ireland</v>
      </c>
      <c r="N21" t="str">
        <f>"GlbMarket_"&amp;VLOOKUP(M1,$A$1:$B$29,2,FALSE)</f>
        <v>GlbMarket_m_manganese</v>
      </c>
      <c r="P21" t="str">
        <f t="shared" si="4"/>
        <v>Ireland</v>
      </c>
      <c r="Q21" t="str">
        <f>"GlbMarket_"&amp;VLOOKUP(P1,$A$1:$B$29,2,FALSE)</f>
        <v>GlbMarket_m_aluminum</v>
      </c>
      <c r="S21" t="str">
        <f t="shared" si="5"/>
        <v>Ireland</v>
      </c>
      <c r="T21" t="str">
        <f>"GlbMarket_"&amp;VLOOKUP(S1,$A$1:$B$29,2,FALSE)</f>
        <v>GlbMarket_m_copper</v>
      </c>
      <c r="V21" t="str">
        <f t="shared" si="6"/>
        <v>Ireland</v>
      </c>
      <c r="W21" t="str">
        <f>"GlbMarket_"&amp;VLOOKUP(V1,$A$1:$B$29,2,FALSE)</f>
        <v>GlbMarket_m_graphite</v>
      </c>
    </row>
    <row r="22" spans="1:23">
      <c r="A22">
        <v>22</v>
      </c>
      <c r="D22" s="1" t="str">
        <f t="shared" si="0"/>
        <v>ItalyMal</v>
      </c>
      <c r="E22" t="str">
        <f>E21</f>
        <v>GlbMarket_m_lithium</v>
      </c>
      <c r="G22" t="str">
        <f t="shared" si="1"/>
        <v>ItalyMal</v>
      </c>
      <c r="H22" t="str">
        <f>H21</f>
        <v>GlbMarket_m_nickel</v>
      </c>
      <c r="J22" t="str">
        <f t="shared" si="2"/>
        <v>ItalyMal</v>
      </c>
      <c r="K22" t="str">
        <f>K21</f>
        <v>GlbMarket_m_cobalt</v>
      </c>
      <c r="M22" t="str">
        <f t="shared" si="3"/>
        <v>ItalyMal</v>
      </c>
      <c r="N22" t="str">
        <f>N21</f>
        <v>GlbMarket_m_manganese</v>
      </c>
      <c r="P22" t="str">
        <f t="shared" si="4"/>
        <v>ItalyMal</v>
      </c>
      <c r="Q22" t="str">
        <f>Q21</f>
        <v>GlbMarket_m_aluminum</v>
      </c>
      <c r="S22" t="str">
        <f t="shared" si="5"/>
        <v>ItalyMal</v>
      </c>
      <c r="T22" t="str">
        <f>T21</f>
        <v>GlbMarket_m_copper</v>
      </c>
      <c r="V22" t="str">
        <f t="shared" si="6"/>
        <v>ItalyMal</v>
      </c>
      <c r="W22" t="str">
        <f>W21</f>
        <v>GlbMarket_m_graphite</v>
      </c>
    </row>
    <row r="23" spans="1:23">
      <c r="A23">
        <v>23</v>
      </c>
      <c r="D23" s="1" t="str">
        <f t="shared" si="0"/>
        <v>Japan</v>
      </c>
      <c r="E23" t="str">
        <f t="shared" ref="E23:E34" si="7">E22</f>
        <v>GlbMarket_m_lithium</v>
      </c>
      <c r="G23" t="str">
        <f t="shared" si="1"/>
        <v>Japan</v>
      </c>
      <c r="H23" t="str">
        <f t="shared" ref="H23:H34" si="8">H22</f>
        <v>GlbMarket_m_nickel</v>
      </c>
      <c r="J23" t="str">
        <f t="shared" si="2"/>
        <v>Japan</v>
      </c>
      <c r="K23" t="str">
        <f t="shared" ref="K23:K34" si="9">K22</f>
        <v>GlbMarket_m_cobalt</v>
      </c>
      <c r="M23" t="str">
        <f t="shared" si="3"/>
        <v>Japan</v>
      </c>
      <c r="N23" t="str">
        <f t="shared" ref="N23:N34" si="10">N22</f>
        <v>GlbMarket_m_manganese</v>
      </c>
      <c r="P23" t="str">
        <f t="shared" si="4"/>
        <v>Japan</v>
      </c>
      <c r="Q23" t="str">
        <f t="shared" ref="Q23:Q34" si="11">Q22</f>
        <v>GlbMarket_m_aluminum</v>
      </c>
      <c r="S23" t="str">
        <f t="shared" si="5"/>
        <v>Japan</v>
      </c>
      <c r="T23" t="str">
        <f t="shared" ref="T23:T34" si="12">T22</f>
        <v>GlbMarket_m_copper</v>
      </c>
      <c r="V23" t="str">
        <f t="shared" si="6"/>
        <v>Japan</v>
      </c>
      <c r="W23" t="str">
        <f t="shared" ref="W23:W34" si="13">W22</f>
        <v>GlbMarket_m_graphite</v>
      </c>
    </row>
    <row r="24" spans="1:23">
      <c r="A24">
        <v>24</v>
      </c>
      <c r="D24" s="1" t="str">
        <f t="shared" si="0"/>
        <v>LatAm</v>
      </c>
      <c r="E24" t="str">
        <f t="shared" si="7"/>
        <v>GlbMarket_m_lithium</v>
      </c>
      <c r="G24" t="str">
        <f t="shared" si="1"/>
        <v>LatAm</v>
      </c>
      <c r="H24" t="str">
        <f t="shared" si="8"/>
        <v>GlbMarket_m_nickel</v>
      </c>
      <c r="J24" t="str">
        <f t="shared" si="2"/>
        <v>LatAm</v>
      </c>
      <c r="K24" t="str">
        <f t="shared" si="9"/>
        <v>GlbMarket_m_cobalt</v>
      </c>
      <c r="M24" t="str">
        <f t="shared" si="3"/>
        <v>LatAm</v>
      </c>
      <c r="N24" t="str">
        <f t="shared" si="10"/>
        <v>GlbMarket_m_manganese</v>
      </c>
      <c r="P24" t="str">
        <f t="shared" si="4"/>
        <v>LatAm</v>
      </c>
      <c r="Q24" t="str">
        <f t="shared" si="11"/>
        <v>GlbMarket_m_aluminum</v>
      </c>
      <c r="S24" t="str">
        <f t="shared" si="5"/>
        <v>LatAm</v>
      </c>
      <c r="T24" t="str">
        <f t="shared" si="12"/>
        <v>GlbMarket_m_copper</v>
      </c>
      <c r="V24" t="str">
        <f t="shared" si="6"/>
        <v>LatAm</v>
      </c>
      <c r="W24" t="str">
        <f t="shared" si="13"/>
        <v>GlbMarket_m_graphite</v>
      </c>
    </row>
    <row r="25" spans="1:23">
      <c r="A25">
        <v>25</v>
      </c>
      <c r="D25" s="1" t="str">
        <f t="shared" si="0"/>
        <v>MidEast</v>
      </c>
      <c r="E25" t="str">
        <f t="shared" si="7"/>
        <v>GlbMarket_m_lithium</v>
      </c>
      <c r="G25" t="str">
        <f t="shared" si="1"/>
        <v>MidEast</v>
      </c>
      <c r="H25" t="str">
        <f t="shared" si="8"/>
        <v>GlbMarket_m_nickel</v>
      </c>
      <c r="J25" t="str">
        <f t="shared" si="2"/>
        <v>MidEast</v>
      </c>
      <c r="K25" t="str">
        <f t="shared" si="9"/>
        <v>GlbMarket_m_cobalt</v>
      </c>
      <c r="M25" t="str">
        <f t="shared" si="3"/>
        <v>MidEast</v>
      </c>
      <c r="N25" t="str">
        <f t="shared" si="10"/>
        <v>GlbMarket_m_manganese</v>
      </c>
      <c r="P25" t="str">
        <f t="shared" si="4"/>
        <v>MidEast</v>
      </c>
      <c r="Q25" t="str">
        <f t="shared" si="11"/>
        <v>GlbMarket_m_aluminum</v>
      </c>
      <c r="S25" t="str">
        <f t="shared" si="5"/>
        <v>MidEast</v>
      </c>
      <c r="T25" t="str">
        <f t="shared" si="12"/>
        <v>GlbMarket_m_copper</v>
      </c>
      <c r="V25" t="str">
        <f t="shared" si="6"/>
        <v>MidEast</v>
      </c>
      <c r="W25" t="str">
        <f t="shared" si="13"/>
        <v>GlbMarket_m_graphite</v>
      </c>
    </row>
    <row r="26" spans="1:23">
      <c r="A26">
        <v>26</v>
      </c>
      <c r="D26" s="1" t="str">
        <f t="shared" si="0"/>
        <v>NorthAm</v>
      </c>
      <c r="E26" t="str">
        <f t="shared" si="7"/>
        <v>GlbMarket_m_lithium</v>
      </c>
      <c r="G26" t="str">
        <f t="shared" si="1"/>
        <v>NorthAm</v>
      </c>
      <c r="H26" t="str">
        <f t="shared" si="8"/>
        <v>GlbMarket_m_nickel</v>
      </c>
      <c r="J26" t="str">
        <f t="shared" si="2"/>
        <v>NorthAm</v>
      </c>
      <c r="K26" t="str">
        <f t="shared" si="9"/>
        <v>GlbMarket_m_cobalt</v>
      </c>
      <c r="M26" t="str">
        <f t="shared" si="3"/>
        <v>NorthAm</v>
      </c>
      <c r="N26" t="str">
        <f t="shared" si="10"/>
        <v>GlbMarket_m_manganese</v>
      </c>
      <c r="P26" t="str">
        <f t="shared" si="4"/>
        <v>NorthAm</v>
      </c>
      <c r="Q26" t="str">
        <f t="shared" si="11"/>
        <v>GlbMarket_m_aluminum</v>
      </c>
      <c r="S26" t="str">
        <f t="shared" si="5"/>
        <v>NorthAm</v>
      </c>
      <c r="T26" t="str">
        <f t="shared" si="12"/>
        <v>GlbMarket_m_copper</v>
      </c>
      <c r="V26" t="str">
        <f t="shared" si="6"/>
        <v>NorthAm</v>
      </c>
      <c r="W26" t="str">
        <f t="shared" si="13"/>
        <v>GlbMarket_m_graphite</v>
      </c>
    </row>
    <row r="27" spans="1:23">
      <c r="A27">
        <v>27</v>
      </c>
      <c r="D27" s="1" t="str">
        <f t="shared" si="0"/>
        <v>Norway</v>
      </c>
      <c r="E27" t="str">
        <f t="shared" si="7"/>
        <v>GlbMarket_m_lithium</v>
      </c>
      <c r="G27" t="str">
        <f t="shared" si="1"/>
        <v>Norway</v>
      </c>
      <c r="H27" t="str">
        <f t="shared" si="8"/>
        <v>GlbMarket_m_nickel</v>
      </c>
      <c r="J27" t="str">
        <f t="shared" si="2"/>
        <v>Norway</v>
      </c>
      <c r="K27" t="str">
        <f t="shared" si="9"/>
        <v>GlbMarket_m_cobalt</v>
      </c>
      <c r="M27" t="str">
        <f t="shared" si="3"/>
        <v>Norway</v>
      </c>
      <c r="N27" t="str">
        <f t="shared" si="10"/>
        <v>GlbMarket_m_manganese</v>
      </c>
      <c r="P27" t="str">
        <f t="shared" si="4"/>
        <v>Norway</v>
      </c>
      <c r="Q27" t="str">
        <f t="shared" si="11"/>
        <v>GlbMarket_m_aluminum</v>
      </c>
      <c r="S27" t="str">
        <f t="shared" si="5"/>
        <v>Norway</v>
      </c>
      <c r="T27" t="str">
        <f t="shared" si="12"/>
        <v>GlbMarket_m_copper</v>
      </c>
      <c r="V27" t="str">
        <f t="shared" si="6"/>
        <v>Norway</v>
      </c>
      <c r="W27" t="str">
        <f t="shared" si="13"/>
        <v>GlbMarket_m_graphite</v>
      </c>
    </row>
    <row r="28" spans="1:23">
      <c r="A28">
        <v>28</v>
      </c>
      <c r="D28" s="1" t="str">
        <f t="shared" si="0"/>
        <v>Poland</v>
      </c>
      <c r="E28" t="str">
        <f t="shared" si="7"/>
        <v>GlbMarket_m_lithium</v>
      </c>
      <c r="G28" t="str">
        <f t="shared" si="1"/>
        <v>Poland</v>
      </c>
      <c r="H28" t="str">
        <f t="shared" si="8"/>
        <v>GlbMarket_m_nickel</v>
      </c>
      <c r="J28" t="str">
        <f t="shared" si="2"/>
        <v>Poland</v>
      </c>
      <c r="K28" t="str">
        <f t="shared" si="9"/>
        <v>GlbMarket_m_cobalt</v>
      </c>
      <c r="M28" t="str">
        <f t="shared" si="3"/>
        <v>Poland</v>
      </c>
      <c r="N28" t="str">
        <f t="shared" si="10"/>
        <v>GlbMarket_m_manganese</v>
      </c>
      <c r="P28" t="str">
        <f t="shared" si="4"/>
        <v>Poland</v>
      </c>
      <c r="Q28" t="str">
        <f t="shared" si="11"/>
        <v>GlbMarket_m_aluminum</v>
      </c>
      <c r="S28" t="str">
        <f t="shared" si="5"/>
        <v>Poland</v>
      </c>
      <c r="T28" t="str">
        <f t="shared" si="12"/>
        <v>GlbMarket_m_copper</v>
      </c>
      <c r="V28" t="str">
        <f t="shared" si="6"/>
        <v>Poland</v>
      </c>
      <c r="W28" t="str">
        <f t="shared" si="13"/>
        <v>GlbMarket_m_graphite</v>
      </c>
    </row>
    <row r="29" spans="1:23">
      <c r="A29">
        <v>29</v>
      </c>
      <c r="D29" s="1" t="str">
        <f t="shared" si="0"/>
        <v>ROW</v>
      </c>
      <c r="E29" t="str">
        <f t="shared" si="7"/>
        <v>GlbMarket_m_lithium</v>
      </c>
      <c r="G29" t="str">
        <f t="shared" si="1"/>
        <v>ROW</v>
      </c>
      <c r="H29" t="str">
        <f t="shared" si="8"/>
        <v>GlbMarket_m_nickel</v>
      </c>
      <c r="J29" t="str">
        <f t="shared" si="2"/>
        <v>ROW</v>
      </c>
      <c r="K29" t="str">
        <f t="shared" si="9"/>
        <v>GlbMarket_m_cobalt</v>
      </c>
      <c r="M29" t="str">
        <f t="shared" si="3"/>
        <v>ROW</v>
      </c>
      <c r="N29" t="str">
        <f t="shared" si="10"/>
        <v>GlbMarket_m_manganese</v>
      </c>
      <c r="P29" t="str">
        <f t="shared" si="4"/>
        <v>ROW</v>
      </c>
      <c r="Q29" t="str">
        <f t="shared" si="11"/>
        <v>GlbMarket_m_aluminum</v>
      </c>
      <c r="S29" t="str">
        <f t="shared" si="5"/>
        <v>ROW</v>
      </c>
      <c r="T29" t="str">
        <f t="shared" si="12"/>
        <v>GlbMarket_m_copper</v>
      </c>
      <c r="V29" t="str">
        <f t="shared" si="6"/>
        <v>ROW</v>
      </c>
      <c r="W29" t="str">
        <f t="shared" si="13"/>
        <v>GlbMarket_m_graphite</v>
      </c>
    </row>
    <row r="30" spans="1:23">
      <c r="D30" s="1" t="str">
        <f t="shared" si="0"/>
        <v>Russia</v>
      </c>
      <c r="E30" t="str">
        <f t="shared" si="7"/>
        <v>GlbMarket_m_lithium</v>
      </c>
      <c r="G30" t="str">
        <f t="shared" si="1"/>
        <v>Russia</v>
      </c>
      <c r="H30" t="str">
        <f t="shared" si="8"/>
        <v>GlbMarket_m_nickel</v>
      </c>
      <c r="J30" t="str">
        <f t="shared" si="2"/>
        <v>Russia</v>
      </c>
      <c r="K30" t="str">
        <f t="shared" si="9"/>
        <v>GlbMarket_m_cobalt</v>
      </c>
      <c r="M30" t="str">
        <f t="shared" si="3"/>
        <v>Russia</v>
      </c>
      <c r="N30" t="str">
        <f t="shared" si="10"/>
        <v>GlbMarket_m_manganese</v>
      </c>
      <c r="P30" t="str">
        <f t="shared" si="4"/>
        <v>Russia</v>
      </c>
      <c r="Q30" t="str">
        <f t="shared" si="11"/>
        <v>GlbMarket_m_aluminum</v>
      </c>
      <c r="S30" t="str">
        <f t="shared" si="5"/>
        <v>Russia</v>
      </c>
      <c r="T30" t="str">
        <f t="shared" si="12"/>
        <v>GlbMarket_m_copper</v>
      </c>
      <c r="V30" t="str">
        <f t="shared" si="6"/>
        <v>Russia</v>
      </c>
      <c r="W30" t="str">
        <f t="shared" si="13"/>
        <v>GlbMarket_m_graphite</v>
      </c>
    </row>
    <row r="31" spans="1:23">
      <c r="D31" s="1" t="str">
        <f t="shared" si="0"/>
        <v>SaudiArabia</v>
      </c>
      <c r="E31" t="str">
        <f t="shared" si="7"/>
        <v>GlbMarket_m_lithium</v>
      </c>
      <c r="G31" t="str">
        <f t="shared" si="1"/>
        <v>SaudiArabia</v>
      </c>
      <c r="H31" t="str">
        <f t="shared" si="8"/>
        <v>GlbMarket_m_nickel</v>
      </c>
      <c r="J31" t="str">
        <f t="shared" si="2"/>
        <v>SaudiArabia</v>
      </c>
      <c r="K31" t="str">
        <f t="shared" si="9"/>
        <v>GlbMarket_m_cobalt</v>
      </c>
      <c r="M31" t="str">
        <f t="shared" si="3"/>
        <v>SaudiArabia</v>
      </c>
      <c r="N31" t="str">
        <f t="shared" si="10"/>
        <v>GlbMarket_m_manganese</v>
      </c>
      <c r="P31" t="str">
        <f t="shared" si="4"/>
        <v>SaudiArabia</v>
      </c>
      <c r="Q31" t="str">
        <f t="shared" si="11"/>
        <v>GlbMarket_m_aluminum</v>
      </c>
      <c r="S31" t="str">
        <f t="shared" si="5"/>
        <v>SaudiArabia</v>
      </c>
      <c r="T31" t="str">
        <f t="shared" si="12"/>
        <v>GlbMarket_m_copper</v>
      </c>
      <c r="V31" t="str">
        <f t="shared" si="6"/>
        <v>SaudiArabia</v>
      </c>
      <c r="W31" t="str">
        <f t="shared" si="13"/>
        <v>GlbMarket_m_graphite</v>
      </c>
    </row>
    <row r="32" spans="1:23">
      <c r="D32" s="1" t="str">
        <f t="shared" si="0"/>
        <v>SouthAfrica</v>
      </c>
      <c r="E32" t="str">
        <f t="shared" si="7"/>
        <v>GlbMarket_m_lithium</v>
      </c>
      <c r="G32" t="str">
        <f t="shared" si="1"/>
        <v>SouthAfrica</v>
      </c>
      <c r="H32" t="str">
        <f t="shared" si="8"/>
        <v>GlbMarket_m_nickel</v>
      </c>
      <c r="J32" t="str">
        <f t="shared" si="2"/>
        <v>SouthAfrica</v>
      </c>
      <c r="K32" t="str">
        <f t="shared" si="9"/>
        <v>GlbMarket_m_cobalt</v>
      </c>
      <c r="M32" t="str">
        <f t="shared" si="3"/>
        <v>SouthAfrica</v>
      </c>
      <c r="N32" t="str">
        <f t="shared" si="10"/>
        <v>GlbMarket_m_manganese</v>
      </c>
      <c r="P32" t="str">
        <f t="shared" si="4"/>
        <v>SouthAfrica</v>
      </c>
      <c r="Q32" t="str">
        <f t="shared" si="11"/>
        <v>GlbMarket_m_aluminum</v>
      </c>
      <c r="S32" t="str">
        <f t="shared" si="5"/>
        <v>SouthAfrica</v>
      </c>
      <c r="T32" t="str">
        <f t="shared" si="12"/>
        <v>GlbMarket_m_copper</v>
      </c>
      <c r="V32" t="str">
        <f t="shared" si="6"/>
        <v>SouthAfrica</v>
      </c>
      <c r="W32" t="str">
        <f t="shared" si="13"/>
        <v>GlbMarket_m_graphite</v>
      </c>
    </row>
    <row r="33" spans="1:23">
      <c r="D33" s="1" t="str">
        <f t="shared" si="0"/>
        <v>SpainPor</v>
      </c>
      <c r="E33" t="str">
        <f t="shared" si="7"/>
        <v>GlbMarket_m_lithium</v>
      </c>
      <c r="G33" t="str">
        <f t="shared" si="1"/>
        <v>SpainPor</v>
      </c>
      <c r="H33" t="str">
        <f t="shared" si="8"/>
        <v>GlbMarket_m_nickel</v>
      </c>
      <c r="J33" t="str">
        <f t="shared" si="2"/>
        <v>SpainPor</v>
      </c>
      <c r="K33" t="str">
        <f t="shared" si="9"/>
        <v>GlbMarket_m_cobalt</v>
      </c>
      <c r="M33" t="str">
        <f t="shared" si="3"/>
        <v>SpainPor</v>
      </c>
      <c r="N33" t="str">
        <f t="shared" si="10"/>
        <v>GlbMarket_m_manganese</v>
      </c>
      <c r="P33" t="str">
        <f t="shared" si="4"/>
        <v>SpainPor</v>
      </c>
      <c r="Q33" t="str">
        <f t="shared" si="11"/>
        <v>GlbMarket_m_aluminum</v>
      </c>
      <c r="S33" t="str">
        <f t="shared" si="5"/>
        <v>SpainPor</v>
      </c>
      <c r="T33" t="str">
        <f t="shared" si="12"/>
        <v>GlbMarket_m_copper</v>
      </c>
      <c r="V33" t="str">
        <f t="shared" si="6"/>
        <v>SpainPor</v>
      </c>
      <c r="W33" t="str">
        <f t="shared" si="13"/>
        <v>GlbMarket_m_graphite</v>
      </c>
    </row>
    <row r="34" spans="1:23">
      <c r="D34" s="1" t="str">
        <f t="shared" si="0"/>
        <v>SweFinDen</v>
      </c>
      <c r="E34" t="str">
        <f t="shared" si="7"/>
        <v>GlbMarket_m_lithium</v>
      </c>
      <c r="G34" t="str">
        <f t="shared" si="1"/>
        <v>SweFinDen</v>
      </c>
      <c r="H34" t="str">
        <f t="shared" si="8"/>
        <v>GlbMarket_m_nickel</v>
      </c>
      <c r="J34" t="str">
        <f t="shared" si="2"/>
        <v>SweFinDen</v>
      </c>
      <c r="K34" t="str">
        <f t="shared" si="9"/>
        <v>GlbMarket_m_cobalt</v>
      </c>
      <c r="M34" t="str">
        <f t="shared" si="3"/>
        <v>SweFinDen</v>
      </c>
      <c r="N34" t="str">
        <f t="shared" si="10"/>
        <v>GlbMarket_m_manganese</v>
      </c>
      <c r="P34" t="str">
        <f t="shared" si="4"/>
        <v>SweFinDen</v>
      </c>
      <c r="Q34" t="str">
        <f t="shared" si="11"/>
        <v>GlbMarket_m_aluminum</v>
      </c>
      <c r="S34" t="str">
        <f t="shared" si="5"/>
        <v>SweFinDen</v>
      </c>
      <c r="T34" t="str">
        <f t="shared" si="12"/>
        <v>GlbMarket_m_copper</v>
      </c>
      <c r="V34" t="str">
        <f t="shared" si="6"/>
        <v>SweFinDen</v>
      </c>
      <c r="W34" t="str">
        <f t="shared" si="13"/>
        <v>GlbMarket_m_graphite</v>
      </c>
    </row>
    <row r="35" spans="1:23">
      <c r="D35" s="1" t="str">
        <f t="shared" ref="D35:D39" si="14">IF(A67="","\I:",A67)</f>
        <v>Switzerland</v>
      </c>
      <c r="E35" t="str">
        <f>E34</f>
        <v>GlbMarket_m_lithium</v>
      </c>
      <c r="G35" t="str">
        <f>$D35</f>
        <v>Switzerland</v>
      </c>
      <c r="H35" t="str">
        <f>H34</f>
        <v>GlbMarket_m_nickel</v>
      </c>
      <c r="J35" t="str">
        <f>$D35</f>
        <v>Switzerland</v>
      </c>
      <c r="K35" t="str">
        <f>K34</f>
        <v>GlbMarket_m_cobalt</v>
      </c>
      <c r="M35" t="str">
        <f>$D35</f>
        <v>Switzerland</v>
      </c>
      <c r="N35" t="str">
        <f>N34</f>
        <v>GlbMarket_m_manganese</v>
      </c>
      <c r="P35" t="str">
        <f>$D35</f>
        <v>Switzerland</v>
      </c>
      <c r="Q35" t="str">
        <f>Q34</f>
        <v>GlbMarket_m_aluminum</v>
      </c>
      <c r="S35" t="str">
        <f>$D35</f>
        <v>Switzerland</v>
      </c>
      <c r="T35" t="str">
        <f>T34</f>
        <v>GlbMarket_m_copper</v>
      </c>
      <c r="V35" t="str">
        <f>$D35</f>
        <v>Switzerland</v>
      </c>
      <c r="W35" t="str">
        <f>W34</f>
        <v>GlbMarket_m_graphite</v>
      </c>
    </row>
    <row r="36" spans="1:23">
      <c r="A36" s="2" t="s">
        <v>9</v>
      </c>
      <c r="D36" s="1" t="str">
        <f t="shared" si="14"/>
        <v>Turkey</v>
      </c>
      <c r="E36" t="str">
        <f>E35</f>
        <v>GlbMarket_m_lithium</v>
      </c>
      <c r="G36" t="str">
        <f>$D36</f>
        <v>Turkey</v>
      </c>
      <c r="H36" t="str">
        <f>H35</f>
        <v>GlbMarket_m_nickel</v>
      </c>
      <c r="J36" t="str">
        <f>$D36</f>
        <v>Turkey</v>
      </c>
      <c r="K36" t="str">
        <f>K35</f>
        <v>GlbMarket_m_cobalt</v>
      </c>
      <c r="M36" t="str">
        <f>$D36</f>
        <v>Turkey</v>
      </c>
      <c r="N36" t="str">
        <f>N35</f>
        <v>GlbMarket_m_manganese</v>
      </c>
      <c r="P36" t="str">
        <f>$D36</f>
        <v>Turkey</v>
      </c>
      <c r="Q36" t="str">
        <f>Q35</f>
        <v>GlbMarket_m_aluminum</v>
      </c>
      <c r="S36" t="str">
        <f>$D36</f>
        <v>Turkey</v>
      </c>
      <c r="T36" t="str">
        <f>T35</f>
        <v>GlbMarket_m_copper</v>
      </c>
      <c r="V36" t="str">
        <f>$D36</f>
        <v>Turkey</v>
      </c>
      <c r="W36" t="str">
        <f>W35</f>
        <v>GlbMarket_m_graphite</v>
      </c>
    </row>
    <row r="37" spans="1:23">
      <c r="A37" t="s">
        <v>10</v>
      </c>
      <c r="D37" s="1" t="str">
        <f t="shared" si="14"/>
        <v>UK</v>
      </c>
      <c r="E37" t="str">
        <f>E36</f>
        <v>GlbMarket_m_lithium</v>
      </c>
      <c r="G37" t="str">
        <f>$D37</f>
        <v>UK</v>
      </c>
      <c r="H37" t="str">
        <f>H36</f>
        <v>GlbMarket_m_nickel</v>
      </c>
      <c r="J37" t="str">
        <f>$D37</f>
        <v>UK</v>
      </c>
      <c r="K37" t="str">
        <f>K36</f>
        <v>GlbMarket_m_cobalt</v>
      </c>
      <c r="M37" t="str">
        <f>$D37</f>
        <v>UK</v>
      </c>
      <c r="N37" t="str">
        <f>N36</f>
        <v>GlbMarket_m_manganese</v>
      </c>
      <c r="P37" t="str">
        <f>$D37</f>
        <v>UK</v>
      </c>
      <c r="Q37" t="str">
        <f>Q36</f>
        <v>GlbMarket_m_aluminum</v>
      </c>
      <c r="S37" t="str">
        <f>$D37</f>
        <v>UK</v>
      </c>
      <c r="T37" t="str">
        <f>T36</f>
        <v>GlbMarket_m_copper</v>
      </c>
      <c r="V37" t="str">
        <f>$D37</f>
        <v>UK</v>
      </c>
      <c r="W37" t="str">
        <f>W36</f>
        <v>GlbMarket_m_graphite</v>
      </c>
    </row>
    <row r="38" spans="1:23">
      <c r="A38" t="s">
        <v>11</v>
      </c>
      <c r="D38" s="1" t="str">
        <f t="shared" si="14"/>
        <v>Ukraine</v>
      </c>
      <c r="E38" t="str">
        <f>E37</f>
        <v>GlbMarket_m_lithium</v>
      </c>
      <c r="G38" t="str">
        <f>$D38</f>
        <v>Ukraine</v>
      </c>
      <c r="H38" t="str">
        <f>H37</f>
        <v>GlbMarket_m_nickel</v>
      </c>
      <c r="J38" t="str">
        <f>$D38</f>
        <v>Ukraine</v>
      </c>
      <c r="K38" t="str">
        <f>K37</f>
        <v>GlbMarket_m_cobalt</v>
      </c>
      <c r="M38" t="str">
        <f>$D38</f>
        <v>Ukraine</v>
      </c>
      <c r="N38" t="str">
        <f>N37</f>
        <v>GlbMarket_m_manganese</v>
      </c>
      <c r="P38" t="str">
        <f>$D38</f>
        <v>Ukraine</v>
      </c>
      <c r="Q38" t="str">
        <f>Q37</f>
        <v>GlbMarket_m_aluminum</v>
      </c>
      <c r="S38" t="str">
        <f>$D38</f>
        <v>Ukraine</v>
      </c>
      <c r="T38" t="str">
        <f>T37</f>
        <v>GlbMarket_m_copper</v>
      </c>
      <c r="V38" t="str">
        <f>$D38</f>
        <v>Ukraine</v>
      </c>
      <c r="W38" t="str">
        <f>W37</f>
        <v>GlbMarket_m_graphite</v>
      </c>
    </row>
    <row r="39" spans="1:23">
      <c r="A39" t="s">
        <v>12</v>
      </c>
      <c r="D39" s="1" t="str">
        <f t="shared" si="14"/>
        <v>WestBalkans</v>
      </c>
      <c r="E39" t="str">
        <f>E38</f>
        <v>GlbMarket_m_lithium</v>
      </c>
      <c r="G39" t="str">
        <f>$D39</f>
        <v>WestBalkans</v>
      </c>
      <c r="H39" t="str">
        <f>H38</f>
        <v>GlbMarket_m_nickel</v>
      </c>
      <c r="J39" t="str">
        <f>$D39</f>
        <v>WestBalkans</v>
      </c>
      <c r="K39" t="str">
        <f>K38</f>
        <v>GlbMarket_m_cobalt</v>
      </c>
      <c r="M39" t="str">
        <f>$D39</f>
        <v>WestBalkans</v>
      </c>
      <c r="N39" t="str">
        <f>N38</f>
        <v>GlbMarket_m_manganese</v>
      </c>
      <c r="P39" t="str">
        <f>$D39</f>
        <v>WestBalkans</v>
      </c>
      <c r="Q39" t="str">
        <f>Q38</f>
        <v>GlbMarket_m_aluminum</v>
      </c>
      <c r="S39" t="str">
        <f>$D39</f>
        <v>WestBalkans</v>
      </c>
      <c r="T39" t="str">
        <f>T38</f>
        <v>GlbMarket_m_copper</v>
      </c>
      <c r="V39" t="str">
        <f>$D39</f>
        <v>WestBalkans</v>
      </c>
      <c r="W39" t="str">
        <f>W38</f>
        <v>GlbMarket_m_graphite</v>
      </c>
    </row>
    <row r="40" spans="1:23">
      <c r="A40" t="s">
        <v>13</v>
      </c>
      <c r="D40" s="1"/>
    </row>
    <row r="41" spans="1:23">
      <c r="A41" t="s">
        <v>14</v>
      </c>
    </row>
    <row r="42" spans="1:23">
      <c r="A42" t="s">
        <v>15</v>
      </c>
    </row>
    <row r="43" spans="1:23">
      <c r="A43" t="s">
        <v>16</v>
      </c>
    </row>
    <row r="44" spans="1:23">
      <c r="A44" t="s">
        <v>17</v>
      </c>
    </row>
    <row r="45" spans="1:23">
      <c r="A45" t="s">
        <v>18</v>
      </c>
    </row>
    <row r="46" spans="1:23">
      <c r="A46" t="s">
        <v>19</v>
      </c>
    </row>
    <row r="47" spans="1:23">
      <c r="A47" t="s">
        <v>20</v>
      </c>
    </row>
    <row r="48" spans="1:23">
      <c r="A48" t="s">
        <v>21</v>
      </c>
    </row>
    <row r="49" spans="1:1">
      <c r="A49" t="s">
        <v>22</v>
      </c>
    </row>
    <row r="50" spans="1:1">
      <c r="A50" t="s">
        <v>23</v>
      </c>
    </row>
    <row r="51" spans="1:1">
      <c r="A51" t="s">
        <v>24</v>
      </c>
    </row>
    <row r="52" spans="1:1">
      <c r="A52" t="s">
        <v>25</v>
      </c>
    </row>
    <row r="53" spans="1:1">
      <c r="A53" t="s">
        <v>26</v>
      </c>
    </row>
    <row r="54" spans="1:1">
      <c r="A54" t="s">
        <v>27</v>
      </c>
    </row>
    <row r="55" spans="1:1">
      <c r="A55" t="s">
        <v>28</v>
      </c>
    </row>
    <row r="56" spans="1:1">
      <c r="A56" t="s">
        <v>29</v>
      </c>
    </row>
    <row r="57" spans="1:1">
      <c r="A57" t="s">
        <v>30</v>
      </c>
    </row>
    <row r="58" spans="1:1">
      <c r="A58" t="s">
        <v>31</v>
      </c>
    </row>
    <row r="59" spans="1:1">
      <c r="A59" t="s">
        <v>32</v>
      </c>
    </row>
    <row r="60" spans="1:1">
      <c r="A60" t="s">
        <v>33</v>
      </c>
    </row>
    <row r="61" spans="1:1">
      <c r="A61" t="s">
        <v>34</v>
      </c>
    </row>
    <row r="62" spans="1:1">
      <c r="A62" t="s">
        <v>35</v>
      </c>
    </row>
    <row r="63" spans="1:1">
      <c r="A63" t="s">
        <v>36</v>
      </c>
    </row>
    <row r="64" spans="1:1">
      <c r="A64" t="s">
        <v>37</v>
      </c>
    </row>
    <row r="65" spans="1:1">
      <c r="A65" t="s">
        <v>38</v>
      </c>
    </row>
    <row r="66" spans="1:1">
      <c r="A66" t="s">
        <v>39</v>
      </c>
    </row>
    <row r="67" spans="1:1">
      <c r="A67" t="s">
        <v>40</v>
      </c>
    </row>
    <row r="68" spans="1:1">
      <c r="A68" t="s">
        <v>41</v>
      </c>
    </row>
    <row r="69" spans="1:1">
      <c r="A69" t="s">
        <v>42</v>
      </c>
    </row>
    <row r="70" spans="1:1">
      <c r="A70" t="s">
        <v>43</v>
      </c>
    </row>
    <row r="71" spans="1:1">
      <c r="A71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1"/>
  <sheetViews>
    <sheetView zoomScale="50" zoomScaleNormal="50" workbookViewId="0">
      <selection activeCell="D3" sqref="D3"/>
    </sheetView>
  </sheetViews>
  <sheetFormatPr defaultColWidth="9" defaultRowHeight="14.25"/>
  <cols>
    <col min="2" max="2" width="23.796875" customWidth="1"/>
    <col min="4" max="4" width="12.265625" customWidth="1"/>
    <col min="5" max="5" width="30.73046875" customWidth="1"/>
    <col min="7" max="7" width="14.59765625" customWidth="1"/>
    <col min="8" max="8" width="17.73046875" customWidth="1"/>
    <col min="11" max="11" width="29.9296875" customWidth="1"/>
  </cols>
  <sheetData>
    <row r="1" spans="1:23">
      <c r="A1">
        <v>1</v>
      </c>
      <c r="B1" t="s">
        <v>45</v>
      </c>
      <c r="D1">
        <v>1</v>
      </c>
      <c r="G1">
        <f>D1+1</f>
        <v>2</v>
      </c>
      <c r="J1">
        <f>G1+1</f>
        <v>3</v>
      </c>
      <c r="M1">
        <f>J1+1</f>
        <v>4</v>
      </c>
      <c r="P1">
        <f>M1+1</f>
        <v>5</v>
      </c>
      <c r="S1">
        <f>P1+1</f>
        <v>6</v>
      </c>
      <c r="V1">
        <f>S1+1</f>
        <v>7</v>
      </c>
    </row>
    <row r="2" spans="1:23">
      <c r="A2">
        <v>2</v>
      </c>
      <c r="B2" t="s">
        <v>46</v>
      </c>
    </row>
    <row r="3" spans="1:23">
      <c r="A3">
        <v>3</v>
      </c>
      <c r="B3" t="s">
        <v>47</v>
      </c>
      <c r="D3" t="s">
        <v>3</v>
      </c>
      <c r="G3" t="s">
        <v>3</v>
      </c>
      <c r="J3" t="s">
        <v>3</v>
      </c>
      <c r="M3" t="s">
        <v>3</v>
      </c>
      <c r="P3" t="s">
        <v>3</v>
      </c>
      <c r="S3" t="s">
        <v>3</v>
      </c>
      <c r="V3" t="s">
        <v>3</v>
      </c>
    </row>
    <row r="4" spans="1:23">
      <c r="A4">
        <v>4</v>
      </c>
      <c r="B4" t="s">
        <v>48</v>
      </c>
      <c r="D4" t="str">
        <f>VLOOKUP(D1,$A$1:$B$27,2,FALSE)</f>
        <v>m_fromrecy_lithium</v>
      </c>
      <c r="E4" s="1" t="s">
        <v>5</v>
      </c>
      <c r="G4" t="str">
        <f>VLOOKUP(G1,$A$1:$B$27,2,FALSE)</f>
        <v>m_fromrecy_nickel</v>
      </c>
      <c r="H4" s="1" t="s">
        <v>5</v>
      </c>
      <c r="J4" t="str">
        <f>VLOOKUP(J1,$A$1:$B$27,2,FALSE)</f>
        <v>m_fromrecy_cobalt</v>
      </c>
      <c r="K4" s="1" t="s">
        <v>5</v>
      </c>
      <c r="M4" t="str">
        <f>VLOOKUP(M1,$A$1:$B$27,2,FALSE)</f>
        <v>m_fromrecy_manganese</v>
      </c>
      <c r="N4" s="1" t="s">
        <v>5</v>
      </c>
      <c r="P4" t="str">
        <f>VLOOKUP(P1,$A$1:$B$27,2,FALSE)</f>
        <v>m_fromrecy_aluminum</v>
      </c>
      <c r="Q4" s="1" t="s">
        <v>5</v>
      </c>
      <c r="S4" t="str">
        <f>VLOOKUP(S1,$A$1:$B$27,2,FALSE)</f>
        <v>m_fromrecy_copper</v>
      </c>
      <c r="T4" s="1" t="s">
        <v>5</v>
      </c>
      <c r="V4" t="str">
        <f>VLOOKUP(V1,$A$1:$B$27,2,FALSE)</f>
        <v>m_fromrecy_graphite</v>
      </c>
      <c r="W4" s="1" t="s">
        <v>5</v>
      </c>
    </row>
    <row r="5" spans="1:23">
      <c r="A5">
        <v>5</v>
      </c>
      <c r="B5" t="s">
        <v>49</v>
      </c>
      <c r="D5" s="1" t="str">
        <f t="shared" ref="D5:D34" si="0">IF(A37="","\I:",A37)</f>
        <v>\I:Africa_North</v>
      </c>
      <c r="E5" t="str">
        <f>"GlbMarket_"&amp;VLOOKUP(D1,$A$1:$B$29,2,FALSE)</f>
        <v>GlbMarket_m_fromrecy_lithium</v>
      </c>
      <c r="G5" t="str">
        <f>IF($D5="","\I:",$D5)</f>
        <v>\I:Africa_North</v>
      </c>
      <c r="H5" t="str">
        <f>"GlbMarket_"&amp;VLOOKUP(G1,$A$1:$B$29,2,FALSE)</f>
        <v>GlbMarket_m_fromrecy_nickel</v>
      </c>
      <c r="J5" t="str">
        <f t="shared" ref="J5:J34" si="1">$D5</f>
        <v>\I:Africa_North</v>
      </c>
      <c r="K5" t="str">
        <f>"GlbMarket_"&amp;VLOOKUP(J1,$A$1:$B$29,2,FALSE)</f>
        <v>GlbMarket_m_fromrecy_cobalt</v>
      </c>
      <c r="M5" t="str">
        <f t="shared" ref="M5:M34" si="2">$D5</f>
        <v>\I:Africa_North</v>
      </c>
      <c r="N5" t="str">
        <f>"GlbMarket_"&amp;VLOOKUP(M1,$A$1:$B$29,2,FALSE)</f>
        <v>GlbMarket_m_fromrecy_manganese</v>
      </c>
      <c r="P5" t="str">
        <f t="shared" ref="P5:P34" si="3">$D5</f>
        <v>\I:Africa_North</v>
      </c>
      <c r="Q5" t="str">
        <f>"GlbMarket_"&amp;VLOOKUP(P1,$A$1:$B$29,2,FALSE)</f>
        <v>GlbMarket_m_fromrecy_aluminum</v>
      </c>
      <c r="S5" t="str">
        <f t="shared" ref="S5:S34" si="4">$D5</f>
        <v>\I:Africa_North</v>
      </c>
      <c r="T5" t="str">
        <f>"GlbMarket_"&amp;VLOOKUP(S1,$A$1:$B$29,2,FALSE)</f>
        <v>GlbMarket_m_fromrecy_copper</v>
      </c>
      <c r="V5" t="str">
        <f t="shared" ref="V5:V34" si="5">$D5</f>
        <v>\I:Africa_North</v>
      </c>
      <c r="W5" t="str">
        <f>"GlbMarket_"&amp;VLOOKUP(V1,$A$1:$B$29,2,FALSE)</f>
        <v>GlbMarket_m_fromrecy_graphite</v>
      </c>
    </row>
    <row r="6" spans="1:23">
      <c r="A6">
        <v>6</v>
      </c>
      <c r="B6" t="s">
        <v>50</v>
      </c>
      <c r="D6" s="1" t="str">
        <f t="shared" si="0"/>
        <v>Africa_Other</v>
      </c>
      <c r="E6" t="str">
        <f>"GlbMarket_"&amp;VLOOKUP(D1,$A$1:$B$29,2,FALSE)</f>
        <v>GlbMarket_m_fromrecy_lithium</v>
      </c>
      <c r="G6" t="str">
        <f t="shared" ref="G6:G34" si="6">$D6</f>
        <v>Africa_Other</v>
      </c>
      <c r="H6" t="str">
        <f>"GlbMarket_"&amp;VLOOKUP(G1,$A$1:$B$29,2,FALSE)</f>
        <v>GlbMarket_m_fromrecy_nickel</v>
      </c>
      <c r="J6" t="str">
        <f t="shared" si="1"/>
        <v>Africa_Other</v>
      </c>
      <c r="K6" t="str">
        <f>"GlbMarket_"&amp;VLOOKUP(J1,$A$1:$B$29,2,FALSE)</f>
        <v>GlbMarket_m_fromrecy_cobalt</v>
      </c>
      <c r="M6" t="str">
        <f t="shared" si="2"/>
        <v>Africa_Other</v>
      </c>
      <c r="N6" t="str">
        <f>"GlbMarket_"&amp;VLOOKUP(M1,$A$1:$B$29,2,FALSE)</f>
        <v>GlbMarket_m_fromrecy_manganese</v>
      </c>
      <c r="P6" t="str">
        <f t="shared" si="3"/>
        <v>Africa_Other</v>
      </c>
      <c r="Q6" t="str">
        <f>"GlbMarket_"&amp;VLOOKUP(P1,$A$1:$B$29,2,FALSE)</f>
        <v>GlbMarket_m_fromrecy_aluminum</v>
      </c>
      <c r="S6" t="str">
        <f t="shared" si="4"/>
        <v>Africa_Other</v>
      </c>
      <c r="T6" t="str">
        <f>"GlbMarket_"&amp;VLOOKUP(S1,$A$1:$B$29,2,FALSE)</f>
        <v>GlbMarket_m_fromrecy_copper</v>
      </c>
      <c r="V6" t="str">
        <f t="shared" si="5"/>
        <v>Africa_Other</v>
      </c>
      <c r="W6" t="str">
        <f>"GlbMarket_"&amp;VLOOKUP(V1,$A$1:$B$29,2,FALSE)</f>
        <v>GlbMarket_m_fromrecy_graphite</v>
      </c>
    </row>
    <row r="7" spans="1:23">
      <c r="A7">
        <v>7</v>
      </c>
      <c r="B7" t="s">
        <v>51</v>
      </c>
      <c r="D7" s="1" t="str">
        <f t="shared" si="0"/>
        <v>Australia</v>
      </c>
      <c r="E7" t="str">
        <f>"GlbMarket_"&amp;VLOOKUP(D1,$A$1:$B$29,2,FALSE)</f>
        <v>GlbMarket_m_fromrecy_lithium</v>
      </c>
      <c r="G7" t="str">
        <f t="shared" si="6"/>
        <v>Australia</v>
      </c>
      <c r="H7" t="str">
        <f>"GlbMarket_"&amp;VLOOKUP(G1,$A$1:$B$29,2,FALSE)</f>
        <v>GlbMarket_m_fromrecy_nickel</v>
      </c>
      <c r="J7" t="str">
        <f t="shared" si="1"/>
        <v>Australia</v>
      </c>
      <c r="K7" t="str">
        <f>"GlbMarket_"&amp;VLOOKUP(J1,$A$1:$B$29,2,FALSE)</f>
        <v>GlbMarket_m_fromrecy_cobalt</v>
      </c>
      <c r="M7" t="str">
        <f t="shared" si="2"/>
        <v>Australia</v>
      </c>
      <c r="N7" t="str">
        <f>"GlbMarket_"&amp;VLOOKUP(M1,$A$1:$B$29,2,FALSE)</f>
        <v>GlbMarket_m_fromrecy_manganese</v>
      </c>
      <c r="P7" t="str">
        <f t="shared" si="3"/>
        <v>Australia</v>
      </c>
      <c r="Q7" t="str">
        <f>"GlbMarket_"&amp;VLOOKUP(P1,$A$1:$B$29,2,FALSE)</f>
        <v>GlbMarket_m_fromrecy_aluminum</v>
      </c>
      <c r="S7" t="str">
        <f t="shared" si="4"/>
        <v>Australia</v>
      </c>
      <c r="T7" t="str">
        <f>"GlbMarket_"&amp;VLOOKUP(S1,$A$1:$B$29,2,FALSE)</f>
        <v>GlbMarket_m_fromrecy_copper</v>
      </c>
      <c r="V7" t="str">
        <f t="shared" si="5"/>
        <v>Australia</v>
      </c>
      <c r="W7" t="str">
        <f>"GlbMarket_"&amp;VLOOKUP(V1,$A$1:$B$29,2,FALSE)</f>
        <v>GlbMarket_m_fromrecy_graphite</v>
      </c>
    </row>
    <row r="8" spans="1:23">
      <c r="A8">
        <v>8</v>
      </c>
      <c r="D8" s="1" t="str">
        <f t="shared" si="0"/>
        <v>Austria</v>
      </c>
      <c r="E8" t="str">
        <f>"GlbMarket_"&amp;VLOOKUP(D1,$A$1:$B$29,2,FALSE)</f>
        <v>GlbMarket_m_fromrecy_lithium</v>
      </c>
      <c r="G8" t="str">
        <f t="shared" si="6"/>
        <v>Austria</v>
      </c>
      <c r="H8" t="str">
        <f>"GlbMarket_"&amp;VLOOKUP(G1,$A$1:$B$29,2,FALSE)</f>
        <v>GlbMarket_m_fromrecy_nickel</v>
      </c>
      <c r="J8" t="str">
        <f t="shared" si="1"/>
        <v>Austria</v>
      </c>
      <c r="K8" t="str">
        <f>"GlbMarket_"&amp;VLOOKUP(J1,$A$1:$B$29,2,FALSE)</f>
        <v>GlbMarket_m_fromrecy_cobalt</v>
      </c>
      <c r="M8" t="str">
        <f t="shared" si="2"/>
        <v>Austria</v>
      </c>
      <c r="N8" t="str">
        <f>"GlbMarket_"&amp;VLOOKUP(M1,$A$1:$B$29,2,FALSE)</f>
        <v>GlbMarket_m_fromrecy_manganese</v>
      </c>
      <c r="P8" t="str">
        <f t="shared" si="3"/>
        <v>Austria</v>
      </c>
      <c r="Q8" t="str">
        <f>"GlbMarket_"&amp;VLOOKUP(P1,$A$1:$B$29,2,FALSE)</f>
        <v>GlbMarket_m_fromrecy_aluminum</v>
      </c>
      <c r="S8" t="str">
        <f t="shared" si="4"/>
        <v>Austria</v>
      </c>
      <c r="T8" t="str">
        <f>"GlbMarket_"&amp;VLOOKUP(S1,$A$1:$B$29,2,FALSE)</f>
        <v>GlbMarket_m_fromrecy_copper</v>
      </c>
      <c r="V8" t="str">
        <f t="shared" si="5"/>
        <v>Austria</v>
      </c>
      <c r="W8" t="str">
        <f>"GlbMarket_"&amp;VLOOKUP(V1,$A$1:$B$29,2,FALSE)</f>
        <v>GlbMarket_m_fromrecy_graphite</v>
      </c>
    </row>
    <row r="9" spans="1:23">
      <c r="A9">
        <v>9</v>
      </c>
      <c r="D9" s="1" t="str">
        <f t="shared" si="0"/>
        <v>Baltics</v>
      </c>
      <c r="E9" t="str">
        <f>"GlbMarket_"&amp;VLOOKUP(D1,$A$1:$B$29,2,FALSE)</f>
        <v>GlbMarket_m_fromrecy_lithium</v>
      </c>
      <c r="G9" t="str">
        <f t="shared" si="6"/>
        <v>Baltics</v>
      </c>
      <c r="H9" t="str">
        <f>"GlbMarket_"&amp;VLOOKUP(G1,$A$1:$B$29,2,FALSE)</f>
        <v>GlbMarket_m_fromrecy_nickel</v>
      </c>
      <c r="J9" t="str">
        <f t="shared" si="1"/>
        <v>Baltics</v>
      </c>
      <c r="K9" t="str">
        <f>"GlbMarket_"&amp;VLOOKUP(J1,$A$1:$B$29,2,FALSE)</f>
        <v>GlbMarket_m_fromrecy_cobalt</v>
      </c>
      <c r="M9" t="str">
        <f t="shared" si="2"/>
        <v>Baltics</v>
      </c>
      <c r="N9" t="str">
        <f>"GlbMarket_"&amp;VLOOKUP(M1,$A$1:$B$29,2,FALSE)</f>
        <v>GlbMarket_m_fromrecy_manganese</v>
      </c>
      <c r="P9" t="str">
        <f t="shared" si="3"/>
        <v>Baltics</v>
      </c>
      <c r="Q9" t="str">
        <f>"GlbMarket_"&amp;VLOOKUP(P1,$A$1:$B$29,2,FALSE)</f>
        <v>GlbMarket_m_fromrecy_aluminum</v>
      </c>
      <c r="S9" t="str">
        <f t="shared" si="4"/>
        <v>Baltics</v>
      </c>
      <c r="T9" t="str">
        <f>"GlbMarket_"&amp;VLOOKUP(S1,$A$1:$B$29,2,FALSE)</f>
        <v>GlbMarket_m_fromrecy_copper</v>
      </c>
      <c r="V9" t="str">
        <f t="shared" si="5"/>
        <v>Baltics</v>
      </c>
      <c r="W9" t="str">
        <f>"GlbMarket_"&amp;VLOOKUP(V1,$A$1:$B$29,2,FALSE)</f>
        <v>GlbMarket_m_fromrecy_graphite</v>
      </c>
    </row>
    <row r="10" spans="1:23">
      <c r="A10">
        <v>10</v>
      </c>
      <c r="D10" s="1" t="str">
        <f t="shared" si="0"/>
        <v>BeNeLux</v>
      </c>
      <c r="E10" t="str">
        <f>"GlbMarket_"&amp;VLOOKUP(D1,$A$1:$B$29,2,FALSE)</f>
        <v>GlbMarket_m_fromrecy_lithium</v>
      </c>
      <c r="G10" t="str">
        <f t="shared" si="6"/>
        <v>BeNeLux</v>
      </c>
      <c r="H10" t="str">
        <f>"GlbMarket_"&amp;VLOOKUP(G1,$A$1:$B$29,2,FALSE)</f>
        <v>GlbMarket_m_fromrecy_nickel</v>
      </c>
      <c r="J10" t="str">
        <f t="shared" si="1"/>
        <v>BeNeLux</v>
      </c>
      <c r="K10" t="str">
        <f>"GlbMarket_"&amp;VLOOKUP(J1,$A$1:$B$29,2,FALSE)</f>
        <v>GlbMarket_m_fromrecy_cobalt</v>
      </c>
      <c r="M10" t="str">
        <f t="shared" si="2"/>
        <v>BeNeLux</v>
      </c>
      <c r="N10" t="str">
        <f>"GlbMarket_"&amp;VLOOKUP(M1,$A$1:$B$29,2,FALSE)</f>
        <v>GlbMarket_m_fromrecy_manganese</v>
      </c>
      <c r="P10" t="str">
        <f t="shared" si="3"/>
        <v>BeNeLux</v>
      </c>
      <c r="Q10" t="str">
        <f>"GlbMarket_"&amp;VLOOKUP(P1,$A$1:$B$29,2,FALSE)</f>
        <v>GlbMarket_m_fromrecy_aluminum</v>
      </c>
      <c r="S10" t="str">
        <f t="shared" si="4"/>
        <v>BeNeLux</v>
      </c>
      <c r="T10" t="str">
        <f>"GlbMarket_"&amp;VLOOKUP(S1,$A$1:$B$29,2,FALSE)</f>
        <v>GlbMarket_m_fromrecy_copper</v>
      </c>
      <c r="V10" t="str">
        <f t="shared" si="5"/>
        <v>BeNeLux</v>
      </c>
      <c r="W10" t="str">
        <f>"GlbMarket_"&amp;VLOOKUP(V1,$A$1:$B$29,2,FALSE)</f>
        <v>GlbMarket_m_fromrecy_graphite</v>
      </c>
    </row>
    <row r="11" spans="1:23">
      <c r="A11">
        <v>11</v>
      </c>
      <c r="D11" s="1" t="str">
        <f t="shared" si="0"/>
        <v>Brazil</v>
      </c>
      <c r="E11" t="str">
        <f>"GlbMarket_"&amp;VLOOKUP(D1,$A$1:$B$29,2,FALSE)</f>
        <v>GlbMarket_m_fromrecy_lithium</v>
      </c>
      <c r="G11" t="str">
        <f t="shared" si="6"/>
        <v>Brazil</v>
      </c>
      <c r="H11" t="str">
        <f>"GlbMarket_"&amp;VLOOKUP(G1,$A$1:$B$29,2,FALSE)</f>
        <v>GlbMarket_m_fromrecy_nickel</v>
      </c>
      <c r="J11" t="str">
        <f t="shared" si="1"/>
        <v>Brazil</v>
      </c>
      <c r="K11" t="str">
        <f>"GlbMarket_"&amp;VLOOKUP(J1,$A$1:$B$29,2,FALSE)</f>
        <v>GlbMarket_m_fromrecy_cobalt</v>
      </c>
      <c r="M11" t="str">
        <f t="shared" si="2"/>
        <v>Brazil</v>
      </c>
      <c r="N11" t="str">
        <f>"GlbMarket_"&amp;VLOOKUP(M1,$A$1:$B$29,2,FALSE)</f>
        <v>GlbMarket_m_fromrecy_manganese</v>
      </c>
      <c r="P11" t="str">
        <f t="shared" si="3"/>
        <v>Brazil</v>
      </c>
      <c r="Q11" t="str">
        <f>"GlbMarket_"&amp;VLOOKUP(P1,$A$1:$B$29,2,FALSE)</f>
        <v>GlbMarket_m_fromrecy_aluminum</v>
      </c>
      <c r="S11" t="str">
        <f t="shared" si="4"/>
        <v>Brazil</v>
      </c>
      <c r="T11" t="str">
        <f>"GlbMarket_"&amp;VLOOKUP(S1,$A$1:$B$29,2,FALSE)</f>
        <v>GlbMarket_m_fromrecy_copper</v>
      </c>
      <c r="V11" t="str">
        <f t="shared" si="5"/>
        <v>Brazil</v>
      </c>
      <c r="W11" t="str">
        <f>"GlbMarket_"&amp;VLOOKUP(V1,$A$1:$B$29,2,FALSE)</f>
        <v>GlbMarket_m_fromrecy_graphite</v>
      </c>
    </row>
    <row r="12" spans="1:23">
      <c r="A12">
        <v>12</v>
      </c>
      <c r="D12" s="1" t="str">
        <f t="shared" si="0"/>
        <v>China</v>
      </c>
      <c r="E12" t="str">
        <f>"GlbMarket_"&amp;VLOOKUP(D1,$A$1:$B$29,2,FALSE)</f>
        <v>GlbMarket_m_fromrecy_lithium</v>
      </c>
      <c r="G12" t="str">
        <f t="shared" si="6"/>
        <v>China</v>
      </c>
      <c r="H12" t="str">
        <f>"GlbMarket_"&amp;VLOOKUP(G1,$A$1:$B$29,2,FALSE)</f>
        <v>GlbMarket_m_fromrecy_nickel</v>
      </c>
      <c r="J12" t="str">
        <f t="shared" si="1"/>
        <v>China</v>
      </c>
      <c r="K12" t="str">
        <f>"GlbMarket_"&amp;VLOOKUP(J1,$A$1:$B$29,2,FALSE)</f>
        <v>GlbMarket_m_fromrecy_cobalt</v>
      </c>
      <c r="M12" t="str">
        <f t="shared" si="2"/>
        <v>China</v>
      </c>
      <c r="N12" t="str">
        <f>"GlbMarket_"&amp;VLOOKUP(M1,$A$1:$B$29,2,FALSE)</f>
        <v>GlbMarket_m_fromrecy_manganese</v>
      </c>
      <c r="P12" t="str">
        <f t="shared" si="3"/>
        <v>China</v>
      </c>
      <c r="Q12" t="str">
        <f>"GlbMarket_"&amp;VLOOKUP(P1,$A$1:$B$29,2,FALSE)</f>
        <v>GlbMarket_m_fromrecy_aluminum</v>
      </c>
      <c r="S12" t="str">
        <f t="shared" si="4"/>
        <v>China</v>
      </c>
      <c r="T12" t="str">
        <f>"GlbMarket_"&amp;VLOOKUP(S1,$A$1:$B$29,2,FALSE)</f>
        <v>GlbMarket_m_fromrecy_copper</v>
      </c>
      <c r="V12" t="str">
        <f t="shared" si="5"/>
        <v>China</v>
      </c>
      <c r="W12" t="str">
        <f>"GlbMarket_"&amp;VLOOKUP(V1,$A$1:$B$29,2,FALSE)</f>
        <v>GlbMarket_m_fromrecy_graphite</v>
      </c>
    </row>
    <row r="13" spans="1:23">
      <c r="A13">
        <v>13</v>
      </c>
      <c r="D13" s="1" t="str">
        <f t="shared" si="0"/>
        <v>CroSloven</v>
      </c>
      <c r="E13" t="str">
        <f>"GlbMarket_"&amp;VLOOKUP(D1,$A$1:$B$29,2,FALSE)</f>
        <v>GlbMarket_m_fromrecy_lithium</v>
      </c>
      <c r="G13" t="str">
        <f t="shared" si="6"/>
        <v>CroSloven</v>
      </c>
      <c r="H13" t="str">
        <f>"GlbMarket_"&amp;VLOOKUP(G1,$A$1:$B$29,2,FALSE)</f>
        <v>GlbMarket_m_fromrecy_nickel</v>
      </c>
      <c r="J13" t="str">
        <f t="shared" si="1"/>
        <v>CroSloven</v>
      </c>
      <c r="K13" t="str">
        <f>"GlbMarket_"&amp;VLOOKUP(J1,$A$1:$B$29,2,FALSE)</f>
        <v>GlbMarket_m_fromrecy_cobalt</v>
      </c>
      <c r="M13" t="str">
        <f t="shared" si="2"/>
        <v>CroSloven</v>
      </c>
      <c r="N13" t="str">
        <f>"GlbMarket_"&amp;VLOOKUP(M1,$A$1:$B$29,2,FALSE)</f>
        <v>GlbMarket_m_fromrecy_manganese</v>
      </c>
      <c r="P13" t="str">
        <f t="shared" si="3"/>
        <v>CroSloven</v>
      </c>
      <c r="Q13" t="str">
        <f>"GlbMarket_"&amp;VLOOKUP(P1,$A$1:$B$29,2,FALSE)</f>
        <v>GlbMarket_m_fromrecy_aluminum</v>
      </c>
      <c r="S13" t="str">
        <f t="shared" si="4"/>
        <v>CroSloven</v>
      </c>
      <c r="T13" t="str">
        <f>"GlbMarket_"&amp;VLOOKUP(S1,$A$1:$B$29,2,FALSE)</f>
        <v>GlbMarket_m_fromrecy_copper</v>
      </c>
      <c r="V13" t="str">
        <f t="shared" si="5"/>
        <v>CroSloven</v>
      </c>
      <c r="W13" t="str">
        <f>"GlbMarket_"&amp;VLOOKUP(V1,$A$1:$B$29,2,FALSE)</f>
        <v>GlbMarket_m_fromrecy_graphite</v>
      </c>
    </row>
    <row r="14" spans="1:23">
      <c r="A14">
        <v>14</v>
      </c>
      <c r="D14" s="1" t="str">
        <f t="shared" si="0"/>
        <v>CzechSlovak</v>
      </c>
      <c r="E14" t="str">
        <f>"GlbMarket_"&amp;VLOOKUP(D1,$A$1:$B$29,2,FALSE)</f>
        <v>GlbMarket_m_fromrecy_lithium</v>
      </c>
      <c r="G14" t="str">
        <f t="shared" si="6"/>
        <v>CzechSlovak</v>
      </c>
      <c r="H14" t="str">
        <f>"GlbMarket_"&amp;VLOOKUP(G1,$A$1:$B$29,2,FALSE)</f>
        <v>GlbMarket_m_fromrecy_nickel</v>
      </c>
      <c r="J14" t="str">
        <f t="shared" si="1"/>
        <v>CzechSlovak</v>
      </c>
      <c r="K14" t="str">
        <f>"GlbMarket_"&amp;VLOOKUP(J1,$A$1:$B$29,2,FALSE)</f>
        <v>GlbMarket_m_fromrecy_cobalt</v>
      </c>
      <c r="M14" t="str">
        <f t="shared" si="2"/>
        <v>CzechSlovak</v>
      </c>
      <c r="N14" t="str">
        <f>"GlbMarket_"&amp;VLOOKUP(M1,$A$1:$B$29,2,FALSE)</f>
        <v>GlbMarket_m_fromrecy_manganese</v>
      </c>
      <c r="P14" t="str">
        <f t="shared" si="3"/>
        <v>CzechSlovak</v>
      </c>
      <c r="Q14" t="str">
        <f>"GlbMarket_"&amp;VLOOKUP(P1,$A$1:$B$29,2,FALSE)</f>
        <v>GlbMarket_m_fromrecy_aluminum</v>
      </c>
      <c r="S14" t="str">
        <f t="shared" si="4"/>
        <v>CzechSlovak</v>
      </c>
      <c r="T14" t="str">
        <f>"GlbMarket_"&amp;VLOOKUP(S1,$A$1:$B$29,2,FALSE)</f>
        <v>GlbMarket_m_fromrecy_copper</v>
      </c>
      <c r="V14" t="str">
        <f t="shared" si="5"/>
        <v>CzechSlovak</v>
      </c>
      <c r="W14" t="str">
        <f>"GlbMarket_"&amp;VLOOKUP(V1,$A$1:$B$29,2,FALSE)</f>
        <v>GlbMarket_m_fromrecy_graphite</v>
      </c>
    </row>
    <row r="15" spans="1:23">
      <c r="A15">
        <v>15</v>
      </c>
      <c r="D15" s="1" t="str">
        <f t="shared" si="0"/>
        <v>France</v>
      </c>
      <c r="E15" t="str">
        <f>"GlbMarket_"&amp;VLOOKUP(D1,$A$1:$B$29,2,FALSE)</f>
        <v>GlbMarket_m_fromrecy_lithium</v>
      </c>
      <c r="G15" t="str">
        <f t="shared" si="6"/>
        <v>France</v>
      </c>
      <c r="H15" t="str">
        <f>"GlbMarket_"&amp;VLOOKUP(G1,$A$1:$B$29,2,FALSE)</f>
        <v>GlbMarket_m_fromrecy_nickel</v>
      </c>
      <c r="J15" t="str">
        <f t="shared" si="1"/>
        <v>France</v>
      </c>
      <c r="K15" t="str">
        <f>"GlbMarket_"&amp;VLOOKUP(J1,$A$1:$B$29,2,FALSE)</f>
        <v>GlbMarket_m_fromrecy_cobalt</v>
      </c>
      <c r="M15" t="str">
        <f t="shared" si="2"/>
        <v>France</v>
      </c>
      <c r="N15" t="str">
        <f>"GlbMarket_"&amp;VLOOKUP(M1,$A$1:$B$29,2,FALSE)</f>
        <v>GlbMarket_m_fromrecy_manganese</v>
      </c>
      <c r="P15" t="str">
        <f t="shared" si="3"/>
        <v>France</v>
      </c>
      <c r="Q15" t="str">
        <f>"GlbMarket_"&amp;VLOOKUP(P1,$A$1:$B$29,2,FALSE)</f>
        <v>GlbMarket_m_fromrecy_aluminum</v>
      </c>
      <c r="S15" t="str">
        <f t="shared" si="4"/>
        <v>France</v>
      </c>
      <c r="T15" t="str">
        <f>"GlbMarket_"&amp;VLOOKUP(S1,$A$1:$B$29,2,FALSE)</f>
        <v>GlbMarket_m_fromrecy_copper</v>
      </c>
      <c r="V15" t="str">
        <f t="shared" si="5"/>
        <v>France</v>
      </c>
      <c r="W15" t="str">
        <f>"GlbMarket_"&amp;VLOOKUP(V1,$A$1:$B$29,2,FALSE)</f>
        <v>GlbMarket_m_fromrecy_graphite</v>
      </c>
    </row>
    <row r="16" spans="1:23">
      <c r="A16">
        <v>16</v>
      </c>
      <c r="D16" s="1" t="str">
        <f t="shared" si="0"/>
        <v>Germany</v>
      </c>
      <c r="E16" t="str">
        <f>"GlbMarket_"&amp;VLOOKUP(D1,$A$1:$B$29,2,FALSE)</f>
        <v>GlbMarket_m_fromrecy_lithium</v>
      </c>
      <c r="G16" t="str">
        <f t="shared" si="6"/>
        <v>Germany</v>
      </c>
      <c r="H16" t="str">
        <f>"GlbMarket_"&amp;VLOOKUP(G1,$A$1:$B$29,2,FALSE)</f>
        <v>GlbMarket_m_fromrecy_nickel</v>
      </c>
      <c r="J16" t="str">
        <f t="shared" si="1"/>
        <v>Germany</v>
      </c>
      <c r="K16" t="str">
        <f>"GlbMarket_"&amp;VLOOKUP(J1,$A$1:$B$29,2,FALSE)</f>
        <v>GlbMarket_m_fromrecy_cobalt</v>
      </c>
      <c r="M16" t="str">
        <f t="shared" si="2"/>
        <v>Germany</v>
      </c>
      <c r="N16" t="str">
        <f>"GlbMarket_"&amp;VLOOKUP(M1,$A$1:$B$29,2,FALSE)</f>
        <v>GlbMarket_m_fromrecy_manganese</v>
      </c>
      <c r="P16" t="str">
        <f t="shared" si="3"/>
        <v>Germany</v>
      </c>
      <c r="Q16" t="str">
        <f>"GlbMarket_"&amp;VLOOKUP(P1,$A$1:$B$29,2,FALSE)</f>
        <v>GlbMarket_m_fromrecy_aluminum</v>
      </c>
      <c r="S16" t="str">
        <f t="shared" si="4"/>
        <v>Germany</v>
      </c>
      <c r="T16" t="str">
        <f>"GlbMarket_"&amp;VLOOKUP(S1,$A$1:$B$29,2,FALSE)</f>
        <v>GlbMarket_m_fromrecy_copper</v>
      </c>
      <c r="V16" t="str">
        <f t="shared" si="5"/>
        <v>Germany</v>
      </c>
      <c r="W16" t="str">
        <f>"GlbMarket_"&amp;VLOOKUP(V1,$A$1:$B$29,2,FALSE)</f>
        <v>GlbMarket_m_fromrecy_graphite</v>
      </c>
    </row>
    <row r="17" spans="1:23">
      <c r="A17">
        <v>17</v>
      </c>
      <c r="D17" s="1" t="str">
        <f t="shared" si="0"/>
        <v>GreeceCyp</v>
      </c>
      <c r="E17" t="str">
        <f>"GlbMarket_"&amp;VLOOKUP(D1,$A$1:$B$29,2,FALSE)</f>
        <v>GlbMarket_m_fromrecy_lithium</v>
      </c>
      <c r="G17" t="str">
        <f t="shared" si="6"/>
        <v>GreeceCyp</v>
      </c>
      <c r="H17" t="str">
        <f>"GlbMarket_"&amp;VLOOKUP(G1,$A$1:$B$29,2,FALSE)</f>
        <v>GlbMarket_m_fromrecy_nickel</v>
      </c>
      <c r="J17" t="str">
        <f t="shared" si="1"/>
        <v>GreeceCyp</v>
      </c>
      <c r="K17" t="str">
        <f>"GlbMarket_"&amp;VLOOKUP(J1,$A$1:$B$29,2,FALSE)</f>
        <v>GlbMarket_m_fromrecy_cobalt</v>
      </c>
      <c r="M17" t="str">
        <f t="shared" si="2"/>
        <v>GreeceCyp</v>
      </c>
      <c r="N17" t="str">
        <f>"GlbMarket_"&amp;VLOOKUP(M1,$A$1:$B$29,2,FALSE)</f>
        <v>GlbMarket_m_fromrecy_manganese</v>
      </c>
      <c r="P17" t="str">
        <f t="shared" si="3"/>
        <v>GreeceCyp</v>
      </c>
      <c r="Q17" t="str">
        <f>"GlbMarket_"&amp;VLOOKUP(P1,$A$1:$B$29,2,FALSE)</f>
        <v>GlbMarket_m_fromrecy_aluminum</v>
      </c>
      <c r="S17" t="str">
        <f t="shared" si="4"/>
        <v>GreeceCyp</v>
      </c>
      <c r="T17" t="str">
        <f>"GlbMarket_"&amp;VLOOKUP(S1,$A$1:$B$29,2,FALSE)</f>
        <v>GlbMarket_m_fromrecy_copper</v>
      </c>
      <c r="V17" t="str">
        <f t="shared" si="5"/>
        <v>GreeceCyp</v>
      </c>
      <c r="W17" t="str">
        <f>"GlbMarket_"&amp;VLOOKUP(V1,$A$1:$B$29,2,FALSE)</f>
        <v>GlbMarket_m_fromrecy_graphite</v>
      </c>
    </row>
    <row r="18" spans="1:23">
      <c r="A18">
        <v>18</v>
      </c>
      <c r="D18" s="1" t="str">
        <f t="shared" si="0"/>
        <v>HunRomBul</v>
      </c>
      <c r="E18" t="str">
        <f>"GlbMarket_"&amp;VLOOKUP(D1,$A$1:$B$29,2,FALSE)</f>
        <v>GlbMarket_m_fromrecy_lithium</v>
      </c>
      <c r="G18" t="str">
        <f t="shared" si="6"/>
        <v>HunRomBul</v>
      </c>
      <c r="H18" t="str">
        <f>"GlbMarket_"&amp;VLOOKUP(G1,$A$1:$B$29,2,FALSE)</f>
        <v>GlbMarket_m_fromrecy_nickel</v>
      </c>
      <c r="J18" t="str">
        <f t="shared" si="1"/>
        <v>HunRomBul</v>
      </c>
      <c r="K18" t="str">
        <f>"GlbMarket_"&amp;VLOOKUP(J1,$A$1:$B$29,2,FALSE)</f>
        <v>GlbMarket_m_fromrecy_cobalt</v>
      </c>
      <c r="M18" t="str">
        <f t="shared" si="2"/>
        <v>HunRomBul</v>
      </c>
      <c r="N18" t="str">
        <f>"GlbMarket_"&amp;VLOOKUP(M1,$A$1:$B$29,2,FALSE)</f>
        <v>GlbMarket_m_fromrecy_manganese</v>
      </c>
      <c r="P18" t="str">
        <f t="shared" si="3"/>
        <v>HunRomBul</v>
      </c>
      <c r="Q18" t="str">
        <f>"GlbMarket_"&amp;VLOOKUP(P1,$A$1:$B$29,2,FALSE)</f>
        <v>GlbMarket_m_fromrecy_aluminum</v>
      </c>
      <c r="S18" t="str">
        <f t="shared" si="4"/>
        <v>HunRomBul</v>
      </c>
      <c r="T18" t="str">
        <f>"GlbMarket_"&amp;VLOOKUP(S1,$A$1:$B$29,2,FALSE)</f>
        <v>GlbMarket_m_fromrecy_copper</v>
      </c>
      <c r="V18" t="str">
        <f t="shared" si="5"/>
        <v>HunRomBul</v>
      </c>
      <c r="W18" t="str">
        <f>"GlbMarket_"&amp;VLOOKUP(V1,$A$1:$B$29,2,FALSE)</f>
        <v>GlbMarket_m_fromrecy_graphite</v>
      </c>
    </row>
    <row r="19" spans="1:23">
      <c r="A19">
        <v>19</v>
      </c>
      <c r="D19" s="1" t="str">
        <f t="shared" si="0"/>
        <v>Iceland</v>
      </c>
      <c r="E19" t="str">
        <f>"GlbMarket_"&amp;VLOOKUP(D1,$A$1:$B$29,2,FALSE)</f>
        <v>GlbMarket_m_fromrecy_lithium</v>
      </c>
      <c r="G19" t="str">
        <f t="shared" si="6"/>
        <v>Iceland</v>
      </c>
      <c r="H19" t="str">
        <f>"GlbMarket_"&amp;VLOOKUP(G1,$A$1:$B$29,2,FALSE)</f>
        <v>GlbMarket_m_fromrecy_nickel</v>
      </c>
      <c r="J19" t="str">
        <f t="shared" si="1"/>
        <v>Iceland</v>
      </c>
      <c r="K19" t="str">
        <f>"GlbMarket_"&amp;VLOOKUP(J1,$A$1:$B$29,2,FALSE)</f>
        <v>GlbMarket_m_fromrecy_cobalt</v>
      </c>
      <c r="M19" t="str">
        <f t="shared" si="2"/>
        <v>Iceland</v>
      </c>
      <c r="N19" t="str">
        <f>"GlbMarket_"&amp;VLOOKUP(M1,$A$1:$B$29,2,FALSE)</f>
        <v>GlbMarket_m_fromrecy_manganese</v>
      </c>
      <c r="P19" t="str">
        <f t="shared" si="3"/>
        <v>Iceland</v>
      </c>
      <c r="Q19" t="str">
        <f>"GlbMarket_"&amp;VLOOKUP(P1,$A$1:$B$29,2,FALSE)</f>
        <v>GlbMarket_m_fromrecy_aluminum</v>
      </c>
      <c r="S19" t="str">
        <f t="shared" si="4"/>
        <v>Iceland</v>
      </c>
      <c r="T19" t="str">
        <f>"GlbMarket_"&amp;VLOOKUP(S1,$A$1:$B$29,2,FALSE)</f>
        <v>GlbMarket_m_fromrecy_copper</v>
      </c>
      <c r="V19" t="str">
        <f t="shared" si="5"/>
        <v>Iceland</v>
      </c>
      <c r="W19" t="str">
        <f>"GlbMarket_"&amp;VLOOKUP(V1,$A$1:$B$29,2,FALSE)</f>
        <v>GlbMarket_m_fromrecy_graphite</v>
      </c>
    </row>
    <row r="20" spans="1:23">
      <c r="A20">
        <v>20</v>
      </c>
      <c r="D20" s="1" t="str">
        <f t="shared" si="0"/>
        <v>India</v>
      </c>
      <c r="E20" t="str">
        <f>"GlbMarket_"&amp;VLOOKUP(D1,$A$1:$B$29,2,FALSE)</f>
        <v>GlbMarket_m_fromrecy_lithium</v>
      </c>
      <c r="G20" t="str">
        <f t="shared" si="6"/>
        <v>India</v>
      </c>
      <c r="H20" t="str">
        <f>"GlbMarket_"&amp;VLOOKUP(G1,$A$1:$B$29,2,FALSE)</f>
        <v>GlbMarket_m_fromrecy_nickel</v>
      </c>
      <c r="J20" t="str">
        <f t="shared" si="1"/>
        <v>India</v>
      </c>
      <c r="K20" t="str">
        <f>"GlbMarket_"&amp;VLOOKUP(J1,$A$1:$B$29,2,FALSE)</f>
        <v>GlbMarket_m_fromrecy_cobalt</v>
      </c>
      <c r="M20" t="str">
        <f t="shared" si="2"/>
        <v>India</v>
      </c>
      <c r="N20" t="str">
        <f>"GlbMarket_"&amp;VLOOKUP(M1,$A$1:$B$29,2,FALSE)</f>
        <v>GlbMarket_m_fromrecy_manganese</v>
      </c>
      <c r="P20" t="str">
        <f t="shared" si="3"/>
        <v>India</v>
      </c>
      <c r="Q20" t="str">
        <f>"GlbMarket_"&amp;VLOOKUP(P1,$A$1:$B$29,2,FALSE)</f>
        <v>GlbMarket_m_fromrecy_aluminum</v>
      </c>
      <c r="S20" t="str">
        <f t="shared" si="4"/>
        <v>India</v>
      </c>
      <c r="T20" t="str">
        <f>"GlbMarket_"&amp;VLOOKUP(S1,$A$1:$B$29,2,FALSE)</f>
        <v>GlbMarket_m_fromrecy_copper</v>
      </c>
      <c r="V20" t="str">
        <f t="shared" si="5"/>
        <v>India</v>
      </c>
      <c r="W20" t="str">
        <f>"GlbMarket_"&amp;VLOOKUP(V1,$A$1:$B$29,2,FALSE)</f>
        <v>GlbMarket_m_fromrecy_graphite</v>
      </c>
    </row>
    <row r="21" spans="1:23">
      <c r="A21">
        <v>21</v>
      </c>
      <c r="D21" s="1" t="str">
        <f t="shared" si="0"/>
        <v>Ireland</v>
      </c>
      <c r="E21" t="str">
        <f>"GlbMarket_"&amp;VLOOKUP(D1,$A$1:$B$29,2,FALSE)</f>
        <v>GlbMarket_m_fromrecy_lithium</v>
      </c>
      <c r="G21" t="str">
        <f t="shared" si="6"/>
        <v>Ireland</v>
      </c>
      <c r="H21" t="str">
        <f>"GlbMarket_"&amp;VLOOKUP(G1,$A$1:$B$29,2,FALSE)</f>
        <v>GlbMarket_m_fromrecy_nickel</v>
      </c>
      <c r="J21" t="str">
        <f t="shared" si="1"/>
        <v>Ireland</v>
      </c>
      <c r="K21" t="str">
        <f>"GlbMarket_"&amp;VLOOKUP(J1,$A$1:$B$29,2,FALSE)</f>
        <v>GlbMarket_m_fromrecy_cobalt</v>
      </c>
      <c r="M21" t="str">
        <f t="shared" si="2"/>
        <v>Ireland</v>
      </c>
      <c r="N21" t="str">
        <f>"GlbMarket_"&amp;VLOOKUP(M1,$A$1:$B$29,2,FALSE)</f>
        <v>GlbMarket_m_fromrecy_manganese</v>
      </c>
      <c r="P21" t="str">
        <f t="shared" si="3"/>
        <v>Ireland</v>
      </c>
      <c r="Q21" t="str">
        <f>"GlbMarket_"&amp;VLOOKUP(P1,$A$1:$B$29,2,FALSE)</f>
        <v>GlbMarket_m_fromrecy_aluminum</v>
      </c>
      <c r="S21" t="str">
        <f t="shared" si="4"/>
        <v>Ireland</v>
      </c>
      <c r="T21" t="str">
        <f>"GlbMarket_"&amp;VLOOKUP(S1,$A$1:$B$29,2,FALSE)</f>
        <v>GlbMarket_m_fromrecy_copper</v>
      </c>
      <c r="V21" t="str">
        <f t="shared" si="5"/>
        <v>Ireland</v>
      </c>
      <c r="W21" t="str">
        <f>"GlbMarket_"&amp;VLOOKUP(V1,$A$1:$B$29,2,FALSE)</f>
        <v>GlbMarket_m_fromrecy_graphite</v>
      </c>
    </row>
    <row r="22" spans="1:23">
      <c r="A22">
        <v>22</v>
      </c>
      <c r="D22" s="1" t="str">
        <f t="shared" si="0"/>
        <v>ItalyMal</v>
      </c>
      <c r="E22" t="str">
        <f t="shared" ref="E22:E34" si="7">E21</f>
        <v>GlbMarket_m_fromrecy_lithium</v>
      </c>
      <c r="G22" t="str">
        <f t="shared" si="6"/>
        <v>ItalyMal</v>
      </c>
      <c r="H22" t="str">
        <f t="shared" ref="H22:H34" si="8">H21</f>
        <v>GlbMarket_m_fromrecy_nickel</v>
      </c>
      <c r="J22" t="str">
        <f t="shared" si="1"/>
        <v>ItalyMal</v>
      </c>
      <c r="K22" t="str">
        <f t="shared" ref="K22:K34" si="9">K21</f>
        <v>GlbMarket_m_fromrecy_cobalt</v>
      </c>
      <c r="M22" t="str">
        <f t="shared" si="2"/>
        <v>ItalyMal</v>
      </c>
      <c r="N22" t="str">
        <f t="shared" ref="N22:N34" si="10">N21</f>
        <v>GlbMarket_m_fromrecy_manganese</v>
      </c>
      <c r="P22" t="str">
        <f t="shared" si="3"/>
        <v>ItalyMal</v>
      </c>
      <c r="Q22" t="str">
        <f t="shared" ref="Q22:Q34" si="11">Q21</f>
        <v>GlbMarket_m_fromrecy_aluminum</v>
      </c>
      <c r="S22" t="str">
        <f t="shared" si="4"/>
        <v>ItalyMal</v>
      </c>
      <c r="T22" t="str">
        <f t="shared" ref="T22:T34" si="12">T21</f>
        <v>GlbMarket_m_fromrecy_copper</v>
      </c>
      <c r="V22" t="str">
        <f t="shared" si="5"/>
        <v>ItalyMal</v>
      </c>
      <c r="W22" t="str">
        <f t="shared" ref="W22:W34" si="13">W21</f>
        <v>GlbMarket_m_fromrecy_graphite</v>
      </c>
    </row>
    <row r="23" spans="1:23">
      <c r="A23">
        <v>23</v>
      </c>
      <c r="D23" s="1" t="str">
        <f t="shared" si="0"/>
        <v>Japan</v>
      </c>
      <c r="E23" t="str">
        <f t="shared" si="7"/>
        <v>GlbMarket_m_fromrecy_lithium</v>
      </c>
      <c r="G23" t="str">
        <f t="shared" si="6"/>
        <v>Japan</v>
      </c>
      <c r="H23" t="str">
        <f t="shared" si="8"/>
        <v>GlbMarket_m_fromrecy_nickel</v>
      </c>
      <c r="J23" t="str">
        <f t="shared" si="1"/>
        <v>Japan</v>
      </c>
      <c r="K23" t="str">
        <f t="shared" si="9"/>
        <v>GlbMarket_m_fromrecy_cobalt</v>
      </c>
      <c r="M23" t="str">
        <f t="shared" si="2"/>
        <v>Japan</v>
      </c>
      <c r="N23" t="str">
        <f t="shared" si="10"/>
        <v>GlbMarket_m_fromrecy_manganese</v>
      </c>
      <c r="P23" t="str">
        <f t="shared" si="3"/>
        <v>Japan</v>
      </c>
      <c r="Q23" t="str">
        <f t="shared" si="11"/>
        <v>GlbMarket_m_fromrecy_aluminum</v>
      </c>
      <c r="S23" t="str">
        <f t="shared" si="4"/>
        <v>Japan</v>
      </c>
      <c r="T23" t="str">
        <f t="shared" si="12"/>
        <v>GlbMarket_m_fromrecy_copper</v>
      </c>
      <c r="V23" t="str">
        <f t="shared" si="5"/>
        <v>Japan</v>
      </c>
      <c r="W23" t="str">
        <f t="shared" si="13"/>
        <v>GlbMarket_m_fromrecy_graphite</v>
      </c>
    </row>
    <row r="24" spans="1:23">
      <c r="A24">
        <v>24</v>
      </c>
      <c r="D24" s="1" t="str">
        <f t="shared" si="0"/>
        <v>LatAm</v>
      </c>
      <c r="E24" t="str">
        <f t="shared" si="7"/>
        <v>GlbMarket_m_fromrecy_lithium</v>
      </c>
      <c r="G24" t="str">
        <f t="shared" si="6"/>
        <v>LatAm</v>
      </c>
      <c r="H24" t="str">
        <f t="shared" si="8"/>
        <v>GlbMarket_m_fromrecy_nickel</v>
      </c>
      <c r="J24" t="str">
        <f t="shared" si="1"/>
        <v>LatAm</v>
      </c>
      <c r="K24" t="str">
        <f t="shared" si="9"/>
        <v>GlbMarket_m_fromrecy_cobalt</v>
      </c>
      <c r="M24" t="str">
        <f t="shared" si="2"/>
        <v>LatAm</v>
      </c>
      <c r="N24" t="str">
        <f t="shared" si="10"/>
        <v>GlbMarket_m_fromrecy_manganese</v>
      </c>
      <c r="P24" t="str">
        <f t="shared" si="3"/>
        <v>LatAm</v>
      </c>
      <c r="Q24" t="str">
        <f t="shared" si="11"/>
        <v>GlbMarket_m_fromrecy_aluminum</v>
      </c>
      <c r="S24" t="str">
        <f t="shared" si="4"/>
        <v>LatAm</v>
      </c>
      <c r="T24" t="str">
        <f t="shared" si="12"/>
        <v>GlbMarket_m_fromrecy_copper</v>
      </c>
      <c r="V24" t="str">
        <f t="shared" si="5"/>
        <v>LatAm</v>
      </c>
      <c r="W24" t="str">
        <f t="shared" si="13"/>
        <v>GlbMarket_m_fromrecy_graphite</v>
      </c>
    </row>
    <row r="25" spans="1:23">
      <c r="A25">
        <v>25</v>
      </c>
      <c r="D25" s="1" t="str">
        <f t="shared" si="0"/>
        <v>MidEast</v>
      </c>
      <c r="E25" t="str">
        <f t="shared" si="7"/>
        <v>GlbMarket_m_fromrecy_lithium</v>
      </c>
      <c r="G25" t="str">
        <f t="shared" si="6"/>
        <v>MidEast</v>
      </c>
      <c r="H25" t="str">
        <f t="shared" si="8"/>
        <v>GlbMarket_m_fromrecy_nickel</v>
      </c>
      <c r="J25" t="str">
        <f t="shared" si="1"/>
        <v>MidEast</v>
      </c>
      <c r="K25" t="str">
        <f t="shared" si="9"/>
        <v>GlbMarket_m_fromrecy_cobalt</v>
      </c>
      <c r="M25" t="str">
        <f t="shared" si="2"/>
        <v>MidEast</v>
      </c>
      <c r="N25" t="str">
        <f t="shared" si="10"/>
        <v>GlbMarket_m_fromrecy_manganese</v>
      </c>
      <c r="P25" t="str">
        <f t="shared" si="3"/>
        <v>MidEast</v>
      </c>
      <c r="Q25" t="str">
        <f t="shared" si="11"/>
        <v>GlbMarket_m_fromrecy_aluminum</v>
      </c>
      <c r="S25" t="str">
        <f t="shared" si="4"/>
        <v>MidEast</v>
      </c>
      <c r="T25" t="str">
        <f t="shared" si="12"/>
        <v>GlbMarket_m_fromrecy_copper</v>
      </c>
      <c r="V25" t="str">
        <f t="shared" si="5"/>
        <v>MidEast</v>
      </c>
      <c r="W25" t="str">
        <f t="shared" si="13"/>
        <v>GlbMarket_m_fromrecy_graphite</v>
      </c>
    </row>
    <row r="26" spans="1:23">
      <c r="A26">
        <v>26</v>
      </c>
      <c r="D26" s="1" t="str">
        <f t="shared" si="0"/>
        <v>NorthAm</v>
      </c>
      <c r="E26" t="str">
        <f t="shared" si="7"/>
        <v>GlbMarket_m_fromrecy_lithium</v>
      </c>
      <c r="G26" t="str">
        <f t="shared" si="6"/>
        <v>NorthAm</v>
      </c>
      <c r="H26" t="str">
        <f t="shared" si="8"/>
        <v>GlbMarket_m_fromrecy_nickel</v>
      </c>
      <c r="J26" t="str">
        <f t="shared" si="1"/>
        <v>NorthAm</v>
      </c>
      <c r="K26" t="str">
        <f t="shared" si="9"/>
        <v>GlbMarket_m_fromrecy_cobalt</v>
      </c>
      <c r="M26" t="str">
        <f t="shared" si="2"/>
        <v>NorthAm</v>
      </c>
      <c r="N26" t="str">
        <f t="shared" si="10"/>
        <v>GlbMarket_m_fromrecy_manganese</v>
      </c>
      <c r="P26" t="str">
        <f t="shared" si="3"/>
        <v>NorthAm</v>
      </c>
      <c r="Q26" t="str">
        <f t="shared" si="11"/>
        <v>GlbMarket_m_fromrecy_aluminum</v>
      </c>
      <c r="S26" t="str">
        <f t="shared" si="4"/>
        <v>NorthAm</v>
      </c>
      <c r="T26" t="str">
        <f t="shared" si="12"/>
        <v>GlbMarket_m_fromrecy_copper</v>
      </c>
      <c r="V26" t="str">
        <f t="shared" si="5"/>
        <v>NorthAm</v>
      </c>
      <c r="W26" t="str">
        <f t="shared" si="13"/>
        <v>GlbMarket_m_fromrecy_graphite</v>
      </c>
    </row>
    <row r="27" spans="1:23">
      <c r="A27">
        <v>27</v>
      </c>
      <c r="D27" s="1" t="str">
        <f t="shared" si="0"/>
        <v>Norway</v>
      </c>
      <c r="E27" t="str">
        <f t="shared" si="7"/>
        <v>GlbMarket_m_fromrecy_lithium</v>
      </c>
      <c r="G27" t="str">
        <f t="shared" si="6"/>
        <v>Norway</v>
      </c>
      <c r="H27" t="str">
        <f t="shared" si="8"/>
        <v>GlbMarket_m_fromrecy_nickel</v>
      </c>
      <c r="J27" t="str">
        <f t="shared" si="1"/>
        <v>Norway</v>
      </c>
      <c r="K27" t="str">
        <f t="shared" si="9"/>
        <v>GlbMarket_m_fromrecy_cobalt</v>
      </c>
      <c r="M27" t="str">
        <f t="shared" si="2"/>
        <v>Norway</v>
      </c>
      <c r="N27" t="str">
        <f t="shared" si="10"/>
        <v>GlbMarket_m_fromrecy_manganese</v>
      </c>
      <c r="P27" t="str">
        <f t="shared" si="3"/>
        <v>Norway</v>
      </c>
      <c r="Q27" t="str">
        <f t="shared" si="11"/>
        <v>GlbMarket_m_fromrecy_aluminum</v>
      </c>
      <c r="S27" t="str">
        <f t="shared" si="4"/>
        <v>Norway</v>
      </c>
      <c r="T27" t="str">
        <f t="shared" si="12"/>
        <v>GlbMarket_m_fromrecy_copper</v>
      </c>
      <c r="V27" t="str">
        <f t="shared" si="5"/>
        <v>Norway</v>
      </c>
      <c r="W27" t="str">
        <f t="shared" si="13"/>
        <v>GlbMarket_m_fromrecy_graphite</v>
      </c>
    </row>
    <row r="28" spans="1:23">
      <c r="A28">
        <v>28</v>
      </c>
      <c r="D28" s="1" t="str">
        <f t="shared" si="0"/>
        <v>Poland</v>
      </c>
      <c r="E28" t="str">
        <f t="shared" si="7"/>
        <v>GlbMarket_m_fromrecy_lithium</v>
      </c>
      <c r="G28" t="str">
        <f t="shared" si="6"/>
        <v>Poland</v>
      </c>
      <c r="H28" t="str">
        <f t="shared" si="8"/>
        <v>GlbMarket_m_fromrecy_nickel</v>
      </c>
      <c r="J28" t="str">
        <f t="shared" si="1"/>
        <v>Poland</v>
      </c>
      <c r="K28" t="str">
        <f t="shared" si="9"/>
        <v>GlbMarket_m_fromrecy_cobalt</v>
      </c>
      <c r="M28" t="str">
        <f t="shared" si="2"/>
        <v>Poland</v>
      </c>
      <c r="N28" t="str">
        <f t="shared" si="10"/>
        <v>GlbMarket_m_fromrecy_manganese</v>
      </c>
      <c r="P28" t="str">
        <f t="shared" si="3"/>
        <v>Poland</v>
      </c>
      <c r="Q28" t="str">
        <f t="shared" si="11"/>
        <v>GlbMarket_m_fromrecy_aluminum</v>
      </c>
      <c r="S28" t="str">
        <f t="shared" si="4"/>
        <v>Poland</v>
      </c>
      <c r="T28" t="str">
        <f t="shared" si="12"/>
        <v>GlbMarket_m_fromrecy_copper</v>
      </c>
      <c r="V28" t="str">
        <f t="shared" si="5"/>
        <v>Poland</v>
      </c>
      <c r="W28" t="str">
        <f t="shared" si="13"/>
        <v>GlbMarket_m_fromrecy_graphite</v>
      </c>
    </row>
    <row r="29" spans="1:23">
      <c r="A29">
        <v>29</v>
      </c>
      <c r="D29" s="1" t="str">
        <f t="shared" si="0"/>
        <v>ROW</v>
      </c>
      <c r="E29" t="str">
        <f t="shared" si="7"/>
        <v>GlbMarket_m_fromrecy_lithium</v>
      </c>
      <c r="G29" t="str">
        <f t="shared" si="6"/>
        <v>ROW</v>
      </c>
      <c r="H29" t="str">
        <f t="shared" si="8"/>
        <v>GlbMarket_m_fromrecy_nickel</v>
      </c>
      <c r="J29" t="str">
        <f t="shared" si="1"/>
        <v>ROW</v>
      </c>
      <c r="K29" t="str">
        <f t="shared" si="9"/>
        <v>GlbMarket_m_fromrecy_cobalt</v>
      </c>
      <c r="M29" t="str">
        <f t="shared" si="2"/>
        <v>ROW</v>
      </c>
      <c r="N29" t="str">
        <f t="shared" si="10"/>
        <v>GlbMarket_m_fromrecy_manganese</v>
      </c>
      <c r="P29" t="str">
        <f t="shared" si="3"/>
        <v>ROW</v>
      </c>
      <c r="Q29" t="str">
        <f t="shared" si="11"/>
        <v>GlbMarket_m_fromrecy_aluminum</v>
      </c>
      <c r="S29" t="str">
        <f t="shared" si="4"/>
        <v>ROW</v>
      </c>
      <c r="T29" t="str">
        <f t="shared" si="12"/>
        <v>GlbMarket_m_fromrecy_copper</v>
      </c>
      <c r="V29" t="str">
        <f t="shared" si="5"/>
        <v>ROW</v>
      </c>
      <c r="W29" t="str">
        <f t="shared" si="13"/>
        <v>GlbMarket_m_fromrecy_graphite</v>
      </c>
    </row>
    <row r="30" spans="1:23">
      <c r="D30" s="1" t="str">
        <f t="shared" si="0"/>
        <v>Russia</v>
      </c>
      <c r="E30" t="str">
        <f t="shared" si="7"/>
        <v>GlbMarket_m_fromrecy_lithium</v>
      </c>
      <c r="G30" t="str">
        <f t="shared" si="6"/>
        <v>Russia</v>
      </c>
      <c r="H30" t="str">
        <f t="shared" si="8"/>
        <v>GlbMarket_m_fromrecy_nickel</v>
      </c>
      <c r="J30" t="str">
        <f t="shared" si="1"/>
        <v>Russia</v>
      </c>
      <c r="K30" t="str">
        <f t="shared" si="9"/>
        <v>GlbMarket_m_fromrecy_cobalt</v>
      </c>
      <c r="M30" t="str">
        <f t="shared" si="2"/>
        <v>Russia</v>
      </c>
      <c r="N30" t="str">
        <f t="shared" si="10"/>
        <v>GlbMarket_m_fromrecy_manganese</v>
      </c>
      <c r="P30" t="str">
        <f t="shared" si="3"/>
        <v>Russia</v>
      </c>
      <c r="Q30" t="str">
        <f t="shared" si="11"/>
        <v>GlbMarket_m_fromrecy_aluminum</v>
      </c>
      <c r="S30" t="str">
        <f t="shared" si="4"/>
        <v>Russia</v>
      </c>
      <c r="T30" t="str">
        <f t="shared" si="12"/>
        <v>GlbMarket_m_fromrecy_copper</v>
      </c>
      <c r="V30" t="str">
        <f t="shared" si="5"/>
        <v>Russia</v>
      </c>
      <c r="W30" t="str">
        <f t="shared" si="13"/>
        <v>GlbMarket_m_fromrecy_graphite</v>
      </c>
    </row>
    <row r="31" spans="1:23">
      <c r="D31" s="1" t="str">
        <f t="shared" si="0"/>
        <v>SaudiArabia</v>
      </c>
      <c r="E31" t="str">
        <f t="shared" si="7"/>
        <v>GlbMarket_m_fromrecy_lithium</v>
      </c>
      <c r="G31" t="str">
        <f t="shared" si="6"/>
        <v>SaudiArabia</v>
      </c>
      <c r="H31" t="str">
        <f t="shared" si="8"/>
        <v>GlbMarket_m_fromrecy_nickel</v>
      </c>
      <c r="J31" t="str">
        <f t="shared" si="1"/>
        <v>SaudiArabia</v>
      </c>
      <c r="K31" t="str">
        <f t="shared" si="9"/>
        <v>GlbMarket_m_fromrecy_cobalt</v>
      </c>
      <c r="M31" t="str">
        <f t="shared" si="2"/>
        <v>SaudiArabia</v>
      </c>
      <c r="N31" t="str">
        <f t="shared" si="10"/>
        <v>GlbMarket_m_fromrecy_manganese</v>
      </c>
      <c r="P31" t="str">
        <f t="shared" si="3"/>
        <v>SaudiArabia</v>
      </c>
      <c r="Q31" t="str">
        <f t="shared" si="11"/>
        <v>GlbMarket_m_fromrecy_aluminum</v>
      </c>
      <c r="S31" t="str">
        <f t="shared" si="4"/>
        <v>SaudiArabia</v>
      </c>
      <c r="T31" t="str">
        <f t="shared" si="12"/>
        <v>GlbMarket_m_fromrecy_copper</v>
      </c>
      <c r="V31" t="str">
        <f t="shared" si="5"/>
        <v>SaudiArabia</v>
      </c>
      <c r="W31" t="str">
        <f t="shared" si="13"/>
        <v>GlbMarket_m_fromrecy_graphite</v>
      </c>
    </row>
    <row r="32" spans="1:23">
      <c r="D32" s="1" t="str">
        <f t="shared" si="0"/>
        <v>SouthAfrica</v>
      </c>
      <c r="E32" t="str">
        <f t="shared" si="7"/>
        <v>GlbMarket_m_fromrecy_lithium</v>
      </c>
      <c r="G32" t="str">
        <f t="shared" si="6"/>
        <v>SouthAfrica</v>
      </c>
      <c r="H32" t="str">
        <f t="shared" si="8"/>
        <v>GlbMarket_m_fromrecy_nickel</v>
      </c>
      <c r="J32" t="str">
        <f t="shared" si="1"/>
        <v>SouthAfrica</v>
      </c>
      <c r="K32" t="str">
        <f t="shared" si="9"/>
        <v>GlbMarket_m_fromrecy_cobalt</v>
      </c>
      <c r="M32" t="str">
        <f t="shared" si="2"/>
        <v>SouthAfrica</v>
      </c>
      <c r="N32" t="str">
        <f t="shared" si="10"/>
        <v>GlbMarket_m_fromrecy_manganese</v>
      </c>
      <c r="P32" t="str">
        <f t="shared" si="3"/>
        <v>SouthAfrica</v>
      </c>
      <c r="Q32" t="str">
        <f t="shared" si="11"/>
        <v>GlbMarket_m_fromrecy_aluminum</v>
      </c>
      <c r="S32" t="str">
        <f t="shared" si="4"/>
        <v>SouthAfrica</v>
      </c>
      <c r="T32" t="str">
        <f t="shared" si="12"/>
        <v>GlbMarket_m_fromrecy_copper</v>
      </c>
      <c r="V32" t="str">
        <f t="shared" si="5"/>
        <v>SouthAfrica</v>
      </c>
      <c r="W32" t="str">
        <f t="shared" si="13"/>
        <v>GlbMarket_m_fromrecy_graphite</v>
      </c>
    </row>
    <row r="33" spans="1:23">
      <c r="D33" s="1" t="str">
        <f t="shared" si="0"/>
        <v>SpainPor</v>
      </c>
      <c r="E33" t="str">
        <f t="shared" si="7"/>
        <v>GlbMarket_m_fromrecy_lithium</v>
      </c>
      <c r="G33" t="str">
        <f t="shared" si="6"/>
        <v>SpainPor</v>
      </c>
      <c r="H33" t="str">
        <f t="shared" si="8"/>
        <v>GlbMarket_m_fromrecy_nickel</v>
      </c>
      <c r="J33" t="str">
        <f t="shared" si="1"/>
        <v>SpainPor</v>
      </c>
      <c r="K33" t="str">
        <f t="shared" si="9"/>
        <v>GlbMarket_m_fromrecy_cobalt</v>
      </c>
      <c r="M33" t="str">
        <f t="shared" si="2"/>
        <v>SpainPor</v>
      </c>
      <c r="N33" t="str">
        <f t="shared" si="10"/>
        <v>GlbMarket_m_fromrecy_manganese</v>
      </c>
      <c r="P33" t="str">
        <f t="shared" si="3"/>
        <v>SpainPor</v>
      </c>
      <c r="Q33" t="str">
        <f t="shared" si="11"/>
        <v>GlbMarket_m_fromrecy_aluminum</v>
      </c>
      <c r="S33" t="str">
        <f t="shared" si="4"/>
        <v>SpainPor</v>
      </c>
      <c r="T33" t="str">
        <f t="shared" si="12"/>
        <v>GlbMarket_m_fromrecy_copper</v>
      </c>
      <c r="V33" t="str">
        <f t="shared" si="5"/>
        <v>SpainPor</v>
      </c>
      <c r="W33" t="str">
        <f t="shared" si="13"/>
        <v>GlbMarket_m_fromrecy_graphite</v>
      </c>
    </row>
    <row r="34" spans="1:23">
      <c r="D34" s="1" t="str">
        <f t="shared" si="0"/>
        <v>SweFinDen</v>
      </c>
      <c r="E34" t="str">
        <f t="shared" si="7"/>
        <v>GlbMarket_m_fromrecy_lithium</v>
      </c>
      <c r="G34" t="str">
        <f t="shared" si="6"/>
        <v>SweFinDen</v>
      </c>
      <c r="H34" t="str">
        <f t="shared" si="8"/>
        <v>GlbMarket_m_fromrecy_nickel</v>
      </c>
      <c r="J34" t="str">
        <f t="shared" si="1"/>
        <v>SweFinDen</v>
      </c>
      <c r="K34" t="str">
        <f t="shared" si="9"/>
        <v>GlbMarket_m_fromrecy_cobalt</v>
      </c>
      <c r="M34" t="str">
        <f t="shared" si="2"/>
        <v>SweFinDen</v>
      </c>
      <c r="N34" t="str">
        <f t="shared" si="10"/>
        <v>GlbMarket_m_fromrecy_manganese</v>
      </c>
      <c r="P34" t="str">
        <f t="shared" si="3"/>
        <v>SweFinDen</v>
      </c>
      <c r="Q34" t="str">
        <f t="shared" si="11"/>
        <v>GlbMarket_m_fromrecy_aluminum</v>
      </c>
      <c r="S34" t="str">
        <f t="shared" si="4"/>
        <v>SweFinDen</v>
      </c>
      <c r="T34" t="str">
        <f t="shared" si="12"/>
        <v>GlbMarket_m_fromrecy_copper</v>
      </c>
      <c r="V34" t="str">
        <f t="shared" si="5"/>
        <v>SweFinDen</v>
      </c>
      <c r="W34" t="str">
        <f t="shared" si="13"/>
        <v>GlbMarket_m_fromrecy_graphite</v>
      </c>
    </row>
    <row r="35" spans="1:23">
      <c r="D35" s="1" t="str">
        <f t="shared" ref="D35:D39" si="14">IF(A67="","\I:",A67)</f>
        <v>Switzerland</v>
      </c>
      <c r="E35" t="str">
        <f t="shared" ref="E35:E39" si="15">E34</f>
        <v>GlbMarket_m_fromrecy_lithium</v>
      </c>
      <c r="G35" t="str">
        <f t="shared" ref="G35:G39" si="16">$D35</f>
        <v>Switzerland</v>
      </c>
      <c r="H35" t="str">
        <f t="shared" ref="H35:H39" si="17">H34</f>
        <v>GlbMarket_m_fromrecy_nickel</v>
      </c>
      <c r="J35" t="str">
        <f t="shared" ref="J35:J39" si="18">$D35</f>
        <v>Switzerland</v>
      </c>
      <c r="K35" t="str">
        <f t="shared" ref="K35:K39" si="19">K34</f>
        <v>GlbMarket_m_fromrecy_cobalt</v>
      </c>
      <c r="M35" t="str">
        <f t="shared" ref="M35:M39" si="20">$D35</f>
        <v>Switzerland</v>
      </c>
      <c r="N35" t="str">
        <f t="shared" ref="N35:N39" si="21">N34</f>
        <v>GlbMarket_m_fromrecy_manganese</v>
      </c>
      <c r="P35" t="str">
        <f t="shared" ref="P35:P39" si="22">$D35</f>
        <v>Switzerland</v>
      </c>
      <c r="Q35" t="str">
        <f t="shared" ref="Q35:Q39" si="23">Q34</f>
        <v>GlbMarket_m_fromrecy_aluminum</v>
      </c>
      <c r="S35" t="str">
        <f t="shared" ref="S35:S39" si="24">$D35</f>
        <v>Switzerland</v>
      </c>
      <c r="T35" t="str">
        <f t="shared" ref="T35:T39" si="25">T34</f>
        <v>GlbMarket_m_fromrecy_copper</v>
      </c>
      <c r="V35" t="str">
        <f t="shared" ref="V35:V39" si="26">$D35</f>
        <v>Switzerland</v>
      </c>
      <c r="W35" t="str">
        <f t="shared" ref="W35:W39" si="27">W34</f>
        <v>GlbMarket_m_fromrecy_graphite</v>
      </c>
    </row>
    <row r="36" spans="1:23">
      <c r="A36" s="2" t="s">
        <v>9</v>
      </c>
      <c r="D36" s="1" t="str">
        <f t="shared" si="14"/>
        <v>Turkey</v>
      </c>
      <c r="E36" t="str">
        <f t="shared" si="15"/>
        <v>GlbMarket_m_fromrecy_lithium</v>
      </c>
      <c r="G36" t="str">
        <f t="shared" si="16"/>
        <v>Turkey</v>
      </c>
      <c r="H36" t="str">
        <f t="shared" si="17"/>
        <v>GlbMarket_m_fromrecy_nickel</v>
      </c>
      <c r="J36" t="str">
        <f t="shared" si="18"/>
        <v>Turkey</v>
      </c>
      <c r="K36" t="str">
        <f t="shared" si="19"/>
        <v>GlbMarket_m_fromrecy_cobalt</v>
      </c>
      <c r="M36" t="str">
        <f t="shared" si="20"/>
        <v>Turkey</v>
      </c>
      <c r="N36" t="str">
        <f t="shared" si="21"/>
        <v>GlbMarket_m_fromrecy_manganese</v>
      </c>
      <c r="P36" t="str">
        <f t="shared" si="22"/>
        <v>Turkey</v>
      </c>
      <c r="Q36" t="str">
        <f t="shared" si="23"/>
        <v>GlbMarket_m_fromrecy_aluminum</v>
      </c>
      <c r="S36" t="str">
        <f t="shared" si="24"/>
        <v>Turkey</v>
      </c>
      <c r="T36" t="str">
        <f t="shared" si="25"/>
        <v>GlbMarket_m_fromrecy_copper</v>
      </c>
      <c r="V36" t="str">
        <f t="shared" si="26"/>
        <v>Turkey</v>
      </c>
      <c r="W36" t="str">
        <f t="shared" si="27"/>
        <v>GlbMarket_m_fromrecy_graphite</v>
      </c>
    </row>
    <row r="37" spans="1:23">
      <c r="A37" t="s">
        <v>10</v>
      </c>
      <c r="D37" s="1" t="str">
        <f t="shared" si="14"/>
        <v>UK</v>
      </c>
      <c r="E37" t="str">
        <f t="shared" si="15"/>
        <v>GlbMarket_m_fromrecy_lithium</v>
      </c>
      <c r="G37" t="str">
        <f t="shared" si="16"/>
        <v>UK</v>
      </c>
      <c r="H37" t="str">
        <f t="shared" si="17"/>
        <v>GlbMarket_m_fromrecy_nickel</v>
      </c>
      <c r="J37" t="str">
        <f t="shared" si="18"/>
        <v>UK</v>
      </c>
      <c r="K37" t="str">
        <f t="shared" si="19"/>
        <v>GlbMarket_m_fromrecy_cobalt</v>
      </c>
      <c r="M37" t="str">
        <f t="shared" si="20"/>
        <v>UK</v>
      </c>
      <c r="N37" t="str">
        <f t="shared" si="21"/>
        <v>GlbMarket_m_fromrecy_manganese</v>
      </c>
      <c r="P37" t="str">
        <f t="shared" si="22"/>
        <v>UK</v>
      </c>
      <c r="Q37" t="str">
        <f t="shared" si="23"/>
        <v>GlbMarket_m_fromrecy_aluminum</v>
      </c>
      <c r="S37" t="str">
        <f t="shared" si="24"/>
        <v>UK</v>
      </c>
      <c r="T37" t="str">
        <f t="shared" si="25"/>
        <v>GlbMarket_m_fromrecy_copper</v>
      </c>
      <c r="V37" t="str">
        <f t="shared" si="26"/>
        <v>UK</v>
      </c>
      <c r="W37" t="str">
        <f t="shared" si="27"/>
        <v>GlbMarket_m_fromrecy_graphite</v>
      </c>
    </row>
    <row r="38" spans="1:23">
      <c r="A38" t="s">
        <v>11</v>
      </c>
      <c r="D38" s="1" t="str">
        <f t="shared" si="14"/>
        <v>Ukraine</v>
      </c>
      <c r="E38" t="str">
        <f t="shared" si="15"/>
        <v>GlbMarket_m_fromrecy_lithium</v>
      </c>
      <c r="G38" t="str">
        <f t="shared" si="16"/>
        <v>Ukraine</v>
      </c>
      <c r="H38" t="str">
        <f t="shared" si="17"/>
        <v>GlbMarket_m_fromrecy_nickel</v>
      </c>
      <c r="J38" t="str">
        <f t="shared" si="18"/>
        <v>Ukraine</v>
      </c>
      <c r="K38" t="str">
        <f t="shared" si="19"/>
        <v>GlbMarket_m_fromrecy_cobalt</v>
      </c>
      <c r="M38" t="str">
        <f t="shared" si="20"/>
        <v>Ukraine</v>
      </c>
      <c r="N38" t="str">
        <f t="shared" si="21"/>
        <v>GlbMarket_m_fromrecy_manganese</v>
      </c>
      <c r="P38" t="str">
        <f t="shared" si="22"/>
        <v>Ukraine</v>
      </c>
      <c r="Q38" t="str">
        <f t="shared" si="23"/>
        <v>GlbMarket_m_fromrecy_aluminum</v>
      </c>
      <c r="S38" t="str">
        <f t="shared" si="24"/>
        <v>Ukraine</v>
      </c>
      <c r="T38" t="str">
        <f t="shared" si="25"/>
        <v>GlbMarket_m_fromrecy_copper</v>
      </c>
      <c r="V38" t="str">
        <f t="shared" si="26"/>
        <v>Ukraine</v>
      </c>
      <c r="W38" t="str">
        <f t="shared" si="27"/>
        <v>GlbMarket_m_fromrecy_graphite</v>
      </c>
    </row>
    <row r="39" spans="1:23">
      <c r="A39" t="s">
        <v>12</v>
      </c>
      <c r="D39" s="1" t="str">
        <f t="shared" si="14"/>
        <v>WestBalkans</v>
      </c>
      <c r="E39" t="str">
        <f t="shared" si="15"/>
        <v>GlbMarket_m_fromrecy_lithium</v>
      </c>
      <c r="G39" t="str">
        <f t="shared" si="16"/>
        <v>WestBalkans</v>
      </c>
      <c r="H39" t="str">
        <f t="shared" si="17"/>
        <v>GlbMarket_m_fromrecy_nickel</v>
      </c>
      <c r="J39" t="str">
        <f t="shared" si="18"/>
        <v>WestBalkans</v>
      </c>
      <c r="K39" t="str">
        <f t="shared" si="19"/>
        <v>GlbMarket_m_fromrecy_cobalt</v>
      </c>
      <c r="M39" t="str">
        <f t="shared" si="20"/>
        <v>WestBalkans</v>
      </c>
      <c r="N39" t="str">
        <f t="shared" si="21"/>
        <v>GlbMarket_m_fromrecy_manganese</v>
      </c>
      <c r="P39" t="str">
        <f t="shared" si="22"/>
        <v>WestBalkans</v>
      </c>
      <c r="Q39" t="str">
        <f t="shared" si="23"/>
        <v>GlbMarket_m_fromrecy_aluminum</v>
      </c>
      <c r="S39" t="str">
        <f t="shared" si="24"/>
        <v>WestBalkans</v>
      </c>
      <c r="T39" t="str">
        <f t="shared" si="25"/>
        <v>GlbMarket_m_fromrecy_copper</v>
      </c>
      <c r="V39" t="str">
        <f t="shared" si="26"/>
        <v>WestBalkans</v>
      </c>
      <c r="W39" t="str">
        <f t="shared" si="27"/>
        <v>GlbMarket_m_fromrecy_graphite</v>
      </c>
    </row>
    <row r="40" spans="1:23">
      <c r="A40" t="s">
        <v>13</v>
      </c>
      <c r="D40" s="1"/>
    </row>
    <row r="41" spans="1:23">
      <c r="A41" t="s">
        <v>14</v>
      </c>
    </row>
    <row r="42" spans="1:23">
      <c r="A42" t="s">
        <v>15</v>
      </c>
    </row>
    <row r="43" spans="1:23">
      <c r="A43" t="s">
        <v>16</v>
      </c>
    </row>
    <row r="44" spans="1:23">
      <c r="A44" t="s">
        <v>17</v>
      </c>
    </row>
    <row r="45" spans="1:23">
      <c r="A45" t="s">
        <v>18</v>
      </c>
    </row>
    <row r="46" spans="1:23">
      <c r="A46" t="s">
        <v>19</v>
      </c>
    </row>
    <row r="47" spans="1:23">
      <c r="A47" t="s">
        <v>20</v>
      </c>
    </row>
    <row r="48" spans="1:23">
      <c r="A48" t="s">
        <v>21</v>
      </c>
    </row>
    <row r="49" spans="1:1">
      <c r="A49" t="s">
        <v>22</v>
      </c>
    </row>
    <row r="50" spans="1:1">
      <c r="A50" t="s">
        <v>23</v>
      </c>
    </row>
    <row r="51" spans="1:1">
      <c r="A51" t="s">
        <v>24</v>
      </c>
    </row>
    <row r="52" spans="1:1">
      <c r="A52" t="s">
        <v>25</v>
      </c>
    </row>
    <row r="53" spans="1:1">
      <c r="A53" t="s">
        <v>26</v>
      </c>
    </row>
    <row r="54" spans="1:1">
      <c r="A54" t="s">
        <v>27</v>
      </c>
    </row>
    <row r="55" spans="1:1">
      <c r="A55" t="s">
        <v>28</v>
      </c>
    </row>
    <row r="56" spans="1:1">
      <c r="A56" t="s">
        <v>29</v>
      </c>
    </row>
    <row r="57" spans="1:1">
      <c r="A57" t="s">
        <v>30</v>
      </c>
    </row>
    <row r="58" spans="1:1">
      <c r="A58" t="s">
        <v>31</v>
      </c>
    </row>
    <row r="59" spans="1:1">
      <c r="A59" t="s">
        <v>32</v>
      </c>
    </row>
    <row r="60" spans="1:1">
      <c r="A60" t="s">
        <v>33</v>
      </c>
    </row>
    <row r="61" spans="1:1">
      <c r="A61" t="s">
        <v>34</v>
      </c>
    </row>
    <row r="62" spans="1:1">
      <c r="A62" t="s">
        <v>35</v>
      </c>
    </row>
    <row r="63" spans="1:1">
      <c r="A63" t="s">
        <v>36</v>
      </c>
    </row>
    <row r="64" spans="1:1">
      <c r="A64" t="s">
        <v>37</v>
      </c>
    </row>
    <row r="65" spans="1:1">
      <c r="A65" t="s">
        <v>38</v>
      </c>
    </row>
    <row r="66" spans="1:1">
      <c r="A66" t="s">
        <v>39</v>
      </c>
    </row>
    <row r="67" spans="1:1">
      <c r="A67" t="s">
        <v>40</v>
      </c>
    </row>
    <row r="68" spans="1:1">
      <c r="A68" t="s">
        <v>41</v>
      </c>
    </row>
    <row r="69" spans="1:1">
      <c r="A69" t="s">
        <v>42</v>
      </c>
    </row>
    <row r="70" spans="1:1">
      <c r="A70" t="s">
        <v>43</v>
      </c>
    </row>
    <row r="71" spans="1:1">
      <c r="A71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5BCDA-D168-4CA3-B158-396E4F69B597}">
  <dimension ref="A1:G138"/>
  <sheetViews>
    <sheetView tabSelected="1" workbookViewId="0">
      <selection activeCell="I1" sqref="I1"/>
    </sheetView>
  </sheetViews>
  <sheetFormatPr defaultRowHeight="14.25"/>
  <cols>
    <col min="1" max="1" width="14.53125" style="3" bestFit="1" customWidth="1"/>
    <col min="2" max="2" width="10.86328125" style="3" bestFit="1" customWidth="1"/>
    <col min="3" max="3" width="6" style="3" bestFit="1" customWidth="1"/>
    <col min="4" max="5" width="7" style="3" bestFit="1" customWidth="1"/>
    <col min="6" max="6" width="27.86328125" style="3" bestFit="1" customWidth="1"/>
    <col min="7" max="7" width="8.265625" style="3" bestFit="1" customWidth="1"/>
    <col min="8" max="8" width="9.06640625" style="3"/>
    <col min="9" max="9" width="14.1328125" style="3" bestFit="1" customWidth="1"/>
    <col min="10" max="10" width="11.06640625" style="3" bestFit="1" customWidth="1"/>
    <col min="11" max="11" width="27.86328125" style="3" bestFit="1" customWidth="1"/>
    <col min="12" max="12" width="8.86328125" style="3" bestFit="1" customWidth="1"/>
    <col min="13" max="16384" width="9.06640625" style="3"/>
  </cols>
  <sheetData>
    <row r="1" spans="1:7">
      <c r="A1" s="3" t="s">
        <v>197</v>
      </c>
    </row>
    <row r="2" spans="1:7">
      <c r="A2" s="3" t="s">
        <v>52</v>
      </c>
      <c r="B2" s="3" t="s">
        <v>53</v>
      </c>
      <c r="C2" s="3" t="s">
        <v>54</v>
      </c>
      <c r="D2" s="3" t="s">
        <v>55</v>
      </c>
      <c r="E2" s="3" t="s">
        <v>56</v>
      </c>
      <c r="F2" s="3" t="s">
        <v>57</v>
      </c>
      <c r="G2" s="3" t="s">
        <v>58</v>
      </c>
    </row>
    <row r="3" spans="1:7">
      <c r="A3" s="3" t="s">
        <v>5</v>
      </c>
      <c r="B3" s="3" t="s">
        <v>11</v>
      </c>
      <c r="C3" s="3" t="s">
        <v>59</v>
      </c>
      <c r="D3" s="3" t="s">
        <v>59</v>
      </c>
      <c r="E3" s="3" t="s">
        <v>59</v>
      </c>
      <c r="F3" s="3" t="s">
        <v>60</v>
      </c>
      <c r="G3" s="3" t="s">
        <v>61</v>
      </c>
    </row>
    <row r="4" spans="1:7">
      <c r="A4" s="3" t="s">
        <v>5</v>
      </c>
      <c r="B4" s="3" t="s">
        <v>22</v>
      </c>
      <c r="C4" s="3" t="s">
        <v>59</v>
      </c>
      <c r="D4" s="3" t="s">
        <v>59</v>
      </c>
      <c r="E4" s="3" t="s">
        <v>59</v>
      </c>
      <c r="F4" s="3" t="s">
        <v>62</v>
      </c>
      <c r="G4" s="3" t="s">
        <v>61</v>
      </c>
    </row>
    <row r="5" spans="1:7">
      <c r="A5" s="3" t="s">
        <v>5</v>
      </c>
      <c r="B5" s="3" t="s">
        <v>27</v>
      </c>
      <c r="C5" s="3" t="s">
        <v>59</v>
      </c>
      <c r="D5" s="3" t="s">
        <v>59</v>
      </c>
      <c r="E5" s="3" t="s">
        <v>59</v>
      </c>
      <c r="F5" s="3" t="s">
        <v>63</v>
      </c>
      <c r="G5" s="3" t="s">
        <v>61</v>
      </c>
    </row>
    <row r="6" spans="1:7">
      <c r="A6" s="3" t="s">
        <v>5</v>
      </c>
      <c r="B6" s="3" t="s">
        <v>30</v>
      </c>
      <c r="C6" s="3" t="s">
        <v>59</v>
      </c>
      <c r="D6" s="3" t="s">
        <v>59</v>
      </c>
      <c r="E6" s="3" t="s">
        <v>59</v>
      </c>
      <c r="F6" s="3" t="s">
        <v>64</v>
      </c>
      <c r="G6" s="3" t="s">
        <v>61</v>
      </c>
    </row>
    <row r="7" spans="1:7">
      <c r="A7" s="3" t="s">
        <v>5</v>
      </c>
      <c r="B7" s="3" t="s">
        <v>36</v>
      </c>
      <c r="C7" s="3" t="s">
        <v>59</v>
      </c>
      <c r="D7" s="3" t="s">
        <v>59</v>
      </c>
      <c r="E7" s="3" t="s">
        <v>59</v>
      </c>
      <c r="F7" s="3" t="s">
        <v>65</v>
      </c>
      <c r="G7" s="3" t="s">
        <v>61</v>
      </c>
    </row>
    <row r="8" spans="1:7">
      <c r="A8" s="3" t="s">
        <v>5</v>
      </c>
      <c r="B8" s="3" t="s">
        <v>38</v>
      </c>
      <c r="C8" s="3" t="s">
        <v>59</v>
      </c>
      <c r="D8" s="3" t="s">
        <v>59</v>
      </c>
      <c r="E8" s="3" t="s">
        <v>59</v>
      </c>
      <c r="F8" s="3" t="s">
        <v>66</v>
      </c>
      <c r="G8" s="3" t="s">
        <v>61</v>
      </c>
    </row>
    <row r="9" spans="1:7">
      <c r="A9" s="3" t="s">
        <v>11</v>
      </c>
      <c r="B9" s="3" t="s">
        <v>5</v>
      </c>
      <c r="C9" s="3" t="s">
        <v>59</v>
      </c>
      <c r="D9" s="3" t="s">
        <v>59</v>
      </c>
      <c r="E9" s="3" t="s">
        <v>59</v>
      </c>
      <c r="F9" s="3" t="s">
        <v>67</v>
      </c>
      <c r="G9" s="3" t="s">
        <v>61</v>
      </c>
    </row>
    <row r="10" spans="1:7">
      <c r="A10" s="3" t="s">
        <v>11</v>
      </c>
      <c r="B10" s="3" t="s">
        <v>37</v>
      </c>
      <c r="C10" s="3" t="s">
        <v>59</v>
      </c>
      <c r="D10" s="3" t="s">
        <v>59</v>
      </c>
      <c r="E10" s="3" t="s">
        <v>59</v>
      </c>
      <c r="F10" s="3" t="s">
        <v>68</v>
      </c>
      <c r="G10" s="3" t="s">
        <v>61</v>
      </c>
    </row>
    <row r="11" spans="1:7">
      <c r="A11" s="3" t="s">
        <v>13</v>
      </c>
      <c r="B11" s="3" t="s">
        <v>18</v>
      </c>
      <c r="C11" s="3" t="s">
        <v>59</v>
      </c>
      <c r="D11" s="3" t="s">
        <v>59</v>
      </c>
      <c r="E11" s="3" t="s">
        <v>59</v>
      </c>
      <c r="F11" s="3" t="s">
        <v>69</v>
      </c>
      <c r="G11" s="3" t="s">
        <v>61</v>
      </c>
    </row>
    <row r="12" spans="1:7">
      <c r="A12" s="3" t="s">
        <v>13</v>
      </c>
      <c r="B12" s="3" t="s">
        <v>19</v>
      </c>
      <c r="C12" s="3" t="s">
        <v>59</v>
      </c>
      <c r="D12" s="3" t="s">
        <v>59</v>
      </c>
      <c r="E12" s="3" t="s">
        <v>59</v>
      </c>
      <c r="F12" s="3" t="s">
        <v>70</v>
      </c>
      <c r="G12" s="3" t="s">
        <v>61</v>
      </c>
    </row>
    <row r="13" spans="1:7">
      <c r="A13" s="3" t="s">
        <v>13</v>
      </c>
      <c r="B13" s="3" t="s">
        <v>21</v>
      </c>
      <c r="C13" s="3" t="s">
        <v>59</v>
      </c>
      <c r="D13" s="3" t="s">
        <v>59</v>
      </c>
      <c r="E13" s="3" t="s">
        <v>59</v>
      </c>
      <c r="F13" s="3" t="s">
        <v>71</v>
      </c>
      <c r="G13" s="3" t="s">
        <v>61</v>
      </c>
    </row>
    <row r="14" spans="1:7">
      <c r="A14" s="3" t="s">
        <v>13</v>
      </c>
      <c r="B14" s="3" t="s">
        <v>23</v>
      </c>
      <c r="C14" s="3" t="s">
        <v>59</v>
      </c>
      <c r="D14" s="3" t="s">
        <v>59</v>
      </c>
      <c r="E14" s="3" t="s">
        <v>59</v>
      </c>
      <c r="F14" s="3" t="s">
        <v>72</v>
      </c>
      <c r="G14" s="3" t="s">
        <v>61</v>
      </c>
    </row>
    <row r="15" spans="1:7">
      <c r="A15" s="3" t="s">
        <v>13</v>
      </c>
      <c r="B15" s="3" t="s">
        <v>27</v>
      </c>
      <c r="C15" s="3" t="s">
        <v>59</v>
      </c>
      <c r="D15" s="3" t="s">
        <v>59</v>
      </c>
      <c r="E15" s="3" t="s">
        <v>59</v>
      </c>
      <c r="F15" s="3" t="s">
        <v>73</v>
      </c>
      <c r="G15" s="3" t="s">
        <v>61</v>
      </c>
    </row>
    <row r="16" spans="1:7">
      <c r="A16" s="3" t="s">
        <v>13</v>
      </c>
      <c r="B16" s="3" t="s">
        <v>40</v>
      </c>
      <c r="C16" s="3" t="s">
        <v>59</v>
      </c>
      <c r="D16" s="3" t="s">
        <v>59</v>
      </c>
      <c r="E16" s="3" t="s">
        <v>59</v>
      </c>
      <c r="F16" s="3" t="s">
        <v>74</v>
      </c>
      <c r="G16" s="3" t="s">
        <v>61</v>
      </c>
    </row>
    <row r="17" spans="1:7">
      <c r="A17" s="3" t="s">
        <v>14</v>
      </c>
      <c r="B17" s="3" t="s">
        <v>33</v>
      </c>
      <c r="C17" s="3" t="s">
        <v>59</v>
      </c>
      <c r="D17" s="3" t="s">
        <v>59</v>
      </c>
      <c r="E17" s="3" t="s">
        <v>59</v>
      </c>
      <c r="F17" s="3" t="s">
        <v>75</v>
      </c>
      <c r="G17" s="3" t="s">
        <v>61</v>
      </c>
    </row>
    <row r="18" spans="1:7">
      <c r="A18" s="3" t="s">
        <v>14</v>
      </c>
      <c r="B18" s="3" t="s">
        <v>35</v>
      </c>
      <c r="C18" s="3" t="s">
        <v>59</v>
      </c>
      <c r="D18" s="3" t="s">
        <v>59</v>
      </c>
      <c r="E18" s="3" t="s">
        <v>59</v>
      </c>
      <c r="F18" s="3" t="s">
        <v>76</v>
      </c>
      <c r="G18" s="3" t="s">
        <v>61</v>
      </c>
    </row>
    <row r="19" spans="1:7">
      <c r="A19" s="3" t="s">
        <v>14</v>
      </c>
      <c r="B19" s="3" t="s">
        <v>39</v>
      </c>
      <c r="C19" s="3" t="s">
        <v>59</v>
      </c>
      <c r="D19" s="3" t="s">
        <v>59</v>
      </c>
      <c r="E19" s="3" t="s">
        <v>59</v>
      </c>
      <c r="F19" s="3" t="s">
        <v>77</v>
      </c>
      <c r="G19" s="3" t="s">
        <v>61</v>
      </c>
    </row>
    <row r="20" spans="1:7">
      <c r="A20" s="3" t="s">
        <v>15</v>
      </c>
      <c r="B20" s="3" t="s">
        <v>20</v>
      </c>
      <c r="C20" s="3" t="s">
        <v>59</v>
      </c>
      <c r="D20" s="3" t="s">
        <v>59</v>
      </c>
      <c r="E20" s="3" t="s">
        <v>59</v>
      </c>
      <c r="F20" s="3" t="s">
        <v>78</v>
      </c>
      <c r="G20" s="3" t="s">
        <v>61</v>
      </c>
    </row>
    <row r="21" spans="1:7">
      <c r="A21" s="3" t="s">
        <v>15</v>
      </c>
      <c r="B21" s="3" t="s">
        <v>21</v>
      </c>
      <c r="C21" s="3" t="s">
        <v>59</v>
      </c>
      <c r="D21" s="3" t="s">
        <v>59</v>
      </c>
      <c r="E21" s="3" t="s">
        <v>59</v>
      </c>
      <c r="F21" s="3" t="s">
        <v>79</v>
      </c>
      <c r="G21" s="3" t="s">
        <v>61</v>
      </c>
    </row>
    <row r="22" spans="1:7">
      <c r="A22" s="3" t="s">
        <v>15</v>
      </c>
      <c r="B22" s="3" t="s">
        <v>32</v>
      </c>
      <c r="C22" s="3" t="s">
        <v>59</v>
      </c>
      <c r="D22" s="3" t="s">
        <v>59</v>
      </c>
      <c r="E22" s="3" t="s">
        <v>59</v>
      </c>
      <c r="F22" s="3" t="s">
        <v>80</v>
      </c>
      <c r="G22" s="3" t="s">
        <v>61</v>
      </c>
    </row>
    <row r="23" spans="1:7">
      <c r="A23" s="3" t="s">
        <v>15</v>
      </c>
      <c r="B23" s="3" t="s">
        <v>39</v>
      </c>
      <c r="C23" s="3" t="s">
        <v>59</v>
      </c>
      <c r="D23" s="3" t="s">
        <v>59</v>
      </c>
      <c r="E23" s="3" t="s">
        <v>59</v>
      </c>
      <c r="F23" s="3" t="s">
        <v>81</v>
      </c>
      <c r="G23" s="3" t="s">
        <v>61</v>
      </c>
    </row>
    <row r="24" spans="1:7">
      <c r="A24" s="3" t="s">
        <v>15</v>
      </c>
      <c r="B24" s="3" t="s">
        <v>42</v>
      </c>
      <c r="C24" s="3" t="s">
        <v>59</v>
      </c>
      <c r="D24" s="3" t="s">
        <v>59</v>
      </c>
      <c r="E24" s="3" t="s">
        <v>59</v>
      </c>
      <c r="F24" s="3" t="s">
        <v>82</v>
      </c>
      <c r="G24" s="3" t="s">
        <v>61</v>
      </c>
    </row>
    <row r="25" spans="1:7">
      <c r="A25" s="3" t="s">
        <v>16</v>
      </c>
      <c r="B25" s="3" t="s">
        <v>29</v>
      </c>
      <c r="C25" s="3" t="s">
        <v>59</v>
      </c>
      <c r="D25" s="3" t="s">
        <v>59</v>
      </c>
      <c r="E25" s="3" t="s">
        <v>59</v>
      </c>
      <c r="F25" s="3" t="s">
        <v>83</v>
      </c>
      <c r="G25" s="3" t="s">
        <v>61</v>
      </c>
    </row>
    <row r="26" spans="1:7">
      <c r="A26" s="3" t="s">
        <v>17</v>
      </c>
      <c r="B26" s="3" t="s">
        <v>34</v>
      </c>
      <c r="C26" s="3" t="s">
        <v>59</v>
      </c>
      <c r="D26" s="3" t="s">
        <v>59</v>
      </c>
      <c r="E26" s="3" t="s">
        <v>59</v>
      </c>
      <c r="F26" s="3" t="s">
        <v>84</v>
      </c>
      <c r="G26" s="3" t="s">
        <v>61</v>
      </c>
    </row>
    <row r="27" spans="1:7">
      <c r="A27" s="3" t="s">
        <v>17</v>
      </c>
      <c r="B27" s="3" t="s">
        <v>35</v>
      </c>
      <c r="C27" s="3" t="s">
        <v>59</v>
      </c>
      <c r="D27" s="3" t="s">
        <v>59</v>
      </c>
      <c r="E27" s="3" t="s">
        <v>59</v>
      </c>
      <c r="F27" s="3" t="s">
        <v>85</v>
      </c>
      <c r="G27" s="3" t="s">
        <v>61</v>
      </c>
    </row>
    <row r="28" spans="1:7">
      <c r="A28" s="3" t="s">
        <v>18</v>
      </c>
      <c r="B28" s="3" t="s">
        <v>13</v>
      </c>
      <c r="C28" s="3" t="s">
        <v>59</v>
      </c>
      <c r="D28" s="3" t="s">
        <v>59</v>
      </c>
      <c r="E28" s="3" t="s">
        <v>59</v>
      </c>
      <c r="F28" s="3" t="s">
        <v>86</v>
      </c>
      <c r="G28" s="3" t="s">
        <v>61</v>
      </c>
    </row>
    <row r="29" spans="1:7">
      <c r="A29" s="3" t="s">
        <v>18</v>
      </c>
      <c r="B29" s="3" t="s">
        <v>23</v>
      </c>
      <c r="C29" s="3" t="s">
        <v>59</v>
      </c>
      <c r="D29" s="3" t="s">
        <v>59</v>
      </c>
      <c r="E29" s="3" t="s">
        <v>59</v>
      </c>
      <c r="F29" s="3" t="s">
        <v>87</v>
      </c>
      <c r="G29" s="3" t="s">
        <v>61</v>
      </c>
    </row>
    <row r="30" spans="1:7">
      <c r="A30" s="3" t="s">
        <v>18</v>
      </c>
      <c r="B30" s="3" t="s">
        <v>27</v>
      </c>
      <c r="C30" s="3" t="s">
        <v>59</v>
      </c>
      <c r="D30" s="3" t="s">
        <v>59</v>
      </c>
      <c r="E30" s="3" t="s">
        <v>59</v>
      </c>
      <c r="F30" s="3" t="s">
        <v>88</v>
      </c>
      <c r="G30" s="3" t="s">
        <v>61</v>
      </c>
    </row>
    <row r="31" spans="1:7">
      <c r="A31" s="3" t="s">
        <v>18</v>
      </c>
      <c r="B31" s="3" t="s">
        <v>44</v>
      </c>
      <c r="C31" s="3" t="s">
        <v>59</v>
      </c>
      <c r="D31" s="3" t="s">
        <v>59</v>
      </c>
      <c r="E31" s="3" t="s">
        <v>59</v>
      </c>
      <c r="F31" s="3" t="s">
        <v>89</v>
      </c>
      <c r="G31" s="3" t="s">
        <v>61</v>
      </c>
    </row>
    <row r="32" spans="1:7">
      <c r="A32" s="3" t="s">
        <v>19</v>
      </c>
      <c r="B32" s="3" t="s">
        <v>13</v>
      </c>
      <c r="C32" s="3" t="s">
        <v>59</v>
      </c>
      <c r="D32" s="3" t="s">
        <v>59</v>
      </c>
      <c r="E32" s="3" t="s">
        <v>59</v>
      </c>
      <c r="F32" s="3" t="s">
        <v>90</v>
      </c>
      <c r="G32" s="3" t="s">
        <v>61</v>
      </c>
    </row>
    <row r="33" spans="1:7">
      <c r="A33" s="3" t="s">
        <v>19</v>
      </c>
      <c r="B33" s="3" t="s">
        <v>21</v>
      </c>
      <c r="C33" s="3" t="s">
        <v>59</v>
      </c>
      <c r="D33" s="3" t="s">
        <v>59</v>
      </c>
      <c r="E33" s="3" t="s">
        <v>59</v>
      </c>
      <c r="F33" s="3" t="s">
        <v>91</v>
      </c>
      <c r="G33" s="3" t="s">
        <v>61</v>
      </c>
    </row>
    <row r="34" spans="1:7">
      <c r="A34" s="3" t="s">
        <v>19</v>
      </c>
      <c r="B34" s="3" t="s">
        <v>23</v>
      </c>
      <c r="C34" s="3" t="s">
        <v>59</v>
      </c>
      <c r="D34" s="3" t="s">
        <v>59</v>
      </c>
      <c r="E34" s="3" t="s">
        <v>59</v>
      </c>
      <c r="F34" s="3" t="s">
        <v>92</v>
      </c>
      <c r="G34" s="3" t="s">
        <v>61</v>
      </c>
    </row>
    <row r="35" spans="1:7">
      <c r="A35" s="3" t="s">
        <v>19</v>
      </c>
      <c r="B35" s="3" t="s">
        <v>33</v>
      </c>
      <c r="C35" s="3" t="s">
        <v>59</v>
      </c>
      <c r="D35" s="3" t="s">
        <v>59</v>
      </c>
      <c r="E35" s="3" t="s">
        <v>59</v>
      </c>
      <c r="F35" s="3" t="s">
        <v>93</v>
      </c>
      <c r="G35" s="3" t="s">
        <v>61</v>
      </c>
    </row>
    <row r="36" spans="1:7">
      <c r="A36" s="3" t="s">
        <v>19</v>
      </c>
      <c r="B36" s="3" t="s">
        <v>43</v>
      </c>
      <c r="C36" s="3" t="s">
        <v>59</v>
      </c>
      <c r="D36" s="3" t="s">
        <v>59</v>
      </c>
      <c r="E36" s="3" t="s">
        <v>59</v>
      </c>
      <c r="F36" s="3" t="s">
        <v>94</v>
      </c>
      <c r="G36" s="3" t="s">
        <v>61</v>
      </c>
    </row>
    <row r="37" spans="1:7">
      <c r="A37" s="3" t="s">
        <v>20</v>
      </c>
      <c r="B37" s="3" t="s">
        <v>15</v>
      </c>
      <c r="C37" s="3" t="s">
        <v>59</v>
      </c>
      <c r="D37" s="3" t="s">
        <v>59</v>
      </c>
      <c r="E37" s="3" t="s">
        <v>59</v>
      </c>
      <c r="F37" s="3" t="s">
        <v>95</v>
      </c>
      <c r="G37" s="3" t="s">
        <v>61</v>
      </c>
    </row>
    <row r="38" spans="1:7">
      <c r="A38" s="3" t="s">
        <v>20</v>
      </c>
      <c r="B38" s="3" t="s">
        <v>21</v>
      </c>
      <c r="C38" s="3" t="s">
        <v>59</v>
      </c>
      <c r="D38" s="3" t="s">
        <v>59</v>
      </c>
      <c r="E38" s="3" t="s">
        <v>59</v>
      </c>
      <c r="F38" s="3" t="s">
        <v>96</v>
      </c>
      <c r="G38" s="3" t="s">
        <v>61</v>
      </c>
    </row>
    <row r="39" spans="1:7">
      <c r="A39" s="3" t="s">
        <v>20</v>
      </c>
      <c r="B39" s="3" t="s">
        <v>26</v>
      </c>
      <c r="C39" s="3" t="s">
        <v>59</v>
      </c>
      <c r="D39" s="3" t="s">
        <v>59</v>
      </c>
      <c r="E39" s="3" t="s">
        <v>59</v>
      </c>
      <c r="F39" s="3" t="s">
        <v>97</v>
      </c>
      <c r="G39" s="3" t="s">
        <v>61</v>
      </c>
    </row>
    <row r="40" spans="1:7">
      <c r="A40" s="3" t="s">
        <v>20</v>
      </c>
      <c r="B40" s="3" t="s">
        <v>27</v>
      </c>
      <c r="C40" s="3" t="s">
        <v>59</v>
      </c>
      <c r="D40" s="3" t="s">
        <v>59</v>
      </c>
      <c r="E40" s="3" t="s">
        <v>59</v>
      </c>
      <c r="F40" s="3" t="s">
        <v>98</v>
      </c>
      <c r="G40" s="3" t="s">
        <v>61</v>
      </c>
    </row>
    <row r="41" spans="1:7">
      <c r="A41" s="3" t="s">
        <v>20</v>
      </c>
      <c r="B41" s="3" t="s">
        <v>38</v>
      </c>
      <c r="C41" s="3" t="s">
        <v>59</v>
      </c>
      <c r="D41" s="3" t="s">
        <v>59</v>
      </c>
      <c r="E41" s="3" t="s">
        <v>59</v>
      </c>
      <c r="F41" s="3" t="s">
        <v>99</v>
      </c>
      <c r="G41" s="3" t="s">
        <v>61</v>
      </c>
    </row>
    <row r="42" spans="1:7">
      <c r="A42" s="3" t="s">
        <v>20</v>
      </c>
      <c r="B42" s="3" t="s">
        <v>40</v>
      </c>
      <c r="C42" s="3" t="s">
        <v>59</v>
      </c>
      <c r="D42" s="3" t="s">
        <v>59</v>
      </c>
      <c r="E42" s="3" t="s">
        <v>59</v>
      </c>
      <c r="F42" s="3" t="s">
        <v>100</v>
      </c>
      <c r="G42" s="3" t="s">
        <v>61</v>
      </c>
    </row>
    <row r="43" spans="1:7">
      <c r="A43" s="3" t="s">
        <v>20</v>
      </c>
      <c r="B43" s="3" t="s">
        <v>42</v>
      </c>
      <c r="C43" s="3" t="s">
        <v>59</v>
      </c>
      <c r="D43" s="3" t="s">
        <v>59</v>
      </c>
      <c r="E43" s="3" t="s">
        <v>59</v>
      </c>
      <c r="F43" s="3" t="s">
        <v>101</v>
      </c>
      <c r="G43" s="3" t="s">
        <v>61</v>
      </c>
    </row>
    <row r="44" spans="1:7">
      <c r="A44" s="3" t="s">
        <v>21</v>
      </c>
      <c r="B44" s="3" t="s">
        <v>13</v>
      </c>
      <c r="C44" s="3" t="s">
        <v>59</v>
      </c>
      <c r="D44" s="3" t="s">
        <v>59</v>
      </c>
      <c r="E44" s="3" t="s">
        <v>59</v>
      </c>
      <c r="F44" s="3" t="s">
        <v>102</v>
      </c>
      <c r="G44" s="3" t="s">
        <v>61</v>
      </c>
    </row>
    <row r="45" spans="1:7">
      <c r="A45" s="3" t="s">
        <v>21</v>
      </c>
      <c r="B45" s="3" t="s">
        <v>15</v>
      </c>
      <c r="C45" s="3" t="s">
        <v>59</v>
      </c>
      <c r="D45" s="3" t="s">
        <v>59</v>
      </c>
      <c r="E45" s="3" t="s">
        <v>59</v>
      </c>
      <c r="F45" s="3" t="s">
        <v>103</v>
      </c>
      <c r="G45" s="3" t="s">
        <v>61</v>
      </c>
    </row>
    <row r="46" spans="1:7">
      <c r="A46" s="3" t="s">
        <v>21</v>
      </c>
      <c r="B46" s="3" t="s">
        <v>19</v>
      </c>
      <c r="C46" s="3" t="s">
        <v>59</v>
      </c>
      <c r="D46" s="3" t="s">
        <v>59</v>
      </c>
      <c r="E46" s="3" t="s">
        <v>59</v>
      </c>
      <c r="F46" s="3" t="s">
        <v>104</v>
      </c>
      <c r="G46" s="3" t="s">
        <v>61</v>
      </c>
    </row>
    <row r="47" spans="1:7">
      <c r="A47" s="3" t="s">
        <v>21</v>
      </c>
      <c r="B47" s="3" t="s">
        <v>20</v>
      </c>
      <c r="C47" s="3" t="s">
        <v>59</v>
      </c>
      <c r="D47" s="3" t="s">
        <v>59</v>
      </c>
      <c r="E47" s="3" t="s">
        <v>59</v>
      </c>
      <c r="F47" s="3" t="s">
        <v>105</v>
      </c>
      <c r="G47" s="3" t="s">
        <v>61</v>
      </c>
    </row>
    <row r="48" spans="1:7">
      <c r="A48" s="3" t="s">
        <v>21</v>
      </c>
      <c r="B48" s="3" t="s">
        <v>32</v>
      </c>
      <c r="C48" s="3" t="s">
        <v>59</v>
      </c>
      <c r="D48" s="3" t="s">
        <v>59</v>
      </c>
      <c r="E48" s="3" t="s">
        <v>59</v>
      </c>
      <c r="F48" s="3" t="s">
        <v>106</v>
      </c>
      <c r="G48" s="3" t="s">
        <v>61</v>
      </c>
    </row>
    <row r="49" spans="1:7">
      <c r="A49" s="3" t="s">
        <v>21</v>
      </c>
      <c r="B49" s="3" t="s">
        <v>33</v>
      </c>
      <c r="C49" s="3" t="s">
        <v>59</v>
      </c>
      <c r="D49" s="3" t="s">
        <v>59</v>
      </c>
      <c r="E49" s="3" t="s">
        <v>59</v>
      </c>
      <c r="F49" s="3" t="s">
        <v>107</v>
      </c>
      <c r="G49" s="3" t="s">
        <v>61</v>
      </c>
    </row>
    <row r="50" spans="1:7">
      <c r="A50" s="3" t="s">
        <v>21</v>
      </c>
      <c r="B50" s="3" t="s">
        <v>39</v>
      </c>
      <c r="C50" s="3" t="s">
        <v>59</v>
      </c>
      <c r="D50" s="3" t="s">
        <v>59</v>
      </c>
      <c r="E50" s="3" t="s">
        <v>59</v>
      </c>
      <c r="F50" s="3" t="s">
        <v>108</v>
      </c>
      <c r="G50" s="3" t="s">
        <v>61</v>
      </c>
    </row>
    <row r="51" spans="1:7">
      <c r="A51" s="3" t="s">
        <v>21</v>
      </c>
      <c r="B51" s="3" t="s">
        <v>40</v>
      </c>
      <c r="C51" s="3" t="s">
        <v>59</v>
      </c>
      <c r="D51" s="3" t="s">
        <v>59</v>
      </c>
      <c r="E51" s="3" t="s">
        <v>59</v>
      </c>
      <c r="F51" s="3" t="s">
        <v>109</v>
      </c>
      <c r="G51" s="3" t="s">
        <v>61</v>
      </c>
    </row>
    <row r="52" spans="1:7">
      <c r="A52" s="3" t="s">
        <v>21</v>
      </c>
      <c r="B52" s="3" t="s">
        <v>42</v>
      </c>
      <c r="C52" s="3" t="s">
        <v>59</v>
      </c>
      <c r="D52" s="3" t="s">
        <v>59</v>
      </c>
      <c r="E52" s="3" t="s">
        <v>59</v>
      </c>
      <c r="F52" s="3" t="s">
        <v>110</v>
      </c>
      <c r="G52" s="3" t="s">
        <v>61</v>
      </c>
    </row>
    <row r="53" spans="1:7">
      <c r="A53" s="3" t="s">
        <v>22</v>
      </c>
      <c r="B53" s="3" t="s">
        <v>5</v>
      </c>
      <c r="C53" s="3" t="s">
        <v>59</v>
      </c>
      <c r="D53" s="3" t="s">
        <v>59</v>
      </c>
      <c r="E53" s="3" t="s">
        <v>59</v>
      </c>
      <c r="F53" s="3" t="s">
        <v>112</v>
      </c>
      <c r="G53" s="3" t="s">
        <v>61</v>
      </c>
    </row>
    <row r="54" spans="1:7">
      <c r="A54" s="3" t="s">
        <v>22</v>
      </c>
      <c r="B54" s="3" t="s">
        <v>23</v>
      </c>
      <c r="C54" s="3" t="s">
        <v>59</v>
      </c>
      <c r="D54" s="3" t="s">
        <v>59</v>
      </c>
      <c r="E54" s="3" t="s">
        <v>59</v>
      </c>
      <c r="F54" s="3" t="s">
        <v>111</v>
      </c>
      <c r="G54" s="3" t="s">
        <v>61</v>
      </c>
    </row>
    <row r="55" spans="1:7">
      <c r="A55" s="3" t="s">
        <v>22</v>
      </c>
      <c r="B55" s="3" t="s">
        <v>27</v>
      </c>
      <c r="C55" s="3" t="s">
        <v>59</v>
      </c>
      <c r="D55" s="3" t="s">
        <v>59</v>
      </c>
      <c r="E55" s="3" t="s">
        <v>59</v>
      </c>
      <c r="F55" s="3" t="s">
        <v>113</v>
      </c>
      <c r="G55" s="3" t="s">
        <v>61</v>
      </c>
    </row>
    <row r="56" spans="1:7">
      <c r="A56" s="3" t="s">
        <v>22</v>
      </c>
      <c r="B56" s="3" t="s">
        <v>30</v>
      </c>
      <c r="C56" s="3" t="s">
        <v>59</v>
      </c>
      <c r="D56" s="3" t="s">
        <v>59</v>
      </c>
      <c r="E56" s="3" t="s">
        <v>59</v>
      </c>
      <c r="F56" s="3" t="s">
        <v>116</v>
      </c>
      <c r="G56" s="3" t="s">
        <v>61</v>
      </c>
    </row>
    <row r="57" spans="1:7">
      <c r="A57" s="3" t="s">
        <v>22</v>
      </c>
      <c r="B57" s="3" t="s">
        <v>41</v>
      </c>
      <c r="C57" s="3" t="s">
        <v>59</v>
      </c>
      <c r="D57" s="3" t="s">
        <v>59</v>
      </c>
      <c r="E57" s="3" t="s">
        <v>59</v>
      </c>
      <c r="F57" s="3" t="s">
        <v>114</v>
      </c>
      <c r="G57" s="3" t="s">
        <v>61</v>
      </c>
    </row>
    <row r="58" spans="1:7">
      <c r="A58" s="3" t="s">
        <v>22</v>
      </c>
      <c r="B58" s="3" t="s">
        <v>44</v>
      </c>
      <c r="C58" s="3" t="s">
        <v>59</v>
      </c>
      <c r="D58" s="3" t="s">
        <v>59</v>
      </c>
      <c r="E58" s="3" t="s">
        <v>59</v>
      </c>
      <c r="F58" s="3" t="s">
        <v>115</v>
      </c>
      <c r="G58" s="3" t="s">
        <v>61</v>
      </c>
    </row>
    <row r="59" spans="1:7">
      <c r="A59" s="3" t="s">
        <v>23</v>
      </c>
      <c r="B59" s="3" t="s">
        <v>13</v>
      </c>
      <c r="C59" s="3" t="s">
        <v>59</v>
      </c>
      <c r="D59" s="3" t="s">
        <v>59</v>
      </c>
      <c r="E59" s="3" t="s">
        <v>59</v>
      </c>
      <c r="F59" s="3" t="s">
        <v>117</v>
      </c>
      <c r="G59" s="3" t="s">
        <v>61</v>
      </c>
    </row>
    <row r="60" spans="1:7">
      <c r="A60" s="3" t="s">
        <v>23</v>
      </c>
      <c r="B60" s="3" t="s">
        <v>18</v>
      </c>
      <c r="C60" s="3" t="s">
        <v>59</v>
      </c>
      <c r="D60" s="3" t="s">
        <v>59</v>
      </c>
      <c r="E60" s="3" t="s">
        <v>59</v>
      </c>
      <c r="F60" s="3" t="s">
        <v>118</v>
      </c>
      <c r="G60" s="3" t="s">
        <v>61</v>
      </c>
    </row>
    <row r="61" spans="1:7">
      <c r="A61" s="3" t="s">
        <v>23</v>
      </c>
      <c r="B61" s="3" t="s">
        <v>19</v>
      </c>
      <c r="C61" s="3" t="s">
        <v>59</v>
      </c>
      <c r="D61" s="3" t="s">
        <v>59</v>
      </c>
      <c r="E61" s="3" t="s">
        <v>59</v>
      </c>
      <c r="F61" s="3" t="s">
        <v>119</v>
      </c>
      <c r="G61" s="3" t="s">
        <v>61</v>
      </c>
    </row>
    <row r="62" spans="1:7">
      <c r="A62" s="3" t="s">
        <v>23</v>
      </c>
      <c r="B62" s="3" t="s">
        <v>22</v>
      </c>
      <c r="C62" s="3" t="s">
        <v>59</v>
      </c>
      <c r="D62" s="3" t="s">
        <v>59</v>
      </c>
      <c r="E62" s="3" t="s">
        <v>59</v>
      </c>
      <c r="F62" s="3" t="s">
        <v>120</v>
      </c>
      <c r="G62" s="3" t="s">
        <v>61</v>
      </c>
    </row>
    <row r="63" spans="1:7">
      <c r="A63" s="3" t="s">
        <v>23</v>
      </c>
      <c r="B63" s="3" t="s">
        <v>34</v>
      </c>
      <c r="C63" s="3" t="s">
        <v>59</v>
      </c>
      <c r="D63" s="3" t="s">
        <v>59</v>
      </c>
      <c r="E63" s="3" t="s">
        <v>59</v>
      </c>
      <c r="F63" s="3" t="s">
        <v>121</v>
      </c>
      <c r="G63" s="3" t="s">
        <v>61</v>
      </c>
    </row>
    <row r="64" spans="1:7">
      <c r="A64" s="3" t="s">
        <v>23</v>
      </c>
      <c r="B64" s="3" t="s">
        <v>41</v>
      </c>
      <c r="C64" s="3" t="s">
        <v>59</v>
      </c>
      <c r="D64" s="3" t="s">
        <v>59</v>
      </c>
      <c r="E64" s="3" t="s">
        <v>59</v>
      </c>
      <c r="F64" s="3" t="s">
        <v>122</v>
      </c>
      <c r="G64" s="3" t="s">
        <v>61</v>
      </c>
    </row>
    <row r="65" spans="1:7">
      <c r="A65" s="3" t="s">
        <v>23</v>
      </c>
      <c r="B65" s="3" t="s">
        <v>43</v>
      </c>
      <c r="C65" s="3" t="s">
        <v>59</v>
      </c>
      <c r="D65" s="3" t="s">
        <v>59</v>
      </c>
      <c r="E65" s="3" t="s">
        <v>59</v>
      </c>
      <c r="F65" s="3" t="s">
        <v>123</v>
      </c>
      <c r="G65" s="3" t="s">
        <v>61</v>
      </c>
    </row>
    <row r="66" spans="1:7">
      <c r="A66" s="3" t="s">
        <v>23</v>
      </c>
      <c r="B66" s="3" t="s">
        <v>44</v>
      </c>
      <c r="C66" s="3" t="s">
        <v>59</v>
      </c>
      <c r="D66" s="3" t="s">
        <v>59</v>
      </c>
      <c r="E66" s="3" t="s">
        <v>59</v>
      </c>
      <c r="F66" s="3" t="s">
        <v>124</v>
      </c>
      <c r="G66" s="3" t="s">
        <v>61</v>
      </c>
    </row>
    <row r="67" spans="1:7">
      <c r="A67" s="3" t="s">
        <v>24</v>
      </c>
      <c r="B67" s="3" t="s">
        <v>42</v>
      </c>
      <c r="C67" s="3" t="s">
        <v>59</v>
      </c>
      <c r="D67" s="3" t="s">
        <v>59</v>
      </c>
      <c r="E67" s="3" t="s">
        <v>59</v>
      </c>
      <c r="F67" s="3" t="s">
        <v>125</v>
      </c>
      <c r="G67" s="3" t="s">
        <v>61</v>
      </c>
    </row>
    <row r="68" spans="1:7">
      <c r="A68" s="3" t="s">
        <v>25</v>
      </c>
      <c r="B68" s="3" t="s">
        <v>34</v>
      </c>
      <c r="C68" s="3" t="s">
        <v>59</v>
      </c>
      <c r="D68" s="3" t="s">
        <v>59</v>
      </c>
      <c r="E68" s="3" t="s">
        <v>59</v>
      </c>
      <c r="F68" s="3" t="s">
        <v>126</v>
      </c>
      <c r="G68" s="3" t="s">
        <v>61</v>
      </c>
    </row>
    <row r="69" spans="1:7">
      <c r="A69" s="3" t="s">
        <v>26</v>
      </c>
      <c r="B69" s="3" t="s">
        <v>20</v>
      </c>
      <c r="C69" s="3" t="s">
        <v>59</v>
      </c>
      <c r="D69" s="3" t="s">
        <v>59</v>
      </c>
      <c r="E69" s="3" t="s">
        <v>59</v>
      </c>
      <c r="F69" s="3" t="s">
        <v>127</v>
      </c>
      <c r="G69" s="3" t="s">
        <v>61</v>
      </c>
    </row>
    <row r="70" spans="1:7">
      <c r="A70" s="3" t="s">
        <v>26</v>
      </c>
      <c r="B70" s="3" t="s">
        <v>42</v>
      </c>
      <c r="C70" s="3" t="s">
        <v>59</v>
      </c>
      <c r="D70" s="3" t="s">
        <v>59</v>
      </c>
      <c r="E70" s="3" t="s">
        <v>59</v>
      </c>
      <c r="F70" s="3" t="s">
        <v>128</v>
      </c>
      <c r="G70" s="3" t="s">
        <v>61</v>
      </c>
    </row>
    <row r="71" spans="1:7">
      <c r="A71" s="3" t="s">
        <v>27</v>
      </c>
      <c r="B71" s="3" t="s">
        <v>5</v>
      </c>
      <c r="C71" s="3" t="s">
        <v>59</v>
      </c>
      <c r="D71" s="3" t="s">
        <v>59</v>
      </c>
      <c r="E71" s="3" t="s">
        <v>59</v>
      </c>
      <c r="F71" s="3" t="s">
        <v>129</v>
      </c>
      <c r="G71" s="3" t="s">
        <v>61</v>
      </c>
    </row>
    <row r="72" spans="1:7">
      <c r="A72" s="3" t="s">
        <v>27</v>
      </c>
      <c r="B72" s="3" t="s">
        <v>13</v>
      </c>
      <c r="C72" s="3" t="s">
        <v>59</v>
      </c>
      <c r="D72" s="3" t="s">
        <v>59</v>
      </c>
      <c r="E72" s="3" t="s">
        <v>59</v>
      </c>
      <c r="F72" s="3" t="s">
        <v>130</v>
      </c>
      <c r="G72" s="3" t="s">
        <v>61</v>
      </c>
    </row>
    <row r="73" spans="1:7">
      <c r="A73" s="3" t="s">
        <v>27</v>
      </c>
      <c r="B73" s="3" t="s">
        <v>18</v>
      </c>
      <c r="C73" s="3" t="s">
        <v>59</v>
      </c>
      <c r="D73" s="3" t="s">
        <v>59</v>
      </c>
      <c r="E73" s="3" t="s">
        <v>59</v>
      </c>
      <c r="F73" s="3" t="s">
        <v>131</v>
      </c>
      <c r="G73" s="3" t="s">
        <v>61</v>
      </c>
    </row>
    <row r="74" spans="1:7">
      <c r="A74" s="3" t="s">
        <v>27</v>
      </c>
      <c r="B74" s="3" t="s">
        <v>20</v>
      </c>
      <c r="C74" s="3" t="s">
        <v>59</v>
      </c>
      <c r="D74" s="3" t="s">
        <v>59</v>
      </c>
      <c r="E74" s="3" t="s">
        <v>59</v>
      </c>
      <c r="F74" s="3" t="s">
        <v>132</v>
      </c>
      <c r="G74" s="3" t="s">
        <v>61</v>
      </c>
    </row>
    <row r="75" spans="1:7">
      <c r="A75" s="3" t="s">
        <v>27</v>
      </c>
      <c r="B75" s="3" t="s">
        <v>22</v>
      </c>
      <c r="C75" s="3" t="s">
        <v>59</v>
      </c>
      <c r="D75" s="3" t="s">
        <v>59</v>
      </c>
      <c r="E75" s="3" t="s">
        <v>59</v>
      </c>
      <c r="F75" s="3" t="s">
        <v>133</v>
      </c>
      <c r="G75" s="3" t="s">
        <v>61</v>
      </c>
    </row>
    <row r="76" spans="1:7">
      <c r="A76" s="3" t="s">
        <v>27</v>
      </c>
      <c r="B76" s="3" t="s">
        <v>40</v>
      </c>
      <c r="C76" s="3" t="s">
        <v>59</v>
      </c>
      <c r="D76" s="3" t="s">
        <v>59</v>
      </c>
      <c r="E76" s="3" t="s">
        <v>59</v>
      </c>
      <c r="F76" s="3" t="s">
        <v>134</v>
      </c>
      <c r="G76" s="3" t="s">
        <v>61</v>
      </c>
    </row>
    <row r="77" spans="1:7">
      <c r="A77" s="3" t="s">
        <v>27</v>
      </c>
      <c r="B77" s="3" t="s">
        <v>44</v>
      </c>
      <c r="C77" s="3" t="s">
        <v>59</v>
      </c>
      <c r="D77" s="3" t="s">
        <v>59</v>
      </c>
      <c r="E77" s="3" t="s">
        <v>59</v>
      </c>
      <c r="F77" s="3" t="s">
        <v>135</v>
      </c>
      <c r="G77" s="3" t="s">
        <v>61</v>
      </c>
    </row>
    <row r="78" spans="1:7">
      <c r="A78" s="3" t="s">
        <v>29</v>
      </c>
      <c r="B78" s="3" t="s">
        <v>16</v>
      </c>
      <c r="C78" s="3" t="s">
        <v>59</v>
      </c>
      <c r="D78" s="3" t="s">
        <v>59</v>
      </c>
      <c r="E78" s="3" t="s">
        <v>59</v>
      </c>
      <c r="F78" s="3" t="s">
        <v>136</v>
      </c>
      <c r="G78" s="3" t="s">
        <v>61</v>
      </c>
    </row>
    <row r="79" spans="1:7">
      <c r="A79" s="3" t="s">
        <v>29</v>
      </c>
      <c r="B79" s="3" t="s">
        <v>31</v>
      </c>
      <c r="C79" s="3" t="s">
        <v>59</v>
      </c>
      <c r="D79" s="3" t="s">
        <v>59</v>
      </c>
      <c r="E79" s="3" t="s">
        <v>59</v>
      </c>
      <c r="F79" s="3" t="s">
        <v>137</v>
      </c>
      <c r="G79" s="3" t="s">
        <v>61</v>
      </c>
    </row>
    <row r="80" spans="1:7">
      <c r="A80" s="3" t="s">
        <v>30</v>
      </c>
      <c r="B80" s="3" t="s">
        <v>5</v>
      </c>
      <c r="C80" s="3" t="s">
        <v>59</v>
      </c>
      <c r="D80" s="3" t="s">
        <v>59</v>
      </c>
      <c r="E80" s="3" t="s">
        <v>59</v>
      </c>
      <c r="F80" s="3" t="s">
        <v>138</v>
      </c>
      <c r="G80" s="3" t="s">
        <v>61</v>
      </c>
    </row>
    <row r="81" spans="1:7">
      <c r="A81" s="3" t="s">
        <v>30</v>
      </c>
      <c r="B81" s="3" t="s">
        <v>22</v>
      </c>
      <c r="C81" s="3" t="s">
        <v>59</v>
      </c>
      <c r="D81" s="3" t="s">
        <v>59</v>
      </c>
      <c r="E81" s="3" t="s">
        <v>59</v>
      </c>
      <c r="F81" s="3" t="s">
        <v>142</v>
      </c>
      <c r="G81" s="3" t="s">
        <v>61</v>
      </c>
    </row>
    <row r="82" spans="1:7">
      <c r="A82" s="3" t="s">
        <v>30</v>
      </c>
      <c r="B82" s="3" t="s">
        <v>34</v>
      </c>
      <c r="C82" s="3" t="s">
        <v>59</v>
      </c>
      <c r="D82" s="3" t="s">
        <v>59</v>
      </c>
      <c r="E82" s="3" t="s">
        <v>59</v>
      </c>
      <c r="F82" s="3" t="s">
        <v>139</v>
      </c>
      <c r="G82" s="3" t="s">
        <v>61</v>
      </c>
    </row>
    <row r="83" spans="1:7">
      <c r="A83" s="3" t="s">
        <v>30</v>
      </c>
      <c r="B83" s="3" t="s">
        <v>36</v>
      </c>
      <c r="C83" s="3" t="s">
        <v>59</v>
      </c>
      <c r="D83" s="3" t="s">
        <v>59</v>
      </c>
      <c r="E83" s="3" t="s">
        <v>59</v>
      </c>
      <c r="F83" s="3" t="s">
        <v>140</v>
      </c>
      <c r="G83" s="3" t="s">
        <v>61</v>
      </c>
    </row>
    <row r="84" spans="1:7">
      <c r="A84" s="3" t="s">
        <v>30</v>
      </c>
      <c r="B84" s="3" t="s">
        <v>41</v>
      </c>
      <c r="C84" s="3" t="s">
        <v>59</v>
      </c>
      <c r="D84" s="3" t="s">
        <v>59</v>
      </c>
      <c r="E84" s="3" t="s">
        <v>59</v>
      </c>
      <c r="F84" s="3" t="s">
        <v>141</v>
      </c>
      <c r="G84" s="3" t="s">
        <v>61</v>
      </c>
    </row>
    <row r="85" spans="1:7">
      <c r="A85" s="3" t="s">
        <v>31</v>
      </c>
      <c r="B85" s="3" t="s">
        <v>29</v>
      </c>
      <c r="C85" s="3" t="s">
        <v>59</v>
      </c>
      <c r="D85" s="3" t="s">
        <v>59</v>
      </c>
      <c r="E85" s="3" t="s">
        <v>59</v>
      </c>
      <c r="F85" s="3" t="s">
        <v>143</v>
      </c>
      <c r="G85" s="3" t="s">
        <v>61</v>
      </c>
    </row>
    <row r="86" spans="1:7">
      <c r="A86" s="3" t="s">
        <v>32</v>
      </c>
      <c r="B86" s="3" t="s">
        <v>15</v>
      </c>
      <c r="C86" s="3" t="s">
        <v>59</v>
      </c>
      <c r="D86" s="3" t="s">
        <v>59</v>
      </c>
      <c r="E86" s="3" t="s">
        <v>59</v>
      </c>
      <c r="F86" s="3" t="s">
        <v>144</v>
      </c>
      <c r="G86" s="3" t="s">
        <v>61</v>
      </c>
    </row>
    <row r="87" spans="1:7">
      <c r="A87" s="3" t="s">
        <v>32</v>
      </c>
      <c r="B87" s="3" t="s">
        <v>21</v>
      </c>
      <c r="C87" s="3" t="s">
        <v>59</v>
      </c>
      <c r="D87" s="3" t="s">
        <v>59</v>
      </c>
      <c r="E87" s="3" t="s">
        <v>59</v>
      </c>
      <c r="F87" s="3" t="s">
        <v>145</v>
      </c>
      <c r="G87" s="3" t="s">
        <v>61</v>
      </c>
    </row>
    <row r="88" spans="1:7">
      <c r="A88" s="3" t="s">
        <v>32</v>
      </c>
      <c r="B88" s="3" t="s">
        <v>39</v>
      </c>
      <c r="C88" s="3" t="s">
        <v>59</v>
      </c>
      <c r="D88" s="3" t="s">
        <v>59</v>
      </c>
      <c r="E88" s="3" t="s">
        <v>59</v>
      </c>
      <c r="F88" s="3" t="s">
        <v>146</v>
      </c>
      <c r="G88" s="3" t="s">
        <v>61</v>
      </c>
    </row>
    <row r="89" spans="1:7">
      <c r="A89" s="3" t="s">
        <v>32</v>
      </c>
      <c r="B89" s="3" t="s">
        <v>42</v>
      </c>
      <c r="C89" s="3" t="s">
        <v>59</v>
      </c>
      <c r="D89" s="3" t="s">
        <v>59</v>
      </c>
      <c r="E89" s="3" t="s">
        <v>59</v>
      </c>
      <c r="F89" s="3" t="s">
        <v>147</v>
      </c>
      <c r="G89" s="3" t="s">
        <v>61</v>
      </c>
    </row>
    <row r="90" spans="1:7">
      <c r="A90" s="3" t="s">
        <v>33</v>
      </c>
      <c r="B90" s="3" t="s">
        <v>14</v>
      </c>
      <c r="C90" s="3" t="s">
        <v>59</v>
      </c>
      <c r="D90" s="3" t="s">
        <v>59</v>
      </c>
      <c r="E90" s="3" t="s">
        <v>59</v>
      </c>
      <c r="F90" s="3" t="s">
        <v>148</v>
      </c>
      <c r="G90" s="3" t="s">
        <v>61</v>
      </c>
    </row>
    <row r="91" spans="1:7">
      <c r="A91" s="3" t="s">
        <v>33</v>
      </c>
      <c r="B91" s="3" t="s">
        <v>19</v>
      </c>
      <c r="C91" s="3" t="s">
        <v>59</v>
      </c>
      <c r="D91" s="3" t="s">
        <v>59</v>
      </c>
      <c r="E91" s="3" t="s">
        <v>59</v>
      </c>
      <c r="F91" s="3" t="s">
        <v>149</v>
      </c>
      <c r="G91" s="3" t="s">
        <v>61</v>
      </c>
    </row>
    <row r="92" spans="1:7">
      <c r="A92" s="3" t="s">
        <v>33</v>
      </c>
      <c r="B92" s="3" t="s">
        <v>21</v>
      </c>
      <c r="C92" s="3" t="s">
        <v>59</v>
      </c>
      <c r="D92" s="3" t="s">
        <v>59</v>
      </c>
      <c r="E92" s="3" t="s">
        <v>59</v>
      </c>
      <c r="F92" s="3" t="s">
        <v>150</v>
      </c>
      <c r="G92" s="3" t="s">
        <v>61</v>
      </c>
    </row>
    <row r="93" spans="1:7">
      <c r="A93" s="3" t="s">
        <v>33</v>
      </c>
      <c r="B93" s="3" t="s">
        <v>39</v>
      </c>
      <c r="C93" s="3" t="s">
        <v>59</v>
      </c>
      <c r="D93" s="3" t="s">
        <v>59</v>
      </c>
      <c r="E93" s="3" t="s">
        <v>59</v>
      </c>
      <c r="F93" s="3" t="s">
        <v>151</v>
      </c>
      <c r="G93" s="3" t="s">
        <v>61</v>
      </c>
    </row>
    <row r="94" spans="1:7">
      <c r="A94" s="3" t="s">
        <v>33</v>
      </c>
      <c r="B94" s="3" t="s">
        <v>43</v>
      </c>
      <c r="C94" s="3" t="s">
        <v>59</v>
      </c>
      <c r="D94" s="3" t="s">
        <v>59</v>
      </c>
      <c r="E94" s="3" t="s">
        <v>59</v>
      </c>
      <c r="F94" s="3" t="s">
        <v>152</v>
      </c>
      <c r="G94" s="3" t="s">
        <v>61</v>
      </c>
    </row>
    <row r="95" spans="1:7">
      <c r="A95" s="3" t="s">
        <v>34</v>
      </c>
      <c r="B95" s="3" t="s">
        <v>17</v>
      </c>
      <c r="C95" s="3" t="s">
        <v>59</v>
      </c>
      <c r="D95" s="3" t="s">
        <v>59</v>
      </c>
      <c r="E95" s="3" t="s">
        <v>59</v>
      </c>
      <c r="F95" s="3" t="s">
        <v>153</v>
      </c>
      <c r="G95" s="3" t="s">
        <v>61</v>
      </c>
    </row>
    <row r="96" spans="1:7">
      <c r="A96" s="3" t="s">
        <v>34</v>
      </c>
      <c r="B96" s="3" t="s">
        <v>23</v>
      </c>
      <c r="C96" s="3" t="s">
        <v>59</v>
      </c>
      <c r="D96" s="3" t="s">
        <v>59</v>
      </c>
      <c r="E96" s="3" t="s">
        <v>59</v>
      </c>
      <c r="F96" s="3" t="s">
        <v>154</v>
      </c>
      <c r="G96" s="3" t="s">
        <v>61</v>
      </c>
    </row>
    <row r="97" spans="1:7">
      <c r="A97" s="3" t="s">
        <v>34</v>
      </c>
      <c r="B97" s="3" t="s">
        <v>25</v>
      </c>
      <c r="C97" s="3" t="s">
        <v>59</v>
      </c>
      <c r="D97" s="3" t="s">
        <v>59</v>
      </c>
      <c r="E97" s="3" t="s">
        <v>59</v>
      </c>
      <c r="F97" s="3" t="s">
        <v>155</v>
      </c>
      <c r="G97" s="3" t="s">
        <v>61</v>
      </c>
    </row>
    <row r="98" spans="1:7">
      <c r="A98" s="3" t="s">
        <v>34</v>
      </c>
      <c r="B98" s="3" t="s">
        <v>30</v>
      </c>
      <c r="C98" s="3" t="s">
        <v>59</v>
      </c>
      <c r="D98" s="3" t="s">
        <v>59</v>
      </c>
      <c r="E98" s="3" t="s">
        <v>59</v>
      </c>
      <c r="F98" s="3" t="s">
        <v>156</v>
      </c>
      <c r="G98" s="3" t="s">
        <v>61</v>
      </c>
    </row>
    <row r="99" spans="1:7">
      <c r="A99" s="3" t="s">
        <v>34</v>
      </c>
      <c r="B99" s="3" t="s">
        <v>35</v>
      </c>
      <c r="C99" s="3" t="s">
        <v>59</v>
      </c>
      <c r="D99" s="3" t="s">
        <v>59</v>
      </c>
      <c r="E99" s="3" t="s">
        <v>59</v>
      </c>
      <c r="F99" s="3" t="s">
        <v>157</v>
      </c>
      <c r="G99" s="3" t="s">
        <v>61</v>
      </c>
    </row>
    <row r="100" spans="1:7">
      <c r="A100" s="3" t="s">
        <v>34</v>
      </c>
      <c r="B100" s="3" t="s">
        <v>41</v>
      </c>
      <c r="C100" s="3" t="s">
        <v>59</v>
      </c>
      <c r="D100" s="3" t="s">
        <v>59</v>
      </c>
      <c r="E100" s="3" t="s">
        <v>59</v>
      </c>
      <c r="F100" s="3" t="s">
        <v>158</v>
      </c>
      <c r="G100" s="3" t="s">
        <v>61</v>
      </c>
    </row>
    <row r="101" spans="1:7">
      <c r="A101" s="3" t="s">
        <v>34</v>
      </c>
      <c r="B101" s="3" t="s">
        <v>43</v>
      </c>
      <c r="C101" s="3" t="s">
        <v>59</v>
      </c>
      <c r="D101" s="3" t="s">
        <v>59</v>
      </c>
      <c r="E101" s="3" t="s">
        <v>59</v>
      </c>
      <c r="F101" s="3" t="s">
        <v>159</v>
      </c>
      <c r="G101" s="3" t="s">
        <v>61</v>
      </c>
    </row>
    <row r="102" spans="1:7">
      <c r="A102" s="3" t="s">
        <v>35</v>
      </c>
      <c r="B102" s="3" t="s">
        <v>14</v>
      </c>
      <c r="C102" s="3" t="s">
        <v>59</v>
      </c>
      <c r="D102" s="3" t="s">
        <v>59</v>
      </c>
      <c r="E102" s="3" t="s">
        <v>59</v>
      </c>
      <c r="F102" s="3" t="s">
        <v>160</v>
      </c>
      <c r="G102" s="3" t="s">
        <v>61</v>
      </c>
    </row>
    <row r="103" spans="1:7">
      <c r="A103" s="3" t="s">
        <v>35</v>
      </c>
      <c r="B103" s="3" t="s">
        <v>17</v>
      </c>
      <c r="C103" s="3" t="s">
        <v>59</v>
      </c>
      <c r="D103" s="3" t="s">
        <v>59</v>
      </c>
      <c r="E103" s="3" t="s">
        <v>59</v>
      </c>
      <c r="F103" s="3" t="s">
        <v>161</v>
      </c>
      <c r="G103" s="3" t="s">
        <v>61</v>
      </c>
    </row>
    <row r="104" spans="1:7">
      <c r="A104" s="3" t="s">
        <v>35</v>
      </c>
      <c r="B104" s="3" t="s">
        <v>34</v>
      </c>
      <c r="C104" s="3" t="s">
        <v>59</v>
      </c>
      <c r="D104" s="3" t="s">
        <v>59</v>
      </c>
      <c r="E104" s="3" t="s">
        <v>59</v>
      </c>
      <c r="F104" s="3" t="s">
        <v>162</v>
      </c>
      <c r="G104" s="3" t="s">
        <v>61</v>
      </c>
    </row>
    <row r="105" spans="1:7">
      <c r="A105" s="3" t="s">
        <v>36</v>
      </c>
      <c r="B105" s="3" t="s">
        <v>5</v>
      </c>
      <c r="C105" s="3" t="s">
        <v>59</v>
      </c>
      <c r="D105" s="3" t="s">
        <v>59</v>
      </c>
      <c r="E105" s="3" t="s">
        <v>59</v>
      </c>
      <c r="F105" s="3" t="s">
        <v>163</v>
      </c>
      <c r="G105" s="3" t="s">
        <v>61</v>
      </c>
    </row>
    <row r="106" spans="1:7">
      <c r="A106" s="3" t="s">
        <v>36</v>
      </c>
      <c r="B106" s="3" t="s">
        <v>30</v>
      </c>
      <c r="C106" s="3" t="s">
        <v>59</v>
      </c>
      <c r="D106" s="3" t="s">
        <v>59</v>
      </c>
      <c r="E106" s="3" t="s">
        <v>59</v>
      </c>
      <c r="F106" s="3" t="s">
        <v>164</v>
      </c>
      <c r="G106" s="3" t="s">
        <v>61</v>
      </c>
    </row>
    <row r="107" spans="1:7">
      <c r="A107" s="3" t="s">
        <v>37</v>
      </c>
      <c r="B107" s="3" t="s">
        <v>11</v>
      </c>
      <c r="C107" s="3" t="s">
        <v>59</v>
      </c>
      <c r="D107" s="3" t="s">
        <v>59</v>
      </c>
      <c r="E107" s="3" t="s">
        <v>59</v>
      </c>
      <c r="F107" s="3" t="s">
        <v>165</v>
      </c>
      <c r="G107" s="3" t="s">
        <v>61</v>
      </c>
    </row>
    <row r="108" spans="1:7">
      <c r="A108" s="3" t="s">
        <v>38</v>
      </c>
      <c r="B108" s="3" t="s">
        <v>5</v>
      </c>
      <c r="C108" s="3" t="s">
        <v>59</v>
      </c>
      <c r="D108" s="3" t="s">
        <v>59</v>
      </c>
      <c r="E108" s="3" t="s">
        <v>59</v>
      </c>
      <c r="F108" s="3" t="s">
        <v>166</v>
      </c>
      <c r="G108" s="3" t="s">
        <v>61</v>
      </c>
    </row>
    <row r="109" spans="1:7">
      <c r="A109" s="3" t="s">
        <v>38</v>
      </c>
      <c r="B109" s="3" t="s">
        <v>20</v>
      </c>
      <c r="C109" s="3" t="s">
        <v>59</v>
      </c>
      <c r="D109" s="3" t="s">
        <v>59</v>
      </c>
      <c r="E109" s="3" t="s">
        <v>59</v>
      </c>
      <c r="F109" s="3" t="s">
        <v>167</v>
      </c>
      <c r="G109" s="3" t="s">
        <v>61</v>
      </c>
    </row>
    <row r="110" spans="1:7">
      <c r="A110" s="3" t="s">
        <v>39</v>
      </c>
      <c r="B110" s="3" t="s">
        <v>14</v>
      </c>
      <c r="C110" s="3" t="s">
        <v>59</v>
      </c>
      <c r="D110" s="3" t="s">
        <v>59</v>
      </c>
      <c r="E110" s="3" t="s">
        <v>59</v>
      </c>
      <c r="F110" s="3" t="s">
        <v>168</v>
      </c>
      <c r="G110" s="3" t="s">
        <v>61</v>
      </c>
    </row>
    <row r="111" spans="1:7">
      <c r="A111" s="3" t="s">
        <v>39</v>
      </c>
      <c r="B111" s="3" t="s">
        <v>15</v>
      </c>
      <c r="C111" s="3" t="s">
        <v>59</v>
      </c>
      <c r="D111" s="3" t="s">
        <v>59</v>
      </c>
      <c r="E111" s="3" t="s">
        <v>59</v>
      </c>
      <c r="F111" s="3" t="s">
        <v>169</v>
      </c>
      <c r="G111" s="3" t="s">
        <v>61</v>
      </c>
    </row>
    <row r="112" spans="1:7">
      <c r="A112" s="3" t="s">
        <v>39</v>
      </c>
      <c r="B112" s="3" t="s">
        <v>21</v>
      </c>
      <c r="C112" s="3" t="s">
        <v>59</v>
      </c>
      <c r="D112" s="3" t="s">
        <v>59</v>
      </c>
      <c r="E112" s="3" t="s">
        <v>59</v>
      </c>
      <c r="F112" s="3" t="s">
        <v>170</v>
      </c>
      <c r="G112" s="3" t="s">
        <v>61</v>
      </c>
    </row>
    <row r="113" spans="1:7">
      <c r="A113" s="3" t="s">
        <v>39</v>
      </c>
      <c r="B113" s="3" t="s">
        <v>32</v>
      </c>
      <c r="C113" s="3" t="s">
        <v>59</v>
      </c>
      <c r="D113" s="3" t="s">
        <v>59</v>
      </c>
      <c r="E113" s="3" t="s">
        <v>59</v>
      </c>
      <c r="F113" s="3" t="s">
        <v>171</v>
      </c>
      <c r="G113" s="3" t="s">
        <v>61</v>
      </c>
    </row>
    <row r="114" spans="1:7">
      <c r="A114" s="3" t="s">
        <v>39</v>
      </c>
      <c r="B114" s="3" t="s">
        <v>33</v>
      </c>
      <c r="C114" s="3" t="s">
        <v>59</v>
      </c>
      <c r="D114" s="3" t="s">
        <v>59</v>
      </c>
      <c r="E114" s="3" t="s">
        <v>59</v>
      </c>
      <c r="F114" s="3" t="s">
        <v>172</v>
      </c>
      <c r="G114" s="3" t="s">
        <v>61</v>
      </c>
    </row>
    <row r="115" spans="1:7">
      <c r="A115" s="3" t="s">
        <v>39</v>
      </c>
      <c r="B115" s="3" t="s">
        <v>42</v>
      </c>
      <c r="C115" s="3" t="s">
        <v>59</v>
      </c>
      <c r="D115" s="3" t="s">
        <v>59</v>
      </c>
      <c r="E115" s="3" t="s">
        <v>59</v>
      </c>
      <c r="F115" s="3" t="s">
        <v>173</v>
      </c>
      <c r="G115" s="3" t="s">
        <v>61</v>
      </c>
    </row>
    <row r="116" spans="1:7">
      <c r="A116" s="3" t="s">
        <v>40</v>
      </c>
      <c r="B116" s="3" t="s">
        <v>13</v>
      </c>
      <c r="C116" s="3" t="s">
        <v>59</v>
      </c>
      <c r="D116" s="3" t="s">
        <v>59</v>
      </c>
      <c r="E116" s="3" t="s">
        <v>59</v>
      </c>
      <c r="F116" s="3" t="s">
        <v>174</v>
      </c>
      <c r="G116" s="3" t="s">
        <v>61</v>
      </c>
    </row>
    <row r="117" spans="1:7">
      <c r="A117" s="3" t="s">
        <v>40</v>
      </c>
      <c r="B117" s="3" t="s">
        <v>20</v>
      </c>
      <c r="C117" s="3" t="s">
        <v>59</v>
      </c>
      <c r="D117" s="3" t="s">
        <v>59</v>
      </c>
      <c r="E117" s="3" t="s">
        <v>59</v>
      </c>
      <c r="F117" s="3" t="s">
        <v>175</v>
      </c>
      <c r="G117" s="3" t="s">
        <v>61</v>
      </c>
    </row>
    <row r="118" spans="1:7">
      <c r="A118" s="3" t="s">
        <v>40</v>
      </c>
      <c r="B118" s="3" t="s">
        <v>21</v>
      </c>
      <c r="C118" s="3" t="s">
        <v>59</v>
      </c>
      <c r="D118" s="3" t="s">
        <v>59</v>
      </c>
      <c r="E118" s="3" t="s">
        <v>59</v>
      </c>
      <c r="F118" s="3" t="s">
        <v>176</v>
      </c>
      <c r="G118" s="3" t="s">
        <v>61</v>
      </c>
    </row>
    <row r="119" spans="1:7">
      <c r="A119" s="3" t="s">
        <v>40</v>
      </c>
      <c r="B119" s="3" t="s">
        <v>27</v>
      </c>
      <c r="C119" s="3" t="s">
        <v>59</v>
      </c>
      <c r="D119" s="3" t="s">
        <v>59</v>
      </c>
      <c r="E119" s="3" t="s">
        <v>59</v>
      </c>
      <c r="F119" s="3" t="s">
        <v>177</v>
      </c>
      <c r="G119" s="3" t="s">
        <v>61</v>
      </c>
    </row>
    <row r="120" spans="1:7">
      <c r="A120" s="3" t="s">
        <v>41</v>
      </c>
      <c r="B120" s="3" t="s">
        <v>22</v>
      </c>
      <c r="C120" s="3" t="s">
        <v>59</v>
      </c>
      <c r="D120" s="3" t="s">
        <v>59</v>
      </c>
      <c r="E120" s="3" t="s">
        <v>59</v>
      </c>
      <c r="F120" s="3" t="s">
        <v>178</v>
      </c>
      <c r="G120" s="3" t="s">
        <v>61</v>
      </c>
    </row>
    <row r="121" spans="1:7">
      <c r="A121" s="3" t="s">
        <v>41</v>
      </c>
      <c r="B121" s="3" t="s">
        <v>23</v>
      </c>
      <c r="C121" s="3" t="s">
        <v>59</v>
      </c>
      <c r="D121" s="3" t="s">
        <v>59</v>
      </c>
      <c r="E121" s="3" t="s">
        <v>59</v>
      </c>
      <c r="F121" s="3" t="s">
        <v>179</v>
      </c>
      <c r="G121" s="3" t="s">
        <v>61</v>
      </c>
    </row>
    <row r="122" spans="1:7">
      <c r="A122" s="3" t="s">
        <v>41</v>
      </c>
      <c r="B122" s="3" t="s">
        <v>30</v>
      </c>
      <c r="C122" s="3" t="s">
        <v>59</v>
      </c>
      <c r="D122" s="3" t="s">
        <v>59</v>
      </c>
      <c r="E122" s="3" t="s">
        <v>59</v>
      </c>
      <c r="F122" s="3" t="s">
        <v>180</v>
      </c>
      <c r="G122" s="3" t="s">
        <v>61</v>
      </c>
    </row>
    <row r="123" spans="1:7">
      <c r="A123" s="3" t="s">
        <v>41</v>
      </c>
      <c r="B123" s="3" t="s">
        <v>34</v>
      </c>
      <c r="C123" s="3" t="s">
        <v>59</v>
      </c>
      <c r="D123" s="3" t="s">
        <v>59</v>
      </c>
      <c r="E123" s="3" t="s">
        <v>59</v>
      </c>
      <c r="F123" s="3" t="s">
        <v>181</v>
      </c>
      <c r="G123" s="3" t="s">
        <v>61</v>
      </c>
    </row>
    <row r="124" spans="1:7">
      <c r="A124" s="3" t="s">
        <v>42</v>
      </c>
      <c r="B124" s="3" t="s">
        <v>15</v>
      </c>
      <c r="C124" s="3" t="s">
        <v>59</v>
      </c>
      <c r="D124" s="3" t="s">
        <v>59</v>
      </c>
      <c r="E124" s="3" t="s">
        <v>59</v>
      </c>
      <c r="F124" s="3" t="s">
        <v>182</v>
      </c>
      <c r="G124" s="3" t="s">
        <v>61</v>
      </c>
    </row>
    <row r="125" spans="1:7">
      <c r="A125" s="3" t="s">
        <v>42</v>
      </c>
      <c r="B125" s="3" t="s">
        <v>20</v>
      </c>
      <c r="C125" s="3" t="s">
        <v>59</v>
      </c>
      <c r="D125" s="3" t="s">
        <v>59</v>
      </c>
      <c r="E125" s="3" t="s">
        <v>59</v>
      </c>
      <c r="F125" s="3" t="s">
        <v>183</v>
      </c>
      <c r="G125" s="3" t="s">
        <v>61</v>
      </c>
    </row>
    <row r="126" spans="1:7">
      <c r="A126" s="3" t="s">
        <v>42</v>
      </c>
      <c r="B126" s="3" t="s">
        <v>21</v>
      </c>
      <c r="C126" s="3" t="s">
        <v>59</v>
      </c>
      <c r="D126" s="3" t="s">
        <v>59</v>
      </c>
      <c r="E126" s="3" t="s">
        <v>59</v>
      </c>
      <c r="F126" s="3" t="s">
        <v>184</v>
      </c>
      <c r="G126" s="3" t="s">
        <v>61</v>
      </c>
    </row>
    <row r="127" spans="1:7">
      <c r="A127" s="3" t="s">
        <v>42</v>
      </c>
      <c r="B127" s="3" t="s">
        <v>24</v>
      </c>
      <c r="C127" s="3" t="s">
        <v>59</v>
      </c>
      <c r="D127" s="3" t="s">
        <v>59</v>
      </c>
      <c r="E127" s="3" t="s">
        <v>59</v>
      </c>
      <c r="F127" s="3" t="s">
        <v>185</v>
      </c>
      <c r="G127" s="3" t="s">
        <v>61</v>
      </c>
    </row>
    <row r="128" spans="1:7">
      <c r="A128" s="3" t="s">
        <v>42</v>
      </c>
      <c r="B128" s="3" t="s">
        <v>26</v>
      </c>
      <c r="C128" s="3" t="s">
        <v>59</v>
      </c>
      <c r="D128" s="3" t="s">
        <v>59</v>
      </c>
      <c r="E128" s="3" t="s">
        <v>59</v>
      </c>
      <c r="F128" s="3" t="s">
        <v>186</v>
      </c>
      <c r="G128" s="3" t="s">
        <v>61</v>
      </c>
    </row>
    <row r="129" spans="1:7">
      <c r="A129" s="3" t="s">
        <v>42</v>
      </c>
      <c r="B129" s="3" t="s">
        <v>32</v>
      </c>
      <c r="C129" s="3" t="s">
        <v>59</v>
      </c>
      <c r="D129" s="3" t="s">
        <v>59</v>
      </c>
      <c r="E129" s="3" t="s">
        <v>59</v>
      </c>
      <c r="F129" s="3" t="s">
        <v>187</v>
      </c>
      <c r="G129" s="3" t="s">
        <v>61</v>
      </c>
    </row>
    <row r="130" spans="1:7">
      <c r="A130" s="3" t="s">
        <v>42</v>
      </c>
      <c r="B130" s="3" t="s">
        <v>39</v>
      </c>
      <c r="C130" s="3" t="s">
        <v>59</v>
      </c>
      <c r="D130" s="3" t="s">
        <v>59</v>
      </c>
      <c r="E130" s="3" t="s">
        <v>59</v>
      </c>
      <c r="F130" s="3" t="s">
        <v>188</v>
      </c>
      <c r="G130" s="3" t="s">
        <v>61</v>
      </c>
    </row>
    <row r="131" spans="1:7">
      <c r="A131" s="3" t="s">
        <v>43</v>
      </c>
      <c r="B131" s="3" t="s">
        <v>19</v>
      </c>
      <c r="C131" s="3" t="s">
        <v>59</v>
      </c>
      <c r="D131" s="3" t="s">
        <v>59</v>
      </c>
      <c r="E131" s="3" t="s">
        <v>59</v>
      </c>
      <c r="F131" s="3" t="s">
        <v>189</v>
      </c>
      <c r="G131" s="3" t="s">
        <v>61</v>
      </c>
    </row>
    <row r="132" spans="1:7">
      <c r="A132" s="3" t="s">
        <v>43</v>
      </c>
      <c r="B132" s="3" t="s">
        <v>23</v>
      </c>
      <c r="C132" s="3" t="s">
        <v>59</v>
      </c>
      <c r="D132" s="3" t="s">
        <v>59</v>
      </c>
      <c r="E132" s="3" t="s">
        <v>59</v>
      </c>
      <c r="F132" s="3" t="s">
        <v>190</v>
      </c>
      <c r="G132" s="3" t="s">
        <v>61</v>
      </c>
    </row>
    <row r="133" spans="1:7">
      <c r="A133" s="3" t="s">
        <v>43</v>
      </c>
      <c r="B133" s="3" t="s">
        <v>33</v>
      </c>
      <c r="C133" s="3" t="s">
        <v>59</v>
      </c>
      <c r="D133" s="3" t="s">
        <v>59</v>
      </c>
      <c r="E133" s="3" t="s">
        <v>59</v>
      </c>
      <c r="F133" s="3" t="s">
        <v>191</v>
      </c>
      <c r="G133" s="3" t="s">
        <v>61</v>
      </c>
    </row>
    <row r="134" spans="1:7">
      <c r="A134" s="3" t="s">
        <v>43</v>
      </c>
      <c r="B134" s="3" t="s">
        <v>34</v>
      </c>
      <c r="C134" s="3" t="s">
        <v>59</v>
      </c>
      <c r="D134" s="3" t="s">
        <v>59</v>
      </c>
      <c r="E134" s="3" t="s">
        <v>59</v>
      </c>
      <c r="F134" s="3" t="s">
        <v>192</v>
      </c>
      <c r="G134" s="3" t="s">
        <v>61</v>
      </c>
    </row>
    <row r="135" spans="1:7">
      <c r="A135" s="3" t="s">
        <v>44</v>
      </c>
      <c r="B135" s="3" t="s">
        <v>18</v>
      </c>
      <c r="C135" s="3" t="s">
        <v>59</v>
      </c>
      <c r="D135" s="3" t="s">
        <v>59</v>
      </c>
      <c r="E135" s="3" t="s">
        <v>59</v>
      </c>
      <c r="F135" s="3" t="s">
        <v>193</v>
      </c>
      <c r="G135" s="3" t="s">
        <v>61</v>
      </c>
    </row>
    <row r="136" spans="1:7">
      <c r="A136" s="3" t="s">
        <v>44</v>
      </c>
      <c r="B136" s="3" t="s">
        <v>22</v>
      </c>
      <c r="C136" s="3" t="s">
        <v>59</v>
      </c>
      <c r="D136" s="3" t="s">
        <v>59</v>
      </c>
      <c r="E136" s="3" t="s">
        <v>59</v>
      </c>
      <c r="F136" s="3" t="s">
        <v>194</v>
      </c>
      <c r="G136" s="3" t="s">
        <v>61</v>
      </c>
    </row>
    <row r="137" spans="1:7">
      <c r="A137" s="3" t="s">
        <v>44</v>
      </c>
      <c r="B137" s="3" t="s">
        <v>23</v>
      </c>
      <c r="C137" s="3" t="s">
        <v>59</v>
      </c>
      <c r="D137" s="3" t="s">
        <v>59</v>
      </c>
      <c r="E137" s="3" t="s">
        <v>59</v>
      </c>
      <c r="F137" s="3" t="s">
        <v>195</v>
      </c>
      <c r="G137" s="3" t="s">
        <v>61</v>
      </c>
    </row>
    <row r="138" spans="1:7">
      <c r="A138" s="3" t="s">
        <v>44</v>
      </c>
      <c r="B138" s="3" t="s">
        <v>27</v>
      </c>
      <c r="C138" s="3" t="s">
        <v>59</v>
      </c>
      <c r="D138" s="3" t="s">
        <v>59</v>
      </c>
      <c r="E138" s="3" t="s">
        <v>59</v>
      </c>
      <c r="F138" s="3" t="s">
        <v>196</v>
      </c>
      <c r="G138" s="3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 - markets</vt:lpstr>
      <vt:lpstr>Bi - markets_RecyMat_XiaoAdd</vt:lpstr>
      <vt:lpstr>ELC_Trades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</dc:creator>
  <cp:lastModifiedBy>Amit Kanudia</cp:lastModifiedBy>
  <dcterms:created xsi:type="dcterms:W3CDTF">2016-11-29T01:29:00Z</dcterms:created>
  <dcterms:modified xsi:type="dcterms:W3CDTF">2026-08-18T19:00:03Z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398677990440960</vt:r8>
  </property>
  <property fmtid="{D5CDD505-2E9C-101B-9397-08002B2CF9AE}" pid="3" name="{A44787D4-0540-4523-9961-78E4036D8C6D}">
    <vt:lpwstr>{DA8C07FF-67D8-4DC0-B741-A9FEF79D9CCE}</vt:lpwstr>
  </property>
  <property fmtid="{D5CDD505-2E9C-101B-9397-08002B2CF9AE}" pid="4" name="ICV">
    <vt:lpwstr>2F3CAE4F5BE04538B0216AD5BB41C1A3_12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