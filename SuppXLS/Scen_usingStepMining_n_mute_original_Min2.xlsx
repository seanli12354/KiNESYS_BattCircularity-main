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<sst xmlns="http://schemas.openxmlformats.org/spreadsheetml/2006/main" count="227" uniqueCount="86">
  <si>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</si>
  <si>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</si>
  <si>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</si>
  <si>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</si>
  <si>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</si>
  <si>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</si>
  <si>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</si>
  <si>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</si>
  <si>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</si>
  <si>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</si>
  <si>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</si>
  <si>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</si>
  <si>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</si>
  <si>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</si>
  <si>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</si>
  <si>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</si>
  <si>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</si>
  <si>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</si>
  <si>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</si>
  <si>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</si>
  <si>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</si>
  <si>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</si>
  <si>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</si>
  <si>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</si>
  <si>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</si>
  <si>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</si>
  <si>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</si>
  <si>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</si>
  <si>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</si>
  <si>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</si>
  <si>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</si>
  <si>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</si>
  <si>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</si>
  <si>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</si>
  <si>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</si>
  <si>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</si>
  <si>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</si>
  <si>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</si>
  <si>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</si>
  <si>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</si>
  <si>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</si>
  <si>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</si>
  <si>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</si>
  <si>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</si>
  <si>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</si>
  <si>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</si>
  <si>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</si>
  <si>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</si>
  <si>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</si>
  <si>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</si>
  <si>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</si>
  <si>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</si>
  <si>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</si>
  <si>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</si>
  <si>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</si>
  <si>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</si>
  <si>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</si>
  <si>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</si>
  <si>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</si>
  <si>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</si>
  <si>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</si>
  <si>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MINLiRSV1</t>
  </si>
  <si>
    <t>BNDACT</t>
  </si>
  <si>
    <t>CUM</t>
  </si>
  <si>
    <t>COST</t>
  </si>
  <si>
    <t>MINLiRSV2</t>
  </si>
  <si>
    <t>MINLiRSV3</t>
  </si>
  <si>
    <t>*</t>
  </si>
  <si>
    <t>MINNiRSV1</t>
  </si>
  <si>
    <t>MINNiRSV2</t>
  </si>
  <si>
    <t>MINNiRSV3</t>
  </si>
  <si>
    <t>MINCoRSV1</t>
  </si>
  <si>
    <t>MINCoRSV2</t>
  </si>
  <si>
    <t>MINCoRSV3</t>
  </si>
  <si>
    <t>MINMnRSV1</t>
  </si>
  <si>
    <t>MINMnRSV2</t>
  </si>
  <si>
    <t>MINMnRSV3</t>
  </si>
  <si>
    <t>MINAlRSV1</t>
  </si>
  <si>
    <t>MINAlRSV2</t>
  </si>
  <si>
    <t>MINAlRSV3</t>
  </si>
  <si>
    <t>MINCuRSV1</t>
  </si>
  <si>
    <t>MINCuRSV2</t>
  </si>
  <si>
    <t>MINCuRSV3</t>
  </si>
  <si>
    <t>MINGrRSV1</t>
  </si>
  <si>
    <t>MINGrRSV2</t>
  </si>
  <si>
    <t>MINGrRSV3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</si>
</sst>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_ "/>
  </numFmts>
  <fonts count="22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" fillId="0" borderId="0"/>
  </cellStyleXfs>
  <cellXfs count="8">
    <xf numFmtId="0" fontId="0" fillId="0" borderId="0" xfId="0">
      <alignment vertical="center"/>
    </xf>
    <xf numFmtId="0" fontId="1" fillId="2" borderId="0" xfId="49" applyFill="1" applyAlignment="1">
      <alignment horizontal="center"/>
    </xf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>
      <alignment vertical="center"/>
    </xf>
    <xf numFmtId="178" fontId="1" fillId="0" borderId="1" xfId="49" applyNumberFormat="1" applyBorder="1"/>
    <xf numFmtId="0" fontId="1" fillId="0" borderId="0" xfId="49" applyFont="1" applyFill="1" applyAlignment="1">
      <alignment horizontal="center"/>
    </xf>
    <xf numFmtId="0" fontId="1" fillId="0" borderId="0" xfId="49" applyFill="1" applyAlignment="1">
      <alignment horizont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09"/>
  <sheetViews>
    <sheetView tabSelected="1" zoomScale="65" zoomScaleNormal="65" zoomScaleSheetLayoutView="60" topLeftCell="E2" workbookViewId="0">
      <selection activeCell="O28" sqref="O28"/>
    </sheetView>
  </sheetViews>
  <sheetFormatPr defaultColWidth="9.81818181818182" defaultRowHeight="14.5"/>
  <cols>
    <col min="6" max="6" width="12.8181818181818" customWidth="1"/>
    <col min="11" max="11" width="33.1818181818182" customWidth="1"/>
    <col min="12" max="12" width="11.2727272727273" customWidth="1"/>
  </cols>
  <sheetData>
    <row r="4" spans="3:41">
      <c r="C4" s="1" t="s">
        <v>0</v>
      </c>
      <c r="D4" s="1">
        <v>12.85</v>
      </c>
      <c r="K4" s="2"/>
      <c r="L4" s="2" t="s">
        <v>1</v>
      </c>
      <c r="M4" s="2"/>
    </row>
    <row r="5" spans="3:41">
      <c r="C5" s="1" t="s">
        <v>2</v>
      </c>
      <c r="D5" s="1">
        <v>20</v>
      </c>
      <c r="K5" s="2" t="s">
        <v>3</v>
      </c>
      <c r="L5" s="2" t="s">
        <v>4</v>
      </c>
      <c r="M5" s="3" t="s">
        <v>5</v>
      </c>
    </row>
    <row r="6" ht="16" spans="3:41">
      <c r="C6" s="1" t="s">
        <v>6</v>
      </c>
      <c r="D6" s="1">
        <v>29.3</v>
      </c>
      <c r="K6" s="4" t="s">
        <v>7</v>
      </c>
      <c r="L6" s="5" t="s">
        <v>8</v>
      </c>
      <c r="M6">
        <v>99999</v>
      </c>
    </row>
    <row r="7" spans="3:41">
      <c r="C7" s="1" t="s">
        <v>9</v>
      </c>
      <c r="D7" s="6">
        <v>2</v>
      </c>
      <c r="K7" t="s">
        <v>10</v>
      </c>
      <c r="L7" t="str">
        <f>L6</f>
        <v>ACT_COST</v>
      </c>
      <c r="M7">
        <f>M6</f>
        <v>99999</v>
      </c>
    </row>
    <row r="8" spans="3:41">
      <c r="C8" s="1" t="s">
        <v>11</v>
      </c>
      <c r="D8" s="1">
        <v>2.5</v>
      </c>
      <c r="K8" t="s">
        <v>12</v>
      </c>
      <c r="L8" t="str">
        <f t="shared" ref="L8:L16" si="0">L7</f>
        <v>ACT_COST</v>
      </c>
      <c r="M8">
        <f t="shared" ref="M8:M17" si="1">M7</f>
        <v>99999</v>
      </c>
    </row>
    <row r="9" spans="3:41">
      <c r="C9" s="1" t="s">
        <v>13</v>
      </c>
      <c r="D9" s="1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1" t="s">
        <v>15</v>
      </c>
      <c r="D10" s="1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2"/>
      <c r="D13" s="2"/>
      <c r="E13" s="2"/>
      <c r="F13" s="2"/>
      <c r="G13" s="2"/>
      <c r="H13" s="2"/>
      <c r="I13" s="2"/>
      <c r="J13" s="2"/>
      <c r="K13" s="2" t="s">
        <v>19</v>
      </c>
      <c r="L13" t="str">
        <f t="shared" si="0"/>
        <v>ACT_COST</v>
      </c>
      <c r="M13">
        <f t="shared" si="1"/>
        <v>99999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3:41">
      <c r="C14" s="2"/>
      <c r="D14" s="2"/>
      <c r="E14" s="2"/>
      <c r="F14" s="2"/>
      <c r="G14" s="2"/>
      <c r="H14" s="2"/>
      <c r="I14" s="2"/>
      <c r="J14" s="2"/>
      <c r="K14" s="2" t="s">
        <v>20</v>
      </c>
      <c r="L14" t="str">
        <f t="shared" si="0"/>
        <v>ACT_COST</v>
      </c>
      <c r="M14">
        <f t="shared" si="1"/>
        <v>99999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3:41">
      <c r="C15" s="2"/>
      <c r="D15" s="2"/>
      <c r="E15" s="2"/>
      <c r="F15" s="2"/>
      <c r="G15" s="2"/>
      <c r="H15" s="2"/>
      <c r="I15" s="2"/>
      <c r="J15" s="2"/>
      <c r="K15" s="2" t="s">
        <v>21</v>
      </c>
      <c r="L15" t="str">
        <f t="shared" si="0"/>
        <v>ACT_COST</v>
      </c>
      <c r="M15">
        <f t="shared" si="1"/>
        <v>99999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3:41">
      <c r="C16" s="2"/>
      <c r="D16" s="2"/>
      <c r="E16" s="2"/>
      <c r="F16" s="3"/>
      <c r="G16" s="3"/>
      <c r="H16" s="3"/>
      <c r="I16" s="3"/>
      <c r="J16" s="3"/>
      <c r="K16" s="3" t="s">
        <v>22</v>
      </c>
      <c r="L16" t="str">
        <f t="shared" si="0"/>
        <v>ACT_COST</v>
      </c>
      <c r="M16">
        <f t="shared" si="1"/>
        <v>99999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2"/>
    </row>
    <row r="17" ht="16" spans="3:41">
      <c r="C17" s="2"/>
      <c r="D17" s="2"/>
      <c r="E17" s="2"/>
      <c r="F17" s="2"/>
      <c r="G17" s="2"/>
      <c r="H17" s="2"/>
      <c r="I17" s="2"/>
      <c r="J17" s="2"/>
      <c r="K17" s="4" t="s">
        <v>7</v>
      </c>
      <c r="L17" s="2" t="s">
        <v>23</v>
      </c>
      <c r="M17" s="2">
        <f t="shared" si="1"/>
        <v>99999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3:41">
      <c r="C18" s="2"/>
      <c r="D18" s="2"/>
      <c r="E18" s="2"/>
      <c r="F18" s="2"/>
      <c r="G18" s="2"/>
      <c r="H18" s="2"/>
      <c r="I18" s="2"/>
      <c r="J18" s="2"/>
      <c r="K18" t="s">
        <v>10</v>
      </c>
      <c r="L18" s="2" t="str">
        <f>L17</f>
        <v>NCAP_FOM</v>
      </c>
      <c r="M18" s="2">
        <f t="shared" ref="M18:M27" si="2">M17</f>
        <v>99999</v>
      </c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3:41">
      <c r="C19" s="2"/>
      <c r="D19" s="2"/>
      <c r="E19" s="7"/>
      <c r="F19" s="2"/>
      <c r="G19" s="2"/>
      <c r="H19" s="2"/>
      <c r="I19" s="2"/>
      <c r="J19" s="2"/>
      <c r="K19" t="s">
        <v>12</v>
      </c>
      <c r="L19" s="2" t="str">
        <f t="shared" ref="L19:L27" si="3">L18</f>
        <v>NCAP_FOM</v>
      </c>
      <c r="M19" s="2">
        <f t="shared" si="2"/>
        <v>99999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3:41">
      <c r="C20" s="2"/>
      <c r="D20" s="2"/>
      <c r="E20" s="2"/>
      <c r="F20" s="2"/>
      <c r="G20" s="2"/>
      <c r="H20" s="2"/>
      <c r="I20" s="2"/>
      <c r="J20" s="2"/>
      <c r="K20" t="s">
        <v>14</v>
      </c>
      <c r="L20" s="2" t="str">
        <f t="shared" si="3"/>
        <v>NCAP_FOM</v>
      </c>
      <c r="M20" s="2">
        <f t="shared" si="2"/>
        <v>99999</v>
      </c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3:41">
      <c r="C21" s="2"/>
      <c r="D21" s="2"/>
      <c r="E21" s="2"/>
      <c r="F21" s="2"/>
      <c r="G21" s="2"/>
      <c r="H21" s="2"/>
      <c r="I21" s="2"/>
      <c r="J21" s="2"/>
      <c r="K21" t="s">
        <v>16</v>
      </c>
      <c r="L21" s="2" t="str">
        <f t="shared" si="3"/>
        <v>NCAP_FOM</v>
      </c>
      <c r="M21" s="2">
        <f t="shared" si="2"/>
        <v>99999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3:41">
      <c r="C22" s="2"/>
      <c r="D22" s="2"/>
      <c r="E22" s="7"/>
      <c r="F22" s="2"/>
      <c r="G22" s="2"/>
      <c r="H22" s="2"/>
      <c r="I22" s="2"/>
      <c r="J22" s="2"/>
      <c r="K22" t="s">
        <v>17</v>
      </c>
      <c r="L22" s="2" t="str">
        <f t="shared" si="3"/>
        <v>NCAP_FOM</v>
      </c>
      <c r="M22" s="2">
        <f t="shared" si="2"/>
        <v>99999</v>
      </c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3:41">
      <c r="C23" s="2"/>
      <c r="D23" s="2"/>
      <c r="E23" s="2"/>
      <c r="F23" s="2"/>
      <c r="G23" s="2"/>
      <c r="H23" s="2"/>
      <c r="I23" s="2"/>
      <c r="J23" s="2"/>
      <c r="K23" t="s">
        <v>18</v>
      </c>
      <c r="L23" s="2" t="str">
        <f t="shared" si="3"/>
        <v>NCAP_FOM</v>
      </c>
      <c r="M23" s="2">
        <f t="shared" si="2"/>
        <v>99999</v>
      </c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3:41">
      <c r="C24" s="2"/>
      <c r="D24" s="2"/>
      <c r="E24" s="2"/>
      <c r="F24" s="2"/>
      <c r="G24" s="2"/>
      <c r="H24" s="2"/>
      <c r="I24" s="2"/>
      <c r="J24" s="2"/>
      <c r="K24" s="2" t="s">
        <v>19</v>
      </c>
      <c r="L24" s="2" t="str">
        <f t="shared" si="3"/>
        <v>NCAP_FOM</v>
      </c>
      <c r="M24" s="2">
        <f t="shared" si="2"/>
        <v>99999</v>
      </c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3:41">
      <c r="C25" s="2"/>
      <c r="D25" s="2"/>
      <c r="E25" s="7"/>
      <c r="F25" s="2"/>
      <c r="G25" s="2"/>
      <c r="H25" s="2"/>
      <c r="I25" s="2"/>
      <c r="J25" s="2"/>
      <c r="K25" s="2" t="s">
        <v>20</v>
      </c>
      <c r="L25" s="2" t="str">
        <f t="shared" si="3"/>
        <v>NCAP_FOM</v>
      </c>
      <c r="M25" s="2">
        <f t="shared" si="2"/>
        <v>99999</v>
      </c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3:41">
      <c r="C26" s="2"/>
      <c r="D26" s="2"/>
      <c r="E26" s="2"/>
      <c r="F26" s="2"/>
      <c r="G26" s="2"/>
      <c r="H26" s="2"/>
      <c r="I26" s="2"/>
      <c r="J26" s="2"/>
      <c r="K26" s="2" t="s">
        <v>21</v>
      </c>
      <c r="L26" s="2" t="str">
        <f t="shared" si="3"/>
        <v>NCAP_FOM</v>
      </c>
      <c r="M26" s="2">
        <f t="shared" si="2"/>
        <v>99999</v>
      </c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3:41">
      <c r="C27" s="2"/>
      <c r="D27" s="2"/>
      <c r="E27" s="2"/>
      <c r="F27" s="2"/>
      <c r="G27" s="2"/>
      <c r="H27" s="2"/>
      <c r="I27" s="2"/>
      <c r="J27" s="2"/>
      <c r="K27" s="3" t="s">
        <v>22</v>
      </c>
      <c r="L27" s="2" t="str">
        <f t="shared" si="3"/>
        <v>NCAP_FOM</v>
      </c>
      <c r="M27" s="2">
        <f t="shared" si="2"/>
        <v>99999</v>
      </c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3:41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3:41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3:41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3:41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3:41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3:41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3:41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3:41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3:41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3:41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3:41">
      <c r="C38" s="2"/>
      <c r="D38" s="2"/>
      <c r="E38" s="2"/>
      <c r="F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3:41">
      <c r="C39" s="2" t="s">
        <v>24</v>
      </c>
      <c r="D39" s="2"/>
      <c r="E39" s="2"/>
      <c r="F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3:41">
      <c r="C40" s="2" t="s">
        <v>3</v>
      </c>
      <c r="D40" s="2" t="s">
        <v>4</v>
      </c>
      <c r="E40" s="2" t="s">
        <v>25</v>
      </c>
      <c r="F40" s="2" t="s">
        <v>26</v>
      </c>
      <c r="G40" t="s">
        <v>27</v>
      </c>
      <c r="H40" t="s">
        <v>28</v>
      </c>
      <c r="I40" s="2" t="s">
        <v>29</v>
      </c>
      <c r="J40" s="2" t="s">
        <v>30</v>
      </c>
      <c r="K40" s="2" t="s">
        <v>31</v>
      </c>
      <c r="L40" s="2" t="s">
        <v>32</v>
      </c>
      <c r="M40" s="2" t="s">
        <v>33</v>
      </c>
      <c r="N40" s="2" t="s">
        <v>34</v>
      </c>
      <c r="O40" s="2" t="s">
        <v>35</v>
      </c>
      <c r="P40" s="2" t="s">
        <v>36</v>
      </c>
      <c r="Q40" s="2" t="s">
        <v>37</v>
      </c>
      <c r="R40" s="2" t="s">
        <v>38</v>
      </c>
      <c r="S40" s="2" t="s">
        <v>39</v>
      </c>
      <c r="T40" s="2" t="s">
        <v>40</v>
      </c>
      <c r="U40" s="2" t="s">
        <v>41</v>
      </c>
      <c r="V40" s="2" t="s">
        <v>42</v>
      </c>
      <c r="W40" s="2" t="s">
        <v>43</v>
      </c>
      <c r="X40" s="2" t="s">
        <v>44</v>
      </c>
      <c r="Y40" s="2" t="s">
        <v>45</v>
      </c>
      <c r="Z40" s="2" t="s">
        <v>46</v>
      </c>
      <c r="AA40" s="2" t="s">
        <v>47</v>
      </c>
      <c r="AB40" s="2" t="s">
        <v>48</v>
      </c>
      <c r="AC40" s="2" t="s">
        <v>49</v>
      </c>
      <c r="AD40" s="2" t="s">
        <v>50</v>
      </c>
      <c r="AE40" s="2" t="s">
        <v>51</v>
      </c>
      <c r="AF40" s="2" t="s">
        <v>52</v>
      </c>
      <c r="AG40" s="2" t="s">
        <v>53</v>
      </c>
      <c r="AH40" s="2" t="s">
        <v>54</v>
      </c>
      <c r="AI40" s="2" t="s">
        <v>55</v>
      </c>
      <c r="AJ40" s="2" t="s">
        <v>56</v>
      </c>
      <c r="AK40" s="2" t="s">
        <v>57</v>
      </c>
      <c r="AL40" s="2" t="s">
        <v>58</v>
      </c>
      <c r="AM40" s="2" t="s">
        <v>59</v>
      </c>
      <c r="AN40" s="2" t="s">
        <v>60</v>
      </c>
      <c r="AO40" s="2"/>
    </row>
    <row r="41" spans="3:41">
      <c r="C41" s="2" t="s">
        <v>61</v>
      </c>
      <c r="D41" s="2" t="s">
        <v>62</v>
      </c>
      <c r="E41" s="2"/>
      <c r="F41" s="2"/>
      <c r="G41">
        <v>25</v>
      </c>
      <c r="H41">
        <v>110</v>
      </c>
      <c r="I41" s="2"/>
      <c r="J41" s="2"/>
      <c r="K41" s="2"/>
      <c r="L41" s="2">
        <v>10</v>
      </c>
      <c r="M41" s="2">
        <v>40</v>
      </c>
      <c r="N41" s="2"/>
      <c r="O41" s="2"/>
      <c r="P41" s="2"/>
      <c r="Q41" s="2"/>
      <c r="R41" s="2"/>
      <c r="S41" s="2"/>
      <c r="T41" s="2"/>
      <c r="U41" s="2">
        <v>5</v>
      </c>
      <c r="V41" s="2"/>
      <c r="W41" s="2"/>
      <c r="X41" s="2"/>
      <c r="Y41" s="2">
        <v>225</v>
      </c>
      <c r="Z41" s="2">
        <v>10</v>
      </c>
      <c r="AA41" s="2">
        <v>25</v>
      </c>
      <c r="AB41" s="2"/>
      <c r="AC41" s="2"/>
      <c r="AD41" s="2">
        <v>40</v>
      </c>
      <c r="AE41" s="2">
        <v>5</v>
      </c>
      <c r="AF41" s="2"/>
      <c r="AG41" s="2"/>
      <c r="AH41" s="2">
        <v>5</v>
      </c>
      <c r="AI41" s="2"/>
      <c r="AJ41" s="2"/>
      <c r="AK41" s="2"/>
      <c r="AL41" s="2"/>
      <c r="AM41" s="2"/>
      <c r="AN41" s="2"/>
      <c r="AO41" s="2"/>
    </row>
    <row r="42" spans="3:41">
      <c r="C42" s="2" t="s">
        <v>61</v>
      </c>
      <c r="D42" s="2" t="s">
        <v>63</v>
      </c>
      <c r="E42" s="2"/>
      <c r="F42" s="2"/>
      <c r="G42">
        <v>1500</v>
      </c>
      <c r="H42">
        <v>6600</v>
      </c>
      <c r="I42" s="2"/>
      <c r="J42" s="2"/>
      <c r="K42" s="2"/>
      <c r="L42" s="2">
        <v>600</v>
      </c>
      <c r="M42" s="2">
        <v>2400</v>
      </c>
      <c r="N42" s="2"/>
      <c r="O42" s="2"/>
      <c r="P42" s="2"/>
      <c r="Q42" s="2"/>
      <c r="R42" s="2"/>
      <c r="S42" s="2"/>
      <c r="T42" s="2"/>
      <c r="U42" s="2">
        <v>300</v>
      </c>
      <c r="V42" s="2"/>
      <c r="W42" s="2"/>
      <c r="X42" s="2"/>
      <c r="Y42" s="2">
        <v>13500</v>
      </c>
      <c r="Z42" s="2">
        <v>600</v>
      </c>
      <c r="AA42" s="2">
        <v>1500</v>
      </c>
      <c r="AB42" s="2"/>
      <c r="AC42" s="2"/>
      <c r="AD42" s="2">
        <v>2400</v>
      </c>
      <c r="AE42" s="2">
        <v>300</v>
      </c>
      <c r="AF42" s="2"/>
      <c r="AG42" s="2"/>
      <c r="AH42" s="2">
        <v>300</v>
      </c>
      <c r="AI42" s="2"/>
      <c r="AJ42" s="2"/>
      <c r="AK42" s="2"/>
      <c r="AL42" s="2"/>
      <c r="AM42" s="2"/>
      <c r="AN42" s="2"/>
      <c r="AO42" s="2"/>
    </row>
    <row r="43" spans="3:41">
      <c r="C43" s="2" t="s">
        <v>61</v>
      </c>
      <c r="D43" s="2" t="s">
        <v>64</v>
      </c>
      <c r="E43" s="2" t="s">
        <v>0</v>
      </c>
      <c r="F43" s="2"/>
      <c r="G43">
        <v>8.995</v>
      </c>
      <c r="H43">
        <v>8.995</v>
      </c>
      <c r="I43" s="2"/>
      <c r="J43" s="2"/>
      <c r="K43" s="2"/>
      <c r="L43" s="2">
        <v>8.995</v>
      </c>
      <c r="M43" s="2">
        <v>8.995</v>
      </c>
      <c r="N43" s="2"/>
      <c r="O43" s="2"/>
      <c r="P43" s="2"/>
      <c r="Q43" s="2"/>
      <c r="R43" s="2"/>
      <c r="S43" s="2"/>
      <c r="T43" s="2"/>
      <c r="U43" s="2">
        <v>8.995</v>
      </c>
      <c r="V43" s="2"/>
      <c r="W43" s="2"/>
      <c r="X43" s="2"/>
      <c r="Y43" s="2">
        <v>8.995</v>
      </c>
      <c r="Z43" s="2">
        <v>8.995</v>
      </c>
      <c r="AA43" s="2">
        <v>8.995</v>
      </c>
      <c r="AB43" s="2"/>
      <c r="AC43" s="2"/>
      <c r="AD43" s="2">
        <v>8.995</v>
      </c>
      <c r="AE43" s="2">
        <v>8.995</v>
      </c>
      <c r="AF43" s="2"/>
      <c r="AG43" s="2"/>
      <c r="AH43" s="2">
        <v>8.995</v>
      </c>
      <c r="AI43" s="2"/>
      <c r="AJ43" s="2"/>
      <c r="AK43" s="2"/>
      <c r="AL43" s="2"/>
      <c r="AM43" s="2"/>
      <c r="AN43" s="2"/>
      <c r="AO43" s="2"/>
    </row>
    <row r="44" spans="3:41">
      <c r="C44" s="2" t="s">
        <v>65</v>
      </c>
      <c r="D44" s="2" t="s">
        <v>62</v>
      </c>
      <c r="E44" s="2"/>
      <c r="F44" s="2"/>
      <c r="G44">
        <v>37.5</v>
      </c>
      <c r="H44">
        <v>165</v>
      </c>
      <c r="I44" s="2"/>
      <c r="J44" s="2"/>
      <c r="K44" s="2"/>
      <c r="L44" s="2">
        <v>15</v>
      </c>
      <c r="M44" s="2">
        <v>60</v>
      </c>
      <c r="N44" s="2"/>
      <c r="O44" s="2"/>
      <c r="P44" s="2"/>
      <c r="Q44" s="2"/>
      <c r="R44" s="2"/>
      <c r="S44" s="2"/>
      <c r="T44" s="2"/>
      <c r="U44" s="2">
        <v>7.5</v>
      </c>
      <c r="V44" s="2"/>
      <c r="W44" s="2"/>
      <c r="X44" s="2"/>
      <c r="Y44" s="2">
        <v>337.5</v>
      </c>
      <c r="Z44" s="2">
        <v>15</v>
      </c>
      <c r="AA44" s="2">
        <v>37.5</v>
      </c>
      <c r="AB44" s="2"/>
      <c r="AC44" s="2"/>
      <c r="AD44" s="2">
        <v>60</v>
      </c>
      <c r="AE44" s="2">
        <v>7.5</v>
      </c>
      <c r="AF44" s="2"/>
      <c r="AG44" s="2"/>
      <c r="AH44" s="2">
        <v>7.5</v>
      </c>
      <c r="AI44" s="2"/>
      <c r="AJ44" s="2"/>
      <c r="AK44" s="2"/>
      <c r="AL44" s="2"/>
      <c r="AM44" s="2"/>
      <c r="AN44" s="2"/>
      <c r="AO44" s="2"/>
    </row>
    <row r="45" spans="3:41">
      <c r="C45" s="2" t="s">
        <v>65</v>
      </c>
      <c r="D45" s="2" t="s">
        <v>63</v>
      </c>
      <c r="E45" s="2"/>
      <c r="F45" s="2"/>
      <c r="G45" s="2">
        <v>3000</v>
      </c>
      <c r="H45" s="2">
        <v>13200</v>
      </c>
      <c r="I45" s="2"/>
      <c r="J45" s="2"/>
      <c r="K45" s="2"/>
      <c r="L45" s="2">
        <v>1200</v>
      </c>
      <c r="M45" s="2">
        <v>4800</v>
      </c>
      <c r="N45" s="2"/>
      <c r="O45" s="2"/>
      <c r="P45" s="2"/>
      <c r="Q45" s="2"/>
      <c r="R45" s="2"/>
      <c r="S45" s="2"/>
      <c r="T45" s="2"/>
      <c r="U45" s="2">
        <v>600</v>
      </c>
      <c r="V45" s="2"/>
      <c r="W45" s="2"/>
      <c r="X45" s="2"/>
      <c r="Y45" s="2">
        <v>27000</v>
      </c>
      <c r="Z45" s="2">
        <v>1200</v>
      </c>
      <c r="AA45" s="2">
        <v>3000</v>
      </c>
      <c r="AB45" s="2"/>
      <c r="AC45" s="2"/>
      <c r="AD45" s="2">
        <v>4800</v>
      </c>
      <c r="AE45" s="2">
        <v>600</v>
      </c>
      <c r="AF45" s="2"/>
      <c r="AG45" s="2"/>
      <c r="AH45" s="2">
        <v>600</v>
      </c>
      <c r="AI45" s="2"/>
      <c r="AJ45" s="2"/>
      <c r="AK45" s="2"/>
      <c r="AL45" s="2"/>
      <c r="AM45" s="2"/>
      <c r="AN45" s="2"/>
      <c r="AO45" s="2"/>
    </row>
    <row r="46" spans="3:41">
      <c r="C46" s="2" t="s">
        <v>65</v>
      </c>
      <c r="D46" s="2" t="s">
        <v>64</v>
      </c>
      <c r="E46" s="2" t="s">
        <v>0</v>
      </c>
      <c r="F46" s="2"/>
      <c r="G46" s="2">
        <v>16.705</v>
      </c>
      <c r="H46" s="2">
        <v>16.705</v>
      </c>
      <c r="I46" s="2"/>
      <c r="J46" s="2"/>
      <c r="K46" s="2"/>
      <c r="L46" s="2">
        <v>16.705</v>
      </c>
      <c r="M46" s="2">
        <v>16.705</v>
      </c>
      <c r="N46" s="2"/>
      <c r="O46" s="2"/>
      <c r="P46" s="2"/>
      <c r="Q46" s="2"/>
      <c r="R46" s="2"/>
      <c r="S46" s="2"/>
      <c r="T46" s="2"/>
      <c r="U46" s="2">
        <v>16.705</v>
      </c>
      <c r="V46" s="2"/>
      <c r="W46" s="2"/>
      <c r="X46" s="2"/>
      <c r="Y46" s="2">
        <v>16.705</v>
      </c>
      <c r="Z46" s="2">
        <v>16.705</v>
      </c>
      <c r="AA46" s="2">
        <v>16.705</v>
      </c>
      <c r="AB46" s="2"/>
      <c r="AC46" s="2"/>
      <c r="AD46" s="2">
        <v>16.705</v>
      </c>
      <c r="AE46" s="2">
        <v>16.705</v>
      </c>
      <c r="AF46" s="2"/>
      <c r="AG46" s="2"/>
      <c r="AH46" s="2">
        <v>16.705</v>
      </c>
      <c r="AI46" s="2"/>
      <c r="AJ46" s="2"/>
      <c r="AK46" s="2"/>
      <c r="AL46" s="2"/>
      <c r="AM46" s="2"/>
      <c r="AN46" s="2"/>
      <c r="AO46" s="2"/>
    </row>
    <row r="47" spans="3:41">
      <c r="C47" s="2" t="s">
        <v>66</v>
      </c>
      <c r="D47" s="2" t="s">
        <v>62</v>
      </c>
      <c r="E47" s="2"/>
      <c r="F47" s="2"/>
      <c r="G47" s="2">
        <v>60</v>
      </c>
      <c r="H47" s="2">
        <v>264</v>
      </c>
      <c r="I47" s="2"/>
      <c r="J47" s="2"/>
      <c r="K47" s="2"/>
      <c r="L47" s="2">
        <v>24</v>
      </c>
      <c r="M47" s="2">
        <v>96</v>
      </c>
      <c r="N47" s="2"/>
      <c r="O47" s="2"/>
      <c r="P47" s="2"/>
      <c r="Q47" s="2"/>
      <c r="R47" s="2"/>
      <c r="S47" s="2"/>
      <c r="T47" s="2"/>
      <c r="U47" s="2">
        <v>12</v>
      </c>
      <c r="V47" s="2"/>
      <c r="W47" s="2"/>
      <c r="X47" s="2"/>
      <c r="Y47" s="2">
        <v>540</v>
      </c>
      <c r="Z47" s="2">
        <v>24</v>
      </c>
      <c r="AA47" s="2">
        <v>60</v>
      </c>
      <c r="AB47" s="2"/>
      <c r="AC47" s="2"/>
      <c r="AD47" s="2">
        <v>96</v>
      </c>
      <c r="AE47" s="2">
        <v>12</v>
      </c>
      <c r="AF47" s="2"/>
      <c r="AG47" s="2"/>
      <c r="AH47" s="2">
        <v>12</v>
      </c>
      <c r="AI47" s="2"/>
      <c r="AJ47" s="2"/>
      <c r="AK47" s="2"/>
      <c r="AL47" s="2"/>
      <c r="AM47" s="2"/>
      <c r="AN47" s="2"/>
      <c r="AO47" s="2"/>
    </row>
    <row r="48" spans="3:41">
      <c r="C48" s="2" t="s">
        <v>66</v>
      </c>
      <c r="D48" s="2" t="s">
        <v>63</v>
      </c>
      <c r="E48" s="2"/>
      <c r="F48" s="2"/>
      <c r="G48" s="2">
        <v>6000</v>
      </c>
      <c r="H48" s="2">
        <v>26400</v>
      </c>
      <c r="I48" s="2"/>
      <c r="J48" s="2"/>
      <c r="K48" s="2"/>
      <c r="L48" s="2">
        <v>2400</v>
      </c>
      <c r="M48" s="2">
        <v>9600</v>
      </c>
      <c r="N48" s="2"/>
      <c r="O48" s="2"/>
      <c r="P48" s="2"/>
      <c r="Q48" s="2"/>
      <c r="R48" s="2"/>
      <c r="S48" s="2"/>
      <c r="T48" s="2"/>
      <c r="U48" s="2">
        <v>1200</v>
      </c>
      <c r="V48" s="2"/>
      <c r="W48" s="2"/>
      <c r="X48" s="2"/>
      <c r="Y48" s="2">
        <v>54000</v>
      </c>
      <c r="Z48" s="2">
        <v>2400</v>
      </c>
      <c r="AA48" s="2">
        <v>6000</v>
      </c>
      <c r="AB48" s="2"/>
      <c r="AC48" s="2"/>
      <c r="AD48" s="2">
        <v>9600</v>
      </c>
      <c r="AE48" s="2">
        <v>1200</v>
      </c>
      <c r="AF48" s="2"/>
      <c r="AG48" s="2"/>
      <c r="AH48" s="2">
        <v>1200</v>
      </c>
      <c r="AI48" s="2"/>
      <c r="AJ48" s="2"/>
      <c r="AK48" s="2"/>
      <c r="AL48" s="2"/>
      <c r="AM48" s="2"/>
      <c r="AN48" s="2"/>
      <c r="AO48" s="2"/>
    </row>
    <row r="49" spans="3:41">
      <c r="C49" s="2" t="s">
        <v>66</v>
      </c>
      <c r="D49" s="2" t="s">
        <v>64</v>
      </c>
      <c r="E49" s="2" t="s">
        <v>0</v>
      </c>
      <c r="F49" s="2"/>
      <c r="G49" s="2">
        <v>32.125</v>
      </c>
      <c r="H49" s="2">
        <v>32.125</v>
      </c>
      <c r="I49" s="2"/>
      <c r="J49" s="2"/>
      <c r="K49" s="2"/>
      <c r="L49" s="2">
        <v>32.125</v>
      </c>
      <c r="M49" s="2">
        <v>32.125</v>
      </c>
      <c r="N49" s="2"/>
      <c r="O49" s="2"/>
      <c r="P49" s="2"/>
      <c r="Q49" s="2"/>
      <c r="R49" s="2"/>
      <c r="S49" s="2"/>
      <c r="T49" s="2"/>
      <c r="U49" s="2">
        <v>32.125</v>
      </c>
      <c r="V49" s="2"/>
      <c r="W49" s="2"/>
      <c r="X49" s="2"/>
      <c r="Y49" s="2">
        <v>32.125</v>
      </c>
      <c r="Z49" s="2">
        <v>32.125</v>
      </c>
      <c r="AA49" s="2">
        <v>32.125</v>
      </c>
      <c r="AB49" s="2"/>
      <c r="AC49" s="2"/>
      <c r="AD49" s="2">
        <v>32.125</v>
      </c>
      <c r="AE49" s="2">
        <v>32.125</v>
      </c>
      <c r="AF49" s="2"/>
      <c r="AG49" s="2"/>
      <c r="AH49" s="2">
        <v>32.125</v>
      </c>
      <c r="AI49" s="2"/>
      <c r="AJ49" s="2"/>
      <c r="AK49" s="2"/>
      <c r="AL49" s="2"/>
      <c r="AM49" s="2"/>
      <c r="AN49" s="2"/>
      <c r="AO49" s="2"/>
    </row>
    <row r="50" spans="3:41">
      <c r="C50" s="2" t="s">
        <v>67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3:41">
      <c r="C51" s="2" t="s">
        <v>68</v>
      </c>
      <c r="D51" s="2" t="s">
        <v>62</v>
      </c>
      <c r="E51" s="2"/>
      <c r="F51" s="2">
        <v>21.6666666666667</v>
      </c>
      <c r="G51" s="2">
        <v>86.6666666666667</v>
      </c>
      <c r="H51" s="2">
        <v>346.666666666667</v>
      </c>
      <c r="I51" s="2"/>
      <c r="J51" s="2"/>
      <c r="K51" s="2"/>
      <c r="L51" s="2">
        <v>260</v>
      </c>
      <c r="M51" s="2">
        <v>65</v>
      </c>
      <c r="N51" s="2"/>
      <c r="O51" s="2"/>
      <c r="P51" s="2"/>
      <c r="Q51" s="2"/>
      <c r="R51" s="2">
        <v>21.6666666666667</v>
      </c>
      <c r="S51" s="2"/>
      <c r="T51" s="2"/>
      <c r="U51" s="2"/>
      <c r="V51" s="2"/>
      <c r="W51" s="2"/>
      <c r="X51" s="2"/>
      <c r="Y51" s="2">
        <v>108.333333333333</v>
      </c>
      <c r="Z51" s="2"/>
      <c r="AA51" s="2">
        <v>43.3333333333333</v>
      </c>
      <c r="AB51" s="2"/>
      <c r="AC51" s="2"/>
      <c r="AD51" s="2">
        <v>953.333333333333</v>
      </c>
      <c r="AE51" s="2">
        <v>130</v>
      </c>
      <c r="AF51" s="2"/>
      <c r="AG51" s="2">
        <v>65</v>
      </c>
      <c r="AH51" s="2"/>
      <c r="AI51" s="2">
        <v>21.6666666666667</v>
      </c>
      <c r="AJ51" s="2"/>
      <c r="AK51" s="2">
        <v>43.3333333333333</v>
      </c>
      <c r="AL51" s="2"/>
      <c r="AM51" s="2"/>
      <c r="AN51" s="2"/>
      <c r="AO51" s="2"/>
    </row>
    <row r="52" spans="3:41">
      <c r="C52" s="2" t="s">
        <v>68</v>
      </c>
      <c r="D52" s="2" t="s">
        <v>63</v>
      </c>
      <c r="E52" s="2"/>
      <c r="F52" s="2">
        <v>1300</v>
      </c>
      <c r="G52" s="2">
        <v>5200</v>
      </c>
      <c r="H52" s="2">
        <v>20800</v>
      </c>
      <c r="I52" s="2"/>
      <c r="J52" s="2"/>
      <c r="K52" s="2"/>
      <c r="L52" s="2">
        <v>15600</v>
      </c>
      <c r="M52" s="2">
        <v>3900</v>
      </c>
      <c r="N52" s="2"/>
      <c r="O52" s="2"/>
      <c r="P52" s="2"/>
      <c r="Q52" s="2"/>
      <c r="R52" s="2">
        <v>1300</v>
      </c>
      <c r="S52" s="2"/>
      <c r="T52" s="2"/>
      <c r="U52" s="2"/>
      <c r="V52" s="2"/>
      <c r="W52" s="2"/>
      <c r="X52" s="2"/>
      <c r="Y52" s="2">
        <v>6500</v>
      </c>
      <c r="Z52" s="2"/>
      <c r="AA52" s="2">
        <v>2600</v>
      </c>
      <c r="AB52" s="2"/>
      <c r="AC52" s="2"/>
      <c r="AD52" s="2">
        <v>57200</v>
      </c>
      <c r="AE52" s="2">
        <v>7800</v>
      </c>
      <c r="AF52" s="2"/>
      <c r="AG52" s="2">
        <v>3900</v>
      </c>
      <c r="AH52" s="2"/>
      <c r="AI52" s="2">
        <v>1300</v>
      </c>
      <c r="AJ52" s="2"/>
      <c r="AK52" s="2">
        <v>2600</v>
      </c>
      <c r="AL52" s="2"/>
      <c r="AM52" s="2"/>
      <c r="AN52" s="2"/>
      <c r="AO52" s="2"/>
    </row>
    <row r="53" spans="3:41">
      <c r="C53" s="2" t="s">
        <v>68</v>
      </c>
      <c r="D53" s="2" t="s">
        <v>64</v>
      </c>
      <c r="E53" s="2" t="s">
        <v>2</v>
      </c>
      <c r="F53" s="2">
        <v>14</v>
      </c>
      <c r="G53" s="2">
        <v>14</v>
      </c>
      <c r="H53" s="2">
        <v>14</v>
      </c>
      <c r="I53" s="2"/>
      <c r="J53" s="2"/>
      <c r="K53" s="2"/>
      <c r="L53" s="2">
        <v>14</v>
      </c>
      <c r="M53" s="2">
        <v>14</v>
      </c>
      <c r="N53" s="2"/>
      <c r="O53" s="2"/>
      <c r="P53" s="2"/>
      <c r="Q53" s="2"/>
      <c r="R53" s="2">
        <v>14</v>
      </c>
      <c r="S53" s="2"/>
      <c r="T53" s="2"/>
      <c r="U53" s="2"/>
      <c r="V53" s="2"/>
      <c r="W53" s="2"/>
      <c r="X53" s="2"/>
      <c r="Y53" s="2">
        <v>14</v>
      </c>
      <c r="Z53" s="2"/>
      <c r="AA53" s="2">
        <v>14</v>
      </c>
      <c r="AB53" s="2"/>
      <c r="AC53" s="2"/>
      <c r="AD53" s="2">
        <v>14</v>
      </c>
      <c r="AE53" s="2">
        <v>14</v>
      </c>
      <c r="AF53" s="2"/>
      <c r="AG53" s="2">
        <v>14</v>
      </c>
      <c r="AH53" s="2"/>
      <c r="AI53" s="2">
        <v>14</v>
      </c>
      <c r="AJ53" s="2"/>
      <c r="AK53" s="2">
        <v>14</v>
      </c>
      <c r="AL53" s="2"/>
      <c r="AM53" s="2"/>
      <c r="AN53" s="2"/>
      <c r="AO53" s="2"/>
    </row>
    <row r="54" spans="3:41">
      <c r="C54" s="2" t="s">
        <v>69</v>
      </c>
      <c r="D54" s="2" t="s">
        <v>62</v>
      </c>
      <c r="E54" s="2"/>
      <c r="F54" s="2">
        <v>32.5</v>
      </c>
      <c r="G54" s="2">
        <v>130</v>
      </c>
      <c r="H54" s="2">
        <v>520</v>
      </c>
      <c r="I54" s="2"/>
      <c r="J54" s="2"/>
      <c r="K54" s="2"/>
      <c r="L54" s="2">
        <v>390</v>
      </c>
      <c r="M54" s="2">
        <v>97.5</v>
      </c>
      <c r="N54" s="2"/>
      <c r="O54" s="2"/>
      <c r="P54" s="2"/>
      <c r="Q54" s="2"/>
      <c r="R54" s="2">
        <v>32.5</v>
      </c>
      <c r="S54" s="2"/>
      <c r="T54" s="2"/>
      <c r="U54" s="2"/>
      <c r="V54" s="2"/>
      <c r="W54" s="2"/>
      <c r="X54" s="2"/>
      <c r="Y54" s="2">
        <v>162.5</v>
      </c>
      <c r="Z54" s="2"/>
      <c r="AA54" s="2">
        <v>65</v>
      </c>
      <c r="AB54" s="2"/>
      <c r="AC54" s="2"/>
      <c r="AD54" s="2">
        <v>1430</v>
      </c>
      <c r="AE54" s="2">
        <v>195</v>
      </c>
      <c r="AF54" s="2"/>
      <c r="AG54" s="2">
        <v>97.5</v>
      </c>
      <c r="AH54" s="2"/>
      <c r="AI54" s="2">
        <v>32.5</v>
      </c>
      <c r="AJ54" s="2"/>
      <c r="AK54" s="2">
        <v>65</v>
      </c>
      <c r="AL54" s="2"/>
      <c r="AM54" s="2"/>
      <c r="AN54" s="2"/>
      <c r="AO54" s="2"/>
    </row>
    <row r="55" spans="3:41">
      <c r="C55" s="2" t="s">
        <v>69</v>
      </c>
      <c r="D55" s="2" t="s">
        <v>63</v>
      </c>
      <c r="E55" s="2"/>
      <c r="F55" s="2">
        <v>2600</v>
      </c>
      <c r="G55" s="2">
        <v>10400</v>
      </c>
      <c r="H55" s="2">
        <v>41600</v>
      </c>
      <c r="I55" s="2"/>
      <c r="J55" s="2"/>
      <c r="K55" s="2"/>
      <c r="L55" s="2">
        <v>31200</v>
      </c>
      <c r="M55" s="2">
        <v>7800</v>
      </c>
      <c r="N55" s="2"/>
      <c r="O55" s="2"/>
      <c r="P55" s="2"/>
      <c r="Q55" s="2"/>
      <c r="R55" s="2">
        <v>2600</v>
      </c>
      <c r="S55" s="2"/>
      <c r="T55" s="2"/>
      <c r="U55" s="2"/>
      <c r="V55" s="2"/>
      <c r="W55" s="2"/>
      <c r="X55" s="2"/>
      <c r="Y55" s="2">
        <v>13000</v>
      </c>
      <c r="Z55" s="2"/>
      <c r="AA55" s="2">
        <v>5200</v>
      </c>
      <c r="AB55" s="2"/>
      <c r="AC55" s="2"/>
      <c r="AD55" s="2">
        <v>114400</v>
      </c>
      <c r="AE55" s="2">
        <v>15600</v>
      </c>
      <c r="AF55" s="2"/>
      <c r="AG55" s="2">
        <v>7800</v>
      </c>
      <c r="AH55" s="2"/>
      <c r="AI55" s="2">
        <v>2600</v>
      </c>
      <c r="AJ55" s="2"/>
      <c r="AK55" s="2">
        <v>5200</v>
      </c>
      <c r="AL55" s="2"/>
      <c r="AM55" s="2"/>
      <c r="AN55" s="2"/>
      <c r="AO55" s="2"/>
    </row>
    <row r="56" spans="3:41">
      <c r="C56" s="2" t="s">
        <v>69</v>
      </c>
      <c r="D56" s="2" t="s">
        <v>64</v>
      </c>
      <c r="E56" s="2" t="s">
        <v>2</v>
      </c>
      <c r="F56" s="2">
        <v>26</v>
      </c>
      <c r="G56" s="2">
        <v>26</v>
      </c>
      <c r="H56" s="2">
        <v>26</v>
      </c>
      <c r="I56" s="2"/>
      <c r="J56" s="2"/>
      <c r="K56" s="2"/>
      <c r="L56" s="2">
        <v>26</v>
      </c>
      <c r="M56" s="2">
        <v>26</v>
      </c>
      <c r="N56" s="2"/>
      <c r="O56" s="2"/>
      <c r="P56" s="2"/>
      <c r="Q56" s="2"/>
      <c r="R56" s="2">
        <v>26</v>
      </c>
      <c r="S56" s="2"/>
      <c r="T56" s="2"/>
      <c r="U56" s="2"/>
      <c r="V56" s="2"/>
      <c r="W56" s="2"/>
      <c r="X56" s="2"/>
      <c r="Y56" s="2">
        <v>26</v>
      </c>
      <c r="Z56" s="2"/>
      <c r="AA56" s="2">
        <v>26</v>
      </c>
      <c r="AB56" s="2"/>
      <c r="AC56" s="2"/>
      <c r="AD56" s="2">
        <v>26</v>
      </c>
      <c r="AE56" s="2">
        <v>26</v>
      </c>
      <c r="AF56" s="2"/>
      <c r="AG56" s="2">
        <v>26</v>
      </c>
      <c r="AH56" s="2"/>
      <c r="AI56" s="2">
        <v>26</v>
      </c>
      <c r="AJ56" s="2"/>
      <c r="AK56" s="2">
        <v>26</v>
      </c>
      <c r="AL56" s="2"/>
      <c r="AM56" s="2"/>
      <c r="AN56" s="2"/>
      <c r="AO56" s="2"/>
    </row>
    <row r="57" spans="3:41">
      <c r="C57" t="s">
        <v>70</v>
      </c>
      <c r="D57" t="s">
        <v>62</v>
      </c>
      <c r="F57">
        <v>52</v>
      </c>
      <c r="G57">
        <v>208</v>
      </c>
      <c r="H57">
        <v>832</v>
      </c>
      <c r="L57">
        <v>624</v>
      </c>
      <c r="M57">
        <v>156</v>
      </c>
      <c r="R57">
        <v>52</v>
      </c>
      <c r="Y57">
        <v>260</v>
      </c>
      <c r="AA57">
        <v>104</v>
      </c>
      <c r="AD57">
        <v>2288</v>
      </c>
      <c r="AE57">
        <v>312</v>
      </c>
      <c r="AG57">
        <v>156</v>
      </c>
      <c r="AI57">
        <v>52</v>
      </c>
      <c r="AK57">
        <v>104</v>
      </c>
    </row>
    <row r="58" spans="3:41">
      <c r="C58" t="s">
        <v>70</v>
      </c>
      <c r="D58" t="s">
        <v>63</v>
      </c>
      <c r="F58">
        <v>5200</v>
      </c>
      <c r="G58">
        <v>20800</v>
      </c>
      <c r="H58">
        <v>83200</v>
      </c>
      <c r="L58">
        <v>62400</v>
      </c>
      <c r="M58">
        <v>15600</v>
      </c>
      <c r="R58">
        <v>5200</v>
      </c>
      <c r="Y58">
        <v>26000</v>
      </c>
      <c r="AA58">
        <v>10400</v>
      </c>
      <c r="AD58">
        <v>228800</v>
      </c>
      <c r="AE58">
        <v>31200</v>
      </c>
      <c r="AG58">
        <v>15600</v>
      </c>
      <c r="AI58">
        <v>5200</v>
      </c>
      <c r="AK58">
        <v>10400</v>
      </c>
    </row>
    <row r="59" spans="3:41">
      <c r="C59" t="s">
        <v>70</v>
      </c>
      <c r="D59" t="s">
        <v>64</v>
      </c>
      <c r="E59" t="s">
        <v>2</v>
      </c>
      <c r="F59">
        <v>50</v>
      </c>
      <c r="G59">
        <v>50</v>
      </c>
      <c r="H59">
        <v>50</v>
      </c>
      <c r="L59">
        <v>50</v>
      </c>
      <c r="M59">
        <v>50</v>
      </c>
      <c r="R59">
        <v>50</v>
      </c>
      <c r="Y59">
        <v>50</v>
      </c>
      <c r="AA59">
        <v>50</v>
      </c>
      <c r="AD59">
        <v>50</v>
      </c>
      <c r="AE59">
        <v>50</v>
      </c>
      <c r="AG59">
        <v>50</v>
      </c>
      <c r="AI59">
        <v>50</v>
      </c>
      <c r="AK59">
        <v>50</v>
      </c>
    </row>
    <row r="60" spans="3:41">
      <c r="C60" t="s">
        <v>67</v>
      </c>
    </row>
    <row r="61" spans="3:41">
      <c r="C61" t="s">
        <v>71</v>
      </c>
      <c r="D61" t="s">
        <v>62</v>
      </c>
      <c r="F61">
        <v>1.83333333333333</v>
      </c>
      <c r="G61">
        <v>99</v>
      </c>
      <c r="H61">
        <v>25.6666666666667</v>
      </c>
      <c r="M61">
        <v>1.83333333333333</v>
      </c>
      <c r="Y61">
        <v>7.33333333333333</v>
      </c>
      <c r="Z61">
        <v>1.83333333333333</v>
      </c>
      <c r="AA61">
        <v>5.5</v>
      </c>
      <c r="AD61">
        <v>33</v>
      </c>
      <c r="AE61">
        <v>3.66666666666667</v>
      </c>
      <c r="AG61">
        <v>1.83333333333333</v>
      </c>
      <c r="AK61">
        <v>1.83333333333333</v>
      </c>
    </row>
    <row r="62" spans="3:41">
      <c r="C62" t="s">
        <v>71</v>
      </c>
      <c r="D62" t="s">
        <v>63</v>
      </c>
      <c r="F62">
        <v>110</v>
      </c>
      <c r="G62">
        <v>5940</v>
      </c>
      <c r="H62">
        <v>1540</v>
      </c>
      <c r="M62">
        <v>110</v>
      </c>
      <c r="Y62">
        <v>440</v>
      </c>
      <c r="Z62">
        <v>110</v>
      </c>
      <c r="AA62">
        <v>330</v>
      </c>
      <c r="AD62">
        <v>1980</v>
      </c>
      <c r="AE62">
        <v>220</v>
      </c>
      <c r="AG62">
        <v>110</v>
      </c>
      <c r="AK62">
        <v>110</v>
      </c>
    </row>
    <row r="63" spans="3:41">
      <c r="C63" t="s">
        <v>71</v>
      </c>
      <c r="D63" t="s">
        <v>64</v>
      </c>
      <c r="E63" t="s">
        <v>6</v>
      </c>
      <c r="F63">
        <v>20.51</v>
      </c>
      <c r="G63">
        <v>20.51</v>
      </c>
      <c r="H63">
        <v>20.51</v>
      </c>
      <c r="M63">
        <v>20.51</v>
      </c>
      <c r="Y63">
        <v>20.51</v>
      </c>
      <c r="Z63">
        <v>20.51</v>
      </c>
      <c r="AA63">
        <v>20.51</v>
      </c>
      <c r="AD63">
        <v>20.51</v>
      </c>
      <c r="AE63">
        <v>20.51</v>
      </c>
      <c r="AG63">
        <v>20.51</v>
      </c>
      <c r="AK63">
        <v>20.51</v>
      </c>
    </row>
    <row r="64" spans="3:41">
      <c r="C64" t="s">
        <v>72</v>
      </c>
      <c r="D64" t="s">
        <v>62</v>
      </c>
      <c r="F64">
        <v>2.75</v>
      </c>
      <c r="G64">
        <v>148.5</v>
      </c>
      <c r="H64">
        <v>38.5</v>
      </c>
      <c r="M64">
        <v>2.75</v>
      </c>
      <c r="Y64">
        <v>11</v>
      </c>
      <c r="Z64">
        <v>2.75</v>
      </c>
      <c r="AA64">
        <v>8.25</v>
      </c>
      <c r="AD64">
        <v>49.5</v>
      </c>
      <c r="AE64">
        <v>5.5</v>
      </c>
      <c r="AG64">
        <v>2.75</v>
      </c>
      <c r="AK64">
        <v>2.75</v>
      </c>
    </row>
    <row r="65" spans="3:39">
      <c r="C65" t="s">
        <v>72</v>
      </c>
      <c r="D65" t="s">
        <v>63</v>
      </c>
      <c r="F65">
        <v>220</v>
      </c>
      <c r="G65">
        <v>11880</v>
      </c>
      <c r="H65">
        <v>3080</v>
      </c>
      <c r="M65">
        <v>220</v>
      </c>
      <c r="Y65">
        <v>880</v>
      </c>
      <c r="Z65">
        <v>220</v>
      </c>
      <c r="AA65">
        <v>660</v>
      </c>
      <c r="AD65">
        <v>3960</v>
      </c>
      <c r="AE65">
        <v>440</v>
      </c>
      <c r="AG65">
        <v>220</v>
      </c>
      <c r="AK65">
        <v>220</v>
      </c>
    </row>
    <row r="66" spans="3:39">
      <c r="C66" t="s">
        <v>72</v>
      </c>
      <c r="D66" t="s">
        <v>64</v>
      </c>
      <c r="E66" t="s">
        <v>6</v>
      </c>
      <c r="F66">
        <v>38.09</v>
      </c>
      <c r="G66">
        <v>38.09</v>
      </c>
      <c r="H66">
        <v>38.09</v>
      </c>
      <c r="M66">
        <v>38.09</v>
      </c>
      <c r="Y66">
        <v>38.09</v>
      </c>
      <c r="Z66">
        <v>38.09</v>
      </c>
      <c r="AA66">
        <v>38.09</v>
      </c>
      <c r="AD66">
        <v>38.09</v>
      </c>
      <c r="AE66">
        <v>38.09</v>
      </c>
      <c r="AG66">
        <v>38.09</v>
      </c>
      <c r="AK66">
        <v>38.09</v>
      </c>
    </row>
    <row r="67" spans="3:39">
      <c r="C67" t="s">
        <v>73</v>
      </c>
      <c r="D67" t="s">
        <v>62</v>
      </c>
      <c r="F67">
        <v>4.4</v>
      </c>
      <c r="G67">
        <v>237.6</v>
      </c>
      <c r="H67">
        <v>61.6</v>
      </c>
      <c r="M67">
        <v>4.4</v>
      </c>
      <c r="Y67">
        <v>17.6</v>
      </c>
      <c r="Z67">
        <v>4.4</v>
      </c>
      <c r="AA67">
        <v>13.2</v>
      </c>
      <c r="AD67">
        <v>79.2</v>
      </c>
      <c r="AE67">
        <v>8.8</v>
      </c>
      <c r="AG67">
        <v>4.4</v>
      </c>
      <c r="AK67">
        <v>4.4</v>
      </c>
    </row>
    <row r="68" spans="3:39">
      <c r="C68" t="s">
        <v>73</v>
      </c>
      <c r="D68" t="s">
        <v>63</v>
      </c>
      <c r="F68">
        <v>440</v>
      </c>
      <c r="G68">
        <v>23760</v>
      </c>
      <c r="H68">
        <v>6160</v>
      </c>
      <c r="M68">
        <v>440</v>
      </c>
      <c r="Y68">
        <v>1760</v>
      </c>
      <c r="Z68">
        <v>440</v>
      </c>
      <c r="AA68">
        <v>1320</v>
      </c>
      <c r="AD68">
        <v>7920</v>
      </c>
      <c r="AE68">
        <v>880</v>
      </c>
      <c r="AG68">
        <v>440</v>
      </c>
      <c r="AK68">
        <v>440</v>
      </c>
    </row>
    <row r="69" spans="3:39">
      <c r="C69" t="s">
        <v>73</v>
      </c>
      <c r="D69" t="s">
        <v>64</v>
      </c>
      <c r="E69" t="s">
        <v>6</v>
      </c>
      <c r="F69">
        <v>73.25</v>
      </c>
      <c r="G69">
        <v>73.25</v>
      </c>
      <c r="H69">
        <v>73.25</v>
      </c>
      <c r="M69">
        <v>73.25</v>
      </c>
      <c r="Y69">
        <v>73.25</v>
      </c>
      <c r="Z69">
        <v>73.25</v>
      </c>
      <c r="AA69">
        <v>73.25</v>
      </c>
      <c r="AD69">
        <v>73.25</v>
      </c>
      <c r="AE69">
        <v>73.25</v>
      </c>
      <c r="AG69">
        <v>73.25</v>
      </c>
      <c r="AK69">
        <v>73.25</v>
      </c>
    </row>
    <row r="70" spans="3:39">
      <c r="C70" t="s">
        <v>67</v>
      </c>
    </row>
    <row r="71" spans="3:39">
      <c r="C71" t="s">
        <v>74</v>
      </c>
      <c r="D71" t="s">
        <v>62</v>
      </c>
      <c r="G71">
        <v>1900</v>
      </c>
      <c r="H71">
        <v>4433.33333333333</v>
      </c>
      <c r="L71">
        <v>4750</v>
      </c>
      <c r="M71">
        <v>4433.33333333333</v>
      </c>
      <c r="U71">
        <v>950</v>
      </c>
      <c r="Y71">
        <v>633.333333333333</v>
      </c>
      <c r="AD71">
        <v>950</v>
      </c>
      <c r="AG71">
        <v>11400</v>
      </c>
      <c r="AM71">
        <v>2216.66666666667</v>
      </c>
    </row>
    <row r="72" spans="3:39">
      <c r="C72" t="s">
        <v>74</v>
      </c>
      <c r="D72" t="s">
        <v>63</v>
      </c>
      <c r="G72">
        <v>114000</v>
      </c>
      <c r="H72">
        <v>266000</v>
      </c>
      <c r="L72">
        <v>285000</v>
      </c>
      <c r="M72">
        <v>266000</v>
      </c>
      <c r="U72">
        <v>57000</v>
      </c>
      <c r="Y72">
        <v>38000</v>
      </c>
      <c r="AD72">
        <v>57000</v>
      </c>
      <c r="AG72">
        <v>684000</v>
      </c>
      <c r="AM72">
        <v>133000</v>
      </c>
    </row>
    <row r="73" spans="3:39">
      <c r="C73" t="s">
        <v>74</v>
      </c>
      <c r="D73" t="s">
        <v>64</v>
      </c>
      <c r="E73" t="s">
        <v>9</v>
      </c>
      <c r="G73">
        <v>1.4</v>
      </c>
      <c r="H73">
        <v>1.4</v>
      </c>
      <c r="L73">
        <v>1.4</v>
      </c>
      <c r="M73">
        <v>1.4</v>
      </c>
      <c r="U73">
        <v>1.4</v>
      </c>
      <c r="Y73">
        <v>1.4</v>
      </c>
      <c r="AD73">
        <v>1.4</v>
      </c>
      <c r="AG73">
        <v>1.4</v>
      </c>
      <c r="AM73">
        <v>1.4</v>
      </c>
    </row>
    <row r="74" spans="3:39">
      <c r="C74" t="s">
        <v>75</v>
      </c>
      <c r="D74" t="s">
        <v>62</v>
      </c>
      <c r="G74">
        <v>2850</v>
      </c>
      <c r="H74">
        <v>6650</v>
      </c>
      <c r="L74">
        <v>7125</v>
      </c>
      <c r="M74">
        <v>6650</v>
      </c>
      <c r="U74">
        <v>1425</v>
      </c>
      <c r="Y74">
        <v>950</v>
      </c>
      <c r="AD74">
        <v>1425</v>
      </c>
      <c r="AG74">
        <v>17100</v>
      </c>
      <c r="AM74">
        <v>3325</v>
      </c>
    </row>
    <row r="75" spans="3:39">
      <c r="C75" t="s">
        <v>75</v>
      </c>
      <c r="D75" t="s">
        <v>63</v>
      </c>
      <c r="G75">
        <v>228000</v>
      </c>
      <c r="H75">
        <v>532000</v>
      </c>
      <c r="L75">
        <v>570000</v>
      </c>
      <c r="M75">
        <v>532000</v>
      </c>
      <c r="U75">
        <v>114000</v>
      </c>
      <c r="Y75">
        <v>76000</v>
      </c>
      <c r="AD75">
        <v>114000</v>
      </c>
      <c r="AG75">
        <v>1368000</v>
      </c>
      <c r="AM75">
        <v>266000</v>
      </c>
    </row>
    <row r="76" spans="3:39">
      <c r="C76" t="s">
        <v>75</v>
      </c>
      <c r="D76" t="s">
        <v>64</v>
      </c>
      <c r="E76" t="s">
        <v>9</v>
      </c>
      <c r="G76">
        <v>2.6</v>
      </c>
      <c r="H76">
        <v>2.6</v>
      </c>
      <c r="L76">
        <v>2.6</v>
      </c>
      <c r="M76">
        <v>2.6</v>
      </c>
      <c r="U76">
        <v>2.6</v>
      </c>
      <c r="Y76">
        <v>2.6</v>
      </c>
      <c r="AD76">
        <v>2.6</v>
      </c>
      <c r="AG76">
        <v>2.6</v>
      </c>
      <c r="AM76">
        <v>2.6</v>
      </c>
    </row>
    <row r="77" spans="3:39">
      <c r="C77" t="s">
        <v>76</v>
      </c>
      <c r="D77" t="s">
        <v>62</v>
      </c>
      <c r="G77">
        <v>4560</v>
      </c>
      <c r="H77">
        <v>10640</v>
      </c>
      <c r="L77">
        <v>11400</v>
      </c>
      <c r="M77">
        <v>10640</v>
      </c>
      <c r="U77">
        <v>2280</v>
      </c>
      <c r="Y77">
        <v>1520</v>
      </c>
      <c r="AD77">
        <v>2280</v>
      </c>
      <c r="AG77">
        <v>27360</v>
      </c>
      <c r="AM77">
        <v>5320</v>
      </c>
    </row>
    <row r="78" spans="3:39">
      <c r="C78" t="s">
        <v>76</v>
      </c>
      <c r="D78" t="s">
        <v>63</v>
      </c>
      <c r="G78">
        <v>456000</v>
      </c>
      <c r="H78">
        <v>1064000</v>
      </c>
      <c r="L78">
        <v>1140000</v>
      </c>
      <c r="M78">
        <v>1064000</v>
      </c>
      <c r="U78">
        <v>228000</v>
      </c>
      <c r="Y78">
        <v>152000</v>
      </c>
      <c r="AD78">
        <v>228000</v>
      </c>
      <c r="AG78">
        <v>2736000</v>
      </c>
      <c r="AM78">
        <v>532000</v>
      </c>
    </row>
    <row r="79" spans="3:39">
      <c r="C79" t="s">
        <v>76</v>
      </c>
      <c r="D79" t="s">
        <v>64</v>
      </c>
      <c r="E79" t="s">
        <v>9</v>
      </c>
      <c r="G79">
        <v>5</v>
      </c>
      <c r="H79">
        <v>5</v>
      </c>
      <c r="L79">
        <v>5</v>
      </c>
      <c r="M79">
        <v>5</v>
      </c>
      <c r="U79">
        <v>5</v>
      </c>
      <c r="Y79">
        <v>5</v>
      </c>
      <c r="AD79">
        <v>5</v>
      </c>
      <c r="AG79">
        <v>5</v>
      </c>
      <c r="AM79">
        <v>5</v>
      </c>
    </row>
    <row r="80" spans="3:39">
      <c r="C80" t="s">
        <v>67</v>
      </c>
    </row>
    <row r="81" spans="3:40">
      <c r="C81" t="s">
        <v>77</v>
      </c>
      <c r="D81" t="s">
        <v>62</v>
      </c>
      <c r="F81">
        <v>2500</v>
      </c>
      <c r="G81">
        <v>32500</v>
      </c>
      <c r="H81">
        <v>21250</v>
      </c>
      <c r="L81">
        <v>11250</v>
      </c>
      <c r="M81">
        <v>3750</v>
      </c>
      <c r="R81">
        <v>2500</v>
      </c>
      <c r="S81">
        <v>1250</v>
      </c>
      <c r="U81">
        <v>3750</v>
      </c>
      <c r="Y81">
        <v>6250</v>
      </c>
      <c r="Z81">
        <v>1250</v>
      </c>
      <c r="AD81">
        <v>30000</v>
      </c>
      <c r="AE81">
        <v>2500</v>
      </c>
      <c r="AF81">
        <v>2500</v>
      </c>
      <c r="AK81">
        <v>2500</v>
      </c>
      <c r="AN81">
        <v>1250</v>
      </c>
    </row>
    <row r="82" spans="3:40">
      <c r="C82" t="s">
        <v>77</v>
      </c>
      <c r="D82" t="s">
        <v>63</v>
      </c>
      <c r="F82">
        <v>150000</v>
      </c>
      <c r="G82">
        <v>1950000</v>
      </c>
      <c r="H82">
        <v>1275000</v>
      </c>
      <c r="L82">
        <v>675000</v>
      </c>
      <c r="M82">
        <v>225000</v>
      </c>
      <c r="R82">
        <v>150000</v>
      </c>
      <c r="S82">
        <v>75000</v>
      </c>
      <c r="U82">
        <v>225000</v>
      </c>
      <c r="Y82">
        <v>375000</v>
      </c>
      <c r="Z82">
        <v>75000</v>
      </c>
      <c r="AD82">
        <v>1800000</v>
      </c>
      <c r="AE82">
        <v>150000</v>
      </c>
      <c r="AF82">
        <v>150000</v>
      </c>
      <c r="AK82">
        <v>150000</v>
      </c>
      <c r="AN82">
        <v>75000</v>
      </c>
    </row>
    <row r="83" spans="3:40">
      <c r="C83" t="s">
        <v>77</v>
      </c>
      <c r="D83" t="s">
        <v>64</v>
      </c>
      <c r="E83" t="s">
        <v>11</v>
      </c>
      <c r="F83">
        <v>1.75</v>
      </c>
      <c r="G83">
        <v>1.75</v>
      </c>
      <c r="H83">
        <v>1.75</v>
      </c>
      <c r="L83">
        <v>1.75</v>
      </c>
      <c r="M83">
        <v>1.75</v>
      </c>
      <c r="R83">
        <v>1.75</v>
      </c>
      <c r="S83">
        <v>1.75</v>
      </c>
      <c r="U83">
        <v>1.75</v>
      </c>
      <c r="Y83">
        <v>1.75</v>
      </c>
      <c r="Z83">
        <v>1.75</v>
      </c>
      <c r="AD83">
        <v>1.75</v>
      </c>
      <c r="AE83">
        <v>1.75</v>
      </c>
      <c r="AF83">
        <v>1.75</v>
      </c>
      <c r="AK83">
        <v>1.75</v>
      </c>
      <c r="AN83">
        <v>1.75</v>
      </c>
    </row>
    <row r="84" spans="3:40">
      <c r="C84" t="s">
        <v>78</v>
      </c>
      <c r="D84" t="s">
        <v>62</v>
      </c>
      <c r="F84">
        <v>3750</v>
      </c>
      <c r="G84">
        <v>48750</v>
      </c>
      <c r="H84">
        <v>31875</v>
      </c>
      <c r="L84">
        <v>16875</v>
      </c>
      <c r="M84">
        <v>5625</v>
      </c>
      <c r="R84">
        <v>3750</v>
      </c>
      <c r="S84">
        <v>1875</v>
      </c>
      <c r="U84">
        <v>5625</v>
      </c>
      <c r="Y84">
        <v>9375</v>
      </c>
      <c r="Z84">
        <v>1875</v>
      </c>
      <c r="AD84">
        <v>45000</v>
      </c>
      <c r="AE84">
        <v>3750</v>
      </c>
      <c r="AF84">
        <v>3750</v>
      </c>
      <c r="AK84">
        <v>3750</v>
      </c>
      <c r="AN84">
        <v>1875</v>
      </c>
    </row>
    <row r="85" spans="3:40">
      <c r="C85" t="s">
        <v>78</v>
      </c>
      <c r="D85" t="s">
        <v>63</v>
      </c>
      <c r="F85">
        <v>300000</v>
      </c>
      <c r="G85">
        <v>3900000</v>
      </c>
      <c r="H85">
        <v>2550000</v>
      </c>
      <c r="L85">
        <v>1350000</v>
      </c>
      <c r="M85">
        <v>450000</v>
      </c>
      <c r="R85">
        <v>300000</v>
      </c>
      <c r="S85">
        <v>150000</v>
      </c>
      <c r="U85">
        <v>450000</v>
      </c>
      <c r="Y85">
        <v>750000</v>
      </c>
      <c r="Z85">
        <v>150000</v>
      </c>
      <c r="AD85">
        <v>3600000</v>
      </c>
      <c r="AE85">
        <v>300000</v>
      </c>
      <c r="AF85">
        <v>300000</v>
      </c>
      <c r="AK85">
        <v>300000</v>
      </c>
      <c r="AN85">
        <v>150000</v>
      </c>
    </row>
    <row r="86" spans="3:40">
      <c r="C86" t="s">
        <v>78</v>
      </c>
      <c r="D86" t="s">
        <v>64</v>
      </c>
      <c r="E86" t="s">
        <v>11</v>
      </c>
      <c r="F86">
        <v>3.25</v>
      </c>
      <c r="G86">
        <v>3.25</v>
      </c>
      <c r="H86">
        <v>3.25</v>
      </c>
      <c r="L86">
        <v>3.25</v>
      </c>
      <c r="M86">
        <v>3.25</v>
      </c>
      <c r="R86">
        <v>3.25</v>
      </c>
      <c r="S86">
        <v>3.25</v>
      </c>
      <c r="U86">
        <v>3.25</v>
      </c>
      <c r="Y86">
        <v>3.25</v>
      </c>
      <c r="Z86">
        <v>3.25</v>
      </c>
      <c r="AD86">
        <v>3.25</v>
      </c>
      <c r="AE86">
        <v>3.25</v>
      </c>
      <c r="AF86">
        <v>3.25</v>
      </c>
      <c r="AK86">
        <v>3.25</v>
      </c>
      <c r="AN86">
        <v>3.25</v>
      </c>
    </row>
    <row r="87" spans="3:40">
      <c r="C87" t="s">
        <v>79</v>
      </c>
      <c r="D87" t="s">
        <v>62</v>
      </c>
      <c r="F87">
        <v>6000</v>
      </c>
      <c r="G87">
        <v>78000</v>
      </c>
      <c r="H87">
        <v>51000</v>
      </c>
      <c r="L87">
        <v>27000</v>
      </c>
      <c r="M87">
        <v>9000</v>
      </c>
      <c r="R87">
        <v>6000</v>
      </c>
      <c r="S87">
        <v>3000</v>
      </c>
      <c r="U87">
        <v>9000</v>
      </c>
      <c r="Y87">
        <v>15000</v>
      </c>
      <c r="Z87">
        <v>3000</v>
      </c>
      <c r="AD87">
        <v>72000</v>
      </c>
      <c r="AE87">
        <v>6000</v>
      </c>
      <c r="AF87">
        <v>6000</v>
      </c>
      <c r="AK87">
        <v>6000</v>
      </c>
      <c r="AN87">
        <v>3000</v>
      </c>
    </row>
    <row r="88" spans="3:40">
      <c r="C88" t="s">
        <v>79</v>
      </c>
      <c r="D88" t="s">
        <v>63</v>
      </c>
      <c r="F88">
        <v>600000</v>
      </c>
      <c r="G88">
        <v>7800000</v>
      </c>
      <c r="H88">
        <v>5100000</v>
      </c>
      <c r="L88">
        <v>2700000</v>
      </c>
      <c r="M88">
        <v>900000</v>
      </c>
      <c r="R88">
        <v>600000</v>
      </c>
      <c r="S88">
        <v>300000</v>
      </c>
      <c r="U88">
        <v>900000</v>
      </c>
      <c r="Y88">
        <v>1500000</v>
      </c>
      <c r="Z88">
        <v>300000</v>
      </c>
      <c r="AD88">
        <v>7200000</v>
      </c>
      <c r="AE88">
        <v>600000</v>
      </c>
      <c r="AF88">
        <v>600000</v>
      </c>
      <c r="AK88">
        <v>600000</v>
      </c>
      <c r="AN88">
        <v>300000</v>
      </c>
    </row>
    <row r="89" spans="3:40">
      <c r="C89" t="s">
        <v>79</v>
      </c>
      <c r="D89" t="s">
        <v>64</v>
      </c>
      <c r="E89" t="s">
        <v>11</v>
      </c>
      <c r="F89">
        <v>6.25</v>
      </c>
      <c r="G89">
        <v>6.25</v>
      </c>
      <c r="H89">
        <v>6.25</v>
      </c>
      <c r="L89">
        <v>6.25</v>
      </c>
      <c r="M89">
        <v>6.25</v>
      </c>
      <c r="R89">
        <v>6.25</v>
      </c>
      <c r="S89">
        <v>6.25</v>
      </c>
      <c r="U89">
        <v>6.25</v>
      </c>
      <c r="Y89">
        <v>6.25</v>
      </c>
      <c r="Z89">
        <v>6.25</v>
      </c>
      <c r="AD89">
        <v>6.25</v>
      </c>
      <c r="AE89">
        <v>6.25</v>
      </c>
      <c r="AF89">
        <v>6.25</v>
      </c>
      <c r="AK89">
        <v>6.25</v>
      </c>
      <c r="AN89">
        <v>6.25</v>
      </c>
    </row>
    <row r="90" spans="3:40">
      <c r="C90" t="s">
        <v>67</v>
      </c>
    </row>
    <row r="91" spans="3:40">
      <c r="C91" t="s">
        <v>80</v>
      </c>
      <c r="D91" t="s">
        <v>62</v>
      </c>
      <c r="F91">
        <v>333.333333333333</v>
      </c>
      <c r="G91">
        <v>1500</v>
      </c>
      <c r="H91">
        <v>1833.33333333333</v>
      </c>
      <c r="L91">
        <v>500</v>
      </c>
      <c r="M91">
        <v>666.666666666667</v>
      </c>
      <c r="U91">
        <v>333.333333333333</v>
      </c>
      <c r="Y91">
        <v>5666.66666666667</v>
      </c>
      <c r="Z91">
        <v>500</v>
      </c>
      <c r="AA91">
        <v>1000</v>
      </c>
      <c r="AC91">
        <v>500</v>
      </c>
      <c r="AD91">
        <v>1666.66666666667</v>
      </c>
      <c r="AE91">
        <v>1000</v>
      </c>
      <c r="AG91">
        <v>166.666666666667</v>
      </c>
      <c r="AH91">
        <v>333.333333333333</v>
      </c>
      <c r="AI91">
        <v>333.333333333333</v>
      </c>
      <c r="AK91">
        <v>333.333333333333</v>
      </c>
    </row>
    <row r="92" spans="3:40">
      <c r="C92" t="s">
        <v>80</v>
      </c>
      <c r="D92" t="s">
        <v>63</v>
      </c>
      <c r="F92">
        <v>20000</v>
      </c>
      <c r="G92">
        <v>90000</v>
      </c>
      <c r="H92">
        <v>110000</v>
      </c>
      <c r="L92">
        <v>30000</v>
      </c>
      <c r="M92">
        <v>40000</v>
      </c>
      <c r="U92">
        <v>20000</v>
      </c>
      <c r="Y92">
        <v>340000</v>
      </c>
      <c r="Z92">
        <v>30000</v>
      </c>
      <c r="AA92">
        <v>60000</v>
      </c>
      <c r="AC92">
        <v>30000</v>
      </c>
      <c r="AD92">
        <v>100000</v>
      </c>
      <c r="AE92">
        <v>60000</v>
      </c>
      <c r="AG92">
        <v>10000</v>
      </c>
      <c r="AH92">
        <v>20000</v>
      </c>
      <c r="AI92">
        <v>20000</v>
      </c>
      <c r="AK92">
        <v>20000</v>
      </c>
    </row>
    <row r="93" spans="3:40">
      <c r="C93" t="s">
        <v>80</v>
      </c>
      <c r="D93" t="s">
        <v>64</v>
      </c>
      <c r="E93" t="s">
        <v>13</v>
      </c>
      <c r="F93">
        <v>5.6</v>
      </c>
      <c r="G93">
        <v>5.6</v>
      </c>
      <c r="H93">
        <v>5.6</v>
      </c>
      <c r="L93">
        <v>5.6</v>
      </c>
      <c r="M93">
        <v>5.6</v>
      </c>
      <c r="U93">
        <v>5.6</v>
      </c>
      <c r="Y93">
        <v>5.6</v>
      </c>
      <c r="Z93">
        <v>5.6</v>
      </c>
      <c r="AA93">
        <v>5.6</v>
      </c>
      <c r="AC93">
        <v>5.6</v>
      </c>
      <c r="AD93">
        <v>5.6</v>
      </c>
      <c r="AE93">
        <v>5.6</v>
      </c>
      <c r="AG93">
        <v>5.6</v>
      </c>
      <c r="AH93">
        <v>5.6</v>
      </c>
      <c r="AI93">
        <v>5.6</v>
      </c>
      <c r="AK93">
        <v>5.6</v>
      </c>
    </row>
    <row r="94" spans="3:40">
      <c r="C94" t="s">
        <v>81</v>
      </c>
      <c r="D94" t="s">
        <v>62</v>
      </c>
      <c r="F94">
        <v>500</v>
      </c>
      <c r="G94">
        <v>2250</v>
      </c>
      <c r="H94">
        <v>2750</v>
      </c>
      <c r="L94">
        <v>750</v>
      </c>
      <c r="M94">
        <v>1000</v>
      </c>
      <c r="U94">
        <v>500</v>
      </c>
      <c r="Y94">
        <v>8500</v>
      </c>
      <c r="Z94">
        <v>750</v>
      </c>
      <c r="AA94">
        <v>1500</v>
      </c>
      <c r="AC94">
        <v>750</v>
      </c>
      <c r="AD94">
        <v>2500</v>
      </c>
      <c r="AE94">
        <v>1500</v>
      </c>
      <c r="AG94">
        <v>250</v>
      </c>
      <c r="AH94">
        <v>500</v>
      </c>
      <c r="AI94">
        <v>500</v>
      </c>
      <c r="AK94">
        <v>500</v>
      </c>
    </row>
    <row r="95" spans="3:40">
      <c r="C95" t="s">
        <v>81</v>
      </c>
      <c r="D95" t="s">
        <v>63</v>
      </c>
      <c r="F95">
        <v>40000</v>
      </c>
      <c r="G95">
        <v>180000</v>
      </c>
      <c r="H95">
        <v>220000</v>
      </c>
      <c r="L95">
        <v>60000</v>
      </c>
      <c r="M95">
        <v>80000</v>
      </c>
      <c r="U95">
        <v>40000</v>
      </c>
      <c r="Y95">
        <v>680000</v>
      </c>
      <c r="Z95">
        <v>60000</v>
      </c>
      <c r="AA95">
        <v>120000</v>
      </c>
      <c r="AC95">
        <v>60000</v>
      </c>
      <c r="AD95">
        <v>200000</v>
      </c>
      <c r="AE95">
        <v>120000</v>
      </c>
      <c r="AG95">
        <v>20000</v>
      </c>
      <c r="AH95">
        <v>40000</v>
      </c>
      <c r="AI95">
        <v>40000</v>
      </c>
      <c r="AK95">
        <v>40000</v>
      </c>
    </row>
    <row r="96" spans="3:40">
      <c r="C96" t="s">
        <v>81</v>
      </c>
      <c r="D96" t="s">
        <v>64</v>
      </c>
      <c r="E96" t="s">
        <v>13</v>
      </c>
      <c r="F96">
        <v>10.4</v>
      </c>
      <c r="G96">
        <v>10.4</v>
      </c>
      <c r="H96">
        <v>10.4</v>
      </c>
      <c r="L96">
        <v>10.4</v>
      </c>
      <c r="M96">
        <v>10.4</v>
      </c>
      <c r="U96">
        <v>10.4</v>
      </c>
      <c r="Y96">
        <v>10.4</v>
      </c>
      <c r="Z96">
        <v>10.4</v>
      </c>
      <c r="AA96">
        <v>10.4</v>
      </c>
      <c r="AC96">
        <v>10.4</v>
      </c>
      <c r="AD96">
        <v>10.4</v>
      </c>
      <c r="AE96">
        <v>10.4</v>
      </c>
      <c r="AG96">
        <v>10.4</v>
      </c>
      <c r="AH96">
        <v>10.4</v>
      </c>
      <c r="AI96">
        <v>10.4</v>
      </c>
      <c r="AK96">
        <v>10.4</v>
      </c>
    </row>
    <row r="97" spans="3:39">
      <c r="C97" t="s">
        <v>82</v>
      </c>
      <c r="D97" t="s">
        <v>62</v>
      </c>
      <c r="F97">
        <v>800</v>
      </c>
      <c r="G97">
        <v>3600</v>
      </c>
      <c r="H97">
        <v>4400</v>
      </c>
      <c r="L97">
        <v>1200</v>
      </c>
      <c r="M97">
        <v>1600</v>
      </c>
      <c r="U97">
        <v>800</v>
      </c>
      <c r="Y97">
        <v>13600</v>
      </c>
      <c r="Z97">
        <v>1200</v>
      </c>
      <c r="AA97">
        <v>2400</v>
      </c>
      <c r="AC97">
        <v>1200</v>
      </c>
      <c r="AD97">
        <v>4000</v>
      </c>
      <c r="AE97">
        <v>2400</v>
      </c>
      <c r="AG97">
        <v>400</v>
      </c>
      <c r="AH97">
        <v>800</v>
      </c>
      <c r="AI97">
        <v>800</v>
      </c>
      <c r="AK97">
        <v>800</v>
      </c>
    </row>
    <row r="98" spans="3:39">
      <c r="C98" t="s">
        <v>82</v>
      </c>
      <c r="D98" t="s">
        <v>63</v>
      </c>
      <c r="F98">
        <v>80000</v>
      </c>
      <c r="G98">
        <v>360000</v>
      </c>
      <c r="H98">
        <v>440000</v>
      </c>
      <c r="L98">
        <v>120000</v>
      </c>
      <c r="M98">
        <v>160000</v>
      </c>
      <c r="U98">
        <v>80000</v>
      </c>
      <c r="Y98">
        <v>1360000</v>
      </c>
      <c r="Z98">
        <v>120000</v>
      </c>
      <c r="AA98">
        <v>240000</v>
      </c>
      <c r="AC98">
        <v>120000</v>
      </c>
      <c r="AD98">
        <v>400000</v>
      </c>
      <c r="AE98">
        <v>240000</v>
      </c>
      <c r="AG98">
        <v>40000</v>
      </c>
      <c r="AH98">
        <v>80000</v>
      </c>
      <c r="AI98">
        <v>80000</v>
      </c>
      <c r="AK98">
        <v>80000</v>
      </c>
    </row>
    <row r="99" spans="3:39">
      <c r="C99" t="s">
        <v>82</v>
      </c>
      <c r="D99" t="s">
        <v>64</v>
      </c>
      <c r="E99" t="s">
        <v>13</v>
      </c>
      <c r="F99">
        <v>20</v>
      </c>
      <c r="G99">
        <v>20</v>
      </c>
      <c r="H99">
        <v>20</v>
      </c>
      <c r="L99">
        <v>20</v>
      </c>
      <c r="M99">
        <v>20</v>
      </c>
      <c r="U99">
        <v>20</v>
      </c>
      <c r="Y99">
        <v>20</v>
      </c>
      <c r="Z99">
        <v>20</v>
      </c>
      <c r="AA99">
        <v>20</v>
      </c>
      <c r="AC99">
        <v>20</v>
      </c>
      <c r="AD99">
        <v>20</v>
      </c>
      <c r="AE99">
        <v>20</v>
      </c>
      <c r="AG99">
        <v>20</v>
      </c>
      <c r="AH99">
        <v>20</v>
      </c>
      <c r="AI99">
        <v>20</v>
      </c>
      <c r="AK99">
        <v>20</v>
      </c>
    </row>
    <row r="100" spans="3:39">
      <c r="C100" t="s">
        <v>67</v>
      </c>
    </row>
    <row r="101" spans="3:39">
      <c r="C101" t="s">
        <v>83</v>
      </c>
      <c r="D101" t="s">
        <v>62</v>
      </c>
      <c r="G101">
        <v>1120</v>
      </c>
      <c r="L101">
        <v>1120</v>
      </c>
      <c r="M101">
        <v>1306.66666666667</v>
      </c>
      <c r="U101">
        <v>186.666666666667</v>
      </c>
      <c r="AA101">
        <v>93.3333333333333</v>
      </c>
      <c r="AD101">
        <v>186.666666666667</v>
      </c>
      <c r="AE101">
        <v>140</v>
      </c>
      <c r="AK101">
        <v>466.666666666667</v>
      </c>
      <c r="AM101">
        <v>46.6666666666667</v>
      </c>
    </row>
    <row r="102" spans="3:39">
      <c r="C102" t="s">
        <v>83</v>
      </c>
      <c r="D102" t="s">
        <v>63</v>
      </c>
      <c r="G102">
        <v>67200</v>
      </c>
      <c r="L102">
        <v>67200</v>
      </c>
      <c r="M102">
        <v>78400</v>
      </c>
      <c r="U102">
        <v>11200</v>
      </c>
      <c r="AA102">
        <v>5600</v>
      </c>
      <c r="AD102">
        <v>11200</v>
      </c>
      <c r="AE102">
        <v>8400</v>
      </c>
      <c r="AK102">
        <v>28000</v>
      </c>
      <c r="AM102">
        <v>2800</v>
      </c>
    </row>
    <row r="103" spans="3:39">
      <c r="C103" t="s">
        <v>83</v>
      </c>
      <c r="D103" t="s">
        <v>64</v>
      </c>
      <c r="E103" t="s">
        <v>15</v>
      </c>
      <c r="G103">
        <v>0.7</v>
      </c>
      <c r="L103">
        <v>0.7</v>
      </c>
      <c r="M103">
        <v>0.7</v>
      </c>
      <c r="U103">
        <v>0.7</v>
      </c>
      <c r="AA103">
        <v>0.7</v>
      </c>
      <c r="AD103">
        <v>0.7</v>
      </c>
      <c r="AE103">
        <v>0.7</v>
      </c>
      <c r="AK103">
        <v>0.7</v>
      </c>
      <c r="AM103">
        <v>0.7</v>
      </c>
    </row>
    <row r="104" spans="3:39">
      <c r="C104" t="s">
        <v>84</v>
      </c>
      <c r="D104" t="s">
        <v>62</v>
      </c>
      <c r="G104">
        <v>1680</v>
      </c>
      <c r="L104">
        <v>1680</v>
      </c>
      <c r="M104">
        <v>1960</v>
      </c>
      <c r="U104">
        <v>280</v>
      </c>
      <c r="AA104">
        <v>140</v>
      </c>
      <c r="AD104">
        <v>280</v>
      </c>
      <c r="AE104">
        <v>210</v>
      </c>
      <c r="AK104">
        <v>700</v>
      </c>
      <c r="AM104">
        <v>70</v>
      </c>
    </row>
    <row r="105" spans="3:39">
      <c r="C105" t="s">
        <v>84</v>
      </c>
      <c r="D105" t="s">
        <v>63</v>
      </c>
      <c r="G105">
        <v>134400</v>
      </c>
      <c r="L105">
        <v>134400</v>
      </c>
      <c r="M105">
        <v>156800</v>
      </c>
      <c r="U105">
        <v>22400</v>
      </c>
      <c r="AA105">
        <v>11200</v>
      </c>
      <c r="AD105">
        <v>22400</v>
      </c>
      <c r="AE105">
        <v>16800</v>
      </c>
      <c r="AK105">
        <v>56000</v>
      </c>
      <c r="AM105">
        <v>5600</v>
      </c>
    </row>
    <row r="106" spans="3:39">
      <c r="C106" t="s">
        <v>84</v>
      </c>
      <c r="D106" t="s">
        <v>64</v>
      </c>
      <c r="E106" t="s">
        <v>15</v>
      </c>
      <c r="G106">
        <v>1.3</v>
      </c>
      <c r="L106">
        <v>1.3</v>
      </c>
      <c r="M106">
        <v>1.3</v>
      </c>
      <c r="U106">
        <v>1.3</v>
      </c>
      <c r="AA106">
        <v>1.3</v>
      </c>
      <c r="AD106">
        <v>1.3</v>
      </c>
      <c r="AE106">
        <v>1.3</v>
      </c>
      <c r="AK106">
        <v>1.3</v>
      </c>
      <c r="AM106">
        <v>1.3</v>
      </c>
    </row>
    <row r="107" spans="3:39">
      <c r="C107" t="s">
        <v>85</v>
      </c>
      <c r="D107" t="s">
        <v>62</v>
      </c>
      <c r="G107">
        <v>2688</v>
      </c>
      <c r="L107">
        <v>2688</v>
      </c>
      <c r="M107">
        <v>3136</v>
      </c>
      <c r="U107">
        <v>448</v>
      </c>
      <c r="AA107">
        <v>224</v>
      </c>
      <c r="AD107">
        <v>448</v>
      </c>
      <c r="AE107">
        <v>336</v>
      </c>
      <c r="AK107">
        <v>1120</v>
      </c>
      <c r="AM107">
        <v>112</v>
      </c>
    </row>
    <row r="108" spans="3:39">
      <c r="C108" t="s">
        <v>85</v>
      </c>
      <c r="D108" t="s">
        <v>63</v>
      </c>
      <c r="G108">
        <v>268800</v>
      </c>
      <c r="L108">
        <v>268800</v>
      </c>
      <c r="M108">
        <v>313600</v>
      </c>
      <c r="U108">
        <v>44800</v>
      </c>
      <c r="AA108">
        <v>22400</v>
      </c>
      <c r="AD108">
        <v>44800</v>
      </c>
      <c r="AE108">
        <v>33600</v>
      </c>
      <c r="AK108">
        <v>112000</v>
      </c>
      <c r="AM108">
        <v>11200</v>
      </c>
    </row>
    <row r="109" spans="3:39">
      <c r="C109" t="s">
        <v>85</v>
      </c>
      <c r="D109" t="s">
        <v>64</v>
      </c>
      <c r="E109" t="s">
        <v>15</v>
      </c>
      <c r="G109">
        <v>2.5</v>
      </c>
      <c r="L109">
        <v>2.5</v>
      </c>
      <c r="M109">
        <v>2.5</v>
      </c>
      <c r="U109">
        <v>2.5</v>
      </c>
      <c r="AA109">
        <v>2.5</v>
      </c>
      <c r="AD109">
        <v>2.5</v>
      </c>
      <c r="AE109">
        <v>2.5</v>
      </c>
      <c r="AK109">
        <v>2.5</v>
      </c>
      <c r="AM109">
        <v>2.5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Scen_usingStepMining_n_mute_ori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李潇</cp:lastModifiedBy>
  <dcterms:created xsi:type="dcterms:W3CDTF">2026-08-21T23:04:00Z</dcterms:created>
  <dcterms:modified xsi:type="dcterms:W3CDTF">2026-08-22T00:33:39Z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