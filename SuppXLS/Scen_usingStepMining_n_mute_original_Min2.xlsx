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Scen_usingStepMining_n_mute_(2)" sheetId="8" r:id="rId1"/>
    <sheet name="NOUSEattache--data--from" sheetId="2" r:id="rId2"/>
    <sheet name="Codex_sources" sheetId="3" r:id="rId3"/>
    <sheet name="Codex_USGS_raw" sheetId="4" r:id="rId4"/>
    <sheet name="Codex_Li_Busch" sheetId="5" r:id="rId5"/>
    <sheet name="Codex_calc" sheetId="6" r:id="rId6"/>
    <sheet name="Codex_update_notes" sheetId="7" r:id="rId7"/>
  </sheets>
  <definedNames>
    <definedName name="_xlnm._FilterDatabase" localSheetId="0" hidden="1">'Scen_usingStepMining_n_mute_(2)'!$C$39:$AO$109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<sst xmlns="http://schemas.openxmlformats.org/spreadsheetml/2006/main" count="1991" uniqueCount="466">
  <si>
    <t>m_lithium</t>
  </si>
  <si>
    <t>~TFM_UPD</t>
  </si>
  <si>
    <t>m_nickel</t>
  </si>
  <si>
    <t>pset_pn</t>
  </si>
  <si>
    <t>Attribute</t>
  </si>
  <si>
    <t>AllRegions</t>
  </si>
  <si>
    <t>m_cobalt</t>
  </si>
  <si>
    <t>MINBatMaterials_LI</t>
  </si>
  <si>
    <t>ACT_COST</t>
  </si>
  <si>
    <t>m_manganese</t>
  </si>
  <si>
    <t>MINBatMaterials_NI</t>
  </si>
  <si>
    <t>m_aluminum</t>
  </si>
  <si>
    <t>MINBatMaterials_COB</t>
  </si>
  <si>
    <t>m_copper</t>
  </si>
  <si>
    <t>MINBatMaterials_MN</t>
  </si>
  <si>
    <t>m_graphite</t>
  </si>
  <si>
    <t>MINBatMaterials_AL</t>
  </si>
  <si>
    <t>MINBatMaterials_COP</t>
  </si>
  <si>
    <t>MINBatMaterials_GR</t>
  </si>
  <si>
    <t>MINBatMaterials_COB_byCop</t>
  </si>
  <si>
    <t>MINBatMaterials_COB_byNI_sulfide</t>
  </si>
  <si>
    <t>MINBatMaterials_COB_direct</t>
  </si>
  <si>
    <t>MINBatMaterials_COB_byNI_HPAL</t>
  </si>
  <si>
    <t>NCAP_FOM</t>
  </si>
  <si>
    <t>Suggested by COde after reading UCD woman paper</t>
  </si>
  <si>
    <t>~TFM_INS</t>
  </si>
  <si>
    <t>cset_cn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</si>
  <si>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</si>
  <si>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</si>
  <si>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</si>
  <si>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</si>
  <si>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</si>
  <si>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</si>
  <si>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</si>
  <si>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</si>
  <si>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</si>
  <si>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</si>
  <si>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</si>
  <si>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</si>
  <si>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</si>
  <si>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</si>
  <si>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</si>
  <si>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</si>
  <si>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</si>
  <si>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</si>
  <si>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</si>
  <si>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</si>
  <si>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</si>
  <si>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</si>
  <si>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</si>
  <si>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</si>
  <si>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</si>
  <si>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</si>
  <si>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</si>
  <si>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</si>
  <si>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</si>
  <si>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</si>
  <si>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</si>
  <si>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</si>
  <si>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</si>
  <si>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</si>
  <si>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</si>
  <si>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year</t>
  </si>
  <si>
    <t>*</t>
  </si>
  <si>
    <t>Observed activity in 2024*our study scope</t>
  </si>
  <si>
    <t>process</t>
  </si>
  <si>
    <t>From transport-trans file</t>
  </si>
  <si>
    <t>Used for BNDACT</t>
  </si>
  <si>
    <t>USGS economic reserve scope tobattery data in attach..</t>
  </si>
  <si>
    <t>this used for CUM</t>
  </si>
  <si>
    <t>Cost is *1, *2, *4; baseline from Amit original set shadow price</t>
  </si>
  <si>
    <t>Cumulative extraction limits (CUM) from USGS economically recoverable reserves</t>
  </si>
  <si>
    <t>CUM = reserves x conversion to kt x battery share x step multiplier. All values kt of contained metal.</t>
  </si>
  <si>
    <t>THREE ISSUES FOUND IN THE SUPPLIED RESERVES TABLE</t>
  </si>
  <si>
    <t>1. UNIT INCONSISTENCY. Mn (1,700) and Cu (980) are in Mt; Li, Co, Ni and graphite are in kt. Left uncorrected these two would be 1,000x too small. A conversion factor is applied below - check it matches your source.</t>
  </si>
  <si>
    <t>2. ROW IS MISSING and takes the residual. Regional entries sum to less than the world total for every material: Ni 57.5% short, Cu 22.8%, Co 18.8%, Li 9.2%, graphite 8.9%. For nickel this is almost entirely Indonesia, the largest holder, which sits in your ROW region. The residual is assigned to ROW below.</t>
  </si>
  <si>
    <t>3. MANGANESE OVERSHOOTS. Listed regions sum to 1,718 Mt against a world total of 1,700 Mt (-1.1%). Small, but it means the regional and world figures come from different vintages. ROW residual is floored at zero.</t>
  </si>
  <si>
    <t>ALSO: Brazil has no row despite holding significant graphite, manganese and nickel reserves - confirm whether it was folded into LatAm. Aluminium is absent entirely; bauxite reserves must be added separately if m_aluminum is to be constrained.</t>
  </si>
  <si>
    <t>1.  MATERIAL PARAMETERS</t>
  </si>
  <si>
    <t>Material</t>
  </si>
  <si>
    <t>Commodity</t>
  </si>
  <si>
    <t>Prefix</t>
  </si>
  <si>
    <t>World reserves
(as supplied)</t>
  </si>
  <si>
    <t>Unit
supplied</t>
  </si>
  <si>
    <t>Factor to kt</t>
  </si>
  <si>
    <t>World reserves
(kt)</t>
  </si>
  <si>
    <t>Battery share</t>
  </si>
  <si>
    <t>RSV2 multiplier
(resources)</t>
  </si>
  <si>
    <t>RSV3 multiplier
(speculative)</t>
  </si>
  <si>
    <t>Li</t>
  </si>
  <si>
    <t>MINLi</t>
  </si>
  <si>
    <t>kt</t>
  </si>
  <si>
    <t>Co</t>
  </si>
  <si>
    <t>MINCo</t>
  </si>
  <si>
    <t>Ni</t>
  </si>
  <si>
    <t>MINNi</t>
  </si>
  <si>
    <t>Mn</t>
  </si>
  <si>
    <t>MINMn</t>
  </si>
  <si>
    <t>Mt</t>
  </si>
  <si>
    <t>Cu</t>
  </si>
  <si>
    <t>MINCu</t>
  </si>
  <si>
    <t>Gr</t>
  </si>
  <si>
    <t>MINGr</t>
  </si>
  <si>
    <t>Battery share is derived from your own 2024 activity data divided by world mine production, so CUM is on the</t>
  </si>
  <si>
    <t>same scope as the model. RSV2/RSV3 multiples of reserves approximate the USGS resource hierarchy</t>
  </si>
  <si>
    <t>(reserves -&gt; identified resources -&gt; undiscovered). These two columns are the least well sourced - verify</t>
  </si>
  <si>
    <t>against USGS resource figures and report results across a range.</t>
  </si>
  <si>
    <t>2.  RESERVES BY REGION (as supplied, in the unit given above)</t>
  </si>
  <si>
    <t>Unit</t>
  </si>
  <si>
    <t>Listed sum</t>
  </si>
  <si>
    <t>ROW cell is a formula: world total minus all other regions. It is yellow because it is inferred, not sourced.</t>
  </si>
  <si>
    <t>'Listed sum' should now equal the world reserves in section 1 for every material.</t>
  </si>
  <si>
    <t>3.  CUM TABLE - paste into VEDA</t>
  </si>
  <si>
    <t>TFM_INS</t>
  </si>
  <si>
    <t>MINLiRSV1</t>
  </si>
  <si>
    <t>CUM</t>
  </si>
  <si>
    <t>MINLiRSV2</t>
  </si>
  <si>
    <t>MINLiRSV3</t>
  </si>
  <si>
    <t>MINCoRSV1</t>
  </si>
  <si>
    <t>MINCoRSV2</t>
  </si>
  <si>
    <t>MINCoRSV3</t>
  </si>
  <si>
    <t>MINNiRSV1</t>
  </si>
  <si>
    <t>MINNiRSV2</t>
  </si>
  <si>
    <t>MINNiRSV3</t>
  </si>
  <si>
    <t>MINMnRSV1</t>
  </si>
  <si>
    <t>MINMnRSV2</t>
  </si>
  <si>
    <t>MINMnRSV3</t>
  </si>
  <si>
    <t>MINCuRSV1</t>
  </si>
  <si>
    <t>MINCuRSV2</t>
  </si>
  <si>
    <t>MINCuRSV3</t>
  </si>
  <si>
    <t>MINGrRSV1</t>
  </si>
  <si>
    <t>MINGrRSV2</t>
  </si>
  <si>
    <t>MINGrRSV3</t>
  </si>
  <si>
    <t>4.  NOTES</t>
  </si>
  <si>
    <t>CUM maps to ACT_CUM in TIMES and needs a period range - enter year '0' for the whole horizon in VEDA, or the</t>
  </si>
  <si>
    <t>limit will not bind.</t>
  </si>
  <si>
    <t>Aluminium (m_aluminum) has no row here because the supplied table contains no bauxite reserves. Either add them</t>
  </si>
  <si>
    <t>or leave m_aluminum without a cumulative limit and say so in the SI.</t>
  </si>
  <si>
    <t>Regions showing zero hold no economically recoverable reserves in the supplied table. Zero CUM means the process</t>
  </si>
  <si>
    <t>exists but can never produce - this is intended, and is not the same as leaving the cell blank.</t>
  </si>
  <si>
    <t>Pair CUM with BNDACT (annual capacity, anchored to observed 2024 output) and a GROWTH constraint; a cumulative</t>
  </si>
  <si>
    <t>limit alone still permits an unrealistic production spike in a single period.</t>
  </si>
  <si>
    <t>Auditable source parameters for redesigned mining supply curves</t>
  </si>
  <si>
    <t>Units: BNDACT kt/yr; CUM kt; COST million USD/kt. Formulas in Codex_calc link to these rows.</t>
  </si>
  <si>
    <t>ScopeFactor</t>
  </si>
  <si>
    <t>Scope numerator kt/yr</t>
  </si>
  <si>
    <t>World production kt/yr</t>
  </si>
  <si>
    <t>World reserves kt</t>
  </si>
  <si>
    <t>Resource total / midpoint kt</t>
  </si>
  <si>
    <t>Extra high/undiscovered kt</t>
  </si>
  <si>
    <t>RSV1 multiplier</t>
  </si>
  <si>
    <t>RSV2 multiplier</t>
  </si>
  <si>
    <t>RSV3 multiplier</t>
  </si>
  <si>
    <t>Cost RSV1</t>
  </si>
  <si>
    <t>Cost RSV2</t>
  </si>
  <si>
    <t>Cost RSV3</t>
  </si>
  <si>
    <t>Cost source</t>
  </si>
  <si>
    <t>Quantity source</t>
  </si>
  <si>
    <t>Notes</t>
  </si>
  <si>
    <t>stage from deposit data</t>
  </si>
  <si>
    <t>Busch et al. 2025 Supplementary Data S2; project extraction costs converted to MUSD/kt Li; RSV1/RSV2/RSV3 use approximately p25/p75/p90.</t>
  </si>
  <si>
    <t>Busch et al. 2025 Supplementary Data S2 for deposit reserves/resources/capacity; USGS MCS 2026 for 88% battery end-use share.</t>
  </si>
  <si>
    <t>CUM uses deposit reserve/demonstrated/inferred stages. BNDACT uses 2030 deposit capacity split 1:2 across RSV1/RSV2.</t>
  </si>
  <si>
    <t>Peiseler et al. 2024 Nature Communications Source Data Fig. 4 all-in-cost Q1/Q3/max.</t>
  </si>
  <si>
    <t>USGS MCS 2026 nickel production/reserves/resources.</t>
  </si>
  <si>
    <t>Seabed nickel resources are not included in the base curve.</t>
  </si>
  <si>
    <t>USGS MCS 2026 cobalt production/reserves/resources.</t>
  </si>
  <si>
    <t>Seafloor cobalt is excluded; cobalt by-product coupling is not represented here.</t>
  </si>
  <si>
    <t>USGS MCS 2026 manganese ore price, 4.50 USD/metric ton unit Mn; tier multipliers are assumptions.</t>
  </si>
  <si>
    <t>USGS MCS 2026 manganese production/reserves; USGS Professional Paper 1802-L for 17 billion t land resources.</t>
  </si>
  <si>
    <t>Cost is a price proxy, not mine-level OPEX.</t>
  </si>
  <si>
    <t>Al</t>
  </si>
  <si>
    <t>MINAl</t>
  </si>
  <si>
    <t>USGS MCS 2026 aluminum ingot U.S. market spot price, 180 cents/lb; tier multipliers are assumptions.</t>
  </si>
  <si>
    <t>USGS MCS 2026 aluminum production; bauxite reserves/resources converted using 4 t bauxite = 1 t Al.</t>
  </si>
  <si>
    <t>CUM is bauxite-derived aluminum equivalent, while BNDACT uses primary aluminum smelter production.</t>
  </si>
  <si>
    <t>USGS MCS 2026 LME grade A cash copper price, 440 cents/lb; tier multipliers are assumptions.</t>
  </si>
  <si>
    <t>USGS MCS 2026 copper production/reserves; USGS global copper resource assessment cited by MCS for identified/undiscovered resources.</t>
  </si>
  <si>
    <t>Copper RSV3 represents undiscovered resources allocated by current reserve geography.</t>
  </si>
  <si>
    <t>USGS MCS 2026 natural graphite import values for flake/lump; Benchmark 2025 article for battery-grade anode graphite high-cost proxy.</t>
  </si>
  <si>
    <t>USGS MCS 2026 natural graphite production/reserves/resources.</t>
  </si>
  <si>
    <t>Synthetic graphite is not a mined reserve; RSV3 cost is a battery-grade anode proxy.</t>
  </si>
  <si>
    <t>Primary source links</t>
  </si>
  <si>
    <t>USGS MCS 2026</t>
  </si>
  <si>
    <t>https://doi.org/10.3133/mcs2026</t>
  </si>
  <si>
    <t>Busch et al. 2025</t>
  </si>
  <si>
    <t>https://doi.org/10.1038/s41893-025-01561-5</t>
  </si>
  <si>
    <t>Busch et al. 2025 data/code</t>
  </si>
  <si>
    <t>https://doi.org/10.5281/zenodo.14532951</t>
  </si>
  <si>
    <t>Peiseler et al. 2024</t>
  </si>
  <si>
    <t>https://doi.org/10.1038/s41467-024-54634-y</t>
  </si>
  <si>
    <t>Benchmark graphite article</t>
  </si>
  <si>
    <t>https://source.benchmarkminerals.com/article/price-correction-benchmark-to-continue-publication-of-previous-high-energy-anode-grades-and-launch-new-high-charging-rate-for-ev-variants-reversing-15-october-change-to-specifications</t>
  </si>
  <si>
    <t>USGS manganese PP1802-L</t>
  </si>
  <si>
    <t>https://doi.org/10.3133/pp1802L</t>
  </si>
  <si>
    <t>Country</t>
  </si>
  <si>
    <t>TIMES region</t>
  </si>
  <si>
    <t>Production kt/yr</t>
  </si>
  <si>
    <t>Reserves kt</t>
  </si>
  <si>
    <t>Source</t>
  </si>
  <si>
    <t>United States</t>
  </si>
  <si>
    <t>USGS Mineral Commodity Summaries 2026; individual commodity chapters.</t>
  </si>
  <si>
    <t/>
  </si>
  <si>
    <t>Canada</t>
  </si>
  <si>
    <t>Indonesia</t>
  </si>
  <si>
    <t>New Caledonia</t>
  </si>
  <si>
    <t>Philippines</t>
  </si>
  <si>
    <t>Other countries</t>
  </si>
  <si>
    <t>Congo (Kinshasa)</t>
  </si>
  <si>
    <t>Cuba</t>
  </si>
  <si>
    <t>Madagascar</t>
  </si>
  <si>
    <t>Papua New Guinea</t>
  </si>
  <si>
    <t>Côte d’Ivoire</t>
  </si>
  <si>
    <t>Gabon</t>
  </si>
  <si>
    <t>Ghana</t>
  </si>
  <si>
    <t>South Africa</t>
  </si>
  <si>
    <t>Chile</t>
  </si>
  <si>
    <t>Kazakhstan</t>
  </si>
  <si>
    <t>Korea, Republic of</t>
  </si>
  <si>
    <t>Mexico</t>
  </si>
  <si>
    <t>Peru</t>
  </si>
  <si>
    <t>Zambia</t>
  </si>
  <si>
    <t>Korea, North</t>
  </si>
  <si>
    <t>Mozambique</t>
  </si>
  <si>
    <t>Sri Lanka</t>
  </si>
  <si>
    <t>Tanzania</t>
  </si>
  <si>
    <t>Vietnam</t>
  </si>
  <si>
    <t>Production is primary Al smelter; reserves are bauxite/4.</t>
  </si>
  <si>
    <t>Australia bauxite reserve is 3.7 billion t in USGS MCS 2026; converted using 4 t bauxite = 1 t Al.</t>
  </si>
  <si>
    <t>Bahrain</t>
  </si>
  <si>
    <t>Greece</t>
  </si>
  <si>
    <t>Guinea</t>
  </si>
  <si>
    <t>Jamaica</t>
  </si>
  <si>
    <t>Malaysia</t>
  </si>
  <si>
    <t>Saudi Arabia</t>
  </si>
  <si>
    <t>Spain</t>
  </si>
  <si>
    <t>United Arab Emirates</t>
  </si>
  <si>
    <t>Source row in Data S2</t>
  </si>
  <si>
    <t>Deposit</t>
  </si>
  <si>
    <t>Resource type</t>
  </si>
  <si>
    <t>Resource total kt Li</t>
  </si>
  <si>
    <t>Reserve kt Li</t>
  </si>
  <si>
    <t>Demonstrated kt Li</t>
  </si>
  <si>
    <t>Inferred kt Li</t>
  </si>
  <si>
    <t>2030 capacity kt Li/yr</t>
  </si>
  <si>
    <t>Extraction Cost Original</t>
  </si>
  <si>
    <t>Extraction Cost Unit</t>
  </si>
  <si>
    <t>Inflation Adjustment 2022</t>
  </si>
  <si>
    <t>Source workbook</t>
  </si>
  <si>
    <t>Salar de Atacama (SQM)</t>
  </si>
  <si>
    <t>Brine</t>
  </si>
  <si>
    <t>USD/tonne LCE</t>
  </si>
  <si>
    <t>Busch et al. 2025 Supplementary Data S2</t>
  </si>
  <si>
    <t>Salar de Uyuni</t>
  </si>
  <si>
    <t>Bolivia</t>
  </si>
  <si>
    <t>Salton Sea (All)</t>
  </si>
  <si>
    <t>Upper Rhine Valley</t>
  </si>
  <si>
    <t>USD/tonne LHM (LiOH.H2O)</t>
  </si>
  <si>
    <t xml:space="preserve">Cauchari </t>
  </si>
  <si>
    <t>Argentina</t>
  </si>
  <si>
    <t>Titan</t>
  </si>
  <si>
    <t>Volcano-Sedimentary</t>
  </si>
  <si>
    <t>Salar de Olaroz (Allkem)</t>
  </si>
  <si>
    <t>McDermitt</t>
  </si>
  <si>
    <t>Thacker Pass</t>
  </si>
  <si>
    <t>Bonnie Claire</t>
  </si>
  <si>
    <t>Hard Rock</t>
  </si>
  <si>
    <t>Manono-Kitotolo</t>
  </si>
  <si>
    <t>DR Congo</t>
  </si>
  <si>
    <t>USD/tonne of SC6</t>
  </si>
  <si>
    <t>Salar del Hombre Muerto (POSCO)</t>
  </si>
  <si>
    <t>Greenbushes</t>
  </si>
  <si>
    <t>USD2022/ t concentrate SC6</t>
  </si>
  <si>
    <t>Salar del Hombre Muerto (Livent)</t>
  </si>
  <si>
    <t>Pilgangoora</t>
  </si>
  <si>
    <t>USD2022/ t spodumene at 5.3%</t>
  </si>
  <si>
    <t>Qaidam Basin (All Projects)</t>
  </si>
  <si>
    <t>Kachi</t>
  </si>
  <si>
    <t>Centenario Ratones</t>
  </si>
  <si>
    <t>TLC</t>
  </si>
  <si>
    <t>Salar del Rincon (Rio Tinto)</t>
  </si>
  <si>
    <t>Mariana</t>
  </si>
  <si>
    <t>Salar de Atacama (Albemarle)</t>
  </si>
  <si>
    <t>Wodgina</t>
  </si>
  <si>
    <t>Cinovec</t>
  </si>
  <si>
    <t>Czech Republic</t>
  </si>
  <si>
    <t>USD/tonne SC 6%</t>
  </si>
  <si>
    <t>Clayton Valley (Century)</t>
  </si>
  <si>
    <t>Sonora</t>
  </si>
  <si>
    <t>Sal de Vida</t>
  </si>
  <si>
    <t>Mt. Holland/Earl Grey</t>
  </si>
  <si>
    <t>USD/t concentrate SC5.5</t>
  </si>
  <si>
    <t>Tres Quebradas</t>
  </si>
  <si>
    <t>Hombre Muerto West (Galan)</t>
  </si>
  <si>
    <t>Jadar</t>
  </si>
  <si>
    <t>Serbia</t>
  </si>
  <si>
    <t>Praire</t>
  </si>
  <si>
    <t>Zeus (Noram)</t>
  </si>
  <si>
    <t>Boardwalk</t>
  </si>
  <si>
    <t>Salar de Cauchari (Allkem)</t>
  </si>
  <si>
    <t>Titan 2</t>
  </si>
  <si>
    <t>Kathleen Valley</t>
  </si>
  <si>
    <t>Nuristan</t>
  </si>
  <si>
    <t>Afghanistan</t>
  </si>
  <si>
    <t>Diablillios/Sal de Los Angeles</t>
  </si>
  <si>
    <t>Pastos Grandes (Lithium Americas)</t>
  </si>
  <si>
    <t>Falchani</t>
  </si>
  <si>
    <t>Salar de Tambo</t>
  </si>
  <si>
    <t>Salar La Isla</t>
  </si>
  <si>
    <t>Salar de Pedernales</t>
  </si>
  <si>
    <t>Arizaro</t>
  </si>
  <si>
    <t>Exshaw</t>
  </si>
  <si>
    <t>Goulamina</t>
  </si>
  <si>
    <t>Mali</t>
  </si>
  <si>
    <t>Corvette</t>
  </si>
  <si>
    <t>Salar de Cancosa</t>
  </si>
  <si>
    <t>Pozuelos-Pastos Grandes (Pluspetrol)</t>
  </si>
  <si>
    <t>Beaverhill</t>
  </si>
  <si>
    <t>Smackover LANXESS</t>
  </si>
  <si>
    <t>Salar de Maricunga</t>
  </si>
  <si>
    <t>Kings Mountain/Bessemer City</t>
  </si>
  <si>
    <t>Beauvoir</t>
  </si>
  <si>
    <t>La Corne(sayona)</t>
  </si>
  <si>
    <t>USD/tonne SC  6%</t>
  </si>
  <si>
    <t>Zinnwald</t>
  </si>
  <si>
    <t>Mt. Marion</t>
  </si>
  <si>
    <t>Great Salt Lake</t>
  </si>
  <si>
    <t>Clearwater</t>
  </si>
  <si>
    <t>PAK/Spark</t>
  </si>
  <si>
    <t>Barraute</t>
  </si>
  <si>
    <t>Arcadia</t>
  </si>
  <si>
    <t>Zimbabwe</t>
  </si>
  <si>
    <t>USD/ tonne SC 6%</t>
  </si>
  <si>
    <t>Salar de Surire</t>
  </si>
  <si>
    <t>Laguna Verde</t>
  </si>
  <si>
    <t>Zhabuye</t>
  </si>
  <si>
    <t>Dahongliu</t>
  </si>
  <si>
    <t>San Jose/Valdeflores</t>
  </si>
  <si>
    <t>USD/tonne LiOH</t>
  </si>
  <si>
    <t>Hombre Muerto North (Lithium South)</t>
  </si>
  <si>
    <t>Green River</t>
  </si>
  <si>
    <t>Silver Peak</t>
  </si>
  <si>
    <t>Kolmorzerskoe</t>
  </si>
  <si>
    <t>Paradox</t>
  </si>
  <si>
    <t>Salar de Aguilar</t>
  </si>
  <si>
    <t>Kamativi</t>
  </si>
  <si>
    <t>Uis</t>
  </si>
  <si>
    <t>Namibia</t>
  </si>
  <si>
    <t>James Bay</t>
  </si>
  <si>
    <t>Whabouchi</t>
  </si>
  <si>
    <t>Yichun 414</t>
  </si>
  <si>
    <t>Rhyolite Ridge</t>
  </si>
  <si>
    <t>Kenticha</t>
  </si>
  <si>
    <t>Ethiopia</t>
  </si>
  <si>
    <t>Smackover SWA</t>
  </si>
  <si>
    <t>Huaqiao Dagang</t>
  </si>
  <si>
    <t>Plumbago North</t>
  </si>
  <si>
    <t>Ewoyaa</t>
  </si>
  <si>
    <t>Jiajika</t>
  </si>
  <si>
    <t>Wolfsberg/Koralpe</t>
  </si>
  <si>
    <t>Grota do Cirilo (Barreiro)</t>
  </si>
  <si>
    <t>Grota do Cirilo (NDC)</t>
  </si>
  <si>
    <t>Rocky</t>
  </si>
  <si>
    <t>Francisco Basin</t>
  </si>
  <si>
    <t>Candelas</t>
  </si>
  <si>
    <t>Bikita</t>
  </si>
  <si>
    <t>Bougouni</t>
  </si>
  <si>
    <t>USD/tonne of concentrate 6%</t>
  </si>
  <si>
    <t>Grota de Cirilo ( Xuxa)</t>
  </si>
  <si>
    <t>Manna</t>
  </si>
  <si>
    <t>Karibib</t>
  </si>
  <si>
    <t>Salar de Pajonales</t>
  </si>
  <si>
    <t>Carolina Lithium</t>
  </si>
  <si>
    <t>Salar de Huasco</t>
  </si>
  <si>
    <t>Rose</t>
  </si>
  <si>
    <t>Zavantinskoe</t>
  </si>
  <si>
    <t>Ulug-Tanzek</t>
  </si>
  <si>
    <t>Urikskoe</t>
  </si>
  <si>
    <t>Goltsovoe/Goltsovoya</t>
  </si>
  <si>
    <t>Polmostundrovskoe</t>
  </si>
  <si>
    <t>Mina Do Barroso</t>
  </si>
  <si>
    <t>Portugal</t>
  </si>
  <si>
    <t>Yellowknife</t>
  </si>
  <si>
    <t>Mibra/Volta Grande</t>
  </si>
  <si>
    <t>Bald Hill</t>
  </si>
  <si>
    <t>Sal de Puna</t>
  </si>
  <si>
    <t>Moblan</t>
  </si>
  <si>
    <t>Zulu</t>
  </si>
  <si>
    <t>Salar de Ascotan</t>
  </si>
  <si>
    <t>Marble Bar</t>
  </si>
  <si>
    <t>Baishicun Huashan</t>
  </si>
  <si>
    <t>Separation Rapids</t>
  </si>
  <si>
    <t>Salar Las Parinas</t>
  </si>
  <si>
    <t>Authier/La Motte/Colombe</t>
  </si>
  <si>
    <t>Colina</t>
  </si>
  <si>
    <t>Mt. Cattlin</t>
  </si>
  <si>
    <t>USD/ tonne SC 5.5%</t>
  </si>
  <si>
    <t>Root</t>
  </si>
  <si>
    <t>Buldania</t>
  </si>
  <si>
    <t>Georgia Lake</t>
  </si>
  <si>
    <t>Ostrobothnia (All Projects)</t>
  </si>
  <si>
    <t>Finland</t>
  </si>
  <si>
    <t>USD/tonne SC 5.5%</t>
  </si>
  <si>
    <t>Dome North</t>
  </si>
  <si>
    <t>Big Sandy</t>
  </si>
  <si>
    <t>Salar de Cotacotani</t>
  </si>
  <si>
    <t>Trevalour</t>
  </si>
  <si>
    <t>United Kingdom</t>
  </si>
  <si>
    <t>Lijiagou</t>
  </si>
  <si>
    <t>Thompson Brothers</t>
  </si>
  <si>
    <t>Orlovka</t>
  </si>
  <si>
    <t>Sepeda/Romano</t>
  </si>
  <si>
    <t>Seymour</t>
  </si>
  <si>
    <t>Shuinanduan</t>
  </si>
  <si>
    <t>Salar del Rincon (Argosy)</t>
  </si>
  <si>
    <t>Fox Creek</t>
  </si>
  <si>
    <t>Fort Cady</t>
  </si>
  <si>
    <t>Clayton Valley (Schlumberger)</t>
  </si>
  <si>
    <t>Grota do Cirilo (Murial)</t>
  </si>
  <si>
    <t>Wekuso Lake</t>
  </si>
  <si>
    <t>Gods Lake</t>
  </si>
  <si>
    <t>Snow Lake</t>
  </si>
  <si>
    <t>Alvarroes</t>
  </si>
  <si>
    <t>Cachoeira</t>
  </si>
  <si>
    <t>McCombe</t>
  </si>
  <si>
    <t>Thor/Echo</t>
  </si>
  <si>
    <t>Finniss</t>
  </si>
  <si>
    <t>Tanco/Bernic Lake</t>
  </si>
  <si>
    <t>Ningdu</t>
  </si>
  <si>
    <t>Raleigh Lake</t>
  </si>
  <si>
    <t>Baishuidong</t>
  </si>
  <si>
    <t>Grota do Cirilo (Lavra)</t>
  </si>
  <si>
    <t>Barroso</t>
  </si>
  <si>
    <t>Nama Creek</t>
  </si>
  <si>
    <t>Violet/Herb Lake</t>
  </si>
  <si>
    <t>Moose 2</t>
  </si>
  <si>
    <t>C 57 Portugal (Sociedade Mineira de Pegmatites)</t>
  </si>
  <si>
    <t>Sirmac</t>
  </si>
  <si>
    <t>USD/ tonne mineralized pegmatite SC LI2O 6%</t>
  </si>
  <si>
    <t>Niemi Lake</t>
  </si>
  <si>
    <t>Calculation layer linked by the original scenario sheet</t>
  </si>
  <si>
    <t>Columns C:AO mirror the scenario table. Region cells contain formulas against Codex_sources, Codex_USGS_raw, and Codex_Li_Busch.</t>
  </si>
  <si>
    <t>BNDACT</t>
  </si>
  <si>
    <t>2019, 2130</t>
  </si>
  <si>
    <t>COST</t>
  </si>
  <si>
    <t>MINAlRSV1</t>
  </si>
  <si>
    <t>MINAlRSV2</t>
  </si>
  <si>
    <t>MINAlRSV3</t>
  </si>
  <si>
    <t>Updated</t>
  </si>
  <si>
    <t>2026-08-31T00:43:22</t>
  </si>
  <si>
    <t>Backup created</t>
  </si>
  <si>
    <t>C:\Users\xli9\OneDrive - McGill University\Desktop\manu11_Battery_ISIE\KiNESYS_BattCircularity-main\KiNESYS_BattCircularity-main-AK_July\SuppXLS\Scen_usingStepMining_n_mute_original_Min2.bak_allredesign_20260831_004322.xlsx</t>
  </si>
  <si>
    <t>Output workbook</t>
  </si>
  <si>
    <t>C:\Users\xli9\OneDrive - McGill University\Desktop\manu11_Battery_ISIE\KiNESYS_BattCircularity-main\KiNESYS_BattCircularity-main-AK_July\SuppXLS\Scen_usingStepMining_n_mute_original_Min2.xlsx</t>
  </si>
  <si>
    <t>Main design</t>
  </si>
  <si>
    <t>All MIN*RSV1/2/3 rows link to Codex_calc; Codex_calc links to auditable source sheets.</t>
  </si>
  <si>
    <t>CUM horizon</t>
  </si>
  <si>
    <t>2020, 2100</t>
  </si>
  <si>
    <t>Lithium</t>
  </si>
  <si>
    <t>Busch et al. 2025 deposit-level capacity, reserve, demonstrated resources, inferred resources, and extraction cost quantiles; RSV3 cost uses p90 rather than the single maximum project.</t>
  </si>
  <si>
    <t>Nickel/cobalt</t>
  </si>
  <si>
    <t>USGS MCS 2026 reserves/production/resources for BNDACT/CUM; Peiseler et al. 2024 public source data for cost tiers.</t>
  </si>
  <si>
    <t>Mn/Al/Cu/Graphite</t>
  </si>
  <si>
    <t>USGS MCS 2026 production/reserves/resources and public price proxies; tier multipliers are documented in Codex_sources.</t>
  </si>
  <si>
    <t>Caveat</t>
  </si>
  <si>
    <t>Some non-lithium costs are price proxies, not mine-level OPEX, because public mine-level cost curves were not available.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</si>
</sst>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#,##0.0"/>
    <numFmt numFmtId="179" formatCode="0.0%"/>
    <numFmt numFmtId="180" formatCode="0.0_ "/>
  </numFmts>
  <fonts count="34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4"/>
      <name val="Arial"/>
      <charset val="1"/>
    </font>
    <font>
      <sz val="11"/>
      <color theme="1"/>
      <name val="Calibri"/>
      <charset val="1"/>
    </font>
    <font>
      <i/>
      <sz val="9"/>
      <color rgb="FF595959"/>
      <name val="Arial"/>
      <charset val="1"/>
    </font>
    <font>
      <b/>
      <sz val="11"/>
      <color rgb="FF1F4E79"/>
      <name val="Arial"/>
      <charset val="1"/>
    </font>
    <font>
      <b/>
      <sz val="9"/>
      <color rgb="FFC00000"/>
      <name val="Arial"/>
      <charset val="1"/>
    </font>
    <font>
      <b/>
      <sz val="9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0000FF"/>
      <name val="Arial"/>
      <charset val="1"/>
    </font>
    <font>
      <b/>
      <sz val="10"/>
      <color rgb="FFC00000"/>
      <name val="Arial"/>
      <charset val="1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CE4E4"/>
        <bgColor rgb="FFDDEBF7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7" fontId="0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0" fillId="10" borderId="3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4">
      <alignment vertical="center"/>
    </xf>
    <xf numFmtId="0" fontId="21" fillId="0" borderId="4">
      <alignment vertical="center"/>
    </xf>
    <xf numFmtId="0" fontId="22" fillId="0" borderId="5">
      <alignment vertical="center"/>
    </xf>
    <xf numFmtId="0" fontId="22" fillId="0" borderId="0">
      <alignment vertical="center"/>
    </xf>
    <xf numFmtId="0" fontId="23" fillId="11" borderId="6">
      <alignment vertical="center"/>
    </xf>
    <xf numFmtId="0" fontId="24" fillId="12" borderId="7">
      <alignment vertical="center"/>
    </xf>
    <xf numFmtId="0" fontId="25" fillId="12" borderId="6">
      <alignment vertical="center"/>
    </xf>
    <xf numFmtId="0" fontId="26" fillId="13" borderId="8">
      <alignment vertical="center"/>
    </xf>
    <xf numFmtId="0" fontId="27" fillId="0" borderId="9">
      <alignment vertical="center"/>
    </xf>
    <xf numFmtId="0" fontId="28" fillId="0" borderId="10">
      <alignment vertical="center"/>
    </xf>
    <xf numFmtId="0" fontId="29" fillId="14" borderId="0">
      <alignment vertical="center"/>
    </xf>
    <xf numFmtId="0" fontId="30" fillId="15" borderId="0">
      <alignment vertical="center"/>
    </xf>
    <xf numFmtId="0" fontId="31" fillId="16" borderId="0">
      <alignment vertical="center"/>
    </xf>
    <xf numFmtId="0" fontId="32" fillId="9" borderId="0">
      <alignment vertical="center"/>
    </xf>
    <xf numFmtId="0" fontId="33" fillId="17" borderId="0">
      <alignment vertical="center"/>
    </xf>
    <xf numFmtId="0" fontId="33" fillId="18" borderId="0">
      <alignment vertical="center"/>
    </xf>
    <xf numFmtId="0" fontId="32" fillId="19" borderId="0">
      <alignment vertical="center"/>
    </xf>
    <xf numFmtId="0" fontId="32" fillId="20" borderId="0">
      <alignment vertical="center"/>
    </xf>
    <xf numFmtId="0" fontId="33" fillId="21" borderId="0">
      <alignment vertical="center"/>
    </xf>
    <xf numFmtId="0" fontId="33" fillId="22" borderId="0">
      <alignment vertical="center"/>
    </xf>
    <xf numFmtId="0" fontId="32" fillId="23" borderId="0">
      <alignment vertical="center"/>
    </xf>
    <xf numFmtId="0" fontId="32" fillId="24" borderId="0">
      <alignment vertical="center"/>
    </xf>
    <xf numFmtId="0" fontId="33" fillId="25" borderId="0">
      <alignment vertical="center"/>
    </xf>
    <xf numFmtId="0" fontId="33" fillId="26" borderId="0">
      <alignment vertical="center"/>
    </xf>
    <xf numFmtId="0" fontId="32" fillId="27" borderId="0">
      <alignment vertical="center"/>
    </xf>
    <xf numFmtId="0" fontId="32" fillId="28" borderId="0">
      <alignment vertical="center"/>
    </xf>
    <xf numFmtId="0" fontId="33" fillId="29" borderId="0">
      <alignment vertical="center"/>
    </xf>
    <xf numFmtId="0" fontId="33" fillId="30" borderId="0">
      <alignment vertical="center"/>
    </xf>
    <xf numFmtId="0" fontId="32" fillId="31" borderId="0">
      <alignment vertical="center"/>
    </xf>
    <xf numFmtId="0" fontId="32" fillId="32" borderId="0">
      <alignment vertical="center"/>
    </xf>
    <xf numFmtId="0" fontId="33" fillId="33" borderId="0">
      <alignment vertical="center"/>
    </xf>
    <xf numFmtId="0" fontId="33" fillId="34" borderId="0">
      <alignment vertical="center"/>
    </xf>
    <xf numFmtId="0" fontId="32" fillId="35" borderId="0">
      <alignment vertical="center"/>
    </xf>
    <xf numFmtId="0" fontId="32" fillId="36" borderId="0">
      <alignment vertical="center"/>
    </xf>
    <xf numFmtId="0" fontId="33" fillId="37" borderId="0">
      <alignment vertical="center"/>
    </xf>
    <xf numFmtId="0" fontId="33" fillId="38" borderId="0">
      <alignment vertical="center"/>
    </xf>
    <xf numFmtId="0" fontId="32" fillId="39" borderId="0">
      <alignment vertical="center"/>
    </xf>
    <xf numFmtId="0" fontId="13" fillId="0" borderId="0"/>
  </cellStyleXfs>
  <cellXfs count="41">
    <xf numFmtId="0" fontId="0" fillId="0" borderId="0" xfId="0" applyAlignment="1">
      <alignment vertical="center"/>
    </xf>
    <xf numFmtId="0" fontId="0" fillId="0" borderId="0" xfId="0" applyAlignment="1"/>
    <xf numFmtId="0" fontId="1" fillId="2" borderId="0" xfId="0" applyFont="1" applyFill="1" applyAlignment="1"/>
    <xf numFmtId="0" fontId="1" fillId="0" borderId="0" xfId="0" applyFont="1" applyAlignment="1"/>
    <xf numFmtId="0" fontId="2" fillId="3" borderId="0" xfId="0" applyFont="1" applyFill="1" applyAlignment="1">
      <alignment vertical="center"/>
    </xf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6" fillId="4" borderId="0" xfId="0" applyFont="1" applyFill="1" applyAlignment="1"/>
    <xf numFmtId="0" fontId="7" fillId="5" borderId="0" xfId="0" applyFont="1" applyFill="1" applyAlignment="1">
      <alignment vertical="top" wrapText="1"/>
    </xf>
    <xf numFmtId="0" fontId="6" fillId="0" borderId="0" xfId="0" applyFont="1" applyAlignment="1"/>
    <xf numFmtId="0" fontId="8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/>
    <xf numFmtId="0" fontId="10" fillId="7" borderId="1" xfId="0" applyFont="1" applyFill="1" applyBorder="1" applyAlignment="1"/>
    <xf numFmtId="178" fontId="10" fillId="7" borderId="1" xfId="0" applyNumberFormat="1" applyFont="1" applyFill="1" applyBorder="1" applyAlignment="1"/>
    <xf numFmtId="4" fontId="10" fillId="4" borderId="1" xfId="0" applyNumberFormat="1" applyFont="1" applyFill="1" applyBorder="1" applyAlignment="1"/>
    <xf numFmtId="3" fontId="9" fillId="7" borderId="1" xfId="0" applyNumberFormat="1" applyFont="1" applyFill="1" applyBorder="1" applyAlignment="1"/>
    <xf numFmtId="179" fontId="10" fillId="4" borderId="1" xfId="0" applyNumberFormat="1" applyFont="1" applyFill="1" applyBorder="1" applyAlignment="1"/>
    <xf numFmtId="2" fontId="10" fillId="4" borderId="1" xfId="0" applyNumberFormat="1" applyFont="1" applyFill="1" applyBorder="1" applyAlignment="1"/>
    <xf numFmtId="2" fontId="11" fillId="4" borderId="1" xfId="0" applyNumberFormat="1" applyFont="1" applyFill="1" applyBorder="1" applyAlignment="1"/>
    <xf numFmtId="0" fontId="9" fillId="0" borderId="1" xfId="0" applyFont="1" applyBorder="1" applyAlignment="1"/>
    <xf numFmtId="0" fontId="10" fillId="0" borderId="1" xfId="0" applyFont="1" applyBorder="1" applyAlignment="1"/>
    <xf numFmtId="178" fontId="10" fillId="0" borderId="1" xfId="0" applyNumberFormat="1" applyFont="1" applyBorder="1" applyAlignment="1"/>
    <xf numFmtId="3" fontId="9" fillId="0" borderId="1" xfId="0" applyNumberFormat="1" applyFont="1" applyBorder="1" applyAlignment="1"/>
    <xf numFmtId="178" fontId="9" fillId="0" borderId="1" xfId="0" applyNumberFormat="1" applyFont="1" applyBorder="1" applyAlignment="1"/>
    <xf numFmtId="178" fontId="9" fillId="4" borderId="1" xfId="0" applyNumberFormat="1" applyFont="1" applyFill="1" applyBorder="1" applyAlignment="1"/>
    <xf numFmtId="0" fontId="12" fillId="0" borderId="0" xfId="0" applyFont="1" applyAlignment="1"/>
    <xf numFmtId="0" fontId="4" fillId="7" borderId="1" xfId="0" applyFont="1" applyFill="1" applyBorder="1" applyAlignment="1"/>
    <xf numFmtId="178" fontId="9" fillId="7" borderId="1" xfId="0" applyNumberFormat="1" applyFont="1" applyFill="1" applyBorder="1" applyAlignment="1"/>
    <xf numFmtId="0" fontId="4" fillId="0" borderId="1" xfId="0" applyFont="1" applyBorder="1" applyAlignment="1"/>
    <xf numFmtId="0" fontId="0" fillId="3" borderId="0" xfId="0" applyFill="1" applyAlignment="1">
      <alignment vertical="center"/>
    </xf>
    <xf numFmtId="0" fontId="0" fillId="3" borderId="0" xfId="0" applyFill="1" applyAlignment="1"/>
    <xf numFmtId="0" fontId="13" fillId="8" borderId="0" xfId="49" applyFill="1" applyAlignment="1">
      <alignment horizontal="center"/>
    </xf>
    <xf numFmtId="0" fontId="13" fillId="0" borderId="0" xfId="0" applyFont="1" applyAlignment="1"/>
    <xf numFmtId="0" fontId="13" fillId="3" borderId="0" xfId="0" applyFont="1" applyFill="1" applyAlignment="1"/>
    <xf numFmtId="0" fontId="14" fillId="0" borderId="0" xfId="0" applyFont="1" applyAlignment="1">
      <alignment vertical="center"/>
    </xf>
    <xf numFmtId="180" fontId="13" fillId="0" borderId="2" xfId="49" applyNumberFormat="1" applyBorder="1"/>
    <xf numFmtId="0" fontId="13" fillId="0" borderId="0" xfId="49" applyAlignment="1">
      <alignment horizontal="center"/>
    </xf>
    <xf numFmtId="0" fontId="0" fillId="9" borderId="0" xfId="0" applyFill="1" applyAlignment="1"/>
    <xf numFmtId="0" fontId="13" fillId="9" borderId="0" xfId="0" applyFont="1" applyFill="1" applyAlignment="1"/>
    <xf numFmtId="0" fontId="14" fillId="3" borderId="0" xfId="0" applyFont="1" applyFill="1" applyAlignment="1">
      <alignment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AO172"/>
  <sheetViews>
    <sheetView tabSelected="1" zoomScale="80" zoomScaleNormal="80" zoomScaleSheetLayoutView="60" topLeftCell="A63" workbookViewId="0">
      <selection activeCell="E75" sqref="E75"/>
    </sheetView>
  </sheetViews>
  <sheetFormatPr defaultColWidth="9.81818181818182" defaultRowHeight="14.5"/>
  <cols>
    <col min="3" max="3" width="30.3636363636364" style="1" customWidth="1"/>
    <col min="5" max="5" width="21.4545454545455" style="1" customWidth="1"/>
    <col min="6" max="7" width="12.8181818181818" style="1" customWidth="1"/>
    <col min="8" max="8" width="12.8181818181818" style="31" customWidth="1"/>
    <col min="9" max="9" width="12.8181818181818"/>
    <col min="10" max="10" width="10.5454545454545"/>
    <col min="11" max="11" width="33.1818181818182" style="1" customWidth="1"/>
    <col min="12" max="12" width="11.2727272727273" style="1" customWidth="1"/>
    <col min="13" max="13" width="12.8181818181818" style="31" customWidth="1"/>
    <col min="14" max="14" width="10.5454545454545"/>
    <col min="15" max="15" width="12.8181818181818"/>
    <col min="16" max="16" width="12.8181818181818" style="1" customWidth="1"/>
    <col min="17" max="17" width="12.8181818181818"/>
    <col min="18" max="18" width="12.8181818181818" style="1" customWidth="1"/>
    <col min="19" max="19" width="10.5454545454545"/>
    <col min="20" max="21" width="12.8181818181818" style="1" customWidth="1"/>
    <col min="22" max="24" width="10.5454545454545"/>
    <col min="25" max="35" width="12.8181818181818" style="1" customWidth="1"/>
    <col min="36" max="36" width="10.5454545454545"/>
    <col min="37" max="37" width="12.8181818181818" style="1" customWidth="1"/>
    <col min="38" max="38" width="12.8181818181818"/>
    <col min="39" max="39" width="12.8181818181818" style="1" customWidth="1"/>
    <col min="40" max="40" width="12.8181818181818"/>
    <col min="41" max="41" width="10.5454545454545" style="1" customWidth="1"/>
  </cols>
  <sheetData>
    <row r="4" spans="3:41">
      <c r="C4" s="32" t="s">
        <v>0</v>
      </c>
      <c r="D4" s="32">
        <v>12.85</v>
      </c>
      <c r="K4" s="33"/>
      <c r="L4" s="33" t="s">
        <v>1</v>
      </c>
      <c r="M4" s="34"/>
    </row>
    <row r="5" spans="3:41">
      <c r="C5" s="32" t="s">
        <v>2</v>
      </c>
      <c r="D5" s="32">
        <v>20</v>
      </c>
      <c r="K5" s="33" t="s">
        <v>3</v>
      </c>
      <c r="L5" s="33" t="s">
        <v>4</v>
      </c>
      <c r="M5" s="30" t="s">
        <v>5</v>
      </c>
    </row>
    <row r="6" ht="16" customHeight="1" spans="3:41">
      <c r="C6" s="32" t="s">
        <v>6</v>
      </c>
      <c r="D6" s="32">
        <v>29.3</v>
      </c>
      <c r="K6" s="35" t="s">
        <v>7</v>
      </c>
      <c r="L6" s="36" t="s">
        <v>8</v>
      </c>
      <c r="M6" s="30">
        <v>99999</v>
      </c>
    </row>
    <row r="7" spans="3:41">
      <c r="C7" s="32" t="s">
        <v>9</v>
      </c>
      <c r="D7" s="37">
        <v>2</v>
      </c>
      <c r="K7" t="s">
        <v>10</v>
      </c>
      <c r="L7" t="str">
        <f t="shared" ref="L7:L16" si="0">L6</f>
        <v>ACT_COST</v>
      </c>
      <c r="M7" s="30">
        <f t="shared" ref="M7:M27" si="1">M6</f>
        <v>99999</v>
      </c>
    </row>
    <row r="8" spans="3:41">
      <c r="C8" s="32" t="s">
        <v>11</v>
      </c>
      <c r="D8" s="32">
        <v>2.5</v>
      </c>
      <c r="K8" t="s">
        <v>12</v>
      </c>
      <c r="L8" t="str">
        <f t="shared" si="0"/>
        <v>ACT_COST</v>
      </c>
      <c r="M8" s="30">
        <f t="shared" si="1"/>
        <v>99999</v>
      </c>
    </row>
    <row r="9" spans="3:41">
      <c r="C9" s="32" t="s">
        <v>13</v>
      </c>
      <c r="D9" s="32">
        <v>8</v>
      </c>
      <c r="K9" t="s">
        <v>14</v>
      </c>
      <c r="L9" t="str">
        <f t="shared" si="0"/>
        <v>ACT_COST</v>
      </c>
      <c r="M9" s="30">
        <f t="shared" si="1"/>
        <v>99999</v>
      </c>
    </row>
    <row r="10" spans="3:41">
      <c r="C10" s="32" t="s">
        <v>15</v>
      </c>
      <c r="D10" s="32">
        <v>1</v>
      </c>
      <c r="K10" t="s">
        <v>16</v>
      </c>
      <c r="L10" t="str">
        <f t="shared" si="0"/>
        <v>ACT_COST</v>
      </c>
      <c r="M10" s="30">
        <f t="shared" si="1"/>
        <v>99999</v>
      </c>
    </row>
    <row r="11" spans="3:41">
      <c r="K11" t="s">
        <v>17</v>
      </c>
      <c r="L11" t="str">
        <f t="shared" si="0"/>
        <v>ACT_COST</v>
      </c>
      <c r="M11" s="30">
        <f t="shared" si="1"/>
        <v>99999</v>
      </c>
    </row>
    <row r="12" spans="3:41">
      <c r="K12" t="s">
        <v>18</v>
      </c>
      <c r="L12" t="str">
        <f t="shared" si="0"/>
        <v>ACT_COST</v>
      </c>
      <c r="M12" s="30">
        <f t="shared" si="1"/>
        <v>99999</v>
      </c>
    </row>
    <row r="13" spans="3:41">
      <c r="C13" s="33"/>
      <c r="D13" s="33"/>
      <c r="E13" s="33"/>
      <c r="F13" s="33"/>
      <c r="G13" s="33"/>
      <c r="H13" s="34"/>
      <c r="I13" s="33"/>
      <c r="J13" s="33"/>
      <c r="K13" s="33" t="s">
        <v>19</v>
      </c>
      <c r="L13" t="str">
        <f t="shared" si="0"/>
        <v>ACT_COST</v>
      </c>
      <c r="M13" s="30">
        <f t="shared" si="1"/>
        <v>99999</v>
      </c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</row>
    <row r="14" spans="3:41">
      <c r="C14" s="33"/>
      <c r="D14" s="33"/>
      <c r="E14" s="33"/>
      <c r="F14" s="33"/>
      <c r="G14" s="33"/>
      <c r="H14" s="34"/>
      <c r="I14" s="33"/>
      <c r="J14" s="33"/>
      <c r="K14" s="33" t="s">
        <v>20</v>
      </c>
      <c r="L14" t="str">
        <f t="shared" si="0"/>
        <v>ACT_COST</v>
      </c>
      <c r="M14" s="30">
        <f t="shared" si="1"/>
        <v>99999</v>
      </c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</row>
    <row r="15" spans="3:41">
      <c r="C15" s="33"/>
      <c r="D15" s="33"/>
      <c r="E15" s="33"/>
      <c r="F15" s="33"/>
      <c r="G15" s="33"/>
      <c r="H15" s="34"/>
      <c r="I15" s="33"/>
      <c r="J15" s="33"/>
      <c r="K15" s="33" t="s">
        <v>21</v>
      </c>
      <c r="L15" t="str">
        <f t="shared" si="0"/>
        <v>ACT_COST</v>
      </c>
      <c r="M15" s="30">
        <f t="shared" si="1"/>
        <v>99999</v>
      </c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</row>
    <row r="16" spans="3:41">
      <c r="C16" s="33"/>
      <c r="D16" s="33"/>
      <c r="E16" s="33"/>
      <c r="K16" t="s">
        <v>22</v>
      </c>
      <c r="L16" t="str">
        <f t="shared" si="0"/>
        <v>ACT_COST</v>
      </c>
      <c r="M16" s="30">
        <f t="shared" si="1"/>
        <v>99999</v>
      </c>
      <c r="AN16" s="33"/>
    </row>
    <row r="17" ht="16" customHeight="1" spans="3:41">
      <c r="C17" s="33"/>
      <c r="D17" s="33"/>
      <c r="E17" s="33"/>
      <c r="F17" s="33"/>
      <c r="G17" s="33"/>
      <c r="H17" s="34"/>
      <c r="I17" s="33"/>
      <c r="J17" s="33"/>
      <c r="K17" s="35" t="s">
        <v>7</v>
      </c>
      <c r="L17" s="33" t="s">
        <v>23</v>
      </c>
      <c r="M17" s="34">
        <f t="shared" si="1"/>
        <v>99999</v>
      </c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</row>
    <row r="18" spans="3:41">
      <c r="C18" s="33"/>
      <c r="D18" s="33"/>
      <c r="E18" s="33"/>
      <c r="F18" s="33"/>
      <c r="G18" s="33"/>
      <c r="H18" s="34"/>
      <c r="I18" s="33"/>
      <c r="J18" s="33"/>
      <c r="K18" t="s">
        <v>10</v>
      </c>
      <c r="L18" s="33" t="str">
        <f t="shared" ref="L18:L27" si="2">L17</f>
        <v>NCAP_FOM</v>
      </c>
      <c r="M18" s="34">
        <f t="shared" si="1"/>
        <v>99999</v>
      </c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</row>
    <row r="19" spans="3:41">
      <c r="C19" s="33"/>
      <c r="D19" s="33"/>
      <c r="E19" s="37"/>
      <c r="F19" s="33"/>
      <c r="G19" s="33"/>
      <c r="H19" s="34"/>
      <c r="I19" s="33"/>
      <c r="J19" s="33"/>
      <c r="K19" t="s">
        <v>12</v>
      </c>
      <c r="L19" s="33" t="str">
        <f t="shared" si="2"/>
        <v>NCAP_FOM</v>
      </c>
      <c r="M19" s="34">
        <f t="shared" si="1"/>
        <v>99999</v>
      </c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</row>
    <row r="20" spans="3:41">
      <c r="C20" s="33"/>
      <c r="D20" s="33"/>
      <c r="E20" s="33"/>
      <c r="F20" s="33"/>
      <c r="G20" s="33"/>
      <c r="H20" s="34"/>
      <c r="I20" s="33"/>
      <c r="J20" s="33"/>
      <c r="K20" t="s">
        <v>14</v>
      </c>
      <c r="L20" s="33" t="str">
        <f t="shared" si="2"/>
        <v>NCAP_FOM</v>
      </c>
      <c r="M20" s="34">
        <f t="shared" si="1"/>
        <v>99999</v>
      </c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</row>
    <row r="21" spans="3:41">
      <c r="C21" s="33"/>
      <c r="D21" s="33"/>
      <c r="E21" s="33"/>
      <c r="F21" s="33"/>
      <c r="G21" s="33"/>
      <c r="H21" s="34"/>
      <c r="I21" s="33"/>
      <c r="J21" s="33"/>
      <c r="K21" t="s">
        <v>16</v>
      </c>
      <c r="L21" s="33" t="str">
        <f t="shared" si="2"/>
        <v>NCAP_FOM</v>
      </c>
      <c r="M21" s="34">
        <f t="shared" si="1"/>
        <v>99999</v>
      </c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</row>
    <row r="22" spans="3:41">
      <c r="C22" s="33"/>
      <c r="D22" s="33"/>
      <c r="E22" s="37"/>
      <c r="F22" s="33"/>
      <c r="G22" s="33"/>
      <c r="H22" s="34"/>
      <c r="I22" s="33"/>
      <c r="J22" s="33"/>
      <c r="K22" t="s">
        <v>17</v>
      </c>
      <c r="L22" s="33" t="str">
        <f t="shared" si="2"/>
        <v>NCAP_FOM</v>
      </c>
      <c r="M22" s="34">
        <f t="shared" si="1"/>
        <v>99999</v>
      </c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</row>
    <row r="23" spans="3:41">
      <c r="C23" s="33"/>
      <c r="D23" s="33"/>
      <c r="E23" s="33"/>
      <c r="F23" s="33"/>
      <c r="G23" s="33"/>
      <c r="H23" s="34"/>
      <c r="I23" s="33"/>
      <c r="J23" s="33"/>
      <c r="K23" t="s">
        <v>18</v>
      </c>
      <c r="L23" s="33" t="str">
        <f t="shared" si="2"/>
        <v>NCAP_FOM</v>
      </c>
      <c r="M23" s="34">
        <f t="shared" si="1"/>
        <v>99999</v>
      </c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</row>
    <row r="24" spans="3:41">
      <c r="C24" s="33"/>
      <c r="D24" s="33"/>
      <c r="E24" s="33"/>
      <c r="F24" s="33"/>
      <c r="G24" s="33"/>
      <c r="H24" s="34"/>
      <c r="I24" s="33"/>
      <c r="J24" s="33"/>
      <c r="K24" s="33" t="s">
        <v>19</v>
      </c>
      <c r="L24" s="33" t="str">
        <f t="shared" si="2"/>
        <v>NCAP_FOM</v>
      </c>
      <c r="M24" s="34">
        <f t="shared" si="1"/>
        <v>99999</v>
      </c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</row>
    <row r="25" spans="3:41">
      <c r="C25" s="33"/>
      <c r="D25" s="33"/>
      <c r="E25" s="37"/>
      <c r="F25" s="33"/>
      <c r="G25" s="33"/>
      <c r="H25" s="34"/>
      <c r="I25" s="33"/>
      <c r="J25" s="33"/>
      <c r="K25" s="33" t="s">
        <v>20</v>
      </c>
      <c r="L25" s="33" t="str">
        <f t="shared" si="2"/>
        <v>NCAP_FOM</v>
      </c>
      <c r="M25" s="34">
        <f t="shared" si="1"/>
        <v>99999</v>
      </c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</row>
    <row r="26" spans="3:41">
      <c r="C26" s="33"/>
      <c r="D26" s="33"/>
      <c r="E26" s="33"/>
      <c r="F26" s="33"/>
      <c r="G26" s="33"/>
      <c r="H26" s="34"/>
      <c r="I26" s="33"/>
      <c r="J26" s="33"/>
      <c r="K26" s="33" t="s">
        <v>21</v>
      </c>
      <c r="L26" s="33" t="str">
        <f t="shared" si="2"/>
        <v>NCAP_FOM</v>
      </c>
      <c r="M26" s="34">
        <f t="shared" si="1"/>
        <v>99999</v>
      </c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</row>
    <row r="27" spans="3:41">
      <c r="C27" s="33"/>
      <c r="D27" s="33"/>
      <c r="E27" s="33"/>
      <c r="F27" s="33"/>
      <c r="G27" s="33"/>
      <c r="H27" s="34"/>
      <c r="I27" s="33"/>
      <c r="J27" s="33"/>
      <c r="K27" t="s">
        <v>22</v>
      </c>
      <c r="L27" s="33" t="str">
        <f t="shared" si="2"/>
        <v>NCAP_FOM</v>
      </c>
      <c r="M27" s="34">
        <f t="shared" si="1"/>
        <v>99999</v>
      </c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</row>
    <row r="28" spans="3:41">
      <c r="C28" s="33"/>
      <c r="D28" s="33"/>
      <c r="E28" s="33"/>
      <c r="F28" s="33"/>
      <c r="G28" s="33"/>
      <c r="H28" s="34"/>
      <c r="I28" s="33"/>
      <c r="J28" s="33"/>
      <c r="K28" s="33"/>
      <c r="L28" s="33"/>
      <c r="M28" s="34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</row>
    <row r="29" spans="3:41">
      <c r="C29" s="33"/>
      <c r="D29" s="33"/>
      <c r="E29" s="33"/>
      <c r="F29" s="33"/>
      <c r="G29" s="33"/>
      <c r="H29" s="34"/>
      <c r="I29" s="33"/>
      <c r="J29" s="33"/>
      <c r="K29" s="33"/>
      <c r="L29" s="33"/>
      <c r="M29" s="34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</row>
    <row r="30" spans="3:41">
      <c r="C30" s="33"/>
      <c r="D30" s="33"/>
      <c r="E30" s="33"/>
      <c r="F30" s="33"/>
      <c r="G30" s="33"/>
      <c r="H30" s="34"/>
      <c r="I30" s="33"/>
      <c r="J30" s="33"/>
      <c r="K30" s="33"/>
      <c r="L30" s="33"/>
      <c r="M30" s="34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</row>
    <row r="31" spans="3:41">
      <c r="C31" s="33"/>
      <c r="D31" s="33"/>
      <c r="E31" s="33"/>
      <c r="F31" s="33"/>
      <c r="G31" s="33"/>
      <c r="H31" s="34"/>
      <c r="I31" s="33"/>
      <c r="J31" s="33"/>
      <c r="K31" s="33"/>
      <c r="L31" s="33"/>
      <c r="M31" s="34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</row>
    <row r="32" spans="3:41">
      <c r="C32" s="34" t="s">
        <v>24</v>
      </c>
      <c r="D32" s="33"/>
      <c r="E32" s="33"/>
      <c r="F32" s="33"/>
      <c r="G32" s="33"/>
      <c r="H32" s="34"/>
      <c r="I32" s="33"/>
      <c r="J32" s="33"/>
      <c r="K32" s="33"/>
      <c r="L32" s="33"/>
      <c r="M32" s="34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</row>
    <row r="33" spans="3:41">
      <c r="C33" s="33"/>
      <c r="D33" s="33"/>
      <c r="E33" s="33"/>
      <c r="F33" s="33"/>
      <c r="G33" s="33"/>
      <c r="H33" s="34"/>
      <c r="I33" s="33"/>
      <c r="J33" s="33"/>
      <c r="K33" s="33"/>
      <c r="L33" s="33"/>
      <c r="M33" s="34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</row>
    <row r="34" spans="3:41">
      <c r="C34" s="33"/>
      <c r="D34" s="33"/>
      <c r="E34" s="33"/>
      <c r="F34" s="33"/>
      <c r="G34" s="33"/>
      <c r="H34" s="34"/>
      <c r="I34" s="33"/>
      <c r="J34" s="33"/>
      <c r="K34" s="33"/>
      <c r="L34" s="33"/>
      <c r="M34" s="34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</row>
    <row r="35" spans="3:41">
      <c r="C35" s="33"/>
      <c r="D35" s="33"/>
      <c r="E35" s="33"/>
      <c r="F35" s="33"/>
      <c r="G35" s="33"/>
      <c r="H35" s="34"/>
      <c r="I35" s="33"/>
      <c r="J35" s="33"/>
      <c r="K35" s="33"/>
      <c r="L35" s="33"/>
      <c r="M35" s="3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</row>
    <row r="36" spans="3:41">
      <c r="D36" s="33"/>
      <c r="E36" s="33"/>
      <c r="F36" s="33"/>
      <c r="G36" s="33"/>
      <c r="H36" s="34"/>
      <c r="I36" s="33"/>
      <c r="J36" s="33"/>
      <c r="K36" s="33"/>
      <c r="L36" s="33"/>
      <c r="M36" s="34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</row>
    <row r="37" spans="3:41">
      <c r="C37" s="33"/>
      <c r="D37" s="33"/>
      <c r="E37" s="33"/>
      <c r="F37" s="33"/>
      <c r="G37" s="33"/>
      <c r="H37" s="34"/>
      <c r="I37" s="33"/>
      <c r="J37" s="33"/>
      <c r="K37" s="33"/>
      <c r="L37" s="33"/>
      <c r="M37" s="34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</row>
    <row r="38" spans="3:41">
      <c r="C38" s="33"/>
      <c r="D38" s="33"/>
      <c r="E38" s="33"/>
      <c r="F38" s="33"/>
      <c r="I38" s="33"/>
      <c r="J38" s="33"/>
      <c r="K38" s="33"/>
      <c r="L38" s="33"/>
      <c r="M38" s="34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</row>
    <row r="39" spans="3:41">
      <c r="C39" s="33" t="s">
        <v>25</v>
      </c>
      <c r="D39" s="33"/>
      <c r="E39" s="33"/>
      <c r="F39" s="33"/>
      <c r="I39" s="33"/>
      <c r="J39" s="33"/>
      <c r="K39" s="33"/>
      <c r="L39" s="33"/>
      <c r="M39" s="34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</row>
    <row r="40" spans="3:41">
      <c r="C40" s="33" t="s">
        <v>3</v>
      </c>
      <c r="D40" s="33" t="s">
        <v>4</v>
      </c>
      <c r="E40" s="33" t="s">
        <v>26</v>
      </c>
      <c r="F40" s="33" t="s">
        <v>27</v>
      </c>
      <c r="G40" t="s">
        <v>28</v>
      </c>
      <c r="H40" s="30" t="s">
        <v>29</v>
      </c>
      <c r="I40" s="33" t="s">
        <v>30</v>
      </c>
      <c r="J40" s="33" t="s">
        <v>31</v>
      </c>
      <c r="K40" s="33" t="s">
        <v>32</v>
      </c>
      <c r="L40" s="33" t="s">
        <v>33</v>
      </c>
      <c r="M40" s="34" t="s">
        <v>34</v>
      </c>
      <c r="N40" s="33" t="s">
        <v>35</v>
      </c>
      <c r="O40" s="33" t="s">
        <v>36</v>
      </c>
      <c r="P40" s="33" t="s">
        <v>37</v>
      </c>
      <c r="Q40" s="33" t="s">
        <v>38</v>
      </c>
      <c r="R40" s="33" t="s">
        <v>39</v>
      </c>
      <c r="S40" s="33" t="s">
        <v>40</v>
      </c>
      <c r="T40" s="33" t="s">
        <v>41</v>
      </c>
      <c r="U40" s="33" t="s">
        <v>42</v>
      </c>
      <c r="V40" s="33" t="s">
        <v>43</v>
      </c>
      <c r="W40" s="33" t="s">
        <v>44</v>
      </c>
      <c r="X40" s="33" t="s">
        <v>45</v>
      </c>
      <c r="Y40" s="33" t="s">
        <v>46</v>
      </c>
      <c r="Z40" s="33" t="s">
        <v>47</v>
      </c>
      <c r="AA40" s="33" t="s">
        <v>48</v>
      </c>
      <c r="AB40" s="33" t="s">
        <v>49</v>
      </c>
      <c r="AC40" s="33" t="s">
        <v>50</v>
      </c>
      <c r="AD40" s="33" t="s">
        <v>51</v>
      </c>
      <c r="AE40" s="33" t="s">
        <v>52</v>
      </c>
      <c r="AF40" s="33" t="s">
        <v>53</v>
      </c>
      <c r="AG40" s="33" t="s">
        <v>54</v>
      </c>
      <c r="AH40" s="33" t="s">
        <v>55</v>
      </c>
      <c r="AI40" s="33" t="s">
        <v>56</v>
      </c>
      <c r="AJ40" s="33" t="s">
        <v>57</v>
      </c>
      <c r="AK40" s="33" t="s">
        <v>58</v>
      </c>
      <c r="AL40" s="33" t="s">
        <v>59</v>
      </c>
      <c r="AM40" s="33" t="s">
        <v>60</v>
      </c>
      <c r="AN40" s="33" t="s">
        <v>61</v>
      </c>
      <c r="AO40" t="s">
        <v>62</v>
      </c>
    </row>
    <row r="41" spans="3:41">
      <c r="C41" s="33" t="str">
        <f>Codex_calc!C41</f>
        <v>MINLiRSV1</v>
      </c>
      <c r="D41" s="33" t="str">
        <f>Codex_calc!D41</f>
        <v>BNDACT</v>
      </c>
      <c r="E41" s="33"/>
      <c r="F41" s="33">
        <f>Codex_calc!F41</f>
        <v>0</v>
      </c>
      <c r="G41" s="33">
        <f>Codex_calc!G41</f>
        <v>19.6640791533596</v>
      </c>
      <c r="H41" s="34">
        <f>Codex_calc!H41</f>
        <v>52.8776454380362</v>
      </c>
      <c r="I41" s="33">
        <f>Codex_calc!I41</f>
        <v>0.426746821967561</v>
      </c>
      <c r="J41" s="33">
        <f>Codex_calc!J41</f>
        <v>0</v>
      </c>
      <c r="K41" s="33">
        <f>Codex_calc!K41</f>
        <v>0</v>
      </c>
      <c r="L41" s="33">
        <f>Codex_calc!L41</f>
        <v>7.17848331141586</v>
      </c>
      <c r="M41" s="34">
        <f>Codex_calc!M41</f>
        <v>5.95789647441919</v>
      </c>
      <c r="N41" s="33">
        <f>Codex_calc!N41</f>
        <v>0</v>
      </c>
      <c r="O41" s="33">
        <f>Codex_calc!O41</f>
        <v>1.42506105579561</v>
      </c>
      <c r="P41" s="33">
        <f>Codex_calc!P41</f>
        <v>0</v>
      </c>
      <c r="Q41" s="33">
        <f>Codex_calc!Q41</f>
        <v>1.74633352119732</v>
      </c>
      <c r="R41" s="33">
        <f>Codex_calc!R41</f>
        <v>0</v>
      </c>
      <c r="S41" s="33">
        <f>Codex_calc!S41</f>
        <v>0</v>
      </c>
      <c r="T41" s="33">
        <f>Codex_calc!T41</f>
        <v>0</v>
      </c>
      <c r="U41" s="33">
        <f>Codex_calc!U41</f>
        <v>0</v>
      </c>
      <c r="V41" s="33">
        <f>Codex_calc!V41</f>
        <v>0</v>
      </c>
      <c r="W41" s="33">
        <f>Codex_calc!W41</f>
        <v>0</v>
      </c>
      <c r="X41" s="33">
        <f>Codex_calc!X41</f>
        <v>0</v>
      </c>
      <c r="Y41" s="33">
        <f>Codex_calc!Y41</f>
        <v>52.3188076898992</v>
      </c>
      <c r="Z41" s="33">
        <f>Codex_calc!Z41</f>
        <v>0</v>
      </c>
      <c r="AA41" s="33">
        <f>Codex_calc!AA41</f>
        <v>35.3828442607552</v>
      </c>
      <c r="AB41" s="33">
        <f>Codex_calc!AB41</f>
        <v>0</v>
      </c>
      <c r="AC41" s="33">
        <f>Codex_calc!AC41</f>
        <v>0</v>
      </c>
      <c r="AD41" s="33">
        <f>Codex_calc!AD41</f>
        <v>0</v>
      </c>
      <c r="AE41" s="33">
        <f>Codex_calc!AE41</f>
        <v>0</v>
      </c>
      <c r="AF41" s="33">
        <f>Codex_calc!AF41</f>
        <v>0</v>
      </c>
      <c r="AG41" s="33">
        <f>Codex_calc!AG41</f>
        <v>0</v>
      </c>
      <c r="AH41" s="33">
        <f>Codex_calc!AH41</f>
        <v>2.47644310852276</v>
      </c>
      <c r="AI41" s="33">
        <f>Codex_calc!AI41</f>
        <v>0.727409355626527</v>
      </c>
      <c r="AJ41" s="33">
        <f>Codex_calc!AJ41</f>
        <v>0</v>
      </c>
      <c r="AK41" s="33">
        <f>Codex_calc!AK41</f>
        <v>0</v>
      </c>
      <c r="AL41" s="33">
        <f>Codex_calc!AL41</f>
        <v>0.363704677813262</v>
      </c>
      <c r="AM41" s="33">
        <f>Codex_calc!AM41</f>
        <v>0</v>
      </c>
      <c r="AN41" s="33">
        <f>Codex_calc!AN41</f>
        <v>2.87657336088672</v>
      </c>
      <c r="AO41" t="str">
        <f>Codex_calc!AO41</f>
        <v>2019, 2130</v>
      </c>
    </row>
    <row r="42" spans="3:41">
      <c r="C42" s="33" t="str">
        <f>Codex_calc!C42</f>
        <v>MINLiRSV1</v>
      </c>
      <c r="D42" s="33" t="str">
        <f>Codex_calc!D42</f>
        <v>CUM</v>
      </c>
      <c r="E42" s="33"/>
      <c r="F42" s="33"/>
      <c r="G42" s="33"/>
      <c r="H42" s="34"/>
      <c r="I42" s="33"/>
      <c r="J42" s="33"/>
      <c r="K42" s="33"/>
      <c r="L42" s="33"/>
      <c r="M42" s="34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t="str">
        <f>Codex_calc!AO42</f>
        <v>2019, 2130</v>
      </c>
    </row>
    <row r="43" spans="3:41">
      <c r="C43" s="33" t="str">
        <f>Codex_calc!C43</f>
        <v>MINLiRSV1</v>
      </c>
      <c r="D43" s="33" t="str">
        <f>Codex_calc!D43</f>
        <v>COST</v>
      </c>
      <c r="E43" s="33" t="str">
        <f>Codex_calc!E43</f>
        <v>m_lithium</v>
      </c>
      <c r="F43" s="33">
        <f>Codex_calc!F43</f>
        <v>13.86</v>
      </c>
      <c r="G43" s="33">
        <f>Codex_calc!G43</f>
        <v>13.86</v>
      </c>
      <c r="H43" s="34">
        <f>Codex_calc!H43</f>
        <v>13.86</v>
      </c>
      <c r="I43" s="33">
        <f>Codex_calc!I43</f>
        <v>13.86</v>
      </c>
      <c r="J43" s="33">
        <f>Codex_calc!J43</f>
        <v>13.86</v>
      </c>
      <c r="K43" s="33">
        <f>Codex_calc!K43</f>
        <v>13.86</v>
      </c>
      <c r="L43" s="33">
        <f>Codex_calc!L43</f>
        <v>13.86</v>
      </c>
      <c r="M43" s="34">
        <f>Codex_calc!M43</f>
        <v>13.86</v>
      </c>
      <c r="N43" s="33">
        <f>Codex_calc!N43</f>
        <v>13.86</v>
      </c>
      <c r="O43" s="33">
        <f>Codex_calc!O43</f>
        <v>13.86</v>
      </c>
      <c r="P43" s="33">
        <f>Codex_calc!P43</f>
        <v>13.86</v>
      </c>
      <c r="Q43" s="33">
        <f>Codex_calc!Q43</f>
        <v>13.86</v>
      </c>
      <c r="R43" s="33">
        <f>Codex_calc!R43</f>
        <v>13.86</v>
      </c>
      <c r="S43" s="33">
        <f>Codex_calc!S43</f>
        <v>13.86</v>
      </c>
      <c r="T43" s="33">
        <f>Codex_calc!T43</f>
        <v>13.86</v>
      </c>
      <c r="U43" s="33">
        <f>Codex_calc!U43</f>
        <v>13.86</v>
      </c>
      <c r="V43" s="33">
        <f>Codex_calc!V43</f>
        <v>13.86</v>
      </c>
      <c r="W43" s="33">
        <f>Codex_calc!W43</f>
        <v>13.86</v>
      </c>
      <c r="X43" s="33">
        <f>Codex_calc!X43</f>
        <v>13.86</v>
      </c>
      <c r="Y43" s="33">
        <f>Codex_calc!Y43</f>
        <v>13.86</v>
      </c>
      <c r="Z43" s="33">
        <f>Codex_calc!Z43</f>
        <v>13.86</v>
      </c>
      <c r="AA43" s="33">
        <f>Codex_calc!AA43</f>
        <v>13.86</v>
      </c>
      <c r="AB43" s="33">
        <f>Codex_calc!AB43</f>
        <v>13.86</v>
      </c>
      <c r="AC43" s="33">
        <f>Codex_calc!AC43</f>
        <v>13.86</v>
      </c>
      <c r="AD43" s="33">
        <f>Codex_calc!AD43</f>
        <v>13.86</v>
      </c>
      <c r="AE43" s="33">
        <f>Codex_calc!AE43</f>
        <v>13.86</v>
      </c>
      <c r="AF43" s="33">
        <f>Codex_calc!AF43</f>
        <v>13.86</v>
      </c>
      <c r="AG43" s="33">
        <f>Codex_calc!AG43</f>
        <v>13.86</v>
      </c>
      <c r="AH43" s="33">
        <f>Codex_calc!AH43</f>
        <v>13.86</v>
      </c>
      <c r="AI43" s="33">
        <f>Codex_calc!AI43</f>
        <v>13.86</v>
      </c>
      <c r="AJ43" s="33">
        <f>Codex_calc!AJ43</f>
        <v>13.86</v>
      </c>
      <c r="AK43" s="33">
        <f>Codex_calc!AK43</f>
        <v>13.86</v>
      </c>
      <c r="AL43" s="33">
        <f>Codex_calc!AL43</f>
        <v>13.86</v>
      </c>
      <c r="AM43" s="33">
        <f>Codex_calc!AM43</f>
        <v>13.86</v>
      </c>
      <c r="AN43" s="33">
        <f>Codex_calc!AN43</f>
        <v>13.86</v>
      </c>
      <c r="AO43" t="str">
        <f>Codex_calc!AO43</f>
        <v>2019, 2130</v>
      </c>
    </row>
    <row r="44" spans="3:41">
      <c r="C44" s="33" t="str">
        <f>Codex_calc!C44</f>
        <v>MINLiRSV2</v>
      </c>
      <c r="D44" s="33" t="str">
        <f>Codex_calc!D44</f>
        <v>BNDACT</v>
      </c>
      <c r="E44" s="33"/>
      <c r="F44" s="33">
        <f>Codex_calc!F44</f>
        <v>0</v>
      </c>
      <c r="G44" s="33">
        <f>Codex_calc!G44</f>
        <v>39.3281583067193</v>
      </c>
      <c r="H44" s="34">
        <f>Codex_calc!H44</f>
        <v>105.755290876072</v>
      </c>
      <c r="I44" s="33">
        <f>Codex_calc!I44</f>
        <v>0.853493643935123</v>
      </c>
      <c r="J44" s="33">
        <f>Codex_calc!J44</f>
        <v>0</v>
      </c>
      <c r="K44" s="33">
        <f>Codex_calc!K44</f>
        <v>0</v>
      </c>
      <c r="L44" s="33">
        <f>Codex_calc!L44</f>
        <v>14.3569666228317</v>
      </c>
      <c r="M44" s="34">
        <f>Codex_calc!M44</f>
        <v>11.9157929488384</v>
      </c>
      <c r="N44" s="33">
        <f>Codex_calc!N44</f>
        <v>0</v>
      </c>
      <c r="O44" s="33">
        <f>Codex_calc!O44</f>
        <v>2.85012211159121</v>
      </c>
      <c r="P44" s="33">
        <f>Codex_calc!P44</f>
        <v>0</v>
      </c>
      <c r="Q44" s="33">
        <f>Codex_calc!Q44</f>
        <v>3.49266704239464</v>
      </c>
      <c r="R44" s="33">
        <f>Codex_calc!R44</f>
        <v>0</v>
      </c>
      <c r="S44" s="33">
        <f>Codex_calc!S44</f>
        <v>0</v>
      </c>
      <c r="T44" s="33">
        <f>Codex_calc!T44</f>
        <v>0</v>
      </c>
      <c r="U44" s="33">
        <f>Codex_calc!U44</f>
        <v>0</v>
      </c>
      <c r="V44" s="33">
        <f>Codex_calc!V44</f>
        <v>0</v>
      </c>
      <c r="W44" s="33">
        <f>Codex_calc!W44</f>
        <v>0</v>
      </c>
      <c r="X44" s="33">
        <f>Codex_calc!X44</f>
        <v>0</v>
      </c>
      <c r="Y44" s="33">
        <f>Codex_calc!Y44</f>
        <v>104.637615379798</v>
      </c>
      <c r="Z44" s="33">
        <f>Codex_calc!Z44</f>
        <v>0</v>
      </c>
      <c r="AA44" s="33">
        <f>Codex_calc!AA44</f>
        <v>70.7656885215104</v>
      </c>
      <c r="AB44" s="33">
        <f>Codex_calc!AB44</f>
        <v>0</v>
      </c>
      <c r="AC44" s="33">
        <f>Codex_calc!AC44</f>
        <v>0</v>
      </c>
      <c r="AD44" s="33">
        <f>Codex_calc!AD44</f>
        <v>0</v>
      </c>
      <c r="AE44" s="33">
        <f>Codex_calc!AE44</f>
        <v>0</v>
      </c>
      <c r="AF44" s="33">
        <f>Codex_calc!AF44</f>
        <v>0</v>
      </c>
      <c r="AG44" s="33">
        <f>Codex_calc!AG44</f>
        <v>0</v>
      </c>
      <c r="AH44" s="33">
        <f>Codex_calc!AH44</f>
        <v>4.95288621704553</v>
      </c>
      <c r="AI44" s="33">
        <f>Codex_calc!AI44</f>
        <v>1.45481871125305</v>
      </c>
      <c r="AJ44" s="33">
        <f>Codex_calc!AJ44</f>
        <v>0</v>
      </c>
      <c r="AK44" s="33">
        <f>Codex_calc!AK44</f>
        <v>0</v>
      </c>
      <c r="AL44" s="33">
        <f>Codex_calc!AL44</f>
        <v>0.727409355626524</v>
      </c>
      <c r="AM44" s="33">
        <f>Codex_calc!AM44</f>
        <v>0</v>
      </c>
      <c r="AN44" s="33">
        <f>Codex_calc!AN44</f>
        <v>5.75314672177343</v>
      </c>
      <c r="AO44" t="str">
        <f>Codex_calc!AO44</f>
        <v>2019, 2130</v>
      </c>
    </row>
    <row r="45" spans="3:41">
      <c r="C45" s="33" t="str">
        <f>Codex_calc!C45</f>
        <v>MINLiRSV2</v>
      </c>
      <c r="D45" s="33" t="str">
        <f>Codex_calc!D45</f>
        <v>CUM</v>
      </c>
      <c r="E45" s="33"/>
      <c r="F45" s="33"/>
      <c r="G45" s="33"/>
      <c r="H45" s="34"/>
      <c r="I45" s="33"/>
      <c r="J45" s="33"/>
      <c r="K45" s="33"/>
      <c r="L45" s="33"/>
      <c r="M45" s="34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t="str">
        <f>Codex_calc!AO45</f>
        <v>2019, 2130</v>
      </c>
    </row>
    <row r="46" spans="3:41">
      <c r="C46" s="33" t="str">
        <f>Codex_calc!C46</f>
        <v>MINLiRSV2</v>
      </c>
      <c r="D46" s="33" t="str">
        <f>Codex_calc!D46</f>
        <v>COST</v>
      </c>
      <c r="E46" s="33" t="str">
        <f>Codex_calc!E46</f>
        <v>m_lithium</v>
      </c>
      <c r="F46" s="33">
        <f>Codex_calc!F46</f>
        <v>22.45</v>
      </c>
      <c r="G46" s="33">
        <f>Codex_calc!G46</f>
        <v>22.45</v>
      </c>
      <c r="H46" s="34">
        <f>Codex_calc!H46</f>
        <v>22.45</v>
      </c>
      <c r="I46" s="33">
        <f>Codex_calc!I46</f>
        <v>22.45</v>
      </c>
      <c r="J46" s="33">
        <f>Codex_calc!J46</f>
        <v>22.45</v>
      </c>
      <c r="K46" s="33">
        <f>Codex_calc!K46</f>
        <v>22.45</v>
      </c>
      <c r="L46" s="33">
        <f>Codex_calc!L46</f>
        <v>22.45</v>
      </c>
      <c r="M46" s="34">
        <f>Codex_calc!M46</f>
        <v>22.45</v>
      </c>
      <c r="N46" s="33">
        <f>Codex_calc!N46</f>
        <v>22.45</v>
      </c>
      <c r="O46" s="33">
        <f>Codex_calc!O46</f>
        <v>22.45</v>
      </c>
      <c r="P46" s="33">
        <f>Codex_calc!P46</f>
        <v>22.45</v>
      </c>
      <c r="Q46" s="33">
        <f>Codex_calc!Q46</f>
        <v>22.45</v>
      </c>
      <c r="R46" s="33">
        <f>Codex_calc!R46</f>
        <v>22.45</v>
      </c>
      <c r="S46" s="33">
        <f>Codex_calc!S46</f>
        <v>22.45</v>
      </c>
      <c r="T46" s="33">
        <f>Codex_calc!T46</f>
        <v>22.45</v>
      </c>
      <c r="U46" s="33">
        <f>Codex_calc!U46</f>
        <v>22.45</v>
      </c>
      <c r="V46" s="33">
        <f>Codex_calc!V46</f>
        <v>22.45</v>
      </c>
      <c r="W46" s="33">
        <f>Codex_calc!W46</f>
        <v>22.45</v>
      </c>
      <c r="X46" s="33">
        <f>Codex_calc!X46</f>
        <v>22.45</v>
      </c>
      <c r="Y46" s="33">
        <f>Codex_calc!Y46</f>
        <v>22.45</v>
      </c>
      <c r="Z46" s="33">
        <f>Codex_calc!Z46</f>
        <v>22.45</v>
      </c>
      <c r="AA46" s="33">
        <f>Codex_calc!AA46</f>
        <v>22.45</v>
      </c>
      <c r="AB46" s="33">
        <f>Codex_calc!AB46</f>
        <v>22.45</v>
      </c>
      <c r="AC46" s="33">
        <f>Codex_calc!AC46</f>
        <v>22.45</v>
      </c>
      <c r="AD46" s="33">
        <f>Codex_calc!AD46</f>
        <v>22.45</v>
      </c>
      <c r="AE46" s="33">
        <f>Codex_calc!AE46</f>
        <v>22.45</v>
      </c>
      <c r="AF46" s="33">
        <f>Codex_calc!AF46</f>
        <v>22.45</v>
      </c>
      <c r="AG46" s="33">
        <f>Codex_calc!AG46</f>
        <v>22.45</v>
      </c>
      <c r="AH46" s="33">
        <f>Codex_calc!AH46</f>
        <v>22.45</v>
      </c>
      <c r="AI46" s="33">
        <f>Codex_calc!AI46</f>
        <v>22.45</v>
      </c>
      <c r="AJ46" s="33">
        <f>Codex_calc!AJ46</f>
        <v>22.45</v>
      </c>
      <c r="AK46" s="33">
        <f>Codex_calc!AK46</f>
        <v>22.45</v>
      </c>
      <c r="AL46" s="33">
        <f>Codex_calc!AL46</f>
        <v>22.45</v>
      </c>
      <c r="AM46" s="33">
        <f>Codex_calc!AM46</f>
        <v>22.45</v>
      </c>
      <c r="AN46" s="33">
        <f>Codex_calc!AN46</f>
        <v>22.45</v>
      </c>
      <c r="AO46" t="str">
        <f>Codex_calc!AO46</f>
        <v>2019, 2130</v>
      </c>
    </row>
    <row r="47" spans="3:41">
      <c r="C47" s="33" t="str">
        <f>Codex_calc!C47</f>
        <v>MINLiRSV3</v>
      </c>
      <c r="D47" s="33" t="str">
        <f>Codex_calc!D47</f>
        <v>BNDACT</v>
      </c>
      <c r="E47" s="33"/>
      <c r="F47" s="33"/>
      <c r="G47" s="33"/>
      <c r="H47" s="34"/>
      <c r="I47" s="33"/>
      <c r="J47" s="33"/>
      <c r="K47" s="33"/>
      <c r="L47" s="33"/>
      <c r="M47" s="34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t="str">
        <f>Codex_calc!AO47</f>
        <v>2019, 2130</v>
      </c>
    </row>
    <row r="48" spans="3:41">
      <c r="C48" s="33" t="str">
        <f>Codex_calc!C48</f>
        <v>MINLiRSV3</v>
      </c>
      <c r="D48" s="33" t="str">
        <f>Codex_calc!D48</f>
        <v>CUM</v>
      </c>
      <c r="E48" s="33"/>
      <c r="F48" s="33"/>
      <c r="G48" s="33"/>
      <c r="H48" s="34"/>
      <c r="I48" s="33"/>
      <c r="J48" s="33"/>
      <c r="K48" s="33"/>
      <c r="L48" s="33"/>
      <c r="M48" s="34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t="str">
        <f>Codex_calc!AO48</f>
        <v>2019, 2130</v>
      </c>
    </row>
    <row r="49" spans="3:41">
      <c r="C49" s="33" t="str">
        <f>Codex_calc!C49</f>
        <v>MINLiRSV3</v>
      </c>
      <c r="D49" s="33" t="str">
        <f>Codex_calc!D49</f>
        <v>COST</v>
      </c>
      <c r="E49" s="33" t="str">
        <f>Codex_calc!E49</f>
        <v>m_lithium</v>
      </c>
      <c r="F49" s="33">
        <f>Codex_calc!F49</f>
        <v>27.69</v>
      </c>
      <c r="G49" s="33">
        <f>Codex_calc!G49</f>
        <v>27.69</v>
      </c>
      <c r="H49" s="34">
        <f>Codex_calc!H49</f>
        <v>27.69</v>
      </c>
      <c r="I49" s="33">
        <f>Codex_calc!I49</f>
        <v>27.69</v>
      </c>
      <c r="J49" s="33">
        <f>Codex_calc!J49</f>
        <v>27.69</v>
      </c>
      <c r="K49" s="33">
        <f>Codex_calc!K49</f>
        <v>27.69</v>
      </c>
      <c r="L49" s="33">
        <f>Codex_calc!L49</f>
        <v>27.69</v>
      </c>
      <c r="M49" s="34">
        <f>Codex_calc!M49</f>
        <v>27.69</v>
      </c>
      <c r="N49" s="33">
        <f>Codex_calc!N49</f>
        <v>27.69</v>
      </c>
      <c r="O49" s="33">
        <f>Codex_calc!O49</f>
        <v>27.69</v>
      </c>
      <c r="P49" s="33">
        <f>Codex_calc!P49</f>
        <v>27.69</v>
      </c>
      <c r="Q49" s="33">
        <f>Codex_calc!Q49</f>
        <v>27.69</v>
      </c>
      <c r="R49" s="33">
        <f>Codex_calc!R49</f>
        <v>27.69</v>
      </c>
      <c r="S49" s="33">
        <f>Codex_calc!S49</f>
        <v>27.69</v>
      </c>
      <c r="T49" s="33">
        <f>Codex_calc!T49</f>
        <v>27.69</v>
      </c>
      <c r="U49" s="33">
        <f>Codex_calc!U49</f>
        <v>27.69</v>
      </c>
      <c r="V49" s="33">
        <f>Codex_calc!V49</f>
        <v>27.69</v>
      </c>
      <c r="W49" s="33">
        <f>Codex_calc!W49</f>
        <v>27.69</v>
      </c>
      <c r="X49" s="33">
        <f>Codex_calc!X49</f>
        <v>27.69</v>
      </c>
      <c r="Y49" s="33">
        <f>Codex_calc!Y49</f>
        <v>27.69</v>
      </c>
      <c r="Z49" s="33">
        <f>Codex_calc!Z49</f>
        <v>27.69</v>
      </c>
      <c r="AA49" s="33">
        <f>Codex_calc!AA49</f>
        <v>27.69</v>
      </c>
      <c r="AB49" s="33">
        <f>Codex_calc!AB49</f>
        <v>27.69</v>
      </c>
      <c r="AC49" s="33">
        <f>Codex_calc!AC49</f>
        <v>27.69</v>
      </c>
      <c r="AD49" s="33">
        <f>Codex_calc!AD49</f>
        <v>27.69</v>
      </c>
      <c r="AE49" s="33">
        <f>Codex_calc!AE49</f>
        <v>27.69</v>
      </c>
      <c r="AF49" s="33">
        <f>Codex_calc!AF49</f>
        <v>27.69</v>
      </c>
      <c r="AG49" s="33">
        <f>Codex_calc!AG49</f>
        <v>27.69</v>
      </c>
      <c r="AH49" s="33">
        <f>Codex_calc!AH49</f>
        <v>27.69</v>
      </c>
      <c r="AI49" s="33">
        <f>Codex_calc!AI49</f>
        <v>27.69</v>
      </c>
      <c r="AJ49" s="33">
        <f>Codex_calc!AJ49</f>
        <v>27.69</v>
      </c>
      <c r="AK49" s="33">
        <f>Codex_calc!AK49</f>
        <v>27.69</v>
      </c>
      <c r="AL49" s="33">
        <f>Codex_calc!AL49</f>
        <v>27.69</v>
      </c>
      <c r="AM49" s="33">
        <f>Codex_calc!AM49</f>
        <v>27.69</v>
      </c>
      <c r="AN49" s="33">
        <f>Codex_calc!AN49</f>
        <v>27.69</v>
      </c>
      <c r="AO49" t="str">
        <f>Codex_calc!AO49</f>
        <v>2019, 2130</v>
      </c>
    </row>
    <row r="50" spans="3:41">
      <c r="C50" s="33" t="s">
        <v>63</v>
      </c>
      <c r="D50" s="33">
        <f>Codex_calc!D50</f>
        <v>0</v>
      </c>
      <c r="E50" s="33">
        <f>Codex_calc!E50</f>
        <v>0</v>
      </c>
      <c r="F50" s="33">
        <f>Codex_calc!F50</f>
        <v>0</v>
      </c>
      <c r="G50" s="33">
        <f>Codex_calc!G50</f>
        <v>0</v>
      </c>
      <c r="H50" s="34">
        <f>Codex_calc!H50</f>
        <v>0</v>
      </c>
      <c r="I50" s="33">
        <f>Codex_calc!I50</f>
        <v>0</v>
      </c>
      <c r="J50" s="33">
        <f>Codex_calc!J50</f>
        <v>0</v>
      </c>
      <c r="K50" s="33">
        <f>Codex_calc!K50</f>
        <v>0</v>
      </c>
      <c r="L50" s="33">
        <f>Codex_calc!L50</f>
        <v>0</v>
      </c>
      <c r="M50" s="34">
        <f>Codex_calc!M50</f>
        <v>0</v>
      </c>
      <c r="N50" s="33">
        <f>Codex_calc!N50</f>
        <v>0</v>
      </c>
      <c r="O50" s="33">
        <f>Codex_calc!O50</f>
        <v>0</v>
      </c>
      <c r="P50" s="33">
        <f>Codex_calc!P50</f>
        <v>0</v>
      </c>
      <c r="Q50" s="33">
        <f>Codex_calc!Q50</f>
        <v>0</v>
      </c>
      <c r="R50" s="33">
        <f>Codex_calc!R50</f>
        <v>0</v>
      </c>
      <c r="S50" s="33">
        <f>Codex_calc!S50</f>
        <v>0</v>
      </c>
      <c r="T50" s="33">
        <f>Codex_calc!T50</f>
        <v>0</v>
      </c>
      <c r="U50" s="33">
        <f>Codex_calc!U50</f>
        <v>0</v>
      </c>
      <c r="V50" s="33">
        <f>Codex_calc!V50</f>
        <v>0</v>
      </c>
      <c r="W50" s="33">
        <f>Codex_calc!W50</f>
        <v>0</v>
      </c>
      <c r="X50" s="33">
        <f>Codex_calc!X50</f>
        <v>0</v>
      </c>
      <c r="Y50" s="33">
        <f>Codex_calc!Y50</f>
        <v>0</v>
      </c>
      <c r="Z50" s="33">
        <f>Codex_calc!Z50</f>
        <v>0</v>
      </c>
      <c r="AA50" s="33">
        <f>Codex_calc!AA50</f>
        <v>0</v>
      </c>
      <c r="AB50" s="33">
        <f>Codex_calc!AB50</f>
        <v>0</v>
      </c>
      <c r="AC50" s="33">
        <f>Codex_calc!AC50</f>
        <v>0</v>
      </c>
      <c r="AD50" s="33">
        <f>Codex_calc!AD50</f>
        <v>0</v>
      </c>
      <c r="AE50" s="33">
        <f>Codex_calc!AE50</f>
        <v>0</v>
      </c>
      <c r="AF50" s="33">
        <f>Codex_calc!AF50</f>
        <v>0</v>
      </c>
      <c r="AG50" s="33">
        <f>Codex_calc!AG50</f>
        <v>0</v>
      </c>
      <c r="AH50" s="33">
        <f>Codex_calc!AH50</f>
        <v>0</v>
      </c>
      <c r="AI50" s="33">
        <f>Codex_calc!AI50</f>
        <v>0</v>
      </c>
      <c r="AJ50" s="33">
        <f>Codex_calc!AJ50</f>
        <v>0</v>
      </c>
      <c r="AK50" s="33">
        <f>Codex_calc!AK50</f>
        <v>0</v>
      </c>
      <c r="AL50" s="33">
        <f>Codex_calc!AL50</f>
        <v>0</v>
      </c>
      <c r="AM50" s="33">
        <f>Codex_calc!AM50</f>
        <v>0</v>
      </c>
      <c r="AN50" s="33">
        <f>Codex_calc!AN50</f>
        <v>0</v>
      </c>
      <c r="AO50" t="str">
        <f>Codex_calc!AO50</f>
        <v>2019, 2130</v>
      </c>
    </row>
    <row r="51" spans="3:41">
      <c r="C51" s="33" t="str">
        <f>Codex_calc!C51</f>
        <v>MINNiRSV1</v>
      </c>
      <c r="D51" s="33" t="str">
        <f>Codex_calc!D51</f>
        <v>BNDACT</v>
      </c>
      <c r="E51" s="33"/>
      <c r="F51" s="33">
        <f>Codex_calc!F51</f>
        <v>0</v>
      </c>
      <c r="G51" s="33">
        <f>Codex_calc!G51</f>
        <v>0</v>
      </c>
      <c r="H51" s="34">
        <f>Codex_calc!H51</f>
        <v>6.40384615384615</v>
      </c>
      <c r="I51" s="33">
        <f>Codex_calc!I51</f>
        <v>0</v>
      </c>
      <c r="J51" s="33">
        <f>Codex_calc!J51</f>
        <v>0</v>
      </c>
      <c r="K51" s="33">
        <f>Codex_calc!K51</f>
        <v>0</v>
      </c>
      <c r="L51" s="33">
        <f>Codex_calc!L51</f>
        <v>9.96153846153846</v>
      </c>
      <c r="M51" s="34">
        <f>Codex_calc!M51</f>
        <v>17.0769230769231</v>
      </c>
      <c r="N51" s="33">
        <f>Codex_calc!N51</f>
        <v>0</v>
      </c>
      <c r="O51" s="33">
        <f>Codex_calc!O51</f>
        <v>0</v>
      </c>
      <c r="P51" s="33">
        <f>Codex_calc!P51</f>
        <v>0</v>
      </c>
      <c r="Q51" s="33">
        <f>Codex_calc!Q51</f>
        <v>0</v>
      </c>
      <c r="R51" s="33">
        <f>Codex_calc!R51</f>
        <v>0</v>
      </c>
      <c r="S51" s="33">
        <f>Codex_calc!S51</f>
        <v>0</v>
      </c>
      <c r="T51" s="33">
        <f>Codex_calc!T51</f>
        <v>0</v>
      </c>
      <c r="U51" s="33">
        <f>Codex_calc!U51</f>
        <v>0</v>
      </c>
      <c r="V51" s="33">
        <f>Codex_calc!V51</f>
        <v>0</v>
      </c>
      <c r="W51" s="33">
        <f>Codex_calc!W51</f>
        <v>0</v>
      </c>
      <c r="X51" s="33">
        <f>Codex_calc!X51</f>
        <v>0</v>
      </c>
      <c r="Y51" s="33">
        <f>Codex_calc!Y51</f>
        <v>0</v>
      </c>
      <c r="Z51" s="33">
        <f>Codex_calc!Z51</f>
        <v>0</v>
      </c>
      <c r="AA51" s="33">
        <f>Codex_calc!AA51</f>
        <v>21.3461538461538</v>
      </c>
      <c r="AB51" s="33">
        <f>Codex_calc!AB51</f>
        <v>0</v>
      </c>
      <c r="AC51" s="33">
        <f>Codex_calc!AC51</f>
        <v>0</v>
      </c>
      <c r="AD51" s="33">
        <f>Codex_calc!AD51</f>
        <v>469.615384615385</v>
      </c>
      <c r="AE51" s="33">
        <f>Codex_calc!AE51</f>
        <v>28.4615384615385</v>
      </c>
      <c r="AF51" s="33">
        <f>Codex_calc!AF51</f>
        <v>0</v>
      </c>
      <c r="AG51" s="33">
        <f>Codex_calc!AG51</f>
        <v>0</v>
      </c>
      <c r="AH51" s="33">
        <f>Codex_calc!AH51</f>
        <v>0</v>
      </c>
      <c r="AI51" s="33">
        <f>Codex_calc!AI51</f>
        <v>0</v>
      </c>
      <c r="AJ51" s="33">
        <f>Codex_calc!AJ51</f>
        <v>0</v>
      </c>
      <c r="AK51" s="33">
        <f>Codex_calc!AK51</f>
        <v>0</v>
      </c>
      <c r="AL51" s="33">
        <f>Codex_calc!AL51</f>
        <v>0</v>
      </c>
      <c r="AM51" s="33">
        <f>Codex_calc!AM51</f>
        <v>0</v>
      </c>
      <c r="AN51" s="33">
        <f>Codex_calc!AN51</f>
        <v>0</v>
      </c>
      <c r="AO51" t="str">
        <f>Codex_calc!AO51</f>
        <v>2019, 2130</v>
      </c>
    </row>
    <row r="52" spans="3:41">
      <c r="C52" s="33" t="str">
        <f>Codex_calc!C52</f>
        <v>MINNiRSV1</v>
      </c>
      <c r="D52" s="33" t="str">
        <f>Codex_calc!D52</f>
        <v>CUM</v>
      </c>
      <c r="E52" s="33"/>
      <c r="F52" s="33"/>
      <c r="G52" s="33"/>
      <c r="H52" s="34"/>
      <c r="I52" s="33"/>
      <c r="J52" s="33"/>
      <c r="K52" s="33"/>
      <c r="L52" s="33"/>
      <c r="M52" s="34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t="str">
        <f>Codex_calc!AO52</f>
        <v>2019, 2130</v>
      </c>
    </row>
    <row r="53" spans="3:41">
      <c r="C53" s="33" t="str">
        <f>Codex_calc!C53</f>
        <v>MINNiRSV1</v>
      </c>
      <c r="D53" s="33" t="str">
        <f>Codex_calc!D53</f>
        <v>COST</v>
      </c>
      <c r="E53" s="33" t="str">
        <f>Codex_calc!E53</f>
        <v>m_nickel</v>
      </c>
      <c r="F53" s="33">
        <f>Codex_calc!F53</f>
        <v>14.288</v>
      </c>
      <c r="G53" s="33">
        <f>Codex_calc!G53</f>
        <v>14.288</v>
      </c>
      <c r="H53" s="34">
        <f>Codex_calc!H53</f>
        <v>14.288</v>
      </c>
      <c r="I53" s="33">
        <f>Codex_calc!I53</f>
        <v>14.288</v>
      </c>
      <c r="J53" s="33">
        <f>Codex_calc!J53</f>
        <v>14.288</v>
      </c>
      <c r="K53" s="33">
        <f>Codex_calc!K53</f>
        <v>14.288</v>
      </c>
      <c r="L53" s="33">
        <f>Codex_calc!L53</f>
        <v>14.288</v>
      </c>
      <c r="M53" s="34">
        <f>Codex_calc!M53</f>
        <v>14.288</v>
      </c>
      <c r="N53" s="33">
        <f>Codex_calc!N53</f>
        <v>14.288</v>
      </c>
      <c r="O53" s="33">
        <f>Codex_calc!O53</f>
        <v>14.288</v>
      </c>
      <c r="P53" s="33">
        <f>Codex_calc!P53</f>
        <v>14.288</v>
      </c>
      <c r="Q53" s="33">
        <f>Codex_calc!Q53</f>
        <v>14.288</v>
      </c>
      <c r="R53" s="33">
        <f>Codex_calc!R53</f>
        <v>14.288</v>
      </c>
      <c r="S53" s="33">
        <f>Codex_calc!S53</f>
        <v>14.288</v>
      </c>
      <c r="T53" s="33">
        <f>Codex_calc!T53</f>
        <v>14.288</v>
      </c>
      <c r="U53" s="33">
        <f>Codex_calc!U53</f>
        <v>14.288</v>
      </c>
      <c r="V53" s="33">
        <f>Codex_calc!V53</f>
        <v>14.288</v>
      </c>
      <c r="W53" s="33">
        <f>Codex_calc!W53</f>
        <v>14.288</v>
      </c>
      <c r="X53" s="33">
        <f>Codex_calc!X53</f>
        <v>14.288</v>
      </c>
      <c r="Y53" s="33">
        <f>Codex_calc!Y53</f>
        <v>14.288</v>
      </c>
      <c r="Z53" s="33">
        <f>Codex_calc!Z53</f>
        <v>14.288</v>
      </c>
      <c r="AA53" s="33">
        <f>Codex_calc!AA53</f>
        <v>14.288</v>
      </c>
      <c r="AB53" s="33">
        <f>Codex_calc!AB53</f>
        <v>14.288</v>
      </c>
      <c r="AC53" s="33">
        <f>Codex_calc!AC53</f>
        <v>14.288</v>
      </c>
      <c r="AD53" s="33">
        <f>Codex_calc!AD53</f>
        <v>14.288</v>
      </c>
      <c r="AE53" s="33">
        <f>Codex_calc!AE53</f>
        <v>14.288</v>
      </c>
      <c r="AF53" s="33">
        <f>Codex_calc!AF53</f>
        <v>14.288</v>
      </c>
      <c r="AG53" s="33">
        <f>Codex_calc!AG53</f>
        <v>14.288</v>
      </c>
      <c r="AH53" s="33">
        <f>Codex_calc!AH53</f>
        <v>14.288</v>
      </c>
      <c r="AI53" s="33">
        <f>Codex_calc!AI53</f>
        <v>14.288</v>
      </c>
      <c r="AJ53" s="33">
        <f>Codex_calc!AJ53</f>
        <v>14.288</v>
      </c>
      <c r="AK53" s="33">
        <f>Codex_calc!AK53</f>
        <v>14.288</v>
      </c>
      <c r="AL53" s="33">
        <f>Codex_calc!AL53</f>
        <v>14.288</v>
      </c>
      <c r="AM53" s="33">
        <f>Codex_calc!AM53</f>
        <v>14.288</v>
      </c>
      <c r="AN53" s="33">
        <f>Codex_calc!AN53</f>
        <v>14.288</v>
      </c>
      <c r="AO53" t="str">
        <f>Codex_calc!AO53</f>
        <v>2019, 2130</v>
      </c>
    </row>
    <row r="54" spans="3:41">
      <c r="C54" s="33" t="str">
        <f>Codex_calc!C54</f>
        <v>MINNiRSV2</v>
      </c>
      <c r="D54" s="33" t="str">
        <f>Codex_calc!D54</f>
        <v>BNDACT</v>
      </c>
      <c r="E54" s="33"/>
      <c r="F54" s="33">
        <f>Codex_calc!F54</f>
        <v>0</v>
      </c>
      <c r="G54" s="33">
        <f>Codex_calc!G54</f>
        <v>0</v>
      </c>
      <c r="H54" s="34">
        <f>Codex_calc!H54</f>
        <v>12.8076923076923</v>
      </c>
      <c r="I54" s="33">
        <f>Codex_calc!I54</f>
        <v>0</v>
      </c>
      <c r="J54" s="33">
        <f>Codex_calc!J54</f>
        <v>0</v>
      </c>
      <c r="K54" s="33">
        <f>Codex_calc!K54</f>
        <v>0</v>
      </c>
      <c r="L54" s="33">
        <f>Codex_calc!L54</f>
        <v>19.9230769230769</v>
      </c>
      <c r="M54" s="34">
        <f>Codex_calc!M54</f>
        <v>34.1538461538462</v>
      </c>
      <c r="N54" s="33">
        <f>Codex_calc!N54</f>
        <v>0</v>
      </c>
      <c r="O54" s="33">
        <f>Codex_calc!O54</f>
        <v>0</v>
      </c>
      <c r="P54" s="33">
        <f>Codex_calc!P54</f>
        <v>0</v>
      </c>
      <c r="Q54" s="33">
        <f>Codex_calc!Q54</f>
        <v>0</v>
      </c>
      <c r="R54" s="33">
        <f>Codex_calc!R54</f>
        <v>0</v>
      </c>
      <c r="S54" s="33">
        <f>Codex_calc!S54</f>
        <v>0</v>
      </c>
      <c r="T54" s="33">
        <f>Codex_calc!T54</f>
        <v>0</v>
      </c>
      <c r="U54" s="33">
        <f>Codex_calc!U54</f>
        <v>0</v>
      </c>
      <c r="V54" s="33">
        <f>Codex_calc!V54</f>
        <v>0</v>
      </c>
      <c r="W54" s="33">
        <f>Codex_calc!W54</f>
        <v>0</v>
      </c>
      <c r="X54" s="33">
        <f>Codex_calc!X54</f>
        <v>0</v>
      </c>
      <c r="Y54" s="33">
        <f>Codex_calc!Y54</f>
        <v>0</v>
      </c>
      <c r="Z54" s="33">
        <f>Codex_calc!Z54</f>
        <v>0</v>
      </c>
      <c r="AA54" s="33">
        <f>Codex_calc!AA54</f>
        <v>42.6923076923077</v>
      </c>
      <c r="AB54" s="33">
        <f>Codex_calc!AB54</f>
        <v>0</v>
      </c>
      <c r="AC54" s="33">
        <f>Codex_calc!AC54</f>
        <v>0</v>
      </c>
      <c r="AD54" s="33">
        <f>Codex_calc!AD54</f>
        <v>939.230769230769</v>
      </c>
      <c r="AE54" s="33">
        <f>Codex_calc!AE54</f>
        <v>56.9230769230769</v>
      </c>
      <c r="AF54" s="33">
        <f>Codex_calc!AF54</f>
        <v>0</v>
      </c>
      <c r="AG54" s="33">
        <f>Codex_calc!AG54</f>
        <v>0</v>
      </c>
      <c r="AH54" s="33">
        <f>Codex_calc!AH54</f>
        <v>0</v>
      </c>
      <c r="AI54" s="33">
        <f>Codex_calc!AI54</f>
        <v>0</v>
      </c>
      <c r="AJ54" s="33">
        <f>Codex_calc!AJ54</f>
        <v>0</v>
      </c>
      <c r="AK54" s="33">
        <f>Codex_calc!AK54</f>
        <v>0</v>
      </c>
      <c r="AL54" s="33">
        <f>Codex_calc!AL54</f>
        <v>0</v>
      </c>
      <c r="AM54" s="33">
        <f>Codex_calc!AM54</f>
        <v>0</v>
      </c>
      <c r="AN54" s="33">
        <f>Codex_calc!AN54</f>
        <v>0</v>
      </c>
      <c r="AO54" t="str">
        <f>Codex_calc!AO54</f>
        <v>2019, 2130</v>
      </c>
    </row>
    <row r="55" spans="3:41">
      <c r="C55" s="33" t="str">
        <f>Codex_calc!C55</f>
        <v>MINNiRSV2</v>
      </c>
      <c r="D55" s="33" t="str">
        <f>Codex_calc!D55</f>
        <v>CUM</v>
      </c>
      <c r="E55" s="33"/>
      <c r="F55" s="33"/>
      <c r="G55" s="33"/>
      <c r="H55" s="34"/>
      <c r="I55" s="33"/>
      <c r="J55" s="33"/>
      <c r="K55" s="33"/>
      <c r="L55" s="33"/>
      <c r="M55" s="34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t="str">
        <f>Codex_calc!AO55</f>
        <v>2019, 2130</v>
      </c>
    </row>
    <row r="56" spans="3:41">
      <c r="C56" s="33" t="str">
        <f>Codex_calc!C56</f>
        <v>MINNiRSV2</v>
      </c>
      <c r="D56" s="33" t="str">
        <f>Codex_calc!D56</f>
        <v>COST</v>
      </c>
      <c r="E56" s="33" t="str">
        <f>Codex_calc!E56</f>
        <v>m_nickel</v>
      </c>
      <c r="F56" s="33">
        <f>Codex_calc!F56</f>
        <v>23.139</v>
      </c>
      <c r="G56" s="33">
        <f>Codex_calc!G56</f>
        <v>23.139</v>
      </c>
      <c r="H56" s="34">
        <f>Codex_calc!H56</f>
        <v>23.139</v>
      </c>
      <c r="I56" s="33">
        <f>Codex_calc!I56</f>
        <v>23.139</v>
      </c>
      <c r="J56" s="33">
        <f>Codex_calc!J56</f>
        <v>23.139</v>
      </c>
      <c r="K56" s="33">
        <f>Codex_calc!K56</f>
        <v>23.139</v>
      </c>
      <c r="L56" s="33">
        <f>Codex_calc!L56</f>
        <v>23.139</v>
      </c>
      <c r="M56" s="34">
        <f>Codex_calc!M56</f>
        <v>23.139</v>
      </c>
      <c r="N56" s="33">
        <f>Codex_calc!N56</f>
        <v>23.139</v>
      </c>
      <c r="O56" s="33">
        <f>Codex_calc!O56</f>
        <v>23.139</v>
      </c>
      <c r="P56" s="33">
        <f>Codex_calc!P56</f>
        <v>23.139</v>
      </c>
      <c r="Q56" s="33">
        <f>Codex_calc!Q56</f>
        <v>23.139</v>
      </c>
      <c r="R56" s="33">
        <f>Codex_calc!R56</f>
        <v>23.139</v>
      </c>
      <c r="S56" s="33">
        <f>Codex_calc!S56</f>
        <v>23.139</v>
      </c>
      <c r="T56" s="33">
        <f>Codex_calc!T56</f>
        <v>23.139</v>
      </c>
      <c r="U56" s="33">
        <f>Codex_calc!U56</f>
        <v>23.139</v>
      </c>
      <c r="V56" s="33">
        <f>Codex_calc!V56</f>
        <v>23.139</v>
      </c>
      <c r="W56" s="33">
        <f>Codex_calc!W56</f>
        <v>23.139</v>
      </c>
      <c r="X56" s="33">
        <f>Codex_calc!X56</f>
        <v>23.139</v>
      </c>
      <c r="Y56" s="33">
        <f>Codex_calc!Y56</f>
        <v>23.139</v>
      </c>
      <c r="Z56" s="33">
        <f>Codex_calc!Z56</f>
        <v>23.139</v>
      </c>
      <c r="AA56" s="33">
        <f>Codex_calc!AA56</f>
        <v>23.139</v>
      </c>
      <c r="AB56" s="33">
        <f>Codex_calc!AB56</f>
        <v>23.139</v>
      </c>
      <c r="AC56" s="33">
        <f>Codex_calc!AC56</f>
        <v>23.139</v>
      </c>
      <c r="AD56" s="33">
        <f>Codex_calc!AD56</f>
        <v>23.139</v>
      </c>
      <c r="AE56" s="33">
        <f>Codex_calc!AE56</f>
        <v>23.139</v>
      </c>
      <c r="AF56" s="33">
        <f>Codex_calc!AF56</f>
        <v>23.139</v>
      </c>
      <c r="AG56" s="33">
        <f>Codex_calc!AG56</f>
        <v>23.139</v>
      </c>
      <c r="AH56" s="33">
        <f>Codex_calc!AH56</f>
        <v>23.139</v>
      </c>
      <c r="AI56" s="33">
        <f>Codex_calc!AI56</f>
        <v>23.139</v>
      </c>
      <c r="AJ56" s="33">
        <f>Codex_calc!AJ56</f>
        <v>23.139</v>
      </c>
      <c r="AK56" s="33">
        <f>Codex_calc!AK56</f>
        <v>23.139</v>
      </c>
      <c r="AL56" s="33">
        <f>Codex_calc!AL56</f>
        <v>23.139</v>
      </c>
      <c r="AM56" s="33">
        <f>Codex_calc!AM56</f>
        <v>23.139</v>
      </c>
      <c r="AN56" s="33">
        <f>Codex_calc!AN56</f>
        <v>23.139</v>
      </c>
      <c r="AO56" t="str">
        <f>Codex_calc!AO56</f>
        <v>2019, 2130</v>
      </c>
    </row>
    <row r="57" spans="3:41">
      <c r="C57" t="str">
        <f>Codex_calc!C57</f>
        <v>MINNiRSV3</v>
      </c>
      <c r="D57" t="str">
        <f>Codex_calc!D57</f>
        <v>BNDACT</v>
      </c>
      <c r="E57"/>
      <c r="F57"/>
      <c r="G57"/>
      <c r="H57" s="30"/>
      <c r="K57"/>
      <c r="L57"/>
      <c r="M57" s="30"/>
      <c r="P57"/>
      <c r="R57"/>
      <c r="T57"/>
      <c r="U57"/>
      <c r="Y57"/>
      <c r="Z57"/>
      <c r="AA57"/>
      <c r="AB57"/>
      <c r="AC57"/>
      <c r="AD57"/>
      <c r="AE57"/>
      <c r="AF57"/>
      <c r="AG57"/>
      <c r="AH57"/>
      <c r="AI57"/>
      <c r="AK57"/>
      <c r="AM57"/>
      <c r="AO57" t="str">
        <f>Codex_calc!AO57</f>
        <v>2019, 2130</v>
      </c>
    </row>
    <row r="58" spans="3:41">
      <c r="C58" t="str">
        <f>Codex_calc!C58</f>
        <v>MINNiRSV3</v>
      </c>
      <c r="D58" t="str">
        <f>Codex_calc!D58</f>
        <v>CUM</v>
      </c>
      <c r="E58"/>
      <c r="F58"/>
      <c r="G58"/>
      <c r="H58" s="30"/>
      <c r="K58"/>
      <c r="L58"/>
      <c r="M58" s="30"/>
      <c r="P58"/>
      <c r="R58"/>
      <c r="T58"/>
      <c r="U58"/>
      <c r="Y58"/>
      <c r="Z58"/>
      <c r="AA58"/>
      <c r="AB58"/>
      <c r="AC58"/>
      <c r="AD58"/>
      <c r="AE58"/>
      <c r="AF58"/>
      <c r="AG58"/>
      <c r="AH58"/>
      <c r="AI58"/>
      <c r="AK58"/>
      <c r="AM58"/>
      <c r="AO58" t="str">
        <f>Codex_calc!AO58</f>
        <v>2019, 2130</v>
      </c>
    </row>
    <row r="59" spans="3:41">
      <c r="C59" t="str">
        <f>Codex_calc!C59</f>
        <v>MINNiRSV3</v>
      </c>
      <c r="D59" t="str">
        <f>Codex_calc!D59</f>
        <v>COST</v>
      </c>
      <c r="E59" t="str">
        <f>Codex_calc!E59</f>
        <v>m_nickel</v>
      </c>
      <c r="F59">
        <f>Codex_calc!F59</f>
        <v>25.4529</v>
      </c>
      <c r="G59">
        <f>Codex_calc!G59</f>
        <v>25.4529</v>
      </c>
      <c r="H59" s="30">
        <f>Codex_calc!H59</f>
        <v>25.4529</v>
      </c>
      <c r="I59">
        <f>Codex_calc!I59</f>
        <v>25.4529</v>
      </c>
      <c r="J59">
        <f>Codex_calc!J59</f>
        <v>25.4529</v>
      </c>
      <c r="K59">
        <f>Codex_calc!K59</f>
        <v>25.4529</v>
      </c>
      <c r="L59">
        <f>Codex_calc!L59</f>
        <v>25.4529</v>
      </c>
      <c r="M59" s="30">
        <f>Codex_calc!M59</f>
        <v>25.4529</v>
      </c>
      <c r="N59">
        <f>Codex_calc!N59</f>
        <v>25.4529</v>
      </c>
      <c r="O59">
        <f>Codex_calc!O59</f>
        <v>25.4529</v>
      </c>
      <c r="P59">
        <f>Codex_calc!P59</f>
        <v>25.4529</v>
      </c>
      <c r="Q59">
        <f>Codex_calc!Q59</f>
        <v>25.4529</v>
      </c>
      <c r="R59">
        <f>Codex_calc!R59</f>
        <v>25.4529</v>
      </c>
      <c r="S59">
        <f>Codex_calc!S59</f>
        <v>25.4529</v>
      </c>
      <c r="T59">
        <f>Codex_calc!T59</f>
        <v>25.4529</v>
      </c>
      <c r="U59">
        <f>Codex_calc!U59</f>
        <v>25.4529</v>
      </c>
      <c r="V59">
        <f>Codex_calc!V59</f>
        <v>25.4529</v>
      </c>
      <c r="W59">
        <f>Codex_calc!W59</f>
        <v>25.4529</v>
      </c>
      <c r="X59">
        <f>Codex_calc!X59</f>
        <v>25.4529</v>
      </c>
      <c r="Y59">
        <f>Codex_calc!Y59</f>
        <v>25.4529</v>
      </c>
      <c r="Z59">
        <f>Codex_calc!Z59</f>
        <v>25.4529</v>
      </c>
      <c r="AA59">
        <f>Codex_calc!AA59</f>
        <v>25.4529</v>
      </c>
      <c r="AB59">
        <f>Codex_calc!AB59</f>
        <v>25.4529</v>
      </c>
      <c r="AC59">
        <f>Codex_calc!AC59</f>
        <v>25.4529</v>
      </c>
      <c r="AD59">
        <f>Codex_calc!AD59</f>
        <v>25.4529</v>
      </c>
      <c r="AE59">
        <f>Codex_calc!AE59</f>
        <v>25.4529</v>
      </c>
      <c r="AF59">
        <f>Codex_calc!AF59</f>
        <v>25.4529</v>
      </c>
      <c r="AG59">
        <f>Codex_calc!AG59</f>
        <v>25.4529</v>
      </c>
      <c r="AH59">
        <f>Codex_calc!AH59</f>
        <v>25.4529</v>
      </c>
      <c r="AI59">
        <f>Codex_calc!AI59</f>
        <v>25.4529</v>
      </c>
      <c r="AJ59">
        <f>Codex_calc!AJ59</f>
        <v>25.4529</v>
      </c>
      <c r="AK59">
        <f>Codex_calc!AK59</f>
        <v>25.4529</v>
      </c>
      <c r="AL59">
        <f>Codex_calc!AL59</f>
        <v>25.4529</v>
      </c>
      <c r="AM59">
        <f>Codex_calc!AM59</f>
        <v>25.4529</v>
      </c>
      <c r="AN59">
        <f>Codex_calc!AN59</f>
        <v>25.4529</v>
      </c>
      <c r="AO59" t="str">
        <f>Codex_calc!AO59</f>
        <v>2019, 2130</v>
      </c>
    </row>
    <row r="60" spans="3:41">
      <c r="C60" t="s">
        <v>63</v>
      </c>
      <c r="D60">
        <f>Codex_calc!D60</f>
        <v>0</v>
      </c>
      <c r="E60">
        <f>Codex_calc!E60</f>
        <v>0</v>
      </c>
      <c r="F60">
        <f>Codex_calc!F60</f>
        <v>0</v>
      </c>
      <c r="G60">
        <f>Codex_calc!G60</f>
        <v>0</v>
      </c>
      <c r="H60" s="30">
        <f>Codex_calc!H60</f>
        <v>0</v>
      </c>
      <c r="I60">
        <f>Codex_calc!I60</f>
        <v>0</v>
      </c>
      <c r="J60">
        <f>Codex_calc!J60</f>
        <v>0</v>
      </c>
      <c r="K60">
        <f>Codex_calc!K60</f>
        <v>0</v>
      </c>
      <c r="L60">
        <f>Codex_calc!L60</f>
        <v>0</v>
      </c>
      <c r="M60" s="30">
        <f>Codex_calc!M60</f>
        <v>0</v>
      </c>
      <c r="N60">
        <f>Codex_calc!N60</f>
        <v>0</v>
      </c>
      <c r="O60">
        <f>Codex_calc!O60</f>
        <v>0</v>
      </c>
      <c r="P60">
        <f>Codex_calc!P60</f>
        <v>0</v>
      </c>
      <c r="Q60">
        <f>Codex_calc!Q60</f>
        <v>0</v>
      </c>
      <c r="R60">
        <f>Codex_calc!R60</f>
        <v>0</v>
      </c>
      <c r="S60">
        <f>Codex_calc!S60</f>
        <v>0</v>
      </c>
      <c r="T60">
        <f>Codex_calc!T60</f>
        <v>0</v>
      </c>
      <c r="U60">
        <f>Codex_calc!U60</f>
        <v>0</v>
      </c>
      <c r="V60">
        <f>Codex_calc!V60</f>
        <v>0</v>
      </c>
      <c r="W60">
        <f>Codex_calc!W60</f>
        <v>0</v>
      </c>
      <c r="X60">
        <f>Codex_calc!X60</f>
        <v>0</v>
      </c>
      <c r="Y60">
        <f>Codex_calc!Y60</f>
        <v>0</v>
      </c>
      <c r="Z60">
        <f>Codex_calc!Z60</f>
        <v>0</v>
      </c>
      <c r="AA60">
        <f>Codex_calc!AA60</f>
        <v>0</v>
      </c>
      <c r="AB60">
        <f>Codex_calc!AB60</f>
        <v>0</v>
      </c>
      <c r="AC60">
        <f>Codex_calc!AC60</f>
        <v>0</v>
      </c>
      <c r="AD60">
        <f>Codex_calc!AD60</f>
        <v>0</v>
      </c>
      <c r="AE60">
        <f>Codex_calc!AE60</f>
        <v>0</v>
      </c>
      <c r="AF60">
        <f>Codex_calc!AF60</f>
        <v>0</v>
      </c>
      <c r="AG60">
        <f>Codex_calc!AG60</f>
        <v>0</v>
      </c>
      <c r="AH60">
        <f>Codex_calc!AH60</f>
        <v>0</v>
      </c>
      <c r="AI60">
        <f>Codex_calc!AI60</f>
        <v>0</v>
      </c>
      <c r="AJ60">
        <f>Codex_calc!AJ60</f>
        <v>0</v>
      </c>
      <c r="AK60">
        <f>Codex_calc!AK60</f>
        <v>0</v>
      </c>
      <c r="AL60">
        <f>Codex_calc!AL60</f>
        <v>0</v>
      </c>
      <c r="AM60">
        <f>Codex_calc!AM60</f>
        <v>0</v>
      </c>
      <c r="AN60">
        <f>Codex_calc!AN60</f>
        <v>0</v>
      </c>
      <c r="AO60" t="str">
        <f>Codex_calc!AO60</f>
        <v>2019, 2130</v>
      </c>
    </row>
    <row r="61" spans="3:41">
      <c r="C61" t="str">
        <f>Codex_calc!C61</f>
        <v>MINCoRSV1</v>
      </c>
      <c r="D61" t="str">
        <f>Codex_calc!D61</f>
        <v>BNDACT</v>
      </c>
      <c r="E61"/>
      <c r="F61" s="33">
        <f>Codex_calc!F61</f>
        <v>0</v>
      </c>
      <c r="G61" s="33">
        <f>Codex_calc!G61</f>
        <v>166.12332516129</v>
      </c>
      <c r="H61" s="34">
        <f>Codex_calc!H61</f>
        <v>2.62785935483871</v>
      </c>
      <c r="I61" s="33">
        <f>Codex_calc!I61</f>
        <v>0</v>
      </c>
      <c r="J61" s="33">
        <f>Codex_calc!J61</f>
        <v>0</v>
      </c>
      <c r="K61" s="33">
        <f>Codex_calc!K61</f>
        <v>0</v>
      </c>
      <c r="L61" s="33">
        <f>Codex_calc!L61</f>
        <v>0</v>
      </c>
      <c r="M61" s="34">
        <f>Codex_calc!M61</f>
        <v>1.42046451612903</v>
      </c>
      <c r="N61" s="33">
        <f>Codex_calc!N61</f>
        <v>0</v>
      </c>
      <c r="O61" s="33">
        <f>Codex_calc!O61</f>
        <v>0</v>
      </c>
      <c r="P61" s="33">
        <f>Codex_calc!P61</f>
        <v>0</v>
      </c>
      <c r="Q61" s="33">
        <f>Codex_calc!Q61</f>
        <v>0</v>
      </c>
      <c r="R61" s="33">
        <f>Codex_calc!R61</f>
        <v>0</v>
      </c>
      <c r="S61" s="33">
        <f>Codex_calc!S61</f>
        <v>0</v>
      </c>
      <c r="T61" s="33">
        <f>Codex_calc!T61</f>
        <v>0</v>
      </c>
      <c r="U61" s="33">
        <f>Codex_calc!U61</f>
        <v>0</v>
      </c>
      <c r="V61" s="33">
        <f>Codex_calc!V61</f>
        <v>0</v>
      </c>
      <c r="W61" s="33">
        <f>Codex_calc!W61</f>
        <v>0</v>
      </c>
      <c r="X61" s="33">
        <f>Codex_calc!X61</f>
        <v>0</v>
      </c>
      <c r="Y61" s="33">
        <f>Codex_calc!Y61</f>
        <v>1.42046451612903</v>
      </c>
      <c r="Z61" s="33">
        <f>Codex_calc!Z61</f>
        <v>0</v>
      </c>
      <c r="AA61" s="33">
        <f>Codex_calc!AA61</f>
        <v>2.69888258064516</v>
      </c>
      <c r="AB61" s="33">
        <f>Codex_calc!AB61</f>
        <v>0</v>
      </c>
      <c r="AC61" s="33">
        <f>Codex_calc!AC61</f>
        <v>0</v>
      </c>
      <c r="AD61" s="33">
        <f>Codex_calc!AD61</f>
        <v>42.3298425806452</v>
      </c>
      <c r="AE61" s="33">
        <f>Codex_calc!AE61</f>
        <v>5.46878838709677</v>
      </c>
      <c r="AF61" s="33">
        <f>Codex_calc!AF61</f>
        <v>0</v>
      </c>
      <c r="AG61" s="33">
        <f>Codex_calc!AG61</f>
        <v>0</v>
      </c>
      <c r="AH61" s="33">
        <f>Codex_calc!AH61</f>
        <v>0</v>
      </c>
      <c r="AI61" s="33">
        <f>Codex_calc!AI61</f>
        <v>0</v>
      </c>
      <c r="AJ61" s="33">
        <f>Codex_calc!AJ61</f>
        <v>0</v>
      </c>
      <c r="AK61" s="33">
        <f>Codex_calc!AK61</f>
        <v>1.34944129032258</v>
      </c>
      <c r="AL61" s="33">
        <f>Codex_calc!AL61</f>
        <v>0</v>
      </c>
      <c r="AM61" s="33">
        <f>Codex_calc!AM61</f>
        <v>0</v>
      </c>
      <c r="AN61" s="33">
        <f>Codex_calc!AN61</f>
        <v>0</v>
      </c>
      <c r="AO61" t="str">
        <f>Codex_calc!AO61</f>
        <v>2019, 2130</v>
      </c>
    </row>
    <row r="62" spans="3:41">
      <c r="C62" t="str">
        <f>Codex_calc!C62</f>
        <v>MINCoRSV1</v>
      </c>
      <c r="D62" t="str">
        <f>Codex_calc!D62</f>
        <v>CUM</v>
      </c>
      <c r="E62"/>
      <c r="F62"/>
      <c r="G62"/>
      <c r="H62" s="30"/>
      <c r="K62"/>
      <c r="L62"/>
      <c r="M62" s="30"/>
      <c r="P62"/>
      <c r="R62"/>
      <c r="T62"/>
      <c r="U62"/>
      <c r="Y62"/>
      <c r="Z62"/>
      <c r="AA62"/>
      <c r="AB62"/>
      <c r="AC62"/>
      <c r="AD62"/>
      <c r="AE62"/>
      <c r="AF62"/>
      <c r="AG62"/>
      <c r="AH62"/>
      <c r="AI62"/>
      <c r="AK62"/>
      <c r="AM62"/>
      <c r="AO62" t="str">
        <f>Codex_calc!AO62</f>
        <v>2019, 2130</v>
      </c>
    </row>
    <row r="63" spans="3:41">
      <c r="C63" t="str">
        <f>Codex_calc!C63</f>
        <v>MINCoRSV1</v>
      </c>
      <c r="D63" t="str">
        <f>Codex_calc!D63</f>
        <v>COST</v>
      </c>
      <c r="E63" t="str">
        <f>Codex_calc!E63</f>
        <v>m_cobalt</v>
      </c>
      <c r="F63">
        <f>Codex_calc!F63</f>
        <v>29.844</v>
      </c>
      <c r="G63">
        <f>Codex_calc!G63</f>
        <v>29.844</v>
      </c>
      <c r="H63" s="30">
        <f>Codex_calc!H63</f>
        <v>29.844</v>
      </c>
      <c r="I63">
        <f>Codex_calc!I63</f>
        <v>29.844</v>
      </c>
      <c r="J63">
        <f>Codex_calc!J63</f>
        <v>29.844</v>
      </c>
      <c r="K63">
        <f>Codex_calc!K63</f>
        <v>29.844</v>
      </c>
      <c r="L63">
        <f>Codex_calc!L63</f>
        <v>29.844</v>
      </c>
      <c r="M63" s="30">
        <f>Codex_calc!M63</f>
        <v>29.844</v>
      </c>
      <c r="N63">
        <f>Codex_calc!N63</f>
        <v>29.844</v>
      </c>
      <c r="O63">
        <f>Codex_calc!O63</f>
        <v>29.844</v>
      </c>
      <c r="P63">
        <f>Codex_calc!P63</f>
        <v>29.844</v>
      </c>
      <c r="Q63">
        <f>Codex_calc!Q63</f>
        <v>29.844</v>
      </c>
      <c r="R63">
        <f>Codex_calc!R63</f>
        <v>29.844</v>
      </c>
      <c r="S63">
        <f>Codex_calc!S63</f>
        <v>29.844</v>
      </c>
      <c r="T63">
        <f>Codex_calc!T63</f>
        <v>29.844</v>
      </c>
      <c r="U63">
        <f>Codex_calc!U63</f>
        <v>29.844</v>
      </c>
      <c r="V63">
        <f>Codex_calc!V63</f>
        <v>29.844</v>
      </c>
      <c r="W63">
        <f>Codex_calc!W63</f>
        <v>29.844</v>
      </c>
      <c r="X63">
        <f>Codex_calc!X63</f>
        <v>29.844</v>
      </c>
      <c r="Y63">
        <f>Codex_calc!Y63</f>
        <v>29.844</v>
      </c>
      <c r="Z63">
        <f>Codex_calc!Z63</f>
        <v>29.844</v>
      </c>
      <c r="AA63">
        <f>Codex_calc!AA63</f>
        <v>29.844</v>
      </c>
      <c r="AB63">
        <f>Codex_calc!AB63</f>
        <v>29.844</v>
      </c>
      <c r="AC63">
        <f>Codex_calc!AC63</f>
        <v>29.844</v>
      </c>
      <c r="AD63">
        <f>Codex_calc!AD63</f>
        <v>29.844</v>
      </c>
      <c r="AE63">
        <f>Codex_calc!AE63</f>
        <v>29.844</v>
      </c>
      <c r="AF63">
        <f>Codex_calc!AF63</f>
        <v>29.844</v>
      </c>
      <c r="AG63">
        <f>Codex_calc!AG63</f>
        <v>29.844</v>
      </c>
      <c r="AH63">
        <f>Codex_calc!AH63</f>
        <v>29.844</v>
      </c>
      <c r="AI63">
        <f>Codex_calc!AI63</f>
        <v>29.844</v>
      </c>
      <c r="AJ63">
        <f>Codex_calc!AJ63</f>
        <v>29.844</v>
      </c>
      <c r="AK63">
        <f>Codex_calc!AK63</f>
        <v>29.844</v>
      </c>
      <c r="AL63">
        <f>Codex_calc!AL63</f>
        <v>29.844</v>
      </c>
      <c r="AM63">
        <f>Codex_calc!AM63</f>
        <v>29.844</v>
      </c>
      <c r="AN63">
        <f>Codex_calc!AN63</f>
        <v>29.844</v>
      </c>
      <c r="AO63" t="str">
        <f>Codex_calc!AO63</f>
        <v>2019, 2130</v>
      </c>
    </row>
    <row r="64" spans="3:41">
      <c r="C64" t="str">
        <f>Codex_calc!C64</f>
        <v>MINCoRSV2</v>
      </c>
      <c r="D64" t="str">
        <f>Codex_calc!D64</f>
        <v>BNDACT</v>
      </c>
      <c r="E64"/>
      <c r="F64" s="33">
        <f>Codex_calc!F64</f>
        <v>0</v>
      </c>
      <c r="G64" s="33">
        <f>Codex_calc!G64</f>
        <v>332.246650322581</v>
      </c>
      <c r="H64" s="34">
        <f>Codex_calc!H64</f>
        <v>5.25571870967742</v>
      </c>
      <c r="I64" s="33">
        <f>Codex_calc!I64</f>
        <v>0</v>
      </c>
      <c r="J64" s="33">
        <f>Codex_calc!J64</f>
        <v>0</v>
      </c>
      <c r="K64" s="33">
        <f>Codex_calc!K64</f>
        <v>0</v>
      </c>
      <c r="L64" s="33">
        <f>Codex_calc!L64</f>
        <v>0</v>
      </c>
      <c r="M64" s="34">
        <f>Codex_calc!M64</f>
        <v>2.84092903225806</v>
      </c>
      <c r="N64" s="33">
        <f>Codex_calc!N64</f>
        <v>0</v>
      </c>
      <c r="O64" s="33">
        <f>Codex_calc!O64</f>
        <v>0</v>
      </c>
      <c r="P64" s="33">
        <f>Codex_calc!P64</f>
        <v>0</v>
      </c>
      <c r="Q64" s="33">
        <f>Codex_calc!Q64</f>
        <v>0</v>
      </c>
      <c r="R64" s="33">
        <f>Codex_calc!R64</f>
        <v>0</v>
      </c>
      <c r="S64" s="33">
        <f>Codex_calc!S64</f>
        <v>0</v>
      </c>
      <c r="T64" s="33">
        <f>Codex_calc!T64</f>
        <v>0</v>
      </c>
      <c r="U64" s="33">
        <f>Codex_calc!U64</f>
        <v>0</v>
      </c>
      <c r="V64" s="33">
        <f>Codex_calc!V64</f>
        <v>0</v>
      </c>
      <c r="W64" s="33">
        <f>Codex_calc!W64</f>
        <v>0</v>
      </c>
      <c r="X64" s="33">
        <f>Codex_calc!X64</f>
        <v>0</v>
      </c>
      <c r="Y64" s="33">
        <f>Codex_calc!Y64</f>
        <v>2.84092903225806</v>
      </c>
      <c r="Z64" s="33">
        <f>Codex_calc!Z64</f>
        <v>0</v>
      </c>
      <c r="AA64" s="33">
        <f>Codex_calc!AA64</f>
        <v>5.39776516129032</v>
      </c>
      <c r="AB64" s="33">
        <f>Codex_calc!AB64</f>
        <v>0</v>
      </c>
      <c r="AC64" s="33">
        <f>Codex_calc!AC64</f>
        <v>0</v>
      </c>
      <c r="AD64" s="33">
        <f>Codex_calc!AD64</f>
        <v>84.6596851612903</v>
      </c>
      <c r="AE64" s="33">
        <f>Codex_calc!AE64</f>
        <v>10.9375767741935</v>
      </c>
      <c r="AF64" s="33">
        <f>Codex_calc!AF64</f>
        <v>0</v>
      </c>
      <c r="AG64" s="33">
        <f>Codex_calc!AG64</f>
        <v>0</v>
      </c>
      <c r="AH64" s="33">
        <f>Codex_calc!AH64</f>
        <v>0</v>
      </c>
      <c r="AI64" s="33">
        <f>Codex_calc!AI64</f>
        <v>0</v>
      </c>
      <c r="AJ64" s="33">
        <f>Codex_calc!AJ64</f>
        <v>0</v>
      </c>
      <c r="AK64" s="33">
        <f>Codex_calc!AK64</f>
        <v>2.69888258064516</v>
      </c>
      <c r="AL64" s="33">
        <f>Codex_calc!AL64</f>
        <v>0</v>
      </c>
      <c r="AM64" s="33">
        <f>Codex_calc!AM64</f>
        <v>0</v>
      </c>
      <c r="AN64" s="33">
        <f>Codex_calc!AN64</f>
        <v>0</v>
      </c>
      <c r="AO64" t="str">
        <f>Codex_calc!AO64</f>
        <v>2019, 2130</v>
      </c>
    </row>
    <row r="65" spans="3:41">
      <c r="C65" t="str">
        <f>Codex_calc!C65</f>
        <v>MINCoRSV2</v>
      </c>
      <c r="D65" t="str">
        <f>Codex_calc!D65</f>
        <v>CUM</v>
      </c>
      <c r="E65"/>
      <c r="F65"/>
      <c r="G65"/>
      <c r="H65" s="30"/>
      <c r="K65"/>
      <c r="L65"/>
      <c r="M65" s="30"/>
      <c r="P65"/>
      <c r="R65"/>
      <c r="T65"/>
      <c r="U65"/>
      <c r="Y65"/>
      <c r="Z65"/>
      <c r="AA65"/>
      <c r="AB65"/>
      <c r="AC65"/>
      <c r="AD65"/>
      <c r="AE65"/>
      <c r="AF65"/>
      <c r="AG65"/>
      <c r="AH65"/>
      <c r="AI65"/>
      <c r="AK65"/>
      <c r="AM65"/>
      <c r="AO65" t="str">
        <f>Codex_calc!AO65</f>
        <v>2019, 2130</v>
      </c>
    </row>
    <row r="66" spans="3:41">
      <c r="C66" t="str">
        <f>Codex_calc!C66</f>
        <v>MINCoRSV2</v>
      </c>
      <c r="D66" t="str">
        <f>Codex_calc!D66</f>
        <v>COST</v>
      </c>
      <c r="E66" t="str">
        <f>Codex_calc!E66</f>
        <v>m_cobalt</v>
      </c>
      <c r="F66">
        <f>Codex_calc!F66</f>
        <v>42.509</v>
      </c>
      <c r="G66">
        <f>Codex_calc!G66</f>
        <v>42.509</v>
      </c>
      <c r="H66" s="30">
        <f>Codex_calc!H66</f>
        <v>42.509</v>
      </c>
      <c r="I66">
        <f>Codex_calc!I66</f>
        <v>42.509</v>
      </c>
      <c r="J66">
        <f>Codex_calc!J66</f>
        <v>42.509</v>
      </c>
      <c r="K66">
        <f>Codex_calc!K66</f>
        <v>42.509</v>
      </c>
      <c r="L66">
        <f>Codex_calc!L66</f>
        <v>42.509</v>
      </c>
      <c r="M66" s="30">
        <f>Codex_calc!M66</f>
        <v>42.509</v>
      </c>
      <c r="N66">
        <f>Codex_calc!N66</f>
        <v>42.509</v>
      </c>
      <c r="O66">
        <f>Codex_calc!O66</f>
        <v>42.509</v>
      </c>
      <c r="P66">
        <f>Codex_calc!P66</f>
        <v>42.509</v>
      </c>
      <c r="Q66">
        <f>Codex_calc!Q66</f>
        <v>42.509</v>
      </c>
      <c r="R66">
        <f>Codex_calc!R66</f>
        <v>42.509</v>
      </c>
      <c r="S66">
        <f>Codex_calc!S66</f>
        <v>42.509</v>
      </c>
      <c r="T66">
        <f>Codex_calc!T66</f>
        <v>42.509</v>
      </c>
      <c r="U66">
        <f>Codex_calc!U66</f>
        <v>42.509</v>
      </c>
      <c r="V66">
        <f>Codex_calc!V66</f>
        <v>42.509</v>
      </c>
      <c r="W66">
        <f>Codex_calc!W66</f>
        <v>42.509</v>
      </c>
      <c r="X66">
        <f>Codex_calc!X66</f>
        <v>42.509</v>
      </c>
      <c r="Y66">
        <f>Codex_calc!Y66</f>
        <v>42.509</v>
      </c>
      <c r="Z66">
        <f>Codex_calc!Z66</f>
        <v>42.509</v>
      </c>
      <c r="AA66">
        <f>Codex_calc!AA66</f>
        <v>42.509</v>
      </c>
      <c r="AB66">
        <f>Codex_calc!AB66</f>
        <v>42.509</v>
      </c>
      <c r="AC66">
        <f>Codex_calc!AC66</f>
        <v>42.509</v>
      </c>
      <c r="AD66">
        <f>Codex_calc!AD66</f>
        <v>42.509</v>
      </c>
      <c r="AE66">
        <f>Codex_calc!AE66</f>
        <v>42.509</v>
      </c>
      <c r="AF66">
        <f>Codex_calc!AF66</f>
        <v>42.509</v>
      </c>
      <c r="AG66">
        <f>Codex_calc!AG66</f>
        <v>42.509</v>
      </c>
      <c r="AH66">
        <f>Codex_calc!AH66</f>
        <v>42.509</v>
      </c>
      <c r="AI66">
        <f>Codex_calc!AI66</f>
        <v>42.509</v>
      </c>
      <c r="AJ66">
        <f>Codex_calc!AJ66</f>
        <v>42.509</v>
      </c>
      <c r="AK66">
        <f>Codex_calc!AK66</f>
        <v>42.509</v>
      </c>
      <c r="AL66">
        <f>Codex_calc!AL66</f>
        <v>42.509</v>
      </c>
      <c r="AM66">
        <f>Codex_calc!AM66</f>
        <v>42.509</v>
      </c>
      <c r="AN66">
        <f>Codex_calc!AN66</f>
        <v>42.509</v>
      </c>
      <c r="AO66" t="str">
        <f>Codex_calc!AO66</f>
        <v>2019, 2130</v>
      </c>
    </row>
    <row r="67" spans="3:41">
      <c r="C67" t="str">
        <f>Codex_calc!C67</f>
        <v>MINCoRSV3</v>
      </c>
      <c r="D67" t="str">
        <f>Codex_calc!D67</f>
        <v>BNDACT</v>
      </c>
      <c r="E67"/>
      <c r="F67"/>
      <c r="G67"/>
      <c r="H67" s="30"/>
      <c r="K67"/>
      <c r="L67"/>
      <c r="M67" s="30"/>
      <c r="P67"/>
      <c r="R67"/>
      <c r="T67"/>
      <c r="U67"/>
      <c r="Y67"/>
      <c r="Z67"/>
      <c r="AA67"/>
      <c r="AB67"/>
      <c r="AC67"/>
      <c r="AD67"/>
      <c r="AE67"/>
      <c r="AF67"/>
      <c r="AG67"/>
      <c r="AH67"/>
      <c r="AI67"/>
      <c r="AK67"/>
      <c r="AM67"/>
      <c r="AO67" t="str">
        <f>Codex_calc!AO67</f>
        <v>2019, 2130</v>
      </c>
    </row>
    <row r="68" spans="3:41">
      <c r="C68" t="str">
        <f>Codex_calc!C68</f>
        <v>MINCoRSV3</v>
      </c>
      <c r="D68" t="str">
        <f>Codex_calc!D68</f>
        <v>CUM</v>
      </c>
      <c r="E68"/>
      <c r="F68"/>
      <c r="G68"/>
      <c r="H68" s="30"/>
      <c r="K68"/>
      <c r="L68"/>
      <c r="M68" s="30"/>
      <c r="P68"/>
      <c r="R68"/>
      <c r="T68"/>
      <c r="U68"/>
      <c r="Y68"/>
      <c r="Z68"/>
      <c r="AA68"/>
      <c r="AB68"/>
      <c r="AC68"/>
      <c r="AD68"/>
      <c r="AE68"/>
      <c r="AF68"/>
      <c r="AG68"/>
      <c r="AH68"/>
      <c r="AI68"/>
      <c r="AK68"/>
      <c r="AM68"/>
      <c r="AO68" t="str">
        <f>Codex_calc!AO68</f>
        <v>2019, 2130</v>
      </c>
    </row>
    <row r="69" spans="3:41">
      <c r="C69" t="str">
        <f>Codex_calc!C69</f>
        <v>MINCoRSV3</v>
      </c>
      <c r="D69" t="str">
        <f>Codex_calc!D69</f>
        <v>COST</v>
      </c>
      <c r="E69" t="str">
        <f>Codex_calc!E69</f>
        <v>m_cobalt</v>
      </c>
      <c r="F69">
        <f>Codex_calc!F69</f>
        <v>46.7599</v>
      </c>
      <c r="G69">
        <f>Codex_calc!G69</f>
        <v>46.7599</v>
      </c>
      <c r="H69" s="30">
        <f>Codex_calc!H69</f>
        <v>46.7599</v>
      </c>
      <c r="I69">
        <f>Codex_calc!I69</f>
        <v>46.7599</v>
      </c>
      <c r="J69">
        <f>Codex_calc!J69</f>
        <v>46.7599</v>
      </c>
      <c r="K69">
        <f>Codex_calc!K69</f>
        <v>46.7599</v>
      </c>
      <c r="L69">
        <f>Codex_calc!L69</f>
        <v>46.7599</v>
      </c>
      <c r="M69" s="30">
        <f>Codex_calc!M69</f>
        <v>46.7599</v>
      </c>
      <c r="N69">
        <f>Codex_calc!N69</f>
        <v>46.7599</v>
      </c>
      <c r="O69">
        <f>Codex_calc!O69</f>
        <v>46.7599</v>
      </c>
      <c r="P69">
        <f>Codex_calc!P69</f>
        <v>46.7599</v>
      </c>
      <c r="Q69">
        <f>Codex_calc!Q69</f>
        <v>46.7599</v>
      </c>
      <c r="R69">
        <f>Codex_calc!R69</f>
        <v>46.7599</v>
      </c>
      <c r="S69">
        <f>Codex_calc!S69</f>
        <v>46.7599</v>
      </c>
      <c r="T69">
        <f>Codex_calc!T69</f>
        <v>46.7599</v>
      </c>
      <c r="U69">
        <f>Codex_calc!U69</f>
        <v>46.7599</v>
      </c>
      <c r="V69">
        <f>Codex_calc!V69</f>
        <v>46.7599</v>
      </c>
      <c r="W69">
        <f>Codex_calc!W69</f>
        <v>46.7599</v>
      </c>
      <c r="X69">
        <f>Codex_calc!X69</f>
        <v>46.7599</v>
      </c>
      <c r="Y69">
        <f>Codex_calc!Y69</f>
        <v>46.7599</v>
      </c>
      <c r="Z69">
        <f>Codex_calc!Z69</f>
        <v>46.7599</v>
      </c>
      <c r="AA69">
        <f>Codex_calc!AA69</f>
        <v>46.7599</v>
      </c>
      <c r="AB69">
        <f>Codex_calc!AB69</f>
        <v>46.7599</v>
      </c>
      <c r="AC69">
        <f>Codex_calc!AC69</f>
        <v>46.7599</v>
      </c>
      <c r="AD69">
        <f>Codex_calc!AD69</f>
        <v>46.7599</v>
      </c>
      <c r="AE69">
        <f>Codex_calc!AE69</f>
        <v>46.7599</v>
      </c>
      <c r="AF69">
        <f>Codex_calc!AF69</f>
        <v>46.7599</v>
      </c>
      <c r="AG69">
        <f>Codex_calc!AG69</f>
        <v>46.7599</v>
      </c>
      <c r="AH69">
        <f>Codex_calc!AH69</f>
        <v>46.7599</v>
      </c>
      <c r="AI69">
        <f>Codex_calc!AI69</f>
        <v>46.7599</v>
      </c>
      <c r="AJ69">
        <f>Codex_calc!AJ69</f>
        <v>46.7599</v>
      </c>
      <c r="AK69">
        <f>Codex_calc!AK69</f>
        <v>46.7599</v>
      </c>
      <c r="AL69">
        <f>Codex_calc!AL69</f>
        <v>46.7599</v>
      </c>
      <c r="AM69">
        <f>Codex_calc!AM69</f>
        <v>46.7599</v>
      </c>
      <c r="AN69">
        <f>Codex_calc!AN69</f>
        <v>46.7599</v>
      </c>
      <c r="AO69" t="str">
        <f>Codex_calc!AO69</f>
        <v>2019, 2130</v>
      </c>
    </row>
    <row r="70" spans="3:41">
      <c r="C70" t="s">
        <v>63</v>
      </c>
      <c r="D70">
        <f>Codex_calc!D70</f>
        <v>0</v>
      </c>
      <c r="E70">
        <f>Codex_calc!E70</f>
        <v>0</v>
      </c>
      <c r="F70">
        <f>Codex_calc!F70</f>
        <v>0</v>
      </c>
      <c r="G70">
        <f>Codex_calc!G70</f>
        <v>0</v>
      </c>
      <c r="H70" s="30">
        <f>Codex_calc!H70</f>
        <v>0</v>
      </c>
      <c r="I70">
        <f>Codex_calc!I70</f>
        <v>0</v>
      </c>
      <c r="J70">
        <f>Codex_calc!J70</f>
        <v>0</v>
      </c>
      <c r="K70">
        <f>Codex_calc!K70</f>
        <v>0</v>
      </c>
      <c r="L70">
        <f>Codex_calc!L70</f>
        <v>0</v>
      </c>
      <c r="M70" s="30">
        <f>Codex_calc!M70</f>
        <v>0</v>
      </c>
      <c r="N70">
        <f>Codex_calc!N70</f>
        <v>0</v>
      </c>
      <c r="O70">
        <f>Codex_calc!O70</f>
        <v>0</v>
      </c>
      <c r="P70">
        <f>Codex_calc!P70</f>
        <v>0</v>
      </c>
      <c r="Q70">
        <f>Codex_calc!Q70</f>
        <v>0</v>
      </c>
      <c r="R70">
        <f>Codex_calc!R70</f>
        <v>0</v>
      </c>
      <c r="S70">
        <f>Codex_calc!S70</f>
        <v>0</v>
      </c>
      <c r="T70">
        <f>Codex_calc!T70</f>
        <v>0</v>
      </c>
      <c r="U70">
        <f>Codex_calc!U70</f>
        <v>0</v>
      </c>
      <c r="V70">
        <f>Codex_calc!V70</f>
        <v>0</v>
      </c>
      <c r="W70">
        <f>Codex_calc!W70</f>
        <v>0</v>
      </c>
      <c r="X70">
        <f>Codex_calc!X70</f>
        <v>0</v>
      </c>
      <c r="Y70">
        <f>Codex_calc!Y70</f>
        <v>0</v>
      </c>
      <c r="Z70">
        <f>Codex_calc!Z70</f>
        <v>0</v>
      </c>
      <c r="AA70">
        <f>Codex_calc!AA70</f>
        <v>0</v>
      </c>
      <c r="AB70">
        <f>Codex_calc!AB70</f>
        <v>0</v>
      </c>
      <c r="AC70">
        <f>Codex_calc!AC70</f>
        <v>0</v>
      </c>
      <c r="AD70">
        <f>Codex_calc!AD70</f>
        <v>0</v>
      </c>
      <c r="AE70">
        <f>Codex_calc!AE70</f>
        <v>0</v>
      </c>
      <c r="AF70">
        <f>Codex_calc!AF70</f>
        <v>0</v>
      </c>
      <c r="AG70">
        <f>Codex_calc!AG70</f>
        <v>0</v>
      </c>
      <c r="AH70">
        <f>Codex_calc!AH70</f>
        <v>0</v>
      </c>
      <c r="AI70">
        <f>Codex_calc!AI70</f>
        <v>0</v>
      </c>
      <c r="AJ70">
        <f>Codex_calc!AJ70</f>
        <v>0</v>
      </c>
      <c r="AK70">
        <f>Codex_calc!AK70</f>
        <v>0</v>
      </c>
      <c r="AL70">
        <f>Codex_calc!AL70</f>
        <v>0</v>
      </c>
      <c r="AM70">
        <f>Codex_calc!AM70</f>
        <v>0</v>
      </c>
      <c r="AN70">
        <f>Codex_calc!AN70</f>
        <v>0</v>
      </c>
      <c r="AO70" t="str">
        <f>Codex_calc!AO70</f>
        <v>2019, 2130</v>
      </c>
    </row>
    <row r="71" spans="3:41">
      <c r="C71" t="str">
        <f>Codex_calc!C71</f>
        <v>MINMnRSV1</v>
      </c>
      <c r="D71" t="str">
        <f>Codex_calc!D71</f>
        <v>BNDACT</v>
      </c>
      <c r="E71"/>
      <c r="F71" s="33">
        <f>Codex_calc!F71</f>
        <v>0</v>
      </c>
      <c r="G71" s="33">
        <f>Codex_calc!G71</f>
        <v>74.235</v>
      </c>
      <c r="H71" s="34">
        <f>Codex_calc!H71</f>
        <v>16.16</v>
      </c>
      <c r="I71" s="33">
        <f>Codex_calc!I71</f>
        <v>0</v>
      </c>
      <c r="J71" s="33">
        <f>Codex_calc!J71</f>
        <v>0</v>
      </c>
      <c r="K71" s="33">
        <f>Codex_calc!K71</f>
        <v>0</v>
      </c>
      <c r="L71" s="33">
        <f>Codex_calc!L71</f>
        <v>8.08</v>
      </c>
      <c r="M71" s="34">
        <f>Codex_calc!M71</f>
        <v>7.07</v>
      </c>
      <c r="N71" s="33">
        <f>Codex_calc!N71</f>
        <v>0</v>
      </c>
      <c r="O71" s="33">
        <f>Codex_calc!O71</f>
        <v>0</v>
      </c>
      <c r="P71" s="33">
        <f>Codex_calc!P71</f>
        <v>0</v>
      </c>
      <c r="Q71" s="33">
        <f>Codex_calc!Q71</f>
        <v>0</v>
      </c>
      <c r="R71" s="33">
        <f>Codex_calc!R71</f>
        <v>0</v>
      </c>
      <c r="S71" s="33">
        <f>Codex_calc!S71</f>
        <v>0</v>
      </c>
      <c r="T71" s="33">
        <f>Codex_calc!T71</f>
        <v>0</v>
      </c>
      <c r="U71" s="33">
        <f>Codex_calc!U71</f>
        <v>7.979</v>
      </c>
      <c r="V71" s="33">
        <f>Codex_calc!V71</f>
        <v>0</v>
      </c>
      <c r="W71" s="33">
        <f>Codex_calc!W71</f>
        <v>0</v>
      </c>
      <c r="X71" s="33">
        <f>Codex_calc!X71</f>
        <v>0</v>
      </c>
      <c r="Y71" s="33">
        <f>Codex_calc!Y71</f>
        <v>0</v>
      </c>
      <c r="Z71" s="33">
        <f>Codex_calc!Z71</f>
        <v>0</v>
      </c>
      <c r="AA71" s="33">
        <f>Codex_calc!AA71</f>
        <v>0</v>
      </c>
      <c r="AB71" s="33">
        <f>Codex_calc!AB71</f>
        <v>0</v>
      </c>
      <c r="AC71" s="33">
        <f>Codex_calc!AC71</f>
        <v>0</v>
      </c>
      <c r="AD71" s="33">
        <f>Codex_calc!AD71</f>
        <v>13.13</v>
      </c>
      <c r="AE71" s="33">
        <f>Codex_calc!AE71</f>
        <v>0</v>
      </c>
      <c r="AF71" s="33">
        <f>Codex_calc!AF71</f>
        <v>0</v>
      </c>
      <c r="AG71" s="33">
        <f>Codex_calc!AG71</f>
        <v>76.76</v>
      </c>
      <c r="AH71" s="33">
        <f>Codex_calc!AH71</f>
        <v>0</v>
      </c>
      <c r="AI71" s="33">
        <f>Codex_calc!AI71</f>
        <v>0</v>
      </c>
      <c r="AJ71" s="33">
        <f>Codex_calc!AJ71</f>
        <v>0</v>
      </c>
      <c r="AK71" s="33">
        <f>Codex_calc!AK71</f>
        <v>0</v>
      </c>
      <c r="AL71" s="33">
        <f>Codex_calc!AL71</f>
        <v>0</v>
      </c>
      <c r="AM71" s="33">
        <f>Codex_calc!AM71</f>
        <v>0</v>
      </c>
      <c r="AN71" s="33">
        <f>Codex_calc!AN71</f>
        <v>0</v>
      </c>
      <c r="AO71" t="str">
        <f>Codex_calc!AO71</f>
        <v>2019, 2130</v>
      </c>
    </row>
    <row r="72" spans="3:41">
      <c r="C72" t="str">
        <f>Codex_calc!C72</f>
        <v>MINMnRSV1</v>
      </c>
      <c r="D72" t="str">
        <f>Codex_calc!D72</f>
        <v>CUM</v>
      </c>
      <c r="E72"/>
      <c r="F72"/>
      <c r="G72"/>
      <c r="H72" s="30"/>
      <c r="K72"/>
      <c r="L72"/>
      <c r="M72" s="30"/>
      <c r="P72"/>
      <c r="R72"/>
      <c r="T72"/>
      <c r="U72"/>
      <c r="Y72"/>
      <c r="Z72"/>
      <c r="AA72"/>
      <c r="AB72"/>
      <c r="AC72"/>
      <c r="AD72"/>
      <c r="AE72"/>
      <c r="AF72"/>
      <c r="AG72"/>
      <c r="AH72"/>
      <c r="AI72"/>
      <c r="AK72"/>
      <c r="AM72"/>
      <c r="AO72" t="str">
        <f>Codex_calc!AO72</f>
        <v>2019, 2130</v>
      </c>
    </row>
    <row r="73" spans="3:41">
      <c r="C73" t="str">
        <f>Codex_calc!C73</f>
        <v>MINMnRSV1</v>
      </c>
      <c r="D73" t="str">
        <f>Codex_calc!D73</f>
        <v>COST</v>
      </c>
      <c r="E73" t="str">
        <f>Codex_calc!E73</f>
        <v>m_manganese</v>
      </c>
      <c r="F73">
        <f>Codex_calc!F73</f>
        <v>0.45</v>
      </c>
      <c r="G73">
        <f>Codex_calc!G73</f>
        <v>0.45</v>
      </c>
      <c r="H73" s="30">
        <f>Codex_calc!H73</f>
        <v>0.45</v>
      </c>
      <c r="I73">
        <f>Codex_calc!I73</f>
        <v>0.45</v>
      </c>
      <c r="J73">
        <f>Codex_calc!J73</f>
        <v>0.45</v>
      </c>
      <c r="K73">
        <f>Codex_calc!K73</f>
        <v>0.45</v>
      </c>
      <c r="L73">
        <f>Codex_calc!L73</f>
        <v>0.45</v>
      </c>
      <c r="M73" s="30">
        <f>Codex_calc!M73</f>
        <v>0.45</v>
      </c>
      <c r="N73">
        <f>Codex_calc!N73</f>
        <v>0.45</v>
      </c>
      <c r="O73">
        <f>Codex_calc!O73</f>
        <v>0.45</v>
      </c>
      <c r="P73">
        <f>Codex_calc!P73</f>
        <v>0.45</v>
      </c>
      <c r="Q73">
        <f>Codex_calc!Q73</f>
        <v>0.45</v>
      </c>
      <c r="R73">
        <f>Codex_calc!R73</f>
        <v>0.45</v>
      </c>
      <c r="S73">
        <f>Codex_calc!S73</f>
        <v>0.45</v>
      </c>
      <c r="T73">
        <f>Codex_calc!T73</f>
        <v>0.45</v>
      </c>
      <c r="U73">
        <f>Codex_calc!U73</f>
        <v>0.45</v>
      </c>
      <c r="V73">
        <f>Codex_calc!V73</f>
        <v>0.45</v>
      </c>
      <c r="W73">
        <f>Codex_calc!W73</f>
        <v>0.45</v>
      </c>
      <c r="X73">
        <f>Codex_calc!X73</f>
        <v>0.45</v>
      </c>
      <c r="Y73">
        <f>Codex_calc!Y73</f>
        <v>0.45</v>
      </c>
      <c r="Z73">
        <f>Codex_calc!Z73</f>
        <v>0.45</v>
      </c>
      <c r="AA73">
        <f>Codex_calc!AA73</f>
        <v>0.45</v>
      </c>
      <c r="AB73">
        <f>Codex_calc!AB73</f>
        <v>0.45</v>
      </c>
      <c r="AC73">
        <f>Codex_calc!AC73</f>
        <v>0.45</v>
      </c>
      <c r="AD73">
        <f>Codex_calc!AD73</f>
        <v>0.45</v>
      </c>
      <c r="AE73">
        <f>Codex_calc!AE73</f>
        <v>0.45</v>
      </c>
      <c r="AF73">
        <f>Codex_calc!AF73</f>
        <v>0.45</v>
      </c>
      <c r="AG73">
        <f>Codex_calc!AG73</f>
        <v>0.45</v>
      </c>
      <c r="AH73">
        <f>Codex_calc!AH73</f>
        <v>0.45</v>
      </c>
      <c r="AI73">
        <f>Codex_calc!AI73</f>
        <v>0.45</v>
      </c>
      <c r="AJ73">
        <f>Codex_calc!AJ73</f>
        <v>0.45</v>
      </c>
      <c r="AK73">
        <f>Codex_calc!AK73</f>
        <v>0.45</v>
      </c>
      <c r="AL73">
        <f>Codex_calc!AL73</f>
        <v>0.45</v>
      </c>
      <c r="AM73">
        <f>Codex_calc!AM73</f>
        <v>0.45</v>
      </c>
      <c r="AN73">
        <f>Codex_calc!AN73</f>
        <v>0.45</v>
      </c>
      <c r="AO73" t="str">
        <f>Codex_calc!AO73</f>
        <v>2019, 2130</v>
      </c>
    </row>
    <row r="74" spans="3:41">
      <c r="C74" t="str">
        <f>Codex_calc!C74</f>
        <v>MINMnRSV2</v>
      </c>
      <c r="D74" t="str">
        <f>Codex_calc!D74</f>
        <v>BNDACT</v>
      </c>
      <c r="E74"/>
      <c r="F74" s="33">
        <f>Codex_calc!F74</f>
        <v>0</v>
      </c>
      <c r="G74" s="33">
        <f>Codex_calc!G74</f>
        <v>148.47</v>
      </c>
      <c r="H74" s="34">
        <f>Codex_calc!H74</f>
        <v>32.32</v>
      </c>
      <c r="I74" s="33">
        <f>Codex_calc!I74</f>
        <v>0</v>
      </c>
      <c r="J74" s="33">
        <f>Codex_calc!J74</f>
        <v>0</v>
      </c>
      <c r="K74" s="33">
        <f>Codex_calc!K74</f>
        <v>0</v>
      </c>
      <c r="L74" s="33">
        <f>Codex_calc!L74</f>
        <v>16.16</v>
      </c>
      <c r="M74" s="34">
        <f>Codex_calc!M74</f>
        <v>14.14</v>
      </c>
      <c r="N74" s="33">
        <f>Codex_calc!N74</f>
        <v>0</v>
      </c>
      <c r="O74" s="33">
        <f>Codex_calc!O74</f>
        <v>0</v>
      </c>
      <c r="P74" s="33">
        <f>Codex_calc!P74</f>
        <v>0</v>
      </c>
      <c r="Q74" s="33">
        <f>Codex_calc!Q74</f>
        <v>0</v>
      </c>
      <c r="R74" s="33">
        <f>Codex_calc!R74</f>
        <v>0</v>
      </c>
      <c r="S74" s="33">
        <f>Codex_calc!S74</f>
        <v>0</v>
      </c>
      <c r="T74" s="33">
        <f>Codex_calc!T74</f>
        <v>0</v>
      </c>
      <c r="U74" s="33">
        <f>Codex_calc!U74</f>
        <v>15.958</v>
      </c>
      <c r="V74" s="33">
        <f>Codex_calc!V74</f>
        <v>0</v>
      </c>
      <c r="W74" s="33">
        <f>Codex_calc!W74</f>
        <v>0</v>
      </c>
      <c r="X74" s="33">
        <f>Codex_calc!X74</f>
        <v>0</v>
      </c>
      <c r="Y74" s="33">
        <f>Codex_calc!Y74</f>
        <v>0</v>
      </c>
      <c r="Z74" s="33">
        <f>Codex_calc!Z74</f>
        <v>0</v>
      </c>
      <c r="AA74" s="33">
        <f>Codex_calc!AA74</f>
        <v>0</v>
      </c>
      <c r="AB74" s="33">
        <f>Codex_calc!AB74</f>
        <v>0</v>
      </c>
      <c r="AC74" s="33">
        <f>Codex_calc!AC74</f>
        <v>0</v>
      </c>
      <c r="AD74" s="33">
        <f>Codex_calc!AD74</f>
        <v>26.26</v>
      </c>
      <c r="AE74" s="33">
        <f>Codex_calc!AE74</f>
        <v>0</v>
      </c>
      <c r="AF74" s="33">
        <f>Codex_calc!AF74</f>
        <v>0</v>
      </c>
      <c r="AG74" s="33">
        <f>Codex_calc!AG74</f>
        <v>153.52</v>
      </c>
      <c r="AH74" s="33">
        <f>Codex_calc!AH74</f>
        <v>0</v>
      </c>
      <c r="AI74" s="33">
        <f>Codex_calc!AI74</f>
        <v>0</v>
      </c>
      <c r="AJ74" s="33">
        <f>Codex_calc!AJ74</f>
        <v>0</v>
      </c>
      <c r="AK74" s="33">
        <f>Codex_calc!AK74</f>
        <v>0</v>
      </c>
      <c r="AL74" s="33">
        <f>Codex_calc!AL74</f>
        <v>0</v>
      </c>
      <c r="AM74" s="33">
        <f>Codex_calc!AM74</f>
        <v>0</v>
      </c>
      <c r="AN74" s="33">
        <f>Codex_calc!AN74</f>
        <v>0</v>
      </c>
      <c r="AO74" t="str">
        <f>Codex_calc!AO74</f>
        <v>2019, 2130</v>
      </c>
    </row>
    <row r="75" spans="3:41">
      <c r="C75" t="str">
        <f>Codex_calc!C75</f>
        <v>MINMnRSV2</v>
      </c>
      <c r="D75" t="str">
        <f>Codex_calc!D75</f>
        <v>CUM</v>
      </c>
      <c r="E75"/>
      <c r="F75"/>
      <c r="G75"/>
      <c r="H75" s="30"/>
      <c r="K75"/>
      <c r="L75"/>
      <c r="M75" s="30"/>
      <c r="P75"/>
      <c r="R75"/>
      <c r="T75"/>
      <c r="U75"/>
      <c r="Y75"/>
      <c r="Z75"/>
      <c r="AA75"/>
      <c r="AB75"/>
      <c r="AC75"/>
      <c r="AD75"/>
      <c r="AE75"/>
      <c r="AF75"/>
      <c r="AG75"/>
      <c r="AH75"/>
      <c r="AI75"/>
      <c r="AK75"/>
      <c r="AM75"/>
      <c r="AO75" t="str">
        <f>Codex_calc!AO75</f>
        <v>2019, 2130</v>
      </c>
    </row>
    <row r="76" spans="3:41">
      <c r="C76" t="str">
        <f>Codex_calc!C76</f>
        <v>MINMnRSV2</v>
      </c>
      <c r="D76" t="str">
        <f>Codex_calc!D76</f>
        <v>COST</v>
      </c>
      <c r="E76" t="str">
        <f>Codex_calc!E76</f>
        <v>m_manganese</v>
      </c>
      <c r="F76">
        <f>Codex_calc!F76</f>
        <v>1.35</v>
      </c>
      <c r="G76">
        <f>Codex_calc!G76</f>
        <v>1.35</v>
      </c>
      <c r="H76" s="30">
        <f>Codex_calc!H76</f>
        <v>1.35</v>
      </c>
      <c r="I76">
        <f>Codex_calc!I76</f>
        <v>1.35</v>
      </c>
      <c r="J76">
        <f>Codex_calc!J76</f>
        <v>1.35</v>
      </c>
      <c r="K76">
        <f>Codex_calc!K76</f>
        <v>1.35</v>
      </c>
      <c r="L76">
        <f>Codex_calc!L76</f>
        <v>1.35</v>
      </c>
      <c r="M76" s="30">
        <f>Codex_calc!M76</f>
        <v>1.35</v>
      </c>
      <c r="N76">
        <f>Codex_calc!N76</f>
        <v>1.35</v>
      </c>
      <c r="O76">
        <f>Codex_calc!O76</f>
        <v>1.35</v>
      </c>
      <c r="P76">
        <f>Codex_calc!P76</f>
        <v>1.35</v>
      </c>
      <c r="Q76">
        <f>Codex_calc!Q76</f>
        <v>1.35</v>
      </c>
      <c r="R76">
        <f>Codex_calc!R76</f>
        <v>1.35</v>
      </c>
      <c r="S76">
        <f>Codex_calc!S76</f>
        <v>1.35</v>
      </c>
      <c r="T76">
        <f>Codex_calc!T76</f>
        <v>1.35</v>
      </c>
      <c r="U76">
        <f>Codex_calc!U76</f>
        <v>1.35</v>
      </c>
      <c r="V76">
        <f>Codex_calc!V76</f>
        <v>1.35</v>
      </c>
      <c r="W76">
        <f>Codex_calc!W76</f>
        <v>1.35</v>
      </c>
      <c r="X76">
        <f>Codex_calc!X76</f>
        <v>1.35</v>
      </c>
      <c r="Y76">
        <f>Codex_calc!Y76</f>
        <v>1.35</v>
      </c>
      <c r="Z76">
        <f>Codex_calc!Z76</f>
        <v>1.35</v>
      </c>
      <c r="AA76">
        <f>Codex_calc!AA76</f>
        <v>1.35</v>
      </c>
      <c r="AB76">
        <f>Codex_calc!AB76</f>
        <v>1.35</v>
      </c>
      <c r="AC76">
        <f>Codex_calc!AC76</f>
        <v>1.35</v>
      </c>
      <c r="AD76">
        <f>Codex_calc!AD76</f>
        <v>1.35</v>
      </c>
      <c r="AE76">
        <f>Codex_calc!AE76</f>
        <v>1.35</v>
      </c>
      <c r="AF76">
        <f>Codex_calc!AF76</f>
        <v>1.35</v>
      </c>
      <c r="AG76">
        <f>Codex_calc!AG76</f>
        <v>1.35</v>
      </c>
      <c r="AH76">
        <f>Codex_calc!AH76</f>
        <v>1.35</v>
      </c>
      <c r="AI76">
        <f>Codex_calc!AI76</f>
        <v>1.35</v>
      </c>
      <c r="AJ76">
        <f>Codex_calc!AJ76</f>
        <v>1.35</v>
      </c>
      <c r="AK76">
        <f>Codex_calc!AK76</f>
        <v>1.35</v>
      </c>
      <c r="AL76">
        <f>Codex_calc!AL76</f>
        <v>1.35</v>
      </c>
      <c r="AM76">
        <f>Codex_calc!AM76</f>
        <v>1.35</v>
      </c>
      <c r="AN76">
        <f>Codex_calc!AN76</f>
        <v>1.35</v>
      </c>
      <c r="AO76" t="str">
        <f>Codex_calc!AO76</f>
        <v>2019, 2130</v>
      </c>
    </row>
    <row r="77" spans="3:41">
      <c r="C77" t="str">
        <f>Codex_calc!C77</f>
        <v>MINMnRSV3</v>
      </c>
      <c r="D77" t="str">
        <f>Codex_calc!D77</f>
        <v>BNDACT</v>
      </c>
      <c r="E77"/>
      <c r="F77"/>
      <c r="G77"/>
      <c r="H77" s="30"/>
      <c r="K77"/>
      <c r="L77"/>
      <c r="M77" s="30"/>
      <c r="P77"/>
      <c r="R77"/>
      <c r="T77"/>
      <c r="U77"/>
      <c r="Y77"/>
      <c r="Z77"/>
      <c r="AA77"/>
      <c r="AB77"/>
      <c r="AC77"/>
      <c r="AD77"/>
      <c r="AE77"/>
      <c r="AF77"/>
      <c r="AG77"/>
      <c r="AH77"/>
      <c r="AI77"/>
      <c r="AK77"/>
      <c r="AM77"/>
      <c r="AO77" t="str">
        <f>Codex_calc!AO77</f>
        <v>2019, 2130</v>
      </c>
    </row>
    <row r="78" spans="3:41">
      <c r="C78" t="str">
        <f>Codex_calc!C78</f>
        <v>MINMnRSV3</v>
      </c>
      <c r="D78" t="str">
        <f>Codex_calc!D78</f>
        <v>CUM</v>
      </c>
      <c r="E78"/>
      <c r="F78"/>
      <c r="G78"/>
      <c r="H78" s="30"/>
      <c r="K78"/>
      <c r="L78"/>
      <c r="M78" s="30"/>
      <c r="P78"/>
      <c r="R78"/>
      <c r="T78"/>
      <c r="U78"/>
      <c r="Y78"/>
      <c r="Z78"/>
      <c r="AA78"/>
      <c r="AB78"/>
      <c r="AC78"/>
      <c r="AD78"/>
      <c r="AE78"/>
      <c r="AF78"/>
      <c r="AG78"/>
      <c r="AH78"/>
      <c r="AI78"/>
      <c r="AK78"/>
      <c r="AM78"/>
      <c r="AO78" t="str">
        <f>Codex_calc!AO78</f>
        <v>2019, 2130</v>
      </c>
    </row>
    <row r="79" spans="3:41">
      <c r="C79" t="str">
        <f>Codex_calc!C79</f>
        <v>MINMnRSV3</v>
      </c>
      <c r="D79" t="str">
        <f>Codex_calc!D79</f>
        <v>COST</v>
      </c>
      <c r="E79" t="str">
        <f>Codex_calc!E79</f>
        <v>m_manganese</v>
      </c>
      <c r="F79">
        <f>Codex_calc!F79</f>
        <v>1.485</v>
      </c>
      <c r="G79">
        <f>Codex_calc!G79</f>
        <v>1.485</v>
      </c>
      <c r="H79" s="30">
        <f>Codex_calc!H79</f>
        <v>1.485</v>
      </c>
      <c r="I79">
        <f>Codex_calc!I79</f>
        <v>1.485</v>
      </c>
      <c r="J79">
        <f>Codex_calc!J79</f>
        <v>1.485</v>
      </c>
      <c r="K79">
        <f>Codex_calc!K79</f>
        <v>1.485</v>
      </c>
      <c r="L79">
        <f>Codex_calc!L79</f>
        <v>1.485</v>
      </c>
      <c r="M79" s="30">
        <f>Codex_calc!M79</f>
        <v>1.485</v>
      </c>
      <c r="N79">
        <f>Codex_calc!N79</f>
        <v>1.485</v>
      </c>
      <c r="O79">
        <f>Codex_calc!O79</f>
        <v>1.485</v>
      </c>
      <c r="P79">
        <f>Codex_calc!P79</f>
        <v>1.485</v>
      </c>
      <c r="Q79">
        <f>Codex_calc!Q79</f>
        <v>1.485</v>
      </c>
      <c r="R79">
        <f>Codex_calc!R79</f>
        <v>1.485</v>
      </c>
      <c r="S79">
        <f>Codex_calc!S79</f>
        <v>1.485</v>
      </c>
      <c r="T79">
        <f>Codex_calc!T79</f>
        <v>1.485</v>
      </c>
      <c r="U79">
        <f>Codex_calc!U79</f>
        <v>1.485</v>
      </c>
      <c r="V79">
        <f>Codex_calc!V79</f>
        <v>1.485</v>
      </c>
      <c r="W79">
        <f>Codex_calc!W79</f>
        <v>1.485</v>
      </c>
      <c r="X79">
        <f>Codex_calc!X79</f>
        <v>1.485</v>
      </c>
      <c r="Y79">
        <f>Codex_calc!Y79</f>
        <v>1.485</v>
      </c>
      <c r="Z79">
        <f>Codex_calc!Z79</f>
        <v>1.485</v>
      </c>
      <c r="AA79">
        <f>Codex_calc!AA79</f>
        <v>1.485</v>
      </c>
      <c r="AB79">
        <f>Codex_calc!AB79</f>
        <v>1.485</v>
      </c>
      <c r="AC79">
        <f>Codex_calc!AC79</f>
        <v>1.485</v>
      </c>
      <c r="AD79">
        <f>Codex_calc!AD79</f>
        <v>1.485</v>
      </c>
      <c r="AE79">
        <f>Codex_calc!AE79</f>
        <v>1.485</v>
      </c>
      <c r="AF79">
        <f>Codex_calc!AF79</f>
        <v>1.485</v>
      </c>
      <c r="AG79">
        <f>Codex_calc!AG79</f>
        <v>1.485</v>
      </c>
      <c r="AH79">
        <f>Codex_calc!AH79</f>
        <v>1.485</v>
      </c>
      <c r="AI79">
        <f>Codex_calc!AI79</f>
        <v>1.485</v>
      </c>
      <c r="AJ79">
        <f>Codex_calc!AJ79</f>
        <v>1.485</v>
      </c>
      <c r="AK79">
        <f>Codex_calc!AK79</f>
        <v>1.485</v>
      </c>
      <c r="AL79">
        <f>Codex_calc!AL79</f>
        <v>1.485</v>
      </c>
      <c r="AM79">
        <f>Codex_calc!AM79</f>
        <v>1.485</v>
      </c>
      <c r="AN79">
        <f>Codex_calc!AN79</f>
        <v>1.485</v>
      </c>
      <c r="AO79" t="str">
        <f>Codex_calc!AO79</f>
        <v>2019, 2130</v>
      </c>
    </row>
    <row r="80" spans="3:41">
      <c r="C80" t="s">
        <v>63</v>
      </c>
      <c r="D80">
        <f>Codex_calc!D80</f>
        <v>0</v>
      </c>
      <c r="E80">
        <f>Codex_calc!E80</f>
        <v>0</v>
      </c>
      <c r="F80">
        <f>Codex_calc!F80</f>
        <v>0</v>
      </c>
      <c r="G80">
        <f>Codex_calc!G80</f>
        <v>0</v>
      </c>
      <c r="H80" s="30">
        <f>Codex_calc!H80</f>
        <v>0</v>
      </c>
      <c r="I80">
        <f>Codex_calc!I80</f>
        <v>0</v>
      </c>
      <c r="J80">
        <f>Codex_calc!J80</f>
        <v>0</v>
      </c>
      <c r="K80">
        <f>Codex_calc!K80</f>
        <v>0</v>
      </c>
      <c r="L80">
        <f>Codex_calc!L80</f>
        <v>0</v>
      </c>
      <c r="M80" s="30">
        <f>Codex_calc!M80</f>
        <v>0</v>
      </c>
      <c r="N80">
        <f>Codex_calc!N80</f>
        <v>0</v>
      </c>
      <c r="O80">
        <f>Codex_calc!O80</f>
        <v>0</v>
      </c>
      <c r="P80">
        <f>Codex_calc!P80</f>
        <v>0</v>
      </c>
      <c r="Q80">
        <f>Codex_calc!Q80</f>
        <v>0</v>
      </c>
      <c r="R80">
        <f>Codex_calc!R80</f>
        <v>0</v>
      </c>
      <c r="S80">
        <f>Codex_calc!S80</f>
        <v>0</v>
      </c>
      <c r="T80">
        <f>Codex_calc!T80</f>
        <v>0</v>
      </c>
      <c r="U80">
        <f>Codex_calc!U80</f>
        <v>0</v>
      </c>
      <c r="V80">
        <f>Codex_calc!V80</f>
        <v>0</v>
      </c>
      <c r="W80">
        <f>Codex_calc!W80</f>
        <v>0</v>
      </c>
      <c r="X80">
        <f>Codex_calc!X80</f>
        <v>0</v>
      </c>
      <c r="Y80">
        <f>Codex_calc!Y80</f>
        <v>0</v>
      </c>
      <c r="Z80">
        <f>Codex_calc!Z80</f>
        <v>0</v>
      </c>
      <c r="AA80">
        <f>Codex_calc!AA80</f>
        <v>0</v>
      </c>
      <c r="AB80">
        <f>Codex_calc!AB80</f>
        <v>0</v>
      </c>
      <c r="AC80">
        <f>Codex_calc!AC80</f>
        <v>0</v>
      </c>
      <c r="AD80">
        <f>Codex_calc!AD80</f>
        <v>0</v>
      </c>
      <c r="AE80">
        <f>Codex_calc!AE80</f>
        <v>0</v>
      </c>
      <c r="AF80">
        <f>Codex_calc!AF80</f>
        <v>0</v>
      </c>
      <c r="AG80">
        <f>Codex_calc!AG80</f>
        <v>0</v>
      </c>
      <c r="AH80">
        <f>Codex_calc!AH80</f>
        <v>0</v>
      </c>
      <c r="AI80">
        <f>Codex_calc!AI80</f>
        <v>0</v>
      </c>
      <c r="AJ80">
        <f>Codex_calc!AJ80</f>
        <v>0</v>
      </c>
      <c r="AK80">
        <f>Codex_calc!AK80</f>
        <v>0</v>
      </c>
      <c r="AL80">
        <f>Codex_calc!AL80</f>
        <v>0</v>
      </c>
      <c r="AM80">
        <f>Codex_calc!AM80</f>
        <v>0</v>
      </c>
      <c r="AN80">
        <f>Codex_calc!AN80</f>
        <v>0</v>
      </c>
      <c r="AO80" t="str">
        <f>Codex_calc!AO80</f>
        <v>2019, 2130</v>
      </c>
    </row>
    <row r="81" spans="3:41">
      <c r="C81" t="str">
        <f>Codex_calc!C81</f>
        <v>MINAlRSV1</v>
      </c>
      <c r="D81" t="str">
        <f>Codex_calc!D81</f>
        <v>BNDACT</v>
      </c>
      <c r="F81" s="33">
        <f>Codex_calc!F81</f>
        <v>0</v>
      </c>
      <c r="G81" s="33">
        <f>Codex_calc!G81</f>
        <v>0</v>
      </c>
      <c r="H81" s="34">
        <f>Codex_calc!H81</f>
        <v>30.1272972972973</v>
      </c>
      <c r="I81" s="33">
        <f>Codex_calc!I81</f>
        <v>0</v>
      </c>
      <c r="J81" s="33">
        <f>Codex_calc!J81</f>
        <v>0</v>
      </c>
      <c r="K81" s="33">
        <f>Codex_calc!K81</f>
        <v>0</v>
      </c>
      <c r="L81" s="33">
        <f>Codex_calc!L81</f>
        <v>24.1018378378378</v>
      </c>
      <c r="M81" s="34">
        <f>Codex_calc!M81</f>
        <v>903.818918918919</v>
      </c>
      <c r="N81" s="33">
        <f>Codex_calc!N81</f>
        <v>0</v>
      </c>
      <c r="O81" s="33">
        <f>Codex_calc!O81</f>
        <v>0</v>
      </c>
      <c r="P81" s="33">
        <f>Codex_calc!P81</f>
        <v>0</v>
      </c>
      <c r="Q81" s="33">
        <f>Codex_calc!Q81</f>
        <v>0</v>
      </c>
      <c r="R81" s="33">
        <f>Codex_calc!R81</f>
        <v>0</v>
      </c>
      <c r="S81" s="33">
        <f>Codex_calc!S81</f>
        <v>0</v>
      </c>
      <c r="T81" s="33">
        <f>Codex_calc!T81</f>
        <v>15.0636486486486</v>
      </c>
      <c r="U81" s="33">
        <f>Codex_calc!U81</f>
        <v>84.3564324324324</v>
      </c>
      <c r="V81" s="33">
        <f>Codex_calc!V81</f>
        <v>0</v>
      </c>
      <c r="W81" s="33">
        <f>Codex_calc!W81</f>
        <v>0</v>
      </c>
      <c r="X81" s="33">
        <f>Codex_calc!X81</f>
        <v>0</v>
      </c>
      <c r="Y81" s="33">
        <f>Codex_calc!Y81</f>
        <v>0</v>
      </c>
      <c r="Z81" s="33">
        <f>Codex_calc!Z81</f>
        <v>86.3649189189189</v>
      </c>
      <c r="AA81" s="33">
        <f>Codex_calc!AA81</f>
        <v>79.5360648648649</v>
      </c>
      <c r="AB81" s="33">
        <f>Codex_calc!AB81</f>
        <v>26.1103243243243</v>
      </c>
      <c r="AC81" s="33">
        <f>Codex_calc!AC81</f>
        <v>0</v>
      </c>
      <c r="AD81" s="33">
        <f>Codex_calc!AD81</f>
        <v>162.687405405405</v>
      </c>
      <c r="AE81" s="33">
        <f>Codex_calc!AE81</f>
        <v>78.330972972973</v>
      </c>
      <c r="AF81" s="33">
        <f>Codex_calc!AF81</f>
        <v>0</v>
      </c>
      <c r="AG81" s="33">
        <f>Codex_calc!AG81</f>
        <v>0</v>
      </c>
      <c r="AH81" s="33">
        <f>Codex_calc!AH81</f>
        <v>0</v>
      </c>
      <c r="AI81" s="33">
        <f>Codex_calc!AI81</f>
        <v>0</v>
      </c>
      <c r="AJ81" s="33">
        <f>Codex_calc!AJ81</f>
        <v>0</v>
      </c>
      <c r="AK81" s="33">
        <f>Codex_calc!AK81</f>
        <v>0</v>
      </c>
      <c r="AL81" s="33">
        <f>Codex_calc!AL81</f>
        <v>0</v>
      </c>
      <c r="AM81" s="33">
        <f>Codex_calc!AM81</f>
        <v>0</v>
      </c>
      <c r="AN81" s="33">
        <f>Codex_calc!AN81</f>
        <v>0</v>
      </c>
      <c r="AO81" t="str">
        <f>Codex_calc!AO81</f>
        <v>2019, 2130</v>
      </c>
    </row>
    <row r="82" s="30" customFormat="1" spans="3:41">
      <c r="C82" s="30" t="str">
        <f>Codex_calc!C82</f>
        <v>MINAlRSV1</v>
      </c>
      <c r="D82" s="30" t="str">
        <f>Codex_calc!D82</f>
        <v>CUM</v>
      </c>
      <c r="AO82" s="30" t="str">
        <f>Codex_calc!AO82</f>
        <v>2019, 2130</v>
      </c>
    </row>
    <row r="83" spans="3:41">
      <c r="C83" t="str">
        <f>Codex_calc!C83</f>
        <v>MINAlRSV1</v>
      </c>
      <c r="D83" t="str">
        <f>Codex_calc!D83</f>
        <v>COST</v>
      </c>
      <c r="E83" t="str">
        <f>Codex_calc!E83</f>
        <v>m_aluminum</v>
      </c>
      <c r="F83">
        <f>Codex_calc!F83</f>
        <v>3.968316</v>
      </c>
      <c r="G83">
        <f>Codex_calc!G83</f>
        <v>3.968316</v>
      </c>
      <c r="H83" s="30">
        <f>Codex_calc!H83</f>
        <v>3.968316</v>
      </c>
      <c r="I83">
        <f>Codex_calc!I83</f>
        <v>3.968316</v>
      </c>
      <c r="J83">
        <f>Codex_calc!J83</f>
        <v>3.968316</v>
      </c>
      <c r="K83">
        <f>Codex_calc!K83</f>
        <v>3.968316</v>
      </c>
      <c r="L83">
        <f>Codex_calc!L83</f>
        <v>3.968316</v>
      </c>
      <c r="M83" s="30">
        <f>Codex_calc!M83</f>
        <v>3.968316</v>
      </c>
      <c r="N83">
        <f>Codex_calc!N83</f>
        <v>3.968316</v>
      </c>
      <c r="O83">
        <f>Codex_calc!O83</f>
        <v>3.968316</v>
      </c>
      <c r="P83">
        <f>Codex_calc!P83</f>
        <v>3.968316</v>
      </c>
      <c r="Q83">
        <f>Codex_calc!Q83</f>
        <v>3.968316</v>
      </c>
      <c r="R83">
        <f>Codex_calc!R83</f>
        <v>3.968316</v>
      </c>
      <c r="S83">
        <f>Codex_calc!S83</f>
        <v>3.968316</v>
      </c>
      <c r="T83">
        <f>Codex_calc!T83</f>
        <v>3.968316</v>
      </c>
      <c r="U83">
        <f>Codex_calc!U83</f>
        <v>3.968316</v>
      </c>
      <c r="V83">
        <f>Codex_calc!V83</f>
        <v>3.968316</v>
      </c>
      <c r="W83">
        <f>Codex_calc!W83</f>
        <v>3.968316</v>
      </c>
      <c r="X83">
        <f>Codex_calc!X83</f>
        <v>3.968316</v>
      </c>
      <c r="Y83">
        <f>Codex_calc!Y83</f>
        <v>3.968316</v>
      </c>
      <c r="Z83">
        <f>Codex_calc!Z83</f>
        <v>3.968316</v>
      </c>
      <c r="AA83">
        <f>Codex_calc!AA83</f>
        <v>3.968316</v>
      </c>
      <c r="AB83">
        <f>Codex_calc!AB83</f>
        <v>3.968316</v>
      </c>
      <c r="AC83">
        <f>Codex_calc!AC83</f>
        <v>3.968316</v>
      </c>
      <c r="AD83">
        <f>Codex_calc!AD83</f>
        <v>3.968316</v>
      </c>
      <c r="AE83">
        <f>Codex_calc!AE83</f>
        <v>3.968316</v>
      </c>
      <c r="AF83">
        <f>Codex_calc!AF83</f>
        <v>3.968316</v>
      </c>
      <c r="AG83">
        <f>Codex_calc!AG83</f>
        <v>3.968316</v>
      </c>
      <c r="AH83">
        <f>Codex_calc!AH83</f>
        <v>3.968316</v>
      </c>
      <c r="AI83">
        <f>Codex_calc!AI83</f>
        <v>3.968316</v>
      </c>
      <c r="AJ83">
        <f>Codex_calc!AJ83</f>
        <v>3.968316</v>
      </c>
      <c r="AK83">
        <f>Codex_calc!AK83</f>
        <v>3.968316</v>
      </c>
      <c r="AL83">
        <f>Codex_calc!AL83</f>
        <v>3.968316</v>
      </c>
      <c r="AM83">
        <f>Codex_calc!AM83</f>
        <v>3.968316</v>
      </c>
      <c r="AN83">
        <f>Codex_calc!AN83</f>
        <v>3.968316</v>
      </c>
      <c r="AO83" t="str">
        <f>Codex_calc!AO83</f>
        <v>2019, 2130</v>
      </c>
    </row>
    <row r="84" spans="3:41">
      <c r="C84" t="str">
        <f>Codex_calc!C84</f>
        <v>MINAlRSV2</v>
      </c>
      <c r="D84" t="str">
        <f>Codex_calc!D84</f>
        <v>BNDACT</v>
      </c>
      <c r="F84" s="33">
        <f>Codex_calc!F84</f>
        <v>0</v>
      </c>
      <c r="G84" s="33">
        <f>Codex_calc!G84</f>
        <v>0</v>
      </c>
      <c r="H84" s="34">
        <f>Codex_calc!H84</f>
        <v>60.2545945945946</v>
      </c>
      <c r="I84" s="33">
        <f>Codex_calc!I84</f>
        <v>0</v>
      </c>
      <c r="J84" s="33">
        <f>Codex_calc!J84</f>
        <v>0</v>
      </c>
      <c r="K84" s="33">
        <f>Codex_calc!K84</f>
        <v>0</v>
      </c>
      <c r="L84" s="33">
        <f>Codex_calc!L84</f>
        <v>48.2036756756757</v>
      </c>
      <c r="M84" s="34">
        <f>Codex_calc!M84</f>
        <v>1807.63783783784</v>
      </c>
      <c r="N84" s="33">
        <f>Codex_calc!N84</f>
        <v>0</v>
      </c>
      <c r="O84" s="33">
        <f>Codex_calc!O84</f>
        <v>0</v>
      </c>
      <c r="P84" s="33">
        <f>Codex_calc!P84</f>
        <v>0</v>
      </c>
      <c r="Q84" s="33">
        <f>Codex_calc!Q84</f>
        <v>0</v>
      </c>
      <c r="R84" s="33">
        <f>Codex_calc!R84</f>
        <v>0</v>
      </c>
      <c r="S84" s="33">
        <f>Codex_calc!S84</f>
        <v>0</v>
      </c>
      <c r="T84" s="33">
        <f>Codex_calc!T84</f>
        <v>30.1272972972973</v>
      </c>
      <c r="U84" s="33">
        <f>Codex_calc!U84</f>
        <v>168.712864864865</v>
      </c>
      <c r="V84" s="33">
        <f>Codex_calc!V84</f>
        <v>0</v>
      </c>
      <c r="W84" s="33">
        <f>Codex_calc!W84</f>
        <v>0</v>
      </c>
      <c r="X84" s="33">
        <f>Codex_calc!X84</f>
        <v>0</v>
      </c>
      <c r="Y84" s="33">
        <f>Codex_calc!Y84</f>
        <v>0</v>
      </c>
      <c r="Z84" s="33">
        <f>Codex_calc!Z84</f>
        <v>172.729837837838</v>
      </c>
      <c r="AA84" s="33">
        <f>Codex_calc!AA84</f>
        <v>159.07212972973</v>
      </c>
      <c r="AB84" s="33">
        <f>Codex_calc!AB84</f>
        <v>52.2206486486486</v>
      </c>
      <c r="AC84" s="33">
        <f>Codex_calc!AC84</f>
        <v>0</v>
      </c>
      <c r="AD84" s="33">
        <f>Codex_calc!AD84</f>
        <v>325.374810810811</v>
      </c>
      <c r="AE84" s="33">
        <f>Codex_calc!AE84</f>
        <v>156.661945945946</v>
      </c>
      <c r="AF84" s="33">
        <f>Codex_calc!AF84</f>
        <v>0</v>
      </c>
      <c r="AG84" s="33">
        <f>Codex_calc!AG84</f>
        <v>0</v>
      </c>
      <c r="AH84" s="33">
        <f>Codex_calc!AH84</f>
        <v>0</v>
      </c>
      <c r="AI84" s="33">
        <f>Codex_calc!AI84</f>
        <v>0</v>
      </c>
      <c r="AJ84" s="33">
        <f>Codex_calc!AJ84</f>
        <v>0</v>
      </c>
      <c r="AK84" s="33">
        <f>Codex_calc!AK84</f>
        <v>0</v>
      </c>
      <c r="AL84" s="33">
        <f>Codex_calc!AL84</f>
        <v>0</v>
      </c>
      <c r="AM84" s="33">
        <f>Codex_calc!AM84</f>
        <v>0</v>
      </c>
      <c r="AN84" s="33">
        <f>Codex_calc!AN84</f>
        <v>0</v>
      </c>
      <c r="AO84" t="str">
        <f>Codex_calc!AO84</f>
        <v>2019, 2130</v>
      </c>
    </row>
    <row r="85" spans="3:41">
      <c r="C85" t="str">
        <f>Codex_calc!C85</f>
        <v>MINAlRSV2</v>
      </c>
      <c r="D85" t="str">
        <f>Codex_calc!D85</f>
        <v>CUM</v>
      </c>
      <c r="E85"/>
      <c r="F85"/>
      <c r="G85"/>
      <c r="H85" s="30"/>
      <c r="K85"/>
      <c r="L85"/>
      <c r="M85" s="30"/>
      <c r="P85"/>
      <c r="R85"/>
      <c r="T85"/>
      <c r="U85"/>
      <c r="Y85"/>
      <c r="Z85"/>
      <c r="AA85"/>
      <c r="AB85"/>
      <c r="AC85"/>
      <c r="AD85"/>
      <c r="AE85"/>
      <c r="AF85"/>
      <c r="AG85"/>
      <c r="AH85"/>
      <c r="AI85"/>
      <c r="AK85"/>
      <c r="AM85"/>
      <c r="AO85" t="str">
        <f>Codex_calc!AO85</f>
        <v>2019, 2130</v>
      </c>
    </row>
    <row r="86" spans="3:41">
      <c r="C86" t="str">
        <f>Codex_calc!C86</f>
        <v>MINAlRSV2</v>
      </c>
      <c r="D86" t="str">
        <f>Codex_calc!D86</f>
        <v>COST</v>
      </c>
      <c r="E86" t="str">
        <f>Codex_calc!E86</f>
        <v>m_aluminum</v>
      </c>
      <c r="F86">
        <f>Codex_calc!F86</f>
        <v>11.904948</v>
      </c>
      <c r="G86">
        <f>Codex_calc!G86</f>
        <v>11.904948</v>
      </c>
      <c r="H86" s="30">
        <f>Codex_calc!H86</f>
        <v>11.904948</v>
      </c>
      <c r="I86">
        <f>Codex_calc!I86</f>
        <v>11.904948</v>
      </c>
      <c r="J86">
        <f>Codex_calc!J86</f>
        <v>11.904948</v>
      </c>
      <c r="K86">
        <f>Codex_calc!K86</f>
        <v>11.904948</v>
      </c>
      <c r="L86">
        <f>Codex_calc!L86</f>
        <v>11.904948</v>
      </c>
      <c r="M86" s="30">
        <f>Codex_calc!M86</f>
        <v>11.904948</v>
      </c>
      <c r="N86">
        <f>Codex_calc!N86</f>
        <v>11.904948</v>
      </c>
      <c r="O86">
        <f>Codex_calc!O86</f>
        <v>11.904948</v>
      </c>
      <c r="P86">
        <f>Codex_calc!P86</f>
        <v>11.904948</v>
      </c>
      <c r="Q86">
        <f>Codex_calc!Q86</f>
        <v>11.904948</v>
      </c>
      <c r="R86">
        <f>Codex_calc!R86</f>
        <v>11.904948</v>
      </c>
      <c r="S86">
        <f>Codex_calc!S86</f>
        <v>11.904948</v>
      </c>
      <c r="T86">
        <f>Codex_calc!T86</f>
        <v>11.904948</v>
      </c>
      <c r="U86">
        <f>Codex_calc!U86</f>
        <v>11.904948</v>
      </c>
      <c r="V86">
        <f>Codex_calc!V86</f>
        <v>11.904948</v>
      </c>
      <c r="W86">
        <f>Codex_calc!W86</f>
        <v>11.904948</v>
      </c>
      <c r="X86">
        <f>Codex_calc!X86</f>
        <v>11.904948</v>
      </c>
      <c r="Y86">
        <f>Codex_calc!Y86</f>
        <v>11.904948</v>
      </c>
      <c r="Z86">
        <f>Codex_calc!Z86</f>
        <v>11.904948</v>
      </c>
      <c r="AA86">
        <f>Codex_calc!AA86</f>
        <v>11.904948</v>
      </c>
      <c r="AB86">
        <f>Codex_calc!AB86</f>
        <v>11.904948</v>
      </c>
      <c r="AC86">
        <f>Codex_calc!AC86</f>
        <v>11.904948</v>
      </c>
      <c r="AD86">
        <f>Codex_calc!AD86</f>
        <v>11.904948</v>
      </c>
      <c r="AE86">
        <f>Codex_calc!AE86</f>
        <v>11.904948</v>
      </c>
      <c r="AF86">
        <f>Codex_calc!AF86</f>
        <v>11.904948</v>
      </c>
      <c r="AG86">
        <f>Codex_calc!AG86</f>
        <v>11.904948</v>
      </c>
      <c r="AH86">
        <f>Codex_calc!AH86</f>
        <v>11.904948</v>
      </c>
      <c r="AI86">
        <f>Codex_calc!AI86</f>
        <v>11.904948</v>
      </c>
      <c r="AJ86">
        <f>Codex_calc!AJ86</f>
        <v>11.904948</v>
      </c>
      <c r="AK86">
        <f>Codex_calc!AK86</f>
        <v>11.904948</v>
      </c>
      <c r="AL86">
        <f>Codex_calc!AL86</f>
        <v>11.904948</v>
      </c>
      <c r="AM86">
        <f>Codex_calc!AM86</f>
        <v>11.904948</v>
      </c>
      <c r="AN86">
        <f>Codex_calc!AN86</f>
        <v>11.904948</v>
      </c>
      <c r="AO86" t="str">
        <f>Codex_calc!AO86</f>
        <v>2019, 2130</v>
      </c>
    </row>
    <row r="87" spans="3:41">
      <c r="C87" t="str">
        <f>Codex_calc!C87</f>
        <v>MINAlRSV3</v>
      </c>
      <c r="D87" t="str">
        <f>Codex_calc!D87</f>
        <v>BNDACT</v>
      </c>
      <c r="E87"/>
      <c r="F87"/>
      <c r="G87"/>
      <c r="H87" s="30"/>
      <c r="K87"/>
      <c r="L87"/>
      <c r="M87" s="30"/>
      <c r="P87"/>
      <c r="R87"/>
      <c r="T87"/>
      <c r="U87"/>
      <c r="Y87"/>
      <c r="Z87"/>
      <c r="AA87"/>
      <c r="AB87"/>
      <c r="AC87"/>
      <c r="AD87"/>
      <c r="AE87"/>
      <c r="AF87"/>
      <c r="AG87"/>
      <c r="AH87"/>
      <c r="AI87"/>
      <c r="AK87"/>
      <c r="AM87"/>
      <c r="AO87" t="str">
        <f>Codex_calc!AO87</f>
        <v>2019, 2130</v>
      </c>
    </row>
    <row r="88" spans="3:41">
      <c r="C88" t="str">
        <f>Codex_calc!C88</f>
        <v>MINAlRSV3</v>
      </c>
      <c r="D88" t="str">
        <f>Codex_calc!D88</f>
        <v>CUM</v>
      </c>
      <c r="E88"/>
      <c r="F88"/>
      <c r="G88"/>
      <c r="H88" s="30"/>
      <c r="K88"/>
      <c r="L88"/>
      <c r="M88" s="30"/>
      <c r="P88"/>
      <c r="R88"/>
      <c r="T88"/>
      <c r="U88"/>
      <c r="Y88"/>
      <c r="Z88"/>
      <c r="AA88"/>
      <c r="AB88"/>
      <c r="AC88"/>
      <c r="AD88"/>
      <c r="AE88"/>
      <c r="AF88"/>
      <c r="AG88"/>
      <c r="AH88"/>
      <c r="AI88"/>
      <c r="AK88"/>
      <c r="AM88"/>
      <c r="AO88" t="str">
        <f>Codex_calc!AO88</f>
        <v>2019, 2130</v>
      </c>
    </row>
    <row r="89" spans="3:41">
      <c r="C89" t="str">
        <f>Codex_calc!C89</f>
        <v>MINAlRSV3</v>
      </c>
      <c r="D89" t="str">
        <f>Codex_calc!D89</f>
        <v>COST</v>
      </c>
      <c r="E89" t="str">
        <f>Codex_calc!E89</f>
        <v>m_aluminum</v>
      </c>
      <c r="F89">
        <f>Codex_calc!F89</f>
        <v>13.0954428</v>
      </c>
      <c r="G89">
        <f>Codex_calc!G89</f>
        <v>13.0954428</v>
      </c>
      <c r="H89" s="30">
        <f>Codex_calc!H89</f>
        <v>13.0954428</v>
      </c>
      <c r="I89">
        <f>Codex_calc!I89</f>
        <v>13.0954428</v>
      </c>
      <c r="J89">
        <f>Codex_calc!J89</f>
        <v>13.0954428</v>
      </c>
      <c r="K89">
        <f>Codex_calc!K89</f>
        <v>13.0954428</v>
      </c>
      <c r="L89">
        <f>Codex_calc!L89</f>
        <v>13.0954428</v>
      </c>
      <c r="M89" s="30">
        <f>Codex_calc!M89</f>
        <v>13.0954428</v>
      </c>
      <c r="N89">
        <f>Codex_calc!N89</f>
        <v>13.0954428</v>
      </c>
      <c r="O89">
        <f>Codex_calc!O89</f>
        <v>13.0954428</v>
      </c>
      <c r="P89">
        <f>Codex_calc!P89</f>
        <v>13.0954428</v>
      </c>
      <c r="Q89">
        <f>Codex_calc!Q89</f>
        <v>13.0954428</v>
      </c>
      <c r="R89">
        <f>Codex_calc!R89</f>
        <v>13.0954428</v>
      </c>
      <c r="S89">
        <f>Codex_calc!S89</f>
        <v>13.0954428</v>
      </c>
      <c r="T89">
        <f>Codex_calc!T89</f>
        <v>13.0954428</v>
      </c>
      <c r="U89">
        <f>Codex_calc!U89</f>
        <v>13.0954428</v>
      </c>
      <c r="V89">
        <f>Codex_calc!V89</f>
        <v>13.0954428</v>
      </c>
      <c r="W89">
        <f>Codex_calc!W89</f>
        <v>13.0954428</v>
      </c>
      <c r="X89">
        <f>Codex_calc!X89</f>
        <v>13.0954428</v>
      </c>
      <c r="Y89">
        <f>Codex_calc!Y89</f>
        <v>13.0954428</v>
      </c>
      <c r="Z89">
        <f>Codex_calc!Z89</f>
        <v>13.0954428</v>
      </c>
      <c r="AA89">
        <f>Codex_calc!AA89</f>
        <v>13.0954428</v>
      </c>
      <c r="AB89">
        <f>Codex_calc!AB89</f>
        <v>13.0954428</v>
      </c>
      <c r="AC89">
        <f>Codex_calc!AC89</f>
        <v>13.0954428</v>
      </c>
      <c r="AD89">
        <f>Codex_calc!AD89</f>
        <v>13.0954428</v>
      </c>
      <c r="AE89">
        <f>Codex_calc!AE89</f>
        <v>13.0954428</v>
      </c>
      <c r="AF89">
        <f>Codex_calc!AF89</f>
        <v>13.0954428</v>
      </c>
      <c r="AG89">
        <f>Codex_calc!AG89</f>
        <v>13.0954428</v>
      </c>
      <c r="AH89">
        <f>Codex_calc!AH89</f>
        <v>13.0954428</v>
      </c>
      <c r="AI89">
        <f>Codex_calc!AI89</f>
        <v>13.0954428</v>
      </c>
      <c r="AJ89">
        <f>Codex_calc!AJ89</f>
        <v>13.0954428</v>
      </c>
      <c r="AK89">
        <f>Codex_calc!AK89</f>
        <v>13.0954428</v>
      </c>
      <c r="AL89">
        <f>Codex_calc!AL89</f>
        <v>13.0954428</v>
      </c>
      <c r="AM89">
        <f>Codex_calc!AM89</f>
        <v>13.0954428</v>
      </c>
      <c r="AN89">
        <f>Codex_calc!AN89</f>
        <v>13.0954428</v>
      </c>
      <c r="AO89" t="str">
        <f>Codex_calc!AO89</f>
        <v>2019, 2130</v>
      </c>
    </row>
    <row r="90" spans="3:41">
      <c r="C90" t="s">
        <v>63</v>
      </c>
      <c r="D90">
        <f>Codex_calc!D90</f>
        <v>0</v>
      </c>
      <c r="E90">
        <f>Codex_calc!E90</f>
        <v>0</v>
      </c>
      <c r="F90">
        <f>Codex_calc!F90</f>
        <v>0</v>
      </c>
      <c r="G90">
        <f>Codex_calc!G90</f>
        <v>0</v>
      </c>
      <c r="H90" s="30">
        <f>Codex_calc!H90</f>
        <v>0</v>
      </c>
      <c r="I90">
        <f>Codex_calc!I90</f>
        <v>0</v>
      </c>
      <c r="J90">
        <f>Codex_calc!J90</f>
        <v>0</v>
      </c>
      <c r="K90">
        <f>Codex_calc!K90</f>
        <v>0</v>
      </c>
      <c r="L90">
        <f>Codex_calc!L90</f>
        <v>0</v>
      </c>
      <c r="M90" s="30">
        <f>Codex_calc!M90</f>
        <v>0</v>
      </c>
      <c r="N90">
        <f>Codex_calc!N90</f>
        <v>0</v>
      </c>
      <c r="O90">
        <f>Codex_calc!O90</f>
        <v>0</v>
      </c>
      <c r="P90">
        <f>Codex_calc!P90</f>
        <v>0</v>
      </c>
      <c r="Q90">
        <f>Codex_calc!Q90</f>
        <v>0</v>
      </c>
      <c r="R90">
        <f>Codex_calc!R90</f>
        <v>0</v>
      </c>
      <c r="S90">
        <f>Codex_calc!S90</f>
        <v>0</v>
      </c>
      <c r="T90">
        <f>Codex_calc!T90</f>
        <v>0</v>
      </c>
      <c r="U90">
        <f>Codex_calc!U90</f>
        <v>0</v>
      </c>
      <c r="V90">
        <f>Codex_calc!V90</f>
        <v>0</v>
      </c>
      <c r="W90">
        <f>Codex_calc!W90</f>
        <v>0</v>
      </c>
      <c r="X90">
        <f>Codex_calc!X90</f>
        <v>0</v>
      </c>
      <c r="Y90">
        <f>Codex_calc!Y90</f>
        <v>0</v>
      </c>
      <c r="Z90">
        <f>Codex_calc!Z90</f>
        <v>0</v>
      </c>
      <c r="AA90">
        <f>Codex_calc!AA90</f>
        <v>0</v>
      </c>
      <c r="AB90">
        <f>Codex_calc!AB90</f>
        <v>0</v>
      </c>
      <c r="AC90">
        <f>Codex_calc!AC90</f>
        <v>0</v>
      </c>
      <c r="AD90">
        <f>Codex_calc!AD90</f>
        <v>0</v>
      </c>
      <c r="AE90">
        <f>Codex_calc!AE90</f>
        <v>0</v>
      </c>
      <c r="AF90">
        <f>Codex_calc!AF90</f>
        <v>0</v>
      </c>
      <c r="AG90">
        <f>Codex_calc!AG90</f>
        <v>0</v>
      </c>
      <c r="AH90">
        <f>Codex_calc!AH90</f>
        <v>0</v>
      </c>
      <c r="AI90">
        <f>Codex_calc!AI90</f>
        <v>0</v>
      </c>
      <c r="AJ90">
        <f>Codex_calc!AJ90</f>
        <v>0</v>
      </c>
      <c r="AK90">
        <f>Codex_calc!AK90</f>
        <v>0</v>
      </c>
      <c r="AL90">
        <f>Codex_calc!AL90</f>
        <v>0</v>
      </c>
      <c r="AM90">
        <f>Codex_calc!AM90</f>
        <v>0</v>
      </c>
      <c r="AN90">
        <f>Codex_calc!AN90</f>
        <v>0</v>
      </c>
      <c r="AO90" t="str">
        <f>Codex_calc!AO90</f>
        <v>2019, 2130</v>
      </c>
    </row>
    <row r="91" spans="3:41">
      <c r="C91" t="str">
        <f>Codex_calc!C91</f>
        <v>MINCuRSV1</v>
      </c>
      <c r="D91" t="str">
        <f>Codex_calc!D91</f>
        <v>BNDACT</v>
      </c>
      <c r="E91"/>
      <c r="F91" s="33">
        <f>Codex_calc!F91</f>
        <v>0</v>
      </c>
      <c r="G91" s="33">
        <f>Codex_calc!G91</f>
        <v>102.6</v>
      </c>
      <c r="H91" s="34">
        <f>Codex_calc!H91</f>
        <v>18.0913043478261</v>
      </c>
      <c r="I91" s="33">
        <f>Codex_calc!I91</f>
        <v>0</v>
      </c>
      <c r="J91" s="33">
        <f>Codex_calc!J91</f>
        <v>0</v>
      </c>
      <c r="K91" s="33">
        <f>Codex_calc!K91</f>
        <v>0</v>
      </c>
      <c r="L91" s="33">
        <f>Codex_calc!L91</f>
        <v>0</v>
      </c>
      <c r="M91" s="34">
        <f>Codex_calc!M91</f>
        <v>44.6086956521739</v>
      </c>
      <c r="N91" s="33">
        <f>Codex_calc!N91</f>
        <v>0</v>
      </c>
      <c r="O91" s="33">
        <f>Codex_calc!O91</f>
        <v>0</v>
      </c>
      <c r="P91" s="33">
        <f>Codex_calc!P91</f>
        <v>0</v>
      </c>
      <c r="Q91" s="33">
        <f>Codex_calc!Q91</f>
        <v>0</v>
      </c>
      <c r="R91" s="33">
        <f>Codex_calc!R91</f>
        <v>0</v>
      </c>
      <c r="S91" s="33">
        <f>Codex_calc!S91</f>
        <v>0</v>
      </c>
      <c r="T91" s="33">
        <f>Codex_calc!T91</f>
        <v>0</v>
      </c>
      <c r="U91" s="33">
        <f>Codex_calc!U91</f>
        <v>0.57</v>
      </c>
      <c r="V91" s="33">
        <f>Codex_calc!V91</f>
        <v>0</v>
      </c>
      <c r="W91" s="33">
        <f>Codex_calc!W91</f>
        <v>0</v>
      </c>
      <c r="X91" s="33">
        <f>Codex_calc!X91</f>
        <v>0</v>
      </c>
      <c r="Y91" s="33">
        <f>Codex_calc!Y91</f>
        <v>198.260869565217</v>
      </c>
      <c r="Z91" s="33">
        <f>Codex_calc!Z91</f>
        <v>0</v>
      </c>
      <c r="AA91" s="33">
        <f>Codex_calc!AA91</f>
        <v>54.2739130434783</v>
      </c>
      <c r="AB91" s="33">
        <f>Codex_calc!AB91</f>
        <v>0</v>
      </c>
      <c r="AC91" s="33">
        <f>Codex_calc!AC91</f>
        <v>10.1608695652174</v>
      </c>
      <c r="AD91" s="33">
        <f>Codex_calc!AD91</f>
        <v>109.539130434783</v>
      </c>
      <c r="AE91" s="33">
        <f>Codex_calc!AE91</f>
        <v>32.2173913043478</v>
      </c>
      <c r="AF91" s="33">
        <f>Codex_calc!AF91</f>
        <v>0</v>
      </c>
      <c r="AG91" s="33">
        <f>Codex_calc!AG91</f>
        <v>0</v>
      </c>
      <c r="AH91" s="33">
        <f>Codex_calc!AH91</f>
        <v>0</v>
      </c>
      <c r="AI91" s="33">
        <f>Codex_calc!AI91</f>
        <v>0</v>
      </c>
      <c r="AJ91" s="33">
        <f>Codex_calc!AJ91</f>
        <v>0</v>
      </c>
      <c r="AK91" s="33">
        <f>Codex_calc!AK91</f>
        <v>0</v>
      </c>
      <c r="AL91" s="33">
        <f>Codex_calc!AL91</f>
        <v>0</v>
      </c>
      <c r="AM91" s="33">
        <f>Codex_calc!AM91</f>
        <v>0</v>
      </c>
      <c r="AN91" s="33">
        <f>Codex_calc!AN91</f>
        <v>0</v>
      </c>
      <c r="AO91" t="str">
        <f>Codex_calc!AO91</f>
        <v>2019, 2130</v>
      </c>
    </row>
    <row r="92" s="30" customFormat="1" spans="3:41">
      <c r="C92" s="30" t="str">
        <f>Codex_calc!C92</f>
        <v>MINCuRSV1</v>
      </c>
      <c r="D92" s="30" t="str">
        <f>Codex_calc!D92</f>
        <v>CUM</v>
      </c>
      <c r="AO92" s="30" t="str">
        <f>Codex_calc!AO92</f>
        <v>2019, 2130</v>
      </c>
    </row>
    <row r="93" spans="3:41">
      <c r="C93" t="str">
        <f>Codex_calc!C93</f>
        <v>MINCuRSV1</v>
      </c>
      <c r="D93" t="str">
        <f>Codex_calc!D93</f>
        <v>COST</v>
      </c>
      <c r="E93" t="str">
        <f>Codex_calc!E93</f>
        <v>m_copper</v>
      </c>
      <c r="F93">
        <f>Codex_calc!F93</f>
        <v>9.700328</v>
      </c>
      <c r="G93">
        <f>Codex_calc!G93</f>
        <v>9.700328</v>
      </c>
      <c r="H93" s="30">
        <f>Codex_calc!H93</f>
        <v>9.700328</v>
      </c>
      <c r="I93">
        <f>Codex_calc!I93</f>
        <v>9.700328</v>
      </c>
      <c r="J93">
        <f>Codex_calc!J93</f>
        <v>9.700328</v>
      </c>
      <c r="K93">
        <f>Codex_calc!K93</f>
        <v>9.700328</v>
      </c>
      <c r="L93">
        <f>Codex_calc!L93</f>
        <v>9.700328</v>
      </c>
      <c r="M93" s="30">
        <f>Codex_calc!M93</f>
        <v>9.700328</v>
      </c>
      <c r="N93">
        <f>Codex_calc!N93</f>
        <v>9.700328</v>
      </c>
      <c r="O93">
        <f>Codex_calc!O93</f>
        <v>9.700328</v>
      </c>
      <c r="P93">
        <f>Codex_calc!P93</f>
        <v>9.700328</v>
      </c>
      <c r="Q93">
        <f>Codex_calc!Q93</f>
        <v>9.700328</v>
      </c>
      <c r="R93">
        <f>Codex_calc!R93</f>
        <v>9.700328</v>
      </c>
      <c r="S93">
        <f>Codex_calc!S93</f>
        <v>9.700328</v>
      </c>
      <c r="T93">
        <f>Codex_calc!T93</f>
        <v>9.700328</v>
      </c>
      <c r="U93">
        <f>Codex_calc!U93</f>
        <v>9.700328</v>
      </c>
      <c r="V93">
        <f>Codex_calc!V93</f>
        <v>9.700328</v>
      </c>
      <c r="W93">
        <f>Codex_calc!W93</f>
        <v>9.700328</v>
      </c>
      <c r="X93">
        <f>Codex_calc!X93</f>
        <v>9.700328</v>
      </c>
      <c r="Y93">
        <f>Codex_calc!Y93</f>
        <v>9.700328</v>
      </c>
      <c r="Z93">
        <f>Codex_calc!Z93</f>
        <v>9.700328</v>
      </c>
      <c r="AA93">
        <f>Codex_calc!AA93</f>
        <v>9.700328</v>
      </c>
      <c r="AB93">
        <f>Codex_calc!AB93</f>
        <v>9.700328</v>
      </c>
      <c r="AC93">
        <f>Codex_calc!AC93</f>
        <v>9.700328</v>
      </c>
      <c r="AD93">
        <f>Codex_calc!AD93</f>
        <v>9.700328</v>
      </c>
      <c r="AE93">
        <f>Codex_calc!AE93</f>
        <v>9.700328</v>
      </c>
      <c r="AF93">
        <f>Codex_calc!AF93</f>
        <v>9.700328</v>
      </c>
      <c r="AG93">
        <f>Codex_calc!AG93</f>
        <v>9.700328</v>
      </c>
      <c r="AH93">
        <f>Codex_calc!AH93</f>
        <v>9.700328</v>
      </c>
      <c r="AI93">
        <f>Codex_calc!AI93</f>
        <v>9.700328</v>
      </c>
      <c r="AJ93">
        <f>Codex_calc!AJ93</f>
        <v>9.700328</v>
      </c>
      <c r="AK93">
        <f>Codex_calc!AK93</f>
        <v>9.700328</v>
      </c>
      <c r="AL93">
        <f>Codex_calc!AL93</f>
        <v>9.700328</v>
      </c>
      <c r="AM93">
        <f>Codex_calc!AM93</f>
        <v>9.700328</v>
      </c>
      <c r="AN93">
        <f>Codex_calc!AN93</f>
        <v>9.700328</v>
      </c>
      <c r="AO93" t="str">
        <f>Codex_calc!AO93</f>
        <v>2019, 2130</v>
      </c>
    </row>
    <row r="94" spans="3:41">
      <c r="C94" t="str">
        <f>Codex_calc!C94</f>
        <v>MINCuRSV2</v>
      </c>
      <c r="D94" t="str">
        <f>Codex_calc!D94</f>
        <v>BNDACT</v>
      </c>
      <c r="E94"/>
      <c r="F94" s="33">
        <f>Codex_calc!F94</f>
        <v>0</v>
      </c>
      <c r="G94" s="33">
        <f>Codex_calc!G94</f>
        <v>205.2</v>
      </c>
      <c r="H94" s="34">
        <f>Codex_calc!H94</f>
        <v>36.1826086956522</v>
      </c>
      <c r="I94" s="33">
        <f>Codex_calc!I94</f>
        <v>0</v>
      </c>
      <c r="J94" s="33">
        <f>Codex_calc!J94</f>
        <v>0</v>
      </c>
      <c r="K94" s="33">
        <f>Codex_calc!K94</f>
        <v>0</v>
      </c>
      <c r="L94" s="33">
        <f>Codex_calc!L94</f>
        <v>0</v>
      </c>
      <c r="M94" s="34">
        <f>Codex_calc!M94</f>
        <v>89.2173913043478</v>
      </c>
      <c r="N94" s="33">
        <f>Codex_calc!N94</f>
        <v>0</v>
      </c>
      <c r="O94" s="33">
        <f>Codex_calc!O94</f>
        <v>0</v>
      </c>
      <c r="P94" s="33">
        <f>Codex_calc!P94</f>
        <v>0</v>
      </c>
      <c r="Q94" s="33">
        <f>Codex_calc!Q94</f>
        <v>0</v>
      </c>
      <c r="R94" s="33">
        <f>Codex_calc!R94</f>
        <v>0</v>
      </c>
      <c r="S94" s="33">
        <f>Codex_calc!S94</f>
        <v>0</v>
      </c>
      <c r="T94" s="33">
        <f>Codex_calc!T94</f>
        <v>0</v>
      </c>
      <c r="U94" s="33">
        <f>Codex_calc!U94</f>
        <v>1.14</v>
      </c>
      <c r="V94" s="33">
        <f>Codex_calc!V94</f>
        <v>0</v>
      </c>
      <c r="W94" s="33">
        <f>Codex_calc!W94</f>
        <v>0</v>
      </c>
      <c r="X94" s="33">
        <f>Codex_calc!X94</f>
        <v>0</v>
      </c>
      <c r="Y94" s="33">
        <f>Codex_calc!Y94</f>
        <v>396.521739130435</v>
      </c>
      <c r="Z94" s="33">
        <f>Codex_calc!Z94</f>
        <v>0</v>
      </c>
      <c r="AA94" s="33">
        <f>Codex_calc!AA94</f>
        <v>108.547826086957</v>
      </c>
      <c r="AB94" s="33">
        <f>Codex_calc!AB94</f>
        <v>0</v>
      </c>
      <c r="AC94" s="33">
        <f>Codex_calc!AC94</f>
        <v>20.3217391304348</v>
      </c>
      <c r="AD94" s="33">
        <f>Codex_calc!AD94</f>
        <v>219.078260869565</v>
      </c>
      <c r="AE94" s="33">
        <f>Codex_calc!AE94</f>
        <v>64.4347826086956</v>
      </c>
      <c r="AF94" s="33">
        <f>Codex_calc!AF94</f>
        <v>0</v>
      </c>
      <c r="AG94" s="33">
        <f>Codex_calc!AG94</f>
        <v>0</v>
      </c>
      <c r="AH94" s="33">
        <f>Codex_calc!AH94</f>
        <v>0</v>
      </c>
      <c r="AI94" s="33">
        <f>Codex_calc!AI94</f>
        <v>0</v>
      </c>
      <c r="AJ94" s="33">
        <f>Codex_calc!AJ94</f>
        <v>0</v>
      </c>
      <c r="AK94" s="33">
        <f>Codex_calc!AK94</f>
        <v>0</v>
      </c>
      <c r="AL94" s="33">
        <f>Codex_calc!AL94</f>
        <v>0</v>
      </c>
      <c r="AM94" s="33">
        <f>Codex_calc!AM94</f>
        <v>0</v>
      </c>
      <c r="AN94" s="33">
        <f>Codex_calc!AN94</f>
        <v>0</v>
      </c>
      <c r="AO94" t="str">
        <f>Codex_calc!AO94</f>
        <v>2019, 2130</v>
      </c>
    </row>
    <row r="95" spans="3:41">
      <c r="C95" t="str">
        <f>Codex_calc!C95</f>
        <v>MINCuRSV2</v>
      </c>
      <c r="D95" t="str">
        <f>Codex_calc!D95</f>
        <v>CUM</v>
      </c>
      <c r="E95"/>
      <c r="F95"/>
      <c r="G95"/>
      <c r="H95" s="30"/>
      <c r="K95"/>
      <c r="L95"/>
      <c r="M95" s="30"/>
      <c r="P95"/>
      <c r="R95"/>
      <c r="T95"/>
      <c r="U95"/>
      <c r="Y95"/>
      <c r="Z95"/>
      <c r="AA95"/>
      <c r="AB95"/>
      <c r="AC95"/>
      <c r="AD95"/>
      <c r="AE95"/>
      <c r="AF95"/>
      <c r="AG95"/>
      <c r="AH95"/>
      <c r="AI95"/>
      <c r="AK95"/>
      <c r="AM95"/>
      <c r="AO95" t="str">
        <f>Codex_calc!AO95</f>
        <v>2019, 2130</v>
      </c>
    </row>
    <row r="96" spans="3:41">
      <c r="C96" t="str">
        <f>Codex_calc!C96</f>
        <v>MINCuRSV2</v>
      </c>
      <c r="D96" t="str">
        <f>Codex_calc!D96</f>
        <v>COST</v>
      </c>
      <c r="E96" t="str">
        <f>Codex_calc!E96</f>
        <v>m_copper</v>
      </c>
      <c r="F96">
        <f>Codex_calc!F96</f>
        <v>29.100984</v>
      </c>
      <c r="G96">
        <f>Codex_calc!G96</f>
        <v>29.100984</v>
      </c>
      <c r="H96" s="30">
        <f>Codex_calc!H96</f>
        <v>29.100984</v>
      </c>
      <c r="I96">
        <f>Codex_calc!I96</f>
        <v>29.100984</v>
      </c>
      <c r="J96">
        <f>Codex_calc!J96</f>
        <v>29.100984</v>
      </c>
      <c r="K96">
        <f>Codex_calc!K96</f>
        <v>29.100984</v>
      </c>
      <c r="L96">
        <f>Codex_calc!L96</f>
        <v>29.100984</v>
      </c>
      <c r="M96" s="30">
        <f>Codex_calc!M96</f>
        <v>29.100984</v>
      </c>
      <c r="N96">
        <f>Codex_calc!N96</f>
        <v>29.100984</v>
      </c>
      <c r="O96">
        <f>Codex_calc!O96</f>
        <v>29.100984</v>
      </c>
      <c r="P96">
        <f>Codex_calc!P96</f>
        <v>29.100984</v>
      </c>
      <c r="Q96">
        <f>Codex_calc!Q96</f>
        <v>29.100984</v>
      </c>
      <c r="R96">
        <f>Codex_calc!R96</f>
        <v>29.100984</v>
      </c>
      <c r="S96">
        <f>Codex_calc!S96</f>
        <v>29.100984</v>
      </c>
      <c r="T96">
        <f>Codex_calc!T96</f>
        <v>29.100984</v>
      </c>
      <c r="U96">
        <f>Codex_calc!U96</f>
        <v>29.100984</v>
      </c>
      <c r="V96">
        <f>Codex_calc!V96</f>
        <v>29.100984</v>
      </c>
      <c r="W96">
        <f>Codex_calc!W96</f>
        <v>29.100984</v>
      </c>
      <c r="X96">
        <f>Codex_calc!X96</f>
        <v>29.100984</v>
      </c>
      <c r="Y96">
        <f>Codex_calc!Y96</f>
        <v>29.100984</v>
      </c>
      <c r="Z96">
        <f>Codex_calc!Z96</f>
        <v>29.100984</v>
      </c>
      <c r="AA96">
        <f>Codex_calc!AA96</f>
        <v>29.100984</v>
      </c>
      <c r="AB96">
        <f>Codex_calc!AB96</f>
        <v>29.100984</v>
      </c>
      <c r="AC96">
        <f>Codex_calc!AC96</f>
        <v>29.100984</v>
      </c>
      <c r="AD96">
        <f>Codex_calc!AD96</f>
        <v>29.100984</v>
      </c>
      <c r="AE96">
        <f>Codex_calc!AE96</f>
        <v>29.100984</v>
      </c>
      <c r="AF96">
        <f>Codex_calc!AF96</f>
        <v>29.100984</v>
      </c>
      <c r="AG96">
        <f>Codex_calc!AG96</f>
        <v>29.100984</v>
      </c>
      <c r="AH96">
        <f>Codex_calc!AH96</f>
        <v>29.100984</v>
      </c>
      <c r="AI96">
        <f>Codex_calc!AI96</f>
        <v>29.100984</v>
      </c>
      <c r="AJ96">
        <f>Codex_calc!AJ96</f>
        <v>29.100984</v>
      </c>
      <c r="AK96">
        <f>Codex_calc!AK96</f>
        <v>29.100984</v>
      </c>
      <c r="AL96">
        <f>Codex_calc!AL96</f>
        <v>29.100984</v>
      </c>
      <c r="AM96">
        <f>Codex_calc!AM96</f>
        <v>29.100984</v>
      </c>
      <c r="AN96">
        <f>Codex_calc!AN96</f>
        <v>29.100984</v>
      </c>
      <c r="AO96" t="str">
        <f>Codex_calc!AO96</f>
        <v>2019, 2130</v>
      </c>
    </row>
    <row r="97" spans="3:41">
      <c r="C97" t="str">
        <f>Codex_calc!C97</f>
        <v>MINCuRSV3</v>
      </c>
      <c r="D97" t="str">
        <f>Codex_calc!D97</f>
        <v>BNDACT</v>
      </c>
      <c r="E97"/>
      <c r="F97"/>
      <c r="G97"/>
      <c r="H97" s="30"/>
      <c r="K97"/>
      <c r="L97"/>
      <c r="M97" s="30"/>
      <c r="P97"/>
      <c r="R97"/>
      <c r="T97"/>
      <c r="U97"/>
      <c r="Y97"/>
      <c r="Z97"/>
      <c r="AA97"/>
      <c r="AB97"/>
      <c r="AC97"/>
      <c r="AD97"/>
      <c r="AE97"/>
      <c r="AF97"/>
      <c r="AG97"/>
      <c r="AH97"/>
      <c r="AI97"/>
      <c r="AK97"/>
      <c r="AM97"/>
      <c r="AO97" t="str">
        <f>Codex_calc!AO97</f>
        <v>2019, 2130</v>
      </c>
    </row>
    <row r="98" spans="3:41">
      <c r="C98" t="str">
        <f>Codex_calc!C98</f>
        <v>MINCuRSV3</v>
      </c>
      <c r="D98" t="str">
        <f>Codex_calc!D98</f>
        <v>CUM</v>
      </c>
      <c r="E98"/>
      <c r="F98"/>
      <c r="G98"/>
      <c r="H98" s="30"/>
      <c r="K98"/>
      <c r="L98"/>
      <c r="M98" s="30"/>
      <c r="P98"/>
      <c r="R98"/>
      <c r="T98"/>
      <c r="U98"/>
      <c r="Y98"/>
      <c r="Z98"/>
      <c r="AA98"/>
      <c r="AB98"/>
      <c r="AC98"/>
      <c r="AD98"/>
      <c r="AE98"/>
      <c r="AF98"/>
      <c r="AG98"/>
      <c r="AH98"/>
      <c r="AI98"/>
      <c r="AK98"/>
      <c r="AM98"/>
      <c r="AO98" t="str">
        <f>Codex_calc!AO98</f>
        <v>2019, 2130</v>
      </c>
    </row>
    <row r="99" spans="3:41">
      <c r="C99" t="str">
        <f>Codex_calc!C99</f>
        <v>MINCuRSV3</v>
      </c>
      <c r="D99" t="str">
        <f>Codex_calc!D99</f>
        <v>COST</v>
      </c>
      <c r="E99" t="str">
        <f>Codex_calc!E99</f>
        <v>m_copper</v>
      </c>
      <c r="F99">
        <f>Codex_calc!F99</f>
        <v>32.0110824</v>
      </c>
      <c r="G99">
        <f>Codex_calc!G99</f>
        <v>32.0110824</v>
      </c>
      <c r="H99" s="30">
        <f>Codex_calc!H99</f>
        <v>32.0110824</v>
      </c>
      <c r="I99">
        <f>Codex_calc!I99</f>
        <v>32.0110824</v>
      </c>
      <c r="J99">
        <f>Codex_calc!J99</f>
        <v>32.0110824</v>
      </c>
      <c r="K99">
        <f>Codex_calc!K99</f>
        <v>32.0110824</v>
      </c>
      <c r="L99">
        <f>Codex_calc!L99</f>
        <v>32.0110824</v>
      </c>
      <c r="M99" s="30">
        <f>Codex_calc!M99</f>
        <v>32.0110824</v>
      </c>
      <c r="N99">
        <f>Codex_calc!N99</f>
        <v>32.0110824</v>
      </c>
      <c r="O99">
        <f>Codex_calc!O99</f>
        <v>32.0110824</v>
      </c>
      <c r="P99">
        <f>Codex_calc!P99</f>
        <v>32.0110824</v>
      </c>
      <c r="Q99">
        <f>Codex_calc!Q99</f>
        <v>32.0110824</v>
      </c>
      <c r="R99">
        <f>Codex_calc!R99</f>
        <v>32.0110824</v>
      </c>
      <c r="S99">
        <f>Codex_calc!S99</f>
        <v>32.0110824</v>
      </c>
      <c r="T99">
        <f>Codex_calc!T99</f>
        <v>32.0110824</v>
      </c>
      <c r="U99">
        <f>Codex_calc!U99</f>
        <v>32.0110824</v>
      </c>
      <c r="V99">
        <f>Codex_calc!V99</f>
        <v>32.0110824</v>
      </c>
      <c r="W99">
        <f>Codex_calc!W99</f>
        <v>32.0110824</v>
      </c>
      <c r="X99">
        <f>Codex_calc!X99</f>
        <v>32.0110824</v>
      </c>
      <c r="Y99">
        <f>Codex_calc!Y99</f>
        <v>32.0110824</v>
      </c>
      <c r="Z99">
        <f>Codex_calc!Z99</f>
        <v>32.0110824</v>
      </c>
      <c r="AA99">
        <f>Codex_calc!AA99</f>
        <v>32.0110824</v>
      </c>
      <c r="AB99">
        <f>Codex_calc!AB99</f>
        <v>32.0110824</v>
      </c>
      <c r="AC99">
        <f>Codex_calc!AC99</f>
        <v>32.0110824</v>
      </c>
      <c r="AD99">
        <f>Codex_calc!AD99</f>
        <v>32.0110824</v>
      </c>
      <c r="AE99">
        <f>Codex_calc!AE99</f>
        <v>32.0110824</v>
      </c>
      <c r="AF99">
        <f>Codex_calc!AF99</f>
        <v>32.0110824</v>
      </c>
      <c r="AG99">
        <f>Codex_calc!AG99</f>
        <v>32.0110824</v>
      </c>
      <c r="AH99">
        <f>Codex_calc!AH99</f>
        <v>32.0110824</v>
      </c>
      <c r="AI99">
        <f>Codex_calc!AI99</f>
        <v>32.0110824</v>
      </c>
      <c r="AJ99">
        <f>Codex_calc!AJ99</f>
        <v>32.0110824</v>
      </c>
      <c r="AK99">
        <f>Codex_calc!AK99</f>
        <v>32.0110824</v>
      </c>
      <c r="AL99">
        <f>Codex_calc!AL99</f>
        <v>32.0110824</v>
      </c>
      <c r="AM99">
        <f>Codex_calc!AM99</f>
        <v>32.0110824</v>
      </c>
      <c r="AN99">
        <f>Codex_calc!AN99</f>
        <v>32.0110824</v>
      </c>
      <c r="AO99" t="str">
        <f>Codex_calc!AO99</f>
        <v>2019, 2130</v>
      </c>
    </row>
    <row r="100" spans="3:41">
      <c r="C100" t="s">
        <v>63</v>
      </c>
      <c r="D100">
        <f>Codex_calc!D100</f>
        <v>0</v>
      </c>
      <c r="E100">
        <f>Codex_calc!E100</f>
        <v>0</v>
      </c>
      <c r="F100">
        <f>Codex_calc!F100</f>
        <v>0</v>
      </c>
      <c r="G100">
        <f>Codex_calc!G100</f>
        <v>0</v>
      </c>
      <c r="H100" s="30">
        <f>Codex_calc!H100</f>
        <v>0</v>
      </c>
      <c r="I100">
        <f>Codex_calc!I100</f>
        <v>0</v>
      </c>
      <c r="J100">
        <f>Codex_calc!J100</f>
        <v>0</v>
      </c>
      <c r="K100">
        <f>Codex_calc!K100</f>
        <v>0</v>
      </c>
      <c r="L100">
        <f>Codex_calc!L100</f>
        <v>0</v>
      </c>
      <c r="M100" s="30">
        <f>Codex_calc!M100</f>
        <v>0</v>
      </c>
      <c r="N100">
        <f>Codex_calc!N100</f>
        <v>0</v>
      </c>
      <c r="O100">
        <f>Codex_calc!O100</f>
        <v>0</v>
      </c>
      <c r="P100">
        <f>Codex_calc!P100</f>
        <v>0</v>
      </c>
      <c r="Q100">
        <f>Codex_calc!Q100</f>
        <v>0</v>
      </c>
      <c r="R100">
        <f>Codex_calc!R100</f>
        <v>0</v>
      </c>
      <c r="S100">
        <f>Codex_calc!S100</f>
        <v>0</v>
      </c>
      <c r="T100">
        <f>Codex_calc!T100</f>
        <v>0</v>
      </c>
      <c r="U100">
        <f>Codex_calc!U100</f>
        <v>0</v>
      </c>
      <c r="V100">
        <f>Codex_calc!V100</f>
        <v>0</v>
      </c>
      <c r="W100">
        <f>Codex_calc!W100</f>
        <v>0</v>
      </c>
      <c r="X100">
        <f>Codex_calc!X100</f>
        <v>0</v>
      </c>
      <c r="Y100">
        <f>Codex_calc!Y100</f>
        <v>0</v>
      </c>
      <c r="Z100">
        <f>Codex_calc!Z100</f>
        <v>0</v>
      </c>
      <c r="AA100">
        <f>Codex_calc!AA100</f>
        <v>0</v>
      </c>
      <c r="AB100">
        <f>Codex_calc!AB100</f>
        <v>0</v>
      </c>
      <c r="AC100">
        <f>Codex_calc!AC100</f>
        <v>0</v>
      </c>
      <c r="AD100">
        <f>Codex_calc!AD100</f>
        <v>0</v>
      </c>
      <c r="AE100">
        <f>Codex_calc!AE100</f>
        <v>0</v>
      </c>
      <c r="AF100">
        <f>Codex_calc!AF100</f>
        <v>0</v>
      </c>
      <c r="AG100">
        <f>Codex_calc!AG100</f>
        <v>0</v>
      </c>
      <c r="AH100">
        <f>Codex_calc!AH100</f>
        <v>0</v>
      </c>
      <c r="AI100">
        <f>Codex_calc!AI100</f>
        <v>0</v>
      </c>
      <c r="AJ100">
        <f>Codex_calc!AJ100</f>
        <v>0</v>
      </c>
      <c r="AK100">
        <f>Codex_calc!AK100</f>
        <v>0</v>
      </c>
      <c r="AL100">
        <f>Codex_calc!AL100</f>
        <v>0</v>
      </c>
      <c r="AM100">
        <f>Codex_calc!AM100</f>
        <v>0</v>
      </c>
      <c r="AN100">
        <f>Codex_calc!AN100</f>
        <v>0</v>
      </c>
      <c r="AO100" t="str">
        <f>Codex_calc!AO100</f>
        <v>2019, 2130</v>
      </c>
    </row>
    <row r="101" spans="3:41">
      <c r="C101" t="str">
        <f>Codex_calc!C101</f>
        <v>MINGrRSV1</v>
      </c>
      <c r="D101" t="str">
        <f>Codex_calc!D101</f>
        <v>BNDACT</v>
      </c>
      <c r="E101"/>
      <c r="F101" s="33">
        <f>Codex_calc!F101</f>
        <v>0</v>
      </c>
      <c r="G101" s="33">
        <f>Codex_calc!G101</f>
        <v>175.30025</v>
      </c>
      <c r="H101" s="34">
        <f>Codex_calc!H101</f>
        <v>0</v>
      </c>
      <c r="I101" s="33">
        <f>Codex_calc!I101</f>
        <v>0.16307</v>
      </c>
      <c r="J101" s="33">
        <f>Codex_calc!J101</f>
        <v>0</v>
      </c>
      <c r="K101" s="33">
        <f>Codex_calc!K101</f>
        <v>0</v>
      </c>
      <c r="L101" s="33">
        <f>Codex_calc!L101</f>
        <v>52.99775</v>
      </c>
      <c r="M101" s="34">
        <f>Codex_calc!M101</f>
        <v>1141.49</v>
      </c>
      <c r="N101" s="33">
        <f>Codex_calc!N101</f>
        <v>0</v>
      </c>
      <c r="O101" s="33">
        <f>Codex_calc!O101</f>
        <v>0</v>
      </c>
      <c r="P101" s="33">
        <f>Codex_calc!P101</f>
        <v>0</v>
      </c>
      <c r="Q101" s="33">
        <f>Codex_calc!Q101</f>
        <v>0.114149</v>
      </c>
      <c r="R101" s="33">
        <f>Codex_calc!R101</f>
        <v>0</v>
      </c>
      <c r="S101" s="33">
        <f>Codex_calc!S101</f>
        <v>0</v>
      </c>
      <c r="T101" s="33">
        <f>Codex_calc!T101</f>
        <v>0</v>
      </c>
      <c r="U101" s="33">
        <f>Codex_calc!U101</f>
        <v>13.86095</v>
      </c>
      <c r="V101" s="33">
        <f>Codex_calc!V101</f>
        <v>0</v>
      </c>
      <c r="W101" s="33">
        <f>Codex_calc!W101</f>
        <v>0</v>
      </c>
      <c r="X101" s="33">
        <f>Codex_calc!X101</f>
        <v>0</v>
      </c>
      <c r="Y101" s="33">
        <f>Codex_calc!Y101</f>
        <v>0</v>
      </c>
      <c r="Z101" s="33">
        <f>Codex_calc!Z101</f>
        <v>0</v>
      </c>
      <c r="AA101" s="33">
        <f>Codex_calc!AA101</f>
        <v>7.126159</v>
      </c>
      <c r="AB101" s="33">
        <f>Codex_calc!AB101</f>
        <v>5.38131</v>
      </c>
      <c r="AC101" s="33">
        <f>Codex_calc!AC101</f>
        <v>0</v>
      </c>
      <c r="AD101" s="33">
        <f>Codex_calc!AD101</f>
        <v>9.94727</v>
      </c>
      <c r="AE101" s="33">
        <f>Codex_calc!AE101</f>
        <v>20.38375</v>
      </c>
      <c r="AF101" s="33">
        <f>Codex_calc!AF101</f>
        <v>0</v>
      </c>
      <c r="AG101" s="33">
        <f>Codex_calc!AG101</f>
        <v>0</v>
      </c>
      <c r="AH101" s="33">
        <f>Codex_calc!AH101</f>
        <v>0</v>
      </c>
      <c r="AI101" s="33">
        <f>Codex_calc!AI101</f>
        <v>0</v>
      </c>
      <c r="AJ101" s="33">
        <f>Codex_calc!AJ101</f>
        <v>0</v>
      </c>
      <c r="AK101" s="33">
        <f>Codex_calc!AK101</f>
        <v>1.79377</v>
      </c>
      <c r="AL101" s="33">
        <f>Codex_calc!AL101</f>
        <v>0</v>
      </c>
      <c r="AM101" s="33">
        <f>Codex_calc!AM101</f>
        <v>0.65228</v>
      </c>
      <c r="AN101" s="33">
        <f>Codex_calc!AN101</f>
        <v>0</v>
      </c>
      <c r="AO101" t="str">
        <f>Codex_calc!AO101</f>
        <v>2019, 2130</v>
      </c>
    </row>
    <row r="102" spans="3:41">
      <c r="C102" t="str">
        <f>Codex_calc!C102</f>
        <v>MINGrRSV1</v>
      </c>
      <c r="D102" t="str">
        <f>Codex_calc!D102</f>
        <v>CUM</v>
      </c>
      <c r="E102"/>
      <c r="F102"/>
      <c r="G102"/>
      <c r="H102" s="30"/>
      <c r="K102"/>
      <c r="L102"/>
      <c r="M102" s="30"/>
      <c r="P102"/>
      <c r="R102"/>
      <c r="T102"/>
      <c r="U102"/>
      <c r="Y102"/>
      <c r="Z102"/>
      <c r="AA102"/>
      <c r="AB102"/>
      <c r="AC102"/>
      <c r="AD102"/>
      <c r="AE102"/>
      <c r="AF102"/>
      <c r="AG102"/>
      <c r="AH102"/>
      <c r="AI102"/>
      <c r="AK102"/>
      <c r="AM102"/>
      <c r="AO102" t="str">
        <f>Codex_calc!AO102</f>
        <v>2019, 2130</v>
      </c>
    </row>
    <row r="103" spans="3:41">
      <c r="C103" t="str">
        <f>Codex_calc!C103</f>
        <v>MINGrRSV1</v>
      </c>
      <c r="D103" t="str">
        <f>Codex_calc!D103</f>
        <v>COST</v>
      </c>
      <c r="E103" t="str">
        <f>Codex_calc!E103</f>
        <v>m_graphite</v>
      </c>
      <c r="F103">
        <f>Codex_calc!F103</f>
        <v>1</v>
      </c>
      <c r="G103">
        <f>Codex_calc!G103</f>
        <v>1</v>
      </c>
      <c r="H103" s="30">
        <f>Codex_calc!H103</f>
        <v>1</v>
      </c>
      <c r="I103">
        <f>Codex_calc!I103</f>
        <v>1</v>
      </c>
      <c r="J103">
        <f>Codex_calc!J103</f>
        <v>1</v>
      </c>
      <c r="K103">
        <f>Codex_calc!K103</f>
        <v>1</v>
      </c>
      <c r="L103">
        <f>Codex_calc!L103</f>
        <v>1</v>
      </c>
      <c r="M103" s="30">
        <f>Codex_calc!M103</f>
        <v>1</v>
      </c>
      <c r="N103">
        <f>Codex_calc!N103</f>
        <v>1</v>
      </c>
      <c r="O103">
        <f>Codex_calc!O103</f>
        <v>1</v>
      </c>
      <c r="P103">
        <f>Codex_calc!P103</f>
        <v>1</v>
      </c>
      <c r="Q103">
        <f>Codex_calc!Q103</f>
        <v>1</v>
      </c>
      <c r="R103">
        <f>Codex_calc!R103</f>
        <v>1</v>
      </c>
      <c r="S103">
        <f>Codex_calc!S103</f>
        <v>1</v>
      </c>
      <c r="T103">
        <f>Codex_calc!T103</f>
        <v>1</v>
      </c>
      <c r="U103">
        <f>Codex_calc!U103</f>
        <v>1</v>
      </c>
      <c r="V103">
        <f>Codex_calc!V103</f>
        <v>1</v>
      </c>
      <c r="W103">
        <f>Codex_calc!W103</f>
        <v>1</v>
      </c>
      <c r="X103">
        <f>Codex_calc!X103</f>
        <v>1</v>
      </c>
      <c r="Y103">
        <f>Codex_calc!Y103</f>
        <v>1</v>
      </c>
      <c r="Z103">
        <f>Codex_calc!Z103</f>
        <v>1</v>
      </c>
      <c r="AA103">
        <f>Codex_calc!AA103</f>
        <v>1</v>
      </c>
      <c r="AB103">
        <f>Codex_calc!AB103</f>
        <v>1</v>
      </c>
      <c r="AC103">
        <f>Codex_calc!AC103</f>
        <v>1</v>
      </c>
      <c r="AD103">
        <f>Codex_calc!AD103</f>
        <v>1</v>
      </c>
      <c r="AE103">
        <f>Codex_calc!AE103</f>
        <v>1</v>
      </c>
      <c r="AF103">
        <f>Codex_calc!AF103</f>
        <v>1</v>
      </c>
      <c r="AG103">
        <f>Codex_calc!AG103</f>
        <v>1</v>
      </c>
      <c r="AH103">
        <f>Codex_calc!AH103</f>
        <v>1</v>
      </c>
      <c r="AI103">
        <f>Codex_calc!AI103</f>
        <v>1</v>
      </c>
      <c r="AJ103">
        <f>Codex_calc!AJ103</f>
        <v>1</v>
      </c>
      <c r="AK103">
        <f>Codex_calc!AK103</f>
        <v>1</v>
      </c>
      <c r="AL103">
        <f>Codex_calc!AL103</f>
        <v>1</v>
      </c>
      <c r="AM103">
        <f>Codex_calc!AM103</f>
        <v>1</v>
      </c>
      <c r="AN103">
        <f>Codex_calc!AN103</f>
        <v>1</v>
      </c>
      <c r="AO103" t="str">
        <f>Codex_calc!AO103</f>
        <v>2019, 2130</v>
      </c>
    </row>
    <row r="104" spans="3:41">
      <c r="C104" t="str">
        <f>Codex_calc!C104</f>
        <v>MINGrRSV2</v>
      </c>
      <c r="D104" t="str">
        <f>Codex_calc!D104</f>
        <v>BNDACT</v>
      </c>
      <c r="E104"/>
      <c r="F104" s="33">
        <f>Codex_calc!F104</f>
        <v>0</v>
      </c>
      <c r="G104" s="33">
        <f>Codex_calc!G104</f>
        <v>350.6005</v>
      </c>
      <c r="H104" s="34">
        <f>Codex_calc!H104</f>
        <v>0</v>
      </c>
      <c r="I104" s="33">
        <f>Codex_calc!I104</f>
        <v>0.32614</v>
      </c>
      <c r="J104" s="33">
        <f>Codex_calc!J104</f>
        <v>0</v>
      </c>
      <c r="K104" s="33">
        <f>Codex_calc!K104</f>
        <v>0</v>
      </c>
      <c r="L104" s="33">
        <f>Codex_calc!L104</f>
        <v>105.9955</v>
      </c>
      <c r="M104" s="34">
        <f>Codex_calc!M104</f>
        <v>2282.98</v>
      </c>
      <c r="N104" s="33">
        <f>Codex_calc!N104</f>
        <v>0</v>
      </c>
      <c r="O104" s="33">
        <f>Codex_calc!O104</f>
        <v>0</v>
      </c>
      <c r="P104" s="33">
        <f>Codex_calc!P104</f>
        <v>0</v>
      </c>
      <c r="Q104" s="33">
        <f>Codex_calc!Q104</f>
        <v>0.228298</v>
      </c>
      <c r="R104" s="33">
        <f>Codex_calc!R104</f>
        <v>0</v>
      </c>
      <c r="S104" s="33">
        <f>Codex_calc!S104</f>
        <v>0</v>
      </c>
      <c r="T104" s="33">
        <f>Codex_calc!T104</f>
        <v>0</v>
      </c>
      <c r="U104" s="33">
        <f>Codex_calc!U104</f>
        <v>27.7219</v>
      </c>
      <c r="V104" s="33">
        <f>Codex_calc!V104</f>
        <v>0</v>
      </c>
      <c r="W104" s="33">
        <f>Codex_calc!W104</f>
        <v>0</v>
      </c>
      <c r="X104" s="33">
        <f>Codex_calc!X104</f>
        <v>0</v>
      </c>
      <c r="Y104" s="33">
        <f>Codex_calc!Y104</f>
        <v>0</v>
      </c>
      <c r="Z104" s="33">
        <f>Codex_calc!Z104</f>
        <v>0</v>
      </c>
      <c r="AA104" s="33">
        <f>Codex_calc!AA104</f>
        <v>14.252318</v>
      </c>
      <c r="AB104" s="33">
        <f>Codex_calc!AB104</f>
        <v>10.76262</v>
      </c>
      <c r="AC104" s="33">
        <f>Codex_calc!AC104</f>
        <v>0</v>
      </c>
      <c r="AD104" s="33">
        <f>Codex_calc!AD104</f>
        <v>19.89454</v>
      </c>
      <c r="AE104" s="33">
        <f>Codex_calc!AE104</f>
        <v>40.7675</v>
      </c>
      <c r="AF104" s="33">
        <f>Codex_calc!AF104</f>
        <v>0</v>
      </c>
      <c r="AG104" s="33">
        <f>Codex_calc!AG104</f>
        <v>0</v>
      </c>
      <c r="AH104" s="33">
        <f>Codex_calc!AH104</f>
        <v>0</v>
      </c>
      <c r="AI104" s="33">
        <f>Codex_calc!AI104</f>
        <v>0</v>
      </c>
      <c r="AJ104" s="33">
        <f>Codex_calc!AJ104</f>
        <v>0</v>
      </c>
      <c r="AK104" s="33">
        <f>Codex_calc!AK104</f>
        <v>3.58754</v>
      </c>
      <c r="AL104" s="33">
        <f>Codex_calc!AL104</f>
        <v>0</v>
      </c>
      <c r="AM104" s="33">
        <f>Codex_calc!AM104</f>
        <v>1.30456</v>
      </c>
      <c r="AN104" s="33">
        <f>Codex_calc!AN104</f>
        <v>0</v>
      </c>
      <c r="AO104" t="str">
        <f>Codex_calc!AO104</f>
        <v>2019, 2130</v>
      </c>
    </row>
    <row r="105" spans="3:41">
      <c r="C105" t="str">
        <f>Codex_calc!C105</f>
        <v>MINGrRSV2</v>
      </c>
      <c r="D105" t="str">
        <f>Codex_calc!D105</f>
        <v>CUM</v>
      </c>
      <c r="E105"/>
      <c r="F105"/>
      <c r="G105"/>
      <c r="H105" s="30"/>
      <c r="K105"/>
      <c r="L105"/>
      <c r="M105" s="30"/>
      <c r="P105"/>
      <c r="R105"/>
      <c r="T105"/>
      <c r="U105"/>
      <c r="Y105"/>
      <c r="Z105"/>
      <c r="AA105"/>
      <c r="AB105"/>
      <c r="AC105"/>
      <c r="AD105"/>
      <c r="AE105"/>
      <c r="AF105"/>
      <c r="AG105"/>
      <c r="AH105"/>
      <c r="AI105"/>
      <c r="AK105"/>
      <c r="AM105"/>
      <c r="AO105" t="str">
        <f>Codex_calc!AO105</f>
        <v>2019, 2130</v>
      </c>
    </row>
    <row r="106" spans="3:41">
      <c r="C106" t="str">
        <f>Codex_calc!C106</f>
        <v>MINGrRSV2</v>
      </c>
      <c r="D106" t="str">
        <f>Codex_calc!D106</f>
        <v>COST</v>
      </c>
      <c r="E106" t="str">
        <f>Codex_calc!E106</f>
        <v>m_graphite</v>
      </c>
      <c r="F106">
        <f>Codex_calc!F106</f>
        <v>2.6</v>
      </c>
      <c r="G106">
        <f>Codex_calc!G106</f>
        <v>2.6</v>
      </c>
      <c r="H106" s="30">
        <f>Codex_calc!H106</f>
        <v>2.6</v>
      </c>
      <c r="I106">
        <f>Codex_calc!I106</f>
        <v>2.6</v>
      </c>
      <c r="J106">
        <f>Codex_calc!J106</f>
        <v>2.6</v>
      </c>
      <c r="K106">
        <f>Codex_calc!K106</f>
        <v>2.6</v>
      </c>
      <c r="L106">
        <f>Codex_calc!L106</f>
        <v>2.6</v>
      </c>
      <c r="M106" s="30">
        <f>Codex_calc!M106</f>
        <v>2.6</v>
      </c>
      <c r="N106">
        <f>Codex_calc!N106</f>
        <v>2.6</v>
      </c>
      <c r="O106">
        <f>Codex_calc!O106</f>
        <v>2.6</v>
      </c>
      <c r="P106">
        <f>Codex_calc!P106</f>
        <v>2.6</v>
      </c>
      <c r="Q106">
        <f>Codex_calc!Q106</f>
        <v>2.6</v>
      </c>
      <c r="R106">
        <f>Codex_calc!R106</f>
        <v>2.6</v>
      </c>
      <c r="S106">
        <f>Codex_calc!S106</f>
        <v>2.6</v>
      </c>
      <c r="T106">
        <f>Codex_calc!T106</f>
        <v>2.6</v>
      </c>
      <c r="U106">
        <f>Codex_calc!U106</f>
        <v>2.6</v>
      </c>
      <c r="V106">
        <f>Codex_calc!V106</f>
        <v>2.6</v>
      </c>
      <c r="W106">
        <f>Codex_calc!W106</f>
        <v>2.6</v>
      </c>
      <c r="X106">
        <f>Codex_calc!X106</f>
        <v>2.6</v>
      </c>
      <c r="Y106">
        <f>Codex_calc!Y106</f>
        <v>2.6</v>
      </c>
      <c r="Z106">
        <f>Codex_calc!Z106</f>
        <v>2.6</v>
      </c>
      <c r="AA106">
        <f>Codex_calc!AA106</f>
        <v>2.6</v>
      </c>
      <c r="AB106">
        <f>Codex_calc!AB106</f>
        <v>2.6</v>
      </c>
      <c r="AC106">
        <f>Codex_calc!AC106</f>
        <v>2.6</v>
      </c>
      <c r="AD106">
        <f>Codex_calc!AD106</f>
        <v>2.6</v>
      </c>
      <c r="AE106">
        <f>Codex_calc!AE106</f>
        <v>2.6</v>
      </c>
      <c r="AF106">
        <f>Codex_calc!AF106</f>
        <v>2.6</v>
      </c>
      <c r="AG106">
        <f>Codex_calc!AG106</f>
        <v>2.6</v>
      </c>
      <c r="AH106">
        <f>Codex_calc!AH106</f>
        <v>2.6</v>
      </c>
      <c r="AI106">
        <f>Codex_calc!AI106</f>
        <v>2.6</v>
      </c>
      <c r="AJ106">
        <f>Codex_calc!AJ106</f>
        <v>2.6</v>
      </c>
      <c r="AK106">
        <f>Codex_calc!AK106</f>
        <v>2.6</v>
      </c>
      <c r="AL106">
        <f>Codex_calc!AL106</f>
        <v>2.6</v>
      </c>
      <c r="AM106">
        <f>Codex_calc!AM106</f>
        <v>2.6</v>
      </c>
      <c r="AN106">
        <f>Codex_calc!AN106</f>
        <v>2.6</v>
      </c>
      <c r="AO106" t="str">
        <f>Codex_calc!AO106</f>
        <v>2019, 2130</v>
      </c>
    </row>
    <row r="107" spans="3:41">
      <c r="C107" t="str">
        <f>Codex_calc!C107</f>
        <v>MINGrRSV3</v>
      </c>
      <c r="D107" t="str">
        <f>Codex_calc!D107</f>
        <v>BNDACT</v>
      </c>
      <c r="E107"/>
      <c r="F107"/>
      <c r="G107"/>
      <c r="H107" s="30"/>
      <c r="K107"/>
      <c r="L107"/>
      <c r="M107" s="30"/>
      <c r="P107"/>
      <c r="R107"/>
      <c r="T107"/>
      <c r="U107"/>
      <c r="Y107"/>
      <c r="Z107"/>
      <c r="AA107"/>
      <c r="AB107"/>
      <c r="AC107"/>
      <c r="AD107"/>
      <c r="AE107"/>
      <c r="AF107"/>
      <c r="AG107"/>
      <c r="AH107"/>
      <c r="AI107"/>
      <c r="AK107"/>
      <c r="AM107"/>
      <c r="AO107" t="str">
        <f>Codex_calc!AO107</f>
        <v>2019, 2130</v>
      </c>
    </row>
    <row r="108" spans="3:41">
      <c r="C108" t="str">
        <f>Codex_calc!C108</f>
        <v>MINGrRSV3</v>
      </c>
      <c r="D108" t="str">
        <f>Codex_calc!D108</f>
        <v>CUM</v>
      </c>
      <c r="E108"/>
      <c r="F108"/>
      <c r="G108"/>
      <c r="H108" s="30"/>
      <c r="K108"/>
      <c r="L108"/>
      <c r="M108" s="30"/>
      <c r="P108"/>
      <c r="R108"/>
      <c r="T108"/>
      <c r="U108"/>
      <c r="Y108"/>
      <c r="Z108"/>
      <c r="AA108"/>
      <c r="AB108"/>
      <c r="AC108"/>
      <c r="AD108"/>
      <c r="AE108"/>
      <c r="AF108"/>
      <c r="AG108"/>
      <c r="AH108"/>
      <c r="AI108"/>
      <c r="AK108"/>
      <c r="AM108"/>
      <c r="AO108" t="str">
        <f>Codex_calc!AO108</f>
        <v>2019, 2130</v>
      </c>
    </row>
    <row r="109" spans="3:41">
      <c r="C109" t="str">
        <f>Codex_calc!C109</f>
        <v>MINGrRSV3</v>
      </c>
      <c r="D109" t="str">
        <f>Codex_calc!D109</f>
        <v>COST</v>
      </c>
      <c r="E109" t="str">
        <f>Codex_calc!E109</f>
        <v>m_graphite</v>
      </c>
      <c r="F109">
        <f>Codex_calc!F109</f>
        <v>2.86</v>
      </c>
      <c r="G109">
        <f>Codex_calc!G109</f>
        <v>2.86</v>
      </c>
      <c r="H109" s="30">
        <f>Codex_calc!H109</f>
        <v>2.86</v>
      </c>
      <c r="I109">
        <f>Codex_calc!I109</f>
        <v>2.86</v>
      </c>
      <c r="J109">
        <f>Codex_calc!J109</f>
        <v>2.86</v>
      </c>
      <c r="K109">
        <f>Codex_calc!K109</f>
        <v>2.86</v>
      </c>
      <c r="L109">
        <f>Codex_calc!L109</f>
        <v>2.86</v>
      </c>
      <c r="M109" s="30">
        <f>Codex_calc!M109</f>
        <v>2.86</v>
      </c>
      <c r="N109">
        <f>Codex_calc!N109</f>
        <v>2.86</v>
      </c>
      <c r="O109">
        <f>Codex_calc!O109</f>
        <v>2.86</v>
      </c>
      <c r="P109">
        <f>Codex_calc!P109</f>
        <v>2.86</v>
      </c>
      <c r="Q109">
        <f>Codex_calc!Q109</f>
        <v>2.86</v>
      </c>
      <c r="R109">
        <f>Codex_calc!R109</f>
        <v>2.86</v>
      </c>
      <c r="S109">
        <f>Codex_calc!S109</f>
        <v>2.86</v>
      </c>
      <c r="T109">
        <f>Codex_calc!T109</f>
        <v>2.86</v>
      </c>
      <c r="U109">
        <f>Codex_calc!U109</f>
        <v>2.86</v>
      </c>
      <c r="V109">
        <f>Codex_calc!V109</f>
        <v>2.86</v>
      </c>
      <c r="W109">
        <f>Codex_calc!W109</f>
        <v>2.86</v>
      </c>
      <c r="X109">
        <f>Codex_calc!X109</f>
        <v>2.86</v>
      </c>
      <c r="Y109">
        <f>Codex_calc!Y109</f>
        <v>2.86</v>
      </c>
      <c r="Z109">
        <f>Codex_calc!Z109</f>
        <v>2.86</v>
      </c>
      <c r="AA109">
        <f>Codex_calc!AA109</f>
        <v>2.86</v>
      </c>
      <c r="AB109">
        <f>Codex_calc!AB109</f>
        <v>2.86</v>
      </c>
      <c r="AC109">
        <f>Codex_calc!AC109</f>
        <v>2.86</v>
      </c>
      <c r="AD109">
        <f>Codex_calc!AD109</f>
        <v>2.86</v>
      </c>
      <c r="AE109">
        <f>Codex_calc!AE109</f>
        <v>2.86</v>
      </c>
      <c r="AF109">
        <f>Codex_calc!AF109</f>
        <v>2.86</v>
      </c>
      <c r="AG109">
        <f>Codex_calc!AG109</f>
        <v>2.86</v>
      </c>
      <c r="AH109">
        <f>Codex_calc!AH109</f>
        <v>2.86</v>
      </c>
      <c r="AI109">
        <f>Codex_calc!AI109</f>
        <v>2.86</v>
      </c>
      <c r="AJ109">
        <f>Codex_calc!AJ109</f>
        <v>2.86</v>
      </c>
      <c r="AK109">
        <f>Codex_calc!AK109</f>
        <v>2.86</v>
      </c>
      <c r="AL109">
        <f>Codex_calc!AL109</f>
        <v>2.86</v>
      </c>
      <c r="AM109">
        <f>Codex_calc!AM109</f>
        <v>2.86</v>
      </c>
      <c r="AN109">
        <f>Codex_calc!AN109</f>
        <v>2.86</v>
      </c>
      <c r="AO109" t="str">
        <f>Codex_calc!AO109</f>
        <v>2019, 2130</v>
      </c>
    </row>
    <row r="113" spans="3:40">
      <c r="E113"/>
      <c r="F113">
        <f>Codex_calc!F81</f>
        <v>0</v>
      </c>
      <c r="G113">
        <f>Codex_calc!G81</f>
        <v>0</v>
      </c>
      <c r="H113" s="30">
        <f>Codex_calc!H81</f>
        <v>30.1272972972973</v>
      </c>
      <c r="I113">
        <f>Codex_calc!I81</f>
        <v>0</v>
      </c>
      <c r="J113">
        <f>Codex_calc!J81</f>
        <v>0</v>
      </c>
      <c r="K113">
        <f>Codex_calc!K81</f>
        <v>0</v>
      </c>
      <c r="L113">
        <f>Codex_calc!L81</f>
        <v>24.1018378378378</v>
      </c>
      <c r="M113" s="30">
        <f>Codex_calc!M81</f>
        <v>903.818918918919</v>
      </c>
      <c r="N113">
        <f>Codex_calc!N81</f>
        <v>0</v>
      </c>
      <c r="O113">
        <f>Codex_calc!O81</f>
        <v>0</v>
      </c>
      <c r="P113">
        <f>Codex_calc!P81</f>
        <v>0</v>
      </c>
      <c r="Q113">
        <f>Codex_calc!Q81</f>
        <v>0</v>
      </c>
      <c r="R113">
        <f>Codex_calc!R81</f>
        <v>0</v>
      </c>
      <c r="S113">
        <f>Codex_calc!S81</f>
        <v>0</v>
      </c>
      <c r="T113">
        <f>Codex_calc!T81</f>
        <v>15.0636486486486</v>
      </c>
      <c r="U113">
        <f>Codex_calc!U81</f>
        <v>84.3564324324324</v>
      </c>
      <c r="V113">
        <f>Codex_calc!V81</f>
        <v>0</v>
      </c>
      <c r="W113">
        <f>Codex_calc!W81</f>
        <v>0</v>
      </c>
      <c r="X113">
        <f>Codex_calc!X81</f>
        <v>0</v>
      </c>
      <c r="Y113">
        <f>Codex_calc!Y81</f>
        <v>0</v>
      </c>
      <c r="Z113">
        <f>Codex_calc!Z81</f>
        <v>86.3649189189189</v>
      </c>
      <c r="AA113">
        <f>Codex_calc!AA81</f>
        <v>79.5360648648649</v>
      </c>
      <c r="AB113">
        <f>Codex_calc!AB81</f>
        <v>26.1103243243243</v>
      </c>
      <c r="AC113">
        <f>Codex_calc!AC81</f>
        <v>0</v>
      </c>
      <c r="AD113">
        <f>Codex_calc!AD81</f>
        <v>162.687405405405</v>
      </c>
      <c r="AE113">
        <f>Codex_calc!AE81</f>
        <v>78.330972972973</v>
      </c>
      <c r="AF113">
        <f>Codex_calc!AF81</f>
        <v>0</v>
      </c>
      <c r="AG113">
        <f>Codex_calc!AG81</f>
        <v>0</v>
      </c>
      <c r="AH113">
        <f>Codex_calc!AH81</f>
        <v>0</v>
      </c>
      <c r="AI113">
        <f>Codex_calc!AI81</f>
        <v>0</v>
      </c>
      <c r="AJ113">
        <f>Codex_calc!AJ81</f>
        <v>0</v>
      </c>
      <c r="AK113">
        <f>Codex_calc!AK81</f>
        <v>0</v>
      </c>
      <c r="AL113">
        <f>Codex_calc!AL81</f>
        <v>0</v>
      </c>
      <c r="AM113">
        <f>Codex_calc!AM81</f>
        <v>0</v>
      </c>
      <c r="AN113">
        <f>Codex_calc!AN81</f>
        <v>0</v>
      </c>
    </row>
    <row r="114" spans="3:40">
      <c r="E114"/>
      <c r="F114">
        <f>Codex_calc!F84</f>
        <v>0</v>
      </c>
      <c r="G114">
        <f>Codex_calc!G84</f>
        <v>0</v>
      </c>
      <c r="H114" s="30">
        <f>Codex_calc!H84</f>
        <v>60.2545945945946</v>
      </c>
      <c r="I114">
        <f>Codex_calc!I84</f>
        <v>0</v>
      </c>
      <c r="J114">
        <f>Codex_calc!J84</f>
        <v>0</v>
      </c>
      <c r="K114">
        <f>Codex_calc!K84</f>
        <v>0</v>
      </c>
      <c r="L114">
        <f>Codex_calc!L84</f>
        <v>48.2036756756757</v>
      </c>
      <c r="M114" s="30">
        <f>Codex_calc!M84</f>
        <v>1807.63783783784</v>
      </c>
      <c r="N114">
        <f>Codex_calc!N84</f>
        <v>0</v>
      </c>
      <c r="O114">
        <f>Codex_calc!O84</f>
        <v>0</v>
      </c>
      <c r="P114">
        <f>Codex_calc!P84</f>
        <v>0</v>
      </c>
      <c r="Q114">
        <f>Codex_calc!Q84</f>
        <v>0</v>
      </c>
      <c r="R114">
        <f>Codex_calc!R84</f>
        <v>0</v>
      </c>
      <c r="S114">
        <f>Codex_calc!S84</f>
        <v>0</v>
      </c>
      <c r="T114">
        <f>Codex_calc!T84</f>
        <v>30.1272972972973</v>
      </c>
      <c r="U114">
        <f>Codex_calc!U84</f>
        <v>168.712864864865</v>
      </c>
      <c r="V114">
        <f>Codex_calc!V84</f>
        <v>0</v>
      </c>
      <c r="W114">
        <f>Codex_calc!W84</f>
        <v>0</v>
      </c>
      <c r="X114">
        <f>Codex_calc!X84</f>
        <v>0</v>
      </c>
      <c r="Y114">
        <f>Codex_calc!Y84</f>
        <v>0</v>
      </c>
      <c r="Z114">
        <f>Codex_calc!Z84</f>
        <v>172.729837837838</v>
      </c>
      <c r="AA114">
        <f>Codex_calc!AA84</f>
        <v>159.07212972973</v>
      </c>
      <c r="AB114">
        <f>Codex_calc!AB84</f>
        <v>52.2206486486486</v>
      </c>
      <c r="AC114">
        <f>Codex_calc!AC84</f>
        <v>0</v>
      </c>
      <c r="AD114">
        <f>Codex_calc!AD84</f>
        <v>325.374810810811</v>
      </c>
      <c r="AE114">
        <f>Codex_calc!AE84</f>
        <v>156.661945945946</v>
      </c>
      <c r="AF114">
        <f>Codex_calc!AF84</f>
        <v>0</v>
      </c>
      <c r="AG114">
        <f>Codex_calc!AG84</f>
        <v>0</v>
      </c>
      <c r="AH114">
        <f>Codex_calc!AH84</f>
        <v>0</v>
      </c>
      <c r="AI114">
        <f>Codex_calc!AI84</f>
        <v>0</v>
      </c>
      <c r="AJ114">
        <f>Codex_calc!AJ84</f>
        <v>0</v>
      </c>
      <c r="AK114">
        <f>Codex_calc!AK84</f>
        <v>0</v>
      </c>
      <c r="AL114">
        <f>Codex_calc!AL84</f>
        <v>0</v>
      </c>
      <c r="AM114">
        <f>Codex_calc!AM84</f>
        <v>0</v>
      </c>
      <c r="AN114">
        <f>Codex_calc!AN84</f>
        <v>0</v>
      </c>
    </row>
    <row r="115" spans="3:40">
      <c r="F115" s="1" t="e">
        <f t="shared" ref="F115:AN115" si="3">F82/F113</f>
        <v>#DIV/0!</v>
      </c>
      <c r="G115" s="1" t="e">
        <f t="shared" si="3"/>
        <v>#DIV/0!</v>
      </c>
      <c r="H115" s="31">
        <f t="shared" si="3"/>
        <v>0</v>
      </c>
      <c r="I115" s="1" t="e">
        <f t="shared" si="3"/>
        <v>#DIV/0!</v>
      </c>
      <c r="J115" s="1" t="e">
        <f t="shared" si="3"/>
        <v>#DIV/0!</v>
      </c>
      <c r="K115" s="1" t="e">
        <f t="shared" si="3"/>
        <v>#DIV/0!</v>
      </c>
      <c r="L115" s="1">
        <f t="shared" si="3"/>
        <v>0</v>
      </c>
      <c r="M115" s="31">
        <f t="shared" si="3"/>
        <v>0</v>
      </c>
      <c r="N115" s="1" t="e">
        <f t="shared" si="3"/>
        <v>#DIV/0!</v>
      </c>
      <c r="O115" s="1" t="e">
        <f t="shared" si="3"/>
        <v>#DIV/0!</v>
      </c>
      <c r="P115" s="1" t="e">
        <f t="shared" si="3"/>
        <v>#DIV/0!</v>
      </c>
      <c r="Q115" s="1" t="e">
        <f t="shared" si="3"/>
        <v>#DIV/0!</v>
      </c>
      <c r="R115" s="1" t="e">
        <f t="shared" si="3"/>
        <v>#DIV/0!</v>
      </c>
      <c r="S115" s="1" t="e">
        <f t="shared" si="3"/>
        <v>#DIV/0!</v>
      </c>
      <c r="T115" s="1">
        <f t="shared" si="3"/>
        <v>0</v>
      </c>
      <c r="U115" s="1">
        <f t="shared" si="3"/>
        <v>0</v>
      </c>
      <c r="V115" s="1" t="e">
        <f t="shared" si="3"/>
        <v>#DIV/0!</v>
      </c>
      <c r="W115" s="1" t="e">
        <f t="shared" si="3"/>
        <v>#DIV/0!</v>
      </c>
      <c r="X115" s="1" t="e">
        <f t="shared" si="3"/>
        <v>#DIV/0!</v>
      </c>
      <c r="Y115" s="1" t="e">
        <f t="shared" si="3"/>
        <v>#DIV/0!</v>
      </c>
      <c r="Z115" s="1">
        <f t="shared" si="3"/>
        <v>0</v>
      </c>
      <c r="AA115" s="1">
        <f t="shared" si="3"/>
        <v>0</v>
      </c>
      <c r="AB115" s="1">
        <f t="shared" si="3"/>
        <v>0</v>
      </c>
      <c r="AC115" s="1" t="e">
        <f t="shared" si="3"/>
        <v>#DIV/0!</v>
      </c>
      <c r="AD115" s="1">
        <f t="shared" si="3"/>
        <v>0</v>
      </c>
      <c r="AE115" s="1">
        <f t="shared" si="3"/>
        <v>0</v>
      </c>
      <c r="AF115" s="1" t="e">
        <f t="shared" si="3"/>
        <v>#DIV/0!</v>
      </c>
      <c r="AG115" s="1" t="e">
        <f t="shared" si="3"/>
        <v>#DIV/0!</v>
      </c>
      <c r="AH115" s="1" t="e">
        <f t="shared" si="3"/>
        <v>#DIV/0!</v>
      </c>
      <c r="AI115" s="1" t="e">
        <f t="shared" si="3"/>
        <v>#DIV/0!</v>
      </c>
      <c r="AJ115" s="1" t="e">
        <f t="shared" si="3"/>
        <v>#DIV/0!</v>
      </c>
      <c r="AK115" s="1" t="e">
        <f t="shared" si="3"/>
        <v>#DIV/0!</v>
      </c>
      <c r="AL115" s="1" t="e">
        <f t="shared" si="3"/>
        <v>#DIV/0!</v>
      </c>
      <c r="AM115" s="1" t="e">
        <f t="shared" si="3"/>
        <v>#DIV/0!</v>
      </c>
      <c r="AN115" s="1" t="e">
        <f t="shared" si="3"/>
        <v>#DIV/0!</v>
      </c>
    </row>
    <row r="116" spans="3:40">
      <c r="F116" s="1" t="e">
        <f t="shared" ref="F116:AN116" si="4">F102/F101</f>
        <v>#DIV/0!</v>
      </c>
      <c r="G116" s="1">
        <f t="shared" si="4"/>
        <v>0</v>
      </c>
      <c r="H116" s="31" t="e">
        <f t="shared" si="4"/>
        <v>#DIV/0!</v>
      </c>
      <c r="I116" s="1">
        <f t="shared" si="4"/>
        <v>0</v>
      </c>
      <c r="J116" s="1" t="e">
        <f t="shared" si="4"/>
        <v>#DIV/0!</v>
      </c>
      <c r="K116" s="1" t="e">
        <f t="shared" si="4"/>
        <v>#DIV/0!</v>
      </c>
      <c r="L116" s="1">
        <f t="shared" si="4"/>
        <v>0</v>
      </c>
      <c r="M116" s="31">
        <f t="shared" si="4"/>
        <v>0</v>
      </c>
      <c r="N116" s="1" t="e">
        <f t="shared" si="4"/>
        <v>#DIV/0!</v>
      </c>
      <c r="O116" s="1" t="e">
        <f t="shared" si="4"/>
        <v>#DIV/0!</v>
      </c>
      <c r="P116" s="1" t="e">
        <f t="shared" si="4"/>
        <v>#DIV/0!</v>
      </c>
      <c r="Q116" s="1">
        <f t="shared" si="4"/>
        <v>0</v>
      </c>
      <c r="R116" s="1" t="e">
        <f t="shared" si="4"/>
        <v>#DIV/0!</v>
      </c>
      <c r="S116" s="1" t="e">
        <f t="shared" si="4"/>
        <v>#DIV/0!</v>
      </c>
      <c r="T116" s="1" t="e">
        <f t="shared" si="4"/>
        <v>#DIV/0!</v>
      </c>
      <c r="U116" s="1">
        <f t="shared" si="4"/>
        <v>0</v>
      </c>
      <c r="V116" s="1" t="e">
        <f t="shared" si="4"/>
        <v>#DIV/0!</v>
      </c>
      <c r="W116" s="1" t="e">
        <f t="shared" si="4"/>
        <v>#DIV/0!</v>
      </c>
      <c r="X116" s="1" t="e">
        <f t="shared" si="4"/>
        <v>#DIV/0!</v>
      </c>
      <c r="Y116" s="1" t="e">
        <f t="shared" si="4"/>
        <v>#DIV/0!</v>
      </c>
      <c r="Z116" s="1" t="e">
        <f t="shared" si="4"/>
        <v>#DIV/0!</v>
      </c>
      <c r="AA116" s="1">
        <f t="shared" si="4"/>
        <v>0</v>
      </c>
      <c r="AB116" s="1">
        <f t="shared" si="4"/>
        <v>0</v>
      </c>
      <c r="AC116" s="1" t="e">
        <f t="shared" si="4"/>
        <v>#DIV/0!</v>
      </c>
      <c r="AD116" s="1">
        <f t="shared" si="4"/>
        <v>0</v>
      </c>
      <c r="AE116" s="1">
        <f t="shared" si="4"/>
        <v>0</v>
      </c>
      <c r="AF116" s="1" t="e">
        <f t="shared" si="4"/>
        <v>#DIV/0!</v>
      </c>
      <c r="AG116" s="1" t="e">
        <f t="shared" si="4"/>
        <v>#DIV/0!</v>
      </c>
      <c r="AH116" s="1" t="e">
        <f t="shared" si="4"/>
        <v>#DIV/0!</v>
      </c>
      <c r="AI116" s="1" t="e">
        <f t="shared" si="4"/>
        <v>#DIV/0!</v>
      </c>
      <c r="AJ116" s="1" t="e">
        <f t="shared" si="4"/>
        <v>#DIV/0!</v>
      </c>
      <c r="AK116" s="1">
        <f t="shared" si="4"/>
        <v>0</v>
      </c>
      <c r="AL116" s="1" t="e">
        <f t="shared" si="4"/>
        <v>#DIV/0!</v>
      </c>
      <c r="AM116" s="1">
        <f t="shared" si="4"/>
        <v>0</v>
      </c>
      <c r="AN116" s="1" t="e">
        <f t="shared" si="4"/>
        <v>#DIV/0!</v>
      </c>
    </row>
    <row r="117" spans="3:40">
      <c r="C117" t="s">
        <v>64</v>
      </c>
      <c r="E117" s="38" t="s">
        <v>65</v>
      </c>
      <c r="F117" s="38" t="s">
        <v>27</v>
      </c>
      <c r="G117" s="38" t="s">
        <v>28</v>
      </c>
      <c r="H117" s="31" t="s">
        <v>29</v>
      </c>
      <c r="I117" s="38" t="s">
        <v>30</v>
      </c>
      <c r="J117" s="38" t="s">
        <v>31</v>
      </c>
      <c r="K117" s="38" t="s">
        <v>32</v>
      </c>
      <c r="L117" s="38" t="s">
        <v>33</v>
      </c>
      <c r="M117" s="31" t="s">
        <v>34</v>
      </c>
      <c r="N117" s="38" t="s">
        <v>35</v>
      </c>
      <c r="O117" s="38" t="s">
        <v>36</v>
      </c>
      <c r="P117" s="38" t="s">
        <v>37</v>
      </c>
      <c r="Q117" s="38" t="s">
        <v>38</v>
      </c>
      <c r="R117" s="38" t="s">
        <v>39</v>
      </c>
      <c r="S117" s="38" t="s">
        <v>40</v>
      </c>
      <c r="T117" s="38" t="s">
        <v>41</v>
      </c>
      <c r="U117" s="38" t="s">
        <v>42</v>
      </c>
      <c r="V117" s="38" t="s">
        <v>43</v>
      </c>
      <c r="W117" s="38" t="s">
        <v>44</v>
      </c>
      <c r="X117" s="38" t="s">
        <v>45</v>
      </c>
      <c r="Y117" s="38" t="s">
        <v>46</v>
      </c>
      <c r="Z117" s="38" t="s">
        <v>47</v>
      </c>
      <c r="AA117" s="38" t="s">
        <v>48</v>
      </c>
      <c r="AB117" s="38" t="s">
        <v>49</v>
      </c>
      <c r="AC117" s="38" t="s">
        <v>50</v>
      </c>
      <c r="AD117" s="38" t="s">
        <v>51</v>
      </c>
      <c r="AE117" s="38" t="s">
        <v>52</v>
      </c>
      <c r="AF117" s="38" t="s">
        <v>53</v>
      </c>
      <c r="AG117" s="38" t="s">
        <v>54</v>
      </c>
      <c r="AH117" s="38" t="s">
        <v>55</v>
      </c>
      <c r="AI117" s="38" t="s">
        <v>56</v>
      </c>
      <c r="AJ117" s="38" t="s">
        <v>57</v>
      </c>
      <c r="AK117" s="38" t="s">
        <v>58</v>
      </c>
      <c r="AL117" s="38" t="s">
        <v>59</v>
      </c>
      <c r="AM117" s="38" t="s">
        <v>60</v>
      </c>
      <c r="AN117" s="39" t="s">
        <v>61</v>
      </c>
    </row>
    <row r="118" spans="3:40">
      <c r="E118" s="38" t="s">
        <v>7</v>
      </c>
      <c r="F118" s="38">
        <v>0</v>
      </c>
      <c r="G118" s="38">
        <v>21.489</v>
      </c>
      <c r="H118" s="31">
        <v>76.56</v>
      </c>
      <c r="I118" s="38">
        <v>0</v>
      </c>
      <c r="J118" s="38">
        <v>0</v>
      </c>
      <c r="K118" s="38">
        <v>0</v>
      </c>
      <c r="L118" s="38">
        <v>8.7</v>
      </c>
      <c r="M118" s="31">
        <v>35.67</v>
      </c>
      <c r="N118" s="38">
        <v>0</v>
      </c>
      <c r="O118" s="38">
        <v>0</v>
      </c>
      <c r="P118" s="38">
        <v>0</v>
      </c>
      <c r="Q118" s="38">
        <v>0</v>
      </c>
      <c r="R118" s="38">
        <v>0</v>
      </c>
      <c r="S118" s="38">
        <v>0</v>
      </c>
      <c r="T118" s="38">
        <v>0</v>
      </c>
      <c r="U118" s="38">
        <v>0</v>
      </c>
      <c r="V118" s="38">
        <v>0</v>
      </c>
      <c r="W118" s="38">
        <v>0</v>
      </c>
      <c r="X118" s="38">
        <v>0</v>
      </c>
      <c r="Y118" s="38">
        <v>58.29</v>
      </c>
      <c r="Z118" s="38">
        <v>0</v>
      </c>
      <c r="AA118" s="38">
        <v>3.741</v>
      </c>
      <c r="AB118" s="38">
        <v>0</v>
      </c>
      <c r="AC118" s="38">
        <v>0</v>
      </c>
      <c r="AD118" s="38">
        <v>4.002</v>
      </c>
      <c r="AE118" s="38">
        <v>0</v>
      </c>
      <c r="AF118" s="38">
        <v>0</v>
      </c>
      <c r="AG118" s="38">
        <v>0</v>
      </c>
      <c r="AH118" s="38">
        <v>0.348</v>
      </c>
      <c r="AI118" s="38">
        <v>0</v>
      </c>
      <c r="AJ118" s="38">
        <v>0</v>
      </c>
      <c r="AK118" s="38">
        <v>0</v>
      </c>
      <c r="AL118" s="38">
        <v>0</v>
      </c>
      <c r="AM118" s="38">
        <v>0</v>
      </c>
      <c r="AN118" s="38">
        <v>0</v>
      </c>
    </row>
    <row r="119" spans="3:40">
      <c r="C119" t="s">
        <v>66</v>
      </c>
      <c r="E119" s="38" t="s">
        <v>10</v>
      </c>
      <c r="F119" s="38">
        <v>0</v>
      </c>
      <c r="G119" s="38">
        <v>0</v>
      </c>
      <c r="H119" s="31">
        <v>16.5</v>
      </c>
      <c r="I119" s="38">
        <v>0</v>
      </c>
      <c r="J119" s="38">
        <v>0</v>
      </c>
      <c r="K119" s="38">
        <v>0</v>
      </c>
      <c r="L119" s="38">
        <v>11.55</v>
      </c>
      <c r="M119" s="31">
        <v>18</v>
      </c>
      <c r="N119" s="38">
        <v>0</v>
      </c>
      <c r="O119" s="38">
        <v>0</v>
      </c>
      <c r="P119" s="38">
        <v>0</v>
      </c>
      <c r="Q119" s="38">
        <v>0</v>
      </c>
      <c r="R119" s="38">
        <v>0</v>
      </c>
      <c r="S119" s="38">
        <v>0</v>
      </c>
      <c r="T119" s="38">
        <v>0</v>
      </c>
      <c r="U119" s="38">
        <v>0</v>
      </c>
      <c r="V119" s="38">
        <v>0</v>
      </c>
      <c r="W119" s="38">
        <v>0</v>
      </c>
      <c r="X119" s="38">
        <v>0</v>
      </c>
      <c r="Y119" s="38">
        <v>0</v>
      </c>
      <c r="Z119" s="38">
        <v>0</v>
      </c>
      <c r="AA119" s="38">
        <v>29.7</v>
      </c>
      <c r="AB119" s="38">
        <v>0</v>
      </c>
      <c r="AC119" s="38">
        <v>0</v>
      </c>
      <c r="AD119" s="38">
        <v>447.75</v>
      </c>
      <c r="AE119" s="38">
        <v>31.5</v>
      </c>
      <c r="AF119" s="38">
        <v>0</v>
      </c>
      <c r="AG119" s="38">
        <v>0</v>
      </c>
      <c r="AH119" s="38">
        <v>0</v>
      </c>
      <c r="AI119" s="38">
        <v>0</v>
      </c>
      <c r="AJ119" s="38">
        <v>0</v>
      </c>
      <c r="AK119" s="38">
        <v>0</v>
      </c>
      <c r="AL119" s="38">
        <v>0</v>
      </c>
      <c r="AM119" s="38">
        <v>0</v>
      </c>
      <c r="AN119" s="38">
        <v>0</v>
      </c>
    </row>
    <row r="120" spans="3:40">
      <c r="E120" s="38" t="s">
        <v>12</v>
      </c>
      <c r="F120" s="38">
        <v>0</v>
      </c>
      <c r="G120" s="38">
        <v>169.176</v>
      </c>
      <c r="H120" s="31">
        <v>2.736</v>
      </c>
      <c r="I120" s="38">
        <v>0</v>
      </c>
      <c r="J120" s="38">
        <v>0</v>
      </c>
      <c r="K120" s="38">
        <v>0</v>
      </c>
      <c r="L120" s="38">
        <v>0</v>
      </c>
      <c r="M120" s="31">
        <v>0</v>
      </c>
      <c r="N120" s="38">
        <v>0</v>
      </c>
      <c r="O120" s="38">
        <v>0</v>
      </c>
      <c r="P120" s="38">
        <v>0</v>
      </c>
      <c r="Q120" s="38">
        <v>0</v>
      </c>
      <c r="R120" s="38">
        <v>0</v>
      </c>
      <c r="S120" s="38">
        <v>0</v>
      </c>
      <c r="T120" s="38">
        <v>0</v>
      </c>
      <c r="U120" s="38">
        <v>0</v>
      </c>
      <c r="V120" s="38">
        <v>0</v>
      </c>
      <c r="W120" s="38">
        <v>0</v>
      </c>
      <c r="X120" s="38">
        <v>0</v>
      </c>
      <c r="Y120" s="38">
        <v>2.66</v>
      </c>
      <c r="Z120" s="38">
        <v>0</v>
      </c>
      <c r="AA120" s="38">
        <v>3.648</v>
      </c>
      <c r="AB120" s="38">
        <v>0</v>
      </c>
      <c r="AC120" s="38">
        <v>0</v>
      </c>
      <c r="AD120" s="38">
        <v>33.288</v>
      </c>
      <c r="AE120" s="38">
        <v>6.612</v>
      </c>
      <c r="AF120" s="38">
        <v>0</v>
      </c>
      <c r="AG120" s="38">
        <v>0</v>
      </c>
      <c r="AH120" s="38">
        <v>0</v>
      </c>
      <c r="AI120" s="38">
        <v>0</v>
      </c>
      <c r="AJ120" s="38">
        <v>0</v>
      </c>
      <c r="AK120" s="38">
        <v>2.052</v>
      </c>
      <c r="AL120" s="38">
        <v>0</v>
      </c>
      <c r="AM120" s="38">
        <v>0</v>
      </c>
      <c r="AN120" s="38">
        <v>0</v>
      </c>
    </row>
    <row r="121" spans="3:40">
      <c r="C121" t="s">
        <v>67</v>
      </c>
      <c r="E121" s="38" t="s">
        <v>14</v>
      </c>
      <c r="F121" s="38">
        <v>0</v>
      </c>
      <c r="G121" s="38">
        <v>57.8</v>
      </c>
      <c r="H121" s="31">
        <v>28</v>
      </c>
      <c r="I121" s="38">
        <v>0</v>
      </c>
      <c r="J121" s="38">
        <v>0</v>
      </c>
      <c r="K121" s="38">
        <v>0</v>
      </c>
      <c r="L121" s="38">
        <v>5.9</v>
      </c>
      <c r="M121" s="31">
        <v>7.7</v>
      </c>
      <c r="N121" s="38">
        <v>0</v>
      </c>
      <c r="O121" s="38">
        <v>0</v>
      </c>
      <c r="P121" s="38">
        <v>0</v>
      </c>
      <c r="Q121" s="38">
        <v>0</v>
      </c>
      <c r="R121" s="38">
        <v>0</v>
      </c>
      <c r="S121" s="38">
        <v>0</v>
      </c>
      <c r="T121" s="38">
        <v>0</v>
      </c>
      <c r="U121" s="38">
        <v>8</v>
      </c>
      <c r="V121" s="38">
        <v>0</v>
      </c>
      <c r="W121" s="38">
        <v>0</v>
      </c>
      <c r="X121" s="38">
        <v>0</v>
      </c>
      <c r="Y121" s="38">
        <v>0</v>
      </c>
      <c r="Z121" s="38">
        <v>0</v>
      </c>
      <c r="AA121" s="38">
        <v>0</v>
      </c>
      <c r="AB121" s="38">
        <v>0</v>
      </c>
      <c r="AC121" s="38">
        <v>0</v>
      </c>
      <c r="AD121" s="38">
        <v>20.6</v>
      </c>
      <c r="AE121" s="38">
        <v>0</v>
      </c>
      <c r="AF121" s="38">
        <v>0</v>
      </c>
      <c r="AG121" s="38">
        <v>74</v>
      </c>
      <c r="AH121" s="38">
        <v>0</v>
      </c>
      <c r="AI121" s="38">
        <v>0</v>
      </c>
      <c r="AJ121" s="38">
        <v>0</v>
      </c>
      <c r="AK121" s="38">
        <v>0</v>
      </c>
      <c r="AL121" s="38">
        <v>0</v>
      </c>
      <c r="AM121" s="38">
        <v>0</v>
      </c>
      <c r="AN121" s="38">
        <v>0</v>
      </c>
    </row>
    <row r="122" spans="3:40">
      <c r="E122" s="38" t="s">
        <v>16</v>
      </c>
      <c r="F122" s="38">
        <v>0</v>
      </c>
      <c r="G122" s="38">
        <v>3.18</v>
      </c>
      <c r="H122" s="31">
        <v>190.44</v>
      </c>
      <c r="I122" s="38">
        <v>0</v>
      </c>
      <c r="J122" s="38">
        <v>0</v>
      </c>
      <c r="K122" s="38">
        <v>0</v>
      </c>
      <c r="L122" s="38">
        <v>116.38</v>
      </c>
      <c r="M122" s="31">
        <v>888.72</v>
      </c>
      <c r="N122" s="38">
        <v>0</v>
      </c>
      <c r="O122" s="38">
        <v>0</v>
      </c>
      <c r="P122" s="38">
        <v>0</v>
      </c>
      <c r="Q122" s="38">
        <v>10.16</v>
      </c>
      <c r="R122" s="38">
        <v>9.1</v>
      </c>
      <c r="S122" s="38">
        <v>0</v>
      </c>
      <c r="T122" s="38">
        <v>0</v>
      </c>
      <c r="U122" s="38">
        <v>80.4</v>
      </c>
      <c r="V122" s="38">
        <v>16.92</v>
      </c>
      <c r="W122" s="38">
        <v>0</v>
      </c>
      <c r="X122" s="38">
        <v>0</v>
      </c>
      <c r="Y122" s="38">
        <v>0</v>
      </c>
      <c r="Z122" s="38">
        <v>25.4</v>
      </c>
      <c r="AA122" s="38">
        <v>23.5</v>
      </c>
      <c r="AB122" s="38">
        <v>0</v>
      </c>
      <c r="AC122" s="38">
        <v>0</v>
      </c>
      <c r="AD122" s="38">
        <v>60.3</v>
      </c>
      <c r="AE122" s="38">
        <v>30.68</v>
      </c>
      <c r="AF122" s="38">
        <v>19.04</v>
      </c>
      <c r="AG122" s="38">
        <v>0</v>
      </c>
      <c r="AH122" s="38">
        <v>8.68</v>
      </c>
      <c r="AI122" s="38">
        <v>0</v>
      </c>
      <c r="AJ122" s="38">
        <v>0</v>
      </c>
      <c r="AK122" s="38">
        <v>3.38</v>
      </c>
      <c r="AL122" s="38">
        <v>0</v>
      </c>
      <c r="AM122" s="38">
        <v>0</v>
      </c>
      <c r="AN122" s="38">
        <v>0</v>
      </c>
    </row>
    <row r="123" spans="3:40">
      <c r="E123" s="38" t="s">
        <v>17</v>
      </c>
      <c r="F123" s="38">
        <v>0</v>
      </c>
      <c r="G123" s="38">
        <v>99.5</v>
      </c>
      <c r="H123" s="31">
        <v>20</v>
      </c>
      <c r="I123" s="38">
        <v>0</v>
      </c>
      <c r="J123" s="38">
        <v>0</v>
      </c>
      <c r="K123" s="38">
        <v>0</v>
      </c>
      <c r="L123" s="38">
        <v>0</v>
      </c>
      <c r="M123" s="31">
        <v>45</v>
      </c>
      <c r="N123" s="38">
        <v>0</v>
      </c>
      <c r="O123" s="38">
        <v>0</v>
      </c>
      <c r="P123" s="38">
        <v>0</v>
      </c>
      <c r="Q123" s="38">
        <v>0</v>
      </c>
      <c r="R123" s="38">
        <v>0</v>
      </c>
      <c r="S123" s="38">
        <v>0</v>
      </c>
      <c r="T123" s="38">
        <v>0</v>
      </c>
      <c r="U123" s="38">
        <v>0.75</v>
      </c>
      <c r="V123" s="38">
        <v>0</v>
      </c>
      <c r="W123" s="38">
        <v>0</v>
      </c>
      <c r="X123" s="38">
        <v>0</v>
      </c>
      <c r="Y123" s="38">
        <v>197.5</v>
      </c>
      <c r="Z123" s="38">
        <v>0</v>
      </c>
      <c r="AA123" s="38">
        <v>56.25</v>
      </c>
      <c r="AB123" s="38">
        <v>0</v>
      </c>
      <c r="AC123" s="38">
        <v>10.25</v>
      </c>
      <c r="AD123" s="38">
        <v>117.5</v>
      </c>
      <c r="AE123" s="38">
        <v>23.25</v>
      </c>
      <c r="AF123" s="38">
        <v>0</v>
      </c>
      <c r="AG123" s="38">
        <v>0</v>
      </c>
      <c r="AH123" s="38">
        <v>0</v>
      </c>
      <c r="AI123" s="38">
        <v>0</v>
      </c>
      <c r="AJ123" s="38">
        <v>0</v>
      </c>
      <c r="AK123" s="38">
        <v>0</v>
      </c>
      <c r="AL123" s="38">
        <v>0</v>
      </c>
      <c r="AM123" s="38">
        <v>0</v>
      </c>
      <c r="AN123" s="38">
        <v>0</v>
      </c>
    </row>
    <row r="124" spans="3:40">
      <c r="E124" s="38" t="s">
        <v>18</v>
      </c>
      <c r="F124" s="38">
        <v>0</v>
      </c>
      <c r="G124" s="38">
        <v>170.1</v>
      </c>
      <c r="H124" s="31">
        <v>0</v>
      </c>
      <c r="I124" s="38">
        <v>0.45</v>
      </c>
      <c r="J124" s="38">
        <v>0</v>
      </c>
      <c r="K124" s="38">
        <v>0</v>
      </c>
      <c r="L124" s="38">
        <v>61.2</v>
      </c>
      <c r="M124" s="31">
        <v>1143</v>
      </c>
      <c r="N124" s="38">
        <v>0</v>
      </c>
      <c r="O124" s="38">
        <v>0</v>
      </c>
      <c r="P124" s="38">
        <v>0</v>
      </c>
      <c r="Q124" s="38">
        <v>0.18</v>
      </c>
      <c r="R124" s="38">
        <v>0</v>
      </c>
      <c r="S124" s="38">
        <v>0</v>
      </c>
      <c r="T124" s="38">
        <v>0</v>
      </c>
      <c r="U124" s="38">
        <v>25.2</v>
      </c>
      <c r="V124" s="38">
        <v>0</v>
      </c>
      <c r="W124" s="38">
        <v>0</v>
      </c>
      <c r="X124" s="38">
        <v>0</v>
      </c>
      <c r="Y124" s="38">
        <v>0</v>
      </c>
      <c r="Z124" s="38">
        <v>0</v>
      </c>
      <c r="AA124" s="38">
        <v>18.81</v>
      </c>
      <c r="AB124" s="38">
        <v>6.3</v>
      </c>
      <c r="AC124" s="38">
        <v>0</v>
      </c>
      <c r="AD124" s="38">
        <v>20.61</v>
      </c>
      <c r="AE124" s="38">
        <v>18</v>
      </c>
      <c r="AF124" s="38">
        <v>0</v>
      </c>
      <c r="AG124" s="38">
        <v>0</v>
      </c>
      <c r="AH124" s="38">
        <v>0</v>
      </c>
      <c r="AI124" s="38">
        <v>0</v>
      </c>
      <c r="AJ124" s="38">
        <v>0</v>
      </c>
      <c r="AK124" s="38">
        <v>2.7</v>
      </c>
      <c r="AL124" s="38">
        <v>0</v>
      </c>
      <c r="AM124" s="38">
        <v>1.08</v>
      </c>
      <c r="AN124" s="38">
        <v>0</v>
      </c>
    </row>
    <row r="128" spans="3:40">
      <c r="C128" t="s">
        <v>68</v>
      </c>
    </row>
    <row r="130" spans="3:3">
      <c r="C130" t="s">
        <v>69</v>
      </c>
    </row>
    <row r="141" spans="3:3">
      <c r="C141" t="s">
        <v>70</v>
      </c>
    </row>
    <row r="152" spans="3:41">
      <c r="C152" s="31"/>
      <c r="D152" s="30"/>
      <c r="E152" s="31"/>
      <c r="F152" s="31"/>
      <c r="G152" s="31"/>
      <c r="I152" s="30"/>
      <c r="J152" s="30"/>
      <c r="K152" s="31"/>
      <c r="L152" s="31"/>
      <c r="N152" s="30"/>
      <c r="O152" s="30"/>
      <c r="P152" s="31"/>
      <c r="Q152" s="30"/>
      <c r="R152" s="31"/>
      <c r="S152" s="30"/>
      <c r="T152" s="31"/>
      <c r="U152" s="31"/>
      <c r="V152" s="30"/>
      <c r="W152" s="30"/>
      <c r="X152" s="30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0"/>
      <c r="AK152" s="31"/>
      <c r="AL152" s="30"/>
      <c r="AM152" s="31"/>
      <c r="AN152" s="30"/>
      <c r="AO152" s="31"/>
    </row>
    <row r="153" spans="3:41">
      <c r="C153" s="34"/>
      <c r="D153" s="30"/>
      <c r="E153" s="31"/>
      <c r="F153" s="31"/>
      <c r="G153" s="31"/>
      <c r="I153" s="30"/>
      <c r="J153" s="30"/>
      <c r="K153" s="31"/>
      <c r="L153" s="31"/>
      <c r="N153" s="30"/>
      <c r="O153" s="30"/>
      <c r="P153" s="31"/>
      <c r="Q153" s="30"/>
      <c r="R153" s="31"/>
      <c r="S153" s="30"/>
      <c r="T153" s="31"/>
      <c r="U153" s="31"/>
      <c r="V153" s="30"/>
      <c r="W153" s="30"/>
      <c r="X153" s="30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0"/>
      <c r="AK153" s="31"/>
      <c r="AL153" s="30"/>
      <c r="AM153" s="31"/>
      <c r="AN153" s="30"/>
      <c r="AO153" s="31"/>
    </row>
    <row r="154" spans="3:41">
      <c r="C154" s="31"/>
      <c r="D154" s="30"/>
      <c r="E154" s="31"/>
      <c r="F154" s="31"/>
      <c r="G154" s="31"/>
      <c r="I154" s="30"/>
      <c r="J154" s="30"/>
      <c r="K154" s="31"/>
      <c r="L154" s="31"/>
      <c r="N154" s="30"/>
      <c r="O154" s="30"/>
      <c r="P154" s="31"/>
      <c r="Q154" s="30"/>
      <c r="R154" s="31"/>
      <c r="S154" s="30"/>
      <c r="T154" s="31"/>
      <c r="U154" s="31"/>
      <c r="V154" s="30"/>
      <c r="W154" s="30"/>
      <c r="X154" s="30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0"/>
      <c r="AK154" s="31"/>
      <c r="AL154" s="30"/>
      <c r="AM154" s="31"/>
      <c r="AN154" s="30"/>
      <c r="AO154" s="31"/>
    </row>
    <row r="155" spans="3:41">
      <c r="C155" s="31"/>
      <c r="D155" s="30"/>
      <c r="E155" s="31"/>
      <c r="F155" s="31"/>
      <c r="G155" s="31"/>
      <c r="I155" s="30"/>
      <c r="J155" s="30"/>
      <c r="K155" s="31"/>
      <c r="L155" s="31"/>
      <c r="N155" s="30"/>
      <c r="O155" s="30"/>
      <c r="P155" s="31"/>
      <c r="Q155" s="30"/>
      <c r="R155" s="31"/>
      <c r="S155" s="30"/>
      <c r="T155" s="31"/>
      <c r="U155" s="31"/>
      <c r="V155" s="30"/>
      <c r="W155" s="30"/>
      <c r="X155" s="30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0"/>
      <c r="AK155" s="31"/>
      <c r="AL155" s="30"/>
      <c r="AM155" s="31"/>
      <c r="AN155" s="30"/>
      <c r="AO155" s="31"/>
    </row>
    <row r="156" spans="3:41">
      <c r="C156" s="31"/>
      <c r="D156" s="30"/>
      <c r="E156" s="31"/>
      <c r="F156" s="31"/>
      <c r="G156" s="31"/>
      <c r="I156" s="30"/>
      <c r="J156" s="30"/>
      <c r="K156" s="31"/>
      <c r="L156" s="31"/>
      <c r="N156" s="30"/>
      <c r="O156" s="30"/>
      <c r="P156" s="31"/>
      <c r="Q156" s="30"/>
      <c r="R156" s="31"/>
      <c r="S156" s="30"/>
      <c r="T156" s="31"/>
      <c r="U156" s="31"/>
      <c r="V156" s="30"/>
      <c r="W156" s="30"/>
      <c r="X156" s="30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0"/>
      <c r="AK156" s="31"/>
      <c r="AL156" s="30"/>
      <c r="AM156" s="31"/>
      <c r="AN156" s="30"/>
      <c r="AO156" s="31"/>
    </row>
    <row r="157" spans="3:41">
      <c r="C157" s="31"/>
      <c r="D157" s="30"/>
      <c r="E157" s="31"/>
      <c r="F157" s="31"/>
      <c r="G157" s="31"/>
      <c r="I157" s="30"/>
      <c r="J157" s="30"/>
      <c r="K157" s="31"/>
      <c r="L157" s="31"/>
      <c r="N157" s="30"/>
      <c r="O157" s="30"/>
      <c r="P157" s="31"/>
      <c r="Q157" s="30"/>
      <c r="R157" s="31"/>
      <c r="S157" s="30"/>
      <c r="T157" s="31"/>
      <c r="U157" s="31"/>
      <c r="V157" s="30"/>
      <c r="W157" s="30"/>
      <c r="X157" s="30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0"/>
      <c r="AK157" s="31"/>
      <c r="AL157" s="30"/>
      <c r="AM157" s="31"/>
      <c r="AN157" s="30"/>
      <c r="AO157" s="31"/>
    </row>
    <row r="158" spans="3:41">
      <c r="C158" s="31"/>
      <c r="D158" s="30"/>
      <c r="E158" s="31"/>
      <c r="F158" s="31"/>
      <c r="G158" s="31"/>
      <c r="I158" s="30"/>
      <c r="J158" s="30"/>
      <c r="K158" s="31"/>
      <c r="L158" s="31"/>
      <c r="N158" s="30"/>
      <c r="O158" s="30"/>
      <c r="P158" s="31"/>
      <c r="Q158" s="30"/>
      <c r="R158" s="31"/>
      <c r="S158" s="30"/>
      <c r="T158" s="31"/>
      <c r="U158" s="31"/>
      <c r="V158" s="30"/>
      <c r="W158" s="30"/>
      <c r="X158" s="30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0"/>
      <c r="AK158" s="31"/>
      <c r="AL158" s="30"/>
      <c r="AM158" s="31"/>
      <c r="AN158" s="30"/>
      <c r="AO158" s="31"/>
    </row>
    <row r="159" spans="3:41">
      <c r="C159" s="31"/>
      <c r="D159" s="30"/>
      <c r="E159" s="31"/>
      <c r="F159" s="31"/>
      <c r="G159" s="31"/>
      <c r="I159" s="30"/>
      <c r="J159" s="30"/>
      <c r="K159" s="31"/>
      <c r="L159" s="31"/>
      <c r="N159" s="30"/>
      <c r="O159" s="30"/>
      <c r="P159" s="31"/>
      <c r="Q159" s="30"/>
      <c r="R159" s="31"/>
      <c r="S159" s="30"/>
      <c r="T159" s="31"/>
      <c r="U159" s="31"/>
      <c r="V159" s="30"/>
      <c r="W159" s="30"/>
      <c r="X159" s="30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0"/>
      <c r="AK159" s="31"/>
      <c r="AL159" s="30"/>
      <c r="AM159" s="31"/>
      <c r="AN159" s="30"/>
      <c r="AO159" s="31"/>
    </row>
    <row r="160" spans="3:41">
      <c r="C160" s="31"/>
      <c r="D160" s="30"/>
      <c r="E160" s="31"/>
      <c r="F160" s="31"/>
      <c r="G160" s="31"/>
      <c r="I160" s="30"/>
      <c r="J160" s="30"/>
      <c r="K160" s="31"/>
      <c r="L160" s="31"/>
      <c r="N160" s="30"/>
      <c r="O160" s="30"/>
      <c r="P160" s="31"/>
      <c r="Q160" s="30"/>
      <c r="R160" s="31"/>
      <c r="S160" s="30"/>
      <c r="T160" s="31"/>
      <c r="U160" s="31"/>
      <c r="V160" s="30"/>
      <c r="W160" s="30"/>
      <c r="X160" s="30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0"/>
      <c r="AK160" s="31"/>
      <c r="AL160" s="30"/>
      <c r="AM160" s="31"/>
      <c r="AN160" s="30"/>
      <c r="AO160" s="31"/>
    </row>
    <row r="161" spans="3:41">
      <c r="C161" s="31"/>
      <c r="D161" s="30"/>
      <c r="E161" s="31"/>
      <c r="F161" s="31"/>
      <c r="G161" s="31"/>
      <c r="I161" s="30"/>
      <c r="J161" s="30"/>
      <c r="K161" s="31"/>
      <c r="L161" s="31"/>
      <c r="N161" s="30"/>
      <c r="O161" s="30"/>
      <c r="P161" s="31"/>
      <c r="Q161" s="30"/>
      <c r="R161" s="31"/>
      <c r="S161" s="30"/>
      <c r="T161" s="31"/>
      <c r="U161" s="31"/>
      <c r="V161" s="30"/>
      <c r="W161" s="30"/>
      <c r="X161" s="30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0"/>
      <c r="AK161" s="31"/>
      <c r="AL161" s="30"/>
      <c r="AM161" s="31"/>
      <c r="AN161" s="30"/>
      <c r="AO161" s="31"/>
    </row>
    <row r="162" spans="3:41">
      <c r="C162" s="31"/>
      <c r="D162" s="34"/>
      <c r="E162" s="34"/>
      <c r="F162" s="34"/>
      <c r="G162" s="31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</row>
    <row r="163" spans="3:41">
      <c r="C163" s="34"/>
      <c r="D163" s="34"/>
      <c r="E163" s="34"/>
      <c r="F163" s="34"/>
      <c r="G163" s="30"/>
      <c r="H163" s="30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0"/>
    </row>
    <row r="164" ht="16" customHeight="1" spans="3:41">
      <c r="C164" s="40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0"/>
    </row>
    <row r="165" ht="16" customHeight="1" spans="3:41">
      <c r="C165" s="40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0"/>
    </row>
    <row r="166" ht="16" customHeight="1" spans="3:41">
      <c r="C166" s="40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0"/>
    </row>
    <row r="167" ht="16" customHeight="1" spans="3:41">
      <c r="C167" s="40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0"/>
    </row>
    <row r="168" ht="16" customHeight="1" spans="3:41">
      <c r="C168" s="40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0"/>
    </row>
    <row r="169" ht="16" customHeight="1" spans="3:41">
      <c r="C169" s="40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0"/>
    </row>
    <row r="170" ht="16" customHeight="1" spans="3:41">
      <c r="C170" s="40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0"/>
    </row>
    <row r="171" ht="16" customHeight="1" spans="3:41">
      <c r="C171" s="40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0"/>
    </row>
    <row r="172" ht="16" customHeight="1" spans="3:41">
      <c r="C172" s="40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0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80"/>
  <sheetViews>
    <sheetView zoomScale="42" zoomScaleNormal="42" workbookViewId="0">
      <selection activeCell="B57" sqref="B57"/>
    </sheetView>
  </sheetViews>
  <sheetFormatPr defaultColWidth="8.72727272727273" defaultRowHeight="14.5"/>
  <cols>
    <col min="1" max="1" width="114.090909090909" style="1" customWidth="1"/>
    <col min="5" max="6" width="9.63636363636364" style="1" customWidth="1"/>
    <col min="11" max="11" width="9.63636363636364" style="1" customWidth="1"/>
    <col min="23" max="23" width="9.63636363636364" style="1" customWidth="1"/>
    <col min="25" max="25" width="9.63636363636364" style="1" customWidth="1"/>
    <col min="28" max="28" width="9.63636363636364" style="1" customWidth="1"/>
    <col min="31" max="31" width="9.63636363636364" style="1" customWidth="1"/>
  </cols>
  <sheetData>
    <row r="1" ht="18" customHeight="1" spans="1:40">
      <c r="A1" s="5" t="s">
        <v>71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</row>
    <row r="2" spans="1:40">
      <c r="A2" s="7" t="s">
        <v>72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</row>
    <row r="3" spans="1:40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</row>
    <row r="4" spans="1:40">
      <c r="A4" s="8" t="s">
        <v>73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</row>
    <row r="5" spans="1:40">
      <c r="A5" s="9" t="s">
        <v>74</v>
      </c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</row>
    <row r="6" spans="1:40">
      <c r="A6" s="9" t="s">
        <v>75</v>
      </c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</row>
    <row r="7" spans="1:40">
      <c r="A7" s="9" t="s">
        <v>76</v>
      </c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</row>
    <row r="8" spans="1:40">
      <c r="A8" s="9" t="s">
        <v>77</v>
      </c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</row>
    <row r="9" spans="1:40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</row>
    <row r="10" spans="1:40">
      <c r="A10" s="10" t="s">
        <v>78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</row>
    <row r="11" ht="46" customHeight="1" spans="1:40">
      <c r="A11" s="11" t="s">
        <v>79</v>
      </c>
      <c r="B11" s="11" t="s">
        <v>80</v>
      </c>
      <c r="C11" s="11" t="s">
        <v>81</v>
      </c>
      <c r="D11" s="11" t="s">
        <v>82</v>
      </c>
      <c r="E11" s="11" t="s">
        <v>83</v>
      </c>
      <c r="F11" s="11" t="s">
        <v>84</v>
      </c>
      <c r="G11" s="11" t="s">
        <v>85</v>
      </c>
      <c r="H11" s="11" t="s">
        <v>86</v>
      </c>
      <c r="I11" s="11" t="s">
        <v>87</v>
      </c>
      <c r="J11" s="11" t="s">
        <v>88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</row>
    <row r="12" spans="1:40">
      <c r="A12" s="12" t="s">
        <v>89</v>
      </c>
      <c r="B12" s="13" t="s">
        <v>0</v>
      </c>
      <c r="C12" s="13" t="s">
        <v>90</v>
      </c>
      <c r="D12" s="14">
        <v>30000</v>
      </c>
      <c r="E12" s="13" t="s">
        <v>91</v>
      </c>
      <c r="F12" s="15">
        <v>0.7</v>
      </c>
      <c r="G12" s="16">
        <f t="shared" ref="G12:G17" si="0">D12*F12</f>
        <v>21000</v>
      </c>
      <c r="H12" s="17">
        <v>0.87</v>
      </c>
      <c r="I12" s="18">
        <v>1</v>
      </c>
      <c r="J12" s="18">
        <v>10</v>
      </c>
      <c r="K12" s="6"/>
      <c r="L12" s="6"/>
      <c r="M12" s="19">
        <v>2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</row>
    <row r="13" spans="1:40">
      <c r="A13" s="20" t="s">
        <v>92</v>
      </c>
      <c r="B13" s="21" t="s">
        <v>6</v>
      </c>
      <c r="C13" s="21" t="s">
        <v>93</v>
      </c>
      <c r="D13" s="22">
        <v>11000</v>
      </c>
      <c r="E13" s="21" t="s">
        <v>91</v>
      </c>
      <c r="F13" s="15">
        <v>0.7</v>
      </c>
      <c r="G13" s="23">
        <f t="shared" si="0"/>
        <v>7700</v>
      </c>
      <c r="H13" s="17">
        <v>0.759</v>
      </c>
      <c r="I13" s="18">
        <v>1</v>
      </c>
      <c r="J13" s="18">
        <v>10</v>
      </c>
      <c r="K13" s="6"/>
      <c r="L13" s="6"/>
      <c r="M13" s="19">
        <v>1.8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 spans="1:40">
      <c r="A14" s="12" t="s">
        <v>94</v>
      </c>
      <c r="B14" s="13" t="s">
        <v>2</v>
      </c>
      <c r="C14" s="13" t="s">
        <v>95</v>
      </c>
      <c r="D14" s="14">
        <v>130000</v>
      </c>
      <c r="E14" s="13" t="s">
        <v>91</v>
      </c>
      <c r="F14" s="15">
        <v>0.7</v>
      </c>
      <c r="G14" s="16">
        <f t="shared" si="0"/>
        <v>91000</v>
      </c>
      <c r="H14" s="17">
        <v>0.154</v>
      </c>
      <c r="I14" s="18">
        <v>1</v>
      </c>
      <c r="J14" s="18">
        <v>10</v>
      </c>
      <c r="K14" s="6"/>
      <c r="L14" s="6"/>
      <c r="M14" s="19">
        <v>1.8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 spans="1:40">
      <c r="A15" s="20" t="s">
        <v>96</v>
      </c>
      <c r="B15" s="21" t="s">
        <v>9</v>
      </c>
      <c r="C15" s="21" t="s">
        <v>97</v>
      </c>
      <c r="D15" s="22">
        <v>1700</v>
      </c>
      <c r="E15" s="21" t="s">
        <v>98</v>
      </c>
      <c r="F15" s="15">
        <v>0.7</v>
      </c>
      <c r="G15" s="23">
        <f t="shared" si="0"/>
        <v>1190</v>
      </c>
      <c r="H15" s="17">
        <v>0.01</v>
      </c>
      <c r="I15" s="18">
        <v>1</v>
      </c>
      <c r="J15" s="18">
        <v>10</v>
      </c>
      <c r="K15" s="6"/>
      <c r="L15" s="6"/>
      <c r="M15" s="19">
        <v>2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 spans="1:40">
      <c r="A16" s="12" t="s">
        <v>99</v>
      </c>
      <c r="B16" s="13" t="s">
        <v>13</v>
      </c>
      <c r="C16" s="13" t="s">
        <v>100</v>
      </c>
      <c r="D16" s="14">
        <v>980</v>
      </c>
      <c r="E16" s="13" t="s">
        <v>98</v>
      </c>
      <c r="F16" s="15">
        <v>0.7</v>
      </c>
      <c r="G16" s="16">
        <f t="shared" si="0"/>
        <v>686</v>
      </c>
      <c r="H16" s="17">
        <v>0.026</v>
      </c>
      <c r="I16" s="18">
        <v>1</v>
      </c>
      <c r="J16" s="18">
        <v>10</v>
      </c>
      <c r="K16" s="6"/>
      <c r="L16" s="6"/>
      <c r="M16" s="19">
        <v>1.8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 spans="1:40">
      <c r="A17" s="20" t="s">
        <v>101</v>
      </c>
      <c r="B17" s="21" t="s">
        <v>15</v>
      </c>
      <c r="C17" s="21" t="s">
        <v>102</v>
      </c>
      <c r="D17" s="22">
        <v>290000</v>
      </c>
      <c r="E17" s="21" t="s">
        <v>91</v>
      </c>
      <c r="F17" s="15">
        <v>0.7</v>
      </c>
      <c r="G17" s="23">
        <f t="shared" si="0"/>
        <v>203000</v>
      </c>
      <c r="H17" s="17">
        <v>0.917</v>
      </c>
      <c r="I17" s="18">
        <v>1</v>
      </c>
      <c r="J17" s="18">
        <v>10</v>
      </c>
      <c r="K17" s="6"/>
      <c r="L17" s="6"/>
      <c r="M17" s="19">
        <v>2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8" spans="1:40">
      <c r="A18" s="7" t="s">
        <v>103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</row>
    <row r="19" spans="1:40">
      <c r="A19" s="7" t="s">
        <v>104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</row>
    <row r="20" spans="1:40">
      <c r="A20" s="7" t="s">
        <v>105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</row>
    <row r="21" spans="1:40">
      <c r="A21" s="7" t="s">
        <v>106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</row>
    <row r="22" spans="1:40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</row>
    <row r="23" spans="1:40">
      <c r="A23" s="10" t="s">
        <v>107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</row>
    <row r="24" ht="23" customHeight="1" spans="1:40">
      <c r="A24" s="11" t="s">
        <v>79</v>
      </c>
      <c r="B24" s="11" t="s">
        <v>108</v>
      </c>
      <c r="C24" s="11" t="s">
        <v>109</v>
      </c>
      <c r="D24" s="11" t="s">
        <v>27</v>
      </c>
      <c r="E24" s="11" t="s">
        <v>28</v>
      </c>
      <c r="F24" s="11" t="s">
        <v>29</v>
      </c>
      <c r="G24" s="11" t="s">
        <v>30</v>
      </c>
      <c r="H24" s="11" t="s">
        <v>31</v>
      </c>
      <c r="I24" s="11" t="s">
        <v>32</v>
      </c>
      <c r="J24" s="11" t="s">
        <v>33</v>
      </c>
      <c r="K24" s="11" t="s">
        <v>34</v>
      </c>
      <c r="L24" s="11" t="s">
        <v>35</v>
      </c>
      <c r="M24" s="11" t="s">
        <v>36</v>
      </c>
      <c r="N24" s="11" t="s">
        <v>37</v>
      </c>
      <c r="O24" s="11" t="s">
        <v>38</v>
      </c>
      <c r="P24" s="11" t="s">
        <v>39</v>
      </c>
      <c r="Q24" s="11" t="s">
        <v>40</v>
      </c>
      <c r="R24" s="11" t="s">
        <v>41</v>
      </c>
      <c r="S24" s="11" t="s">
        <v>42</v>
      </c>
      <c r="T24" s="11" t="s">
        <v>43</v>
      </c>
      <c r="U24" s="11" t="s">
        <v>44</v>
      </c>
      <c r="V24" s="11" t="s">
        <v>45</v>
      </c>
      <c r="W24" s="11" t="s">
        <v>46</v>
      </c>
      <c r="X24" s="11" t="s">
        <v>47</v>
      </c>
      <c r="Y24" s="11" t="s">
        <v>48</v>
      </c>
      <c r="Z24" s="11" t="s">
        <v>49</v>
      </c>
      <c r="AA24" s="11" t="s">
        <v>50</v>
      </c>
      <c r="AB24" s="11" t="s">
        <v>51</v>
      </c>
      <c r="AC24" s="11" t="s">
        <v>52</v>
      </c>
      <c r="AD24" s="11" t="s">
        <v>53</v>
      </c>
      <c r="AE24" s="11" t="s">
        <v>54</v>
      </c>
      <c r="AF24" s="11" t="s">
        <v>55</v>
      </c>
      <c r="AG24" s="11" t="s">
        <v>56</v>
      </c>
      <c r="AH24" s="11" t="s">
        <v>57</v>
      </c>
      <c r="AI24" s="11" t="s">
        <v>58</v>
      </c>
      <c r="AJ24" s="11" t="s">
        <v>59</v>
      </c>
      <c r="AK24" s="11" t="s">
        <v>60</v>
      </c>
      <c r="AL24" s="11" t="s">
        <v>61</v>
      </c>
      <c r="AM24" s="6"/>
      <c r="AN24" s="6"/>
    </row>
    <row r="25" spans="1:40">
      <c r="A25" s="20" t="s">
        <v>89</v>
      </c>
      <c r="B25" s="20" t="s">
        <v>91</v>
      </c>
      <c r="C25" s="24">
        <f t="shared" ref="C25:C30" si="1">SUM(D25:AL25)</f>
        <v>30000</v>
      </c>
      <c r="D25" s="14">
        <v>0</v>
      </c>
      <c r="E25" s="14">
        <v>494</v>
      </c>
      <c r="F25" s="14">
        <v>7000</v>
      </c>
      <c r="G25" s="14">
        <v>0</v>
      </c>
      <c r="H25" s="14">
        <v>0</v>
      </c>
      <c r="I25" s="14">
        <v>0</v>
      </c>
      <c r="J25" s="14">
        <v>0</v>
      </c>
      <c r="K25" s="14">
        <v>3000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13690</v>
      </c>
      <c r="X25" s="14">
        <v>0</v>
      </c>
      <c r="Y25" s="14">
        <v>3000</v>
      </c>
      <c r="Z25" s="14">
        <v>0</v>
      </c>
      <c r="AA25" s="14">
        <v>0</v>
      </c>
      <c r="AB25" s="25">
        <f>MAX(0,$D$12-(D25+E25+F25+G25+H25+I25+J25+K25+L25+M25+N25+O25+P25+Q25+R25+S25+T25+U25+V25+W25+X25+Y25+Z25+AA25+AC25+AD25+AE25+AF25+AG25+AH25+AI25+AJ25+AK25+AL25))</f>
        <v>2756</v>
      </c>
      <c r="AC25" s="14">
        <v>0</v>
      </c>
      <c r="AD25" s="14">
        <v>0</v>
      </c>
      <c r="AE25" s="14">
        <v>0</v>
      </c>
      <c r="AF25" s="14">
        <v>60</v>
      </c>
      <c r="AG25" s="14">
        <v>0</v>
      </c>
      <c r="AH25" s="14">
        <v>0</v>
      </c>
      <c r="AI25" s="14">
        <v>0</v>
      </c>
      <c r="AJ25" s="14">
        <v>0</v>
      </c>
      <c r="AK25" s="14">
        <v>0</v>
      </c>
      <c r="AL25" s="14">
        <v>0</v>
      </c>
      <c r="AM25" s="6"/>
      <c r="AN25" s="6"/>
    </row>
    <row r="26" spans="1:40">
      <c r="A26" s="20" t="s">
        <v>92</v>
      </c>
      <c r="B26" s="20" t="s">
        <v>91</v>
      </c>
      <c r="C26" s="24">
        <f t="shared" si="1"/>
        <v>11000</v>
      </c>
      <c r="D26" s="22">
        <v>0</v>
      </c>
      <c r="E26" s="22">
        <v>6100</v>
      </c>
      <c r="F26" s="22">
        <v>1700</v>
      </c>
      <c r="G26" s="22">
        <v>0</v>
      </c>
      <c r="H26" s="22">
        <v>0</v>
      </c>
      <c r="I26" s="22">
        <v>0</v>
      </c>
      <c r="J26" s="22">
        <v>0</v>
      </c>
      <c r="K26" s="22"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v>0</v>
      </c>
      <c r="T26" s="22">
        <v>0</v>
      </c>
      <c r="U26" s="22">
        <v>0</v>
      </c>
      <c r="V26" s="22">
        <v>0</v>
      </c>
      <c r="W26" s="22">
        <v>500</v>
      </c>
      <c r="X26" s="22">
        <v>0</v>
      </c>
      <c r="Y26" s="22">
        <v>290</v>
      </c>
      <c r="Z26" s="22">
        <v>0</v>
      </c>
      <c r="AA26" s="22">
        <v>0</v>
      </c>
      <c r="AB26" s="25">
        <f>MAX(0,$D$13-(D26+E26+F26+G26+H26+I26+J26+K26+L26+M26+N26+O26+P26+Q26+R26+S26+T26+U26+V26+W26+X26+Y26+Z26+AA26+AC26+AD26+AE26+AF26+AG26+AH26+AI26+AJ26+AK26+AL26))</f>
        <v>2069</v>
      </c>
      <c r="AC26" s="22">
        <v>250</v>
      </c>
      <c r="AD26" s="22">
        <v>0</v>
      </c>
      <c r="AE26" s="22">
        <v>0</v>
      </c>
      <c r="AF26" s="22">
        <v>0</v>
      </c>
      <c r="AG26" s="22">
        <v>0</v>
      </c>
      <c r="AH26" s="22">
        <v>0</v>
      </c>
      <c r="AI26" s="22">
        <v>91</v>
      </c>
      <c r="AJ26" s="22">
        <v>0</v>
      </c>
      <c r="AK26" s="22">
        <v>0</v>
      </c>
      <c r="AL26" s="22">
        <v>0</v>
      </c>
      <c r="AM26" s="6"/>
      <c r="AN26" s="6"/>
    </row>
    <row r="27" spans="1:40">
      <c r="A27" s="20" t="s">
        <v>94</v>
      </c>
      <c r="B27" s="20" t="s">
        <v>91</v>
      </c>
      <c r="C27" s="24">
        <f t="shared" si="1"/>
        <v>130000</v>
      </c>
      <c r="D27" s="14">
        <v>0</v>
      </c>
      <c r="E27" s="14">
        <v>0</v>
      </c>
      <c r="F27" s="14">
        <v>24000</v>
      </c>
      <c r="G27" s="14">
        <v>0</v>
      </c>
      <c r="H27" s="14">
        <v>0</v>
      </c>
      <c r="I27" s="14">
        <v>0</v>
      </c>
      <c r="J27" s="14">
        <v>0</v>
      </c>
      <c r="K27" s="14">
        <v>4400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16000</v>
      </c>
      <c r="X27" s="14">
        <v>0</v>
      </c>
      <c r="Y27" s="14">
        <v>2510</v>
      </c>
      <c r="Z27" s="14">
        <v>0</v>
      </c>
      <c r="AA27" s="14">
        <v>0</v>
      </c>
      <c r="AB27" s="25">
        <f>MAX(0,$D$14-(D27+E27+F27+G27+H27+I27+J27+K27+L27+M27+N27+O27+P27+Q27+R27+S27+T27+U27+V27+W27+X27+Y27+Z27+AA27+AC27+AD27+AE27+AF27+AG27+AH27+AI27+AJ27+AK27+AL27))</f>
        <v>74790</v>
      </c>
      <c r="AC27" s="14">
        <v>8300</v>
      </c>
      <c r="AD27" s="14">
        <v>0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6"/>
      <c r="AN27" s="6"/>
    </row>
    <row r="28" spans="1:40">
      <c r="A28" s="20" t="s">
        <v>96</v>
      </c>
      <c r="B28" s="20" t="s">
        <v>91</v>
      </c>
      <c r="C28" s="24">
        <f t="shared" si="1"/>
        <v>1718000</v>
      </c>
      <c r="D28" s="22">
        <f t="shared" ref="D28:AL28" si="2">D32*1000</f>
        <v>0</v>
      </c>
      <c r="E28" s="22">
        <f t="shared" si="2"/>
        <v>74000</v>
      </c>
      <c r="F28" s="22">
        <f t="shared" si="2"/>
        <v>500000</v>
      </c>
      <c r="G28" s="22">
        <f t="shared" si="2"/>
        <v>0</v>
      </c>
      <c r="H28" s="22">
        <f t="shared" si="2"/>
        <v>0</v>
      </c>
      <c r="I28" s="22">
        <f t="shared" si="2"/>
        <v>0</v>
      </c>
      <c r="J28" s="22">
        <f t="shared" si="2"/>
        <v>0</v>
      </c>
      <c r="K28" s="22">
        <f t="shared" si="2"/>
        <v>280000</v>
      </c>
      <c r="L28" s="22">
        <f t="shared" si="2"/>
        <v>0</v>
      </c>
      <c r="M28" s="22">
        <f t="shared" si="2"/>
        <v>0</v>
      </c>
      <c r="N28" s="22">
        <f t="shared" si="2"/>
        <v>0</v>
      </c>
      <c r="O28" s="22">
        <f t="shared" si="2"/>
        <v>0</v>
      </c>
      <c r="P28" s="22">
        <f t="shared" si="2"/>
        <v>0</v>
      </c>
      <c r="Q28" s="22">
        <f t="shared" si="2"/>
        <v>0</v>
      </c>
      <c r="R28" s="22">
        <f t="shared" si="2"/>
        <v>0</v>
      </c>
      <c r="S28" s="22">
        <f t="shared" si="2"/>
        <v>34000</v>
      </c>
      <c r="T28" s="22">
        <f t="shared" si="2"/>
        <v>0</v>
      </c>
      <c r="U28" s="22">
        <f t="shared" si="2"/>
        <v>0</v>
      </c>
      <c r="V28" s="22">
        <f t="shared" si="2"/>
        <v>0</v>
      </c>
      <c r="W28" s="22">
        <f t="shared" si="2"/>
        <v>270000</v>
      </c>
      <c r="X28" s="22">
        <f t="shared" si="2"/>
        <v>0</v>
      </c>
      <c r="Y28" s="22">
        <f t="shared" si="2"/>
        <v>0</v>
      </c>
      <c r="Z28" s="22">
        <f t="shared" si="2"/>
        <v>0</v>
      </c>
      <c r="AA28" s="22">
        <f t="shared" si="2"/>
        <v>0</v>
      </c>
      <c r="AB28" s="22">
        <f t="shared" si="2"/>
        <v>0</v>
      </c>
      <c r="AC28" s="22">
        <f t="shared" si="2"/>
        <v>0</v>
      </c>
      <c r="AD28" s="22">
        <f t="shared" si="2"/>
        <v>0</v>
      </c>
      <c r="AE28" s="22">
        <f t="shared" si="2"/>
        <v>560000</v>
      </c>
      <c r="AF28" s="22">
        <f t="shared" si="2"/>
        <v>0</v>
      </c>
      <c r="AG28" s="22">
        <f t="shared" si="2"/>
        <v>0</v>
      </c>
      <c r="AH28" s="22">
        <f t="shared" si="2"/>
        <v>0</v>
      </c>
      <c r="AI28" s="22">
        <f t="shared" si="2"/>
        <v>0</v>
      </c>
      <c r="AJ28" s="22">
        <f t="shared" si="2"/>
        <v>0</v>
      </c>
      <c r="AK28" s="22">
        <f t="shared" si="2"/>
        <v>0</v>
      </c>
      <c r="AL28" s="22">
        <f t="shared" si="2"/>
        <v>0</v>
      </c>
      <c r="AM28" s="6"/>
      <c r="AN28" s="6"/>
    </row>
    <row r="29" spans="1:40">
      <c r="A29" s="20" t="s">
        <v>99</v>
      </c>
      <c r="B29" s="20" t="s">
        <v>91</v>
      </c>
      <c r="C29" s="24">
        <f t="shared" si="1"/>
        <v>980000</v>
      </c>
      <c r="D29" s="22">
        <f t="shared" ref="D29:AL29" si="3">D33*1000</f>
        <v>0</v>
      </c>
      <c r="E29" s="22">
        <f t="shared" si="3"/>
        <v>101000</v>
      </c>
      <c r="F29" s="22">
        <f t="shared" si="3"/>
        <v>100000</v>
      </c>
      <c r="G29" s="22">
        <f t="shared" si="3"/>
        <v>0</v>
      </c>
      <c r="H29" s="22">
        <f t="shared" si="3"/>
        <v>0</v>
      </c>
      <c r="I29" s="22">
        <f t="shared" si="3"/>
        <v>0</v>
      </c>
      <c r="J29" s="22">
        <f t="shared" si="3"/>
        <v>0</v>
      </c>
      <c r="K29" s="22">
        <f t="shared" si="3"/>
        <v>41000</v>
      </c>
      <c r="L29" s="22">
        <f t="shared" si="3"/>
        <v>0</v>
      </c>
      <c r="M29" s="22">
        <f t="shared" si="3"/>
        <v>0</v>
      </c>
      <c r="N29" s="22">
        <f t="shared" si="3"/>
        <v>0</v>
      </c>
      <c r="O29" s="22">
        <f t="shared" si="3"/>
        <v>0</v>
      </c>
      <c r="P29" s="22">
        <f t="shared" si="3"/>
        <v>0</v>
      </c>
      <c r="Q29" s="22">
        <f t="shared" si="3"/>
        <v>0</v>
      </c>
      <c r="R29" s="22">
        <f t="shared" si="3"/>
        <v>0</v>
      </c>
      <c r="S29" s="22">
        <f t="shared" si="3"/>
        <v>2200</v>
      </c>
      <c r="T29" s="22">
        <f t="shared" si="3"/>
        <v>0</v>
      </c>
      <c r="U29" s="22">
        <f t="shared" si="3"/>
        <v>0</v>
      </c>
      <c r="V29" s="22">
        <f t="shared" si="3"/>
        <v>0</v>
      </c>
      <c r="W29" s="22">
        <f t="shared" si="3"/>
        <v>290000</v>
      </c>
      <c r="X29" s="22">
        <f t="shared" si="3"/>
        <v>0</v>
      </c>
      <c r="Y29" s="22">
        <f t="shared" si="3"/>
        <v>108300</v>
      </c>
      <c r="Z29" s="22">
        <f t="shared" si="3"/>
        <v>0</v>
      </c>
      <c r="AA29" s="22">
        <f t="shared" si="3"/>
        <v>34000</v>
      </c>
      <c r="AB29" s="22">
        <f t="shared" si="3"/>
        <v>223500</v>
      </c>
      <c r="AC29" s="22">
        <f t="shared" si="3"/>
        <v>80000</v>
      </c>
      <c r="AD29" s="22">
        <f t="shared" si="3"/>
        <v>0</v>
      </c>
      <c r="AE29" s="22">
        <f t="shared" si="3"/>
        <v>0</v>
      </c>
      <c r="AF29" s="22">
        <f t="shared" si="3"/>
        <v>0</v>
      </c>
      <c r="AG29" s="22">
        <f t="shared" si="3"/>
        <v>0</v>
      </c>
      <c r="AH29" s="22">
        <f t="shared" si="3"/>
        <v>0</v>
      </c>
      <c r="AI29" s="22">
        <f t="shared" si="3"/>
        <v>0</v>
      </c>
      <c r="AJ29" s="22">
        <f t="shared" si="3"/>
        <v>0</v>
      </c>
      <c r="AK29" s="22">
        <f t="shared" si="3"/>
        <v>0</v>
      </c>
      <c r="AL29" s="22">
        <f t="shared" si="3"/>
        <v>0</v>
      </c>
      <c r="AM29" s="6"/>
      <c r="AN29" s="6"/>
    </row>
    <row r="30" spans="1:40">
      <c r="A30" s="20" t="s">
        <v>101</v>
      </c>
      <c r="B30" s="20" t="s">
        <v>91</v>
      </c>
      <c r="C30" s="24">
        <f t="shared" si="1"/>
        <v>290000</v>
      </c>
      <c r="D30" s="22">
        <v>0</v>
      </c>
      <c r="E30" s="22">
        <v>70000</v>
      </c>
      <c r="F30" s="22">
        <v>0</v>
      </c>
      <c r="G30" s="22">
        <v>0</v>
      </c>
      <c r="H30" s="22">
        <v>0</v>
      </c>
      <c r="I30" s="22">
        <v>0</v>
      </c>
      <c r="J30" s="22">
        <v>0</v>
      </c>
      <c r="K30" s="22">
        <v>81000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8600</v>
      </c>
      <c r="T30" s="22">
        <v>0</v>
      </c>
      <c r="U30" s="22">
        <v>0</v>
      </c>
      <c r="V30" s="22">
        <v>0</v>
      </c>
      <c r="W30" s="22">
        <v>77100</v>
      </c>
      <c r="X30" s="22">
        <v>0</v>
      </c>
      <c r="Y30" s="22">
        <v>5900</v>
      </c>
      <c r="Z30" s="22">
        <v>600</v>
      </c>
      <c r="AA30" s="22">
        <v>0</v>
      </c>
      <c r="AB30" s="25">
        <f>MAX(0,$D$17-(D30+E30+F30+G30+H30+I30+J30+K30+L30+M30+N30+O30+P30+Q30+R30+S30+T30+U30+V30+W30+X30+Y30+Z30+AA30+AC30+AD30+AE30+AF30+AG30+AH30+AI30+AJ30+AK30+AL30))</f>
        <v>25900</v>
      </c>
      <c r="AC30" s="22">
        <v>14000</v>
      </c>
      <c r="AD30" s="22">
        <v>0</v>
      </c>
      <c r="AE30" s="22">
        <v>0</v>
      </c>
      <c r="AF30" s="22">
        <v>0</v>
      </c>
      <c r="AG30" s="22">
        <v>0</v>
      </c>
      <c r="AH30" s="22">
        <v>0</v>
      </c>
      <c r="AI30" s="22">
        <v>6900</v>
      </c>
      <c r="AJ30" s="22">
        <v>0</v>
      </c>
      <c r="AK30" s="22">
        <v>0</v>
      </c>
      <c r="AL30" s="22">
        <v>0</v>
      </c>
      <c r="AM30" s="6"/>
      <c r="AN30" s="6"/>
    </row>
    <row r="31" spans="1:40">
      <c r="A31" s="7" t="s">
        <v>110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</row>
    <row r="32" spans="1:40">
      <c r="A32" s="7" t="s">
        <v>111</v>
      </c>
      <c r="B32" s="6"/>
      <c r="C32" s="6"/>
      <c r="D32" s="22">
        <v>0</v>
      </c>
      <c r="E32" s="22">
        <v>74</v>
      </c>
      <c r="F32" s="22">
        <v>500</v>
      </c>
      <c r="G32" s="22">
        <v>0</v>
      </c>
      <c r="H32" s="22">
        <v>0</v>
      </c>
      <c r="I32" s="22">
        <v>0</v>
      </c>
      <c r="J32" s="22">
        <v>0</v>
      </c>
      <c r="K32" s="22">
        <v>280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34</v>
      </c>
      <c r="T32" s="22">
        <v>0</v>
      </c>
      <c r="U32" s="22">
        <v>0</v>
      </c>
      <c r="V32" s="22">
        <v>0</v>
      </c>
      <c r="W32" s="22">
        <v>270</v>
      </c>
      <c r="X32" s="22">
        <v>0</v>
      </c>
      <c r="Y32" s="22">
        <v>0</v>
      </c>
      <c r="Z32" s="22">
        <v>0</v>
      </c>
      <c r="AA32" s="22">
        <v>0</v>
      </c>
      <c r="AB32" s="25">
        <f>MAX(0,$D$15-(D32+E32+F32+G32+H32+I32+J32+K32+L32+M32+N32+O32+P32+Q32+R32+S32+T32+U32+V32+W32+X32+Y32+Z32+AA32+AC32+AD32+AE32+AF32+AG32+AH32+AI32+AJ32+AK32+AL32))</f>
        <v>0</v>
      </c>
      <c r="AC32" s="22">
        <v>0</v>
      </c>
      <c r="AD32" s="22">
        <v>0</v>
      </c>
      <c r="AE32" s="22">
        <v>560</v>
      </c>
      <c r="AF32" s="22">
        <v>0</v>
      </c>
      <c r="AG32" s="22">
        <v>0</v>
      </c>
      <c r="AH32" s="22">
        <v>0</v>
      </c>
      <c r="AI32" s="22">
        <v>0</v>
      </c>
      <c r="AJ32" s="22">
        <v>0</v>
      </c>
      <c r="AK32" s="22">
        <v>0</v>
      </c>
      <c r="AL32" s="22">
        <v>0</v>
      </c>
      <c r="AM32" s="6"/>
      <c r="AN32" s="6"/>
    </row>
    <row r="33" spans="1:40">
      <c r="A33" s="6"/>
      <c r="B33" s="6"/>
      <c r="C33" s="6"/>
      <c r="D33" s="14">
        <v>0</v>
      </c>
      <c r="E33" s="14">
        <v>101</v>
      </c>
      <c r="F33" s="14">
        <v>100</v>
      </c>
      <c r="G33" s="14">
        <v>0</v>
      </c>
      <c r="H33" s="14">
        <v>0</v>
      </c>
      <c r="I33" s="14">
        <v>0</v>
      </c>
      <c r="J33" s="14">
        <v>0</v>
      </c>
      <c r="K33" s="14">
        <v>41</v>
      </c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2.2</v>
      </c>
      <c r="T33" s="14">
        <v>0</v>
      </c>
      <c r="U33" s="14">
        <v>0</v>
      </c>
      <c r="V33" s="14">
        <v>0</v>
      </c>
      <c r="W33" s="14">
        <v>290</v>
      </c>
      <c r="X33" s="14">
        <v>0</v>
      </c>
      <c r="Y33" s="14">
        <v>108.3</v>
      </c>
      <c r="Z33" s="14">
        <v>0</v>
      </c>
      <c r="AA33" s="14">
        <v>34</v>
      </c>
      <c r="AB33" s="25">
        <f>MAX(0,$D$16-(D33+E33+F33+G33+H33+I33+J33+K33+L33+M33+N33+O33+P33+Q33+R33+S33+T33+U33+V33+W33+X33+Y33+Z33+AA33+AC33+AD33+AE33+AF33+AG33+AH33+AI33+AJ33+AK33+AL33))</f>
        <v>223.5</v>
      </c>
      <c r="AC33" s="14">
        <v>80</v>
      </c>
      <c r="AD33" s="14">
        <v>0</v>
      </c>
      <c r="AE33" s="14">
        <v>0</v>
      </c>
      <c r="AF33" s="14">
        <v>0</v>
      </c>
      <c r="AG33" s="14">
        <v>0</v>
      </c>
      <c r="AH33" s="14">
        <v>0</v>
      </c>
      <c r="AI33" s="14">
        <v>0</v>
      </c>
      <c r="AJ33" s="14">
        <v>0</v>
      </c>
      <c r="AK33" s="14">
        <v>0</v>
      </c>
      <c r="AL33" s="14">
        <v>0</v>
      </c>
      <c r="AM33" s="6"/>
      <c r="AN33" s="6"/>
    </row>
    <row r="34" spans="1:40">
      <c r="A34" s="10" t="s">
        <v>112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</row>
    <row r="35" spans="1:40">
      <c r="A35" s="26" t="s">
        <v>113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</row>
    <row r="36" ht="23" customHeight="1" spans="1:40">
      <c r="A36" s="11" t="s">
        <v>3</v>
      </c>
      <c r="B36" s="11" t="s">
        <v>4</v>
      </c>
      <c r="C36" s="11" t="s">
        <v>26</v>
      </c>
      <c r="D36" s="11" t="s">
        <v>27</v>
      </c>
      <c r="E36" s="11" t="s">
        <v>28</v>
      </c>
      <c r="F36" s="11" t="s">
        <v>29</v>
      </c>
      <c r="G36" s="11" t="s">
        <v>30</v>
      </c>
      <c r="H36" s="11" t="s">
        <v>31</v>
      </c>
      <c r="I36" s="11" t="s">
        <v>32</v>
      </c>
      <c r="J36" s="11" t="s">
        <v>33</v>
      </c>
      <c r="K36" s="11" t="s">
        <v>34</v>
      </c>
      <c r="L36" s="11" t="s">
        <v>35</v>
      </c>
      <c r="M36" s="11" t="s">
        <v>36</v>
      </c>
      <c r="N36" s="11" t="s">
        <v>37</v>
      </c>
      <c r="O36" s="11" t="s">
        <v>38</v>
      </c>
      <c r="P36" s="11" t="s">
        <v>39</v>
      </c>
      <c r="Q36" s="11" t="s">
        <v>40</v>
      </c>
      <c r="R36" s="11" t="s">
        <v>41</v>
      </c>
      <c r="S36" s="11" t="s">
        <v>42</v>
      </c>
      <c r="T36" s="11" t="s">
        <v>43</v>
      </c>
      <c r="U36" s="11" t="s">
        <v>44</v>
      </c>
      <c r="V36" s="11" t="s">
        <v>45</v>
      </c>
      <c r="W36" s="11" t="s">
        <v>46</v>
      </c>
      <c r="X36" s="11" t="s">
        <v>47</v>
      </c>
      <c r="Y36" s="11" t="s">
        <v>48</v>
      </c>
      <c r="Z36" s="11" t="s">
        <v>49</v>
      </c>
      <c r="AA36" s="11" t="s">
        <v>50</v>
      </c>
      <c r="AB36" s="11" t="s">
        <v>51</v>
      </c>
      <c r="AC36" s="11" t="s">
        <v>52</v>
      </c>
      <c r="AD36" s="11" t="s">
        <v>53</v>
      </c>
      <c r="AE36" s="11" t="s">
        <v>54</v>
      </c>
      <c r="AF36" s="11" t="s">
        <v>55</v>
      </c>
      <c r="AG36" s="11" t="s">
        <v>56</v>
      </c>
      <c r="AH36" s="11" t="s">
        <v>57</v>
      </c>
      <c r="AI36" s="11" t="s">
        <v>58</v>
      </c>
      <c r="AJ36" s="11" t="s">
        <v>59</v>
      </c>
      <c r="AK36" s="11" t="s">
        <v>60</v>
      </c>
      <c r="AL36" s="11" t="s">
        <v>61</v>
      </c>
      <c r="AM36" s="6"/>
      <c r="AN36" s="6"/>
    </row>
    <row r="37" spans="1:40">
      <c r="A37" s="12" t="s">
        <v>114</v>
      </c>
      <c r="B37" s="12" t="s">
        <v>115</v>
      </c>
      <c r="C37" s="27"/>
      <c r="D37" s="28">
        <f t="shared" ref="D37:AL37" si="4">D25*$F$12*$H$12</f>
        <v>0</v>
      </c>
      <c r="E37" s="28">
        <f t="shared" si="4"/>
        <v>300.846</v>
      </c>
      <c r="F37" s="28">
        <f t="shared" si="4"/>
        <v>4263</v>
      </c>
      <c r="G37" s="28">
        <f t="shared" si="4"/>
        <v>0</v>
      </c>
      <c r="H37" s="28">
        <f t="shared" si="4"/>
        <v>0</v>
      </c>
      <c r="I37" s="28">
        <f t="shared" si="4"/>
        <v>0</v>
      </c>
      <c r="J37" s="28">
        <f t="shared" si="4"/>
        <v>0</v>
      </c>
      <c r="K37" s="28">
        <f t="shared" si="4"/>
        <v>1827</v>
      </c>
      <c r="L37" s="28">
        <f t="shared" si="4"/>
        <v>0</v>
      </c>
      <c r="M37" s="28">
        <f t="shared" si="4"/>
        <v>0</v>
      </c>
      <c r="N37" s="28">
        <f t="shared" si="4"/>
        <v>0</v>
      </c>
      <c r="O37" s="28">
        <f t="shared" si="4"/>
        <v>0</v>
      </c>
      <c r="P37" s="28">
        <f t="shared" si="4"/>
        <v>0</v>
      </c>
      <c r="Q37" s="28">
        <f t="shared" si="4"/>
        <v>0</v>
      </c>
      <c r="R37" s="28">
        <f t="shared" si="4"/>
        <v>0</v>
      </c>
      <c r="S37" s="28">
        <f t="shared" si="4"/>
        <v>0</v>
      </c>
      <c r="T37" s="28">
        <f t="shared" si="4"/>
        <v>0</v>
      </c>
      <c r="U37" s="28">
        <f t="shared" si="4"/>
        <v>0</v>
      </c>
      <c r="V37" s="28">
        <f t="shared" si="4"/>
        <v>0</v>
      </c>
      <c r="W37" s="28">
        <f t="shared" si="4"/>
        <v>8337.21</v>
      </c>
      <c r="X37" s="28">
        <f t="shared" si="4"/>
        <v>0</v>
      </c>
      <c r="Y37" s="28">
        <f t="shared" si="4"/>
        <v>1827</v>
      </c>
      <c r="Z37" s="28">
        <f t="shared" si="4"/>
        <v>0</v>
      </c>
      <c r="AA37" s="28">
        <f t="shared" si="4"/>
        <v>0</v>
      </c>
      <c r="AB37" s="28">
        <f t="shared" si="4"/>
        <v>1678.404</v>
      </c>
      <c r="AC37" s="28">
        <f t="shared" si="4"/>
        <v>0</v>
      </c>
      <c r="AD37" s="28">
        <f t="shared" si="4"/>
        <v>0</v>
      </c>
      <c r="AE37" s="28">
        <f t="shared" si="4"/>
        <v>0</v>
      </c>
      <c r="AF37" s="28">
        <f t="shared" si="4"/>
        <v>36.54</v>
      </c>
      <c r="AG37" s="28">
        <f t="shared" si="4"/>
        <v>0</v>
      </c>
      <c r="AH37" s="28">
        <f t="shared" si="4"/>
        <v>0</v>
      </c>
      <c r="AI37" s="28">
        <f t="shared" si="4"/>
        <v>0</v>
      </c>
      <c r="AJ37" s="28">
        <f t="shared" si="4"/>
        <v>0</v>
      </c>
      <c r="AK37" s="28">
        <f t="shared" si="4"/>
        <v>0</v>
      </c>
      <c r="AL37" s="28">
        <f t="shared" si="4"/>
        <v>0</v>
      </c>
      <c r="AM37" s="6"/>
      <c r="AN37" s="6"/>
    </row>
    <row r="38" spans="1:40">
      <c r="A38" s="20" t="s">
        <v>116</v>
      </c>
      <c r="B38" s="20" t="s">
        <v>115</v>
      </c>
      <c r="C38" s="29"/>
      <c r="D38" s="24">
        <f t="shared" ref="D38:AL38" si="5">D25*$F$12*$H$12*$I$12</f>
        <v>0</v>
      </c>
      <c r="E38" s="24">
        <f t="shared" si="5"/>
        <v>300.846</v>
      </c>
      <c r="F38" s="24">
        <f t="shared" si="5"/>
        <v>4263</v>
      </c>
      <c r="G38" s="24">
        <f t="shared" si="5"/>
        <v>0</v>
      </c>
      <c r="H38" s="24">
        <f t="shared" si="5"/>
        <v>0</v>
      </c>
      <c r="I38" s="24">
        <f t="shared" si="5"/>
        <v>0</v>
      </c>
      <c r="J38" s="24">
        <f t="shared" si="5"/>
        <v>0</v>
      </c>
      <c r="K38" s="24">
        <f t="shared" si="5"/>
        <v>1827</v>
      </c>
      <c r="L38" s="24">
        <f t="shared" si="5"/>
        <v>0</v>
      </c>
      <c r="M38" s="24">
        <f t="shared" si="5"/>
        <v>0</v>
      </c>
      <c r="N38" s="24">
        <f t="shared" si="5"/>
        <v>0</v>
      </c>
      <c r="O38" s="24">
        <f t="shared" si="5"/>
        <v>0</v>
      </c>
      <c r="P38" s="24">
        <f t="shared" si="5"/>
        <v>0</v>
      </c>
      <c r="Q38" s="24">
        <f t="shared" si="5"/>
        <v>0</v>
      </c>
      <c r="R38" s="24">
        <f t="shared" si="5"/>
        <v>0</v>
      </c>
      <c r="S38" s="24">
        <f t="shared" si="5"/>
        <v>0</v>
      </c>
      <c r="T38" s="24">
        <f t="shared" si="5"/>
        <v>0</v>
      </c>
      <c r="U38" s="24">
        <f t="shared" si="5"/>
        <v>0</v>
      </c>
      <c r="V38" s="24">
        <f t="shared" si="5"/>
        <v>0</v>
      </c>
      <c r="W38" s="24">
        <f t="shared" si="5"/>
        <v>8337.21</v>
      </c>
      <c r="X38" s="24">
        <f t="shared" si="5"/>
        <v>0</v>
      </c>
      <c r="Y38" s="24">
        <f t="shared" si="5"/>
        <v>1827</v>
      </c>
      <c r="Z38" s="24">
        <f t="shared" si="5"/>
        <v>0</v>
      </c>
      <c r="AA38" s="24">
        <f t="shared" si="5"/>
        <v>0</v>
      </c>
      <c r="AB38" s="24">
        <f t="shared" si="5"/>
        <v>1678.404</v>
      </c>
      <c r="AC38" s="24">
        <f t="shared" si="5"/>
        <v>0</v>
      </c>
      <c r="AD38" s="24">
        <f t="shared" si="5"/>
        <v>0</v>
      </c>
      <c r="AE38" s="24">
        <f t="shared" si="5"/>
        <v>0</v>
      </c>
      <c r="AF38" s="24">
        <f t="shared" si="5"/>
        <v>36.54</v>
      </c>
      <c r="AG38" s="24">
        <f t="shared" si="5"/>
        <v>0</v>
      </c>
      <c r="AH38" s="24">
        <f t="shared" si="5"/>
        <v>0</v>
      </c>
      <c r="AI38" s="24">
        <f t="shared" si="5"/>
        <v>0</v>
      </c>
      <c r="AJ38" s="24">
        <f t="shared" si="5"/>
        <v>0</v>
      </c>
      <c r="AK38" s="24">
        <f t="shared" si="5"/>
        <v>0</v>
      </c>
      <c r="AL38" s="24">
        <f t="shared" si="5"/>
        <v>0</v>
      </c>
      <c r="AM38" s="6"/>
      <c r="AN38" s="6"/>
    </row>
    <row r="39" spans="1:40">
      <c r="A39" s="12" t="s">
        <v>117</v>
      </c>
      <c r="B39" s="12" t="s">
        <v>115</v>
      </c>
      <c r="C39" s="27"/>
      <c r="D39" s="28">
        <f t="shared" ref="D39:AL39" si="6">D25*$F$12*$H$12*$J$12</f>
        <v>0</v>
      </c>
      <c r="E39" s="28">
        <f t="shared" si="6"/>
        <v>3008.46</v>
      </c>
      <c r="F39" s="28">
        <f t="shared" si="6"/>
        <v>42630</v>
      </c>
      <c r="G39" s="28">
        <f t="shared" si="6"/>
        <v>0</v>
      </c>
      <c r="H39" s="28">
        <f t="shared" si="6"/>
        <v>0</v>
      </c>
      <c r="I39" s="28">
        <f t="shared" si="6"/>
        <v>0</v>
      </c>
      <c r="J39" s="28">
        <f t="shared" si="6"/>
        <v>0</v>
      </c>
      <c r="K39" s="28">
        <f t="shared" si="6"/>
        <v>18270</v>
      </c>
      <c r="L39" s="28">
        <f t="shared" si="6"/>
        <v>0</v>
      </c>
      <c r="M39" s="28">
        <f t="shared" si="6"/>
        <v>0</v>
      </c>
      <c r="N39" s="28">
        <f t="shared" si="6"/>
        <v>0</v>
      </c>
      <c r="O39" s="28">
        <f t="shared" si="6"/>
        <v>0</v>
      </c>
      <c r="P39" s="28">
        <f t="shared" si="6"/>
        <v>0</v>
      </c>
      <c r="Q39" s="28">
        <f t="shared" si="6"/>
        <v>0</v>
      </c>
      <c r="R39" s="28">
        <f t="shared" si="6"/>
        <v>0</v>
      </c>
      <c r="S39" s="28">
        <f t="shared" si="6"/>
        <v>0</v>
      </c>
      <c r="T39" s="28">
        <f t="shared" si="6"/>
        <v>0</v>
      </c>
      <c r="U39" s="28">
        <f t="shared" si="6"/>
        <v>0</v>
      </c>
      <c r="V39" s="28">
        <f t="shared" si="6"/>
        <v>0</v>
      </c>
      <c r="W39" s="28">
        <f t="shared" si="6"/>
        <v>83372.1</v>
      </c>
      <c r="X39" s="28">
        <f t="shared" si="6"/>
        <v>0</v>
      </c>
      <c r="Y39" s="28">
        <f t="shared" si="6"/>
        <v>18270</v>
      </c>
      <c r="Z39" s="28">
        <f t="shared" si="6"/>
        <v>0</v>
      </c>
      <c r="AA39" s="28">
        <f t="shared" si="6"/>
        <v>0</v>
      </c>
      <c r="AB39" s="28">
        <f t="shared" si="6"/>
        <v>16784.04</v>
      </c>
      <c r="AC39" s="28">
        <f t="shared" si="6"/>
        <v>0</v>
      </c>
      <c r="AD39" s="28">
        <f t="shared" si="6"/>
        <v>0</v>
      </c>
      <c r="AE39" s="28">
        <f t="shared" si="6"/>
        <v>0</v>
      </c>
      <c r="AF39" s="28">
        <f t="shared" si="6"/>
        <v>365.4</v>
      </c>
      <c r="AG39" s="28">
        <f t="shared" si="6"/>
        <v>0</v>
      </c>
      <c r="AH39" s="28">
        <f t="shared" si="6"/>
        <v>0</v>
      </c>
      <c r="AI39" s="28">
        <f t="shared" si="6"/>
        <v>0</v>
      </c>
      <c r="AJ39" s="28">
        <f t="shared" si="6"/>
        <v>0</v>
      </c>
      <c r="AK39" s="28">
        <f t="shared" si="6"/>
        <v>0</v>
      </c>
      <c r="AL39" s="28">
        <f t="shared" si="6"/>
        <v>0</v>
      </c>
      <c r="AM39" s="6"/>
      <c r="AN39" s="6"/>
    </row>
    <row r="40" spans="1: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</row>
    <row r="41" spans="1:40">
      <c r="A41" s="12" t="s">
        <v>118</v>
      </c>
      <c r="B41" s="12" t="s">
        <v>115</v>
      </c>
      <c r="C41" s="27"/>
      <c r="D41" s="28">
        <f t="shared" ref="D41:AL41" si="7">D26*$F$13*$H$13</f>
        <v>0</v>
      </c>
      <c r="E41" s="28">
        <f t="shared" si="7"/>
        <v>3240.93</v>
      </c>
      <c r="F41" s="28">
        <f t="shared" si="7"/>
        <v>903.21</v>
      </c>
      <c r="G41" s="28">
        <f t="shared" si="7"/>
        <v>0</v>
      </c>
      <c r="H41" s="28">
        <f t="shared" si="7"/>
        <v>0</v>
      </c>
      <c r="I41" s="28">
        <f t="shared" si="7"/>
        <v>0</v>
      </c>
      <c r="J41" s="28">
        <f t="shared" si="7"/>
        <v>0</v>
      </c>
      <c r="K41" s="28">
        <f t="shared" si="7"/>
        <v>0</v>
      </c>
      <c r="L41" s="28">
        <f t="shared" si="7"/>
        <v>0</v>
      </c>
      <c r="M41" s="28">
        <f t="shared" si="7"/>
        <v>0</v>
      </c>
      <c r="N41" s="28">
        <f t="shared" si="7"/>
        <v>0</v>
      </c>
      <c r="O41" s="28">
        <f t="shared" si="7"/>
        <v>0</v>
      </c>
      <c r="P41" s="28">
        <f t="shared" si="7"/>
        <v>0</v>
      </c>
      <c r="Q41" s="28">
        <f t="shared" si="7"/>
        <v>0</v>
      </c>
      <c r="R41" s="28">
        <f t="shared" si="7"/>
        <v>0</v>
      </c>
      <c r="S41" s="28">
        <f t="shared" si="7"/>
        <v>0</v>
      </c>
      <c r="T41" s="28">
        <f t="shared" si="7"/>
        <v>0</v>
      </c>
      <c r="U41" s="28">
        <f t="shared" si="7"/>
        <v>0</v>
      </c>
      <c r="V41" s="28">
        <f t="shared" si="7"/>
        <v>0</v>
      </c>
      <c r="W41" s="28">
        <f t="shared" si="7"/>
        <v>265.65</v>
      </c>
      <c r="X41" s="28">
        <f t="shared" si="7"/>
        <v>0</v>
      </c>
      <c r="Y41" s="28">
        <f t="shared" si="7"/>
        <v>154.077</v>
      </c>
      <c r="Z41" s="28">
        <f t="shared" si="7"/>
        <v>0</v>
      </c>
      <c r="AA41" s="28">
        <f t="shared" si="7"/>
        <v>0</v>
      </c>
      <c r="AB41" s="28">
        <f t="shared" si="7"/>
        <v>1099.2597</v>
      </c>
      <c r="AC41" s="28">
        <f t="shared" si="7"/>
        <v>132.825</v>
      </c>
      <c r="AD41" s="28">
        <f t="shared" si="7"/>
        <v>0</v>
      </c>
      <c r="AE41" s="28">
        <f t="shared" si="7"/>
        <v>0</v>
      </c>
      <c r="AF41" s="28">
        <f t="shared" si="7"/>
        <v>0</v>
      </c>
      <c r="AG41" s="28">
        <f t="shared" si="7"/>
        <v>0</v>
      </c>
      <c r="AH41" s="28">
        <f t="shared" si="7"/>
        <v>0</v>
      </c>
      <c r="AI41" s="28">
        <f t="shared" si="7"/>
        <v>48.3483</v>
      </c>
      <c r="AJ41" s="28">
        <f t="shared" si="7"/>
        <v>0</v>
      </c>
      <c r="AK41" s="28">
        <f t="shared" si="7"/>
        <v>0</v>
      </c>
      <c r="AL41" s="28">
        <f t="shared" si="7"/>
        <v>0</v>
      </c>
      <c r="AM41" s="6"/>
      <c r="AN41" s="6"/>
    </row>
    <row r="42" spans="1:40">
      <c r="A42" s="20" t="s">
        <v>119</v>
      </c>
      <c r="B42" s="20" t="s">
        <v>115</v>
      </c>
      <c r="C42" s="29"/>
      <c r="D42" s="24">
        <f t="shared" ref="D42:AL42" si="8">D26*$F$13*$H$13*$I$13</f>
        <v>0</v>
      </c>
      <c r="E42" s="24">
        <f t="shared" si="8"/>
        <v>3240.93</v>
      </c>
      <c r="F42" s="24">
        <f t="shared" si="8"/>
        <v>903.21</v>
      </c>
      <c r="G42" s="24">
        <f t="shared" si="8"/>
        <v>0</v>
      </c>
      <c r="H42" s="24">
        <f t="shared" si="8"/>
        <v>0</v>
      </c>
      <c r="I42" s="24">
        <f t="shared" si="8"/>
        <v>0</v>
      </c>
      <c r="J42" s="24">
        <f t="shared" si="8"/>
        <v>0</v>
      </c>
      <c r="K42" s="24">
        <f t="shared" si="8"/>
        <v>0</v>
      </c>
      <c r="L42" s="24">
        <f t="shared" si="8"/>
        <v>0</v>
      </c>
      <c r="M42" s="24">
        <f t="shared" si="8"/>
        <v>0</v>
      </c>
      <c r="N42" s="24">
        <f t="shared" si="8"/>
        <v>0</v>
      </c>
      <c r="O42" s="24">
        <f t="shared" si="8"/>
        <v>0</v>
      </c>
      <c r="P42" s="24">
        <f t="shared" si="8"/>
        <v>0</v>
      </c>
      <c r="Q42" s="24">
        <f t="shared" si="8"/>
        <v>0</v>
      </c>
      <c r="R42" s="24">
        <f t="shared" si="8"/>
        <v>0</v>
      </c>
      <c r="S42" s="24">
        <f t="shared" si="8"/>
        <v>0</v>
      </c>
      <c r="T42" s="24">
        <f t="shared" si="8"/>
        <v>0</v>
      </c>
      <c r="U42" s="24">
        <f t="shared" si="8"/>
        <v>0</v>
      </c>
      <c r="V42" s="24">
        <f t="shared" si="8"/>
        <v>0</v>
      </c>
      <c r="W42" s="24">
        <f t="shared" si="8"/>
        <v>265.65</v>
      </c>
      <c r="X42" s="24">
        <f t="shared" si="8"/>
        <v>0</v>
      </c>
      <c r="Y42" s="24">
        <f t="shared" si="8"/>
        <v>154.077</v>
      </c>
      <c r="Z42" s="24">
        <f t="shared" si="8"/>
        <v>0</v>
      </c>
      <c r="AA42" s="24">
        <f t="shared" si="8"/>
        <v>0</v>
      </c>
      <c r="AB42" s="24">
        <f t="shared" si="8"/>
        <v>1099.2597</v>
      </c>
      <c r="AC42" s="24">
        <f t="shared" si="8"/>
        <v>132.825</v>
      </c>
      <c r="AD42" s="24">
        <f t="shared" si="8"/>
        <v>0</v>
      </c>
      <c r="AE42" s="24">
        <f t="shared" si="8"/>
        <v>0</v>
      </c>
      <c r="AF42" s="24">
        <f t="shared" si="8"/>
        <v>0</v>
      </c>
      <c r="AG42" s="24">
        <f t="shared" si="8"/>
        <v>0</v>
      </c>
      <c r="AH42" s="24">
        <f t="shared" si="8"/>
        <v>0</v>
      </c>
      <c r="AI42" s="24">
        <f t="shared" si="8"/>
        <v>48.3483</v>
      </c>
      <c r="AJ42" s="24">
        <f t="shared" si="8"/>
        <v>0</v>
      </c>
      <c r="AK42" s="24">
        <f t="shared" si="8"/>
        <v>0</v>
      </c>
      <c r="AL42" s="24">
        <f t="shared" si="8"/>
        <v>0</v>
      </c>
      <c r="AM42" s="6"/>
      <c r="AN42" s="6"/>
    </row>
    <row r="43" spans="1:40">
      <c r="A43" s="12" t="s">
        <v>120</v>
      </c>
      <c r="B43" s="12" t="s">
        <v>115</v>
      </c>
      <c r="C43" s="27"/>
      <c r="D43" s="28">
        <f t="shared" ref="D43:AL43" si="9">D26*$F$13*$H$13*$J$13</f>
        <v>0</v>
      </c>
      <c r="E43" s="28">
        <f t="shared" si="9"/>
        <v>32409.3</v>
      </c>
      <c r="F43" s="28">
        <f t="shared" si="9"/>
        <v>9032.1</v>
      </c>
      <c r="G43" s="28">
        <f t="shared" si="9"/>
        <v>0</v>
      </c>
      <c r="H43" s="28">
        <f t="shared" si="9"/>
        <v>0</v>
      </c>
      <c r="I43" s="28">
        <f t="shared" si="9"/>
        <v>0</v>
      </c>
      <c r="J43" s="28">
        <f t="shared" si="9"/>
        <v>0</v>
      </c>
      <c r="K43" s="28">
        <f t="shared" si="9"/>
        <v>0</v>
      </c>
      <c r="L43" s="28">
        <f t="shared" si="9"/>
        <v>0</v>
      </c>
      <c r="M43" s="28">
        <f t="shared" si="9"/>
        <v>0</v>
      </c>
      <c r="N43" s="28">
        <f t="shared" si="9"/>
        <v>0</v>
      </c>
      <c r="O43" s="28">
        <f t="shared" si="9"/>
        <v>0</v>
      </c>
      <c r="P43" s="28">
        <f t="shared" si="9"/>
        <v>0</v>
      </c>
      <c r="Q43" s="28">
        <f t="shared" si="9"/>
        <v>0</v>
      </c>
      <c r="R43" s="28">
        <f t="shared" si="9"/>
        <v>0</v>
      </c>
      <c r="S43" s="28">
        <f t="shared" si="9"/>
        <v>0</v>
      </c>
      <c r="T43" s="28">
        <f t="shared" si="9"/>
        <v>0</v>
      </c>
      <c r="U43" s="28">
        <f t="shared" si="9"/>
        <v>0</v>
      </c>
      <c r="V43" s="28">
        <f t="shared" si="9"/>
        <v>0</v>
      </c>
      <c r="W43" s="28">
        <f t="shared" si="9"/>
        <v>2656.5</v>
      </c>
      <c r="X43" s="28">
        <f t="shared" si="9"/>
        <v>0</v>
      </c>
      <c r="Y43" s="28">
        <f t="shared" si="9"/>
        <v>1540.77</v>
      </c>
      <c r="Z43" s="28">
        <f t="shared" si="9"/>
        <v>0</v>
      </c>
      <c r="AA43" s="28">
        <f t="shared" si="9"/>
        <v>0</v>
      </c>
      <c r="AB43" s="28">
        <f t="shared" si="9"/>
        <v>10992.597</v>
      </c>
      <c r="AC43" s="28">
        <f t="shared" si="9"/>
        <v>1328.25</v>
      </c>
      <c r="AD43" s="28">
        <f t="shared" si="9"/>
        <v>0</v>
      </c>
      <c r="AE43" s="28">
        <f t="shared" si="9"/>
        <v>0</v>
      </c>
      <c r="AF43" s="28">
        <f t="shared" si="9"/>
        <v>0</v>
      </c>
      <c r="AG43" s="28">
        <f t="shared" si="9"/>
        <v>0</v>
      </c>
      <c r="AH43" s="28">
        <f t="shared" si="9"/>
        <v>0</v>
      </c>
      <c r="AI43" s="28">
        <f t="shared" si="9"/>
        <v>483.483</v>
      </c>
      <c r="AJ43" s="28">
        <f t="shared" si="9"/>
        <v>0</v>
      </c>
      <c r="AK43" s="28">
        <f t="shared" si="9"/>
        <v>0</v>
      </c>
      <c r="AL43" s="28">
        <f t="shared" si="9"/>
        <v>0</v>
      </c>
      <c r="AM43" s="6"/>
      <c r="AN43" s="6"/>
    </row>
    <row r="44" spans="1:40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</row>
    <row r="45" spans="1:40">
      <c r="A45" s="12" t="s">
        <v>121</v>
      </c>
      <c r="B45" s="12" t="s">
        <v>115</v>
      </c>
      <c r="C45" s="27"/>
      <c r="D45" s="28">
        <f t="shared" ref="D45:AL45" si="10">D27*$F$14*$H$14</f>
        <v>0</v>
      </c>
      <c r="E45" s="28">
        <f t="shared" si="10"/>
        <v>0</v>
      </c>
      <c r="F45" s="28">
        <f t="shared" si="10"/>
        <v>2587.2</v>
      </c>
      <c r="G45" s="28">
        <f t="shared" si="10"/>
        <v>0</v>
      </c>
      <c r="H45" s="28">
        <f t="shared" si="10"/>
        <v>0</v>
      </c>
      <c r="I45" s="28">
        <f t="shared" si="10"/>
        <v>0</v>
      </c>
      <c r="J45" s="28">
        <f t="shared" si="10"/>
        <v>0</v>
      </c>
      <c r="K45" s="28">
        <f t="shared" si="10"/>
        <v>474.32</v>
      </c>
      <c r="L45" s="28">
        <f t="shared" si="10"/>
        <v>0</v>
      </c>
      <c r="M45" s="28">
        <f t="shared" si="10"/>
        <v>0</v>
      </c>
      <c r="N45" s="28">
        <f t="shared" si="10"/>
        <v>0</v>
      </c>
      <c r="O45" s="28">
        <f t="shared" si="10"/>
        <v>0</v>
      </c>
      <c r="P45" s="28">
        <f t="shared" si="10"/>
        <v>0</v>
      </c>
      <c r="Q45" s="28">
        <f t="shared" si="10"/>
        <v>0</v>
      </c>
      <c r="R45" s="28">
        <f t="shared" si="10"/>
        <v>0</v>
      </c>
      <c r="S45" s="28">
        <f t="shared" si="10"/>
        <v>0</v>
      </c>
      <c r="T45" s="28">
        <f t="shared" si="10"/>
        <v>0</v>
      </c>
      <c r="U45" s="28">
        <f t="shared" si="10"/>
        <v>0</v>
      </c>
      <c r="V45" s="28">
        <f t="shared" si="10"/>
        <v>0</v>
      </c>
      <c r="W45" s="28">
        <f t="shared" si="10"/>
        <v>1724.8</v>
      </c>
      <c r="X45" s="28">
        <f t="shared" si="10"/>
        <v>0</v>
      </c>
      <c r="Y45" s="28">
        <f t="shared" si="10"/>
        <v>270.578</v>
      </c>
      <c r="Z45" s="28">
        <f t="shared" si="10"/>
        <v>0</v>
      </c>
      <c r="AA45" s="28">
        <f t="shared" si="10"/>
        <v>0</v>
      </c>
      <c r="AB45" s="28">
        <f t="shared" si="10"/>
        <v>8062.362</v>
      </c>
      <c r="AC45" s="28">
        <f t="shared" si="10"/>
        <v>894.74</v>
      </c>
      <c r="AD45" s="28">
        <f t="shared" si="10"/>
        <v>0</v>
      </c>
      <c r="AE45" s="28">
        <f t="shared" si="10"/>
        <v>0</v>
      </c>
      <c r="AF45" s="28">
        <f t="shared" si="10"/>
        <v>0</v>
      </c>
      <c r="AG45" s="28">
        <f t="shared" si="10"/>
        <v>0</v>
      </c>
      <c r="AH45" s="28">
        <f t="shared" si="10"/>
        <v>0</v>
      </c>
      <c r="AI45" s="28">
        <f t="shared" si="10"/>
        <v>0</v>
      </c>
      <c r="AJ45" s="28">
        <f t="shared" si="10"/>
        <v>0</v>
      </c>
      <c r="AK45" s="28">
        <f t="shared" si="10"/>
        <v>0</v>
      </c>
      <c r="AL45" s="28">
        <f t="shared" si="10"/>
        <v>0</v>
      </c>
      <c r="AM45" s="6"/>
      <c r="AN45" s="6"/>
    </row>
    <row r="46" spans="1:40">
      <c r="A46" s="20" t="s">
        <v>122</v>
      </c>
      <c r="B46" s="20" t="s">
        <v>115</v>
      </c>
      <c r="C46" s="29"/>
      <c r="D46" s="24">
        <f t="shared" ref="D46:AL46" si="11">D27*$F$14*$H$14*$I$14</f>
        <v>0</v>
      </c>
      <c r="E46" s="24">
        <f t="shared" si="11"/>
        <v>0</v>
      </c>
      <c r="F46" s="24">
        <f t="shared" si="11"/>
        <v>2587.2</v>
      </c>
      <c r="G46" s="24">
        <f t="shared" si="11"/>
        <v>0</v>
      </c>
      <c r="H46" s="24">
        <f t="shared" si="11"/>
        <v>0</v>
      </c>
      <c r="I46" s="24">
        <f t="shared" si="11"/>
        <v>0</v>
      </c>
      <c r="J46" s="24">
        <f t="shared" si="11"/>
        <v>0</v>
      </c>
      <c r="K46" s="24">
        <f t="shared" si="11"/>
        <v>474.32</v>
      </c>
      <c r="L46" s="24">
        <f t="shared" si="11"/>
        <v>0</v>
      </c>
      <c r="M46" s="24">
        <f t="shared" si="11"/>
        <v>0</v>
      </c>
      <c r="N46" s="24">
        <f t="shared" si="11"/>
        <v>0</v>
      </c>
      <c r="O46" s="24">
        <f t="shared" si="11"/>
        <v>0</v>
      </c>
      <c r="P46" s="24">
        <f t="shared" si="11"/>
        <v>0</v>
      </c>
      <c r="Q46" s="24">
        <f t="shared" si="11"/>
        <v>0</v>
      </c>
      <c r="R46" s="24">
        <f t="shared" si="11"/>
        <v>0</v>
      </c>
      <c r="S46" s="24">
        <f t="shared" si="11"/>
        <v>0</v>
      </c>
      <c r="T46" s="24">
        <f t="shared" si="11"/>
        <v>0</v>
      </c>
      <c r="U46" s="24">
        <f t="shared" si="11"/>
        <v>0</v>
      </c>
      <c r="V46" s="24">
        <f t="shared" si="11"/>
        <v>0</v>
      </c>
      <c r="W46" s="24">
        <f t="shared" si="11"/>
        <v>1724.8</v>
      </c>
      <c r="X46" s="24">
        <f t="shared" si="11"/>
        <v>0</v>
      </c>
      <c r="Y46" s="24">
        <f t="shared" si="11"/>
        <v>270.578</v>
      </c>
      <c r="Z46" s="24">
        <f t="shared" si="11"/>
        <v>0</v>
      </c>
      <c r="AA46" s="24">
        <f t="shared" si="11"/>
        <v>0</v>
      </c>
      <c r="AB46" s="24">
        <f t="shared" si="11"/>
        <v>8062.362</v>
      </c>
      <c r="AC46" s="24">
        <f t="shared" si="11"/>
        <v>894.74</v>
      </c>
      <c r="AD46" s="24">
        <f t="shared" si="11"/>
        <v>0</v>
      </c>
      <c r="AE46" s="24">
        <f t="shared" si="11"/>
        <v>0</v>
      </c>
      <c r="AF46" s="24">
        <f t="shared" si="11"/>
        <v>0</v>
      </c>
      <c r="AG46" s="24">
        <f t="shared" si="11"/>
        <v>0</v>
      </c>
      <c r="AH46" s="24">
        <f t="shared" si="11"/>
        <v>0</v>
      </c>
      <c r="AI46" s="24">
        <f t="shared" si="11"/>
        <v>0</v>
      </c>
      <c r="AJ46" s="24">
        <f t="shared" si="11"/>
        <v>0</v>
      </c>
      <c r="AK46" s="24">
        <f t="shared" si="11"/>
        <v>0</v>
      </c>
      <c r="AL46" s="24">
        <f t="shared" si="11"/>
        <v>0</v>
      </c>
      <c r="AM46" s="6"/>
      <c r="AN46" s="6"/>
    </row>
    <row r="47" spans="1:40">
      <c r="A47" s="12" t="s">
        <v>123</v>
      </c>
      <c r="B47" s="12" t="s">
        <v>115</v>
      </c>
      <c r="C47" s="27"/>
      <c r="D47" s="28">
        <f t="shared" ref="D47:AL47" si="12">D27*$F$14*$H$14*$J$14</f>
        <v>0</v>
      </c>
      <c r="E47" s="28">
        <f t="shared" si="12"/>
        <v>0</v>
      </c>
      <c r="F47" s="28">
        <f t="shared" si="12"/>
        <v>25872</v>
      </c>
      <c r="G47" s="28">
        <f t="shared" si="12"/>
        <v>0</v>
      </c>
      <c r="H47" s="28">
        <f t="shared" si="12"/>
        <v>0</v>
      </c>
      <c r="I47" s="28">
        <f t="shared" si="12"/>
        <v>0</v>
      </c>
      <c r="J47" s="28">
        <f t="shared" si="12"/>
        <v>0</v>
      </c>
      <c r="K47" s="28">
        <f t="shared" si="12"/>
        <v>4743.2</v>
      </c>
      <c r="L47" s="28">
        <f t="shared" si="12"/>
        <v>0</v>
      </c>
      <c r="M47" s="28">
        <f t="shared" si="12"/>
        <v>0</v>
      </c>
      <c r="N47" s="28">
        <f t="shared" si="12"/>
        <v>0</v>
      </c>
      <c r="O47" s="28">
        <f t="shared" si="12"/>
        <v>0</v>
      </c>
      <c r="P47" s="28">
        <f t="shared" si="12"/>
        <v>0</v>
      </c>
      <c r="Q47" s="28">
        <f t="shared" si="12"/>
        <v>0</v>
      </c>
      <c r="R47" s="28">
        <f t="shared" si="12"/>
        <v>0</v>
      </c>
      <c r="S47" s="28">
        <f t="shared" si="12"/>
        <v>0</v>
      </c>
      <c r="T47" s="28">
        <f t="shared" si="12"/>
        <v>0</v>
      </c>
      <c r="U47" s="28">
        <f t="shared" si="12"/>
        <v>0</v>
      </c>
      <c r="V47" s="28">
        <f t="shared" si="12"/>
        <v>0</v>
      </c>
      <c r="W47" s="28">
        <f t="shared" si="12"/>
        <v>17248</v>
      </c>
      <c r="X47" s="28">
        <f t="shared" si="12"/>
        <v>0</v>
      </c>
      <c r="Y47" s="28">
        <f t="shared" si="12"/>
        <v>2705.78</v>
      </c>
      <c r="Z47" s="28">
        <f t="shared" si="12"/>
        <v>0</v>
      </c>
      <c r="AA47" s="28">
        <f t="shared" si="12"/>
        <v>0</v>
      </c>
      <c r="AB47" s="28">
        <f t="shared" si="12"/>
        <v>80623.62</v>
      </c>
      <c r="AC47" s="28">
        <f t="shared" si="12"/>
        <v>8947.4</v>
      </c>
      <c r="AD47" s="28">
        <f t="shared" si="12"/>
        <v>0</v>
      </c>
      <c r="AE47" s="28">
        <f t="shared" si="12"/>
        <v>0</v>
      </c>
      <c r="AF47" s="28">
        <f t="shared" si="12"/>
        <v>0</v>
      </c>
      <c r="AG47" s="28">
        <f t="shared" si="12"/>
        <v>0</v>
      </c>
      <c r="AH47" s="28">
        <f t="shared" si="12"/>
        <v>0</v>
      </c>
      <c r="AI47" s="28">
        <f t="shared" si="12"/>
        <v>0</v>
      </c>
      <c r="AJ47" s="28">
        <f t="shared" si="12"/>
        <v>0</v>
      </c>
      <c r="AK47" s="28">
        <f t="shared" si="12"/>
        <v>0</v>
      </c>
      <c r="AL47" s="28">
        <f t="shared" si="12"/>
        <v>0</v>
      </c>
      <c r="AM47" s="6"/>
      <c r="AN47" s="6"/>
    </row>
    <row r="48" spans="1:40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</row>
    <row r="49" spans="1:40">
      <c r="A49" s="12" t="s">
        <v>124</v>
      </c>
      <c r="B49" s="12" t="s">
        <v>115</v>
      </c>
      <c r="C49" s="27"/>
      <c r="D49" s="28">
        <f t="shared" ref="D49:AL49" si="13">D28*$F$15*$H$15</f>
        <v>0</v>
      </c>
      <c r="E49" s="28">
        <f t="shared" si="13"/>
        <v>518</v>
      </c>
      <c r="F49" s="28">
        <f t="shared" si="13"/>
        <v>3500</v>
      </c>
      <c r="G49" s="28">
        <f t="shared" si="13"/>
        <v>0</v>
      </c>
      <c r="H49" s="28">
        <f t="shared" si="13"/>
        <v>0</v>
      </c>
      <c r="I49" s="28">
        <f t="shared" si="13"/>
        <v>0</v>
      </c>
      <c r="J49" s="28">
        <f t="shared" si="13"/>
        <v>0</v>
      </c>
      <c r="K49" s="28">
        <f t="shared" si="13"/>
        <v>1960</v>
      </c>
      <c r="L49" s="28">
        <f t="shared" si="13"/>
        <v>0</v>
      </c>
      <c r="M49" s="28">
        <f t="shared" si="13"/>
        <v>0</v>
      </c>
      <c r="N49" s="28">
        <f t="shared" si="13"/>
        <v>0</v>
      </c>
      <c r="O49" s="28">
        <f t="shared" si="13"/>
        <v>0</v>
      </c>
      <c r="P49" s="28">
        <f t="shared" si="13"/>
        <v>0</v>
      </c>
      <c r="Q49" s="28">
        <f t="shared" si="13"/>
        <v>0</v>
      </c>
      <c r="R49" s="28">
        <f t="shared" si="13"/>
        <v>0</v>
      </c>
      <c r="S49" s="28">
        <f t="shared" si="13"/>
        <v>238</v>
      </c>
      <c r="T49" s="28">
        <f t="shared" si="13"/>
        <v>0</v>
      </c>
      <c r="U49" s="28">
        <f t="shared" si="13"/>
        <v>0</v>
      </c>
      <c r="V49" s="28">
        <f t="shared" si="13"/>
        <v>0</v>
      </c>
      <c r="W49" s="28">
        <f t="shared" si="13"/>
        <v>1890</v>
      </c>
      <c r="X49" s="28">
        <f t="shared" si="13"/>
        <v>0</v>
      </c>
      <c r="Y49" s="28">
        <f t="shared" si="13"/>
        <v>0</v>
      </c>
      <c r="Z49" s="28">
        <f t="shared" si="13"/>
        <v>0</v>
      </c>
      <c r="AA49" s="28">
        <f t="shared" si="13"/>
        <v>0</v>
      </c>
      <c r="AB49" s="28">
        <f t="shared" si="13"/>
        <v>0</v>
      </c>
      <c r="AC49" s="28">
        <f t="shared" si="13"/>
        <v>0</v>
      </c>
      <c r="AD49" s="28">
        <f t="shared" si="13"/>
        <v>0</v>
      </c>
      <c r="AE49" s="28">
        <f t="shared" si="13"/>
        <v>3920</v>
      </c>
      <c r="AF49" s="28">
        <f t="shared" si="13"/>
        <v>0</v>
      </c>
      <c r="AG49" s="28">
        <f t="shared" si="13"/>
        <v>0</v>
      </c>
      <c r="AH49" s="28">
        <f t="shared" si="13"/>
        <v>0</v>
      </c>
      <c r="AI49" s="28">
        <f t="shared" si="13"/>
        <v>0</v>
      </c>
      <c r="AJ49" s="28">
        <f t="shared" si="13"/>
        <v>0</v>
      </c>
      <c r="AK49" s="28">
        <f t="shared" si="13"/>
        <v>0</v>
      </c>
      <c r="AL49" s="28">
        <f t="shared" si="13"/>
        <v>0</v>
      </c>
      <c r="AM49" s="6"/>
      <c r="AN49" s="6"/>
    </row>
    <row r="50" spans="1:40">
      <c r="A50" s="20" t="s">
        <v>125</v>
      </c>
      <c r="B50" s="20" t="s">
        <v>115</v>
      </c>
      <c r="C50" s="29"/>
      <c r="D50" s="24">
        <f t="shared" ref="D50:AL50" si="14">D28*$F$15*$H$15*$I$15</f>
        <v>0</v>
      </c>
      <c r="E50" s="24">
        <f t="shared" si="14"/>
        <v>518</v>
      </c>
      <c r="F50" s="24">
        <f t="shared" si="14"/>
        <v>3500</v>
      </c>
      <c r="G50" s="24">
        <f t="shared" si="14"/>
        <v>0</v>
      </c>
      <c r="H50" s="24">
        <f t="shared" si="14"/>
        <v>0</v>
      </c>
      <c r="I50" s="24">
        <f t="shared" si="14"/>
        <v>0</v>
      </c>
      <c r="J50" s="24">
        <f t="shared" si="14"/>
        <v>0</v>
      </c>
      <c r="K50" s="24">
        <f t="shared" si="14"/>
        <v>1960</v>
      </c>
      <c r="L50" s="24">
        <f t="shared" si="14"/>
        <v>0</v>
      </c>
      <c r="M50" s="24">
        <f t="shared" si="14"/>
        <v>0</v>
      </c>
      <c r="N50" s="24">
        <f t="shared" si="14"/>
        <v>0</v>
      </c>
      <c r="O50" s="24">
        <f t="shared" si="14"/>
        <v>0</v>
      </c>
      <c r="P50" s="24">
        <f t="shared" si="14"/>
        <v>0</v>
      </c>
      <c r="Q50" s="24">
        <f t="shared" si="14"/>
        <v>0</v>
      </c>
      <c r="R50" s="24">
        <f t="shared" si="14"/>
        <v>0</v>
      </c>
      <c r="S50" s="24">
        <f t="shared" si="14"/>
        <v>238</v>
      </c>
      <c r="T50" s="24">
        <f t="shared" si="14"/>
        <v>0</v>
      </c>
      <c r="U50" s="24">
        <f t="shared" si="14"/>
        <v>0</v>
      </c>
      <c r="V50" s="24">
        <f t="shared" si="14"/>
        <v>0</v>
      </c>
      <c r="W50" s="24">
        <f t="shared" si="14"/>
        <v>1890</v>
      </c>
      <c r="X50" s="24">
        <f t="shared" si="14"/>
        <v>0</v>
      </c>
      <c r="Y50" s="24">
        <f t="shared" si="14"/>
        <v>0</v>
      </c>
      <c r="Z50" s="24">
        <f t="shared" si="14"/>
        <v>0</v>
      </c>
      <c r="AA50" s="24">
        <f t="shared" si="14"/>
        <v>0</v>
      </c>
      <c r="AB50" s="24">
        <f t="shared" si="14"/>
        <v>0</v>
      </c>
      <c r="AC50" s="24">
        <f t="shared" si="14"/>
        <v>0</v>
      </c>
      <c r="AD50" s="24">
        <f t="shared" si="14"/>
        <v>0</v>
      </c>
      <c r="AE50" s="24">
        <f t="shared" si="14"/>
        <v>3920</v>
      </c>
      <c r="AF50" s="24">
        <f t="shared" si="14"/>
        <v>0</v>
      </c>
      <c r="AG50" s="24">
        <f t="shared" si="14"/>
        <v>0</v>
      </c>
      <c r="AH50" s="24">
        <f t="shared" si="14"/>
        <v>0</v>
      </c>
      <c r="AI50" s="24">
        <f t="shared" si="14"/>
        <v>0</v>
      </c>
      <c r="AJ50" s="24">
        <f t="shared" si="14"/>
        <v>0</v>
      </c>
      <c r="AK50" s="24">
        <f t="shared" si="14"/>
        <v>0</v>
      </c>
      <c r="AL50" s="24">
        <f t="shared" si="14"/>
        <v>0</v>
      </c>
      <c r="AM50" s="6"/>
      <c r="AN50" s="6"/>
    </row>
    <row r="51" spans="1:40">
      <c r="A51" s="12" t="s">
        <v>126</v>
      </c>
      <c r="B51" s="12" t="s">
        <v>115</v>
      </c>
      <c r="C51" s="27"/>
      <c r="D51" s="28">
        <f t="shared" ref="D51:AL51" si="15">D28*$F$15*$H$15*$J$15</f>
        <v>0</v>
      </c>
      <c r="E51" s="28">
        <f t="shared" si="15"/>
        <v>5180</v>
      </c>
      <c r="F51" s="28">
        <f t="shared" si="15"/>
        <v>35000</v>
      </c>
      <c r="G51" s="28">
        <f t="shared" si="15"/>
        <v>0</v>
      </c>
      <c r="H51" s="28">
        <f t="shared" si="15"/>
        <v>0</v>
      </c>
      <c r="I51" s="28">
        <f t="shared" si="15"/>
        <v>0</v>
      </c>
      <c r="J51" s="28">
        <f t="shared" si="15"/>
        <v>0</v>
      </c>
      <c r="K51" s="28">
        <f t="shared" si="15"/>
        <v>19600</v>
      </c>
      <c r="L51" s="28">
        <f t="shared" si="15"/>
        <v>0</v>
      </c>
      <c r="M51" s="28">
        <f t="shared" si="15"/>
        <v>0</v>
      </c>
      <c r="N51" s="28">
        <f t="shared" si="15"/>
        <v>0</v>
      </c>
      <c r="O51" s="28">
        <f t="shared" si="15"/>
        <v>0</v>
      </c>
      <c r="P51" s="28">
        <f t="shared" si="15"/>
        <v>0</v>
      </c>
      <c r="Q51" s="28">
        <f t="shared" si="15"/>
        <v>0</v>
      </c>
      <c r="R51" s="28">
        <f t="shared" si="15"/>
        <v>0</v>
      </c>
      <c r="S51" s="28">
        <f t="shared" si="15"/>
        <v>2380</v>
      </c>
      <c r="T51" s="28">
        <f t="shared" si="15"/>
        <v>0</v>
      </c>
      <c r="U51" s="28">
        <f t="shared" si="15"/>
        <v>0</v>
      </c>
      <c r="V51" s="28">
        <f t="shared" si="15"/>
        <v>0</v>
      </c>
      <c r="W51" s="28">
        <f t="shared" si="15"/>
        <v>18900</v>
      </c>
      <c r="X51" s="28">
        <f t="shared" si="15"/>
        <v>0</v>
      </c>
      <c r="Y51" s="28">
        <f t="shared" si="15"/>
        <v>0</v>
      </c>
      <c r="Z51" s="28">
        <f t="shared" si="15"/>
        <v>0</v>
      </c>
      <c r="AA51" s="28">
        <f t="shared" si="15"/>
        <v>0</v>
      </c>
      <c r="AB51" s="28">
        <f t="shared" si="15"/>
        <v>0</v>
      </c>
      <c r="AC51" s="28">
        <f t="shared" si="15"/>
        <v>0</v>
      </c>
      <c r="AD51" s="28">
        <f t="shared" si="15"/>
        <v>0</v>
      </c>
      <c r="AE51" s="28">
        <f t="shared" si="15"/>
        <v>39200</v>
      </c>
      <c r="AF51" s="28">
        <f t="shared" si="15"/>
        <v>0</v>
      </c>
      <c r="AG51" s="28">
        <f t="shared" si="15"/>
        <v>0</v>
      </c>
      <c r="AH51" s="28">
        <f t="shared" si="15"/>
        <v>0</v>
      </c>
      <c r="AI51" s="28">
        <f t="shared" si="15"/>
        <v>0</v>
      </c>
      <c r="AJ51" s="28">
        <f t="shared" si="15"/>
        <v>0</v>
      </c>
      <c r="AK51" s="28">
        <f t="shared" si="15"/>
        <v>0</v>
      </c>
      <c r="AL51" s="28">
        <f t="shared" si="15"/>
        <v>0</v>
      </c>
      <c r="AM51" s="6"/>
      <c r="AN51" s="6"/>
    </row>
    <row r="52" spans="1:40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</row>
    <row r="53" spans="1:40">
      <c r="A53" s="12" t="s">
        <v>127</v>
      </c>
      <c r="B53" s="12" t="s">
        <v>115</v>
      </c>
      <c r="C53" s="27"/>
      <c r="D53" s="28">
        <f t="shared" ref="D53:AL53" si="16">D29*$F$16*$H$16</f>
        <v>0</v>
      </c>
      <c r="E53" s="28">
        <f t="shared" si="16"/>
        <v>1838.2</v>
      </c>
      <c r="F53" s="28">
        <f t="shared" si="16"/>
        <v>1820</v>
      </c>
      <c r="G53" s="28">
        <f t="shared" si="16"/>
        <v>0</v>
      </c>
      <c r="H53" s="28">
        <f t="shared" si="16"/>
        <v>0</v>
      </c>
      <c r="I53" s="28">
        <f t="shared" si="16"/>
        <v>0</v>
      </c>
      <c r="J53" s="28">
        <f t="shared" si="16"/>
        <v>0</v>
      </c>
      <c r="K53" s="28">
        <f t="shared" si="16"/>
        <v>746.2</v>
      </c>
      <c r="L53" s="28">
        <f t="shared" si="16"/>
        <v>0</v>
      </c>
      <c r="M53" s="28">
        <f t="shared" si="16"/>
        <v>0</v>
      </c>
      <c r="N53" s="28">
        <f t="shared" si="16"/>
        <v>0</v>
      </c>
      <c r="O53" s="28">
        <f t="shared" si="16"/>
        <v>0</v>
      </c>
      <c r="P53" s="28">
        <f t="shared" si="16"/>
        <v>0</v>
      </c>
      <c r="Q53" s="28">
        <f t="shared" si="16"/>
        <v>0</v>
      </c>
      <c r="R53" s="28">
        <f t="shared" si="16"/>
        <v>0</v>
      </c>
      <c r="S53" s="28">
        <f t="shared" si="16"/>
        <v>40.04</v>
      </c>
      <c r="T53" s="28">
        <f t="shared" si="16"/>
        <v>0</v>
      </c>
      <c r="U53" s="28">
        <f t="shared" si="16"/>
        <v>0</v>
      </c>
      <c r="V53" s="28">
        <f t="shared" si="16"/>
        <v>0</v>
      </c>
      <c r="W53" s="28">
        <f t="shared" si="16"/>
        <v>5278</v>
      </c>
      <c r="X53" s="28">
        <f t="shared" si="16"/>
        <v>0</v>
      </c>
      <c r="Y53" s="28">
        <f t="shared" si="16"/>
        <v>1971.06</v>
      </c>
      <c r="Z53" s="28">
        <f t="shared" si="16"/>
        <v>0</v>
      </c>
      <c r="AA53" s="28">
        <f t="shared" si="16"/>
        <v>618.8</v>
      </c>
      <c r="AB53" s="28">
        <f t="shared" si="16"/>
        <v>4067.7</v>
      </c>
      <c r="AC53" s="28">
        <f t="shared" si="16"/>
        <v>1456</v>
      </c>
      <c r="AD53" s="28">
        <f t="shared" si="16"/>
        <v>0</v>
      </c>
      <c r="AE53" s="28">
        <f t="shared" si="16"/>
        <v>0</v>
      </c>
      <c r="AF53" s="28">
        <f t="shared" si="16"/>
        <v>0</v>
      </c>
      <c r="AG53" s="28">
        <f t="shared" si="16"/>
        <v>0</v>
      </c>
      <c r="AH53" s="28">
        <f t="shared" si="16"/>
        <v>0</v>
      </c>
      <c r="AI53" s="28">
        <f t="shared" si="16"/>
        <v>0</v>
      </c>
      <c r="AJ53" s="28">
        <f t="shared" si="16"/>
        <v>0</v>
      </c>
      <c r="AK53" s="28">
        <f t="shared" si="16"/>
        <v>0</v>
      </c>
      <c r="AL53" s="28">
        <f t="shared" si="16"/>
        <v>0</v>
      </c>
      <c r="AM53" s="6"/>
      <c r="AN53" s="6"/>
    </row>
    <row r="54" spans="1:40">
      <c r="A54" s="20" t="s">
        <v>128</v>
      </c>
      <c r="B54" s="20" t="s">
        <v>115</v>
      </c>
      <c r="C54" s="29"/>
      <c r="D54" s="24">
        <f t="shared" ref="D54:AL54" si="17">D29*$F$16*$H$16*$I$16</f>
        <v>0</v>
      </c>
      <c r="E54" s="24">
        <f t="shared" si="17"/>
        <v>1838.2</v>
      </c>
      <c r="F54" s="24">
        <f t="shared" si="17"/>
        <v>1820</v>
      </c>
      <c r="G54" s="24">
        <f t="shared" si="17"/>
        <v>0</v>
      </c>
      <c r="H54" s="24">
        <f t="shared" si="17"/>
        <v>0</v>
      </c>
      <c r="I54" s="24">
        <f t="shared" si="17"/>
        <v>0</v>
      </c>
      <c r="J54" s="24">
        <f t="shared" si="17"/>
        <v>0</v>
      </c>
      <c r="K54" s="24">
        <f t="shared" si="17"/>
        <v>746.2</v>
      </c>
      <c r="L54" s="24">
        <f t="shared" si="17"/>
        <v>0</v>
      </c>
      <c r="M54" s="24">
        <f t="shared" si="17"/>
        <v>0</v>
      </c>
      <c r="N54" s="24">
        <f t="shared" si="17"/>
        <v>0</v>
      </c>
      <c r="O54" s="24">
        <f t="shared" si="17"/>
        <v>0</v>
      </c>
      <c r="P54" s="24">
        <f t="shared" si="17"/>
        <v>0</v>
      </c>
      <c r="Q54" s="24">
        <f t="shared" si="17"/>
        <v>0</v>
      </c>
      <c r="R54" s="24">
        <f t="shared" si="17"/>
        <v>0</v>
      </c>
      <c r="S54" s="24">
        <f t="shared" si="17"/>
        <v>40.04</v>
      </c>
      <c r="T54" s="24">
        <f t="shared" si="17"/>
        <v>0</v>
      </c>
      <c r="U54" s="24">
        <f t="shared" si="17"/>
        <v>0</v>
      </c>
      <c r="V54" s="24">
        <f t="shared" si="17"/>
        <v>0</v>
      </c>
      <c r="W54" s="24">
        <f t="shared" si="17"/>
        <v>5278</v>
      </c>
      <c r="X54" s="24">
        <f t="shared" si="17"/>
        <v>0</v>
      </c>
      <c r="Y54" s="24">
        <f t="shared" si="17"/>
        <v>1971.06</v>
      </c>
      <c r="Z54" s="24">
        <f t="shared" si="17"/>
        <v>0</v>
      </c>
      <c r="AA54" s="24">
        <f t="shared" si="17"/>
        <v>618.8</v>
      </c>
      <c r="AB54" s="24">
        <f t="shared" si="17"/>
        <v>4067.7</v>
      </c>
      <c r="AC54" s="24">
        <f t="shared" si="17"/>
        <v>1456</v>
      </c>
      <c r="AD54" s="24">
        <f t="shared" si="17"/>
        <v>0</v>
      </c>
      <c r="AE54" s="24">
        <f t="shared" si="17"/>
        <v>0</v>
      </c>
      <c r="AF54" s="24">
        <f t="shared" si="17"/>
        <v>0</v>
      </c>
      <c r="AG54" s="24">
        <f t="shared" si="17"/>
        <v>0</v>
      </c>
      <c r="AH54" s="24">
        <f t="shared" si="17"/>
        <v>0</v>
      </c>
      <c r="AI54" s="24">
        <f t="shared" si="17"/>
        <v>0</v>
      </c>
      <c r="AJ54" s="24">
        <f t="shared" si="17"/>
        <v>0</v>
      </c>
      <c r="AK54" s="24">
        <f t="shared" si="17"/>
        <v>0</v>
      </c>
      <c r="AL54" s="24">
        <f t="shared" si="17"/>
        <v>0</v>
      </c>
      <c r="AM54" s="6"/>
      <c r="AN54" s="6"/>
    </row>
    <row r="55" spans="1:40">
      <c r="A55" s="12" t="s">
        <v>129</v>
      </c>
      <c r="B55" s="12" t="s">
        <v>115</v>
      </c>
      <c r="C55" s="27"/>
      <c r="D55" s="28">
        <f t="shared" ref="D55:AL55" si="18">D29*$F$16*$H$16*$J$16</f>
        <v>0</v>
      </c>
      <c r="E55" s="28">
        <f t="shared" si="18"/>
        <v>18382</v>
      </c>
      <c r="F55" s="28">
        <f t="shared" si="18"/>
        <v>18200</v>
      </c>
      <c r="G55" s="28">
        <f t="shared" si="18"/>
        <v>0</v>
      </c>
      <c r="H55" s="28">
        <f t="shared" si="18"/>
        <v>0</v>
      </c>
      <c r="I55" s="28">
        <f t="shared" si="18"/>
        <v>0</v>
      </c>
      <c r="J55" s="28">
        <f t="shared" si="18"/>
        <v>0</v>
      </c>
      <c r="K55" s="28">
        <f t="shared" si="18"/>
        <v>7462</v>
      </c>
      <c r="L55" s="28">
        <f t="shared" si="18"/>
        <v>0</v>
      </c>
      <c r="M55" s="28">
        <f t="shared" si="18"/>
        <v>0</v>
      </c>
      <c r="N55" s="28">
        <f t="shared" si="18"/>
        <v>0</v>
      </c>
      <c r="O55" s="28">
        <f t="shared" si="18"/>
        <v>0</v>
      </c>
      <c r="P55" s="28">
        <f t="shared" si="18"/>
        <v>0</v>
      </c>
      <c r="Q55" s="28">
        <f t="shared" si="18"/>
        <v>0</v>
      </c>
      <c r="R55" s="28">
        <f t="shared" si="18"/>
        <v>0</v>
      </c>
      <c r="S55" s="28">
        <f t="shared" si="18"/>
        <v>400.4</v>
      </c>
      <c r="T55" s="28">
        <f t="shared" si="18"/>
        <v>0</v>
      </c>
      <c r="U55" s="28">
        <f t="shared" si="18"/>
        <v>0</v>
      </c>
      <c r="V55" s="28">
        <f t="shared" si="18"/>
        <v>0</v>
      </c>
      <c r="W55" s="28">
        <f t="shared" si="18"/>
        <v>52780</v>
      </c>
      <c r="X55" s="28">
        <f t="shared" si="18"/>
        <v>0</v>
      </c>
      <c r="Y55" s="28">
        <f t="shared" si="18"/>
        <v>19710.6</v>
      </c>
      <c r="Z55" s="28">
        <f t="shared" si="18"/>
        <v>0</v>
      </c>
      <c r="AA55" s="28">
        <f t="shared" si="18"/>
        <v>6188</v>
      </c>
      <c r="AB55" s="28">
        <f t="shared" si="18"/>
        <v>40677</v>
      </c>
      <c r="AC55" s="28">
        <f t="shared" si="18"/>
        <v>14560</v>
      </c>
      <c r="AD55" s="28">
        <f t="shared" si="18"/>
        <v>0</v>
      </c>
      <c r="AE55" s="28">
        <f t="shared" si="18"/>
        <v>0</v>
      </c>
      <c r="AF55" s="28">
        <f t="shared" si="18"/>
        <v>0</v>
      </c>
      <c r="AG55" s="28">
        <f t="shared" si="18"/>
        <v>0</v>
      </c>
      <c r="AH55" s="28">
        <f t="shared" si="18"/>
        <v>0</v>
      </c>
      <c r="AI55" s="28">
        <f t="shared" si="18"/>
        <v>0</v>
      </c>
      <c r="AJ55" s="28">
        <f t="shared" si="18"/>
        <v>0</v>
      </c>
      <c r="AK55" s="28">
        <f t="shared" si="18"/>
        <v>0</v>
      </c>
      <c r="AL55" s="28">
        <f t="shared" si="18"/>
        <v>0</v>
      </c>
      <c r="AM55" s="6"/>
      <c r="AN55" s="6"/>
    </row>
    <row r="56" spans="1:40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</row>
    <row r="57" spans="1:40">
      <c r="A57" s="12" t="s">
        <v>130</v>
      </c>
      <c r="B57" s="12" t="s">
        <v>115</v>
      </c>
      <c r="C57" s="27"/>
      <c r="D57" s="28">
        <f t="shared" ref="D57:AL57" si="19">D30*$F$17*$H$17</f>
        <v>0</v>
      </c>
      <c r="E57" s="28">
        <f t="shared" si="19"/>
        <v>44933</v>
      </c>
      <c r="F57" s="28">
        <f t="shared" si="19"/>
        <v>0</v>
      </c>
      <c r="G57" s="28">
        <f t="shared" si="19"/>
        <v>0</v>
      </c>
      <c r="H57" s="28">
        <f t="shared" si="19"/>
        <v>0</v>
      </c>
      <c r="I57" s="28">
        <f t="shared" si="19"/>
        <v>0</v>
      </c>
      <c r="J57" s="28">
        <f t="shared" si="19"/>
        <v>0</v>
      </c>
      <c r="K57" s="28">
        <f t="shared" si="19"/>
        <v>51993.9</v>
      </c>
      <c r="L57" s="28">
        <f t="shared" si="19"/>
        <v>0</v>
      </c>
      <c r="M57" s="28">
        <f t="shared" si="19"/>
        <v>0</v>
      </c>
      <c r="N57" s="28">
        <f t="shared" si="19"/>
        <v>0</v>
      </c>
      <c r="O57" s="28">
        <f t="shared" si="19"/>
        <v>0</v>
      </c>
      <c r="P57" s="28">
        <f t="shared" si="19"/>
        <v>0</v>
      </c>
      <c r="Q57" s="28">
        <f t="shared" si="19"/>
        <v>0</v>
      </c>
      <c r="R57" s="28">
        <f t="shared" si="19"/>
        <v>0</v>
      </c>
      <c r="S57" s="28">
        <f t="shared" si="19"/>
        <v>5520.34</v>
      </c>
      <c r="T57" s="28">
        <f t="shared" si="19"/>
        <v>0</v>
      </c>
      <c r="U57" s="28">
        <f t="shared" si="19"/>
        <v>0</v>
      </c>
      <c r="V57" s="28">
        <f t="shared" si="19"/>
        <v>0</v>
      </c>
      <c r="W57" s="28">
        <f t="shared" si="19"/>
        <v>49490.49</v>
      </c>
      <c r="X57" s="28">
        <f t="shared" si="19"/>
        <v>0</v>
      </c>
      <c r="Y57" s="28">
        <f t="shared" si="19"/>
        <v>3787.21</v>
      </c>
      <c r="Z57" s="28">
        <f t="shared" si="19"/>
        <v>385.14</v>
      </c>
      <c r="AA57" s="28">
        <f t="shared" si="19"/>
        <v>0</v>
      </c>
      <c r="AB57" s="28">
        <f t="shared" si="19"/>
        <v>16625.21</v>
      </c>
      <c r="AC57" s="28">
        <f t="shared" si="19"/>
        <v>8986.6</v>
      </c>
      <c r="AD57" s="28">
        <f t="shared" si="19"/>
        <v>0</v>
      </c>
      <c r="AE57" s="28">
        <f t="shared" si="19"/>
        <v>0</v>
      </c>
      <c r="AF57" s="28">
        <f t="shared" si="19"/>
        <v>0</v>
      </c>
      <c r="AG57" s="28">
        <f t="shared" si="19"/>
        <v>0</v>
      </c>
      <c r="AH57" s="28">
        <f t="shared" si="19"/>
        <v>0</v>
      </c>
      <c r="AI57" s="28">
        <f t="shared" si="19"/>
        <v>4429.11</v>
      </c>
      <c r="AJ57" s="28">
        <f t="shared" si="19"/>
        <v>0</v>
      </c>
      <c r="AK57" s="28">
        <f t="shared" si="19"/>
        <v>0</v>
      </c>
      <c r="AL57" s="28">
        <f t="shared" si="19"/>
        <v>0</v>
      </c>
      <c r="AM57" s="6"/>
      <c r="AN57" s="6"/>
    </row>
    <row r="58" spans="1:40">
      <c r="A58" s="20" t="s">
        <v>131</v>
      </c>
      <c r="B58" s="20" t="s">
        <v>115</v>
      </c>
      <c r="C58" s="29"/>
      <c r="D58" s="24">
        <f t="shared" ref="D58:AL58" si="20">D30*$F$17*$H$17*$I$17</f>
        <v>0</v>
      </c>
      <c r="E58" s="24">
        <f t="shared" si="20"/>
        <v>44933</v>
      </c>
      <c r="F58" s="24">
        <f t="shared" si="20"/>
        <v>0</v>
      </c>
      <c r="G58" s="24">
        <f t="shared" si="20"/>
        <v>0</v>
      </c>
      <c r="H58" s="24">
        <f t="shared" si="20"/>
        <v>0</v>
      </c>
      <c r="I58" s="24">
        <f t="shared" si="20"/>
        <v>0</v>
      </c>
      <c r="J58" s="24">
        <f t="shared" si="20"/>
        <v>0</v>
      </c>
      <c r="K58" s="24">
        <f t="shared" si="20"/>
        <v>51993.9</v>
      </c>
      <c r="L58" s="24">
        <f t="shared" si="20"/>
        <v>0</v>
      </c>
      <c r="M58" s="24">
        <f t="shared" si="20"/>
        <v>0</v>
      </c>
      <c r="N58" s="24">
        <f t="shared" si="20"/>
        <v>0</v>
      </c>
      <c r="O58" s="24">
        <f t="shared" si="20"/>
        <v>0</v>
      </c>
      <c r="P58" s="24">
        <f t="shared" si="20"/>
        <v>0</v>
      </c>
      <c r="Q58" s="24">
        <f t="shared" si="20"/>
        <v>0</v>
      </c>
      <c r="R58" s="24">
        <f t="shared" si="20"/>
        <v>0</v>
      </c>
      <c r="S58" s="24">
        <f t="shared" si="20"/>
        <v>5520.34</v>
      </c>
      <c r="T58" s="24">
        <f t="shared" si="20"/>
        <v>0</v>
      </c>
      <c r="U58" s="24">
        <f t="shared" si="20"/>
        <v>0</v>
      </c>
      <c r="V58" s="24">
        <f t="shared" si="20"/>
        <v>0</v>
      </c>
      <c r="W58" s="24">
        <f t="shared" si="20"/>
        <v>49490.49</v>
      </c>
      <c r="X58" s="24">
        <f t="shared" si="20"/>
        <v>0</v>
      </c>
      <c r="Y58" s="24">
        <f t="shared" si="20"/>
        <v>3787.21</v>
      </c>
      <c r="Z58" s="24">
        <f t="shared" si="20"/>
        <v>385.14</v>
      </c>
      <c r="AA58" s="24">
        <f t="shared" si="20"/>
        <v>0</v>
      </c>
      <c r="AB58" s="24">
        <f t="shared" si="20"/>
        <v>16625.21</v>
      </c>
      <c r="AC58" s="24">
        <f t="shared" si="20"/>
        <v>8986.6</v>
      </c>
      <c r="AD58" s="24">
        <f t="shared" si="20"/>
        <v>0</v>
      </c>
      <c r="AE58" s="24">
        <f t="shared" si="20"/>
        <v>0</v>
      </c>
      <c r="AF58" s="24">
        <f t="shared" si="20"/>
        <v>0</v>
      </c>
      <c r="AG58" s="24">
        <f t="shared" si="20"/>
        <v>0</v>
      </c>
      <c r="AH58" s="24">
        <f t="shared" si="20"/>
        <v>0</v>
      </c>
      <c r="AI58" s="24">
        <f t="shared" si="20"/>
        <v>4429.11</v>
      </c>
      <c r="AJ58" s="24">
        <f t="shared" si="20"/>
        <v>0</v>
      </c>
      <c r="AK58" s="24">
        <f t="shared" si="20"/>
        <v>0</v>
      </c>
      <c r="AL58" s="24">
        <f t="shared" si="20"/>
        <v>0</v>
      </c>
      <c r="AM58" s="6"/>
      <c r="AN58" s="6"/>
    </row>
    <row r="59" spans="1:40">
      <c r="A59" s="12" t="s">
        <v>132</v>
      </c>
      <c r="B59" s="12" t="s">
        <v>115</v>
      </c>
      <c r="C59" s="27"/>
      <c r="D59" s="28">
        <f t="shared" ref="D59:AL59" si="21">D30*$F$17*$H$17*$J$17</f>
        <v>0</v>
      </c>
      <c r="E59" s="28">
        <f t="shared" si="21"/>
        <v>449330</v>
      </c>
      <c r="F59" s="28">
        <f t="shared" si="21"/>
        <v>0</v>
      </c>
      <c r="G59" s="28">
        <f t="shared" si="21"/>
        <v>0</v>
      </c>
      <c r="H59" s="28">
        <f t="shared" si="21"/>
        <v>0</v>
      </c>
      <c r="I59" s="28">
        <f t="shared" si="21"/>
        <v>0</v>
      </c>
      <c r="J59" s="28">
        <f t="shared" si="21"/>
        <v>0</v>
      </c>
      <c r="K59" s="28">
        <f t="shared" si="21"/>
        <v>519939</v>
      </c>
      <c r="L59" s="28">
        <f t="shared" si="21"/>
        <v>0</v>
      </c>
      <c r="M59" s="28">
        <f t="shared" si="21"/>
        <v>0</v>
      </c>
      <c r="N59" s="28">
        <f t="shared" si="21"/>
        <v>0</v>
      </c>
      <c r="O59" s="28">
        <f t="shared" si="21"/>
        <v>0</v>
      </c>
      <c r="P59" s="28">
        <f t="shared" si="21"/>
        <v>0</v>
      </c>
      <c r="Q59" s="28">
        <f t="shared" si="21"/>
        <v>0</v>
      </c>
      <c r="R59" s="28">
        <f t="shared" si="21"/>
        <v>0</v>
      </c>
      <c r="S59" s="28">
        <f t="shared" si="21"/>
        <v>55203.4</v>
      </c>
      <c r="T59" s="28">
        <f t="shared" si="21"/>
        <v>0</v>
      </c>
      <c r="U59" s="28">
        <f t="shared" si="21"/>
        <v>0</v>
      </c>
      <c r="V59" s="28">
        <f t="shared" si="21"/>
        <v>0</v>
      </c>
      <c r="W59" s="28">
        <f t="shared" si="21"/>
        <v>494904.9</v>
      </c>
      <c r="X59" s="28">
        <f t="shared" si="21"/>
        <v>0</v>
      </c>
      <c r="Y59" s="28">
        <f t="shared" si="21"/>
        <v>37872.1</v>
      </c>
      <c r="Z59" s="28">
        <f t="shared" si="21"/>
        <v>3851.4</v>
      </c>
      <c r="AA59" s="28">
        <f t="shared" si="21"/>
        <v>0</v>
      </c>
      <c r="AB59" s="28">
        <f t="shared" si="21"/>
        <v>166252.1</v>
      </c>
      <c r="AC59" s="28">
        <f t="shared" si="21"/>
        <v>89866</v>
      </c>
      <c r="AD59" s="28">
        <f t="shared" si="21"/>
        <v>0</v>
      </c>
      <c r="AE59" s="28">
        <f t="shared" si="21"/>
        <v>0</v>
      </c>
      <c r="AF59" s="28">
        <f t="shared" si="21"/>
        <v>0</v>
      </c>
      <c r="AG59" s="28">
        <f t="shared" si="21"/>
        <v>0</v>
      </c>
      <c r="AH59" s="28">
        <f t="shared" si="21"/>
        <v>0</v>
      </c>
      <c r="AI59" s="28">
        <f t="shared" si="21"/>
        <v>44291.1</v>
      </c>
      <c r="AJ59" s="28">
        <f t="shared" si="21"/>
        <v>0</v>
      </c>
      <c r="AK59" s="28">
        <f t="shared" si="21"/>
        <v>0</v>
      </c>
      <c r="AL59" s="28">
        <f t="shared" si="21"/>
        <v>0</v>
      </c>
      <c r="AM59" s="6"/>
      <c r="AN59" s="6"/>
    </row>
    <row r="60" spans="1:4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>
      <c r="A62" s="10" t="s">
        <v>133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>
      <c r="A63" s="7" t="s">
        <v>134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>
      <c r="A64" s="7" t="s">
        <v>135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1:40">
      <c r="A65" s="7" t="s">
        <v>136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1:40">
      <c r="A66" s="7" t="s">
        <v>137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1:40">
      <c r="A67" s="7" t="s">
        <v>138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1:40">
      <c r="A68" s="7" t="s">
        <v>139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1:40">
      <c r="A69" s="7" t="s">
        <v>140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1:40">
      <c r="A70" s="7" t="s">
        <v>141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</row>
    <row r="71" spans="1:40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</row>
    <row r="72" spans="1:40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</row>
    <row r="73" spans="1:40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</row>
    <row r="74" spans="1:40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</row>
    <row r="75" spans="1:40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</row>
    <row r="76" spans="1:40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</row>
    <row r="77" spans="1:40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</row>
    <row r="78" spans="1:40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</row>
    <row r="79" spans="1:40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</row>
    <row r="80" spans="1:4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</row>
  </sheetData>
  <mergeCells count="4">
    <mergeCell ref="A5:N5"/>
    <mergeCell ref="A6:N6"/>
    <mergeCell ref="A7:N7"/>
    <mergeCell ref="A8:N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"/>
  <sheetViews>
    <sheetView topLeftCell="M1" workbookViewId="0">
      <selection activeCell="P18" sqref="P18"/>
    </sheetView>
  </sheetViews>
  <sheetFormatPr defaultColWidth="9" defaultRowHeight="14.5"/>
  <cols>
    <col min="1" max="15" width="18" style="1" customWidth="1"/>
    <col min="16" max="18" width="40" style="1" customWidth="1"/>
  </cols>
  <sheetData>
    <row r="1" spans="1:18">
      <c r="A1" s="3" t="s">
        <v>142</v>
      </c>
    </row>
    <row r="2" spans="1:18">
      <c r="A2" t="s">
        <v>143</v>
      </c>
    </row>
    <row r="4" spans="1:18">
      <c r="A4" s="2" t="s">
        <v>79</v>
      </c>
      <c r="B4" s="2" t="s">
        <v>81</v>
      </c>
      <c r="C4" s="2" t="s">
        <v>80</v>
      </c>
      <c r="D4" s="2" t="s">
        <v>144</v>
      </c>
      <c r="E4" s="2" t="s">
        <v>145</v>
      </c>
      <c r="F4" s="2" t="s">
        <v>146</v>
      </c>
      <c r="G4" s="2" t="s">
        <v>147</v>
      </c>
      <c r="H4" s="2" t="s">
        <v>148</v>
      </c>
      <c r="I4" s="2" t="s">
        <v>149</v>
      </c>
      <c r="J4" s="2" t="s">
        <v>150</v>
      </c>
      <c r="K4" s="2" t="s">
        <v>151</v>
      </c>
      <c r="L4" s="2" t="s">
        <v>152</v>
      </c>
      <c r="M4" s="2" t="s">
        <v>153</v>
      </c>
      <c r="N4" s="2" t="s">
        <v>154</v>
      </c>
      <c r="O4" s="2" t="s">
        <v>155</v>
      </c>
      <c r="P4" s="2" t="s">
        <v>156</v>
      </c>
      <c r="Q4" s="2" t="s">
        <v>157</v>
      </c>
      <c r="R4" s="2" t="s">
        <v>158</v>
      </c>
    </row>
    <row r="5" spans="1:18">
      <c r="A5" t="s">
        <v>89</v>
      </c>
      <c r="B5" t="s">
        <v>90</v>
      </c>
      <c r="C5" t="s">
        <v>0</v>
      </c>
      <c r="D5">
        <v>0.88</v>
      </c>
      <c r="F5">
        <v>290</v>
      </c>
      <c r="G5">
        <v>37000</v>
      </c>
      <c r="H5">
        <v>150000</v>
      </c>
      <c r="J5" t="s">
        <v>159</v>
      </c>
      <c r="K5" t="s">
        <v>159</v>
      </c>
      <c r="L5" t="s">
        <v>159</v>
      </c>
      <c r="M5">
        <v>13.86</v>
      </c>
      <c r="N5">
        <v>22.45</v>
      </c>
      <c r="O5">
        <v>27.69</v>
      </c>
      <c r="P5" t="s">
        <v>160</v>
      </c>
      <c r="Q5" t="s">
        <v>161</v>
      </c>
      <c r="R5" t="s">
        <v>162</v>
      </c>
    </row>
    <row r="6" spans="1:18">
      <c r="A6" t="s">
        <v>94</v>
      </c>
      <c r="B6" t="s">
        <v>95</v>
      </c>
      <c r="C6" t="s">
        <v>2</v>
      </c>
      <c r="D6">
        <f t="shared" ref="D6:D11" si="0">E6/F6</f>
        <v>0.142307692307692</v>
      </c>
      <c r="E6">
        <v>555</v>
      </c>
      <c r="F6">
        <v>3900</v>
      </c>
      <c r="G6">
        <v>140000</v>
      </c>
      <c r="H6">
        <v>350000</v>
      </c>
      <c r="I6">
        <v>0</v>
      </c>
      <c r="J6">
        <v>1</v>
      </c>
      <c r="K6">
        <f>(H6-G6)/(2*G6)</f>
        <v>0.75</v>
      </c>
      <c r="L6">
        <f>(H6-G6)/(2*G6)</f>
        <v>0.75</v>
      </c>
      <c r="M6">
        <v>14.288</v>
      </c>
      <c r="N6">
        <v>23.139</v>
      </c>
      <c r="O6" s="4">
        <f t="shared" ref="O6:O11" si="1">N6*1.1</f>
        <v>25.4529</v>
      </c>
      <c r="P6" t="s">
        <v>163</v>
      </c>
      <c r="Q6" t="s">
        <v>164</v>
      </c>
      <c r="R6" t="s">
        <v>165</v>
      </c>
    </row>
    <row r="7" spans="1:18">
      <c r="A7" t="s">
        <v>92</v>
      </c>
      <c r="B7" t="s">
        <v>93</v>
      </c>
      <c r="C7" t="s">
        <v>6</v>
      </c>
      <c r="D7">
        <f t="shared" si="0"/>
        <v>0.710232258064516</v>
      </c>
      <c r="E7">
        <v>220.172</v>
      </c>
      <c r="F7">
        <v>310</v>
      </c>
      <c r="G7">
        <v>12000</v>
      </c>
      <c r="H7">
        <v>25000</v>
      </c>
      <c r="I7">
        <v>0</v>
      </c>
      <c r="J7">
        <v>1</v>
      </c>
      <c r="K7">
        <f>(H7-G7)/(2*G7)</f>
        <v>0.541666666666667</v>
      </c>
      <c r="L7">
        <f>(H7-G7)/(2*G7)</f>
        <v>0.541666666666667</v>
      </c>
      <c r="M7">
        <v>29.844</v>
      </c>
      <c r="N7">
        <v>42.509</v>
      </c>
      <c r="O7" s="4">
        <f t="shared" si="1"/>
        <v>46.7599</v>
      </c>
      <c r="P7" t="s">
        <v>163</v>
      </c>
      <c r="Q7" t="s">
        <v>166</v>
      </c>
      <c r="R7" t="s">
        <v>167</v>
      </c>
    </row>
    <row r="8" spans="1:18">
      <c r="A8" t="s">
        <v>96</v>
      </c>
      <c r="B8" t="s">
        <v>97</v>
      </c>
      <c r="C8" t="s">
        <v>9</v>
      </c>
      <c r="D8">
        <f t="shared" si="0"/>
        <v>0.0101</v>
      </c>
      <c r="E8">
        <v>202</v>
      </c>
      <c r="F8">
        <v>20000</v>
      </c>
      <c r="G8">
        <v>1800000</v>
      </c>
      <c r="H8">
        <v>17000000</v>
      </c>
      <c r="I8">
        <v>0</v>
      </c>
      <c r="J8">
        <v>1</v>
      </c>
      <c r="K8">
        <f>(H8-G8)/(2*G8)</f>
        <v>4.22222222222222</v>
      </c>
      <c r="L8">
        <f>(H8-G8)/(2*G8)</f>
        <v>4.22222222222222</v>
      </c>
      <c r="M8">
        <f>4.5*100/1000</f>
        <v>0.45</v>
      </c>
      <c r="N8">
        <f>M8*3</f>
        <v>1.35</v>
      </c>
      <c r="O8" s="4">
        <f t="shared" si="1"/>
        <v>1.485</v>
      </c>
      <c r="P8" t="s">
        <v>168</v>
      </c>
      <c r="Q8" t="s">
        <v>169</v>
      </c>
      <c r="R8" t="s">
        <v>170</v>
      </c>
    </row>
    <row r="9" spans="1:18">
      <c r="A9" t="s">
        <v>171</v>
      </c>
      <c r="B9" t="s">
        <v>172</v>
      </c>
      <c r="C9" t="s">
        <v>11</v>
      </c>
      <c r="D9">
        <f t="shared" si="0"/>
        <v>0.0200848648648649</v>
      </c>
      <c r="E9">
        <v>1486.28</v>
      </c>
      <c r="F9">
        <v>74000</v>
      </c>
      <c r="G9">
        <v>7250000</v>
      </c>
      <c r="H9">
        <v>16250000</v>
      </c>
      <c r="I9">
        <v>2500000</v>
      </c>
      <c r="J9">
        <v>1</v>
      </c>
      <c r="K9">
        <f>(H9-G9)/G9</f>
        <v>1.24137931034483</v>
      </c>
      <c r="L9">
        <f>I9/G9</f>
        <v>0.344827586206897</v>
      </c>
      <c r="M9">
        <f>180/100*2204.62/1000</f>
        <v>3.968316</v>
      </c>
      <c r="N9">
        <f>M9*3</f>
        <v>11.904948</v>
      </c>
      <c r="O9" s="4">
        <f t="shared" si="1"/>
        <v>13.0954428</v>
      </c>
      <c r="P9" t="s">
        <v>173</v>
      </c>
      <c r="Q9" t="s">
        <v>174</v>
      </c>
      <c r="R9" t="s">
        <v>175</v>
      </c>
    </row>
    <row r="10" spans="1:18">
      <c r="A10" t="s">
        <v>99</v>
      </c>
      <c r="B10" t="s">
        <v>100</v>
      </c>
      <c r="C10" t="s">
        <v>13</v>
      </c>
      <c r="D10">
        <f t="shared" si="0"/>
        <v>0.0247826086956522</v>
      </c>
      <c r="E10">
        <v>570</v>
      </c>
      <c r="F10">
        <v>23000</v>
      </c>
      <c r="G10">
        <v>980000</v>
      </c>
      <c r="H10">
        <v>1500000</v>
      </c>
      <c r="I10">
        <v>3500000</v>
      </c>
      <c r="J10">
        <v>1</v>
      </c>
      <c r="K10">
        <f>(H10-G10)/G10</f>
        <v>0.530612244897959</v>
      </c>
      <c r="L10">
        <f>I10/G10</f>
        <v>3.57142857142857</v>
      </c>
      <c r="M10">
        <f>440/100*2204.62/1000</f>
        <v>9.700328</v>
      </c>
      <c r="N10">
        <f>M10*3</f>
        <v>29.100984</v>
      </c>
      <c r="O10" s="4">
        <f t="shared" si="1"/>
        <v>32.0110824</v>
      </c>
      <c r="P10" t="s">
        <v>176</v>
      </c>
      <c r="Q10" t="s">
        <v>177</v>
      </c>
      <c r="R10" t="s">
        <v>178</v>
      </c>
    </row>
    <row r="11" spans="1:18">
      <c r="A11" t="s">
        <v>101</v>
      </c>
      <c r="B11" t="s">
        <v>102</v>
      </c>
      <c r="C11" t="s">
        <v>15</v>
      </c>
      <c r="D11">
        <f t="shared" si="0"/>
        <v>0.81535</v>
      </c>
      <c r="E11">
        <v>1467.63</v>
      </c>
      <c r="F11">
        <v>1800</v>
      </c>
      <c r="G11">
        <v>310000</v>
      </c>
      <c r="H11">
        <v>800000</v>
      </c>
      <c r="I11">
        <v>0</v>
      </c>
      <c r="J11">
        <v>1</v>
      </c>
      <c r="K11">
        <f>(H11-G11)/(2*G11)</f>
        <v>0.790322580645161</v>
      </c>
      <c r="L11">
        <f>(H11-G11)/(2*G11)</f>
        <v>0.790322580645161</v>
      </c>
      <c r="M11">
        <v>1</v>
      </c>
      <c r="N11">
        <v>2.6</v>
      </c>
      <c r="O11" s="4">
        <f t="shared" si="1"/>
        <v>2.86</v>
      </c>
      <c r="P11" t="s">
        <v>179</v>
      </c>
      <c r="Q11" t="s">
        <v>180</v>
      </c>
      <c r="R11" t="s">
        <v>181</v>
      </c>
    </row>
    <row r="14" spans="1:18">
      <c r="A14" s="3" t="s">
        <v>182</v>
      </c>
    </row>
    <row r="15" spans="1:18">
      <c r="A15" t="s">
        <v>183</v>
      </c>
      <c r="B15" t="s">
        <v>184</v>
      </c>
      <c r="M15" s="1">
        <v>13.86</v>
      </c>
      <c r="N15" s="1">
        <v>22.45</v>
      </c>
      <c r="O15" s="1">
        <v>27.69</v>
      </c>
    </row>
    <row r="16" spans="1:18">
      <c r="A16" t="s">
        <v>185</v>
      </c>
      <c r="B16" t="s">
        <v>186</v>
      </c>
      <c r="M16" s="1">
        <v>14.288</v>
      </c>
      <c r="N16" s="1">
        <v>23.139</v>
      </c>
      <c r="O16" s="1">
        <v>73.349</v>
      </c>
    </row>
    <row r="17" spans="1:15">
      <c r="A17" t="s">
        <v>187</v>
      </c>
      <c r="B17" t="s">
        <v>188</v>
      </c>
      <c r="M17" s="1">
        <v>29.844</v>
      </c>
      <c r="N17" s="1">
        <v>42.509</v>
      </c>
      <c r="O17" s="1">
        <v>94.182</v>
      </c>
    </row>
    <row r="18" spans="1:15">
      <c r="A18" t="s">
        <v>189</v>
      </c>
      <c r="B18" t="s">
        <v>190</v>
      </c>
      <c r="M18" s="1">
        <v>0.45</v>
      </c>
      <c r="N18" s="1">
        <v>1.35</v>
      </c>
      <c r="O18" s="1">
        <v>2.25</v>
      </c>
    </row>
    <row r="19" spans="1:15">
      <c r="A19" t="s">
        <v>191</v>
      </c>
      <c r="B19" t="s">
        <v>192</v>
      </c>
      <c r="M19" s="1">
        <v>3.968316</v>
      </c>
      <c r="N19" s="1">
        <v>11.904948</v>
      </c>
      <c r="O19" s="1">
        <v>19.84158</v>
      </c>
    </row>
    <row r="20" spans="1:15">
      <c r="A20" t="s">
        <v>193</v>
      </c>
      <c r="B20" t="s">
        <v>194</v>
      </c>
      <c r="M20" s="1">
        <v>9.700328</v>
      </c>
      <c r="N20" s="1">
        <v>29.100984</v>
      </c>
      <c r="O20" s="1">
        <v>48.50164</v>
      </c>
    </row>
    <row r="21" spans="1:15">
      <c r="M21" s="1">
        <v>1</v>
      </c>
      <c r="N21" s="1">
        <v>2.6</v>
      </c>
      <c r="O21" s="1">
        <v>7.245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4"/>
  <sheetViews>
    <sheetView topLeftCell="B1" workbookViewId="0">
      <selection activeCell="D16" sqref="D16"/>
    </sheetView>
  </sheetViews>
  <sheetFormatPr defaultColWidth="9" defaultRowHeight="14.5" outlineLevelCol="6"/>
  <cols>
    <col min="1" max="5" width="20" style="1" customWidth="1"/>
    <col min="6" max="6" width="71" style="1" customWidth="1"/>
    <col min="7" max="7" width="20" style="1" customWidth="1"/>
  </cols>
  <sheetData>
    <row r="1" spans="1:7">
      <c r="A1" s="2" t="s">
        <v>79</v>
      </c>
      <c r="B1" s="2" t="s">
        <v>195</v>
      </c>
      <c r="C1" s="2" t="s">
        <v>196</v>
      </c>
      <c r="D1" s="2" t="s">
        <v>197</v>
      </c>
      <c r="E1" s="2" t="s">
        <v>198</v>
      </c>
      <c r="F1" s="2" t="s">
        <v>199</v>
      </c>
      <c r="G1" s="2" t="s">
        <v>158</v>
      </c>
    </row>
    <row r="2" spans="1:7">
      <c r="A2" t="s">
        <v>94</v>
      </c>
      <c r="B2" t="s">
        <v>200</v>
      </c>
      <c r="C2" t="s">
        <v>48</v>
      </c>
      <c r="D2">
        <v>10</v>
      </c>
      <c r="E2">
        <v>340</v>
      </c>
      <c r="F2" t="s">
        <v>201</v>
      </c>
      <c r="G2" t="s">
        <v>202</v>
      </c>
    </row>
    <row r="3" spans="1:7">
      <c r="A3" t="s">
        <v>94</v>
      </c>
      <c r="B3" t="s">
        <v>29</v>
      </c>
      <c r="C3" t="s">
        <v>29</v>
      </c>
      <c r="D3">
        <v>45</v>
      </c>
      <c r="E3">
        <v>25000</v>
      </c>
      <c r="F3" t="s">
        <v>201</v>
      </c>
      <c r="G3" t="s">
        <v>202</v>
      </c>
    </row>
    <row r="4" spans="1:7">
      <c r="A4" t="s">
        <v>94</v>
      </c>
      <c r="B4" t="s">
        <v>33</v>
      </c>
      <c r="C4" t="s">
        <v>33</v>
      </c>
      <c r="D4">
        <v>70</v>
      </c>
      <c r="E4">
        <v>16000</v>
      </c>
      <c r="F4" t="s">
        <v>201</v>
      </c>
      <c r="G4" t="s">
        <v>202</v>
      </c>
    </row>
    <row r="5" spans="1:7">
      <c r="A5" t="s">
        <v>94</v>
      </c>
      <c r="B5" t="s">
        <v>203</v>
      </c>
      <c r="C5" t="s">
        <v>48</v>
      </c>
      <c r="D5">
        <v>140</v>
      </c>
      <c r="E5">
        <v>2200</v>
      </c>
      <c r="F5" t="s">
        <v>201</v>
      </c>
      <c r="G5" t="s">
        <v>202</v>
      </c>
    </row>
    <row r="6" spans="1:7">
      <c r="A6" t="s">
        <v>94</v>
      </c>
      <c r="B6" t="s">
        <v>34</v>
      </c>
      <c r="C6" t="s">
        <v>34</v>
      </c>
      <c r="D6">
        <v>120</v>
      </c>
      <c r="E6">
        <v>4400</v>
      </c>
      <c r="F6" t="s">
        <v>201</v>
      </c>
      <c r="G6" t="s">
        <v>202</v>
      </c>
    </row>
    <row r="7" spans="1:7">
      <c r="A7" t="s">
        <v>94</v>
      </c>
      <c r="B7" t="s">
        <v>204</v>
      </c>
      <c r="C7" t="s">
        <v>51</v>
      </c>
      <c r="D7">
        <v>2600</v>
      </c>
      <c r="E7">
        <v>62000</v>
      </c>
      <c r="F7" t="s">
        <v>201</v>
      </c>
      <c r="G7" t="s">
        <v>202</v>
      </c>
    </row>
    <row r="8" spans="1:7">
      <c r="A8" t="s">
        <v>94</v>
      </c>
      <c r="B8" t="s">
        <v>205</v>
      </c>
      <c r="C8" t="s">
        <v>51</v>
      </c>
      <c r="D8">
        <v>140</v>
      </c>
      <c r="E8">
        <v>7100</v>
      </c>
      <c r="F8" t="s">
        <v>201</v>
      </c>
      <c r="G8" t="s">
        <v>202</v>
      </c>
    </row>
    <row r="9" spans="1:7">
      <c r="A9" t="s">
        <v>94</v>
      </c>
      <c r="B9" t="s">
        <v>206</v>
      </c>
      <c r="C9" t="s">
        <v>51</v>
      </c>
      <c r="D9">
        <v>270</v>
      </c>
      <c r="E9">
        <v>4800</v>
      </c>
      <c r="F9" t="s">
        <v>201</v>
      </c>
      <c r="G9" t="s">
        <v>202</v>
      </c>
    </row>
    <row r="10" spans="1:7">
      <c r="A10" t="s">
        <v>94</v>
      </c>
      <c r="B10" t="s">
        <v>52</v>
      </c>
      <c r="C10" t="s">
        <v>52</v>
      </c>
      <c r="D10">
        <v>200</v>
      </c>
      <c r="E10">
        <v>8300</v>
      </c>
      <c r="F10" t="s">
        <v>201</v>
      </c>
      <c r="G10" t="s">
        <v>202</v>
      </c>
    </row>
    <row r="11" spans="1:7">
      <c r="A11" t="s">
        <v>94</v>
      </c>
      <c r="B11" t="s">
        <v>207</v>
      </c>
      <c r="C11" t="s">
        <v>51</v>
      </c>
      <c r="D11">
        <v>290</v>
      </c>
      <c r="E11">
        <v>9100</v>
      </c>
      <c r="F11" t="s">
        <v>201</v>
      </c>
      <c r="G11" t="s">
        <v>202</v>
      </c>
    </row>
    <row r="12" spans="1:7">
      <c r="A12" t="s">
        <v>92</v>
      </c>
      <c r="B12" t="s">
        <v>200</v>
      </c>
      <c r="C12" t="s">
        <v>48</v>
      </c>
      <c r="D12">
        <v>0.3</v>
      </c>
      <c r="E12">
        <v>70</v>
      </c>
      <c r="F12" t="s">
        <v>201</v>
      </c>
      <c r="G12" t="s">
        <v>202</v>
      </c>
    </row>
    <row r="13" spans="1:7">
      <c r="A13" t="s">
        <v>92</v>
      </c>
      <c r="B13" t="s">
        <v>29</v>
      </c>
      <c r="C13" t="s">
        <v>29</v>
      </c>
      <c r="D13">
        <v>3.7</v>
      </c>
      <c r="E13">
        <v>1700</v>
      </c>
      <c r="F13" t="s">
        <v>201</v>
      </c>
      <c r="G13" t="s">
        <v>202</v>
      </c>
    </row>
    <row r="14" spans="1:7">
      <c r="A14" t="s">
        <v>92</v>
      </c>
      <c r="B14" t="s">
        <v>203</v>
      </c>
      <c r="C14" t="s">
        <v>48</v>
      </c>
      <c r="D14">
        <v>3.5</v>
      </c>
      <c r="E14">
        <v>220</v>
      </c>
      <c r="F14" t="s">
        <v>201</v>
      </c>
      <c r="G14" t="s">
        <v>202</v>
      </c>
    </row>
    <row r="15" spans="1:7">
      <c r="A15" t="s">
        <v>92</v>
      </c>
      <c r="B15" t="s">
        <v>34</v>
      </c>
      <c r="C15" t="s">
        <v>34</v>
      </c>
      <c r="D15">
        <v>2</v>
      </c>
      <c r="E15">
        <v>160</v>
      </c>
      <c r="F15" t="s">
        <v>201</v>
      </c>
      <c r="G15" t="s">
        <v>202</v>
      </c>
    </row>
    <row r="16" spans="1:7">
      <c r="A16" t="s">
        <v>92</v>
      </c>
      <c r="B16" t="s">
        <v>208</v>
      </c>
      <c r="C16" t="s">
        <v>28</v>
      </c>
      <c r="D16">
        <v>230</v>
      </c>
      <c r="E16">
        <v>6000</v>
      </c>
      <c r="F16" t="s">
        <v>201</v>
      </c>
      <c r="G16" t="s">
        <v>202</v>
      </c>
    </row>
    <row r="17" spans="1:7">
      <c r="A17" t="s">
        <v>92</v>
      </c>
      <c r="B17" t="s">
        <v>209</v>
      </c>
      <c r="C17" t="s">
        <v>46</v>
      </c>
      <c r="D17">
        <v>2</v>
      </c>
      <c r="E17">
        <v>500</v>
      </c>
      <c r="F17" t="s">
        <v>201</v>
      </c>
      <c r="G17" t="s">
        <v>202</v>
      </c>
    </row>
    <row r="18" spans="1:7">
      <c r="A18" t="s">
        <v>92</v>
      </c>
      <c r="B18" t="s">
        <v>204</v>
      </c>
      <c r="C18" t="s">
        <v>51</v>
      </c>
      <c r="D18">
        <v>44</v>
      </c>
      <c r="E18">
        <v>760</v>
      </c>
      <c r="F18" t="s">
        <v>201</v>
      </c>
      <c r="G18" t="s">
        <v>202</v>
      </c>
    </row>
    <row r="19" spans="1:7">
      <c r="A19" t="s">
        <v>92</v>
      </c>
      <c r="B19" t="s">
        <v>210</v>
      </c>
      <c r="C19" t="s">
        <v>28</v>
      </c>
      <c r="D19">
        <v>3.9</v>
      </c>
      <c r="E19">
        <v>100</v>
      </c>
      <c r="F19" t="s">
        <v>201</v>
      </c>
      <c r="G19" t="s">
        <v>202</v>
      </c>
    </row>
    <row r="20" spans="1:7">
      <c r="A20" t="s">
        <v>92</v>
      </c>
      <c r="B20" t="s">
        <v>211</v>
      </c>
      <c r="C20" t="s">
        <v>51</v>
      </c>
      <c r="D20">
        <v>2.8</v>
      </c>
      <c r="E20">
        <v>84</v>
      </c>
      <c r="F20" t="s">
        <v>201</v>
      </c>
      <c r="G20" t="s">
        <v>202</v>
      </c>
    </row>
    <row r="21" spans="1:7">
      <c r="A21" t="s">
        <v>92</v>
      </c>
      <c r="B21" t="s">
        <v>206</v>
      </c>
      <c r="C21" t="s">
        <v>51</v>
      </c>
      <c r="D21">
        <v>3.7</v>
      </c>
      <c r="E21">
        <v>260</v>
      </c>
      <c r="F21" t="s">
        <v>201</v>
      </c>
      <c r="G21" t="s">
        <v>202</v>
      </c>
    </row>
    <row r="22" spans="1:7">
      <c r="A22" t="s">
        <v>92</v>
      </c>
      <c r="B22" t="s">
        <v>52</v>
      </c>
      <c r="C22" t="s">
        <v>52</v>
      </c>
      <c r="D22">
        <v>7.7</v>
      </c>
      <c r="E22">
        <v>800</v>
      </c>
      <c r="F22" t="s">
        <v>201</v>
      </c>
      <c r="G22" t="s">
        <v>202</v>
      </c>
    </row>
    <row r="23" spans="1:7">
      <c r="A23" t="s">
        <v>92</v>
      </c>
      <c r="B23" t="s">
        <v>58</v>
      </c>
      <c r="C23" t="s">
        <v>58</v>
      </c>
      <c r="D23">
        <v>1.9</v>
      </c>
      <c r="E23">
        <v>91</v>
      </c>
      <c r="F23" t="s">
        <v>201</v>
      </c>
      <c r="G23" t="s">
        <v>202</v>
      </c>
    </row>
    <row r="24" spans="1:7">
      <c r="A24" t="s">
        <v>92</v>
      </c>
      <c r="B24" t="s">
        <v>207</v>
      </c>
      <c r="C24" t="s">
        <v>51</v>
      </c>
      <c r="D24">
        <v>9.1</v>
      </c>
      <c r="E24">
        <v>780</v>
      </c>
      <c r="F24" t="s">
        <v>201</v>
      </c>
      <c r="G24" t="s">
        <v>202</v>
      </c>
    </row>
    <row r="25" spans="1:7">
      <c r="A25" t="s">
        <v>96</v>
      </c>
      <c r="B25" t="s">
        <v>200</v>
      </c>
      <c r="C25" t="s">
        <v>48</v>
      </c>
      <c r="D25">
        <v>0</v>
      </c>
      <c r="E25">
        <v>0</v>
      </c>
      <c r="F25" t="s">
        <v>201</v>
      </c>
      <c r="G25" t="s">
        <v>202</v>
      </c>
    </row>
    <row r="26" spans="1:7">
      <c r="A26" t="s">
        <v>96</v>
      </c>
      <c r="B26" t="s">
        <v>29</v>
      </c>
      <c r="C26" t="s">
        <v>29</v>
      </c>
      <c r="D26">
        <v>1600</v>
      </c>
      <c r="E26">
        <v>580000</v>
      </c>
      <c r="F26" t="s">
        <v>201</v>
      </c>
      <c r="G26" t="s">
        <v>202</v>
      </c>
    </row>
    <row r="27" spans="1:7">
      <c r="A27" t="s">
        <v>96</v>
      </c>
      <c r="B27" t="s">
        <v>33</v>
      </c>
      <c r="C27" t="s">
        <v>33</v>
      </c>
      <c r="D27">
        <v>800</v>
      </c>
      <c r="E27">
        <v>300000</v>
      </c>
      <c r="F27" t="s">
        <v>201</v>
      </c>
      <c r="G27" t="s">
        <v>202</v>
      </c>
    </row>
    <row r="28" spans="1:7">
      <c r="A28" t="s">
        <v>96</v>
      </c>
      <c r="B28" t="s">
        <v>34</v>
      </c>
      <c r="C28" t="s">
        <v>34</v>
      </c>
      <c r="D28">
        <v>700</v>
      </c>
      <c r="E28">
        <v>260000</v>
      </c>
      <c r="F28" t="s">
        <v>201</v>
      </c>
      <c r="G28" t="s">
        <v>202</v>
      </c>
    </row>
    <row r="29" spans="1:7">
      <c r="A29" t="s">
        <v>96</v>
      </c>
      <c r="B29" t="s">
        <v>212</v>
      </c>
      <c r="C29" t="s">
        <v>28</v>
      </c>
      <c r="D29">
        <v>350</v>
      </c>
      <c r="E29">
        <v>0</v>
      </c>
      <c r="F29" t="s">
        <v>201</v>
      </c>
      <c r="G29" t="s">
        <v>202</v>
      </c>
    </row>
    <row r="30" spans="1:7">
      <c r="A30" t="s">
        <v>96</v>
      </c>
      <c r="B30" t="s">
        <v>213</v>
      </c>
      <c r="C30" t="s">
        <v>28</v>
      </c>
      <c r="D30">
        <v>5000</v>
      </c>
      <c r="E30">
        <v>61000</v>
      </c>
      <c r="F30" t="s">
        <v>201</v>
      </c>
      <c r="G30" t="s">
        <v>202</v>
      </c>
    </row>
    <row r="31" spans="1:7">
      <c r="A31" t="s">
        <v>96</v>
      </c>
      <c r="B31" t="s">
        <v>214</v>
      </c>
      <c r="C31" t="s">
        <v>28</v>
      </c>
      <c r="D31">
        <v>2000</v>
      </c>
      <c r="E31">
        <v>13000</v>
      </c>
      <c r="F31" t="s">
        <v>201</v>
      </c>
      <c r="G31" t="s">
        <v>202</v>
      </c>
    </row>
    <row r="32" spans="1:7">
      <c r="A32" t="s">
        <v>96</v>
      </c>
      <c r="B32" t="s">
        <v>42</v>
      </c>
      <c r="C32" t="s">
        <v>42</v>
      </c>
      <c r="D32">
        <v>790</v>
      </c>
      <c r="E32">
        <v>34000</v>
      </c>
      <c r="F32" t="s">
        <v>201</v>
      </c>
      <c r="G32" t="s">
        <v>202</v>
      </c>
    </row>
    <row r="33" spans="1:7">
      <c r="A33" t="s">
        <v>96</v>
      </c>
      <c r="B33" t="s">
        <v>215</v>
      </c>
      <c r="C33" t="s">
        <v>54</v>
      </c>
      <c r="D33">
        <v>7600</v>
      </c>
      <c r="E33">
        <v>550000</v>
      </c>
      <c r="F33" t="s">
        <v>201</v>
      </c>
      <c r="G33" t="s">
        <v>202</v>
      </c>
    </row>
    <row r="34" spans="1:7">
      <c r="A34" t="s">
        <v>96</v>
      </c>
      <c r="B34" t="s">
        <v>207</v>
      </c>
      <c r="C34" t="s">
        <v>51</v>
      </c>
      <c r="D34">
        <v>1300</v>
      </c>
      <c r="E34">
        <v>2000</v>
      </c>
      <c r="F34" t="s">
        <v>201</v>
      </c>
      <c r="G34" t="s">
        <v>202</v>
      </c>
    </row>
    <row r="35" spans="1:7">
      <c r="A35" t="s">
        <v>99</v>
      </c>
      <c r="B35" t="s">
        <v>200</v>
      </c>
      <c r="C35" t="s">
        <v>48</v>
      </c>
      <c r="D35">
        <v>1000</v>
      </c>
      <c r="E35">
        <v>47000</v>
      </c>
      <c r="F35" t="s">
        <v>201</v>
      </c>
      <c r="G35" t="s">
        <v>202</v>
      </c>
    </row>
    <row r="36" spans="1:7">
      <c r="A36" t="s">
        <v>99</v>
      </c>
      <c r="B36" t="s">
        <v>29</v>
      </c>
      <c r="C36" t="s">
        <v>29</v>
      </c>
      <c r="D36">
        <v>730</v>
      </c>
      <c r="E36">
        <v>100000</v>
      </c>
      <c r="F36" t="s">
        <v>201</v>
      </c>
      <c r="G36" t="s">
        <v>202</v>
      </c>
    </row>
    <row r="37" spans="1:7">
      <c r="A37" t="s">
        <v>99</v>
      </c>
      <c r="B37" t="s">
        <v>203</v>
      </c>
      <c r="C37" t="s">
        <v>48</v>
      </c>
      <c r="D37">
        <v>500</v>
      </c>
      <c r="E37">
        <v>7000</v>
      </c>
      <c r="F37" t="s">
        <v>201</v>
      </c>
      <c r="G37" t="s">
        <v>202</v>
      </c>
    </row>
    <row r="38" spans="1:7">
      <c r="A38" t="s">
        <v>99</v>
      </c>
      <c r="B38" t="s">
        <v>216</v>
      </c>
      <c r="C38" t="s">
        <v>46</v>
      </c>
      <c r="D38">
        <v>5300</v>
      </c>
      <c r="E38">
        <v>180000</v>
      </c>
      <c r="F38" t="s">
        <v>201</v>
      </c>
      <c r="G38" t="s">
        <v>202</v>
      </c>
    </row>
    <row r="39" spans="1:7">
      <c r="A39" t="s">
        <v>99</v>
      </c>
      <c r="B39" t="s">
        <v>34</v>
      </c>
      <c r="C39" t="s">
        <v>34</v>
      </c>
      <c r="D39">
        <v>1800</v>
      </c>
      <c r="E39">
        <v>41000</v>
      </c>
      <c r="F39" t="s">
        <v>201</v>
      </c>
      <c r="G39" t="s">
        <v>202</v>
      </c>
    </row>
    <row r="40" spans="1:7">
      <c r="A40" t="s">
        <v>99</v>
      </c>
      <c r="B40" t="s">
        <v>208</v>
      </c>
      <c r="C40" t="s">
        <v>28</v>
      </c>
      <c r="D40">
        <v>3200</v>
      </c>
      <c r="E40">
        <v>80000</v>
      </c>
      <c r="F40" t="s">
        <v>201</v>
      </c>
      <c r="G40" t="s">
        <v>202</v>
      </c>
    </row>
    <row r="41" spans="1:7">
      <c r="A41" t="s">
        <v>99</v>
      </c>
      <c r="B41" t="s">
        <v>38</v>
      </c>
      <c r="C41" t="s">
        <v>38</v>
      </c>
      <c r="D41">
        <v>0</v>
      </c>
      <c r="E41">
        <v>0</v>
      </c>
      <c r="F41" t="s">
        <v>201</v>
      </c>
      <c r="G41" t="s">
        <v>202</v>
      </c>
    </row>
    <row r="42" spans="1:7">
      <c r="A42" t="s">
        <v>99</v>
      </c>
      <c r="B42" t="s">
        <v>42</v>
      </c>
      <c r="C42" t="s">
        <v>42</v>
      </c>
      <c r="D42">
        <v>23</v>
      </c>
      <c r="E42">
        <v>2200</v>
      </c>
      <c r="F42" t="s">
        <v>201</v>
      </c>
      <c r="G42" t="s">
        <v>202</v>
      </c>
    </row>
    <row r="43" spans="1:7">
      <c r="A43" t="s">
        <v>99</v>
      </c>
      <c r="B43" t="s">
        <v>204</v>
      </c>
      <c r="C43" t="s">
        <v>51</v>
      </c>
      <c r="D43">
        <v>710</v>
      </c>
      <c r="E43">
        <v>21000</v>
      </c>
      <c r="F43" t="s">
        <v>201</v>
      </c>
      <c r="G43" t="s">
        <v>202</v>
      </c>
    </row>
    <row r="44" spans="1:7">
      <c r="A44" t="s">
        <v>99</v>
      </c>
      <c r="B44" t="s">
        <v>45</v>
      </c>
      <c r="C44" t="s">
        <v>45</v>
      </c>
      <c r="D44">
        <v>0</v>
      </c>
      <c r="E44">
        <v>0</v>
      </c>
      <c r="F44" t="s">
        <v>201</v>
      </c>
      <c r="G44" t="s">
        <v>202</v>
      </c>
    </row>
    <row r="45" spans="1:7">
      <c r="A45" t="s">
        <v>99</v>
      </c>
      <c r="B45" t="s">
        <v>217</v>
      </c>
      <c r="C45" t="s">
        <v>51</v>
      </c>
      <c r="D45">
        <v>710</v>
      </c>
      <c r="E45">
        <v>20000</v>
      </c>
      <c r="F45" t="s">
        <v>201</v>
      </c>
      <c r="G45" t="s">
        <v>202</v>
      </c>
    </row>
    <row r="46" spans="1:7">
      <c r="A46" t="s">
        <v>99</v>
      </c>
      <c r="B46" t="s">
        <v>218</v>
      </c>
      <c r="C46" t="s">
        <v>51</v>
      </c>
      <c r="D46">
        <v>0</v>
      </c>
      <c r="E46">
        <v>0</v>
      </c>
      <c r="F46" t="s">
        <v>201</v>
      </c>
      <c r="G46" t="s">
        <v>202</v>
      </c>
    </row>
    <row r="47" spans="1:7">
      <c r="A47" t="s">
        <v>99</v>
      </c>
      <c r="B47" t="s">
        <v>219</v>
      </c>
      <c r="C47" t="s">
        <v>48</v>
      </c>
      <c r="D47">
        <v>690</v>
      </c>
      <c r="E47">
        <v>53000</v>
      </c>
      <c r="F47" t="s">
        <v>201</v>
      </c>
      <c r="G47" t="s">
        <v>202</v>
      </c>
    </row>
    <row r="48" spans="1:7">
      <c r="A48" t="s">
        <v>99</v>
      </c>
      <c r="B48" t="s">
        <v>220</v>
      </c>
      <c r="C48" t="s">
        <v>46</v>
      </c>
      <c r="D48">
        <v>2700</v>
      </c>
      <c r="E48">
        <v>85000</v>
      </c>
      <c r="F48" t="s">
        <v>201</v>
      </c>
      <c r="G48" t="s">
        <v>202</v>
      </c>
    </row>
    <row r="49" spans="1:7">
      <c r="A49" t="s">
        <v>99</v>
      </c>
      <c r="B49" t="s">
        <v>50</v>
      </c>
      <c r="C49" t="s">
        <v>50</v>
      </c>
      <c r="D49">
        <v>410</v>
      </c>
      <c r="E49">
        <v>33000</v>
      </c>
      <c r="F49" t="s">
        <v>201</v>
      </c>
      <c r="G49" t="s">
        <v>202</v>
      </c>
    </row>
    <row r="50" spans="1:7">
      <c r="A50" t="s">
        <v>99</v>
      </c>
      <c r="B50" t="s">
        <v>52</v>
      </c>
      <c r="C50" t="s">
        <v>52</v>
      </c>
      <c r="D50">
        <v>1300</v>
      </c>
      <c r="E50">
        <v>80000</v>
      </c>
      <c r="F50" t="s">
        <v>201</v>
      </c>
      <c r="G50" t="s">
        <v>202</v>
      </c>
    </row>
    <row r="51" spans="1:7">
      <c r="A51" t="s">
        <v>99</v>
      </c>
      <c r="B51" t="s">
        <v>221</v>
      </c>
      <c r="C51" t="s">
        <v>28</v>
      </c>
      <c r="D51">
        <v>940</v>
      </c>
      <c r="E51">
        <v>21000</v>
      </c>
      <c r="F51" t="s">
        <v>201</v>
      </c>
      <c r="G51" t="s">
        <v>202</v>
      </c>
    </row>
    <row r="52" spans="1:7">
      <c r="A52" t="s">
        <v>99</v>
      </c>
      <c r="B52" t="s">
        <v>207</v>
      </c>
      <c r="C52" t="s">
        <v>51</v>
      </c>
      <c r="D52">
        <v>3000</v>
      </c>
      <c r="E52">
        <v>210000</v>
      </c>
      <c r="F52" t="s">
        <v>201</v>
      </c>
      <c r="G52" t="s">
        <v>202</v>
      </c>
    </row>
    <row r="53" spans="1:7">
      <c r="A53" t="s">
        <v>101</v>
      </c>
      <c r="B53" t="s">
        <v>200</v>
      </c>
      <c r="C53" t="s">
        <v>48</v>
      </c>
      <c r="D53">
        <v>0</v>
      </c>
      <c r="E53">
        <v>0</v>
      </c>
      <c r="F53" t="s">
        <v>201</v>
      </c>
      <c r="G53" t="s">
        <v>202</v>
      </c>
    </row>
    <row r="54" spans="1:7">
      <c r="A54" t="s">
        <v>101</v>
      </c>
      <c r="B54" t="s">
        <v>30</v>
      </c>
      <c r="C54" t="s">
        <v>30</v>
      </c>
      <c r="D54">
        <v>0.2</v>
      </c>
      <c r="E54">
        <v>0</v>
      </c>
      <c r="F54" t="s">
        <v>201</v>
      </c>
      <c r="G54" t="s">
        <v>202</v>
      </c>
    </row>
    <row r="55" spans="1:7">
      <c r="A55" t="s">
        <v>101</v>
      </c>
      <c r="B55" t="s">
        <v>33</v>
      </c>
      <c r="C55" t="s">
        <v>33</v>
      </c>
      <c r="D55">
        <v>65</v>
      </c>
      <c r="E55">
        <v>74000</v>
      </c>
      <c r="F55" t="s">
        <v>201</v>
      </c>
      <c r="G55" t="s">
        <v>202</v>
      </c>
    </row>
    <row r="56" spans="1:7">
      <c r="A56" t="s">
        <v>101</v>
      </c>
      <c r="B56" t="s">
        <v>203</v>
      </c>
      <c r="C56" t="s">
        <v>48</v>
      </c>
      <c r="D56">
        <v>8</v>
      </c>
      <c r="E56">
        <v>5900</v>
      </c>
      <c r="F56" t="s">
        <v>201</v>
      </c>
      <c r="G56" t="s">
        <v>202</v>
      </c>
    </row>
    <row r="57" spans="1:7">
      <c r="A57" t="s">
        <v>101</v>
      </c>
      <c r="B57" t="s">
        <v>34</v>
      </c>
      <c r="C57" t="s">
        <v>34</v>
      </c>
      <c r="D57">
        <v>1400</v>
      </c>
      <c r="E57">
        <v>100000</v>
      </c>
      <c r="F57" t="s">
        <v>201</v>
      </c>
      <c r="G57" t="s">
        <v>202</v>
      </c>
    </row>
    <row r="58" spans="1:7">
      <c r="A58" t="s">
        <v>101</v>
      </c>
      <c r="B58" t="s">
        <v>38</v>
      </c>
      <c r="C58" t="s">
        <v>38</v>
      </c>
      <c r="D58">
        <v>0.14</v>
      </c>
      <c r="E58">
        <v>0</v>
      </c>
      <c r="F58" t="s">
        <v>201</v>
      </c>
      <c r="G58" t="s">
        <v>202</v>
      </c>
    </row>
    <row r="59" spans="1:7">
      <c r="A59" t="s">
        <v>101</v>
      </c>
      <c r="B59" t="s">
        <v>42</v>
      </c>
      <c r="C59" t="s">
        <v>42</v>
      </c>
      <c r="D59">
        <v>17</v>
      </c>
      <c r="E59">
        <v>8600</v>
      </c>
      <c r="F59" t="s">
        <v>201</v>
      </c>
      <c r="G59" t="s">
        <v>202</v>
      </c>
    </row>
    <row r="60" spans="1:7">
      <c r="A60" t="s">
        <v>101</v>
      </c>
      <c r="B60" t="s">
        <v>222</v>
      </c>
      <c r="C60" t="s">
        <v>51</v>
      </c>
      <c r="D60">
        <v>8</v>
      </c>
      <c r="E60">
        <v>2000</v>
      </c>
      <c r="F60" t="s">
        <v>201</v>
      </c>
      <c r="G60" t="s">
        <v>202</v>
      </c>
    </row>
    <row r="61" spans="1:7">
      <c r="A61" t="s">
        <v>101</v>
      </c>
      <c r="B61" t="s">
        <v>218</v>
      </c>
      <c r="C61" t="s">
        <v>51</v>
      </c>
      <c r="D61">
        <v>0.5</v>
      </c>
      <c r="E61">
        <v>1800</v>
      </c>
      <c r="F61" t="s">
        <v>201</v>
      </c>
      <c r="G61" t="s">
        <v>202</v>
      </c>
    </row>
    <row r="62" spans="1:7">
      <c r="A62" t="s">
        <v>101</v>
      </c>
      <c r="B62" t="s">
        <v>210</v>
      </c>
      <c r="C62" t="s">
        <v>28</v>
      </c>
      <c r="D62">
        <v>80</v>
      </c>
      <c r="E62">
        <v>27000</v>
      </c>
      <c r="F62" t="s">
        <v>201</v>
      </c>
      <c r="G62" t="s">
        <v>202</v>
      </c>
    </row>
    <row r="63" spans="1:7">
      <c r="A63" t="s">
        <v>101</v>
      </c>
      <c r="B63" t="s">
        <v>219</v>
      </c>
      <c r="C63" t="s">
        <v>48</v>
      </c>
      <c r="D63">
        <v>0.74</v>
      </c>
      <c r="E63">
        <v>3100</v>
      </c>
      <c r="F63" t="s">
        <v>201</v>
      </c>
      <c r="G63" t="s">
        <v>202</v>
      </c>
    </row>
    <row r="64" spans="1:7">
      <c r="A64" t="s">
        <v>101</v>
      </c>
      <c r="B64" t="s">
        <v>223</v>
      </c>
      <c r="C64" t="s">
        <v>28</v>
      </c>
      <c r="D64">
        <v>60</v>
      </c>
      <c r="E64">
        <v>25000</v>
      </c>
      <c r="F64" t="s">
        <v>201</v>
      </c>
      <c r="G64" t="s">
        <v>202</v>
      </c>
    </row>
    <row r="65" spans="1:7">
      <c r="A65" t="s">
        <v>101</v>
      </c>
      <c r="B65" t="s">
        <v>49</v>
      </c>
      <c r="C65" t="s">
        <v>49</v>
      </c>
      <c r="D65">
        <v>6.6</v>
      </c>
      <c r="E65">
        <v>600</v>
      </c>
      <c r="F65" t="s">
        <v>201</v>
      </c>
      <c r="G65" t="s">
        <v>202</v>
      </c>
    </row>
    <row r="66" spans="1:7">
      <c r="A66" t="s">
        <v>101</v>
      </c>
      <c r="B66" t="s">
        <v>52</v>
      </c>
      <c r="C66" t="s">
        <v>52</v>
      </c>
      <c r="D66">
        <v>25</v>
      </c>
      <c r="E66">
        <v>14000</v>
      </c>
      <c r="F66" t="s">
        <v>201</v>
      </c>
      <c r="G66" t="s">
        <v>202</v>
      </c>
    </row>
    <row r="67" spans="1:7">
      <c r="A67" t="s">
        <v>101</v>
      </c>
      <c r="B67" t="s">
        <v>224</v>
      </c>
      <c r="C67" t="s">
        <v>51</v>
      </c>
      <c r="D67">
        <v>3.2</v>
      </c>
      <c r="E67">
        <v>1500</v>
      </c>
      <c r="F67" t="s">
        <v>201</v>
      </c>
      <c r="G67" t="s">
        <v>202</v>
      </c>
    </row>
    <row r="68" spans="1:7">
      <c r="A68" t="s">
        <v>101</v>
      </c>
      <c r="B68" t="s">
        <v>225</v>
      </c>
      <c r="C68" t="s">
        <v>28</v>
      </c>
      <c r="D68">
        <v>75</v>
      </c>
      <c r="E68">
        <v>18000</v>
      </c>
      <c r="F68" t="s">
        <v>201</v>
      </c>
      <c r="G68" t="s">
        <v>202</v>
      </c>
    </row>
    <row r="69" spans="1:7">
      <c r="A69" t="s">
        <v>101</v>
      </c>
      <c r="B69" t="s">
        <v>58</v>
      </c>
      <c r="C69" t="s">
        <v>58</v>
      </c>
      <c r="D69">
        <v>2.2</v>
      </c>
      <c r="E69">
        <v>6900</v>
      </c>
      <c r="F69" t="s">
        <v>201</v>
      </c>
      <c r="G69" t="s">
        <v>202</v>
      </c>
    </row>
    <row r="70" spans="1:7">
      <c r="A70" t="s">
        <v>101</v>
      </c>
      <c r="B70" t="s">
        <v>60</v>
      </c>
      <c r="C70" t="s">
        <v>60</v>
      </c>
      <c r="D70">
        <v>0.8</v>
      </c>
      <c r="E70">
        <v>0</v>
      </c>
      <c r="F70" t="s">
        <v>201</v>
      </c>
      <c r="G70" t="s">
        <v>202</v>
      </c>
    </row>
    <row r="71" spans="1:7">
      <c r="A71" t="s">
        <v>101</v>
      </c>
      <c r="B71" t="s">
        <v>226</v>
      </c>
      <c r="C71" t="s">
        <v>51</v>
      </c>
      <c r="D71">
        <v>0.5</v>
      </c>
      <c r="E71">
        <v>9700</v>
      </c>
      <c r="F71" t="s">
        <v>201</v>
      </c>
      <c r="G71" t="s">
        <v>202</v>
      </c>
    </row>
    <row r="72" spans="1:7">
      <c r="A72" t="s">
        <v>171</v>
      </c>
      <c r="B72" t="s">
        <v>200</v>
      </c>
      <c r="C72" t="s">
        <v>48</v>
      </c>
      <c r="D72">
        <v>660</v>
      </c>
      <c r="E72">
        <v>5000</v>
      </c>
      <c r="F72" t="s">
        <v>201</v>
      </c>
      <c r="G72" t="s">
        <v>227</v>
      </c>
    </row>
    <row r="73" spans="1:7">
      <c r="A73" t="s">
        <v>171</v>
      </c>
      <c r="B73" t="s">
        <v>29</v>
      </c>
      <c r="C73" t="s">
        <v>29</v>
      </c>
      <c r="D73">
        <v>1500</v>
      </c>
      <c r="E73">
        <v>925000</v>
      </c>
      <c r="F73" t="s">
        <v>201</v>
      </c>
      <c r="G73" t="s">
        <v>228</v>
      </c>
    </row>
    <row r="74" spans="1:7">
      <c r="A74" t="s">
        <v>171</v>
      </c>
      <c r="B74" t="s">
        <v>229</v>
      </c>
      <c r="C74" t="s">
        <v>47</v>
      </c>
      <c r="D74">
        <v>1600</v>
      </c>
      <c r="E74">
        <v>0</v>
      </c>
      <c r="F74" t="s">
        <v>201</v>
      </c>
      <c r="G74" t="s">
        <v>202</v>
      </c>
    </row>
    <row r="75" spans="1:7">
      <c r="A75" t="s">
        <v>171</v>
      </c>
      <c r="B75" t="s">
        <v>33</v>
      </c>
      <c r="C75" t="s">
        <v>33</v>
      </c>
      <c r="D75">
        <v>1200</v>
      </c>
      <c r="E75">
        <v>425000</v>
      </c>
      <c r="F75" t="s">
        <v>201</v>
      </c>
      <c r="G75" t="s">
        <v>202</v>
      </c>
    </row>
    <row r="76" spans="1:7">
      <c r="A76" t="s">
        <v>171</v>
      </c>
      <c r="B76" t="s">
        <v>203</v>
      </c>
      <c r="C76" t="s">
        <v>48</v>
      </c>
      <c r="D76">
        <v>3300</v>
      </c>
      <c r="E76">
        <v>0</v>
      </c>
      <c r="F76" t="s">
        <v>201</v>
      </c>
      <c r="G76" t="s">
        <v>202</v>
      </c>
    </row>
    <row r="77" spans="1:7">
      <c r="A77" t="s">
        <v>171</v>
      </c>
      <c r="B77" t="s">
        <v>34</v>
      </c>
      <c r="C77" t="s">
        <v>34</v>
      </c>
      <c r="D77">
        <v>45000</v>
      </c>
      <c r="E77">
        <v>177500</v>
      </c>
      <c r="F77" t="s">
        <v>201</v>
      </c>
      <c r="G77" t="s">
        <v>202</v>
      </c>
    </row>
    <row r="78" spans="1:7">
      <c r="A78" t="s">
        <v>171</v>
      </c>
      <c r="B78" t="s">
        <v>230</v>
      </c>
      <c r="C78" t="s">
        <v>39</v>
      </c>
      <c r="D78">
        <v>0</v>
      </c>
      <c r="E78">
        <v>0</v>
      </c>
      <c r="F78" t="s">
        <v>201</v>
      </c>
      <c r="G78" t="s">
        <v>202</v>
      </c>
    </row>
    <row r="79" spans="1:7">
      <c r="A79" t="s">
        <v>171</v>
      </c>
      <c r="B79" t="s">
        <v>231</v>
      </c>
      <c r="C79" t="s">
        <v>28</v>
      </c>
      <c r="D79">
        <v>0</v>
      </c>
      <c r="E79">
        <v>1850000</v>
      </c>
      <c r="F79" t="s">
        <v>201</v>
      </c>
      <c r="G79" t="s">
        <v>202</v>
      </c>
    </row>
    <row r="80" spans="1:7">
      <c r="A80" t="s">
        <v>171</v>
      </c>
      <c r="B80" t="s">
        <v>41</v>
      </c>
      <c r="C80" t="s">
        <v>41</v>
      </c>
      <c r="D80">
        <v>750</v>
      </c>
      <c r="E80">
        <v>0</v>
      </c>
      <c r="F80" t="s">
        <v>201</v>
      </c>
      <c r="G80" t="s">
        <v>202</v>
      </c>
    </row>
    <row r="81" spans="1:7">
      <c r="A81" t="s">
        <v>171</v>
      </c>
      <c r="B81" t="s">
        <v>42</v>
      </c>
      <c r="C81" t="s">
        <v>42</v>
      </c>
      <c r="D81">
        <v>4200</v>
      </c>
      <c r="E81">
        <v>162500</v>
      </c>
      <c r="F81" t="s">
        <v>201</v>
      </c>
      <c r="G81" t="s">
        <v>202</v>
      </c>
    </row>
    <row r="82" spans="1:7">
      <c r="A82" t="s">
        <v>171</v>
      </c>
      <c r="B82" t="s">
        <v>204</v>
      </c>
      <c r="C82" t="s">
        <v>51</v>
      </c>
      <c r="D82">
        <v>0</v>
      </c>
      <c r="E82">
        <v>725000</v>
      </c>
      <c r="F82" t="s">
        <v>201</v>
      </c>
      <c r="G82" t="s">
        <v>202</v>
      </c>
    </row>
    <row r="83" spans="1:7">
      <c r="A83" t="s">
        <v>171</v>
      </c>
      <c r="B83" t="s">
        <v>43</v>
      </c>
      <c r="C83" t="s">
        <v>43</v>
      </c>
      <c r="D83">
        <v>0</v>
      </c>
      <c r="E83">
        <v>0</v>
      </c>
      <c r="F83" t="s">
        <v>201</v>
      </c>
      <c r="G83" t="s">
        <v>202</v>
      </c>
    </row>
    <row r="84" spans="1:7">
      <c r="A84" t="s">
        <v>171</v>
      </c>
      <c r="B84" t="s">
        <v>232</v>
      </c>
      <c r="C84" t="s">
        <v>46</v>
      </c>
      <c r="D84">
        <v>0</v>
      </c>
      <c r="E84">
        <v>500000</v>
      </c>
      <c r="F84" t="s">
        <v>201</v>
      </c>
      <c r="G84" t="s">
        <v>202</v>
      </c>
    </row>
    <row r="85" spans="1:7">
      <c r="A85" t="s">
        <v>171</v>
      </c>
      <c r="B85" t="s">
        <v>217</v>
      </c>
      <c r="C85" t="s">
        <v>51</v>
      </c>
      <c r="D85">
        <v>0</v>
      </c>
      <c r="E85">
        <v>40000</v>
      </c>
      <c r="F85" t="s">
        <v>201</v>
      </c>
      <c r="G85" t="s">
        <v>202</v>
      </c>
    </row>
    <row r="86" spans="1:7">
      <c r="A86" t="s">
        <v>171</v>
      </c>
      <c r="B86" t="s">
        <v>233</v>
      </c>
      <c r="C86" t="s">
        <v>51</v>
      </c>
      <c r="D86">
        <v>1100</v>
      </c>
      <c r="E86">
        <v>0</v>
      </c>
      <c r="F86" t="s">
        <v>201</v>
      </c>
      <c r="G86" t="s">
        <v>202</v>
      </c>
    </row>
    <row r="87" spans="1:7">
      <c r="A87" t="s">
        <v>171</v>
      </c>
      <c r="B87" t="s">
        <v>49</v>
      </c>
      <c r="C87" t="s">
        <v>49</v>
      </c>
      <c r="D87">
        <v>1300</v>
      </c>
      <c r="E87">
        <v>0</v>
      </c>
      <c r="F87" t="s">
        <v>201</v>
      </c>
      <c r="G87" t="s">
        <v>202</v>
      </c>
    </row>
    <row r="88" spans="1:7">
      <c r="A88" t="s">
        <v>171</v>
      </c>
      <c r="B88" t="s">
        <v>52</v>
      </c>
      <c r="C88" t="s">
        <v>52</v>
      </c>
      <c r="D88">
        <v>3900</v>
      </c>
      <c r="E88">
        <v>162500</v>
      </c>
      <c r="F88" t="s">
        <v>201</v>
      </c>
      <c r="G88" t="s">
        <v>202</v>
      </c>
    </row>
    <row r="89" spans="1:7">
      <c r="A89" t="s">
        <v>171</v>
      </c>
      <c r="B89" t="s">
        <v>234</v>
      </c>
      <c r="C89" t="s">
        <v>53</v>
      </c>
      <c r="D89">
        <v>0</v>
      </c>
      <c r="E89">
        <v>45000</v>
      </c>
      <c r="F89" t="s">
        <v>201</v>
      </c>
      <c r="G89" t="s">
        <v>202</v>
      </c>
    </row>
    <row r="90" spans="1:7">
      <c r="A90" t="s">
        <v>171</v>
      </c>
      <c r="B90" t="s">
        <v>235</v>
      </c>
      <c r="C90" t="s">
        <v>55</v>
      </c>
      <c r="D90">
        <v>0</v>
      </c>
      <c r="E90">
        <v>0</v>
      </c>
      <c r="F90" t="s">
        <v>201</v>
      </c>
      <c r="G90" t="s">
        <v>202</v>
      </c>
    </row>
    <row r="91" spans="1:7">
      <c r="A91" t="s">
        <v>171</v>
      </c>
      <c r="B91" t="s">
        <v>58</v>
      </c>
      <c r="C91" t="s">
        <v>58</v>
      </c>
      <c r="D91">
        <v>0</v>
      </c>
      <c r="E91">
        <v>17250</v>
      </c>
      <c r="F91" t="s">
        <v>201</v>
      </c>
      <c r="G91" t="s">
        <v>202</v>
      </c>
    </row>
    <row r="92" spans="1:7">
      <c r="A92" t="s">
        <v>171</v>
      </c>
      <c r="B92" t="s">
        <v>236</v>
      </c>
      <c r="C92" t="s">
        <v>47</v>
      </c>
      <c r="D92">
        <v>2700</v>
      </c>
      <c r="E92">
        <v>0</v>
      </c>
      <c r="F92" t="s">
        <v>201</v>
      </c>
      <c r="G92" t="s">
        <v>202</v>
      </c>
    </row>
    <row r="93" spans="1:7">
      <c r="A93" t="s">
        <v>171</v>
      </c>
      <c r="B93" t="s">
        <v>226</v>
      </c>
      <c r="C93" t="s">
        <v>51</v>
      </c>
      <c r="D93">
        <v>0</v>
      </c>
      <c r="E93">
        <v>775000</v>
      </c>
      <c r="F93" t="s">
        <v>201</v>
      </c>
      <c r="G93" t="s">
        <v>202</v>
      </c>
    </row>
    <row r="94" spans="1:7">
      <c r="A94" t="s">
        <v>171</v>
      </c>
      <c r="B94" t="s">
        <v>207</v>
      </c>
      <c r="C94" t="s">
        <v>51</v>
      </c>
      <c r="D94">
        <v>7000</v>
      </c>
      <c r="E94">
        <v>1325000</v>
      </c>
      <c r="F94" t="s">
        <v>201</v>
      </c>
      <c r="G94" t="s">
        <v>202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1"/>
  <sheetViews>
    <sheetView workbookViewId="0">
      <selection activeCell="A1" sqref="A1"/>
    </sheetView>
  </sheetViews>
  <sheetFormatPr defaultColWidth="9" defaultRowHeight="14.5"/>
  <cols>
    <col min="1" max="14" width="18" style="1" customWidth="1"/>
  </cols>
  <sheetData>
    <row r="1" spans="1:14">
      <c r="A1" s="2" t="s">
        <v>237</v>
      </c>
      <c r="B1" s="2" t="s">
        <v>238</v>
      </c>
      <c r="C1" s="2" t="s">
        <v>195</v>
      </c>
      <c r="D1" s="2" t="s">
        <v>196</v>
      </c>
      <c r="E1" s="2" t="s">
        <v>239</v>
      </c>
      <c r="F1" s="2" t="s">
        <v>240</v>
      </c>
      <c r="G1" s="2" t="s">
        <v>241</v>
      </c>
      <c r="H1" s="2" t="s">
        <v>242</v>
      </c>
      <c r="I1" s="2" t="s">
        <v>243</v>
      </c>
      <c r="J1" s="2" t="s">
        <v>244</v>
      </c>
      <c r="K1" s="2" t="s">
        <v>245</v>
      </c>
      <c r="L1" s="2" t="s">
        <v>246</v>
      </c>
      <c r="M1" s="2" t="s">
        <v>247</v>
      </c>
      <c r="N1" s="2" t="s">
        <v>248</v>
      </c>
    </row>
    <row r="2" spans="1:14">
      <c r="A2">
        <v>6</v>
      </c>
      <c r="B2" t="s">
        <v>249</v>
      </c>
      <c r="C2" t="s">
        <v>216</v>
      </c>
      <c r="D2" t="s">
        <v>46</v>
      </c>
      <c r="E2" t="s">
        <v>250</v>
      </c>
      <c r="F2">
        <v>10800</v>
      </c>
      <c r="G2">
        <v>360</v>
      </c>
      <c r="H2">
        <v>7840</v>
      </c>
      <c r="I2">
        <v>2600</v>
      </c>
      <c r="J2">
        <v>39.4514371594965</v>
      </c>
      <c r="K2">
        <v>3990</v>
      </c>
      <c r="L2" t="s">
        <v>251</v>
      </c>
      <c r="M2">
        <v>1</v>
      </c>
      <c r="N2" t="s">
        <v>252</v>
      </c>
    </row>
    <row r="3" spans="1:14">
      <c r="A3">
        <v>7</v>
      </c>
      <c r="B3" t="s">
        <v>253</v>
      </c>
      <c r="C3" t="s">
        <v>254</v>
      </c>
      <c r="D3" t="s">
        <v>46</v>
      </c>
      <c r="E3" t="s">
        <v>250</v>
      </c>
      <c r="F3">
        <v>10206.52</v>
      </c>
      <c r="G3">
        <v>5400</v>
      </c>
      <c r="H3">
        <v>4806.52</v>
      </c>
      <c r="I3">
        <v>0</v>
      </c>
      <c r="J3">
        <v>9.39319932368965</v>
      </c>
      <c r="M3">
        <v>1.11832164</v>
      </c>
      <c r="N3" t="s">
        <v>252</v>
      </c>
    </row>
    <row r="4" spans="1:14">
      <c r="A4">
        <v>8</v>
      </c>
      <c r="B4" t="s">
        <v>255</v>
      </c>
      <c r="C4" t="s">
        <v>200</v>
      </c>
      <c r="D4" t="s">
        <v>48</v>
      </c>
      <c r="E4" t="s">
        <v>250</v>
      </c>
      <c r="F4">
        <v>6760</v>
      </c>
      <c r="G4">
        <v>0</v>
      </c>
      <c r="H4">
        <v>3360</v>
      </c>
      <c r="I4">
        <v>3400</v>
      </c>
      <c r="J4">
        <v>0</v>
      </c>
      <c r="M4">
        <v>0.919963201471941</v>
      </c>
      <c r="N4" t="s">
        <v>252</v>
      </c>
    </row>
    <row r="5" spans="1:14">
      <c r="A5">
        <v>9</v>
      </c>
      <c r="B5" t="s">
        <v>256</v>
      </c>
      <c r="C5" t="s">
        <v>38</v>
      </c>
      <c r="D5" t="s">
        <v>38</v>
      </c>
      <c r="E5" t="s">
        <v>250</v>
      </c>
      <c r="F5">
        <v>5210.26042230644</v>
      </c>
      <c r="G5">
        <v>106.899296155928</v>
      </c>
      <c r="H5">
        <v>2006.4753654575</v>
      </c>
      <c r="I5">
        <v>3096.88576069302</v>
      </c>
      <c r="J5">
        <v>3.96768739432651</v>
      </c>
      <c r="K5">
        <v>4223.1</v>
      </c>
      <c r="L5" t="s">
        <v>257</v>
      </c>
      <c r="M5">
        <v>0.919963201471941</v>
      </c>
      <c r="N5" t="s">
        <v>252</v>
      </c>
    </row>
    <row r="6" spans="1:14">
      <c r="A6">
        <v>10</v>
      </c>
      <c r="B6" t="s">
        <v>258</v>
      </c>
      <c r="C6" t="s">
        <v>259</v>
      </c>
      <c r="D6" t="s">
        <v>46</v>
      </c>
      <c r="E6" t="s">
        <v>250</v>
      </c>
      <c r="F6">
        <v>4617</v>
      </c>
      <c r="G6">
        <v>682.92</v>
      </c>
      <c r="H6">
        <v>3046.78</v>
      </c>
      <c r="I6">
        <v>887.3</v>
      </c>
      <c r="J6">
        <v>7.51455945895172</v>
      </c>
      <c r="K6">
        <v>3579</v>
      </c>
      <c r="L6" t="s">
        <v>251</v>
      </c>
      <c r="M6">
        <v>1.11832164</v>
      </c>
      <c r="N6" t="s">
        <v>252</v>
      </c>
    </row>
    <row r="7" spans="1:14">
      <c r="A7">
        <v>11</v>
      </c>
      <c r="B7" t="s">
        <v>260</v>
      </c>
      <c r="C7" t="s">
        <v>225</v>
      </c>
      <c r="D7" t="s">
        <v>28</v>
      </c>
      <c r="E7" t="s">
        <v>261</v>
      </c>
      <c r="F7">
        <v>4426</v>
      </c>
      <c r="G7">
        <v>0</v>
      </c>
      <c r="H7">
        <v>0</v>
      </c>
      <c r="I7">
        <v>4426</v>
      </c>
      <c r="J7">
        <v>0</v>
      </c>
      <c r="M7">
        <v>0.919963201471941</v>
      </c>
      <c r="N7" t="s">
        <v>252</v>
      </c>
    </row>
    <row r="8" spans="1:14">
      <c r="A8">
        <v>12</v>
      </c>
      <c r="B8" t="s">
        <v>262</v>
      </c>
      <c r="C8" t="s">
        <v>259</v>
      </c>
      <c r="D8" t="s">
        <v>46</v>
      </c>
      <c r="E8" t="s">
        <v>250</v>
      </c>
      <c r="F8">
        <v>4250</v>
      </c>
      <c r="G8">
        <v>0</v>
      </c>
      <c r="H8">
        <v>2890</v>
      </c>
      <c r="I8">
        <v>1360</v>
      </c>
      <c r="J8">
        <v>7.9842194251362</v>
      </c>
      <c r="K8">
        <v>4149</v>
      </c>
      <c r="L8" t="s">
        <v>251</v>
      </c>
      <c r="M8">
        <v>0.919963201471941</v>
      </c>
      <c r="N8" t="s">
        <v>252</v>
      </c>
    </row>
    <row r="9" spans="1:14">
      <c r="A9">
        <v>13</v>
      </c>
      <c r="B9" t="s">
        <v>263</v>
      </c>
      <c r="C9" t="s">
        <v>200</v>
      </c>
      <c r="D9" t="s">
        <v>48</v>
      </c>
      <c r="E9" t="s">
        <v>261</v>
      </c>
      <c r="F9">
        <v>4039.25284244721</v>
      </c>
      <c r="G9">
        <v>0</v>
      </c>
      <c r="H9">
        <v>2085.38170005414</v>
      </c>
      <c r="I9">
        <v>1953.87114239307</v>
      </c>
      <c r="J9">
        <v>0</v>
      </c>
      <c r="M9">
        <v>0.919963201471941</v>
      </c>
      <c r="N9" t="s">
        <v>252</v>
      </c>
    </row>
    <row r="10" spans="1:14">
      <c r="A10">
        <v>14</v>
      </c>
      <c r="B10" t="s">
        <v>264</v>
      </c>
      <c r="C10" t="s">
        <v>200</v>
      </c>
      <c r="D10" t="s">
        <v>48</v>
      </c>
      <c r="E10" t="s">
        <v>261</v>
      </c>
      <c r="F10">
        <v>3588.35950189496</v>
      </c>
      <c r="G10">
        <v>695.127233351381</v>
      </c>
      <c r="H10">
        <v>2329.61559285327</v>
      </c>
      <c r="I10">
        <v>563.616675690309</v>
      </c>
      <c r="J10">
        <v>14.2776629720083</v>
      </c>
      <c r="K10">
        <v>7198</v>
      </c>
      <c r="L10" t="s">
        <v>251</v>
      </c>
      <c r="M10">
        <v>1</v>
      </c>
      <c r="N10" t="s">
        <v>252</v>
      </c>
    </row>
    <row r="11" spans="1:14">
      <c r="A11">
        <v>15</v>
      </c>
      <c r="B11" t="s">
        <v>265</v>
      </c>
      <c r="C11" t="s">
        <v>200</v>
      </c>
      <c r="D11" t="s">
        <v>48</v>
      </c>
      <c r="E11" t="s">
        <v>266</v>
      </c>
      <c r="F11">
        <v>3452</v>
      </c>
      <c r="G11">
        <v>0</v>
      </c>
      <c r="H11">
        <v>0</v>
      </c>
      <c r="I11">
        <v>3452</v>
      </c>
      <c r="J11">
        <v>6.06800676310351</v>
      </c>
      <c r="K11">
        <v>5974</v>
      </c>
      <c r="L11" t="s">
        <v>251</v>
      </c>
      <c r="M11">
        <v>1.047</v>
      </c>
      <c r="N11" t="s">
        <v>252</v>
      </c>
    </row>
    <row r="12" spans="1:14">
      <c r="A12">
        <v>16</v>
      </c>
      <c r="B12" t="s">
        <v>267</v>
      </c>
      <c r="C12" t="s">
        <v>268</v>
      </c>
      <c r="D12" t="s">
        <v>28</v>
      </c>
      <c r="E12" t="s">
        <v>266</v>
      </c>
      <c r="F12">
        <v>3065.86345381526</v>
      </c>
      <c r="G12">
        <v>682.85140562249</v>
      </c>
      <c r="H12">
        <v>1378.94176706827</v>
      </c>
      <c r="I12">
        <v>1004.0702811245</v>
      </c>
      <c r="J12">
        <v>19.512680819087</v>
      </c>
      <c r="K12">
        <v>346</v>
      </c>
      <c r="L12" t="s">
        <v>269</v>
      </c>
      <c r="M12">
        <v>1.080504</v>
      </c>
      <c r="N12" t="s">
        <v>252</v>
      </c>
    </row>
    <row r="13" spans="1:14">
      <c r="A13">
        <v>17</v>
      </c>
      <c r="B13" t="s">
        <v>270</v>
      </c>
      <c r="C13" t="s">
        <v>259</v>
      </c>
      <c r="D13" t="s">
        <v>46</v>
      </c>
      <c r="E13" t="s">
        <v>250</v>
      </c>
      <c r="F13">
        <v>2539.4688684353</v>
      </c>
      <c r="G13">
        <v>2539.4688684353</v>
      </c>
      <c r="H13">
        <v>0</v>
      </c>
      <c r="I13">
        <v>0</v>
      </c>
      <c r="J13">
        <v>0</v>
      </c>
      <c r="K13">
        <v>3650</v>
      </c>
      <c r="L13" t="s">
        <v>251</v>
      </c>
      <c r="M13">
        <v>0.919963201471941</v>
      </c>
      <c r="N13" t="s">
        <v>252</v>
      </c>
    </row>
    <row r="14" spans="1:14">
      <c r="A14">
        <v>18</v>
      </c>
      <c r="B14" t="s">
        <v>271</v>
      </c>
      <c r="C14" t="s">
        <v>29</v>
      </c>
      <c r="D14" t="s">
        <v>29</v>
      </c>
      <c r="E14" t="s">
        <v>266</v>
      </c>
      <c r="F14">
        <v>2509.82730923695</v>
      </c>
      <c r="G14">
        <v>1668.57295850067</v>
      </c>
      <c r="H14">
        <v>348.494296495583</v>
      </c>
      <c r="I14">
        <v>492.760054240695</v>
      </c>
      <c r="J14">
        <v>70.8031185421755</v>
      </c>
      <c r="K14">
        <v>233.119296</v>
      </c>
      <c r="L14" t="s">
        <v>272</v>
      </c>
      <c r="M14">
        <v>1</v>
      </c>
      <c r="N14" t="s">
        <v>252</v>
      </c>
    </row>
    <row r="15" spans="1:14">
      <c r="A15">
        <v>19</v>
      </c>
      <c r="B15" t="s">
        <v>273</v>
      </c>
      <c r="C15" t="s">
        <v>259</v>
      </c>
      <c r="D15" t="s">
        <v>46</v>
      </c>
      <c r="E15" t="s">
        <v>250</v>
      </c>
      <c r="F15">
        <v>2220</v>
      </c>
      <c r="G15">
        <v>731</v>
      </c>
      <c r="H15">
        <v>597</v>
      </c>
      <c r="I15">
        <v>892</v>
      </c>
      <c r="J15">
        <v>18.7863986473793</v>
      </c>
      <c r="K15">
        <v>4700</v>
      </c>
      <c r="L15" t="s">
        <v>251</v>
      </c>
      <c r="M15">
        <v>0.919963201471941</v>
      </c>
      <c r="N15" t="s">
        <v>252</v>
      </c>
    </row>
    <row r="16" spans="1:14">
      <c r="A16">
        <v>20</v>
      </c>
      <c r="B16" t="s">
        <v>274</v>
      </c>
      <c r="C16" t="s">
        <v>29</v>
      </c>
      <c r="D16" t="s">
        <v>29</v>
      </c>
      <c r="E16" t="s">
        <v>266</v>
      </c>
      <c r="F16">
        <v>2210.53400267738</v>
      </c>
      <c r="G16">
        <v>1184.0643373494</v>
      </c>
      <c r="H16">
        <v>1026.46966532798</v>
      </c>
      <c r="I16">
        <v>0</v>
      </c>
      <c r="J16">
        <v>26.4814953973323</v>
      </c>
      <c r="K16">
        <v>931</v>
      </c>
      <c r="L16" t="s">
        <v>275</v>
      </c>
      <c r="M16">
        <v>0.919963201471941</v>
      </c>
      <c r="N16" t="s">
        <v>252</v>
      </c>
    </row>
    <row r="17" spans="1:14">
      <c r="A17">
        <v>21</v>
      </c>
      <c r="B17" t="s">
        <v>276</v>
      </c>
      <c r="C17" t="s">
        <v>34</v>
      </c>
      <c r="D17" t="s">
        <v>34</v>
      </c>
      <c r="E17" t="s">
        <v>250</v>
      </c>
      <c r="F17">
        <v>2021.46248</v>
      </c>
      <c r="G17">
        <v>0</v>
      </c>
      <c r="H17">
        <v>0</v>
      </c>
      <c r="I17">
        <v>2021.46248</v>
      </c>
      <c r="J17">
        <v>11.37</v>
      </c>
      <c r="M17">
        <v>0.919963201471941</v>
      </c>
      <c r="N17" t="s">
        <v>252</v>
      </c>
    </row>
    <row r="18" spans="1:14">
      <c r="A18">
        <v>22</v>
      </c>
      <c r="B18" t="s">
        <v>277</v>
      </c>
      <c r="C18" t="s">
        <v>259</v>
      </c>
      <c r="D18" t="s">
        <v>46</v>
      </c>
      <c r="E18" t="s">
        <v>250</v>
      </c>
      <c r="F18">
        <v>1991.44558743909</v>
      </c>
      <c r="G18">
        <v>117.4</v>
      </c>
      <c r="H18">
        <v>1254.06724417975</v>
      </c>
      <c r="I18">
        <v>619.978343259339</v>
      </c>
      <c r="J18">
        <v>6.57523952658275</v>
      </c>
      <c r="K18">
        <v>6047</v>
      </c>
      <c r="L18" t="s">
        <v>251</v>
      </c>
      <c r="M18">
        <v>0.919963201471941</v>
      </c>
      <c r="N18" t="s">
        <v>252</v>
      </c>
    </row>
    <row r="19" spans="1:14">
      <c r="A19">
        <v>23</v>
      </c>
      <c r="B19" t="s">
        <v>278</v>
      </c>
      <c r="C19" t="s">
        <v>259</v>
      </c>
      <c r="D19" t="s">
        <v>46</v>
      </c>
      <c r="E19" t="s">
        <v>250</v>
      </c>
      <c r="F19">
        <v>1867.07417433676</v>
      </c>
      <c r="G19">
        <v>208.8</v>
      </c>
      <c r="H19">
        <v>777.34131023281</v>
      </c>
      <c r="I19">
        <v>880.932864103952</v>
      </c>
      <c r="J19">
        <v>4.50873567537103</v>
      </c>
      <c r="K19">
        <v>3500</v>
      </c>
      <c r="L19" t="s">
        <v>251</v>
      </c>
      <c r="M19">
        <v>1.080504</v>
      </c>
      <c r="N19" t="s">
        <v>252</v>
      </c>
    </row>
    <row r="20" spans="1:14">
      <c r="A20">
        <v>24</v>
      </c>
      <c r="B20" t="s">
        <v>279</v>
      </c>
      <c r="C20" t="s">
        <v>200</v>
      </c>
      <c r="D20" t="s">
        <v>48</v>
      </c>
      <c r="E20" t="s">
        <v>261</v>
      </c>
      <c r="F20">
        <v>1660.04</v>
      </c>
      <c r="G20">
        <v>0</v>
      </c>
      <c r="H20">
        <v>0</v>
      </c>
      <c r="I20">
        <v>1660.04</v>
      </c>
      <c r="J20">
        <v>6.85703550629344</v>
      </c>
      <c r="M20">
        <v>1</v>
      </c>
      <c r="N20" t="s">
        <v>252</v>
      </c>
    </row>
    <row r="21" spans="1:14">
      <c r="A21">
        <v>25</v>
      </c>
      <c r="B21" t="s">
        <v>280</v>
      </c>
      <c r="C21" t="s">
        <v>259</v>
      </c>
      <c r="D21" t="s">
        <v>46</v>
      </c>
      <c r="E21" t="s">
        <v>250</v>
      </c>
      <c r="F21">
        <v>1559.33946940985</v>
      </c>
      <c r="G21">
        <v>225.446670276124</v>
      </c>
      <c r="H21">
        <v>432.106118029237</v>
      </c>
      <c r="I21">
        <v>901.786681104494</v>
      </c>
      <c r="J21">
        <v>9.39319932368965</v>
      </c>
      <c r="K21">
        <v>2968</v>
      </c>
      <c r="L21" t="s">
        <v>251</v>
      </c>
      <c r="M21">
        <v>0.919963201471941</v>
      </c>
      <c r="N21" t="s">
        <v>252</v>
      </c>
    </row>
    <row r="22" spans="1:14">
      <c r="A22">
        <v>26</v>
      </c>
      <c r="B22" t="s">
        <v>281</v>
      </c>
      <c r="C22" t="s">
        <v>259</v>
      </c>
      <c r="D22" t="s">
        <v>46</v>
      </c>
      <c r="E22" t="s">
        <v>250</v>
      </c>
      <c r="F22">
        <v>1525.52246886843</v>
      </c>
      <c r="G22">
        <v>0</v>
      </c>
      <c r="H22">
        <v>0</v>
      </c>
      <c r="I22">
        <v>1525.52246886843</v>
      </c>
      <c r="J22">
        <v>3.19368777005448</v>
      </c>
      <c r="M22">
        <v>1</v>
      </c>
      <c r="N22" t="s">
        <v>252</v>
      </c>
    </row>
    <row r="23" spans="1:14">
      <c r="A23">
        <v>27</v>
      </c>
      <c r="B23" t="s">
        <v>282</v>
      </c>
      <c r="C23" t="s">
        <v>216</v>
      </c>
      <c r="D23" t="s">
        <v>46</v>
      </c>
      <c r="E23" t="s">
        <v>250</v>
      </c>
      <c r="F23">
        <v>1491</v>
      </c>
      <c r="G23">
        <v>647</v>
      </c>
      <c r="H23">
        <v>712</v>
      </c>
      <c r="I23">
        <v>132</v>
      </c>
      <c r="J23">
        <v>15.7805748637986</v>
      </c>
      <c r="K23">
        <v>3552</v>
      </c>
      <c r="L23" t="s">
        <v>251</v>
      </c>
      <c r="M23">
        <v>0.919963201471941</v>
      </c>
      <c r="N23" t="s">
        <v>252</v>
      </c>
    </row>
    <row r="24" spans="1:14">
      <c r="A24">
        <v>28</v>
      </c>
      <c r="B24" t="s">
        <v>283</v>
      </c>
      <c r="C24" t="s">
        <v>29</v>
      </c>
      <c r="D24" t="s">
        <v>29</v>
      </c>
      <c r="E24" t="s">
        <v>266</v>
      </c>
      <c r="F24">
        <v>1408.96864792503</v>
      </c>
      <c r="G24">
        <v>825.56734939759</v>
      </c>
      <c r="H24">
        <v>246.119228367783</v>
      </c>
      <c r="I24">
        <v>337.28207015966</v>
      </c>
      <c r="J24">
        <v>20.6650385121172</v>
      </c>
      <c r="M24">
        <v>1.15858121904</v>
      </c>
      <c r="N24" t="s">
        <v>252</v>
      </c>
    </row>
    <row r="25" spans="1:14">
      <c r="A25">
        <v>29</v>
      </c>
      <c r="B25" t="s">
        <v>284</v>
      </c>
      <c r="C25" t="s">
        <v>285</v>
      </c>
      <c r="D25" t="s">
        <v>36</v>
      </c>
      <c r="E25" t="s">
        <v>266</v>
      </c>
      <c r="F25">
        <v>1388.37574445046</v>
      </c>
      <c r="G25">
        <v>0</v>
      </c>
      <c r="H25">
        <v>851.061180292366</v>
      </c>
      <c r="I25">
        <v>537.314564158094</v>
      </c>
      <c r="J25">
        <v>4.85816269021229</v>
      </c>
      <c r="K25">
        <v>610.786516853933</v>
      </c>
      <c r="L25" t="s">
        <v>286</v>
      </c>
      <c r="M25">
        <v>0.919963201471941</v>
      </c>
      <c r="N25" t="s">
        <v>252</v>
      </c>
    </row>
    <row r="26" spans="1:14">
      <c r="A26">
        <v>30</v>
      </c>
      <c r="B26" t="s">
        <v>287</v>
      </c>
      <c r="C26" t="s">
        <v>200</v>
      </c>
      <c r="D26" t="s">
        <v>48</v>
      </c>
      <c r="E26" t="s">
        <v>261</v>
      </c>
      <c r="F26">
        <v>1359.5</v>
      </c>
      <c r="G26">
        <v>240.9</v>
      </c>
      <c r="H26">
        <v>939</v>
      </c>
      <c r="I26">
        <v>179.6</v>
      </c>
      <c r="J26">
        <v>5.14747322938193</v>
      </c>
      <c r="K26">
        <v>3387</v>
      </c>
      <c r="L26" t="s">
        <v>251</v>
      </c>
      <c r="M26">
        <v>1.080504</v>
      </c>
      <c r="N26" t="s">
        <v>252</v>
      </c>
    </row>
    <row r="27" spans="1:14">
      <c r="A27">
        <v>31</v>
      </c>
      <c r="B27" t="s">
        <v>288</v>
      </c>
      <c r="C27" t="s">
        <v>219</v>
      </c>
      <c r="D27" t="s">
        <v>48</v>
      </c>
      <c r="E27" t="s">
        <v>261</v>
      </c>
      <c r="F27">
        <v>1353.24363833243</v>
      </c>
      <c r="G27">
        <v>391.337845154304</v>
      </c>
      <c r="H27">
        <v>447.135896047645</v>
      </c>
      <c r="I27">
        <v>514.769897130482</v>
      </c>
      <c r="J27">
        <v>3.75727972947586</v>
      </c>
      <c r="K27">
        <v>2126</v>
      </c>
      <c r="L27" t="s">
        <v>251</v>
      </c>
      <c r="M27">
        <v>1.22912838804856</v>
      </c>
      <c r="N27" t="s">
        <v>252</v>
      </c>
    </row>
    <row r="28" spans="1:14">
      <c r="A28">
        <v>32</v>
      </c>
      <c r="B28" t="s">
        <v>289</v>
      </c>
      <c r="C28" t="s">
        <v>259</v>
      </c>
      <c r="D28" t="s">
        <v>46</v>
      </c>
      <c r="E28" t="s">
        <v>250</v>
      </c>
      <c r="F28">
        <v>1340</v>
      </c>
      <c r="G28">
        <v>467</v>
      </c>
      <c r="H28">
        <v>753</v>
      </c>
      <c r="I28">
        <v>120</v>
      </c>
      <c r="J28">
        <v>8.38887845200075</v>
      </c>
      <c r="K28">
        <v>4529</v>
      </c>
      <c r="L28" t="s">
        <v>251</v>
      </c>
      <c r="M28">
        <v>0.919963201471941</v>
      </c>
      <c r="N28" t="s">
        <v>252</v>
      </c>
    </row>
    <row r="29" spans="1:14">
      <c r="A29">
        <v>33</v>
      </c>
      <c r="B29" t="s">
        <v>290</v>
      </c>
      <c r="C29" t="s">
        <v>29</v>
      </c>
      <c r="D29" t="s">
        <v>29</v>
      </c>
      <c r="E29" t="s">
        <v>266</v>
      </c>
      <c r="F29">
        <v>1320.50455153949</v>
      </c>
      <c r="G29">
        <v>656.373493975904</v>
      </c>
      <c r="H29">
        <v>576.475234270415</v>
      </c>
      <c r="I29">
        <v>87.6558232931727</v>
      </c>
      <c r="J29">
        <v>8.29663723464212</v>
      </c>
      <c r="K29">
        <v>155.4</v>
      </c>
      <c r="L29" t="s">
        <v>291</v>
      </c>
      <c r="M29">
        <v>1.11832164</v>
      </c>
      <c r="N29" t="s">
        <v>252</v>
      </c>
    </row>
    <row r="30" spans="1:14">
      <c r="A30">
        <v>34</v>
      </c>
      <c r="B30" t="s">
        <v>292</v>
      </c>
      <c r="C30" t="s">
        <v>259</v>
      </c>
      <c r="D30" t="s">
        <v>46</v>
      </c>
      <c r="E30" t="s">
        <v>250</v>
      </c>
      <c r="F30">
        <v>1315.10557661072</v>
      </c>
      <c r="G30">
        <v>244.233892799134</v>
      </c>
      <c r="H30">
        <v>507.255008121278</v>
      </c>
      <c r="I30">
        <v>563.616675690309</v>
      </c>
      <c r="J30">
        <v>3.75727972947586</v>
      </c>
      <c r="K30">
        <v>2914</v>
      </c>
      <c r="L30" t="s">
        <v>251</v>
      </c>
      <c r="M30">
        <v>1.047</v>
      </c>
      <c r="N30" t="s">
        <v>252</v>
      </c>
    </row>
    <row r="31" spans="1:14">
      <c r="A31">
        <v>35</v>
      </c>
      <c r="B31" t="s">
        <v>293</v>
      </c>
      <c r="C31" t="s">
        <v>259</v>
      </c>
      <c r="D31" t="s">
        <v>46</v>
      </c>
      <c r="E31" t="s">
        <v>250</v>
      </c>
      <c r="F31">
        <v>1237</v>
      </c>
      <c r="G31">
        <v>70.2</v>
      </c>
      <c r="H31">
        <v>1004.8</v>
      </c>
      <c r="I31">
        <v>162</v>
      </c>
      <c r="J31">
        <v>0</v>
      </c>
      <c r="K31">
        <v>3963</v>
      </c>
      <c r="L31" t="s">
        <v>251</v>
      </c>
      <c r="M31">
        <v>0.919963201471941</v>
      </c>
      <c r="N31" t="s">
        <v>252</v>
      </c>
    </row>
    <row r="32" spans="1:14">
      <c r="A32">
        <v>36</v>
      </c>
      <c r="B32" t="s">
        <v>294</v>
      </c>
      <c r="C32" t="s">
        <v>295</v>
      </c>
      <c r="D32" t="s">
        <v>61</v>
      </c>
      <c r="E32" t="s">
        <v>261</v>
      </c>
      <c r="F32">
        <v>1199.86746987952</v>
      </c>
      <c r="G32">
        <v>139.571111111111</v>
      </c>
      <c r="H32">
        <v>574.496358768407</v>
      </c>
      <c r="I32">
        <v>485.8</v>
      </c>
      <c r="J32">
        <v>9.80650009393199</v>
      </c>
      <c r="M32">
        <v>1</v>
      </c>
      <c r="N32" t="s">
        <v>252</v>
      </c>
    </row>
    <row r="33" spans="1:14">
      <c r="A33">
        <v>37</v>
      </c>
      <c r="B33" t="s">
        <v>296</v>
      </c>
      <c r="C33" t="s">
        <v>203</v>
      </c>
      <c r="D33" t="s">
        <v>48</v>
      </c>
      <c r="E33" t="s">
        <v>250</v>
      </c>
      <c r="F33">
        <v>1190</v>
      </c>
      <c r="G33">
        <v>0</v>
      </c>
      <c r="H33">
        <v>850</v>
      </c>
      <c r="I33">
        <v>340</v>
      </c>
      <c r="J33">
        <v>0</v>
      </c>
      <c r="K33">
        <v>2819</v>
      </c>
      <c r="L33" t="s">
        <v>251</v>
      </c>
      <c r="M33">
        <v>0.919963201471941</v>
      </c>
      <c r="N33" t="s">
        <v>252</v>
      </c>
    </row>
    <row r="34" spans="1:14">
      <c r="A34">
        <v>38</v>
      </c>
      <c r="B34" t="s">
        <v>297</v>
      </c>
      <c r="C34" t="s">
        <v>200</v>
      </c>
      <c r="D34" t="s">
        <v>48</v>
      </c>
      <c r="E34" t="s">
        <v>261</v>
      </c>
      <c r="F34">
        <v>1176.757</v>
      </c>
      <c r="G34">
        <v>0</v>
      </c>
      <c r="H34">
        <v>972.079</v>
      </c>
      <c r="I34">
        <v>204.678</v>
      </c>
      <c r="J34">
        <v>5.992861168514</v>
      </c>
      <c r="K34">
        <v>3355</v>
      </c>
      <c r="L34" t="s">
        <v>251</v>
      </c>
      <c r="M34">
        <v>1.047</v>
      </c>
      <c r="N34" t="s">
        <v>252</v>
      </c>
    </row>
    <row r="35" spans="1:14">
      <c r="A35">
        <v>39</v>
      </c>
      <c r="B35" t="s">
        <v>298</v>
      </c>
      <c r="C35" t="s">
        <v>203</v>
      </c>
      <c r="D35" t="s">
        <v>48</v>
      </c>
      <c r="E35" t="s">
        <v>250</v>
      </c>
      <c r="F35">
        <v>1151</v>
      </c>
      <c r="G35">
        <v>0</v>
      </c>
      <c r="H35">
        <v>0</v>
      </c>
      <c r="I35">
        <v>1151</v>
      </c>
      <c r="J35">
        <v>5.182791658839</v>
      </c>
      <c r="K35">
        <v>4533</v>
      </c>
      <c r="L35" t="s">
        <v>257</v>
      </c>
      <c r="M35">
        <v>0.861388765423166</v>
      </c>
      <c r="N35" t="s">
        <v>252</v>
      </c>
    </row>
    <row r="36" spans="1:14">
      <c r="A36">
        <v>40</v>
      </c>
      <c r="B36" t="s">
        <v>299</v>
      </c>
      <c r="C36" t="s">
        <v>259</v>
      </c>
      <c r="D36" t="s">
        <v>46</v>
      </c>
      <c r="E36" t="s">
        <v>250</v>
      </c>
      <c r="F36">
        <v>1120</v>
      </c>
      <c r="G36">
        <v>212</v>
      </c>
      <c r="H36">
        <v>623</v>
      </c>
      <c r="I36">
        <v>285</v>
      </c>
      <c r="J36">
        <v>0</v>
      </c>
      <c r="K36">
        <v>4081</v>
      </c>
      <c r="L36" t="s">
        <v>251</v>
      </c>
      <c r="M36">
        <v>0.919963201471941</v>
      </c>
      <c r="N36" t="s">
        <v>252</v>
      </c>
    </row>
    <row r="37" spans="1:14">
      <c r="A37">
        <v>41</v>
      </c>
      <c r="B37" t="s">
        <v>300</v>
      </c>
      <c r="C37" t="s">
        <v>225</v>
      </c>
      <c r="D37" t="s">
        <v>28</v>
      </c>
      <c r="E37" t="s">
        <v>261</v>
      </c>
      <c r="F37">
        <v>1102</v>
      </c>
      <c r="G37">
        <v>0</v>
      </c>
      <c r="H37">
        <v>0</v>
      </c>
      <c r="I37">
        <v>1102</v>
      </c>
      <c r="J37">
        <v>0</v>
      </c>
      <c r="M37">
        <v>0.919963201471941</v>
      </c>
      <c r="N37" t="s">
        <v>252</v>
      </c>
    </row>
    <row r="38" spans="1:14">
      <c r="A38">
        <v>42</v>
      </c>
      <c r="B38" t="s">
        <v>301</v>
      </c>
      <c r="C38" t="s">
        <v>29</v>
      </c>
      <c r="D38" t="s">
        <v>29</v>
      </c>
      <c r="E38" t="s">
        <v>266</v>
      </c>
      <c r="F38">
        <v>992.689424364123</v>
      </c>
      <c r="G38">
        <v>426.082089692102</v>
      </c>
      <c r="H38">
        <v>405.417240963855</v>
      </c>
      <c r="I38">
        <v>161.190093708166</v>
      </c>
      <c r="J38">
        <v>16.9481495397332</v>
      </c>
      <c r="M38">
        <v>1.047</v>
      </c>
      <c r="N38" t="s">
        <v>252</v>
      </c>
    </row>
    <row r="39" spans="1:14">
      <c r="A39">
        <v>43</v>
      </c>
      <c r="B39" t="s">
        <v>302</v>
      </c>
      <c r="C39" t="s">
        <v>303</v>
      </c>
      <c r="D39" t="s">
        <v>51</v>
      </c>
      <c r="E39" t="s">
        <v>266</v>
      </c>
      <c r="F39">
        <v>987.033652</v>
      </c>
      <c r="G39">
        <v>0</v>
      </c>
      <c r="H39">
        <v>0</v>
      </c>
      <c r="I39">
        <v>987.033652</v>
      </c>
      <c r="J39">
        <v>0</v>
      </c>
      <c r="M39" t="s">
        <v>202</v>
      </c>
      <c r="N39" t="s">
        <v>252</v>
      </c>
    </row>
    <row r="40" spans="1:14">
      <c r="A40">
        <v>44</v>
      </c>
      <c r="B40" t="s">
        <v>304</v>
      </c>
      <c r="C40" t="s">
        <v>259</v>
      </c>
      <c r="D40" t="s">
        <v>46</v>
      </c>
      <c r="E40" t="s">
        <v>250</v>
      </c>
      <c r="F40">
        <v>930</v>
      </c>
      <c r="G40">
        <v>0</v>
      </c>
      <c r="H40">
        <v>0</v>
      </c>
      <c r="I40">
        <v>930</v>
      </c>
      <c r="J40">
        <v>9.39319932368965</v>
      </c>
      <c r="M40">
        <v>1.22912838804856</v>
      </c>
      <c r="N40" t="s">
        <v>252</v>
      </c>
    </row>
    <row r="41" spans="1:14">
      <c r="A41">
        <v>45</v>
      </c>
      <c r="B41" t="s">
        <v>305</v>
      </c>
      <c r="C41" t="s">
        <v>259</v>
      </c>
      <c r="D41" t="s">
        <v>46</v>
      </c>
      <c r="E41" t="s">
        <v>250</v>
      </c>
      <c r="F41">
        <v>920.198159177044</v>
      </c>
      <c r="G41">
        <v>177</v>
      </c>
      <c r="H41">
        <v>593.276123443422</v>
      </c>
      <c r="I41">
        <v>149.922035733622</v>
      </c>
      <c r="J41">
        <v>1.76967875258313</v>
      </c>
      <c r="K41">
        <v>3388</v>
      </c>
      <c r="L41" t="s">
        <v>251</v>
      </c>
      <c r="M41">
        <v>1.11832164</v>
      </c>
      <c r="N41" t="s">
        <v>252</v>
      </c>
    </row>
    <row r="42" spans="1:14">
      <c r="A42">
        <v>46</v>
      </c>
      <c r="B42" t="s">
        <v>306</v>
      </c>
      <c r="C42" t="s">
        <v>220</v>
      </c>
      <c r="D42" t="s">
        <v>46</v>
      </c>
      <c r="E42" t="s">
        <v>261</v>
      </c>
      <c r="F42">
        <v>884.878180833785</v>
      </c>
      <c r="G42">
        <v>0</v>
      </c>
      <c r="H42">
        <v>180.357336220899</v>
      </c>
      <c r="I42">
        <v>704.520844612886</v>
      </c>
      <c r="J42">
        <v>6.79203456697351</v>
      </c>
      <c r="M42">
        <v>1.11832164</v>
      </c>
      <c r="N42" t="s">
        <v>252</v>
      </c>
    </row>
    <row r="43" spans="1:14">
      <c r="A43">
        <v>47</v>
      </c>
      <c r="B43" t="s">
        <v>307</v>
      </c>
      <c r="C43" t="s">
        <v>216</v>
      </c>
      <c r="D43" t="s">
        <v>46</v>
      </c>
      <c r="E43" t="s">
        <v>250</v>
      </c>
      <c r="F43">
        <v>877.89778830536</v>
      </c>
      <c r="G43">
        <v>0</v>
      </c>
      <c r="H43">
        <v>0</v>
      </c>
      <c r="I43">
        <v>877.89778830536</v>
      </c>
      <c r="J43">
        <v>0</v>
      </c>
      <c r="M43" t="s">
        <v>202</v>
      </c>
      <c r="N43" t="s">
        <v>252</v>
      </c>
    </row>
    <row r="44" spans="1:14">
      <c r="A44">
        <v>48</v>
      </c>
      <c r="B44" t="s">
        <v>308</v>
      </c>
      <c r="C44" t="s">
        <v>216</v>
      </c>
      <c r="D44" t="s">
        <v>46</v>
      </c>
      <c r="E44" t="s">
        <v>250</v>
      </c>
      <c r="F44">
        <v>853.615</v>
      </c>
      <c r="G44">
        <v>0</v>
      </c>
      <c r="H44">
        <v>0</v>
      </c>
      <c r="I44">
        <v>853.615</v>
      </c>
      <c r="J44">
        <v>0</v>
      </c>
      <c r="M44">
        <v>1.11832164</v>
      </c>
      <c r="N44" t="s">
        <v>252</v>
      </c>
    </row>
    <row r="45" spans="1:14">
      <c r="A45">
        <v>49</v>
      </c>
      <c r="B45" t="s">
        <v>309</v>
      </c>
      <c r="C45" t="s">
        <v>216</v>
      </c>
      <c r="D45" t="s">
        <v>46</v>
      </c>
      <c r="E45" t="s">
        <v>250</v>
      </c>
      <c r="F45">
        <v>807.42015322144</v>
      </c>
      <c r="G45">
        <v>0</v>
      </c>
      <c r="H45">
        <v>0</v>
      </c>
      <c r="I45">
        <v>807.42015322144</v>
      </c>
      <c r="J45">
        <v>0</v>
      </c>
      <c r="M45" t="s">
        <v>202</v>
      </c>
      <c r="N45" t="s">
        <v>252</v>
      </c>
    </row>
    <row r="46" spans="1:14">
      <c r="A46">
        <v>50</v>
      </c>
      <c r="B46" t="s">
        <v>310</v>
      </c>
      <c r="C46" t="s">
        <v>259</v>
      </c>
      <c r="D46" t="s">
        <v>46</v>
      </c>
      <c r="E46" t="s">
        <v>250</v>
      </c>
      <c r="F46">
        <v>774.409312398484</v>
      </c>
      <c r="G46">
        <v>0</v>
      </c>
      <c r="H46">
        <v>469.304818624797</v>
      </c>
      <c r="I46">
        <v>305.104493773687</v>
      </c>
      <c r="J46">
        <v>0</v>
      </c>
      <c r="K46">
        <v>5197</v>
      </c>
      <c r="L46" t="s">
        <v>251</v>
      </c>
      <c r="M46">
        <v>0.919963201471941</v>
      </c>
      <c r="N46" t="s">
        <v>252</v>
      </c>
    </row>
    <row r="47" spans="1:14">
      <c r="A47">
        <v>51</v>
      </c>
      <c r="B47" t="s">
        <v>311</v>
      </c>
      <c r="C47" t="s">
        <v>203</v>
      </c>
      <c r="D47" t="s">
        <v>48</v>
      </c>
      <c r="E47" t="s">
        <v>250</v>
      </c>
      <c r="F47">
        <v>732.701678397401</v>
      </c>
      <c r="G47">
        <v>0</v>
      </c>
      <c r="H47">
        <v>0</v>
      </c>
      <c r="I47">
        <v>732.701678397401</v>
      </c>
      <c r="J47">
        <v>0</v>
      </c>
      <c r="M47">
        <v>1.047</v>
      </c>
      <c r="N47" t="s">
        <v>252</v>
      </c>
    </row>
    <row r="48" spans="1:14">
      <c r="A48">
        <v>52</v>
      </c>
      <c r="B48" t="s">
        <v>312</v>
      </c>
      <c r="C48" t="s">
        <v>313</v>
      </c>
      <c r="D48" t="s">
        <v>28</v>
      </c>
      <c r="E48" t="s">
        <v>266</v>
      </c>
      <c r="F48">
        <v>729.303882195449</v>
      </c>
      <c r="G48">
        <v>364.651941097724</v>
      </c>
      <c r="H48">
        <v>83.3291195761191</v>
      </c>
      <c r="I48">
        <v>281.322821521605</v>
      </c>
      <c r="J48">
        <v>20.2374600789029</v>
      </c>
      <c r="K48">
        <v>312</v>
      </c>
      <c r="L48" t="s">
        <v>286</v>
      </c>
      <c r="M48">
        <v>1.047</v>
      </c>
      <c r="N48" t="s">
        <v>252</v>
      </c>
    </row>
    <row r="49" spans="1:14">
      <c r="A49">
        <v>53</v>
      </c>
      <c r="B49" t="s">
        <v>314</v>
      </c>
      <c r="C49" t="s">
        <v>203</v>
      </c>
      <c r="D49" t="s">
        <v>48</v>
      </c>
      <c r="E49" t="s">
        <v>266</v>
      </c>
      <c r="F49">
        <v>720.013386880857</v>
      </c>
      <c r="G49">
        <v>0</v>
      </c>
      <c r="H49">
        <v>0</v>
      </c>
      <c r="I49">
        <v>720.013386880857</v>
      </c>
      <c r="J49">
        <v>0</v>
      </c>
      <c r="M49">
        <v>0.919963201471941</v>
      </c>
      <c r="N49" t="s">
        <v>252</v>
      </c>
    </row>
    <row r="50" spans="1:14">
      <c r="A50">
        <v>54</v>
      </c>
      <c r="B50" t="s">
        <v>315</v>
      </c>
      <c r="C50" t="s">
        <v>216</v>
      </c>
      <c r="D50" t="s">
        <v>46</v>
      </c>
      <c r="E50" t="s">
        <v>250</v>
      </c>
      <c r="F50">
        <v>669.090021656741</v>
      </c>
      <c r="G50">
        <v>0</v>
      </c>
      <c r="H50">
        <v>0</v>
      </c>
      <c r="I50">
        <v>669.090021656741</v>
      </c>
      <c r="J50">
        <v>0</v>
      </c>
      <c r="M50" t="s">
        <v>202</v>
      </c>
      <c r="N50" t="s">
        <v>252</v>
      </c>
    </row>
    <row r="51" spans="1:14">
      <c r="A51">
        <v>55</v>
      </c>
      <c r="B51" t="s">
        <v>316</v>
      </c>
      <c r="C51" t="s">
        <v>259</v>
      </c>
      <c r="D51" t="s">
        <v>46</v>
      </c>
      <c r="E51" t="s">
        <v>250</v>
      </c>
      <c r="F51">
        <v>667.785</v>
      </c>
      <c r="G51">
        <v>0</v>
      </c>
      <c r="H51">
        <v>491.425</v>
      </c>
      <c r="I51">
        <v>176.36</v>
      </c>
      <c r="J51">
        <v>9.39319932368965</v>
      </c>
      <c r="K51">
        <v>2994</v>
      </c>
      <c r="L51" t="s">
        <v>251</v>
      </c>
      <c r="M51">
        <v>1.11832164</v>
      </c>
      <c r="N51" t="s">
        <v>252</v>
      </c>
    </row>
    <row r="52" spans="1:14">
      <c r="A52">
        <v>56</v>
      </c>
      <c r="B52" t="s">
        <v>317</v>
      </c>
      <c r="C52" t="s">
        <v>203</v>
      </c>
      <c r="D52" t="s">
        <v>48</v>
      </c>
      <c r="E52" t="s">
        <v>250</v>
      </c>
      <c r="F52">
        <v>594.86396</v>
      </c>
      <c r="G52">
        <v>0</v>
      </c>
      <c r="H52">
        <v>0</v>
      </c>
      <c r="I52">
        <v>594.86396</v>
      </c>
      <c r="J52">
        <v>0</v>
      </c>
      <c r="M52" t="s">
        <v>202</v>
      </c>
      <c r="N52" t="s">
        <v>252</v>
      </c>
    </row>
    <row r="53" spans="1:14">
      <c r="A53">
        <v>57</v>
      </c>
      <c r="B53" t="s">
        <v>318</v>
      </c>
      <c r="C53" t="s">
        <v>200</v>
      </c>
      <c r="D53" t="s">
        <v>48</v>
      </c>
      <c r="E53" t="s">
        <v>250</v>
      </c>
      <c r="F53">
        <v>590.32</v>
      </c>
      <c r="G53">
        <v>0</v>
      </c>
      <c r="H53">
        <v>0</v>
      </c>
      <c r="I53">
        <v>590.32</v>
      </c>
      <c r="J53">
        <v>3.92635731730227</v>
      </c>
      <c r="M53" t="s">
        <v>202</v>
      </c>
      <c r="N53" t="s">
        <v>252</v>
      </c>
    </row>
    <row r="54" spans="1:14">
      <c r="A54">
        <v>58</v>
      </c>
      <c r="B54" t="s">
        <v>319</v>
      </c>
      <c r="C54" t="s">
        <v>216</v>
      </c>
      <c r="D54" t="s">
        <v>46</v>
      </c>
      <c r="E54" t="s">
        <v>250</v>
      </c>
      <c r="F54">
        <v>542</v>
      </c>
      <c r="G54">
        <v>90</v>
      </c>
      <c r="H54">
        <v>268</v>
      </c>
      <c r="I54">
        <v>184</v>
      </c>
      <c r="J54">
        <v>2.56997933496149</v>
      </c>
      <c r="K54">
        <v>3864</v>
      </c>
      <c r="L54" t="s">
        <v>251</v>
      </c>
      <c r="M54">
        <v>1.080504</v>
      </c>
      <c r="N54" t="s">
        <v>252</v>
      </c>
    </row>
    <row r="55" spans="1:14">
      <c r="A55">
        <v>59</v>
      </c>
      <c r="B55" t="s">
        <v>320</v>
      </c>
      <c r="C55" t="s">
        <v>200</v>
      </c>
      <c r="D55" t="s">
        <v>48</v>
      </c>
      <c r="E55" t="s">
        <v>266</v>
      </c>
      <c r="F55">
        <v>516.987356626506</v>
      </c>
      <c r="G55">
        <v>0</v>
      </c>
      <c r="H55">
        <v>269.869878885282</v>
      </c>
      <c r="I55">
        <v>247.117477741224</v>
      </c>
      <c r="J55">
        <v>0</v>
      </c>
      <c r="M55">
        <v>1</v>
      </c>
      <c r="N55" t="s">
        <v>252</v>
      </c>
    </row>
    <row r="56" spans="1:14">
      <c r="A56">
        <v>60</v>
      </c>
      <c r="B56" t="s">
        <v>321</v>
      </c>
      <c r="C56" t="s">
        <v>37</v>
      </c>
      <c r="D56" t="s">
        <v>37</v>
      </c>
      <c r="E56" t="s">
        <v>266</v>
      </c>
      <c r="F56">
        <v>510.977242302544</v>
      </c>
      <c r="G56">
        <v>0</v>
      </c>
      <c r="H56">
        <v>0</v>
      </c>
      <c r="I56">
        <v>510.977242302544</v>
      </c>
      <c r="J56">
        <v>0</v>
      </c>
      <c r="M56">
        <v>1</v>
      </c>
      <c r="N56" t="s">
        <v>252</v>
      </c>
    </row>
    <row r="57" spans="1:14">
      <c r="A57">
        <v>61</v>
      </c>
      <c r="B57" t="s">
        <v>322</v>
      </c>
      <c r="C57" t="s">
        <v>203</v>
      </c>
      <c r="D57" t="s">
        <v>48</v>
      </c>
      <c r="E57" t="s">
        <v>266</v>
      </c>
      <c r="F57">
        <v>502.151271753681</v>
      </c>
      <c r="G57">
        <v>130.206291834003</v>
      </c>
      <c r="H57">
        <v>230.636546184739</v>
      </c>
      <c r="I57">
        <v>141.30843373494</v>
      </c>
      <c r="J57">
        <v>5.63591959421379</v>
      </c>
      <c r="K57">
        <v>385</v>
      </c>
      <c r="L57" t="s">
        <v>323</v>
      </c>
      <c r="M57">
        <v>1</v>
      </c>
      <c r="N57" t="s">
        <v>252</v>
      </c>
    </row>
    <row r="58" spans="1:14">
      <c r="A58">
        <v>62</v>
      </c>
      <c r="B58" t="s">
        <v>324</v>
      </c>
      <c r="C58" t="s">
        <v>38</v>
      </c>
      <c r="D58" t="s">
        <v>38</v>
      </c>
      <c r="E58" t="s">
        <v>266</v>
      </c>
      <c r="F58">
        <v>500</v>
      </c>
      <c r="G58">
        <v>0</v>
      </c>
      <c r="H58">
        <v>429</v>
      </c>
      <c r="I58">
        <v>71</v>
      </c>
      <c r="J58">
        <v>1.98572233702799</v>
      </c>
      <c r="M58">
        <v>0.919963201471941</v>
      </c>
      <c r="N58" t="s">
        <v>252</v>
      </c>
    </row>
    <row r="59" spans="1:14">
      <c r="A59">
        <v>63</v>
      </c>
      <c r="B59" t="s">
        <v>325</v>
      </c>
      <c r="C59" t="s">
        <v>29</v>
      </c>
      <c r="D59" t="s">
        <v>29</v>
      </c>
      <c r="E59" t="s">
        <v>266</v>
      </c>
      <c r="F59">
        <v>453.48765729585</v>
      </c>
      <c r="G59">
        <v>0</v>
      </c>
      <c r="H59">
        <v>141.215528781794</v>
      </c>
      <c r="I59">
        <v>312.272128514056</v>
      </c>
      <c r="J59">
        <v>22.5436783768552</v>
      </c>
      <c r="M59">
        <v>1.15858121904</v>
      </c>
      <c r="N59" t="s">
        <v>252</v>
      </c>
    </row>
    <row r="60" spans="1:14">
      <c r="A60">
        <v>64</v>
      </c>
      <c r="B60" t="s">
        <v>326</v>
      </c>
      <c r="C60" t="s">
        <v>200</v>
      </c>
      <c r="D60" t="s">
        <v>48</v>
      </c>
      <c r="E60" t="s">
        <v>250</v>
      </c>
      <c r="F60">
        <v>439.389</v>
      </c>
      <c r="G60">
        <v>0</v>
      </c>
      <c r="H60">
        <v>0</v>
      </c>
      <c r="I60">
        <v>439.389</v>
      </c>
      <c r="J60">
        <v>0</v>
      </c>
      <c r="M60">
        <v>0.919963201471941</v>
      </c>
      <c r="N60" t="s">
        <v>252</v>
      </c>
    </row>
    <row r="61" spans="1:14">
      <c r="A61">
        <v>65</v>
      </c>
      <c r="B61" t="s">
        <v>327</v>
      </c>
      <c r="C61" t="s">
        <v>203</v>
      </c>
      <c r="D61" t="s">
        <v>48</v>
      </c>
      <c r="E61" t="s">
        <v>250</v>
      </c>
      <c r="F61">
        <v>413.318895506226</v>
      </c>
      <c r="G61">
        <v>0</v>
      </c>
      <c r="H61">
        <v>0</v>
      </c>
      <c r="I61">
        <v>413.318895506226</v>
      </c>
      <c r="J61">
        <v>3.30640616193876</v>
      </c>
      <c r="K61">
        <v>3656</v>
      </c>
      <c r="L61" t="s">
        <v>257</v>
      </c>
      <c r="M61">
        <v>1.047</v>
      </c>
      <c r="N61" t="s">
        <v>252</v>
      </c>
    </row>
    <row r="62" spans="1:14">
      <c r="A62">
        <v>66</v>
      </c>
      <c r="B62" t="s">
        <v>328</v>
      </c>
      <c r="C62" t="s">
        <v>203</v>
      </c>
      <c r="D62" t="s">
        <v>48</v>
      </c>
      <c r="E62" t="s">
        <v>266</v>
      </c>
      <c r="F62">
        <v>409.270473895582</v>
      </c>
      <c r="G62">
        <v>159.122958500669</v>
      </c>
      <c r="H62">
        <v>36.6040870147256</v>
      </c>
      <c r="I62">
        <v>213.543428380187</v>
      </c>
      <c r="J62">
        <v>3.45256434341537</v>
      </c>
      <c r="M62">
        <v>0.919963201471941</v>
      </c>
      <c r="N62" t="s">
        <v>252</v>
      </c>
    </row>
    <row r="63" spans="1:14">
      <c r="A63">
        <v>67</v>
      </c>
      <c r="B63" t="s">
        <v>329</v>
      </c>
      <c r="C63" t="s">
        <v>203</v>
      </c>
      <c r="D63" t="s">
        <v>48</v>
      </c>
      <c r="E63" t="s">
        <v>266</v>
      </c>
      <c r="F63">
        <v>370.26788</v>
      </c>
      <c r="G63">
        <v>0</v>
      </c>
      <c r="H63">
        <v>0</v>
      </c>
      <c r="I63">
        <v>370.26788</v>
      </c>
      <c r="J63">
        <v>0</v>
      </c>
      <c r="M63" t="s">
        <v>202</v>
      </c>
      <c r="N63" t="s">
        <v>252</v>
      </c>
    </row>
    <row r="64" spans="1:14">
      <c r="A64">
        <v>68</v>
      </c>
      <c r="B64" t="s">
        <v>330</v>
      </c>
      <c r="C64" t="s">
        <v>331</v>
      </c>
      <c r="D64" t="s">
        <v>28</v>
      </c>
      <c r="E64" t="s">
        <v>266</v>
      </c>
      <c r="F64">
        <v>357.776974564926</v>
      </c>
      <c r="G64">
        <v>234.120481927711</v>
      </c>
      <c r="H64">
        <v>68.4622486271994</v>
      </c>
      <c r="I64">
        <v>55.1942440100162</v>
      </c>
      <c r="J64">
        <v>4.09543490512869</v>
      </c>
      <c r="K64">
        <v>357</v>
      </c>
      <c r="L64" t="s">
        <v>332</v>
      </c>
      <c r="M64">
        <v>1.047</v>
      </c>
      <c r="N64" t="s">
        <v>252</v>
      </c>
    </row>
    <row r="65" spans="1:14">
      <c r="A65">
        <v>69</v>
      </c>
      <c r="B65" t="s">
        <v>333</v>
      </c>
      <c r="C65" t="s">
        <v>216</v>
      </c>
      <c r="D65" t="s">
        <v>46</v>
      </c>
      <c r="E65" t="s">
        <v>250</v>
      </c>
      <c r="F65">
        <v>350.475824038982</v>
      </c>
      <c r="G65">
        <v>0</v>
      </c>
      <c r="H65">
        <v>0</v>
      </c>
      <c r="I65">
        <v>350.475824038982</v>
      </c>
      <c r="J65">
        <v>0</v>
      </c>
      <c r="M65" t="s">
        <v>202</v>
      </c>
      <c r="N65" t="s">
        <v>252</v>
      </c>
    </row>
    <row r="66" spans="1:14">
      <c r="A66">
        <v>70</v>
      </c>
      <c r="B66" t="s">
        <v>334</v>
      </c>
      <c r="C66" t="s">
        <v>216</v>
      </c>
      <c r="D66" t="s">
        <v>46</v>
      </c>
      <c r="E66" t="s">
        <v>250</v>
      </c>
      <c r="F66">
        <v>338.170005414185</v>
      </c>
      <c r="G66">
        <v>0</v>
      </c>
      <c r="H66">
        <v>206.659447753113</v>
      </c>
      <c r="I66">
        <v>131.510557661072</v>
      </c>
      <c r="J66">
        <v>3.75727972947586</v>
      </c>
      <c r="K66">
        <v>3875</v>
      </c>
      <c r="L66" t="s">
        <v>251</v>
      </c>
      <c r="M66" t="s">
        <v>202</v>
      </c>
      <c r="N66" t="s">
        <v>252</v>
      </c>
    </row>
    <row r="67" spans="1:14">
      <c r="A67">
        <v>71</v>
      </c>
      <c r="B67" t="s">
        <v>335</v>
      </c>
      <c r="C67" t="s">
        <v>34</v>
      </c>
      <c r="D67" t="s">
        <v>34</v>
      </c>
      <c r="E67" t="s">
        <v>250</v>
      </c>
      <c r="F67">
        <v>335.840389821332</v>
      </c>
      <c r="G67">
        <v>0</v>
      </c>
      <c r="H67">
        <v>335.840389821332</v>
      </c>
      <c r="I67">
        <v>5.6843418860808e-14</v>
      </c>
      <c r="J67">
        <v>0.939319932368965</v>
      </c>
      <c r="K67">
        <v>3819</v>
      </c>
      <c r="L67" t="s">
        <v>251</v>
      </c>
      <c r="M67">
        <v>0.919963201471941</v>
      </c>
      <c r="N67" t="s">
        <v>252</v>
      </c>
    </row>
    <row r="68" spans="1:14">
      <c r="A68">
        <v>72</v>
      </c>
      <c r="B68" t="s">
        <v>336</v>
      </c>
      <c r="C68" t="s">
        <v>34</v>
      </c>
      <c r="D68" t="s">
        <v>34</v>
      </c>
      <c r="E68" t="s">
        <v>266</v>
      </c>
      <c r="F68">
        <v>316.348797858099</v>
      </c>
      <c r="G68">
        <v>0</v>
      </c>
      <c r="H68">
        <v>316.348797858099</v>
      </c>
      <c r="I68">
        <v>0</v>
      </c>
      <c r="J68">
        <v>0</v>
      </c>
      <c r="M68" t="s">
        <v>202</v>
      </c>
      <c r="N68" t="s">
        <v>252</v>
      </c>
    </row>
    <row r="69" spans="1:14">
      <c r="A69">
        <v>73</v>
      </c>
      <c r="B69" t="s">
        <v>337</v>
      </c>
      <c r="C69" t="s">
        <v>235</v>
      </c>
      <c r="D69" t="s">
        <v>55</v>
      </c>
      <c r="E69" t="s">
        <v>266</v>
      </c>
      <c r="F69">
        <v>312.04</v>
      </c>
      <c r="G69">
        <v>141.698634538153</v>
      </c>
      <c r="H69">
        <v>28.3013654618474</v>
      </c>
      <c r="I69">
        <v>142.04</v>
      </c>
      <c r="J69">
        <v>3.22374600789029</v>
      </c>
      <c r="K69">
        <v>5434</v>
      </c>
      <c r="L69" t="s">
        <v>338</v>
      </c>
      <c r="M69">
        <v>1.11832164</v>
      </c>
      <c r="N69" t="s">
        <v>252</v>
      </c>
    </row>
    <row r="70" spans="1:14">
      <c r="A70">
        <v>74</v>
      </c>
      <c r="B70" t="s">
        <v>339</v>
      </c>
      <c r="C70" t="s">
        <v>259</v>
      </c>
      <c r="D70" t="s">
        <v>46</v>
      </c>
      <c r="E70" t="s">
        <v>250</v>
      </c>
      <c r="F70">
        <v>297.4</v>
      </c>
      <c r="G70">
        <v>0</v>
      </c>
      <c r="H70">
        <v>297.4</v>
      </c>
      <c r="I70">
        <v>0</v>
      </c>
      <c r="J70">
        <v>0.939319932368965</v>
      </c>
      <c r="K70">
        <v>3122</v>
      </c>
      <c r="L70" t="s">
        <v>251</v>
      </c>
      <c r="M70">
        <v>0.919963201471941</v>
      </c>
      <c r="N70" t="s">
        <v>252</v>
      </c>
    </row>
    <row r="71" spans="1:14">
      <c r="A71">
        <v>75</v>
      </c>
      <c r="B71" t="s">
        <v>340</v>
      </c>
      <c r="C71" t="s">
        <v>200</v>
      </c>
      <c r="D71" t="s">
        <v>48</v>
      </c>
      <c r="E71" t="s">
        <v>250</v>
      </c>
      <c r="F71">
        <v>295</v>
      </c>
      <c r="G71">
        <v>0</v>
      </c>
      <c r="H71">
        <v>0</v>
      </c>
      <c r="I71">
        <v>295</v>
      </c>
      <c r="J71">
        <v>0</v>
      </c>
      <c r="M71">
        <v>0.861388765423166</v>
      </c>
      <c r="N71" t="s">
        <v>252</v>
      </c>
    </row>
    <row r="72" spans="1:14">
      <c r="A72">
        <v>76</v>
      </c>
      <c r="B72" t="s">
        <v>341</v>
      </c>
      <c r="C72" t="s">
        <v>200</v>
      </c>
      <c r="D72" t="s">
        <v>48</v>
      </c>
      <c r="E72" t="s">
        <v>250</v>
      </c>
      <c r="F72">
        <v>293.28</v>
      </c>
      <c r="G72">
        <v>0</v>
      </c>
      <c r="H72">
        <v>0</v>
      </c>
      <c r="I72">
        <v>293.28</v>
      </c>
      <c r="J72">
        <v>3.75727972947586</v>
      </c>
      <c r="M72" t="s">
        <v>202</v>
      </c>
      <c r="N72" t="s">
        <v>252</v>
      </c>
    </row>
    <row r="73" spans="1:14">
      <c r="A73">
        <v>77</v>
      </c>
      <c r="B73" t="s">
        <v>342</v>
      </c>
      <c r="C73" t="s">
        <v>52</v>
      </c>
      <c r="D73" t="s">
        <v>52</v>
      </c>
      <c r="E73" t="s">
        <v>266</v>
      </c>
      <c r="F73">
        <v>288.208512</v>
      </c>
      <c r="G73">
        <v>0</v>
      </c>
      <c r="H73">
        <v>0</v>
      </c>
      <c r="I73">
        <v>288.208512</v>
      </c>
      <c r="J73">
        <v>0</v>
      </c>
      <c r="M73" t="s">
        <v>202</v>
      </c>
      <c r="N73" t="s">
        <v>252</v>
      </c>
    </row>
    <row r="74" spans="1:14">
      <c r="A74">
        <v>78</v>
      </c>
      <c r="B74" t="s">
        <v>343</v>
      </c>
      <c r="C74" t="s">
        <v>200</v>
      </c>
      <c r="D74" t="s">
        <v>48</v>
      </c>
      <c r="E74" t="s">
        <v>250</v>
      </c>
      <c r="F74">
        <v>282.559826746075</v>
      </c>
      <c r="G74">
        <v>0</v>
      </c>
      <c r="H74">
        <v>68.9491066594478</v>
      </c>
      <c r="I74">
        <v>213.610720086627</v>
      </c>
      <c r="J74">
        <v>2.45613375915837</v>
      </c>
      <c r="K74">
        <v>4368</v>
      </c>
      <c r="L74" t="s">
        <v>251</v>
      </c>
      <c r="M74">
        <v>0.861388765423166</v>
      </c>
      <c r="N74" t="s">
        <v>252</v>
      </c>
    </row>
    <row r="75" spans="1:14">
      <c r="A75">
        <v>79</v>
      </c>
      <c r="B75" t="s">
        <v>344</v>
      </c>
      <c r="C75" t="s">
        <v>216</v>
      </c>
      <c r="D75" t="s">
        <v>46</v>
      </c>
      <c r="E75" t="s">
        <v>250</v>
      </c>
      <c r="F75">
        <v>282.296</v>
      </c>
      <c r="G75">
        <v>0</v>
      </c>
      <c r="H75">
        <v>0</v>
      </c>
      <c r="I75">
        <v>282.296</v>
      </c>
      <c r="J75">
        <v>0</v>
      </c>
      <c r="M75">
        <v>1</v>
      </c>
      <c r="N75" t="s">
        <v>252</v>
      </c>
    </row>
    <row r="76" spans="1:14">
      <c r="A76">
        <v>80</v>
      </c>
      <c r="B76" t="s">
        <v>345</v>
      </c>
      <c r="C76" t="s">
        <v>331</v>
      </c>
      <c r="D76" t="s">
        <v>28</v>
      </c>
      <c r="E76" t="s">
        <v>266</v>
      </c>
      <c r="F76">
        <v>280.20272</v>
      </c>
      <c r="G76">
        <v>0</v>
      </c>
      <c r="H76">
        <v>0</v>
      </c>
      <c r="I76">
        <v>280.20272</v>
      </c>
      <c r="J76">
        <v>0</v>
      </c>
      <c r="M76" t="s">
        <v>202</v>
      </c>
      <c r="N76" t="s">
        <v>252</v>
      </c>
    </row>
    <row r="77" spans="1:14">
      <c r="A77">
        <v>81</v>
      </c>
      <c r="B77" t="s">
        <v>346</v>
      </c>
      <c r="C77" t="s">
        <v>347</v>
      </c>
      <c r="D77" t="s">
        <v>28</v>
      </c>
      <c r="E77" t="s">
        <v>266</v>
      </c>
      <c r="F77">
        <v>272.676037483266</v>
      </c>
      <c r="G77">
        <v>0</v>
      </c>
      <c r="H77">
        <v>126.350736278447</v>
      </c>
      <c r="I77">
        <v>146.325301204819</v>
      </c>
      <c r="J77">
        <v>0</v>
      </c>
      <c r="M77">
        <v>0.919963201471941</v>
      </c>
      <c r="N77" t="s">
        <v>252</v>
      </c>
    </row>
    <row r="78" spans="1:14">
      <c r="A78">
        <v>82</v>
      </c>
      <c r="B78" t="s">
        <v>348</v>
      </c>
      <c r="C78" t="s">
        <v>203</v>
      </c>
      <c r="D78" t="s">
        <v>48</v>
      </c>
      <c r="E78" t="s">
        <v>266</v>
      </c>
      <c r="F78">
        <v>262.084872824632</v>
      </c>
      <c r="G78">
        <v>224.6906291834</v>
      </c>
      <c r="H78">
        <v>37.3942436412316</v>
      </c>
      <c r="I78">
        <v>0</v>
      </c>
      <c r="J78">
        <v>8.58557204583881</v>
      </c>
      <c r="K78">
        <v>332.8</v>
      </c>
      <c r="L78" t="s">
        <v>286</v>
      </c>
      <c r="M78">
        <v>1.047</v>
      </c>
      <c r="N78" t="s">
        <v>252</v>
      </c>
    </row>
    <row r="79" spans="1:14">
      <c r="A79">
        <v>83</v>
      </c>
      <c r="B79" t="s">
        <v>349</v>
      </c>
      <c r="C79" t="s">
        <v>203</v>
      </c>
      <c r="D79" t="s">
        <v>48</v>
      </c>
      <c r="E79" t="s">
        <v>266</v>
      </c>
      <c r="F79">
        <v>260.3182933992</v>
      </c>
      <c r="G79">
        <v>221.020883534136</v>
      </c>
      <c r="H79">
        <v>39.2974098650635</v>
      </c>
      <c r="I79">
        <v>0</v>
      </c>
      <c r="J79">
        <v>5.91339470223558</v>
      </c>
      <c r="M79">
        <v>1.11832164</v>
      </c>
      <c r="N79" t="s">
        <v>252</v>
      </c>
    </row>
    <row r="80" spans="1:14">
      <c r="A80">
        <v>84</v>
      </c>
      <c r="B80" t="s">
        <v>350</v>
      </c>
      <c r="C80" t="s">
        <v>34</v>
      </c>
      <c r="D80" t="s">
        <v>34</v>
      </c>
      <c r="E80" t="s">
        <v>266</v>
      </c>
      <c r="F80">
        <v>255.989564658634</v>
      </c>
      <c r="G80">
        <v>0</v>
      </c>
      <c r="H80">
        <v>0</v>
      </c>
      <c r="I80">
        <v>255.989564658634</v>
      </c>
      <c r="J80">
        <v>1.83862483561901</v>
      </c>
      <c r="M80">
        <v>1</v>
      </c>
      <c r="N80" t="s">
        <v>252</v>
      </c>
    </row>
    <row r="81" spans="1:14">
      <c r="A81">
        <v>85</v>
      </c>
      <c r="B81" t="s">
        <v>351</v>
      </c>
      <c r="C81" t="s">
        <v>200</v>
      </c>
      <c r="D81" t="s">
        <v>48</v>
      </c>
      <c r="E81" t="s">
        <v>261</v>
      </c>
      <c r="F81">
        <v>234.4</v>
      </c>
      <c r="G81">
        <v>108.1794</v>
      </c>
      <c r="H81">
        <v>95.2111020352781</v>
      </c>
      <c r="I81">
        <v>31.0094979647218</v>
      </c>
      <c r="J81">
        <v>4.50873567537103</v>
      </c>
      <c r="K81">
        <v>2510</v>
      </c>
      <c r="L81" t="s">
        <v>251</v>
      </c>
      <c r="M81">
        <v>1.080504</v>
      </c>
      <c r="N81" t="s">
        <v>252</v>
      </c>
    </row>
    <row r="82" spans="1:14">
      <c r="A82">
        <v>86</v>
      </c>
      <c r="B82" t="s">
        <v>352</v>
      </c>
      <c r="C82" t="s">
        <v>353</v>
      </c>
      <c r="D82" t="s">
        <v>28</v>
      </c>
      <c r="E82" t="s">
        <v>266</v>
      </c>
      <c r="F82">
        <v>228.75190648</v>
      </c>
      <c r="G82">
        <v>0</v>
      </c>
      <c r="H82">
        <v>0</v>
      </c>
      <c r="I82">
        <v>228.75190648</v>
      </c>
      <c r="J82">
        <v>0</v>
      </c>
      <c r="M82" t="s">
        <v>202</v>
      </c>
      <c r="N82" t="s">
        <v>252</v>
      </c>
    </row>
    <row r="83" spans="1:14">
      <c r="A83">
        <v>87</v>
      </c>
      <c r="B83" t="s">
        <v>354</v>
      </c>
      <c r="C83" t="s">
        <v>200</v>
      </c>
      <c r="D83" t="s">
        <v>48</v>
      </c>
      <c r="E83" t="s">
        <v>250</v>
      </c>
      <c r="F83">
        <v>224.66</v>
      </c>
      <c r="G83">
        <v>0</v>
      </c>
      <c r="H83">
        <v>0</v>
      </c>
      <c r="I83">
        <v>224.66</v>
      </c>
      <c r="J83">
        <v>4.95960924290813</v>
      </c>
      <c r="M83" t="s">
        <v>202</v>
      </c>
      <c r="N83" t="s">
        <v>252</v>
      </c>
    </row>
    <row r="84" spans="1:14">
      <c r="A84">
        <v>88</v>
      </c>
      <c r="B84" t="s">
        <v>355</v>
      </c>
      <c r="C84" t="s">
        <v>34</v>
      </c>
      <c r="D84" t="s">
        <v>34</v>
      </c>
      <c r="E84" t="s">
        <v>266</v>
      </c>
      <c r="F84">
        <v>217.764072530121</v>
      </c>
      <c r="G84">
        <v>113.111785100402</v>
      </c>
      <c r="H84">
        <v>104.652287429719</v>
      </c>
      <c r="I84">
        <v>0</v>
      </c>
      <c r="J84">
        <v>0</v>
      </c>
      <c r="M84" t="s">
        <v>202</v>
      </c>
      <c r="N84" t="s">
        <v>252</v>
      </c>
    </row>
    <row r="85" spans="1:14">
      <c r="A85">
        <v>89</v>
      </c>
      <c r="B85" t="s">
        <v>356</v>
      </c>
      <c r="C85" t="s">
        <v>200</v>
      </c>
      <c r="D85" t="s">
        <v>48</v>
      </c>
      <c r="E85" t="s">
        <v>266</v>
      </c>
      <c r="F85">
        <v>217.584432</v>
      </c>
      <c r="G85">
        <v>0</v>
      </c>
      <c r="H85">
        <v>0</v>
      </c>
      <c r="I85">
        <v>217.584432</v>
      </c>
      <c r="J85">
        <v>0</v>
      </c>
      <c r="M85" t="s">
        <v>202</v>
      </c>
      <c r="N85" t="s">
        <v>252</v>
      </c>
    </row>
    <row r="86" spans="1:14">
      <c r="A86">
        <v>90</v>
      </c>
      <c r="B86" t="s">
        <v>357</v>
      </c>
      <c r="C86" t="s">
        <v>214</v>
      </c>
      <c r="D86" t="s">
        <v>28</v>
      </c>
      <c r="E86" t="s">
        <v>266</v>
      </c>
      <c r="F86">
        <v>204.971552878179</v>
      </c>
      <c r="G86">
        <v>145.080374832664</v>
      </c>
      <c r="H86">
        <v>17.0440172743705</v>
      </c>
      <c r="I86">
        <v>42.8471607711448</v>
      </c>
      <c r="J86">
        <v>6.29983092241217</v>
      </c>
      <c r="K86">
        <v>377</v>
      </c>
      <c r="L86" t="s">
        <v>286</v>
      </c>
      <c r="M86">
        <v>0.919963201471941</v>
      </c>
      <c r="N86" t="s">
        <v>252</v>
      </c>
    </row>
    <row r="87" spans="1:14">
      <c r="A87">
        <v>91</v>
      </c>
      <c r="B87" t="s">
        <v>358</v>
      </c>
      <c r="C87" t="s">
        <v>34</v>
      </c>
      <c r="D87" t="s">
        <v>34</v>
      </c>
      <c r="E87" t="s">
        <v>266</v>
      </c>
      <c r="F87">
        <v>204.147696</v>
      </c>
      <c r="G87">
        <v>0</v>
      </c>
      <c r="H87">
        <v>0</v>
      </c>
      <c r="I87">
        <v>204.147696</v>
      </c>
      <c r="J87">
        <v>1.14559458951719</v>
      </c>
      <c r="M87" t="s">
        <v>202</v>
      </c>
      <c r="N87" t="s">
        <v>252</v>
      </c>
    </row>
    <row r="88" spans="1:14">
      <c r="A88">
        <v>92</v>
      </c>
      <c r="B88" t="s">
        <v>359</v>
      </c>
      <c r="C88" t="s">
        <v>30</v>
      </c>
      <c r="D88" t="s">
        <v>30</v>
      </c>
      <c r="E88" t="s">
        <v>266</v>
      </c>
      <c r="F88">
        <v>203.833467202142</v>
      </c>
      <c r="G88">
        <v>0</v>
      </c>
      <c r="H88">
        <v>37.1619812583668</v>
      </c>
      <c r="I88">
        <v>166.671485943775</v>
      </c>
      <c r="J88">
        <v>1.45481871125305</v>
      </c>
      <c r="M88">
        <v>1.047</v>
      </c>
      <c r="N88" t="s">
        <v>252</v>
      </c>
    </row>
    <row r="89" spans="1:14">
      <c r="A89">
        <v>93</v>
      </c>
      <c r="B89" t="s">
        <v>360</v>
      </c>
      <c r="C89" t="s">
        <v>33</v>
      </c>
      <c r="D89" t="s">
        <v>33</v>
      </c>
      <c r="E89" t="s">
        <v>266</v>
      </c>
      <c r="F89">
        <v>185.786843530049</v>
      </c>
      <c r="G89">
        <v>137.127937195452</v>
      </c>
      <c r="H89">
        <v>23.9537087168381</v>
      </c>
      <c r="I89">
        <v>24.7051976177585</v>
      </c>
      <c r="J89">
        <v>0</v>
      </c>
      <c r="K89">
        <v>408</v>
      </c>
      <c r="L89" t="s">
        <v>286</v>
      </c>
      <c r="M89">
        <v>1</v>
      </c>
      <c r="N89" t="s">
        <v>252</v>
      </c>
    </row>
    <row r="90" spans="1:14">
      <c r="A90">
        <v>94</v>
      </c>
      <c r="B90" t="s">
        <v>361</v>
      </c>
      <c r="C90" t="s">
        <v>33</v>
      </c>
      <c r="D90" t="s">
        <v>33</v>
      </c>
      <c r="E90" t="s">
        <v>266</v>
      </c>
      <c r="F90">
        <v>185.242014076881</v>
      </c>
      <c r="G90">
        <v>0</v>
      </c>
      <c r="H90">
        <v>161.006497022198</v>
      </c>
      <c r="I90">
        <v>24.2355170546833</v>
      </c>
      <c r="J90">
        <v>0</v>
      </c>
      <c r="M90">
        <v>1</v>
      </c>
      <c r="N90" t="s">
        <v>252</v>
      </c>
    </row>
    <row r="91" spans="1:14">
      <c r="A91">
        <v>95</v>
      </c>
      <c r="B91" t="s">
        <v>362</v>
      </c>
      <c r="C91" t="s">
        <v>203</v>
      </c>
      <c r="D91" t="s">
        <v>48</v>
      </c>
      <c r="E91" t="s">
        <v>250</v>
      </c>
      <c r="F91">
        <v>174.721169463996</v>
      </c>
      <c r="G91">
        <v>0</v>
      </c>
      <c r="H91">
        <v>0</v>
      </c>
      <c r="I91">
        <v>174.721169463996</v>
      </c>
      <c r="J91">
        <v>0</v>
      </c>
      <c r="M91">
        <v>1.19681439926832</v>
      </c>
      <c r="N91" t="s">
        <v>252</v>
      </c>
    </row>
    <row r="92" spans="1:14">
      <c r="A92">
        <v>96</v>
      </c>
      <c r="B92" t="s">
        <v>363</v>
      </c>
      <c r="C92" t="s">
        <v>216</v>
      </c>
      <c r="D92" t="s">
        <v>46</v>
      </c>
      <c r="E92" t="s">
        <v>250</v>
      </c>
      <c r="F92">
        <v>172.842447211695</v>
      </c>
      <c r="G92">
        <v>0</v>
      </c>
      <c r="H92">
        <v>82.6637791012453</v>
      </c>
      <c r="I92">
        <v>90.1786681104494</v>
      </c>
      <c r="J92">
        <v>0</v>
      </c>
      <c r="K92">
        <v>3641</v>
      </c>
      <c r="L92" t="s">
        <v>251</v>
      </c>
      <c r="M92" t="s">
        <v>202</v>
      </c>
      <c r="N92" t="s">
        <v>252</v>
      </c>
    </row>
    <row r="93" spans="1:14">
      <c r="A93">
        <v>97</v>
      </c>
      <c r="B93" t="s">
        <v>364</v>
      </c>
      <c r="C93" t="s">
        <v>259</v>
      </c>
      <c r="D93" t="s">
        <v>46</v>
      </c>
      <c r="E93" t="s">
        <v>250</v>
      </c>
      <c r="F93">
        <v>167</v>
      </c>
      <c r="G93">
        <v>0</v>
      </c>
      <c r="H93">
        <v>167</v>
      </c>
      <c r="I93">
        <v>0</v>
      </c>
      <c r="J93">
        <v>7.13883148600413</v>
      </c>
      <c r="K93">
        <v>4277</v>
      </c>
      <c r="L93" t="s">
        <v>251</v>
      </c>
      <c r="M93">
        <v>1.047</v>
      </c>
      <c r="N93" t="s">
        <v>252</v>
      </c>
    </row>
    <row r="94" spans="1:14">
      <c r="A94">
        <v>98</v>
      </c>
      <c r="B94" t="s">
        <v>365</v>
      </c>
      <c r="C94" t="s">
        <v>331</v>
      </c>
      <c r="D94" t="s">
        <v>28</v>
      </c>
      <c r="E94" t="s">
        <v>266</v>
      </c>
      <c r="F94">
        <v>159.863318072289</v>
      </c>
      <c r="G94">
        <v>0</v>
      </c>
      <c r="H94">
        <v>0</v>
      </c>
      <c r="I94">
        <v>159.863318072289</v>
      </c>
      <c r="J94">
        <v>6.38737554010896</v>
      </c>
      <c r="M94">
        <v>0.919963201471941</v>
      </c>
      <c r="N94" t="s">
        <v>252</v>
      </c>
    </row>
    <row r="95" spans="1:14">
      <c r="A95">
        <v>99</v>
      </c>
      <c r="B95" t="s">
        <v>366</v>
      </c>
      <c r="C95" t="s">
        <v>313</v>
      </c>
      <c r="D95" t="s">
        <v>28</v>
      </c>
      <c r="E95" t="s">
        <v>266</v>
      </c>
      <c r="F95">
        <v>156.126773761714</v>
      </c>
      <c r="G95">
        <v>0</v>
      </c>
      <c r="H95">
        <v>59.9236947791165</v>
      </c>
      <c r="I95">
        <v>96.203078982597</v>
      </c>
      <c r="J95">
        <v>7.87469472102198</v>
      </c>
      <c r="K95">
        <v>647</v>
      </c>
      <c r="L95" t="s">
        <v>367</v>
      </c>
      <c r="M95">
        <v>0.861388765423166</v>
      </c>
      <c r="N95" t="s">
        <v>252</v>
      </c>
    </row>
    <row r="96" spans="1:14">
      <c r="A96">
        <v>100</v>
      </c>
      <c r="B96" t="s">
        <v>368</v>
      </c>
      <c r="C96" t="s">
        <v>33</v>
      </c>
      <c r="D96" t="s">
        <v>33</v>
      </c>
      <c r="E96" t="s">
        <v>266</v>
      </c>
      <c r="F96">
        <v>153.209799675149</v>
      </c>
      <c r="G96">
        <v>84.8243096913914</v>
      </c>
      <c r="H96">
        <v>40.4676773145642</v>
      </c>
      <c r="I96">
        <v>27.9178126691933</v>
      </c>
      <c r="J96">
        <v>19.777569040015</v>
      </c>
      <c r="K96">
        <v>386</v>
      </c>
      <c r="L96" t="s">
        <v>332</v>
      </c>
      <c r="M96">
        <v>1</v>
      </c>
      <c r="N96" t="s">
        <v>252</v>
      </c>
    </row>
    <row r="97" spans="1:14">
      <c r="A97">
        <v>101</v>
      </c>
      <c r="B97" t="s">
        <v>369</v>
      </c>
      <c r="C97" t="s">
        <v>29</v>
      </c>
      <c r="D97" t="s">
        <v>29</v>
      </c>
      <c r="E97" t="s">
        <v>266</v>
      </c>
      <c r="F97">
        <v>152.498835341365</v>
      </c>
      <c r="G97">
        <v>0</v>
      </c>
      <c r="H97">
        <v>88.2597054886212</v>
      </c>
      <c r="I97">
        <v>64.2391298527443</v>
      </c>
      <c r="J97">
        <v>5.62145406725531</v>
      </c>
      <c r="M97">
        <v>1</v>
      </c>
      <c r="N97" t="s">
        <v>252</v>
      </c>
    </row>
    <row r="98" spans="1:14">
      <c r="A98">
        <v>102</v>
      </c>
      <c r="B98" t="s">
        <v>370</v>
      </c>
      <c r="C98" t="s">
        <v>347</v>
      </c>
      <c r="D98" t="s">
        <v>28</v>
      </c>
      <c r="E98" t="s">
        <v>266</v>
      </c>
      <c r="F98">
        <v>150</v>
      </c>
      <c r="G98">
        <v>0</v>
      </c>
      <c r="H98">
        <v>0</v>
      </c>
      <c r="I98">
        <v>150</v>
      </c>
      <c r="J98">
        <v>0.287619763291377</v>
      </c>
      <c r="M98" t="s">
        <v>202</v>
      </c>
      <c r="N98" t="s">
        <v>252</v>
      </c>
    </row>
    <row r="99" spans="1:14">
      <c r="A99">
        <v>103</v>
      </c>
      <c r="B99" t="s">
        <v>371</v>
      </c>
      <c r="C99" t="s">
        <v>216</v>
      </c>
      <c r="D99" t="s">
        <v>46</v>
      </c>
      <c r="E99" t="s">
        <v>250</v>
      </c>
      <c r="F99">
        <v>149.974</v>
      </c>
      <c r="G99">
        <v>0</v>
      </c>
      <c r="H99">
        <v>0</v>
      </c>
      <c r="I99">
        <v>149.974</v>
      </c>
      <c r="J99">
        <v>0</v>
      </c>
      <c r="M99">
        <v>1.080504</v>
      </c>
      <c r="N99" t="s">
        <v>252</v>
      </c>
    </row>
    <row r="100" spans="1:14">
      <c r="A100">
        <v>104</v>
      </c>
      <c r="B100" t="s">
        <v>372</v>
      </c>
      <c r="C100" t="s">
        <v>200</v>
      </c>
      <c r="D100" t="s">
        <v>48</v>
      </c>
      <c r="E100" t="s">
        <v>266</v>
      </c>
      <c r="F100">
        <v>143.538152610442</v>
      </c>
      <c r="G100">
        <v>0</v>
      </c>
      <c r="H100">
        <v>71.5118394725857</v>
      </c>
      <c r="I100">
        <v>72.0263131378561</v>
      </c>
      <c r="J100">
        <v>4.95960924290813</v>
      </c>
      <c r="K100">
        <v>201</v>
      </c>
      <c r="L100" t="s">
        <v>332</v>
      </c>
      <c r="M100">
        <v>1</v>
      </c>
      <c r="N100" t="s">
        <v>252</v>
      </c>
    </row>
    <row r="101" spans="1:14">
      <c r="A101">
        <v>105</v>
      </c>
      <c r="B101" t="s">
        <v>373</v>
      </c>
      <c r="C101" t="s">
        <v>216</v>
      </c>
      <c r="D101" t="s">
        <v>46</v>
      </c>
      <c r="E101" t="s">
        <v>250</v>
      </c>
      <c r="F101">
        <v>141.001674607472</v>
      </c>
      <c r="G101">
        <v>0</v>
      </c>
      <c r="H101">
        <v>0</v>
      </c>
      <c r="I101">
        <v>141.001674607472</v>
      </c>
      <c r="J101">
        <v>0</v>
      </c>
      <c r="M101" t="s">
        <v>202</v>
      </c>
      <c r="N101" t="s">
        <v>252</v>
      </c>
    </row>
    <row r="102" spans="1:14">
      <c r="A102">
        <v>106</v>
      </c>
      <c r="B102" t="s">
        <v>374</v>
      </c>
      <c r="C102" t="s">
        <v>203</v>
      </c>
      <c r="D102" t="s">
        <v>48</v>
      </c>
      <c r="E102" t="s">
        <v>266</v>
      </c>
      <c r="F102">
        <v>140.66390562249</v>
      </c>
      <c r="G102">
        <v>90.0248995983936</v>
      </c>
      <c r="H102">
        <v>42.0009357429719</v>
      </c>
      <c r="I102">
        <v>8.6380702811245</v>
      </c>
      <c r="J102">
        <v>5.86060492203645</v>
      </c>
      <c r="K102">
        <v>587</v>
      </c>
      <c r="L102" t="s">
        <v>286</v>
      </c>
      <c r="M102">
        <v>1</v>
      </c>
      <c r="N102" t="s">
        <v>252</v>
      </c>
    </row>
    <row r="103" spans="1:14">
      <c r="A103">
        <v>107</v>
      </c>
      <c r="B103" t="s">
        <v>375</v>
      </c>
      <c r="C103" t="s">
        <v>52</v>
      </c>
      <c r="D103" t="s">
        <v>52</v>
      </c>
      <c r="E103" t="s">
        <v>266</v>
      </c>
      <c r="F103">
        <v>140.10136</v>
      </c>
      <c r="G103">
        <v>0</v>
      </c>
      <c r="H103">
        <v>0</v>
      </c>
      <c r="I103">
        <v>140.10136</v>
      </c>
      <c r="J103">
        <v>0</v>
      </c>
      <c r="M103" t="s">
        <v>202</v>
      </c>
      <c r="N103" t="s">
        <v>252</v>
      </c>
    </row>
    <row r="104" spans="1:14">
      <c r="A104">
        <v>108</v>
      </c>
      <c r="B104" t="s">
        <v>376</v>
      </c>
      <c r="C104" t="s">
        <v>52</v>
      </c>
      <c r="D104" t="s">
        <v>52</v>
      </c>
      <c r="E104" t="s">
        <v>266</v>
      </c>
      <c r="F104">
        <v>139.100636</v>
      </c>
      <c r="G104">
        <v>0</v>
      </c>
      <c r="H104">
        <v>0</v>
      </c>
      <c r="I104">
        <v>139.100636</v>
      </c>
      <c r="J104">
        <v>0</v>
      </c>
      <c r="M104" t="s">
        <v>202</v>
      </c>
      <c r="N104" t="s">
        <v>252</v>
      </c>
    </row>
    <row r="105" spans="1:14">
      <c r="A105">
        <v>109</v>
      </c>
      <c r="B105" t="s">
        <v>377</v>
      </c>
      <c r="C105" t="s">
        <v>52</v>
      </c>
      <c r="D105" t="s">
        <v>52</v>
      </c>
      <c r="E105" t="s">
        <v>266</v>
      </c>
      <c r="F105">
        <v>139.100636</v>
      </c>
      <c r="G105">
        <v>0</v>
      </c>
      <c r="H105">
        <v>0</v>
      </c>
      <c r="I105">
        <v>139.100636</v>
      </c>
      <c r="J105">
        <v>0</v>
      </c>
      <c r="M105" t="s">
        <v>202</v>
      </c>
      <c r="N105" t="s">
        <v>252</v>
      </c>
    </row>
    <row r="106" spans="1:14">
      <c r="A106">
        <v>110</v>
      </c>
      <c r="B106" t="s">
        <v>378</v>
      </c>
      <c r="C106" t="s">
        <v>52</v>
      </c>
      <c r="D106" t="s">
        <v>52</v>
      </c>
      <c r="E106" t="s">
        <v>266</v>
      </c>
      <c r="F106">
        <v>139.100636</v>
      </c>
      <c r="G106">
        <v>0</v>
      </c>
      <c r="H106">
        <v>0</v>
      </c>
      <c r="I106">
        <v>139.100636</v>
      </c>
      <c r="J106">
        <v>0</v>
      </c>
      <c r="M106" t="s">
        <v>202</v>
      </c>
      <c r="N106" t="s">
        <v>252</v>
      </c>
    </row>
    <row r="107" spans="1:14">
      <c r="A107">
        <v>111</v>
      </c>
      <c r="B107" t="s">
        <v>379</v>
      </c>
      <c r="C107" t="s">
        <v>52</v>
      </c>
      <c r="D107" t="s">
        <v>52</v>
      </c>
      <c r="E107" t="s">
        <v>266</v>
      </c>
      <c r="F107">
        <v>139.100636</v>
      </c>
      <c r="G107">
        <v>0</v>
      </c>
      <c r="H107">
        <v>0</v>
      </c>
      <c r="I107">
        <v>139.100636</v>
      </c>
      <c r="J107">
        <v>0</v>
      </c>
      <c r="M107" t="s">
        <v>202</v>
      </c>
      <c r="N107" t="s">
        <v>252</v>
      </c>
    </row>
    <row r="108" spans="1:14">
      <c r="A108">
        <v>112</v>
      </c>
      <c r="B108" t="s">
        <v>380</v>
      </c>
      <c r="C108" t="s">
        <v>381</v>
      </c>
      <c r="D108" t="s">
        <v>55</v>
      </c>
      <c r="E108" t="s">
        <v>266</v>
      </c>
      <c r="F108">
        <v>136.29156626506</v>
      </c>
      <c r="G108">
        <v>0</v>
      </c>
      <c r="H108">
        <v>88.9100401606426</v>
      </c>
      <c r="I108">
        <v>47.3815261044177</v>
      </c>
      <c r="J108">
        <v>0</v>
      </c>
      <c r="M108">
        <v>0.919963201471941</v>
      </c>
      <c r="N108" t="s">
        <v>252</v>
      </c>
    </row>
    <row r="109" spans="1:14">
      <c r="A109">
        <v>113</v>
      </c>
      <c r="B109" t="s">
        <v>382</v>
      </c>
      <c r="C109" t="s">
        <v>203</v>
      </c>
      <c r="D109" t="s">
        <v>48</v>
      </c>
      <c r="E109" t="s">
        <v>266</v>
      </c>
      <c r="F109">
        <v>130.09412</v>
      </c>
      <c r="G109">
        <v>0</v>
      </c>
      <c r="H109">
        <v>0</v>
      </c>
      <c r="I109">
        <v>130.09412</v>
      </c>
      <c r="J109">
        <v>0</v>
      </c>
      <c r="M109" t="s">
        <v>202</v>
      </c>
      <c r="N109" t="s">
        <v>252</v>
      </c>
    </row>
    <row r="110" spans="1:14">
      <c r="A110">
        <v>114</v>
      </c>
      <c r="B110" t="s">
        <v>383</v>
      </c>
      <c r="C110" t="s">
        <v>33</v>
      </c>
      <c r="D110" t="s">
        <v>33</v>
      </c>
      <c r="E110" t="s">
        <v>266</v>
      </c>
      <c r="F110">
        <v>119.93295502008</v>
      </c>
      <c r="G110">
        <v>0</v>
      </c>
      <c r="H110">
        <v>99.7334672021419</v>
      </c>
      <c r="I110">
        <v>20.1994878179384</v>
      </c>
      <c r="J110">
        <v>3.62370843509299</v>
      </c>
      <c r="M110">
        <v>1.19681439926832</v>
      </c>
      <c r="N110" t="s">
        <v>252</v>
      </c>
    </row>
    <row r="111" spans="1:14">
      <c r="A111">
        <v>115</v>
      </c>
      <c r="B111" t="s">
        <v>384</v>
      </c>
      <c r="C111" t="s">
        <v>29</v>
      </c>
      <c r="D111" t="s">
        <v>29</v>
      </c>
      <c r="E111" t="s">
        <v>266</v>
      </c>
      <c r="F111">
        <v>118.54672021419</v>
      </c>
      <c r="G111">
        <v>53.0022757697457</v>
      </c>
      <c r="H111">
        <v>15.3757697456493</v>
      </c>
      <c r="I111">
        <v>50.1686746987952</v>
      </c>
      <c r="J111">
        <v>0</v>
      </c>
      <c r="M111">
        <v>1.15858121904</v>
      </c>
      <c r="N111" t="s">
        <v>252</v>
      </c>
    </row>
    <row r="112" spans="1:14">
      <c r="A112">
        <v>116</v>
      </c>
      <c r="B112" t="s">
        <v>385</v>
      </c>
      <c r="C112" t="s">
        <v>259</v>
      </c>
      <c r="D112" t="s">
        <v>46</v>
      </c>
      <c r="E112" t="s">
        <v>250</v>
      </c>
      <c r="F112">
        <v>106</v>
      </c>
      <c r="G112">
        <v>0</v>
      </c>
      <c r="H112">
        <v>0</v>
      </c>
      <c r="I112">
        <v>106</v>
      </c>
      <c r="J112">
        <v>0</v>
      </c>
      <c r="M112">
        <v>1.047</v>
      </c>
      <c r="N112" t="s">
        <v>252</v>
      </c>
    </row>
    <row r="113" spans="1:14">
      <c r="A113">
        <v>117</v>
      </c>
      <c r="B113" t="s">
        <v>386</v>
      </c>
      <c r="C113" t="s">
        <v>203</v>
      </c>
      <c r="D113" t="s">
        <v>48</v>
      </c>
      <c r="E113" t="s">
        <v>266</v>
      </c>
      <c r="F113">
        <v>99.6126907630522</v>
      </c>
      <c r="G113">
        <v>69.5347121820616</v>
      </c>
      <c r="H113">
        <v>30.0779785809906</v>
      </c>
      <c r="I113">
        <v>0</v>
      </c>
      <c r="J113">
        <v>0</v>
      </c>
      <c r="M113">
        <v>1</v>
      </c>
      <c r="N113" t="s">
        <v>252</v>
      </c>
    </row>
    <row r="114" spans="1:14">
      <c r="A114">
        <v>118</v>
      </c>
      <c r="B114" t="s">
        <v>387</v>
      </c>
      <c r="C114" t="s">
        <v>331</v>
      </c>
      <c r="D114" t="s">
        <v>28</v>
      </c>
      <c r="E114" t="s">
        <v>266</v>
      </c>
      <c r="F114">
        <v>99.0343574297189</v>
      </c>
      <c r="G114">
        <v>0</v>
      </c>
      <c r="H114">
        <v>0</v>
      </c>
      <c r="I114">
        <v>99.0343574297189</v>
      </c>
      <c r="J114">
        <v>2.34153672740935</v>
      </c>
      <c r="M114">
        <v>1.047</v>
      </c>
      <c r="N114" t="s">
        <v>252</v>
      </c>
    </row>
    <row r="115" spans="1:14">
      <c r="A115">
        <v>119</v>
      </c>
      <c r="B115" t="s">
        <v>388</v>
      </c>
      <c r="C115" t="s">
        <v>216</v>
      </c>
      <c r="D115" t="s">
        <v>46</v>
      </c>
      <c r="E115" t="s">
        <v>250</v>
      </c>
      <c r="F115">
        <v>96.9894120194911</v>
      </c>
      <c r="G115">
        <v>0</v>
      </c>
      <c r="H115">
        <v>0</v>
      </c>
      <c r="I115">
        <v>96.9894120194911</v>
      </c>
      <c r="J115">
        <v>0</v>
      </c>
      <c r="M115" t="s">
        <v>202</v>
      </c>
      <c r="N115" t="s">
        <v>252</v>
      </c>
    </row>
    <row r="116" spans="1:14">
      <c r="A116">
        <v>120</v>
      </c>
      <c r="B116" t="s">
        <v>389</v>
      </c>
      <c r="C116" t="s">
        <v>29</v>
      </c>
      <c r="D116" t="s">
        <v>29</v>
      </c>
      <c r="E116" t="s">
        <v>266</v>
      </c>
      <c r="F116">
        <v>83.7445247657296</v>
      </c>
      <c r="G116">
        <v>0</v>
      </c>
      <c r="H116">
        <v>18.5809906291834</v>
      </c>
      <c r="I116">
        <v>65.1635341365462</v>
      </c>
      <c r="J116">
        <v>0</v>
      </c>
      <c r="M116" t="s">
        <v>202</v>
      </c>
      <c r="N116" t="s">
        <v>252</v>
      </c>
    </row>
    <row r="117" spans="1:14">
      <c r="A117">
        <v>121</v>
      </c>
      <c r="B117" t="s">
        <v>390</v>
      </c>
      <c r="C117" t="s">
        <v>34</v>
      </c>
      <c r="D117" t="s">
        <v>34</v>
      </c>
      <c r="E117" t="s">
        <v>266</v>
      </c>
      <c r="F117">
        <v>81.5365457498647</v>
      </c>
      <c r="G117">
        <v>47.3815261044177</v>
      </c>
      <c r="H117">
        <v>34.155019645447</v>
      </c>
      <c r="I117">
        <v>0</v>
      </c>
      <c r="J117">
        <v>0</v>
      </c>
      <c r="K117">
        <v>5426.46</v>
      </c>
      <c r="L117" t="s">
        <v>251</v>
      </c>
      <c r="M117">
        <v>1.047</v>
      </c>
      <c r="N117" t="s">
        <v>252</v>
      </c>
    </row>
    <row r="118" spans="1:14">
      <c r="A118">
        <v>122</v>
      </c>
      <c r="B118" t="s">
        <v>391</v>
      </c>
      <c r="C118" t="s">
        <v>203</v>
      </c>
      <c r="D118" t="s">
        <v>48</v>
      </c>
      <c r="E118" t="s">
        <v>266</v>
      </c>
      <c r="F118">
        <v>81.2258714859438</v>
      </c>
      <c r="G118">
        <v>0</v>
      </c>
      <c r="H118">
        <v>63.5187575312888</v>
      </c>
      <c r="I118">
        <v>17.7071139546549</v>
      </c>
      <c r="J118">
        <v>1.68833364643998</v>
      </c>
      <c r="M118" t="s">
        <v>202</v>
      </c>
      <c r="N118" t="s">
        <v>252</v>
      </c>
    </row>
    <row r="119" spans="1:14">
      <c r="A119">
        <v>123</v>
      </c>
      <c r="B119" t="s">
        <v>392</v>
      </c>
      <c r="C119" t="s">
        <v>216</v>
      </c>
      <c r="D119" t="s">
        <v>46</v>
      </c>
      <c r="E119" t="s">
        <v>250</v>
      </c>
      <c r="F119">
        <v>80.432</v>
      </c>
      <c r="G119">
        <v>0</v>
      </c>
      <c r="H119">
        <v>0</v>
      </c>
      <c r="I119">
        <v>80.432</v>
      </c>
      <c r="J119">
        <v>0</v>
      </c>
      <c r="M119">
        <v>1.047</v>
      </c>
      <c r="N119" t="s">
        <v>252</v>
      </c>
    </row>
    <row r="120" spans="1:14">
      <c r="A120">
        <v>124</v>
      </c>
      <c r="B120" t="s">
        <v>393</v>
      </c>
      <c r="C120" t="s">
        <v>203</v>
      </c>
      <c r="D120" t="s">
        <v>48</v>
      </c>
      <c r="E120" t="s">
        <v>266</v>
      </c>
      <c r="F120">
        <v>80.1769745649264</v>
      </c>
      <c r="G120">
        <v>50.3080321285141</v>
      </c>
      <c r="H120">
        <v>15.9331994645247</v>
      </c>
      <c r="I120">
        <v>13.9357429718875</v>
      </c>
      <c r="J120">
        <v>0</v>
      </c>
      <c r="M120">
        <v>1</v>
      </c>
      <c r="N120" t="s">
        <v>252</v>
      </c>
    </row>
    <row r="121" spans="1:14">
      <c r="A121">
        <v>125</v>
      </c>
      <c r="B121" t="s">
        <v>394</v>
      </c>
      <c r="C121" t="s">
        <v>33</v>
      </c>
      <c r="D121" t="s">
        <v>33</v>
      </c>
      <c r="E121" t="s">
        <v>266</v>
      </c>
      <c r="F121">
        <v>74.4633199464525</v>
      </c>
      <c r="G121">
        <v>0</v>
      </c>
      <c r="H121">
        <v>11.6595716198126</v>
      </c>
      <c r="I121">
        <v>62.8037483266399</v>
      </c>
      <c r="J121">
        <v>0</v>
      </c>
      <c r="M121">
        <v>1</v>
      </c>
      <c r="N121" t="s">
        <v>252</v>
      </c>
    </row>
    <row r="122" spans="1:14">
      <c r="A122">
        <v>126</v>
      </c>
      <c r="B122" t="s">
        <v>395</v>
      </c>
      <c r="C122" t="s">
        <v>29</v>
      </c>
      <c r="D122" t="s">
        <v>29</v>
      </c>
      <c r="E122" t="s">
        <v>266</v>
      </c>
      <c r="F122">
        <v>71.0722891566265</v>
      </c>
      <c r="G122">
        <v>38.7413654618474</v>
      </c>
      <c r="H122">
        <v>24.4340026773762</v>
      </c>
      <c r="I122">
        <v>7.89692101740295</v>
      </c>
      <c r="J122">
        <v>0</v>
      </c>
      <c r="K122">
        <v>133.466666666667</v>
      </c>
      <c r="L122" t="s">
        <v>396</v>
      </c>
      <c r="M122">
        <v>0.919963201471941</v>
      </c>
      <c r="N122" t="s">
        <v>252</v>
      </c>
    </row>
    <row r="123" spans="1:14">
      <c r="A123">
        <v>127</v>
      </c>
      <c r="B123" t="s">
        <v>397</v>
      </c>
      <c r="C123" t="s">
        <v>203</v>
      </c>
      <c r="D123" t="s">
        <v>48</v>
      </c>
      <c r="E123" t="s">
        <v>266</v>
      </c>
      <c r="F123">
        <v>70.8214457831325</v>
      </c>
      <c r="G123">
        <v>0</v>
      </c>
      <c r="H123">
        <v>0</v>
      </c>
      <c r="I123">
        <v>70.8214457831325</v>
      </c>
      <c r="J123">
        <v>0</v>
      </c>
      <c r="M123">
        <v>0.861388765423166</v>
      </c>
      <c r="N123" t="s">
        <v>252</v>
      </c>
    </row>
    <row r="124" spans="1:14">
      <c r="A124">
        <v>128</v>
      </c>
      <c r="B124" t="s">
        <v>398</v>
      </c>
      <c r="C124" t="s">
        <v>29</v>
      </c>
      <c r="D124" t="s">
        <v>29</v>
      </c>
      <c r="E124" t="s">
        <v>266</v>
      </c>
      <c r="F124">
        <v>69.6787148594377</v>
      </c>
      <c r="G124">
        <v>0</v>
      </c>
      <c r="H124">
        <v>41.8072289156626</v>
      </c>
      <c r="I124">
        <v>27.8714859437751</v>
      </c>
      <c r="J124">
        <v>0</v>
      </c>
      <c r="M124">
        <v>1.047</v>
      </c>
      <c r="N124" t="s">
        <v>252</v>
      </c>
    </row>
    <row r="125" spans="1:14">
      <c r="A125">
        <v>129</v>
      </c>
      <c r="B125" t="s">
        <v>399</v>
      </c>
      <c r="C125" t="s">
        <v>203</v>
      </c>
      <c r="D125" t="s">
        <v>48</v>
      </c>
      <c r="E125" t="s">
        <v>266</v>
      </c>
      <c r="F125">
        <v>66.9756452476573</v>
      </c>
      <c r="G125">
        <v>0</v>
      </c>
      <c r="H125">
        <v>31.1231593038822</v>
      </c>
      <c r="I125">
        <v>35.8524859437751</v>
      </c>
      <c r="J125">
        <v>2.48393762915649</v>
      </c>
      <c r="K125">
        <v>356.047</v>
      </c>
      <c r="L125" t="s">
        <v>332</v>
      </c>
      <c r="M125">
        <v>1.047</v>
      </c>
      <c r="N125" t="s">
        <v>252</v>
      </c>
    </row>
    <row r="126" spans="1:14">
      <c r="A126">
        <v>130</v>
      </c>
      <c r="B126" t="s">
        <v>400</v>
      </c>
      <c r="C126" t="s">
        <v>401</v>
      </c>
      <c r="D126" t="s">
        <v>56</v>
      </c>
      <c r="E126" t="s">
        <v>266</v>
      </c>
      <c r="F126">
        <v>65.811640498105</v>
      </c>
      <c r="G126">
        <v>36.3720628045479</v>
      </c>
      <c r="H126">
        <v>18.7120736329183</v>
      </c>
      <c r="I126">
        <v>10.7275040606389</v>
      </c>
      <c r="J126">
        <v>2.47980462145407</v>
      </c>
      <c r="K126">
        <v>545.544382022472</v>
      </c>
      <c r="L126" t="s">
        <v>402</v>
      </c>
      <c r="M126">
        <v>0.919963201471941</v>
      </c>
      <c r="N126" t="s">
        <v>252</v>
      </c>
    </row>
    <row r="127" spans="1:14">
      <c r="A127">
        <v>131</v>
      </c>
      <c r="B127" t="s">
        <v>403</v>
      </c>
      <c r="C127" t="s">
        <v>29</v>
      </c>
      <c r="D127" t="s">
        <v>29</v>
      </c>
      <c r="E127" t="s">
        <v>266</v>
      </c>
      <c r="F127">
        <v>63.1753681392236</v>
      </c>
      <c r="G127">
        <v>0</v>
      </c>
      <c r="H127">
        <v>32.516733601071</v>
      </c>
      <c r="I127">
        <v>30.6586345381526</v>
      </c>
      <c r="J127">
        <v>5.12342663911328</v>
      </c>
      <c r="M127">
        <v>1.047</v>
      </c>
      <c r="N127" t="s">
        <v>252</v>
      </c>
    </row>
    <row r="128" spans="1:14">
      <c r="A128">
        <v>132</v>
      </c>
      <c r="B128" t="s">
        <v>404</v>
      </c>
      <c r="C128" t="s">
        <v>200</v>
      </c>
      <c r="D128" t="s">
        <v>48</v>
      </c>
      <c r="E128" t="s">
        <v>261</v>
      </c>
      <c r="F128">
        <v>60.3</v>
      </c>
      <c r="G128">
        <v>0</v>
      </c>
      <c r="H128">
        <v>28.4</v>
      </c>
      <c r="I128">
        <v>31.9</v>
      </c>
      <c r="J128">
        <v>0</v>
      </c>
      <c r="M128">
        <v>1</v>
      </c>
      <c r="N128" t="s">
        <v>252</v>
      </c>
    </row>
    <row r="129" spans="1:14">
      <c r="A129">
        <v>133</v>
      </c>
      <c r="B129" t="s">
        <v>405</v>
      </c>
      <c r="C129" t="s">
        <v>216</v>
      </c>
      <c r="D129" t="s">
        <v>46</v>
      </c>
      <c r="E129" t="s">
        <v>250</v>
      </c>
      <c r="F129">
        <v>60.2994694098538</v>
      </c>
      <c r="G129">
        <v>0</v>
      </c>
      <c r="H129">
        <v>0</v>
      </c>
      <c r="I129">
        <v>60.2994694098538</v>
      </c>
      <c r="J129">
        <v>0</v>
      </c>
      <c r="M129" t="s">
        <v>202</v>
      </c>
      <c r="N129" t="s">
        <v>252</v>
      </c>
    </row>
    <row r="130" spans="1:14">
      <c r="A130">
        <v>134</v>
      </c>
      <c r="B130" t="s">
        <v>406</v>
      </c>
      <c r="C130" t="s">
        <v>407</v>
      </c>
      <c r="D130" t="s">
        <v>59</v>
      </c>
      <c r="E130" t="s">
        <v>266</v>
      </c>
      <c r="F130">
        <v>57.6382329317269</v>
      </c>
      <c r="G130">
        <v>0</v>
      </c>
      <c r="H130">
        <v>55.7429718875502</v>
      </c>
      <c r="I130">
        <v>1.89526104417671</v>
      </c>
      <c r="J130">
        <v>1.23990231072703</v>
      </c>
      <c r="M130">
        <v>1</v>
      </c>
      <c r="N130" t="s">
        <v>252</v>
      </c>
    </row>
    <row r="131" spans="1:14">
      <c r="A131">
        <v>135</v>
      </c>
      <c r="B131" t="s">
        <v>408</v>
      </c>
      <c r="C131" t="s">
        <v>34</v>
      </c>
      <c r="D131" t="s">
        <v>34</v>
      </c>
      <c r="E131" t="s">
        <v>266</v>
      </c>
      <c r="F131">
        <v>53.038372</v>
      </c>
      <c r="G131">
        <v>0</v>
      </c>
      <c r="H131">
        <v>0</v>
      </c>
      <c r="I131">
        <v>53.038372</v>
      </c>
      <c r="J131">
        <v>5.01747135074206</v>
      </c>
      <c r="M131" t="s">
        <v>202</v>
      </c>
      <c r="N131" t="s">
        <v>252</v>
      </c>
    </row>
    <row r="132" spans="1:14">
      <c r="A132">
        <v>136</v>
      </c>
      <c r="B132" t="s">
        <v>409</v>
      </c>
      <c r="C132" t="s">
        <v>203</v>
      </c>
      <c r="D132" t="s">
        <v>48</v>
      </c>
      <c r="E132" t="s">
        <v>266</v>
      </c>
      <c r="F132">
        <v>51.309547523427</v>
      </c>
      <c r="G132">
        <v>0</v>
      </c>
      <c r="H132">
        <v>42.3600133868809</v>
      </c>
      <c r="I132">
        <v>8.94953413654618</v>
      </c>
      <c r="J132">
        <v>0</v>
      </c>
      <c r="M132">
        <v>1.047</v>
      </c>
      <c r="N132" t="s">
        <v>252</v>
      </c>
    </row>
    <row r="133" spans="1:14">
      <c r="A133">
        <v>137</v>
      </c>
      <c r="B133" t="s">
        <v>410</v>
      </c>
      <c r="C133" t="s">
        <v>52</v>
      </c>
      <c r="D133" t="s">
        <v>52</v>
      </c>
      <c r="E133" t="s">
        <v>266</v>
      </c>
      <c r="F133">
        <v>50.0362</v>
      </c>
      <c r="G133">
        <v>0</v>
      </c>
      <c r="H133">
        <v>0</v>
      </c>
      <c r="I133">
        <v>50.0362</v>
      </c>
      <c r="J133">
        <v>0</v>
      </c>
      <c r="M133" t="s">
        <v>202</v>
      </c>
      <c r="N133" t="s">
        <v>252</v>
      </c>
    </row>
    <row r="134" spans="1:14">
      <c r="A134">
        <v>138</v>
      </c>
      <c r="B134" t="s">
        <v>411</v>
      </c>
      <c r="C134" t="s">
        <v>381</v>
      </c>
      <c r="D134" t="s">
        <v>55</v>
      </c>
      <c r="E134" t="s">
        <v>266</v>
      </c>
      <c r="F134">
        <v>47.8460508701473</v>
      </c>
      <c r="G134">
        <v>0</v>
      </c>
      <c r="H134">
        <v>0</v>
      </c>
      <c r="I134">
        <v>47.8460508701473</v>
      </c>
      <c r="J134">
        <v>0</v>
      </c>
      <c r="M134">
        <v>1.19681439926832</v>
      </c>
      <c r="N134" t="s">
        <v>252</v>
      </c>
    </row>
    <row r="135" spans="1:14">
      <c r="A135">
        <v>139</v>
      </c>
      <c r="B135" t="s">
        <v>412</v>
      </c>
      <c r="C135" t="s">
        <v>203</v>
      </c>
      <c r="D135" t="s">
        <v>48</v>
      </c>
      <c r="E135" t="s">
        <v>266</v>
      </c>
      <c r="F135">
        <v>46.9077108433735</v>
      </c>
      <c r="G135">
        <v>0</v>
      </c>
      <c r="H135">
        <v>32.516733601071</v>
      </c>
      <c r="I135">
        <v>14.3909772423025</v>
      </c>
      <c r="J135">
        <v>0</v>
      </c>
      <c r="M135">
        <v>1</v>
      </c>
      <c r="N135" t="s">
        <v>252</v>
      </c>
    </row>
    <row r="136" spans="1:14">
      <c r="A136">
        <v>140</v>
      </c>
      <c r="B136" t="s">
        <v>413</v>
      </c>
      <c r="C136" t="s">
        <v>34</v>
      </c>
      <c r="D136" t="s">
        <v>34</v>
      </c>
      <c r="E136" t="s">
        <v>266</v>
      </c>
      <c r="F136">
        <v>46.6164538152611</v>
      </c>
      <c r="G136">
        <v>0</v>
      </c>
      <c r="H136">
        <v>31.7600227576975</v>
      </c>
      <c r="I136">
        <v>14.8564310575636</v>
      </c>
      <c r="J136">
        <v>0</v>
      </c>
      <c r="M136" t="s">
        <v>202</v>
      </c>
      <c r="N136" t="s">
        <v>252</v>
      </c>
    </row>
    <row r="137" spans="1:14">
      <c r="A137">
        <v>141</v>
      </c>
      <c r="B137" t="s">
        <v>414</v>
      </c>
      <c r="C137" t="s">
        <v>259</v>
      </c>
      <c r="D137" t="s">
        <v>46</v>
      </c>
      <c r="E137" t="s">
        <v>250</v>
      </c>
      <c r="F137">
        <v>46.0512398484028</v>
      </c>
      <c r="G137">
        <v>0</v>
      </c>
      <c r="H137">
        <v>0</v>
      </c>
      <c r="I137">
        <v>46.0512398484028</v>
      </c>
      <c r="J137">
        <v>1.87863986473793</v>
      </c>
      <c r="K137">
        <v>4625</v>
      </c>
      <c r="L137" t="s">
        <v>251</v>
      </c>
      <c r="M137">
        <v>1.047</v>
      </c>
      <c r="N137" t="s">
        <v>252</v>
      </c>
    </row>
    <row r="138" spans="1:14">
      <c r="A138">
        <v>142</v>
      </c>
      <c r="B138" t="s">
        <v>415</v>
      </c>
      <c r="C138" t="s">
        <v>203</v>
      </c>
      <c r="D138" t="s">
        <v>48</v>
      </c>
      <c r="E138" t="s">
        <v>250</v>
      </c>
      <c r="F138">
        <v>43.415</v>
      </c>
      <c r="G138">
        <v>0</v>
      </c>
      <c r="H138">
        <v>0</v>
      </c>
      <c r="I138">
        <v>43.415</v>
      </c>
      <c r="J138">
        <v>0</v>
      </c>
      <c r="M138">
        <v>0.919963201471941</v>
      </c>
      <c r="N138" t="s">
        <v>252</v>
      </c>
    </row>
    <row r="139" spans="1:14">
      <c r="A139">
        <v>143</v>
      </c>
      <c r="B139" t="s">
        <v>416</v>
      </c>
      <c r="C139" t="s">
        <v>200</v>
      </c>
      <c r="D139" t="s">
        <v>48</v>
      </c>
      <c r="E139" t="s">
        <v>261</v>
      </c>
      <c r="F139">
        <v>41.43136</v>
      </c>
      <c r="G139">
        <v>15.05067</v>
      </c>
      <c r="H139">
        <v>5.10429</v>
      </c>
      <c r="I139">
        <v>21.2764</v>
      </c>
      <c r="J139">
        <v>0.937253428517753</v>
      </c>
      <c r="M139" t="s">
        <v>202</v>
      </c>
      <c r="N139" t="s">
        <v>252</v>
      </c>
    </row>
    <row r="140" spans="1:14">
      <c r="A140">
        <v>144</v>
      </c>
      <c r="B140" t="s">
        <v>417</v>
      </c>
      <c r="C140" t="s">
        <v>200</v>
      </c>
      <c r="D140" t="s">
        <v>48</v>
      </c>
      <c r="E140" t="s">
        <v>250</v>
      </c>
      <c r="F140">
        <v>40.9</v>
      </c>
      <c r="G140">
        <v>0</v>
      </c>
      <c r="H140">
        <v>0</v>
      </c>
      <c r="I140">
        <v>40.9</v>
      </c>
      <c r="J140">
        <v>1.70279917339846</v>
      </c>
      <c r="K140">
        <v>3652</v>
      </c>
      <c r="L140" t="s">
        <v>251</v>
      </c>
      <c r="M140">
        <v>1.15858121904</v>
      </c>
      <c r="N140" t="s">
        <v>252</v>
      </c>
    </row>
    <row r="141" spans="1:14">
      <c r="A141">
        <v>145</v>
      </c>
      <c r="B141" t="s">
        <v>418</v>
      </c>
      <c r="C141" t="s">
        <v>33</v>
      </c>
      <c r="D141" t="s">
        <v>33</v>
      </c>
      <c r="E141" t="s">
        <v>266</v>
      </c>
      <c r="F141">
        <v>32.6897671900379</v>
      </c>
      <c r="G141">
        <v>0</v>
      </c>
      <c r="H141">
        <v>29.4020032485111</v>
      </c>
      <c r="I141">
        <v>3.2877639415268</v>
      </c>
      <c r="J141">
        <v>0</v>
      </c>
      <c r="M141">
        <v>1</v>
      </c>
      <c r="N141" t="s">
        <v>252</v>
      </c>
    </row>
    <row r="142" spans="1:14">
      <c r="A142">
        <v>146</v>
      </c>
      <c r="B142" t="s">
        <v>419</v>
      </c>
      <c r="C142" t="s">
        <v>203</v>
      </c>
      <c r="D142" t="s">
        <v>48</v>
      </c>
      <c r="E142" t="s">
        <v>266</v>
      </c>
      <c r="F142">
        <v>28.020272</v>
      </c>
      <c r="G142">
        <v>0</v>
      </c>
      <c r="H142">
        <v>0</v>
      </c>
      <c r="I142">
        <v>28.020272</v>
      </c>
      <c r="J142">
        <v>0</v>
      </c>
      <c r="M142" t="s">
        <v>202</v>
      </c>
      <c r="N142" t="s">
        <v>252</v>
      </c>
    </row>
    <row r="143" spans="1:14">
      <c r="A143">
        <v>147</v>
      </c>
      <c r="B143" t="s">
        <v>420</v>
      </c>
      <c r="C143" t="s">
        <v>203</v>
      </c>
      <c r="D143" t="s">
        <v>48</v>
      </c>
      <c r="E143" t="s">
        <v>266</v>
      </c>
      <c r="F143">
        <v>25.0181</v>
      </c>
      <c r="G143">
        <v>0</v>
      </c>
      <c r="H143">
        <v>0</v>
      </c>
      <c r="I143">
        <v>25.0181</v>
      </c>
      <c r="J143">
        <v>0</v>
      </c>
      <c r="M143" t="s">
        <v>202</v>
      </c>
      <c r="N143" t="s">
        <v>252</v>
      </c>
    </row>
    <row r="144" spans="1:14">
      <c r="A144">
        <v>148</v>
      </c>
      <c r="B144" t="s">
        <v>421</v>
      </c>
      <c r="C144" t="s">
        <v>203</v>
      </c>
      <c r="D144" t="s">
        <v>48</v>
      </c>
      <c r="E144" t="s">
        <v>266</v>
      </c>
      <c r="F144">
        <v>25.0181</v>
      </c>
      <c r="G144">
        <v>0</v>
      </c>
      <c r="H144">
        <v>0</v>
      </c>
      <c r="I144">
        <v>25.0181</v>
      </c>
      <c r="J144">
        <v>0</v>
      </c>
      <c r="M144" t="s">
        <v>202</v>
      </c>
      <c r="N144" t="s">
        <v>252</v>
      </c>
    </row>
    <row r="145" spans="1:14">
      <c r="A145">
        <v>149</v>
      </c>
      <c r="B145" t="s">
        <v>422</v>
      </c>
      <c r="C145" t="s">
        <v>381</v>
      </c>
      <c r="D145" t="s">
        <v>55</v>
      </c>
      <c r="E145" t="s">
        <v>266</v>
      </c>
      <c r="F145">
        <v>23.7228152610442</v>
      </c>
      <c r="G145">
        <v>0</v>
      </c>
      <c r="H145">
        <v>0</v>
      </c>
      <c r="I145">
        <v>23.7228152610442</v>
      </c>
      <c r="J145">
        <v>0.338155175652827</v>
      </c>
      <c r="M145" t="s">
        <v>202</v>
      </c>
      <c r="N145" t="s">
        <v>252</v>
      </c>
    </row>
    <row r="146" spans="1:14">
      <c r="A146">
        <v>150</v>
      </c>
      <c r="B146" t="s">
        <v>423</v>
      </c>
      <c r="C146" t="s">
        <v>33</v>
      </c>
      <c r="D146" t="s">
        <v>33</v>
      </c>
      <c r="E146" t="s">
        <v>266</v>
      </c>
      <c r="F146">
        <v>23.016652</v>
      </c>
      <c r="G146">
        <v>0</v>
      </c>
      <c r="H146">
        <v>0</v>
      </c>
      <c r="I146">
        <v>23.016652</v>
      </c>
      <c r="J146">
        <v>1.07082472290062</v>
      </c>
      <c r="M146" t="s">
        <v>202</v>
      </c>
      <c r="N146" t="s">
        <v>252</v>
      </c>
    </row>
    <row r="147" spans="1:14">
      <c r="A147">
        <v>151</v>
      </c>
      <c r="B147" t="s">
        <v>424</v>
      </c>
      <c r="C147" t="s">
        <v>203</v>
      </c>
      <c r="D147" t="s">
        <v>48</v>
      </c>
      <c r="E147" t="s">
        <v>266</v>
      </c>
      <c r="F147">
        <v>21.1126506024096</v>
      </c>
      <c r="G147">
        <v>0</v>
      </c>
      <c r="H147">
        <v>0</v>
      </c>
      <c r="I147">
        <v>21.1126506024096</v>
      </c>
      <c r="J147">
        <v>0</v>
      </c>
      <c r="M147">
        <v>0.861388765423166</v>
      </c>
      <c r="N147" t="s">
        <v>252</v>
      </c>
    </row>
    <row r="148" spans="1:14">
      <c r="A148">
        <v>152</v>
      </c>
      <c r="B148" t="s">
        <v>425</v>
      </c>
      <c r="C148" t="s">
        <v>203</v>
      </c>
      <c r="D148" t="s">
        <v>48</v>
      </c>
      <c r="E148" t="s">
        <v>266</v>
      </c>
      <c r="F148">
        <v>20.01448</v>
      </c>
      <c r="G148">
        <v>0</v>
      </c>
      <c r="H148">
        <v>0</v>
      </c>
      <c r="I148">
        <v>20.01448</v>
      </c>
      <c r="J148">
        <v>0</v>
      </c>
      <c r="M148" t="s">
        <v>202</v>
      </c>
      <c r="N148" t="s">
        <v>252</v>
      </c>
    </row>
    <row r="149" spans="1:14">
      <c r="A149">
        <v>153</v>
      </c>
      <c r="B149" t="s">
        <v>426</v>
      </c>
      <c r="C149" t="s">
        <v>29</v>
      </c>
      <c r="D149" t="s">
        <v>29</v>
      </c>
      <c r="E149" t="s">
        <v>266</v>
      </c>
      <c r="F149">
        <v>19.9281124497992</v>
      </c>
      <c r="G149">
        <v>19.9281124497992</v>
      </c>
      <c r="H149">
        <v>0</v>
      </c>
      <c r="I149">
        <v>0</v>
      </c>
      <c r="J149">
        <v>3.78170204771745</v>
      </c>
      <c r="M149">
        <v>1.047</v>
      </c>
      <c r="N149" t="s">
        <v>252</v>
      </c>
    </row>
    <row r="150" spans="1:14">
      <c r="A150">
        <v>154</v>
      </c>
      <c r="B150" t="s">
        <v>427</v>
      </c>
      <c r="C150" t="s">
        <v>203</v>
      </c>
      <c r="D150" t="s">
        <v>48</v>
      </c>
      <c r="E150" t="s">
        <v>266</v>
      </c>
      <c r="F150">
        <v>19.013756</v>
      </c>
      <c r="G150">
        <v>0</v>
      </c>
      <c r="H150">
        <v>0</v>
      </c>
      <c r="I150">
        <v>19.013756</v>
      </c>
      <c r="J150">
        <v>6.96881457824535</v>
      </c>
      <c r="M150" t="s">
        <v>202</v>
      </c>
      <c r="N150" t="s">
        <v>252</v>
      </c>
    </row>
    <row r="151" spans="1:14">
      <c r="A151">
        <v>155</v>
      </c>
      <c r="B151" t="s">
        <v>428</v>
      </c>
      <c r="C151" t="s">
        <v>34</v>
      </c>
      <c r="D151" t="s">
        <v>34</v>
      </c>
      <c r="E151" t="s">
        <v>266</v>
      </c>
      <c r="F151">
        <v>18.7872225230103</v>
      </c>
      <c r="G151">
        <v>0</v>
      </c>
      <c r="H151">
        <v>0</v>
      </c>
      <c r="I151">
        <v>18.7872225230103</v>
      </c>
      <c r="J151">
        <v>0</v>
      </c>
      <c r="M151">
        <v>1</v>
      </c>
      <c r="N151" t="s">
        <v>252</v>
      </c>
    </row>
    <row r="152" spans="1:14">
      <c r="A152">
        <v>156</v>
      </c>
      <c r="B152" t="s">
        <v>429</v>
      </c>
      <c r="C152" t="s">
        <v>203</v>
      </c>
      <c r="D152" t="s">
        <v>48</v>
      </c>
      <c r="E152" t="s">
        <v>266</v>
      </c>
      <c r="F152">
        <v>17.324</v>
      </c>
      <c r="G152">
        <v>0</v>
      </c>
      <c r="H152">
        <v>6.824</v>
      </c>
      <c r="I152">
        <v>10.5</v>
      </c>
      <c r="J152">
        <v>0</v>
      </c>
      <c r="M152">
        <v>0.919963201471941</v>
      </c>
      <c r="N152" t="s">
        <v>252</v>
      </c>
    </row>
    <row r="153" spans="1:14">
      <c r="A153">
        <v>157</v>
      </c>
      <c r="B153" t="s">
        <v>430</v>
      </c>
      <c r="C153" t="s">
        <v>34</v>
      </c>
      <c r="D153" t="s">
        <v>34</v>
      </c>
      <c r="E153" t="s">
        <v>266</v>
      </c>
      <c r="F153">
        <v>14.6325301204819</v>
      </c>
      <c r="G153">
        <v>0</v>
      </c>
      <c r="H153">
        <v>10.9023962516734</v>
      </c>
      <c r="I153">
        <v>3.73013386880857</v>
      </c>
      <c r="J153">
        <v>0</v>
      </c>
      <c r="M153" t="s">
        <v>202</v>
      </c>
      <c r="N153" t="s">
        <v>252</v>
      </c>
    </row>
    <row r="154" spans="1:14">
      <c r="A154">
        <v>158</v>
      </c>
      <c r="B154" t="s">
        <v>431</v>
      </c>
      <c r="C154" t="s">
        <v>33</v>
      </c>
      <c r="D154" t="s">
        <v>33</v>
      </c>
      <c r="E154" t="s">
        <v>266</v>
      </c>
      <c r="F154">
        <v>12.2304818624797</v>
      </c>
      <c r="G154">
        <v>0</v>
      </c>
      <c r="H154">
        <v>11.1783974011911</v>
      </c>
      <c r="I154">
        <v>1.05208446128857</v>
      </c>
      <c r="J154">
        <v>0</v>
      </c>
      <c r="M154">
        <v>1</v>
      </c>
      <c r="N154" t="s">
        <v>252</v>
      </c>
    </row>
    <row r="155" spans="1:14">
      <c r="A155">
        <v>159</v>
      </c>
      <c r="B155" t="s">
        <v>432</v>
      </c>
      <c r="C155" t="s">
        <v>381</v>
      </c>
      <c r="D155" t="s">
        <v>55</v>
      </c>
      <c r="E155" t="s">
        <v>266</v>
      </c>
      <c r="F155">
        <v>10.00724</v>
      </c>
      <c r="G155">
        <v>0</v>
      </c>
      <c r="H155">
        <v>0</v>
      </c>
      <c r="I155">
        <v>10.00724</v>
      </c>
      <c r="J155">
        <v>4.88051850460267</v>
      </c>
      <c r="M155" t="s">
        <v>202</v>
      </c>
      <c r="N155" t="s">
        <v>252</v>
      </c>
    </row>
    <row r="156" spans="1:14">
      <c r="A156">
        <v>160</v>
      </c>
      <c r="B156" t="s">
        <v>433</v>
      </c>
      <c r="C156" t="s">
        <v>203</v>
      </c>
      <c r="D156" t="s">
        <v>48</v>
      </c>
      <c r="E156" t="s">
        <v>266</v>
      </c>
      <c r="F156">
        <v>10.00724</v>
      </c>
      <c r="G156">
        <v>0</v>
      </c>
      <c r="H156">
        <v>0</v>
      </c>
      <c r="I156">
        <v>10.00724</v>
      </c>
      <c r="J156">
        <v>0</v>
      </c>
      <c r="M156" t="s">
        <v>202</v>
      </c>
      <c r="N156" t="s">
        <v>252</v>
      </c>
    </row>
    <row r="157" spans="1:14">
      <c r="A157">
        <v>161</v>
      </c>
      <c r="B157" t="s">
        <v>434</v>
      </c>
      <c r="C157" t="s">
        <v>203</v>
      </c>
      <c r="D157" t="s">
        <v>48</v>
      </c>
      <c r="E157" t="s">
        <v>266</v>
      </c>
      <c r="F157">
        <v>10.00724</v>
      </c>
      <c r="G157">
        <v>0</v>
      </c>
      <c r="H157">
        <v>0</v>
      </c>
      <c r="I157">
        <v>10.00724</v>
      </c>
      <c r="J157">
        <v>0</v>
      </c>
      <c r="M157" t="s">
        <v>202</v>
      </c>
      <c r="N157" t="s">
        <v>252</v>
      </c>
    </row>
    <row r="158" spans="1:14">
      <c r="A158">
        <v>162</v>
      </c>
      <c r="B158" t="s">
        <v>435</v>
      </c>
      <c r="C158" t="s">
        <v>203</v>
      </c>
      <c r="D158" t="s">
        <v>48</v>
      </c>
      <c r="E158" t="s">
        <v>266</v>
      </c>
      <c r="F158">
        <v>10.00724</v>
      </c>
      <c r="G158">
        <v>0</v>
      </c>
      <c r="H158">
        <v>0</v>
      </c>
      <c r="I158">
        <v>10.00724</v>
      </c>
      <c r="J158">
        <v>0</v>
      </c>
      <c r="M158" t="s">
        <v>202</v>
      </c>
      <c r="N158" t="s">
        <v>252</v>
      </c>
    </row>
    <row r="159" spans="1:14">
      <c r="A159">
        <v>163</v>
      </c>
      <c r="B159" t="s">
        <v>436</v>
      </c>
      <c r="C159" t="s">
        <v>381</v>
      </c>
      <c r="D159" t="s">
        <v>55</v>
      </c>
      <c r="E159" t="s">
        <v>266</v>
      </c>
      <c r="F159">
        <v>8.0641499330656</v>
      </c>
      <c r="G159">
        <v>0</v>
      </c>
      <c r="H159">
        <v>0</v>
      </c>
      <c r="I159">
        <v>8.0641499330656</v>
      </c>
      <c r="J159">
        <v>0</v>
      </c>
      <c r="M159" t="s">
        <v>202</v>
      </c>
      <c r="N159" t="s">
        <v>252</v>
      </c>
    </row>
    <row r="160" spans="1:14">
      <c r="A160">
        <v>164</v>
      </c>
      <c r="B160" t="s">
        <v>437</v>
      </c>
      <c r="C160" t="s">
        <v>203</v>
      </c>
      <c r="D160" t="s">
        <v>48</v>
      </c>
      <c r="E160" t="s">
        <v>266</v>
      </c>
      <c r="F160">
        <v>1.98958</v>
      </c>
      <c r="G160">
        <v>0</v>
      </c>
      <c r="H160">
        <v>1.75088</v>
      </c>
      <c r="I160">
        <v>0.2387</v>
      </c>
      <c r="J160">
        <v>2.23689648694345</v>
      </c>
      <c r="K160">
        <v>191.7</v>
      </c>
      <c r="L160" t="s">
        <v>438</v>
      </c>
      <c r="M160">
        <v>0.919963201471941</v>
      </c>
      <c r="N160" t="s">
        <v>252</v>
      </c>
    </row>
    <row r="161" spans="1:14">
      <c r="A161">
        <v>165</v>
      </c>
      <c r="B161" t="s">
        <v>439</v>
      </c>
      <c r="C161" t="s">
        <v>203</v>
      </c>
      <c r="D161" t="s">
        <v>48</v>
      </c>
      <c r="E161" t="s">
        <v>266</v>
      </c>
      <c r="F161">
        <v>1.000724</v>
      </c>
      <c r="G161">
        <v>0</v>
      </c>
      <c r="H161">
        <v>0</v>
      </c>
      <c r="I161">
        <v>1.000724</v>
      </c>
      <c r="J161">
        <v>0</v>
      </c>
      <c r="M161" t="s">
        <v>202</v>
      </c>
      <c r="N161" t="s">
        <v>252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9"/>
  <sheetViews>
    <sheetView zoomScale="73" zoomScaleNormal="73" topLeftCell="A37" workbookViewId="0">
      <selection activeCell="F49" sqref="F49"/>
    </sheetView>
  </sheetViews>
  <sheetFormatPr defaultColWidth="9" defaultRowHeight="14.5"/>
  <cols>
    <col min="1" max="41" width="13" style="1" customWidth="1"/>
  </cols>
  <sheetData>
    <row r="1" spans="1:41">
      <c r="A1" t="s">
        <v>440</v>
      </c>
    </row>
    <row r="2" spans="1:41">
      <c r="A2" t="s">
        <v>441</v>
      </c>
    </row>
    <row r="4" spans="1:41">
      <c r="A4" s="2"/>
      <c r="B4" s="2"/>
      <c r="C4" s="2" t="s">
        <v>3</v>
      </c>
      <c r="D4" s="2" t="s">
        <v>4</v>
      </c>
      <c r="E4" s="2" t="s">
        <v>26</v>
      </c>
      <c r="F4" s="2" t="s">
        <v>27</v>
      </c>
      <c r="G4" s="2" t="s">
        <v>28</v>
      </c>
      <c r="H4" s="2" t="s">
        <v>29</v>
      </c>
      <c r="I4" s="2" t="s">
        <v>30</v>
      </c>
      <c r="J4" s="2" t="s">
        <v>31</v>
      </c>
      <c r="K4" s="2" t="s">
        <v>32</v>
      </c>
      <c r="L4" s="2" t="s">
        <v>33</v>
      </c>
      <c r="M4" s="2" t="s">
        <v>34</v>
      </c>
      <c r="N4" s="2" t="s">
        <v>35</v>
      </c>
      <c r="O4" s="2" t="s">
        <v>36</v>
      </c>
      <c r="P4" s="2" t="s">
        <v>37</v>
      </c>
      <c r="Q4" s="2" t="s">
        <v>38</v>
      </c>
      <c r="R4" s="2" t="s">
        <v>39</v>
      </c>
      <c r="S4" s="2" t="s">
        <v>40</v>
      </c>
      <c r="T4" s="2" t="s">
        <v>41</v>
      </c>
      <c r="U4" s="2" t="s">
        <v>42</v>
      </c>
      <c r="V4" s="2" t="s">
        <v>43</v>
      </c>
      <c r="W4" s="2" t="s">
        <v>44</v>
      </c>
      <c r="X4" s="2" t="s">
        <v>45</v>
      </c>
      <c r="Y4" s="2" t="s">
        <v>46</v>
      </c>
      <c r="Z4" s="2" t="s">
        <v>47</v>
      </c>
      <c r="AA4" s="2" t="s">
        <v>48</v>
      </c>
      <c r="AB4" s="2" t="s">
        <v>49</v>
      </c>
      <c r="AC4" s="2" t="s">
        <v>50</v>
      </c>
      <c r="AD4" s="2" t="s">
        <v>51</v>
      </c>
      <c r="AE4" s="2" t="s">
        <v>52</v>
      </c>
      <c r="AF4" s="2" t="s">
        <v>53</v>
      </c>
      <c r="AG4" s="2" t="s">
        <v>54</v>
      </c>
      <c r="AH4" s="2" t="s">
        <v>55</v>
      </c>
      <c r="AI4" s="2" t="s">
        <v>56</v>
      </c>
      <c r="AJ4" s="2" t="s">
        <v>57</v>
      </c>
      <c r="AK4" s="2" t="s">
        <v>58</v>
      </c>
      <c r="AL4" s="2" t="s">
        <v>59</v>
      </c>
      <c r="AM4" s="2" t="s">
        <v>60</v>
      </c>
      <c r="AN4" s="2" t="s">
        <v>61</v>
      </c>
      <c r="AO4" s="2" t="s">
        <v>62</v>
      </c>
    </row>
    <row r="41" spans="3:41">
      <c r="C41" t="s">
        <v>114</v>
      </c>
      <c r="D41" t="s">
        <v>442</v>
      </c>
      <c r="F41">
        <f>SUMIFS(Codex_Li_Busch!$J:$J,Codex_Li_Busch!$D:$D,F$4)*Codex_sources!$D$5/3</f>
        <v>0</v>
      </c>
      <c r="G41">
        <f>SUMIFS(Codex_Li_Busch!$J:$J,Codex_Li_Busch!$D:$D,G$4)*Codex_sources!$D$5/3</f>
        <v>19.6640791533596</v>
      </c>
      <c r="H41">
        <f>SUMIFS(Codex_Li_Busch!$J:$J,Codex_Li_Busch!$D:$D,H$4)*Codex_sources!$D$5/3</f>
        <v>52.8776454380362</v>
      </c>
      <c r="I41">
        <f>SUMIFS(Codex_Li_Busch!$J:$J,Codex_Li_Busch!$D:$D,I$4)*Codex_sources!$D$5/3</f>
        <v>0.426746821967561</v>
      </c>
      <c r="J41">
        <f>SUMIFS(Codex_Li_Busch!$J:$J,Codex_Li_Busch!$D:$D,J$4)*Codex_sources!$D$5/3</f>
        <v>0</v>
      </c>
      <c r="K41">
        <f>SUMIFS(Codex_Li_Busch!$J:$J,Codex_Li_Busch!$D:$D,K$4)*Codex_sources!$D$5/3</f>
        <v>0</v>
      </c>
      <c r="L41">
        <f>SUMIFS(Codex_Li_Busch!$J:$J,Codex_Li_Busch!$D:$D,L$4)*Codex_sources!$D$5/3</f>
        <v>7.17848331141586</v>
      </c>
      <c r="M41">
        <f>SUMIFS(Codex_Li_Busch!$J:$J,Codex_Li_Busch!$D:$D,M$4)*Codex_sources!$D$5/3</f>
        <v>5.95789647441919</v>
      </c>
      <c r="N41">
        <f>SUMIFS(Codex_Li_Busch!$J:$J,Codex_Li_Busch!$D:$D,N$4)*Codex_sources!$D$5/3</f>
        <v>0</v>
      </c>
      <c r="O41">
        <f>SUMIFS(Codex_Li_Busch!$J:$J,Codex_Li_Busch!$D:$D,O$4)*Codex_sources!$D$5/3</f>
        <v>1.42506105579561</v>
      </c>
      <c r="P41">
        <f>SUMIFS(Codex_Li_Busch!$J:$J,Codex_Li_Busch!$D:$D,P$4)*Codex_sources!$D$5/3</f>
        <v>0</v>
      </c>
      <c r="Q41">
        <f>SUMIFS(Codex_Li_Busch!$J:$J,Codex_Li_Busch!$D:$D,Q$4)*Codex_sources!$D$5/3</f>
        <v>1.74633352119732</v>
      </c>
      <c r="R41">
        <f>SUMIFS(Codex_Li_Busch!$J:$J,Codex_Li_Busch!$D:$D,R$4)*Codex_sources!$D$5/3</f>
        <v>0</v>
      </c>
      <c r="S41">
        <f>SUMIFS(Codex_Li_Busch!$J:$J,Codex_Li_Busch!$D:$D,S$4)*Codex_sources!$D$5/3</f>
        <v>0</v>
      </c>
      <c r="T41">
        <f>SUMIFS(Codex_Li_Busch!$J:$J,Codex_Li_Busch!$D:$D,T$4)*Codex_sources!$D$5/3</f>
        <v>0</v>
      </c>
      <c r="U41">
        <f>SUMIFS(Codex_Li_Busch!$J:$J,Codex_Li_Busch!$D:$D,U$4)*Codex_sources!$D$5/3</f>
        <v>0</v>
      </c>
      <c r="V41">
        <f>SUMIFS(Codex_Li_Busch!$J:$J,Codex_Li_Busch!$D:$D,V$4)*Codex_sources!$D$5/3</f>
        <v>0</v>
      </c>
      <c r="W41">
        <f>SUMIFS(Codex_Li_Busch!$J:$J,Codex_Li_Busch!$D:$D,W$4)*Codex_sources!$D$5/3</f>
        <v>0</v>
      </c>
      <c r="X41">
        <f>SUMIFS(Codex_Li_Busch!$J:$J,Codex_Li_Busch!$D:$D,X$4)*Codex_sources!$D$5/3</f>
        <v>0</v>
      </c>
      <c r="Y41">
        <f>SUMIFS(Codex_Li_Busch!$J:$J,Codex_Li_Busch!$D:$D,Y$4)*Codex_sources!$D$5/3</f>
        <v>52.3188076898992</v>
      </c>
      <c r="Z41">
        <f>SUMIFS(Codex_Li_Busch!$J:$J,Codex_Li_Busch!$D:$D,Z$4)*Codex_sources!$D$5/3</f>
        <v>0</v>
      </c>
      <c r="AA41">
        <f>SUMIFS(Codex_Li_Busch!$J:$J,Codex_Li_Busch!$D:$D,AA$4)*Codex_sources!$D$5/3</f>
        <v>35.3828442607552</v>
      </c>
      <c r="AB41">
        <f>SUMIFS(Codex_Li_Busch!$J:$J,Codex_Li_Busch!$D:$D,AB$4)*Codex_sources!$D$5/3</f>
        <v>0</v>
      </c>
      <c r="AC41">
        <f>SUMIFS(Codex_Li_Busch!$J:$J,Codex_Li_Busch!$D:$D,AC$4)*Codex_sources!$D$5/3</f>
        <v>0</v>
      </c>
      <c r="AD41">
        <f>SUMIFS(Codex_Li_Busch!$J:$J,Codex_Li_Busch!$D:$D,AD$4)*Codex_sources!$D$5/3</f>
        <v>0</v>
      </c>
      <c r="AE41">
        <f>SUMIFS(Codex_Li_Busch!$J:$J,Codex_Li_Busch!$D:$D,AE$4)*Codex_sources!$D$5/3</f>
        <v>0</v>
      </c>
      <c r="AF41">
        <f>SUMIFS(Codex_Li_Busch!$J:$J,Codex_Li_Busch!$D:$D,AF$4)*Codex_sources!$D$5/3</f>
        <v>0</v>
      </c>
      <c r="AG41">
        <f>SUMIFS(Codex_Li_Busch!$J:$J,Codex_Li_Busch!$D:$D,AG$4)*Codex_sources!$D$5/3</f>
        <v>0</v>
      </c>
      <c r="AH41">
        <f>SUMIFS(Codex_Li_Busch!$J:$J,Codex_Li_Busch!$D:$D,AH$4)*Codex_sources!$D$5/3</f>
        <v>2.47644310852276</v>
      </c>
      <c r="AI41">
        <f>SUMIFS(Codex_Li_Busch!$J:$J,Codex_Li_Busch!$D:$D,AI$4)*Codex_sources!$D$5/3</f>
        <v>0.727409355626527</v>
      </c>
      <c r="AJ41">
        <f>SUMIFS(Codex_Li_Busch!$J:$J,Codex_Li_Busch!$D:$D,AJ$4)*Codex_sources!$D$5/3</f>
        <v>0</v>
      </c>
      <c r="AK41">
        <f>SUMIFS(Codex_Li_Busch!$J:$J,Codex_Li_Busch!$D:$D,AK$4)*Codex_sources!$D$5/3</f>
        <v>0</v>
      </c>
      <c r="AL41">
        <f>SUMIFS(Codex_Li_Busch!$J:$J,Codex_Li_Busch!$D:$D,AL$4)*Codex_sources!$D$5/3</f>
        <v>0.363704677813262</v>
      </c>
      <c r="AM41">
        <f>SUMIFS(Codex_Li_Busch!$J:$J,Codex_Li_Busch!$D:$D,AM$4)*Codex_sources!$D$5/3</f>
        <v>0</v>
      </c>
      <c r="AN41">
        <f>SUMIFS(Codex_Li_Busch!$J:$J,Codex_Li_Busch!$D:$D,AN$4)*Codex_sources!$D$5/3</f>
        <v>2.87657336088672</v>
      </c>
      <c r="AO41" t="s">
        <v>443</v>
      </c>
    </row>
    <row r="42" spans="3:41">
      <c r="C42" t="s">
        <v>114</v>
      </c>
      <c r="D42" t="s">
        <v>115</v>
      </c>
      <c r="F42">
        <f>SUMIFS(Codex_Li_Busch!$G:$G,Codex_Li_Busch!$D:$D,F$4)*Codex_sources!$D$5</f>
        <v>0</v>
      </c>
      <c r="G42">
        <f>SUMIFS(Codex_Li_Busch!$G:$G,Codex_Li_Busch!$D:$D,G$4)*Codex_sources!$D$5</f>
        <v>1255.49969906292</v>
      </c>
      <c r="H42">
        <f>SUMIFS(Codex_Li_Busch!$G:$G,Codex_Li_Busch!$D:$D,H$4)*Codex_sources!$D$5</f>
        <v>4287.65214468541</v>
      </c>
      <c r="I42">
        <f>SUMIFS(Codex_Li_Busch!$G:$G,Codex_Li_Busch!$D:$D,I$4)*Codex_sources!$D$5</f>
        <v>0</v>
      </c>
      <c r="J42">
        <f>SUMIFS(Codex_Li_Busch!$G:$G,Codex_Li_Busch!$D:$D,J$4)*Codex_sources!$D$5</f>
        <v>0</v>
      </c>
      <c r="K42">
        <f>SUMIFS(Codex_Li_Busch!$G:$G,Codex_Li_Busch!$D:$D,K$4)*Codex_sources!$D$5</f>
        <v>0</v>
      </c>
      <c r="L42">
        <f>SUMIFS(Codex_Li_Busch!$G:$G,Codex_Li_Busch!$D:$D,L$4)*Codex_sources!$D$5</f>
        <v>195.317977260422</v>
      </c>
      <c r="M42">
        <f>SUMIFS(Codex_Li_Busch!$G:$G,Codex_Li_Busch!$D:$D,M$4)*Codex_sources!$D$5</f>
        <v>141.234113860241</v>
      </c>
      <c r="N42">
        <f>SUMIFS(Codex_Li_Busch!$G:$G,Codex_Li_Busch!$D:$D,N$4)*Codex_sources!$D$5</f>
        <v>0</v>
      </c>
      <c r="O42">
        <f>SUMIFS(Codex_Li_Busch!$G:$G,Codex_Li_Busch!$D:$D,O$4)*Codex_sources!$D$5</f>
        <v>0</v>
      </c>
      <c r="P42">
        <f>SUMIFS(Codex_Li_Busch!$G:$G,Codex_Li_Busch!$D:$D,P$4)*Codex_sources!$D$5</f>
        <v>0</v>
      </c>
      <c r="Q42">
        <f>SUMIFS(Codex_Li_Busch!$G:$G,Codex_Li_Busch!$D:$D,Q$4)*Codex_sources!$D$5</f>
        <v>94.0713806172166</v>
      </c>
      <c r="R42">
        <f>SUMIFS(Codex_Li_Busch!$G:$G,Codex_Li_Busch!$D:$D,R$4)*Codex_sources!$D$5</f>
        <v>0</v>
      </c>
      <c r="S42">
        <f>SUMIFS(Codex_Li_Busch!$G:$G,Codex_Li_Busch!$D:$D,S$4)*Codex_sources!$D$5</f>
        <v>0</v>
      </c>
      <c r="T42">
        <f>SUMIFS(Codex_Li_Busch!$G:$G,Codex_Li_Busch!$D:$D,T$4)*Codex_sources!$D$5</f>
        <v>0</v>
      </c>
      <c r="U42">
        <f>SUMIFS(Codex_Li_Busch!$G:$G,Codex_Li_Busch!$D:$D,U$4)*Codex_sources!$D$5</f>
        <v>0</v>
      </c>
      <c r="V42">
        <f>SUMIFS(Codex_Li_Busch!$G:$G,Codex_Li_Busch!$D:$D,V$4)*Codex_sources!$D$5</f>
        <v>0</v>
      </c>
      <c r="W42">
        <f>SUMIFS(Codex_Li_Busch!$G:$G,Codex_Li_Busch!$D:$D,W$4)*Codex_sources!$D$5</f>
        <v>0</v>
      </c>
      <c r="X42">
        <f>SUMIFS(Codex_Li_Busch!$G:$G,Codex_Li_Busch!$D:$D,X$4)*Codex_sources!$D$5</f>
        <v>0</v>
      </c>
      <c r="Y42">
        <f>SUMIFS(Codex_Li_Busch!$G:$G,Codex_Li_Busch!$D:$D,Y$4)*Codex_sources!$D$5</f>
        <v>10711.7730997293</v>
      </c>
      <c r="Z42">
        <f>SUMIFS(Codex_Li_Busch!$G:$G,Codex_Li_Busch!$D:$D,Z$4)*Codex_sources!$D$5</f>
        <v>0</v>
      </c>
      <c r="AA42">
        <f>SUMIFS(Codex_Li_Busch!$G:$G,Codex_Li_Busch!$D:$D,AA$4)*Codex_sources!$D$5</f>
        <v>2108.04312881084</v>
      </c>
      <c r="AB42">
        <f>SUMIFS(Codex_Li_Busch!$G:$G,Codex_Li_Busch!$D:$D,AB$4)*Codex_sources!$D$5</f>
        <v>0</v>
      </c>
      <c r="AC42">
        <f>SUMIFS(Codex_Li_Busch!$G:$G,Codex_Li_Busch!$D:$D,AC$4)*Codex_sources!$D$5</f>
        <v>0</v>
      </c>
      <c r="AD42">
        <f>SUMIFS(Codex_Li_Busch!$G:$G,Codex_Li_Busch!$D:$D,AD$4)*Codex_sources!$D$5</f>
        <v>0</v>
      </c>
      <c r="AE42">
        <f>SUMIFS(Codex_Li_Busch!$G:$G,Codex_Li_Busch!$D:$D,AE$4)*Codex_sources!$D$5</f>
        <v>0</v>
      </c>
      <c r="AF42">
        <f>SUMIFS(Codex_Li_Busch!$G:$G,Codex_Li_Busch!$D:$D,AF$4)*Codex_sources!$D$5</f>
        <v>0</v>
      </c>
      <c r="AG42">
        <f>SUMIFS(Codex_Li_Busch!$G:$G,Codex_Li_Busch!$D:$D,AG$4)*Codex_sources!$D$5</f>
        <v>0</v>
      </c>
      <c r="AH42">
        <f>SUMIFS(Codex_Li_Busch!$G:$G,Codex_Li_Busch!$D:$D,AH$4)*Codex_sources!$D$5</f>
        <v>124.694798393575</v>
      </c>
      <c r="AI42">
        <f>SUMIFS(Codex_Li_Busch!$G:$G,Codex_Li_Busch!$D:$D,AI$4)*Codex_sources!$D$5</f>
        <v>32.0074152680022</v>
      </c>
      <c r="AJ42">
        <f>SUMIFS(Codex_Li_Busch!$G:$G,Codex_Li_Busch!$D:$D,AJ$4)*Codex_sources!$D$5</f>
        <v>0</v>
      </c>
      <c r="AK42">
        <f>SUMIFS(Codex_Li_Busch!$G:$G,Codex_Li_Busch!$D:$D,AK$4)*Codex_sources!$D$5</f>
        <v>0</v>
      </c>
      <c r="AL42">
        <f>SUMIFS(Codex_Li_Busch!$G:$G,Codex_Li_Busch!$D:$D,AL$4)*Codex_sources!$D$5</f>
        <v>0</v>
      </c>
      <c r="AM42">
        <f>SUMIFS(Codex_Li_Busch!$G:$G,Codex_Li_Busch!$D:$D,AM$4)*Codex_sources!$D$5</f>
        <v>0</v>
      </c>
      <c r="AN42">
        <f>SUMIFS(Codex_Li_Busch!$G:$G,Codex_Li_Busch!$D:$D,AN$4)*Codex_sources!$D$5</f>
        <v>122.822577777778</v>
      </c>
      <c r="AO42" t="str">
        <f>AO41</f>
        <v>2019, 2130</v>
      </c>
    </row>
    <row r="43" spans="3:41">
      <c r="C43" t="s">
        <v>114</v>
      </c>
      <c r="D43" t="s">
        <v>444</v>
      </c>
      <c r="E43" t="s">
        <v>0</v>
      </c>
      <c r="F43">
        <f>Codex_sources!$M$5</f>
        <v>13.86</v>
      </c>
      <c r="G43">
        <f>Codex_sources!$M$5</f>
        <v>13.86</v>
      </c>
      <c r="H43">
        <f>Codex_sources!$M$5</f>
        <v>13.86</v>
      </c>
      <c r="I43">
        <f>Codex_sources!$M$5</f>
        <v>13.86</v>
      </c>
      <c r="J43">
        <f>Codex_sources!$M$5</f>
        <v>13.86</v>
      </c>
      <c r="K43">
        <f>Codex_sources!$M$5</f>
        <v>13.86</v>
      </c>
      <c r="L43">
        <f>Codex_sources!$M$5</f>
        <v>13.86</v>
      </c>
      <c r="M43">
        <f>Codex_sources!$M$5</f>
        <v>13.86</v>
      </c>
      <c r="N43">
        <f>Codex_sources!$M$5</f>
        <v>13.86</v>
      </c>
      <c r="O43">
        <f>Codex_sources!$M$5</f>
        <v>13.86</v>
      </c>
      <c r="P43">
        <f>Codex_sources!$M$5</f>
        <v>13.86</v>
      </c>
      <c r="Q43">
        <f>Codex_sources!$M$5</f>
        <v>13.86</v>
      </c>
      <c r="R43">
        <f>Codex_sources!$M$5</f>
        <v>13.86</v>
      </c>
      <c r="S43">
        <f>Codex_sources!$M$5</f>
        <v>13.86</v>
      </c>
      <c r="T43">
        <f>Codex_sources!$M$5</f>
        <v>13.86</v>
      </c>
      <c r="U43">
        <f>Codex_sources!$M$5</f>
        <v>13.86</v>
      </c>
      <c r="V43">
        <f>Codex_sources!$M$5</f>
        <v>13.86</v>
      </c>
      <c r="W43">
        <f>Codex_sources!$M$5</f>
        <v>13.86</v>
      </c>
      <c r="X43">
        <f>Codex_sources!$M$5</f>
        <v>13.86</v>
      </c>
      <c r="Y43">
        <f>Codex_sources!$M$5</f>
        <v>13.86</v>
      </c>
      <c r="Z43">
        <f>Codex_sources!$M$5</f>
        <v>13.86</v>
      </c>
      <c r="AA43">
        <f>Codex_sources!$M$5</f>
        <v>13.86</v>
      </c>
      <c r="AB43">
        <f>Codex_sources!$M$5</f>
        <v>13.86</v>
      </c>
      <c r="AC43">
        <f>Codex_sources!$M$5</f>
        <v>13.86</v>
      </c>
      <c r="AD43">
        <f>Codex_sources!$M$5</f>
        <v>13.86</v>
      </c>
      <c r="AE43">
        <f>Codex_sources!$M$5</f>
        <v>13.86</v>
      </c>
      <c r="AF43">
        <f>Codex_sources!$M$5</f>
        <v>13.86</v>
      </c>
      <c r="AG43">
        <f>Codex_sources!$M$5</f>
        <v>13.86</v>
      </c>
      <c r="AH43">
        <f>Codex_sources!$M$5</f>
        <v>13.86</v>
      </c>
      <c r="AI43">
        <f>Codex_sources!$M$5</f>
        <v>13.86</v>
      </c>
      <c r="AJ43">
        <f>Codex_sources!$M$5</f>
        <v>13.86</v>
      </c>
      <c r="AK43">
        <f>Codex_sources!$M$5</f>
        <v>13.86</v>
      </c>
      <c r="AL43">
        <f>Codex_sources!$M$5</f>
        <v>13.86</v>
      </c>
      <c r="AM43">
        <f>Codex_sources!$M$5</f>
        <v>13.86</v>
      </c>
      <c r="AN43">
        <f>Codex_sources!$M$5</f>
        <v>13.86</v>
      </c>
      <c r="AO43" t="str">
        <f t="shared" ref="AO43:AO49" si="0">AO42</f>
        <v>2019, 2130</v>
      </c>
    </row>
    <row r="44" spans="3:41">
      <c r="C44" t="s">
        <v>116</v>
      </c>
      <c r="D44" t="s">
        <v>442</v>
      </c>
      <c r="F44">
        <f>SUMIFS(Codex_Li_Busch!$J:$J,Codex_Li_Busch!$D:$D,F$4)*Codex_sources!$D$5*2/3</f>
        <v>0</v>
      </c>
      <c r="G44">
        <f>SUMIFS(Codex_Li_Busch!$J:$J,Codex_Li_Busch!$D:$D,G$4)*Codex_sources!$D$5*2/3</f>
        <v>39.3281583067193</v>
      </c>
      <c r="H44">
        <f>SUMIFS(Codex_Li_Busch!$J:$J,Codex_Li_Busch!$D:$D,H$4)*Codex_sources!$D$5*2/3</f>
        <v>105.755290876072</v>
      </c>
      <c r="I44">
        <f>SUMIFS(Codex_Li_Busch!$J:$J,Codex_Li_Busch!$D:$D,I$4)*Codex_sources!$D$5*2/3</f>
        <v>0.853493643935123</v>
      </c>
      <c r="J44">
        <f>SUMIFS(Codex_Li_Busch!$J:$J,Codex_Li_Busch!$D:$D,J$4)*Codex_sources!$D$5*2/3</f>
        <v>0</v>
      </c>
      <c r="K44">
        <f>SUMIFS(Codex_Li_Busch!$J:$J,Codex_Li_Busch!$D:$D,K$4)*Codex_sources!$D$5*2/3</f>
        <v>0</v>
      </c>
      <c r="L44">
        <f>SUMIFS(Codex_Li_Busch!$J:$J,Codex_Li_Busch!$D:$D,L$4)*Codex_sources!$D$5*2/3</f>
        <v>14.3569666228317</v>
      </c>
      <c r="M44">
        <f>SUMIFS(Codex_Li_Busch!$J:$J,Codex_Li_Busch!$D:$D,M$4)*Codex_sources!$D$5*2/3</f>
        <v>11.9157929488384</v>
      </c>
      <c r="N44">
        <f>SUMIFS(Codex_Li_Busch!$J:$J,Codex_Li_Busch!$D:$D,N$4)*Codex_sources!$D$5*2/3</f>
        <v>0</v>
      </c>
      <c r="O44">
        <f>SUMIFS(Codex_Li_Busch!$J:$J,Codex_Li_Busch!$D:$D,O$4)*Codex_sources!$D$5*2/3</f>
        <v>2.85012211159121</v>
      </c>
      <c r="P44">
        <f>SUMIFS(Codex_Li_Busch!$J:$J,Codex_Li_Busch!$D:$D,P$4)*Codex_sources!$D$5*2/3</f>
        <v>0</v>
      </c>
      <c r="Q44">
        <f>SUMIFS(Codex_Li_Busch!$J:$J,Codex_Li_Busch!$D:$D,Q$4)*Codex_sources!$D$5*2/3</f>
        <v>3.49266704239464</v>
      </c>
      <c r="R44">
        <f>SUMIFS(Codex_Li_Busch!$J:$J,Codex_Li_Busch!$D:$D,R$4)*Codex_sources!$D$5*2/3</f>
        <v>0</v>
      </c>
      <c r="S44">
        <f>SUMIFS(Codex_Li_Busch!$J:$J,Codex_Li_Busch!$D:$D,S$4)*Codex_sources!$D$5*2/3</f>
        <v>0</v>
      </c>
      <c r="T44">
        <f>SUMIFS(Codex_Li_Busch!$J:$J,Codex_Li_Busch!$D:$D,T$4)*Codex_sources!$D$5*2/3</f>
        <v>0</v>
      </c>
      <c r="U44">
        <f>SUMIFS(Codex_Li_Busch!$J:$J,Codex_Li_Busch!$D:$D,U$4)*Codex_sources!$D$5*2/3</f>
        <v>0</v>
      </c>
      <c r="V44">
        <f>SUMIFS(Codex_Li_Busch!$J:$J,Codex_Li_Busch!$D:$D,V$4)*Codex_sources!$D$5*2/3</f>
        <v>0</v>
      </c>
      <c r="W44">
        <f>SUMIFS(Codex_Li_Busch!$J:$J,Codex_Li_Busch!$D:$D,W$4)*Codex_sources!$D$5*2/3</f>
        <v>0</v>
      </c>
      <c r="X44">
        <f>SUMIFS(Codex_Li_Busch!$J:$J,Codex_Li_Busch!$D:$D,X$4)*Codex_sources!$D$5*2/3</f>
        <v>0</v>
      </c>
      <c r="Y44">
        <f>SUMIFS(Codex_Li_Busch!$J:$J,Codex_Li_Busch!$D:$D,Y$4)*Codex_sources!$D$5*2/3</f>
        <v>104.637615379798</v>
      </c>
      <c r="Z44">
        <f>SUMIFS(Codex_Li_Busch!$J:$J,Codex_Li_Busch!$D:$D,Z$4)*Codex_sources!$D$5*2/3</f>
        <v>0</v>
      </c>
      <c r="AA44">
        <f>SUMIFS(Codex_Li_Busch!$J:$J,Codex_Li_Busch!$D:$D,AA$4)*Codex_sources!$D$5*2/3</f>
        <v>70.7656885215104</v>
      </c>
      <c r="AB44">
        <f>SUMIFS(Codex_Li_Busch!$J:$J,Codex_Li_Busch!$D:$D,AB$4)*Codex_sources!$D$5*2/3</f>
        <v>0</v>
      </c>
      <c r="AC44">
        <f>SUMIFS(Codex_Li_Busch!$J:$J,Codex_Li_Busch!$D:$D,AC$4)*Codex_sources!$D$5*2/3</f>
        <v>0</v>
      </c>
      <c r="AD44">
        <f>SUMIFS(Codex_Li_Busch!$J:$J,Codex_Li_Busch!$D:$D,AD$4)*Codex_sources!$D$5*2/3</f>
        <v>0</v>
      </c>
      <c r="AE44">
        <f>SUMIFS(Codex_Li_Busch!$J:$J,Codex_Li_Busch!$D:$D,AE$4)*Codex_sources!$D$5*2/3</f>
        <v>0</v>
      </c>
      <c r="AF44">
        <f>SUMIFS(Codex_Li_Busch!$J:$J,Codex_Li_Busch!$D:$D,AF$4)*Codex_sources!$D$5*2/3</f>
        <v>0</v>
      </c>
      <c r="AG44">
        <f>SUMIFS(Codex_Li_Busch!$J:$J,Codex_Li_Busch!$D:$D,AG$4)*Codex_sources!$D$5*2/3</f>
        <v>0</v>
      </c>
      <c r="AH44">
        <f>SUMIFS(Codex_Li_Busch!$J:$J,Codex_Li_Busch!$D:$D,AH$4)*Codex_sources!$D$5*2/3</f>
        <v>4.95288621704553</v>
      </c>
      <c r="AI44">
        <f>SUMIFS(Codex_Li_Busch!$J:$J,Codex_Li_Busch!$D:$D,AI$4)*Codex_sources!$D$5*2/3</f>
        <v>1.45481871125305</v>
      </c>
      <c r="AJ44">
        <f>SUMIFS(Codex_Li_Busch!$J:$J,Codex_Li_Busch!$D:$D,AJ$4)*Codex_sources!$D$5*2/3</f>
        <v>0</v>
      </c>
      <c r="AK44">
        <f>SUMIFS(Codex_Li_Busch!$J:$J,Codex_Li_Busch!$D:$D,AK$4)*Codex_sources!$D$5*2/3</f>
        <v>0</v>
      </c>
      <c r="AL44">
        <f>SUMIFS(Codex_Li_Busch!$J:$J,Codex_Li_Busch!$D:$D,AL$4)*Codex_sources!$D$5*2/3</f>
        <v>0.727409355626524</v>
      </c>
      <c r="AM44">
        <f>SUMIFS(Codex_Li_Busch!$J:$J,Codex_Li_Busch!$D:$D,AM$4)*Codex_sources!$D$5*2/3</f>
        <v>0</v>
      </c>
      <c r="AN44">
        <f>SUMIFS(Codex_Li_Busch!$J:$J,Codex_Li_Busch!$D:$D,AN$4)*Codex_sources!$D$5*2/3</f>
        <v>5.75314672177343</v>
      </c>
      <c r="AO44" t="str">
        <f t="shared" si="0"/>
        <v>2019, 2130</v>
      </c>
    </row>
    <row r="45" spans="3:41">
      <c r="C45" t="s">
        <v>116</v>
      </c>
      <c r="D45" t="s">
        <v>115</v>
      </c>
      <c r="F45">
        <f>SUMIFS(Codex_Li_Busch!$H:$H,Codex_Li_Busch!$D:$D,F$4)*Codex_sources!$D$5</f>
        <v>0</v>
      </c>
      <c r="G45">
        <f>SUMIFS(Codex_Li_Busch!$H:$H,Codex_Li_Busch!$D:$D,G$4)*Codex_sources!$D$5</f>
        <v>1525.9653935711</v>
      </c>
      <c r="H45">
        <f>SUMIFS(Codex_Li_Busch!$H:$H,Codex_Li_Busch!$D:$D,H$4)*Codex_sources!$D$5</f>
        <v>2609.34575023318</v>
      </c>
      <c r="I45">
        <f>SUMIFS(Codex_Li_Busch!$H:$H,Codex_Li_Busch!$D:$D,I$4)*Codex_sources!$D$5</f>
        <v>32.7025435073628</v>
      </c>
      <c r="J45">
        <f>SUMIFS(Codex_Li_Busch!$H:$H,Codex_Li_Busch!$D:$D,J$4)*Codex_sources!$D$5</f>
        <v>0</v>
      </c>
      <c r="K45">
        <f>SUMIFS(Codex_Li_Busch!$H:$H,Codex_Li_Busch!$D:$D,K$4)*Codex_sources!$D$5</f>
        <v>0</v>
      </c>
      <c r="L45">
        <f>SUMIFS(Codex_Li_Busch!$H:$H,Codex_Li_Busch!$D:$D,L$4)*Codex_sources!$D$5</f>
        <v>332.113163822226</v>
      </c>
      <c r="M45">
        <f>SUMIFS(Codex_Li_Busch!$H:$H,Codex_Li_Busch!$D:$D,M$4)*Codex_sources!$D$5</f>
        <v>733.619844112292</v>
      </c>
      <c r="N45">
        <f>SUMIFS(Codex_Li_Busch!$H:$H,Codex_Li_Busch!$D:$D,N$4)*Codex_sources!$D$5</f>
        <v>0</v>
      </c>
      <c r="O45">
        <f>SUMIFS(Codex_Li_Busch!$H:$H,Codex_Li_Busch!$D:$D,O$4)*Codex_sources!$D$5</f>
        <v>748.933838657282</v>
      </c>
      <c r="P45">
        <f>SUMIFS(Codex_Li_Busch!$H:$H,Codex_Li_Busch!$D:$D,P$4)*Codex_sources!$D$5</f>
        <v>0</v>
      </c>
      <c r="Q45">
        <f>SUMIFS(Codex_Li_Busch!$H:$H,Codex_Li_Busch!$D:$D,Q$4)*Codex_sources!$D$5</f>
        <v>2143.2183216026</v>
      </c>
      <c r="R45">
        <f>SUMIFS(Codex_Li_Busch!$H:$H,Codex_Li_Busch!$D:$D,R$4)*Codex_sources!$D$5</f>
        <v>0</v>
      </c>
      <c r="S45">
        <f>SUMIFS(Codex_Li_Busch!$H:$H,Codex_Li_Busch!$D:$D,S$4)*Codex_sources!$D$5</f>
        <v>0</v>
      </c>
      <c r="T45">
        <f>SUMIFS(Codex_Li_Busch!$H:$H,Codex_Li_Busch!$D:$D,T$4)*Codex_sources!$D$5</f>
        <v>0</v>
      </c>
      <c r="U45">
        <f>SUMIFS(Codex_Li_Busch!$H:$H,Codex_Li_Busch!$D:$D,U$4)*Codex_sources!$D$5</f>
        <v>0</v>
      </c>
      <c r="V45">
        <f>SUMIFS(Codex_Li_Busch!$H:$H,Codex_Li_Busch!$D:$D,V$4)*Codex_sources!$D$5</f>
        <v>0</v>
      </c>
      <c r="W45">
        <f>SUMIFS(Codex_Li_Busch!$H:$H,Codex_Li_Busch!$D:$D,W$4)*Codex_sources!$D$5</f>
        <v>0</v>
      </c>
      <c r="X45">
        <f>SUMIFS(Codex_Li_Busch!$H:$H,Codex_Li_Busch!$D:$D,X$4)*Codex_sources!$D$5</f>
        <v>0</v>
      </c>
      <c r="Y45">
        <f>SUMIFS(Codex_Li_Busch!$H:$H,Codex_Li_Busch!$D:$D,Y$4)*Codex_sources!$D$5</f>
        <v>24639.9614434218</v>
      </c>
      <c r="Z45">
        <f>SUMIFS(Codex_Li_Busch!$H:$H,Codex_Li_Busch!$D:$D,Z$4)*Codex_sources!$D$5</f>
        <v>0</v>
      </c>
      <c r="AA45">
        <f>SUMIFS(Codex_Li_Busch!$H:$H,Codex_Li_Busch!$D:$D,AA$4)*Codex_sources!$D$5</f>
        <v>10676.420788286</v>
      </c>
      <c r="AB45">
        <f>SUMIFS(Codex_Li_Busch!$H:$H,Codex_Li_Busch!$D:$D,AB$4)*Codex_sources!$D$5</f>
        <v>0</v>
      </c>
      <c r="AC45">
        <f>SUMIFS(Codex_Li_Busch!$H:$H,Codex_Li_Busch!$D:$D,AC$4)*Codex_sources!$D$5</f>
        <v>0</v>
      </c>
      <c r="AD45">
        <f>SUMIFS(Codex_Li_Busch!$H:$H,Codex_Li_Busch!$D:$D,AD$4)*Codex_sources!$D$5</f>
        <v>0</v>
      </c>
      <c r="AE45">
        <f>SUMIFS(Codex_Li_Busch!$H:$H,Codex_Li_Busch!$D:$D,AE$4)*Codex_sources!$D$5</f>
        <v>0</v>
      </c>
      <c r="AF45">
        <f>SUMIFS(Codex_Li_Busch!$H:$H,Codex_Li_Busch!$D:$D,AF$4)*Codex_sources!$D$5</f>
        <v>0</v>
      </c>
      <c r="AG45">
        <f>SUMIFS(Codex_Li_Busch!$H:$H,Codex_Li_Busch!$D:$D,AG$4)*Codex_sources!$D$5</f>
        <v>0</v>
      </c>
      <c r="AH45">
        <f>SUMIFS(Codex_Li_Busch!$H:$H,Codex_Li_Busch!$D:$D,AH$4)*Codex_sources!$D$5</f>
        <v>103.146036947791</v>
      </c>
      <c r="AI45">
        <f>SUMIFS(Codex_Li_Busch!$H:$H,Codex_Li_Busch!$D:$D,AI$4)*Codex_sources!$D$5</f>
        <v>16.4666247969681</v>
      </c>
      <c r="AJ45">
        <f>SUMIFS(Codex_Li_Busch!$H:$H,Codex_Li_Busch!$D:$D,AJ$4)*Codex_sources!$D$5</f>
        <v>0</v>
      </c>
      <c r="AK45">
        <f>SUMIFS(Codex_Li_Busch!$H:$H,Codex_Li_Busch!$D:$D,AK$4)*Codex_sources!$D$5</f>
        <v>0</v>
      </c>
      <c r="AL45">
        <f>SUMIFS(Codex_Li_Busch!$H:$H,Codex_Li_Busch!$D:$D,AL$4)*Codex_sources!$D$5</f>
        <v>49.0538152610442</v>
      </c>
      <c r="AM45">
        <f>SUMIFS(Codex_Li_Busch!$H:$H,Codex_Li_Busch!$D:$D,AM$4)*Codex_sources!$D$5</f>
        <v>0</v>
      </c>
      <c r="AN45">
        <f>SUMIFS(Codex_Li_Busch!$H:$H,Codex_Li_Busch!$D:$D,AN$4)*Codex_sources!$D$5</f>
        <v>505.556795716198</v>
      </c>
      <c r="AO45" t="str">
        <f t="shared" si="0"/>
        <v>2019, 2130</v>
      </c>
    </row>
    <row r="46" spans="3:41">
      <c r="C46" t="s">
        <v>116</v>
      </c>
      <c r="D46" t="s">
        <v>444</v>
      </c>
      <c r="E46" t="s">
        <v>0</v>
      </c>
      <c r="F46">
        <f>Codex_sources!$N$5</f>
        <v>22.45</v>
      </c>
      <c r="G46">
        <f>Codex_sources!$N$5</f>
        <v>22.45</v>
      </c>
      <c r="H46">
        <f>Codex_sources!$N$5</f>
        <v>22.45</v>
      </c>
      <c r="I46">
        <f>Codex_sources!$N$5</f>
        <v>22.45</v>
      </c>
      <c r="J46">
        <f>Codex_sources!$N$5</f>
        <v>22.45</v>
      </c>
      <c r="K46">
        <f>Codex_sources!$N$5</f>
        <v>22.45</v>
      </c>
      <c r="L46">
        <f>Codex_sources!$N$5</f>
        <v>22.45</v>
      </c>
      <c r="M46">
        <f>Codex_sources!$N$5</f>
        <v>22.45</v>
      </c>
      <c r="N46">
        <f>Codex_sources!$N$5</f>
        <v>22.45</v>
      </c>
      <c r="O46">
        <f>Codex_sources!$N$5</f>
        <v>22.45</v>
      </c>
      <c r="P46">
        <f>Codex_sources!$N$5</f>
        <v>22.45</v>
      </c>
      <c r="Q46">
        <f>Codex_sources!$N$5</f>
        <v>22.45</v>
      </c>
      <c r="R46">
        <f>Codex_sources!$N$5</f>
        <v>22.45</v>
      </c>
      <c r="S46">
        <f>Codex_sources!$N$5</f>
        <v>22.45</v>
      </c>
      <c r="T46">
        <f>Codex_sources!$N$5</f>
        <v>22.45</v>
      </c>
      <c r="U46">
        <f>Codex_sources!$N$5</f>
        <v>22.45</v>
      </c>
      <c r="V46">
        <f>Codex_sources!$N$5</f>
        <v>22.45</v>
      </c>
      <c r="W46">
        <f>Codex_sources!$N$5</f>
        <v>22.45</v>
      </c>
      <c r="X46">
        <f>Codex_sources!$N$5</f>
        <v>22.45</v>
      </c>
      <c r="Y46">
        <f>Codex_sources!$N$5</f>
        <v>22.45</v>
      </c>
      <c r="Z46">
        <f>Codex_sources!$N$5</f>
        <v>22.45</v>
      </c>
      <c r="AA46">
        <f>Codex_sources!$N$5</f>
        <v>22.45</v>
      </c>
      <c r="AB46">
        <f>Codex_sources!$N$5</f>
        <v>22.45</v>
      </c>
      <c r="AC46">
        <f>Codex_sources!$N$5</f>
        <v>22.45</v>
      </c>
      <c r="AD46">
        <f>Codex_sources!$N$5</f>
        <v>22.45</v>
      </c>
      <c r="AE46">
        <f>Codex_sources!$N$5</f>
        <v>22.45</v>
      </c>
      <c r="AF46">
        <f>Codex_sources!$N$5</f>
        <v>22.45</v>
      </c>
      <c r="AG46">
        <f>Codex_sources!$N$5</f>
        <v>22.45</v>
      </c>
      <c r="AH46">
        <f>Codex_sources!$N$5</f>
        <v>22.45</v>
      </c>
      <c r="AI46">
        <f>Codex_sources!$N$5</f>
        <v>22.45</v>
      </c>
      <c r="AJ46">
        <f>Codex_sources!$N$5</f>
        <v>22.45</v>
      </c>
      <c r="AK46">
        <f>Codex_sources!$N$5</f>
        <v>22.45</v>
      </c>
      <c r="AL46">
        <f>Codex_sources!$N$5</f>
        <v>22.45</v>
      </c>
      <c r="AM46">
        <f>Codex_sources!$N$5</f>
        <v>22.45</v>
      </c>
      <c r="AN46">
        <f>Codex_sources!$N$5</f>
        <v>22.45</v>
      </c>
      <c r="AO46" t="str">
        <f t="shared" si="0"/>
        <v>2019, 2130</v>
      </c>
    </row>
    <row r="47" spans="3:41">
      <c r="C47" t="s">
        <v>117</v>
      </c>
      <c r="D47" t="s">
        <v>442</v>
      </c>
      <c r="AO47" t="str">
        <f t="shared" si="0"/>
        <v>2019, 2130</v>
      </c>
    </row>
    <row r="48" spans="3:41">
      <c r="C48" t="s">
        <v>117</v>
      </c>
      <c r="D48" t="s">
        <v>115</v>
      </c>
      <c r="F48">
        <f>SUMIFS(Codex_Li_Busch!$I:$I,Codex_Li_Busch!$D:$D,F$4)*Codex_sources!$D$5</f>
        <v>0</v>
      </c>
      <c r="G48">
        <f>SUMIFS(Codex_Li_Busch!$I:$I,Codex_Li_Busch!$D:$D,G$4)*Codex_sources!$D$5</f>
        <v>7103.19736684509</v>
      </c>
      <c r="H48">
        <f>SUMIFS(Codex_Li_Busch!$I:$I,Codex_Li_Busch!$D:$D,H$4)*Codex_sources!$D$5</f>
        <v>1440.69952409079</v>
      </c>
      <c r="I48">
        <f>SUMIFS(Codex_Li_Busch!$I:$I,Codex_Li_Busch!$D:$D,I$4)*Codex_sources!$D$5</f>
        <v>146.670907630522</v>
      </c>
      <c r="J48">
        <f>SUMIFS(Codex_Li_Busch!$I:$I,Codex_Li_Busch!$D:$D,J$4)*Codex_sources!$D$5</f>
        <v>0</v>
      </c>
      <c r="K48">
        <f>SUMIFS(Codex_Li_Busch!$I:$I,Codex_Li_Busch!$D:$D,K$4)*Codex_sources!$D$5</f>
        <v>0</v>
      </c>
      <c r="L48">
        <f>SUMIFS(Codex_Li_Busch!$I:$I,Codex_Li_Busch!$D:$D,L$4)*Codex_sources!$D$5</f>
        <v>164.752072222345</v>
      </c>
      <c r="M48">
        <f>SUMIFS(Codex_Li_Busch!$I:$I,Codex_Li_Busch!$D:$D,M$4)*Codex_sources!$D$5</f>
        <v>2263.37047209505</v>
      </c>
      <c r="N48">
        <f>SUMIFS(Codex_Li_Busch!$I:$I,Codex_Li_Busch!$D:$D,N$4)*Codex_sources!$D$5</f>
        <v>0</v>
      </c>
      <c r="O48">
        <f>SUMIFS(Codex_Li_Busch!$I:$I,Codex_Li_Busch!$D:$D,O$4)*Codex_sources!$D$5</f>
        <v>472.836816459123</v>
      </c>
      <c r="P48">
        <f>SUMIFS(Codex_Li_Busch!$I:$I,Codex_Li_Busch!$D:$D,P$4)*Codex_sources!$D$5</f>
        <v>449.659973226239</v>
      </c>
      <c r="Q48">
        <f>SUMIFS(Codex_Li_Busch!$I:$I,Codex_Li_Busch!$D:$D,Q$4)*Codex_sources!$D$5</f>
        <v>2787.73946940986</v>
      </c>
      <c r="R48">
        <f>SUMIFS(Codex_Li_Busch!$I:$I,Codex_Li_Busch!$D:$D,R$4)*Codex_sources!$D$5</f>
        <v>0</v>
      </c>
      <c r="S48">
        <f>SUMIFS(Codex_Li_Busch!$I:$I,Codex_Li_Busch!$D:$D,S$4)*Codex_sources!$D$5</f>
        <v>0</v>
      </c>
      <c r="T48">
        <f>SUMIFS(Codex_Li_Busch!$I:$I,Codex_Li_Busch!$D:$D,T$4)*Codex_sources!$D$5</f>
        <v>0</v>
      </c>
      <c r="U48">
        <f>SUMIFS(Codex_Li_Busch!$I:$I,Codex_Li_Busch!$D:$D,U$4)*Codex_sources!$D$5</f>
        <v>0</v>
      </c>
      <c r="V48">
        <f>SUMIFS(Codex_Li_Busch!$I:$I,Codex_Li_Busch!$D:$D,V$4)*Codex_sources!$D$5</f>
        <v>0</v>
      </c>
      <c r="W48">
        <f>SUMIFS(Codex_Li_Busch!$I:$I,Codex_Li_Busch!$D:$D,W$4)*Codex_sources!$D$5</f>
        <v>0</v>
      </c>
      <c r="X48">
        <f>SUMIFS(Codex_Li_Busch!$I:$I,Codex_Li_Busch!$D:$D,X$4)*Codex_sources!$D$5</f>
        <v>0</v>
      </c>
      <c r="Y48">
        <f>SUMIFS(Codex_Li_Busch!$I:$I,Codex_Li_Busch!$D:$D,Y$4)*Codex_sources!$D$5</f>
        <v>15948.4830701029</v>
      </c>
      <c r="Z48">
        <f>SUMIFS(Codex_Li_Busch!$I:$I,Codex_Li_Busch!$D:$D,Z$4)*Codex_sources!$D$5</f>
        <v>0</v>
      </c>
      <c r="AA48">
        <f>SUMIFS(Codex_Li_Busch!$I:$I,Codex_Li_Busch!$D:$D,AA$4)*Codex_sources!$D$5</f>
        <v>17619.4932156529</v>
      </c>
      <c r="AB48">
        <f>SUMIFS(Codex_Li_Busch!$I:$I,Codex_Li_Busch!$D:$D,AB$4)*Codex_sources!$D$5</f>
        <v>0</v>
      </c>
      <c r="AC48">
        <f>SUMIFS(Codex_Li_Busch!$I:$I,Codex_Li_Busch!$D:$D,AC$4)*Codex_sources!$D$5</f>
        <v>0</v>
      </c>
      <c r="AD48">
        <f>SUMIFS(Codex_Li_Busch!$I:$I,Codex_Li_Busch!$D:$D,AD$4)*Codex_sources!$D$5</f>
        <v>868.58961376</v>
      </c>
      <c r="AE48">
        <f>SUMIFS(Codex_Li_Busch!$I:$I,Codex_Li_Busch!$D:$D,AE$4)*Codex_sources!$D$5</f>
        <v>910.57878208</v>
      </c>
      <c r="AF48">
        <f>SUMIFS(Codex_Li_Busch!$I:$I,Codex_Li_Busch!$D:$D,AF$4)*Codex_sources!$D$5</f>
        <v>0</v>
      </c>
      <c r="AG48">
        <f>SUMIFS(Codex_Li_Busch!$I:$I,Codex_Li_Busch!$D:$D,AG$4)*Codex_sources!$D$5</f>
        <v>0</v>
      </c>
      <c r="AH48">
        <f>SUMIFS(Codex_Li_Busch!$I:$I,Codex_Li_Busch!$D:$D,AH$4)*Codex_sources!$D$5</f>
        <v>245.574368308434</v>
      </c>
      <c r="AI48">
        <f>SUMIFS(Codex_Li_Busch!$I:$I,Codex_Li_Busch!$D:$D,AI$4)*Codex_sources!$D$5</f>
        <v>9.44020357336223</v>
      </c>
      <c r="AJ48">
        <f>SUMIFS(Codex_Li_Busch!$I:$I,Codex_Li_Busch!$D:$D,AJ$4)*Codex_sources!$D$5</f>
        <v>0</v>
      </c>
      <c r="AK48">
        <f>SUMIFS(Codex_Li_Busch!$I:$I,Codex_Li_Busch!$D:$D,AK$4)*Codex_sources!$D$5</f>
        <v>0</v>
      </c>
      <c r="AL48">
        <f>SUMIFS(Codex_Li_Busch!$I:$I,Codex_Li_Busch!$D:$D,AL$4)*Codex_sources!$D$5</f>
        <v>1.6678297188755</v>
      </c>
      <c r="AM48">
        <f>SUMIFS(Codex_Li_Busch!$I:$I,Codex_Li_Busch!$D:$D,AM$4)*Codex_sources!$D$5</f>
        <v>0</v>
      </c>
      <c r="AN48">
        <f>SUMIFS(Codex_Li_Busch!$I:$I,Codex_Li_Busch!$D:$D,AN$4)*Codex_sources!$D$5</f>
        <v>427.504</v>
      </c>
      <c r="AO48" t="str">
        <f t="shared" si="0"/>
        <v>2019, 2130</v>
      </c>
    </row>
    <row r="49" spans="3:41">
      <c r="C49" t="s">
        <v>117</v>
      </c>
      <c r="D49" t="s">
        <v>444</v>
      </c>
      <c r="E49" t="s">
        <v>0</v>
      </c>
      <c r="F49">
        <f>Codex_sources!$O$5</f>
        <v>27.69</v>
      </c>
      <c r="G49">
        <f>Codex_sources!$O$5</f>
        <v>27.69</v>
      </c>
      <c r="H49">
        <f>Codex_sources!$O$5</f>
        <v>27.69</v>
      </c>
      <c r="I49">
        <f>Codex_sources!$O$5</f>
        <v>27.69</v>
      </c>
      <c r="J49">
        <f>Codex_sources!$O$5</f>
        <v>27.69</v>
      </c>
      <c r="K49">
        <f>Codex_sources!$O$5</f>
        <v>27.69</v>
      </c>
      <c r="L49">
        <f>Codex_sources!$O$5</f>
        <v>27.69</v>
      </c>
      <c r="M49">
        <f>Codex_sources!$O$5</f>
        <v>27.69</v>
      </c>
      <c r="N49">
        <f>Codex_sources!$O$5</f>
        <v>27.69</v>
      </c>
      <c r="O49">
        <f>Codex_sources!$O$5</f>
        <v>27.69</v>
      </c>
      <c r="P49">
        <f>Codex_sources!$O$5</f>
        <v>27.69</v>
      </c>
      <c r="Q49">
        <f>Codex_sources!$O$5</f>
        <v>27.69</v>
      </c>
      <c r="R49">
        <f>Codex_sources!$O$5</f>
        <v>27.69</v>
      </c>
      <c r="S49">
        <f>Codex_sources!$O$5</f>
        <v>27.69</v>
      </c>
      <c r="T49">
        <f>Codex_sources!$O$5</f>
        <v>27.69</v>
      </c>
      <c r="U49">
        <f>Codex_sources!$O$5</f>
        <v>27.69</v>
      </c>
      <c r="V49">
        <f>Codex_sources!$O$5</f>
        <v>27.69</v>
      </c>
      <c r="W49">
        <f>Codex_sources!$O$5</f>
        <v>27.69</v>
      </c>
      <c r="X49">
        <f>Codex_sources!$O$5</f>
        <v>27.69</v>
      </c>
      <c r="Y49">
        <f>Codex_sources!$O$5</f>
        <v>27.69</v>
      </c>
      <c r="Z49">
        <f>Codex_sources!$O$5</f>
        <v>27.69</v>
      </c>
      <c r="AA49">
        <f>Codex_sources!$O$5</f>
        <v>27.69</v>
      </c>
      <c r="AB49">
        <f>Codex_sources!$O$5</f>
        <v>27.69</v>
      </c>
      <c r="AC49">
        <f>Codex_sources!$O$5</f>
        <v>27.69</v>
      </c>
      <c r="AD49">
        <f>Codex_sources!$O$5</f>
        <v>27.69</v>
      </c>
      <c r="AE49">
        <f>Codex_sources!$O$5</f>
        <v>27.69</v>
      </c>
      <c r="AF49">
        <f>Codex_sources!$O$5</f>
        <v>27.69</v>
      </c>
      <c r="AG49">
        <f>Codex_sources!$O$5</f>
        <v>27.69</v>
      </c>
      <c r="AH49">
        <f>Codex_sources!$O$5</f>
        <v>27.69</v>
      </c>
      <c r="AI49">
        <f>Codex_sources!$O$5</f>
        <v>27.69</v>
      </c>
      <c r="AJ49">
        <f>Codex_sources!$O$5</f>
        <v>27.69</v>
      </c>
      <c r="AK49">
        <f>Codex_sources!$O$5</f>
        <v>27.69</v>
      </c>
      <c r="AL49">
        <f>Codex_sources!$O$5</f>
        <v>27.69</v>
      </c>
      <c r="AM49">
        <f>Codex_sources!$O$5</f>
        <v>27.69</v>
      </c>
      <c r="AN49">
        <f>Codex_sources!$O$5</f>
        <v>27.69</v>
      </c>
      <c r="AO49" t="str">
        <f t="shared" si="0"/>
        <v>2019, 2130</v>
      </c>
    </row>
    <row r="50" spans="3:41">
      <c r="AO50" t="str">
        <f t="shared" ref="AO50:AO81" si="1">AO49</f>
        <v>2019, 2130</v>
      </c>
    </row>
    <row r="51" spans="3:41">
      <c r="C51" t="s">
        <v>121</v>
      </c>
      <c r="D51" t="s">
        <v>442</v>
      </c>
      <c r="F51">
        <f>SUMIFS(Codex_USGS_raw!$D:$D,Codex_USGS_raw!$A:$A,Codex_sources!$A$6,Codex_USGS_raw!$C:$C,F$4)*Codex_sources!$D$6*1</f>
        <v>0</v>
      </c>
      <c r="G51">
        <f>SUMIFS(Codex_USGS_raw!$D:$D,Codex_USGS_raw!$A:$A,Codex_sources!$A$6,Codex_USGS_raw!$C:$C,G$4)*Codex_sources!$D$6*1</f>
        <v>0</v>
      </c>
      <c r="H51">
        <f>SUMIFS(Codex_USGS_raw!$D:$D,Codex_USGS_raw!$A:$A,Codex_sources!$A$6,Codex_USGS_raw!$C:$C,H$4)*Codex_sources!$D$6*1</f>
        <v>6.40384615384615</v>
      </c>
      <c r="I51">
        <f>SUMIFS(Codex_USGS_raw!$D:$D,Codex_USGS_raw!$A:$A,Codex_sources!$A$6,Codex_USGS_raw!$C:$C,I$4)*Codex_sources!$D$6*1</f>
        <v>0</v>
      </c>
      <c r="J51">
        <f>SUMIFS(Codex_USGS_raw!$D:$D,Codex_USGS_raw!$A:$A,Codex_sources!$A$6,Codex_USGS_raw!$C:$C,J$4)*Codex_sources!$D$6*1</f>
        <v>0</v>
      </c>
      <c r="K51">
        <f>SUMIFS(Codex_USGS_raw!$D:$D,Codex_USGS_raw!$A:$A,Codex_sources!$A$6,Codex_USGS_raw!$C:$C,K$4)*Codex_sources!$D$6*1</f>
        <v>0</v>
      </c>
      <c r="L51">
        <f>SUMIFS(Codex_USGS_raw!$D:$D,Codex_USGS_raw!$A:$A,Codex_sources!$A$6,Codex_USGS_raw!$C:$C,L$4)*Codex_sources!$D$6*1</f>
        <v>9.96153846153846</v>
      </c>
      <c r="M51">
        <f>SUMIFS(Codex_USGS_raw!$D:$D,Codex_USGS_raw!$A:$A,Codex_sources!$A$6,Codex_USGS_raw!$C:$C,M$4)*Codex_sources!$D$6*1</f>
        <v>17.0769230769231</v>
      </c>
      <c r="N51">
        <f>SUMIFS(Codex_USGS_raw!$D:$D,Codex_USGS_raw!$A:$A,Codex_sources!$A$6,Codex_USGS_raw!$C:$C,N$4)*Codex_sources!$D$6*1</f>
        <v>0</v>
      </c>
      <c r="O51">
        <f>SUMIFS(Codex_USGS_raw!$D:$D,Codex_USGS_raw!$A:$A,Codex_sources!$A$6,Codex_USGS_raw!$C:$C,O$4)*Codex_sources!$D$6*1</f>
        <v>0</v>
      </c>
      <c r="P51">
        <f>SUMIFS(Codex_USGS_raw!$D:$D,Codex_USGS_raw!$A:$A,Codex_sources!$A$6,Codex_USGS_raw!$C:$C,P$4)*Codex_sources!$D$6*1</f>
        <v>0</v>
      </c>
      <c r="Q51">
        <f>SUMIFS(Codex_USGS_raw!$D:$D,Codex_USGS_raw!$A:$A,Codex_sources!$A$6,Codex_USGS_raw!$C:$C,Q$4)*Codex_sources!$D$6*1</f>
        <v>0</v>
      </c>
      <c r="R51">
        <f>SUMIFS(Codex_USGS_raw!$D:$D,Codex_USGS_raw!$A:$A,Codex_sources!$A$6,Codex_USGS_raw!$C:$C,R$4)*Codex_sources!$D$6*1</f>
        <v>0</v>
      </c>
      <c r="S51">
        <f>SUMIFS(Codex_USGS_raw!$D:$D,Codex_USGS_raw!$A:$A,Codex_sources!$A$6,Codex_USGS_raw!$C:$C,S$4)*Codex_sources!$D$6*1</f>
        <v>0</v>
      </c>
      <c r="T51">
        <f>SUMIFS(Codex_USGS_raw!$D:$D,Codex_USGS_raw!$A:$A,Codex_sources!$A$6,Codex_USGS_raw!$C:$C,T$4)*Codex_sources!$D$6*1</f>
        <v>0</v>
      </c>
      <c r="U51">
        <f>SUMIFS(Codex_USGS_raw!$D:$D,Codex_USGS_raw!$A:$A,Codex_sources!$A$6,Codex_USGS_raw!$C:$C,U$4)*Codex_sources!$D$6*1</f>
        <v>0</v>
      </c>
      <c r="V51">
        <f>SUMIFS(Codex_USGS_raw!$D:$D,Codex_USGS_raw!$A:$A,Codex_sources!$A$6,Codex_USGS_raw!$C:$C,V$4)*Codex_sources!$D$6*1</f>
        <v>0</v>
      </c>
      <c r="W51">
        <f>SUMIFS(Codex_USGS_raw!$D:$D,Codex_USGS_raw!$A:$A,Codex_sources!$A$6,Codex_USGS_raw!$C:$C,W$4)*Codex_sources!$D$6*1</f>
        <v>0</v>
      </c>
      <c r="X51">
        <f>SUMIFS(Codex_USGS_raw!$D:$D,Codex_USGS_raw!$A:$A,Codex_sources!$A$6,Codex_USGS_raw!$C:$C,X$4)*Codex_sources!$D$6*1</f>
        <v>0</v>
      </c>
      <c r="Y51">
        <f>SUMIFS(Codex_USGS_raw!$D:$D,Codex_USGS_raw!$A:$A,Codex_sources!$A$6,Codex_USGS_raw!$C:$C,Y$4)*Codex_sources!$D$6*1</f>
        <v>0</v>
      </c>
      <c r="Z51">
        <f>SUMIFS(Codex_USGS_raw!$D:$D,Codex_USGS_raw!$A:$A,Codex_sources!$A$6,Codex_USGS_raw!$C:$C,Z$4)*Codex_sources!$D$6*1</f>
        <v>0</v>
      </c>
      <c r="AA51">
        <f>SUMIFS(Codex_USGS_raw!$D:$D,Codex_USGS_raw!$A:$A,Codex_sources!$A$6,Codex_USGS_raw!$C:$C,AA$4)*Codex_sources!$D$6*1</f>
        <v>21.3461538461538</v>
      </c>
      <c r="AB51">
        <f>SUMIFS(Codex_USGS_raw!$D:$D,Codex_USGS_raw!$A:$A,Codex_sources!$A$6,Codex_USGS_raw!$C:$C,AB$4)*Codex_sources!$D$6*1</f>
        <v>0</v>
      </c>
      <c r="AC51">
        <f>SUMIFS(Codex_USGS_raw!$D:$D,Codex_USGS_raw!$A:$A,Codex_sources!$A$6,Codex_USGS_raw!$C:$C,AC$4)*Codex_sources!$D$6*1</f>
        <v>0</v>
      </c>
      <c r="AD51">
        <f>SUMIFS(Codex_USGS_raw!$D:$D,Codex_USGS_raw!$A:$A,Codex_sources!$A$6,Codex_USGS_raw!$C:$C,AD$4)*Codex_sources!$D$6*1</f>
        <v>469.615384615385</v>
      </c>
      <c r="AE51">
        <f>SUMIFS(Codex_USGS_raw!$D:$D,Codex_USGS_raw!$A:$A,Codex_sources!$A$6,Codex_USGS_raw!$C:$C,AE$4)*Codex_sources!$D$6*1</f>
        <v>28.4615384615385</v>
      </c>
      <c r="AF51">
        <f>SUMIFS(Codex_USGS_raw!$D:$D,Codex_USGS_raw!$A:$A,Codex_sources!$A$6,Codex_USGS_raw!$C:$C,AF$4)*Codex_sources!$D$6*1</f>
        <v>0</v>
      </c>
      <c r="AG51">
        <f>SUMIFS(Codex_USGS_raw!$D:$D,Codex_USGS_raw!$A:$A,Codex_sources!$A$6,Codex_USGS_raw!$C:$C,AG$4)*Codex_sources!$D$6*1</f>
        <v>0</v>
      </c>
      <c r="AH51">
        <f>SUMIFS(Codex_USGS_raw!$D:$D,Codex_USGS_raw!$A:$A,Codex_sources!$A$6,Codex_USGS_raw!$C:$C,AH$4)*Codex_sources!$D$6*1</f>
        <v>0</v>
      </c>
      <c r="AI51">
        <f>SUMIFS(Codex_USGS_raw!$D:$D,Codex_USGS_raw!$A:$A,Codex_sources!$A$6,Codex_USGS_raw!$C:$C,AI$4)*Codex_sources!$D$6*1</f>
        <v>0</v>
      </c>
      <c r="AJ51">
        <f>SUMIFS(Codex_USGS_raw!$D:$D,Codex_USGS_raw!$A:$A,Codex_sources!$A$6,Codex_USGS_raw!$C:$C,AJ$4)*Codex_sources!$D$6*1</f>
        <v>0</v>
      </c>
      <c r="AK51">
        <f>SUMIFS(Codex_USGS_raw!$D:$D,Codex_USGS_raw!$A:$A,Codex_sources!$A$6,Codex_USGS_raw!$C:$C,AK$4)*Codex_sources!$D$6*1</f>
        <v>0</v>
      </c>
      <c r="AL51">
        <f>SUMIFS(Codex_USGS_raw!$D:$D,Codex_USGS_raw!$A:$A,Codex_sources!$A$6,Codex_USGS_raw!$C:$C,AL$4)*Codex_sources!$D$6*1</f>
        <v>0</v>
      </c>
      <c r="AM51">
        <f>SUMIFS(Codex_USGS_raw!$D:$D,Codex_USGS_raw!$A:$A,Codex_sources!$A$6,Codex_USGS_raw!$C:$C,AM$4)*Codex_sources!$D$6*1</f>
        <v>0</v>
      </c>
      <c r="AN51">
        <f>SUMIFS(Codex_USGS_raw!$D:$D,Codex_USGS_raw!$A:$A,Codex_sources!$A$6,Codex_USGS_raw!$C:$C,AN$4)*Codex_sources!$D$6*1</f>
        <v>0</v>
      </c>
      <c r="AO51" t="str">
        <f t="shared" si="1"/>
        <v>2019, 2130</v>
      </c>
    </row>
    <row r="52" spans="3:41">
      <c r="C52" t="s">
        <v>121</v>
      </c>
      <c r="D52" t="s">
        <v>115</v>
      </c>
      <c r="F52">
        <f>SUMIFS(Codex_USGS_raw!$E:$E,Codex_USGS_raw!$A:$A,Codex_sources!$A$6,Codex_USGS_raw!$C:$C,F$4)*Codex_sources!$D$6*Codex_sources!$J$6</f>
        <v>0</v>
      </c>
      <c r="G52">
        <f>SUMIFS(Codex_USGS_raw!$E:$E,Codex_USGS_raw!$A:$A,Codex_sources!$A$6,Codex_USGS_raw!$C:$C,G$4)*Codex_sources!$D$6*Codex_sources!$J$6</f>
        <v>0</v>
      </c>
      <c r="H52">
        <f>SUMIFS(Codex_USGS_raw!$E:$E,Codex_USGS_raw!$A:$A,Codex_sources!$A$6,Codex_USGS_raw!$C:$C,H$4)*Codex_sources!$D$6*Codex_sources!$J$6</f>
        <v>3557.69230769231</v>
      </c>
      <c r="I52">
        <f>SUMIFS(Codex_USGS_raw!$E:$E,Codex_USGS_raw!$A:$A,Codex_sources!$A$6,Codex_USGS_raw!$C:$C,I$4)*Codex_sources!$D$6*Codex_sources!$J$6</f>
        <v>0</v>
      </c>
      <c r="J52">
        <f>SUMIFS(Codex_USGS_raw!$E:$E,Codex_USGS_raw!$A:$A,Codex_sources!$A$6,Codex_USGS_raw!$C:$C,J$4)*Codex_sources!$D$6*Codex_sources!$J$6</f>
        <v>0</v>
      </c>
      <c r="K52">
        <f>SUMIFS(Codex_USGS_raw!$E:$E,Codex_USGS_raw!$A:$A,Codex_sources!$A$6,Codex_USGS_raw!$C:$C,K$4)*Codex_sources!$D$6*Codex_sources!$J$6</f>
        <v>0</v>
      </c>
      <c r="L52">
        <f>SUMIFS(Codex_USGS_raw!$E:$E,Codex_USGS_raw!$A:$A,Codex_sources!$A$6,Codex_USGS_raw!$C:$C,L$4)*Codex_sources!$D$6*Codex_sources!$J$6</f>
        <v>2276.92307692308</v>
      </c>
      <c r="M52">
        <f>SUMIFS(Codex_USGS_raw!$E:$E,Codex_USGS_raw!$A:$A,Codex_sources!$A$6,Codex_USGS_raw!$C:$C,M$4)*Codex_sources!$D$6*Codex_sources!$J$6</f>
        <v>626.153846153846</v>
      </c>
      <c r="N52">
        <f>SUMIFS(Codex_USGS_raw!$E:$E,Codex_USGS_raw!$A:$A,Codex_sources!$A$6,Codex_USGS_raw!$C:$C,N$4)*Codex_sources!$D$6*Codex_sources!$J$6</f>
        <v>0</v>
      </c>
      <c r="O52">
        <f>SUMIFS(Codex_USGS_raw!$E:$E,Codex_USGS_raw!$A:$A,Codex_sources!$A$6,Codex_USGS_raw!$C:$C,O$4)*Codex_sources!$D$6*Codex_sources!$J$6</f>
        <v>0</v>
      </c>
      <c r="P52">
        <f>SUMIFS(Codex_USGS_raw!$E:$E,Codex_USGS_raw!$A:$A,Codex_sources!$A$6,Codex_USGS_raw!$C:$C,P$4)*Codex_sources!$D$6*Codex_sources!$J$6</f>
        <v>0</v>
      </c>
      <c r="Q52">
        <f>SUMIFS(Codex_USGS_raw!$E:$E,Codex_USGS_raw!$A:$A,Codex_sources!$A$6,Codex_USGS_raw!$C:$C,Q$4)*Codex_sources!$D$6*Codex_sources!$J$6</f>
        <v>0</v>
      </c>
      <c r="R52">
        <f>SUMIFS(Codex_USGS_raw!$E:$E,Codex_USGS_raw!$A:$A,Codex_sources!$A$6,Codex_USGS_raw!$C:$C,R$4)*Codex_sources!$D$6*Codex_sources!$J$6</f>
        <v>0</v>
      </c>
      <c r="S52">
        <f>SUMIFS(Codex_USGS_raw!$E:$E,Codex_USGS_raw!$A:$A,Codex_sources!$A$6,Codex_USGS_raw!$C:$C,S$4)*Codex_sources!$D$6*Codex_sources!$J$6</f>
        <v>0</v>
      </c>
      <c r="T52">
        <f>SUMIFS(Codex_USGS_raw!$E:$E,Codex_USGS_raw!$A:$A,Codex_sources!$A$6,Codex_USGS_raw!$C:$C,T$4)*Codex_sources!$D$6*Codex_sources!$J$6</f>
        <v>0</v>
      </c>
      <c r="U52">
        <f>SUMIFS(Codex_USGS_raw!$E:$E,Codex_USGS_raw!$A:$A,Codex_sources!$A$6,Codex_USGS_raw!$C:$C,U$4)*Codex_sources!$D$6*Codex_sources!$J$6</f>
        <v>0</v>
      </c>
      <c r="V52">
        <f>SUMIFS(Codex_USGS_raw!$E:$E,Codex_USGS_raw!$A:$A,Codex_sources!$A$6,Codex_USGS_raw!$C:$C,V$4)*Codex_sources!$D$6*Codex_sources!$J$6</f>
        <v>0</v>
      </c>
      <c r="W52">
        <f>SUMIFS(Codex_USGS_raw!$E:$E,Codex_USGS_raw!$A:$A,Codex_sources!$A$6,Codex_USGS_raw!$C:$C,W$4)*Codex_sources!$D$6*Codex_sources!$J$6</f>
        <v>0</v>
      </c>
      <c r="X52">
        <f>SUMIFS(Codex_USGS_raw!$E:$E,Codex_USGS_raw!$A:$A,Codex_sources!$A$6,Codex_USGS_raw!$C:$C,X$4)*Codex_sources!$D$6*Codex_sources!$J$6</f>
        <v>0</v>
      </c>
      <c r="Y52">
        <f>SUMIFS(Codex_USGS_raw!$E:$E,Codex_USGS_raw!$A:$A,Codex_sources!$A$6,Codex_USGS_raw!$C:$C,Y$4)*Codex_sources!$D$6*Codex_sources!$J$6</f>
        <v>0</v>
      </c>
      <c r="Z52">
        <f>SUMIFS(Codex_USGS_raw!$E:$E,Codex_USGS_raw!$A:$A,Codex_sources!$A$6,Codex_USGS_raw!$C:$C,Z$4)*Codex_sources!$D$6*Codex_sources!$J$6</f>
        <v>0</v>
      </c>
      <c r="AA52">
        <f>SUMIFS(Codex_USGS_raw!$E:$E,Codex_USGS_raw!$A:$A,Codex_sources!$A$6,Codex_USGS_raw!$C:$C,AA$4)*Codex_sources!$D$6*Codex_sources!$J$6</f>
        <v>361.461538461538</v>
      </c>
      <c r="AB52">
        <f>SUMIFS(Codex_USGS_raw!$E:$E,Codex_USGS_raw!$A:$A,Codex_sources!$A$6,Codex_USGS_raw!$C:$C,AB$4)*Codex_sources!$D$6*Codex_sources!$J$6</f>
        <v>0</v>
      </c>
      <c r="AC52">
        <f>SUMIFS(Codex_USGS_raw!$E:$E,Codex_USGS_raw!$A:$A,Codex_sources!$A$6,Codex_USGS_raw!$C:$C,AC$4)*Codex_sources!$D$6*Codex_sources!$J$6</f>
        <v>0</v>
      </c>
      <c r="AD52">
        <f>SUMIFS(Codex_USGS_raw!$E:$E,Codex_USGS_raw!$A:$A,Codex_sources!$A$6,Codex_USGS_raw!$C:$C,AD$4)*Codex_sources!$D$6*Codex_sources!$J$6</f>
        <v>11811.5384615385</v>
      </c>
      <c r="AE52">
        <f>SUMIFS(Codex_USGS_raw!$E:$E,Codex_USGS_raw!$A:$A,Codex_sources!$A$6,Codex_USGS_raw!$C:$C,AE$4)*Codex_sources!$D$6*Codex_sources!$J$6</f>
        <v>1181.15384615385</v>
      </c>
      <c r="AF52">
        <f>SUMIFS(Codex_USGS_raw!$E:$E,Codex_USGS_raw!$A:$A,Codex_sources!$A$6,Codex_USGS_raw!$C:$C,AF$4)*Codex_sources!$D$6*Codex_sources!$J$6</f>
        <v>0</v>
      </c>
      <c r="AG52">
        <f>SUMIFS(Codex_USGS_raw!$E:$E,Codex_USGS_raw!$A:$A,Codex_sources!$A$6,Codex_USGS_raw!$C:$C,AG$4)*Codex_sources!$D$6*Codex_sources!$J$6</f>
        <v>0</v>
      </c>
      <c r="AH52">
        <f>SUMIFS(Codex_USGS_raw!$E:$E,Codex_USGS_raw!$A:$A,Codex_sources!$A$6,Codex_USGS_raw!$C:$C,AH$4)*Codex_sources!$D$6*Codex_sources!$J$6</f>
        <v>0</v>
      </c>
      <c r="AI52">
        <f>SUMIFS(Codex_USGS_raw!$E:$E,Codex_USGS_raw!$A:$A,Codex_sources!$A$6,Codex_USGS_raw!$C:$C,AI$4)*Codex_sources!$D$6*Codex_sources!$J$6</f>
        <v>0</v>
      </c>
      <c r="AJ52">
        <f>SUMIFS(Codex_USGS_raw!$E:$E,Codex_USGS_raw!$A:$A,Codex_sources!$A$6,Codex_USGS_raw!$C:$C,AJ$4)*Codex_sources!$D$6*Codex_sources!$J$6</f>
        <v>0</v>
      </c>
      <c r="AK52">
        <f>SUMIFS(Codex_USGS_raw!$E:$E,Codex_USGS_raw!$A:$A,Codex_sources!$A$6,Codex_USGS_raw!$C:$C,AK$4)*Codex_sources!$D$6*Codex_sources!$J$6</f>
        <v>0</v>
      </c>
      <c r="AL52">
        <f>SUMIFS(Codex_USGS_raw!$E:$E,Codex_USGS_raw!$A:$A,Codex_sources!$A$6,Codex_USGS_raw!$C:$C,AL$4)*Codex_sources!$D$6*Codex_sources!$J$6</f>
        <v>0</v>
      </c>
      <c r="AM52">
        <f>SUMIFS(Codex_USGS_raw!$E:$E,Codex_USGS_raw!$A:$A,Codex_sources!$A$6,Codex_USGS_raw!$C:$C,AM$4)*Codex_sources!$D$6*Codex_sources!$J$6</f>
        <v>0</v>
      </c>
      <c r="AN52">
        <f>SUMIFS(Codex_USGS_raw!$E:$E,Codex_USGS_raw!$A:$A,Codex_sources!$A$6,Codex_USGS_raw!$C:$C,AN$4)*Codex_sources!$D$6*Codex_sources!$J$6</f>
        <v>0</v>
      </c>
      <c r="AO52" t="str">
        <f t="shared" si="1"/>
        <v>2019, 2130</v>
      </c>
    </row>
    <row r="53" spans="3:41">
      <c r="C53" t="s">
        <v>121</v>
      </c>
      <c r="D53" t="s">
        <v>444</v>
      </c>
      <c r="E53" t="s">
        <v>2</v>
      </c>
      <c r="F53">
        <f>Codex_sources!$M$6</f>
        <v>14.288</v>
      </c>
      <c r="G53">
        <f>Codex_sources!$M$6</f>
        <v>14.288</v>
      </c>
      <c r="H53">
        <f>Codex_sources!$M$6</f>
        <v>14.288</v>
      </c>
      <c r="I53">
        <f>Codex_sources!$M$6</f>
        <v>14.288</v>
      </c>
      <c r="J53">
        <f>Codex_sources!$M$6</f>
        <v>14.288</v>
      </c>
      <c r="K53">
        <f>Codex_sources!$M$6</f>
        <v>14.288</v>
      </c>
      <c r="L53">
        <f>Codex_sources!$M$6</f>
        <v>14.288</v>
      </c>
      <c r="M53">
        <f>Codex_sources!$M$6</f>
        <v>14.288</v>
      </c>
      <c r="N53">
        <f>Codex_sources!$M$6</f>
        <v>14.288</v>
      </c>
      <c r="O53">
        <f>Codex_sources!$M$6</f>
        <v>14.288</v>
      </c>
      <c r="P53">
        <f>Codex_sources!$M$6</f>
        <v>14.288</v>
      </c>
      <c r="Q53">
        <f>Codex_sources!$M$6</f>
        <v>14.288</v>
      </c>
      <c r="R53">
        <f>Codex_sources!$M$6</f>
        <v>14.288</v>
      </c>
      <c r="S53">
        <f>Codex_sources!$M$6</f>
        <v>14.288</v>
      </c>
      <c r="T53">
        <f>Codex_sources!$M$6</f>
        <v>14.288</v>
      </c>
      <c r="U53">
        <f>Codex_sources!$M$6</f>
        <v>14.288</v>
      </c>
      <c r="V53">
        <f>Codex_sources!$M$6</f>
        <v>14.288</v>
      </c>
      <c r="W53">
        <f>Codex_sources!$M$6</f>
        <v>14.288</v>
      </c>
      <c r="X53">
        <f>Codex_sources!$M$6</f>
        <v>14.288</v>
      </c>
      <c r="Y53">
        <f>Codex_sources!$M$6</f>
        <v>14.288</v>
      </c>
      <c r="Z53">
        <f>Codex_sources!$M$6</f>
        <v>14.288</v>
      </c>
      <c r="AA53">
        <f>Codex_sources!$M$6</f>
        <v>14.288</v>
      </c>
      <c r="AB53">
        <f>Codex_sources!$M$6</f>
        <v>14.288</v>
      </c>
      <c r="AC53">
        <f>Codex_sources!$M$6</f>
        <v>14.288</v>
      </c>
      <c r="AD53">
        <f>Codex_sources!$M$6</f>
        <v>14.288</v>
      </c>
      <c r="AE53">
        <f>Codex_sources!$M$6</f>
        <v>14.288</v>
      </c>
      <c r="AF53">
        <f>Codex_sources!$M$6</f>
        <v>14.288</v>
      </c>
      <c r="AG53">
        <f>Codex_sources!$M$6</f>
        <v>14.288</v>
      </c>
      <c r="AH53">
        <f>Codex_sources!$M$6</f>
        <v>14.288</v>
      </c>
      <c r="AI53">
        <f>Codex_sources!$M$6</f>
        <v>14.288</v>
      </c>
      <c r="AJ53">
        <f>Codex_sources!$M$6</f>
        <v>14.288</v>
      </c>
      <c r="AK53">
        <f>Codex_sources!$M$6</f>
        <v>14.288</v>
      </c>
      <c r="AL53">
        <f>Codex_sources!$M$6</f>
        <v>14.288</v>
      </c>
      <c r="AM53">
        <f>Codex_sources!$M$6</f>
        <v>14.288</v>
      </c>
      <c r="AN53">
        <f>Codex_sources!$M$6</f>
        <v>14.288</v>
      </c>
      <c r="AO53" t="str">
        <f t="shared" si="1"/>
        <v>2019, 2130</v>
      </c>
    </row>
    <row r="54" spans="3:41">
      <c r="C54" t="s">
        <v>122</v>
      </c>
      <c r="D54" t="s">
        <v>442</v>
      </c>
      <c r="F54">
        <f>SUMIFS(Codex_USGS_raw!$D:$D,Codex_USGS_raw!$A:$A,Codex_sources!$A$6,Codex_USGS_raw!$C:$C,F$4)*Codex_sources!$D$6*2</f>
        <v>0</v>
      </c>
      <c r="G54">
        <f>SUMIFS(Codex_USGS_raw!$D:$D,Codex_USGS_raw!$A:$A,Codex_sources!$A$6,Codex_USGS_raw!$C:$C,G$4)*Codex_sources!$D$6*2</f>
        <v>0</v>
      </c>
      <c r="H54">
        <f>SUMIFS(Codex_USGS_raw!$D:$D,Codex_USGS_raw!$A:$A,Codex_sources!$A$6,Codex_USGS_raw!$C:$C,H$4)*Codex_sources!$D$6*2</f>
        <v>12.8076923076923</v>
      </c>
      <c r="I54">
        <f>SUMIFS(Codex_USGS_raw!$D:$D,Codex_USGS_raw!$A:$A,Codex_sources!$A$6,Codex_USGS_raw!$C:$C,I$4)*Codex_sources!$D$6*2</f>
        <v>0</v>
      </c>
      <c r="J54">
        <f>SUMIFS(Codex_USGS_raw!$D:$D,Codex_USGS_raw!$A:$A,Codex_sources!$A$6,Codex_USGS_raw!$C:$C,J$4)*Codex_sources!$D$6*2</f>
        <v>0</v>
      </c>
      <c r="K54">
        <f>SUMIFS(Codex_USGS_raw!$D:$D,Codex_USGS_raw!$A:$A,Codex_sources!$A$6,Codex_USGS_raw!$C:$C,K$4)*Codex_sources!$D$6*2</f>
        <v>0</v>
      </c>
      <c r="L54">
        <f>SUMIFS(Codex_USGS_raw!$D:$D,Codex_USGS_raw!$A:$A,Codex_sources!$A$6,Codex_USGS_raw!$C:$C,L$4)*Codex_sources!$D$6*2</f>
        <v>19.9230769230769</v>
      </c>
      <c r="M54">
        <f>SUMIFS(Codex_USGS_raw!$D:$D,Codex_USGS_raw!$A:$A,Codex_sources!$A$6,Codex_USGS_raw!$C:$C,M$4)*Codex_sources!$D$6*2</f>
        <v>34.1538461538462</v>
      </c>
      <c r="N54">
        <f>SUMIFS(Codex_USGS_raw!$D:$D,Codex_USGS_raw!$A:$A,Codex_sources!$A$6,Codex_USGS_raw!$C:$C,N$4)*Codex_sources!$D$6*2</f>
        <v>0</v>
      </c>
      <c r="O54">
        <f>SUMIFS(Codex_USGS_raw!$D:$D,Codex_USGS_raw!$A:$A,Codex_sources!$A$6,Codex_USGS_raw!$C:$C,O$4)*Codex_sources!$D$6*2</f>
        <v>0</v>
      </c>
      <c r="P54">
        <f>SUMIFS(Codex_USGS_raw!$D:$D,Codex_USGS_raw!$A:$A,Codex_sources!$A$6,Codex_USGS_raw!$C:$C,P$4)*Codex_sources!$D$6*2</f>
        <v>0</v>
      </c>
      <c r="Q54">
        <f>SUMIFS(Codex_USGS_raw!$D:$D,Codex_USGS_raw!$A:$A,Codex_sources!$A$6,Codex_USGS_raw!$C:$C,Q$4)*Codex_sources!$D$6*2</f>
        <v>0</v>
      </c>
      <c r="R54">
        <f>SUMIFS(Codex_USGS_raw!$D:$D,Codex_USGS_raw!$A:$A,Codex_sources!$A$6,Codex_USGS_raw!$C:$C,R$4)*Codex_sources!$D$6*2</f>
        <v>0</v>
      </c>
      <c r="S54">
        <f>SUMIFS(Codex_USGS_raw!$D:$D,Codex_USGS_raw!$A:$A,Codex_sources!$A$6,Codex_USGS_raw!$C:$C,S$4)*Codex_sources!$D$6*2</f>
        <v>0</v>
      </c>
      <c r="T54">
        <f>SUMIFS(Codex_USGS_raw!$D:$D,Codex_USGS_raw!$A:$A,Codex_sources!$A$6,Codex_USGS_raw!$C:$C,T$4)*Codex_sources!$D$6*2</f>
        <v>0</v>
      </c>
      <c r="U54">
        <f>SUMIFS(Codex_USGS_raw!$D:$D,Codex_USGS_raw!$A:$A,Codex_sources!$A$6,Codex_USGS_raw!$C:$C,U$4)*Codex_sources!$D$6*2</f>
        <v>0</v>
      </c>
      <c r="V54">
        <f>SUMIFS(Codex_USGS_raw!$D:$D,Codex_USGS_raw!$A:$A,Codex_sources!$A$6,Codex_USGS_raw!$C:$C,V$4)*Codex_sources!$D$6*2</f>
        <v>0</v>
      </c>
      <c r="W54">
        <f>SUMIFS(Codex_USGS_raw!$D:$D,Codex_USGS_raw!$A:$A,Codex_sources!$A$6,Codex_USGS_raw!$C:$C,W$4)*Codex_sources!$D$6*2</f>
        <v>0</v>
      </c>
      <c r="X54">
        <f>SUMIFS(Codex_USGS_raw!$D:$D,Codex_USGS_raw!$A:$A,Codex_sources!$A$6,Codex_USGS_raw!$C:$C,X$4)*Codex_sources!$D$6*2</f>
        <v>0</v>
      </c>
      <c r="Y54">
        <f>SUMIFS(Codex_USGS_raw!$D:$D,Codex_USGS_raw!$A:$A,Codex_sources!$A$6,Codex_USGS_raw!$C:$C,Y$4)*Codex_sources!$D$6*2</f>
        <v>0</v>
      </c>
      <c r="Z54">
        <f>SUMIFS(Codex_USGS_raw!$D:$D,Codex_USGS_raw!$A:$A,Codex_sources!$A$6,Codex_USGS_raw!$C:$C,Z$4)*Codex_sources!$D$6*2</f>
        <v>0</v>
      </c>
      <c r="AA54">
        <f>SUMIFS(Codex_USGS_raw!$D:$D,Codex_USGS_raw!$A:$A,Codex_sources!$A$6,Codex_USGS_raw!$C:$C,AA$4)*Codex_sources!$D$6*2</f>
        <v>42.6923076923077</v>
      </c>
      <c r="AB54">
        <f>SUMIFS(Codex_USGS_raw!$D:$D,Codex_USGS_raw!$A:$A,Codex_sources!$A$6,Codex_USGS_raw!$C:$C,AB$4)*Codex_sources!$D$6*2</f>
        <v>0</v>
      </c>
      <c r="AC54">
        <f>SUMIFS(Codex_USGS_raw!$D:$D,Codex_USGS_raw!$A:$A,Codex_sources!$A$6,Codex_USGS_raw!$C:$C,AC$4)*Codex_sources!$D$6*2</f>
        <v>0</v>
      </c>
      <c r="AD54">
        <f>SUMIFS(Codex_USGS_raw!$D:$D,Codex_USGS_raw!$A:$A,Codex_sources!$A$6,Codex_USGS_raw!$C:$C,AD$4)*Codex_sources!$D$6*2</f>
        <v>939.230769230769</v>
      </c>
      <c r="AE54">
        <f>SUMIFS(Codex_USGS_raw!$D:$D,Codex_USGS_raw!$A:$A,Codex_sources!$A$6,Codex_USGS_raw!$C:$C,AE$4)*Codex_sources!$D$6*2</f>
        <v>56.9230769230769</v>
      </c>
      <c r="AF54">
        <f>SUMIFS(Codex_USGS_raw!$D:$D,Codex_USGS_raw!$A:$A,Codex_sources!$A$6,Codex_USGS_raw!$C:$C,AF$4)*Codex_sources!$D$6*2</f>
        <v>0</v>
      </c>
      <c r="AG54">
        <f>SUMIFS(Codex_USGS_raw!$D:$D,Codex_USGS_raw!$A:$A,Codex_sources!$A$6,Codex_USGS_raw!$C:$C,AG$4)*Codex_sources!$D$6*2</f>
        <v>0</v>
      </c>
      <c r="AH54">
        <f>SUMIFS(Codex_USGS_raw!$D:$D,Codex_USGS_raw!$A:$A,Codex_sources!$A$6,Codex_USGS_raw!$C:$C,AH$4)*Codex_sources!$D$6*2</f>
        <v>0</v>
      </c>
      <c r="AI54">
        <f>SUMIFS(Codex_USGS_raw!$D:$D,Codex_USGS_raw!$A:$A,Codex_sources!$A$6,Codex_USGS_raw!$C:$C,AI$4)*Codex_sources!$D$6*2</f>
        <v>0</v>
      </c>
      <c r="AJ54">
        <f>SUMIFS(Codex_USGS_raw!$D:$D,Codex_USGS_raw!$A:$A,Codex_sources!$A$6,Codex_USGS_raw!$C:$C,AJ$4)*Codex_sources!$D$6*2</f>
        <v>0</v>
      </c>
      <c r="AK54">
        <f>SUMIFS(Codex_USGS_raw!$D:$D,Codex_USGS_raw!$A:$A,Codex_sources!$A$6,Codex_USGS_raw!$C:$C,AK$4)*Codex_sources!$D$6*2</f>
        <v>0</v>
      </c>
      <c r="AL54">
        <f>SUMIFS(Codex_USGS_raw!$D:$D,Codex_USGS_raw!$A:$A,Codex_sources!$A$6,Codex_USGS_raw!$C:$C,AL$4)*Codex_sources!$D$6*2</f>
        <v>0</v>
      </c>
      <c r="AM54">
        <f>SUMIFS(Codex_USGS_raw!$D:$D,Codex_USGS_raw!$A:$A,Codex_sources!$A$6,Codex_USGS_raw!$C:$C,AM$4)*Codex_sources!$D$6*2</f>
        <v>0</v>
      </c>
      <c r="AN54">
        <f>SUMIFS(Codex_USGS_raw!$D:$D,Codex_USGS_raw!$A:$A,Codex_sources!$A$6,Codex_USGS_raw!$C:$C,AN$4)*Codex_sources!$D$6*2</f>
        <v>0</v>
      </c>
      <c r="AO54" t="str">
        <f t="shared" si="1"/>
        <v>2019, 2130</v>
      </c>
    </row>
    <row r="55" spans="3:41">
      <c r="C55" t="s">
        <v>122</v>
      </c>
      <c r="D55" t="s">
        <v>115</v>
      </c>
      <c r="F55">
        <f>SUMIFS(Codex_USGS_raw!$E:$E,Codex_USGS_raw!$A:$A,Codex_sources!$A$6,Codex_USGS_raw!$C:$C,F$4)*Codex_sources!$D$6*Codex_sources!$K$6</f>
        <v>0</v>
      </c>
      <c r="G55">
        <f>SUMIFS(Codex_USGS_raw!$E:$E,Codex_USGS_raw!$A:$A,Codex_sources!$A$6,Codex_USGS_raw!$C:$C,G$4)*Codex_sources!$D$6*Codex_sources!$K$6</f>
        <v>0</v>
      </c>
      <c r="H55">
        <f>SUMIFS(Codex_USGS_raw!$E:$E,Codex_USGS_raw!$A:$A,Codex_sources!$A$6,Codex_USGS_raw!$C:$C,H$4)*Codex_sources!$D$6*Codex_sources!$K$6</f>
        <v>2668.26923076923</v>
      </c>
      <c r="I55">
        <f>SUMIFS(Codex_USGS_raw!$E:$E,Codex_USGS_raw!$A:$A,Codex_sources!$A$6,Codex_USGS_raw!$C:$C,I$4)*Codex_sources!$D$6*Codex_sources!$K$6</f>
        <v>0</v>
      </c>
      <c r="J55">
        <f>SUMIFS(Codex_USGS_raw!$E:$E,Codex_USGS_raw!$A:$A,Codex_sources!$A$6,Codex_USGS_raw!$C:$C,J$4)*Codex_sources!$D$6*Codex_sources!$K$6</f>
        <v>0</v>
      </c>
      <c r="K55">
        <f>SUMIFS(Codex_USGS_raw!$E:$E,Codex_USGS_raw!$A:$A,Codex_sources!$A$6,Codex_USGS_raw!$C:$C,K$4)*Codex_sources!$D$6*Codex_sources!$K$6</f>
        <v>0</v>
      </c>
      <c r="L55">
        <f>SUMIFS(Codex_USGS_raw!$E:$E,Codex_USGS_raw!$A:$A,Codex_sources!$A$6,Codex_USGS_raw!$C:$C,L$4)*Codex_sources!$D$6*Codex_sources!$K$6</f>
        <v>1707.69230769231</v>
      </c>
      <c r="M55">
        <f>SUMIFS(Codex_USGS_raw!$E:$E,Codex_USGS_raw!$A:$A,Codex_sources!$A$6,Codex_USGS_raw!$C:$C,M$4)*Codex_sources!$D$6*Codex_sources!$K$6</f>
        <v>469.615384615385</v>
      </c>
      <c r="N55">
        <f>SUMIFS(Codex_USGS_raw!$E:$E,Codex_USGS_raw!$A:$A,Codex_sources!$A$6,Codex_USGS_raw!$C:$C,N$4)*Codex_sources!$D$6*Codex_sources!$K$6</f>
        <v>0</v>
      </c>
      <c r="O55">
        <f>SUMIFS(Codex_USGS_raw!$E:$E,Codex_USGS_raw!$A:$A,Codex_sources!$A$6,Codex_USGS_raw!$C:$C,O$4)*Codex_sources!$D$6*Codex_sources!$K$6</f>
        <v>0</v>
      </c>
      <c r="P55">
        <f>SUMIFS(Codex_USGS_raw!$E:$E,Codex_USGS_raw!$A:$A,Codex_sources!$A$6,Codex_USGS_raw!$C:$C,P$4)*Codex_sources!$D$6*Codex_sources!$K$6</f>
        <v>0</v>
      </c>
      <c r="Q55">
        <f>SUMIFS(Codex_USGS_raw!$E:$E,Codex_USGS_raw!$A:$A,Codex_sources!$A$6,Codex_USGS_raw!$C:$C,Q$4)*Codex_sources!$D$6*Codex_sources!$K$6</f>
        <v>0</v>
      </c>
      <c r="R55">
        <f>SUMIFS(Codex_USGS_raw!$E:$E,Codex_USGS_raw!$A:$A,Codex_sources!$A$6,Codex_USGS_raw!$C:$C,R$4)*Codex_sources!$D$6*Codex_sources!$K$6</f>
        <v>0</v>
      </c>
      <c r="S55">
        <f>SUMIFS(Codex_USGS_raw!$E:$E,Codex_USGS_raw!$A:$A,Codex_sources!$A$6,Codex_USGS_raw!$C:$C,S$4)*Codex_sources!$D$6*Codex_sources!$K$6</f>
        <v>0</v>
      </c>
      <c r="T55">
        <f>SUMIFS(Codex_USGS_raw!$E:$E,Codex_USGS_raw!$A:$A,Codex_sources!$A$6,Codex_USGS_raw!$C:$C,T$4)*Codex_sources!$D$6*Codex_sources!$K$6</f>
        <v>0</v>
      </c>
      <c r="U55">
        <f>SUMIFS(Codex_USGS_raw!$E:$E,Codex_USGS_raw!$A:$A,Codex_sources!$A$6,Codex_USGS_raw!$C:$C,U$4)*Codex_sources!$D$6*Codex_sources!$K$6</f>
        <v>0</v>
      </c>
      <c r="V55">
        <f>SUMIFS(Codex_USGS_raw!$E:$E,Codex_USGS_raw!$A:$A,Codex_sources!$A$6,Codex_USGS_raw!$C:$C,V$4)*Codex_sources!$D$6*Codex_sources!$K$6</f>
        <v>0</v>
      </c>
      <c r="W55">
        <f>SUMIFS(Codex_USGS_raw!$E:$E,Codex_USGS_raw!$A:$A,Codex_sources!$A$6,Codex_USGS_raw!$C:$C,W$4)*Codex_sources!$D$6*Codex_sources!$K$6</f>
        <v>0</v>
      </c>
      <c r="X55">
        <f>SUMIFS(Codex_USGS_raw!$E:$E,Codex_USGS_raw!$A:$A,Codex_sources!$A$6,Codex_USGS_raw!$C:$C,X$4)*Codex_sources!$D$6*Codex_sources!$K$6</f>
        <v>0</v>
      </c>
      <c r="Y55">
        <f>SUMIFS(Codex_USGS_raw!$E:$E,Codex_USGS_raw!$A:$A,Codex_sources!$A$6,Codex_USGS_raw!$C:$C,Y$4)*Codex_sources!$D$6*Codex_sources!$K$6</f>
        <v>0</v>
      </c>
      <c r="Z55">
        <f>SUMIFS(Codex_USGS_raw!$E:$E,Codex_USGS_raw!$A:$A,Codex_sources!$A$6,Codex_USGS_raw!$C:$C,Z$4)*Codex_sources!$D$6*Codex_sources!$K$6</f>
        <v>0</v>
      </c>
      <c r="AA55">
        <f>SUMIFS(Codex_USGS_raw!$E:$E,Codex_USGS_raw!$A:$A,Codex_sources!$A$6,Codex_USGS_raw!$C:$C,AA$4)*Codex_sources!$D$6*Codex_sources!$K$6</f>
        <v>271.096153846154</v>
      </c>
      <c r="AB55">
        <f>SUMIFS(Codex_USGS_raw!$E:$E,Codex_USGS_raw!$A:$A,Codex_sources!$A$6,Codex_USGS_raw!$C:$C,AB$4)*Codex_sources!$D$6*Codex_sources!$K$6</f>
        <v>0</v>
      </c>
      <c r="AC55">
        <f>SUMIFS(Codex_USGS_raw!$E:$E,Codex_USGS_raw!$A:$A,Codex_sources!$A$6,Codex_USGS_raw!$C:$C,AC$4)*Codex_sources!$D$6*Codex_sources!$K$6</f>
        <v>0</v>
      </c>
      <c r="AD55">
        <f>SUMIFS(Codex_USGS_raw!$E:$E,Codex_USGS_raw!$A:$A,Codex_sources!$A$6,Codex_USGS_raw!$C:$C,AD$4)*Codex_sources!$D$6*Codex_sources!$K$6</f>
        <v>8858.65384615385</v>
      </c>
      <c r="AE55">
        <f>SUMIFS(Codex_USGS_raw!$E:$E,Codex_USGS_raw!$A:$A,Codex_sources!$A$6,Codex_USGS_raw!$C:$C,AE$4)*Codex_sources!$D$6*Codex_sources!$K$6</f>
        <v>885.865384615385</v>
      </c>
      <c r="AF55">
        <f>SUMIFS(Codex_USGS_raw!$E:$E,Codex_USGS_raw!$A:$A,Codex_sources!$A$6,Codex_USGS_raw!$C:$C,AF$4)*Codex_sources!$D$6*Codex_sources!$K$6</f>
        <v>0</v>
      </c>
      <c r="AG55">
        <f>SUMIFS(Codex_USGS_raw!$E:$E,Codex_USGS_raw!$A:$A,Codex_sources!$A$6,Codex_USGS_raw!$C:$C,AG$4)*Codex_sources!$D$6*Codex_sources!$K$6</f>
        <v>0</v>
      </c>
      <c r="AH55">
        <f>SUMIFS(Codex_USGS_raw!$E:$E,Codex_USGS_raw!$A:$A,Codex_sources!$A$6,Codex_USGS_raw!$C:$C,AH$4)*Codex_sources!$D$6*Codex_sources!$K$6</f>
        <v>0</v>
      </c>
      <c r="AI55">
        <f>SUMIFS(Codex_USGS_raw!$E:$E,Codex_USGS_raw!$A:$A,Codex_sources!$A$6,Codex_USGS_raw!$C:$C,AI$4)*Codex_sources!$D$6*Codex_sources!$K$6</f>
        <v>0</v>
      </c>
      <c r="AJ55">
        <f>SUMIFS(Codex_USGS_raw!$E:$E,Codex_USGS_raw!$A:$A,Codex_sources!$A$6,Codex_USGS_raw!$C:$C,AJ$4)*Codex_sources!$D$6*Codex_sources!$K$6</f>
        <v>0</v>
      </c>
      <c r="AK55">
        <f>SUMIFS(Codex_USGS_raw!$E:$E,Codex_USGS_raw!$A:$A,Codex_sources!$A$6,Codex_USGS_raw!$C:$C,AK$4)*Codex_sources!$D$6*Codex_sources!$K$6</f>
        <v>0</v>
      </c>
      <c r="AL55">
        <f>SUMIFS(Codex_USGS_raw!$E:$E,Codex_USGS_raw!$A:$A,Codex_sources!$A$6,Codex_USGS_raw!$C:$C,AL$4)*Codex_sources!$D$6*Codex_sources!$K$6</f>
        <v>0</v>
      </c>
      <c r="AM55">
        <f>SUMIFS(Codex_USGS_raw!$E:$E,Codex_USGS_raw!$A:$A,Codex_sources!$A$6,Codex_USGS_raw!$C:$C,AM$4)*Codex_sources!$D$6*Codex_sources!$K$6</f>
        <v>0</v>
      </c>
      <c r="AN55">
        <f>SUMIFS(Codex_USGS_raw!$E:$E,Codex_USGS_raw!$A:$A,Codex_sources!$A$6,Codex_USGS_raw!$C:$C,AN$4)*Codex_sources!$D$6*Codex_sources!$K$6</f>
        <v>0</v>
      </c>
      <c r="AO55" t="str">
        <f t="shared" si="1"/>
        <v>2019, 2130</v>
      </c>
    </row>
    <row r="56" spans="3:41">
      <c r="C56" t="s">
        <v>122</v>
      </c>
      <c r="D56" t="s">
        <v>444</v>
      </c>
      <c r="E56" t="s">
        <v>2</v>
      </c>
      <c r="F56">
        <f>Codex_sources!$N$6</f>
        <v>23.139</v>
      </c>
      <c r="G56">
        <f>Codex_sources!$N$6</f>
        <v>23.139</v>
      </c>
      <c r="H56">
        <f>Codex_sources!$N$6</f>
        <v>23.139</v>
      </c>
      <c r="I56">
        <f>Codex_sources!$N$6</f>
        <v>23.139</v>
      </c>
      <c r="J56">
        <f>Codex_sources!$N$6</f>
        <v>23.139</v>
      </c>
      <c r="K56">
        <f>Codex_sources!$N$6</f>
        <v>23.139</v>
      </c>
      <c r="L56">
        <f>Codex_sources!$N$6</f>
        <v>23.139</v>
      </c>
      <c r="M56">
        <f>Codex_sources!$N$6</f>
        <v>23.139</v>
      </c>
      <c r="N56">
        <f>Codex_sources!$N$6</f>
        <v>23.139</v>
      </c>
      <c r="O56">
        <f>Codex_sources!$N$6</f>
        <v>23.139</v>
      </c>
      <c r="P56">
        <f>Codex_sources!$N$6</f>
        <v>23.139</v>
      </c>
      <c r="Q56">
        <f>Codex_sources!$N$6</f>
        <v>23.139</v>
      </c>
      <c r="R56">
        <f>Codex_sources!$N$6</f>
        <v>23.139</v>
      </c>
      <c r="S56">
        <f>Codex_sources!$N$6</f>
        <v>23.139</v>
      </c>
      <c r="T56">
        <f>Codex_sources!$N$6</f>
        <v>23.139</v>
      </c>
      <c r="U56">
        <f>Codex_sources!$N$6</f>
        <v>23.139</v>
      </c>
      <c r="V56">
        <f>Codex_sources!$N$6</f>
        <v>23.139</v>
      </c>
      <c r="W56">
        <f>Codex_sources!$N$6</f>
        <v>23.139</v>
      </c>
      <c r="X56">
        <f>Codex_sources!$N$6</f>
        <v>23.139</v>
      </c>
      <c r="Y56">
        <f>Codex_sources!$N$6</f>
        <v>23.139</v>
      </c>
      <c r="Z56">
        <f>Codex_sources!$N$6</f>
        <v>23.139</v>
      </c>
      <c r="AA56">
        <f>Codex_sources!$N$6</f>
        <v>23.139</v>
      </c>
      <c r="AB56">
        <f>Codex_sources!$N$6</f>
        <v>23.139</v>
      </c>
      <c r="AC56">
        <f>Codex_sources!$N$6</f>
        <v>23.139</v>
      </c>
      <c r="AD56">
        <f>Codex_sources!$N$6</f>
        <v>23.139</v>
      </c>
      <c r="AE56">
        <f>Codex_sources!$N$6</f>
        <v>23.139</v>
      </c>
      <c r="AF56">
        <f>Codex_sources!$N$6</f>
        <v>23.139</v>
      </c>
      <c r="AG56">
        <f>Codex_sources!$N$6</f>
        <v>23.139</v>
      </c>
      <c r="AH56">
        <f>Codex_sources!$N$6</f>
        <v>23.139</v>
      </c>
      <c r="AI56">
        <f>Codex_sources!$N$6</f>
        <v>23.139</v>
      </c>
      <c r="AJ56">
        <f>Codex_sources!$N$6</f>
        <v>23.139</v>
      </c>
      <c r="AK56">
        <f>Codex_sources!$N$6</f>
        <v>23.139</v>
      </c>
      <c r="AL56">
        <f>Codex_sources!$N$6</f>
        <v>23.139</v>
      </c>
      <c r="AM56">
        <f>Codex_sources!$N$6</f>
        <v>23.139</v>
      </c>
      <c r="AN56">
        <f>Codex_sources!$N$6</f>
        <v>23.139</v>
      </c>
      <c r="AO56" t="str">
        <f t="shared" si="1"/>
        <v>2019, 2130</v>
      </c>
    </row>
    <row r="57" spans="3:41">
      <c r="C57" t="s">
        <v>123</v>
      </c>
      <c r="D57" t="s">
        <v>442</v>
      </c>
      <c r="AO57" t="str">
        <f t="shared" si="1"/>
        <v>2019, 2130</v>
      </c>
    </row>
    <row r="58" spans="3:41">
      <c r="C58" t="s">
        <v>123</v>
      </c>
      <c r="D58" t="s">
        <v>115</v>
      </c>
      <c r="F58">
        <f>SUMIFS(Codex_USGS_raw!$E:$E,Codex_USGS_raw!$A:$A,Codex_sources!$A$6,Codex_USGS_raw!$C:$C,F$4)*Codex_sources!$D$6*Codex_sources!$L$6</f>
        <v>0</v>
      </c>
      <c r="G58">
        <f>SUMIFS(Codex_USGS_raw!$E:$E,Codex_USGS_raw!$A:$A,Codex_sources!$A$6,Codex_USGS_raw!$C:$C,G$4)*Codex_sources!$D$6*Codex_sources!$L$6</f>
        <v>0</v>
      </c>
      <c r="H58">
        <f>SUMIFS(Codex_USGS_raw!$E:$E,Codex_USGS_raw!$A:$A,Codex_sources!$A$6,Codex_USGS_raw!$C:$C,H$4)*Codex_sources!$D$6*Codex_sources!$L$6</f>
        <v>2668.26923076923</v>
      </c>
      <c r="I58">
        <f>SUMIFS(Codex_USGS_raw!$E:$E,Codex_USGS_raw!$A:$A,Codex_sources!$A$6,Codex_USGS_raw!$C:$C,I$4)*Codex_sources!$D$6*Codex_sources!$L$6</f>
        <v>0</v>
      </c>
      <c r="J58">
        <f>SUMIFS(Codex_USGS_raw!$E:$E,Codex_USGS_raw!$A:$A,Codex_sources!$A$6,Codex_USGS_raw!$C:$C,J$4)*Codex_sources!$D$6*Codex_sources!$L$6</f>
        <v>0</v>
      </c>
      <c r="K58">
        <f>SUMIFS(Codex_USGS_raw!$E:$E,Codex_USGS_raw!$A:$A,Codex_sources!$A$6,Codex_USGS_raw!$C:$C,K$4)*Codex_sources!$D$6*Codex_sources!$L$6</f>
        <v>0</v>
      </c>
      <c r="L58">
        <f>SUMIFS(Codex_USGS_raw!$E:$E,Codex_USGS_raw!$A:$A,Codex_sources!$A$6,Codex_USGS_raw!$C:$C,L$4)*Codex_sources!$D$6*Codex_sources!$L$6</f>
        <v>1707.69230769231</v>
      </c>
      <c r="M58">
        <f>SUMIFS(Codex_USGS_raw!$E:$E,Codex_USGS_raw!$A:$A,Codex_sources!$A$6,Codex_USGS_raw!$C:$C,M$4)*Codex_sources!$D$6*Codex_sources!$L$6</f>
        <v>469.615384615385</v>
      </c>
      <c r="N58">
        <f>SUMIFS(Codex_USGS_raw!$E:$E,Codex_USGS_raw!$A:$A,Codex_sources!$A$6,Codex_USGS_raw!$C:$C,N$4)*Codex_sources!$D$6*Codex_sources!$L$6</f>
        <v>0</v>
      </c>
      <c r="O58">
        <f>SUMIFS(Codex_USGS_raw!$E:$E,Codex_USGS_raw!$A:$A,Codex_sources!$A$6,Codex_USGS_raw!$C:$C,O$4)*Codex_sources!$D$6*Codex_sources!$L$6</f>
        <v>0</v>
      </c>
      <c r="P58">
        <f>SUMIFS(Codex_USGS_raw!$E:$E,Codex_USGS_raw!$A:$A,Codex_sources!$A$6,Codex_USGS_raw!$C:$C,P$4)*Codex_sources!$D$6*Codex_sources!$L$6</f>
        <v>0</v>
      </c>
      <c r="Q58">
        <f>SUMIFS(Codex_USGS_raw!$E:$E,Codex_USGS_raw!$A:$A,Codex_sources!$A$6,Codex_USGS_raw!$C:$C,Q$4)*Codex_sources!$D$6*Codex_sources!$L$6</f>
        <v>0</v>
      </c>
      <c r="R58">
        <f>SUMIFS(Codex_USGS_raw!$E:$E,Codex_USGS_raw!$A:$A,Codex_sources!$A$6,Codex_USGS_raw!$C:$C,R$4)*Codex_sources!$D$6*Codex_sources!$L$6</f>
        <v>0</v>
      </c>
      <c r="S58">
        <f>SUMIFS(Codex_USGS_raw!$E:$E,Codex_USGS_raw!$A:$A,Codex_sources!$A$6,Codex_USGS_raw!$C:$C,S$4)*Codex_sources!$D$6*Codex_sources!$L$6</f>
        <v>0</v>
      </c>
      <c r="T58">
        <f>SUMIFS(Codex_USGS_raw!$E:$E,Codex_USGS_raw!$A:$A,Codex_sources!$A$6,Codex_USGS_raw!$C:$C,T$4)*Codex_sources!$D$6*Codex_sources!$L$6</f>
        <v>0</v>
      </c>
      <c r="U58">
        <f>SUMIFS(Codex_USGS_raw!$E:$E,Codex_USGS_raw!$A:$A,Codex_sources!$A$6,Codex_USGS_raw!$C:$C,U$4)*Codex_sources!$D$6*Codex_sources!$L$6</f>
        <v>0</v>
      </c>
      <c r="V58">
        <f>SUMIFS(Codex_USGS_raw!$E:$E,Codex_USGS_raw!$A:$A,Codex_sources!$A$6,Codex_USGS_raw!$C:$C,V$4)*Codex_sources!$D$6*Codex_sources!$L$6</f>
        <v>0</v>
      </c>
      <c r="W58">
        <f>SUMIFS(Codex_USGS_raw!$E:$E,Codex_USGS_raw!$A:$A,Codex_sources!$A$6,Codex_USGS_raw!$C:$C,W$4)*Codex_sources!$D$6*Codex_sources!$L$6</f>
        <v>0</v>
      </c>
      <c r="X58">
        <f>SUMIFS(Codex_USGS_raw!$E:$E,Codex_USGS_raw!$A:$A,Codex_sources!$A$6,Codex_USGS_raw!$C:$C,X$4)*Codex_sources!$D$6*Codex_sources!$L$6</f>
        <v>0</v>
      </c>
      <c r="Y58">
        <f>SUMIFS(Codex_USGS_raw!$E:$E,Codex_USGS_raw!$A:$A,Codex_sources!$A$6,Codex_USGS_raw!$C:$C,Y$4)*Codex_sources!$D$6*Codex_sources!$L$6</f>
        <v>0</v>
      </c>
      <c r="Z58">
        <f>SUMIFS(Codex_USGS_raw!$E:$E,Codex_USGS_raw!$A:$A,Codex_sources!$A$6,Codex_USGS_raw!$C:$C,Z$4)*Codex_sources!$D$6*Codex_sources!$L$6</f>
        <v>0</v>
      </c>
      <c r="AA58">
        <f>SUMIFS(Codex_USGS_raw!$E:$E,Codex_USGS_raw!$A:$A,Codex_sources!$A$6,Codex_USGS_raw!$C:$C,AA$4)*Codex_sources!$D$6*Codex_sources!$L$6</f>
        <v>271.096153846154</v>
      </c>
      <c r="AB58">
        <f>SUMIFS(Codex_USGS_raw!$E:$E,Codex_USGS_raw!$A:$A,Codex_sources!$A$6,Codex_USGS_raw!$C:$C,AB$4)*Codex_sources!$D$6*Codex_sources!$L$6</f>
        <v>0</v>
      </c>
      <c r="AC58">
        <f>SUMIFS(Codex_USGS_raw!$E:$E,Codex_USGS_raw!$A:$A,Codex_sources!$A$6,Codex_USGS_raw!$C:$C,AC$4)*Codex_sources!$D$6*Codex_sources!$L$6</f>
        <v>0</v>
      </c>
      <c r="AD58">
        <f>SUMIFS(Codex_USGS_raw!$E:$E,Codex_USGS_raw!$A:$A,Codex_sources!$A$6,Codex_USGS_raw!$C:$C,AD$4)*Codex_sources!$D$6*Codex_sources!$L$6</f>
        <v>8858.65384615385</v>
      </c>
      <c r="AE58">
        <f>SUMIFS(Codex_USGS_raw!$E:$E,Codex_USGS_raw!$A:$A,Codex_sources!$A$6,Codex_USGS_raw!$C:$C,AE$4)*Codex_sources!$D$6*Codex_sources!$L$6</f>
        <v>885.865384615385</v>
      </c>
      <c r="AF58">
        <f>SUMIFS(Codex_USGS_raw!$E:$E,Codex_USGS_raw!$A:$A,Codex_sources!$A$6,Codex_USGS_raw!$C:$C,AF$4)*Codex_sources!$D$6*Codex_sources!$L$6</f>
        <v>0</v>
      </c>
      <c r="AG58">
        <f>SUMIFS(Codex_USGS_raw!$E:$E,Codex_USGS_raw!$A:$A,Codex_sources!$A$6,Codex_USGS_raw!$C:$C,AG$4)*Codex_sources!$D$6*Codex_sources!$L$6</f>
        <v>0</v>
      </c>
      <c r="AH58">
        <f>SUMIFS(Codex_USGS_raw!$E:$E,Codex_USGS_raw!$A:$A,Codex_sources!$A$6,Codex_USGS_raw!$C:$C,AH$4)*Codex_sources!$D$6*Codex_sources!$L$6</f>
        <v>0</v>
      </c>
      <c r="AI58">
        <f>SUMIFS(Codex_USGS_raw!$E:$E,Codex_USGS_raw!$A:$A,Codex_sources!$A$6,Codex_USGS_raw!$C:$C,AI$4)*Codex_sources!$D$6*Codex_sources!$L$6</f>
        <v>0</v>
      </c>
      <c r="AJ58">
        <f>SUMIFS(Codex_USGS_raw!$E:$E,Codex_USGS_raw!$A:$A,Codex_sources!$A$6,Codex_USGS_raw!$C:$C,AJ$4)*Codex_sources!$D$6*Codex_sources!$L$6</f>
        <v>0</v>
      </c>
      <c r="AK58">
        <f>SUMIFS(Codex_USGS_raw!$E:$E,Codex_USGS_raw!$A:$A,Codex_sources!$A$6,Codex_USGS_raw!$C:$C,AK$4)*Codex_sources!$D$6*Codex_sources!$L$6</f>
        <v>0</v>
      </c>
      <c r="AL58">
        <f>SUMIFS(Codex_USGS_raw!$E:$E,Codex_USGS_raw!$A:$A,Codex_sources!$A$6,Codex_USGS_raw!$C:$C,AL$4)*Codex_sources!$D$6*Codex_sources!$L$6</f>
        <v>0</v>
      </c>
      <c r="AM58">
        <f>SUMIFS(Codex_USGS_raw!$E:$E,Codex_USGS_raw!$A:$A,Codex_sources!$A$6,Codex_USGS_raw!$C:$C,AM$4)*Codex_sources!$D$6*Codex_sources!$L$6</f>
        <v>0</v>
      </c>
      <c r="AN58">
        <f>SUMIFS(Codex_USGS_raw!$E:$E,Codex_USGS_raw!$A:$A,Codex_sources!$A$6,Codex_USGS_raw!$C:$C,AN$4)*Codex_sources!$D$6*Codex_sources!$L$6</f>
        <v>0</v>
      </c>
      <c r="AO58" t="str">
        <f t="shared" si="1"/>
        <v>2019, 2130</v>
      </c>
    </row>
    <row r="59" spans="3:41">
      <c r="C59" t="s">
        <v>123</v>
      </c>
      <c r="D59" t="s">
        <v>444</v>
      </c>
      <c r="E59" t="s">
        <v>2</v>
      </c>
      <c r="F59">
        <f>Codex_sources!$O$6</f>
        <v>25.4529</v>
      </c>
      <c r="G59">
        <f>Codex_sources!$O$6</f>
        <v>25.4529</v>
      </c>
      <c r="H59">
        <f>Codex_sources!$O$6</f>
        <v>25.4529</v>
      </c>
      <c r="I59">
        <f>Codex_sources!$O$6</f>
        <v>25.4529</v>
      </c>
      <c r="J59">
        <f>Codex_sources!$O$6</f>
        <v>25.4529</v>
      </c>
      <c r="K59">
        <f>Codex_sources!$O$6</f>
        <v>25.4529</v>
      </c>
      <c r="L59">
        <f>Codex_sources!$O$6</f>
        <v>25.4529</v>
      </c>
      <c r="M59">
        <f>Codex_sources!$O$6</f>
        <v>25.4529</v>
      </c>
      <c r="N59">
        <f>Codex_sources!$O$6</f>
        <v>25.4529</v>
      </c>
      <c r="O59">
        <f>Codex_sources!$O$6</f>
        <v>25.4529</v>
      </c>
      <c r="P59">
        <f>Codex_sources!$O$6</f>
        <v>25.4529</v>
      </c>
      <c r="Q59">
        <f>Codex_sources!$O$6</f>
        <v>25.4529</v>
      </c>
      <c r="R59">
        <f>Codex_sources!$O$6</f>
        <v>25.4529</v>
      </c>
      <c r="S59">
        <f>Codex_sources!$O$6</f>
        <v>25.4529</v>
      </c>
      <c r="T59">
        <f>Codex_sources!$O$6</f>
        <v>25.4529</v>
      </c>
      <c r="U59">
        <f>Codex_sources!$O$6</f>
        <v>25.4529</v>
      </c>
      <c r="V59">
        <f>Codex_sources!$O$6</f>
        <v>25.4529</v>
      </c>
      <c r="W59">
        <f>Codex_sources!$O$6</f>
        <v>25.4529</v>
      </c>
      <c r="X59">
        <f>Codex_sources!$O$6</f>
        <v>25.4529</v>
      </c>
      <c r="Y59">
        <f>Codex_sources!$O$6</f>
        <v>25.4529</v>
      </c>
      <c r="Z59">
        <f>Codex_sources!$O$6</f>
        <v>25.4529</v>
      </c>
      <c r="AA59">
        <f>Codex_sources!$O$6</f>
        <v>25.4529</v>
      </c>
      <c r="AB59">
        <f>Codex_sources!$O$6</f>
        <v>25.4529</v>
      </c>
      <c r="AC59">
        <f>Codex_sources!$O$6</f>
        <v>25.4529</v>
      </c>
      <c r="AD59">
        <f>Codex_sources!$O$6</f>
        <v>25.4529</v>
      </c>
      <c r="AE59">
        <f>Codex_sources!$O$6</f>
        <v>25.4529</v>
      </c>
      <c r="AF59">
        <f>Codex_sources!$O$6</f>
        <v>25.4529</v>
      </c>
      <c r="AG59">
        <f>Codex_sources!$O$6</f>
        <v>25.4529</v>
      </c>
      <c r="AH59">
        <f>Codex_sources!$O$6</f>
        <v>25.4529</v>
      </c>
      <c r="AI59">
        <f>Codex_sources!$O$6</f>
        <v>25.4529</v>
      </c>
      <c r="AJ59">
        <f>Codex_sources!$O$6</f>
        <v>25.4529</v>
      </c>
      <c r="AK59">
        <f>Codex_sources!$O$6</f>
        <v>25.4529</v>
      </c>
      <c r="AL59">
        <f>Codex_sources!$O$6</f>
        <v>25.4529</v>
      </c>
      <c r="AM59">
        <f>Codex_sources!$O$6</f>
        <v>25.4529</v>
      </c>
      <c r="AN59">
        <f>Codex_sources!$O$6</f>
        <v>25.4529</v>
      </c>
      <c r="AO59" t="str">
        <f t="shared" si="1"/>
        <v>2019, 2130</v>
      </c>
    </row>
    <row r="60" spans="3:41">
      <c r="AO60" t="str">
        <f t="shared" si="1"/>
        <v>2019, 2130</v>
      </c>
    </row>
    <row r="61" spans="3:41">
      <c r="C61" t="s">
        <v>118</v>
      </c>
      <c r="D61" t="s">
        <v>442</v>
      </c>
      <c r="F61">
        <f>SUMIFS(Codex_USGS_raw!$D:$D,Codex_USGS_raw!$A:$A,Codex_sources!$A$7,Codex_USGS_raw!$C:$C,F$4)*Codex_sources!$D$7*1</f>
        <v>0</v>
      </c>
      <c r="G61">
        <f>SUMIFS(Codex_USGS_raw!$D:$D,Codex_USGS_raw!$A:$A,Codex_sources!$A$7,Codex_USGS_raw!$C:$C,G$4)*Codex_sources!$D$7*1</f>
        <v>166.12332516129</v>
      </c>
      <c r="H61">
        <f>SUMIFS(Codex_USGS_raw!$D:$D,Codex_USGS_raw!$A:$A,Codex_sources!$A$7,Codex_USGS_raw!$C:$C,H$4)*Codex_sources!$D$7*1</f>
        <v>2.62785935483871</v>
      </c>
      <c r="I61">
        <f>SUMIFS(Codex_USGS_raw!$D:$D,Codex_USGS_raw!$A:$A,Codex_sources!$A$7,Codex_USGS_raw!$C:$C,I$4)*Codex_sources!$D$7*1</f>
        <v>0</v>
      </c>
      <c r="J61">
        <f>SUMIFS(Codex_USGS_raw!$D:$D,Codex_USGS_raw!$A:$A,Codex_sources!$A$7,Codex_USGS_raw!$C:$C,J$4)*Codex_sources!$D$7*1</f>
        <v>0</v>
      </c>
      <c r="K61">
        <f>SUMIFS(Codex_USGS_raw!$D:$D,Codex_USGS_raw!$A:$A,Codex_sources!$A$7,Codex_USGS_raw!$C:$C,K$4)*Codex_sources!$D$7*1</f>
        <v>0</v>
      </c>
      <c r="L61">
        <f>SUMIFS(Codex_USGS_raw!$D:$D,Codex_USGS_raw!$A:$A,Codex_sources!$A$7,Codex_USGS_raw!$C:$C,L$4)*Codex_sources!$D$7*1</f>
        <v>0</v>
      </c>
      <c r="M61">
        <f>SUMIFS(Codex_USGS_raw!$D:$D,Codex_USGS_raw!$A:$A,Codex_sources!$A$7,Codex_USGS_raw!$C:$C,M$4)*Codex_sources!$D$7*1</f>
        <v>1.42046451612903</v>
      </c>
      <c r="N61">
        <f>SUMIFS(Codex_USGS_raw!$D:$D,Codex_USGS_raw!$A:$A,Codex_sources!$A$7,Codex_USGS_raw!$C:$C,N$4)*Codex_sources!$D$7*1</f>
        <v>0</v>
      </c>
      <c r="O61">
        <f>SUMIFS(Codex_USGS_raw!$D:$D,Codex_USGS_raw!$A:$A,Codex_sources!$A$7,Codex_USGS_raw!$C:$C,O$4)*Codex_sources!$D$7*1</f>
        <v>0</v>
      </c>
      <c r="P61">
        <f>SUMIFS(Codex_USGS_raw!$D:$D,Codex_USGS_raw!$A:$A,Codex_sources!$A$7,Codex_USGS_raw!$C:$C,P$4)*Codex_sources!$D$7*1</f>
        <v>0</v>
      </c>
      <c r="Q61">
        <f>SUMIFS(Codex_USGS_raw!$D:$D,Codex_USGS_raw!$A:$A,Codex_sources!$A$7,Codex_USGS_raw!$C:$C,Q$4)*Codex_sources!$D$7*1</f>
        <v>0</v>
      </c>
      <c r="R61">
        <f>SUMIFS(Codex_USGS_raw!$D:$D,Codex_USGS_raw!$A:$A,Codex_sources!$A$7,Codex_USGS_raw!$C:$C,R$4)*Codex_sources!$D$7*1</f>
        <v>0</v>
      </c>
      <c r="S61">
        <f>SUMIFS(Codex_USGS_raw!$D:$D,Codex_USGS_raw!$A:$A,Codex_sources!$A$7,Codex_USGS_raw!$C:$C,S$4)*Codex_sources!$D$7*1</f>
        <v>0</v>
      </c>
      <c r="T61">
        <f>SUMIFS(Codex_USGS_raw!$D:$D,Codex_USGS_raw!$A:$A,Codex_sources!$A$7,Codex_USGS_raw!$C:$C,T$4)*Codex_sources!$D$7*1</f>
        <v>0</v>
      </c>
      <c r="U61">
        <f>SUMIFS(Codex_USGS_raw!$D:$D,Codex_USGS_raw!$A:$A,Codex_sources!$A$7,Codex_USGS_raw!$C:$C,U$4)*Codex_sources!$D$7*1</f>
        <v>0</v>
      </c>
      <c r="V61">
        <f>SUMIFS(Codex_USGS_raw!$D:$D,Codex_USGS_raw!$A:$A,Codex_sources!$A$7,Codex_USGS_raw!$C:$C,V$4)*Codex_sources!$D$7*1</f>
        <v>0</v>
      </c>
      <c r="W61">
        <f>SUMIFS(Codex_USGS_raw!$D:$D,Codex_USGS_raw!$A:$A,Codex_sources!$A$7,Codex_USGS_raw!$C:$C,W$4)*Codex_sources!$D$7*1</f>
        <v>0</v>
      </c>
      <c r="X61">
        <f>SUMIFS(Codex_USGS_raw!$D:$D,Codex_USGS_raw!$A:$A,Codex_sources!$A$7,Codex_USGS_raw!$C:$C,X$4)*Codex_sources!$D$7*1</f>
        <v>0</v>
      </c>
      <c r="Y61">
        <f>SUMIFS(Codex_USGS_raw!$D:$D,Codex_USGS_raw!$A:$A,Codex_sources!$A$7,Codex_USGS_raw!$C:$C,Y$4)*Codex_sources!$D$7*1</f>
        <v>1.42046451612903</v>
      </c>
      <c r="Z61">
        <f>SUMIFS(Codex_USGS_raw!$D:$D,Codex_USGS_raw!$A:$A,Codex_sources!$A$7,Codex_USGS_raw!$C:$C,Z$4)*Codex_sources!$D$7*1</f>
        <v>0</v>
      </c>
      <c r="AA61">
        <f>SUMIFS(Codex_USGS_raw!$D:$D,Codex_USGS_raw!$A:$A,Codex_sources!$A$7,Codex_USGS_raw!$C:$C,AA$4)*Codex_sources!$D$7*1</f>
        <v>2.69888258064516</v>
      </c>
      <c r="AB61">
        <f>SUMIFS(Codex_USGS_raw!$D:$D,Codex_USGS_raw!$A:$A,Codex_sources!$A$7,Codex_USGS_raw!$C:$C,AB$4)*Codex_sources!$D$7*1</f>
        <v>0</v>
      </c>
      <c r="AC61">
        <f>SUMIFS(Codex_USGS_raw!$D:$D,Codex_USGS_raw!$A:$A,Codex_sources!$A$7,Codex_USGS_raw!$C:$C,AC$4)*Codex_sources!$D$7*1</f>
        <v>0</v>
      </c>
      <c r="AD61">
        <f>SUMIFS(Codex_USGS_raw!$D:$D,Codex_USGS_raw!$A:$A,Codex_sources!$A$7,Codex_USGS_raw!$C:$C,AD$4)*Codex_sources!$D$7*1</f>
        <v>42.3298425806452</v>
      </c>
      <c r="AE61">
        <f>SUMIFS(Codex_USGS_raw!$D:$D,Codex_USGS_raw!$A:$A,Codex_sources!$A$7,Codex_USGS_raw!$C:$C,AE$4)*Codex_sources!$D$7*1</f>
        <v>5.46878838709677</v>
      </c>
      <c r="AF61">
        <f>SUMIFS(Codex_USGS_raw!$D:$D,Codex_USGS_raw!$A:$A,Codex_sources!$A$7,Codex_USGS_raw!$C:$C,AF$4)*Codex_sources!$D$7*1</f>
        <v>0</v>
      </c>
      <c r="AG61">
        <f>SUMIFS(Codex_USGS_raw!$D:$D,Codex_USGS_raw!$A:$A,Codex_sources!$A$7,Codex_USGS_raw!$C:$C,AG$4)*Codex_sources!$D$7*1</f>
        <v>0</v>
      </c>
      <c r="AH61">
        <f>SUMIFS(Codex_USGS_raw!$D:$D,Codex_USGS_raw!$A:$A,Codex_sources!$A$7,Codex_USGS_raw!$C:$C,AH$4)*Codex_sources!$D$7*1</f>
        <v>0</v>
      </c>
      <c r="AI61">
        <f>SUMIFS(Codex_USGS_raw!$D:$D,Codex_USGS_raw!$A:$A,Codex_sources!$A$7,Codex_USGS_raw!$C:$C,AI$4)*Codex_sources!$D$7*1</f>
        <v>0</v>
      </c>
      <c r="AJ61">
        <f>SUMIFS(Codex_USGS_raw!$D:$D,Codex_USGS_raw!$A:$A,Codex_sources!$A$7,Codex_USGS_raw!$C:$C,AJ$4)*Codex_sources!$D$7*1</f>
        <v>0</v>
      </c>
      <c r="AK61">
        <f>SUMIFS(Codex_USGS_raw!$D:$D,Codex_USGS_raw!$A:$A,Codex_sources!$A$7,Codex_USGS_raw!$C:$C,AK$4)*Codex_sources!$D$7*1</f>
        <v>1.34944129032258</v>
      </c>
      <c r="AL61">
        <f>SUMIFS(Codex_USGS_raw!$D:$D,Codex_USGS_raw!$A:$A,Codex_sources!$A$7,Codex_USGS_raw!$C:$C,AL$4)*Codex_sources!$D$7*1</f>
        <v>0</v>
      </c>
      <c r="AM61">
        <f>SUMIFS(Codex_USGS_raw!$D:$D,Codex_USGS_raw!$A:$A,Codex_sources!$A$7,Codex_USGS_raw!$C:$C,AM$4)*Codex_sources!$D$7*1</f>
        <v>0</v>
      </c>
      <c r="AN61">
        <f>SUMIFS(Codex_USGS_raw!$D:$D,Codex_USGS_raw!$A:$A,Codex_sources!$A$7,Codex_USGS_raw!$C:$C,AN$4)*Codex_sources!$D$7*1</f>
        <v>0</v>
      </c>
      <c r="AO61" t="str">
        <f t="shared" si="1"/>
        <v>2019, 2130</v>
      </c>
    </row>
    <row r="62" spans="3:41">
      <c r="C62" t="s">
        <v>118</v>
      </c>
      <c r="D62" t="s">
        <v>115</v>
      </c>
      <c r="F62">
        <f>SUMIFS(Codex_USGS_raw!$E:$E,Codex_USGS_raw!$A:$A,Codex_sources!$A$7,Codex_USGS_raw!$C:$C,F$4)*Codex_sources!$D$7*Codex_sources!$J$7</f>
        <v>0</v>
      </c>
      <c r="G62">
        <f>SUMIFS(Codex_USGS_raw!$E:$E,Codex_USGS_raw!$A:$A,Codex_sources!$A$7,Codex_USGS_raw!$C:$C,G$4)*Codex_sources!$D$7*Codex_sources!$J$7</f>
        <v>4332.41677419355</v>
      </c>
      <c r="H62">
        <f>SUMIFS(Codex_USGS_raw!$E:$E,Codex_USGS_raw!$A:$A,Codex_sources!$A$7,Codex_USGS_raw!$C:$C,H$4)*Codex_sources!$D$7*Codex_sources!$J$7</f>
        <v>1207.39483870968</v>
      </c>
      <c r="I62">
        <f>SUMIFS(Codex_USGS_raw!$E:$E,Codex_USGS_raw!$A:$A,Codex_sources!$A$7,Codex_USGS_raw!$C:$C,I$4)*Codex_sources!$D$7*Codex_sources!$J$7</f>
        <v>0</v>
      </c>
      <c r="J62">
        <f>SUMIFS(Codex_USGS_raw!$E:$E,Codex_USGS_raw!$A:$A,Codex_sources!$A$7,Codex_USGS_raw!$C:$C,J$4)*Codex_sources!$D$7*Codex_sources!$J$7</f>
        <v>0</v>
      </c>
      <c r="K62">
        <f>SUMIFS(Codex_USGS_raw!$E:$E,Codex_USGS_raw!$A:$A,Codex_sources!$A$7,Codex_USGS_raw!$C:$C,K$4)*Codex_sources!$D$7*Codex_sources!$J$7</f>
        <v>0</v>
      </c>
      <c r="L62">
        <f>SUMIFS(Codex_USGS_raw!$E:$E,Codex_USGS_raw!$A:$A,Codex_sources!$A$7,Codex_USGS_raw!$C:$C,L$4)*Codex_sources!$D$7*Codex_sources!$J$7</f>
        <v>0</v>
      </c>
      <c r="M62">
        <f>SUMIFS(Codex_USGS_raw!$E:$E,Codex_USGS_raw!$A:$A,Codex_sources!$A$7,Codex_USGS_raw!$C:$C,M$4)*Codex_sources!$D$7*Codex_sources!$J$7</f>
        <v>113.637161290323</v>
      </c>
      <c r="N62">
        <f>SUMIFS(Codex_USGS_raw!$E:$E,Codex_USGS_raw!$A:$A,Codex_sources!$A$7,Codex_USGS_raw!$C:$C,N$4)*Codex_sources!$D$7*Codex_sources!$J$7</f>
        <v>0</v>
      </c>
      <c r="O62">
        <f>SUMIFS(Codex_USGS_raw!$E:$E,Codex_USGS_raw!$A:$A,Codex_sources!$A$7,Codex_USGS_raw!$C:$C,O$4)*Codex_sources!$D$7*Codex_sources!$J$7</f>
        <v>0</v>
      </c>
      <c r="P62">
        <f>SUMIFS(Codex_USGS_raw!$E:$E,Codex_USGS_raw!$A:$A,Codex_sources!$A$7,Codex_USGS_raw!$C:$C,P$4)*Codex_sources!$D$7*Codex_sources!$J$7</f>
        <v>0</v>
      </c>
      <c r="Q62">
        <f>SUMIFS(Codex_USGS_raw!$E:$E,Codex_USGS_raw!$A:$A,Codex_sources!$A$7,Codex_USGS_raw!$C:$C,Q$4)*Codex_sources!$D$7*Codex_sources!$J$7</f>
        <v>0</v>
      </c>
      <c r="R62">
        <f>SUMIFS(Codex_USGS_raw!$E:$E,Codex_USGS_raw!$A:$A,Codex_sources!$A$7,Codex_USGS_raw!$C:$C,R$4)*Codex_sources!$D$7*Codex_sources!$J$7</f>
        <v>0</v>
      </c>
      <c r="S62">
        <f>SUMIFS(Codex_USGS_raw!$E:$E,Codex_USGS_raw!$A:$A,Codex_sources!$A$7,Codex_USGS_raw!$C:$C,S$4)*Codex_sources!$D$7*Codex_sources!$J$7</f>
        <v>0</v>
      </c>
      <c r="T62">
        <f>SUMIFS(Codex_USGS_raw!$E:$E,Codex_USGS_raw!$A:$A,Codex_sources!$A$7,Codex_USGS_raw!$C:$C,T$4)*Codex_sources!$D$7*Codex_sources!$J$7</f>
        <v>0</v>
      </c>
      <c r="U62">
        <f>SUMIFS(Codex_USGS_raw!$E:$E,Codex_USGS_raw!$A:$A,Codex_sources!$A$7,Codex_USGS_raw!$C:$C,U$4)*Codex_sources!$D$7*Codex_sources!$J$7</f>
        <v>0</v>
      </c>
      <c r="V62">
        <f>SUMIFS(Codex_USGS_raw!$E:$E,Codex_USGS_raw!$A:$A,Codex_sources!$A$7,Codex_USGS_raw!$C:$C,V$4)*Codex_sources!$D$7*Codex_sources!$J$7</f>
        <v>0</v>
      </c>
      <c r="W62">
        <f>SUMIFS(Codex_USGS_raw!$E:$E,Codex_USGS_raw!$A:$A,Codex_sources!$A$7,Codex_USGS_raw!$C:$C,W$4)*Codex_sources!$D$7*Codex_sources!$J$7</f>
        <v>0</v>
      </c>
      <c r="X62">
        <f>SUMIFS(Codex_USGS_raw!$E:$E,Codex_USGS_raw!$A:$A,Codex_sources!$A$7,Codex_USGS_raw!$C:$C,X$4)*Codex_sources!$D$7*Codex_sources!$J$7</f>
        <v>0</v>
      </c>
      <c r="Y62">
        <f>SUMIFS(Codex_USGS_raw!$E:$E,Codex_USGS_raw!$A:$A,Codex_sources!$A$7,Codex_USGS_raw!$C:$C,Y$4)*Codex_sources!$D$7*Codex_sources!$J$7</f>
        <v>355.116129032258</v>
      </c>
      <c r="Z62">
        <f>SUMIFS(Codex_USGS_raw!$E:$E,Codex_USGS_raw!$A:$A,Codex_sources!$A$7,Codex_USGS_raw!$C:$C,Z$4)*Codex_sources!$D$7*Codex_sources!$J$7</f>
        <v>0</v>
      </c>
      <c r="AA62">
        <f>SUMIFS(Codex_USGS_raw!$E:$E,Codex_USGS_raw!$A:$A,Codex_sources!$A$7,Codex_USGS_raw!$C:$C,AA$4)*Codex_sources!$D$7*Codex_sources!$J$7</f>
        <v>205.96735483871</v>
      </c>
      <c r="AB62">
        <f>SUMIFS(Codex_USGS_raw!$E:$E,Codex_USGS_raw!$A:$A,Codex_sources!$A$7,Codex_USGS_raw!$C:$C,AB$4)*Codex_sources!$D$7*Codex_sources!$J$7</f>
        <v>0</v>
      </c>
      <c r="AC62">
        <f>SUMIFS(Codex_USGS_raw!$E:$E,Codex_USGS_raw!$A:$A,Codex_sources!$A$7,Codex_USGS_raw!$C:$C,AC$4)*Codex_sources!$D$7*Codex_sources!$J$7</f>
        <v>0</v>
      </c>
      <c r="AD62">
        <f>SUMIFS(Codex_USGS_raw!$E:$E,Codex_USGS_raw!$A:$A,Codex_sources!$A$7,Codex_USGS_raw!$C:$C,AD$4)*Codex_sources!$D$7*Codex_sources!$J$7</f>
        <v>1338.07757419355</v>
      </c>
      <c r="AE62">
        <f>SUMIFS(Codex_USGS_raw!$E:$E,Codex_USGS_raw!$A:$A,Codex_sources!$A$7,Codex_USGS_raw!$C:$C,AE$4)*Codex_sources!$D$7*Codex_sources!$J$7</f>
        <v>568.185806451613</v>
      </c>
      <c r="AF62">
        <f>SUMIFS(Codex_USGS_raw!$E:$E,Codex_USGS_raw!$A:$A,Codex_sources!$A$7,Codex_USGS_raw!$C:$C,AF$4)*Codex_sources!$D$7*Codex_sources!$J$7</f>
        <v>0</v>
      </c>
      <c r="AG62">
        <f>SUMIFS(Codex_USGS_raw!$E:$E,Codex_USGS_raw!$A:$A,Codex_sources!$A$7,Codex_USGS_raw!$C:$C,AG$4)*Codex_sources!$D$7*Codex_sources!$J$7</f>
        <v>0</v>
      </c>
      <c r="AH62">
        <f>SUMIFS(Codex_USGS_raw!$E:$E,Codex_USGS_raw!$A:$A,Codex_sources!$A$7,Codex_USGS_raw!$C:$C,AH$4)*Codex_sources!$D$7*Codex_sources!$J$7</f>
        <v>0</v>
      </c>
      <c r="AI62">
        <f>SUMIFS(Codex_USGS_raw!$E:$E,Codex_USGS_raw!$A:$A,Codex_sources!$A$7,Codex_USGS_raw!$C:$C,AI$4)*Codex_sources!$D$7*Codex_sources!$J$7</f>
        <v>0</v>
      </c>
      <c r="AJ62">
        <f>SUMIFS(Codex_USGS_raw!$E:$E,Codex_USGS_raw!$A:$A,Codex_sources!$A$7,Codex_USGS_raw!$C:$C,AJ$4)*Codex_sources!$D$7*Codex_sources!$J$7</f>
        <v>0</v>
      </c>
      <c r="AK62">
        <f>SUMIFS(Codex_USGS_raw!$E:$E,Codex_USGS_raw!$A:$A,Codex_sources!$A$7,Codex_USGS_raw!$C:$C,AK$4)*Codex_sources!$D$7*Codex_sources!$J$7</f>
        <v>64.631135483871</v>
      </c>
      <c r="AL62">
        <f>SUMIFS(Codex_USGS_raw!$E:$E,Codex_USGS_raw!$A:$A,Codex_sources!$A$7,Codex_USGS_raw!$C:$C,AL$4)*Codex_sources!$D$7*Codex_sources!$J$7</f>
        <v>0</v>
      </c>
      <c r="AM62">
        <f>SUMIFS(Codex_USGS_raw!$E:$E,Codex_USGS_raw!$A:$A,Codex_sources!$A$7,Codex_USGS_raw!$C:$C,AM$4)*Codex_sources!$D$7*Codex_sources!$J$7</f>
        <v>0</v>
      </c>
      <c r="AN62">
        <f>SUMIFS(Codex_USGS_raw!$E:$E,Codex_USGS_raw!$A:$A,Codex_sources!$A$7,Codex_USGS_raw!$C:$C,AN$4)*Codex_sources!$D$7*Codex_sources!$J$7</f>
        <v>0</v>
      </c>
      <c r="AO62" t="str">
        <f t="shared" si="1"/>
        <v>2019, 2130</v>
      </c>
    </row>
    <row r="63" spans="3:41">
      <c r="C63" t="s">
        <v>118</v>
      </c>
      <c r="D63" t="s">
        <v>444</v>
      </c>
      <c r="E63" t="s">
        <v>6</v>
      </c>
      <c r="F63">
        <f>Codex_sources!$M$7</f>
        <v>29.844</v>
      </c>
      <c r="G63">
        <f>Codex_sources!$M$7</f>
        <v>29.844</v>
      </c>
      <c r="H63">
        <f>Codex_sources!$M$7</f>
        <v>29.844</v>
      </c>
      <c r="I63">
        <f>Codex_sources!$M$7</f>
        <v>29.844</v>
      </c>
      <c r="J63">
        <f>Codex_sources!$M$7</f>
        <v>29.844</v>
      </c>
      <c r="K63">
        <f>Codex_sources!$M$7</f>
        <v>29.844</v>
      </c>
      <c r="L63">
        <f>Codex_sources!$M$7</f>
        <v>29.844</v>
      </c>
      <c r="M63">
        <f>Codex_sources!$M$7</f>
        <v>29.844</v>
      </c>
      <c r="N63">
        <f>Codex_sources!$M$7</f>
        <v>29.844</v>
      </c>
      <c r="O63">
        <f>Codex_sources!$M$7</f>
        <v>29.844</v>
      </c>
      <c r="P63">
        <f>Codex_sources!$M$7</f>
        <v>29.844</v>
      </c>
      <c r="Q63">
        <f>Codex_sources!$M$7</f>
        <v>29.844</v>
      </c>
      <c r="R63">
        <f>Codex_sources!$M$7</f>
        <v>29.844</v>
      </c>
      <c r="S63">
        <f>Codex_sources!$M$7</f>
        <v>29.844</v>
      </c>
      <c r="T63">
        <f>Codex_sources!$M$7</f>
        <v>29.844</v>
      </c>
      <c r="U63">
        <f>Codex_sources!$M$7</f>
        <v>29.844</v>
      </c>
      <c r="V63">
        <f>Codex_sources!$M$7</f>
        <v>29.844</v>
      </c>
      <c r="W63">
        <f>Codex_sources!$M$7</f>
        <v>29.844</v>
      </c>
      <c r="X63">
        <f>Codex_sources!$M$7</f>
        <v>29.844</v>
      </c>
      <c r="Y63">
        <f>Codex_sources!$M$7</f>
        <v>29.844</v>
      </c>
      <c r="Z63">
        <f>Codex_sources!$M$7</f>
        <v>29.844</v>
      </c>
      <c r="AA63">
        <f>Codex_sources!$M$7</f>
        <v>29.844</v>
      </c>
      <c r="AB63">
        <f>Codex_sources!$M$7</f>
        <v>29.844</v>
      </c>
      <c r="AC63">
        <f>Codex_sources!$M$7</f>
        <v>29.844</v>
      </c>
      <c r="AD63">
        <f>Codex_sources!$M$7</f>
        <v>29.844</v>
      </c>
      <c r="AE63">
        <f>Codex_sources!$M$7</f>
        <v>29.844</v>
      </c>
      <c r="AF63">
        <f>Codex_sources!$M$7</f>
        <v>29.844</v>
      </c>
      <c r="AG63">
        <f>Codex_sources!$M$7</f>
        <v>29.844</v>
      </c>
      <c r="AH63">
        <f>Codex_sources!$M$7</f>
        <v>29.844</v>
      </c>
      <c r="AI63">
        <f>Codex_sources!$M$7</f>
        <v>29.844</v>
      </c>
      <c r="AJ63">
        <f>Codex_sources!$M$7</f>
        <v>29.844</v>
      </c>
      <c r="AK63">
        <f>Codex_sources!$M$7</f>
        <v>29.844</v>
      </c>
      <c r="AL63">
        <f>Codex_sources!$M$7</f>
        <v>29.844</v>
      </c>
      <c r="AM63">
        <f>Codex_sources!$M$7</f>
        <v>29.844</v>
      </c>
      <c r="AN63">
        <f>Codex_sources!$M$7</f>
        <v>29.844</v>
      </c>
      <c r="AO63" t="str">
        <f t="shared" si="1"/>
        <v>2019, 2130</v>
      </c>
    </row>
    <row r="64" spans="3:41">
      <c r="C64" t="s">
        <v>119</v>
      </c>
      <c r="D64" t="s">
        <v>442</v>
      </c>
      <c r="F64">
        <f>SUMIFS(Codex_USGS_raw!$D:$D,Codex_USGS_raw!$A:$A,Codex_sources!$A$7,Codex_USGS_raw!$C:$C,F$4)*Codex_sources!$D$7*2</f>
        <v>0</v>
      </c>
      <c r="G64">
        <f>SUMIFS(Codex_USGS_raw!$D:$D,Codex_USGS_raw!$A:$A,Codex_sources!$A$7,Codex_USGS_raw!$C:$C,G$4)*Codex_sources!$D$7*2</f>
        <v>332.246650322581</v>
      </c>
      <c r="H64">
        <f>SUMIFS(Codex_USGS_raw!$D:$D,Codex_USGS_raw!$A:$A,Codex_sources!$A$7,Codex_USGS_raw!$C:$C,H$4)*Codex_sources!$D$7*2</f>
        <v>5.25571870967742</v>
      </c>
      <c r="I64">
        <f>SUMIFS(Codex_USGS_raw!$D:$D,Codex_USGS_raw!$A:$A,Codex_sources!$A$7,Codex_USGS_raw!$C:$C,I$4)*Codex_sources!$D$7*2</f>
        <v>0</v>
      </c>
      <c r="J64">
        <f>SUMIFS(Codex_USGS_raw!$D:$D,Codex_USGS_raw!$A:$A,Codex_sources!$A$7,Codex_USGS_raw!$C:$C,J$4)*Codex_sources!$D$7*2</f>
        <v>0</v>
      </c>
      <c r="K64">
        <f>SUMIFS(Codex_USGS_raw!$D:$D,Codex_USGS_raw!$A:$A,Codex_sources!$A$7,Codex_USGS_raw!$C:$C,K$4)*Codex_sources!$D$7*2</f>
        <v>0</v>
      </c>
      <c r="L64">
        <f>SUMIFS(Codex_USGS_raw!$D:$D,Codex_USGS_raw!$A:$A,Codex_sources!$A$7,Codex_USGS_raw!$C:$C,L$4)*Codex_sources!$D$7*2</f>
        <v>0</v>
      </c>
      <c r="M64">
        <f>SUMIFS(Codex_USGS_raw!$D:$D,Codex_USGS_raw!$A:$A,Codex_sources!$A$7,Codex_USGS_raw!$C:$C,M$4)*Codex_sources!$D$7*2</f>
        <v>2.84092903225806</v>
      </c>
      <c r="N64">
        <f>SUMIFS(Codex_USGS_raw!$D:$D,Codex_USGS_raw!$A:$A,Codex_sources!$A$7,Codex_USGS_raw!$C:$C,N$4)*Codex_sources!$D$7*2</f>
        <v>0</v>
      </c>
      <c r="O64">
        <f>SUMIFS(Codex_USGS_raw!$D:$D,Codex_USGS_raw!$A:$A,Codex_sources!$A$7,Codex_USGS_raw!$C:$C,O$4)*Codex_sources!$D$7*2</f>
        <v>0</v>
      </c>
      <c r="P64">
        <f>SUMIFS(Codex_USGS_raw!$D:$D,Codex_USGS_raw!$A:$A,Codex_sources!$A$7,Codex_USGS_raw!$C:$C,P$4)*Codex_sources!$D$7*2</f>
        <v>0</v>
      </c>
      <c r="Q64">
        <f>SUMIFS(Codex_USGS_raw!$D:$D,Codex_USGS_raw!$A:$A,Codex_sources!$A$7,Codex_USGS_raw!$C:$C,Q$4)*Codex_sources!$D$7*2</f>
        <v>0</v>
      </c>
      <c r="R64">
        <f>SUMIFS(Codex_USGS_raw!$D:$D,Codex_USGS_raw!$A:$A,Codex_sources!$A$7,Codex_USGS_raw!$C:$C,R$4)*Codex_sources!$D$7*2</f>
        <v>0</v>
      </c>
      <c r="S64">
        <f>SUMIFS(Codex_USGS_raw!$D:$D,Codex_USGS_raw!$A:$A,Codex_sources!$A$7,Codex_USGS_raw!$C:$C,S$4)*Codex_sources!$D$7*2</f>
        <v>0</v>
      </c>
      <c r="T64">
        <f>SUMIFS(Codex_USGS_raw!$D:$D,Codex_USGS_raw!$A:$A,Codex_sources!$A$7,Codex_USGS_raw!$C:$C,T$4)*Codex_sources!$D$7*2</f>
        <v>0</v>
      </c>
      <c r="U64">
        <f>SUMIFS(Codex_USGS_raw!$D:$D,Codex_USGS_raw!$A:$A,Codex_sources!$A$7,Codex_USGS_raw!$C:$C,U$4)*Codex_sources!$D$7*2</f>
        <v>0</v>
      </c>
      <c r="V64">
        <f>SUMIFS(Codex_USGS_raw!$D:$D,Codex_USGS_raw!$A:$A,Codex_sources!$A$7,Codex_USGS_raw!$C:$C,V$4)*Codex_sources!$D$7*2</f>
        <v>0</v>
      </c>
      <c r="W64">
        <f>SUMIFS(Codex_USGS_raw!$D:$D,Codex_USGS_raw!$A:$A,Codex_sources!$A$7,Codex_USGS_raw!$C:$C,W$4)*Codex_sources!$D$7*2</f>
        <v>0</v>
      </c>
      <c r="X64">
        <f>SUMIFS(Codex_USGS_raw!$D:$D,Codex_USGS_raw!$A:$A,Codex_sources!$A$7,Codex_USGS_raw!$C:$C,X$4)*Codex_sources!$D$7*2</f>
        <v>0</v>
      </c>
      <c r="Y64">
        <f>SUMIFS(Codex_USGS_raw!$D:$D,Codex_USGS_raw!$A:$A,Codex_sources!$A$7,Codex_USGS_raw!$C:$C,Y$4)*Codex_sources!$D$7*2</f>
        <v>2.84092903225806</v>
      </c>
      <c r="Z64">
        <f>SUMIFS(Codex_USGS_raw!$D:$D,Codex_USGS_raw!$A:$A,Codex_sources!$A$7,Codex_USGS_raw!$C:$C,Z$4)*Codex_sources!$D$7*2</f>
        <v>0</v>
      </c>
      <c r="AA64">
        <f>SUMIFS(Codex_USGS_raw!$D:$D,Codex_USGS_raw!$A:$A,Codex_sources!$A$7,Codex_USGS_raw!$C:$C,AA$4)*Codex_sources!$D$7*2</f>
        <v>5.39776516129032</v>
      </c>
      <c r="AB64">
        <f>SUMIFS(Codex_USGS_raw!$D:$D,Codex_USGS_raw!$A:$A,Codex_sources!$A$7,Codex_USGS_raw!$C:$C,AB$4)*Codex_sources!$D$7*2</f>
        <v>0</v>
      </c>
      <c r="AC64">
        <f>SUMIFS(Codex_USGS_raw!$D:$D,Codex_USGS_raw!$A:$A,Codex_sources!$A$7,Codex_USGS_raw!$C:$C,AC$4)*Codex_sources!$D$7*2</f>
        <v>0</v>
      </c>
      <c r="AD64">
        <f>SUMIFS(Codex_USGS_raw!$D:$D,Codex_USGS_raw!$A:$A,Codex_sources!$A$7,Codex_USGS_raw!$C:$C,AD$4)*Codex_sources!$D$7*2</f>
        <v>84.6596851612903</v>
      </c>
      <c r="AE64">
        <f>SUMIFS(Codex_USGS_raw!$D:$D,Codex_USGS_raw!$A:$A,Codex_sources!$A$7,Codex_USGS_raw!$C:$C,AE$4)*Codex_sources!$D$7*2</f>
        <v>10.9375767741935</v>
      </c>
      <c r="AF64">
        <f>SUMIFS(Codex_USGS_raw!$D:$D,Codex_USGS_raw!$A:$A,Codex_sources!$A$7,Codex_USGS_raw!$C:$C,AF$4)*Codex_sources!$D$7*2</f>
        <v>0</v>
      </c>
      <c r="AG64">
        <f>SUMIFS(Codex_USGS_raw!$D:$D,Codex_USGS_raw!$A:$A,Codex_sources!$A$7,Codex_USGS_raw!$C:$C,AG$4)*Codex_sources!$D$7*2</f>
        <v>0</v>
      </c>
      <c r="AH64">
        <f>SUMIFS(Codex_USGS_raw!$D:$D,Codex_USGS_raw!$A:$A,Codex_sources!$A$7,Codex_USGS_raw!$C:$C,AH$4)*Codex_sources!$D$7*2</f>
        <v>0</v>
      </c>
      <c r="AI64">
        <f>SUMIFS(Codex_USGS_raw!$D:$D,Codex_USGS_raw!$A:$A,Codex_sources!$A$7,Codex_USGS_raw!$C:$C,AI$4)*Codex_sources!$D$7*2</f>
        <v>0</v>
      </c>
      <c r="AJ64">
        <f>SUMIFS(Codex_USGS_raw!$D:$D,Codex_USGS_raw!$A:$A,Codex_sources!$A$7,Codex_USGS_raw!$C:$C,AJ$4)*Codex_sources!$D$7*2</f>
        <v>0</v>
      </c>
      <c r="AK64">
        <f>SUMIFS(Codex_USGS_raw!$D:$D,Codex_USGS_raw!$A:$A,Codex_sources!$A$7,Codex_USGS_raw!$C:$C,AK$4)*Codex_sources!$D$7*2</f>
        <v>2.69888258064516</v>
      </c>
      <c r="AL64">
        <f>SUMIFS(Codex_USGS_raw!$D:$D,Codex_USGS_raw!$A:$A,Codex_sources!$A$7,Codex_USGS_raw!$C:$C,AL$4)*Codex_sources!$D$7*2</f>
        <v>0</v>
      </c>
      <c r="AM64">
        <f>SUMIFS(Codex_USGS_raw!$D:$D,Codex_USGS_raw!$A:$A,Codex_sources!$A$7,Codex_USGS_raw!$C:$C,AM$4)*Codex_sources!$D$7*2</f>
        <v>0</v>
      </c>
      <c r="AN64">
        <f>SUMIFS(Codex_USGS_raw!$D:$D,Codex_USGS_raw!$A:$A,Codex_sources!$A$7,Codex_USGS_raw!$C:$C,AN$4)*Codex_sources!$D$7*2</f>
        <v>0</v>
      </c>
      <c r="AO64" t="str">
        <f t="shared" si="1"/>
        <v>2019, 2130</v>
      </c>
    </row>
    <row r="65" spans="3:41">
      <c r="C65" t="s">
        <v>119</v>
      </c>
      <c r="D65" t="s">
        <v>115</v>
      </c>
      <c r="F65">
        <f>SUMIFS(Codex_USGS_raw!$E:$E,Codex_USGS_raw!$A:$A,Codex_sources!$A$7,Codex_USGS_raw!$C:$C,F$4)*Codex_sources!$D$7*Codex_sources!$K$7</f>
        <v>0</v>
      </c>
      <c r="G65">
        <f>SUMIFS(Codex_USGS_raw!$E:$E,Codex_USGS_raw!$A:$A,Codex_sources!$A$7,Codex_USGS_raw!$C:$C,G$4)*Codex_sources!$D$7*Codex_sources!$K$7</f>
        <v>2346.72575268817</v>
      </c>
      <c r="H65">
        <f>SUMIFS(Codex_USGS_raw!$E:$E,Codex_USGS_raw!$A:$A,Codex_sources!$A$7,Codex_USGS_raw!$C:$C,H$4)*Codex_sources!$D$7*Codex_sources!$K$7</f>
        <v>654.005537634409</v>
      </c>
      <c r="I65">
        <f>SUMIFS(Codex_USGS_raw!$E:$E,Codex_USGS_raw!$A:$A,Codex_sources!$A$7,Codex_USGS_raw!$C:$C,I$4)*Codex_sources!$D$7*Codex_sources!$K$7</f>
        <v>0</v>
      </c>
      <c r="J65">
        <f>SUMIFS(Codex_USGS_raw!$E:$E,Codex_USGS_raw!$A:$A,Codex_sources!$A$7,Codex_USGS_raw!$C:$C,J$4)*Codex_sources!$D$7*Codex_sources!$K$7</f>
        <v>0</v>
      </c>
      <c r="K65">
        <f>SUMIFS(Codex_USGS_raw!$E:$E,Codex_USGS_raw!$A:$A,Codex_sources!$A$7,Codex_USGS_raw!$C:$C,K$4)*Codex_sources!$D$7*Codex_sources!$K$7</f>
        <v>0</v>
      </c>
      <c r="L65">
        <f>SUMIFS(Codex_USGS_raw!$E:$E,Codex_USGS_raw!$A:$A,Codex_sources!$A$7,Codex_USGS_raw!$C:$C,L$4)*Codex_sources!$D$7*Codex_sources!$K$7</f>
        <v>0</v>
      </c>
      <c r="M65">
        <f>SUMIFS(Codex_USGS_raw!$E:$E,Codex_USGS_raw!$A:$A,Codex_sources!$A$7,Codex_USGS_raw!$C:$C,M$4)*Codex_sources!$D$7*Codex_sources!$K$7</f>
        <v>61.5534623655914</v>
      </c>
      <c r="N65">
        <f>SUMIFS(Codex_USGS_raw!$E:$E,Codex_USGS_raw!$A:$A,Codex_sources!$A$7,Codex_USGS_raw!$C:$C,N$4)*Codex_sources!$D$7*Codex_sources!$K$7</f>
        <v>0</v>
      </c>
      <c r="O65">
        <f>SUMIFS(Codex_USGS_raw!$E:$E,Codex_USGS_raw!$A:$A,Codex_sources!$A$7,Codex_USGS_raw!$C:$C,O$4)*Codex_sources!$D$7*Codex_sources!$K$7</f>
        <v>0</v>
      </c>
      <c r="P65">
        <f>SUMIFS(Codex_USGS_raw!$E:$E,Codex_USGS_raw!$A:$A,Codex_sources!$A$7,Codex_USGS_raw!$C:$C,P$4)*Codex_sources!$D$7*Codex_sources!$K$7</f>
        <v>0</v>
      </c>
      <c r="Q65">
        <f>SUMIFS(Codex_USGS_raw!$E:$E,Codex_USGS_raw!$A:$A,Codex_sources!$A$7,Codex_USGS_raw!$C:$C,Q$4)*Codex_sources!$D$7*Codex_sources!$K$7</f>
        <v>0</v>
      </c>
      <c r="R65">
        <f>SUMIFS(Codex_USGS_raw!$E:$E,Codex_USGS_raw!$A:$A,Codex_sources!$A$7,Codex_USGS_raw!$C:$C,R$4)*Codex_sources!$D$7*Codex_sources!$K$7</f>
        <v>0</v>
      </c>
      <c r="S65">
        <f>SUMIFS(Codex_USGS_raw!$E:$E,Codex_USGS_raw!$A:$A,Codex_sources!$A$7,Codex_USGS_raw!$C:$C,S$4)*Codex_sources!$D$7*Codex_sources!$K$7</f>
        <v>0</v>
      </c>
      <c r="T65">
        <f>SUMIFS(Codex_USGS_raw!$E:$E,Codex_USGS_raw!$A:$A,Codex_sources!$A$7,Codex_USGS_raw!$C:$C,T$4)*Codex_sources!$D$7*Codex_sources!$K$7</f>
        <v>0</v>
      </c>
      <c r="U65">
        <f>SUMIFS(Codex_USGS_raw!$E:$E,Codex_USGS_raw!$A:$A,Codex_sources!$A$7,Codex_USGS_raw!$C:$C,U$4)*Codex_sources!$D$7*Codex_sources!$K$7</f>
        <v>0</v>
      </c>
      <c r="V65">
        <f>SUMIFS(Codex_USGS_raw!$E:$E,Codex_USGS_raw!$A:$A,Codex_sources!$A$7,Codex_USGS_raw!$C:$C,V$4)*Codex_sources!$D$7*Codex_sources!$K$7</f>
        <v>0</v>
      </c>
      <c r="W65">
        <f>SUMIFS(Codex_USGS_raw!$E:$E,Codex_USGS_raw!$A:$A,Codex_sources!$A$7,Codex_USGS_raw!$C:$C,W$4)*Codex_sources!$D$7*Codex_sources!$K$7</f>
        <v>0</v>
      </c>
      <c r="X65">
        <f>SUMIFS(Codex_USGS_raw!$E:$E,Codex_USGS_raw!$A:$A,Codex_sources!$A$7,Codex_USGS_raw!$C:$C,X$4)*Codex_sources!$D$7*Codex_sources!$K$7</f>
        <v>0</v>
      </c>
      <c r="Y65">
        <f>SUMIFS(Codex_USGS_raw!$E:$E,Codex_USGS_raw!$A:$A,Codex_sources!$A$7,Codex_USGS_raw!$C:$C,Y$4)*Codex_sources!$D$7*Codex_sources!$K$7</f>
        <v>192.354569892473</v>
      </c>
      <c r="Z65">
        <f>SUMIFS(Codex_USGS_raw!$E:$E,Codex_USGS_raw!$A:$A,Codex_sources!$A$7,Codex_USGS_raw!$C:$C,Z$4)*Codex_sources!$D$7*Codex_sources!$K$7</f>
        <v>0</v>
      </c>
      <c r="AA65">
        <f>SUMIFS(Codex_USGS_raw!$E:$E,Codex_USGS_raw!$A:$A,Codex_sources!$A$7,Codex_USGS_raw!$C:$C,AA$4)*Codex_sources!$D$7*Codex_sources!$K$7</f>
        <v>111.565650537634</v>
      </c>
      <c r="AB65">
        <f>SUMIFS(Codex_USGS_raw!$E:$E,Codex_USGS_raw!$A:$A,Codex_sources!$A$7,Codex_USGS_raw!$C:$C,AB$4)*Codex_sources!$D$7*Codex_sources!$K$7</f>
        <v>0</v>
      </c>
      <c r="AC65">
        <f>SUMIFS(Codex_USGS_raw!$E:$E,Codex_USGS_raw!$A:$A,Codex_sources!$A$7,Codex_USGS_raw!$C:$C,AC$4)*Codex_sources!$D$7*Codex_sources!$K$7</f>
        <v>0</v>
      </c>
      <c r="AD65">
        <f>SUMIFS(Codex_USGS_raw!$E:$E,Codex_USGS_raw!$A:$A,Codex_sources!$A$7,Codex_USGS_raw!$C:$C,AD$4)*Codex_sources!$D$7*Codex_sources!$K$7</f>
        <v>724.792019354839</v>
      </c>
      <c r="AE65">
        <f>SUMIFS(Codex_USGS_raw!$E:$E,Codex_USGS_raw!$A:$A,Codex_sources!$A$7,Codex_USGS_raw!$C:$C,AE$4)*Codex_sources!$D$7*Codex_sources!$K$7</f>
        <v>307.767311827957</v>
      </c>
      <c r="AF65">
        <f>SUMIFS(Codex_USGS_raw!$E:$E,Codex_USGS_raw!$A:$A,Codex_sources!$A$7,Codex_USGS_raw!$C:$C,AF$4)*Codex_sources!$D$7*Codex_sources!$K$7</f>
        <v>0</v>
      </c>
      <c r="AG65">
        <f>SUMIFS(Codex_USGS_raw!$E:$E,Codex_USGS_raw!$A:$A,Codex_sources!$A$7,Codex_USGS_raw!$C:$C,AG$4)*Codex_sources!$D$7*Codex_sources!$K$7</f>
        <v>0</v>
      </c>
      <c r="AH65">
        <f>SUMIFS(Codex_USGS_raw!$E:$E,Codex_USGS_raw!$A:$A,Codex_sources!$A$7,Codex_USGS_raw!$C:$C,AH$4)*Codex_sources!$D$7*Codex_sources!$K$7</f>
        <v>0</v>
      </c>
      <c r="AI65">
        <f>SUMIFS(Codex_USGS_raw!$E:$E,Codex_USGS_raw!$A:$A,Codex_sources!$A$7,Codex_USGS_raw!$C:$C,AI$4)*Codex_sources!$D$7*Codex_sources!$K$7</f>
        <v>0</v>
      </c>
      <c r="AJ65">
        <f>SUMIFS(Codex_USGS_raw!$E:$E,Codex_USGS_raw!$A:$A,Codex_sources!$A$7,Codex_USGS_raw!$C:$C,AJ$4)*Codex_sources!$D$7*Codex_sources!$K$7</f>
        <v>0</v>
      </c>
      <c r="AK65">
        <f>SUMIFS(Codex_USGS_raw!$E:$E,Codex_USGS_raw!$A:$A,Codex_sources!$A$7,Codex_USGS_raw!$C:$C,AK$4)*Codex_sources!$D$7*Codex_sources!$K$7</f>
        <v>35.0085317204301</v>
      </c>
      <c r="AL65">
        <f>SUMIFS(Codex_USGS_raw!$E:$E,Codex_USGS_raw!$A:$A,Codex_sources!$A$7,Codex_USGS_raw!$C:$C,AL$4)*Codex_sources!$D$7*Codex_sources!$K$7</f>
        <v>0</v>
      </c>
      <c r="AM65">
        <f>SUMIFS(Codex_USGS_raw!$E:$E,Codex_USGS_raw!$A:$A,Codex_sources!$A$7,Codex_USGS_raw!$C:$C,AM$4)*Codex_sources!$D$7*Codex_sources!$K$7</f>
        <v>0</v>
      </c>
      <c r="AN65">
        <f>SUMIFS(Codex_USGS_raw!$E:$E,Codex_USGS_raw!$A:$A,Codex_sources!$A$7,Codex_USGS_raw!$C:$C,AN$4)*Codex_sources!$D$7*Codex_sources!$K$7</f>
        <v>0</v>
      </c>
      <c r="AO65" t="str">
        <f t="shared" si="1"/>
        <v>2019, 2130</v>
      </c>
    </row>
    <row r="66" spans="3:41">
      <c r="C66" t="s">
        <v>119</v>
      </c>
      <c r="D66" t="s">
        <v>444</v>
      </c>
      <c r="E66" t="s">
        <v>6</v>
      </c>
      <c r="F66">
        <f>Codex_sources!$N$7</f>
        <v>42.509</v>
      </c>
      <c r="G66">
        <f>Codex_sources!$N$7</f>
        <v>42.509</v>
      </c>
      <c r="H66">
        <f>Codex_sources!$N$7</f>
        <v>42.509</v>
      </c>
      <c r="I66">
        <f>Codex_sources!$N$7</f>
        <v>42.509</v>
      </c>
      <c r="J66">
        <f>Codex_sources!$N$7</f>
        <v>42.509</v>
      </c>
      <c r="K66">
        <f>Codex_sources!$N$7</f>
        <v>42.509</v>
      </c>
      <c r="L66">
        <f>Codex_sources!$N$7</f>
        <v>42.509</v>
      </c>
      <c r="M66">
        <f>Codex_sources!$N$7</f>
        <v>42.509</v>
      </c>
      <c r="N66">
        <f>Codex_sources!$N$7</f>
        <v>42.509</v>
      </c>
      <c r="O66">
        <f>Codex_sources!$N$7</f>
        <v>42.509</v>
      </c>
      <c r="P66">
        <f>Codex_sources!$N$7</f>
        <v>42.509</v>
      </c>
      <c r="Q66">
        <f>Codex_sources!$N$7</f>
        <v>42.509</v>
      </c>
      <c r="R66">
        <f>Codex_sources!$N$7</f>
        <v>42.509</v>
      </c>
      <c r="S66">
        <f>Codex_sources!$N$7</f>
        <v>42.509</v>
      </c>
      <c r="T66">
        <f>Codex_sources!$N$7</f>
        <v>42.509</v>
      </c>
      <c r="U66">
        <f>Codex_sources!$N$7</f>
        <v>42.509</v>
      </c>
      <c r="V66">
        <f>Codex_sources!$N$7</f>
        <v>42.509</v>
      </c>
      <c r="W66">
        <f>Codex_sources!$N$7</f>
        <v>42.509</v>
      </c>
      <c r="X66">
        <f>Codex_sources!$N$7</f>
        <v>42.509</v>
      </c>
      <c r="Y66">
        <f>Codex_sources!$N$7</f>
        <v>42.509</v>
      </c>
      <c r="Z66">
        <f>Codex_sources!$N$7</f>
        <v>42.509</v>
      </c>
      <c r="AA66">
        <f>Codex_sources!$N$7</f>
        <v>42.509</v>
      </c>
      <c r="AB66">
        <f>Codex_sources!$N$7</f>
        <v>42.509</v>
      </c>
      <c r="AC66">
        <f>Codex_sources!$N$7</f>
        <v>42.509</v>
      </c>
      <c r="AD66">
        <f>Codex_sources!$N$7</f>
        <v>42.509</v>
      </c>
      <c r="AE66">
        <f>Codex_sources!$N$7</f>
        <v>42.509</v>
      </c>
      <c r="AF66">
        <f>Codex_sources!$N$7</f>
        <v>42.509</v>
      </c>
      <c r="AG66">
        <f>Codex_sources!$N$7</f>
        <v>42.509</v>
      </c>
      <c r="AH66">
        <f>Codex_sources!$N$7</f>
        <v>42.509</v>
      </c>
      <c r="AI66">
        <f>Codex_sources!$N$7</f>
        <v>42.509</v>
      </c>
      <c r="AJ66">
        <f>Codex_sources!$N$7</f>
        <v>42.509</v>
      </c>
      <c r="AK66">
        <f>Codex_sources!$N$7</f>
        <v>42.509</v>
      </c>
      <c r="AL66">
        <f>Codex_sources!$N$7</f>
        <v>42.509</v>
      </c>
      <c r="AM66">
        <f>Codex_sources!$N$7</f>
        <v>42.509</v>
      </c>
      <c r="AN66">
        <f>Codex_sources!$N$7</f>
        <v>42.509</v>
      </c>
      <c r="AO66" t="str">
        <f t="shared" si="1"/>
        <v>2019, 2130</v>
      </c>
    </row>
    <row r="67" spans="3:41">
      <c r="C67" t="s">
        <v>120</v>
      </c>
      <c r="D67" t="s">
        <v>442</v>
      </c>
      <c r="AO67" t="str">
        <f t="shared" si="1"/>
        <v>2019, 2130</v>
      </c>
    </row>
    <row r="68" spans="3:41">
      <c r="C68" t="s">
        <v>120</v>
      </c>
      <c r="D68" t="s">
        <v>115</v>
      </c>
      <c r="F68">
        <f>SUMIFS(Codex_USGS_raw!$E:$E,Codex_USGS_raw!$A:$A,Codex_sources!$A$7,Codex_USGS_raw!$C:$C,F$4)*Codex_sources!$D$7*Codex_sources!$L$7</f>
        <v>0</v>
      </c>
      <c r="G68">
        <f>SUMIFS(Codex_USGS_raw!$E:$E,Codex_USGS_raw!$A:$A,Codex_sources!$A$7,Codex_USGS_raw!$C:$C,G$4)*Codex_sources!$D$7*Codex_sources!$L$7</f>
        <v>2346.72575268817</v>
      </c>
      <c r="H68">
        <f>SUMIFS(Codex_USGS_raw!$E:$E,Codex_USGS_raw!$A:$A,Codex_sources!$A$7,Codex_USGS_raw!$C:$C,H$4)*Codex_sources!$D$7*Codex_sources!$L$7</f>
        <v>654.005537634409</v>
      </c>
      <c r="I68">
        <f>SUMIFS(Codex_USGS_raw!$E:$E,Codex_USGS_raw!$A:$A,Codex_sources!$A$7,Codex_USGS_raw!$C:$C,I$4)*Codex_sources!$D$7*Codex_sources!$L$7</f>
        <v>0</v>
      </c>
      <c r="J68">
        <f>SUMIFS(Codex_USGS_raw!$E:$E,Codex_USGS_raw!$A:$A,Codex_sources!$A$7,Codex_USGS_raw!$C:$C,J$4)*Codex_sources!$D$7*Codex_sources!$L$7</f>
        <v>0</v>
      </c>
      <c r="K68">
        <f>SUMIFS(Codex_USGS_raw!$E:$E,Codex_USGS_raw!$A:$A,Codex_sources!$A$7,Codex_USGS_raw!$C:$C,K$4)*Codex_sources!$D$7*Codex_sources!$L$7</f>
        <v>0</v>
      </c>
      <c r="L68">
        <f>SUMIFS(Codex_USGS_raw!$E:$E,Codex_USGS_raw!$A:$A,Codex_sources!$A$7,Codex_USGS_raw!$C:$C,L$4)*Codex_sources!$D$7*Codex_sources!$L$7</f>
        <v>0</v>
      </c>
      <c r="M68">
        <f>SUMIFS(Codex_USGS_raw!$E:$E,Codex_USGS_raw!$A:$A,Codex_sources!$A$7,Codex_USGS_raw!$C:$C,M$4)*Codex_sources!$D$7*Codex_sources!$L$7</f>
        <v>61.5534623655914</v>
      </c>
      <c r="N68">
        <f>SUMIFS(Codex_USGS_raw!$E:$E,Codex_USGS_raw!$A:$A,Codex_sources!$A$7,Codex_USGS_raw!$C:$C,N$4)*Codex_sources!$D$7*Codex_sources!$L$7</f>
        <v>0</v>
      </c>
      <c r="O68">
        <f>SUMIFS(Codex_USGS_raw!$E:$E,Codex_USGS_raw!$A:$A,Codex_sources!$A$7,Codex_USGS_raw!$C:$C,O$4)*Codex_sources!$D$7*Codex_sources!$L$7</f>
        <v>0</v>
      </c>
      <c r="P68">
        <f>SUMIFS(Codex_USGS_raw!$E:$E,Codex_USGS_raw!$A:$A,Codex_sources!$A$7,Codex_USGS_raw!$C:$C,P$4)*Codex_sources!$D$7*Codex_sources!$L$7</f>
        <v>0</v>
      </c>
      <c r="Q68">
        <f>SUMIFS(Codex_USGS_raw!$E:$E,Codex_USGS_raw!$A:$A,Codex_sources!$A$7,Codex_USGS_raw!$C:$C,Q$4)*Codex_sources!$D$7*Codex_sources!$L$7</f>
        <v>0</v>
      </c>
      <c r="R68">
        <f>SUMIFS(Codex_USGS_raw!$E:$E,Codex_USGS_raw!$A:$A,Codex_sources!$A$7,Codex_USGS_raw!$C:$C,R$4)*Codex_sources!$D$7*Codex_sources!$L$7</f>
        <v>0</v>
      </c>
      <c r="S68">
        <f>SUMIFS(Codex_USGS_raw!$E:$E,Codex_USGS_raw!$A:$A,Codex_sources!$A$7,Codex_USGS_raw!$C:$C,S$4)*Codex_sources!$D$7*Codex_sources!$L$7</f>
        <v>0</v>
      </c>
      <c r="T68">
        <f>SUMIFS(Codex_USGS_raw!$E:$E,Codex_USGS_raw!$A:$A,Codex_sources!$A$7,Codex_USGS_raw!$C:$C,T$4)*Codex_sources!$D$7*Codex_sources!$L$7</f>
        <v>0</v>
      </c>
      <c r="U68">
        <f>SUMIFS(Codex_USGS_raw!$E:$E,Codex_USGS_raw!$A:$A,Codex_sources!$A$7,Codex_USGS_raw!$C:$C,U$4)*Codex_sources!$D$7*Codex_sources!$L$7</f>
        <v>0</v>
      </c>
      <c r="V68">
        <f>SUMIFS(Codex_USGS_raw!$E:$E,Codex_USGS_raw!$A:$A,Codex_sources!$A$7,Codex_USGS_raw!$C:$C,V$4)*Codex_sources!$D$7*Codex_sources!$L$7</f>
        <v>0</v>
      </c>
      <c r="W68">
        <f>SUMIFS(Codex_USGS_raw!$E:$E,Codex_USGS_raw!$A:$A,Codex_sources!$A$7,Codex_USGS_raw!$C:$C,W$4)*Codex_sources!$D$7*Codex_sources!$L$7</f>
        <v>0</v>
      </c>
      <c r="X68">
        <f>SUMIFS(Codex_USGS_raw!$E:$E,Codex_USGS_raw!$A:$A,Codex_sources!$A$7,Codex_USGS_raw!$C:$C,X$4)*Codex_sources!$D$7*Codex_sources!$L$7</f>
        <v>0</v>
      </c>
      <c r="Y68">
        <f>SUMIFS(Codex_USGS_raw!$E:$E,Codex_USGS_raw!$A:$A,Codex_sources!$A$7,Codex_USGS_raw!$C:$C,Y$4)*Codex_sources!$D$7*Codex_sources!$L$7</f>
        <v>192.354569892473</v>
      </c>
      <c r="Z68">
        <f>SUMIFS(Codex_USGS_raw!$E:$E,Codex_USGS_raw!$A:$A,Codex_sources!$A$7,Codex_USGS_raw!$C:$C,Z$4)*Codex_sources!$D$7*Codex_sources!$L$7</f>
        <v>0</v>
      </c>
      <c r="AA68">
        <f>SUMIFS(Codex_USGS_raw!$E:$E,Codex_USGS_raw!$A:$A,Codex_sources!$A$7,Codex_USGS_raw!$C:$C,AA$4)*Codex_sources!$D$7*Codex_sources!$L$7</f>
        <v>111.565650537634</v>
      </c>
      <c r="AB68">
        <f>SUMIFS(Codex_USGS_raw!$E:$E,Codex_USGS_raw!$A:$A,Codex_sources!$A$7,Codex_USGS_raw!$C:$C,AB$4)*Codex_sources!$D$7*Codex_sources!$L$7</f>
        <v>0</v>
      </c>
      <c r="AC68">
        <f>SUMIFS(Codex_USGS_raw!$E:$E,Codex_USGS_raw!$A:$A,Codex_sources!$A$7,Codex_USGS_raw!$C:$C,AC$4)*Codex_sources!$D$7*Codex_sources!$L$7</f>
        <v>0</v>
      </c>
      <c r="AD68">
        <f>SUMIFS(Codex_USGS_raw!$E:$E,Codex_USGS_raw!$A:$A,Codex_sources!$A$7,Codex_USGS_raw!$C:$C,AD$4)*Codex_sources!$D$7*Codex_sources!$L$7</f>
        <v>724.792019354839</v>
      </c>
      <c r="AE68">
        <f>SUMIFS(Codex_USGS_raw!$E:$E,Codex_USGS_raw!$A:$A,Codex_sources!$A$7,Codex_USGS_raw!$C:$C,AE$4)*Codex_sources!$D$7*Codex_sources!$L$7</f>
        <v>307.767311827957</v>
      </c>
      <c r="AF68">
        <f>SUMIFS(Codex_USGS_raw!$E:$E,Codex_USGS_raw!$A:$A,Codex_sources!$A$7,Codex_USGS_raw!$C:$C,AF$4)*Codex_sources!$D$7*Codex_sources!$L$7</f>
        <v>0</v>
      </c>
      <c r="AG68">
        <f>SUMIFS(Codex_USGS_raw!$E:$E,Codex_USGS_raw!$A:$A,Codex_sources!$A$7,Codex_USGS_raw!$C:$C,AG$4)*Codex_sources!$D$7*Codex_sources!$L$7</f>
        <v>0</v>
      </c>
      <c r="AH68">
        <f>SUMIFS(Codex_USGS_raw!$E:$E,Codex_USGS_raw!$A:$A,Codex_sources!$A$7,Codex_USGS_raw!$C:$C,AH$4)*Codex_sources!$D$7*Codex_sources!$L$7</f>
        <v>0</v>
      </c>
      <c r="AI68">
        <f>SUMIFS(Codex_USGS_raw!$E:$E,Codex_USGS_raw!$A:$A,Codex_sources!$A$7,Codex_USGS_raw!$C:$C,AI$4)*Codex_sources!$D$7*Codex_sources!$L$7</f>
        <v>0</v>
      </c>
      <c r="AJ68">
        <f>SUMIFS(Codex_USGS_raw!$E:$E,Codex_USGS_raw!$A:$A,Codex_sources!$A$7,Codex_USGS_raw!$C:$C,AJ$4)*Codex_sources!$D$7*Codex_sources!$L$7</f>
        <v>0</v>
      </c>
      <c r="AK68">
        <f>SUMIFS(Codex_USGS_raw!$E:$E,Codex_USGS_raw!$A:$A,Codex_sources!$A$7,Codex_USGS_raw!$C:$C,AK$4)*Codex_sources!$D$7*Codex_sources!$L$7</f>
        <v>35.0085317204301</v>
      </c>
      <c r="AL68">
        <f>SUMIFS(Codex_USGS_raw!$E:$E,Codex_USGS_raw!$A:$A,Codex_sources!$A$7,Codex_USGS_raw!$C:$C,AL$4)*Codex_sources!$D$7*Codex_sources!$L$7</f>
        <v>0</v>
      </c>
      <c r="AM68">
        <f>SUMIFS(Codex_USGS_raw!$E:$E,Codex_USGS_raw!$A:$A,Codex_sources!$A$7,Codex_USGS_raw!$C:$C,AM$4)*Codex_sources!$D$7*Codex_sources!$L$7</f>
        <v>0</v>
      </c>
      <c r="AN68">
        <f>SUMIFS(Codex_USGS_raw!$E:$E,Codex_USGS_raw!$A:$A,Codex_sources!$A$7,Codex_USGS_raw!$C:$C,AN$4)*Codex_sources!$D$7*Codex_sources!$L$7</f>
        <v>0</v>
      </c>
      <c r="AO68" t="str">
        <f t="shared" si="1"/>
        <v>2019, 2130</v>
      </c>
    </row>
    <row r="69" spans="3:41">
      <c r="C69" t="s">
        <v>120</v>
      </c>
      <c r="D69" t="s">
        <v>444</v>
      </c>
      <c r="E69" t="s">
        <v>6</v>
      </c>
      <c r="F69">
        <f>Codex_sources!$O$7</f>
        <v>46.7599</v>
      </c>
      <c r="G69">
        <f>Codex_sources!$O$7</f>
        <v>46.7599</v>
      </c>
      <c r="H69">
        <f>Codex_sources!$O$7</f>
        <v>46.7599</v>
      </c>
      <c r="I69">
        <f>Codex_sources!$O$7</f>
        <v>46.7599</v>
      </c>
      <c r="J69">
        <f>Codex_sources!$O$7</f>
        <v>46.7599</v>
      </c>
      <c r="K69">
        <f>Codex_sources!$O$7</f>
        <v>46.7599</v>
      </c>
      <c r="L69">
        <f>Codex_sources!$O$7</f>
        <v>46.7599</v>
      </c>
      <c r="M69">
        <f>Codex_sources!$O$7</f>
        <v>46.7599</v>
      </c>
      <c r="N69">
        <f>Codex_sources!$O$7</f>
        <v>46.7599</v>
      </c>
      <c r="O69">
        <f>Codex_sources!$O$7</f>
        <v>46.7599</v>
      </c>
      <c r="P69">
        <f>Codex_sources!$O$7</f>
        <v>46.7599</v>
      </c>
      <c r="Q69">
        <f>Codex_sources!$O$7</f>
        <v>46.7599</v>
      </c>
      <c r="R69">
        <f>Codex_sources!$O$7</f>
        <v>46.7599</v>
      </c>
      <c r="S69">
        <f>Codex_sources!$O$7</f>
        <v>46.7599</v>
      </c>
      <c r="T69">
        <f>Codex_sources!$O$7</f>
        <v>46.7599</v>
      </c>
      <c r="U69">
        <f>Codex_sources!$O$7</f>
        <v>46.7599</v>
      </c>
      <c r="V69">
        <f>Codex_sources!$O$7</f>
        <v>46.7599</v>
      </c>
      <c r="W69">
        <f>Codex_sources!$O$7</f>
        <v>46.7599</v>
      </c>
      <c r="X69">
        <f>Codex_sources!$O$7</f>
        <v>46.7599</v>
      </c>
      <c r="Y69">
        <f>Codex_sources!$O$7</f>
        <v>46.7599</v>
      </c>
      <c r="Z69">
        <f>Codex_sources!$O$7</f>
        <v>46.7599</v>
      </c>
      <c r="AA69">
        <f>Codex_sources!$O$7</f>
        <v>46.7599</v>
      </c>
      <c r="AB69">
        <f>Codex_sources!$O$7</f>
        <v>46.7599</v>
      </c>
      <c r="AC69">
        <f>Codex_sources!$O$7</f>
        <v>46.7599</v>
      </c>
      <c r="AD69">
        <f>Codex_sources!$O$7</f>
        <v>46.7599</v>
      </c>
      <c r="AE69">
        <f>Codex_sources!$O$7</f>
        <v>46.7599</v>
      </c>
      <c r="AF69">
        <f>Codex_sources!$O$7</f>
        <v>46.7599</v>
      </c>
      <c r="AG69">
        <f>Codex_sources!$O$7</f>
        <v>46.7599</v>
      </c>
      <c r="AH69">
        <f>Codex_sources!$O$7</f>
        <v>46.7599</v>
      </c>
      <c r="AI69">
        <f>Codex_sources!$O$7</f>
        <v>46.7599</v>
      </c>
      <c r="AJ69">
        <f>Codex_sources!$O$7</f>
        <v>46.7599</v>
      </c>
      <c r="AK69">
        <f>Codex_sources!$O$7</f>
        <v>46.7599</v>
      </c>
      <c r="AL69">
        <f>Codex_sources!$O$7</f>
        <v>46.7599</v>
      </c>
      <c r="AM69">
        <f>Codex_sources!$O$7</f>
        <v>46.7599</v>
      </c>
      <c r="AN69">
        <f>Codex_sources!$O$7</f>
        <v>46.7599</v>
      </c>
      <c r="AO69" t="str">
        <f t="shared" si="1"/>
        <v>2019, 2130</v>
      </c>
    </row>
    <row r="70" spans="3:41">
      <c r="AO70" t="str">
        <f t="shared" si="1"/>
        <v>2019, 2130</v>
      </c>
    </row>
    <row r="71" spans="3:41">
      <c r="C71" t="s">
        <v>124</v>
      </c>
      <c r="D71" t="s">
        <v>442</v>
      </c>
      <c r="F71">
        <f>SUMIFS(Codex_USGS_raw!$D:$D,Codex_USGS_raw!$A:$A,Codex_sources!$A$8,Codex_USGS_raw!$C:$C,F$4)*Codex_sources!$D$8*1</f>
        <v>0</v>
      </c>
      <c r="G71">
        <f>SUMIFS(Codex_USGS_raw!$D:$D,Codex_USGS_raw!$A:$A,Codex_sources!$A$8,Codex_USGS_raw!$C:$C,G$4)*Codex_sources!$D$8*1</f>
        <v>74.235</v>
      </c>
      <c r="H71">
        <f>SUMIFS(Codex_USGS_raw!$D:$D,Codex_USGS_raw!$A:$A,Codex_sources!$A$8,Codex_USGS_raw!$C:$C,H$4)*Codex_sources!$D$8*1</f>
        <v>16.16</v>
      </c>
      <c r="I71">
        <f>SUMIFS(Codex_USGS_raw!$D:$D,Codex_USGS_raw!$A:$A,Codex_sources!$A$8,Codex_USGS_raw!$C:$C,I$4)*Codex_sources!$D$8*1</f>
        <v>0</v>
      </c>
      <c r="J71">
        <f>SUMIFS(Codex_USGS_raw!$D:$D,Codex_USGS_raw!$A:$A,Codex_sources!$A$8,Codex_USGS_raw!$C:$C,J$4)*Codex_sources!$D$8*1</f>
        <v>0</v>
      </c>
      <c r="K71">
        <f>SUMIFS(Codex_USGS_raw!$D:$D,Codex_USGS_raw!$A:$A,Codex_sources!$A$8,Codex_USGS_raw!$C:$C,K$4)*Codex_sources!$D$8*1</f>
        <v>0</v>
      </c>
      <c r="L71">
        <f>SUMIFS(Codex_USGS_raw!$D:$D,Codex_USGS_raw!$A:$A,Codex_sources!$A$8,Codex_USGS_raw!$C:$C,L$4)*Codex_sources!$D$8*1</f>
        <v>8.08</v>
      </c>
      <c r="M71">
        <f>SUMIFS(Codex_USGS_raw!$D:$D,Codex_USGS_raw!$A:$A,Codex_sources!$A$8,Codex_USGS_raw!$C:$C,M$4)*Codex_sources!$D$8*1</f>
        <v>7.07</v>
      </c>
      <c r="N71">
        <f>SUMIFS(Codex_USGS_raw!$D:$D,Codex_USGS_raw!$A:$A,Codex_sources!$A$8,Codex_USGS_raw!$C:$C,N$4)*Codex_sources!$D$8*1</f>
        <v>0</v>
      </c>
      <c r="O71">
        <f>SUMIFS(Codex_USGS_raw!$D:$D,Codex_USGS_raw!$A:$A,Codex_sources!$A$8,Codex_USGS_raw!$C:$C,O$4)*Codex_sources!$D$8*1</f>
        <v>0</v>
      </c>
      <c r="P71">
        <f>SUMIFS(Codex_USGS_raw!$D:$D,Codex_USGS_raw!$A:$A,Codex_sources!$A$8,Codex_USGS_raw!$C:$C,P$4)*Codex_sources!$D$8*1</f>
        <v>0</v>
      </c>
      <c r="Q71">
        <f>SUMIFS(Codex_USGS_raw!$D:$D,Codex_USGS_raw!$A:$A,Codex_sources!$A$8,Codex_USGS_raw!$C:$C,Q$4)*Codex_sources!$D$8*1</f>
        <v>0</v>
      </c>
      <c r="R71">
        <f>SUMIFS(Codex_USGS_raw!$D:$D,Codex_USGS_raw!$A:$A,Codex_sources!$A$8,Codex_USGS_raw!$C:$C,R$4)*Codex_sources!$D$8*1</f>
        <v>0</v>
      </c>
      <c r="S71">
        <f>SUMIFS(Codex_USGS_raw!$D:$D,Codex_USGS_raw!$A:$A,Codex_sources!$A$8,Codex_USGS_raw!$C:$C,S$4)*Codex_sources!$D$8*1</f>
        <v>0</v>
      </c>
      <c r="T71">
        <f>SUMIFS(Codex_USGS_raw!$D:$D,Codex_USGS_raw!$A:$A,Codex_sources!$A$8,Codex_USGS_raw!$C:$C,T$4)*Codex_sources!$D$8*1</f>
        <v>0</v>
      </c>
      <c r="U71">
        <f>SUMIFS(Codex_USGS_raw!$D:$D,Codex_USGS_raw!$A:$A,Codex_sources!$A$8,Codex_USGS_raw!$C:$C,U$4)*Codex_sources!$D$8*1</f>
        <v>7.979</v>
      </c>
      <c r="V71">
        <f>SUMIFS(Codex_USGS_raw!$D:$D,Codex_USGS_raw!$A:$A,Codex_sources!$A$8,Codex_USGS_raw!$C:$C,V$4)*Codex_sources!$D$8*1</f>
        <v>0</v>
      </c>
      <c r="W71">
        <f>SUMIFS(Codex_USGS_raw!$D:$D,Codex_USGS_raw!$A:$A,Codex_sources!$A$8,Codex_USGS_raw!$C:$C,W$4)*Codex_sources!$D$8*1</f>
        <v>0</v>
      </c>
      <c r="X71">
        <f>SUMIFS(Codex_USGS_raw!$D:$D,Codex_USGS_raw!$A:$A,Codex_sources!$A$8,Codex_USGS_raw!$C:$C,X$4)*Codex_sources!$D$8*1</f>
        <v>0</v>
      </c>
      <c r="Y71">
        <f>SUMIFS(Codex_USGS_raw!$D:$D,Codex_USGS_raw!$A:$A,Codex_sources!$A$8,Codex_USGS_raw!$C:$C,Y$4)*Codex_sources!$D$8*1</f>
        <v>0</v>
      </c>
      <c r="Z71">
        <f>SUMIFS(Codex_USGS_raw!$D:$D,Codex_USGS_raw!$A:$A,Codex_sources!$A$8,Codex_USGS_raw!$C:$C,Z$4)*Codex_sources!$D$8*1</f>
        <v>0</v>
      </c>
      <c r="AA71">
        <f>SUMIFS(Codex_USGS_raw!$D:$D,Codex_USGS_raw!$A:$A,Codex_sources!$A$8,Codex_USGS_raw!$C:$C,AA$4)*Codex_sources!$D$8*1</f>
        <v>0</v>
      </c>
      <c r="AB71">
        <f>SUMIFS(Codex_USGS_raw!$D:$D,Codex_USGS_raw!$A:$A,Codex_sources!$A$8,Codex_USGS_raw!$C:$C,AB$4)*Codex_sources!$D$8*1</f>
        <v>0</v>
      </c>
      <c r="AC71">
        <f>SUMIFS(Codex_USGS_raw!$D:$D,Codex_USGS_raw!$A:$A,Codex_sources!$A$8,Codex_USGS_raw!$C:$C,AC$4)*Codex_sources!$D$8*1</f>
        <v>0</v>
      </c>
      <c r="AD71">
        <f>SUMIFS(Codex_USGS_raw!$D:$D,Codex_USGS_raw!$A:$A,Codex_sources!$A$8,Codex_USGS_raw!$C:$C,AD$4)*Codex_sources!$D$8*1</f>
        <v>13.13</v>
      </c>
      <c r="AE71">
        <f>SUMIFS(Codex_USGS_raw!$D:$D,Codex_USGS_raw!$A:$A,Codex_sources!$A$8,Codex_USGS_raw!$C:$C,AE$4)*Codex_sources!$D$8*1</f>
        <v>0</v>
      </c>
      <c r="AF71">
        <f>SUMIFS(Codex_USGS_raw!$D:$D,Codex_USGS_raw!$A:$A,Codex_sources!$A$8,Codex_USGS_raw!$C:$C,AF$4)*Codex_sources!$D$8*1</f>
        <v>0</v>
      </c>
      <c r="AG71">
        <f>SUMIFS(Codex_USGS_raw!$D:$D,Codex_USGS_raw!$A:$A,Codex_sources!$A$8,Codex_USGS_raw!$C:$C,AG$4)*Codex_sources!$D$8*1</f>
        <v>76.76</v>
      </c>
      <c r="AH71">
        <f>SUMIFS(Codex_USGS_raw!$D:$D,Codex_USGS_raw!$A:$A,Codex_sources!$A$8,Codex_USGS_raw!$C:$C,AH$4)*Codex_sources!$D$8*1</f>
        <v>0</v>
      </c>
      <c r="AI71">
        <f>SUMIFS(Codex_USGS_raw!$D:$D,Codex_USGS_raw!$A:$A,Codex_sources!$A$8,Codex_USGS_raw!$C:$C,AI$4)*Codex_sources!$D$8*1</f>
        <v>0</v>
      </c>
      <c r="AJ71">
        <f>SUMIFS(Codex_USGS_raw!$D:$D,Codex_USGS_raw!$A:$A,Codex_sources!$A$8,Codex_USGS_raw!$C:$C,AJ$4)*Codex_sources!$D$8*1</f>
        <v>0</v>
      </c>
      <c r="AK71">
        <f>SUMIFS(Codex_USGS_raw!$D:$D,Codex_USGS_raw!$A:$A,Codex_sources!$A$8,Codex_USGS_raw!$C:$C,AK$4)*Codex_sources!$D$8*1</f>
        <v>0</v>
      </c>
      <c r="AL71">
        <f>SUMIFS(Codex_USGS_raw!$D:$D,Codex_USGS_raw!$A:$A,Codex_sources!$A$8,Codex_USGS_raw!$C:$C,AL$4)*Codex_sources!$D$8*1</f>
        <v>0</v>
      </c>
      <c r="AM71">
        <f>SUMIFS(Codex_USGS_raw!$D:$D,Codex_USGS_raw!$A:$A,Codex_sources!$A$8,Codex_USGS_raw!$C:$C,AM$4)*Codex_sources!$D$8*1</f>
        <v>0</v>
      </c>
      <c r="AN71">
        <f>SUMIFS(Codex_USGS_raw!$D:$D,Codex_USGS_raw!$A:$A,Codex_sources!$A$8,Codex_USGS_raw!$C:$C,AN$4)*Codex_sources!$D$8*1</f>
        <v>0</v>
      </c>
      <c r="AO71" t="str">
        <f t="shared" si="1"/>
        <v>2019, 2130</v>
      </c>
    </row>
    <row r="72" spans="3:41">
      <c r="C72" t="s">
        <v>124</v>
      </c>
      <c r="D72" t="s">
        <v>115</v>
      </c>
      <c r="F72">
        <f>SUMIFS(Codex_USGS_raw!$E:$E,Codex_USGS_raw!$A:$A,Codex_sources!$A$8,Codex_USGS_raw!$C:$C,F$4)*Codex_sources!$D$8*Codex_sources!$J$8</f>
        <v>0</v>
      </c>
      <c r="G72">
        <f>SUMIFS(Codex_USGS_raw!$E:$E,Codex_USGS_raw!$A:$A,Codex_sources!$A$8,Codex_USGS_raw!$C:$C,G$4)*Codex_sources!$D$8*Codex_sources!$J$8</f>
        <v>747.4</v>
      </c>
      <c r="H72">
        <f>SUMIFS(Codex_USGS_raw!$E:$E,Codex_USGS_raw!$A:$A,Codex_sources!$A$8,Codex_USGS_raw!$C:$C,H$4)*Codex_sources!$D$8*Codex_sources!$J$8</f>
        <v>5858</v>
      </c>
      <c r="I72">
        <f>SUMIFS(Codex_USGS_raw!$E:$E,Codex_USGS_raw!$A:$A,Codex_sources!$A$8,Codex_USGS_raw!$C:$C,I$4)*Codex_sources!$D$8*Codex_sources!$J$8</f>
        <v>0</v>
      </c>
      <c r="J72">
        <f>SUMIFS(Codex_USGS_raw!$E:$E,Codex_USGS_raw!$A:$A,Codex_sources!$A$8,Codex_USGS_raw!$C:$C,J$4)*Codex_sources!$D$8*Codex_sources!$J$8</f>
        <v>0</v>
      </c>
      <c r="K72">
        <f>SUMIFS(Codex_USGS_raw!$E:$E,Codex_USGS_raw!$A:$A,Codex_sources!$A$8,Codex_USGS_raw!$C:$C,K$4)*Codex_sources!$D$8*Codex_sources!$J$8</f>
        <v>0</v>
      </c>
      <c r="L72">
        <f>SUMIFS(Codex_USGS_raw!$E:$E,Codex_USGS_raw!$A:$A,Codex_sources!$A$8,Codex_USGS_raw!$C:$C,L$4)*Codex_sources!$D$8*Codex_sources!$J$8</f>
        <v>3030</v>
      </c>
      <c r="M72">
        <f>SUMIFS(Codex_USGS_raw!$E:$E,Codex_USGS_raw!$A:$A,Codex_sources!$A$8,Codex_USGS_raw!$C:$C,M$4)*Codex_sources!$D$8*Codex_sources!$J$8</f>
        <v>2626</v>
      </c>
      <c r="N72">
        <f>SUMIFS(Codex_USGS_raw!$E:$E,Codex_USGS_raw!$A:$A,Codex_sources!$A$8,Codex_USGS_raw!$C:$C,N$4)*Codex_sources!$D$8*Codex_sources!$J$8</f>
        <v>0</v>
      </c>
      <c r="O72">
        <f>SUMIFS(Codex_USGS_raw!$E:$E,Codex_USGS_raw!$A:$A,Codex_sources!$A$8,Codex_USGS_raw!$C:$C,O$4)*Codex_sources!$D$8*Codex_sources!$J$8</f>
        <v>0</v>
      </c>
      <c r="P72">
        <f>SUMIFS(Codex_USGS_raw!$E:$E,Codex_USGS_raw!$A:$A,Codex_sources!$A$8,Codex_USGS_raw!$C:$C,P$4)*Codex_sources!$D$8*Codex_sources!$J$8</f>
        <v>0</v>
      </c>
      <c r="Q72">
        <f>SUMIFS(Codex_USGS_raw!$E:$E,Codex_USGS_raw!$A:$A,Codex_sources!$A$8,Codex_USGS_raw!$C:$C,Q$4)*Codex_sources!$D$8*Codex_sources!$J$8</f>
        <v>0</v>
      </c>
      <c r="R72">
        <f>SUMIFS(Codex_USGS_raw!$E:$E,Codex_USGS_raw!$A:$A,Codex_sources!$A$8,Codex_USGS_raw!$C:$C,R$4)*Codex_sources!$D$8*Codex_sources!$J$8</f>
        <v>0</v>
      </c>
      <c r="S72">
        <f>SUMIFS(Codex_USGS_raw!$E:$E,Codex_USGS_raw!$A:$A,Codex_sources!$A$8,Codex_USGS_raw!$C:$C,S$4)*Codex_sources!$D$8*Codex_sources!$J$8</f>
        <v>0</v>
      </c>
      <c r="T72">
        <f>SUMIFS(Codex_USGS_raw!$E:$E,Codex_USGS_raw!$A:$A,Codex_sources!$A$8,Codex_USGS_raw!$C:$C,T$4)*Codex_sources!$D$8*Codex_sources!$J$8</f>
        <v>0</v>
      </c>
      <c r="U72">
        <f>SUMIFS(Codex_USGS_raw!$E:$E,Codex_USGS_raw!$A:$A,Codex_sources!$A$8,Codex_USGS_raw!$C:$C,U$4)*Codex_sources!$D$8*Codex_sources!$J$8</f>
        <v>343.4</v>
      </c>
      <c r="V72">
        <f>SUMIFS(Codex_USGS_raw!$E:$E,Codex_USGS_raw!$A:$A,Codex_sources!$A$8,Codex_USGS_raw!$C:$C,V$4)*Codex_sources!$D$8*Codex_sources!$J$8</f>
        <v>0</v>
      </c>
      <c r="W72">
        <f>SUMIFS(Codex_USGS_raw!$E:$E,Codex_USGS_raw!$A:$A,Codex_sources!$A$8,Codex_USGS_raw!$C:$C,W$4)*Codex_sources!$D$8*Codex_sources!$J$8</f>
        <v>0</v>
      </c>
      <c r="X72">
        <f>SUMIFS(Codex_USGS_raw!$E:$E,Codex_USGS_raw!$A:$A,Codex_sources!$A$8,Codex_USGS_raw!$C:$C,X$4)*Codex_sources!$D$8*Codex_sources!$J$8</f>
        <v>0</v>
      </c>
      <c r="Y72">
        <f>SUMIFS(Codex_USGS_raw!$E:$E,Codex_USGS_raw!$A:$A,Codex_sources!$A$8,Codex_USGS_raw!$C:$C,Y$4)*Codex_sources!$D$8*Codex_sources!$J$8</f>
        <v>0</v>
      </c>
      <c r="Z72">
        <f>SUMIFS(Codex_USGS_raw!$E:$E,Codex_USGS_raw!$A:$A,Codex_sources!$A$8,Codex_USGS_raw!$C:$C,Z$4)*Codex_sources!$D$8*Codex_sources!$J$8</f>
        <v>0</v>
      </c>
      <c r="AA72">
        <f>SUMIFS(Codex_USGS_raw!$E:$E,Codex_USGS_raw!$A:$A,Codex_sources!$A$8,Codex_USGS_raw!$C:$C,AA$4)*Codex_sources!$D$8*Codex_sources!$J$8</f>
        <v>0</v>
      </c>
      <c r="AB72">
        <f>SUMIFS(Codex_USGS_raw!$E:$E,Codex_USGS_raw!$A:$A,Codex_sources!$A$8,Codex_USGS_raw!$C:$C,AB$4)*Codex_sources!$D$8*Codex_sources!$J$8</f>
        <v>0</v>
      </c>
      <c r="AC72">
        <f>SUMIFS(Codex_USGS_raw!$E:$E,Codex_USGS_raw!$A:$A,Codex_sources!$A$8,Codex_USGS_raw!$C:$C,AC$4)*Codex_sources!$D$8*Codex_sources!$J$8</f>
        <v>0</v>
      </c>
      <c r="AD72">
        <f>SUMIFS(Codex_USGS_raw!$E:$E,Codex_USGS_raw!$A:$A,Codex_sources!$A$8,Codex_USGS_raw!$C:$C,AD$4)*Codex_sources!$D$8*Codex_sources!$J$8</f>
        <v>20.2</v>
      </c>
      <c r="AE72">
        <f>SUMIFS(Codex_USGS_raw!$E:$E,Codex_USGS_raw!$A:$A,Codex_sources!$A$8,Codex_USGS_raw!$C:$C,AE$4)*Codex_sources!$D$8*Codex_sources!$J$8</f>
        <v>0</v>
      </c>
      <c r="AF72">
        <f>SUMIFS(Codex_USGS_raw!$E:$E,Codex_USGS_raw!$A:$A,Codex_sources!$A$8,Codex_USGS_raw!$C:$C,AF$4)*Codex_sources!$D$8*Codex_sources!$J$8</f>
        <v>0</v>
      </c>
      <c r="AG72">
        <f>SUMIFS(Codex_USGS_raw!$E:$E,Codex_USGS_raw!$A:$A,Codex_sources!$A$8,Codex_USGS_raw!$C:$C,AG$4)*Codex_sources!$D$8*Codex_sources!$J$8</f>
        <v>5555</v>
      </c>
      <c r="AH72">
        <f>SUMIFS(Codex_USGS_raw!$E:$E,Codex_USGS_raw!$A:$A,Codex_sources!$A$8,Codex_USGS_raw!$C:$C,AH$4)*Codex_sources!$D$8*Codex_sources!$J$8</f>
        <v>0</v>
      </c>
      <c r="AI72">
        <f>SUMIFS(Codex_USGS_raw!$E:$E,Codex_USGS_raw!$A:$A,Codex_sources!$A$8,Codex_USGS_raw!$C:$C,AI$4)*Codex_sources!$D$8*Codex_sources!$J$8</f>
        <v>0</v>
      </c>
      <c r="AJ72">
        <f>SUMIFS(Codex_USGS_raw!$E:$E,Codex_USGS_raw!$A:$A,Codex_sources!$A$8,Codex_USGS_raw!$C:$C,AJ$4)*Codex_sources!$D$8*Codex_sources!$J$8</f>
        <v>0</v>
      </c>
      <c r="AK72">
        <f>SUMIFS(Codex_USGS_raw!$E:$E,Codex_USGS_raw!$A:$A,Codex_sources!$A$8,Codex_USGS_raw!$C:$C,AK$4)*Codex_sources!$D$8*Codex_sources!$J$8</f>
        <v>0</v>
      </c>
      <c r="AL72">
        <f>SUMIFS(Codex_USGS_raw!$E:$E,Codex_USGS_raw!$A:$A,Codex_sources!$A$8,Codex_USGS_raw!$C:$C,AL$4)*Codex_sources!$D$8*Codex_sources!$J$8</f>
        <v>0</v>
      </c>
      <c r="AM72">
        <f>SUMIFS(Codex_USGS_raw!$E:$E,Codex_USGS_raw!$A:$A,Codex_sources!$A$8,Codex_USGS_raw!$C:$C,AM$4)*Codex_sources!$D$8*Codex_sources!$J$8</f>
        <v>0</v>
      </c>
      <c r="AN72">
        <f>SUMIFS(Codex_USGS_raw!$E:$E,Codex_USGS_raw!$A:$A,Codex_sources!$A$8,Codex_USGS_raw!$C:$C,AN$4)*Codex_sources!$D$8*Codex_sources!$J$8</f>
        <v>0</v>
      </c>
      <c r="AO72" t="str">
        <f t="shared" si="1"/>
        <v>2019, 2130</v>
      </c>
    </row>
    <row r="73" spans="3:41">
      <c r="C73" t="s">
        <v>124</v>
      </c>
      <c r="D73" t="s">
        <v>444</v>
      </c>
      <c r="E73" t="s">
        <v>9</v>
      </c>
      <c r="F73">
        <f>Codex_sources!$M$8</f>
        <v>0.45</v>
      </c>
      <c r="G73">
        <f>Codex_sources!$M$8</f>
        <v>0.45</v>
      </c>
      <c r="H73">
        <f>Codex_sources!$M$8</f>
        <v>0.45</v>
      </c>
      <c r="I73">
        <f>Codex_sources!$M$8</f>
        <v>0.45</v>
      </c>
      <c r="J73">
        <f>Codex_sources!$M$8</f>
        <v>0.45</v>
      </c>
      <c r="K73">
        <f>Codex_sources!$M$8</f>
        <v>0.45</v>
      </c>
      <c r="L73">
        <f>Codex_sources!$M$8</f>
        <v>0.45</v>
      </c>
      <c r="M73">
        <f>Codex_sources!$M$8</f>
        <v>0.45</v>
      </c>
      <c r="N73">
        <f>Codex_sources!$M$8</f>
        <v>0.45</v>
      </c>
      <c r="O73">
        <f>Codex_sources!$M$8</f>
        <v>0.45</v>
      </c>
      <c r="P73">
        <f>Codex_sources!$M$8</f>
        <v>0.45</v>
      </c>
      <c r="Q73">
        <f>Codex_sources!$M$8</f>
        <v>0.45</v>
      </c>
      <c r="R73">
        <f>Codex_sources!$M$8</f>
        <v>0.45</v>
      </c>
      <c r="S73">
        <f>Codex_sources!$M$8</f>
        <v>0.45</v>
      </c>
      <c r="T73">
        <f>Codex_sources!$M$8</f>
        <v>0.45</v>
      </c>
      <c r="U73">
        <f>Codex_sources!$M$8</f>
        <v>0.45</v>
      </c>
      <c r="V73">
        <f>Codex_sources!$M$8</f>
        <v>0.45</v>
      </c>
      <c r="W73">
        <f>Codex_sources!$M$8</f>
        <v>0.45</v>
      </c>
      <c r="X73">
        <f>Codex_sources!$M$8</f>
        <v>0.45</v>
      </c>
      <c r="Y73">
        <f>Codex_sources!$M$8</f>
        <v>0.45</v>
      </c>
      <c r="Z73">
        <f>Codex_sources!$M$8</f>
        <v>0.45</v>
      </c>
      <c r="AA73">
        <f>Codex_sources!$M$8</f>
        <v>0.45</v>
      </c>
      <c r="AB73">
        <f>Codex_sources!$M$8</f>
        <v>0.45</v>
      </c>
      <c r="AC73">
        <f>Codex_sources!$M$8</f>
        <v>0.45</v>
      </c>
      <c r="AD73">
        <f>Codex_sources!$M$8</f>
        <v>0.45</v>
      </c>
      <c r="AE73">
        <f>Codex_sources!$M$8</f>
        <v>0.45</v>
      </c>
      <c r="AF73">
        <f>Codex_sources!$M$8</f>
        <v>0.45</v>
      </c>
      <c r="AG73">
        <f>Codex_sources!$M$8</f>
        <v>0.45</v>
      </c>
      <c r="AH73">
        <f>Codex_sources!$M$8</f>
        <v>0.45</v>
      </c>
      <c r="AI73">
        <f>Codex_sources!$M$8</f>
        <v>0.45</v>
      </c>
      <c r="AJ73">
        <f>Codex_sources!$M$8</f>
        <v>0.45</v>
      </c>
      <c r="AK73">
        <f>Codex_sources!$M$8</f>
        <v>0.45</v>
      </c>
      <c r="AL73">
        <f>Codex_sources!$M$8</f>
        <v>0.45</v>
      </c>
      <c r="AM73">
        <f>Codex_sources!$M$8</f>
        <v>0.45</v>
      </c>
      <c r="AN73">
        <f>Codex_sources!$M$8</f>
        <v>0.45</v>
      </c>
      <c r="AO73" t="str">
        <f t="shared" si="1"/>
        <v>2019, 2130</v>
      </c>
    </row>
    <row r="74" spans="3:41">
      <c r="C74" t="s">
        <v>125</v>
      </c>
      <c r="D74" t="s">
        <v>442</v>
      </c>
      <c r="F74">
        <f>SUMIFS(Codex_USGS_raw!$D:$D,Codex_USGS_raw!$A:$A,Codex_sources!$A$8,Codex_USGS_raw!$C:$C,F$4)*Codex_sources!$D$8*2</f>
        <v>0</v>
      </c>
      <c r="G74">
        <f>SUMIFS(Codex_USGS_raw!$D:$D,Codex_USGS_raw!$A:$A,Codex_sources!$A$8,Codex_USGS_raw!$C:$C,G$4)*Codex_sources!$D$8*2</f>
        <v>148.47</v>
      </c>
      <c r="H74">
        <f>SUMIFS(Codex_USGS_raw!$D:$D,Codex_USGS_raw!$A:$A,Codex_sources!$A$8,Codex_USGS_raw!$C:$C,H$4)*Codex_sources!$D$8*2</f>
        <v>32.32</v>
      </c>
      <c r="I74">
        <f>SUMIFS(Codex_USGS_raw!$D:$D,Codex_USGS_raw!$A:$A,Codex_sources!$A$8,Codex_USGS_raw!$C:$C,I$4)*Codex_sources!$D$8*2</f>
        <v>0</v>
      </c>
      <c r="J74">
        <f>SUMIFS(Codex_USGS_raw!$D:$D,Codex_USGS_raw!$A:$A,Codex_sources!$A$8,Codex_USGS_raw!$C:$C,J$4)*Codex_sources!$D$8*2</f>
        <v>0</v>
      </c>
      <c r="K74">
        <f>SUMIFS(Codex_USGS_raw!$D:$D,Codex_USGS_raw!$A:$A,Codex_sources!$A$8,Codex_USGS_raw!$C:$C,K$4)*Codex_sources!$D$8*2</f>
        <v>0</v>
      </c>
      <c r="L74">
        <f>SUMIFS(Codex_USGS_raw!$D:$D,Codex_USGS_raw!$A:$A,Codex_sources!$A$8,Codex_USGS_raw!$C:$C,L$4)*Codex_sources!$D$8*2</f>
        <v>16.16</v>
      </c>
      <c r="M74">
        <f>SUMIFS(Codex_USGS_raw!$D:$D,Codex_USGS_raw!$A:$A,Codex_sources!$A$8,Codex_USGS_raw!$C:$C,M$4)*Codex_sources!$D$8*2</f>
        <v>14.14</v>
      </c>
      <c r="N74">
        <f>SUMIFS(Codex_USGS_raw!$D:$D,Codex_USGS_raw!$A:$A,Codex_sources!$A$8,Codex_USGS_raw!$C:$C,N$4)*Codex_sources!$D$8*2</f>
        <v>0</v>
      </c>
      <c r="O74">
        <f>SUMIFS(Codex_USGS_raw!$D:$D,Codex_USGS_raw!$A:$A,Codex_sources!$A$8,Codex_USGS_raw!$C:$C,O$4)*Codex_sources!$D$8*2</f>
        <v>0</v>
      </c>
      <c r="P74">
        <f>SUMIFS(Codex_USGS_raw!$D:$D,Codex_USGS_raw!$A:$A,Codex_sources!$A$8,Codex_USGS_raw!$C:$C,P$4)*Codex_sources!$D$8*2</f>
        <v>0</v>
      </c>
      <c r="Q74">
        <f>SUMIFS(Codex_USGS_raw!$D:$D,Codex_USGS_raw!$A:$A,Codex_sources!$A$8,Codex_USGS_raw!$C:$C,Q$4)*Codex_sources!$D$8*2</f>
        <v>0</v>
      </c>
      <c r="R74">
        <f>SUMIFS(Codex_USGS_raw!$D:$D,Codex_USGS_raw!$A:$A,Codex_sources!$A$8,Codex_USGS_raw!$C:$C,R$4)*Codex_sources!$D$8*2</f>
        <v>0</v>
      </c>
      <c r="S74">
        <f>SUMIFS(Codex_USGS_raw!$D:$D,Codex_USGS_raw!$A:$A,Codex_sources!$A$8,Codex_USGS_raw!$C:$C,S$4)*Codex_sources!$D$8*2</f>
        <v>0</v>
      </c>
      <c r="T74">
        <f>SUMIFS(Codex_USGS_raw!$D:$D,Codex_USGS_raw!$A:$A,Codex_sources!$A$8,Codex_USGS_raw!$C:$C,T$4)*Codex_sources!$D$8*2</f>
        <v>0</v>
      </c>
      <c r="U74">
        <f>SUMIFS(Codex_USGS_raw!$D:$D,Codex_USGS_raw!$A:$A,Codex_sources!$A$8,Codex_USGS_raw!$C:$C,U$4)*Codex_sources!$D$8*2</f>
        <v>15.958</v>
      </c>
      <c r="V74">
        <f>SUMIFS(Codex_USGS_raw!$D:$D,Codex_USGS_raw!$A:$A,Codex_sources!$A$8,Codex_USGS_raw!$C:$C,V$4)*Codex_sources!$D$8*2</f>
        <v>0</v>
      </c>
      <c r="W74">
        <f>SUMIFS(Codex_USGS_raw!$D:$D,Codex_USGS_raw!$A:$A,Codex_sources!$A$8,Codex_USGS_raw!$C:$C,W$4)*Codex_sources!$D$8*2</f>
        <v>0</v>
      </c>
      <c r="X74">
        <f>SUMIFS(Codex_USGS_raw!$D:$D,Codex_USGS_raw!$A:$A,Codex_sources!$A$8,Codex_USGS_raw!$C:$C,X$4)*Codex_sources!$D$8*2</f>
        <v>0</v>
      </c>
      <c r="Y74">
        <f>SUMIFS(Codex_USGS_raw!$D:$D,Codex_USGS_raw!$A:$A,Codex_sources!$A$8,Codex_USGS_raw!$C:$C,Y$4)*Codex_sources!$D$8*2</f>
        <v>0</v>
      </c>
      <c r="Z74">
        <f>SUMIFS(Codex_USGS_raw!$D:$D,Codex_USGS_raw!$A:$A,Codex_sources!$A$8,Codex_USGS_raw!$C:$C,Z$4)*Codex_sources!$D$8*2</f>
        <v>0</v>
      </c>
      <c r="AA74">
        <f>SUMIFS(Codex_USGS_raw!$D:$D,Codex_USGS_raw!$A:$A,Codex_sources!$A$8,Codex_USGS_raw!$C:$C,AA$4)*Codex_sources!$D$8*2</f>
        <v>0</v>
      </c>
      <c r="AB74">
        <f>SUMIFS(Codex_USGS_raw!$D:$D,Codex_USGS_raw!$A:$A,Codex_sources!$A$8,Codex_USGS_raw!$C:$C,AB$4)*Codex_sources!$D$8*2</f>
        <v>0</v>
      </c>
      <c r="AC74">
        <f>SUMIFS(Codex_USGS_raw!$D:$D,Codex_USGS_raw!$A:$A,Codex_sources!$A$8,Codex_USGS_raw!$C:$C,AC$4)*Codex_sources!$D$8*2</f>
        <v>0</v>
      </c>
      <c r="AD74">
        <f>SUMIFS(Codex_USGS_raw!$D:$D,Codex_USGS_raw!$A:$A,Codex_sources!$A$8,Codex_USGS_raw!$C:$C,AD$4)*Codex_sources!$D$8*2</f>
        <v>26.26</v>
      </c>
      <c r="AE74">
        <f>SUMIFS(Codex_USGS_raw!$D:$D,Codex_USGS_raw!$A:$A,Codex_sources!$A$8,Codex_USGS_raw!$C:$C,AE$4)*Codex_sources!$D$8*2</f>
        <v>0</v>
      </c>
      <c r="AF74">
        <f>SUMIFS(Codex_USGS_raw!$D:$D,Codex_USGS_raw!$A:$A,Codex_sources!$A$8,Codex_USGS_raw!$C:$C,AF$4)*Codex_sources!$D$8*2</f>
        <v>0</v>
      </c>
      <c r="AG74">
        <f>SUMIFS(Codex_USGS_raw!$D:$D,Codex_USGS_raw!$A:$A,Codex_sources!$A$8,Codex_USGS_raw!$C:$C,AG$4)*Codex_sources!$D$8*2</f>
        <v>153.52</v>
      </c>
      <c r="AH74">
        <f>SUMIFS(Codex_USGS_raw!$D:$D,Codex_USGS_raw!$A:$A,Codex_sources!$A$8,Codex_USGS_raw!$C:$C,AH$4)*Codex_sources!$D$8*2</f>
        <v>0</v>
      </c>
      <c r="AI74">
        <f>SUMIFS(Codex_USGS_raw!$D:$D,Codex_USGS_raw!$A:$A,Codex_sources!$A$8,Codex_USGS_raw!$C:$C,AI$4)*Codex_sources!$D$8*2</f>
        <v>0</v>
      </c>
      <c r="AJ74">
        <f>SUMIFS(Codex_USGS_raw!$D:$D,Codex_USGS_raw!$A:$A,Codex_sources!$A$8,Codex_USGS_raw!$C:$C,AJ$4)*Codex_sources!$D$8*2</f>
        <v>0</v>
      </c>
      <c r="AK74">
        <f>SUMIFS(Codex_USGS_raw!$D:$D,Codex_USGS_raw!$A:$A,Codex_sources!$A$8,Codex_USGS_raw!$C:$C,AK$4)*Codex_sources!$D$8*2</f>
        <v>0</v>
      </c>
      <c r="AL74">
        <f>SUMIFS(Codex_USGS_raw!$D:$D,Codex_USGS_raw!$A:$A,Codex_sources!$A$8,Codex_USGS_raw!$C:$C,AL$4)*Codex_sources!$D$8*2</f>
        <v>0</v>
      </c>
      <c r="AM74">
        <f>SUMIFS(Codex_USGS_raw!$D:$D,Codex_USGS_raw!$A:$A,Codex_sources!$A$8,Codex_USGS_raw!$C:$C,AM$4)*Codex_sources!$D$8*2</f>
        <v>0</v>
      </c>
      <c r="AN74">
        <f>SUMIFS(Codex_USGS_raw!$D:$D,Codex_USGS_raw!$A:$A,Codex_sources!$A$8,Codex_USGS_raw!$C:$C,AN$4)*Codex_sources!$D$8*2</f>
        <v>0</v>
      </c>
      <c r="AO74" t="str">
        <f t="shared" si="1"/>
        <v>2019, 2130</v>
      </c>
    </row>
    <row r="75" spans="3:41">
      <c r="C75" t="s">
        <v>125</v>
      </c>
      <c r="D75" t="s">
        <v>115</v>
      </c>
      <c r="F75">
        <f>SUMIFS(Codex_USGS_raw!$E:$E,Codex_USGS_raw!$A:$A,Codex_sources!$A$8,Codex_USGS_raw!$C:$C,F$4)*Codex_sources!$D$8*Codex_sources!$K$8</f>
        <v>0</v>
      </c>
      <c r="G75">
        <f>SUMIFS(Codex_USGS_raw!$E:$E,Codex_USGS_raw!$A:$A,Codex_sources!$A$8,Codex_USGS_raw!$C:$C,G$4)*Codex_sources!$D$8*Codex_sources!$K$8</f>
        <v>3155.68888888889</v>
      </c>
      <c r="H75">
        <f>SUMIFS(Codex_USGS_raw!$E:$E,Codex_USGS_raw!$A:$A,Codex_sources!$A$8,Codex_USGS_raw!$C:$C,H$4)*Codex_sources!$D$8*Codex_sources!$K$8</f>
        <v>24733.7777777778</v>
      </c>
      <c r="I75">
        <f>SUMIFS(Codex_USGS_raw!$E:$E,Codex_USGS_raw!$A:$A,Codex_sources!$A$8,Codex_USGS_raw!$C:$C,I$4)*Codex_sources!$D$8*Codex_sources!$K$8</f>
        <v>0</v>
      </c>
      <c r="J75">
        <f>SUMIFS(Codex_USGS_raw!$E:$E,Codex_USGS_raw!$A:$A,Codex_sources!$A$8,Codex_USGS_raw!$C:$C,J$4)*Codex_sources!$D$8*Codex_sources!$K$8</f>
        <v>0</v>
      </c>
      <c r="K75">
        <f>SUMIFS(Codex_USGS_raw!$E:$E,Codex_USGS_raw!$A:$A,Codex_sources!$A$8,Codex_USGS_raw!$C:$C,K$4)*Codex_sources!$D$8*Codex_sources!$K$8</f>
        <v>0</v>
      </c>
      <c r="L75">
        <f>SUMIFS(Codex_USGS_raw!$E:$E,Codex_USGS_raw!$A:$A,Codex_sources!$A$8,Codex_USGS_raw!$C:$C,L$4)*Codex_sources!$D$8*Codex_sources!$K$8</f>
        <v>12793.3333333333</v>
      </c>
      <c r="M75">
        <f>SUMIFS(Codex_USGS_raw!$E:$E,Codex_USGS_raw!$A:$A,Codex_sources!$A$8,Codex_USGS_raw!$C:$C,M$4)*Codex_sources!$D$8*Codex_sources!$K$8</f>
        <v>11087.5555555555</v>
      </c>
      <c r="N75">
        <f>SUMIFS(Codex_USGS_raw!$E:$E,Codex_USGS_raw!$A:$A,Codex_sources!$A$8,Codex_USGS_raw!$C:$C,N$4)*Codex_sources!$D$8*Codex_sources!$K$8</f>
        <v>0</v>
      </c>
      <c r="O75">
        <f>SUMIFS(Codex_USGS_raw!$E:$E,Codex_USGS_raw!$A:$A,Codex_sources!$A$8,Codex_USGS_raw!$C:$C,O$4)*Codex_sources!$D$8*Codex_sources!$K$8</f>
        <v>0</v>
      </c>
      <c r="P75">
        <f>SUMIFS(Codex_USGS_raw!$E:$E,Codex_USGS_raw!$A:$A,Codex_sources!$A$8,Codex_USGS_raw!$C:$C,P$4)*Codex_sources!$D$8*Codex_sources!$K$8</f>
        <v>0</v>
      </c>
      <c r="Q75">
        <f>SUMIFS(Codex_USGS_raw!$E:$E,Codex_USGS_raw!$A:$A,Codex_sources!$A$8,Codex_USGS_raw!$C:$C,Q$4)*Codex_sources!$D$8*Codex_sources!$K$8</f>
        <v>0</v>
      </c>
      <c r="R75">
        <f>SUMIFS(Codex_USGS_raw!$E:$E,Codex_USGS_raw!$A:$A,Codex_sources!$A$8,Codex_USGS_raw!$C:$C,R$4)*Codex_sources!$D$8*Codex_sources!$K$8</f>
        <v>0</v>
      </c>
      <c r="S75">
        <f>SUMIFS(Codex_USGS_raw!$E:$E,Codex_USGS_raw!$A:$A,Codex_sources!$A$8,Codex_USGS_raw!$C:$C,S$4)*Codex_sources!$D$8*Codex_sources!$K$8</f>
        <v>0</v>
      </c>
      <c r="T75">
        <f>SUMIFS(Codex_USGS_raw!$E:$E,Codex_USGS_raw!$A:$A,Codex_sources!$A$8,Codex_USGS_raw!$C:$C,T$4)*Codex_sources!$D$8*Codex_sources!$K$8</f>
        <v>0</v>
      </c>
      <c r="U75">
        <f>SUMIFS(Codex_USGS_raw!$E:$E,Codex_USGS_raw!$A:$A,Codex_sources!$A$8,Codex_USGS_raw!$C:$C,U$4)*Codex_sources!$D$8*Codex_sources!$K$8</f>
        <v>1449.91111111111</v>
      </c>
      <c r="V75">
        <f>SUMIFS(Codex_USGS_raw!$E:$E,Codex_USGS_raw!$A:$A,Codex_sources!$A$8,Codex_USGS_raw!$C:$C,V$4)*Codex_sources!$D$8*Codex_sources!$K$8</f>
        <v>0</v>
      </c>
      <c r="W75">
        <f>SUMIFS(Codex_USGS_raw!$E:$E,Codex_USGS_raw!$A:$A,Codex_sources!$A$8,Codex_USGS_raw!$C:$C,W$4)*Codex_sources!$D$8*Codex_sources!$K$8</f>
        <v>0</v>
      </c>
      <c r="X75">
        <f>SUMIFS(Codex_USGS_raw!$E:$E,Codex_USGS_raw!$A:$A,Codex_sources!$A$8,Codex_USGS_raw!$C:$C,X$4)*Codex_sources!$D$8*Codex_sources!$K$8</f>
        <v>0</v>
      </c>
      <c r="Y75">
        <f>SUMIFS(Codex_USGS_raw!$E:$E,Codex_USGS_raw!$A:$A,Codex_sources!$A$8,Codex_USGS_raw!$C:$C,Y$4)*Codex_sources!$D$8*Codex_sources!$K$8</f>
        <v>0</v>
      </c>
      <c r="Z75">
        <f>SUMIFS(Codex_USGS_raw!$E:$E,Codex_USGS_raw!$A:$A,Codex_sources!$A$8,Codex_USGS_raw!$C:$C,Z$4)*Codex_sources!$D$8*Codex_sources!$K$8</f>
        <v>0</v>
      </c>
      <c r="AA75">
        <f>SUMIFS(Codex_USGS_raw!$E:$E,Codex_USGS_raw!$A:$A,Codex_sources!$A$8,Codex_USGS_raw!$C:$C,AA$4)*Codex_sources!$D$8*Codex_sources!$K$8</f>
        <v>0</v>
      </c>
      <c r="AB75">
        <f>SUMIFS(Codex_USGS_raw!$E:$E,Codex_USGS_raw!$A:$A,Codex_sources!$A$8,Codex_USGS_raw!$C:$C,AB$4)*Codex_sources!$D$8*Codex_sources!$K$8</f>
        <v>0</v>
      </c>
      <c r="AC75">
        <f>SUMIFS(Codex_USGS_raw!$E:$E,Codex_USGS_raw!$A:$A,Codex_sources!$A$8,Codex_USGS_raw!$C:$C,AC$4)*Codex_sources!$D$8*Codex_sources!$K$8</f>
        <v>0</v>
      </c>
      <c r="AD75">
        <f>SUMIFS(Codex_USGS_raw!$E:$E,Codex_USGS_raw!$A:$A,Codex_sources!$A$8,Codex_USGS_raw!$C:$C,AD$4)*Codex_sources!$D$8*Codex_sources!$K$8</f>
        <v>85.2888888888888</v>
      </c>
      <c r="AE75">
        <f>SUMIFS(Codex_USGS_raw!$E:$E,Codex_USGS_raw!$A:$A,Codex_sources!$A$8,Codex_USGS_raw!$C:$C,AE$4)*Codex_sources!$D$8*Codex_sources!$K$8</f>
        <v>0</v>
      </c>
      <c r="AF75">
        <f>SUMIFS(Codex_USGS_raw!$E:$E,Codex_USGS_raw!$A:$A,Codex_sources!$A$8,Codex_USGS_raw!$C:$C,AF$4)*Codex_sources!$D$8*Codex_sources!$K$8</f>
        <v>0</v>
      </c>
      <c r="AG75">
        <f>SUMIFS(Codex_USGS_raw!$E:$E,Codex_USGS_raw!$A:$A,Codex_sources!$A$8,Codex_USGS_raw!$C:$C,AG$4)*Codex_sources!$D$8*Codex_sources!$K$8</f>
        <v>23454.4444444444</v>
      </c>
      <c r="AH75">
        <f>SUMIFS(Codex_USGS_raw!$E:$E,Codex_USGS_raw!$A:$A,Codex_sources!$A$8,Codex_USGS_raw!$C:$C,AH$4)*Codex_sources!$D$8*Codex_sources!$K$8</f>
        <v>0</v>
      </c>
      <c r="AI75">
        <f>SUMIFS(Codex_USGS_raw!$E:$E,Codex_USGS_raw!$A:$A,Codex_sources!$A$8,Codex_USGS_raw!$C:$C,AI$4)*Codex_sources!$D$8*Codex_sources!$K$8</f>
        <v>0</v>
      </c>
      <c r="AJ75">
        <f>SUMIFS(Codex_USGS_raw!$E:$E,Codex_USGS_raw!$A:$A,Codex_sources!$A$8,Codex_USGS_raw!$C:$C,AJ$4)*Codex_sources!$D$8*Codex_sources!$K$8</f>
        <v>0</v>
      </c>
      <c r="AK75">
        <f>SUMIFS(Codex_USGS_raw!$E:$E,Codex_USGS_raw!$A:$A,Codex_sources!$A$8,Codex_USGS_raw!$C:$C,AK$4)*Codex_sources!$D$8*Codex_sources!$K$8</f>
        <v>0</v>
      </c>
      <c r="AL75">
        <f>SUMIFS(Codex_USGS_raw!$E:$E,Codex_USGS_raw!$A:$A,Codex_sources!$A$8,Codex_USGS_raw!$C:$C,AL$4)*Codex_sources!$D$8*Codex_sources!$K$8</f>
        <v>0</v>
      </c>
      <c r="AM75">
        <f>SUMIFS(Codex_USGS_raw!$E:$E,Codex_USGS_raw!$A:$A,Codex_sources!$A$8,Codex_USGS_raw!$C:$C,AM$4)*Codex_sources!$D$8*Codex_sources!$K$8</f>
        <v>0</v>
      </c>
      <c r="AN75">
        <f>SUMIFS(Codex_USGS_raw!$E:$E,Codex_USGS_raw!$A:$A,Codex_sources!$A$8,Codex_USGS_raw!$C:$C,AN$4)*Codex_sources!$D$8*Codex_sources!$K$8</f>
        <v>0</v>
      </c>
      <c r="AO75" t="str">
        <f t="shared" si="1"/>
        <v>2019, 2130</v>
      </c>
    </row>
    <row r="76" spans="3:41">
      <c r="C76" t="s">
        <v>125</v>
      </c>
      <c r="D76" t="s">
        <v>444</v>
      </c>
      <c r="E76" t="s">
        <v>9</v>
      </c>
      <c r="F76">
        <f>Codex_sources!$N$8</f>
        <v>1.35</v>
      </c>
      <c r="G76">
        <f>Codex_sources!$N$8</f>
        <v>1.35</v>
      </c>
      <c r="H76">
        <f>Codex_sources!$N$8</f>
        <v>1.35</v>
      </c>
      <c r="I76">
        <f>Codex_sources!$N$8</f>
        <v>1.35</v>
      </c>
      <c r="J76">
        <f>Codex_sources!$N$8</f>
        <v>1.35</v>
      </c>
      <c r="K76">
        <f>Codex_sources!$N$8</f>
        <v>1.35</v>
      </c>
      <c r="L76">
        <f>Codex_sources!$N$8</f>
        <v>1.35</v>
      </c>
      <c r="M76">
        <f>Codex_sources!$N$8</f>
        <v>1.35</v>
      </c>
      <c r="N76">
        <f>Codex_sources!$N$8</f>
        <v>1.35</v>
      </c>
      <c r="O76">
        <f>Codex_sources!$N$8</f>
        <v>1.35</v>
      </c>
      <c r="P76">
        <f>Codex_sources!$N$8</f>
        <v>1.35</v>
      </c>
      <c r="Q76">
        <f>Codex_sources!$N$8</f>
        <v>1.35</v>
      </c>
      <c r="R76">
        <f>Codex_sources!$N$8</f>
        <v>1.35</v>
      </c>
      <c r="S76">
        <f>Codex_sources!$N$8</f>
        <v>1.35</v>
      </c>
      <c r="T76">
        <f>Codex_sources!$N$8</f>
        <v>1.35</v>
      </c>
      <c r="U76">
        <f>Codex_sources!$N$8</f>
        <v>1.35</v>
      </c>
      <c r="V76">
        <f>Codex_sources!$N$8</f>
        <v>1.35</v>
      </c>
      <c r="W76">
        <f>Codex_sources!$N$8</f>
        <v>1.35</v>
      </c>
      <c r="X76">
        <f>Codex_sources!$N$8</f>
        <v>1.35</v>
      </c>
      <c r="Y76">
        <f>Codex_sources!$N$8</f>
        <v>1.35</v>
      </c>
      <c r="Z76">
        <f>Codex_sources!$N$8</f>
        <v>1.35</v>
      </c>
      <c r="AA76">
        <f>Codex_sources!$N$8</f>
        <v>1.35</v>
      </c>
      <c r="AB76">
        <f>Codex_sources!$N$8</f>
        <v>1.35</v>
      </c>
      <c r="AC76">
        <f>Codex_sources!$N$8</f>
        <v>1.35</v>
      </c>
      <c r="AD76">
        <f>Codex_sources!$N$8</f>
        <v>1.35</v>
      </c>
      <c r="AE76">
        <f>Codex_sources!$N$8</f>
        <v>1.35</v>
      </c>
      <c r="AF76">
        <f>Codex_sources!$N$8</f>
        <v>1.35</v>
      </c>
      <c r="AG76">
        <f>Codex_sources!$N$8</f>
        <v>1.35</v>
      </c>
      <c r="AH76">
        <f>Codex_sources!$N$8</f>
        <v>1.35</v>
      </c>
      <c r="AI76">
        <f>Codex_sources!$N$8</f>
        <v>1.35</v>
      </c>
      <c r="AJ76">
        <f>Codex_sources!$N$8</f>
        <v>1.35</v>
      </c>
      <c r="AK76">
        <f>Codex_sources!$N$8</f>
        <v>1.35</v>
      </c>
      <c r="AL76">
        <f>Codex_sources!$N$8</f>
        <v>1.35</v>
      </c>
      <c r="AM76">
        <f>Codex_sources!$N$8</f>
        <v>1.35</v>
      </c>
      <c r="AN76">
        <f>Codex_sources!$N$8</f>
        <v>1.35</v>
      </c>
      <c r="AO76" t="str">
        <f t="shared" si="1"/>
        <v>2019, 2130</v>
      </c>
    </row>
    <row r="77" spans="3:41">
      <c r="C77" t="s">
        <v>126</v>
      </c>
      <c r="D77" t="s">
        <v>442</v>
      </c>
      <c r="AO77" t="str">
        <f t="shared" si="1"/>
        <v>2019, 2130</v>
      </c>
    </row>
    <row r="78" spans="3:41">
      <c r="C78" t="s">
        <v>126</v>
      </c>
      <c r="D78" t="s">
        <v>115</v>
      </c>
      <c r="F78">
        <f>SUMIFS(Codex_USGS_raw!$E:$E,Codex_USGS_raw!$A:$A,Codex_sources!$A$8,Codex_USGS_raw!$C:$C,F$4)*Codex_sources!$D$8*Codex_sources!$L$8</f>
        <v>0</v>
      </c>
      <c r="G78">
        <f>SUMIFS(Codex_USGS_raw!$E:$E,Codex_USGS_raw!$A:$A,Codex_sources!$A$8,Codex_USGS_raw!$C:$C,G$4)*Codex_sources!$D$8*Codex_sources!$L$8</f>
        <v>3155.68888888889</v>
      </c>
      <c r="H78">
        <f>SUMIFS(Codex_USGS_raw!$E:$E,Codex_USGS_raw!$A:$A,Codex_sources!$A$8,Codex_USGS_raw!$C:$C,H$4)*Codex_sources!$D$8*Codex_sources!$L$8</f>
        <v>24733.7777777778</v>
      </c>
      <c r="I78">
        <f>SUMIFS(Codex_USGS_raw!$E:$E,Codex_USGS_raw!$A:$A,Codex_sources!$A$8,Codex_USGS_raw!$C:$C,I$4)*Codex_sources!$D$8*Codex_sources!$L$8</f>
        <v>0</v>
      </c>
      <c r="J78">
        <f>SUMIFS(Codex_USGS_raw!$E:$E,Codex_USGS_raw!$A:$A,Codex_sources!$A$8,Codex_USGS_raw!$C:$C,J$4)*Codex_sources!$D$8*Codex_sources!$L$8</f>
        <v>0</v>
      </c>
      <c r="K78">
        <f>SUMIFS(Codex_USGS_raw!$E:$E,Codex_USGS_raw!$A:$A,Codex_sources!$A$8,Codex_USGS_raw!$C:$C,K$4)*Codex_sources!$D$8*Codex_sources!$L$8</f>
        <v>0</v>
      </c>
      <c r="L78">
        <f>SUMIFS(Codex_USGS_raw!$E:$E,Codex_USGS_raw!$A:$A,Codex_sources!$A$8,Codex_USGS_raw!$C:$C,L$4)*Codex_sources!$D$8*Codex_sources!$L$8</f>
        <v>12793.3333333333</v>
      </c>
      <c r="M78">
        <f>SUMIFS(Codex_USGS_raw!$E:$E,Codex_USGS_raw!$A:$A,Codex_sources!$A$8,Codex_USGS_raw!$C:$C,M$4)*Codex_sources!$D$8*Codex_sources!$L$8</f>
        <v>11087.5555555555</v>
      </c>
      <c r="N78">
        <f>SUMIFS(Codex_USGS_raw!$E:$E,Codex_USGS_raw!$A:$A,Codex_sources!$A$8,Codex_USGS_raw!$C:$C,N$4)*Codex_sources!$D$8*Codex_sources!$L$8</f>
        <v>0</v>
      </c>
      <c r="O78">
        <f>SUMIFS(Codex_USGS_raw!$E:$E,Codex_USGS_raw!$A:$A,Codex_sources!$A$8,Codex_USGS_raw!$C:$C,O$4)*Codex_sources!$D$8*Codex_sources!$L$8</f>
        <v>0</v>
      </c>
      <c r="P78">
        <f>SUMIFS(Codex_USGS_raw!$E:$E,Codex_USGS_raw!$A:$A,Codex_sources!$A$8,Codex_USGS_raw!$C:$C,P$4)*Codex_sources!$D$8*Codex_sources!$L$8</f>
        <v>0</v>
      </c>
      <c r="Q78">
        <f>SUMIFS(Codex_USGS_raw!$E:$E,Codex_USGS_raw!$A:$A,Codex_sources!$A$8,Codex_USGS_raw!$C:$C,Q$4)*Codex_sources!$D$8*Codex_sources!$L$8</f>
        <v>0</v>
      </c>
      <c r="R78">
        <f>SUMIFS(Codex_USGS_raw!$E:$E,Codex_USGS_raw!$A:$A,Codex_sources!$A$8,Codex_USGS_raw!$C:$C,R$4)*Codex_sources!$D$8*Codex_sources!$L$8</f>
        <v>0</v>
      </c>
      <c r="S78">
        <f>SUMIFS(Codex_USGS_raw!$E:$E,Codex_USGS_raw!$A:$A,Codex_sources!$A$8,Codex_USGS_raw!$C:$C,S$4)*Codex_sources!$D$8*Codex_sources!$L$8</f>
        <v>0</v>
      </c>
      <c r="T78">
        <f>SUMIFS(Codex_USGS_raw!$E:$E,Codex_USGS_raw!$A:$A,Codex_sources!$A$8,Codex_USGS_raw!$C:$C,T$4)*Codex_sources!$D$8*Codex_sources!$L$8</f>
        <v>0</v>
      </c>
      <c r="U78">
        <f>SUMIFS(Codex_USGS_raw!$E:$E,Codex_USGS_raw!$A:$A,Codex_sources!$A$8,Codex_USGS_raw!$C:$C,U$4)*Codex_sources!$D$8*Codex_sources!$L$8</f>
        <v>1449.91111111111</v>
      </c>
      <c r="V78">
        <f>SUMIFS(Codex_USGS_raw!$E:$E,Codex_USGS_raw!$A:$A,Codex_sources!$A$8,Codex_USGS_raw!$C:$C,V$4)*Codex_sources!$D$8*Codex_sources!$L$8</f>
        <v>0</v>
      </c>
      <c r="W78">
        <f>SUMIFS(Codex_USGS_raw!$E:$E,Codex_USGS_raw!$A:$A,Codex_sources!$A$8,Codex_USGS_raw!$C:$C,W$4)*Codex_sources!$D$8*Codex_sources!$L$8</f>
        <v>0</v>
      </c>
      <c r="X78">
        <f>SUMIFS(Codex_USGS_raw!$E:$E,Codex_USGS_raw!$A:$A,Codex_sources!$A$8,Codex_USGS_raw!$C:$C,X$4)*Codex_sources!$D$8*Codex_sources!$L$8</f>
        <v>0</v>
      </c>
      <c r="Y78">
        <f>SUMIFS(Codex_USGS_raw!$E:$E,Codex_USGS_raw!$A:$A,Codex_sources!$A$8,Codex_USGS_raw!$C:$C,Y$4)*Codex_sources!$D$8*Codex_sources!$L$8</f>
        <v>0</v>
      </c>
      <c r="Z78">
        <f>SUMIFS(Codex_USGS_raw!$E:$E,Codex_USGS_raw!$A:$A,Codex_sources!$A$8,Codex_USGS_raw!$C:$C,Z$4)*Codex_sources!$D$8*Codex_sources!$L$8</f>
        <v>0</v>
      </c>
      <c r="AA78">
        <f>SUMIFS(Codex_USGS_raw!$E:$E,Codex_USGS_raw!$A:$A,Codex_sources!$A$8,Codex_USGS_raw!$C:$C,AA$4)*Codex_sources!$D$8*Codex_sources!$L$8</f>
        <v>0</v>
      </c>
      <c r="AB78">
        <f>SUMIFS(Codex_USGS_raw!$E:$E,Codex_USGS_raw!$A:$A,Codex_sources!$A$8,Codex_USGS_raw!$C:$C,AB$4)*Codex_sources!$D$8*Codex_sources!$L$8</f>
        <v>0</v>
      </c>
      <c r="AC78">
        <f>SUMIFS(Codex_USGS_raw!$E:$E,Codex_USGS_raw!$A:$A,Codex_sources!$A$8,Codex_USGS_raw!$C:$C,AC$4)*Codex_sources!$D$8*Codex_sources!$L$8</f>
        <v>0</v>
      </c>
      <c r="AD78">
        <f>SUMIFS(Codex_USGS_raw!$E:$E,Codex_USGS_raw!$A:$A,Codex_sources!$A$8,Codex_USGS_raw!$C:$C,AD$4)*Codex_sources!$D$8*Codex_sources!$L$8</f>
        <v>85.2888888888888</v>
      </c>
      <c r="AE78">
        <f>SUMIFS(Codex_USGS_raw!$E:$E,Codex_USGS_raw!$A:$A,Codex_sources!$A$8,Codex_USGS_raw!$C:$C,AE$4)*Codex_sources!$D$8*Codex_sources!$L$8</f>
        <v>0</v>
      </c>
      <c r="AF78">
        <f>SUMIFS(Codex_USGS_raw!$E:$E,Codex_USGS_raw!$A:$A,Codex_sources!$A$8,Codex_USGS_raw!$C:$C,AF$4)*Codex_sources!$D$8*Codex_sources!$L$8</f>
        <v>0</v>
      </c>
      <c r="AG78">
        <f>SUMIFS(Codex_USGS_raw!$E:$E,Codex_USGS_raw!$A:$A,Codex_sources!$A$8,Codex_USGS_raw!$C:$C,AG$4)*Codex_sources!$D$8*Codex_sources!$L$8</f>
        <v>23454.4444444444</v>
      </c>
      <c r="AH78">
        <f>SUMIFS(Codex_USGS_raw!$E:$E,Codex_USGS_raw!$A:$A,Codex_sources!$A$8,Codex_USGS_raw!$C:$C,AH$4)*Codex_sources!$D$8*Codex_sources!$L$8</f>
        <v>0</v>
      </c>
      <c r="AI78">
        <f>SUMIFS(Codex_USGS_raw!$E:$E,Codex_USGS_raw!$A:$A,Codex_sources!$A$8,Codex_USGS_raw!$C:$C,AI$4)*Codex_sources!$D$8*Codex_sources!$L$8</f>
        <v>0</v>
      </c>
      <c r="AJ78">
        <f>SUMIFS(Codex_USGS_raw!$E:$E,Codex_USGS_raw!$A:$A,Codex_sources!$A$8,Codex_USGS_raw!$C:$C,AJ$4)*Codex_sources!$D$8*Codex_sources!$L$8</f>
        <v>0</v>
      </c>
      <c r="AK78">
        <f>SUMIFS(Codex_USGS_raw!$E:$E,Codex_USGS_raw!$A:$A,Codex_sources!$A$8,Codex_USGS_raw!$C:$C,AK$4)*Codex_sources!$D$8*Codex_sources!$L$8</f>
        <v>0</v>
      </c>
      <c r="AL78">
        <f>SUMIFS(Codex_USGS_raw!$E:$E,Codex_USGS_raw!$A:$A,Codex_sources!$A$8,Codex_USGS_raw!$C:$C,AL$4)*Codex_sources!$D$8*Codex_sources!$L$8</f>
        <v>0</v>
      </c>
      <c r="AM78">
        <f>SUMIFS(Codex_USGS_raw!$E:$E,Codex_USGS_raw!$A:$A,Codex_sources!$A$8,Codex_USGS_raw!$C:$C,AM$4)*Codex_sources!$D$8*Codex_sources!$L$8</f>
        <v>0</v>
      </c>
      <c r="AN78">
        <f>SUMIFS(Codex_USGS_raw!$E:$E,Codex_USGS_raw!$A:$A,Codex_sources!$A$8,Codex_USGS_raw!$C:$C,AN$4)*Codex_sources!$D$8*Codex_sources!$L$8</f>
        <v>0</v>
      </c>
      <c r="AO78" t="str">
        <f t="shared" si="1"/>
        <v>2019, 2130</v>
      </c>
    </row>
    <row r="79" spans="3:41">
      <c r="C79" t="s">
        <v>126</v>
      </c>
      <c r="D79" t="s">
        <v>444</v>
      </c>
      <c r="E79" t="s">
        <v>9</v>
      </c>
      <c r="F79">
        <f>Codex_sources!$O$8</f>
        <v>1.485</v>
      </c>
      <c r="G79">
        <f>Codex_sources!$O$8</f>
        <v>1.485</v>
      </c>
      <c r="H79">
        <f>Codex_sources!$O$8</f>
        <v>1.485</v>
      </c>
      <c r="I79">
        <f>Codex_sources!$O$8</f>
        <v>1.485</v>
      </c>
      <c r="J79">
        <f>Codex_sources!$O$8</f>
        <v>1.485</v>
      </c>
      <c r="K79">
        <f>Codex_sources!$O$8</f>
        <v>1.485</v>
      </c>
      <c r="L79">
        <f>Codex_sources!$O$8</f>
        <v>1.485</v>
      </c>
      <c r="M79">
        <f>Codex_sources!$O$8</f>
        <v>1.485</v>
      </c>
      <c r="N79">
        <f>Codex_sources!$O$8</f>
        <v>1.485</v>
      </c>
      <c r="O79">
        <f>Codex_sources!$O$8</f>
        <v>1.485</v>
      </c>
      <c r="P79">
        <f>Codex_sources!$O$8</f>
        <v>1.485</v>
      </c>
      <c r="Q79">
        <f>Codex_sources!$O$8</f>
        <v>1.485</v>
      </c>
      <c r="R79">
        <f>Codex_sources!$O$8</f>
        <v>1.485</v>
      </c>
      <c r="S79">
        <f>Codex_sources!$O$8</f>
        <v>1.485</v>
      </c>
      <c r="T79">
        <f>Codex_sources!$O$8</f>
        <v>1.485</v>
      </c>
      <c r="U79">
        <f>Codex_sources!$O$8</f>
        <v>1.485</v>
      </c>
      <c r="V79">
        <f>Codex_sources!$O$8</f>
        <v>1.485</v>
      </c>
      <c r="W79">
        <f>Codex_sources!$O$8</f>
        <v>1.485</v>
      </c>
      <c r="X79">
        <f>Codex_sources!$O$8</f>
        <v>1.485</v>
      </c>
      <c r="Y79">
        <f>Codex_sources!$O$8</f>
        <v>1.485</v>
      </c>
      <c r="Z79">
        <f>Codex_sources!$O$8</f>
        <v>1.485</v>
      </c>
      <c r="AA79">
        <f>Codex_sources!$O$8</f>
        <v>1.485</v>
      </c>
      <c r="AB79">
        <f>Codex_sources!$O$8</f>
        <v>1.485</v>
      </c>
      <c r="AC79">
        <f>Codex_sources!$O$8</f>
        <v>1.485</v>
      </c>
      <c r="AD79">
        <f>Codex_sources!$O$8</f>
        <v>1.485</v>
      </c>
      <c r="AE79">
        <f>Codex_sources!$O$8</f>
        <v>1.485</v>
      </c>
      <c r="AF79">
        <f>Codex_sources!$O$8</f>
        <v>1.485</v>
      </c>
      <c r="AG79">
        <f>Codex_sources!$O$8</f>
        <v>1.485</v>
      </c>
      <c r="AH79">
        <f>Codex_sources!$O$8</f>
        <v>1.485</v>
      </c>
      <c r="AI79">
        <f>Codex_sources!$O$8</f>
        <v>1.485</v>
      </c>
      <c r="AJ79">
        <f>Codex_sources!$O$8</f>
        <v>1.485</v>
      </c>
      <c r="AK79">
        <f>Codex_sources!$O$8</f>
        <v>1.485</v>
      </c>
      <c r="AL79">
        <f>Codex_sources!$O$8</f>
        <v>1.485</v>
      </c>
      <c r="AM79">
        <f>Codex_sources!$O$8</f>
        <v>1.485</v>
      </c>
      <c r="AN79">
        <f>Codex_sources!$O$8</f>
        <v>1.485</v>
      </c>
      <c r="AO79" t="str">
        <f t="shared" si="1"/>
        <v>2019, 2130</v>
      </c>
    </row>
    <row r="80" spans="3:41">
      <c r="AO80" t="str">
        <f t="shared" si="1"/>
        <v>2019, 2130</v>
      </c>
    </row>
    <row r="81" spans="3:41">
      <c r="C81" t="s">
        <v>445</v>
      </c>
      <c r="D81" t="s">
        <v>442</v>
      </c>
      <c r="F81">
        <f>SUMIFS(Codex_USGS_raw!$D:$D,Codex_USGS_raw!$A:$A,Codex_sources!$A$9,Codex_USGS_raw!$C:$C,F$4)*Codex_sources!$D$9*1</f>
        <v>0</v>
      </c>
      <c r="G81">
        <f>SUMIFS(Codex_USGS_raw!$D:$D,Codex_USGS_raw!$A:$A,Codex_sources!$A$9,Codex_USGS_raw!$C:$C,G$4)*Codex_sources!$D$9*1</f>
        <v>0</v>
      </c>
      <c r="H81">
        <f>SUMIFS(Codex_USGS_raw!$D:$D,Codex_USGS_raw!$A:$A,Codex_sources!$A$9,Codex_USGS_raw!$C:$C,H$4)*Codex_sources!$D$9*1</f>
        <v>30.1272972972973</v>
      </c>
      <c r="I81">
        <f>SUMIFS(Codex_USGS_raw!$D:$D,Codex_USGS_raw!$A:$A,Codex_sources!$A$9,Codex_USGS_raw!$C:$C,I$4)*Codex_sources!$D$9*1</f>
        <v>0</v>
      </c>
      <c r="J81">
        <f>SUMIFS(Codex_USGS_raw!$D:$D,Codex_USGS_raw!$A:$A,Codex_sources!$A$9,Codex_USGS_raw!$C:$C,J$4)*Codex_sources!$D$9*1</f>
        <v>0</v>
      </c>
      <c r="K81">
        <f>SUMIFS(Codex_USGS_raw!$D:$D,Codex_USGS_raw!$A:$A,Codex_sources!$A$9,Codex_USGS_raw!$C:$C,K$4)*Codex_sources!$D$9*1</f>
        <v>0</v>
      </c>
      <c r="L81">
        <f>SUMIFS(Codex_USGS_raw!$D:$D,Codex_USGS_raw!$A:$A,Codex_sources!$A$9,Codex_USGS_raw!$C:$C,L$4)*Codex_sources!$D$9*1</f>
        <v>24.1018378378378</v>
      </c>
      <c r="M81">
        <f>SUMIFS(Codex_USGS_raw!$D:$D,Codex_USGS_raw!$A:$A,Codex_sources!$A$9,Codex_USGS_raw!$C:$C,M$4)*Codex_sources!$D$9*1</f>
        <v>903.818918918919</v>
      </c>
      <c r="N81">
        <f>SUMIFS(Codex_USGS_raw!$D:$D,Codex_USGS_raw!$A:$A,Codex_sources!$A$9,Codex_USGS_raw!$C:$C,N$4)*Codex_sources!$D$9*1</f>
        <v>0</v>
      </c>
      <c r="O81">
        <f>SUMIFS(Codex_USGS_raw!$D:$D,Codex_USGS_raw!$A:$A,Codex_sources!$A$9,Codex_USGS_raw!$C:$C,O$4)*Codex_sources!$D$9*1</f>
        <v>0</v>
      </c>
      <c r="P81">
        <f>SUMIFS(Codex_USGS_raw!$D:$D,Codex_USGS_raw!$A:$A,Codex_sources!$A$9,Codex_USGS_raw!$C:$C,P$4)*Codex_sources!$D$9*1</f>
        <v>0</v>
      </c>
      <c r="Q81">
        <f>SUMIFS(Codex_USGS_raw!$D:$D,Codex_USGS_raw!$A:$A,Codex_sources!$A$9,Codex_USGS_raw!$C:$C,Q$4)*Codex_sources!$D$9*1</f>
        <v>0</v>
      </c>
      <c r="R81">
        <f>SUMIFS(Codex_USGS_raw!$D:$D,Codex_USGS_raw!$A:$A,Codex_sources!$A$9,Codex_USGS_raw!$C:$C,R$4)*Codex_sources!$D$9*1</f>
        <v>0</v>
      </c>
      <c r="S81">
        <f>SUMIFS(Codex_USGS_raw!$D:$D,Codex_USGS_raw!$A:$A,Codex_sources!$A$9,Codex_USGS_raw!$C:$C,S$4)*Codex_sources!$D$9*1</f>
        <v>0</v>
      </c>
      <c r="T81">
        <f>SUMIFS(Codex_USGS_raw!$D:$D,Codex_USGS_raw!$A:$A,Codex_sources!$A$9,Codex_USGS_raw!$C:$C,T$4)*Codex_sources!$D$9*1</f>
        <v>15.0636486486486</v>
      </c>
      <c r="U81">
        <f>SUMIFS(Codex_USGS_raw!$D:$D,Codex_USGS_raw!$A:$A,Codex_sources!$A$9,Codex_USGS_raw!$C:$C,U$4)*Codex_sources!$D$9*1</f>
        <v>84.3564324324324</v>
      </c>
      <c r="V81">
        <f>SUMIFS(Codex_USGS_raw!$D:$D,Codex_USGS_raw!$A:$A,Codex_sources!$A$9,Codex_USGS_raw!$C:$C,V$4)*Codex_sources!$D$9*1</f>
        <v>0</v>
      </c>
      <c r="W81">
        <f>SUMIFS(Codex_USGS_raw!$D:$D,Codex_USGS_raw!$A:$A,Codex_sources!$A$9,Codex_USGS_raw!$C:$C,W$4)*Codex_sources!$D$9*1</f>
        <v>0</v>
      </c>
      <c r="X81">
        <f>SUMIFS(Codex_USGS_raw!$D:$D,Codex_USGS_raw!$A:$A,Codex_sources!$A$9,Codex_USGS_raw!$C:$C,X$4)*Codex_sources!$D$9*1</f>
        <v>0</v>
      </c>
      <c r="Y81">
        <f>SUMIFS(Codex_USGS_raw!$D:$D,Codex_USGS_raw!$A:$A,Codex_sources!$A$9,Codex_USGS_raw!$C:$C,Y$4)*Codex_sources!$D$9*1</f>
        <v>0</v>
      </c>
      <c r="Z81">
        <f>SUMIFS(Codex_USGS_raw!$D:$D,Codex_USGS_raw!$A:$A,Codex_sources!$A$9,Codex_USGS_raw!$C:$C,Z$4)*Codex_sources!$D$9*1</f>
        <v>86.3649189189189</v>
      </c>
      <c r="AA81">
        <f>SUMIFS(Codex_USGS_raw!$D:$D,Codex_USGS_raw!$A:$A,Codex_sources!$A$9,Codex_USGS_raw!$C:$C,AA$4)*Codex_sources!$D$9*1</f>
        <v>79.5360648648649</v>
      </c>
      <c r="AB81">
        <f>SUMIFS(Codex_USGS_raw!$D:$D,Codex_USGS_raw!$A:$A,Codex_sources!$A$9,Codex_USGS_raw!$C:$C,AB$4)*Codex_sources!$D$9*1</f>
        <v>26.1103243243243</v>
      </c>
      <c r="AC81">
        <f>SUMIFS(Codex_USGS_raw!$D:$D,Codex_USGS_raw!$A:$A,Codex_sources!$A$9,Codex_USGS_raw!$C:$C,AC$4)*Codex_sources!$D$9*1</f>
        <v>0</v>
      </c>
      <c r="AD81">
        <f>SUMIFS(Codex_USGS_raw!$D:$D,Codex_USGS_raw!$A:$A,Codex_sources!$A$9,Codex_USGS_raw!$C:$C,AD$4)*Codex_sources!$D$9*1</f>
        <v>162.687405405405</v>
      </c>
      <c r="AE81">
        <f>SUMIFS(Codex_USGS_raw!$D:$D,Codex_USGS_raw!$A:$A,Codex_sources!$A$9,Codex_USGS_raw!$C:$C,AE$4)*Codex_sources!$D$9*1</f>
        <v>78.330972972973</v>
      </c>
      <c r="AF81">
        <f>SUMIFS(Codex_USGS_raw!$D:$D,Codex_USGS_raw!$A:$A,Codex_sources!$A$9,Codex_USGS_raw!$C:$C,AF$4)*Codex_sources!$D$9*1</f>
        <v>0</v>
      </c>
      <c r="AG81">
        <f>SUMIFS(Codex_USGS_raw!$D:$D,Codex_USGS_raw!$A:$A,Codex_sources!$A$9,Codex_USGS_raw!$C:$C,AG$4)*Codex_sources!$D$9*1</f>
        <v>0</v>
      </c>
      <c r="AH81">
        <f>SUMIFS(Codex_USGS_raw!$D:$D,Codex_USGS_raw!$A:$A,Codex_sources!$A$9,Codex_USGS_raw!$C:$C,AH$4)*Codex_sources!$D$9*1</f>
        <v>0</v>
      </c>
      <c r="AI81">
        <f>SUMIFS(Codex_USGS_raw!$D:$D,Codex_USGS_raw!$A:$A,Codex_sources!$A$9,Codex_USGS_raw!$C:$C,AI$4)*Codex_sources!$D$9*1</f>
        <v>0</v>
      </c>
      <c r="AJ81">
        <f>SUMIFS(Codex_USGS_raw!$D:$D,Codex_USGS_raw!$A:$A,Codex_sources!$A$9,Codex_USGS_raw!$C:$C,AJ$4)*Codex_sources!$D$9*1</f>
        <v>0</v>
      </c>
      <c r="AK81">
        <f>SUMIFS(Codex_USGS_raw!$D:$D,Codex_USGS_raw!$A:$A,Codex_sources!$A$9,Codex_USGS_raw!$C:$C,AK$4)*Codex_sources!$D$9*1</f>
        <v>0</v>
      </c>
      <c r="AL81">
        <f>SUMIFS(Codex_USGS_raw!$D:$D,Codex_USGS_raw!$A:$A,Codex_sources!$A$9,Codex_USGS_raw!$C:$C,AL$4)*Codex_sources!$D$9*1</f>
        <v>0</v>
      </c>
      <c r="AM81">
        <f>SUMIFS(Codex_USGS_raw!$D:$D,Codex_USGS_raw!$A:$A,Codex_sources!$A$9,Codex_USGS_raw!$C:$C,AM$4)*Codex_sources!$D$9*1</f>
        <v>0</v>
      </c>
      <c r="AN81">
        <f>SUMIFS(Codex_USGS_raw!$D:$D,Codex_USGS_raw!$A:$A,Codex_sources!$A$9,Codex_USGS_raw!$C:$C,AN$4)*Codex_sources!$D$9*1</f>
        <v>0</v>
      </c>
      <c r="AO81" t="str">
        <f t="shared" si="1"/>
        <v>2019, 2130</v>
      </c>
    </row>
    <row r="82" spans="3:41">
      <c r="C82" t="s">
        <v>445</v>
      </c>
      <c r="D82" t="s">
        <v>115</v>
      </c>
      <c r="F82">
        <f>SUMIFS(Codex_USGS_raw!$E:$E,Codex_USGS_raw!$A:$A,Codex_sources!$A$9,Codex_USGS_raw!$C:$C,F$4)*Codex_sources!$D$9*Codex_sources!$J$9</f>
        <v>0</v>
      </c>
      <c r="G82">
        <f>SUMIFS(Codex_USGS_raw!$E:$E,Codex_USGS_raw!$A:$A,Codex_sources!$A$9,Codex_USGS_raw!$C:$C,G$4)*Codex_sources!$D$9*Codex_sources!$J$9</f>
        <v>37157</v>
      </c>
      <c r="H82">
        <f>SUMIFS(Codex_USGS_raw!$E:$E,Codex_USGS_raw!$A:$A,Codex_sources!$A$9,Codex_USGS_raw!$C:$C,H$4)*Codex_sources!$D$9*Codex_sources!$J$9</f>
        <v>18578.5</v>
      </c>
      <c r="I82">
        <f>SUMIFS(Codex_USGS_raw!$E:$E,Codex_USGS_raw!$A:$A,Codex_sources!$A$9,Codex_USGS_raw!$C:$C,I$4)*Codex_sources!$D$9*Codex_sources!$J$9</f>
        <v>0</v>
      </c>
      <c r="J82">
        <f>SUMIFS(Codex_USGS_raw!$E:$E,Codex_USGS_raw!$A:$A,Codex_sources!$A$9,Codex_USGS_raw!$C:$C,J$4)*Codex_sources!$D$9*Codex_sources!$J$9</f>
        <v>0</v>
      </c>
      <c r="K82">
        <f>SUMIFS(Codex_USGS_raw!$E:$E,Codex_USGS_raw!$A:$A,Codex_sources!$A$9,Codex_USGS_raw!$C:$C,K$4)*Codex_sources!$D$9*Codex_sources!$J$9</f>
        <v>0</v>
      </c>
      <c r="L82">
        <f>SUMIFS(Codex_USGS_raw!$E:$E,Codex_USGS_raw!$A:$A,Codex_sources!$A$9,Codex_USGS_raw!$C:$C,L$4)*Codex_sources!$D$9*Codex_sources!$J$9</f>
        <v>8536.06756756757</v>
      </c>
      <c r="M82">
        <f>SUMIFS(Codex_USGS_raw!$E:$E,Codex_USGS_raw!$A:$A,Codex_sources!$A$9,Codex_USGS_raw!$C:$C,M$4)*Codex_sources!$D$9*Codex_sources!$J$9</f>
        <v>3565.06351351351</v>
      </c>
      <c r="N82">
        <f>SUMIFS(Codex_USGS_raw!$E:$E,Codex_USGS_raw!$A:$A,Codex_sources!$A$9,Codex_USGS_raw!$C:$C,N$4)*Codex_sources!$D$9*Codex_sources!$J$9</f>
        <v>0</v>
      </c>
      <c r="O82">
        <f>SUMIFS(Codex_USGS_raw!$E:$E,Codex_USGS_raw!$A:$A,Codex_sources!$A$9,Codex_USGS_raw!$C:$C,O$4)*Codex_sources!$D$9*Codex_sources!$J$9</f>
        <v>0</v>
      </c>
      <c r="P82">
        <f>SUMIFS(Codex_USGS_raw!$E:$E,Codex_USGS_raw!$A:$A,Codex_sources!$A$9,Codex_USGS_raw!$C:$C,P$4)*Codex_sources!$D$9*Codex_sources!$J$9</f>
        <v>0</v>
      </c>
      <c r="Q82">
        <f>SUMIFS(Codex_USGS_raw!$E:$E,Codex_USGS_raw!$A:$A,Codex_sources!$A$9,Codex_USGS_raw!$C:$C,Q$4)*Codex_sources!$D$9*Codex_sources!$J$9</f>
        <v>0</v>
      </c>
      <c r="R82">
        <f>SUMIFS(Codex_USGS_raw!$E:$E,Codex_USGS_raw!$A:$A,Codex_sources!$A$9,Codex_USGS_raw!$C:$C,R$4)*Codex_sources!$D$9*Codex_sources!$J$9</f>
        <v>0</v>
      </c>
      <c r="S82">
        <f>SUMIFS(Codex_USGS_raw!$E:$E,Codex_USGS_raw!$A:$A,Codex_sources!$A$9,Codex_USGS_raw!$C:$C,S$4)*Codex_sources!$D$9*Codex_sources!$J$9</f>
        <v>0</v>
      </c>
      <c r="T82">
        <f>SUMIFS(Codex_USGS_raw!$E:$E,Codex_USGS_raw!$A:$A,Codex_sources!$A$9,Codex_USGS_raw!$C:$C,T$4)*Codex_sources!$D$9*Codex_sources!$J$9</f>
        <v>0</v>
      </c>
      <c r="U82">
        <f>SUMIFS(Codex_USGS_raw!$E:$E,Codex_USGS_raw!$A:$A,Codex_sources!$A$9,Codex_USGS_raw!$C:$C,U$4)*Codex_sources!$D$9*Codex_sources!$J$9</f>
        <v>3263.79054054054</v>
      </c>
      <c r="V82">
        <f>SUMIFS(Codex_USGS_raw!$E:$E,Codex_USGS_raw!$A:$A,Codex_sources!$A$9,Codex_USGS_raw!$C:$C,V$4)*Codex_sources!$D$9*Codex_sources!$J$9</f>
        <v>0</v>
      </c>
      <c r="W82">
        <f>SUMIFS(Codex_USGS_raw!$E:$E,Codex_USGS_raw!$A:$A,Codex_sources!$A$9,Codex_USGS_raw!$C:$C,W$4)*Codex_sources!$D$9*Codex_sources!$J$9</f>
        <v>0</v>
      </c>
      <c r="X82">
        <f>SUMIFS(Codex_USGS_raw!$E:$E,Codex_USGS_raw!$A:$A,Codex_sources!$A$9,Codex_USGS_raw!$C:$C,X$4)*Codex_sources!$D$9*Codex_sources!$J$9</f>
        <v>0</v>
      </c>
      <c r="Y82">
        <f>SUMIFS(Codex_USGS_raw!$E:$E,Codex_USGS_raw!$A:$A,Codex_sources!$A$9,Codex_USGS_raw!$C:$C,Y$4)*Codex_sources!$D$9*Codex_sources!$J$9</f>
        <v>10042.4324324324</v>
      </c>
      <c r="Z82">
        <f>SUMIFS(Codex_USGS_raw!$E:$E,Codex_USGS_raw!$A:$A,Codex_sources!$A$9,Codex_USGS_raw!$C:$C,Z$4)*Codex_sources!$D$9*Codex_sources!$J$9</f>
        <v>0</v>
      </c>
      <c r="AA82">
        <f>SUMIFS(Codex_USGS_raw!$E:$E,Codex_USGS_raw!$A:$A,Codex_sources!$A$9,Codex_USGS_raw!$C:$C,AA$4)*Codex_sources!$D$9*Codex_sources!$J$9</f>
        <v>100.424324324324</v>
      </c>
      <c r="AB82">
        <f>SUMIFS(Codex_USGS_raw!$E:$E,Codex_USGS_raw!$A:$A,Codex_sources!$A$9,Codex_USGS_raw!$C:$C,AB$4)*Codex_sources!$D$9*Codex_sources!$J$9</f>
        <v>0</v>
      </c>
      <c r="AC82">
        <f>SUMIFS(Codex_USGS_raw!$E:$E,Codex_USGS_raw!$A:$A,Codex_sources!$A$9,Codex_USGS_raw!$C:$C,AC$4)*Codex_sources!$D$9*Codex_sources!$J$9</f>
        <v>0</v>
      </c>
      <c r="AD82">
        <f>SUMIFS(Codex_USGS_raw!$E:$E,Codex_USGS_raw!$A:$A,Codex_sources!$A$9,Codex_USGS_raw!$C:$C,AD$4)*Codex_sources!$D$9*Codex_sources!$J$9</f>
        <v>57543.1378378378</v>
      </c>
      <c r="AE82">
        <f>SUMIFS(Codex_USGS_raw!$E:$E,Codex_USGS_raw!$A:$A,Codex_sources!$A$9,Codex_USGS_raw!$C:$C,AE$4)*Codex_sources!$D$9*Codex_sources!$J$9</f>
        <v>3263.79054054054</v>
      </c>
      <c r="AF82">
        <f>SUMIFS(Codex_USGS_raw!$E:$E,Codex_USGS_raw!$A:$A,Codex_sources!$A$9,Codex_USGS_raw!$C:$C,AF$4)*Codex_sources!$D$9*Codex_sources!$J$9</f>
        <v>903.818918918919</v>
      </c>
      <c r="AG82">
        <f>SUMIFS(Codex_USGS_raw!$E:$E,Codex_USGS_raw!$A:$A,Codex_sources!$A$9,Codex_USGS_raw!$C:$C,AG$4)*Codex_sources!$D$9*Codex_sources!$J$9</f>
        <v>0</v>
      </c>
      <c r="AH82">
        <f>SUMIFS(Codex_USGS_raw!$E:$E,Codex_USGS_raw!$A:$A,Codex_sources!$A$9,Codex_USGS_raw!$C:$C,AH$4)*Codex_sources!$D$9*Codex_sources!$J$9</f>
        <v>0</v>
      </c>
      <c r="AI82">
        <f>SUMIFS(Codex_USGS_raw!$E:$E,Codex_USGS_raw!$A:$A,Codex_sources!$A$9,Codex_USGS_raw!$C:$C,AI$4)*Codex_sources!$D$9*Codex_sources!$J$9</f>
        <v>0</v>
      </c>
      <c r="AJ82">
        <f>SUMIFS(Codex_USGS_raw!$E:$E,Codex_USGS_raw!$A:$A,Codex_sources!$A$9,Codex_USGS_raw!$C:$C,AJ$4)*Codex_sources!$D$9*Codex_sources!$J$9</f>
        <v>0</v>
      </c>
      <c r="AK82">
        <f>SUMIFS(Codex_USGS_raw!$E:$E,Codex_USGS_raw!$A:$A,Codex_sources!$A$9,Codex_USGS_raw!$C:$C,AK$4)*Codex_sources!$D$9*Codex_sources!$J$9</f>
        <v>346.463918918919</v>
      </c>
      <c r="AL82">
        <f>SUMIFS(Codex_USGS_raw!$E:$E,Codex_USGS_raw!$A:$A,Codex_sources!$A$9,Codex_USGS_raw!$C:$C,AL$4)*Codex_sources!$D$9*Codex_sources!$J$9</f>
        <v>0</v>
      </c>
      <c r="AM82">
        <f>SUMIFS(Codex_USGS_raw!$E:$E,Codex_USGS_raw!$A:$A,Codex_sources!$A$9,Codex_USGS_raw!$C:$C,AM$4)*Codex_sources!$D$9*Codex_sources!$J$9</f>
        <v>0</v>
      </c>
      <c r="AN82">
        <f>SUMIFS(Codex_USGS_raw!$E:$E,Codex_USGS_raw!$A:$A,Codex_sources!$A$9,Codex_USGS_raw!$C:$C,AN$4)*Codex_sources!$D$9*Codex_sources!$J$9</f>
        <v>0</v>
      </c>
      <c r="AO82" t="str">
        <f t="shared" ref="AO82:AO109" si="2">AO81</f>
        <v>2019, 2130</v>
      </c>
    </row>
    <row r="83" spans="3:41">
      <c r="C83" t="s">
        <v>445</v>
      </c>
      <c r="D83" t="s">
        <v>444</v>
      </c>
      <c r="E83" t="s">
        <v>11</v>
      </c>
      <c r="F83">
        <f>Codex_sources!$M$9</f>
        <v>3.968316</v>
      </c>
      <c r="G83">
        <f>Codex_sources!$M$9</f>
        <v>3.968316</v>
      </c>
      <c r="H83">
        <f>Codex_sources!$M$9</f>
        <v>3.968316</v>
      </c>
      <c r="I83">
        <f>Codex_sources!$M$9</f>
        <v>3.968316</v>
      </c>
      <c r="J83">
        <f>Codex_sources!$M$9</f>
        <v>3.968316</v>
      </c>
      <c r="K83">
        <f>Codex_sources!$M$9</f>
        <v>3.968316</v>
      </c>
      <c r="L83">
        <f>Codex_sources!$M$9</f>
        <v>3.968316</v>
      </c>
      <c r="M83">
        <f>Codex_sources!$M$9</f>
        <v>3.968316</v>
      </c>
      <c r="N83">
        <f>Codex_sources!$M$9</f>
        <v>3.968316</v>
      </c>
      <c r="O83">
        <f>Codex_sources!$M$9</f>
        <v>3.968316</v>
      </c>
      <c r="P83">
        <f>Codex_sources!$M$9</f>
        <v>3.968316</v>
      </c>
      <c r="Q83">
        <f>Codex_sources!$M$9</f>
        <v>3.968316</v>
      </c>
      <c r="R83">
        <f>Codex_sources!$M$9</f>
        <v>3.968316</v>
      </c>
      <c r="S83">
        <f>Codex_sources!$M$9</f>
        <v>3.968316</v>
      </c>
      <c r="T83">
        <f>Codex_sources!$M$9</f>
        <v>3.968316</v>
      </c>
      <c r="U83">
        <f>Codex_sources!$M$9</f>
        <v>3.968316</v>
      </c>
      <c r="V83">
        <f>Codex_sources!$M$9</f>
        <v>3.968316</v>
      </c>
      <c r="W83">
        <f>Codex_sources!$M$9</f>
        <v>3.968316</v>
      </c>
      <c r="X83">
        <f>Codex_sources!$M$9</f>
        <v>3.968316</v>
      </c>
      <c r="Y83">
        <f>Codex_sources!$M$9</f>
        <v>3.968316</v>
      </c>
      <c r="Z83">
        <f>Codex_sources!$M$9</f>
        <v>3.968316</v>
      </c>
      <c r="AA83">
        <f>Codex_sources!$M$9</f>
        <v>3.968316</v>
      </c>
      <c r="AB83">
        <f>Codex_sources!$M$9</f>
        <v>3.968316</v>
      </c>
      <c r="AC83">
        <f>Codex_sources!$M$9</f>
        <v>3.968316</v>
      </c>
      <c r="AD83">
        <f>Codex_sources!$M$9</f>
        <v>3.968316</v>
      </c>
      <c r="AE83">
        <f>Codex_sources!$M$9</f>
        <v>3.968316</v>
      </c>
      <c r="AF83">
        <f>Codex_sources!$M$9</f>
        <v>3.968316</v>
      </c>
      <c r="AG83">
        <f>Codex_sources!$M$9</f>
        <v>3.968316</v>
      </c>
      <c r="AH83">
        <f>Codex_sources!$M$9</f>
        <v>3.968316</v>
      </c>
      <c r="AI83">
        <f>Codex_sources!$M$9</f>
        <v>3.968316</v>
      </c>
      <c r="AJ83">
        <f>Codex_sources!$M$9</f>
        <v>3.968316</v>
      </c>
      <c r="AK83">
        <f>Codex_sources!$M$9</f>
        <v>3.968316</v>
      </c>
      <c r="AL83">
        <f>Codex_sources!$M$9</f>
        <v>3.968316</v>
      </c>
      <c r="AM83">
        <f>Codex_sources!$M$9</f>
        <v>3.968316</v>
      </c>
      <c r="AN83">
        <f>Codex_sources!$M$9</f>
        <v>3.968316</v>
      </c>
      <c r="AO83" t="str">
        <f t="shared" si="2"/>
        <v>2019, 2130</v>
      </c>
    </row>
    <row r="84" spans="3:41">
      <c r="C84" t="s">
        <v>446</v>
      </c>
      <c r="D84" t="s">
        <v>442</v>
      </c>
      <c r="F84">
        <f>SUMIFS(Codex_USGS_raw!$D:$D,Codex_USGS_raw!$A:$A,Codex_sources!$A$9,Codex_USGS_raw!$C:$C,F$4)*Codex_sources!$D$9*2</f>
        <v>0</v>
      </c>
      <c r="G84">
        <f>SUMIFS(Codex_USGS_raw!$D:$D,Codex_USGS_raw!$A:$A,Codex_sources!$A$9,Codex_USGS_raw!$C:$C,G$4)*Codex_sources!$D$9*2</f>
        <v>0</v>
      </c>
      <c r="H84">
        <f>SUMIFS(Codex_USGS_raw!$D:$D,Codex_USGS_raw!$A:$A,Codex_sources!$A$9,Codex_USGS_raw!$C:$C,H$4)*Codex_sources!$D$9*2</f>
        <v>60.2545945945946</v>
      </c>
      <c r="I84">
        <f>SUMIFS(Codex_USGS_raw!$D:$D,Codex_USGS_raw!$A:$A,Codex_sources!$A$9,Codex_USGS_raw!$C:$C,I$4)*Codex_sources!$D$9*2</f>
        <v>0</v>
      </c>
      <c r="J84">
        <f>SUMIFS(Codex_USGS_raw!$D:$D,Codex_USGS_raw!$A:$A,Codex_sources!$A$9,Codex_USGS_raw!$C:$C,J$4)*Codex_sources!$D$9*2</f>
        <v>0</v>
      </c>
      <c r="K84">
        <f>SUMIFS(Codex_USGS_raw!$D:$D,Codex_USGS_raw!$A:$A,Codex_sources!$A$9,Codex_USGS_raw!$C:$C,K$4)*Codex_sources!$D$9*2</f>
        <v>0</v>
      </c>
      <c r="L84">
        <f>SUMIFS(Codex_USGS_raw!$D:$D,Codex_USGS_raw!$A:$A,Codex_sources!$A$9,Codex_USGS_raw!$C:$C,L$4)*Codex_sources!$D$9*2</f>
        <v>48.2036756756757</v>
      </c>
      <c r="M84">
        <f>SUMIFS(Codex_USGS_raw!$D:$D,Codex_USGS_raw!$A:$A,Codex_sources!$A$9,Codex_USGS_raw!$C:$C,M$4)*Codex_sources!$D$9*2</f>
        <v>1807.63783783784</v>
      </c>
      <c r="N84">
        <f>SUMIFS(Codex_USGS_raw!$D:$D,Codex_USGS_raw!$A:$A,Codex_sources!$A$9,Codex_USGS_raw!$C:$C,N$4)*Codex_sources!$D$9*2</f>
        <v>0</v>
      </c>
      <c r="O84">
        <f>SUMIFS(Codex_USGS_raw!$D:$D,Codex_USGS_raw!$A:$A,Codex_sources!$A$9,Codex_USGS_raw!$C:$C,O$4)*Codex_sources!$D$9*2</f>
        <v>0</v>
      </c>
      <c r="P84">
        <f>SUMIFS(Codex_USGS_raw!$D:$D,Codex_USGS_raw!$A:$A,Codex_sources!$A$9,Codex_USGS_raw!$C:$C,P$4)*Codex_sources!$D$9*2</f>
        <v>0</v>
      </c>
      <c r="Q84">
        <f>SUMIFS(Codex_USGS_raw!$D:$D,Codex_USGS_raw!$A:$A,Codex_sources!$A$9,Codex_USGS_raw!$C:$C,Q$4)*Codex_sources!$D$9*2</f>
        <v>0</v>
      </c>
      <c r="R84">
        <f>SUMIFS(Codex_USGS_raw!$D:$D,Codex_USGS_raw!$A:$A,Codex_sources!$A$9,Codex_USGS_raw!$C:$C,R$4)*Codex_sources!$D$9*2</f>
        <v>0</v>
      </c>
      <c r="S84">
        <f>SUMIFS(Codex_USGS_raw!$D:$D,Codex_USGS_raw!$A:$A,Codex_sources!$A$9,Codex_USGS_raw!$C:$C,S$4)*Codex_sources!$D$9*2</f>
        <v>0</v>
      </c>
      <c r="T84">
        <f>SUMIFS(Codex_USGS_raw!$D:$D,Codex_USGS_raw!$A:$A,Codex_sources!$A$9,Codex_USGS_raw!$C:$C,T$4)*Codex_sources!$D$9*2</f>
        <v>30.1272972972973</v>
      </c>
      <c r="U84">
        <f>SUMIFS(Codex_USGS_raw!$D:$D,Codex_USGS_raw!$A:$A,Codex_sources!$A$9,Codex_USGS_raw!$C:$C,U$4)*Codex_sources!$D$9*2</f>
        <v>168.712864864865</v>
      </c>
      <c r="V84">
        <f>SUMIFS(Codex_USGS_raw!$D:$D,Codex_USGS_raw!$A:$A,Codex_sources!$A$9,Codex_USGS_raw!$C:$C,V$4)*Codex_sources!$D$9*2</f>
        <v>0</v>
      </c>
      <c r="W84">
        <f>SUMIFS(Codex_USGS_raw!$D:$D,Codex_USGS_raw!$A:$A,Codex_sources!$A$9,Codex_USGS_raw!$C:$C,W$4)*Codex_sources!$D$9*2</f>
        <v>0</v>
      </c>
      <c r="X84">
        <f>SUMIFS(Codex_USGS_raw!$D:$D,Codex_USGS_raw!$A:$A,Codex_sources!$A$9,Codex_USGS_raw!$C:$C,X$4)*Codex_sources!$D$9*2</f>
        <v>0</v>
      </c>
      <c r="Y84">
        <f>SUMIFS(Codex_USGS_raw!$D:$D,Codex_USGS_raw!$A:$A,Codex_sources!$A$9,Codex_USGS_raw!$C:$C,Y$4)*Codex_sources!$D$9*2</f>
        <v>0</v>
      </c>
      <c r="Z84">
        <f>SUMIFS(Codex_USGS_raw!$D:$D,Codex_USGS_raw!$A:$A,Codex_sources!$A$9,Codex_USGS_raw!$C:$C,Z$4)*Codex_sources!$D$9*2</f>
        <v>172.729837837838</v>
      </c>
      <c r="AA84">
        <f>SUMIFS(Codex_USGS_raw!$D:$D,Codex_USGS_raw!$A:$A,Codex_sources!$A$9,Codex_USGS_raw!$C:$C,AA$4)*Codex_sources!$D$9*2</f>
        <v>159.07212972973</v>
      </c>
      <c r="AB84">
        <f>SUMIFS(Codex_USGS_raw!$D:$D,Codex_USGS_raw!$A:$A,Codex_sources!$A$9,Codex_USGS_raw!$C:$C,AB$4)*Codex_sources!$D$9*2</f>
        <v>52.2206486486486</v>
      </c>
      <c r="AC84">
        <f>SUMIFS(Codex_USGS_raw!$D:$D,Codex_USGS_raw!$A:$A,Codex_sources!$A$9,Codex_USGS_raw!$C:$C,AC$4)*Codex_sources!$D$9*2</f>
        <v>0</v>
      </c>
      <c r="AD84">
        <f>SUMIFS(Codex_USGS_raw!$D:$D,Codex_USGS_raw!$A:$A,Codex_sources!$A$9,Codex_USGS_raw!$C:$C,AD$4)*Codex_sources!$D$9*2</f>
        <v>325.374810810811</v>
      </c>
      <c r="AE84">
        <f>SUMIFS(Codex_USGS_raw!$D:$D,Codex_USGS_raw!$A:$A,Codex_sources!$A$9,Codex_USGS_raw!$C:$C,AE$4)*Codex_sources!$D$9*2</f>
        <v>156.661945945946</v>
      </c>
      <c r="AF84">
        <f>SUMIFS(Codex_USGS_raw!$D:$D,Codex_USGS_raw!$A:$A,Codex_sources!$A$9,Codex_USGS_raw!$C:$C,AF$4)*Codex_sources!$D$9*2</f>
        <v>0</v>
      </c>
      <c r="AG84">
        <f>SUMIFS(Codex_USGS_raw!$D:$D,Codex_USGS_raw!$A:$A,Codex_sources!$A$9,Codex_USGS_raw!$C:$C,AG$4)*Codex_sources!$D$9*2</f>
        <v>0</v>
      </c>
      <c r="AH84">
        <f>SUMIFS(Codex_USGS_raw!$D:$D,Codex_USGS_raw!$A:$A,Codex_sources!$A$9,Codex_USGS_raw!$C:$C,AH$4)*Codex_sources!$D$9*2</f>
        <v>0</v>
      </c>
      <c r="AI84">
        <f>SUMIFS(Codex_USGS_raw!$D:$D,Codex_USGS_raw!$A:$A,Codex_sources!$A$9,Codex_USGS_raw!$C:$C,AI$4)*Codex_sources!$D$9*2</f>
        <v>0</v>
      </c>
      <c r="AJ84">
        <f>SUMIFS(Codex_USGS_raw!$D:$D,Codex_USGS_raw!$A:$A,Codex_sources!$A$9,Codex_USGS_raw!$C:$C,AJ$4)*Codex_sources!$D$9*2</f>
        <v>0</v>
      </c>
      <c r="AK84">
        <f>SUMIFS(Codex_USGS_raw!$D:$D,Codex_USGS_raw!$A:$A,Codex_sources!$A$9,Codex_USGS_raw!$C:$C,AK$4)*Codex_sources!$D$9*2</f>
        <v>0</v>
      </c>
      <c r="AL84">
        <f>SUMIFS(Codex_USGS_raw!$D:$D,Codex_USGS_raw!$A:$A,Codex_sources!$A$9,Codex_USGS_raw!$C:$C,AL$4)*Codex_sources!$D$9*2</f>
        <v>0</v>
      </c>
      <c r="AM84">
        <f>SUMIFS(Codex_USGS_raw!$D:$D,Codex_USGS_raw!$A:$A,Codex_sources!$A$9,Codex_USGS_raw!$C:$C,AM$4)*Codex_sources!$D$9*2</f>
        <v>0</v>
      </c>
      <c r="AN84">
        <f>SUMIFS(Codex_USGS_raw!$D:$D,Codex_USGS_raw!$A:$A,Codex_sources!$A$9,Codex_USGS_raw!$C:$C,AN$4)*Codex_sources!$D$9*2</f>
        <v>0</v>
      </c>
      <c r="AO84" t="str">
        <f t="shared" si="2"/>
        <v>2019, 2130</v>
      </c>
    </row>
    <row r="85" spans="3:41">
      <c r="C85" t="s">
        <v>446</v>
      </c>
      <c r="D85" t="s">
        <v>115</v>
      </c>
      <c r="F85">
        <f>SUMIFS(Codex_USGS_raw!$E:$E,Codex_USGS_raw!$A:$A,Codex_sources!$A$9,Codex_USGS_raw!$C:$C,F$4)*Codex_sources!$D$9*Codex_sources!$K$9</f>
        <v>0</v>
      </c>
      <c r="G85">
        <f>SUMIFS(Codex_USGS_raw!$E:$E,Codex_USGS_raw!$A:$A,Codex_sources!$A$9,Codex_USGS_raw!$C:$C,G$4)*Codex_sources!$D$9*Codex_sources!$K$9</f>
        <v>46125.9310344828</v>
      </c>
      <c r="H85">
        <f>SUMIFS(Codex_USGS_raw!$E:$E,Codex_USGS_raw!$A:$A,Codex_sources!$A$9,Codex_USGS_raw!$C:$C,H$4)*Codex_sources!$D$9*Codex_sources!$K$9</f>
        <v>23062.9655172414</v>
      </c>
      <c r="I85">
        <f>SUMIFS(Codex_USGS_raw!$E:$E,Codex_USGS_raw!$A:$A,Codex_sources!$A$9,Codex_USGS_raw!$C:$C,I$4)*Codex_sources!$D$9*Codex_sources!$K$9</f>
        <v>0</v>
      </c>
      <c r="J85">
        <f>SUMIFS(Codex_USGS_raw!$E:$E,Codex_USGS_raw!$A:$A,Codex_sources!$A$9,Codex_USGS_raw!$C:$C,J$4)*Codex_sources!$D$9*Codex_sources!$K$9</f>
        <v>0</v>
      </c>
      <c r="K85">
        <f>SUMIFS(Codex_USGS_raw!$E:$E,Codex_USGS_raw!$A:$A,Codex_sources!$A$9,Codex_USGS_raw!$C:$C,K$4)*Codex_sources!$D$9*Codex_sources!$K$9</f>
        <v>0</v>
      </c>
      <c r="L85">
        <f>SUMIFS(Codex_USGS_raw!$E:$E,Codex_USGS_raw!$A:$A,Codex_sources!$A$9,Codex_USGS_raw!$C:$C,L$4)*Codex_sources!$D$9*Codex_sources!$K$9</f>
        <v>10596.4976700839</v>
      </c>
      <c r="M85">
        <f>SUMIFS(Codex_USGS_raw!$E:$E,Codex_USGS_raw!$A:$A,Codex_sources!$A$9,Codex_USGS_raw!$C:$C,M$4)*Codex_sources!$D$9*Codex_sources!$K$9</f>
        <v>4425.59608574091</v>
      </c>
      <c r="N85">
        <f>SUMIFS(Codex_USGS_raw!$E:$E,Codex_USGS_raw!$A:$A,Codex_sources!$A$9,Codex_USGS_raw!$C:$C,N$4)*Codex_sources!$D$9*Codex_sources!$K$9</f>
        <v>0</v>
      </c>
      <c r="O85">
        <f>SUMIFS(Codex_USGS_raw!$E:$E,Codex_USGS_raw!$A:$A,Codex_sources!$A$9,Codex_USGS_raw!$C:$C,O$4)*Codex_sources!$D$9*Codex_sources!$K$9</f>
        <v>0</v>
      </c>
      <c r="P85">
        <f>SUMIFS(Codex_USGS_raw!$E:$E,Codex_USGS_raw!$A:$A,Codex_sources!$A$9,Codex_USGS_raw!$C:$C,P$4)*Codex_sources!$D$9*Codex_sources!$K$9</f>
        <v>0</v>
      </c>
      <c r="Q85">
        <f>SUMIFS(Codex_USGS_raw!$E:$E,Codex_USGS_raw!$A:$A,Codex_sources!$A$9,Codex_USGS_raw!$C:$C,Q$4)*Codex_sources!$D$9*Codex_sources!$K$9</f>
        <v>0</v>
      </c>
      <c r="R85">
        <f>SUMIFS(Codex_USGS_raw!$E:$E,Codex_USGS_raw!$A:$A,Codex_sources!$A$9,Codex_USGS_raw!$C:$C,R$4)*Codex_sources!$D$9*Codex_sources!$K$9</f>
        <v>0</v>
      </c>
      <c r="S85">
        <f>SUMIFS(Codex_USGS_raw!$E:$E,Codex_USGS_raw!$A:$A,Codex_sources!$A$9,Codex_USGS_raw!$C:$C,S$4)*Codex_sources!$D$9*Codex_sources!$K$9</f>
        <v>0</v>
      </c>
      <c r="T85">
        <f>SUMIFS(Codex_USGS_raw!$E:$E,Codex_USGS_raw!$A:$A,Codex_sources!$A$9,Codex_USGS_raw!$C:$C,T$4)*Codex_sources!$D$9*Codex_sources!$K$9</f>
        <v>0</v>
      </c>
      <c r="U85">
        <f>SUMIFS(Codex_USGS_raw!$E:$E,Codex_USGS_raw!$A:$A,Codex_sources!$A$9,Codex_USGS_raw!$C:$C,U$4)*Codex_sources!$D$9*Codex_sources!$K$9</f>
        <v>4051.60205032619</v>
      </c>
      <c r="V85">
        <f>SUMIFS(Codex_USGS_raw!$E:$E,Codex_USGS_raw!$A:$A,Codex_sources!$A$9,Codex_USGS_raw!$C:$C,V$4)*Codex_sources!$D$9*Codex_sources!$K$9</f>
        <v>0</v>
      </c>
      <c r="W85">
        <f>SUMIFS(Codex_USGS_raw!$E:$E,Codex_USGS_raw!$A:$A,Codex_sources!$A$9,Codex_USGS_raw!$C:$C,W$4)*Codex_sources!$D$9*Codex_sources!$K$9</f>
        <v>0</v>
      </c>
      <c r="X85">
        <f>SUMIFS(Codex_USGS_raw!$E:$E,Codex_USGS_raw!$A:$A,Codex_sources!$A$9,Codex_USGS_raw!$C:$C,X$4)*Codex_sources!$D$9*Codex_sources!$K$9</f>
        <v>0</v>
      </c>
      <c r="Y85">
        <f>SUMIFS(Codex_USGS_raw!$E:$E,Codex_USGS_raw!$A:$A,Codex_sources!$A$9,Codex_USGS_raw!$C:$C,Y$4)*Codex_sources!$D$9*Codex_sources!$K$9</f>
        <v>12466.4678471575</v>
      </c>
      <c r="Z85">
        <f>SUMIFS(Codex_USGS_raw!$E:$E,Codex_USGS_raw!$A:$A,Codex_sources!$A$9,Codex_USGS_raw!$C:$C,Z$4)*Codex_sources!$D$9*Codex_sources!$K$9</f>
        <v>0</v>
      </c>
      <c r="AA85">
        <f>SUMIFS(Codex_USGS_raw!$E:$E,Codex_USGS_raw!$A:$A,Codex_sources!$A$9,Codex_USGS_raw!$C:$C,AA$4)*Codex_sources!$D$9*Codex_sources!$K$9</f>
        <v>124.664678471575</v>
      </c>
      <c r="AB85">
        <f>SUMIFS(Codex_USGS_raw!$E:$E,Codex_USGS_raw!$A:$A,Codex_sources!$A$9,Codex_USGS_raw!$C:$C,AB$4)*Codex_sources!$D$9*Codex_sources!$K$9</f>
        <v>0</v>
      </c>
      <c r="AC85">
        <f>SUMIFS(Codex_USGS_raw!$E:$E,Codex_USGS_raw!$A:$A,Codex_sources!$A$9,Codex_USGS_raw!$C:$C,AC$4)*Codex_sources!$D$9*Codex_sources!$K$9</f>
        <v>0</v>
      </c>
      <c r="AD85">
        <f>SUMIFS(Codex_USGS_raw!$E:$E,Codex_USGS_raw!$A:$A,Codex_sources!$A$9,Codex_USGS_raw!$C:$C,AD$4)*Codex_sources!$D$9*Codex_sources!$K$9</f>
        <v>71432.8607642125</v>
      </c>
      <c r="AE85">
        <f>SUMIFS(Codex_USGS_raw!$E:$E,Codex_USGS_raw!$A:$A,Codex_sources!$A$9,Codex_USGS_raw!$C:$C,AE$4)*Codex_sources!$D$9*Codex_sources!$K$9</f>
        <v>4051.60205032619</v>
      </c>
      <c r="AF85">
        <f>SUMIFS(Codex_USGS_raw!$E:$E,Codex_USGS_raw!$A:$A,Codex_sources!$A$9,Codex_USGS_raw!$C:$C,AF$4)*Codex_sources!$D$9*Codex_sources!$K$9</f>
        <v>1121.98210624418</v>
      </c>
      <c r="AG85">
        <f>SUMIFS(Codex_USGS_raw!$E:$E,Codex_USGS_raw!$A:$A,Codex_sources!$A$9,Codex_USGS_raw!$C:$C,AG$4)*Codex_sources!$D$9*Codex_sources!$K$9</f>
        <v>0</v>
      </c>
      <c r="AH85">
        <f>SUMIFS(Codex_USGS_raw!$E:$E,Codex_USGS_raw!$A:$A,Codex_sources!$A$9,Codex_USGS_raw!$C:$C,AH$4)*Codex_sources!$D$9*Codex_sources!$K$9</f>
        <v>0</v>
      </c>
      <c r="AI85">
        <f>SUMIFS(Codex_USGS_raw!$E:$E,Codex_USGS_raw!$A:$A,Codex_sources!$A$9,Codex_USGS_raw!$C:$C,AI$4)*Codex_sources!$D$9*Codex_sources!$K$9</f>
        <v>0</v>
      </c>
      <c r="AJ85">
        <f>SUMIFS(Codex_USGS_raw!$E:$E,Codex_USGS_raw!$A:$A,Codex_sources!$A$9,Codex_USGS_raw!$C:$C,AJ$4)*Codex_sources!$D$9*Codex_sources!$K$9</f>
        <v>0</v>
      </c>
      <c r="AK85">
        <f>SUMIFS(Codex_USGS_raw!$E:$E,Codex_USGS_raw!$A:$A,Codex_sources!$A$9,Codex_USGS_raw!$C:$C,AK$4)*Codex_sources!$D$9*Codex_sources!$K$9</f>
        <v>430.093140726934</v>
      </c>
      <c r="AL85">
        <f>SUMIFS(Codex_USGS_raw!$E:$E,Codex_USGS_raw!$A:$A,Codex_sources!$A$9,Codex_USGS_raw!$C:$C,AL$4)*Codex_sources!$D$9*Codex_sources!$K$9</f>
        <v>0</v>
      </c>
      <c r="AM85">
        <f>SUMIFS(Codex_USGS_raw!$E:$E,Codex_USGS_raw!$A:$A,Codex_sources!$A$9,Codex_USGS_raw!$C:$C,AM$4)*Codex_sources!$D$9*Codex_sources!$K$9</f>
        <v>0</v>
      </c>
      <c r="AN85">
        <f>SUMIFS(Codex_USGS_raw!$E:$E,Codex_USGS_raw!$A:$A,Codex_sources!$A$9,Codex_USGS_raw!$C:$C,AN$4)*Codex_sources!$D$9*Codex_sources!$K$9</f>
        <v>0</v>
      </c>
      <c r="AO85" t="str">
        <f t="shared" si="2"/>
        <v>2019, 2130</v>
      </c>
    </row>
    <row r="86" spans="3:41">
      <c r="C86" t="s">
        <v>446</v>
      </c>
      <c r="D86" t="s">
        <v>444</v>
      </c>
      <c r="E86" t="s">
        <v>11</v>
      </c>
      <c r="F86">
        <f>Codex_sources!$N$9</f>
        <v>11.904948</v>
      </c>
      <c r="G86">
        <f>Codex_sources!$N$9</f>
        <v>11.904948</v>
      </c>
      <c r="H86">
        <f>Codex_sources!$N$9</f>
        <v>11.904948</v>
      </c>
      <c r="I86">
        <f>Codex_sources!$N$9</f>
        <v>11.904948</v>
      </c>
      <c r="J86">
        <f>Codex_sources!$N$9</f>
        <v>11.904948</v>
      </c>
      <c r="K86">
        <f>Codex_sources!$N$9</f>
        <v>11.904948</v>
      </c>
      <c r="L86">
        <f>Codex_sources!$N$9</f>
        <v>11.904948</v>
      </c>
      <c r="M86">
        <f>Codex_sources!$N$9</f>
        <v>11.904948</v>
      </c>
      <c r="N86">
        <f>Codex_sources!$N$9</f>
        <v>11.904948</v>
      </c>
      <c r="O86">
        <f>Codex_sources!$N$9</f>
        <v>11.904948</v>
      </c>
      <c r="P86">
        <f>Codex_sources!$N$9</f>
        <v>11.904948</v>
      </c>
      <c r="Q86">
        <f>Codex_sources!$N$9</f>
        <v>11.904948</v>
      </c>
      <c r="R86">
        <f>Codex_sources!$N$9</f>
        <v>11.904948</v>
      </c>
      <c r="S86">
        <f>Codex_sources!$N$9</f>
        <v>11.904948</v>
      </c>
      <c r="T86">
        <f>Codex_sources!$N$9</f>
        <v>11.904948</v>
      </c>
      <c r="U86">
        <f>Codex_sources!$N$9</f>
        <v>11.904948</v>
      </c>
      <c r="V86">
        <f>Codex_sources!$N$9</f>
        <v>11.904948</v>
      </c>
      <c r="W86">
        <f>Codex_sources!$N$9</f>
        <v>11.904948</v>
      </c>
      <c r="X86">
        <f>Codex_sources!$N$9</f>
        <v>11.904948</v>
      </c>
      <c r="Y86">
        <f>Codex_sources!$N$9</f>
        <v>11.904948</v>
      </c>
      <c r="Z86">
        <f>Codex_sources!$N$9</f>
        <v>11.904948</v>
      </c>
      <c r="AA86">
        <f>Codex_sources!$N$9</f>
        <v>11.904948</v>
      </c>
      <c r="AB86">
        <f>Codex_sources!$N$9</f>
        <v>11.904948</v>
      </c>
      <c r="AC86">
        <f>Codex_sources!$N$9</f>
        <v>11.904948</v>
      </c>
      <c r="AD86">
        <f>Codex_sources!$N$9</f>
        <v>11.904948</v>
      </c>
      <c r="AE86">
        <f>Codex_sources!$N$9</f>
        <v>11.904948</v>
      </c>
      <c r="AF86">
        <f>Codex_sources!$N$9</f>
        <v>11.904948</v>
      </c>
      <c r="AG86">
        <f>Codex_sources!$N$9</f>
        <v>11.904948</v>
      </c>
      <c r="AH86">
        <f>Codex_sources!$N$9</f>
        <v>11.904948</v>
      </c>
      <c r="AI86">
        <f>Codex_sources!$N$9</f>
        <v>11.904948</v>
      </c>
      <c r="AJ86">
        <f>Codex_sources!$N$9</f>
        <v>11.904948</v>
      </c>
      <c r="AK86">
        <f>Codex_sources!$N$9</f>
        <v>11.904948</v>
      </c>
      <c r="AL86">
        <f>Codex_sources!$N$9</f>
        <v>11.904948</v>
      </c>
      <c r="AM86">
        <f>Codex_sources!$N$9</f>
        <v>11.904948</v>
      </c>
      <c r="AN86">
        <f>Codex_sources!$N$9</f>
        <v>11.904948</v>
      </c>
      <c r="AO86" t="str">
        <f t="shared" si="2"/>
        <v>2019, 2130</v>
      </c>
    </row>
    <row r="87" spans="3:41">
      <c r="C87" t="s">
        <v>447</v>
      </c>
      <c r="D87" t="s">
        <v>442</v>
      </c>
      <c r="AO87" t="str">
        <f t="shared" si="2"/>
        <v>2019, 2130</v>
      </c>
    </row>
    <row r="88" spans="3:41">
      <c r="C88" t="s">
        <v>447</v>
      </c>
      <c r="D88" t="s">
        <v>115</v>
      </c>
      <c r="F88">
        <f>SUMIFS(Codex_USGS_raw!$E:$E,Codex_USGS_raw!$A:$A,Codex_sources!$A$9,Codex_USGS_raw!$C:$C,F$4)*Codex_sources!$D$9*Codex_sources!$L$9</f>
        <v>0</v>
      </c>
      <c r="G88">
        <f>SUMIFS(Codex_USGS_raw!$E:$E,Codex_USGS_raw!$A:$A,Codex_sources!$A$9,Codex_USGS_raw!$C:$C,G$4)*Codex_sources!$D$9*Codex_sources!$L$9</f>
        <v>12812.7586206897</v>
      </c>
      <c r="H88">
        <f>SUMIFS(Codex_USGS_raw!$E:$E,Codex_USGS_raw!$A:$A,Codex_sources!$A$9,Codex_USGS_raw!$C:$C,H$4)*Codex_sources!$D$9*Codex_sources!$L$9</f>
        <v>6406.37931034483</v>
      </c>
      <c r="I88">
        <f>SUMIFS(Codex_USGS_raw!$E:$E,Codex_USGS_raw!$A:$A,Codex_sources!$A$9,Codex_USGS_raw!$C:$C,I$4)*Codex_sources!$D$9*Codex_sources!$L$9</f>
        <v>0</v>
      </c>
      <c r="J88">
        <f>SUMIFS(Codex_USGS_raw!$E:$E,Codex_USGS_raw!$A:$A,Codex_sources!$A$9,Codex_USGS_raw!$C:$C,J$4)*Codex_sources!$D$9*Codex_sources!$L$9</f>
        <v>0</v>
      </c>
      <c r="K88">
        <f>SUMIFS(Codex_USGS_raw!$E:$E,Codex_USGS_raw!$A:$A,Codex_sources!$A$9,Codex_USGS_raw!$C:$C,K$4)*Codex_sources!$D$9*Codex_sources!$L$9</f>
        <v>0</v>
      </c>
      <c r="L88">
        <f>SUMIFS(Codex_USGS_raw!$E:$E,Codex_USGS_raw!$A:$A,Codex_sources!$A$9,Codex_USGS_raw!$C:$C,L$4)*Codex_sources!$D$9*Codex_sources!$L$9</f>
        <v>2943.4715750233</v>
      </c>
      <c r="M88">
        <f>SUMIFS(Codex_USGS_raw!$E:$E,Codex_USGS_raw!$A:$A,Codex_sources!$A$9,Codex_USGS_raw!$C:$C,M$4)*Codex_sources!$D$9*Codex_sources!$L$9</f>
        <v>1229.33224603914</v>
      </c>
      <c r="N88">
        <f>SUMIFS(Codex_USGS_raw!$E:$E,Codex_USGS_raw!$A:$A,Codex_sources!$A$9,Codex_USGS_raw!$C:$C,N$4)*Codex_sources!$D$9*Codex_sources!$L$9</f>
        <v>0</v>
      </c>
      <c r="O88">
        <f>SUMIFS(Codex_USGS_raw!$E:$E,Codex_USGS_raw!$A:$A,Codex_sources!$A$9,Codex_USGS_raw!$C:$C,O$4)*Codex_sources!$D$9*Codex_sources!$L$9</f>
        <v>0</v>
      </c>
      <c r="P88">
        <f>SUMIFS(Codex_USGS_raw!$E:$E,Codex_USGS_raw!$A:$A,Codex_sources!$A$9,Codex_USGS_raw!$C:$C,P$4)*Codex_sources!$D$9*Codex_sources!$L$9</f>
        <v>0</v>
      </c>
      <c r="Q88">
        <f>SUMIFS(Codex_USGS_raw!$E:$E,Codex_USGS_raw!$A:$A,Codex_sources!$A$9,Codex_USGS_raw!$C:$C,Q$4)*Codex_sources!$D$9*Codex_sources!$L$9</f>
        <v>0</v>
      </c>
      <c r="R88">
        <f>SUMIFS(Codex_USGS_raw!$E:$E,Codex_USGS_raw!$A:$A,Codex_sources!$A$9,Codex_USGS_raw!$C:$C,R$4)*Codex_sources!$D$9*Codex_sources!$L$9</f>
        <v>0</v>
      </c>
      <c r="S88">
        <f>SUMIFS(Codex_USGS_raw!$E:$E,Codex_USGS_raw!$A:$A,Codex_sources!$A$9,Codex_USGS_raw!$C:$C,S$4)*Codex_sources!$D$9*Codex_sources!$L$9</f>
        <v>0</v>
      </c>
      <c r="T88">
        <f>SUMIFS(Codex_USGS_raw!$E:$E,Codex_USGS_raw!$A:$A,Codex_sources!$A$9,Codex_USGS_raw!$C:$C,T$4)*Codex_sources!$D$9*Codex_sources!$L$9</f>
        <v>0</v>
      </c>
      <c r="U88">
        <f>SUMIFS(Codex_USGS_raw!$E:$E,Codex_USGS_raw!$A:$A,Codex_sources!$A$9,Codex_USGS_raw!$C:$C,U$4)*Codex_sources!$D$9*Codex_sources!$L$9</f>
        <v>1125.4450139795</v>
      </c>
      <c r="V88">
        <f>SUMIFS(Codex_USGS_raw!$E:$E,Codex_USGS_raw!$A:$A,Codex_sources!$A$9,Codex_USGS_raw!$C:$C,V$4)*Codex_sources!$D$9*Codex_sources!$L$9</f>
        <v>0</v>
      </c>
      <c r="W88">
        <f>SUMIFS(Codex_USGS_raw!$E:$E,Codex_USGS_raw!$A:$A,Codex_sources!$A$9,Codex_USGS_raw!$C:$C,W$4)*Codex_sources!$D$9*Codex_sources!$L$9</f>
        <v>0</v>
      </c>
      <c r="X88">
        <f>SUMIFS(Codex_USGS_raw!$E:$E,Codex_USGS_raw!$A:$A,Codex_sources!$A$9,Codex_USGS_raw!$C:$C,X$4)*Codex_sources!$D$9*Codex_sources!$L$9</f>
        <v>0</v>
      </c>
      <c r="Y88">
        <f>SUMIFS(Codex_USGS_raw!$E:$E,Codex_USGS_raw!$A:$A,Codex_sources!$A$9,Codex_USGS_raw!$C:$C,Y$4)*Codex_sources!$D$9*Codex_sources!$L$9</f>
        <v>3462.90773532153</v>
      </c>
      <c r="Z88">
        <f>SUMIFS(Codex_USGS_raw!$E:$E,Codex_USGS_raw!$A:$A,Codex_sources!$A$9,Codex_USGS_raw!$C:$C,Z$4)*Codex_sources!$D$9*Codex_sources!$L$9</f>
        <v>0</v>
      </c>
      <c r="AA88">
        <f>SUMIFS(Codex_USGS_raw!$E:$E,Codex_USGS_raw!$A:$A,Codex_sources!$A$9,Codex_USGS_raw!$C:$C,AA$4)*Codex_sources!$D$9*Codex_sources!$L$9</f>
        <v>34.6290773532153</v>
      </c>
      <c r="AB88">
        <f>SUMIFS(Codex_USGS_raw!$E:$E,Codex_USGS_raw!$A:$A,Codex_sources!$A$9,Codex_USGS_raw!$C:$C,AB$4)*Codex_sources!$D$9*Codex_sources!$L$9</f>
        <v>0</v>
      </c>
      <c r="AC88">
        <f>SUMIFS(Codex_USGS_raw!$E:$E,Codex_USGS_raw!$A:$A,Codex_sources!$A$9,Codex_USGS_raw!$C:$C,AC$4)*Codex_sources!$D$9*Codex_sources!$L$9</f>
        <v>0</v>
      </c>
      <c r="AD88">
        <f>SUMIFS(Codex_USGS_raw!$E:$E,Codex_USGS_raw!$A:$A,Codex_sources!$A$9,Codex_USGS_raw!$C:$C,AD$4)*Codex_sources!$D$9*Codex_sources!$L$9</f>
        <v>19842.4613233924</v>
      </c>
      <c r="AE88">
        <f>SUMIFS(Codex_USGS_raw!$E:$E,Codex_USGS_raw!$A:$A,Codex_sources!$A$9,Codex_USGS_raw!$C:$C,AE$4)*Codex_sources!$D$9*Codex_sources!$L$9</f>
        <v>1125.4450139795</v>
      </c>
      <c r="AF88">
        <f>SUMIFS(Codex_USGS_raw!$E:$E,Codex_USGS_raw!$A:$A,Codex_sources!$A$9,Codex_USGS_raw!$C:$C,AF$4)*Codex_sources!$D$9*Codex_sources!$L$9</f>
        <v>311.661696178938</v>
      </c>
      <c r="AG88">
        <f>SUMIFS(Codex_USGS_raw!$E:$E,Codex_USGS_raw!$A:$A,Codex_sources!$A$9,Codex_USGS_raw!$C:$C,AG$4)*Codex_sources!$D$9*Codex_sources!$L$9</f>
        <v>0</v>
      </c>
      <c r="AH88">
        <f>SUMIFS(Codex_USGS_raw!$E:$E,Codex_USGS_raw!$A:$A,Codex_sources!$A$9,Codex_USGS_raw!$C:$C,AH$4)*Codex_sources!$D$9*Codex_sources!$L$9</f>
        <v>0</v>
      </c>
      <c r="AI88">
        <f>SUMIFS(Codex_USGS_raw!$E:$E,Codex_USGS_raw!$A:$A,Codex_sources!$A$9,Codex_USGS_raw!$C:$C,AI$4)*Codex_sources!$D$9*Codex_sources!$L$9</f>
        <v>0</v>
      </c>
      <c r="AJ88">
        <f>SUMIFS(Codex_USGS_raw!$E:$E,Codex_USGS_raw!$A:$A,Codex_sources!$A$9,Codex_USGS_raw!$C:$C,AJ$4)*Codex_sources!$D$9*Codex_sources!$L$9</f>
        <v>0</v>
      </c>
      <c r="AK88">
        <f>SUMIFS(Codex_USGS_raw!$E:$E,Codex_USGS_raw!$A:$A,Codex_sources!$A$9,Codex_USGS_raw!$C:$C,AK$4)*Codex_sources!$D$9*Codex_sources!$L$9</f>
        <v>119.470316868593</v>
      </c>
      <c r="AL88">
        <f>SUMIFS(Codex_USGS_raw!$E:$E,Codex_USGS_raw!$A:$A,Codex_sources!$A$9,Codex_USGS_raw!$C:$C,AL$4)*Codex_sources!$D$9*Codex_sources!$L$9</f>
        <v>0</v>
      </c>
      <c r="AM88">
        <f>SUMIFS(Codex_USGS_raw!$E:$E,Codex_USGS_raw!$A:$A,Codex_sources!$A$9,Codex_USGS_raw!$C:$C,AM$4)*Codex_sources!$D$9*Codex_sources!$L$9</f>
        <v>0</v>
      </c>
      <c r="AN88">
        <f>SUMIFS(Codex_USGS_raw!$E:$E,Codex_USGS_raw!$A:$A,Codex_sources!$A$9,Codex_USGS_raw!$C:$C,AN$4)*Codex_sources!$D$9*Codex_sources!$L$9</f>
        <v>0</v>
      </c>
      <c r="AO88" t="str">
        <f t="shared" si="2"/>
        <v>2019, 2130</v>
      </c>
    </row>
    <row r="89" spans="3:41">
      <c r="C89" t="s">
        <v>447</v>
      </c>
      <c r="D89" t="s">
        <v>444</v>
      </c>
      <c r="E89" t="s">
        <v>11</v>
      </c>
      <c r="F89">
        <f>Codex_sources!$O$9</f>
        <v>13.0954428</v>
      </c>
      <c r="G89">
        <f>Codex_sources!$O$9</f>
        <v>13.0954428</v>
      </c>
      <c r="H89">
        <f>Codex_sources!$O$9</f>
        <v>13.0954428</v>
      </c>
      <c r="I89">
        <f>Codex_sources!$O$9</f>
        <v>13.0954428</v>
      </c>
      <c r="J89">
        <f>Codex_sources!$O$9</f>
        <v>13.0954428</v>
      </c>
      <c r="K89">
        <f>Codex_sources!$O$9</f>
        <v>13.0954428</v>
      </c>
      <c r="L89">
        <f>Codex_sources!$O$9</f>
        <v>13.0954428</v>
      </c>
      <c r="M89">
        <f>Codex_sources!$O$9</f>
        <v>13.0954428</v>
      </c>
      <c r="N89">
        <f>Codex_sources!$O$9</f>
        <v>13.0954428</v>
      </c>
      <c r="O89">
        <f>Codex_sources!$O$9</f>
        <v>13.0954428</v>
      </c>
      <c r="P89">
        <f>Codex_sources!$O$9</f>
        <v>13.0954428</v>
      </c>
      <c r="Q89">
        <f>Codex_sources!$O$9</f>
        <v>13.0954428</v>
      </c>
      <c r="R89">
        <f>Codex_sources!$O$9</f>
        <v>13.0954428</v>
      </c>
      <c r="S89">
        <f>Codex_sources!$O$9</f>
        <v>13.0954428</v>
      </c>
      <c r="T89">
        <f>Codex_sources!$O$9</f>
        <v>13.0954428</v>
      </c>
      <c r="U89">
        <f>Codex_sources!$O$9</f>
        <v>13.0954428</v>
      </c>
      <c r="V89">
        <f>Codex_sources!$O$9</f>
        <v>13.0954428</v>
      </c>
      <c r="W89">
        <f>Codex_sources!$O$9</f>
        <v>13.0954428</v>
      </c>
      <c r="X89">
        <f>Codex_sources!$O$9</f>
        <v>13.0954428</v>
      </c>
      <c r="Y89">
        <f>Codex_sources!$O$9</f>
        <v>13.0954428</v>
      </c>
      <c r="Z89">
        <f>Codex_sources!$O$9</f>
        <v>13.0954428</v>
      </c>
      <c r="AA89">
        <f>Codex_sources!$O$9</f>
        <v>13.0954428</v>
      </c>
      <c r="AB89">
        <f>Codex_sources!$O$9</f>
        <v>13.0954428</v>
      </c>
      <c r="AC89">
        <f>Codex_sources!$O$9</f>
        <v>13.0954428</v>
      </c>
      <c r="AD89">
        <f>Codex_sources!$O$9</f>
        <v>13.0954428</v>
      </c>
      <c r="AE89">
        <f>Codex_sources!$O$9</f>
        <v>13.0954428</v>
      </c>
      <c r="AF89">
        <f>Codex_sources!$O$9</f>
        <v>13.0954428</v>
      </c>
      <c r="AG89">
        <f>Codex_sources!$O$9</f>
        <v>13.0954428</v>
      </c>
      <c r="AH89">
        <f>Codex_sources!$O$9</f>
        <v>13.0954428</v>
      </c>
      <c r="AI89">
        <f>Codex_sources!$O$9</f>
        <v>13.0954428</v>
      </c>
      <c r="AJ89">
        <f>Codex_sources!$O$9</f>
        <v>13.0954428</v>
      </c>
      <c r="AK89">
        <f>Codex_sources!$O$9</f>
        <v>13.0954428</v>
      </c>
      <c r="AL89">
        <f>Codex_sources!$O$9</f>
        <v>13.0954428</v>
      </c>
      <c r="AM89">
        <f>Codex_sources!$O$9</f>
        <v>13.0954428</v>
      </c>
      <c r="AN89">
        <f>Codex_sources!$O$9</f>
        <v>13.0954428</v>
      </c>
      <c r="AO89" t="str">
        <f t="shared" si="2"/>
        <v>2019, 2130</v>
      </c>
    </row>
    <row r="90" spans="3:41">
      <c r="AO90" t="str">
        <f t="shared" si="2"/>
        <v>2019, 2130</v>
      </c>
    </row>
    <row r="91" spans="3:41">
      <c r="C91" t="s">
        <v>127</v>
      </c>
      <c r="D91" t="s">
        <v>442</v>
      </c>
      <c r="F91">
        <f>SUMIFS(Codex_USGS_raw!$D:$D,Codex_USGS_raw!$A:$A,Codex_sources!$A$10,Codex_USGS_raw!$C:$C,F$4)*Codex_sources!$D$10*1</f>
        <v>0</v>
      </c>
      <c r="G91">
        <f>SUMIFS(Codex_USGS_raw!$D:$D,Codex_USGS_raw!$A:$A,Codex_sources!$A$10,Codex_USGS_raw!$C:$C,G$4)*Codex_sources!$D$10*1</f>
        <v>102.6</v>
      </c>
      <c r="H91">
        <f>SUMIFS(Codex_USGS_raw!$D:$D,Codex_USGS_raw!$A:$A,Codex_sources!$A$10,Codex_USGS_raw!$C:$C,H$4)*Codex_sources!$D$10*1</f>
        <v>18.0913043478261</v>
      </c>
      <c r="I91">
        <f>SUMIFS(Codex_USGS_raw!$D:$D,Codex_USGS_raw!$A:$A,Codex_sources!$A$10,Codex_USGS_raw!$C:$C,I$4)*Codex_sources!$D$10*1</f>
        <v>0</v>
      </c>
      <c r="J91">
        <f>SUMIFS(Codex_USGS_raw!$D:$D,Codex_USGS_raw!$A:$A,Codex_sources!$A$10,Codex_USGS_raw!$C:$C,J$4)*Codex_sources!$D$10*1</f>
        <v>0</v>
      </c>
      <c r="K91">
        <f>SUMIFS(Codex_USGS_raw!$D:$D,Codex_USGS_raw!$A:$A,Codex_sources!$A$10,Codex_USGS_raw!$C:$C,K$4)*Codex_sources!$D$10*1</f>
        <v>0</v>
      </c>
      <c r="L91">
        <f>SUMIFS(Codex_USGS_raw!$D:$D,Codex_USGS_raw!$A:$A,Codex_sources!$A$10,Codex_USGS_raw!$C:$C,L$4)*Codex_sources!$D$10*1</f>
        <v>0</v>
      </c>
      <c r="M91">
        <f>SUMIFS(Codex_USGS_raw!$D:$D,Codex_USGS_raw!$A:$A,Codex_sources!$A$10,Codex_USGS_raw!$C:$C,M$4)*Codex_sources!$D$10*1</f>
        <v>44.6086956521739</v>
      </c>
      <c r="N91">
        <f>SUMIFS(Codex_USGS_raw!$D:$D,Codex_USGS_raw!$A:$A,Codex_sources!$A$10,Codex_USGS_raw!$C:$C,N$4)*Codex_sources!$D$10*1</f>
        <v>0</v>
      </c>
      <c r="O91">
        <f>SUMIFS(Codex_USGS_raw!$D:$D,Codex_USGS_raw!$A:$A,Codex_sources!$A$10,Codex_USGS_raw!$C:$C,O$4)*Codex_sources!$D$10*1</f>
        <v>0</v>
      </c>
      <c r="P91">
        <f>SUMIFS(Codex_USGS_raw!$D:$D,Codex_USGS_raw!$A:$A,Codex_sources!$A$10,Codex_USGS_raw!$C:$C,P$4)*Codex_sources!$D$10*1</f>
        <v>0</v>
      </c>
      <c r="Q91">
        <f>SUMIFS(Codex_USGS_raw!$D:$D,Codex_USGS_raw!$A:$A,Codex_sources!$A$10,Codex_USGS_raw!$C:$C,Q$4)*Codex_sources!$D$10*1</f>
        <v>0</v>
      </c>
      <c r="R91">
        <f>SUMIFS(Codex_USGS_raw!$D:$D,Codex_USGS_raw!$A:$A,Codex_sources!$A$10,Codex_USGS_raw!$C:$C,R$4)*Codex_sources!$D$10*1</f>
        <v>0</v>
      </c>
      <c r="S91">
        <f>SUMIFS(Codex_USGS_raw!$D:$D,Codex_USGS_raw!$A:$A,Codex_sources!$A$10,Codex_USGS_raw!$C:$C,S$4)*Codex_sources!$D$10*1</f>
        <v>0</v>
      </c>
      <c r="T91">
        <f>SUMIFS(Codex_USGS_raw!$D:$D,Codex_USGS_raw!$A:$A,Codex_sources!$A$10,Codex_USGS_raw!$C:$C,T$4)*Codex_sources!$D$10*1</f>
        <v>0</v>
      </c>
      <c r="U91">
        <f>SUMIFS(Codex_USGS_raw!$D:$D,Codex_USGS_raw!$A:$A,Codex_sources!$A$10,Codex_USGS_raw!$C:$C,U$4)*Codex_sources!$D$10*1</f>
        <v>0.57</v>
      </c>
      <c r="V91">
        <f>SUMIFS(Codex_USGS_raw!$D:$D,Codex_USGS_raw!$A:$A,Codex_sources!$A$10,Codex_USGS_raw!$C:$C,V$4)*Codex_sources!$D$10*1</f>
        <v>0</v>
      </c>
      <c r="W91">
        <f>SUMIFS(Codex_USGS_raw!$D:$D,Codex_USGS_raw!$A:$A,Codex_sources!$A$10,Codex_USGS_raw!$C:$C,W$4)*Codex_sources!$D$10*1</f>
        <v>0</v>
      </c>
      <c r="X91">
        <f>SUMIFS(Codex_USGS_raw!$D:$D,Codex_USGS_raw!$A:$A,Codex_sources!$A$10,Codex_USGS_raw!$C:$C,X$4)*Codex_sources!$D$10*1</f>
        <v>0</v>
      </c>
      <c r="Y91">
        <f>SUMIFS(Codex_USGS_raw!$D:$D,Codex_USGS_raw!$A:$A,Codex_sources!$A$10,Codex_USGS_raw!$C:$C,Y$4)*Codex_sources!$D$10*1</f>
        <v>198.260869565217</v>
      </c>
      <c r="Z91">
        <f>SUMIFS(Codex_USGS_raw!$D:$D,Codex_USGS_raw!$A:$A,Codex_sources!$A$10,Codex_USGS_raw!$C:$C,Z$4)*Codex_sources!$D$10*1</f>
        <v>0</v>
      </c>
      <c r="AA91">
        <f>SUMIFS(Codex_USGS_raw!$D:$D,Codex_USGS_raw!$A:$A,Codex_sources!$A$10,Codex_USGS_raw!$C:$C,AA$4)*Codex_sources!$D$10*1</f>
        <v>54.2739130434783</v>
      </c>
      <c r="AB91">
        <f>SUMIFS(Codex_USGS_raw!$D:$D,Codex_USGS_raw!$A:$A,Codex_sources!$A$10,Codex_USGS_raw!$C:$C,AB$4)*Codex_sources!$D$10*1</f>
        <v>0</v>
      </c>
      <c r="AC91">
        <f>SUMIFS(Codex_USGS_raw!$D:$D,Codex_USGS_raw!$A:$A,Codex_sources!$A$10,Codex_USGS_raw!$C:$C,AC$4)*Codex_sources!$D$10*1</f>
        <v>10.1608695652174</v>
      </c>
      <c r="AD91">
        <f>SUMIFS(Codex_USGS_raw!$D:$D,Codex_USGS_raw!$A:$A,Codex_sources!$A$10,Codex_USGS_raw!$C:$C,AD$4)*Codex_sources!$D$10*1</f>
        <v>109.539130434783</v>
      </c>
      <c r="AE91">
        <f>SUMIFS(Codex_USGS_raw!$D:$D,Codex_USGS_raw!$A:$A,Codex_sources!$A$10,Codex_USGS_raw!$C:$C,AE$4)*Codex_sources!$D$10*1</f>
        <v>32.2173913043478</v>
      </c>
      <c r="AF91">
        <f>SUMIFS(Codex_USGS_raw!$D:$D,Codex_USGS_raw!$A:$A,Codex_sources!$A$10,Codex_USGS_raw!$C:$C,AF$4)*Codex_sources!$D$10*1</f>
        <v>0</v>
      </c>
      <c r="AG91">
        <f>SUMIFS(Codex_USGS_raw!$D:$D,Codex_USGS_raw!$A:$A,Codex_sources!$A$10,Codex_USGS_raw!$C:$C,AG$4)*Codex_sources!$D$10*1</f>
        <v>0</v>
      </c>
      <c r="AH91">
        <f>SUMIFS(Codex_USGS_raw!$D:$D,Codex_USGS_raw!$A:$A,Codex_sources!$A$10,Codex_USGS_raw!$C:$C,AH$4)*Codex_sources!$D$10*1</f>
        <v>0</v>
      </c>
      <c r="AI91">
        <f>SUMIFS(Codex_USGS_raw!$D:$D,Codex_USGS_raw!$A:$A,Codex_sources!$A$10,Codex_USGS_raw!$C:$C,AI$4)*Codex_sources!$D$10*1</f>
        <v>0</v>
      </c>
      <c r="AJ91">
        <f>SUMIFS(Codex_USGS_raw!$D:$D,Codex_USGS_raw!$A:$A,Codex_sources!$A$10,Codex_USGS_raw!$C:$C,AJ$4)*Codex_sources!$D$10*1</f>
        <v>0</v>
      </c>
      <c r="AK91">
        <f>SUMIFS(Codex_USGS_raw!$D:$D,Codex_USGS_raw!$A:$A,Codex_sources!$A$10,Codex_USGS_raw!$C:$C,AK$4)*Codex_sources!$D$10*1</f>
        <v>0</v>
      </c>
      <c r="AL91">
        <f>SUMIFS(Codex_USGS_raw!$D:$D,Codex_USGS_raw!$A:$A,Codex_sources!$A$10,Codex_USGS_raw!$C:$C,AL$4)*Codex_sources!$D$10*1</f>
        <v>0</v>
      </c>
      <c r="AM91">
        <f>SUMIFS(Codex_USGS_raw!$D:$D,Codex_USGS_raw!$A:$A,Codex_sources!$A$10,Codex_USGS_raw!$C:$C,AM$4)*Codex_sources!$D$10*1</f>
        <v>0</v>
      </c>
      <c r="AN91">
        <f>SUMIFS(Codex_USGS_raw!$D:$D,Codex_USGS_raw!$A:$A,Codex_sources!$A$10,Codex_USGS_raw!$C:$C,AN$4)*Codex_sources!$D$10*1</f>
        <v>0</v>
      </c>
      <c r="AO91" t="str">
        <f t="shared" si="2"/>
        <v>2019, 2130</v>
      </c>
    </row>
    <row r="92" spans="3:41">
      <c r="C92" t="s">
        <v>127</v>
      </c>
      <c r="D92" t="s">
        <v>115</v>
      </c>
      <c r="F92">
        <f>SUMIFS(Codex_USGS_raw!$E:$E,Codex_USGS_raw!$A:$A,Codex_sources!$A$10,Codex_USGS_raw!$C:$C,F$4)*Codex_sources!$D$10*Codex_sources!$J$10</f>
        <v>0</v>
      </c>
      <c r="G92">
        <f>SUMIFS(Codex_USGS_raw!$E:$E,Codex_USGS_raw!$A:$A,Codex_sources!$A$10,Codex_USGS_raw!$C:$C,G$4)*Codex_sources!$D$10*Codex_sources!$J$10</f>
        <v>2503.04347826087</v>
      </c>
      <c r="H92">
        <f>SUMIFS(Codex_USGS_raw!$E:$E,Codex_USGS_raw!$A:$A,Codex_sources!$A$10,Codex_USGS_raw!$C:$C,H$4)*Codex_sources!$D$10*Codex_sources!$J$10</f>
        <v>2478.26086956522</v>
      </c>
      <c r="I92">
        <f>SUMIFS(Codex_USGS_raw!$E:$E,Codex_USGS_raw!$A:$A,Codex_sources!$A$10,Codex_USGS_raw!$C:$C,I$4)*Codex_sources!$D$10*Codex_sources!$J$10</f>
        <v>0</v>
      </c>
      <c r="J92">
        <f>SUMIFS(Codex_USGS_raw!$E:$E,Codex_USGS_raw!$A:$A,Codex_sources!$A$10,Codex_USGS_raw!$C:$C,J$4)*Codex_sources!$D$10*Codex_sources!$J$10</f>
        <v>0</v>
      </c>
      <c r="K92">
        <f>SUMIFS(Codex_USGS_raw!$E:$E,Codex_USGS_raw!$A:$A,Codex_sources!$A$10,Codex_USGS_raw!$C:$C,K$4)*Codex_sources!$D$10*Codex_sources!$J$10</f>
        <v>0</v>
      </c>
      <c r="L92">
        <f>SUMIFS(Codex_USGS_raw!$E:$E,Codex_USGS_raw!$A:$A,Codex_sources!$A$10,Codex_USGS_raw!$C:$C,L$4)*Codex_sources!$D$10*Codex_sources!$J$10</f>
        <v>0</v>
      </c>
      <c r="M92">
        <f>SUMIFS(Codex_USGS_raw!$E:$E,Codex_USGS_raw!$A:$A,Codex_sources!$A$10,Codex_USGS_raw!$C:$C,M$4)*Codex_sources!$D$10*Codex_sources!$J$10</f>
        <v>1016.08695652174</v>
      </c>
      <c r="N92">
        <f>SUMIFS(Codex_USGS_raw!$E:$E,Codex_USGS_raw!$A:$A,Codex_sources!$A$10,Codex_USGS_raw!$C:$C,N$4)*Codex_sources!$D$10*Codex_sources!$J$10</f>
        <v>0</v>
      </c>
      <c r="O92">
        <f>SUMIFS(Codex_USGS_raw!$E:$E,Codex_USGS_raw!$A:$A,Codex_sources!$A$10,Codex_USGS_raw!$C:$C,O$4)*Codex_sources!$D$10*Codex_sources!$J$10</f>
        <v>0</v>
      </c>
      <c r="P92">
        <f>SUMIFS(Codex_USGS_raw!$E:$E,Codex_USGS_raw!$A:$A,Codex_sources!$A$10,Codex_USGS_raw!$C:$C,P$4)*Codex_sources!$D$10*Codex_sources!$J$10</f>
        <v>0</v>
      </c>
      <c r="Q92">
        <f>SUMIFS(Codex_USGS_raw!$E:$E,Codex_USGS_raw!$A:$A,Codex_sources!$A$10,Codex_USGS_raw!$C:$C,Q$4)*Codex_sources!$D$10*Codex_sources!$J$10</f>
        <v>0</v>
      </c>
      <c r="R92">
        <f>SUMIFS(Codex_USGS_raw!$E:$E,Codex_USGS_raw!$A:$A,Codex_sources!$A$10,Codex_USGS_raw!$C:$C,R$4)*Codex_sources!$D$10*Codex_sources!$J$10</f>
        <v>0</v>
      </c>
      <c r="S92">
        <f>SUMIFS(Codex_USGS_raw!$E:$E,Codex_USGS_raw!$A:$A,Codex_sources!$A$10,Codex_USGS_raw!$C:$C,S$4)*Codex_sources!$D$10*Codex_sources!$J$10</f>
        <v>0</v>
      </c>
      <c r="T92">
        <f>SUMIFS(Codex_USGS_raw!$E:$E,Codex_USGS_raw!$A:$A,Codex_sources!$A$10,Codex_USGS_raw!$C:$C,T$4)*Codex_sources!$D$10*Codex_sources!$J$10</f>
        <v>0</v>
      </c>
      <c r="U92">
        <f>SUMIFS(Codex_USGS_raw!$E:$E,Codex_USGS_raw!$A:$A,Codex_sources!$A$10,Codex_USGS_raw!$C:$C,U$4)*Codex_sources!$D$10*Codex_sources!$J$10</f>
        <v>54.5217391304348</v>
      </c>
      <c r="V92">
        <f>SUMIFS(Codex_USGS_raw!$E:$E,Codex_USGS_raw!$A:$A,Codex_sources!$A$10,Codex_USGS_raw!$C:$C,V$4)*Codex_sources!$D$10*Codex_sources!$J$10</f>
        <v>0</v>
      </c>
      <c r="W92">
        <f>SUMIFS(Codex_USGS_raw!$E:$E,Codex_USGS_raw!$A:$A,Codex_sources!$A$10,Codex_USGS_raw!$C:$C,W$4)*Codex_sources!$D$10*Codex_sources!$J$10</f>
        <v>0</v>
      </c>
      <c r="X92">
        <f>SUMIFS(Codex_USGS_raw!$E:$E,Codex_USGS_raw!$A:$A,Codex_sources!$A$10,Codex_USGS_raw!$C:$C,X$4)*Codex_sources!$D$10*Codex_sources!$J$10</f>
        <v>0</v>
      </c>
      <c r="Y92">
        <f>SUMIFS(Codex_USGS_raw!$E:$E,Codex_USGS_raw!$A:$A,Codex_sources!$A$10,Codex_USGS_raw!$C:$C,Y$4)*Codex_sources!$D$10*Codex_sources!$J$10</f>
        <v>6567.39130434783</v>
      </c>
      <c r="Z92">
        <f>SUMIFS(Codex_USGS_raw!$E:$E,Codex_USGS_raw!$A:$A,Codex_sources!$A$10,Codex_USGS_raw!$C:$C,Z$4)*Codex_sources!$D$10*Codex_sources!$J$10</f>
        <v>0</v>
      </c>
      <c r="AA92">
        <f>SUMIFS(Codex_USGS_raw!$E:$E,Codex_USGS_raw!$A:$A,Codex_sources!$A$10,Codex_USGS_raw!$C:$C,AA$4)*Codex_sources!$D$10*Codex_sources!$J$10</f>
        <v>2651.73913043478</v>
      </c>
      <c r="AB92">
        <f>SUMIFS(Codex_USGS_raw!$E:$E,Codex_USGS_raw!$A:$A,Codex_sources!$A$10,Codex_USGS_raw!$C:$C,AB$4)*Codex_sources!$D$10*Codex_sources!$J$10</f>
        <v>0</v>
      </c>
      <c r="AC92">
        <f>SUMIFS(Codex_USGS_raw!$E:$E,Codex_USGS_raw!$A:$A,Codex_sources!$A$10,Codex_USGS_raw!$C:$C,AC$4)*Codex_sources!$D$10*Codex_sources!$J$10</f>
        <v>817.826086956522</v>
      </c>
      <c r="AD92">
        <f>SUMIFS(Codex_USGS_raw!$E:$E,Codex_USGS_raw!$A:$A,Codex_sources!$A$10,Codex_USGS_raw!$C:$C,AD$4)*Codex_sources!$D$10*Codex_sources!$J$10</f>
        <v>6220.4347826087</v>
      </c>
      <c r="AE92">
        <f>SUMIFS(Codex_USGS_raw!$E:$E,Codex_USGS_raw!$A:$A,Codex_sources!$A$10,Codex_USGS_raw!$C:$C,AE$4)*Codex_sources!$D$10*Codex_sources!$J$10</f>
        <v>1982.60869565217</v>
      </c>
      <c r="AF92">
        <f>SUMIFS(Codex_USGS_raw!$E:$E,Codex_USGS_raw!$A:$A,Codex_sources!$A$10,Codex_USGS_raw!$C:$C,AF$4)*Codex_sources!$D$10*Codex_sources!$J$10</f>
        <v>0</v>
      </c>
      <c r="AG92">
        <f>SUMIFS(Codex_USGS_raw!$E:$E,Codex_USGS_raw!$A:$A,Codex_sources!$A$10,Codex_USGS_raw!$C:$C,AG$4)*Codex_sources!$D$10*Codex_sources!$J$10</f>
        <v>0</v>
      </c>
      <c r="AH92">
        <f>SUMIFS(Codex_USGS_raw!$E:$E,Codex_USGS_raw!$A:$A,Codex_sources!$A$10,Codex_USGS_raw!$C:$C,AH$4)*Codex_sources!$D$10*Codex_sources!$J$10</f>
        <v>0</v>
      </c>
      <c r="AI92">
        <f>SUMIFS(Codex_USGS_raw!$E:$E,Codex_USGS_raw!$A:$A,Codex_sources!$A$10,Codex_USGS_raw!$C:$C,AI$4)*Codex_sources!$D$10*Codex_sources!$J$10</f>
        <v>0</v>
      </c>
      <c r="AJ92">
        <f>SUMIFS(Codex_USGS_raw!$E:$E,Codex_USGS_raw!$A:$A,Codex_sources!$A$10,Codex_USGS_raw!$C:$C,AJ$4)*Codex_sources!$D$10*Codex_sources!$J$10</f>
        <v>0</v>
      </c>
      <c r="AK92">
        <f>SUMIFS(Codex_USGS_raw!$E:$E,Codex_USGS_raw!$A:$A,Codex_sources!$A$10,Codex_USGS_raw!$C:$C,AK$4)*Codex_sources!$D$10*Codex_sources!$J$10</f>
        <v>0</v>
      </c>
      <c r="AL92">
        <f>SUMIFS(Codex_USGS_raw!$E:$E,Codex_USGS_raw!$A:$A,Codex_sources!$A$10,Codex_USGS_raw!$C:$C,AL$4)*Codex_sources!$D$10*Codex_sources!$J$10</f>
        <v>0</v>
      </c>
      <c r="AM92">
        <f>SUMIFS(Codex_USGS_raw!$E:$E,Codex_USGS_raw!$A:$A,Codex_sources!$A$10,Codex_USGS_raw!$C:$C,AM$4)*Codex_sources!$D$10*Codex_sources!$J$10</f>
        <v>0</v>
      </c>
      <c r="AN92">
        <f>SUMIFS(Codex_USGS_raw!$E:$E,Codex_USGS_raw!$A:$A,Codex_sources!$A$10,Codex_USGS_raw!$C:$C,AN$4)*Codex_sources!$D$10*Codex_sources!$J$10</f>
        <v>0</v>
      </c>
      <c r="AO92" t="str">
        <f t="shared" si="2"/>
        <v>2019, 2130</v>
      </c>
    </row>
    <row r="93" spans="3:41">
      <c r="C93" t="s">
        <v>127</v>
      </c>
      <c r="D93" t="s">
        <v>444</v>
      </c>
      <c r="E93" t="s">
        <v>13</v>
      </c>
      <c r="F93">
        <f>Codex_sources!$M$10</f>
        <v>9.700328</v>
      </c>
      <c r="G93">
        <f>Codex_sources!$M$10</f>
        <v>9.700328</v>
      </c>
      <c r="H93">
        <f>Codex_sources!$M$10</f>
        <v>9.700328</v>
      </c>
      <c r="I93">
        <f>Codex_sources!$M$10</f>
        <v>9.700328</v>
      </c>
      <c r="J93">
        <f>Codex_sources!$M$10</f>
        <v>9.700328</v>
      </c>
      <c r="K93">
        <f>Codex_sources!$M$10</f>
        <v>9.700328</v>
      </c>
      <c r="L93">
        <f>Codex_sources!$M$10</f>
        <v>9.700328</v>
      </c>
      <c r="M93">
        <f>Codex_sources!$M$10</f>
        <v>9.700328</v>
      </c>
      <c r="N93">
        <f>Codex_sources!$M$10</f>
        <v>9.700328</v>
      </c>
      <c r="O93">
        <f>Codex_sources!$M$10</f>
        <v>9.700328</v>
      </c>
      <c r="P93">
        <f>Codex_sources!$M$10</f>
        <v>9.700328</v>
      </c>
      <c r="Q93">
        <f>Codex_sources!$M$10</f>
        <v>9.700328</v>
      </c>
      <c r="R93">
        <f>Codex_sources!$M$10</f>
        <v>9.700328</v>
      </c>
      <c r="S93">
        <f>Codex_sources!$M$10</f>
        <v>9.700328</v>
      </c>
      <c r="T93">
        <f>Codex_sources!$M$10</f>
        <v>9.700328</v>
      </c>
      <c r="U93">
        <f>Codex_sources!$M$10</f>
        <v>9.700328</v>
      </c>
      <c r="V93">
        <f>Codex_sources!$M$10</f>
        <v>9.700328</v>
      </c>
      <c r="W93">
        <f>Codex_sources!$M$10</f>
        <v>9.700328</v>
      </c>
      <c r="X93">
        <f>Codex_sources!$M$10</f>
        <v>9.700328</v>
      </c>
      <c r="Y93">
        <f>Codex_sources!$M$10</f>
        <v>9.700328</v>
      </c>
      <c r="Z93">
        <f>Codex_sources!$M$10</f>
        <v>9.700328</v>
      </c>
      <c r="AA93">
        <f>Codex_sources!$M$10</f>
        <v>9.700328</v>
      </c>
      <c r="AB93">
        <f>Codex_sources!$M$10</f>
        <v>9.700328</v>
      </c>
      <c r="AC93">
        <f>Codex_sources!$M$10</f>
        <v>9.700328</v>
      </c>
      <c r="AD93">
        <f>Codex_sources!$M$10</f>
        <v>9.700328</v>
      </c>
      <c r="AE93">
        <f>Codex_sources!$M$10</f>
        <v>9.700328</v>
      </c>
      <c r="AF93">
        <f>Codex_sources!$M$10</f>
        <v>9.700328</v>
      </c>
      <c r="AG93">
        <f>Codex_sources!$M$10</f>
        <v>9.700328</v>
      </c>
      <c r="AH93">
        <f>Codex_sources!$M$10</f>
        <v>9.700328</v>
      </c>
      <c r="AI93">
        <f>Codex_sources!$M$10</f>
        <v>9.700328</v>
      </c>
      <c r="AJ93">
        <f>Codex_sources!$M$10</f>
        <v>9.700328</v>
      </c>
      <c r="AK93">
        <f>Codex_sources!$M$10</f>
        <v>9.700328</v>
      </c>
      <c r="AL93">
        <f>Codex_sources!$M$10</f>
        <v>9.700328</v>
      </c>
      <c r="AM93">
        <f>Codex_sources!$M$10</f>
        <v>9.700328</v>
      </c>
      <c r="AN93">
        <f>Codex_sources!$M$10</f>
        <v>9.700328</v>
      </c>
      <c r="AO93" t="str">
        <f t="shared" si="2"/>
        <v>2019, 2130</v>
      </c>
    </row>
    <row r="94" spans="3:41">
      <c r="C94" t="s">
        <v>128</v>
      </c>
      <c r="D94" t="s">
        <v>442</v>
      </c>
      <c r="F94">
        <f>SUMIFS(Codex_USGS_raw!$D:$D,Codex_USGS_raw!$A:$A,Codex_sources!$A$10,Codex_USGS_raw!$C:$C,F$4)*Codex_sources!$D$10*2</f>
        <v>0</v>
      </c>
      <c r="G94">
        <f>SUMIFS(Codex_USGS_raw!$D:$D,Codex_USGS_raw!$A:$A,Codex_sources!$A$10,Codex_USGS_raw!$C:$C,G$4)*Codex_sources!$D$10*2</f>
        <v>205.2</v>
      </c>
      <c r="H94">
        <f>SUMIFS(Codex_USGS_raw!$D:$D,Codex_USGS_raw!$A:$A,Codex_sources!$A$10,Codex_USGS_raw!$C:$C,H$4)*Codex_sources!$D$10*2</f>
        <v>36.1826086956522</v>
      </c>
      <c r="I94">
        <f>SUMIFS(Codex_USGS_raw!$D:$D,Codex_USGS_raw!$A:$A,Codex_sources!$A$10,Codex_USGS_raw!$C:$C,I$4)*Codex_sources!$D$10*2</f>
        <v>0</v>
      </c>
      <c r="J94">
        <f>SUMIFS(Codex_USGS_raw!$D:$D,Codex_USGS_raw!$A:$A,Codex_sources!$A$10,Codex_USGS_raw!$C:$C,J$4)*Codex_sources!$D$10*2</f>
        <v>0</v>
      </c>
      <c r="K94">
        <f>SUMIFS(Codex_USGS_raw!$D:$D,Codex_USGS_raw!$A:$A,Codex_sources!$A$10,Codex_USGS_raw!$C:$C,K$4)*Codex_sources!$D$10*2</f>
        <v>0</v>
      </c>
      <c r="L94">
        <f>SUMIFS(Codex_USGS_raw!$D:$D,Codex_USGS_raw!$A:$A,Codex_sources!$A$10,Codex_USGS_raw!$C:$C,L$4)*Codex_sources!$D$10*2</f>
        <v>0</v>
      </c>
      <c r="M94">
        <f>SUMIFS(Codex_USGS_raw!$D:$D,Codex_USGS_raw!$A:$A,Codex_sources!$A$10,Codex_USGS_raw!$C:$C,M$4)*Codex_sources!$D$10*2</f>
        <v>89.2173913043478</v>
      </c>
      <c r="N94">
        <f>SUMIFS(Codex_USGS_raw!$D:$D,Codex_USGS_raw!$A:$A,Codex_sources!$A$10,Codex_USGS_raw!$C:$C,N$4)*Codex_sources!$D$10*2</f>
        <v>0</v>
      </c>
      <c r="O94">
        <f>SUMIFS(Codex_USGS_raw!$D:$D,Codex_USGS_raw!$A:$A,Codex_sources!$A$10,Codex_USGS_raw!$C:$C,O$4)*Codex_sources!$D$10*2</f>
        <v>0</v>
      </c>
      <c r="P94">
        <f>SUMIFS(Codex_USGS_raw!$D:$D,Codex_USGS_raw!$A:$A,Codex_sources!$A$10,Codex_USGS_raw!$C:$C,P$4)*Codex_sources!$D$10*2</f>
        <v>0</v>
      </c>
      <c r="Q94">
        <f>SUMIFS(Codex_USGS_raw!$D:$D,Codex_USGS_raw!$A:$A,Codex_sources!$A$10,Codex_USGS_raw!$C:$C,Q$4)*Codex_sources!$D$10*2</f>
        <v>0</v>
      </c>
      <c r="R94">
        <f>SUMIFS(Codex_USGS_raw!$D:$D,Codex_USGS_raw!$A:$A,Codex_sources!$A$10,Codex_USGS_raw!$C:$C,R$4)*Codex_sources!$D$10*2</f>
        <v>0</v>
      </c>
      <c r="S94">
        <f>SUMIFS(Codex_USGS_raw!$D:$D,Codex_USGS_raw!$A:$A,Codex_sources!$A$10,Codex_USGS_raw!$C:$C,S$4)*Codex_sources!$D$10*2</f>
        <v>0</v>
      </c>
      <c r="T94">
        <f>SUMIFS(Codex_USGS_raw!$D:$D,Codex_USGS_raw!$A:$A,Codex_sources!$A$10,Codex_USGS_raw!$C:$C,T$4)*Codex_sources!$D$10*2</f>
        <v>0</v>
      </c>
      <c r="U94">
        <f>SUMIFS(Codex_USGS_raw!$D:$D,Codex_USGS_raw!$A:$A,Codex_sources!$A$10,Codex_USGS_raw!$C:$C,U$4)*Codex_sources!$D$10*2</f>
        <v>1.14</v>
      </c>
      <c r="V94">
        <f>SUMIFS(Codex_USGS_raw!$D:$D,Codex_USGS_raw!$A:$A,Codex_sources!$A$10,Codex_USGS_raw!$C:$C,V$4)*Codex_sources!$D$10*2</f>
        <v>0</v>
      </c>
      <c r="W94">
        <f>SUMIFS(Codex_USGS_raw!$D:$D,Codex_USGS_raw!$A:$A,Codex_sources!$A$10,Codex_USGS_raw!$C:$C,W$4)*Codex_sources!$D$10*2</f>
        <v>0</v>
      </c>
      <c r="X94">
        <f>SUMIFS(Codex_USGS_raw!$D:$D,Codex_USGS_raw!$A:$A,Codex_sources!$A$10,Codex_USGS_raw!$C:$C,X$4)*Codex_sources!$D$10*2</f>
        <v>0</v>
      </c>
      <c r="Y94">
        <f>SUMIFS(Codex_USGS_raw!$D:$D,Codex_USGS_raw!$A:$A,Codex_sources!$A$10,Codex_USGS_raw!$C:$C,Y$4)*Codex_sources!$D$10*2</f>
        <v>396.521739130435</v>
      </c>
      <c r="Z94">
        <f>SUMIFS(Codex_USGS_raw!$D:$D,Codex_USGS_raw!$A:$A,Codex_sources!$A$10,Codex_USGS_raw!$C:$C,Z$4)*Codex_sources!$D$10*2</f>
        <v>0</v>
      </c>
      <c r="AA94">
        <f>SUMIFS(Codex_USGS_raw!$D:$D,Codex_USGS_raw!$A:$A,Codex_sources!$A$10,Codex_USGS_raw!$C:$C,AA$4)*Codex_sources!$D$10*2</f>
        <v>108.547826086957</v>
      </c>
      <c r="AB94">
        <f>SUMIFS(Codex_USGS_raw!$D:$D,Codex_USGS_raw!$A:$A,Codex_sources!$A$10,Codex_USGS_raw!$C:$C,AB$4)*Codex_sources!$D$10*2</f>
        <v>0</v>
      </c>
      <c r="AC94">
        <f>SUMIFS(Codex_USGS_raw!$D:$D,Codex_USGS_raw!$A:$A,Codex_sources!$A$10,Codex_USGS_raw!$C:$C,AC$4)*Codex_sources!$D$10*2</f>
        <v>20.3217391304348</v>
      </c>
      <c r="AD94">
        <f>SUMIFS(Codex_USGS_raw!$D:$D,Codex_USGS_raw!$A:$A,Codex_sources!$A$10,Codex_USGS_raw!$C:$C,AD$4)*Codex_sources!$D$10*2</f>
        <v>219.078260869565</v>
      </c>
      <c r="AE94">
        <f>SUMIFS(Codex_USGS_raw!$D:$D,Codex_USGS_raw!$A:$A,Codex_sources!$A$10,Codex_USGS_raw!$C:$C,AE$4)*Codex_sources!$D$10*2</f>
        <v>64.4347826086956</v>
      </c>
      <c r="AF94">
        <f>SUMIFS(Codex_USGS_raw!$D:$D,Codex_USGS_raw!$A:$A,Codex_sources!$A$10,Codex_USGS_raw!$C:$C,AF$4)*Codex_sources!$D$10*2</f>
        <v>0</v>
      </c>
      <c r="AG94">
        <f>SUMIFS(Codex_USGS_raw!$D:$D,Codex_USGS_raw!$A:$A,Codex_sources!$A$10,Codex_USGS_raw!$C:$C,AG$4)*Codex_sources!$D$10*2</f>
        <v>0</v>
      </c>
      <c r="AH94">
        <f>SUMIFS(Codex_USGS_raw!$D:$D,Codex_USGS_raw!$A:$A,Codex_sources!$A$10,Codex_USGS_raw!$C:$C,AH$4)*Codex_sources!$D$10*2</f>
        <v>0</v>
      </c>
      <c r="AI94">
        <f>SUMIFS(Codex_USGS_raw!$D:$D,Codex_USGS_raw!$A:$A,Codex_sources!$A$10,Codex_USGS_raw!$C:$C,AI$4)*Codex_sources!$D$10*2</f>
        <v>0</v>
      </c>
      <c r="AJ94">
        <f>SUMIFS(Codex_USGS_raw!$D:$D,Codex_USGS_raw!$A:$A,Codex_sources!$A$10,Codex_USGS_raw!$C:$C,AJ$4)*Codex_sources!$D$10*2</f>
        <v>0</v>
      </c>
      <c r="AK94">
        <f>SUMIFS(Codex_USGS_raw!$D:$D,Codex_USGS_raw!$A:$A,Codex_sources!$A$10,Codex_USGS_raw!$C:$C,AK$4)*Codex_sources!$D$10*2</f>
        <v>0</v>
      </c>
      <c r="AL94">
        <f>SUMIFS(Codex_USGS_raw!$D:$D,Codex_USGS_raw!$A:$A,Codex_sources!$A$10,Codex_USGS_raw!$C:$C,AL$4)*Codex_sources!$D$10*2</f>
        <v>0</v>
      </c>
      <c r="AM94">
        <f>SUMIFS(Codex_USGS_raw!$D:$D,Codex_USGS_raw!$A:$A,Codex_sources!$A$10,Codex_USGS_raw!$C:$C,AM$4)*Codex_sources!$D$10*2</f>
        <v>0</v>
      </c>
      <c r="AN94">
        <f>SUMIFS(Codex_USGS_raw!$D:$D,Codex_USGS_raw!$A:$A,Codex_sources!$A$10,Codex_USGS_raw!$C:$C,AN$4)*Codex_sources!$D$10*2</f>
        <v>0</v>
      </c>
      <c r="AO94" t="str">
        <f t="shared" si="2"/>
        <v>2019, 2130</v>
      </c>
    </row>
    <row r="95" spans="3:41">
      <c r="C95" t="s">
        <v>128</v>
      </c>
      <c r="D95" t="s">
        <v>115</v>
      </c>
      <c r="F95">
        <f>SUMIFS(Codex_USGS_raw!$E:$E,Codex_USGS_raw!$A:$A,Codex_sources!$A$10,Codex_USGS_raw!$C:$C,F$4)*Codex_sources!$D$10*Codex_sources!$K$10</f>
        <v>0</v>
      </c>
      <c r="G95">
        <f>SUMIFS(Codex_USGS_raw!$E:$E,Codex_USGS_raw!$A:$A,Codex_sources!$A$10,Codex_USGS_raw!$C:$C,G$4)*Codex_sources!$D$10*Codex_sources!$K$10</f>
        <v>1328.1455190772</v>
      </c>
      <c r="H95">
        <f>SUMIFS(Codex_USGS_raw!$E:$E,Codex_USGS_raw!$A:$A,Codex_sources!$A$10,Codex_USGS_raw!$C:$C,H$4)*Codex_sources!$D$10*Codex_sources!$K$10</f>
        <v>1314.99556344277</v>
      </c>
      <c r="I95">
        <f>SUMIFS(Codex_USGS_raw!$E:$E,Codex_USGS_raw!$A:$A,Codex_sources!$A$10,Codex_USGS_raw!$C:$C,I$4)*Codex_sources!$D$10*Codex_sources!$K$10</f>
        <v>0</v>
      </c>
      <c r="J95">
        <f>SUMIFS(Codex_USGS_raw!$E:$E,Codex_USGS_raw!$A:$A,Codex_sources!$A$10,Codex_USGS_raw!$C:$C,J$4)*Codex_sources!$D$10*Codex_sources!$K$10</f>
        <v>0</v>
      </c>
      <c r="K95">
        <f>SUMIFS(Codex_USGS_raw!$E:$E,Codex_USGS_raw!$A:$A,Codex_sources!$A$10,Codex_USGS_raw!$C:$C,K$4)*Codex_sources!$D$10*Codex_sources!$K$10</f>
        <v>0</v>
      </c>
      <c r="L95">
        <f>SUMIFS(Codex_USGS_raw!$E:$E,Codex_USGS_raw!$A:$A,Codex_sources!$A$10,Codex_USGS_raw!$C:$C,L$4)*Codex_sources!$D$10*Codex_sources!$K$10</f>
        <v>0</v>
      </c>
      <c r="M95">
        <f>SUMIFS(Codex_USGS_raw!$E:$E,Codex_USGS_raw!$A:$A,Codex_sources!$A$10,Codex_USGS_raw!$C:$C,M$4)*Codex_sources!$D$10*Codex_sources!$K$10</f>
        <v>539.148181011535</v>
      </c>
      <c r="N95">
        <f>SUMIFS(Codex_USGS_raw!$E:$E,Codex_USGS_raw!$A:$A,Codex_sources!$A$10,Codex_USGS_raw!$C:$C,N$4)*Codex_sources!$D$10*Codex_sources!$K$10</f>
        <v>0</v>
      </c>
      <c r="O95">
        <f>SUMIFS(Codex_USGS_raw!$E:$E,Codex_USGS_raw!$A:$A,Codex_sources!$A$10,Codex_USGS_raw!$C:$C,O$4)*Codex_sources!$D$10*Codex_sources!$K$10</f>
        <v>0</v>
      </c>
      <c r="P95">
        <f>SUMIFS(Codex_USGS_raw!$E:$E,Codex_USGS_raw!$A:$A,Codex_sources!$A$10,Codex_USGS_raw!$C:$C,P$4)*Codex_sources!$D$10*Codex_sources!$K$10</f>
        <v>0</v>
      </c>
      <c r="Q95">
        <f>SUMIFS(Codex_USGS_raw!$E:$E,Codex_USGS_raw!$A:$A,Codex_sources!$A$10,Codex_USGS_raw!$C:$C,Q$4)*Codex_sources!$D$10*Codex_sources!$K$10</f>
        <v>0</v>
      </c>
      <c r="R95">
        <f>SUMIFS(Codex_USGS_raw!$E:$E,Codex_USGS_raw!$A:$A,Codex_sources!$A$10,Codex_USGS_raw!$C:$C,R$4)*Codex_sources!$D$10*Codex_sources!$K$10</f>
        <v>0</v>
      </c>
      <c r="S95">
        <f>SUMIFS(Codex_USGS_raw!$E:$E,Codex_USGS_raw!$A:$A,Codex_sources!$A$10,Codex_USGS_raw!$C:$C,S$4)*Codex_sources!$D$10*Codex_sources!$K$10</f>
        <v>0</v>
      </c>
      <c r="T95">
        <f>SUMIFS(Codex_USGS_raw!$E:$E,Codex_USGS_raw!$A:$A,Codex_sources!$A$10,Codex_USGS_raw!$C:$C,T$4)*Codex_sources!$D$10*Codex_sources!$K$10</f>
        <v>0</v>
      </c>
      <c r="U95">
        <f>SUMIFS(Codex_USGS_raw!$E:$E,Codex_USGS_raw!$A:$A,Codex_sources!$A$10,Codex_USGS_raw!$C:$C,U$4)*Codex_sources!$D$10*Codex_sources!$K$10</f>
        <v>28.9299023957409</v>
      </c>
      <c r="V95">
        <f>SUMIFS(Codex_USGS_raw!$E:$E,Codex_USGS_raw!$A:$A,Codex_sources!$A$10,Codex_USGS_raw!$C:$C,V$4)*Codex_sources!$D$10*Codex_sources!$K$10</f>
        <v>0</v>
      </c>
      <c r="W95">
        <f>SUMIFS(Codex_USGS_raw!$E:$E,Codex_USGS_raw!$A:$A,Codex_sources!$A$10,Codex_USGS_raw!$C:$C,W$4)*Codex_sources!$D$10*Codex_sources!$K$10</f>
        <v>0</v>
      </c>
      <c r="X95">
        <f>SUMIFS(Codex_USGS_raw!$E:$E,Codex_USGS_raw!$A:$A,Codex_sources!$A$10,Codex_USGS_raw!$C:$C,X$4)*Codex_sources!$D$10*Codex_sources!$K$10</f>
        <v>0</v>
      </c>
      <c r="Y95">
        <f>SUMIFS(Codex_USGS_raw!$E:$E,Codex_USGS_raw!$A:$A,Codex_sources!$A$10,Codex_USGS_raw!$C:$C,Y$4)*Codex_sources!$D$10*Codex_sources!$K$10</f>
        <v>3484.73824312334</v>
      </c>
      <c r="Z95">
        <f>SUMIFS(Codex_USGS_raw!$E:$E,Codex_USGS_raw!$A:$A,Codex_sources!$A$10,Codex_USGS_raw!$C:$C,Z$4)*Codex_sources!$D$10*Codex_sources!$K$10</f>
        <v>0</v>
      </c>
      <c r="AA95">
        <f>SUMIFS(Codex_USGS_raw!$E:$E,Codex_USGS_raw!$A:$A,Codex_sources!$A$10,Codex_USGS_raw!$C:$C,AA$4)*Codex_sources!$D$10*Codex_sources!$K$10</f>
        <v>1407.04525288376</v>
      </c>
      <c r="AB95">
        <f>SUMIFS(Codex_USGS_raw!$E:$E,Codex_USGS_raw!$A:$A,Codex_sources!$A$10,Codex_USGS_raw!$C:$C,AB$4)*Codex_sources!$D$10*Codex_sources!$K$10</f>
        <v>0</v>
      </c>
      <c r="AC95">
        <f>SUMIFS(Codex_USGS_raw!$E:$E,Codex_USGS_raw!$A:$A,Codex_sources!$A$10,Codex_USGS_raw!$C:$C,AC$4)*Codex_sources!$D$10*Codex_sources!$K$10</f>
        <v>433.948535936114</v>
      </c>
      <c r="AD95">
        <f>SUMIFS(Codex_USGS_raw!$E:$E,Codex_USGS_raw!$A:$A,Codex_sources!$A$10,Codex_USGS_raw!$C:$C,AD$4)*Codex_sources!$D$10*Codex_sources!$K$10</f>
        <v>3300.63886424135</v>
      </c>
      <c r="AE95">
        <f>SUMIFS(Codex_USGS_raw!$E:$E,Codex_USGS_raw!$A:$A,Codex_sources!$A$10,Codex_USGS_raw!$C:$C,AE$4)*Codex_sources!$D$10*Codex_sources!$K$10</f>
        <v>1051.99645075421</v>
      </c>
      <c r="AF95">
        <f>SUMIFS(Codex_USGS_raw!$E:$E,Codex_USGS_raw!$A:$A,Codex_sources!$A$10,Codex_USGS_raw!$C:$C,AF$4)*Codex_sources!$D$10*Codex_sources!$K$10</f>
        <v>0</v>
      </c>
      <c r="AG95">
        <f>SUMIFS(Codex_USGS_raw!$E:$E,Codex_USGS_raw!$A:$A,Codex_sources!$A$10,Codex_USGS_raw!$C:$C,AG$4)*Codex_sources!$D$10*Codex_sources!$K$10</f>
        <v>0</v>
      </c>
      <c r="AH95">
        <f>SUMIFS(Codex_USGS_raw!$E:$E,Codex_USGS_raw!$A:$A,Codex_sources!$A$10,Codex_USGS_raw!$C:$C,AH$4)*Codex_sources!$D$10*Codex_sources!$K$10</f>
        <v>0</v>
      </c>
      <c r="AI95">
        <f>SUMIFS(Codex_USGS_raw!$E:$E,Codex_USGS_raw!$A:$A,Codex_sources!$A$10,Codex_USGS_raw!$C:$C,AI$4)*Codex_sources!$D$10*Codex_sources!$K$10</f>
        <v>0</v>
      </c>
      <c r="AJ95">
        <f>SUMIFS(Codex_USGS_raw!$E:$E,Codex_USGS_raw!$A:$A,Codex_sources!$A$10,Codex_USGS_raw!$C:$C,AJ$4)*Codex_sources!$D$10*Codex_sources!$K$10</f>
        <v>0</v>
      </c>
      <c r="AK95">
        <f>SUMIFS(Codex_USGS_raw!$E:$E,Codex_USGS_raw!$A:$A,Codex_sources!$A$10,Codex_USGS_raw!$C:$C,AK$4)*Codex_sources!$D$10*Codex_sources!$K$10</f>
        <v>0</v>
      </c>
      <c r="AL95">
        <f>SUMIFS(Codex_USGS_raw!$E:$E,Codex_USGS_raw!$A:$A,Codex_sources!$A$10,Codex_USGS_raw!$C:$C,AL$4)*Codex_sources!$D$10*Codex_sources!$K$10</f>
        <v>0</v>
      </c>
      <c r="AM95">
        <f>SUMIFS(Codex_USGS_raw!$E:$E,Codex_USGS_raw!$A:$A,Codex_sources!$A$10,Codex_USGS_raw!$C:$C,AM$4)*Codex_sources!$D$10*Codex_sources!$K$10</f>
        <v>0</v>
      </c>
      <c r="AN95">
        <f>SUMIFS(Codex_USGS_raw!$E:$E,Codex_USGS_raw!$A:$A,Codex_sources!$A$10,Codex_USGS_raw!$C:$C,AN$4)*Codex_sources!$D$10*Codex_sources!$K$10</f>
        <v>0</v>
      </c>
      <c r="AO95" t="str">
        <f t="shared" si="2"/>
        <v>2019, 2130</v>
      </c>
    </row>
    <row r="96" spans="3:41">
      <c r="C96" t="s">
        <v>128</v>
      </c>
      <c r="D96" t="s">
        <v>444</v>
      </c>
      <c r="E96" t="s">
        <v>13</v>
      </c>
      <c r="F96">
        <f>Codex_sources!$N$10</f>
        <v>29.100984</v>
      </c>
      <c r="G96">
        <f>Codex_sources!$N$10</f>
        <v>29.100984</v>
      </c>
      <c r="H96">
        <f>Codex_sources!$N$10</f>
        <v>29.100984</v>
      </c>
      <c r="I96">
        <f>Codex_sources!$N$10</f>
        <v>29.100984</v>
      </c>
      <c r="J96">
        <f>Codex_sources!$N$10</f>
        <v>29.100984</v>
      </c>
      <c r="K96">
        <f>Codex_sources!$N$10</f>
        <v>29.100984</v>
      </c>
      <c r="L96">
        <f>Codex_sources!$N$10</f>
        <v>29.100984</v>
      </c>
      <c r="M96">
        <f>Codex_sources!$N$10</f>
        <v>29.100984</v>
      </c>
      <c r="N96">
        <f>Codex_sources!$N$10</f>
        <v>29.100984</v>
      </c>
      <c r="O96">
        <f>Codex_sources!$N$10</f>
        <v>29.100984</v>
      </c>
      <c r="P96">
        <f>Codex_sources!$N$10</f>
        <v>29.100984</v>
      </c>
      <c r="Q96">
        <f>Codex_sources!$N$10</f>
        <v>29.100984</v>
      </c>
      <c r="R96">
        <f>Codex_sources!$N$10</f>
        <v>29.100984</v>
      </c>
      <c r="S96">
        <f>Codex_sources!$N$10</f>
        <v>29.100984</v>
      </c>
      <c r="T96">
        <f>Codex_sources!$N$10</f>
        <v>29.100984</v>
      </c>
      <c r="U96">
        <f>Codex_sources!$N$10</f>
        <v>29.100984</v>
      </c>
      <c r="V96">
        <f>Codex_sources!$N$10</f>
        <v>29.100984</v>
      </c>
      <c r="W96">
        <f>Codex_sources!$N$10</f>
        <v>29.100984</v>
      </c>
      <c r="X96">
        <f>Codex_sources!$N$10</f>
        <v>29.100984</v>
      </c>
      <c r="Y96">
        <f>Codex_sources!$N$10</f>
        <v>29.100984</v>
      </c>
      <c r="Z96">
        <f>Codex_sources!$N$10</f>
        <v>29.100984</v>
      </c>
      <c r="AA96">
        <f>Codex_sources!$N$10</f>
        <v>29.100984</v>
      </c>
      <c r="AB96">
        <f>Codex_sources!$N$10</f>
        <v>29.100984</v>
      </c>
      <c r="AC96">
        <f>Codex_sources!$N$10</f>
        <v>29.100984</v>
      </c>
      <c r="AD96">
        <f>Codex_sources!$N$10</f>
        <v>29.100984</v>
      </c>
      <c r="AE96">
        <f>Codex_sources!$N$10</f>
        <v>29.100984</v>
      </c>
      <c r="AF96">
        <f>Codex_sources!$N$10</f>
        <v>29.100984</v>
      </c>
      <c r="AG96">
        <f>Codex_sources!$N$10</f>
        <v>29.100984</v>
      </c>
      <c r="AH96">
        <f>Codex_sources!$N$10</f>
        <v>29.100984</v>
      </c>
      <c r="AI96">
        <f>Codex_sources!$N$10</f>
        <v>29.100984</v>
      </c>
      <c r="AJ96">
        <f>Codex_sources!$N$10</f>
        <v>29.100984</v>
      </c>
      <c r="AK96">
        <f>Codex_sources!$N$10</f>
        <v>29.100984</v>
      </c>
      <c r="AL96">
        <f>Codex_sources!$N$10</f>
        <v>29.100984</v>
      </c>
      <c r="AM96">
        <f>Codex_sources!$N$10</f>
        <v>29.100984</v>
      </c>
      <c r="AN96">
        <f>Codex_sources!$N$10</f>
        <v>29.100984</v>
      </c>
      <c r="AO96" t="str">
        <f t="shared" si="2"/>
        <v>2019, 2130</v>
      </c>
    </row>
    <row r="97" spans="3:41">
      <c r="C97" t="s">
        <v>129</v>
      </c>
      <c r="D97" t="s">
        <v>442</v>
      </c>
      <c r="AO97" t="str">
        <f t="shared" si="2"/>
        <v>2019, 2130</v>
      </c>
    </row>
    <row r="98" spans="3:41">
      <c r="C98" t="s">
        <v>129</v>
      </c>
      <c r="D98" t="s">
        <v>115</v>
      </c>
      <c r="F98">
        <f>SUMIFS(Codex_USGS_raw!$E:$E,Codex_USGS_raw!$A:$A,Codex_sources!$A$10,Codex_USGS_raw!$C:$C,F$4)*Codex_sources!$D$10*Codex_sources!$L$10</f>
        <v>0</v>
      </c>
      <c r="G98">
        <f>SUMIFS(Codex_USGS_raw!$E:$E,Codex_USGS_raw!$A:$A,Codex_sources!$A$10,Codex_USGS_raw!$C:$C,G$4)*Codex_sources!$D$10*Codex_sources!$L$10</f>
        <v>8939.44099378882</v>
      </c>
      <c r="H98">
        <f>SUMIFS(Codex_USGS_raw!$E:$E,Codex_USGS_raw!$A:$A,Codex_sources!$A$10,Codex_USGS_raw!$C:$C,H$4)*Codex_sources!$D$10*Codex_sources!$L$10</f>
        <v>8850.93167701863</v>
      </c>
      <c r="I98">
        <f>SUMIFS(Codex_USGS_raw!$E:$E,Codex_USGS_raw!$A:$A,Codex_sources!$A$10,Codex_USGS_raw!$C:$C,I$4)*Codex_sources!$D$10*Codex_sources!$L$10</f>
        <v>0</v>
      </c>
      <c r="J98">
        <f>SUMIFS(Codex_USGS_raw!$E:$E,Codex_USGS_raw!$A:$A,Codex_sources!$A$10,Codex_USGS_raw!$C:$C,J$4)*Codex_sources!$D$10*Codex_sources!$L$10</f>
        <v>0</v>
      </c>
      <c r="K98">
        <f>SUMIFS(Codex_USGS_raw!$E:$E,Codex_USGS_raw!$A:$A,Codex_sources!$A$10,Codex_USGS_raw!$C:$C,K$4)*Codex_sources!$D$10*Codex_sources!$L$10</f>
        <v>0</v>
      </c>
      <c r="L98">
        <f>SUMIFS(Codex_USGS_raw!$E:$E,Codex_USGS_raw!$A:$A,Codex_sources!$A$10,Codex_USGS_raw!$C:$C,L$4)*Codex_sources!$D$10*Codex_sources!$L$10</f>
        <v>0</v>
      </c>
      <c r="M98">
        <f>SUMIFS(Codex_USGS_raw!$E:$E,Codex_USGS_raw!$A:$A,Codex_sources!$A$10,Codex_USGS_raw!$C:$C,M$4)*Codex_sources!$D$10*Codex_sources!$L$10</f>
        <v>3628.88198757764</v>
      </c>
      <c r="N98">
        <f>SUMIFS(Codex_USGS_raw!$E:$E,Codex_USGS_raw!$A:$A,Codex_sources!$A$10,Codex_USGS_raw!$C:$C,N$4)*Codex_sources!$D$10*Codex_sources!$L$10</f>
        <v>0</v>
      </c>
      <c r="O98">
        <f>SUMIFS(Codex_USGS_raw!$E:$E,Codex_USGS_raw!$A:$A,Codex_sources!$A$10,Codex_USGS_raw!$C:$C,O$4)*Codex_sources!$D$10*Codex_sources!$L$10</f>
        <v>0</v>
      </c>
      <c r="P98">
        <f>SUMIFS(Codex_USGS_raw!$E:$E,Codex_USGS_raw!$A:$A,Codex_sources!$A$10,Codex_USGS_raw!$C:$C,P$4)*Codex_sources!$D$10*Codex_sources!$L$10</f>
        <v>0</v>
      </c>
      <c r="Q98">
        <f>SUMIFS(Codex_USGS_raw!$E:$E,Codex_USGS_raw!$A:$A,Codex_sources!$A$10,Codex_USGS_raw!$C:$C,Q$4)*Codex_sources!$D$10*Codex_sources!$L$10</f>
        <v>0</v>
      </c>
      <c r="R98">
        <f>SUMIFS(Codex_USGS_raw!$E:$E,Codex_USGS_raw!$A:$A,Codex_sources!$A$10,Codex_USGS_raw!$C:$C,R$4)*Codex_sources!$D$10*Codex_sources!$L$10</f>
        <v>0</v>
      </c>
      <c r="S98">
        <f>SUMIFS(Codex_USGS_raw!$E:$E,Codex_USGS_raw!$A:$A,Codex_sources!$A$10,Codex_USGS_raw!$C:$C,S$4)*Codex_sources!$D$10*Codex_sources!$L$10</f>
        <v>0</v>
      </c>
      <c r="T98">
        <f>SUMIFS(Codex_USGS_raw!$E:$E,Codex_USGS_raw!$A:$A,Codex_sources!$A$10,Codex_USGS_raw!$C:$C,T$4)*Codex_sources!$D$10*Codex_sources!$L$10</f>
        <v>0</v>
      </c>
      <c r="U98">
        <f>SUMIFS(Codex_USGS_raw!$E:$E,Codex_USGS_raw!$A:$A,Codex_sources!$A$10,Codex_USGS_raw!$C:$C,U$4)*Codex_sources!$D$10*Codex_sources!$L$10</f>
        <v>194.72049689441</v>
      </c>
      <c r="V98">
        <f>SUMIFS(Codex_USGS_raw!$E:$E,Codex_USGS_raw!$A:$A,Codex_sources!$A$10,Codex_USGS_raw!$C:$C,V$4)*Codex_sources!$D$10*Codex_sources!$L$10</f>
        <v>0</v>
      </c>
      <c r="W98">
        <f>SUMIFS(Codex_USGS_raw!$E:$E,Codex_USGS_raw!$A:$A,Codex_sources!$A$10,Codex_USGS_raw!$C:$C,W$4)*Codex_sources!$D$10*Codex_sources!$L$10</f>
        <v>0</v>
      </c>
      <c r="X98">
        <f>SUMIFS(Codex_USGS_raw!$E:$E,Codex_USGS_raw!$A:$A,Codex_sources!$A$10,Codex_USGS_raw!$C:$C,X$4)*Codex_sources!$D$10*Codex_sources!$L$10</f>
        <v>0</v>
      </c>
      <c r="Y98">
        <f>SUMIFS(Codex_USGS_raw!$E:$E,Codex_USGS_raw!$A:$A,Codex_sources!$A$10,Codex_USGS_raw!$C:$C,Y$4)*Codex_sources!$D$10*Codex_sources!$L$10</f>
        <v>23454.9689440994</v>
      </c>
      <c r="Z98">
        <f>SUMIFS(Codex_USGS_raw!$E:$E,Codex_USGS_raw!$A:$A,Codex_sources!$A$10,Codex_USGS_raw!$C:$C,Z$4)*Codex_sources!$D$10*Codex_sources!$L$10</f>
        <v>0</v>
      </c>
      <c r="AA98">
        <f>SUMIFS(Codex_USGS_raw!$E:$E,Codex_USGS_raw!$A:$A,Codex_sources!$A$10,Codex_USGS_raw!$C:$C,AA$4)*Codex_sources!$D$10*Codex_sources!$L$10</f>
        <v>9470.49689440994</v>
      </c>
      <c r="AB98">
        <f>SUMIFS(Codex_USGS_raw!$E:$E,Codex_USGS_raw!$A:$A,Codex_sources!$A$10,Codex_USGS_raw!$C:$C,AB$4)*Codex_sources!$D$10*Codex_sources!$L$10</f>
        <v>0</v>
      </c>
      <c r="AC98">
        <f>SUMIFS(Codex_USGS_raw!$E:$E,Codex_USGS_raw!$A:$A,Codex_sources!$A$10,Codex_USGS_raw!$C:$C,AC$4)*Codex_sources!$D$10*Codex_sources!$L$10</f>
        <v>2920.80745341615</v>
      </c>
      <c r="AD98">
        <f>SUMIFS(Codex_USGS_raw!$E:$E,Codex_USGS_raw!$A:$A,Codex_sources!$A$10,Codex_USGS_raw!$C:$C,AD$4)*Codex_sources!$D$10*Codex_sources!$L$10</f>
        <v>22215.8385093168</v>
      </c>
      <c r="AE98">
        <f>SUMIFS(Codex_USGS_raw!$E:$E,Codex_USGS_raw!$A:$A,Codex_sources!$A$10,Codex_USGS_raw!$C:$C,AE$4)*Codex_sources!$D$10*Codex_sources!$L$10</f>
        <v>7080.74534161491</v>
      </c>
      <c r="AF98">
        <f>SUMIFS(Codex_USGS_raw!$E:$E,Codex_USGS_raw!$A:$A,Codex_sources!$A$10,Codex_USGS_raw!$C:$C,AF$4)*Codex_sources!$D$10*Codex_sources!$L$10</f>
        <v>0</v>
      </c>
      <c r="AG98">
        <f>SUMIFS(Codex_USGS_raw!$E:$E,Codex_USGS_raw!$A:$A,Codex_sources!$A$10,Codex_USGS_raw!$C:$C,AG$4)*Codex_sources!$D$10*Codex_sources!$L$10</f>
        <v>0</v>
      </c>
      <c r="AH98">
        <f>SUMIFS(Codex_USGS_raw!$E:$E,Codex_USGS_raw!$A:$A,Codex_sources!$A$10,Codex_USGS_raw!$C:$C,AH$4)*Codex_sources!$D$10*Codex_sources!$L$10</f>
        <v>0</v>
      </c>
      <c r="AI98">
        <f>SUMIFS(Codex_USGS_raw!$E:$E,Codex_USGS_raw!$A:$A,Codex_sources!$A$10,Codex_USGS_raw!$C:$C,AI$4)*Codex_sources!$D$10*Codex_sources!$L$10</f>
        <v>0</v>
      </c>
      <c r="AJ98">
        <f>SUMIFS(Codex_USGS_raw!$E:$E,Codex_USGS_raw!$A:$A,Codex_sources!$A$10,Codex_USGS_raw!$C:$C,AJ$4)*Codex_sources!$D$10*Codex_sources!$L$10</f>
        <v>0</v>
      </c>
      <c r="AK98">
        <f>SUMIFS(Codex_USGS_raw!$E:$E,Codex_USGS_raw!$A:$A,Codex_sources!$A$10,Codex_USGS_raw!$C:$C,AK$4)*Codex_sources!$D$10*Codex_sources!$L$10</f>
        <v>0</v>
      </c>
      <c r="AL98">
        <f>SUMIFS(Codex_USGS_raw!$E:$E,Codex_USGS_raw!$A:$A,Codex_sources!$A$10,Codex_USGS_raw!$C:$C,AL$4)*Codex_sources!$D$10*Codex_sources!$L$10</f>
        <v>0</v>
      </c>
      <c r="AM98">
        <f>SUMIFS(Codex_USGS_raw!$E:$E,Codex_USGS_raw!$A:$A,Codex_sources!$A$10,Codex_USGS_raw!$C:$C,AM$4)*Codex_sources!$D$10*Codex_sources!$L$10</f>
        <v>0</v>
      </c>
      <c r="AN98">
        <f>SUMIFS(Codex_USGS_raw!$E:$E,Codex_USGS_raw!$A:$A,Codex_sources!$A$10,Codex_USGS_raw!$C:$C,AN$4)*Codex_sources!$D$10*Codex_sources!$L$10</f>
        <v>0</v>
      </c>
      <c r="AO98" t="str">
        <f t="shared" si="2"/>
        <v>2019, 2130</v>
      </c>
    </row>
    <row r="99" spans="3:41">
      <c r="C99" t="s">
        <v>129</v>
      </c>
      <c r="D99" t="s">
        <v>444</v>
      </c>
      <c r="E99" t="s">
        <v>13</v>
      </c>
      <c r="F99">
        <f>Codex_sources!$O$10</f>
        <v>32.0110824</v>
      </c>
      <c r="G99">
        <f>Codex_sources!$O$10</f>
        <v>32.0110824</v>
      </c>
      <c r="H99">
        <f>Codex_sources!$O$10</f>
        <v>32.0110824</v>
      </c>
      <c r="I99">
        <f>Codex_sources!$O$10</f>
        <v>32.0110824</v>
      </c>
      <c r="J99">
        <f>Codex_sources!$O$10</f>
        <v>32.0110824</v>
      </c>
      <c r="K99">
        <f>Codex_sources!$O$10</f>
        <v>32.0110824</v>
      </c>
      <c r="L99">
        <f>Codex_sources!$O$10</f>
        <v>32.0110824</v>
      </c>
      <c r="M99">
        <f>Codex_sources!$O$10</f>
        <v>32.0110824</v>
      </c>
      <c r="N99">
        <f>Codex_sources!$O$10</f>
        <v>32.0110824</v>
      </c>
      <c r="O99">
        <f>Codex_sources!$O$10</f>
        <v>32.0110824</v>
      </c>
      <c r="P99">
        <f>Codex_sources!$O$10</f>
        <v>32.0110824</v>
      </c>
      <c r="Q99">
        <f>Codex_sources!$O$10</f>
        <v>32.0110824</v>
      </c>
      <c r="R99">
        <f>Codex_sources!$O$10</f>
        <v>32.0110824</v>
      </c>
      <c r="S99">
        <f>Codex_sources!$O$10</f>
        <v>32.0110824</v>
      </c>
      <c r="T99">
        <f>Codex_sources!$O$10</f>
        <v>32.0110824</v>
      </c>
      <c r="U99">
        <f>Codex_sources!$O$10</f>
        <v>32.0110824</v>
      </c>
      <c r="V99">
        <f>Codex_sources!$O$10</f>
        <v>32.0110824</v>
      </c>
      <c r="W99">
        <f>Codex_sources!$O$10</f>
        <v>32.0110824</v>
      </c>
      <c r="X99">
        <f>Codex_sources!$O$10</f>
        <v>32.0110824</v>
      </c>
      <c r="Y99">
        <f>Codex_sources!$O$10</f>
        <v>32.0110824</v>
      </c>
      <c r="Z99">
        <f>Codex_sources!$O$10</f>
        <v>32.0110824</v>
      </c>
      <c r="AA99">
        <f>Codex_sources!$O$10</f>
        <v>32.0110824</v>
      </c>
      <c r="AB99">
        <f>Codex_sources!$O$10</f>
        <v>32.0110824</v>
      </c>
      <c r="AC99">
        <f>Codex_sources!$O$10</f>
        <v>32.0110824</v>
      </c>
      <c r="AD99">
        <f>Codex_sources!$O$10</f>
        <v>32.0110824</v>
      </c>
      <c r="AE99">
        <f>Codex_sources!$O$10</f>
        <v>32.0110824</v>
      </c>
      <c r="AF99">
        <f>Codex_sources!$O$10</f>
        <v>32.0110824</v>
      </c>
      <c r="AG99">
        <f>Codex_sources!$O$10</f>
        <v>32.0110824</v>
      </c>
      <c r="AH99">
        <f>Codex_sources!$O$10</f>
        <v>32.0110824</v>
      </c>
      <c r="AI99">
        <f>Codex_sources!$O$10</f>
        <v>32.0110824</v>
      </c>
      <c r="AJ99">
        <f>Codex_sources!$O$10</f>
        <v>32.0110824</v>
      </c>
      <c r="AK99">
        <f>Codex_sources!$O$10</f>
        <v>32.0110824</v>
      </c>
      <c r="AL99">
        <f>Codex_sources!$O$10</f>
        <v>32.0110824</v>
      </c>
      <c r="AM99">
        <f>Codex_sources!$O$10</f>
        <v>32.0110824</v>
      </c>
      <c r="AN99">
        <f>Codex_sources!$O$10</f>
        <v>32.0110824</v>
      </c>
      <c r="AO99" t="str">
        <f t="shared" si="2"/>
        <v>2019, 2130</v>
      </c>
    </row>
    <row r="100" spans="3:41">
      <c r="AO100" t="str">
        <f t="shared" si="2"/>
        <v>2019, 2130</v>
      </c>
    </row>
    <row r="101" spans="3:41">
      <c r="C101" t="s">
        <v>130</v>
      </c>
      <c r="D101" t="s">
        <v>442</v>
      </c>
      <c r="F101">
        <f>SUMIFS(Codex_USGS_raw!$D:$D,Codex_USGS_raw!$A:$A,Codex_sources!$A$11,Codex_USGS_raw!$C:$C,F$4)*Codex_sources!$D$11*1</f>
        <v>0</v>
      </c>
      <c r="G101">
        <f>SUMIFS(Codex_USGS_raw!$D:$D,Codex_USGS_raw!$A:$A,Codex_sources!$A$11,Codex_USGS_raw!$C:$C,G$4)*Codex_sources!$D$11*1</f>
        <v>175.30025</v>
      </c>
      <c r="H101">
        <f>SUMIFS(Codex_USGS_raw!$D:$D,Codex_USGS_raw!$A:$A,Codex_sources!$A$11,Codex_USGS_raw!$C:$C,H$4)*Codex_sources!$D$11*1</f>
        <v>0</v>
      </c>
      <c r="I101">
        <f>SUMIFS(Codex_USGS_raw!$D:$D,Codex_USGS_raw!$A:$A,Codex_sources!$A$11,Codex_USGS_raw!$C:$C,I$4)*Codex_sources!$D$11*1</f>
        <v>0.16307</v>
      </c>
      <c r="J101">
        <f>SUMIFS(Codex_USGS_raw!$D:$D,Codex_USGS_raw!$A:$A,Codex_sources!$A$11,Codex_USGS_raw!$C:$C,J$4)*Codex_sources!$D$11*1</f>
        <v>0</v>
      </c>
      <c r="K101">
        <f>SUMIFS(Codex_USGS_raw!$D:$D,Codex_USGS_raw!$A:$A,Codex_sources!$A$11,Codex_USGS_raw!$C:$C,K$4)*Codex_sources!$D$11*1</f>
        <v>0</v>
      </c>
      <c r="L101">
        <f>SUMIFS(Codex_USGS_raw!$D:$D,Codex_USGS_raw!$A:$A,Codex_sources!$A$11,Codex_USGS_raw!$C:$C,L$4)*Codex_sources!$D$11*1</f>
        <v>52.99775</v>
      </c>
      <c r="M101">
        <f>SUMIFS(Codex_USGS_raw!$D:$D,Codex_USGS_raw!$A:$A,Codex_sources!$A$11,Codex_USGS_raw!$C:$C,M$4)*Codex_sources!$D$11*1</f>
        <v>1141.49</v>
      </c>
      <c r="N101">
        <f>SUMIFS(Codex_USGS_raw!$D:$D,Codex_USGS_raw!$A:$A,Codex_sources!$A$11,Codex_USGS_raw!$C:$C,N$4)*Codex_sources!$D$11*1</f>
        <v>0</v>
      </c>
      <c r="O101">
        <f>SUMIFS(Codex_USGS_raw!$D:$D,Codex_USGS_raw!$A:$A,Codex_sources!$A$11,Codex_USGS_raw!$C:$C,O$4)*Codex_sources!$D$11*1</f>
        <v>0</v>
      </c>
      <c r="P101">
        <f>SUMIFS(Codex_USGS_raw!$D:$D,Codex_USGS_raw!$A:$A,Codex_sources!$A$11,Codex_USGS_raw!$C:$C,P$4)*Codex_sources!$D$11*1</f>
        <v>0</v>
      </c>
      <c r="Q101">
        <f>SUMIFS(Codex_USGS_raw!$D:$D,Codex_USGS_raw!$A:$A,Codex_sources!$A$11,Codex_USGS_raw!$C:$C,Q$4)*Codex_sources!$D$11*1</f>
        <v>0.114149</v>
      </c>
      <c r="R101">
        <f>SUMIFS(Codex_USGS_raw!$D:$D,Codex_USGS_raw!$A:$A,Codex_sources!$A$11,Codex_USGS_raw!$C:$C,R$4)*Codex_sources!$D$11*1</f>
        <v>0</v>
      </c>
      <c r="S101">
        <f>SUMIFS(Codex_USGS_raw!$D:$D,Codex_USGS_raw!$A:$A,Codex_sources!$A$11,Codex_USGS_raw!$C:$C,S$4)*Codex_sources!$D$11*1</f>
        <v>0</v>
      </c>
      <c r="T101">
        <f>SUMIFS(Codex_USGS_raw!$D:$D,Codex_USGS_raw!$A:$A,Codex_sources!$A$11,Codex_USGS_raw!$C:$C,T$4)*Codex_sources!$D$11*1</f>
        <v>0</v>
      </c>
      <c r="U101">
        <f>SUMIFS(Codex_USGS_raw!$D:$D,Codex_USGS_raw!$A:$A,Codex_sources!$A$11,Codex_USGS_raw!$C:$C,U$4)*Codex_sources!$D$11*1</f>
        <v>13.86095</v>
      </c>
      <c r="V101">
        <f>SUMIFS(Codex_USGS_raw!$D:$D,Codex_USGS_raw!$A:$A,Codex_sources!$A$11,Codex_USGS_raw!$C:$C,V$4)*Codex_sources!$D$11*1</f>
        <v>0</v>
      </c>
      <c r="W101">
        <f>SUMIFS(Codex_USGS_raw!$D:$D,Codex_USGS_raw!$A:$A,Codex_sources!$A$11,Codex_USGS_raw!$C:$C,W$4)*Codex_sources!$D$11*1</f>
        <v>0</v>
      </c>
      <c r="X101">
        <f>SUMIFS(Codex_USGS_raw!$D:$D,Codex_USGS_raw!$A:$A,Codex_sources!$A$11,Codex_USGS_raw!$C:$C,X$4)*Codex_sources!$D$11*1</f>
        <v>0</v>
      </c>
      <c r="Y101">
        <f>SUMIFS(Codex_USGS_raw!$D:$D,Codex_USGS_raw!$A:$A,Codex_sources!$A$11,Codex_USGS_raw!$C:$C,Y$4)*Codex_sources!$D$11*1</f>
        <v>0</v>
      </c>
      <c r="Z101">
        <f>SUMIFS(Codex_USGS_raw!$D:$D,Codex_USGS_raw!$A:$A,Codex_sources!$A$11,Codex_USGS_raw!$C:$C,Z$4)*Codex_sources!$D$11*1</f>
        <v>0</v>
      </c>
      <c r="AA101">
        <f>SUMIFS(Codex_USGS_raw!$D:$D,Codex_USGS_raw!$A:$A,Codex_sources!$A$11,Codex_USGS_raw!$C:$C,AA$4)*Codex_sources!$D$11*1</f>
        <v>7.126159</v>
      </c>
      <c r="AB101">
        <f>SUMIFS(Codex_USGS_raw!$D:$D,Codex_USGS_raw!$A:$A,Codex_sources!$A$11,Codex_USGS_raw!$C:$C,AB$4)*Codex_sources!$D$11*1</f>
        <v>5.38131</v>
      </c>
      <c r="AC101">
        <f>SUMIFS(Codex_USGS_raw!$D:$D,Codex_USGS_raw!$A:$A,Codex_sources!$A$11,Codex_USGS_raw!$C:$C,AC$4)*Codex_sources!$D$11*1</f>
        <v>0</v>
      </c>
      <c r="AD101">
        <f>SUMIFS(Codex_USGS_raw!$D:$D,Codex_USGS_raw!$A:$A,Codex_sources!$A$11,Codex_USGS_raw!$C:$C,AD$4)*Codex_sources!$D$11*1</f>
        <v>9.94727</v>
      </c>
      <c r="AE101">
        <f>SUMIFS(Codex_USGS_raw!$D:$D,Codex_USGS_raw!$A:$A,Codex_sources!$A$11,Codex_USGS_raw!$C:$C,AE$4)*Codex_sources!$D$11*1</f>
        <v>20.38375</v>
      </c>
      <c r="AF101">
        <f>SUMIFS(Codex_USGS_raw!$D:$D,Codex_USGS_raw!$A:$A,Codex_sources!$A$11,Codex_USGS_raw!$C:$C,AF$4)*Codex_sources!$D$11*1</f>
        <v>0</v>
      </c>
      <c r="AG101">
        <f>SUMIFS(Codex_USGS_raw!$D:$D,Codex_USGS_raw!$A:$A,Codex_sources!$A$11,Codex_USGS_raw!$C:$C,AG$4)*Codex_sources!$D$11*1</f>
        <v>0</v>
      </c>
      <c r="AH101">
        <f>SUMIFS(Codex_USGS_raw!$D:$D,Codex_USGS_raw!$A:$A,Codex_sources!$A$11,Codex_USGS_raw!$C:$C,AH$4)*Codex_sources!$D$11*1</f>
        <v>0</v>
      </c>
      <c r="AI101">
        <f>SUMIFS(Codex_USGS_raw!$D:$D,Codex_USGS_raw!$A:$A,Codex_sources!$A$11,Codex_USGS_raw!$C:$C,AI$4)*Codex_sources!$D$11*1</f>
        <v>0</v>
      </c>
      <c r="AJ101">
        <f>SUMIFS(Codex_USGS_raw!$D:$D,Codex_USGS_raw!$A:$A,Codex_sources!$A$11,Codex_USGS_raw!$C:$C,AJ$4)*Codex_sources!$D$11*1</f>
        <v>0</v>
      </c>
      <c r="AK101">
        <f>SUMIFS(Codex_USGS_raw!$D:$D,Codex_USGS_raw!$A:$A,Codex_sources!$A$11,Codex_USGS_raw!$C:$C,AK$4)*Codex_sources!$D$11*1</f>
        <v>1.79377</v>
      </c>
      <c r="AL101">
        <f>SUMIFS(Codex_USGS_raw!$D:$D,Codex_USGS_raw!$A:$A,Codex_sources!$A$11,Codex_USGS_raw!$C:$C,AL$4)*Codex_sources!$D$11*1</f>
        <v>0</v>
      </c>
      <c r="AM101">
        <f>SUMIFS(Codex_USGS_raw!$D:$D,Codex_USGS_raw!$A:$A,Codex_sources!$A$11,Codex_USGS_raw!$C:$C,AM$4)*Codex_sources!$D$11*1</f>
        <v>0.65228</v>
      </c>
      <c r="AN101">
        <f>SUMIFS(Codex_USGS_raw!$D:$D,Codex_USGS_raw!$A:$A,Codex_sources!$A$11,Codex_USGS_raw!$C:$C,AN$4)*Codex_sources!$D$11*1</f>
        <v>0</v>
      </c>
      <c r="AO101" t="str">
        <f t="shared" si="2"/>
        <v>2019, 2130</v>
      </c>
    </row>
    <row r="102" spans="3:41">
      <c r="C102" t="s">
        <v>130</v>
      </c>
      <c r="D102" t="s">
        <v>115</v>
      </c>
      <c r="F102">
        <f>SUMIFS(Codex_USGS_raw!$E:$E,Codex_USGS_raw!$A:$A,Codex_sources!$A$11,Codex_USGS_raw!$C:$C,F$4)*Codex_sources!$D$11*Codex_sources!$J$11</f>
        <v>0</v>
      </c>
      <c r="G102">
        <f>SUMIFS(Codex_USGS_raw!$E:$E,Codex_USGS_raw!$A:$A,Codex_sources!$A$11,Codex_USGS_raw!$C:$C,G$4)*Codex_sources!$D$11*Codex_sources!$J$11</f>
        <v>57074.5</v>
      </c>
      <c r="H102">
        <f>SUMIFS(Codex_USGS_raw!$E:$E,Codex_USGS_raw!$A:$A,Codex_sources!$A$11,Codex_USGS_raw!$C:$C,H$4)*Codex_sources!$D$11*Codex_sources!$J$11</f>
        <v>0</v>
      </c>
      <c r="I102">
        <f>SUMIFS(Codex_USGS_raw!$E:$E,Codex_USGS_raw!$A:$A,Codex_sources!$A$11,Codex_USGS_raw!$C:$C,I$4)*Codex_sources!$D$11*Codex_sources!$J$11</f>
        <v>0</v>
      </c>
      <c r="J102">
        <f>SUMIFS(Codex_USGS_raw!$E:$E,Codex_USGS_raw!$A:$A,Codex_sources!$A$11,Codex_USGS_raw!$C:$C,J$4)*Codex_sources!$D$11*Codex_sources!$J$11</f>
        <v>0</v>
      </c>
      <c r="K102">
        <f>SUMIFS(Codex_USGS_raw!$E:$E,Codex_USGS_raw!$A:$A,Codex_sources!$A$11,Codex_USGS_raw!$C:$C,K$4)*Codex_sources!$D$11*Codex_sources!$J$11</f>
        <v>0</v>
      </c>
      <c r="L102">
        <f>SUMIFS(Codex_USGS_raw!$E:$E,Codex_USGS_raw!$A:$A,Codex_sources!$A$11,Codex_USGS_raw!$C:$C,L$4)*Codex_sources!$D$11*Codex_sources!$J$11</f>
        <v>60335.9</v>
      </c>
      <c r="M102">
        <f>SUMIFS(Codex_USGS_raw!$E:$E,Codex_USGS_raw!$A:$A,Codex_sources!$A$11,Codex_USGS_raw!$C:$C,M$4)*Codex_sources!$D$11*Codex_sources!$J$11</f>
        <v>81535</v>
      </c>
      <c r="N102">
        <f>SUMIFS(Codex_USGS_raw!$E:$E,Codex_USGS_raw!$A:$A,Codex_sources!$A$11,Codex_USGS_raw!$C:$C,N$4)*Codex_sources!$D$11*Codex_sources!$J$11</f>
        <v>0</v>
      </c>
      <c r="O102">
        <f>SUMIFS(Codex_USGS_raw!$E:$E,Codex_USGS_raw!$A:$A,Codex_sources!$A$11,Codex_USGS_raw!$C:$C,O$4)*Codex_sources!$D$11*Codex_sources!$J$11</f>
        <v>0</v>
      </c>
      <c r="P102">
        <f>SUMIFS(Codex_USGS_raw!$E:$E,Codex_USGS_raw!$A:$A,Codex_sources!$A$11,Codex_USGS_raw!$C:$C,P$4)*Codex_sources!$D$11*Codex_sources!$J$11</f>
        <v>0</v>
      </c>
      <c r="Q102">
        <f>SUMIFS(Codex_USGS_raw!$E:$E,Codex_USGS_raw!$A:$A,Codex_sources!$A$11,Codex_USGS_raw!$C:$C,Q$4)*Codex_sources!$D$11*Codex_sources!$J$11</f>
        <v>0</v>
      </c>
      <c r="R102">
        <f>SUMIFS(Codex_USGS_raw!$E:$E,Codex_USGS_raw!$A:$A,Codex_sources!$A$11,Codex_USGS_raw!$C:$C,R$4)*Codex_sources!$D$11*Codex_sources!$J$11</f>
        <v>0</v>
      </c>
      <c r="S102">
        <f>SUMIFS(Codex_USGS_raw!$E:$E,Codex_USGS_raw!$A:$A,Codex_sources!$A$11,Codex_USGS_raw!$C:$C,S$4)*Codex_sources!$D$11*Codex_sources!$J$11</f>
        <v>0</v>
      </c>
      <c r="T102">
        <f>SUMIFS(Codex_USGS_raw!$E:$E,Codex_USGS_raw!$A:$A,Codex_sources!$A$11,Codex_USGS_raw!$C:$C,T$4)*Codex_sources!$D$11*Codex_sources!$J$11</f>
        <v>0</v>
      </c>
      <c r="U102">
        <f>SUMIFS(Codex_USGS_raw!$E:$E,Codex_USGS_raw!$A:$A,Codex_sources!$A$11,Codex_USGS_raw!$C:$C,U$4)*Codex_sources!$D$11*Codex_sources!$J$11</f>
        <v>7012.01</v>
      </c>
      <c r="V102">
        <f>SUMIFS(Codex_USGS_raw!$E:$E,Codex_USGS_raw!$A:$A,Codex_sources!$A$11,Codex_USGS_raw!$C:$C,V$4)*Codex_sources!$D$11*Codex_sources!$J$11</f>
        <v>0</v>
      </c>
      <c r="W102">
        <f>SUMIFS(Codex_USGS_raw!$E:$E,Codex_USGS_raw!$A:$A,Codex_sources!$A$11,Codex_USGS_raw!$C:$C,W$4)*Codex_sources!$D$11*Codex_sources!$J$11</f>
        <v>0</v>
      </c>
      <c r="X102">
        <f>SUMIFS(Codex_USGS_raw!$E:$E,Codex_USGS_raw!$A:$A,Codex_sources!$A$11,Codex_USGS_raw!$C:$C,X$4)*Codex_sources!$D$11*Codex_sources!$J$11</f>
        <v>0</v>
      </c>
      <c r="Y102">
        <f>SUMIFS(Codex_USGS_raw!$E:$E,Codex_USGS_raw!$A:$A,Codex_sources!$A$11,Codex_USGS_raw!$C:$C,Y$4)*Codex_sources!$D$11*Codex_sources!$J$11</f>
        <v>0</v>
      </c>
      <c r="Z102">
        <f>SUMIFS(Codex_USGS_raw!$E:$E,Codex_USGS_raw!$A:$A,Codex_sources!$A$11,Codex_USGS_raw!$C:$C,Z$4)*Codex_sources!$D$11*Codex_sources!$J$11</f>
        <v>0</v>
      </c>
      <c r="AA102">
        <f>SUMIFS(Codex_USGS_raw!$E:$E,Codex_USGS_raw!$A:$A,Codex_sources!$A$11,Codex_USGS_raw!$C:$C,AA$4)*Codex_sources!$D$11*Codex_sources!$J$11</f>
        <v>7338.15</v>
      </c>
      <c r="AB102">
        <f>SUMIFS(Codex_USGS_raw!$E:$E,Codex_USGS_raw!$A:$A,Codex_sources!$A$11,Codex_USGS_raw!$C:$C,AB$4)*Codex_sources!$D$11*Codex_sources!$J$11</f>
        <v>489.21</v>
      </c>
      <c r="AC102">
        <f>SUMIFS(Codex_USGS_raw!$E:$E,Codex_USGS_raw!$A:$A,Codex_sources!$A$11,Codex_USGS_raw!$C:$C,AC$4)*Codex_sources!$D$11*Codex_sources!$J$11</f>
        <v>0</v>
      </c>
      <c r="AD102">
        <f>SUMIFS(Codex_USGS_raw!$E:$E,Codex_USGS_raw!$A:$A,Codex_sources!$A$11,Codex_USGS_raw!$C:$C,AD$4)*Codex_sources!$D$11*Codex_sources!$J$11</f>
        <v>12230.25</v>
      </c>
      <c r="AE102">
        <f>SUMIFS(Codex_USGS_raw!$E:$E,Codex_USGS_raw!$A:$A,Codex_sources!$A$11,Codex_USGS_raw!$C:$C,AE$4)*Codex_sources!$D$11*Codex_sources!$J$11</f>
        <v>11414.9</v>
      </c>
      <c r="AF102">
        <f>SUMIFS(Codex_USGS_raw!$E:$E,Codex_USGS_raw!$A:$A,Codex_sources!$A$11,Codex_USGS_raw!$C:$C,AF$4)*Codex_sources!$D$11*Codex_sources!$J$11</f>
        <v>0</v>
      </c>
      <c r="AG102">
        <f>SUMIFS(Codex_USGS_raw!$E:$E,Codex_USGS_raw!$A:$A,Codex_sources!$A$11,Codex_USGS_raw!$C:$C,AG$4)*Codex_sources!$D$11*Codex_sources!$J$11</f>
        <v>0</v>
      </c>
      <c r="AH102">
        <f>SUMIFS(Codex_USGS_raw!$E:$E,Codex_USGS_raw!$A:$A,Codex_sources!$A$11,Codex_USGS_raw!$C:$C,AH$4)*Codex_sources!$D$11*Codex_sources!$J$11</f>
        <v>0</v>
      </c>
      <c r="AI102">
        <f>SUMIFS(Codex_USGS_raw!$E:$E,Codex_USGS_raw!$A:$A,Codex_sources!$A$11,Codex_USGS_raw!$C:$C,AI$4)*Codex_sources!$D$11*Codex_sources!$J$11</f>
        <v>0</v>
      </c>
      <c r="AJ102">
        <f>SUMIFS(Codex_USGS_raw!$E:$E,Codex_USGS_raw!$A:$A,Codex_sources!$A$11,Codex_USGS_raw!$C:$C,AJ$4)*Codex_sources!$D$11*Codex_sources!$J$11</f>
        <v>0</v>
      </c>
      <c r="AK102">
        <f>SUMIFS(Codex_USGS_raw!$E:$E,Codex_USGS_raw!$A:$A,Codex_sources!$A$11,Codex_USGS_raw!$C:$C,AK$4)*Codex_sources!$D$11*Codex_sources!$J$11</f>
        <v>5625.915</v>
      </c>
      <c r="AL102">
        <f>SUMIFS(Codex_USGS_raw!$E:$E,Codex_USGS_raw!$A:$A,Codex_sources!$A$11,Codex_USGS_raw!$C:$C,AL$4)*Codex_sources!$D$11*Codex_sources!$J$11</f>
        <v>0</v>
      </c>
      <c r="AM102">
        <f>SUMIFS(Codex_USGS_raw!$E:$E,Codex_USGS_raw!$A:$A,Codex_sources!$A$11,Codex_USGS_raw!$C:$C,AM$4)*Codex_sources!$D$11*Codex_sources!$J$11</f>
        <v>0</v>
      </c>
      <c r="AN102">
        <f>SUMIFS(Codex_USGS_raw!$E:$E,Codex_USGS_raw!$A:$A,Codex_sources!$A$11,Codex_USGS_raw!$C:$C,AN$4)*Codex_sources!$D$11*Codex_sources!$J$11</f>
        <v>0</v>
      </c>
      <c r="AO102" t="str">
        <f t="shared" si="2"/>
        <v>2019, 2130</v>
      </c>
    </row>
    <row r="103" spans="3:41">
      <c r="C103" t="s">
        <v>130</v>
      </c>
      <c r="D103" t="s">
        <v>444</v>
      </c>
      <c r="E103" t="s">
        <v>15</v>
      </c>
      <c r="F103">
        <f>Codex_sources!$M$11</f>
        <v>1</v>
      </c>
      <c r="G103">
        <f>Codex_sources!$M$11</f>
        <v>1</v>
      </c>
      <c r="H103">
        <f>Codex_sources!$M$11</f>
        <v>1</v>
      </c>
      <c r="I103">
        <f>Codex_sources!$M$11</f>
        <v>1</v>
      </c>
      <c r="J103">
        <f>Codex_sources!$M$11</f>
        <v>1</v>
      </c>
      <c r="K103">
        <f>Codex_sources!$M$11</f>
        <v>1</v>
      </c>
      <c r="L103">
        <f>Codex_sources!$M$11</f>
        <v>1</v>
      </c>
      <c r="M103">
        <f>Codex_sources!$M$11</f>
        <v>1</v>
      </c>
      <c r="N103">
        <f>Codex_sources!$M$11</f>
        <v>1</v>
      </c>
      <c r="O103">
        <f>Codex_sources!$M$11</f>
        <v>1</v>
      </c>
      <c r="P103">
        <f>Codex_sources!$M$11</f>
        <v>1</v>
      </c>
      <c r="Q103">
        <f>Codex_sources!$M$11</f>
        <v>1</v>
      </c>
      <c r="R103">
        <f>Codex_sources!$M$11</f>
        <v>1</v>
      </c>
      <c r="S103">
        <f>Codex_sources!$M$11</f>
        <v>1</v>
      </c>
      <c r="T103">
        <f>Codex_sources!$M$11</f>
        <v>1</v>
      </c>
      <c r="U103">
        <f>Codex_sources!$M$11</f>
        <v>1</v>
      </c>
      <c r="V103">
        <f>Codex_sources!$M$11</f>
        <v>1</v>
      </c>
      <c r="W103">
        <f>Codex_sources!$M$11</f>
        <v>1</v>
      </c>
      <c r="X103">
        <f>Codex_sources!$M$11</f>
        <v>1</v>
      </c>
      <c r="Y103">
        <f>Codex_sources!$M$11</f>
        <v>1</v>
      </c>
      <c r="Z103">
        <f>Codex_sources!$M$11</f>
        <v>1</v>
      </c>
      <c r="AA103">
        <f>Codex_sources!$M$11</f>
        <v>1</v>
      </c>
      <c r="AB103">
        <f>Codex_sources!$M$11</f>
        <v>1</v>
      </c>
      <c r="AC103">
        <f>Codex_sources!$M$11</f>
        <v>1</v>
      </c>
      <c r="AD103">
        <f>Codex_sources!$M$11</f>
        <v>1</v>
      </c>
      <c r="AE103">
        <f>Codex_sources!$M$11</f>
        <v>1</v>
      </c>
      <c r="AF103">
        <f>Codex_sources!$M$11</f>
        <v>1</v>
      </c>
      <c r="AG103">
        <f>Codex_sources!$M$11</f>
        <v>1</v>
      </c>
      <c r="AH103">
        <f>Codex_sources!$M$11</f>
        <v>1</v>
      </c>
      <c r="AI103">
        <f>Codex_sources!$M$11</f>
        <v>1</v>
      </c>
      <c r="AJ103">
        <f>Codex_sources!$M$11</f>
        <v>1</v>
      </c>
      <c r="AK103">
        <f>Codex_sources!$M$11</f>
        <v>1</v>
      </c>
      <c r="AL103">
        <f>Codex_sources!$M$11</f>
        <v>1</v>
      </c>
      <c r="AM103">
        <f>Codex_sources!$M$11</f>
        <v>1</v>
      </c>
      <c r="AN103">
        <f>Codex_sources!$M$11</f>
        <v>1</v>
      </c>
      <c r="AO103" t="str">
        <f t="shared" si="2"/>
        <v>2019, 2130</v>
      </c>
    </row>
    <row r="104" spans="3:41">
      <c r="C104" t="s">
        <v>131</v>
      </c>
      <c r="D104" t="s">
        <v>442</v>
      </c>
      <c r="F104">
        <f>SUMIFS(Codex_USGS_raw!$D:$D,Codex_USGS_raw!$A:$A,Codex_sources!$A$11,Codex_USGS_raw!$C:$C,F$4)*Codex_sources!$D$11*2</f>
        <v>0</v>
      </c>
      <c r="G104">
        <f>SUMIFS(Codex_USGS_raw!$D:$D,Codex_USGS_raw!$A:$A,Codex_sources!$A$11,Codex_USGS_raw!$C:$C,G$4)*Codex_sources!$D$11*2</f>
        <v>350.6005</v>
      </c>
      <c r="H104">
        <f>SUMIFS(Codex_USGS_raw!$D:$D,Codex_USGS_raw!$A:$A,Codex_sources!$A$11,Codex_USGS_raw!$C:$C,H$4)*Codex_sources!$D$11*2</f>
        <v>0</v>
      </c>
      <c r="I104">
        <f>SUMIFS(Codex_USGS_raw!$D:$D,Codex_USGS_raw!$A:$A,Codex_sources!$A$11,Codex_USGS_raw!$C:$C,I$4)*Codex_sources!$D$11*2</f>
        <v>0.32614</v>
      </c>
      <c r="J104">
        <f>SUMIFS(Codex_USGS_raw!$D:$D,Codex_USGS_raw!$A:$A,Codex_sources!$A$11,Codex_USGS_raw!$C:$C,J$4)*Codex_sources!$D$11*2</f>
        <v>0</v>
      </c>
      <c r="K104">
        <f>SUMIFS(Codex_USGS_raw!$D:$D,Codex_USGS_raw!$A:$A,Codex_sources!$A$11,Codex_USGS_raw!$C:$C,K$4)*Codex_sources!$D$11*2</f>
        <v>0</v>
      </c>
      <c r="L104">
        <f>SUMIFS(Codex_USGS_raw!$D:$D,Codex_USGS_raw!$A:$A,Codex_sources!$A$11,Codex_USGS_raw!$C:$C,L$4)*Codex_sources!$D$11*2</f>
        <v>105.9955</v>
      </c>
      <c r="M104">
        <f>SUMIFS(Codex_USGS_raw!$D:$D,Codex_USGS_raw!$A:$A,Codex_sources!$A$11,Codex_USGS_raw!$C:$C,M$4)*Codex_sources!$D$11*2</f>
        <v>2282.98</v>
      </c>
      <c r="N104">
        <f>SUMIFS(Codex_USGS_raw!$D:$D,Codex_USGS_raw!$A:$A,Codex_sources!$A$11,Codex_USGS_raw!$C:$C,N$4)*Codex_sources!$D$11*2</f>
        <v>0</v>
      </c>
      <c r="O104">
        <f>SUMIFS(Codex_USGS_raw!$D:$D,Codex_USGS_raw!$A:$A,Codex_sources!$A$11,Codex_USGS_raw!$C:$C,O$4)*Codex_sources!$D$11*2</f>
        <v>0</v>
      </c>
      <c r="P104">
        <f>SUMIFS(Codex_USGS_raw!$D:$D,Codex_USGS_raw!$A:$A,Codex_sources!$A$11,Codex_USGS_raw!$C:$C,P$4)*Codex_sources!$D$11*2</f>
        <v>0</v>
      </c>
      <c r="Q104">
        <f>SUMIFS(Codex_USGS_raw!$D:$D,Codex_USGS_raw!$A:$A,Codex_sources!$A$11,Codex_USGS_raw!$C:$C,Q$4)*Codex_sources!$D$11*2</f>
        <v>0.228298</v>
      </c>
      <c r="R104">
        <f>SUMIFS(Codex_USGS_raw!$D:$D,Codex_USGS_raw!$A:$A,Codex_sources!$A$11,Codex_USGS_raw!$C:$C,R$4)*Codex_sources!$D$11*2</f>
        <v>0</v>
      </c>
      <c r="S104">
        <f>SUMIFS(Codex_USGS_raw!$D:$D,Codex_USGS_raw!$A:$A,Codex_sources!$A$11,Codex_USGS_raw!$C:$C,S$4)*Codex_sources!$D$11*2</f>
        <v>0</v>
      </c>
      <c r="T104">
        <f>SUMIFS(Codex_USGS_raw!$D:$D,Codex_USGS_raw!$A:$A,Codex_sources!$A$11,Codex_USGS_raw!$C:$C,T$4)*Codex_sources!$D$11*2</f>
        <v>0</v>
      </c>
      <c r="U104">
        <f>SUMIFS(Codex_USGS_raw!$D:$D,Codex_USGS_raw!$A:$A,Codex_sources!$A$11,Codex_USGS_raw!$C:$C,U$4)*Codex_sources!$D$11*2</f>
        <v>27.7219</v>
      </c>
      <c r="V104">
        <f>SUMIFS(Codex_USGS_raw!$D:$D,Codex_USGS_raw!$A:$A,Codex_sources!$A$11,Codex_USGS_raw!$C:$C,V$4)*Codex_sources!$D$11*2</f>
        <v>0</v>
      </c>
      <c r="W104">
        <f>SUMIFS(Codex_USGS_raw!$D:$D,Codex_USGS_raw!$A:$A,Codex_sources!$A$11,Codex_USGS_raw!$C:$C,W$4)*Codex_sources!$D$11*2</f>
        <v>0</v>
      </c>
      <c r="X104">
        <f>SUMIFS(Codex_USGS_raw!$D:$D,Codex_USGS_raw!$A:$A,Codex_sources!$A$11,Codex_USGS_raw!$C:$C,X$4)*Codex_sources!$D$11*2</f>
        <v>0</v>
      </c>
      <c r="Y104">
        <f>SUMIFS(Codex_USGS_raw!$D:$D,Codex_USGS_raw!$A:$A,Codex_sources!$A$11,Codex_USGS_raw!$C:$C,Y$4)*Codex_sources!$D$11*2</f>
        <v>0</v>
      </c>
      <c r="Z104">
        <f>SUMIFS(Codex_USGS_raw!$D:$D,Codex_USGS_raw!$A:$A,Codex_sources!$A$11,Codex_USGS_raw!$C:$C,Z$4)*Codex_sources!$D$11*2</f>
        <v>0</v>
      </c>
      <c r="AA104">
        <f>SUMIFS(Codex_USGS_raw!$D:$D,Codex_USGS_raw!$A:$A,Codex_sources!$A$11,Codex_USGS_raw!$C:$C,AA$4)*Codex_sources!$D$11*2</f>
        <v>14.252318</v>
      </c>
      <c r="AB104">
        <f>SUMIFS(Codex_USGS_raw!$D:$D,Codex_USGS_raw!$A:$A,Codex_sources!$A$11,Codex_USGS_raw!$C:$C,AB$4)*Codex_sources!$D$11*2</f>
        <v>10.76262</v>
      </c>
      <c r="AC104">
        <f>SUMIFS(Codex_USGS_raw!$D:$D,Codex_USGS_raw!$A:$A,Codex_sources!$A$11,Codex_USGS_raw!$C:$C,AC$4)*Codex_sources!$D$11*2</f>
        <v>0</v>
      </c>
      <c r="AD104">
        <f>SUMIFS(Codex_USGS_raw!$D:$D,Codex_USGS_raw!$A:$A,Codex_sources!$A$11,Codex_USGS_raw!$C:$C,AD$4)*Codex_sources!$D$11*2</f>
        <v>19.89454</v>
      </c>
      <c r="AE104">
        <f>SUMIFS(Codex_USGS_raw!$D:$D,Codex_USGS_raw!$A:$A,Codex_sources!$A$11,Codex_USGS_raw!$C:$C,AE$4)*Codex_sources!$D$11*2</f>
        <v>40.7675</v>
      </c>
      <c r="AF104">
        <f>SUMIFS(Codex_USGS_raw!$D:$D,Codex_USGS_raw!$A:$A,Codex_sources!$A$11,Codex_USGS_raw!$C:$C,AF$4)*Codex_sources!$D$11*2</f>
        <v>0</v>
      </c>
      <c r="AG104">
        <f>SUMIFS(Codex_USGS_raw!$D:$D,Codex_USGS_raw!$A:$A,Codex_sources!$A$11,Codex_USGS_raw!$C:$C,AG$4)*Codex_sources!$D$11*2</f>
        <v>0</v>
      </c>
      <c r="AH104">
        <f>SUMIFS(Codex_USGS_raw!$D:$D,Codex_USGS_raw!$A:$A,Codex_sources!$A$11,Codex_USGS_raw!$C:$C,AH$4)*Codex_sources!$D$11*2</f>
        <v>0</v>
      </c>
      <c r="AI104">
        <f>SUMIFS(Codex_USGS_raw!$D:$D,Codex_USGS_raw!$A:$A,Codex_sources!$A$11,Codex_USGS_raw!$C:$C,AI$4)*Codex_sources!$D$11*2</f>
        <v>0</v>
      </c>
      <c r="AJ104">
        <f>SUMIFS(Codex_USGS_raw!$D:$D,Codex_USGS_raw!$A:$A,Codex_sources!$A$11,Codex_USGS_raw!$C:$C,AJ$4)*Codex_sources!$D$11*2</f>
        <v>0</v>
      </c>
      <c r="AK104">
        <f>SUMIFS(Codex_USGS_raw!$D:$D,Codex_USGS_raw!$A:$A,Codex_sources!$A$11,Codex_USGS_raw!$C:$C,AK$4)*Codex_sources!$D$11*2</f>
        <v>3.58754</v>
      </c>
      <c r="AL104">
        <f>SUMIFS(Codex_USGS_raw!$D:$D,Codex_USGS_raw!$A:$A,Codex_sources!$A$11,Codex_USGS_raw!$C:$C,AL$4)*Codex_sources!$D$11*2</f>
        <v>0</v>
      </c>
      <c r="AM104">
        <f>SUMIFS(Codex_USGS_raw!$D:$D,Codex_USGS_raw!$A:$A,Codex_sources!$A$11,Codex_USGS_raw!$C:$C,AM$4)*Codex_sources!$D$11*2</f>
        <v>1.30456</v>
      </c>
      <c r="AN104">
        <f>SUMIFS(Codex_USGS_raw!$D:$D,Codex_USGS_raw!$A:$A,Codex_sources!$A$11,Codex_USGS_raw!$C:$C,AN$4)*Codex_sources!$D$11*2</f>
        <v>0</v>
      </c>
      <c r="AO104" t="str">
        <f t="shared" si="2"/>
        <v>2019, 2130</v>
      </c>
    </row>
    <row r="105" spans="3:41">
      <c r="C105" t="s">
        <v>131</v>
      </c>
      <c r="D105" t="s">
        <v>115</v>
      </c>
      <c r="F105">
        <f>SUMIFS(Codex_USGS_raw!$E:$E,Codex_USGS_raw!$A:$A,Codex_sources!$A$11,Codex_USGS_raw!$C:$C,F$4)*Codex_sources!$D$11*Codex_sources!$K$11</f>
        <v>0</v>
      </c>
      <c r="G105">
        <f>SUMIFS(Codex_USGS_raw!$E:$E,Codex_USGS_raw!$A:$A,Codex_sources!$A$11,Codex_USGS_raw!$C:$C,G$4)*Codex_sources!$D$11*Codex_sources!$K$11</f>
        <v>45107.2661290323</v>
      </c>
      <c r="H105">
        <f>SUMIFS(Codex_USGS_raw!$E:$E,Codex_USGS_raw!$A:$A,Codex_sources!$A$11,Codex_USGS_raw!$C:$C,H$4)*Codex_sources!$D$11*Codex_sources!$K$11</f>
        <v>0</v>
      </c>
      <c r="I105">
        <f>SUMIFS(Codex_USGS_raw!$E:$E,Codex_USGS_raw!$A:$A,Codex_sources!$A$11,Codex_USGS_raw!$C:$C,I$4)*Codex_sources!$D$11*Codex_sources!$K$11</f>
        <v>0</v>
      </c>
      <c r="J105">
        <f>SUMIFS(Codex_USGS_raw!$E:$E,Codex_USGS_raw!$A:$A,Codex_sources!$A$11,Codex_USGS_raw!$C:$C,J$4)*Codex_sources!$D$11*Codex_sources!$K$11</f>
        <v>0</v>
      </c>
      <c r="K105">
        <f>SUMIFS(Codex_USGS_raw!$E:$E,Codex_USGS_raw!$A:$A,Codex_sources!$A$11,Codex_USGS_raw!$C:$C,K$4)*Codex_sources!$D$11*Codex_sources!$K$11</f>
        <v>0</v>
      </c>
      <c r="L105">
        <f>SUMIFS(Codex_USGS_raw!$E:$E,Codex_USGS_raw!$A:$A,Codex_sources!$A$11,Codex_USGS_raw!$C:$C,L$4)*Codex_sources!$D$11*Codex_sources!$K$11</f>
        <v>47684.8241935484</v>
      </c>
      <c r="M105">
        <f>SUMIFS(Codex_USGS_raw!$E:$E,Codex_USGS_raw!$A:$A,Codex_sources!$A$11,Codex_USGS_raw!$C:$C,M$4)*Codex_sources!$D$11*Codex_sources!$K$11</f>
        <v>64438.9516129032</v>
      </c>
      <c r="N105">
        <f>SUMIFS(Codex_USGS_raw!$E:$E,Codex_USGS_raw!$A:$A,Codex_sources!$A$11,Codex_USGS_raw!$C:$C,N$4)*Codex_sources!$D$11*Codex_sources!$K$11</f>
        <v>0</v>
      </c>
      <c r="O105">
        <f>SUMIFS(Codex_USGS_raw!$E:$E,Codex_USGS_raw!$A:$A,Codex_sources!$A$11,Codex_USGS_raw!$C:$C,O$4)*Codex_sources!$D$11*Codex_sources!$K$11</f>
        <v>0</v>
      </c>
      <c r="P105">
        <f>SUMIFS(Codex_USGS_raw!$E:$E,Codex_USGS_raw!$A:$A,Codex_sources!$A$11,Codex_USGS_raw!$C:$C,P$4)*Codex_sources!$D$11*Codex_sources!$K$11</f>
        <v>0</v>
      </c>
      <c r="Q105">
        <f>SUMIFS(Codex_USGS_raw!$E:$E,Codex_USGS_raw!$A:$A,Codex_sources!$A$11,Codex_USGS_raw!$C:$C,Q$4)*Codex_sources!$D$11*Codex_sources!$K$11</f>
        <v>0</v>
      </c>
      <c r="R105">
        <f>SUMIFS(Codex_USGS_raw!$E:$E,Codex_USGS_raw!$A:$A,Codex_sources!$A$11,Codex_USGS_raw!$C:$C,R$4)*Codex_sources!$D$11*Codex_sources!$K$11</f>
        <v>0</v>
      </c>
      <c r="S105">
        <f>SUMIFS(Codex_USGS_raw!$E:$E,Codex_USGS_raw!$A:$A,Codex_sources!$A$11,Codex_USGS_raw!$C:$C,S$4)*Codex_sources!$D$11*Codex_sources!$K$11</f>
        <v>0</v>
      </c>
      <c r="T105">
        <f>SUMIFS(Codex_USGS_raw!$E:$E,Codex_USGS_raw!$A:$A,Codex_sources!$A$11,Codex_USGS_raw!$C:$C,T$4)*Codex_sources!$D$11*Codex_sources!$K$11</f>
        <v>0</v>
      </c>
      <c r="U105">
        <f>SUMIFS(Codex_USGS_raw!$E:$E,Codex_USGS_raw!$A:$A,Codex_sources!$A$11,Codex_USGS_raw!$C:$C,U$4)*Codex_sources!$D$11*Codex_sources!$K$11</f>
        <v>5541.74983870968</v>
      </c>
      <c r="V105">
        <f>SUMIFS(Codex_USGS_raw!$E:$E,Codex_USGS_raw!$A:$A,Codex_sources!$A$11,Codex_USGS_raw!$C:$C,V$4)*Codex_sources!$D$11*Codex_sources!$K$11</f>
        <v>0</v>
      </c>
      <c r="W105">
        <f>SUMIFS(Codex_USGS_raw!$E:$E,Codex_USGS_raw!$A:$A,Codex_sources!$A$11,Codex_USGS_raw!$C:$C,W$4)*Codex_sources!$D$11*Codex_sources!$K$11</f>
        <v>0</v>
      </c>
      <c r="X105">
        <f>SUMIFS(Codex_USGS_raw!$E:$E,Codex_USGS_raw!$A:$A,Codex_sources!$A$11,Codex_USGS_raw!$C:$C,X$4)*Codex_sources!$D$11*Codex_sources!$K$11</f>
        <v>0</v>
      </c>
      <c r="Y105">
        <f>SUMIFS(Codex_USGS_raw!$E:$E,Codex_USGS_raw!$A:$A,Codex_sources!$A$11,Codex_USGS_raw!$C:$C,Y$4)*Codex_sources!$D$11*Codex_sources!$K$11</f>
        <v>0</v>
      </c>
      <c r="Z105">
        <f>SUMIFS(Codex_USGS_raw!$E:$E,Codex_USGS_raw!$A:$A,Codex_sources!$A$11,Codex_USGS_raw!$C:$C,Z$4)*Codex_sources!$D$11*Codex_sources!$K$11</f>
        <v>0</v>
      </c>
      <c r="AA105">
        <f>SUMIFS(Codex_USGS_raw!$E:$E,Codex_USGS_raw!$A:$A,Codex_sources!$A$11,Codex_USGS_raw!$C:$C,AA$4)*Codex_sources!$D$11*Codex_sources!$K$11</f>
        <v>5799.50564516129</v>
      </c>
      <c r="AB105">
        <f>SUMIFS(Codex_USGS_raw!$E:$E,Codex_USGS_raw!$A:$A,Codex_sources!$A$11,Codex_USGS_raw!$C:$C,AB$4)*Codex_sources!$D$11*Codex_sources!$K$11</f>
        <v>386.633709677419</v>
      </c>
      <c r="AC105">
        <f>SUMIFS(Codex_USGS_raw!$E:$E,Codex_USGS_raw!$A:$A,Codex_sources!$A$11,Codex_USGS_raw!$C:$C,AC$4)*Codex_sources!$D$11*Codex_sources!$K$11</f>
        <v>0</v>
      </c>
      <c r="AD105">
        <f>SUMIFS(Codex_USGS_raw!$E:$E,Codex_USGS_raw!$A:$A,Codex_sources!$A$11,Codex_USGS_raw!$C:$C,AD$4)*Codex_sources!$D$11*Codex_sources!$K$11</f>
        <v>9665.84274193548</v>
      </c>
      <c r="AE105">
        <f>SUMIFS(Codex_USGS_raw!$E:$E,Codex_USGS_raw!$A:$A,Codex_sources!$A$11,Codex_USGS_raw!$C:$C,AE$4)*Codex_sources!$D$11*Codex_sources!$K$11</f>
        <v>9021.45322580645</v>
      </c>
      <c r="AF105">
        <f>SUMIFS(Codex_USGS_raw!$E:$E,Codex_USGS_raw!$A:$A,Codex_sources!$A$11,Codex_USGS_raw!$C:$C,AF$4)*Codex_sources!$D$11*Codex_sources!$K$11</f>
        <v>0</v>
      </c>
      <c r="AG105">
        <f>SUMIFS(Codex_USGS_raw!$E:$E,Codex_USGS_raw!$A:$A,Codex_sources!$A$11,Codex_USGS_raw!$C:$C,AG$4)*Codex_sources!$D$11*Codex_sources!$K$11</f>
        <v>0</v>
      </c>
      <c r="AH105">
        <f>SUMIFS(Codex_USGS_raw!$E:$E,Codex_USGS_raw!$A:$A,Codex_sources!$A$11,Codex_USGS_raw!$C:$C,AH$4)*Codex_sources!$D$11*Codex_sources!$K$11</f>
        <v>0</v>
      </c>
      <c r="AI105">
        <f>SUMIFS(Codex_USGS_raw!$E:$E,Codex_USGS_raw!$A:$A,Codex_sources!$A$11,Codex_USGS_raw!$C:$C,AI$4)*Codex_sources!$D$11*Codex_sources!$K$11</f>
        <v>0</v>
      </c>
      <c r="AJ105">
        <f>SUMIFS(Codex_USGS_raw!$E:$E,Codex_USGS_raw!$A:$A,Codex_sources!$A$11,Codex_USGS_raw!$C:$C,AJ$4)*Codex_sources!$D$11*Codex_sources!$K$11</f>
        <v>0</v>
      </c>
      <c r="AK105">
        <f>SUMIFS(Codex_USGS_raw!$E:$E,Codex_USGS_raw!$A:$A,Codex_sources!$A$11,Codex_USGS_raw!$C:$C,AK$4)*Codex_sources!$D$11*Codex_sources!$K$11</f>
        <v>4446.28766129032</v>
      </c>
      <c r="AL105">
        <f>SUMIFS(Codex_USGS_raw!$E:$E,Codex_USGS_raw!$A:$A,Codex_sources!$A$11,Codex_USGS_raw!$C:$C,AL$4)*Codex_sources!$D$11*Codex_sources!$K$11</f>
        <v>0</v>
      </c>
      <c r="AM105">
        <f>SUMIFS(Codex_USGS_raw!$E:$E,Codex_USGS_raw!$A:$A,Codex_sources!$A$11,Codex_USGS_raw!$C:$C,AM$4)*Codex_sources!$D$11*Codex_sources!$K$11</f>
        <v>0</v>
      </c>
      <c r="AN105">
        <f>SUMIFS(Codex_USGS_raw!$E:$E,Codex_USGS_raw!$A:$A,Codex_sources!$A$11,Codex_USGS_raw!$C:$C,AN$4)*Codex_sources!$D$11*Codex_sources!$K$11</f>
        <v>0</v>
      </c>
      <c r="AO105" t="str">
        <f t="shared" si="2"/>
        <v>2019, 2130</v>
      </c>
    </row>
    <row r="106" spans="3:41">
      <c r="C106" t="s">
        <v>131</v>
      </c>
      <c r="D106" t="s">
        <v>444</v>
      </c>
      <c r="E106" t="s">
        <v>15</v>
      </c>
      <c r="F106">
        <f>Codex_sources!$N$11</f>
        <v>2.6</v>
      </c>
      <c r="G106">
        <f>Codex_sources!$N$11</f>
        <v>2.6</v>
      </c>
      <c r="H106">
        <f>Codex_sources!$N$11</f>
        <v>2.6</v>
      </c>
      <c r="I106">
        <f>Codex_sources!$N$11</f>
        <v>2.6</v>
      </c>
      <c r="J106">
        <f>Codex_sources!$N$11</f>
        <v>2.6</v>
      </c>
      <c r="K106">
        <f>Codex_sources!$N$11</f>
        <v>2.6</v>
      </c>
      <c r="L106">
        <f>Codex_sources!$N$11</f>
        <v>2.6</v>
      </c>
      <c r="M106">
        <f>Codex_sources!$N$11</f>
        <v>2.6</v>
      </c>
      <c r="N106">
        <f>Codex_sources!$N$11</f>
        <v>2.6</v>
      </c>
      <c r="O106">
        <f>Codex_sources!$N$11</f>
        <v>2.6</v>
      </c>
      <c r="P106">
        <f>Codex_sources!$N$11</f>
        <v>2.6</v>
      </c>
      <c r="Q106">
        <f>Codex_sources!$N$11</f>
        <v>2.6</v>
      </c>
      <c r="R106">
        <f>Codex_sources!$N$11</f>
        <v>2.6</v>
      </c>
      <c r="S106">
        <f>Codex_sources!$N$11</f>
        <v>2.6</v>
      </c>
      <c r="T106">
        <f>Codex_sources!$N$11</f>
        <v>2.6</v>
      </c>
      <c r="U106">
        <f>Codex_sources!$N$11</f>
        <v>2.6</v>
      </c>
      <c r="V106">
        <f>Codex_sources!$N$11</f>
        <v>2.6</v>
      </c>
      <c r="W106">
        <f>Codex_sources!$N$11</f>
        <v>2.6</v>
      </c>
      <c r="X106">
        <f>Codex_sources!$N$11</f>
        <v>2.6</v>
      </c>
      <c r="Y106">
        <f>Codex_sources!$N$11</f>
        <v>2.6</v>
      </c>
      <c r="Z106">
        <f>Codex_sources!$N$11</f>
        <v>2.6</v>
      </c>
      <c r="AA106">
        <f>Codex_sources!$N$11</f>
        <v>2.6</v>
      </c>
      <c r="AB106">
        <f>Codex_sources!$N$11</f>
        <v>2.6</v>
      </c>
      <c r="AC106">
        <f>Codex_sources!$N$11</f>
        <v>2.6</v>
      </c>
      <c r="AD106">
        <f>Codex_sources!$N$11</f>
        <v>2.6</v>
      </c>
      <c r="AE106">
        <f>Codex_sources!$N$11</f>
        <v>2.6</v>
      </c>
      <c r="AF106">
        <f>Codex_sources!$N$11</f>
        <v>2.6</v>
      </c>
      <c r="AG106">
        <f>Codex_sources!$N$11</f>
        <v>2.6</v>
      </c>
      <c r="AH106">
        <f>Codex_sources!$N$11</f>
        <v>2.6</v>
      </c>
      <c r="AI106">
        <f>Codex_sources!$N$11</f>
        <v>2.6</v>
      </c>
      <c r="AJ106">
        <f>Codex_sources!$N$11</f>
        <v>2.6</v>
      </c>
      <c r="AK106">
        <f>Codex_sources!$N$11</f>
        <v>2.6</v>
      </c>
      <c r="AL106">
        <f>Codex_sources!$N$11</f>
        <v>2.6</v>
      </c>
      <c r="AM106">
        <f>Codex_sources!$N$11</f>
        <v>2.6</v>
      </c>
      <c r="AN106">
        <f>Codex_sources!$N$11</f>
        <v>2.6</v>
      </c>
      <c r="AO106" t="str">
        <f t="shared" si="2"/>
        <v>2019, 2130</v>
      </c>
    </row>
    <row r="107" spans="3:41">
      <c r="C107" t="s">
        <v>132</v>
      </c>
      <c r="D107" t="s">
        <v>442</v>
      </c>
      <c r="AO107" t="str">
        <f t="shared" si="2"/>
        <v>2019, 2130</v>
      </c>
    </row>
    <row r="108" spans="3:41">
      <c r="C108" t="s">
        <v>132</v>
      </c>
      <c r="D108" t="s">
        <v>115</v>
      </c>
      <c r="F108">
        <f>SUMIFS(Codex_USGS_raw!$E:$E,Codex_USGS_raw!$A:$A,Codex_sources!$A$11,Codex_USGS_raw!$C:$C,F$4)*Codex_sources!$D$11*Codex_sources!$L$11</f>
        <v>0</v>
      </c>
      <c r="G108">
        <f>SUMIFS(Codex_USGS_raw!$E:$E,Codex_USGS_raw!$A:$A,Codex_sources!$A$11,Codex_USGS_raw!$C:$C,G$4)*Codex_sources!$D$11*Codex_sources!$L$11</f>
        <v>45107.2661290323</v>
      </c>
      <c r="H108">
        <f>SUMIFS(Codex_USGS_raw!$E:$E,Codex_USGS_raw!$A:$A,Codex_sources!$A$11,Codex_USGS_raw!$C:$C,H$4)*Codex_sources!$D$11*Codex_sources!$L$11</f>
        <v>0</v>
      </c>
      <c r="I108">
        <f>SUMIFS(Codex_USGS_raw!$E:$E,Codex_USGS_raw!$A:$A,Codex_sources!$A$11,Codex_USGS_raw!$C:$C,I$4)*Codex_sources!$D$11*Codex_sources!$L$11</f>
        <v>0</v>
      </c>
      <c r="J108">
        <f>SUMIFS(Codex_USGS_raw!$E:$E,Codex_USGS_raw!$A:$A,Codex_sources!$A$11,Codex_USGS_raw!$C:$C,J$4)*Codex_sources!$D$11*Codex_sources!$L$11</f>
        <v>0</v>
      </c>
      <c r="K108">
        <f>SUMIFS(Codex_USGS_raw!$E:$E,Codex_USGS_raw!$A:$A,Codex_sources!$A$11,Codex_USGS_raw!$C:$C,K$4)*Codex_sources!$D$11*Codex_sources!$L$11</f>
        <v>0</v>
      </c>
      <c r="L108">
        <f>SUMIFS(Codex_USGS_raw!$E:$E,Codex_USGS_raw!$A:$A,Codex_sources!$A$11,Codex_USGS_raw!$C:$C,L$4)*Codex_sources!$D$11*Codex_sources!$L$11</f>
        <v>47684.8241935484</v>
      </c>
      <c r="M108">
        <f>SUMIFS(Codex_USGS_raw!$E:$E,Codex_USGS_raw!$A:$A,Codex_sources!$A$11,Codex_USGS_raw!$C:$C,M$4)*Codex_sources!$D$11*Codex_sources!$L$11</f>
        <v>64438.9516129032</v>
      </c>
      <c r="N108">
        <f>SUMIFS(Codex_USGS_raw!$E:$E,Codex_USGS_raw!$A:$A,Codex_sources!$A$11,Codex_USGS_raw!$C:$C,N$4)*Codex_sources!$D$11*Codex_sources!$L$11</f>
        <v>0</v>
      </c>
      <c r="O108">
        <f>SUMIFS(Codex_USGS_raw!$E:$E,Codex_USGS_raw!$A:$A,Codex_sources!$A$11,Codex_USGS_raw!$C:$C,O$4)*Codex_sources!$D$11*Codex_sources!$L$11</f>
        <v>0</v>
      </c>
      <c r="P108">
        <f>SUMIFS(Codex_USGS_raw!$E:$E,Codex_USGS_raw!$A:$A,Codex_sources!$A$11,Codex_USGS_raw!$C:$C,P$4)*Codex_sources!$D$11*Codex_sources!$L$11</f>
        <v>0</v>
      </c>
      <c r="Q108">
        <f>SUMIFS(Codex_USGS_raw!$E:$E,Codex_USGS_raw!$A:$A,Codex_sources!$A$11,Codex_USGS_raw!$C:$C,Q$4)*Codex_sources!$D$11*Codex_sources!$L$11</f>
        <v>0</v>
      </c>
      <c r="R108">
        <f>SUMIFS(Codex_USGS_raw!$E:$E,Codex_USGS_raw!$A:$A,Codex_sources!$A$11,Codex_USGS_raw!$C:$C,R$4)*Codex_sources!$D$11*Codex_sources!$L$11</f>
        <v>0</v>
      </c>
      <c r="S108">
        <f>SUMIFS(Codex_USGS_raw!$E:$E,Codex_USGS_raw!$A:$A,Codex_sources!$A$11,Codex_USGS_raw!$C:$C,S$4)*Codex_sources!$D$11*Codex_sources!$L$11</f>
        <v>0</v>
      </c>
      <c r="T108">
        <f>SUMIFS(Codex_USGS_raw!$E:$E,Codex_USGS_raw!$A:$A,Codex_sources!$A$11,Codex_USGS_raw!$C:$C,T$4)*Codex_sources!$D$11*Codex_sources!$L$11</f>
        <v>0</v>
      </c>
      <c r="U108">
        <f>SUMIFS(Codex_USGS_raw!$E:$E,Codex_USGS_raw!$A:$A,Codex_sources!$A$11,Codex_USGS_raw!$C:$C,U$4)*Codex_sources!$D$11*Codex_sources!$L$11</f>
        <v>5541.74983870968</v>
      </c>
      <c r="V108">
        <f>SUMIFS(Codex_USGS_raw!$E:$E,Codex_USGS_raw!$A:$A,Codex_sources!$A$11,Codex_USGS_raw!$C:$C,V$4)*Codex_sources!$D$11*Codex_sources!$L$11</f>
        <v>0</v>
      </c>
      <c r="W108">
        <f>SUMIFS(Codex_USGS_raw!$E:$E,Codex_USGS_raw!$A:$A,Codex_sources!$A$11,Codex_USGS_raw!$C:$C,W$4)*Codex_sources!$D$11*Codex_sources!$L$11</f>
        <v>0</v>
      </c>
      <c r="X108">
        <f>SUMIFS(Codex_USGS_raw!$E:$E,Codex_USGS_raw!$A:$A,Codex_sources!$A$11,Codex_USGS_raw!$C:$C,X$4)*Codex_sources!$D$11*Codex_sources!$L$11</f>
        <v>0</v>
      </c>
      <c r="Y108">
        <f>SUMIFS(Codex_USGS_raw!$E:$E,Codex_USGS_raw!$A:$A,Codex_sources!$A$11,Codex_USGS_raw!$C:$C,Y$4)*Codex_sources!$D$11*Codex_sources!$L$11</f>
        <v>0</v>
      </c>
      <c r="Z108">
        <f>SUMIFS(Codex_USGS_raw!$E:$E,Codex_USGS_raw!$A:$A,Codex_sources!$A$11,Codex_USGS_raw!$C:$C,Z$4)*Codex_sources!$D$11*Codex_sources!$L$11</f>
        <v>0</v>
      </c>
      <c r="AA108">
        <f>SUMIFS(Codex_USGS_raw!$E:$E,Codex_USGS_raw!$A:$A,Codex_sources!$A$11,Codex_USGS_raw!$C:$C,AA$4)*Codex_sources!$D$11*Codex_sources!$L$11</f>
        <v>5799.50564516129</v>
      </c>
      <c r="AB108">
        <f>SUMIFS(Codex_USGS_raw!$E:$E,Codex_USGS_raw!$A:$A,Codex_sources!$A$11,Codex_USGS_raw!$C:$C,AB$4)*Codex_sources!$D$11*Codex_sources!$L$11</f>
        <v>386.633709677419</v>
      </c>
      <c r="AC108">
        <f>SUMIFS(Codex_USGS_raw!$E:$E,Codex_USGS_raw!$A:$A,Codex_sources!$A$11,Codex_USGS_raw!$C:$C,AC$4)*Codex_sources!$D$11*Codex_sources!$L$11</f>
        <v>0</v>
      </c>
      <c r="AD108">
        <f>SUMIFS(Codex_USGS_raw!$E:$E,Codex_USGS_raw!$A:$A,Codex_sources!$A$11,Codex_USGS_raw!$C:$C,AD$4)*Codex_sources!$D$11*Codex_sources!$L$11</f>
        <v>9665.84274193548</v>
      </c>
      <c r="AE108">
        <f>SUMIFS(Codex_USGS_raw!$E:$E,Codex_USGS_raw!$A:$A,Codex_sources!$A$11,Codex_USGS_raw!$C:$C,AE$4)*Codex_sources!$D$11*Codex_sources!$L$11</f>
        <v>9021.45322580645</v>
      </c>
      <c r="AF108">
        <f>SUMIFS(Codex_USGS_raw!$E:$E,Codex_USGS_raw!$A:$A,Codex_sources!$A$11,Codex_USGS_raw!$C:$C,AF$4)*Codex_sources!$D$11*Codex_sources!$L$11</f>
        <v>0</v>
      </c>
      <c r="AG108">
        <f>SUMIFS(Codex_USGS_raw!$E:$E,Codex_USGS_raw!$A:$A,Codex_sources!$A$11,Codex_USGS_raw!$C:$C,AG$4)*Codex_sources!$D$11*Codex_sources!$L$11</f>
        <v>0</v>
      </c>
      <c r="AH108">
        <f>SUMIFS(Codex_USGS_raw!$E:$E,Codex_USGS_raw!$A:$A,Codex_sources!$A$11,Codex_USGS_raw!$C:$C,AH$4)*Codex_sources!$D$11*Codex_sources!$L$11</f>
        <v>0</v>
      </c>
      <c r="AI108">
        <f>SUMIFS(Codex_USGS_raw!$E:$E,Codex_USGS_raw!$A:$A,Codex_sources!$A$11,Codex_USGS_raw!$C:$C,AI$4)*Codex_sources!$D$11*Codex_sources!$L$11</f>
        <v>0</v>
      </c>
      <c r="AJ108">
        <f>SUMIFS(Codex_USGS_raw!$E:$E,Codex_USGS_raw!$A:$A,Codex_sources!$A$11,Codex_USGS_raw!$C:$C,AJ$4)*Codex_sources!$D$11*Codex_sources!$L$11</f>
        <v>0</v>
      </c>
      <c r="AK108">
        <f>SUMIFS(Codex_USGS_raw!$E:$E,Codex_USGS_raw!$A:$A,Codex_sources!$A$11,Codex_USGS_raw!$C:$C,AK$4)*Codex_sources!$D$11*Codex_sources!$L$11</f>
        <v>4446.28766129032</v>
      </c>
      <c r="AL108">
        <f>SUMIFS(Codex_USGS_raw!$E:$E,Codex_USGS_raw!$A:$A,Codex_sources!$A$11,Codex_USGS_raw!$C:$C,AL$4)*Codex_sources!$D$11*Codex_sources!$L$11</f>
        <v>0</v>
      </c>
      <c r="AM108">
        <f>SUMIFS(Codex_USGS_raw!$E:$E,Codex_USGS_raw!$A:$A,Codex_sources!$A$11,Codex_USGS_raw!$C:$C,AM$4)*Codex_sources!$D$11*Codex_sources!$L$11</f>
        <v>0</v>
      </c>
      <c r="AN108">
        <f>SUMIFS(Codex_USGS_raw!$E:$E,Codex_USGS_raw!$A:$A,Codex_sources!$A$11,Codex_USGS_raw!$C:$C,AN$4)*Codex_sources!$D$11*Codex_sources!$L$11</f>
        <v>0</v>
      </c>
      <c r="AO108" t="str">
        <f t="shared" si="2"/>
        <v>2019, 2130</v>
      </c>
    </row>
    <row r="109" spans="3:41">
      <c r="C109" t="s">
        <v>132</v>
      </c>
      <c r="D109" t="s">
        <v>444</v>
      </c>
      <c r="E109" t="s">
        <v>15</v>
      </c>
      <c r="F109">
        <f>Codex_sources!$O$11</f>
        <v>2.86</v>
      </c>
      <c r="G109">
        <f>Codex_sources!$O$11</f>
        <v>2.86</v>
      </c>
      <c r="H109">
        <f>Codex_sources!$O$11</f>
        <v>2.86</v>
      </c>
      <c r="I109">
        <f>Codex_sources!$O$11</f>
        <v>2.86</v>
      </c>
      <c r="J109">
        <f>Codex_sources!$O$11</f>
        <v>2.86</v>
      </c>
      <c r="K109">
        <f>Codex_sources!$O$11</f>
        <v>2.86</v>
      </c>
      <c r="L109">
        <f>Codex_sources!$O$11</f>
        <v>2.86</v>
      </c>
      <c r="M109">
        <f>Codex_sources!$O$11</f>
        <v>2.86</v>
      </c>
      <c r="N109">
        <f>Codex_sources!$O$11</f>
        <v>2.86</v>
      </c>
      <c r="O109">
        <f>Codex_sources!$O$11</f>
        <v>2.86</v>
      </c>
      <c r="P109">
        <f>Codex_sources!$O$11</f>
        <v>2.86</v>
      </c>
      <c r="Q109">
        <f>Codex_sources!$O$11</f>
        <v>2.86</v>
      </c>
      <c r="R109">
        <f>Codex_sources!$O$11</f>
        <v>2.86</v>
      </c>
      <c r="S109">
        <f>Codex_sources!$O$11</f>
        <v>2.86</v>
      </c>
      <c r="T109">
        <f>Codex_sources!$O$11</f>
        <v>2.86</v>
      </c>
      <c r="U109">
        <f>Codex_sources!$O$11</f>
        <v>2.86</v>
      </c>
      <c r="V109">
        <f>Codex_sources!$O$11</f>
        <v>2.86</v>
      </c>
      <c r="W109">
        <f>Codex_sources!$O$11</f>
        <v>2.86</v>
      </c>
      <c r="X109">
        <f>Codex_sources!$O$11</f>
        <v>2.86</v>
      </c>
      <c r="Y109">
        <f>Codex_sources!$O$11</f>
        <v>2.86</v>
      </c>
      <c r="Z109">
        <f>Codex_sources!$O$11</f>
        <v>2.86</v>
      </c>
      <c r="AA109">
        <f>Codex_sources!$O$11</f>
        <v>2.86</v>
      </c>
      <c r="AB109">
        <f>Codex_sources!$O$11</f>
        <v>2.86</v>
      </c>
      <c r="AC109">
        <f>Codex_sources!$O$11</f>
        <v>2.86</v>
      </c>
      <c r="AD109">
        <f>Codex_sources!$O$11</f>
        <v>2.86</v>
      </c>
      <c r="AE109">
        <f>Codex_sources!$O$11</f>
        <v>2.86</v>
      </c>
      <c r="AF109">
        <f>Codex_sources!$O$11</f>
        <v>2.86</v>
      </c>
      <c r="AG109">
        <f>Codex_sources!$O$11</f>
        <v>2.86</v>
      </c>
      <c r="AH109">
        <f>Codex_sources!$O$11</f>
        <v>2.86</v>
      </c>
      <c r="AI109">
        <f>Codex_sources!$O$11</f>
        <v>2.86</v>
      </c>
      <c r="AJ109">
        <f>Codex_sources!$O$11</f>
        <v>2.86</v>
      </c>
      <c r="AK109">
        <f>Codex_sources!$O$11</f>
        <v>2.86</v>
      </c>
      <c r="AL109">
        <f>Codex_sources!$O$11</f>
        <v>2.86</v>
      </c>
      <c r="AM109">
        <f>Codex_sources!$O$11</f>
        <v>2.86</v>
      </c>
      <c r="AN109">
        <f>Codex_sources!$O$11</f>
        <v>2.86</v>
      </c>
      <c r="AO109" t="str">
        <f t="shared" si="2"/>
        <v>2019, 2130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E15" sqref="E15"/>
    </sheetView>
  </sheetViews>
  <sheetFormatPr defaultColWidth="9" defaultRowHeight="14.5" outlineLevelCol="1"/>
  <sheetData>
    <row r="1" spans="1:2">
      <c r="A1" t="s">
        <v>448</v>
      </c>
      <c r="B1" t="s">
        <v>449</v>
      </c>
    </row>
    <row r="2" spans="1:2">
      <c r="A2" t="s">
        <v>450</v>
      </c>
      <c r="B2" t="s">
        <v>451</v>
      </c>
    </row>
    <row r="3" spans="1:2">
      <c r="A3" t="s">
        <v>452</v>
      </c>
      <c r="B3" t="s">
        <v>453</v>
      </c>
    </row>
    <row r="4" spans="1:2">
      <c r="A4" t="s">
        <v>454</v>
      </c>
      <c r="B4" t="s">
        <v>455</v>
      </c>
    </row>
    <row r="5" spans="1:2">
      <c r="A5" t="s">
        <v>456</v>
      </c>
      <c r="B5" t="s">
        <v>457</v>
      </c>
    </row>
    <row r="6" spans="1:2">
      <c r="A6" t="s">
        <v>458</v>
      </c>
      <c r="B6" t="s">
        <v>459</v>
      </c>
    </row>
    <row r="7" spans="1:2">
      <c r="A7" t="s">
        <v>460</v>
      </c>
      <c r="B7" t="s">
        <v>461</v>
      </c>
    </row>
    <row r="8" spans="1:2">
      <c r="A8" t="s">
        <v>462</v>
      </c>
      <c r="B8" t="s">
        <v>463</v>
      </c>
    </row>
    <row r="9" spans="1:2">
      <c r="A9" t="s">
        <v>464</v>
      </c>
      <c r="B9" t="s">
        <v>465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Scen_usingStepMining_n_mute_(2)</vt:lpstr>
      <vt:lpstr>NOUSEattache--data--from</vt:lpstr>
      <vt:lpstr>Codex_sources</vt:lpstr>
      <vt:lpstr>Codex_USGS_raw</vt:lpstr>
      <vt:lpstr>Codex_Li_Busch</vt:lpstr>
      <vt:lpstr>Codex_calc</vt:lpstr>
      <vt:lpstr>Codex_update_notes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李潇</cp:lastModifiedBy>
  <dcterms:created xsi:type="dcterms:W3CDTF">2026-08-21T23:04:00Z</dcterms:created>
  <dcterms:modified xsi:type="dcterms:W3CDTF">2026-09-01T13:44:31Z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DC95FD9CA6244BBBAA8F357CCB54B2EC_13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