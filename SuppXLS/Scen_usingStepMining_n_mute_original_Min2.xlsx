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710" tabRatio="600" firstSheet="0" activeTab="0" autoFilterDateGrouping="1"/>
  </bookViews>
  <sheets>
    <sheet name="Scen_usingStepMining_n_mute_(2)" sheetId="1" state="visible" r:id="rId1"/>
    <sheet name="NOUSEattache--data--from" sheetId="2" state="visible" r:id="rId2"/>
    <sheet name="Codex_sources" sheetId="3" state="visible" r:id="rId3"/>
    <sheet name="Codex_USGS_raw" sheetId="4" state="visible" r:id="rId4"/>
    <sheet name="Codex_Li_Busch" sheetId="5" state="visible" r:id="rId5"/>
    <sheet name="Codex_calc" sheetId="6" state="visible" r:id="rId6"/>
    <sheet name="Codex_update_notes" sheetId="7" state="visible" r:id="rId7"/>
    <sheet name="Codex_Regiona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_ "/>
    <numFmt numFmtId="167" formatCode="_-&quot;$&quot;* #,##0.00_-;\-&quot;$&quot;* #,##0.00_-;_-&quot;$&quot;* \-??_-;_-@_-"/>
    <numFmt numFmtId="168" formatCode="_-&quot;$&quot;* #,##0_-;\-&quot;$&quot;* #,##0_-;_-&quot;$&quot;* &quot;-&quot;_-;_-@_-"/>
  </numFmts>
  <fonts count="34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rgb="FFFF0000"/>
      <sz val="11"/>
      <scheme val="minor"/>
    </font>
    <font>
      <name val="Arial"/>
      <charset val="1"/>
      <b val="1"/>
      <sz val="14"/>
    </font>
    <font>
      <name val="Calibri"/>
      <charset val="1"/>
      <color theme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1F4E79"/>
      <sz val="11"/>
    </font>
    <font>
      <name val="Arial"/>
      <charset val="1"/>
      <b val="1"/>
      <color rgb="FFC00000"/>
      <sz val="9"/>
    </font>
    <font>
      <name val="Arial"/>
      <charset val="1"/>
      <b val="1"/>
      <color rgb="FFFFFFFF"/>
      <sz val="9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i val="1"/>
      <color rgb="FF0000FF"/>
      <sz val="10"/>
    </font>
    <font>
      <name val="Arial"/>
      <charset val="1"/>
      <b val="1"/>
      <color rgb="FFC00000"/>
      <sz val="10"/>
    </font>
    <font>
      <name val="Arial"/>
      <charset val="134"/>
      <sz val="10"/>
    </font>
    <font>
      <name val="Segoe UI"/>
      <charset val="134"/>
      <color rgb="FF212529"/>
      <sz val="10.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8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0" borderId="3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4" applyAlignment="1">
      <alignment vertical="center"/>
    </xf>
    <xf numFmtId="0" fontId="21" fillId="0" borderId="4" applyAlignment="1">
      <alignment vertical="center"/>
    </xf>
    <xf numFmtId="0" fontId="22" fillId="0" borderId="5" applyAlignment="1">
      <alignment vertical="center"/>
    </xf>
    <xf numFmtId="0" fontId="22" fillId="0" borderId="0" applyAlignment="1">
      <alignment vertical="center"/>
    </xf>
    <xf numFmtId="0" fontId="23" fillId="11" borderId="6" applyAlignment="1">
      <alignment vertical="center"/>
    </xf>
    <xf numFmtId="0" fontId="24" fillId="12" borderId="7" applyAlignment="1">
      <alignment vertical="center"/>
    </xf>
    <xf numFmtId="0" fontId="25" fillId="12" borderId="6" applyAlignment="1">
      <alignment vertical="center"/>
    </xf>
    <xf numFmtId="0" fontId="26" fillId="13" borderId="8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9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2" fillId="39" borderId="0" applyAlignment="1">
      <alignment vertical="center"/>
    </xf>
    <xf numFmtId="0" fontId="13" fillId="0" borderId="0"/>
  </cellStyleXfs>
  <cellXfs count="4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vertical="top" wrapText="1"/>
    </xf>
    <xf numFmtId="0" fontId="6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10" fillId="7" borderId="1" pivotButton="0" quotePrefix="0" xfId="0"/>
    <xf numFmtId="164" fontId="10" fillId="7" borderId="1" pivotButton="0" quotePrefix="0" xfId="0"/>
    <xf numFmtId="4" fontId="10" fillId="4" borderId="1" pivotButton="0" quotePrefix="0" xfId="0"/>
    <xf numFmtId="3" fontId="9" fillId="7" borderId="1" pivotButton="0" quotePrefix="0" xfId="0"/>
    <xf numFmtId="165" fontId="10" fillId="4" borderId="1" pivotButton="0" quotePrefix="0" xfId="0"/>
    <xf numFmtId="2" fontId="10" fillId="4" borderId="1" pivotButton="0" quotePrefix="0" xfId="0"/>
    <xf numFmtId="2" fontId="11" fillId="4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164" fontId="9" fillId="4" borderId="1" pivotButton="0" quotePrefix="0" xfId="0"/>
    <xf numFmtId="0" fontId="12" fillId="0" borderId="0" pivotButton="0" quotePrefix="0" xfId="0"/>
    <xf numFmtId="0" fontId="4" fillId="7" borderId="1" pivotButton="0" quotePrefix="0" xfId="0"/>
    <xf numFmtId="164" fontId="9" fillId="7" borderId="1" pivotButton="0" quotePrefix="0" xfId="0"/>
    <xf numFmtId="0" fontId="4" fillId="0" borderId="1" pivotButton="0" quotePrefix="0" xfId="0"/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13" fillId="8" borderId="0" applyAlignment="1" pivotButton="0" quotePrefix="0" xfId="49">
      <alignment horizontal="center"/>
    </xf>
    <xf numFmtId="0" fontId="13" fillId="0" borderId="0" pivotButton="0" quotePrefix="0" xfId="0"/>
    <xf numFmtId="0" fontId="13" fillId="3" borderId="0" pivotButton="0" quotePrefix="0" xfId="0"/>
    <xf numFmtId="0" fontId="14" fillId="0" borderId="0" applyAlignment="1" pivotButton="0" quotePrefix="0" xfId="0">
      <alignment vertical="center"/>
    </xf>
    <xf numFmtId="166" fontId="13" fillId="0" borderId="2" pivotButton="0" quotePrefix="0" xfId="49"/>
    <xf numFmtId="0" fontId="13" fillId="0" borderId="0" applyAlignment="1" pivotButton="0" quotePrefix="0" xfId="49">
      <alignment horizontal="center"/>
    </xf>
    <xf numFmtId="0" fontId="0" fillId="9" borderId="0" pivotButton="0" quotePrefix="0" xfId="0"/>
    <xf numFmtId="0" fontId="13" fillId="9" borderId="0" pivotButton="0" quotePrefix="0" xfId="0"/>
    <xf numFmtId="0" fontId="14" fillId="3" borderId="0" applyAlignment="1" pivotButton="0" quotePrefix="0" xfId="0">
      <alignment vertical="center"/>
    </xf>
    <xf numFmtId="166" fontId="13" fillId="0" borderId="2" pivotButton="0" quotePrefix="0" xfId="49"/>
    <xf numFmtId="164" fontId="10" fillId="7" borderId="1" pivotButton="0" quotePrefix="0" xfId="0"/>
    <xf numFmtId="165" fontId="10" fillId="4" borderId="1" pivotButton="0" quotePrefix="0" xfId="0"/>
    <xf numFmtId="164" fontId="10" fillId="0" borderId="1" pivotButton="0" quotePrefix="0" xfId="0"/>
    <xf numFmtId="164" fontId="9" fillId="0" borderId="1" pivotButton="0" quotePrefix="0" xfId="0"/>
    <xf numFmtId="164" fontId="9" fillId="4" borderId="1" pivotButton="0" quotePrefix="0" xfId="0"/>
    <xf numFmtId="164" fontId="9" fillId="7" borderId="1" pivotButton="0" quotePrefix="0" xfId="0"/>
    <xf numFmtId="0" fontId="0" fillId="40" borderId="0" pivotButton="0" quotePrefix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AO172"/>
  <sheetViews>
    <sheetView tabSelected="1" topLeftCell="A63" zoomScale="80" zoomScaleNormal="80" zoomScaleSheetLayoutView="60" workbookViewId="0">
      <selection activeCell="E75" sqref="E75"/>
    </sheetView>
  </sheetViews>
  <sheetFormatPr baseColWidth="8" defaultColWidth="9.81818181818182" defaultRowHeight="14.5"/>
  <cols>
    <col width="30.3636363636364" customWidth="1" style="1" min="3" max="3"/>
    <col width="21.4545454545455" customWidth="1" style="1" min="5" max="5"/>
    <col width="12.8181818181818" customWidth="1" style="1" min="6" max="7"/>
    <col width="12.8181818181818" customWidth="1" style="31" min="8" max="8"/>
    <col width="12.8181818181818" customWidth="1" style="1" min="9" max="9"/>
    <col width="10.5454545454545" customWidth="1" style="1" min="10" max="10"/>
    <col width="33.1818181818182" customWidth="1" style="1" min="11" max="11"/>
    <col width="11.2727272727273" customWidth="1" style="1" min="12" max="12"/>
    <col width="12.8181818181818" customWidth="1" style="31" min="13" max="13"/>
    <col width="10.5454545454545" customWidth="1" style="1" min="14" max="14"/>
    <col width="12.8181818181818" customWidth="1" style="1" min="15" max="15"/>
    <col width="12.8181818181818" customWidth="1" style="1" min="16" max="16"/>
    <col width="12.8181818181818" customWidth="1" style="1" min="17" max="17"/>
    <col width="12.8181818181818" customWidth="1" style="1" min="18" max="18"/>
    <col width="10.5454545454545" customWidth="1" style="1" min="19" max="19"/>
    <col width="12.8181818181818" customWidth="1" style="1" min="20" max="21"/>
    <col width="10.5454545454545" customWidth="1" style="1" min="22" max="24"/>
    <col width="12.8181818181818" customWidth="1" style="1" min="25" max="35"/>
    <col width="10.5454545454545" customWidth="1" style="1" min="36" max="36"/>
    <col width="12.8181818181818" customWidth="1" style="1" min="37" max="37"/>
    <col width="12.8181818181818" customWidth="1" style="1" min="38" max="38"/>
    <col width="12.8181818181818" customWidth="1" style="1" min="39" max="39"/>
    <col width="12.8181818181818" customWidth="1" style="1" min="40" max="40"/>
    <col width="10.5454545454545" customWidth="1" style="1" min="41" max="41"/>
  </cols>
  <sheetData>
    <row r="4">
      <c r="C4" s="32" t="inlineStr">
        <is>
          <t>m_lithium</t>
        </is>
      </c>
      <c r="D4" s="32" t="n">
        <v>12.85</v>
      </c>
      <c r="K4" s="33" t="n"/>
      <c r="L4" s="33" t="inlineStr">
        <is>
          <t>~TFM_UPD</t>
        </is>
      </c>
      <c r="M4" s="34" t="n"/>
    </row>
    <row r="5">
      <c r="C5" s="32" t="inlineStr">
        <is>
          <t>m_nickel</t>
        </is>
      </c>
      <c r="D5" s="32" t="n">
        <v>20</v>
      </c>
      <c r="K5" s="33" t="inlineStr">
        <is>
          <t>pset_pn</t>
        </is>
      </c>
      <c r="L5" s="33" t="inlineStr">
        <is>
          <t>Attribute</t>
        </is>
      </c>
      <c r="M5" s="30" t="inlineStr">
        <is>
          <t>AllRegions</t>
        </is>
      </c>
    </row>
    <row r="6" ht="16" customHeight="1" s="1">
      <c r="C6" s="32" t="inlineStr">
        <is>
          <t>m_cobalt</t>
        </is>
      </c>
      <c r="D6" s="32" t="n">
        <v>29.3</v>
      </c>
      <c r="K6" s="35" t="inlineStr">
        <is>
          <t>MINBatMaterials_LI</t>
        </is>
      </c>
      <c r="L6" s="41" t="inlineStr">
        <is>
          <t>ACT_COST</t>
        </is>
      </c>
      <c r="M6" s="30" t="n">
        <v>99999</v>
      </c>
    </row>
    <row r="7">
      <c r="C7" s="32" t="inlineStr">
        <is>
          <t>m_manganese</t>
        </is>
      </c>
      <c r="D7" s="37" t="n">
        <v>2</v>
      </c>
      <c r="K7" s="0" t="inlineStr">
        <is>
          <t>MINBatMaterials_NI</t>
        </is>
      </c>
      <c r="L7" s="0">
        <f>L6</f>
        <v/>
      </c>
      <c r="M7" s="30">
        <f>M6</f>
        <v/>
      </c>
    </row>
    <row r="8">
      <c r="C8" s="32" t="inlineStr">
        <is>
          <t>m_aluminum</t>
        </is>
      </c>
      <c r="D8" s="32" t="n">
        <v>2.5</v>
      </c>
      <c r="K8" s="0" t="inlineStr">
        <is>
          <t>MINBatMaterials_COB</t>
        </is>
      </c>
      <c r="L8" s="0">
        <f>L7</f>
        <v/>
      </c>
      <c r="M8" s="30">
        <f>M7</f>
        <v/>
      </c>
    </row>
    <row r="9">
      <c r="C9" s="32" t="inlineStr">
        <is>
          <t>m_copper</t>
        </is>
      </c>
      <c r="D9" s="32" t="n">
        <v>8</v>
      </c>
      <c r="K9" s="0" t="inlineStr">
        <is>
          <t>MINBatMaterials_MN</t>
        </is>
      </c>
      <c r="L9" s="0">
        <f>L8</f>
        <v/>
      </c>
      <c r="M9" s="30">
        <f>M8</f>
        <v/>
      </c>
    </row>
    <row r="10">
      <c r="C10" s="32" t="inlineStr">
        <is>
          <t>m_graphite</t>
        </is>
      </c>
      <c r="D10" s="32" t="n">
        <v>1</v>
      </c>
      <c r="K10" s="0" t="inlineStr">
        <is>
          <t>MINBatMaterials_AL</t>
        </is>
      </c>
      <c r="L10" s="0">
        <f>L9</f>
        <v/>
      </c>
      <c r="M10" s="30">
        <f>M9</f>
        <v/>
      </c>
    </row>
    <row r="11">
      <c r="K11" s="0" t="inlineStr">
        <is>
          <t>MINBatMaterials_COP</t>
        </is>
      </c>
      <c r="L11" s="0">
        <f>L10</f>
        <v/>
      </c>
      <c r="M11" s="30">
        <f>M10</f>
        <v/>
      </c>
    </row>
    <row r="12">
      <c r="K12" s="0" t="inlineStr">
        <is>
          <t>MINBatMaterials_GR</t>
        </is>
      </c>
      <c r="L12" s="0">
        <f>L11</f>
        <v/>
      </c>
      <c r="M12" s="30">
        <f>M11</f>
        <v/>
      </c>
    </row>
    <row r="13">
      <c r="C13" s="33" t="n"/>
      <c r="D13" s="33" t="n"/>
      <c r="E13" s="33" t="n"/>
      <c r="F13" s="33" t="n"/>
      <c r="G13" s="33" t="n"/>
      <c r="H13" s="34" t="n"/>
      <c r="I13" s="33" t="n"/>
      <c r="J13" s="33" t="n"/>
      <c r="K13" s="33" t="inlineStr">
        <is>
          <t>MINBatMaterials_COB_byCop</t>
        </is>
      </c>
      <c r="L13" s="0">
        <f>L12</f>
        <v/>
      </c>
      <c r="M13" s="30">
        <f>M12</f>
        <v/>
      </c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</row>
    <row r="14">
      <c r="C14" s="33" t="n"/>
      <c r="D14" s="33" t="n"/>
      <c r="E14" s="33" t="n"/>
      <c r="F14" s="33" t="n"/>
      <c r="G14" s="33" t="n"/>
      <c r="H14" s="34" t="n"/>
      <c r="I14" s="33" t="n"/>
      <c r="J14" s="33" t="n"/>
      <c r="K14" s="33" t="inlineStr">
        <is>
          <t>MINBatMaterials_COB_byNI_sulfide</t>
        </is>
      </c>
      <c r="L14" s="0">
        <f>L13</f>
        <v/>
      </c>
      <c r="M14" s="30">
        <f>M13</f>
        <v/>
      </c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</row>
    <row r="15">
      <c r="C15" s="33" t="n"/>
      <c r="D15" s="33" t="n"/>
      <c r="E15" s="33" t="n"/>
      <c r="F15" s="33" t="n"/>
      <c r="G15" s="33" t="n"/>
      <c r="H15" s="34" t="n"/>
      <c r="I15" s="33" t="n"/>
      <c r="J15" s="33" t="n"/>
      <c r="K15" s="33" t="inlineStr">
        <is>
          <t>MINBatMaterials_COB_direct</t>
        </is>
      </c>
      <c r="L15" s="0">
        <f>L14</f>
        <v/>
      </c>
      <c r="M15" s="30">
        <f>M14</f>
        <v/>
      </c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</row>
    <row r="16">
      <c r="C16" s="33" t="n"/>
      <c r="D16" s="33" t="n"/>
      <c r="E16" s="33" t="n"/>
      <c r="K16" s="0" t="inlineStr">
        <is>
          <t>MINBatMaterials_COB_byNI_HPAL</t>
        </is>
      </c>
      <c r="L16" s="0">
        <f>L15</f>
        <v/>
      </c>
      <c r="M16" s="30">
        <f>M15</f>
        <v/>
      </c>
      <c r="AN16" s="33" t="n"/>
    </row>
    <row r="17" ht="16" customHeight="1" s="1">
      <c r="C17" s="33" t="n"/>
      <c r="D17" s="33" t="n"/>
      <c r="E17" s="33" t="n"/>
      <c r="F17" s="33" t="n"/>
      <c r="G17" s="33" t="n"/>
      <c r="H17" s="34" t="n"/>
      <c r="I17" s="33" t="n"/>
      <c r="J17" s="33" t="n"/>
      <c r="K17" s="35" t="inlineStr">
        <is>
          <t>MINBatMaterials_LI</t>
        </is>
      </c>
      <c r="L17" s="33" t="inlineStr">
        <is>
          <t>NCAP_FOM</t>
        </is>
      </c>
      <c r="M17" s="34">
        <f>M16</f>
        <v/>
      </c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</row>
    <row r="18">
      <c r="C18" s="33" t="n"/>
      <c r="D18" s="33" t="n"/>
      <c r="E18" s="33" t="n"/>
      <c r="F18" s="33" t="n"/>
      <c r="G18" s="33" t="n"/>
      <c r="H18" s="34" t="n"/>
      <c r="I18" s="33" t="n"/>
      <c r="J18" s="33" t="n"/>
      <c r="K18" s="0" t="inlineStr">
        <is>
          <t>MINBatMaterials_NI</t>
        </is>
      </c>
      <c r="L18" s="33">
        <f>L17</f>
        <v/>
      </c>
      <c r="M18" s="34">
        <f>M17</f>
        <v/>
      </c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</row>
    <row r="19">
      <c r="C19" s="33" t="n"/>
      <c r="D19" s="33" t="n"/>
      <c r="E19" s="37" t="n"/>
      <c r="F19" s="33" t="n"/>
      <c r="G19" s="33" t="n"/>
      <c r="H19" s="34" t="n"/>
      <c r="I19" s="33" t="n"/>
      <c r="J19" s="33" t="n"/>
      <c r="K19" s="0" t="inlineStr">
        <is>
          <t>MINBatMaterials_COB</t>
        </is>
      </c>
      <c r="L19" s="33">
        <f>L18</f>
        <v/>
      </c>
      <c r="M19" s="34">
        <f>M18</f>
        <v/>
      </c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</row>
    <row r="20">
      <c r="C20" s="33" t="n"/>
      <c r="D20" s="33" t="n"/>
      <c r="E20" s="33" t="n"/>
      <c r="F20" s="33" t="n"/>
      <c r="G20" s="33" t="n"/>
      <c r="H20" s="34" t="n"/>
      <c r="I20" s="33" t="n"/>
      <c r="J20" s="33" t="n"/>
      <c r="K20" s="0" t="inlineStr">
        <is>
          <t>MINBatMaterials_MN</t>
        </is>
      </c>
      <c r="L20" s="33">
        <f>L19</f>
        <v/>
      </c>
      <c r="M20" s="34">
        <f>M19</f>
        <v/>
      </c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</row>
    <row r="21">
      <c r="C21" s="33" t="n"/>
      <c r="D21" s="33" t="n"/>
      <c r="E21" s="33" t="n"/>
      <c r="F21" s="33" t="n"/>
      <c r="G21" s="33" t="n"/>
      <c r="H21" s="34" t="n"/>
      <c r="I21" s="33" t="n"/>
      <c r="J21" s="33" t="n"/>
      <c r="K21" s="0" t="inlineStr">
        <is>
          <t>MINBatMaterials_AL</t>
        </is>
      </c>
      <c r="L21" s="33">
        <f>L20</f>
        <v/>
      </c>
      <c r="M21" s="34">
        <f>M20</f>
        <v/>
      </c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</row>
    <row r="22">
      <c r="C22" s="33" t="n"/>
      <c r="D22" s="33" t="n"/>
      <c r="E22" s="37" t="n"/>
      <c r="F22" s="33" t="n"/>
      <c r="G22" s="33" t="n"/>
      <c r="H22" s="34" t="n"/>
      <c r="I22" s="33" t="n"/>
      <c r="J22" s="33" t="n"/>
      <c r="K22" s="0" t="inlineStr">
        <is>
          <t>MINBatMaterials_COP</t>
        </is>
      </c>
      <c r="L22" s="33">
        <f>L21</f>
        <v/>
      </c>
      <c r="M22" s="34">
        <f>M21</f>
        <v/>
      </c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</row>
    <row r="23">
      <c r="C23" s="33" t="n"/>
      <c r="D23" s="33" t="n"/>
      <c r="E23" s="33" t="n"/>
      <c r="F23" s="33" t="n"/>
      <c r="G23" s="33" t="n"/>
      <c r="H23" s="34" t="n"/>
      <c r="I23" s="33" t="n"/>
      <c r="J23" s="33" t="n"/>
      <c r="K23" s="0" t="inlineStr">
        <is>
          <t>MINBatMaterials_GR</t>
        </is>
      </c>
      <c r="L23" s="33">
        <f>L22</f>
        <v/>
      </c>
      <c r="M23" s="34">
        <f>M22</f>
        <v/>
      </c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</row>
    <row r="24">
      <c r="C24" s="33" t="n"/>
      <c r="D24" s="33" t="n"/>
      <c r="E24" s="33" t="n"/>
      <c r="F24" s="33" t="n"/>
      <c r="G24" s="33" t="n"/>
      <c r="H24" s="34" t="n"/>
      <c r="I24" s="33" t="n"/>
      <c r="J24" s="33" t="n"/>
      <c r="K24" s="33" t="inlineStr">
        <is>
          <t>MINBatMaterials_COB_byCop</t>
        </is>
      </c>
      <c r="L24" s="33">
        <f>L23</f>
        <v/>
      </c>
      <c r="M24" s="34">
        <f>M23</f>
        <v/>
      </c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</row>
    <row r="25">
      <c r="C25" s="33" t="n"/>
      <c r="D25" s="33" t="n"/>
      <c r="E25" s="37" t="n"/>
      <c r="F25" s="33" t="n"/>
      <c r="G25" s="33" t="n"/>
      <c r="H25" s="34" t="n"/>
      <c r="I25" s="33" t="n"/>
      <c r="J25" s="33" t="n"/>
      <c r="K25" s="33" t="inlineStr">
        <is>
          <t>MINBatMaterials_COB_byNI_sulfide</t>
        </is>
      </c>
      <c r="L25" s="33">
        <f>L24</f>
        <v/>
      </c>
      <c r="M25" s="34">
        <f>M24</f>
        <v/>
      </c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</row>
    <row r="26">
      <c r="C26" s="33" t="n"/>
      <c r="D26" s="33" t="n"/>
      <c r="E26" s="33" t="n"/>
      <c r="F26" s="33" t="n"/>
      <c r="G26" s="33" t="n"/>
      <c r="H26" s="34" t="n"/>
      <c r="I26" s="33" t="n"/>
      <c r="J26" s="33" t="n"/>
      <c r="K26" s="33" t="inlineStr">
        <is>
          <t>MINBatMaterials_COB_direct</t>
        </is>
      </c>
      <c r="L26" s="33">
        <f>L25</f>
        <v/>
      </c>
      <c r="M26" s="34">
        <f>M25</f>
        <v/>
      </c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</row>
    <row r="27">
      <c r="C27" s="33" t="n"/>
      <c r="D27" s="33" t="n"/>
      <c r="E27" s="33" t="n"/>
      <c r="F27" s="33" t="n"/>
      <c r="G27" s="33" t="n"/>
      <c r="H27" s="34" t="n"/>
      <c r="I27" s="33" t="n"/>
      <c r="J27" s="33" t="n"/>
      <c r="K27" s="0" t="inlineStr">
        <is>
          <t>MINBatMaterials_COB_byNI_HPAL</t>
        </is>
      </c>
      <c r="L27" s="33">
        <f>L26</f>
        <v/>
      </c>
      <c r="M27" s="34">
        <f>M26</f>
        <v/>
      </c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</row>
    <row r="28">
      <c r="C28" s="33" t="n"/>
      <c r="D28" s="33" t="n"/>
      <c r="E28" s="33" t="n"/>
      <c r="F28" s="33" t="n"/>
      <c r="G28" s="33" t="n"/>
      <c r="H28" s="34" t="n"/>
      <c r="I28" s="33" t="n"/>
      <c r="J28" s="33" t="n"/>
      <c r="K28" s="33" t="n"/>
      <c r="L28" s="33" t="n"/>
      <c r="M28" s="34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</row>
    <row r="29">
      <c r="C29" s="33" t="n"/>
      <c r="D29" s="33" t="n"/>
      <c r="E29" s="33" t="n"/>
      <c r="F29" s="33" t="n"/>
      <c r="G29" s="33" t="n"/>
      <c r="H29" s="34" t="n"/>
      <c r="I29" s="33" t="n"/>
      <c r="J29" s="33" t="n"/>
      <c r="K29" s="33" t="n"/>
      <c r="L29" s="33" t="n"/>
      <c r="M29" s="34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</row>
    <row r="30">
      <c r="C30" s="33" t="n"/>
      <c r="D30" s="33" t="n"/>
      <c r="E30" s="33" t="n"/>
      <c r="F30" s="33" t="n"/>
      <c r="G30" s="33" t="n"/>
      <c r="H30" s="34" t="n"/>
      <c r="I30" s="33" t="n"/>
      <c r="J30" s="33" t="n"/>
      <c r="K30" s="33" t="n"/>
      <c r="L30" s="33" t="n"/>
      <c r="M30" s="34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  <c r="AK30" s="33" t="n"/>
      <c r="AL30" s="33" t="n"/>
      <c r="AM30" s="33" t="n"/>
      <c r="AN30" s="33" t="n"/>
      <c r="AO30" s="33" t="n"/>
    </row>
    <row r="31">
      <c r="C31" s="33" t="n"/>
      <c r="D31" s="33" t="n"/>
      <c r="E31" s="33" t="n"/>
      <c r="F31" s="33" t="n"/>
      <c r="G31" s="33" t="n"/>
      <c r="H31" s="34" t="n"/>
      <c r="I31" s="33" t="n"/>
      <c r="J31" s="33" t="n"/>
      <c r="K31" s="33" t="n"/>
      <c r="L31" s="33" t="n"/>
      <c r="M31" s="34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</row>
    <row r="32">
      <c r="C32" s="34" t="inlineStr">
        <is>
          <t>Suggested by COde after reading UCD woman paper</t>
        </is>
      </c>
      <c r="D32" s="33" t="n"/>
      <c r="E32" s="33" t="n"/>
      <c r="F32" s="33" t="n"/>
      <c r="G32" s="33" t="n"/>
      <c r="H32" s="34" t="n"/>
      <c r="I32" s="33" t="n"/>
      <c r="J32" s="33" t="n"/>
      <c r="K32" s="33" t="n"/>
      <c r="L32" s="33" t="n"/>
      <c r="M32" s="34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</row>
    <row r="33">
      <c r="C33" s="33" t="n"/>
      <c r="D33" s="33" t="n"/>
      <c r="E33" s="33" t="n"/>
      <c r="F33" s="33" t="n"/>
      <c r="G33" s="33" t="n"/>
      <c r="H33" s="34" t="n"/>
      <c r="I33" s="33" t="n"/>
      <c r="J33" s="33" t="n"/>
      <c r="K33" s="33" t="n"/>
      <c r="L33" s="33" t="n"/>
      <c r="M33" s="34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</row>
    <row r="34">
      <c r="C34" s="33" t="n"/>
      <c r="D34" s="33" t="n"/>
      <c r="E34" s="33" t="n"/>
      <c r="F34" s="33" t="n"/>
      <c r="G34" s="33" t="n"/>
      <c r="H34" s="34" t="n"/>
      <c r="I34" s="33" t="n"/>
      <c r="J34" s="33" t="n"/>
      <c r="K34" s="33" t="n"/>
      <c r="L34" s="33" t="n"/>
      <c r="M34" s="34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</row>
    <row r="35">
      <c r="C35" s="33" t="n"/>
      <c r="D35" s="33" t="n"/>
      <c r="E35" s="33" t="n"/>
      <c r="F35" s="33" t="n"/>
      <c r="G35" s="33" t="n"/>
      <c r="H35" s="34" t="n"/>
      <c r="I35" s="33" t="n"/>
      <c r="J35" s="33" t="n"/>
      <c r="K35" s="33" t="n"/>
      <c r="L35" s="33" t="n"/>
      <c r="M35" s="34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</row>
    <row r="36">
      <c r="D36" s="33" t="n"/>
      <c r="E36" s="33" t="n"/>
      <c r="F36" s="33" t="n"/>
      <c r="G36" s="33" t="n"/>
      <c r="H36" s="34" t="n"/>
      <c r="I36" s="33" t="n"/>
      <c r="J36" s="33" t="n"/>
      <c r="K36" s="33" t="n"/>
      <c r="L36" s="33" t="n"/>
      <c r="M36" s="34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</row>
    <row r="37">
      <c r="C37" s="33" t="n"/>
      <c r="D37" s="33" t="n"/>
      <c r="E37" s="33" t="n"/>
      <c r="F37" s="33" t="n"/>
      <c r="G37" s="33" t="n"/>
      <c r="H37" s="34" t="n"/>
      <c r="I37" s="33" t="n"/>
      <c r="J37" s="33" t="n"/>
      <c r="K37" s="33" t="n"/>
      <c r="L37" s="33" t="n"/>
      <c r="M37" s="34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</row>
    <row r="38">
      <c r="C38" s="33" t="n"/>
      <c r="D38" s="33" t="n"/>
      <c r="E38" s="33" t="n"/>
      <c r="F38" s="33" t="n"/>
      <c r="I38" s="33" t="n"/>
      <c r="J38" s="33" t="n"/>
      <c r="K38" s="33" t="n"/>
      <c r="L38" s="33" t="n"/>
      <c r="M38" s="34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</row>
    <row r="39">
      <c r="C39" s="33" t="inlineStr">
        <is>
          <t>~TFM_INS</t>
        </is>
      </c>
      <c r="D39" s="33" t="n"/>
      <c r="E39" s="33" t="n"/>
      <c r="F39" s="33" t="n"/>
      <c r="I39" s="33" t="n"/>
      <c r="J39" s="33" t="n"/>
      <c r="K39" s="33" t="n"/>
      <c r="L39" s="33" t="n"/>
      <c r="M39" s="34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/>
      <c r="AO39" s="33" t="n"/>
    </row>
    <row r="40">
      <c r="C40" s="33" t="inlineStr">
        <is>
          <t>pset_pn</t>
        </is>
      </c>
      <c r="D40" s="33" t="inlineStr">
        <is>
          <t>Attribute</t>
        </is>
      </c>
      <c r="E40" s="33" t="inlineStr">
        <is>
          <t>cset_cn</t>
        </is>
      </c>
      <c r="F40" s="33" t="inlineStr">
        <is>
          <t>Africa_North</t>
        </is>
      </c>
      <c r="G40" s="0" t="inlineStr">
        <is>
          <t>Africa_Other</t>
        </is>
      </c>
      <c r="H40" s="30" t="inlineStr">
        <is>
          <t>Australia</t>
        </is>
      </c>
      <c r="I40" s="33" t="inlineStr">
        <is>
          <t>Austria</t>
        </is>
      </c>
      <c r="J40" s="33" t="inlineStr">
        <is>
          <t>Baltics</t>
        </is>
      </c>
      <c r="K40" s="33" t="inlineStr">
        <is>
          <t>BeNeLux</t>
        </is>
      </c>
      <c r="L40" s="33" t="inlineStr">
        <is>
          <t>Brazil</t>
        </is>
      </c>
      <c r="M40" s="34" t="inlineStr">
        <is>
          <t>China</t>
        </is>
      </c>
      <c r="N40" s="33" t="inlineStr">
        <is>
          <t>CroSloven</t>
        </is>
      </c>
      <c r="O40" s="33" t="inlineStr">
        <is>
          <t>CzechSlovak</t>
        </is>
      </c>
      <c r="P40" s="33" t="inlineStr">
        <is>
          <t>France</t>
        </is>
      </c>
      <c r="Q40" s="33" t="inlineStr">
        <is>
          <t>Germany</t>
        </is>
      </c>
      <c r="R40" s="33" t="inlineStr">
        <is>
          <t>GreeceCyp</t>
        </is>
      </c>
      <c r="S40" s="33" t="inlineStr">
        <is>
          <t>HunRomBul</t>
        </is>
      </c>
      <c r="T40" s="33" t="inlineStr">
        <is>
          <t>Iceland</t>
        </is>
      </c>
      <c r="U40" s="33" t="inlineStr">
        <is>
          <t>India</t>
        </is>
      </c>
      <c r="V40" s="33" t="inlineStr">
        <is>
          <t>Ireland</t>
        </is>
      </c>
      <c r="W40" s="33" t="inlineStr">
        <is>
          <t>ItalyMal</t>
        </is>
      </c>
      <c r="X40" s="33" t="inlineStr">
        <is>
          <t>Japan</t>
        </is>
      </c>
      <c r="Y40" s="33" t="inlineStr">
        <is>
          <t>LatAm</t>
        </is>
      </c>
      <c r="Z40" s="33" t="inlineStr">
        <is>
          <t>MidEast</t>
        </is>
      </c>
      <c r="AA40" s="33" t="inlineStr">
        <is>
          <t>NorthAm</t>
        </is>
      </c>
      <c r="AB40" s="33" t="inlineStr">
        <is>
          <t>Norway</t>
        </is>
      </c>
      <c r="AC40" s="33" t="inlineStr">
        <is>
          <t>Poland</t>
        </is>
      </c>
      <c r="AD40" s="33" t="inlineStr">
        <is>
          <t>ROW</t>
        </is>
      </c>
      <c r="AE40" s="33" t="inlineStr">
        <is>
          <t>Russia</t>
        </is>
      </c>
      <c r="AF40" s="33" t="inlineStr">
        <is>
          <t>SaudiArabia</t>
        </is>
      </c>
      <c r="AG40" s="33" t="inlineStr">
        <is>
          <t>SouthAfrica</t>
        </is>
      </c>
      <c r="AH40" s="33" t="inlineStr">
        <is>
          <t>SpainPor</t>
        </is>
      </c>
      <c r="AI40" s="33" t="inlineStr">
        <is>
          <t>SweFinDen</t>
        </is>
      </c>
      <c r="AJ40" s="33" t="inlineStr">
        <is>
          <t>Switzerland</t>
        </is>
      </c>
      <c r="AK40" s="33" t="inlineStr">
        <is>
          <t>Turkey</t>
        </is>
      </c>
      <c r="AL40" s="33" t="inlineStr">
        <is>
          <t>UK</t>
        </is>
      </c>
      <c r="AM40" s="33" t="inlineStr">
        <is>
          <t>Ukraine</t>
        </is>
      </c>
      <c r="AN40" s="33" t="inlineStr">
        <is>
          <t>WestBalkans</t>
        </is>
      </c>
      <c r="AO40" s="0" t="inlineStr">
        <is>
          <t>year</t>
        </is>
      </c>
    </row>
    <row r="41">
      <c r="C41" s="33">
        <f>Codex_calc!C41</f>
        <v/>
      </c>
      <c r="D41" s="33">
        <f>Codex_calc!D41</f>
        <v/>
      </c>
      <c r="E41" s="33" t="n"/>
      <c r="F41" s="33">
        <f>Codex_calc!F41</f>
        <v/>
      </c>
      <c r="G41" s="33">
        <f>Codex_calc!G41</f>
        <v/>
      </c>
      <c r="H41" s="34">
        <f>Codex_calc!H41</f>
        <v/>
      </c>
      <c r="I41" s="33">
        <f>Codex_calc!I41</f>
        <v/>
      </c>
      <c r="J41" s="33">
        <f>Codex_calc!J41</f>
        <v/>
      </c>
      <c r="K41" s="33">
        <f>Codex_calc!K41</f>
        <v/>
      </c>
      <c r="L41" s="33">
        <f>Codex_calc!L41</f>
        <v/>
      </c>
      <c r="M41" s="34">
        <f>Codex_calc!M41</f>
        <v/>
      </c>
      <c r="N41" s="33">
        <f>Codex_calc!N41</f>
        <v/>
      </c>
      <c r="O41" s="33">
        <f>Codex_calc!O41</f>
        <v/>
      </c>
      <c r="P41" s="33">
        <f>Codex_calc!P41</f>
        <v/>
      </c>
      <c r="Q41" s="33">
        <f>Codex_calc!Q41</f>
        <v/>
      </c>
      <c r="R41" s="33">
        <f>Codex_calc!R41</f>
        <v/>
      </c>
      <c r="S41" s="33">
        <f>Codex_calc!S41</f>
        <v/>
      </c>
      <c r="T41" s="33">
        <f>Codex_calc!T41</f>
        <v/>
      </c>
      <c r="U41" s="33">
        <f>Codex_calc!U41</f>
        <v/>
      </c>
      <c r="V41" s="33">
        <f>Codex_calc!V41</f>
        <v/>
      </c>
      <c r="W41" s="33">
        <f>Codex_calc!W41</f>
        <v/>
      </c>
      <c r="X41" s="33">
        <f>Codex_calc!X41</f>
        <v/>
      </c>
      <c r="Y41" s="33">
        <f>Codex_calc!Y41</f>
        <v/>
      </c>
      <c r="Z41" s="33">
        <f>Codex_calc!Z41</f>
        <v/>
      </c>
      <c r="AA41" s="33">
        <f>Codex_calc!AA41</f>
        <v/>
      </c>
      <c r="AB41" s="33">
        <f>Codex_calc!AB41</f>
        <v/>
      </c>
      <c r="AC41" s="33">
        <f>Codex_calc!AC41</f>
        <v/>
      </c>
      <c r="AD41" s="33">
        <f>Codex_calc!AD41</f>
        <v/>
      </c>
      <c r="AE41" s="33">
        <f>Codex_calc!AE41</f>
        <v/>
      </c>
      <c r="AF41" s="33">
        <f>Codex_calc!AF41</f>
        <v/>
      </c>
      <c r="AG41" s="33">
        <f>Codex_calc!AG41</f>
        <v/>
      </c>
      <c r="AH41" s="33">
        <f>Codex_calc!AH41</f>
        <v/>
      </c>
      <c r="AI41" s="33">
        <f>Codex_calc!AI41</f>
        <v/>
      </c>
      <c r="AJ41" s="33">
        <f>Codex_calc!AJ41</f>
        <v/>
      </c>
      <c r="AK41" s="33">
        <f>Codex_calc!AK41</f>
        <v/>
      </c>
      <c r="AL41" s="33">
        <f>Codex_calc!AL41</f>
        <v/>
      </c>
      <c r="AM41" s="33">
        <f>Codex_calc!AM41</f>
        <v/>
      </c>
      <c r="AN41" s="33">
        <f>Codex_calc!AN41</f>
        <v/>
      </c>
      <c r="AO41" s="0">
        <f>Codex_calc!AO41</f>
        <v/>
      </c>
    </row>
    <row r="42">
      <c r="C42" s="33">
        <f>Codex_calc!C42</f>
        <v/>
      </c>
      <c r="D42" s="33">
        <f>Codex_calc!D42</f>
        <v/>
      </c>
      <c r="E42" s="33" t="n"/>
      <c r="F42" s="33" t="n"/>
      <c r="G42" s="33" t="n"/>
      <c r="H42" s="34" t="n"/>
      <c r="I42" s="33" t="n"/>
      <c r="J42" s="33" t="n"/>
      <c r="K42" s="33" t="n"/>
      <c r="L42" s="33" t="n"/>
      <c r="M42" s="34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0">
        <f>Codex_calc!AO42</f>
        <v/>
      </c>
    </row>
    <row r="43">
      <c r="C43" s="33">
        <f>Codex_calc!C43</f>
        <v/>
      </c>
      <c r="D43" s="33">
        <f>Codex_calc!D43</f>
        <v/>
      </c>
      <c r="E43" s="33">
        <f>Codex_calc!E43</f>
        <v/>
      </c>
      <c r="F43" s="33">
        <f>Codex_calc!F43</f>
        <v/>
      </c>
      <c r="G43" s="33">
        <f>Codex_calc!G43</f>
        <v/>
      </c>
      <c r="H43" s="34">
        <f>Codex_calc!H43</f>
        <v/>
      </c>
      <c r="I43" s="33">
        <f>Codex_calc!I43</f>
        <v/>
      </c>
      <c r="J43" s="33">
        <f>Codex_calc!J43</f>
        <v/>
      </c>
      <c r="K43" s="33">
        <f>Codex_calc!K43</f>
        <v/>
      </c>
      <c r="L43" s="33">
        <f>Codex_calc!L43</f>
        <v/>
      </c>
      <c r="M43" s="34">
        <f>Codex_calc!M43</f>
        <v/>
      </c>
      <c r="N43" s="33">
        <f>Codex_calc!N43</f>
        <v/>
      </c>
      <c r="O43" s="33">
        <f>Codex_calc!O43</f>
        <v/>
      </c>
      <c r="P43" s="33">
        <f>Codex_calc!P43</f>
        <v/>
      </c>
      <c r="Q43" s="33">
        <f>Codex_calc!Q43</f>
        <v/>
      </c>
      <c r="R43" s="33">
        <f>Codex_calc!R43</f>
        <v/>
      </c>
      <c r="S43" s="33">
        <f>Codex_calc!S43</f>
        <v/>
      </c>
      <c r="T43" s="33">
        <f>Codex_calc!T43</f>
        <v/>
      </c>
      <c r="U43" s="33">
        <f>Codex_calc!U43</f>
        <v/>
      </c>
      <c r="V43" s="33">
        <f>Codex_calc!V43</f>
        <v/>
      </c>
      <c r="W43" s="33">
        <f>Codex_calc!W43</f>
        <v/>
      </c>
      <c r="X43" s="33">
        <f>Codex_calc!X43</f>
        <v/>
      </c>
      <c r="Y43" s="33">
        <f>Codex_calc!Y43</f>
        <v/>
      </c>
      <c r="Z43" s="33">
        <f>Codex_calc!Z43</f>
        <v/>
      </c>
      <c r="AA43" s="33">
        <f>Codex_calc!AA43</f>
        <v/>
      </c>
      <c r="AB43" s="33">
        <f>Codex_calc!AB43</f>
        <v/>
      </c>
      <c r="AC43" s="33">
        <f>Codex_calc!AC43</f>
        <v/>
      </c>
      <c r="AD43" s="33">
        <f>Codex_calc!AD43</f>
        <v/>
      </c>
      <c r="AE43" s="33">
        <f>Codex_calc!AE43</f>
        <v/>
      </c>
      <c r="AF43" s="33">
        <f>Codex_calc!AF43</f>
        <v/>
      </c>
      <c r="AG43" s="33">
        <f>Codex_calc!AG43</f>
        <v/>
      </c>
      <c r="AH43" s="33">
        <f>Codex_calc!AH43</f>
        <v/>
      </c>
      <c r="AI43" s="33">
        <f>Codex_calc!AI43</f>
        <v/>
      </c>
      <c r="AJ43" s="33">
        <f>Codex_calc!AJ43</f>
        <v/>
      </c>
      <c r="AK43" s="33">
        <f>Codex_calc!AK43</f>
        <v/>
      </c>
      <c r="AL43" s="33">
        <f>Codex_calc!AL43</f>
        <v/>
      </c>
      <c r="AM43" s="33">
        <f>Codex_calc!AM43</f>
        <v/>
      </c>
      <c r="AN43" s="33">
        <f>Codex_calc!AN43</f>
        <v/>
      </c>
      <c r="AO43" s="0">
        <f>Codex_calc!AO43</f>
        <v/>
      </c>
    </row>
    <row r="44">
      <c r="C44" s="33">
        <f>Codex_calc!C44</f>
        <v/>
      </c>
      <c r="D44" s="33">
        <f>Codex_calc!D44</f>
        <v/>
      </c>
      <c r="E44" s="33" t="n"/>
      <c r="F44" s="33">
        <f>Codex_calc!F44</f>
        <v/>
      </c>
      <c r="G44" s="33">
        <f>Codex_calc!G44</f>
        <v/>
      </c>
      <c r="H44" s="34">
        <f>Codex_calc!H44</f>
        <v/>
      </c>
      <c r="I44" s="33">
        <f>Codex_calc!I44</f>
        <v/>
      </c>
      <c r="J44" s="33">
        <f>Codex_calc!J44</f>
        <v/>
      </c>
      <c r="K44" s="33">
        <f>Codex_calc!K44</f>
        <v/>
      </c>
      <c r="L44" s="33">
        <f>Codex_calc!L44</f>
        <v/>
      </c>
      <c r="M44" s="34">
        <f>Codex_calc!M44</f>
        <v/>
      </c>
      <c r="N44" s="33">
        <f>Codex_calc!N44</f>
        <v/>
      </c>
      <c r="O44" s="33">
        <f>Codex_calc!O44</f>
        <v/>
      </c>
      <c r="P44" s="33">
        <f>Codex_calc!P44</f>
        <v/>
      </c>
      <c r="Q44" s="33">
        <f>Codex_calc!Q44</f>
        <v/>
      </c>
      <c r="R44" s="33">
        <f>Codex_calc!R44</f>
        <v/>
      </c>
      <c r="S44" s="33">
        <f>Codex_calc!S44</f>
        <v/>
      </c>
      <c r="T44" s="33">
        <f>Codex_calc!T44</f>
        <v/>
      </c>
      <c r="U44" s="33">
        <f>Codex_calc!U44</f>
        <v/>
      </c>
      <c r="V44" s="33">
        <f>Codex_calc!V44</f>
        <v/>
      </c>
      <c r="W44" s="33">
        <f>Codex_calc!W44</f>
        <v/>
      </c>
      <c r="X44" s="33">
        <f>Codex_calc!X44</f>
        <v/>
      </c>
      <c r="Y44" s="33">
        <f>Codex_calc!Y44</f>
        <v/>
      </c>
      <c r="Z44" s="33">
        <f>Codex_calc!Z44</f>
        <v/>
      </c>
      <c r="AA44" s="33">
        <f>Codex_calc!AA44</f>
        <v/>
      </c>
      <c r="AB44" s="33">
        <f>Codex_calc!AB44</f>
        <v/>
      </c>
      <c r="AC44" s="33">
        <f>Codex_calc!AC44</f>
        <v/>
      </c>
      <c r="AD44" s="33">
        <f>Codex_calc!AD44</f>
        <v/>
      </c>
      <c r="AE44" s="33">
        <f>Codex_calc!AE44</f>
        <v/>
      </c>
      <c r="AF44" s="33">
        <f>Codex_calc!AF44</f>
        <v/>
      </c>
      <c r="AG44" s="33">
        <f>Codex_calc!AG44</f>
        <v/>
      </c>
      <c r="AH44" s="33">
        <f>Codex_calc!AH44</f>
        <v/>
      </c>
      <c r="AI44" s="33">
        <f>Codex_calc!AI44</f>
        <v/>
      </c>
      <c r="AJ44" s="33">
        <f>Codex_calc!AJ44</f>
        <v/>
      </c>
      <c r="AK44" s="33">
        <f>Codex_calc!AK44</f>
        <v/>
      </c>
      <c r="AL44" s="33">
        <f>Codex_calc!AL44</f>
        <v/>
      </c>
      <c r="AM44" s="33">
        <f>Codex_calc!AM44</f>
        <v/>
      </c>
      <c r="AN44" s="33">
        <f>Codex_calc!AN44</f>
        <v/>
      </c>
      <c r="AO44" s="0">
        <f>Codex_calc!AO44</f>
        <v/>
      </c>
    </row>
    <row r="45">
      <c r="C45" s="33">
        <f>Codex_calc!C45</f>
        <v/>
      </c>
      <c r="D45" s="33">
        <f>Codex_calc!D45</f>
        <v/>
      </c>
      <c r="E45" s="33" t="n"/>
      <c r="F45" s="33" t="n"/>
      <c r="G45" s="33" t="n"/>
      <c r="H45" s="34" t="n"/>
      <c r="I45" s="33" t="n"/>
      <c r="J45" s="33" t="n"/>
      <c r="K45" s="33" t="n"/>
      <c r="L45" s="33" t="n"/>
      <c r="M45" s="34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3" t="n"/>
      <c r="AO45" s="0">
        <f>Codex_calc!AO45</f>
        <v/>
      </c>
    </row>
    <row r="46">
      <c r="C46" s="33">
        <f>Codex_calc!C46</f>
        <v/>
      </c>
      <c r="D46" s="33">
        <f>Codex_calc!D46</f>
        <v/>
      </c>
      <c r="E46" s="33">
        <f>Codex_calc!E46</f>
        <v/>
      </c>
      <c r="F46" s="33">
        <f>Codex_calc!F46</f>
        <v/>
      </c>
      <c r="G46" s="33">
        <f>Codex_calc!G46</f>
        <v/>
      </c>
      <c r="H46" s="34">
        <f>Codex_calc!H46</f>
        <v/>
      </c>
      <c r="I46" s="33">
        <f>Codex_calc!I46</f>
        <v/>
      </c>
      <c r="J46" s="33">
        <f>Codex_calc!J46</f>
        <v/>
      </c>
      <c r="K46" s="33">
        <f>Codex_calc!K46</f>
        <v/>
      </c>
      <c r="L46" s="33">
        <f>Codex_calc!L46</f>
        <v/>
      </c>
      <c r="M46" s="34">
        <f>Codex_calc!M46</f>
        <v/>
      </c>
      <c r="N46" s="33">
        <f>Codex_calc!N46</f>
        <v/>
      </c>
      <c r="O46" s="33">
        <f>Codex_calc!O46</f>
        <v/>
      </c>
      <c r="P46" s="33">
        <f>Codex_calc!P46</f>
        <v/>
      </c>
      <c r="Q46" s="33">
        <f>Codex_calc!Q46</f>
        <v/>
      </c>
      <c r="R46" s="33">
        <f>Codex_calc!R46</f>
        <v/>
      </c>
      <c r="S46" s="33">
        <f>Codex_calc!S46</f>
        <v/>
      </c>
      <c r="T46" s="33">
        <f>Codex_calc!T46</f>
        <v/>
      </c>
      <c r="U46" s="33">
        <f>Codex_calc!U46</f>
        <v/>
      </c>
      <c r="V46" s="33">
        <f>Codex_calc!V46</f>
        <v/>
      </c>
      <c r="W46" s="33">
        <f>Codex_calc!W46</f>
        <v/>
      </c>
      <c r="X46" s="33">
        <f>Codex_calc!X46</f>
        <v/>
      </c>
      <c r="Y46" s="33">
        <f>Codex_calc!Y46</f>
        <v/>
      </c>
      <c r="Z46" s="33">
        <f>Codex_calc!Z46</f>
        <v/>
      </c>
      <c r="AA46" s="33">
        <f>Codex_calc!AA46</f>
        <v/>
      </c>
      <c r="AB46" s="33">
        <f>Codex_calc!AB46</f>
        <v/>
      </c>
      <c r="AC46" s="33">
        <f>Codex_calc!AC46</f>
        <v/>
      </c>
      <c r="AD46" s="33">
        <f>Codex_calc!AD46</f>
        <v/>
      </c>
      <c r="AE46" s="33">
        <f>Codex_calc!AE46</f>
        <v/>
      </c>
      <c r="AF46" s="33">
        <f>Codex_calc!AF46</f>
        <v/>
      </c>
      <c r="AG46" s="33">
        <f>Codex_calc!AG46</f>
        <v/>
      </c>
      <c r="AH46" s="33">
        <f>Codex_calc!AH46</f>
        <v/>
      </c>
      <c r="AI46" s="33">
        <f>Codex_calc!AI46</f>
        <v/>
      </c>
      <c r="AJ46" s="33">
        <f>Codex_calc!AJ46</f>
        <v/>
      </c>
      <c r="AK46" s="33">
        <f>Codex_calc!AK46</f>
        <v/>
      </c>
      <c r="AL46" s="33">
        <f>Codex_calc!AL46</f>
        <v/>
      </c>
      <c r="AM46" s="33">
        <f>Codex_calc!AM46</f>
        <v/>
      </c>
      <c r="AN46" s="33">
        <f>Codex_calc!AN46</f>
        <v/>
      </c>
      <c r="AO46" s="0">
        <f>Codex_calc!AO46</f>
        <v/>
      </c>
    </row>
    <row r="47">
      <c r="C47" s="33">
        <f>Codex_calc!C47</f>
        <v/>
      </c>
      <c r="D47" s="33">
        <f>Codex_calc!D47</f>
        <v/>
      </c>
      <c r="E47" s="33" t="n"/>
      <c r="F47" s="33" t="n"/>
      <c r="G47" s="33" t="n"/>
      <c r="H47" s="34" t="n"/>
      <c r="I47" s="33" t="n"/>
      <c r="J47" s="33" t="n"/>
      <c r="K47" s="33" t="n"/>
      <c r="L47" s="33" t="n"/>
      <c r="M47" s="34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  <c r="AK47" s="33" t="n"/>
      <c r="AL47" s="33" t="n"/>
      <c r="AM47" s="33" t="n"/>
      <c r="AN47" s="33" t="n"/>
      <c r="AO47" s="0">
        <f>Codex_calc!AO47</f>
        <v/>
      </c>
    </row>
    <row r="48">
      <c r="C48" s="33">
        <f>Codex_calc!C48</f>
        <v/>
      </c>
      <c r="D48" s="33">
        <f>Codex_calc!D48</f>
        <v/>
      </c>
      <c r="E48" s="33" t="n"/>
      <c r="F48" s="33" t="n"/>
      <c r="G48" s="33" t="n"/>
      <c r="H48" s="34" t="n"/>
      <c r="I48" s="33" t="n"/>
      <c r="J48" s="33" t="n"/>
      <c r="K48" s="33" t="n"/>
      <c r="L48" s="33" t="n"/>
      <c r="M48" s="34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  <c r="AE48" s="33" t="n"/>
      <c r="AF48" s="33" t="n"/>
      <c r="AG48" s="33" t="n"/>
      <c r="AH48" s="33" t="n"/>
      <c r="AI48" s="33" t="n"/>
      <c r="AJ48" s="33" t="n"/>
      <c r="AK48" s="33" t="n"/>
      <c r="AL48" s="33" t="n"/>
      <c r="AM48" s="33" t="n"/>
      <c r="AN48" s="33" t="n"/>
      <c r="AO48" s="0">
        <f>Codex_calc!AO48</f>
        <v/>
      </c>
    </row>
    <row r="49">
      <c r="C49" s="33">
        <f>Codex_calc!C49</f>
        <v/>
      </c>
      <c r="D49" s="33">
        <f>Codex_calc!D49</f>
        <v/>
      </c>
      <c r="E49" s="33">
        <f>Codex_calc!E49</f>
        <v/>
      </c>
      <c r="F49" s="33">
        <f>Codex_calc!F49</f>
        <v/>
      </c>
      <c r="G49" s="33">
        <f>Codex_calc!G49</f>
        <v/>
      </c>
      <c r="H49" s="34">
        <f>Codex_calc!H49</f>
        <v/>
      </c>
      <c r="I49" s="33">
        <f>Codex_calc!I49</f>
        <v/>
      </c>
      <c r="J49" s="33">
        <f>Codex_calc!J49</f>
        <v/>
      </c>
      <c r="K49" s="33">
        <f>Codex_calc!K49</f>
        <v/>
      </c>
      <c r="L49" s="33">
        <f>Codex_calc!L49</f>
        <v/>
      </c>
      <c r="M49" s="34">
        <f>Codex_calc!M49</f>
        <v/>
      </c>
      <c r="N49" s="33">
        <f>Codex_calc!N49</f>
        <v/>
      </c>
      <c r="O49" s="33">
        <f>Codex_calc!O49</f>
        <v/>
      </c>
      <c r="P49" s="33">
        <f>Codex_calc!P49</f>
        <v/>
      </c>
      <c r="Q49" s="33">
        <f>Codex_calc!Q49</f>
        <v/>
      </c>
      <c r="R49" s="33">
        <f>Codex_calc!R49</f>
        <v/>
      </c>
      <c r="S49" s="33">
        <f>Codex_calc!S49</f>
        <v/>
      </c>
      <c r="T49" s="33">
        <f>Codex_calc!T49</f>
        <v/>
      </c>
      <c r="U49" s="33">
        <f>Codex_calc!U49</f>
        <v/>
      </c>
      <c r="V49" s="33">
        <f>Codex_calc!V49</f>
        <v/>
      </c>
      <c r="W49" s="33">
        <f>Codex_calc!W49</f>
        <v/>
      </c>
      <c r="X49" s="33">
        <f>Codex_calc!X49</f>
        <v/>
      </c>
      <c r="Y49" s="33">
        <f>Codex_calc!Y49</f>
        <v/>
      </c>
      <c r="Z49" s="33">
        <f>Codex_calc!Z49</f>
        <v/>
      </c>
      <c r="AA49" s="33">
        <f>Codex_calc!AA49</f>
        <v/>
      </c>
      <c r="AB49" s="33">
        <f>Codex_calc!AB49</f>
        <v/>
      </c>
      <c r="AC49" s="33">
        <f>Codex_calc!AC49</f>
        <v/>
      </c>
      <c r="AD49" s="33">
        <f>Codex_calc!AD49</f>
        <v/>
      </c>
      <c r="AE49" s="33">
        <f>Codex_calc!AE49</f>
        <v/>
      </c>
      <c r="AF49" s="33">
        <f>Codex_calc!AF49</f>
        <v/>
      </c>
      <c r="AG49" s="33">
        <f>Codex_calc!AG49</f>
        <v/>
      </c>
      <c r="AH49" s="33">
        <f>Codex_calc!AH49</f>
        <v/>
      </c>
      <c r="AI49" s="33">
        <f>Codex_calc!AI49</f>
        <v/>
      </c>
      <c r="AJ49" s="33">
        <f>Codex_calc!AJ49</f>
        <v/>
      </c>
      <c r="AK49" s="33">
        <f>Codex_calc!AK49</f>
        <v/>
      </c>
      <c r="AL49" s="33">
        <f>Codex_calc!AL49</f>
        <v/>
      </c>
      <c r="AM49" s="33">
        <f>Codex_calc!AM49</f>
        <v/>
      </c>
      <c r="AN49" s="33">
        <f>Codex_calc!AN49</f>
        <v/>
      </c>
      <c r="AO49" s="0">
        <f>Codex_calc!AO49</f>
        <v/>
      </c>
    </row>
    <row r="50">
      <c r="C50" s="33" t="inlineStr">
        <is>
          <t>*</t>
        </is>
      </c>
      <c r="D50" s="33">
        <f>Codex_calc!D50</f>
        <v/>
      </c>
      <c r="E50" s="33">
        <f>Codex_calc!E50</f>
        <v/>
      </c>
      <c r="F50" s="33">
        <f>Codex_calc!F50</f>
        <v/>
      </c>
      <c r="G50" s="33">
        <f>Codex_calc!G50</f>
        <v/>
      </c>
      <c r="H50" s="34">
        <f>Codex_calc!H50</f>
        <v/>
      </c>
      <c r="I50" s="33">
        <f>Codex_calc!I50</f>
        <v/>
      </c>
      <c r="J50" s="33">
        <f>Codex_calc!J50</f>
        <v/>
      </c>
      <c r="K50" s="33">
        <f>Codex_calc!K50</f>
        <v/>
      </c>
      <c r="L50" s="33">
        <f>Codex_calc!L50</f>
        <v/>
      </c>
      <c r="M50" s="34">
        <f>Codex_calc!M50</f>
        <v/>
      </c>
      <c r="N50" s="33">
        <f>Codex_calc!N50</f>
        <v/>
      </c>
      <c r="O50" s="33">
        <f>Codex_calc!O50</f>
        <v/>
      </c>
      <c r="P50" s="33">
        <f>Codex_calc!P50</f>
        <v/>
      </c>
      <c r="Q50" s="33">
        <f>Codex_calc!Q50</f>
        <v/>
      </c>
      <c r="R50" s="33">
        <f>Codex_calc!R50</f>
        <v/>
      </c>
      <c r="S50" s="33">
        <f>Codex_calc!S50</f>
        <v/>
      </c>
      <c r="T50" s="33">
        <f>Codex_calc!T50</f>
        <v/>
      </c>
      <c r="U50" s="33">
        <f>Codex_calc!U50</f>
        <v/>
      </c>
      <c r="V50" s="33">
        <f>Codex_calc!V50</f>
        <v/>
      </c>
      <c r="W50" s="33">
        <f>Codex_calc!W50</f>
        <v/>
      </c>
      <c r="X50" s="33">
        <f>Codex_calc!X50</f>
        <v/>
      </c>
      <c r="Y50" s="33">
        <f>Codex_calc!Y50</f>
        <v/>
      </c>
      <c r="Z50" s="33">
        <f>Codex_calc!Z50</f>
        <v/>
      </c>
      <c r="AA50" s="33">
        <f>Codex_calc!AA50</f>
        <v/>
      </c>
      <c r="AB50" s="33">
        <f>Codex_calc!AB50</f>
        <v/>
      </c>
      <c r="AC50" s="33">
        <f>Codex_calc!AC50</f>
        <v/>
      </c>
      <c r="AD50" s="33">
        <f>Codex_calc!AD50</f>
        <v/>
      </c>
      <c r="AE50" s="33">
        <f>Codex_calc!AE50</f>
        <v/>
      </c>
      <c r="AF50" s="33">
        <f>Codex_calc!AF50</f>
        <v/>
      </c>
      <c r="AG50" s="33">
        <f>Codex_calc!AG50</f>
        <v/>
      </c>
      <c r="AH50" s="33">
        <f>Codex_calc!AH50</f>
        <v/>
      </c>
      <c r="AI50" s="33">
        <f>Codex_calc!AI50</f>
        <v/>
      </c>
      <c r="AJ50" s="33">
        <f>Codex_calc!AJ50</f>
        <v/>
      </c>
      <c r="AK50" s="33">
        <f>Codex_calc!AK50</f>
        <v/>
      </c>
      <c r="AL50" s="33">
        <f>Codex_calc!AL50</f>
        <v/>
      </c>
      <c r="AM50" s="33">
        <f>Codex_calc!AM50</f>
        <v/>
      </c>
      <c r="AN50" s="33">
        <f>Codex_calc!AN50</f>
        <v/>
      </c>
      <c r="AO50" s="0">
        <f>Codex_calc!AO50</f>
        <v/>
      </c>
    </row>
    <row r="51">
      <c r="C51" s="33">
        <f>Codex_calc!C51</f>
        <v/>
      </c>
      <c r="D51" s="33">
        <f>Codex_calc!D51</f>
        <v/>
      </c>
      <c r="E51" s="33" t="n"/>
      <c r="F51" s="33">
        <f>Codex_calc!F51</f>
        <v/>
      </c>
      <c r="G51" s="33">
        <f>Codex_calc!G51</f>
        <v/>
      </c>
      <c r="H51" s="34">
        <f>Codex_calc!H51</f>
        <v/>
      </c>
      <c r="I51" s="33">
        <f>Codex_calc!I51</f>
        <v/>
      </c>
      <c r="J51" s="33">
        <f>Codex_calc!J51</f>
        <v/>
      </c>
      <c r="K51" s="33">
        <f>Codex_calc!K51</f>
        <v/>
      </c>
      <c r="L51" s="33">
        <f>Codex_calc!L51</f>
        <v/>
      </c>
      <c r="M51" s="34">
        <f>Codex_calc!M51</f>
        <v/>
      </c>
      <c r="N51" s="33">
        <f>Codex_calc!N51</f>
        <v/>
      </c>
      <c r="O51" s="33">
        <f>Codex_calc!O51</f>
        <v/>
      </c>
      <c r="P51" s="33">
        <f>Codex_calc!P51</f>
        <v/>
      </c>
      <c r="Q51" s="33">
        <f>Codex_calc!Q51</f>
        <v/>
      </c>
      <c r="R51" s="33">
        <f>Codex_calc!R51</f>
        <v/>
      </c>
      <c r="S51" s="33">
        <f>Codex_calc!S51</f>
        <v/>
      </c>
      <c r="T51" s="33">
        <f>Codex_calc!T51</f>
        <v/>
      </c>
      <c r="U51" s="33">
        <f>Codex_calc!U51</f>
        <v/>
      </c>
      <c r="V51" s="33">
        <f>Codex_calc!V51</f>
        <v/>
      </c>
      <c r="W51" s="33">
        <f>Codex_calc!W51</f>
        <v/>
      </c>
      <c r="X51" s="33">
        <f>Codex_calc!X51</f>
        <v/>
      </c>
      <c r="Y51" s="33">
        <f>Codex_calc!Y51</f>
        <v/>
      </c>
      <c r="Z51" s="33">
        <f>Codex_calc!Z51</f>
        <v/>
      </c>
      <c r="AA51" s="33">
        <f>Codex_calc!AA51</f>
        <v/>
      </c>
      <c r="AB51" s="33">
        <f>Codex_calc!AB51</f>
        <v/>
      </c>
      <c r="AC51" s="33">
        <f>Codex_calc!AC51</f>
        <v/>
      </c>
      <c r="AD51" s="33">
        <f>Codex_calc!AD51</f>
        <v/>
      </c>
      <c r="AE51" s="33">
        <f>Codex_calc!AE51</f>
        <v/>
      </c>
      <c r="AF51" s="33">
        <f>Codex_calc!AF51</f>
        <v/>
      </c>
      <c r="AG51" s="33">
        <f>Codex_calc!AG51</f>
        <v/>
      </c>
      <c r="AH51" s="33">
        <f>Codex_calc!AH51</f>
        <v/>
      </c>
      <c r="AI51" s="33">
        <f>Codex_calc!AI51</f>
        <v/>
      </c>
      <c r="AJ51" s="33">
        <f>Codex_calc!AJ51</f>
        <v/>
      </c>
      <c r="AK51" s="33">
        <f>Codex_calc!AK51</f>
        <v/>
      </c>
      <c r="AL51" s="33">
        <f>Codex_calc!AL51</f>
        <v/>
      </c>
      <c r="AM51" s="33">
        <f>Codex_calc!AM51</f>
        <v/>
      </c>
      <c r="AN51" s="33">
        <f>Codex_calc!AN51</f>
        <v/>
      </c>
      <c r="AO51" s="0">
        <f>Codex_calc!AO51</f>
        <v/>
      </c>
    </row>
    <row r="52">
      <c r="C52" s="33">
        <f>Codex_calc!C52</f>
        <v/>
      </c>
      <c r="D52" s="33">
        <f>Codex_calc!D52</f>
        <v/>
      </c>
      <c r="E52" s="33" t="n"/>
      <c r="F52" s="33" t="n"/>
      <c r="G52" s="33" t="n"/>
      <c r="H52" s="34" t="n"/>
      <c r="I52" s="33" t="n"/>
      <c r="J52" s="33" t="n"/>
      <c r="K52" s="33" t="n"/>
      <c r="L52" s="33" t="n"/>
      <c r="M52" s="34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0">
        <f>Codex_calc!AO52</f>
        <v/>
      </c>
    </row>
    <row r="53">
      <c r="C53" s="33">
        <f>Codex_calc!C53</f>
        <v/>
      </c>
      <c r="D53" s="33">
        <f>Codex_calc!D53</f>
        <v/>
      </c>
      <c r="E53" s="33">
        <f>Codex_calc!E53</f>
        <v/>
      </c>
      <c r="F53" s="33">
        <f>Codex_calc!F53</f>
        <v/>
      </c>
      <c r="G53" s="33">
        <f>Codex_calc!G53</f>
        <v/>
      </c>
      <c r="H53" s="34">
        <f>Codex_calc!H53</f>
        <v/>
      </c>
      <c r="I53" s="33">
        <f>Codex_calc!I53</f>
        <v/>
      </c>
      <c r="J53" s="33">
        <f>Codex_calc!J53</f>
        <v/>
      </c>
      <c r="K53" s="33">
        <f>Codex_calc!K53</f>
        <v/>
      </c>
      <c r="L53" s="33">
        <f>Codex_calc!L53</f>
        <v/>
      </c>
      <c r="M53" s="34">
        <f>Codex_calc!M53</f>
        <v/>
      </c>
      <c r="N53" s="33">
        <f>Codex_calc!N53</f>
        <v/>
      </c>
      <c r="O53" s="33">
        <f>Codex_calc!O53</f>
        <v/>
      </c>
      <c r="P53" s="33">
        <f>Codex_calc!P53</f>
        <v/>
      </c>
      <c r="Q53" s="33">
        <f>Codex_calc!Q53</f>
        <v/>
      </c>
      <c r="R53" s="33">
        <f>Codex_calc!R53</f>
        <v/>
      </c>
      <c r="S53" s="33">
        <f>Codex_calc!S53</f>
        <v/>
      </c>
      <c r="T53" s="33">
        <f>Codex_calc!T53</f>
        <v/>
      </c>
      <c r="U53" s="33">
        <f>Codex_calc!U53</f>
        <v/>
      </c>
      <c r="V53" s="33">
        <f>Codex_calc!V53</f>
        <v/>
      </c>
      <c r="W53" s="33">
        <f>Codex_calc!W53</f>
        <v/>
      </c>
      <c r="X53" s="33">
        <f>Codex_calc!X53</f>
        <v/>
      </c>
      <c r="Y53" s="33">
        <f>Codex_calc!Y53</f>
        <v/>
      </c>
      <c r="Z53" s="33">
        <f>Codex_calc!Z53</f>
        <v/>
      </c>
      <c r="AA53" s="33">
        <f>Codex_calc!AA53</f>
        <v/>
      </c>
      <c r="AB53" s="33">
        <f>Codex_calc!AB53</f>
        <v/>
      </c>
      <c r="AC53" s="33">
        <f>Codex_calc!AC53</f>
        <v/>
      </c>
      <c r="AD53" s="33">
        <f>Codex_calc!AD53</f>
        <v/>
      </c>
      <c r="AE53" s="33">
        <f>Codex_calc!AE53</f>
        <v/>
      </c>
      <c r="AF53" s="33">
        <f>Codex_calc!AF53</f>
        <v/>
      </c>
      <c r="AG53" s="33">
        <f>Codex_calc!AG53</f>
        <v/>
      </c>
      <c r="AH53" s="33">
        <f>Codex_calc!AH53</f>
        <v/>
      </c>
      <c r="AI53" s="33">
        <f>Codex_calc!AI53</f>
        <v/>
      </c>
      <c r="AJ53" s="33">
        <f>Codex_calc!AJ53</f>
        <v/>
      </c>
      <c r="AK53" s="33">
        <f>Codex_calc!AK53</f>
        <v/>
      </c>
      <c r="AL53" s="33">
        <f>Codex_calc!AL53</f>
        <v/>
      </c>
      <c r="AM53" s="33">
        <f>Codex_calc!AM53</f>
        <v/>
      </c>
      <c r="AN53" s="33">
        <f>Codex_calc!AN53</f>
        <v/>
      </c>
      <c r="AO53" s="0">
        <f>Codex_calc!AO53</f>
        <v/>
      </c>
    </row>
    <row r="54">
      <c r="C54" s="33">
        <f>Codex_calc!C54</f>
        <v/>
      </c>
      <c r="D54" s="33">
        <f>Codex_calc!D54</f>
        <v/>
      </c>
      <c r="E54" s="33" t="n"/>
      <c r="F54" s="33">
        <f>Codex_calc!F54</f>
        <v/>
      </c>
      <c r="G54" s="33">
        <f>Codex_calc!G54</f>
        <v/>
      </c>
      <c r="H54" s="34">
        <f>Codex_calc!H54</f>
        <v/>
      </c>
      <c r="I54" s="33">
        <f>Codex_calc!I54</f>
        <v/>
      </c>
      <c r="J54" s="33">
        <f>Codex_calc!J54</f>
        <v/>
      </c>
      <c r="K54" s="33">
        <f>Codex_calc!K54</f>
        <v/>
      </c>
      <c r="L54" s="33">
        <f>Codex_calc!L54</f>
        <v/>
      </c>
      <c r="M54" s="34">
        <f>Codex_calc!M54</f>
        <v/>
      </c>
      <c r="N54" s="33">
        <f>Codex_calc!N54</f>
        <v/>
      </c>
      <c r="O54" s="33">
        <f>Codex_calc!O54</f>
        <v/>
      </c>
      <c r="P54" s="33">
        <f>Codex_calc!P54</f>
        <v/>
      </c>
      <c r="Q54" s="33">
        <f>Codex_calc!Q54</f>
        <v/>
      </c>
      <c r="R54" s="33">
        <f>Codex_calc!R54</f>
        <v/>
      </c>
      <c r="S54" s="33">
        <f>Codex_calc!S54</f>
        <v/>
      </c>
      <c r="T54" s="33">
        <f>Codex_calc!T54</f>
        <v/>
      </c>
      <c r="U54" s="33">
        <f>Codex_calc!U54</f>
        <v/>
      </c>
      <c r="V54" s="33">
        <f>Codex_calc!V54</f>
        <v/>
      </c>
      <c r="W54" s="33">
        <f>Codex_calc!W54</f>
        <v/>
      </c>
      <c r="X54" s="33">
        <f>Codex_calc!X54</f>
        <v/>
      </c>
      <c r="Y54" s="33">
        <f>Codex_calc!Y54</f>
        <v/>
      </c>
      <c r="Z54" s="33">
        <f>Codex_calc!Z54</f>
        <v/>
      </c>
      <c r="AA54" s="33">
        <f>Codex_calc!AA54</f>
        <v/>
      </c>
      <c r="AB54" s="33">
        <f>Codex_calc!AB54</f>
        <v/>
      </c>
      <c r="AC54" s="33">
        <f>Codex_calc!AC54</f>
        <v/>
      </c>
      <c r="AD54" s="33">
        <f>Codex_calc!AD54</f>
        <v/>
      </c>
      <c r="AE54" s="33">
        <f>Codex_calc!AE54</f>
        <v/>
      </c>
      <c r="AF54" s="33">
        <f>Codex_calc!AF54</f>
        <v/>
      </c>
      <c r="AG54" s="33">
        <f>Codex_calc!AG54</f>
        <v/>
      </c>
      <c r="AH54" s="33">
        <f>Codex_calc!AH54</f>
        <v/>
      </c>
      <c r="AI54" s="33">
        <f>Codex_calc!AI54</f>
        <v/>
      </c>
      <c r="AJ54" s="33">
        <f>Codex_calc!AJ54</f>
        <v/>
      </c>
      <c r="AK54" s="33">
        <f>Codex_calc!AK54</f>
        <v/>
      </c>
      <c r="AL54" s="33">
        <f>Codex_calc!AL54</f>
        <v/>
      </c>
      <c r="AM54" s="33">
        <f>Codex_calc!AM54</f>
        <v/>
      </c>
      <c r="AN54" s="33">
        <f>Codex_calc!AN54</f>
        <v/>
      </c>
      <c r="AO54" s="0">
        <f>Codex_calc!AO54</f>
        <v/>
      </c>
    </row>
    <row r="55">
      <c r="C55" s="33">
        <f>Codex_calc!C55</f>
        <v/>
      </c>
      <c r="D55" s="33">
        <f>Codex_calc!D55</f>
        <v/>
      </c>
      <c r="E55" s="33" t="n"/>
      <c r="F55" s="33" t="n"/>
      <c r="G55" s="33" t="n"/>
      <c r="H55" s="34" t="n"/>
      <c r="I55" s="33" t="n"/>
      <c r="J55" s="33" t="n"/>
      <c r="K55" s="33" t="n"/>
      <c r="L55" s="33" t="n"/>
      <c r="M55" s="34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0">
        <f>Codex_calc!AO55</f>
        <v/>
      </c>
    </row>
    <row r="56">
      <c r="C56" s="33">
        <f>Codex_calc!C56</f>
        <v/>
      </c>
      <c r="D56" s="33">
        <f>Codex_calc!D56</f>
        <v/>
      </c>
      <c r="E56" s="33">
        <f>Codex_calc!E56</f>
        <v/>
      </c>
      <c r="F56" s="33">
        <f>Codex_calc!F56</f>
        <v/>
      </c>
      <c r="G56" s="33">
        <f>Codex_calc!G56</f>
        <v/>
      </c>
      <c r="H56" s="34">
        <f>Codex_calc!H56</f>
        <v/>
      </c>
      <c r="I56" s="33">
        <f>Codex_calc!I56</f>
        <v/>
      </c>
      <c r="J56" s="33">
        <f>Codex_calc!J56</f>
        <v/>
      </c>
      <c r="K56" s="33">
        <f>Codex_calc!K56</f>
        <v/>
      </c>
      <c r="L56" s="33">
        <f>Codex_calc!L56</f>
        <v/>
      </c>
      <c r="M56" s="34">
        <f>Codex_calc!M56</f>
        <v/>
      </c>
      <c r="N56" s="33">
        <f>Codex_calc!N56</f>
        <v/>
      </c>
      <c r="O56" s="33">
        <f>Codex_calc!O56</f>
        <v/>
      </c>
      <c r="P56" s="33">
        <f>Codex_calc!P56</f>
        <v/>
      </c>
      <c r="Q56" s="33">
        <f>Codex_calc!Q56</f>
        <v/>
      </c>
      <c r="R56" s="33">
        <f>Codex_calc!R56</f>
        <v/>
      </c>
      <c r="S56" s="33">
        <f>Codex_calc!S56</f>
        <v/>
      </c>
      <c r="T56" s="33">
        <f>Codex_calc!T56</f>
        <v/>
      </c>
      <c r="U56" s="33">
        <f>Codex_calc!U56</f>
        <v/>
      </c>
      <c r="V56" s="33">
        <f>Codex_calc!V56</f>
        <v/>
      </c>
      <c r="W56" s="33">
        <f>Codex_calc!W56</f>
        <v/>
      </c>
      <c r="X56" s="33">
        <f>Codex_calc!X56</f>
        <v/>
      </c>
      <c r="Y56" s="33">
        <f>Codex_calc!Y56</f>
        <v/>
      </c>
      <c r="Z56" s="33">
        <f>Codex_calc!Z56</f>
        <v/>
      </c>
      <c r="AA56" s="33">
        <f>Codex_calc!AA56</f>
        <v/>
      </c>
      <c r="AB56" s="33">
        <f>Codex_calc!AB56</f>
        <v/>
      </c>
      <c r="AC56" s="33">
        <f>Codex_calc!AC56</f>
        <v/>
      </c>
      <c r="AD56" s="33">
        <f>Codex_calc!AD56</f>
        <v/>
      </c>
      <c r="AE56" s="33">
        <f>Codex_calc!AE56</f>
        <v/>
      </c>
      <c r="AF56" s="33">
        <f>Codex_calc!AF56</f>
        <v/>
      </c>
      <c r="AG56" s="33">
        <f>Codex_calc!AG56</f>
        <v/>
      </c>
      <c r="AH56" s="33">
        <f>Codex_calc!AH56</f>
        <v/>
      </c>
      <c r="AI56" s="33">
        <f>Codex_calc!AI56</f>
        <v/>
      </c>
      <c r="AJ56" s="33">
        <f>Codex_calc!AJ56</f>
        <v/>
      </c>
      <c r="AK56" s="33">
        <f>Codex_calc!AK56</f>
        <v/>
      </c>
      <c r="AL56" s="33">
        <f>Codex_calc!AL56</f>
        <v/>
      </c>
      <c r="AM56" s="33">
        <f>Codex_calc!AM56</f>
        <v/>
      </c>
      <c r="AN56" s="33">
        <f>Codex_calc!AN56</f>
        <v/>
      </c>
      <c r="AO56" s="0">
        <f>Codex_calc!AO56</f>
        <v/>
      </c>
    </row>
    <row r="57">
      <c r="C57" s="0">
        <f>Codex_calc!C57</f>
        <v/>
      </c>
      <c r="D57" s="0">
        <f>Codex_calc!D57</f>
        <v/>
      </c>
      <c r="E57" s="0" t="n"/>
      <c r="F57" s="0" t="n"/>
      <c r="G57" s="0" t="n"/>
      <c r="H57" s="30" t="n"/>
      <c r="K57" s="0" t="n"/>
      <c r="L57" s="0" t="n"/>
      <c r="M57" s="30" t="n"/>
      <c r="P57" s="0" t="n"/>
      <c r="R57" s="0" t="n"/>
      <c r="T57" s="0" t="n"/>
      <c r="U57" s="0" t="n"/>
      <c r="Y57" s="0" t="n"/>
      <c r="Z57" s="0" t="n"/>
      <c r="AA57" s="0" t="n"/>
      <c r="AB57" s="0" t="n"/>
      <c r="AC57" s="0" t="n"/>
      <c r="AD57" s="0" t="n"/>
      <c r="AE57" s="0" t="n"/>
      <c r="AF57" s="0" t="n"/>
      <c r="AG57" s="0" t="n"/>
      <c r="AH57" s="0" t="n"/>
      <c r="AI57" s="0" t="n"/>
      <c r="AK57" s="0" t="n"/>
      <c r="AM57" s="0" t="n"/>
      <c r="AO57" s="0">
        <f>Codex_calc!AO57</f>
        <v/>
      </c>
    </row>
    <row r="58">
      <c r="C58" s="0">
        <f>Codex_calc!C58</f>
        <v/>
      </c>
      <c r="D58" s="0">
        <f>Codex_calc!D58</f>
        <v/>
      </c>
      <c r="E58" s="0" t="n"/>
      <c r="F58" s="0" t="n"/>
      <c r="G58" s="0" t="n"/>
      <c r="H58" s="30" t="n"/>
      <c r="K58" s="0" t="n"/>
      <c r="L58" s="0" t="n"/>
      <c r="M58" s="30" t="n"/>
      <c r="P58" s="0" t="n"/>
      <c r="R58" s="0" t="n"/>
      <c r="T58" s="0" t="n"/>
      <c r="U58" s="0" t="n"/>
      <c r="Y58" s="0" t="n"/>
      <c r="Z58" s="0" t="n"/>
      <c r="AA58" s="0" t="n"/>
      <c r="AB58" s="0" t="n"/>
      <c r="AC58" s="0" t="n"/>
      <c r="AD58" s="0" t="n"/>
      <c r="AE58" s="0" t="n"/>
      <c r="AF58" s="0" t="n"/>
      <c r="AG58" s="0" t="n"/>
      <c r="AH58" s="0" t="n"/>
      <c r="AI58" s="0" t="n"/>
      <c r="AK58" s="0" t="n"/>
      <c r="AM58" s="0" t="n"/>
      <c r="AO58" s="0">
        <f>Codex_calc!AO58</f>
        <v/>
      </c>
    </row>
    <row r="59">
      <c r="C59" s="0">
        <f>Codex_calc!C59</f>
        <v/>
      </c>
      <c r="D59" s="0">
        <f>Codex_calc!D59</f>
        <v/>
      </c>
      <c r="E59" s="0">
        <f>Codex_calc!E59</f>
        <v/>
      </c>
      <c r="F59" s="0">
        <f>Codex_calc!F59</f>
        <v/>
      </c>
      <c r="G59" s="0">
        <f>Codex_calc!G59</f>
        <v/>
      </c>
      <c r="H59" s="30">
        <f>Codex_calc!H59</f>
        <v/>
      </c>
      <c r="I59" s="0">
        <f>Codex_calc!I59</f>
        <v/>
      </c>
      <c r="J59" s="0">
        <f>Codex_calc!J59</f>
        <v/>
      </c>
      <c r="K59" s="0">
        <f>Codex_calc!K59</f>
        <v/>
      </c>
      <c r="L59" s="0">
        <f>Codex_calc!L59</f>
        <v/>
      </c>
      <c r="M59" s="30">
        <f>Codex_calc!M59</f>
        <v/>
      </c>
      <c r="N59" s="0">
        <f>Codex_calc!N59</f>
        <v/>
      </c>
      <c r="O59" s="0">
        <f>Codex_calc!O59</f>
        <v/>
      </c>
      <c r="P59" s="0">
        <f>Codex_calc!P59</f>
        <v/>
      </c>
      <c r="Q59" s="0">
        <f>Codex_calc!Q59</f>
        <v/>
      </c>
      <c r="R59" s="0">
        <f>Codex_calc!R59</f>
        <v/>
      </c>
      <c r="S59" s="0">
        <f>Codex_calc!S59</f>
        <v/>
      </c>
      <c r="T59" s="0">
        <f>Codex_calc!T59</f>
        <v/>
      </c>
      <c r="U59" s="0">
        <f>Codex_calc!U59</f>
        <v/>
      </c>
      <c r="V59" s="0">
        <f>Codex_calc!V59</f>
        <v/>
      </c>
      <c r="W59" s="0">
        <f>Codex_calc!W59</f>
        <v/>
      </c>
      <c r="X59" s="0">
        <f>Codex_calc!X59</f>
        <v/>
      </c>
      <c r="Y59" s="0">
        <f>Codex_calc!Y59</f>
        <v/>
      </c>
      <c r="Z59" s="0">
        <f>Codex_calc!Z59</f>
        <v/>
      </c>
      <c r="AA59" s="0">
        <f>Codex_calc!AA59</f>
        <v/>
      </c>
      <c r="AB59" s="0">
        <f>Codex_calc!AB59</f>
        <v/>
      </c>
      <c r="AC59" s="0">
        <f>Codex_calc!AC59</f>
        <v/>
      </c>
      <c r="AD59" s="0">
        <f>Codex_calc!AD59</f>
        <v/>
      </c>
      <c r="AE59" s="0">
        <f>Codex_calc!AE59</f>
        <v/>
      </c>
      <c r="AF59" s="0">
        <f>Codex_calc!AF59</f>
        <v/>
      </c>
      <c r="AG59" s="0">
        <f>Codex_calc!AG59</f>
        <v/>
      </c>
      <c r="AH59" s="0">
        <f>Codex_calc!AH59</f>
        <v/>
      </c>
      <c r="AI59" s="0">
        <f>Codex_calc!AI59</f>
        <v/>
      </c>
      <c r="AJ59" s="0">
        <f>Codex_calc!AJ59</f>
        <v/>
      </c>
      <c r="AK59" s="0">
        <f>Codex_calc!AK59</f>
        <v/>
      </c>
      <c r="AL59" s="0">
        <f>Codex_calc!AL59</f>
        <v/>
      </c>
      <c r="AM59" s="0">
        <f>Codex_calc!AM59</f>
        <v/>
      </c>
      <c r="AN59" s="0">
        <f>Codex_calc!AN59</f>
        <v/>
      </c>
      <c r="AO59" s="0">
        <f>Codex_calc!AO59</f>
        <v/>
      </c>
    </row>
    <row r="60">
      <c r="C60" s="0" t="inlineStr">
        <is>
          <t>*</t>
        </is>
      </c>
      <c r="D60" s="0">
        <f>Codex_calc!D60</f>
        <v/>
      </c>
      <c r="E60" s="0">
        <f>Codex_calc!E60</f>
        <v/>
      </c>
      <c r="F60" s="0">
        <f>Codex_calc!F60</f>
        <v/>
      </c>
      <c r="G60" s="0">
        <f>Codex_calc!G60</f>
        <v/>
      </c>
      <c r="H60" s="30">
        <f>Codex_calc!H60</f>
        <v/>
      </c>
      <c r="I60" s="0">
        <f>Codex_calc!I60</f>
        <v/>
      </c>
      <c r="J60" s="0">
        <f>Codex_calc!J60</f>
        <v/>
      </c>
      <c r="K60" s="0">
        <f>Codex_calc!K60</f>
        <v/>
      </c>
      <c r="L60" s="0">
        <f>Codex_calc!L60</f>
        <v/>
      </c>
      <c r="M60" s="30">
        <f>Codex_calc!M60</f>
        <v/>
      </c>
      <c r="N60" s="0">
        <f>Codex_calc!N60</f>
        <v/>
      </c>
      <c r="O60" s="0">
        <f>Codex_calc!O60</f>
        <v/>
      </c>
      <c r="P60" s="0">
        <f>Codex_calc!P60</f>
        <v/>
      </c>
      <c r="Q60" s="0">
        <f>Codex_calc!Q60</f>
        <v/>
      </c>
      <c r="R60" s="0">
        <f>Codex_calc!R60</f>
        <v/>
      </c>
      <c r="S60" s="0">
        <f>Codex_calc!S60</f>
        <v/>
      </c>
      <c r="T60" s="0">
        <f>Codex_calc!T60</f>
        <v/>
      </c>
      <c r="U60" s="0">
        <f>Codex_calc!U60</f>
        <v/>
      </c>
      <c r="V60" s="0">
        <f>Codex_calc!V60</f>
        <v/>
      </c>
      <c r="W60" s="0">
        <f>Codex_calc!W60</f>
        <v/>
      </c>
      <c r="X60" s="0">
        <f>Codex_calc!X60</f>
        <v/>
      </c>
      <c r="Y60" s="0">
        <f>Codex_calc!Y60</f>
        <v/>
      </c>
      <c r="Z60" s="0">
        <f>Codex_calc!Z60</f>
        <v/>
      </c>
      <c r="AA60" s="0">
        <f>Codex_calc!AA60</f>
        <v/>
      </c>
      <c r="AB60" s="0">
        <f>Codex_calc!AB60</f>
        <v/>
      </c>
      <c r="AC60" s="0">
        <f>Codex_calc!AC60</f>
        <v/>
      </c>
      <c r="AD60" s="0">
        <f>Codex_calc!AD60</f>
        <v/>
      </c>
      <c r="AE60" s="0">
        <f>Codex_calc!AE60</f>
        <v/>
      </c>
      <c r="AF60" s="0">
        <f>Codex_calc!AF60</f>
        <v/>
      </c>
      <c r="AG60" s="0">
        <f>Codex_calc!AG60</f>
        <v/>
      </c>
      <c r="AH60" s="0">
        <f>Codex_calc!AH60</f>
        <v/>
      </c>
      <c r="AI60" s="0">
        <f>Codex_calc!AI60</f>
        <v/>
      </c>
      <c r="AJ60" s="0">
        <f>Codex_calc!AJ60</f>
        <v/>
      </c>
      <c r="AK60" s="0">
        <f>Codex_calc!AK60</f>
        <v/>
      </c>
      <c r="AL60" s="0">
        <f>Codex_calc!AL60</f>
        <v/>
      </c>
      <c r="AM60" s="0">
        <f>Codex_calc!AM60</f>
        <v/>
      </c>
      <c r="AN60" s="0">
        <f>Codex_calc!AN60</f>
        <v/>
      </c>
      <c r="AO60" s="0">
        <f>Codex_calc!AO60</f>
        <v/>
      </c>
    </row>
    <row r="61">
      <c r="C61" s="0">
        <f>Codex_calc!C61</f>
        <v/>
      </c>
      <c r="D61" s="0">
        <f>Codex_calc!D61</f>
        <v/>
      </c>
      <c r="E61" s="0" t="n"/>
      <c r="F61" s="33">
        <f>Codex_calc!F61</f>
        <v/>
      </c>
      <c r="G61" s="33">
        <f>Codex_calc!G61</f>
        <v/>
      </c>
      <c r="H61" s="34">
        <f>Codex_calc!H61</f>
        <v/>
      </c>
      <c r="I61" s="33">
        <f>Codex_calc!I61</f>
        <v/>
      </c>
      <c r="J61" s="33">
        <f>Codex_calc!J61</f>
        <v/>
      </c>
      <c r="K61" s="33">
        <f>Codex_calc!K61</f>
        <v/>
      </c>
      <c r="L61" s="33">
        <f>Codex_calc!L61</f>
        <v/>
      </c>
      <c r="M61" s="34">
        <f>Codex_calc!M61</f>
        <v/>
      </c>
      <c r="N61" s="33">
        <f>Codex_calc!N61</f>
        <v/>
      </c>
      <c r="O61" s="33">
        <f>Codex_calc!O61</f>
        <v/>
      </c>
      <c r="P61" s="33">
        <f>Codex_calc!P61</f>
        <v/>
      </c>
      <c r="Q61" s="33">
        <f>Codex_calc!Q61</f>
        <v/>
      </c>
      <c r="R61" s="33">
        <f>Codex_calc!R61</f>
        <v/>
      </c>
      <c r="S61" s="33">
        <f>Codex_calc!S61</f>
        <v/>
      </c>
      <c r="T61" s="33">
        <f>Codex_calc!T61</f>
        <v/>
      </c>
      <c r="U61" s="33">
        <f>Codex_calc!U61</f>
        <v/>
      </c>
      <c r="V61" s="33">
        <f>Codex_calc!V61</f>
        <v/>
      </c>
      <c r="W61" s="33">
        <f>Codex_calc!W61</f>
        <v/>
      </c>
      <c r="X61" s="33">
        <f>Codex_calc!X61</f>
        <v/>
      </c>
      <c r="Y61" s="33">
        <f>Codex_calc!Y61</f>
        <v/>
      </c>
      <c r="Z61" s="33">
        <f>Codex_calc!Z61</f>
        <v/>
      </c>
      <c r="AA61" s="33">
        <f>Codex_calc!AA61</f>
        <v/>
      </c>
      <c r="AB61" s="33">
        <f>Codex_calc!AB61</f>
        <v/>
      </c>
      <c r="AC61" s="33">
        <f>Codex_calc!AC61</f>
        <v/>
      </c>
      <c r="AD61" s="33">
        <f>Codex_calc!AD61</f>
        <v/>
      </c>
      <c r="AE61" s="33">
        <f>Codex_calc!AE61</f>
        <v/>
      </c>
      <c r="AF61" s="33">
        <f>Codex_calc!AF61</f>
        <v/>
      </c>
      <c r="AG61" s="33">
        <f>Codex_calc!AG61</f>
        <v/>
      </c>
      <c r="AH61" s="33">
        <f>Codex_calc!AH61</f>
        <v/>
      </c>
      <c r="AI61" s="33">
        <f>Codex_calc!AI61</f>
        <v/>
      </c>
      <c r="AJ61" s="33">
        <f>Codex_calc!AJ61</f>
        <v/>
      </c>
      <c r="AK61" s="33">
        <f>Codex_calc!AK61</f>
        <v/>
      </c>
      <c r="AL61" s="33">
        <f>Codex_calc!AL61</f>
        <v/>
      </c>
      <c r="AM61" s="33">
        <f>Codex_calc!AM61</f>
        <v/>
      </c>
      <c r="AN61" s="33">
        <f>Codex_calc!AN61</f>
        <v/>
      </c>
      <c r="AO61" s="0">
        <f>Codex_calc!AO61</f>
        <v/>
      </c>
    </row>
    <row r="62">
      <c r="C62" s="0">
        <f>Codex_calc!C62</f>
        <v/>
      </c>
      <c r="D62" s="0">
        <f>Codex_calc!D62</f>
        <v/>
      </c>
      <c r="E62" s="0" t="n"/>
      <c r="F62" s="0" t="n"/>
      <c r="G62" s="0" t="n"/>
      <c r="H62" s="30" t="n"/>
      <c r="K62" s="0" t="n"/>
      <c r="L62" s="0" t="n"/>
      <c r="M62" s="30" t="n"/>
      <c r="P62" s="0" t="n"/>
      <c r="R62" s="0" t="n"/>
      <c r="T62" s="0" t="n"/>
      <c r="U62" s="0" t="n"/>
      <c r="Y62" s="0" t="n"/>
      <c r="Z62" s="0" t="n"/>
      <c r="AA62" s="0" t="n"/>
      <c r="AB62" s="0" t="n"/>
      <c r="AC62" s="0" t="n"/>
      <c r="AD62" s="0" t="n"/>
      <c r="AE62" s="0" t="n"/>
      <c r="AF62" s="0" t="n"/>
      <c r="AG62" s="0" t="n"/>
      <c r="AH62" s="0" t="n"/>
      <c r="AI62" s="0" t="n"/>
      <c r="AK62" s="0" t="n"/>
      <c r="AM62" s="0" t="n"/>
      <c r="AO62" s="0">
        <f>Codex_calc!AO62</f>
        <v/>
      </c>
    </row>
    <row r="63">
      <c r="C63" s="0">
        <f>Codex_calc!C63</f>
        <v/>
      </c>
      <c r="D63" s="0">
        <f>Codex_calc!D63</f>
        <v/>
      </c>
      <c r="E63" s="0">
        <f>Codex_calc!E63</f>
        <v/>
      </c>
      <c r="F63" s="0">
        <f>Codex_calc!F63</f>
        <v/>
      </c>
      <c r="G63" s="0">
        <f>Codex_calc!G63</f>
        <v/>
      </c>
      <c r="H63" s="30">
        <f>Codex_calc!H63</f>
        <v/>
      </c>
      <c r="I63" s="0">
        <f>Codex_calc!I63</f>
        <v/>
      </c>
      <c r="J63" s="0">
        <f>Codex_calc!J63</f>
        <v/>
      </c>
      <c r="K63" s="0">
        <f>Codex_calc!K63</f>
        <v/>
      </c>
      <c r="L63" s="0">
        <f>Codex_calc!L63</f>
        <v/>
      </c>
      <c r="M63" s="30">
        <f>Codex_calc!M63</f>
        <v/>
      </c>
      <c r="N63" s="0">
        <f>Codex_calc!N63</f>
        <v/>
      </c>
      <c r="O63" s="0">
        <f>Codex_calc!O63</f>
        <v/>
      </c>
      <c r="P63" s="0">
        <f>Codex_calc!P63</f>
        <v/>
      </c>
      <c r="Q63" s="0">
        <f>Codex_calc!Q63</f>
        <v/>
      </c>
      <c r="R63" s="0">
        <f>Codex_calc!R63</f>
        <v/>
      </c>
      <c r="S63" s="0">
        <f>Codex_calc!S63</f>
        <v/>
      </c>
      <c r="T63" s="0">
        <f>Codex_calc!T63</f>
        <v/>
      </c>
      <c r="U63" s="0">
        <f>Codex_calc!U63</f>
        <v/>
      </c>
      <c r="V63" s="0">
        <f>Codex_calc!V63</f>
        <v/>
      </c>
      <c r="W63" s="0">
        <f>Codex_calc!W63</f>
        <v/>
      </c>
      <c r="X63" s="0">
        <f>Codex_calc!X63</f>
        <v/>
      </c>
      <c r="Y63" s="0">
        <f>Codex_calc!Y63</f>
        <v/>
      </c>
      <c r="Z63" s="0">
        <f>Codex_calc!Z63</f>
        <v/>
      </c>
      <c r="AA63" s="0">
        <f>Codex_calc!AA63</f>
        <v/>
      </c>
      <c r="AB63" s="0">
        <f>Codex_calc!AB63</f>
        <v/>
      </c>
      <c r="AC63" s="0">
        <f>Codex_calc!AC63</f>
        <v/>
      </c>
      <c r="AD63" s="0">
        <f>Codex_calc!AD63</f>
        <v/>
      </c>
      <c r="AE63" s="0">
        <f>Codex_calc!AE63</f>
        <v/>
      </c>
      <c r="AF63" s="0">
        <f>Codex_calc!AF63</f>
        <v/>
      </c>
      <c r="AG63" s="0">
        <f>Codex_calc!AG63</f>
        <v/>
      </c>
      <c r="AH63" s="0">
        <f>Codex_calc!AH63</f>
        <v/>
      </c>
      <c r="AI63" s="0">
        <f>Codex_calc!AI63</f>
        <v/>
      </c>
      <c r="AJ63" s="0">
        <f>Codex_calc!AJ63</f>
        <v/>
      </c>
      <c r="AK63" s="0">
        <f>Codex_calc!AK63</f>
        <v/>
      </c>
      <c r="AL63" s="0">
        <f>Codex_calc!AL63</f>
        <v/>
      </c>
      <c r="AM63" s="0">
        <f>Codex_calc!AM63</f>
        <v/>
      </c>
      <c r="AN63" s="0">
        <f>Codex_calc!AN63</f>
        <v/>
      </c>
      <c r="AO63" s="0">
        <f>Codex_calc!AO63</f>
        <v/>
      </c>
    </row>
    <row r="64">
      <c r="C64" s="0">
        <f>Codex_calc!C64</f>
        <v/>
      </c>
      <c r="D64" s="0">
        <f>Codex_calc!D64</f>
        <v/>
      </c>
      <c r="E64" s="0" t="n"/>
      <c r="F64" s="33">
        <f>Codex_calc!F64</f>
        <v/>
      </c>
      <c r="G64" s="33">
        <f>Codex_calc!G64</f>
        <v/>
      </c>
      <c r="H64" s="34">
        <f>Codex_calc!H64</f>
        <v/>
      </c>
      <c r="I64" s="33">
        <f>Codex_calc!I64</f>
        <v/>
      </c>
      <c r="J64" s="33">
        <f>Codex_calc!J64</f>
        <v/>
      </c>
      <c r="K64" s="33">
        <f>Codex_calc!K64</f>
        <v/>
      </c>
      <c r="L64" s="33">
        <f>Codex_calc!L64</f>
        <v/>
      </c>
      <c r="M64" s="34">
        <f>Codex_calc!M64</f>
        <v/>
      </c>
      <c r="N64" s="33">
        <f>Codex_calc!N64</f>
        <v/>
      </c>
      <c r="O64" s="33">
        <f>Codex_calc!O64</f>
        <v/>
      </c>
      <c r="P64" s="33">
        <f>Codex_calc!P64</f>
        <v/>
      </c>
      <c r="Q64" s="33">
        <f>Codex_calc!Q64</f>
        <v/>
      </c>
      <c r="R64" s="33">
        <f>Codex_calc!R64</f>
        <v/>
      </c>
      <c r="S64" s="33">
        <f>Codex_calc!S64</f>
        <v/>
      </c>
      <c r="T64" s="33">
        <f>Codex_calc!T64</f>
        <v/>
      </c>
      <c r="U64" s="33">
        <f>Codex_calc!U64</f>
        <v/>
      </c>
      <c r="V64" s="33">
        <f>Codex_calc!V64</f>
        <v/>
      </c>
      <c r="W64" s="33">
        <f>Codex_calc!W64</f>
        <v/>
      </c>
      <c r="X64" s="33">
        <f>Codex_calc!X64</f>
        <v/>
      </c>
      <c r="Y64" s="33">
        <f>Codex_calc!Y64</f>
        <v/>
      </c>
      <c r="Z64" s="33">
        <f>Codex_calc!Z64</f>
        <v/>
      </c>
      <c r="AA64" s="33">
        <f>Codex_calc!AA64</f>
        <v/>
      </c>
      <c r="AB64" s="33">
        <f>Codex_calc!AB64</f>
        <v/>
      </c>
      <c r="AC64" s="33">
        <f>Codex_calc!AC64</f>
        <v/>
      </c>
      <c r="AD64" s="33">
        <f>Codex_calc!AD64</f>
        <v/>
      </c>
      <c r="AE64" s="33">
        <f>Codex_calc!AE64</f>
        <v/>
      </c>
      <c r="AF64" s="33">
        <f>Codex_calc!AF64</f>
        <v/>
      </c>
      <c r="AG64" s="33">
        <f>Codex_calc!AG64</f>
        <v/>
      </c>
      <c r="AH64" s="33">
        <f>Codex_calc!AH64</f>
        <v/>
      </c>
      <c r="AI64" s="33">
        <f>Codex_calc!AI64</f>
        <v/>
      </c>
      <c r="AJ64" s="33">
        <f>Codex_calc!AJ64</f>
        <v/>
      </c>
      <c r="AK64" s="33">
        <f>Codex_calc!AK64</f>
        <v/>
      </c>
      <c r="AL64" s="33">
        <f>Codex_calc!AL64</f>
        <v/>
      </c>
      <c r="AM64" s="33">
        <f>Codex_calc!AM64</f>
        <v/>
      </c>
      <c r="AN64" s="33">
        <f>Codex_calc!AN64</f>
        <v/>
      </c>
      <c r="AO64" s="0">
        <f>Codex_calc!AO64</f>
        <v/>
      </c>
    </row>
    <row r="65">
      <c r="C65" s="0">
        <f>Codex_calc!C65</f>
        <v/>
      </c>
      <c r="D65" s="0">
        <f>Codex_calc!D65</f>
        <v/>
      </c>
      <c r="E65" s="0" t="n"/>
      <c r="F65" s="0" t="n"/>
      <c r="G65" s="0" t="n"/>
      <c r="H65" s="30" t="n"/>
      <c r="K65" s="0" t="n"/>
      <c r="L65" s="0" t="n"/>
      <c r="M65" s="30" t="n"/>
      <c r="P65" s="0" t="n"/>
      <c r="R65" s="0" t="n"/>
      <c r="T65" s="0" t="n"/>
      <c r="U65" s="0" t="n"/>
      <c r="Y65" s="0" t="n"/>
      <c r="Z65" s="0" t="n"/>
      <c r="AA65" s="0" t="n"/>
      <c r="AB65" s="0" t="n"/>
      <c r="AC65" s="0" t="n"/>
      <c r="AD65" s="0" t="n"/>
      <c r="AE65" s="0" t="n"/>
      <c r="AF65" s="0" t="n"/>
      <c r="AG65" s="0" t="n"/>
      <c r="AH65" s="0" t="n"/>
      <c r="AI65" s="0" t="n"/>
      <c r="AK65" s="0" t="n"/>
      <c r="AM65" s="0" t="n"/>
      <c r="AO65" s="0">
        <f>Codex_calc!AO65</f>
        <v/>
      </c>
    </row>
    <row r="66">
      <c r="C66" s="0">
        <f>Codex_calc!C66</f>
        <v/>
      </c>
      <c r="D66" s="0">
        <f>Codex_calc!D66</f>
        <v/>
      </c>
      <c r="E66" s="0">
        <f>Codex_calc!E66</f>
        <v/>
      </c>
      <c r="F66" s="0">
        <f>Codex_calc!F66</f>
        <v/>
      </c>
      <c r="G66" s="0">
        <f>Codex_calc!G66</f>
        <v/>
      </c>
      <c r="H66" s="30">
        <f>Codex_calc!H66</f>
        <v/>
      </c>
      <c r="I66" s="0">
        <f>Codex_calc!I66</f>
        <v/>
      </c>
      <c r="J66" s="0">
        <f>Codex_calc!J66</f>
        <v/>
      </c>
      <c r="K66" s="0">
        <f>Codex_calc!K66</f>
        <v/>
      </c>
      <c r="L66" s="0">
        <f>Codex_calc!L66</f>
        <v/>
      </c>
      <c r="M66" s="30">
        <f>Codex_calc!M66</f>
        <v/>
      </c>
      <c r="N66" s="0">
        <f>Codex_calc!N66</f>
        <v/>
      </c>
      <c r="O66" s="0">
        <f>Codex_calc!O66</f>
        <v/>
      </c>
      <c r="P66" s="0">
        <f>Codex_calc!P66</f>
        <v/>
      </c>
      <c r="Q66" s="0">
        <f>Codex_calc!Q66</f>
        <v/>
      </c>
      <c r="R66" s="0">
        <f>Codex_calc!R66</f>
        <v/>
      </c>
      <c r="S66" s="0">
        <f>Codex_calc!S66</f>
        <v/>
      </c>
      <c r="T66" s="0">
        <f>Codex_calc!T66</f>
        <v/>
      </c>
      <c r="U66" s="0">
        <f>Codex_calc!U66</f>
        <v/>
      </c>
      <c r="V66" s="0">
        <f>Codex_calc!V66</f>
        <v/>
      </c>
      <c r="W66" s="0">
        <f>Codex_calc!W66</f>
        <v/>
      </c>
      <c r="X66" s="0">
        <f>Codex_calc!X66</f>
        <v/>
      </c>
      <c r="Y66" s="0">
        <f>Codex_calc!Y66</f>
        <v/>
      </c>
      <c r="Z66" s="0">
        <f>Codex_calc!Z66</f>
        <v/>
      </c>
      <c r="AA66" s="0">
        <f>Codex_calc!AA66</f>
        <v/>
      </c>
      <c r="AB66" s="0">
        <f>Codex_calc!AB66</f>
        <v/>
      </c>
      <c r="AC66" s="0">
        <f>Codex_calc!AC66</f>
        <v/>
      </c>
      <c r="AD66" s="0">
        <f>Codex_calc!AD66</f>
        <v/>
      </c>
      <c r="AE66" s="0">
        <f>Codex_calc!AE66</f>
        <v/>
      </c>
      <c r="AF66" s="0">
        <f>Codex_calc!AF66</f>
        <v/>
      </c>
      <c r="AG66" s="0">
        <f>Codex_calc!AG66</f>
        <v/>
      </c>
      <c r="AH66" s="0">
        <f>Codex_calc!AH66</f>
        <v/>
      </c>
      <c r="AI66" s="0">
        <f>Codex_calc!AI66</f>
        <v/>
      </c>
      <c r="AJ66" s="0">
        <f>Codex_calc!AJ66</f>
        <v/>
      </c>
      <c r="AK66" s="0">
        <f>Codex_calc!AK66</f>
        <v/>
      </c>
      <c r="AL66" s="0">
        <f>Codex_calc!AL66</f>
        <v/>
      </c>
      <c r="AM66" s="0">
        <f>Codex_calc!AM66</f>
        <v/>
      </c>
      <c r="AN66" s="0">
        <f>Codex_calc!AN66</f>
        <v/>
      </c>
      <c r="AO66" s="0">
        <f>Codex_calc!AO66</f>
        <v/>
      </c>
    </row>
    <row r="67">
      <c r="C67" s="0">
        <f>Codex_calc!C67</f>
        <v/>
      </c>
      <c r="D67" s="0">
        <f>Codex_calc!D67</f>
        <v/>
      </c>
      <c r="E67" s="0" t="n"/>
      <c r="F67" s="0" t="n"/>
      <c r="G67" s="0" t="n"/>
      <c r="H67" s="30" t="n"/>
      <c r="K67" s="0" t="n"/>
      <c r="L67" s="0" t="n"/>
      <c r="M67" s="30" t="n"/>
      <c r="P67" s="0" t="n"/>
      <c r="R67" s="0" t="n"/>
      <c r="T67" s="0" t="n"/>
      <c r="U67" s="0" t="n"/>
      <c r="Y67" s="0" t="n"/>
      <c r="Z67" s="0" t="n"/>
      <c r="AA67" s="0" t="n"/>
      <c r="AB67" s="0" t="n"/>
      <c r="AC67" s="0" t="n"/>
      <c r="AD67" s="0" t="n"/>
      <c r="AE67" s="0" t="n"/>
      <c r="AF67" s="0" t="n"/>
      <c r="AG67" s="0" t="n"/>
      <c r="AH67" s="0" t="n"/>
      <c r="AI67" s="0" t="n"/>
      <c r="AK67" s="0" t="n"/>
      <c r="AM67" s="0" t="n"/>
      <c r="AO67" s="0">
        <f>Codex_calc!AO67</f>
        <v/>
      </c>
    </row>
    <row r="68">
      <c r="C68" s="0">
        <f>Codex_calc!C68</f>
        <v/>
      </c>
      <c r="D68" s="0">
        <f>Codex_calc!D68</f>
        <v/>
      </c>
      <c r="E68" s="0" t="n"/>
      <c r="F68" s="0" t="n"/>
      <c r="G68" s="0" t="n"/>
      <c r="H68" s="30" t="n"/>
      <c r="K68" s="0" t="n"/>
      <c r="L68" s="0" t="n"/>
      <c r="M68" s="30" t="n"/>
      <c r="P68" s="0" t="n"/>
      <c r="R68" s="0" t="n"/>
      <c r="T68" s="0" t="n"/>
      <c r="U68" s="0" t="n"/>
      <c r="Y68" s="0" t="n"/>
      <c r="Z68" s="0" t="n"/>
      <c r="AA68" s="0" t="n"/>
      <c r="AB68" s="0" t="n"/>
      <c r="AC68" s="0" t="n"/>
      <c r="AD68" s="0" t="n"/>
      <c r="AE68" s="0" t="n"/>
      <c r="AF68" s="0" t="n"/>
      <c r="AG68" s="0" t="n"/>
      <c r="AH68" s="0" t="n"/>
      <c r="AI68" s="0" t="n"/>
      <c r="AK68" s="0" t="n"/>
      <c r="AM68" s="0" t="n"/>
      <c r="AO68" s="0">
        <f>Codex_calc!AO68</f>
        <v/>
      </c>
    </row>
    <row r="69">
      <c r="C69" s="0">
        <f>Codex_calc!C69</f>
        <v/>
      </c>
      <c r="D69" s="0">
        <f>Codex_calc!D69</f>
        <v/>
      </c>
      <c r="E69" s="0">
        <f>Codex_calc!E69</f>
        <v/>
      </c>
      <c r="F69" s="0">
        <f>Codex_calc!F69</f>
        <v/>
      </c>
      <c r="G69" s="0">
        <f>Codex_calc!G69</f>
        <v/>
      </c>
      <c r="H69" s="30">
        <f>Codex_calc!H69</f>
        <v/>
      </c>
      <c r="I69" s="0">
        <f>Codex_calc!I69</f>
        <v/>
      </c>
      <c r="J69" s="0">
        <f>Codex_calc!J69</f>
        <v/>
      </c>
      <c r="K69" s="0">
        <f>Codex_calc!K69</f>
        <v/>
      </c>
      <c r="L69" s="0">
        <f>Codex_calc!L69</f>
        <v/>
      </c>
      <c r="M69" s="30">
        <f>Codex_calc!M69</f>
        <v/>
      </c>
      <c r="N69" s="0">
        <f>Codex_calc!N69</f>
        <v/>
      </c>
      <c r="O69" s="0">
        <f>Codex_calc!O69</f>
        <v/>
      </c>
      <c r="P69" s="0">
        <f>Codex_calc!P69</f>
        <v/>
      </c>
      <c r="Q69" s="0">
        <f>Codex_calc!Q69</f>
        <v/>
      </c>
      <c r="R69" s="0">
        <f>Codex_calc!R69</f>
        <v/>
      </c>
      <c r="S69" s="0">
        <f>Codex_calc!S69</f>
        <v/>
      </c>
      <c r="T69" s="0">
        <f>Codex_calc!T69</f>
        <v/>
      </c>
      <c r="U69" s="0">
        <f>Codex_calc!U69</f>
        <v/>
      </c>
      <c r="V69" s="0">
        <f>Codex_calc!V69</f>
        <v/>
      </c>
      <c r="W69" s="0">
        <f>Codex_calc!W69</f>
        <v/>
      </c>
      <c r="X69" s="0">
        <f>Codex_calc!X69</f>
        <v/>
      </c>
      <c r="Y69" s="0">
        <f>Codex_calc!Y69</f>
        <v/>
      </c>
      <c r="Z69" s="0">
        <f>Codex_calc!Z69</f>
        <v/>
      </c>
      <c r="AA69" s="0">
        <f>Codex_calc!AA69</f>
        <v/>
      </c>
      <c r="AB69" s="0">
        <f>Codex_calc!AB69</f>
        <v/>
      </c>
      <c r="AC69" s="0">
        <f>Codex_calc!AC69</f>
        <v/>
      </c>
      <c r="AD69" s="0">
        <f>Codex_calc!AD69</f>
        <v/>
      </c>
      <c r="AE69" s="0">
        <f>Codex_calc!AE69</f>
        <v/>
      </c>
      <c r="AF69" s="0">
        <f>Codex_calc!AF69</f>
        <v/>
      </c>
      <c r="AG69" s="0">
        <f>Codex_calc!AG69</f>
        <v/>
      </c>
      <c r="AH69" s="0">
        <f>Codex_calc!AH69</f>
        <v/>
      </c>
      <c r="AI69" s="0">
        <f>Codex_calc!AI69</f>
        <v/>
      </c>
      <c r="AJ69" s="0">
        <f>Codex_calc!AJ69</f>
        <v/>
      </c>
      <c r="AK69" s="0">
        <f>Codex_calc!AK69</f>
        <v/>
      </c>
      <c r="AL69" s="0">
        <f>Codex_calc!AL69</f>
        <v/>
      </c>
      <c r="AM69" s="0">
        <f>Codex_calc!AM69</f>
        <v/>
      </c>
      <c r="AN69" s="0">
        <f>Codex_calc!AN69</f>
        <v/>
      </c>
      <c r="AO69" s="0">
        <f>Codex_calc!AO69</f>
        <v/>
      </c>
    </row>
    <row r="70">
      <c r="C70" s="0" t="inlineStr">
        <is>
          <t>*</t>
        </is>
      </c>
      <c r="D70" s="0">
        <f>Codex_calc!D70</f>
        <v/>
      </c>
      <c r="E70" s="0">
        <f>Codex_calc!E70</f>
        <v/>
      </c>
      <c r="F70" s="0">
        <f>Codex_calc!F70</f>
        <v/>
      </c>
      <c r="G70" s="0">
        <f>Codex_calc!G70</f>
        <v/>
      </c>
      <c r="H70" s="30">
        <f>Codex_calc!H70</f>
        <v/>
      </c>
      <c r="I70" s="0">
        <f>Codex_calc!I70</f>
        <v/>
      </c>
      <c r="J70" s="0">
        <f>Codex_calc!J70</f>
        <v/>
      </c>
      <c r="K70" s="0">
        <f>Codex_calc!K70</f>
        <v/>
      </c>
      <c r="L70" s="0">
        <f>Codex_calc!L70</f>
        <v/>
      </c>
      <c r="M70" s="30">
        <f>Codex_calc!M70</f>
        <v/>
      </c>
      <c r="N70" s="0">
        <f>Codex_calc!N70</f>
        <v/>
      </c>
      <c r="O70" s="0">
        <f>Codex_calc!O70</f>
        <v/>
      </c>
      <c r="P70" s="0">
        <f>Codex_calc!P70</f>
        <v/>
      </c>
      <c r="Q70" s="0">
        <f>Codex_calc!Q70</f>
        <v/>
      </c>
      <c r="R70" s="0">
        <f>Codex_calc!R70</f>
        <v/>
      </c>
      <c r="S70" s="0">
        <f>Codex_calc!S70</f>
        <v/>
      </c>
      <c r="T70" s="0">
        <f>Codex_calc!T70</f>
        <v/>
      </c>
      <c r="U70" s="0">
        <f>Codex_calc!U70</f>
        <v/>
      </c>
      <c r="V70" s="0">
        <f>Codex_calc!V70</f>
        <v/>
      </c>
      <c r="W70" s="0">
        <f>Codex_calc!W70</f>
        <v/>
      </c>
      <c r="X70" s="0">
        <f>Codex_calc!X70</f>
        <v/>
      </c>
      <c r="Y70" s="0">
        <f>Codex_calc!Y70</f>
        <v/>
      </c>
      <c r="Z70" s="0">
        <f>Codex_calc!Z70</f>
        <v/>
      </c>
      <c r="AA70" s="0">
        <f>Codex_calc!AA70</f>
        <v/>
      </c>
      <c r="AB70" s="0">
        <f>Codex_calc!AB70</f>
        <v/>
      </c>
      <c r="AC70" s="0">
        <f>Codex_calc!AC70</f>
        <v/>
      </c>
      <c r="AD70" s="0">
        <f>Codex_calc!AD70</f>
        <v/>
      </c>
      <c r="AE70" s="0">
        <f>Codex_calc!AE70</f>
        <v/>
      </c>
      <c r="AF70" s="0">
        <f>Codex_calc!AF70</f>
        <v/>
      </c>
      <c r="AG70" s="0">
        <f>Codex_calc!AG70</f>
        <v/>
      </c>
      <c r="AH70" s="0">
        <f>Codex_calc!AH70</f>
        <v/>
      </c>
      <c r="AI70" s="0">
        <f>Codex_calc!AI70</f>
        <v/>
      </c>
      <c r="AJ70" s="0">
        <f>Codex_calc!AJ70</f>
        <v/>
      </c>
      <c r="AK70" s="0">
        <f>Codex_calc!AK70</f>
        <v/>
      </c>
      <c r="AL70" s="0">
        <f>Codex_calc!AL70</f>
        <v/>
      </c>
      <c r="AM70" s="0">
        <f>Codex_calc!AM70</f>
        <v/>
      </c>
      <c r="AN70" s="0">
        <f>Codex_calc!AN70</f>
        <v/>
      </c>
      <c r="AO70" s="0">
        <f>Codex_calc!AO70</f>
        <v/>
      </c>
    </row>
    <row r="71">
      <c r="C71" s="0">
        <f>Codex_calc!C71</f>
        <v/>
      </c>
      <c r="D71" s="0">
        <f>Codex_calc!D71</f>
        <v/>
      </c>
      <c r="E71" s="0" t="n"/>
      <c r="F71" s="33">
        <f>Codex_calc!F71</f>
        <v/>
      </c>
      <c r="G71" s="33">
        <f>Codex_calc!G71</f>
        <v/>
      </c>
      <c r="H71" s="34">
        <f>Codex_calc!H71</f>
        <v/>
      </c>
      <c r="I71" s="33">
        <f>Codex_calc!I71</f>
        <v/>
      </c>
      <c r="J71" s="33">
        <f>Codex_calc!J71</f>
        <v/>
      </c>
      <c r="K71" s="33">
        <f>Codex_calc!K71</f>
        <v/>
      </c>
      <c r="L71" s="33">
        <f>Codex_calc!L71</f>
        <v/>
      </c>
      <c r="M71" s="34">
        <f>Codex_calc!M71</f>
        <v/>
      </c>
      <c r="N71" s="33">
        <f>Codex_calc!N71</f>
        <v/>
      </c>
      <c r="O71" s="33">
        <f>Codex_calc!O71</f>
        <v/>
      </c>
      <c r="P71" s="33">
        <f>Codex_calc!P71</f>
        <v/>
      </c>
      <c r="Q71" s="33">
        <f>Codex_calc!Q71</f>
        <v/>
      </c>
      <c r="R71" s="33">
        <f>Codex_calc!R71</f>
        <v/>
      </c>
      <c r="S71" s="33">
        <f>Codex_calc!S71</f>
        <v/>
      </c>
      <c r="T71" s="33">
        <f>Codex_calc!T71</f>
        <v/>
      </c>
      <c r="U71" s="33">
        <f>Codex_calc!U71</f>
        <v/>
      </c>
      <c r="V71" s="33">
        <f>Codex_calc!V71</f>
        <v/>
      </c>
      <c r="W71" s="33">
        <f>Codex_calc!W71</f>
        <v/>
      </c>
      <c r="X71" s="33">
        <f>Codex_calc!X71</f>
        <v/>
      </c>
      <c r="Y71" s="33">
        <f>Codex_calc!Y71</f>
        <v/>
      </c>
      <c r="Z71" s="33">
        <f>Codex_calc!Z71</f>
        <v/>
      </c>
      <c r="AA71" s="33">
        <f>Codex_calc!AA71</f>
        <v/>
      </c>
      <c r="AB71" s="33">
        <f>Codex_calc!AB71</f>
        <v/>
      </c>
      <c r="AC71" s="33">
        <f>Codex_calc!AC71</f>
        <v/>
      </c>
      <c r="AD71" s="33">
        <f>Codex_calc!AD71</f>
        <v/>
      </c>
      <c r="AE71" s="33">
        <f>Codex_calc!AE71</f>
        <v/>
      </c>
      <c r="AF71" s="33">
        <f>Codex_calc!AF71</f>
        <v/>
      </c>
      <c r="AG71" s="33">
        <f>Codex_calc!AG71</f>
        <v/>
      </c>
      <c r="AH71" s="33">
        <f>Codex_calc!AH71</f>
        <v/>
      </c>
      <c r="AI71" s="33">
        <f>Codex_calc!AI71</f>
        <v/>
      </c>
      <c r="AJ71" s="33">
        <f>Codex_calc!AJ71</f>
        <v/>
      </c>
      <c r="AK71" s="33">
        <f>Codex_calc!AK71</f>
        <v/>
      </c>
      <c r="AL71" s="33">
        <f>Codex_calc!AL71</f>
        <v/>
      </c>
      <c r="AM71" s="33">
        <f>Codex_calc!AM71</f>
        <v/>
      </c>
      <c r="AN71" s="33">
        <f>Codex_calc!AN71</f>
        <v/>
      </c>
      <c r="AO71" s="0">
        <f>Codex_calc!AO71</f>
        <v/>
      </c>
    </row>
    <row r="72">
      <c r="C72" s="0">
        <f>Codex_calc!C72</f>
        <v/>
      </c>
      <c r="D72" s="0">
        <f>Codex_calc!D72</f>
        <v/>
      </c>
      <c r="E72" s="0" t="n"/>
      <c r="F72" s="0" t="n"/>
      <c r="G72" s="0" t="n"/>
      <c r="H72" s="30" t="n"/>
      <c r="K72" s="0" t="n"/>
      <c r="L72" s="0" t="n"/>
      <c r="M72" s="30" t="n"/>
      <c r="P72" s="0" t="n"/>
      <c r="R72" s="0" t="n"/>
      <c r="T72" s="0" t="n"/>
      <c r="U72" s="0" t="n"/>
      <c r="Y72" s="0" t="n"/>
      <c r="Z72" s="0" t="n"/>
      <c r="AA72" s="0" t="n"/>
      <c r="AB72" s="0" t="n"/>
      <c r="AC72" s="0" t="n"/>
      <c r="AD72" s="0" t="n"/>
      <c r="AE72" s="0" t="n"/>
      <c r="AF72" s="0" t="n"/>
      <c r="AG72" s="0" t="n"/>
      <c r="AH72" s="0" t="n"/>
      <c r="AI72" s="0" t="n"/>
      <c r="AK72" s="0" t="n"/>
      <c r="AM72" s="0" t="n"/>
      <c r="AO72" s="0">
        <f>Codex_calc!AO72</f>
        <v/>
      </c>
    </row>
    <row r="73">
      <c r="C73" s="0">
        <f>Codex_calc!C73</f>
        <v/>
      </c>
      <c r="D73" s="0">
        <f>Codex_calc!D73</f>
        <v/>
      </c>
      <c r="E73" s="0">
        <f>Codex_calc!E73</f>
        <v/>
      </c>
      <c r="F73" s="0">
        <f>Codex_calc!F73</f>
        <v/>
      </c>
      <c r="G73" s="0">
        <f>Codex_calc!G73</f>
        <v/>
      </c>
      <c r="H73" s="30">
        <f>Codex_calc!H73</f>
        <v/>
      </c>
      <c r="I73" s="0">
        <f>Codex_calc!I73</f>
        <v/>
      </c>
      <c r="J73" s="0">
        <f>Codex_calc!J73</f>
        <v/>
      </c>
      <c r="K73" s="0">
        <f>Codex_calc!K73</f>
        <v/>
      </c>
      <c r="L73" s="0">
        <f>Codex_calc!L73</f>
        <v/>
      </c>
      <c r="M73" s="30">
        <f>Codex_calc!M73</f>
        <v/>
      </c>
      <c r="N73" s="0">
        <f>Codex_calc!N73</f>
        <v/>
      </c>
      <c r="O73" s="0">
        <f>Codex_calc!O73</f>
        <v/>
      </c>
      <c r="P73" s="0">
        <f>Codex_calc!P73</f>
        <v/>
      </c>
      <c r="Q73" s="0">
        <f>Codex_calc!Q73</f>
        <v/>
      </c>
      <c r="R73" s="0">
        <f>Codex_calc!R73</f>
        <v/>
      </c>
      <c r="S73" s="0">
        <f>Codex_calc!S73</f>
        <v/>
      </c>
      <c r="T73" s="0">
        <f>Codex_calc!T73</f>
        <v/>
      </c>
      <c r="U73" s="0">
        <f>Codex_calc!U73</f>
        <v/>
      </c>
      <c r="V73" s="0">
        <f>Codex_calc!V73</f>
        <v/>
      </c>
      <c r="W73" s="0">
        <f>Codex_calc!W73</f>
        <v/>
      </c>
      <c r="X73" s="0">
        <f>Codex_calc!X73</f>
        <v/>
      </c>
      <c r="Y73" s="0">
        <f>Codex_calc!Y73</f>
        <v/>
      </c>
      <c r="Z73" s="0">
        <f>Codex_calc!Z73</f>
        <v/>
      </c>
      <c r="AA73" s="0">
        <f>Codex_calc!AA73</f>
        <v/>
      </c>
      <c r="AB73" s="0">
        <f>Codex_calc!AB73</f>
        <v/>
      </c>
      <c r="AC73" s="0">
        <f>Codex_calc!AC73</f>
        <v/>
      </c>
      <c r="AD73" s="0">
        <f>Codex_calc!AD73</f>
        <v/>
      </c>
      <c r="AE73" s="0">
        <f>Codex_calc!AE73</f>
        <v/>
      </c>
      <c r="AF73" s="0">
        <f>Codex_calc!AF73</f>
        <v/>
      </c>
      <c r="AG73" s="0">
        <f>Codex_calc!AG73</f>
        <v/>
      </c>
      <c r="AH73" s="0">
        <f>Codex_calc!AH73</f>
        <v/>
      </c>
      <c r="AI73" s="0">
        <f>Codex_calc!AI73</f>
        <v/>
      </c>
      <c r="AJ73" s="0">
        <f>Codex_calc!AJ73</f>
        <v/>
      </c>
      <c r="AK73" s="0">
        <f>Codex_calc!AK73</f>
        <v/>
      </c>
      <c r="AL73" s="0">
        <f>Codex_calc!AL73</f>
        <v/>
      </c>
      <c r="AM73" s="0">
        <f>Codex_calc!AM73</f>
        <v/>
      </c>
      <c r="AN73" s="0">
        <f>Codex_calc!AN73</f>
        <v/>
      </c>
      <c r="AO73" s="0">
        <f>Codex_calc!AO73</f>
        <v/>
      </c>
    </row>
    <row r="74">
      <c r="C74" s="0">
        <f>Codex_calc!C74</f>
        <v/>
      </c>
      <c r="D74" s="0">
        <f>Codex_calc!D74</f>
        <v/>
      </c>
      <c r="E74" s="0" t="n"/>
      <c r="F74" s="33">
        <f>Codex_calc!F74</f>
        <v/>
      </c>
      <c r="G74" s="33">
        <f>Codex_calc!G74</f>
        <v/>
      </c>
      <c r="H74" s="34">
        <f>Codex_calc!H74</f>
        <v/>
      </c>
      <c r="I74" s="33">
        <f>Codex_calc!I74</f>
        <v/>
      </c>
      <c r="J74" s="33">
        <f>Codex_calc!J74</f>
        <v/>
      </c>
      <c r="K74" s="33">
        <f>Codex_calc!K74</f>
        <v/>
      </c>
      <c r="L74" s="33">
        <f>Codex_calc!L74</f>
        <v/>
      </c>
      <c r="M74" s="34">
        <f>Codex_calc!M74</f>
        <v/>
      </c>
      <c r="N74" s="33">
        <f>Codex_calc!N74</f>
        <v/>
      </c>
      <c r="O74" s="33">
        <f>Codex_calc!O74</f>
        <v/>
      </c>
      <c r="P74" s="33">
        <f>Codex_calc!P74</f>
        <v/>
      </c>
      <c r="Q74" s="33">
        <f>Codex_calc!Q74</f>
        <v/>
      </c>
      <c r="R74" s="33">
        <f>Codex_calc!R74</f>
        <v/>
      </c>
      <c r="S74" s="33">
        <f>Codex_calc!S74</f>
        <v/>
      </c>
      <c r="T74" s="33">
        <f>Codex_calc!T74</f>
        <v/>
      </c>
      <c r="U74" s="33">
        <f>Codex_calc!U74</f>
        <v/>
      </c>
      <c r="V74" s="33">
        <f>Codex_calc!V74</f>
        <v/>
      </c>
      <c r="W74" s="33">
        <f>Codex_calc!W74</f>
        <v/>
      </c>
      <c r="X74" s="33">
        <f>Codex_calc!X74</f>
        <v/>
      </c>
      <c r="Y74" s="33">
        <f>Codex_calc!Y74</f>
        <v/>
      </c>
      <c r="Z74" s="33">
        <f>Codex_calc!Z74</f>
        <v/>
      </c>
      <c r="AA74" s="33">
        <f>Codex_calc!AA74</f>
        <v/>
      </c>
      <c r="AB74" s="33">
        <f>Codex_calc!AB74</f>
        <v/>
      </c>
      <c r="AC74" s="33">
        <f>Codex_calc!AC74</f>
        <v/>
      </c>
      <c r="AD74" s="33">
        <f>Codex_calc!AD74</f>
        <v/>
      </c>
      <c r="AE74" s="33">
        <f>Codex_calc!AE74</f>
        <v/>
      </c>
      <c r="AF74" s="33">
        <f>Codex_calc!AF74</f>
        <v/>
      </c>
      <c r="AG74" s="33">
        <f>Codex_calc!AG74</f>
        <v/>
      </c>
      <c r="AH74" s="33">
        <f>Codex_calc!AH74</f>
        <v/>
      </c>
      <c r="AI74" s="33">
        <f>Codex_calc!AI74</f>
        <v/>
      </c>
      <c r="AJ74" s="33">
        <f>Codex_calc!AJ74</f>
        <v/>
      </c>
      <c r="AK74" s="33">
        <f>Codex_calc!AK74</f>
        <v/>
      </c>
      <c r="AL74" s="33">
        <f>Codex_calc!AL74</f>
        <v/>
      </c>
      <c r="AM74" s="33">
        <f>Codex_calc!AM74</f>
        <v/>
      </c>
      <c r="AN74" s="33">
        <f>Codex_calc!AN74</f>
        <v/>
      </c>
      <c r="AO74" s="0">
        <f>Codex_calc!AO74</f>
        <v/>
      </c>
    </row>
    <row r="75">
      <c r="C75" s="0">
        <f>Codex_calc!C75</f>
        <v/>
      </c>
      <c r="D75" s="0">
        <f>Codex_calc!D75</f>
        <v/>
      </c>
      <c r="E75" s="0" t="n"/>
      <c r="F75" s="0" t="n"/>
      <c r="G75" s="0" t="n"/>
      <c r="H75" s="30" t="n"/>
      <c r="K75" s="0" t="n"/>
      <c r="L75" s="0" t="n"/>
      <c r="M75" s="30" t="n"/>
      <c r="P75" s="0" t="n"/>
      <c r="R75" s="0" t="n"/>
      <c r="T75" s="0" t="n"/>
      <c r="U75" s="0" t="n"/>
      <c r="Y75" s="0" t="n"/>
      <c r="Z75" s="0" t="n"/>
      <c r="AA75" s="0" t="n"/>
      <c r="AB75" s="0" t="n"/>
      <c r="AC75" s="0" t="n"/>
      <c r="AD75" s="0" t="n"/>
      <c r="AE75" s="0" t="n"/>
      <c r="AF75" s="0" t="n"/>
      <c r="AG75" s="0" t="n"/>
      <c r="AH75" s="0" t="n"/>
      <c r="AI75" s="0" t="n"/>
      <c r="AK75" s="0" t="n"/>
      <c r="AM75" s="0" t="n"/>
      <c r="AO75" s="0">
        <f>Codex_calc!AO75</f>
        <v/>
      </c>
    </row>
    <row r="76">
      <c r="C76" s="0">
        <f>Codex_calc!C76</f>
        <v/>
      </c>
      <c r="D76" s="0">
        <f>Codex_calc!D76</f>
        <v/>
      </c>
      <c r="E76" s="0">
        <f>Codex_calc!E76</f>
        <v/>
      </c>
      <c r="F76" s="0">
        <f>Codex_calc!F76</f>
        <v/>
      </c>
      <c r="G76" s="0">
        <f>Codex_calc!G76</f>
        <v/>
      </c>
      <c r="H76" s="30">
        <f>Codex_calc!H76</f>
        <v/>
      </c>
      <c r="I76" s="0">
        <f>Codex_calc!I76</f>
        <v/>
      </c>
      <c r="J76" s="0">
        <f>Codex_calc!J76</f>
        <v/>
      </c>
      <c r="K76" s="0">
        <f>Codex_calc!K76</f>
        <v/>
      </c>
      <c r="L76" s="0">
        <f>Codex_calc!L76</f>
        <v/>
      </c>
      <c r="M76" s="30">
        <f>Codex_calc!M76</f>
        <v/>
      </c>
      <c r="N76" s="0">
        <f>Codex_calc!N76</f>
        <v/>
      </c>
      <c r="O76" s="0">
        <f>Codex_calc!O76</f>
        <v/>
      </c>
      <c r="P76" s="0">
        <f>Codex_calc!P76</f>
        <v/>
      </c>
      <c r="Q76" s="0">
        <f>Codex_calc!Q76</f>
        <v/>
      </c>
      <c r="R76" s="0">
        <f>Codex_calc!R76</f>
        <v/>
      </c>
      <c r="S76" s="0">
        <f>Codex_calc!S76</f>
        <v/>
      </c>
      <c r="T76" s="0">
        <f>Codex_calc!T76</f>
        <v/>
      </c>
      <c r="U76" s="0">
        <f>Codex_calc!U76</f>
        <v/>
      </c>
      <c r="V76" s="0">
        <f>Codex_calc!V76</f>
        <v/>
      </c>
      <c r="W76" s="0">
        <f>Codex_calc!W76</f>
        <v/>
      </c>
      <c r="X76" s="0">
        <f>Codex_calc!X76</f>
        <v/>
      </c>
      <c r="Y76" s="0">
        <f>Codex_calc!Y76</f>
        <v/>
      </c>
      <c r="Z76" s="0">
        <f>Codex_calc!Z76</f>
        <v/>
      </c>
      <c r="AA76" s="0">
        <f>Codex_calc!AA76</f>
        <v/>
      </c>
      <c r="AB76" s="0">
        <f>Codex_calc!AB76</f>
        <v/>
      </c>
      <c r="AC76" s="0">
        <f>Codex_calc!AC76</f>
        <v/>
      </c>
      <c r="AD76" s="0">
        <f>Codex_calc!AD76</f>
        <v/>
      </c>
      <c r="AE76" s="0">
        <f>Codex_calc!AE76</f>
        <v/>
      </c>
      <c r="AF76" s="0">
        <f>Codex_calc!AF76</f>
        <v/>
      </c>
      <c r="AG76" s="0">
        <f>Codex_calc!AG76</f>
        <v/>
      </c>
      <c r="AH76" s="0">
        <f>Codex_calc!AH76</f>
        <v/>
      </c>
      <c r="AI76" s="0">
        <f>Codex_calc!AI76</f>
        <v/>
      </c>
      <c r="AJ76" s="0">
        <f>Codex_calc!AJ76</f>
        <v/>
      </c>
      <c r="AK76" s="0">
        <f>Codex_calc!AK76</f>
        <v/>
      </c>
      <c r="AL76" s="0">
        <f>Codex_calc!AL76</f>
        <v/>
      </c>
      <c r="AM76" s="0">
        <f>Codex_calc!AM76</f>
        <v/>
      </c>
      <c r="AN76" s="0">
        <f>Codex_calc!AN76</f>
        <v/>
      </c>
      <c r="AO76" s="0">
        <f>Codex_calc!AO76</f>
        <v/>
      </c>
    </row>
    <row r="77">
      <c r="C77" s="0">
        <f>Codex_calc!C77</f>
        <v/>
      </c>
      <c r="D77" s="0">
        <f>Codex_calc!D77</f>
        <v/>
      </c>
      <c r="E77" s="0" t="n"/>
      <c r="F77" s="0" t="n"/>
      <c r="G77" s="0" t="n"/>
      <c r="H77" s="30" t="n"/>
      <c r="K77" s="0" t="n"/>
      <c r="L77" s="0" t="n"/>
      <c r="M77" s="30" t="n"/>
      <c r="P77" s="0" t="n"/>
      <c r="R77" s="0" t="n"/>
      <c r="T77" s="0" t="n"/>
      <c r="U77" s="0" t="n"/>
      <c r="Y77" s="0" t="n"/>
      <c r="Z77" s="0" t="n"/>
      <c r="AA77" s="0" t="n"/>
      <c r="AB77" s="0" t="n"/>
      <c r="AC77" s="0" t="n"/>
      <c r="AD77" s="0" t="n"/>
      <c r="AE77" s="0" t="n"/>
      <c r="AF77" s="0" t="n"/>
      <c r="AG77" s="0" t="n"/>
      <c r="AH77" s="0" t="n"/>
      <c r="AI77" s="0" t="n"/>
      <c r="AK77" s="0" t="n"/>
      <c r="AM77" s="0" t="n"/>
      <c r="AO77" s="0">
        <f>Codex_calc!AO77</f>
        <v/>
      </c>
    </row>
    <row r="78">
      <c r="C78" s="0">
        <f>Codex_calc!C78</f>
        <v/>
      </c>
      <c r="D78" s="0">
        <f>Codex_calc!D78</f>
        <v/>
      </c>
      <c r="E78" s="0" t="n"/>
      <c r="F78" s="0" t="n"/>
      <c r="G78" s="0" t="n"/>
      <c r="H78" s="30" t="n"/>
      <c r="K78" s="0" t="n"/>
      <c r="L78" s="0" t="n"/>
      <c r="M78" s="30" t="n"/>
      <c r="P78" s="0" t="n"/>
      <c r="R78" s="0" t="n"/>
      <c r="T78" s="0" t="n"/>
      <c r="U78" s="0" t="n"/>
      <c r="Y78" s="0" t="n"/>
      <c r="Z78" s="0" t="n"/>
      <c r="AA78" s="0" t="n"/>
      <c r="AB78" s="0" t="n"/>
      <c r="AC78" s="0" t="n"/>
      <c r="AD78" s="0" t="n"/>
      <c r="AE78" s="0" t="n"/>
      <c r="AF78" s="0" t="n"/>
      <c r="AG78" s="0" t="n"/>
      <c r="AH78" s="0" t="n"/>
      <c r="AI78" s="0" t="n"/>
      <c r="AK78" s="0" t="n"/>
      <c r="AM78" s="0" t="n"/>
      <c r="AO78" s="0">
        <f>Codex_calc!AO78</f>
        <v/>
      </c>
    </row>
    <row r="79">
      <c r="C79" s="0">
        <f>Codex_calc!C79</f>
        <v/>
      </c>
      <c r="D79" s="0">
        <f>Codex_calc!D79</f>
        <v/>
      </c>
      <c r="E79" s="0">
        <f>Codex_calc!E79</f>
        <v/>
      </c>
      <c r="F79" s="0">
        <f>Codex_calc!F79</f>
        <v/>
      </c>
      <c r="G79" s="0">
        <f>Codex_calc!G79</f>
        <v/>
      </c>
      <c r="H79" s="30">
        <f>Codex_calc!H79</f>
        <v/>
      </c>
      <c r="I79" s="0">
        <f>Codex_calc!I79</f>
        <v/>
      </c>
      <c r="J79" s="0">
        <f>Codex_calc!J79</f>
        <v/>
      </c>
      <c r="K79" s="0">
        <f>Codex_calc!K79</f>
        <v/>
      </c>
      <c r="L79" s="0">
        <f>Codex_calc!L79</f>
        <v/>
      </c>
      <c r="M79" s="30">
        <f>Codex_calc!M79</f>
        <v/>
      </c>
      <c r="N79" s="0">
        <f>Codex_calc!N79</f>
        <v/>
      </c>
      <c r="O79" s="0">
        <f>Codex_calc!O79</f>
        <v/>
      </c>
      <c r="P79" s="0">
        <f>Codex_calc!P79</f>
        <v/>
      </c>
      <c r="Q79" s="0">
        <f>Codex_calc!Q79</f>
        <v/>
      </c>
      <c r="R79" s="0">
        <f>Codex_calc!R79</f>
        <v/>
      </c>
      <c r="S79" s="0">
        <f>Codex_calc!S79</f>
        <v/>
      </c>
      <c r="T79" s="0">
        <f>Codex_calc!T79</f>
        <v/>
      </c>
      <c r="U79" s="0">
        <f>Codex_calc!U79</f>
        <v/>
      </c>
      <c r="V79" s="0">
        <f>Codex_calc!V79</f>
        <v/>
      </c>
      <c r="W79" s="0">
        <f>Codex_calc!W79</f>
        <v/>
      </c>
      <c r="X79" s="0">
        <f>Codex_calc!X79</f>
        <v/>
      </c>
      <c r="Y79" s="0">
        <f>Codex_calc!Y79</f>
        <v/>
      </c>
      <c r="Z79" s="0">
        <f>Codex_calc!Z79</f>
        <v/>
      </c>
      <c r="AA79" s="0">
        <f>Codex_calc!AA79</f>
        <v/>
      </c>
      <c r="AB79" s="0">
        <f>Codex_calc!AB79</f>
        <v/>
      </c>
      <c r="AC79" s="0">
        <f>Codex_calc!AC79</f>
        <v/>
      </c>
      <c r="AD79" s="0">
        <f>Codex_calc!AD79</f>
        <v/>
      </c>
      <c r="AE79" s="0">
        <f>Codex_calc!AE79</f>
        <v/>
      </c>
      <c r="AF79" s="0">
        <f>Codex_calc!AF79</f>
        <v/>
      </c>
      <c r="AG79" s="0">
        <f>Codex_calc!AG79</f>
        <v/>
      </c>
      <c r="AH79" s="0">
        <f>Codex_calc!AH79</f>
        <v/>
      </c>
      <c r="AI79" s="0">
        <f>Codex_calc!AI79</f>
        <v/>
      </c>
      <c r="AJ79" s="0">
        <f>Codex_calc!AJ79</f>
        <v/>
      </c>
      <c r="AK79" s="0">
        <f>Codex_calc!AK79</f>
        <v/>
      </c>
      <c r="AL79" s="0">
        <f>Codex_calc!AL79</f>
        <v/>
      </c>
      <c r="AM79" s="0">
        <f>Codex_calc!AM79</f>
        <v/>
      </c>
      <c r="AN79" s="0">
        <f>Codex_calc!AN79</f>
        <v/>
      </c>
      <c r="AO79" s="0">
        <f>Codex_calc!AO79</f>
        <v/>
      </c>
    </row>
    <row r="80">
      <c r="C80" s="0" t="inlineStr">
        <is>
          <t>*</t>
        </is>
      </c>
      <c r="D80" s="0">
        <f>Codex_calc!D80</f>
        <v/>
      </c>
      <c r="E80" s="0">
        <f>Codex_calc!E80</f>
        <v/>
      </c>
      <c r="F80" s="0">
        <f>Codex_calc!F80</f>
        <v/>
      </c>
      <c r="G80" s="0">
        <f>Codex_calc!G80</f>
        <v/>
      </c>
      <c r="H80" s="30">
        <f>Codex_calc!H80</f>
        <v/>
      </c>
      <c r="I80" s="0">
        <f>Codex_calc!I80</f>
        <v/>
      </c>
      <c r="J80" s="0">
        <f>Codex_calc!J80</f>
        <v/>
      </c>
      <c r="K80" s="0">
        <f>Codex_calc!K80</f>
        <v/>
      </c>
      <c r="L80" s="0">
        <f>Codex_calc!L80</f>
        <v/>
      </c>
      <c r="M80" s="30">
        <f>Codex_calc!M80</f>
        <v/>
      </c>
      <c r="N80" s="0">
        <f>Codex_calc!N80</f>
        <v/>
      </c>
      <c r="O80" s="0">
        <f>Codex_calc!O80</f>
        <v/>
      </c>
      <c r="P80" s="0">
        <f>Codex_calc!P80</f>
        <v/>
      </c>
      <c r="Q80" s="0">
        <f>Codex_calc!Q80</f>
        <v/>
      </c>
      <c r="R80" s="0">
        <f>Codex_calc!R80</f>
        <v/>
      </c>
      <c r="S80" s="0">
        <f>Codex_calc!S80</f>
        <v/>
      </c>
      <c r="T80" s="0">
        <f>Codex_calc!T80</f>
        <v/>
      </c>
      <c r="U80" s="0">
        <f>Codex_calc!U80</f>
        <v/>
      </c>
      <c r="V80" s="0">
        <f>Codex_calc!V80</f>
        <v/>
      </c>
      <c r="W80" s="0">
        <f>Codex_calc!W80</f>
        <v/>
      </c>
      <c r="X80" s="0">
        <f>Codex_calc!X80</f>
        <v/>
      </c>
      <c r="Y80" s="0">
        <f>Codex_calc!Y80</f>
        <v/>
      </c>
      <c r="Z80" s="0">
        <f>Codex_calc!Z80</f>
        <v/>
      </c>
      <c r="AA80" s="0">
        <f>Codex_calc!AA80</f>
        <v/>
      </c>
      <c r="AB80" s="0">
        <f>Codex_calc!AB80</f>
        <v/>
      </c>
      <c r="AC80" s="0">
        <f>Codex_calc!AC80</f>
        <v/>
      </c>
      <c r="AD80" s="0">
        <f>Codex_calc!AD80</f>
        <v/>
      </c>
      <c r="AE80" s="0">
        <f>Codex_calc!AE80</f>
        <v/>
      </c>
      <c r="AF80" s="0">
        <f>Codex_calc!AF80</f>
        <v/>
      </c>
      <c r="AG80" s="0">
        <f>Codex_calc!AG80</f>
        <v/>
      </c>
      <c r="AH80" s="0">
        <f>Codex_calc!AH80</f>
        <v/>
      </c>
      <c r="AI80" s="0">
        <f>Codex_calc!AI80</f>
        <v/>
      </c>
      <c r="AJ80" s="0">
        <f>Codex_calc!AJ80</f>
        <v/>
      </c>
      <c r="AK80" s="0">
        <f>Codex_calc!AK80</f>
        <v/>
      </c>
      <c r="AL80" s="0">
        <f>Codex_calc!AL80</f>
        <v/>
      </c>
      <c r="AM80" s="0">
        <f>Codex_calc!AM80</f>
        <v/>
      </c>
      <c r="AN80" s="0">
        <f>Codex_calc!AN80</f>
        <v/>
      </c>
      <c r="AO80" s="0">
        <f>Codex_calc!AO80</f>
        <v/>
      </c>
    </row>
    <row r="81">
      <c r="C81" s="0">
        <f>Codex_calc!C81</f>
        <v/>
      </c>
      <c r="D81" s="0">
        <f>Codex_calc!D81</f>
        <v/>
      </c>
      <c r="F81" s="33">
        <f>Codex_calc!F81</f>
        <v/>
      </c>
      <c r="G81" s="33">
        <f>Codex_calc!G81</f>
        <v/>
      </c>
      <c r="H81" s="34">
        <f>Codex_calc!H81</f>
        <v/>
      </c>
      <c r="I81" s="33">
        <f>Codex_calc!I81</f>
        <v/>
      </c>
      <c r="J81" s="33">
        <f>Codex_calc!J81</f>
        <v/>
      </c>
      <c r="K81" s="33">
        <f>Codex_calc!K81</f>
        <v/>
      </c>
      <c r="L81" s="33">
        <f>Codex_calc!L81</f>
        <v/>
      </c>
      <c r="M81" s="34">
        <f>Codex_calc!M81</f>
        <v/>
      </c>
      <c r="N81" s="33">
        <f>Codex_calc!N81</f>
        <v/>
      </c>
      <c r="O81" s="33">
        <f>Codex_calc!O81</f>
        <v/>
      </c>
      <c r="P81" s="33">
        <f>Codex_calc!P81</f>
        <v/>
      </c>
      <c r="Q81" s="33">
        <f>Codex_calc!Q81</f>
        <v/>
      </c>
      <c r="R81" s="33">
        <f>Codex_calc!R81</f>
        <v/>
      </c>
      <c r="S81" s="33">
        <f>Codex_calc!S81</f>
        <v/>
      </c>
      <c r="T81" s="33">
        <f>Codex_calc!T81</f>
        <v/>
      </c>
      <c r="U81" s="33">
        <f>Codex_calc!U81</f>
        <v/>
      </c>
      <c r="V81" s="33">
        <f>Codex_calc!V81</f>
        <v/>
      </c>
      <c r="W81" s="33">
        <f>Codex_calc!W81</f>
        <v/>
      </c>
      <c r="X81" s="33">
        <f>Codex_calc!X81</f>
        <v/>
      </c>
      <c r="Y81" s="33">
        <f>Codex_calc!Y81</f>
        <v/>
      </c>
      <c r="Z81" s="33">
        <f>Codex_calc!Z81</f>
        <v/>
      </c>
      <c r="AA81" s="33">
        <f>Codex_calc!AA81</f>
        <v/>
      </c>
      <c r="AB81" s="33">
        <f>Codex_calc!AB81</f>
        <v/>
      </c>
      <c r="AC81" s="33">
        <f>Codex_calc!AC81</f>
        <v/>
      </c>
      <c r="AD81" s="33">
        <f>Codex_calc!AD81</f>
        <v/>
      </c>
      <c r="AE81" s="33">
        <f>Codex_calc!AE81</f>
        <v/>
      </c>
      <c r="AF81" s="33">
        <f>Codex_calc!AF81</f>
        <v/>
      </c>
      <c r="AG81" s="33">
        <f>Codex_calc!AG81</f>
        <v/>
      </c>
      <c r="AH81" s="33">
        <f>Codex_calc!AH81</f>
        <v/>
      </c>
      <c r="AI81" s="33">
        <f>Codex_calc!AI81</f>
        <v/>
      </c>
      <c r="AJ81" s="33">
        <f>Codex_calc!AJ81</f>
        <v/>
      </c>
      <c r="AK81" s="33">
        <f>Codex_calc!AK81</f>
        <v/>
      </c>
      <c r="AL81" s="33">
        <f>Codex_calc!AL81</f>
        <v/>
      </c>
      <c r="AM81" s="33">
        <f>Codex_calc!AM81</f>
        <v/>
      </c>
      <c r="AN81" s="33">
        <f>Codex_calc!AN81</f>
        <v/>
      </c>
      <c r="AO81" s="0">
        <f>Codex_calc!AO81</f>
        <v/>
      </c>
    </row>
    <row r="82" customFormat="1" s="30">
      <c r="C82" s="30">
        <f>Codex_calc!C82</f>
        <v/>
      </c>
      <c r="D82" s="30">
        <f>Codex_calc!D82</f>
        <v/>
      </c>
      <c r="AO82" s="30">
        <f>Codex_calc!AO82</f>
        <v/>
      </c>
    </row>
    <row r="83">
      <c r="C83" s="0">
        <f>Codex_calc!C83</f>
        <v/>
      </c>
      <c r="D83" s="0">
        <f>Codex_calc!D83</f>
        <v/>
      </c>
      <c r="E83" s="0">
        <f>Codex_calc!E83</f>
        <v/>
      </c>
      <c r="F83" s="0">
        <f>Codex_calc!F83</f>
        <v/>
      </c>
      <c r="G83" s="0">
        <f>Codex_calc!G83</f>
        <v/>
      </c>
      <c r="H83" s="30">
        <f>Codex_calc!H83</f>
        <v/>
      </c>
      <c r="I83" s="0">
        <f>Codex_calc!I83</f>
        <v/>
      </c>
      <c r="J83" s="0">
        <f>Codex_calc!J83</f>
        <v/>
      </c>
      <c r="K83" s="0">
        <f>Codex_calc!K83</f>
        <v/>
      </c>
      <c r="L83" s="0">
        <f>Codex_calc!L83</f>
        <v/>
      </c>
      <c r="M83" s="30">
        <f>Codex_calc!M83</f>
        <v/>
      </c>
      <c r="N83" s="0">
        <f>Codex_calc!N83</f>
        <v/>
      </c>
      <c r="O83" s="0">
        <f>Codex_calc!O83</f>
        <v/>
      </c>
      <c r="P83" s="0">
        <f>Codex_calc!P83</f>
        <v/>
      </c>
      <c r="Q83" s="0">
        <f>Codex_calc!Q83</f>
        <v/>
      </c>
      <c r="R83" s="0">
        <f>Codex_calc!R83</f>
        <v/>
      </c>
      <c r="S83" s="0">
        <f>Codex_calc!S83</f>
        <v/>
      </c>
      <c r="T83" s="0">
        <f>Codex_calc!T83</f>
        <v/>
      </c>
      <c r="U83" s="0">
        <f>Codex_calc!U83</f>
        <v/>
      </c>
      <c r="V83" s="0">
        <f>Codex_calc!V83</f>
        <v/>
      </c>
      <c r="W83" s="0">
        <f>Codex_calc!W83</f>
        <v/>
      </c>
      <c r="X83" s="0">
        <f>Codex_calc!X83</f>
        <v/>
      </c>
      <c r="Y83" s="0">
        <f>Codex_calc!Y83</f>
        <v/>
      </c>
      <c r="Z83" s="0">
        <f>Codex_calc!Z83</f>
        <v/>
      </c>
      <c r="AA83" s="0">
        <f>Codex_calc!AA83</f>
        <v/>
      </c>
      <c r="AB83" s="0">
        <f>Codex_calc!AB83</f>
        <v/>
      </c>
      <c r="AC83" s="0">
        <f>Codex_calc!AC83</f>
        <v/>
      </c>
      <c r="AD83" s="0">
        <f>Codex_calc!AD83</f>
        <v/>
      </c>
      <c r="AE83" s="0">
        <f>Codex_calc!AE83</f>
        <v/>
      </c>
      <c r="AF83" s="0">
        <f>Codex_calc!AF83</f>
        <v/>
      </c>
      <c r="AG83" s="0">
        <f>Codex_calc!AG83</f>
        <v/>
      </c>
      <c r="AH83" s="0">
        <f>Codex_calc!AH83</f>
        <v/>
      </c>
      <c r="AI83" s="0">
        <f>Codex_calc!AI83</f>
        <v/>
      </c>
      <c r="AJ83" s="0">
        <f>Codex_calc!AJ83</f>
        <v/>
      </c>
      <c r="AK83" s="0">
        <f>Codex_calc!AK83</f>
        <v/>
      </c>
      <c r="AL83" s="0">
        <f>Codex_calc!AL83</f>
        <v/>
      </c>
      <c r="AM83" s="0">
        <f>Codex_calc!AM83</f>
        <v/>
      </c>
      <c r="AN83" s="0">
        <f>Codex_calc!AN83</f>
        <v/>
      </c>
      <c r="AO83" s="0">
        <f>Codex_calc!AO83</f>
        <v/>
      </c>
    </row>
    <row r="84">
      <c r="C84" s="0">
        <f>Codex_calc!C84</f>
        <v/>
      </c>
      <c r="D84" s="0">
        <f>Codex_calc!D84</f>
        <v/>
      </c>
      <c r="F84" s="33">
        <f>Codex_calc!F84</f>
        <v/>
      </c>
      <c r="G84" s="33">
        <f>Codex_calc!G84</f>
        <v/>
      </c>
      <c r="H84" s="34">
        <f>Codex_calc!H84</f>
        <v/>
      </c>
      <c r="I84" s="33">
        <f>Codex_calc!I84</f>
        <v/>
      </c>
      <c r="J84" s="33">
        <f>Codex_calc!J84</f>
        <v/>
      </c>
      <c r="K84" s="33">
        <f>Codex_calc!K84</f>
        <v/>
      </c>
      <c r="L84" s="33">
        <f>Codex_calc!L84</f>
        <v/>
      </c>
      <c r="M84" s="34">
        <f>Codex_calc!M84</f>
        <v/>
      </c>
      <c r="N84" s="33">
        <f>Codex_calc!N84</f>
        <v/>
      </c>
      <c r="O84" s="33">
        <f>Codex_calc!O84</f>
        <v/>
      </c>
      <c r="P84" s="33">
        <f>Codex_calc!P84</f>
        <v/>
      </c>
      <c r="Q84" s="33">
        <f>Codex_calc!Q84</f>
        <v/>
      </c>
      <c r="R84" s="33">
        <f>Codex_calc!R84</f>
        <v/>
      </c>
      <c r="S84" s="33">
        <f>Codex_calc!S84</f>
        <v/>
      </c>
      <c r="T84" s="33">
        <f>Codex_calc!T84</f>
        <v/>
      </c>
      <c r="U84" s="33">
        <f>Codex_calc!U84</f>
        <v/>
      </c>
      <c r="V84" s="33">
        <f>Codex_calc!V84</f>
        <v/>
      </c>
      <c r="W84" s="33">
        <f>Codex_calc!W84</f>
        <v/>
      </c>
      <c r="X84" s="33">
        <f>Codex_calc!X84</f>
        <v/>
      </c>
      <c r="Y84" s="33">
        <f>Codex_calc!Y84</f>
        <v/>
      </c>
      <c r="Z84" s="33">
        <f>Codex_calc!Z84</f>
        <v/>
      </c>
      <c r="AA84" s="33">
        <f>Codex_calc!AA84</f>
        <v/>
      </c>
      <c r="AB84" s="33">
        <f>Codex_calc!AB84</f>
        <v/>
      </c>
      <c r="AC84" s="33">
        <f>Codex_calc!AC84</f>
        <v/>
      </c>
      <c r="AD84" s="33">
        <f>Codex_calc!AD84</f>
        <v/>
      </c>
      <c r="AE84" s="33">
        <f>Codex_calc!AE84</f>
        <v/>
      </c>
      <c r="AF84" s="33">
        <f>Codex_calc!AF84</f>
        <v/>
      </c>
      <c r="AG84" s="33">
        <f>Codex_calc!AG84</f>
        <v/>
      </c>
      <c r="AH84" s="33">
        <f>Codex_calc!AH84</f>
        <v/>
      </c>
      <c r="AI84" s="33">
        <f>Codex_calc!AI84</f>
        <v/>
      </c>
      <c r="AJ84" s="33">
        <f>Codex_calc!AJ84</f>
        <v/>
      </c>
      <c r="AK84" s="33">
        <f>Codex_calc!AK84</f>
        <v/>
      </c>
      <c r="AL84" s="33">
        <f>Codex_calc!AL84</f>
        <v/>
      </c>
      <c r="AM84" s="33">
        <f>Codex_calc!AM84</f>
        <v/>
      </c>
      <c r="AN84" s="33">
        <f>Codex_calc!AN84</f>
        <v/>
      </c>
      <c r="AO84" s="0">
        <f>Codex_calc!AO84</f>
        <v/>
      </c>
    </row>
    <row r="85">
      <c r="C85" s="0">
        <f>Codex_calc!C85</f>
        <v/>
      </c>
      <c r="D85" s="0">
        <f>Codex_calc!D85</f>
        <v/>
      </c>
      <c r="E85" s="0" t="n"/>
      <c r="F85" s="0" t="n"/>
      <c r="G85" s="0" t="n"/>
      <c r="H85" s="30" t="n"/>
      <c r="K85" s="0" t="n"/>
      <c r="L85" s="0" t="n"/>
      <c r="M85" s="30" t="n"/>
      <c r="P85" s="0" t="n"/>
      <c r="R85" s="0" t="n"/>
      <c r="T85" s="0" t="n"/>
      <c r="U85" s="0" t="n"/>
      <c r="Y85" s="0" t="n"/>
      <c r="Z85" s="0" t="n"/>
      <c r="AA85" s="0" t="n"/>
      <c r="AB85" s="0" t="n"/>
      <c r="AC85" s="0" t="n"/>
      <c r="AD85" s="0" t="n"/>
      <c r="AE85" s="0" t="n"/>
      <c r="AF85" s="0" t="n"/>
      <c r="AG85" s="0" t="n"/>
      <c r="AH85" s="0" t="n"/>
      <c r="AI85" s="0" t="n"/>
      <c r="AK85" s="0" t="n"/>
      <c r="AM85" s="0" t="n"/>
      <c r="AO85" s="0">
        <f>Codex_calc!AO85</f>
        <v/>
      </c>
    </row>
    <row r="86">
      <c r="C86" s="0">
        <f>Codex_calc!C86</f>
        <v/>
      </c>
      <c r="D86" s="0">
        <f>Codex_calc!D86</f>
        <v/>
      </c>
      <c r="E86" s="0">
        <f>Codex_calc!E86</f>
        <v/>
      </c>
      <c r="F86" s="0">
        <f>Codex_calc!F86</f>
        <v/>
      </c>
      <c r="G86" s="0">
        <f>Codex_calc!G86</f>
        <v/>
      </c>
      <c r="H86" s="30">
        <f>Codex_calc!H86</f>
        <v/>
      </c>
      <c r="I86" s="0">
        <f>Codex_calc!I86</f>
        <v/>
      </c>
      <c r="J86" s="0">
        <f>Codex_calc!J86</f>
        <v/>
      </c>
      <c r="K86" s="0">
        <f>Codex_calc!K86</f>
        <v/>
      </c>
      <c r="L86" s="0">
        <f>Codex_calc!L86</f>
        <v/>
      </c>
      <c r="M86" s="30">
        <f>Codex_calc!M86</f>
        <v/>
      </c>
      <c r="N86" s="0">
        <f>Codex_calc!N86</f>
        <v/>
      </c>
      <c r="O86" s="0">
        <f>Codex_calc!O86</f>
        <v/>
      </c>
      <c r="P86" s="0">
        <f>Codex_calc!P86</f>
        <v/>
      </c>
      <c r="Q86" s="0">
        <f>Codex_calc!Q86</f>
        <v/>
      </c>
      <c r="R86" s="0">
        <f>Codex_calc!R86</f>
        <v/>
      </c>
      <c r="S86" s="0">
        <f>Codex_calc!S86</f>
        <v/>
      </c>
      <c r="T86" s="0">
        <f>Codex_calc!T86</f>
        <v/>
      </c>
      <c r="U86" s="0">
        <f>Codex_calc!U86</f>
        <v/>
      </c>
      <c r="V86" s="0">
        <f>Codex_calc!V86</f>
        <v/>
      </c>
      <c r="W86" s="0">
        <f>Codex_calc!W86</f>
        <v/>
      </c>
      <c r="X86" s="0">
        <f>Codex_calc!X86</f>
        <v/>
      </c>
      <c r="Y86" s="0">
        <f>Codex_calc!Y86</f>
        <v/>
      </c>
      <c r="Z86" s="0">
        <f>Codex_calc!Z86</f>
        <v/>
      </c>
      <c r="AA86" s="0">
        <f>Codex_calc!AA86</f>
        <v/>
      </c>
      <c r="AB86" s="0">
        <f>Codex_calc!AB86</f>
        <v/>
      </c>
      <c r="AC86" s="0">
        <f>Codex_calc!AC86</f>
        <v/>
      </c>
      <c r="AD86" s="0">
        <f>Codex_calc!AD86</f>
        <v/>
      </c>
      <c r="AE86" s="0">
        <f>Codex_calc!AE86</f>
        <v/>
      </c>
      <c r="AF86" s="0">
        <f>Codex_calc!AF86</f>
        <v/>
      </c>
      <c r="AG86" s="0">
        <f>Codex_calc!AG86</f>
        <v/>
      </c>
      <c r="AH86" s="0">
        <f>Codex_calc!AH86</f>
        <v/>
      </c>
      <c r="AI86" s="0">
        <f>Codex_calc!AI86</f>
        <v/>
      </c>
      <c r="AJ86" s="0">
        <f>Codex_calc!AJ86</f>
        <v/>
      </c>
      <c r="AK86" s="0">
        <f>Codex_calc!AK86</f>
        <v/>
      </c>
      <c r="AL86" s="0">
        <f>Codex_calc!AL86</f>
        <v/>
      </c>
      <c r="AM86" s="0">
        <f>Codex_calc!AM86</f>
        <v/>
      </c>
      <c r="AN86" s="0">
        <f>Codex_calc!AN86</f>
        <v/>
      </c>
      <c r="AO86" s="0">
        <f>Codex_calc!AO86</f>
        <v/>
      </c>
    </row>
    <row r="87">
      <c r="C87" s="0">
        <f>Codex_calc!C87</f>
        <v/>
      </c>
      <c r="D87" s="0">
        <f>Codex_calc!D87</f>
        <v/>
      </c>
      <c r="E87" s="0" t="n"/>
      <c r="F87" s="0" t="n"/>
      <c r="G87" s="0" t="n"/>
      <c r="H87" s="30" t="n"/>
      <c r="K87" s="0" t="n"/>
      <c r="L87" s="0" t="n"/>
      <c r="M87" s="30" t="n"/>
      <c r="P87" s="0" t="n"/>
      <c r="R87" s="0" t="n"/>
      <c r="T87" s="0" t="n"/>
      <c r="U87" s="0" t="n"/>
      <c r="Y87" s="0" t="n"/>
      <c r="Z87" s="0" t="n"/>
      <c r="AA87" s="0" t="n"/>
      <c r="AB87" s="0" t="n"/>
      <c r="AC87" s="0" t="n"/>
      <c r="AD87" s="0" t="n"/>
      <c r="AE87" s="0" t="n"/>
      <c r="AF87" s="0" t="n"/>
      <c r="AG87" s="0" t="n"/>
      <c r="AH87" s="0" t="n"/>
      <c r="AI87" s="0" t="n"/>
      <c r="AK87" s="0" t="n"/>
      <c r="AM87" s="0" t="n"/>
      <c r="AO87" s="0">
        <f>Codex_calc!AO87</f>
        <v/>
      </c>
    </row>
    <row r="88">
      <c r="C88" s="0">
        <f>Codex_calc!C88</f>
        <v/>
      </c>
      <c r="D88" s="0">
        <f>Codex_calc!D88</f>
        <v/>
      </c>
      <c r="E88" s="0" t="n"/>
      <c r="F88" s="0" t="n"/>
      <c r="G88" s="0" t="n"/>
      <c r="H88" s="30" t="n"/>
      <c r="K88" s="0" t="n"/>
      <c r="L88" s="0" t="n"/>
      <c r="M88" s="30" t="n"/>
      <c r="P88" s="0" t="n"/>
      <c r="R88" s="0" t="n"/>
      <c r="T88" s="0" t="n"/>
      <c r="U88" s="0" t="n"/>
      <c r="Y88" s="0" t="n"/>
      <c r="Z88" s="0" t="n"/>
      <c r="AA88" s="0" t="n"/>
      <c r="AB88" s="0" t="n"/>
      <c r="AC88" s="0" t="n"/>
      <c r="AD88" s="0" t="n"/>
      <c r="AE88" s="0" t="n"/>
      <c r="AF88" s="0" t="n"/>
      <c r="AG88" s="0" t="n"/>
      <c r="AH88" s="0" t="n"/>
      <c r="AI88" s="0" t="n"/>
      <c r="AK88" s="0" t="n"/>
      <c r="AM88" s="0" t="n"/>
      <c r="AO88" s="0">
        <f>Codex_calc!AO88</f>
        <v/>
      </c>
    </row>
    <row r="89">
      <c r="C89" s="0">
        <f>Codex_calc!C89</f>
        <v/>
      </c>
      <c r="D89" s="0">
        <f>Codex_calc!D89</f>
        <v/>
      </c>
      <c r="E89" s="0">
        <f>Codex_calc!E89</f>
        <v/>
      </c>
      <c r="F89" s="0">
        <f>Codex_calc!F89</f>
        <v/>
      </c>
      <c r="G89" s="0">
        <f>Codex_calc!G89</f>
        <v/>
      </c>
      <c r="H89" s="30">
        <f>Codex_calc!H89</f>
        <v/>
      </c>
      <c r="I89" s="0">
        <f>Codex_calc!I89</f>
        <v/>
      </c>
      <c r="J89" s="0">
        <f>Codex_calc!J89</f>
        <v/>
      </c>
      <c r="K89" s="0">
        <f>Codex_calc!K89</f>
        <v/>
      </c>
      <c r="L89" s="0">
        <f>Codex_calc!L89</f>
        <v/>
      </c>
      <c r="M89" s="30">
        <f>Codex_calc!M89</f>
        <v/>
      </c>
      <c r="N89" s="0">
        <f>Codex_calc!N89</f>
        <v/>
      </c>
      <c r="O89" s="0">
        <f>Codex_calc!O89</f>
        <v/>
      </c>
      <c r="P89" s="0">
        <f>Codex_calc!P89</f>
        <v/>
      </c>
      <c r="Q89" s="0">
        <f>Codex_calc!Q89</f>
        <v/>
      </c>
      <c r="R89" s="0">
        <f>Codex_calc!R89</f>
        <v/>
      </c>
      <c r="S89" s="0">
        <f>Codex_calc!S89</f>
        <v/>
      </c>
      <c r="T89" s="0">
        <f>Codex_calc!T89</f>
        <v/>
      </c>
      <c r="U89" s="0">
        <f>Codex_calc!U89</f>
        <v/>
      </c>
      <c r="V89" s="0">
        <f>Codex_calc!V89</f>
        <v/>
      </c>
      <c r="W89" s="0">
        <f>Codex_calc!W89</f>
        <v/>
      </c>
      <c r="X89" s="0">
        <f>Codex_calc!X89</f>
        <v/>
      </c>
      <c r="Y89" s="0">
        <f>Codex_calc!Y89</f>
        <v/>
      </c>
      <c r="Z89" s="0">
        <f>Codex_calc!Z89</f>
        <v/>
      </c>
      <c r="AA89" s="0">
        <f>Codex_calc!AA89</f>
        <v/>
      </c>
      <c r="AB89" s="0">
        <f>Codex_calc!AB89</f>
        <v/>
      </c>
      <c r="AC89" s="0">
        <f>Codex_calc!AC89</f>
        <v/>
      </c>
      <c r="AD89" s="0">
        <f>Codex_calc!AD89</f>
        <v/>
      </c>
      <c r="AE89" s="0">
        <f>Codex_calc!AE89</f>
        <v/>
      </c>
      <c r="AF89" s="0">
        <f>Codex_calc!AF89</f>
        <v/>
      </c>
      <c r="AG89" s="0">
        <f>Codex_calc!AG89</f>
        <v/>
      </c>
      <c r="AH89" s="0">
        <f>Codex_calc!AH89</f>
        <v/>
      </c>
      <c r="AI89" s="0">
        <f>Codex_calc!AI89</f>
        <v/>
      </c>
      <c r="AJ89" s="0">
        <f>Codex_calc!AJ89</f>
        <v/>
      </c>
      <c r="AK89" s="0">
        <f>Codex_calc!AK89</f>
        <v/>
      </c>
      <c r="AL89" s="0">
        <f>Codex_calc!AL89</f>
        <v/>
      </c>
      <c r="AM89" s="0">
        <f>Codex_calc!AM89</f>
        <v/>
      </c>
      <c r="AN89" s="0">
        <f>Codex_calc!AN89</f>
        <v/>
      </c>
      <c r="AO89" s="0">
        <f>Codex_calc!AO89</f>
        <v/>
      </c>
    </row>
    <row r="90">
      <c r="C90" s="0" t="inlineStr">
        <is>
          <t>*</t>
        </is>
      </c>
      <c r="D90" s="0">
        <f>Codex_calc!D90</f>
        <v/>
      </c>
      <c r="E90" s="0">
        <f>Codex_calc!E90</f>
        <v/>
      </c>
      <c r="F90" s="0">
        <f>Codex_calc!F90</f>
        <v/>
      </c>
      <c r="G90" s="0">
        <f>Codex_calc!G90</f>
        <v/>
      </c>
      <c r="H90" s="30">
        <f>Codex_calc!H90</f>
        <v/>
      </c>
      <c r="I90" s="0">
        <f>Codex_calc!I90</f>
        <v/>
      </c>
      <c r="J90" s="0">
        <f>Codex_calc!J90</f>
        <v/>
      </c>
      <c r="K90" s="0">
        <f>Codex_calc!K90</f>
        <v/>
      </c>
      <c r="L90" s="0">
        <f>Codex_calc!L90</f>
        <v/>
      </c>
      <c r="M90" s="30">
        <f>Codex_calc!M90</f>
        <v/>
      </c>
      <c r="N90" s="0">
        <f>Codex_calc!N90</f>
        <v/>
      </c>
      <c r="O90" s="0">
        <f>Codex_calc!O90</f>
        <v/>
      </c>
      <c r="P90" s="0">
        <f>Codex_calc!P90</f>
        <v/>
      </c>
      <c r="Q90" s="0">
        <f>Codex_calc!Q90</f>
        <v/>
      </c>
      <c r="R90" s="0">
        <f>Codex_calc!R90</f>
        <v/>
      </c>
      <c r="S90" s="0">
        <f>Codex_calc!S90</f>
        <v/>
      </c>
      <c r="T90" s="0">
        <f>Codex_calc!T90</f>
        <v/>
      </c>
      <c r="U90" s="0">
        <f>Codex_calc!U90</f>
        <v/>
      </c>
      <c r="V90" s="0">
        <f>Codex_calc!V90</f>
        <v/>
      </c>
      <c r="W90" s="0">
        <f>Codex_calc!W90</f>
        <v/>
      </c>
      <c r="X90" s="0">
        <f>Codex_calc!X90</f>
        <v/>
      </c>
      <c r="Y90" s="0">
        <f>Codex_calc!Y90</f>
        <v/>
      </c>
      <c r="Z90" s="0">
        <f>Codex_calc!Z90</f>
        <v/>
      </c>
      <c r="AA90" s="0">
        <f>Codex_calc!AA90</f>
        <v/>
      </c>
      <c r="AB90" s="0">
        <f>Codex_calc!AB90</f>
        <v/>
      </c>
      <c r="AC90" s="0">
        <f>Codex_calc!AC90</f>
        <v/>
      </c>
      <c r="AD90" s="0">
        <f>Codex_calc!AD90</f>
        <v/>
      </c>
      <c r="AE90" s="0">
        <f>Codex_calc!AE90</f>
        <v/>
      </c>
      <c r="AF90" s="0">
        <f>Codex_calc!AF90</f>
        <v/>
      </c>
      <c r="AG90" s="0">
        <f>Codex_calc!AG90</f>
        <v/>
      </c>
      <c r="AH90" s="0">
        <f>Codex_calc!AH90</f>
        <v/>
      </c>
      <c r="AI90" s="0">
        <f>Codex_calc!AI90</f>
        <v/>
      </c>
      <c r="AJ90" s="0">
        <f>Codex_calc!AJ90</f>
        <v/>
      </c>
      <c r="AK90" s="0">
        <f>Codex_calc!AK90</f>
        <v/>
      </c>
      <c r="AL90" s="0">
        <f>Codex_calc!AL90</f>
        <v/>
      </c>
      <c r="AM90" s="0">
        <f>Codex_calc!AM90</f>
        <v/>
      </c>
      <c r="AN90" s="0">
        <f>Codex_calc!AN90</f>
        <v/>
      </c>
      <c r="AO90" s="0">
        <f>Codex_calc!AO90</f>
        <v/>
      </c>
    </row>
    <row r="91">
      <c r="C91" s="0">
        <f>Codex_calc!C91</f>
        <v/>
      </c>
      <c r="D91" s="0">
        <f>Codex_calc!D91</f>
        <v/>
      </c>
      <c r="E91" s="0" t="n"/>
      <c r="F91" s="33">
        <f>Codex_calc!F91</f>
        <v/>
      </c>
      <c r="G91" s="33">
        <f>Codex_calc!G91</f>
        <v/>
      </c>
      <c r="H91" s="34">
        <f>Codex_calc!H91</f>
        <v/>
      </c>
      <c r="I91" s="33">
        <f>Codex_calc!I91</f>
        <v/>
      </c>
      <c r="J91" s="33">
        <f>Codex_calc!J91</f>
        <v/>
      </c>
      <c r="K91" s="33">
        <f>Codex_calc!K91</f>
        <v/>
      </c>
      <c r="L91" s="33">
        <f>Codex_calc!L91</f>
        <v/>
      </c>
      <c r="M91" s="34">
        <f>Codex_calc!M91</f>
        <v/>
      </c>
      <c r="N91" s="33">
        <f>Codex_calc!N91</f>
        <v/>
      </c>
      <c r="O91" s="33">
        <f>Codex_calc!O91</f>
        <v/>
      </c>
      <c r="P91" s="33">
        <f>Codex_calc!P91</f>
        <v/>
      </c>
      <c r="Q91" s="33">
        <f>Codex_calc!Q91</f>
        <v/>
      </c>
      <c r="R91" s="33">
        <f>Codex_calc!R91</f>
        <v/>
      </c>
      <c r="S91" s="33">
        <f>Codex_calc!S91</f>
        <v/>
      </c>
      <c r="T91" s="33">
        <f>Codex_calc!T91</f>
        <v/>
      </c>
      <c r="U91" s="33">
        <f>Codex_calc!U91</f>
        <v/>
      </c>
      <c r="V91" s="33">
        <f>Codex_calc!V91</f>
        <v/>
      </c>
      <c r="W91" s="33">
        <f>Codex_calc!W91</f>
        <v/>
      </c>
      <c r="X91" s="33">
        <f>Codex_calc!X91</f>
        <v/>
      </c>
      <c r="Y91" s="33">
        <f>Codex_calc!Y91</f>
        <v/>
      </c>
      <c r="Z91" s="33">
        <f>Codex_calc!Z91</f>
        <v/>
      </c>
      <c r="AA91" s="33">
        <f>Codex_calc!AA91</f>
        <v/>
      </c>
      <c r="AB91" s="33">
        <f>Codex_calc!AB91</f>
        <v/>
      </c>
      <c r="AC91" s="33">
        <f>Codex_calc!AC91</f>
        <v/>
      </c>
      <c r="AD91" s="33">
        <f>Codex_calc!AD91</f>
        <v/>
      </c>
      <c r="AE91" s="33">
        <f>Codex_calc!AE91</f>
        <v/>
      </c>
      <c r="AF91" s="33">
        <f>Codex_calc!AF91</f>
        <v/>
      </c>
      <c r="AG91" s="33">
        <f>Codex_calc!AG91</f>
        <v/>
      </c>
      <c r="AH91" s="33">
        <f>Codex_calc!AH91</f>
        <v/>
      </c>
      <c r="AI91" s="33">
        <f>Codex_calc!AI91</f>
        <v/>
      </c>
      <c r="AJ91" s="33">
        <f>Codex_calc!AJ91</f>
        <v/>
      </c>
      <c r="AK91" s="33">
        <f>Codex_calc!AK91</f>
        <v/>
      </c>
      <c r="AL91" s="33">
        <f>Codex_calc!AL91</f>
        <v/>
      </c>
      <c r="AM91" s="33">
        <f>Codex_calc!AM91</f>
        <v/>
      </c>
      <c r="AN91" s="33">
        <f>Codex_calc!AN91</f>
        <v/>
      </c>
      <c r="AO91" s="0">
        <f>Codex_calc!AO91</f>
        <v/>
      </c>
    </row>
    <row r="92" customFormat="1" s="30">
      <c r="C92" s="30">
        <f>Codex_calc!C92</f>
        <v/>
      </c>
      <c r="D92" s="30">
        <f>Codex_calc!D92</f>
        <v/>
      </c>
      <c r="AO92" s="30">
        <f>Codex_calc!AO92</f>
        <v/>
      </c>
    </row>
    <row r="93">
      <c r="C93" s="0">
        <f>Codex_calc!C93</f>
        <v/>
      </c>
      <c r="D93" s="0">
        <f>Codex_calc!D93</f>
        <v/>
      </c>
      <c r="E93" s="0">
        <f>Codex_calc!E93</f>
        <v/>
      </c>
      <c r="F93" s="0">
        <f>Codex_calc!F93</f>
        <v/>
      </c>
      <c r="G93" s="0">
        <f>Codex_calc!G93</f>
        <v/>
      </c>
      <c r="H93" s="30">
        <f>Codex_calc!H93</f>
        <v/>
      </c>
      <c r="I93" s="0">
        <f>Codex_calc!I93</f>
        <v/>
      </c>
      <c r="J93" s="0">
        <f>Codex_calc!J93</f>
        <v/>
      </c>
      <c r="K93" s="0">
        <f>Codex_calc!K93</f>
        <v/>
      </c>
      <c r="L93" s="0">
        <f>Codex_calc!L93</f>
        <v/>
      </c>
      <c r="M93" s="30">
        <f>Codex_calc!M93</f>
        <v/>
      </c>
      <c r="N93" s="0">
        <f>Codex_calc!N93</f>
        <v/>
      </c>
      <c r="O93" s="0">
        <f>Codex_calc!O93</f>
        <v/>
      </c>
      <c r="P93" s="0">
        <f>Codex_calc!P93</f>
        <v/>
      </c>
      <c r="Q93" s="0">
        <f>Codex_calc!Q93</f>
        <v/>
      </c>
      <c r="R93" s="0">
        <f>Codex_calc!R93</f>
        <v/>
      </c>
      <c r="S93" s="0">
        <f>Codex_calc!S93</f>
        <v/>
      </c>
      <c r="T93" s="0">
        <f>Codex_calc!T93</f>
        <v/>
      </c>
      <c r="U93" s="0">
        <f>Codex_calc!U93</f>
        <v/>
      </c>
      <c r="V93" s="0">
        <f>Codex_calc!V93</f>
        <v/>
      </c>
      <c r="W93" s="0">
        <f>Codex_calc!W93</f>
        <v/>
      </c>
      <c r="X93" s="0">
        <f>Codex_calc!X93</f>
        <v/>
      </c>
      <c r="Y93" s="0">
        <f>Codex_calc!Y93</f>
        <v/>
      </c>
      <c r="Z93" s="0">
        <f>Codex_calc!Z93</f>
        <v/>
      </c>
      <c r="AA93" s="0">
        <f>Codex_calc!AA93</f>
        <v/>
      </c>
      <c r="AB93" s="0">
        <f>Codex_calc!AB93</f>
        <v/>
      </c>
      <c r="AC93" s="0">
        <f>Codex_calc!AC93</f>
        <v/>
      </c>
      <c r="AD93" s="0">
        <f>Codex_calc!AD93</f>
        <v/>
      </c>
      <c r="AE93" s="0">
        <f>Codex_calc!AE93</f>
        <v/>
      </c>
      <c r="AF93" s="0">
        <f>Codex_calc!AF93</f>
        <v/>
      </c>
      <c r="AG93" s="0">
        <f>Codex_calc!AG93</f>
        <v/>
      </c>
      <c r="AH93" s="0">
        <f>Codex_calc!AH93</f>
        <v/>
      </c>
      <c r="AI93" s="0">
        <f>Codex_calc!AI93</f>
        <v/>
      </c>
      <c r="AJ93" s="0">
        <f>Codex_calc!AJ93</f>
        <v/>
      </c>
      <c r="AK93" s="0">
        <f>Codex_calc!AK93</f>
        <v/>
      </c>
      <c r="AL93" s="0">
        <f>Codex_calc!AL93</f>
        <v/>
      </c>
      <c r="AM93" s="0">
        <f>Codex_calc!AM93</f>
        <v/>
      </c>
      <c r="AN93" s="0">
        <f>Codex_calc!AN93</f>
        <v/>
      </c>
      <c r="AO93" s="0">
        <f>Codex_calc!AO93</f>
        <v/>
      </c>
    </row>
    <row r="94">
      <c r="C94" s="0">
        <f>Codex_calc!C94</f>
        <v/>
      </c>
      <c r="D94" s="0">
        <f>Codex_calc!D94</f>
        <v/>
      </c>
      <c r="E94" s="0" t="n"/>
      <c r="F94" s="33">
        <f>Codex_calc!F94</f>
        <v/>
      </c>
      <c r="G94" s="33">
        <f>Codex_calc!G94</f>
        <v/>
      </c>
      <c r="H94" s="34">
        <f>Codex_calc!H94</f>
        <v/>
      </c>
      <c r="I94" s="33">
        <f>Codex_calc!I94</f>
        <v/>
      </c>
      <c r="J94" s="33">
        <f>Codex_calc!J94</f>
        <v/>
      </c>
      <c r="K94" s="33">
        <f>Codex_calc!K94</f>
        <v/>
      </c>
      <c r="L94" s="33">
        <f>Codex_calc!L94</f>
        <v/>
      </c>
      <c r="M94" s="34">
        <f>Codex_calc!M94</f>
        <v/>
      </c>
      <c r="N94" s="33">
        <f>Codex_calc!N94</f>
        <v/>
      </c>
      <c r="O94" s="33">
        <f>Codex_calc!O94</f>
        <v/>
      </c>
      <c r="P94" s="33">
        <f>Codex_calc!P94</f>
        <v/>
      </c>
      <c r="Q94" s="33">
        <f>Codex_calc!Q94</f>
        <v/>
      </c>
      <c r="R94" s="33">
        <f>Codex_calc!R94</f>
        <v/>
      </c>
      <c r="S94" s="33">
        <f>Codex_calc!S94</f>
        <v/>
      </c>
      <c r="T94" s="33">
        <f>Codex_calc!T94</f>
        <v/>
      </c>
      <c r="U94" s="33">
        <f>Codex_calc!U94</f>
        <v/>
      </c>
      <c r="V94" s="33">
        <f>Codex_calc!V94</f>
        <v/>
      </c>
      <c r="W94" s="33">
        <f>Codex_calc!W94</f>
        <v/>
      </c>
      <c r="X94" s="33">
        <f>Codex_calc!X94</f>
        <v/>
      </c>
      <c r="Y94" s="33">
        <f>Codex_calc!Y94</f>
        <v/>
      </c>
      <c r="Z94" s="33">
        <f>Codex_calc!Z94</f>
        <v/>
      </c>
      <c r="AA94" s="33">
        <f>Codex_calc!AA94</f>
        <v/>
      </c>
      <c r="AB94" s="33">
        <f>Codex_calc!AB94</f>
        <v/>
      </c>
      <c r="AC94" s="33">
        <f>Codex_calc!AC94</f>
        <v/>
      </c>
      <c r="AD94" s="33">
        <f>Codex_calc!AD94</f>
        <v/>
      </c>
      <c r="AE94" s="33">
        <f>Codex_calc!AE94</f>
        <v/>
      </c>
      <c r="AF94" s="33">
        <f>Codex_calc!AF94</f>
        <v/>
      </c>
      <c r="AG94" s="33">
        <f>Codex_calc!AG94</f>
        <v/>
      </c>
      <c r="AH94" s="33">
        <f>Codex_calc!AH94</f>
        <v/>
      </c>
      <c r="AI94" s="33">
        <f>Codex_calc!AI94</f>
        <v/>
      </c>
      <c r="AJ94" s="33">
        <f>Codex_calc!AJ94</f>
        <v/>
      </c>
      <c r="AK94" s="33">
        <f>Codex_calc!AK94</f>
        <v/>
      </c>
      <c r="AL94" s="33">
        <f>Codex_calc!AL94</f>
        <v/>
      </c>
      <c r="AM94" s="33">
        <f>Codex_calc!AM94</f>
        <v/>
      </c>
      <c r="AN94" s="33">
        <f>Codex_calc!AN94</f>
        <v/>
      </c>
      <c r="AO94" s="0">
        <f>Codex_calc!AO94</f>
        <v/>
      </c>
    </row>
    <row r="95">
      <c r="C95" s="0">
        <f>Codex_calc!C95</f>
        <v/>
      </c>
      <c r="D95" s="0">
        <f>Codex_calc!D95</f>
        <v/>
      </c>
      <c r="E95" s="0" t="n"/>
      <c r="F95" s="0" t="n"/>
      <c r="G95" s="0" t="n"/>
      <c r="H95" s="30" t="n"/>
      <c r="K95" s="0" t="n"/>
      <c r="L95" s="0" t="n"/>
      <c r="M95" s="30" t="n"/>
      <c r="P95" s="0" t="n"/>
      <c r="R95" s="0" t="n"/>
      <c r="T95" s="0" t="n"/>
      <c r="U95" s="0" t="n"/>
      <c r="Y95" s="0" t="n"/>
      <c r="Z95" s="0" t="n"/>
      <c r="AA95" s="0" t="n"/>
      <c r="AB95" s="0" t="n"/>
      <c r="AC95" s="0" t="n"/>
      <c r="AD95" s="0" t="n"/>
      <c r="AE95" s="0" t="n"/>
      <c r="AF95" s="0" t="n"/>
      <c r="AG95" s="0" t="n"/>
      <c r="AH95" s="0" t="n"/>
      <c r="AI95" s="0" t="n"/>
      <c r="AK95" s="0" t="n"/>
      <c r="AM95" s="0" t="n"/>
      <c r="AO95" s="0">
        <f>Codex_calc!AO95</f>
        <v/>
      </c>
    </row>
    <row r="96">
      <c r="C96" s="0">
        <f>Codex_calc!C96</f>
        <v/>
      </c>
      <c r="D96" s="0">
        <f>Codex_calc!D96</f>
        <v/>
      </c>
      <c r="E96" s="0">
        <f>Codex_calc!E96</f>
        <v/>
      </c>
      <c r="F96" s="0">
        <f>Codex_calc!F96</f>
        <v/>
      </c>
      <c r="G96" s="0">
        <f>Codex_calc!G96</f>
        <v/>
      </c>
      <c r="H96" s="30">
        <f>Codex_calc!H96</f>
        <v/>
      </c>
      <c r="I96" s="0">
        <f>Codex_calc!I96</f>
        <v/>
      </c>
      <c r="J96" s="0">
        <f>Codex_calc!J96</f>
        <v/>
      </c>
      <c r="K96" s="0">
        <f>Codex_calc!K96</f>
        <v/>
      </c>
      <c r="L96" s="0">
        <f>Codex_calc!L96</f>
        <v/>
      </c>
      <c r="M96" s="30">
        <f>Codex_calc!M96</f>
        <v/>
      </c>
      <c r="N96" s="0">
        <f>Codex_calc!N96</f>
        <v/>
      </c>
      <c r="O96" s="0">
        <f>Codex_calc!O96</f>
        <v/>
      </c>
      <c r="P96" s="0">
        <f>Codex_calc!P96</f>
        <v/>
      </c>
      <c r="Q96" s="0">
        <f>Codex_calc!Q96</f>
        <v/>
      </c>
      <c r="R96" s="0">
        <f>Codex_calc!R96</f>
        <v/>
      </c>
      <c r="S96" s="0">
        <f>Codex_calc!S96</f>
        <v/>
      </c>
      <c r="T96" s="0">
        <f>Codex_calc!T96</f>
        <v/>
      </c>
      <c r="U96" s="0">
        <f>Codex_calc!U96</f>
        <v/>
      </c>
      <c r="V96" s="0">
        <f>Codex_calc!V96</f>
        <v/>
      </c>
      <c r="W96" s="0">
        <f>Codex_calc!W96</f>
        <v/>
      </c>
      <c r="X96" s="0">
        <f>Codex_calc!X96</f>
        <v/>
      </c>
      <c r="Y96" s="0">
        <f>Codex_calc!Y96</f>
        <v/>
      </c>
      <c r="Z96" s="0">
        <f>Codex_calc!Z96</f>
        <v/>
      </c>
      <c r="AA96" s="0">
        <f>Codex_calc!AA96</f>
        <v/>
      </c>
      <c r="AB96" s="0">
        <f>Codex_calc!AB96</f>
        <v/>
      </c>
      <c r="AC96" s="0">
        <f>Codex_calc!AC96</f>
        <v/>
      </c>
      <c r="AD96" s="0">
        <f>Codex_calc!AD96</f>
        <v/>
      </c>
      <c r="AE96" s="0">
        <f>Codex_calc!AE96</f>
        <v/>
      </c>
      <c r="AF96" s="0">
        <f>Codex_calc!AF96</f>
        <v/>
      </c>
      <c r="AG96" s="0">
        <f>Codex_calc!AG96</f>
        <v/>
      </c>
      <c r="AH96" s="0">
        <f>Codex_calc!AH96</f>
        <v/>
      </c>
      <c r="AI96" s="0">
        <f>Codex_calc!AI96</f>
        <v/>
      </c>
      <c r="AJ96" s="0">
        <f>Codex_calc!AJ96</f>
        <v/>
      </c>
      <c r="AK96" s="0">
        <f>Codex_calc!AK96</f>
        <v/>
      </c>
      <c r="AL96" s="0">
        <f>Codex_calc!AL96</f>
        <v/>
      </c>
      <c r="AM96" s="0">
        <f>Codex_calc!AM96</f>
        <v/>
      </c>
      <c r="AN96" s="0">
        <f>Codex_calc!AN96</f>
        <v/>
      </c>
      <c r="AO96" s="0">
        <f>Codex_calc!AO96</f>
        <v/>
      </c>
    </row>
    <row r="97">
      <c r="C97" s="0">
        <f>Codex_calc!C97</f>
        <v/>
      </c>
      <c r="D97" s="0">
        <f>Codex_calc!D97</f>
        <v/>
      </c>
      <c r="E97" s="0" t="n"/>
      <c r="F97" s="0" t="n"/>
      <c r="G97" s="0" t="n"/>
      <c r="H97" s="30" t="n"/>
      <c r="K97" s="0" t="n"/>
      <c r="L97" s="0" t="n"/>
      <c r="M97" s="30" t="n"/>
      <c r="P97" s="0" t="n"/>
      <c r="R97" s="0" t="n"/>
      <c r="T97" s="0" t="n"/>
      <c r="U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K97" s="0" t="n"/>
      <c r="AM97" s="0" t="n"/>
      <c r="AO97" s="0">
        <f>Codex_calc!AO97</f>
        <v/>
      </c>
    </row>
    <row r="98">
      <c r="C98" s="0">
        <f>Codex_calc!C98</f>
        <v/>
      </c>
      <c r="D98" s="0">
        <f>Codex_calc!D98</f>
        <v/>
      </c>
      <c r="E98" s="0" t="n"/>
      <c r="F98" s="0" t="n"/>
      <c r="G98" s="0" t="n"/>
      <c r="H98" s="30" t="n"/>
      <c r="K98" s="0" t="n"/>
      <c r="L98" s="0" t="n"/>
      <c r="M98" s="30" t="n"/>
      <c r="P98" s="0" t="n"/>
      <c r="R98" s="0" t="n"/>
      <c r="T98" s="0" t="n"/>
      <c r="U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K98" s="0" t="n"/>
      <c r="AM98" s="0" t="n"/>
      <c r="AO98" s="0">
        <f>Codex_calc!AO98</f>
        <v/>
      </c>
    </row>
    <row r="99">
      <c r="C99" s="0">
        <f>Codex_calc!C99</f>
        <v/>
      </c>
      <c r="D99" s="0">
        <f>Codex_calc!D99</f>
        <v/>
      </c>
      <c r="E99" s="0">
        <f>Codex_calc!E99</f>
        <v/>
      </c>
      <c r="F99" s="0">
        <f>Codex_calc!F99</f>
        <v/>
      </c>
      <c r="G99" s="0">
        <f>Codex_calc!G99</f>
        <v/>
      </c>
      <c r="H99" s="30">
        <f>Codex_calc!H99</f>
        <v/>
      </c>
      <c r="I99" s="0">
        <f>Codex_calc!I99</f>
        <v/>
      </c>
      <c r="J99" s="0">
        <f>Codex_calc!J99</f>
        <v/>
      </c>
      <c r="K99" s="0">
        <f>Codex_calc!K99</f>
        <v/>
      </c>
      <c r="L99" s="0">
        <f>Codex_calc!L99</f>
        <v/>
      </c>
      <c r="M99" s="30">
        <f>Codex_calc!M99</f>
        <v/>
      </c>
      <c r="N99" s="0">
        <f>Codex_calc!N99</f>
        <v/>
      </c>
      <c r="O99" s="0">
        <f>Codex_calc!O99</f>
        <v/>
      </c>
      <c r="P99" s="0">
        <f>Codex_calc!P99</f>
        <v/>
      </c>
      <c r="Q99" s="0">
        <f>Codex_calc!Q99</f>
        <v/>
      </c>
      <c r="R99" s="0">
        <f>Codex_calc!R99</f>
        <v/>
      </c>
      <c r="S99" s="0">
        <f>Codex_calc!S99</f>
        <v/>
      </c>
      <c r="T99" s="0">
        <f>Codex_calc!T99</f>
        <v/>
      </c>
      <c r="U99" s="0">
        <f>Codex_calc!U99</f>
        <v/>
      </c>
      <c r="V99" s="0">
        <f>Codex_calc!V99</f>
        <v/>
      </c>
      <c r="W99" s="0">
        <f>Codex_calc!W99</f>
        <v/>
      </c>
      <c r="X99" s="0">
        <f>Codex_calc!X99</f>
        <v/>
      </c>
      <c r="Y99" s="0">
        <f>Codex_calc!Y99</f>
        <v/>
      </c>
      <c r="Z99" s="0">
        <f>Codex_calc!Z99</f>
        <v/>
      </c>
      <c r="AA99" s="0">
        <f>Codex_calc!AA99</f>
        <v/>
      </c>
      <c r="AB99" s="0">
        <f>Codex_calc!AB99</f>
        <v/>
      </c>
      <c r="AC99" s="0">
        <f>Codex_calc!AC99</f>
        <v/>
      </c>
      <c r="AD99" s="0">
        <f>Codex_calc!AD99</f>
        <v/>
      </c>
      <c r="AE99" s="0">
        <f>Codex_calc!AE99</f>
        <v/>
      </c>
      <c r="AF99" s="0">
        <f>Codex_calc!AF99</f>
        <v/>
      </c>
      <c r="AG99" s="0">
        <f>Codex_calc!AG99</f>
        <v/>
      </c>
      <c r="AH99" s="0">
        <f>Codex_calc!AH99</f>
        <v/>
      </c>
      <c r="AI99" s="0">
        <f>Codex_calc!AI99</f>
        <v/>
      </c>
      <c r="AJ99" s="0">
        <f>Codex_calc!AJ99</f>
        <v/>
      </c>
      <c r="AK99" s="0">
        <f>Codex_calc!AK99</f>
        <v/>
      </c>
      <c r="AL99" s="0">
        <f>Codex_calc!AL99</f>
        <v/>
      </c>
      <c r="AM99" s="0">
        <f>Codex_calc!AM99</f>
        <v/>
      </c>
      <c r="AN99" s="0">
        <f>Codex_calc!AN99</f>
        <v/>
      </c>
      <c r="AO99" s="0">
        <f>Codex_calc!AO99</f>
        <v/>
      </c>
    </row>
    <row r="100">
      <c r="C100" s="0" t="inlineStr">
        <is>
          <t>*</t>
        </is>
      </c>
      <c r="D100" s="0">
        <f>Codex_calc!D100</f>
        <v/>
      </c>
      <c r="E100" s="0">
        <f>Codex_calc!E100</f>
        <v/>
      </c>
      <c r="F100" s="0">
        <f>Codex_calc!F100</f>
        <v/>
      </c>
      <c r="G100" s="0">
        <f>Codex_calc!G100</f>
        <v/>
      </c>
      <c r="H100" s="30">
        <f>Codex_calc!H100</f>
        <v/>
      </c>
      <c r="I100" s="0">
        <f>Codex_calc!I100</f>
        <v/>
      </c>
      <c r="J100" s="0">
        <f>Codex_calc!J100</f>
        <v/>
      </c>
      <c r="K100" s="0">
        <f>Codex_calc!K100</f>
        <v/>
      </c>
      <c r="L100" s="0">
        <f>Codex_calc!L100</f>
        <v/>
      </c>
      <c r="M100" s="30">
        <f>Codex_calc!M100</f>
        <v/>
      </c>
      <c r="N100" s="0">
        <f>Codex_calc!N100</f>
        <v/>
      </c>
      <c r="O100" s="0">
        <f>Codex_calc!O100</f>
        <v/>
      </c>
      <c r="P100" s="0">
        <f>Codex_calc!P100</f>
        <v/>
      </c>
      <c r="Q100" s="0">
        <f>Codex_calc!Q100</f>
        <v/>
      </c>
      <c r="R100" s="0">
        <f>Codex_calc!R100</f>
        <v/>
      </c>
      <c r="S100" s="0">
        <f>Codex_calc!S100</f>
        <v/>
      </c>
      <c r="T100" s="0">
        <f>Codex_calc!T100</f>
        <v/>
      </c>
      <c r="U100" s="0">
        <f>Codex_calc!U100</f>
        <v/>
      </c>
      <c r="V100" s="0">
        <f>Codex_calc!V100</f>
        <v/>
      </c>
      <c r="W100" s="0">
        <f>Codex_calc!W100</f>
        <v/>
      </c>
      <c r="X100" s="0">
        <f>Codex_calc!X100</f>
        <v/>
      </c>
      <c r="Y100" s="0">
        <f>Codex_calc!Y100</f>
        <v/>
      </c>
      <c r="Z100" s="0">
        <f>Codex_calc!Z100</f>
        <v/>
      </c>
      <c r="AA100" s="0">
        <f>Codex_calc!AA100</f>
        <v/>
      </c>
      <c r="AB100" s="0">
        <f>Codex_calc!AB100</f>
        <v/>
      </c>
      <c r="AC100" s="0">
        <f>Codex_calc!AC100</f>
        <v/>
      </c>
      <c r="AD100" s="0">
        <f>Codex_calc!AD100</f>
        <v/>
      </c>
      <c r="AE100" s="0">
        <f>Codex_calc!AE100</f>
        <v/>
      </c>
      <c r="AF100" s="0">
        <f>Codex_calc!AF100</f>
        <v/>
      </c>
      <c r="AG100" s="0">
        <f>Codex_calc!AG100</f>
        <v/>
      </c>
      <c r="AH100" s="0">
        <f>Codex_calc!AH100</f>
        <v/>
      </c>
      <c r="AI100" s="0">
        <f>Codex_calc!AI100</f>
        <v/>
      </c>
      <c r="AJ100" s="0">
        <f>Codex_calc!AJ100</f>
        <v/>
      </c>
      <c r="AK100" s="0">
        <f>Codex_calc!AK100</f>
        <v/>
      </c>
      <c r="AL100" s="0">
        <f>Codex_calc!AL100</f>
        <v/>
      </c>
      <c r="AM100" s="0">
        <f>Codex_calc!AM100</f>
        <v/>
      </c>
      <c r="AN100" s="0">
        <f>Codex_calc!AN100</f>
        <v/>
      </c>
      <c r="AO100" s="0">
        <f>Codex_calc!AO100</f>
        <v/>
      </c>
    </row>
    <row r="101">
      <c r="C101" s="0">
        <f>Codex_calc!C101</f>
        <v/>
      </c>
      <c r="D101" s="0">
        <f>Codex_calc!D101</f>
        <v/>
      </c>
      <c r="E101" s="0" t="n"/>
      <c r="F101" s="33">
        <f>Codex_calc!F101</f>
        <v/>
      </c>
      <c r="G101" s="33">
        <f>Codex_calc!G101</f>
        <v/>
      </c>
      <c r="H101" s="34">
        <f>Codex_calc!H101</f>
        <v/>
      </c>
      <c r="I101" s="33">
        <f>Codex_calc!I101</f>
        <v/>
      </c>
      <c r="J101" s="33">
        <f>Codex_calc!J101</f>
        <v/>
      </c>
      <c r="K101" s="33">
        <f>Codex_calc!K101</f>
        <v/>
      </c>
      <c r="L101" s="33">
        <f>Codex_calc!L101</f>
        <v/>
      </c>
      <c r="M101" s="34">
        <f>Codex_calc!M101</f>
        <v/>
      </c>
      <c r="N101" s="33">
        <f>Codex_calc!N101</f>
        <v/>
      </c>
      <c r="O101" s="33">
        <f>Codex_calc!O101</f>
        <v/>
      </c>
      <c r="P101" s="33">
        <f>Codex_calc!P101</f>
        <v/>
      </c>
      <c r="Q101" s="33">
        <f>Codex_calc!Q101</f>
        <v/>
      </c>
      <c r="R101" s="33">
        <f>Codex_calc!R101</f>
        <v/>
      </c>
      <c r="S101" s="33">
        <f>Codex_calc!S101</f>
        <v/>
      </c>
      <c r="T101" s="33">
        <f>Codex_calc!T101</f>
        <v/>
      </c>
      <c r="U101" s="33">
        <f>Codex_calc!U101</f>
        <v/>
      </c>
      <c r="V101" s="33">
        <f>Codex_calc!V101</f>
        <v/>
      </c>
      <c r="W101" s="33">
        <f>Codex_calc!W101</f>
        <v/>
      </c>
      <c r="X101" s="33">
        <f>Codex_calc!X101</f>
        <v/>
      </c>
      <c r="Y101" s="33">
        <f>Codex_calc!Y101</f>
        <v/>
      </c>
      <c r="Z101" s="33">
        <f>Codex_calc!Z101</f>
        <v/>
      </c>
      <c r="AA101" s="33">
        <f>Codex_calc!AA101</f>
        <v/>
      </c>
      <c r="AB101" s="33">
        <f>Codex_calc!AB101</f>
        <v/>
      </c>
      <c r="AC101" s="33">
        <f>Codex_calc!AC101</f>
        <v/>
      </c>
      <c r="AD101" s="33">
        <f>Codex_calc!AD101</f>
        <v/>
      </c>
      <c r="AE101" s="33">
        <f>Codex_calc!AE101</f>
        <v/>
      </c>
      <c r="AF101" s="33">
        <f>Codex_calc!AF101</f>
        <v/>
      </c>
      <c r="AG101" s="33">
        <f>Codex_calc!AG101</f>
        <v/>
      </c>
      <c r="AH101" s="33">
        <f>Codex_calc!AH101</f>
        <v/>
      </c>
      <c r="AI101" s="33">
        <f>Codex_calc!AI101</f>
        <v/>
      </c>
      <c r="AJ101" s="33">
        <f>Codex_calc!AJ101</f>
        <v/>
      </c>
      <c r="AK101" s="33">
        <f>Codex_calc!AK101</f>
        <v/>
      </c>
      <c r="AL101" s="33">
        <f>Codex_calc!AL101</f>
        <v/>
      </c>
      <c r="AM101" s="33">
        <f>Codex_calc!AM101</f>
        <v/>
      </c>
      <c r="AN101" s="33">
        <f>Codex_calc!AN101</f>
        <v/>
      </c>
      <c r="AO101" s="0">
        <f>Codex_calc!AO101</f>
        <v/>
      </c>
    </row>
    <row r="102">
      <c r="C102" s="0">
        <f>Codex_calc!C102</f>
        <v/>
      </c>
      <c r="D102" s="0">
        <f>Codex_calc!D102</f>
        <v/>
      </c>
      <c r="E102" s="0" t="n"/>
      <c r="F102" s="0" t="n"/>
      <c r="G102" s="0" t="n"/>
      <c r="H102" s="30" t="n"/>
      <c r="K102" s="0" t="n"/>
      <c r="L102" s="0" t="n"/>
      <c r="M102" s="30" t="n"/>
      <c r="P102" s="0" t="n"/>
      <c r="R102" s="0" t="n"/>
      <c r="T102" s="0" t="n"/>
      <c r="U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K102" s="0" t="n"/>
      <c r="AM102" s="0" t="n"/>
      <c r="AO102" s="0">
        <f>Codex_calc!AO102</f>
        <v/>
      </c>
    </row>
    <row r="103">
      <c r="C103" s="0">
        <f>Codex_calc!C103</f>
        <v/>
      </c>
      <c r="D103" s="0">
        <f>Codex_calc!D103</f>
        <v/>
      </c>
      <c r="E103" s="0">
        <f>Codex_calc!E103</f>
        <v/>
      </c>
      <c r="F103" s="0">
        <f>Codex_calc!F103</f>
        <v/>
      </c>
      <c r="G103" s="0">
        <f>Codex_calc!G103</f>
        <v/>
      </c>
      <c r="H103" s="30">
        <f>Codex_calc!H103</f>
        <v/>
      </c>
      <c r="I103" s="0">
        <f>Codex_calc!I103</f>
        <v/>
      </c>
      <c r="J103" s="0">
        <f>Codex_calc!J103</f>
        <v/>
      </c>
      <c r="K103" s="0">
        <f>Codex_calc!K103</f>
        <v/>
      </c>
      <c r="L103" s="0">
        <f>Codex_calc!L103</f>
        <v/>
      </c>
      <c r="M103" s="30">
        <f>Codex_calc!M103</f>
        <v/>
      </c>
      <c r="N103" s="0">
        <f>Codex_calc!N103</f>
        <v/>
      </c>
      <c r="O103" s="0">
        <f>Codex_calc!O103</f>
        <v/>
      </c>
      <c r="P103" s="0">
        <f>Codex_calc!P103</f>
        <v/>
      </c>
      <c r="Q103" s="0">
        <f>Codex_calc!Q103</f>
        <v/>
      </c>
      <c r="R103" s="0">
        <f>Codex_calc!R103</f>
        <v/>
      </c>
      <c r="S103" s="0">
        <f>Codex_calc!S103</f>
        <v/>
      </c>
      <c r="T103" s="0">
        <f>Codex_calc!T103</f>
        <v/>
      </c>
      <c r="U103" s="0">
        <f>Codex_calc!U103</f>
        <v/>
      </c>
      <c r="V103" s="0">
        <f>Codex_calc!V103</f>
        <v/>
      </c>
      <c r="W103" s="0">
        <f>Codex_calc!W103</f>
        <v/>
      </c>
      <c r="X103" s="0">
        <f>Codex_calc!X103</f>
        <v/>
      </c>
      <c r="Y103" s="0">
        <f>Codex_calc!Y103</f>
        <v/>
      </c>
      <c r="Z103" s="0">
        <f>Codex_calc!Z103</f>
        <v/>
      </c>
      <c r="AA103" s="0">
        <f>Codex_calc!AA103</f>
        <v/>
      </c>
      <c r="AB103" s="0">
        <f>Codex_calc!AB103</f>
        <v/>
      </c>
      <c r="AC103" s="0">
        <f>Codex_calc!AC103</f>
        <v/>
      </c>
      <c r="AD103" s="0">
        <f>Codex_calc!AD103</f>
        <v/>
      </c>
      <c r="AE103" s="0">
        <f>Codex_calc!AE103</f>
        <v/>
      </c>
      <c r="AF103" s="0">
        <f>Codex_calc!AF103</f>
        <v/>
      </c>
      <c r="AG103" s="0">
        <f>Codex_calc!AG103</f>
        <v/>
      </c>
      <c r="AH103" s="0">
        <f>Codex_calc!AH103</f>
        <v/>
      </c>
      <c r="AI103" s="0">
        <f>Codex_calc!AI103</f>
        <v/>
      </c>
      <c r="AJ103" s="0">
        <f>Codex_calc!AJ103</f>
        <v/>
      </c>
      <c r="AK103" s="0">
        <f>Codex_calc!AK103</f>
        <v/>
      </c>
      <c r="AL103" s="0">
        <f>Codex_calc!AL103</f>
        <v/>
      </c>
      <c r="AM103" s="0">
        <f>Codex_calc!AM103</f>
        <v/>
      </c>
      <c r="AN103" s="0">
        <f>Codex_calc!AN103</f>
        <v/>
      </c>
      <c r="AO103" s="0">
        <f>Codex_calc!AO103</f>
        <v/>
      </c>
    </row>
    <row r="104">
      <c r="C104" s="0">
        <f>Codex_calc!C104</f>
        <v/>
      </c>
      <c r="D104" s="0">
        <f>Codex_calc!D104</f>
        <v/>
      </c>
      <c r="E104" s="0" t="n"/>
      <c r="F104" s="33">
        <f>Codex_calc!F104</f>
        <v/>
      </c>
      <c r="G104" s="33">
        <f>Codex_calc!G104</f>
        <v/>
      </c>
      <c r="H104" s="34">
        <f>Codex_calc!H104</f>
        <v/>
      </c>
      <c r="I104" s="33">
        <f>Codex_calc!I104</f>
        <v/>
      </c>
      <c r="J104" s="33">
        <f>Codex_calc!J104</f>
        <v/>
      </c>
      <c r="K104" s="33">
        <f>Codex_calc!K104</f>
        <v/>
      </c>
      <c r="L104" s="33">
        <f>Codex_calc!L104</f>
        <v/>
      </c>
      <c r="M104" s="34">
        <f>Codex_calc!M104</f>
        <v/>
      </c>
      <c r="N104" s="33">
        <f>Codex_calc!N104</f>
        <v/>
      </c>
      <c r="O104" s="33">
        <f>Codex_calc!O104</f>
        <v/>
      </c>
      <c r="P104" s="33">
        <f>Codex_calc!P104</f>
        <v/>
      </c>
      <c r="Q104" s="33">
        <f>Codex_calc!Q104</f>
        <v/>
      </c>
      <c r="R104" s="33">
        <f>Codex_calc!R104</f>
        <v/>
      </c>
      <c r="S104" s="33">
        <f>Codex_calc!S104</f>
        <v/>
      </c>
      <c r="T104" s="33">
        <f>Codex_calc!T104</f>
        <v/>
      </c>
      <c r="U104" s="33">
        <f>Codex_calc!U104</f>
        <v/>
      </c>
      <c r="V104" s="33">
        <f>Codex_calc!V104</f>
        <v/>
      </c>
      <c r="W104" s="33">
        <f>Codex_calc!W104</f>
        <v/>
      </c>
      <c r="X104" s="33">
        <f>Codex_calc!X104</f>
        <v/>
      </c>
      <c r="Y104" s="33">
        <f>Codex_calc!Y104</f>
        <v/>
      </c>
      <c r="Z104" s="33">
        <f>Codex_calc!Z104</f>
        <v/>
      </c>
      <c r="AA104" s="33">
        <f>Codex_calc!AA104</f>
        <v/>
      </c>
      <c r="AB104" s="33">
        <f>Codex_calc!AB104</f>
        <v/>
      </c>
      <c r="AC104" s="33">
        <f>Codex_calc!AC104</f>
        <v/>
      </c>
      <c r="AD104" s="33">
        <f>Codex_calc!AD104</f>
        <v/>
      </c>
      <c r="AE104" s="33">
        <f>Codex_calc!AE104</f>
        <v/>
      </c>
      <c r="AF104" s="33">
        <f>Codex_calc!AF104</f>
        <v/>
      </c>
      <c r="AG104" s="33">
        <f>Codex_calc!AG104</f>
        <v/>
      </c>
      <c r="AH104" s="33">
        <f>Codex_calc!AH104</f>
        <v/>
      </c>
      <c r="AI104" s="33">
        <f>Codex_calc!AI104</f>
        <v/>
      </c>
      <c r="AJ104" s="33">
        <f>Codex_calc!AJ104</f>
        <v/>
      </c>
      <c r="AK104" s="33">
        <f>Codex_calc!AK104</f>
        <v/>
      </c>
      <c r="AL104" s="33">
        <f>Codex_calc!AL104</f>
        <v/>
      </c>
      <c r="AM104" s="33">
        <f>Codex_calc!AM104</f>
        <v/>
      </c>
      <c r="AN104" s="33">
        <f>Codex_calc!AN104</f>
        <v/>
      </c>
      <c r="AO104" s="0">
        <f>Codex_calc!AO104</f>
        <v/>
      </c>
    </row>
    <row r="105">
      <c r="C105" s="0">
        <f>Codex_calc!C105</f>
        <v/>
      </c>
      <c r="D105" s="0">
        <f>Codex_calc!D105</f>
        <v/>
      </c>
      <c r="E105" s="0" t="n"/>
      <c r="F105" s="0" t="n"/>
      <c r="G105" s="0" t="n"/>
      <c r="H105" s="30" t="n"/>
      <c r="K105" s="0" t="n"/>
      <c r="L105" s="0" t="n"/>
      <c r="M105" s="30" t="n"/>
      <c r="P105" s="0" t="n"/>
      <c r="R105" s="0" t="n"/>
      <c r="T105" s="0" t="n"/>
      <c r="U105" s="0" t="n"/>
      <c r="Y105" s="0" t="n"/>
      <c r="Z105" s="0" t="n"/>
      <c r="AA105" s="0" t="n"/>
      <c r="AB105" s="0" t="n"/>
      <c r="AC105" s="0" t="n"/>
      <c r="AD105" s="0" t="n"/>
      <c r="AE105" s="0" t="n"/>
      <c r="AF105" s="0" t="n"/>
      <c r="AG105" s="0" t="n"/>
      <c r="AH105" s="0" t="n"/>
      <c r="AI105" s="0" t="n"/>
      <c r="AK105" s="0" t="n"/>
      <c r="AM105" s="0" t="n"/>
      <c r="AO105" s="0">
        <f>Codex_calc!AO105</f>
        <v/>
      </c>
    </row>
    <row r="106">
      <c r="C106" s="0">
        <f>Codex_calc!C106</f>
        <v/>
      </c>
      <c r="D106" s="0">
        <f>Codex_calc!D106</f>
        <v/>
      </c>
      <c r="E106" s="0">
        <f>Codex_calc!E106</f>
        <v/>
      </c>
      <c r="F106" s="0">
        <f>Codex_calc!F106</f>
        <v/>
      </c>
      <c r="G106" s="0">
        <f>Codex_calc!G106</f>
        <v/>
      </c>
      <c r="H106" s="30">
        <f>Codex_calc!H106</f>
        <v/>
      </c>
      <c r="I106" s="0">
        <f>Codex_calc!I106</f>
        <v/>
      </c>
      <c r="J106" s="0">
        <f>Codex_calc!J106</f>
        <v/>
      </c>
      <c r="K106" s="0">
        <f>Codex_calc!K106</f>
        <v/>
      </c>
      <c r="L106" s="0">
        <f>Codex_calc!L106</f>
        <v/>
      </c>
      <c r="M106" s="30">
        <f>Codex_calc!M106</f>
        <v/>
      </c>
      <c r="N106" s="0">
        <f>Codex_calc!N106</f>
        <v/>
      </c>
      <c r="O106" s="0">
        <f>Codex_calc!O106</f>
        <v/>
      </c>
      <c r="P106" s="0">
        <f>Codex_calc!P106</f>
        <v/>
      </c>
      <c r="Q106" s="0">
        <f>Codex_calc!Q106</f>
        <v/>
      </c>
      <c r="R106" s="0">
        <f>Codex_calc!R106</f>
        <v/>
      </c>
      <c r="S106" s="0">
        <f>Codex_calc!S106</f>
        <v/>
      </c>
      <c r="T106" s="0">
        <f>Codex_calc!T106</f>
        <v/>
      </c>
      <c r="U106" s="0">
        <f>Codex_calc!U106</f>
        <v/>
      </c>
      <c r="V106" s="0">
        <f>Codex_calc!V106</f>
        <v/>
      </c>
      <c r="W106" s="0">
        <f>Codex_calc!W106</f>
        <v/>
      </c>
      <c r="X106" s="0">
        <f>Codex_calc!X106</f>
        <v/>
      </c>
      <c r="Y106" s="0">
        <f>Codex_calc!Y106</f>
        <v/>
      </c>
      <c r="Z106" s="0">
        <f>Codex_calc!Z106</f>
        <v/>
      </c>
      <c r="AA106" s="0">
        <f>Codex_calc!AA106</f>
        <v/>
      </c>
      <c r="AB106" s="0">
        <f>Codex_calc!AB106</f>
        <v/>
      </c>
      <c r="AC106" s="0">
        <f>Codex_calc!AC106</f>
        <v/>
      </c>
      <c r="AD106" s="0">
        <f>Codex_calc!AD106</f>
        <v/>
      </c>
      <c r="AE106" s="0">
        <f>Codex_calc!AE106</f>
        <v/>
      </c>
      <c r="AF106" s="0">
        <f>Codex_calc!AF106</f>
        <v/>
      </c>
      <c r="AG106" s="0">
        <f>Codex_calc!AG106</f>
        <v/>
      </c>
      <c r="AH106" s="0">
        <f>Codex_calc!AH106</f>
        <v/>
      </c>
      <c r="AI106" s="0">
        <f>Codex_calc!AI106</f>
        <v/>
      </c>
      <c r="AJ106" s="0">
        <f>Codex_calc!AJ106</f>
        <v/>
      </c>
      <c r="AK106" s="0">
        <f>Codex_calc!AK106</f>
        <v/>
      </c>
      <c r="AL106" s="0">
        <f>Codex_calc!AL106</f>
        <v/>
      </c>
      <c r="AM106" s="0">
        <f>Codex_calc!AM106</f>
        <v/>
      </c>
      <c r="AN106" s="0">
        <f>Codex_calc!AN106</f>
        <v/>
      </c>
      <c r="AO106" s="0">
        <f>Codex_calc!AO106</f>
        <v/>
      </c>
    </row>
    <row r="107">
      <c r="C107" s="0">
        <f>Codex_calc!C107</f>
        <v/>
      </c>
      <c r="D107" s="0">
        <f>Codex_calc!D107</f>
        <v/>
      </c>
      <c r="E107" s="0" t="n"/>
      <c r="F107" s="0" t="n"/>
      <c r="G107" s="0" t="n"/>
      <c r="H107" s="30" t="n"/>
      <c r="K107" s="0" t="n"/>
      <c r="L107" s="0" t="n"/>
      <c r="M107" s="30" t="n"/>
      <c r="P107" s="0" t="n"/>
      <c r="R107" s="0" t="n"/>
      <c r="T107" s="0" t="n"/>
      <c r="U107" s="0" t="n"/>
      <c r="Y107" s="0" t="n"/>
      <c r="Z107" s="0" t="n"/>
      <c r="AA107" s="0" t="n"/>
      <c r="AB107" s="0" t="n"/>
      <c r="AC107" s="0" t="n"/>
      <c r="AD107" s="0" t="n"/>
      <c r="AE107" s="0" t="n"/>
      <c r="AF107" s="0" t="n"/>
      <c r="AG107" s="0" t="n"/>
      <c r="AH107" s="0" t="n"/>
      <c r="AI107" s="0" t="n"/>
      <c r="AK107" s="0" t="n"/>
      <c r="AM107" s="0" t="n"/>
      <c r="AO107" s="0">
        <f>Codex_calc!AO107</f>
        <v/>
      </c>
    </row>
    <row r="108">
      <c r="C108" s="0">
        <f>Codex_calc!C108</f>
        <v/>
      </c>
      <c r="D108" s="0">
        <f>Codex_calc!D108</f>
        <v/>
      </c>
      <c r="E108" s="0" t="n"/>
      <c r="F108" s="0" t="n"/>
      <c r="G108" s="0" t="n"/>
      <c r="H108" s="30" t="n"/>
      <c r="K108" s="0" t="n"/>
      <c r="L108" s="0" t="n"/>
      <c r="M108" s="30" t="n"/>
      <c r="P108" s="0" t="n"/>
      <c r="R108" s="0" t="n"/>
      <c r="T108" s="0" t="n"/>
      <c r="U108" s="0" t="n"/>
      <c r="Y108" s="0" t="n"/>
      <c r="Z108" s="0" t="n"/>
      <c r="AA108" s="0" t="n"/>
      <c r="AB108" s="0" t="n"/>
      <c r="AC108" s="0" t="n"/>
      <c r="AD108" s="0" t="n"/>
      <c r="AE108" s="0" t="n"/>
      <c r="AF108" s="0" t="n"/>
      <c r="AG108" s="0" t="n"/>
      <c r="AH108" s="0" t="n"/>
      <c r="AI108" s="0" t="n"/>
      <c r="AK108" s="0" t="n"/>
      <c r="AM108" s="0" t="n"/>
      <c r="AO108" s="0">
        <f>Codex_calc!AO108</f>
        <v/>
      </c>
    </row>
    <row r="109">
      <c r="C109" s="0">
        <f>Codex_calc!C109</f>
        <v/>
      </c>
      <c r="D109" s="0">
        <f>Codex_calc!D109</f>
        <v/>
      </c>
      <c r="E109" s="0">
        <f>Codex_calc!E109</f>
        <v/>
      </c>
      <c r="F109" s="0">
        <f>Codex_calc!F109</f>
        <v/>
      </c>
      <c r="G109" s="0">
        <f>Codex_calc!G109</f>
        <v/>
      </c>
      <c r="H109" s="30">
        <f>Codex_calc!H109</f>
        <v/>
      </c>
      <c r="I109" s="0">
        <f>Codex_calc!I109</f>
        <v/>
      </c>
      <c r="J109" s="0">
        <f>Codex_calc!J109</f>
        <v/>
      </c>
      <c r="K109" s="0">
        <f>Codex_calc!K109</f>
        <v/>
      </c>
      <c r="L109" s="0">
        <f>Codex_calc!L109</f>
        <v/>
      </c>
      <c r="M109" s="30">
        <f>Codex_calc!M109</f>
        <v/>
      </c>
      <c r="N109" s="0">
        <f>Codex_calc!N109</f>
        <v/>
      </c>
      <c r="O109" s="0">
        <f>Codex_calc!O109</f>
        <v/>
      </c>
      <c r="P109" s="0">
        <f>Codex_calc!P109</f>
        <v/>
      </c>
      <c r="Q109" s="0">
        <f>Codex_calc!Q109</f>
        <v/>
      </c>
      <c r="R109" s="0">
        <f>Codex_calc!R109</f>
        <v/>
      </c>
      <c r="S109" s="0">
        <f>Codex_calc!S109</f>
        <v/>
      </c>
      <c r="T109" s="0">
        <f>Codex_calc!T109</f>
        <v/>
      </c>
      <c r="U109" s="0">
        <f>Codex_calc!U109</f>
        <v/>
      </c>
      <c r="V109" s="0">
        <f>Codex_calc!V109</f>
        <v/>
      </c>
      <c r="W109" s="0">
        <f>Codex_calc!W109</f>
        <v/>
      </c>
      <c r="X109" s="0">
        <f>Codex_calc!X109</f>
        <v/>
      </c>
      <c r="Y109" s="0">
        <f>Codex_calc!Y109</f>
        <v/>
      </c>
      <c r="Z109" s="0">
        <f>Codex_calc!Z109</f>
        <v/>
      </c>
      <c r="AA109" s="0">
        <f>Codex_calc!AA109</f>
        <v/>
      </c>
      <c r="AB109" s="0">
        <f>Codex_calc!AB109</f>
        <v/>
      </c>
      <c r="AC109" s="0">
        <f>Codex_calc!AC109</f>
        <v/>
      </c>
      <c r="AD109" s="0">
        <f>Codex_calc!AD109</f>
        <v/>
      </c>
      <c r="AE109" s="0">
        <f>Codex_calc!AE109</f>
        <v/>
      </c>
      <c r="AF109" s="0">
        <f>Codex_calc!AF109</f>
        <v/>
      </c>
      <c r="AG109" s="0">
        <f>Codex_calc!AG109</f>
        <v/>
      </c>
      <c r="AH109" s="0">
        <f>Codex_calc!AH109</f>
        <v/>
      </c>
      <c r="AI109" s="0">
        <f>Codex_calc!AI109</f>
        <v/>
      </c>
      <c r="AJ109" s="0">
        <f>Codex_calc!AJ109</f>
        <v/>
      </c>
      <c r="AK109" s="0">
        <f>Codex_calc!AK109</f>
        <v/>
      </c>
      <c r="AL109" s="0">
        <f>Codex_calc!AL109</f>
        <v/>
      </c>
      <c r="AM109" s="0">
        <f>Codex_calc!AM109</f>
        <v/>
      </c>
      <c r="AN109" s="0">
        <f>Codex_calc!AN109</f>
        <v/>
      </c>
      <c r="AO109" s="0">
        <f>Codex_calc!AO109</f>
        <v/>
      </c>
    </row>
    <row r="113">
      <c r="E113" s="0" t="n"/>
      <c r="F113" s="0">
        <f>Codex_calc!F81</f>
        <v/>
      </c>
      <c r="G113" s="0">
        <f>Codex_calc!G81</f>
        <v/>
      </c>
      <c r="H113" s="30">
        <f>Codex_calc!H81</f>
        <v/>
      </c>
      <c r="I113" s="0">
        <f>Codex_calc!I81</f>
        <v/>
      </c>
      <c r="J113" s="0">
        <f>Codex_calc!J81</f>
        <v/>
      </c>
      <c r="K113" s="0">
        <f>Codex_calc!K81</f>
        <v/>
      </c>
      <c r="L113" s="0">
        <f>Codex_calc!L81</f>
        <v/>
      </c>
      <c r="M113" s="30">
        <f>Codex_calc!M81</f>
        <v/>
      </c>
      <c r="N113" s="0">
        <f>Codex_calc!N81</f>
        <v/>
      </c>
      <c r="O113" s="0">
        <f>Codex_calc!O81</f>
        <v/>
      </c>
      <c r="P113" s="0">
        <f>Codex_calc!P81</f>
        <v/>
      </c>
      <c r="Q113" s="0">
        <f>Codex_calc!Q81</f>
        <v/>
      </c>
      <c r="R113" s="0">
        <f>Codex_calc!R81</f>
        <v/>
      </c>
      <c r="S113" s="0">
        <f>Codex_calc!S81</f>
        <v/>
      </c>
      <c r="T113" s="0">
        <f>Codex_calc!T81</f>
        <v/>
      </c>
      <c r="U113" s="0">
        <f>Codex_calc!U81</f>
        <v/>
      </c>
      <c r="V113" s="0">
        <f>Codex_calc!V81</f>
        <v/>
      </c>
      <c r="W113" s="0">
        <f>Codex_calc!W81</f>
        <v/>
      </c>
      <c r="X113" s="0">
        <f>Codex_calc!X81</f>
        <v/>
      </c>
      <c r="Y113" s="0">
        <f>Codex_calc!Y81</f>
        <v/>
      </c>
      <c r="Z113" s="0">
        <f>Codex_calc!Z81</f>
        <v/>
      </c>
      <c r="AA113" s="0">
        <f>Codex_calc!AA81</f>
        <v/>
      </c>
      <c r="AB113" s="0">
        <f>Codex_calc!AB81</f>
        <v/>
      </c>
      <c r="AC113" s="0">
        <f>Codex_calc!AC81</f>
        <v/>
      </c>
      <c r="AD113" s="0">
        <f>Codex_calc!AD81</f>
        <v/>
      </c>
      <c r="AE113" s="0">
        <f>Codex_calc!AE81</f>
        <v/>
      </c>
      <c r="AF113" s="0">
        <f>Codex_calc!AF81</f>
        <v/>
      </c>
      <c r="AG113" s="0">
        <f>Codex_calc!AG81</f>
        <v/>
      </c>
      <c r="AH113" s="0">
        <f>Codex_calc!AH81</f>
        <v/>
      </c>
      <c r="AI113" s="0">
        <f>Codex_calc!AI81</f>
        <v/>
      </c>
      <c r="AJ113" s="0">
        <f>Codex_calc!AJ81</f>
        <v/>
      </c>
      <c r="AK113" s="0">
        <f>Codex_calc!AK81</f>
        <v/>
      </c>
      <c r="AL113" s="0">
        <f>Codex_calc!AL81</f>
        <v/>
      </c>
      <c r="AM113" s="0">
        <f>Codex_calc!AM81</f>
        <v/>
      </c>
      <c r="AN113" s="0">
        <f>Codex_calc!AN81</f>
        <v/>
      </c>
    </row>
    <row r="114">
      <c r="E114" s="0" t="n"/>
      <c r="F114" s="0">
        <f>Codex_calc!F84</f>
        <v/>
      </c>
      <c r="G114" s="0">
        <f>Codex_calc!G84</f>
        <v/>
      </c>
      <c r="H114" s="30">
        <f>Codex_calc!H84</f>
        <v/>
      </c>
      <c r="I114" s="0">
        <f>Codex_calc!I84</f>
        <v/>
      </c>
      <c r="J114" s="0">
        <f>Codex_calc!J84</f>
        <v/>
      </c>
      <c r="K114" s="0">
        <f>Codex_calc!K84</f>
        <v/>
      </c>
      <c r="L114" s="0">
        <f>Codex_calc!L84</f>
        <v/>
      </c>
      <c r="M114" s="30">
        <f>Codex_calc!M84</f>
        <v/>
      </c>
      <c r="N114" s="0">
        <f>Codex_calc!N84</f>
        <v/>
      </c>
      <c r="O114" s="0">
        <f>Codex_calc!O84</f>
        <v/>
      </c>
      <c r="P114" s="0">
        <f>Codex_calc!P84</f>
        <v/>
      </c>
      <c r="Q114" s="0">
        <f>Codex_calc!Q84</f>
        <v/>
      </c>
      <c r="R114" s="0">
        <f>Codex_calc!R84</f>
        <v/>
      </c>
      <c r="S114" s="0">
        <f>Codex_calc!S84</f>
        <v/>
      </c>
      <c r="T114" s="0">
        <f>Codex_calc!T84</f>
        <v/>
      </c>
      <c r="U114" s="0">
        <f>Codex_calc!U84</f>
        <v/>
      </c>
      <c r="V114" s="0">
        <f>Codex_calc!V84</f>
        <v/>
      </c>
      <c r="W114" s="0">
        <f>Codex_calc!W84</f>
        <v/>
      </c>
      <c r="X114" s="0">
        <f>Codex_calc!X84</f>
        <v/>
      </c>
      <c r="Y114" s="0">
        <f>Codex_calc!Y84</f>
        <v/>
      </c>
      <c r="Z114" s="0">
        <f>Codex_calc!Z84</f>
        <v/>
      </c>
      <c r="AA114" s="0">
        <f>Codex_calc!AA84</f>
        <v/>
      </c>
      <c r="AB114" s="0">
        <f>Codex_calc!AB84</f>
        <v/>
      </c>
      <c r="AC114" s="0">
        <f>Codex_calc!AC84</f>
        <v/>
      </c>
      <c r="AD114" s="0">
        <f>Codex_calc!AD84</f>
        <v/>
      </c>
      <c r="AE114" s="0">
        <f>Codex_calc!AE84</f>
        <v/>
      </c>
      <c r="AF114" s="0">
        <f>Codex_calc!AF84</f>
        <v/>
      </c>
      <c r="AG114" s="0">
        <f>Codex_calc!AG84</f>
        <v/>
      </c>
      <c r="AH114" s="0">
        <f>Codex_calc!AH84</f>
        <v/>
      </c>
      <c r="AI114" s="0">
        <f>Codex_calc!AI84</f>
        <v/>
      </c>
      <c r="AJ114" s="0">
        <f>Codex_calc!AJ84</f>
        <v/>
      </c>
      <c r="AK114" s="0">
        <f>Codex_calc!AK84</f>
        <v/>
      </c>
      <c r="AL114" s="0">
        <f>Codex_calc!AL84</f>
        <v/>
      </c>
      <c r="AM114" s="0">
        <f>Codex_calc!AM84</f>
        <v/>
      </c>
      <c r="AN114" s="0">
        <f>Codex_calc!AN84</f>
        <v/>
      </c>
    </row>
    <row r="115">
      <c r="F115" s="0">
        <f>F82/F113</f>
        <v/>
      </c>
      <c r="G115" s="0">
        <f>G82/G113</f>
        <v/>
      </c>
      <c r="H115" s="31">
        <f>H82/H113</f>
        <v/>
      </c>
      <c r="I115" s="0">
        <f>I82/I113</f>
        <v/>
      </c>
      <c r="J115" s="0">
        <f>J82/J113</f>
        <v/>
      </c>
      <c r="K115" s="0">
        <f>K82/K113</f>
        <v/>
      </c>
      <c r="L115" s="0">
        <f>L82/L113</f>
        <v/>
      </c>
      <c r="M115" s="31">
        <f>M82/M113</f>
        <v/>
      </c>
      <c r="N115" s="0">
        <f>N82/N113</f>
        <v/>
      </c>
      <c r="O115" s="0">
        <f>O82/O113</f>
        <v/>
      </c>
      <c r="P115" s="0">
        <f>P82/P113</f>
        <v/>
      </c>
      <c r="Q115" s="0">
        <f>Q82/Q113</f>
        <v/>
      </c>
      <c r="R115" s="0">
        <f>R82/R113</f>
        <v/>
      </c>
      <c r="S115" s="0">
        <f>S82/S113</f>
        <v/>
      </c>
      <c r="T115" s="0">
        <f>T82/T113</f>
        <v/>
      </c>
      <c r="U115" s="0">
        <f>U82/U113</f>
        <v/>
      </c>
      <c r="V115" s="0">
        <f>V82/V113</f>
        <v/>
      </c>
      <c r="W115" s="0">
        <f>W82/W113</f>
        <v/>
      </c>
      <c r="X115" s="0">
        <f>X82/X113</f>
        <v/>
      </c>
      <c r="Y115" s="0">
        <f>Y82/Y113</f>
        <v/>
      </c>
      <c r="Z115" s="0">
        <f>Z82/Z113</f>
        <v/>
      </c>
      <c r="AA115" s="0">
        <f>AA82/AA113</f>
        <v/>
      </c>
      <c r="AB115" s="0">
        <f>AB82/AB113</f>
        <v/>
      </c>
      <c r="AC115" s="0">
        <f>AC82/AC113</f>
        <v/>
      </c>
      <c r="AD115" s="0">
        <f>AD82/AD113</f>
        <v/>
      </c>
      <c r="AE115" s="0">
        <f>AE82/AE113</f>
        <v/>
      </c>
      <c r="AF115" s="0">
        <f>AF82/AF113</f>
        <v/>
      </c>
      <c r="AG115" s="0">
        <f>AG82/AG113</f>
        <v/>
      </c>
      <c r="AH115" s="0">
        <f>AH82/AH113</f>
        <v/>
      </c>
      <c r="AI115" s="0">
        <f>AI82/AI113</f>
        <v/>
      </c>
      <c r="AJ115" s="0">
        <f>AJ82/AJ113</f>
        <v/>
      </c>
      <c r="AK115" s="0">
        <f>AK82/AK113</f>
        <v/>
      </c>
      <c r="AL115" s="0">
        <f>AL82/AL113</f>
        <v/>
      </c>
      <c r="AM115" s="0">
        <f>AM82/AM113</f>
        <v/>
      </c>
      <c r="AN115" s="0">
        <f>AN82/AN113</f>
        <v/>
      </c>
    </row>
    <row r="116">
      <c r="F116" s="0">
        <f>F102/F101</f>
        <v/>
      </c>
      <c r="G116" s="0">
        <f>G102/G101</f>
        <v/>
      </c>
      <c r="H116" s="31">
        <f>H102/H101</f>
        <v/>
      </c>
      <c r="I116" s="0">
        <f>I102/I101</f>
        <v/>
      </c>
      <c r="J116" s="0">
        <f>J102/J101</f>
        <v/>
      </c>
      <c r="K116" s="0">
        <f>K102/K101</f>
        <v/>
      </c>
      <c r="L116" s="0">
        <f>L102/L101</f>
        <v/>
      </c>
      <c r="M116" s="31">
        <f>M102/M101</f>
        <v/>
      </c>
      <c r="N116" s="0">
        <f>N102/N101</f>
        <v/>
      </c>
      <c r="O116" s="0">
        <f>O102/O101</f>
        <v/>
      </c>
      <c r="P116" s="0">
        <f>P102/P101</f>
        <v/>
      </c>
      <c r="Q116" s="0">
        <f>Q102/Q101</f>
        <v/>
      </c>
      <c r="R116" s="0">
        <f>R102/R101</f>
        <v/>
      </c>
      <c r="S116" s="0">
        <f>S102/S101</f>
        <v/>
      </c>
      <c r="T116" s="0">
        <f>T102/T101</f>
        <v/>
      </c>
      <c r="U116" s="0">
        <f>U102/U101</f>
        <v/>
      </c>
      <c r="V116" s="0">
        <f>V102/V101</f>
        <v/>
      </c>
      <c r="W116" s="0">
        <f>W102/W101</f>
        <v/>
      </c>
      <c r="X116" s="0">
        <f>X102/X101</f>
        <v/>
      </c>
      <c r="Y116" s="0">
        <f>Y102/Y101</f>
        <v/>
      </c>
      <c r="Z116" s="0">
        <f>Z102/Z101</f>
        <v/>
      </c>
      <c r="AA116" s="0">
        <f>AA102/AA101</f>
        <v/>
      </c>
      <c r="AB116" s="0">
        <f>AB102/AB101</f>
        <v/>
      </c>
      <c r="AC116" s="0">
        <f>AC102/AC101</f>
        <v/>
      </c>
      <c r="AD116" s="0">
        <f>AD102/AD101</f>
        <v/>
      </c>
      <c r="AE116" s="0">
        <f>AE102/AE101</f>
        <v/>
      </c>
      <c r="AF116" s="0">
        <f>AF102/AF101</f>
        <v/>
      </c>
      <c r="AG116" s="0">
        <f>AG102/AG101</f>
        <v/>
      </c>
      <c r="AH116" s="0">
        <f>AH102/AH101</f>
        <v/>
      </c>
      <c r="AI116" s="0">
        <f>AI102/AI101</f>
        <v/>
      </c>
      <c r="AJ116" s="0">
        <f>AJ102/AJ101</f>
        <v/>
      </c>
      <c r="AK116" s="0">
        <f>AK102/AK101</f>
        <v/>
      </c>
      <c r="AL116" s="0">
        <f>AL102/AL101</f>
        <v/>
      </c>
      <c r="AM116" s="0">
        <f>AM102/AM101</f>
        <v/>
      </c>
      <c r="AN116" s="0">
        <f>AN102/AN101</f>
        <v/>
      </c>
    </row>
    <row r="117">
      <c r="C117" s="0" t="inlineStr">
        <is>
          <t>Observed activity in 2024*our study scope</t>
        </is>
      </c>
      <c r="E117" s="38" t="inlineStr">
        <is>
          <t>process</t>
        </is>
      </c>
      <c r="F117" s="38" t="inlineStr">
        <is>
          <t>Africa_North</t>
        </is>
      </c>
      <c r="G117" s="38" t="inlineStr">
        <is>
          <t>Africa_Other</t>
        </is>
      </c>
      <c r="H117" s="31" t="inlineStr">
        <is>
          <t>Australia</t>
        </is>
      </c>
      <c r="I117" s="38" t="inlineStr">
        <is>
          <t>Austria</t>
        </is>
      </c>
      <c r="J117" s="38" t="inlineStr">
        <is>
          <t>Baltics</t>
        </is>
      </c>
      <c r="K117" s="38" t="inlineStr">
        <is>
          <t>BeNeLux</t>
        </is>
      </c>
      <c r="L117" s="38" t="inlineStr">
        <is>
          <t>Brazil</t>
        </is>
      </c>
      <c r="M117" s="31" t="inlineStr">
        <is>
          <t>China</t>
        </is>
      </c>
      <c r="N117" s="38" t="inlineStr">
        <is>
          <t>CroSloven</t>
        </is>
      </c>
      <c r="O117" s="38" t="inlineStr">
        <is>
          <t>CzechSlovak</t>
        </is>
      </c>
      <c r="P117" s="38" t="inlineStr">
        <is>
          <t>France</t>
        </is>
      </c>
      <c r="Q117" s="38" t="inlineStr">
        <is>
          <t>Germany</t>
        </is>
      </c>
      <c r="R117" s="38" t="inlineStr">
        <is>
          <t>GreeceCyp</t>
        </is>
      </c>
      <c r="S117" s="38" t="inlineStr">
        <is>
          <t>HunRomBul</t>
        </is>
      </c>
      <c r="T117" s="38" t="inlineStr">
        <is>
          <t>Iceland</t>
        </is>
      </c>
      <c r="U117" s="38" t="inlineStr">
        <is>
          <t>India</t>
        </is>
      </c>
      <c r="V117" s="38" t="inlineStr">
        <is>
          <t>Ireland</t>
        </is>
      </c>
      <c r="W117" s="38" t="inlineStr">
        <is>
          <t>ItalyMal</t>
        </is>
      </c>
      <c r="X117" s="38" t="inlineStr">
        <is>
          <t>Japan</t>
        </is>
      </c>
      <c r="Y117" s="38" t="inlineStr">
        <is>
          <t>LatAm</t>
        </is>
      </c>
      <c r="Z117" s="38" t="inlineStr">
        <is>
          <t>MidEast</t>
        </is>
      </c>
      <c r="AA117" s="38" t="inlineStr">
        <is>
          <t>NorthAm</t>
        </is>
      </c>
      <c r="AB117" s="38" t="inlineStr">
        <is>
          <t>Norway</t>
        </is>
      </c>
      <c r="AC117" s="38" t="inlineStr">
        <is>
          <t>Poland</t>
        </is>
      </c>
      <c r="AD117" s="38" t="inlineStr">
        <is>
          <t>ROW</t>
        </is>
      </c>
      <c r="AE117" s="38" t="inlineStr">
        <is>
          <t>Russia</t>
        </is>
      </c>
      <c r="AF117" s="38" t="inlineStr">
        <is>
          <t>SaudiArabia</t>
        </is>
      </c>
      <c r="AG117" s="38" t="inlineStr">
        <is>
          <t>SouthAfrica</t>
        </is>
      </c>
      <c r="AH117" s="38" t="inlineStr">
        <is>
          <t>SpainPor</t>
        </is>
      </c>
      <c r="AI117" s="38" t="inlineStr">
        <is>
          <t>SweFinDen</t>
        </is>
      </c>
      <c r="AJ117" s="38" t="inlineStr">
        <is>
          <t>Switzerland</t>
        </is>
      </c>
      <c r="AK117" s="38" t="inlineStr">
        <is>
          <t>Turkey</t>
        </is>
      </c>
      <c r="AL117" s="38" t="inlineStr">
        <is>
          <t>UK</t>
        </is>
      </c>
      <c r="AM117" s="38" t="inlineStr">
        <is>
          <t>Ukraine</t>
        </is>
      </c>
      <c r="AN117" s="39" t="inlineStr">
        <is>
          <t>WestBalkans</t>
        </is>
      </c>
    </row>
    <row r="118">
      <c r="E118" s="38" t="inlineStr">
        <is>
          <t>MINBatMaterials_LI</t>
        </is>
      </c>
      <c r="F118" s="38" t="n">
        <v>0</v>
      </c>
      <c r="G118" s="38" t="n">
        <v>21.489</v>
      </c>
      <c r="H118" s="31" t="n">
        <v>76.56</v>
      </c>
      <c r="I118" s="38" t="n">
        <v>0</v>
      </c>
      <c r="J118" s="38" t="n">
        <v>0</v>
      </c>
      <c r="K118" s="38" t="n">
        <v>0</v>
      </c>
      <c r="L118" s="38" t="n">
        <v>8.699999999999999</v>
      </c>
      <c r="M118" s="31" t="n">
        <v>35.67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58.29</v>
      </c>
      <c r="Z118" s="38" t="n">
        <v>0</v>
      </c>
      <c r="AA118" s="38" t="n">
        <v>3.741</v>
      </c>
      <c r="AB118" s="38" t="n">
        <v>0</v>
      </c>
      <c r="AC118" s="38" t="n">
        <v>0</v>
      </c>
      <c r="AD118" s="38" t="n">
        <v>4.002</v>
      </c>
      <c r="AE118" s="38" t="n">
        <v>0</v>
      </c>
      <c r="AF118" s="38" t="n">
        <v>0</v>
      </c>
      <c r="AG118" s="38" t="n">
        <v>0</v>
      </c>
      <c r="AH118" s="38" t="n">
        <v>0.348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</row>
    <row r="119">
      <c r="C119" s="0" t="inlineStr">
        <is>
          <t>From transport-trans file</t>
        </is>
      </c>
      <c r="E119" s="38" t="inlineStr">
        <is>
          <t>MINBatMaterials_NI</t>
        </is>
      </c>
      <c r="F119" s="38" t="n">
        <v>0</v>
      </c>
      <c r="G119" s="38" t="n">
        <v>0</v>
      </c>
      <c r="H119" s="31" t="n">
        <v>16.5</v>
      </c>
      <c r="I119" s="38" t="n">
        <v>0</v>
      </c>
      <c r="J119" s="38" t="n">
        <v>0</v>
      </c>
      <c r="K119" s="38" t="n">
        <v>0</v>
      </c>
      <c r="L119" s="38" t="n">
        <v>11.55</v>
      </c>
      <c r="M119" s="31" t="n">
        <v>18</v>
      </c>
      <c r="N119" s="38" t="n">
        <v>0</v>
      </c>
      <c r="O119" s="38" t="n">
        <v>0</v>
      </c>
      <c r="P119" s="38" t="n">
        <v>0</v>
      </c>
      <c r="Q119" s="38" t="n">
        <v>0</v>
      </c>
      <c r="R119" s="38" t="n">
        <v>0</v>
      </c>
      <c r="S119" s="38" t="n">
        <v>0</v>
      </c>
      <c r="T119" s="38" t="n">
        <v>0</v>
      </c>
      <c r="U119" s="38" t="n">
        <v>0</v>
      </c>
      <c r="V119" s="38" t="n">
        <v>0</v>
      </c>
      <c r="W119" s="38" t="n">
        <v>0</v>
      </c>
      <c r="X119" s="38" t="n">
        <v>0</v>
      </c>
      <c r="Y119" s="38" t="n">
        <v>0</v>
      </c>
      <c r="Z119" s="38" t="n">
        <v>0</v>
      </c>
      <c r="AA119" s="38" t="n">
        <v>29.7</v>
      </c>
      <c r="AB119" s="38" t="n">
        <v>0</v>
      </c>
      <c r="AC119" s="38" t="n">
        <v>0</v>
      </c>
      <c r="AD119" s="38" t="n">
        <v>447.75</v>
      </c>
      <c r="AE119" s="38" t="n">
        <v>31.5</v>
      </c>
      <c r="AF119" s="38" t="n">
        <v>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38" t="n">
        <v>0</v>
      </c>
    </row>
    <row r="120">
      <c r="E120" s="38" t="inlineStr">
        <is>
          <t>MINBatMaterials_COB</t>
        </is>
      </c>
      <c r="F120" s="38" t="n">
        <v>0</v>
      </c>
      <c r="G120" s="38" t="n">
        <v>169.176</v>
      </c>
      <c r="H120" s="31" t="n">
        <v>2.736</v>
      </c>
      <c r="I120" s="38" t="n">
        <v>0</v>
      </c>
      <c r="J120" s="38" t="n">
        <v>0</v>
      </c>
      <c r="K120" s="38" t="n">
        <v>0</v>
      </c>
      <c r="L120" s="38" t="n">
        <v>0</v>
      </c>
      <c r="M120" s="31" t="n">
        <v>0</v>
      </c>
      <c r="N120" s="38" t="n">
        <v>0</v>
      </c>
      <c r="O120" s="38" t="n">
        <v>0</v>
      </c>
      <c r="P120" s="38" t="n">
        <v>0</v>
      </c>
      <c r="Q120" s="38" t="n">
        <v>0</v>
      </c>
      <c r="R120" s="38" t="n">
        <v>0</v>
      </c>
      <c r="S120" s="38" t="n">
        <v>0</v>
      </c>
      <c r="T120" s="38" t="n">
        <v>0</v>
      </c>
      <c r="U120" s="38" t="n">
        <v>0</v>
      </c>
      <c r="V120" s="38" t="n">
        <v>0</v>
      </c>
      <c r="W120" s="38" t="n">
        <v>0</v>
      </c>
      <c r="X120" s="38" t="n">
        <v>0</v>
      </c>
      <c r="Y120" s="38" t="n">
        <v>2.66</v>
      </c>
      <c r="Z120" s="38" t="n">
        <v>0</v>
      </c>
      <c r="AA120" s="38" t="n">
        <v>3.648</v>
      </c>
      <c r="AB120" s="38" t="n">
        <v>0</v>
      </c>
      <c r="AC120" s="38" t="n">
        <v>0</v>
      </c>
      <c r="AD120" s="38" t="n">
        <v>33.288</v>
      </c>
      <c r="AE120" s="38" t="n">
        <v>6.612</v>
      </c>
      <c r="AF120" s="38" t="n">
        <v>0</v>
      </c>
      <c r="AG120" s="38" t="n">
        <v>0</v>
      </c>
      <c r="AH120" s="38" t="n">
        <v>0</v>
      </c>
      <c r="AI120" s="38" t="n">
        <v>0</v>
      </c>
      <c r="AJ120" s="38" t="n">
        <v>0</v>
      </c>
      <c r="AK120" s="38" t="n">
        <v>2.052</v>
      </c>
      <c r="AL120" s="38" t="n">
        <v>0</v>
      </c>
      <c r="AM120" s="38" t="n">
        <v>0</v>
      </c>
      <c r="AN120" s="38" t="n">
        <v>0</v>
      </c>
    </row>
    <row r="121">
      <c r="C121" s="0" t="inlineStr">
        <is>
          <t>Used for BNDACT</t>
        </is>
      </c>
      <c r="E121" s="38" t="inlineStr">
        <is>
          <t>MINBatMaterials_MN</t>
        </is>
      </c>
      <c r="F121" s="38" t="n">
        <v>0</v>
      </c>
      <c r="G121" s="38" t="n">
        <v>57.8</v>
      </c>
      <c r="H121" s="31" t="n">
        <v>28</v>
      </c>
      <c r="I121" s="38" t="n">
        <v>0</v>
      </c>
      <c r="J121" s="38" t="n">
        <v>0</v>
      </c>
      <c r="K121" s="38" t="n">
        <v>0</v>
      </c>
      <c r="L121" s="38" t="n">
        <v>5.9</v>
      </c>
      <c r="M121" s="31" t="n">
        <v>7.7</v>
      </c>
      <c r="N121" s="38" t="n">
        <v>0</v>
      </c>
      <c r="O121" s="38" t="n">
        <v>0</v>
      </c>
      <c r="P121" s="38" t="n">
        <v>0</v>
      </c>
      <c r="Q121" s="38" t="n">
        <v>0</v>
      </c>
      <c r="R121" s="38" t="n">
        <v>0</v>
      </c>
      <c r="S121" s="38" t="n">
        <v>0</v>
      </c>
      <c r="T121" s="38" t="n">
        <v>0</v>
      </c>
      <c r="U121" s="38" t="n">
        <v>8</v>
      </c>
      <c r="V121" s="38" t="n">
        <v>0</v>
      </c>
      <c r="W121" s="38" t="n">
        <v>0</v>
      </c>
      <c r="X121" s="38" t="n">
        <v>0</v>
      </c>
      <c r="Y121" s="38" t="n">
        <v>0</v>
      </c>
      <c r="Z121" s="38" t="n">
        <v>0</v>
      </c>
      <c r="AA121" s="38" t="n">
        <v>0</v>
      </c>
      <c r="AB121" s="38" t="n">
        <v>0</v>
      </c>
      <c r="AC121" s="38" t="n">
        <v>0</v>
      </c>
      <c r="AD121" s="38" t="n">
        <v>20.6</v>
      </c>
      <c r="AE121" s="38" t="n">
        <v>0</v>
      </c>
      <c r="AF121" s="38" t="n">
        <v>0</v>
      </c>
      <c r="AG121" s="38" t="n">
        <v>74</v>
      </c>
      <c r="AH121" s="38" t="n">
        <v>0</v>
      </c>
      <c r="AI121" s="38" t="n">
        <v>0</v>
      </c>
      <c r="AJ121" s="38" t="n">
        <v>0</v>
      </c>
      <c r="AK121" s="38" t="n">
        <v>0</v>
      </c>
      <c r="AL121" s="38" t="n">
        <v>0</v>
      </c>
      <c r="AM121" s="38" t="n">
        <v>0</v>
      </c>
      <c r="AN121" s="38" t="n">
        <v>0</v>
      </c>
    </row>
    <row r="122">
      <c r="E122" s="38" t="inlineStr">
        <is>
          <t>MINBatMaterials_AL</t>
        </is>
      </c>
      <c r="F122" s="38" t="n">
        <v>0</v>
      </c>
      <c r="G122" s="38" t="n">
        <v>3.18</v>
      </c>
      <c r="H122" s="31" t="n">
        <v>190.44</v>
      </c>
      <c r="I122" s="38" t="n">
        <v>0</v>
      </c>
      <c r="J122" s="38" t="n">
        <v>0</v>
      </c>
      <c r="K122" s="38" t="n">
        <v>0</v>
      </c>
      <c r="L122" s="38" t="n">
        <v>116.38</v>
      </c>
      <c r="M122" s="31" t="n">
        <v>888.72</v>
      </c>
      <c r="N122" s="38" t="n">
        <v>0</v>
      </c>
      <c r="O122" s="38" t="n">
        <v>0</v>
      </c>
      <c r="P122" s="38" t="n">
        <v>0</v>
      </c>
      <c r="Q122" s="38" t="n">
        <v>10.16</v>
      </c>
      <c r="R122" s="38" t="n">
        <v>9.1</v>
      </c>
      <c r="S122" s="38" t="n">
        <v>0</v>
      </c>
      <c r="T122" s="38" t="n">
        <v>0</v>
      </c>
      <c r="U122" s="38" t="n">
        <v>80.40000000000001</v>
      </c>
      <c r="V122" s="38" t="n">
        <v>16.92</v>
      </c>
      <c r="W122" s="38" t="n">
        <v>0</v>
      </c>
      <c r="X122" s="38" t="n">
        <v>0</v>
      </c>
      <c r="Y122" s="38" t="n">
        <v>0</v>
      </c>
      <c r="Z122" s="38" t="n">
        <v>25.4</v>
      </c>
      <c r="AA122" s="38" t="n">
        <v>23.5</v>
      </c>
      <c r="AB122" s="38" t="n">
        <v>0</v>
      </c>
      <c r="AC122" s="38" t="n">
        <v>0</v>
      </c>
      <c r="AD122" s="38" t="n">
        <v>60.3</v>
      </c>
      <c r="AE122" s="38" t="n">
        <v>30.68</v>
      </c>
      <c r="AF122" s="38" t="n">
        <v>19.04</v>
      </c>
      <c r="AG122" s="38" t="n">
        <v>0</v>
      </c>
      <c r="AH122" s="38" t="n">
        <v>8.68</v>
      </c>
      <c r="AI122" s="38" t="n">
        <v>0</v>
      </c>
      <c r="AJ122" s="38" t="n">
        <v>0</v>
      </c>
      <c r="AK122" s="38" t="n">
        <v>3.38</v>
      </c>
      <c r="AL122" s="38" t="n">
        <v>0</v>
      </c>
      <c r="AM122" s="38" t="n">
        <v>0</v>
      </c>
      <c r="AN122" s="38" t="n">
        <v>0</v>
      </c>
    </row>
    <row r="123">
      <c r="E123" s="38" t="inlineStr">
        <is>
          <t>MINBatMaterials_COP</t>
        </is>
      </c>
      <c r="F123" s="38" t="n">
        <v>0</v>
      </c>
      <c r="G123" s="38" t="n">
        <v>99.5</v>
      </c>
      <c r="H123" s="31" t="n">
        <v>20</v>
      </c>
      <c r="I123" s="38" t="n">
        <v>0</v>
      </c>
      <c r="J123" s="38" t="n">
        <v>0</v>
      </c>
      <c r="K123" s="38" t="n">
        <v>0</v>
      </c>
      <c r="L123" s="38" t="n">
        <v>0</v>
      </c>
      <c r="M123" s="31" t="n">
        <v>45</v>
      </c>
      <c r="N123" s="38" t="n">
        <v>0</v>
      </c>
      <c r="O123" s="38" t="n">
        <v>0</v>
      </c>
      <c r="P123" s="38" t="n">
        <v>0</v>
      </c>
      <c r="Q123" s="38" t="n">
        <v>0</v>
      </c>
      <c r="R123" s="38" t="n">
        <v>0</v>
      </c>
      <c r="S123" s="38" t="n">
        <v>0</v>
      </c>
      <c r="T123" s="38" t="n">
        <v>0</v>
      </c>
      <c r="U123" s="38" t="n">
        <v>0.75</v>
      </c>
      <c r="V123" s="38" t="n">
        <v>0</v>
      </c>
      <c r="W123" s="38" t="n">
        <v>0</v>
      </c>
      <c r="X123" s="38" t="n">
        <v>0</v>
      </c>
      <c r="Y123" s="38" t="n">
        <v>197.5</v>
      </c>
      <c r="Z123" s="38" t="n">
        <v>0</v>
      </c>
      <c r="AA123" s="38" t="n">
        <v>56.25</v>
      </c>
      <c r="AB123" s="38" t="n">
        <v>0</v>
      </c>
      <c r="AC123" s="38" t="n">
        <v>10.25</v>
      </c>
      <c r="AD123" s="38" t="n">
        <v>117.5</v>
      </c>
      <c r="AE123" s="38" t="n">
        <v>23.25</v>
      </c>
      <c r="AF123" s="38" t="n">
        <v>0</v>
      </c>
      <c r="AG123" s="38" t="n">
        <v>0</v>
      </c>
      <c r="AH123" s="38" t="n">
        <v>0</v>
      </c>
      <c r="AI123" s="38" t="n">
        <v>0</v>
      </c>
      <c r="AJ123" s="38" t="n">
        <v>0</v>
      </c>
      <c r="AK123" s="38" t="n">
        <v>0</v>
      </c>
      <c r="AL123" s="38" t="n">
        <v>0</v>
      </c>
      <c r="AM123" s="38" t="n">
        <v>0</v>
      </c>
      <c r="AN123" s="38" t="n">
        <v>0</v>
      </c>
    </row>
    <row r="124">
      <c r="E124" s="38" t="inlineStr">
        <is>
          <t>MINBatMaterials_GR</t>
        </is>
      </c>
      <c r="F124" s="38" t="n">
        <v>0</v>
      </c>
      <c r="G124" s="38" t="n">
        <v>170.1</v>
      </c>
      <c r="H124" s="31" t="n">
        <v>0</v>
      </c>
      <c r="I124" s="38" t="n">
        <v>0.45</v>
      </c>
      <c r="J124" s="38" t="n">
        <v>0</v>
      </c>
      <c r="K124" s="38" t="n">
        <v>0</v>
      </c>
      <c r="L124" s="38" t="n">
        <v>61.2</v>
      </c>
      <c r="M124" s="31" t="n">
        <v>1143</v>
      </c>
      <c r="N124" s="38" t="n">
        <v>0</v>
      </c>
      <c r="O124" s="38" t="n">
        <v>0</v>
      </c>
      <c r="P124" s="38" t="n">
        <v>0</v>
      </c>
      <c r="Q124" s="38" t="n">
        <v>0.18</v>
      </c>
      <c r="R124" s="38" t="n">
        <v>0</v>
      </c>
      <c r="S124" s="38" t="n">
        <v>0</v>
      </c>
      <c r="T124" s="38" t="n">
        <v>0</v>
      </c>
      <c r="U124" s="38" t="n">
        <v>25.2</v>
      </c>
      <c r="V124" s="38" t="n">
        <v>0</v>
      </c>
      <c r="W124" s="38" t="n">
        <v>0</v>
      </c>
      <c r="X124" s="38" t="n">
        <v>0</v>
      </c>
      <c r="Y124" s="38" t="n">
        <v>0</v>
      </c>
      <c r="Z124" s="38" t="n">
        <v>0</v>
      </c>
      <c r="AA124" s="38" t="n">
        <v>18.81</v>
      </c>
      <c r="AB124" s="38" t="n">
        <v>6.3</v>
      </c>
      <c r="AC124" s="38" t="n">
        <v>0</v>
      </c>
      <c r="AD124" s="38" t="n">
        <v>20.61</v>
      </c>
      <c r="AE124" s="38" t="n">
        <v>18</v>
      </c>
      <c r="AF124" s="38" t="n">
        <v>0</v>
      </c>
      <c r="AG124" s="38" t="n">
        <v>0</v>
      </c>
      <c r="AH124" s="38" t="n">
        <v>0</v>
      </c>
      <c r="AI124" s="38" t="n">
        <v>0</v>
      </c>
      <c r="AJ124" s="38" t="n">
        <v>0</v>
      </c>
      <c r="AK124" s="38" t="n">
        <v>2.7</v>
      </c>
      <c r="AL124" s="38" t="n">
        <v>0</v>
      </c>
      <c r="AM124" s="38" t="n">
        <v>1.08</v>
      </c>
      <c r="AN124" s="38" t="n">
        <v>0</v>
      </c>
    </row>
    <row r="128">
      <c r="C128" s="0" t="inlineStr">
        <is>
          <t>USGS economic reserve scope tobattery data in attach..</t>
        </is>
      </c>
    </row>
    <row r="130">
      <c r="C130" s="0" t="inlineStr">
        <is>
          <t>this used for CUM</t>
        </is>
      </c>
    </row>
    <row r="141">
      <c r="C141" s="0" t="inlineStr">
        <is>
          <t>Cost is *1, *2, *4; baseline from Amit original set shadow price</t>
        </is>
      </c>
    </row>
    <row r="152">
      <c r="C152" s="31" t="n"/>
      <c r="D152" s="30" t="n"/>
      <c r="E152" s="31" t="n"/>
      <c r="F152" s="31" t="n"/>
      <c r="G152" s="31" t="n"/>
      <c r="I152" s="30" t="n"/>
      <c r="J152" s="30" t="n"/>
      <c r="K152" s="31" t="n"/>
      <c r="L152" s="31" t="n"/>
      <c r="N152" s="30" t="n"/>
      <c r="O152" s="30" t="n"/>
      <c r="P152" s="31" t="n"/>
      <c r="Q152" s="30" t="n"/>
      <c r="R152" s="31" t="n"/>
      <c r="S152" s="30" t="n"/>
      <c r="T152" s="31" t="n"/>
      <c r="U152" s="31" t="n"/>
      <c r="V152" s="30" t="n"/>
      <c r="W152" s="30" t="n"/>
      <c r="X152" s="30" t="n"/>
      <c r="Y152" s="31" t="n"/>
      <c r="Z152" s="31" t="n"/>
      <c r="AA152" s="31" t="n"/>
      <c r="AB152" s="31" t="n"/>
      <c r="AC152" s="31" t="n"/>
      <c r="AD152" s="31" t="n"/>
      <c r="AE152" s="31" t="n"/>
      <c r="AF152" s="31" t="n"/>
      <c r="AG152" s="31" t="n"/>
      <c r="AH152" s="31" t="n"/>
      <c r="AI152" s="31" t="n"/>
      <c r="AJ152" s="30" t="n"/>
      <c r="AK152" s="31" t="n"/>
      <c r="AL152" s="30" t="n"/>
      <c r="AM152" s="31" t="n"/>
      <c r="AN152" s="30" t="n"/>
      <c r="AO152" s="31" t="n"/>
    </row>
    <row r="153">
      <c r="C153" s="34" t="n"/>
      <c r="D153" s="30" t="n"/>
      <c r="E153" s="31" t="n"/>
      <c r="F153" s="31" t="n"/>
      <c r="G153" s="31" t="n"/>
      <c r="I153" s="30" t="n"/>
      <c r="J153" s="30" t="n"/>
      <c r="K153" s="31" t="n"/>
      <c r="L153" s="31" t="n"/>
      <c r="N153" s="30" t="n"/>
      <c r="O153" s="30" t="n"/>
      <c r="P153" s="31" t="n"/>
      <c r="Q153" s="30" t="n"/>
      <c r="R153" s="31" t="n"/>
      <c r="S153" s="30" t="n"/>
      <c r="T153" s="31" t="n"/>
      <c r="U153" s="31" t="n"/>
      <c r="V153" s="30" t="n"/>
      <c r="W153" s="30" t="n"/>
      <c r="X153" s="30" t="n"/>
      <c r="Y153" s="31" t="n"/>
      <c r="Z153" s="31" t="n"/>
      <c r="AA153" s="31" t="n"/>
      <c r="AB153" s="31" t="n"/>
      <c r="AC153" s="31" t="n"/>
      <c r="AD153" s="31" t="n"/>
      <c r="AE153" s="31" t="n"/>
      <c r="AF153" s="31" t="n"/>
      <c r="AG153" s="31" t="n"/>
      <c r="AH153" s="31" t="n"/>
      <c r="AI153" s="31" t="n"/>
      <c r="AJ153" s="30" t="n"/>
      <c r="AK153" s="31" t="n"/>
      <c r="AL153" s="30" t="n"/>
      <c r="AM153" s="31" t="n"/>
      <c r="AN153" s="30" t="n"/>
      <c r="AO153" s="31" t="n"/>
    </row>
    <row r="154">
      <c r="C154" s="31" t="n"/>
      <c r="D154" s="30" t="n"/>
      <c r="E154" s="31" t="n"/>
      <c r="F154" s="31" t="n"/>
      <c r="G154" s="31" t="n"/>
      <c r="I154" s="30" t="n"/>
      <c r="J154" s="30" t="n"/>
      <c r="K154" s="31" t="n"/>
      <c r="L154" s="31" t="n"/>
      <c r="N154" s="30" t="n"/>
      <c r="O154" s="30" t="n"/>
      <c r="P154" s="31" t="n"/>
      <c r="Q154" s="30" t="n"/>
      <c r="R154" s="31" t="n"/>
      <c r="S154" s="30" t="n"/>
      <c r="T154" s="31" t="n"/>
      <c r="U154" s="31" t="n"/>
      <c r="V154" s="30" t="n"/>
      <c r="W154" s="30" t="n"/>
      <c r="X154" s="30" t="n"/>
      <c r="Y154" s="31" t="n"/>
      <c r="Z154" s="31" t="n"/>
      <c r="AA154" s="31" t="n"/>
      <c r="AB154" s="31" t="n"/>
      <c r="AC154" s="31" t="n"/>
      <c r="AD154" s="31" t="n"/>
      <c r="AE154" s="31" t="n"/>
      <c r="AF154" s="31" t="n"/>
      <c r="AG154" s="31" t="n"/>
      <c r="AH154" s="31" t="n"/>
      <c r="AI154" s="31" t="n"/>
      <c r="AJ154" s="30" t="n"/>
      <c r="AK154" s="31" t="n"/>
      <c r="AL154" s="30" t="n"/>
      <c r="AM154" s="31" t="n"/>
      <c r="AN154" s="30" t="n"/>
      <c r="AO154" s="31" t="n"/>
    </row>
    <row r="155">
      <c r="C155" s="31" t="n"/>
      <c r="D155" s="30" t="n"/>
      <c r="E155" s="31" t="n"/>
      <c r="F155" s="31" t="n"/>
      <c r="G155" s="31" t="n"/>
      <c r="I155" s="30" t="n"/>
      <c r="J155" s="30" t="n"/>
      <c r="K155" s="31" t="n"/>
      <c r="L155" s="31" t="n"/>
      <c r="N155" s="30" t="n"/>
      <c r="O155" s="30" t="n"/>
      <c r="P155" s="31" t="n"/>
      <c r="Q155" s="30" t="n"/>
      <c r="R155" s="31" t="n"/>
      <c r="S155" s="30" t="n"/>
      <c r="T155" s="31" t="n"/>
      <c r="U155" s="31" t="n"/>
      <c r="V155" s="30" t="n"/>
      <c r="W155" s="30" t="n"/>
      <c r="X155" s="30" t="n"/>
      <c r="Y155" s="31" t="n"/>
      <c r="Z155" s="31" t="n"/>
      <c r="AA155" s="31" t="n"/>
      <c r="AB155" s="31" t="n"/>
      <c r="AC155" s="31" t="n"/>
      <c r="AD155" s="31" t="n"/>
      <c r="AE155" s="31" t="n"/>
      <c r="AF155" s="31" t="n"/>
      <c r="AG155" s="31" t="n"/>
      <c r="AH155" s="31" t="n"/>
      <c r="AI155" s="31" t="n"/>
      <c r="AJ155" s="30" t="n"/>
      <c r="AK155" s="31" t="n"/>
      <c r="AL155" s="30" t="n"/>
      <c r="AM155" s="31" t="n"/>
      <c r="AN155" s="30" t="n"/>
      <c r="AO155" s="31" t="n"/>
    </row>
    <row r="156">
      <c r="C156" s="31" t="n"/>
      <c r="D156" s="30" t="n"/>
      <c r="E156" s="31" t="n"/>
      <c r="F156" s="31" t="n"/>
      <c r="G156" s="31" t="n"/>
      <c r="I156" s="30" t="n"/>
      <c r="J156" s="30" t="n"/>
      <c r="K156" s="31" t="n"/>
      <c r="L156" s="31" t="n"/>
      <c r="N156" s="30" t="n"/>
      <c r="O156" s="30" t="n"/>
      <c r="P156" s="31" t="n"/>
      <c r="Q156" s="30" t="n"/>
      <c r="R156" s="31" t="n"/>
      <c r="S156" s="30" t="n"/>
      <c r="T156" s="31" t="n"/>
      <c r="U156" s="31" t="n"/>
      <c r="V156" s="30" t="n"/>
      <c r="W156" s="30" t="n"/>
      <c r="X156" s="30" t="n"/>
      <c r="Y156" s="31" t="n"/>
      <c r="Z156" s="31" t="n"/>
      <c r="AA156" s="31" t="n"/>
      <c r="AB156" s="31" t="n"/>
      <c r="AC156" s="31" t="n"/>
      <c r="AD156" s="31" t="n"/>
      <c r="AE156" s="31" t="n"/>
      <c r="AF156" s="31" t="n"/>
      <c r="AG156" s="31" t="n"/>
      <c r="AH156" s="31" t="n"/>
      <c r="AI156" s="31" t="n"/>
      <c r="AJ156" s="30" t="n"/>
      <c r="AK156" s="31" t="n"/>
      <c r="AL156" s="30" t="n"/>
      <c r="AM156" s="31" t="n"/>
      <c r="AN156" s="30" t="n"/>
      <c r="AO156" s="31" t="n"/>
    </row>
    <row r="157">
      <c r="C157" s="31" t="n"/>
      <c r="D157" s="30" t="n"/>
      <c r="E157" s="31" t="n"/>
      <c r="F157" s="31" t="n"/>
      <c r="G157" s="31" t="n"/>
      <c r="I157" s="30" t="n"/>
      <c r="J157" s="30" t="n"/>
      <c r="K157" s="31" t="n"/>
      <c r="L157" s="31" t="n"/>
      <c r="N157" s="30" t="n"/>
      <c r="O157" s="30" t="n"/>
      <c r="P157" s="31" t="n"/>
      <c r="Q157" s="30" t="n"/>
      <c r="R157" s="31" t="n"/>
      <c r="S157" s="30" t="n"/>
      <c r="T157" s="31" t="n"/>
      <c r="U157" s="31" t="n"/>
      <c r="V157" s="30" t="n"/>
      <c r="W157" s="30" t="n"/>
      <c r="X157" s="30" t="n"/>
      <c r="Y157" s="31" t="n"/>
      <c r="Z157" s="31" t="n"/>
      <c r="AA157" s="31" t="n"/>
      <c r="AB157" s="31" t="n"/>
      <c r="AC157" s="31" t="n"/>
      <c r="AD157" s="31" t="n"/>
      <c r="AE157" s="31" t="n"/>
      <c r="AF157" s="31" t="n"/>
      <c r="AG157" s="31" t="n"/>
      <c r="AH157" s="31" t="n"/>
      <c r="AI157" s="31" t="n"/>
      <c r="AJ157" s="30" t="n"/>
      <c r="AK157" s="31" t="n"/>
      <c r="AL157" s="30" t="n"/>
      <c r="AM157" s="31" t="n"/>
      <c r="AN157" s="30" t="n"/>
      <c r="AO157" s="31" t="n"/>
    </row>
    <row r="158">
      <c r="C158" s="31" t="n"/>
      <c r="D158" s="30" t="n"/>
      <c r="E158" s="31" t="n"/>
      <c r="F158" s="31" t="n"/>
      <c r="G158" s="31" t="n"/>
      <c r="I158" s="30" t="n"/>
      <c r="J158" s="30" t="n"/>
      <c r="K158" s="31" t="n"/>
      <c r="L158" s="31" t="n"/>
      <c r="N158" s="30" t="n"/>
      <c r="O158" s="30" t="n"/>
      <c r="P158" s="31" t="n"/>
      <c r="Q158" s="30" t="n"/>
      <c r="R158" s="31" t="n"/>
      <c r="S158" s="30" t="n"/>
      <c r="T158" s="31" t="n"/>
      <c r="U158" s="31" t="n"/>
      <c r="V158" s="30" t="n"/>
      <c r="W158" s="30" t="n"/>
      <c r="X158" s="30" t="n"/>
      <c r="Y158" s="31" t="n"/>
      <c r="Z158" s="31" t="n"/>
      <c r="AA158" s="31" t="n"/>
      <c r="AB158" s="31" t="n"/>
      <c r="AC158" s="31" t="n"/>
      <c r="AD158" s="31" t="n"/>
      <c r="AE158" s="31" t="n"/>
      <c r="AF158" s="31" t="n"/>
      <c r="AG158" s="31" t="n"/>
      <c r="AH158" s="31" t="n"/>
      <c r="AI158" s="31" t="n"/>
      <c r="AJ158" s="30" t="n"/>
      <c r="AK158" s="31" t="n"/>
      <c r="AL158" s="30" t="n"/>
      <c r="AM158" s="31" t="n"/>
      <c r="AN158" s="30" t="n"/>
      <c r="AO158" s="31" t="n"/>
    </row>
    <row r="159">
      <c r="C159" s="31" t="n"/>
      <c r="D159" s="30" t="n"/>
      <c r="E159" s="31" t="n"/>
      <c r="F159" s="31" t="n"/>
      <c r="G159" s="31" t="n"/>
      <c r="I159" s="30" t="n"/>
      <c r="J159" s="30" t="n"/>
      <c r="K159" s="31" t="n"/>
      <c r="L159" s="31" t="n"/>
      <c r="N159" s="30" t="n"/>
      <c r="O159" s="30" t="n"/>
      <c r="P159" s="31" t="n"/>
      <c r="Q159" s="30" t="n"/>
      <c r="R159" s="31" t="n"/>
      <c r="S159" s="30" t="n"/>
      <c r="T159" s="31" t="n"/>
      <c r="U159" s="31" t="n"/>
      <c r="V159" s="30" t="n"/>
      <c r="W159" s="30" t="n"/>
      <c r="X159" s="30" t="n"/>
      <c r="Y159" s="31" t="n"/>
      <c r="Z159" s="31" t="n"/>
      <c r="AA159" s="31" t="n"/>
      <c r="AB159" s="31" t="n"/>
      <c r="AC159" s="31" t="n"/>
      <c r="AD159" s="31" t="n"/>
      <c r="AE159" s="31" t="n"/>
      <c r="AF159" s="31" t="n"/>
      <c r="AG159" s="31" t="n"/>
      <c r="AH159" s="31" t="n"/>
      <c r="AI159" s="31" t="n"/>
      <c r="AJ159" s="30" t="n"/>
      <c r="AK159" s="31" t="n"/>
      <c r="AL159" s="30" t="n"/>
      <c r="AM159" s="31" t="n"/>
      <c r="AN159" s="30" t="n"/>
      <c r="AO159" s="31" t="n"/>
    </row>
    <row r="160">
      <c r="C160" s="31" t="n"/>
      <c r="D160" s="30" t="n"/>
      <c r="E160" s="31" t="n"/>
      <c r="F160" s="31" t="n"/>
      <c r="G160" s="31" t="n"/>
      <c r="I160" s="30" t="n"/>
      <c r="J160" s="30" t="n"/>
      <c r="K160" s="31" t="n"/>
      <c r="L160" s="31" t="n"/>
      <c r="N160" s="30" t="n"/>
      <c r="O160" s="30" t="n"/>
      <c r="P160" s="31" t="n"/>
      <c r="Q160" s="30" t="n"/>
      <c r="R160" s="31" t="n"/>
      <c r="S160" s="30" t="n"/>
      <c r="T160" s="31" t="n"/>
      <c r="U160" s="31" t="n"/>
      <c r="V160" s="30" t="n"/>
      <c r="W160" s="30" t="n"/>
      <c r="X160" s="30" t="n"/>
      <c r="Y160" s="31" t="n"/>
      <c r="Z160" s="31" t="n"/>
      <c r="AA160" s="31" t="n"/>
      <c r="AB160" s="31" t="n"/>
      <c r="AC160" s="31" t="n"/>
      <c r="AD160" s="31" t="n"/>
      <c r="AE160" s="31" t="n"/>
      <c r="AF160" s="31" t="n"/>
      <c r="AG160" s="31" t="n"/>
      <c r="AH160" s="31" t="n"/>
      <c r="AI160" s="31" t="n"/>
      <c r="AJ160" s="30" t="n"/>
      <c r="AK160" s="31" t="n"/>
      <c r="AL160" s="30" t="n"/>
      <c r="AM160" s="31" t="n"/>
      <c r="AN160" s="30" t="n"/>
      <c r="AO160" s="31" t="n"/>
    </row>
    <row r="161">
      <c r="C161" s="31" t="n"/>
      <c r="D161" s="30" t="n"/>
      <c r="E161" s="31" t="n"/>
      <c r="F161" s="31" t="n"/>
      <c r="G161" s="31" t="n"/>
      <c r="I161" s="30" t="n"/>
      <c r="J161" s="30" t="n"/>
      <c r="K161" s="31" t="n"/>
      <c r="L161" s="31" t="n"/>
      <c r="N161" s="30" t="n"/>
      <c r="O161" s="30" t="n"/>
      <c r="P161" s="31" t="n"/>
      <c r="Q161" s="30" t="n"/>
      <c r="R161" s="31" t="n"/>
      <c r="S161" s="30" t="n"/>
      <c r="T161" s="31" t="n"/>
      <c r="U161" s="31" t="n"/>
      <c r="V161" s="30" t="n"/>
      <c r="W161" s="30" t="n"/>
      <c r="X161" s="30" t="n"/>
      <c r="Y161" s="31" t="n"/>
      <c r="Z161" s="31" t="n"/>
      <c r="AA161" s="31" t="n"/>
      <c r="AB161" s="31" t="n"/>
      <c r="AC161" s="31" t="n"/>
      <c r="AD161" s="31" t="n"/>
      <c r="AE161" s="31" t="n"/>
      <c r="AF161" s="31" t="n"/>
      <c r="AG161" s="31" t="n"/>
      <c r="AH161" s="31" t="n"/>
      <c r="AI161" s="31" t="n"/>
      <c r="AJ161" s="30" t="n"/>
      <c r="AK161" s="31" t="n"/>
      <c r="AL161" s="30" t="n"/>
      <c r="AM161" s="31" t="n"/>
      <c r="AN161" s="30" t="n"/>
      <c r="AO161" s="31" t="n"/>
    </row>
    <row r="162">
      <c r="C162" s="31" t="n"/>
      <c r="D162" s="34" t="n"/>
      <c r="E162" s="34" t="n"/>
      <c r="F162" s="34" t="n"/>
      <c r="G162" s="31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  <c r="AA162" s="34" t="n"/>
      <c r="AB162" s="34" t="n"/>
      <c r="AC162" s="34" t="n"/>
      <c r="AD162" s="34" t="n"/>
      <c r="AE162" s="34" t="n"/>
      <c r="AF162" s="34" t="n"/>
      <c r="AG162" s="34" t="n"/>
      <c r="AH162" s="34" t="n"/>
      <c r="AI162" s="34" t="n"/>
      <c r="AJ162" s="34" t="n"/>
      <c r="AK162" s="34" t="n"/>
      <c r="AL162" s="34" t="n"/>
      <c r="AM162" s="34" t="n"/>
      <c r="AN162" s="34" t="n"/>
      <c r="AO162" s="34" t="n"/>
    </row>
    <row r="163">
      <c r="C163" s="34" t="n"/>
      <c r="D163" s="34" t="n"/>
      <c r="E163" s="34" t="n"/>
      <c r="F163" s="34" t="n"/>
      <c r="G163" s="30" t="n"/>
      <c r="H163" s="30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  <c r="AA163" s="34" t="n"/>
      <c r="AB163" s="34" t="n"/>
      <c r="AC163" s="34" t="n"/>
      <c r="AD163" s="34" t="n"/>
      <c r="AE163" s="34" t="n"/>
      <c r="AF163" s="34" t="n"/>
      <c r="AG163" s="34" t="n"/>
      <c r="AH163" s="34" t="n"/>
      <c r="AI163" s="34" t="n"/>
      <c r="AJ163" s="34" t="n"/>
      <c r="AK163" s="34" t="n"/>
      <c r="AL163" s="34" t="n"/>
      <c r="AM163" s="34" t="n"/>
      <c r="AN163" s="34" t="n"/>
      <c r="AO163" s="30" t="n"/>
    </row>
    <row r="164" ht="16" customHeight="1" s="1">
      <c r="C164" s="40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  <c r="AA164" s="34" t="n"/>
      <c r="AB164" s="34" t="n"/>
      <c r="AC164" s="34" t="n"/>
      <c r="AD164" s="34" t="n"/>
      <c r="AE164" s="34" t="n"/>
      <c r="AF164" s="34" t="n"/>
      <c r="AG164" s="34" t="n"/>
      <c r="AH164" s="34" t="n"/>
      <c r="AI164" s="34" t="n"/>
      <c r="AJ164" s="34" t="n"/>
      <c r="AK164" s="34" t="n"/>
      <c r="AL164" s="34" t="n"/>
      <c r="AM164" s="34" t="n"/>
      <c r="AN164" s="34" t="n"/>
      <c r="AO164" s="30" t="n"/>
    </row>
    <row r="165" ht="16" customHeight="1" s="1">
      <c r="C165" s="40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  <c r="AA165" s="34" t="n"/>
      <c r="AB165" s="34" t="n"/>
      <c r="AC165" s="34" t="n"/>
      <c r="AD165" s="34" t="n"/>
      <c r="AE165" s="34" t="n"/>
      <c r="AF165" s="34" t="n"/>
      <c r="AG165" s="34" t="n"/>
      <c r="AH165" s="34" t="n"/>
      <c r="AI165" s="34" t="n"/>
      <c r="AJ165" s="34" t="n"/>
      <c r="AK165" s="34" t="n"/>
      <c r="AL165" s="34" t="n"/>
      <c r="AM165" s="34" t="n"/>
      <c r="AN165" s="34" t="n"/>
      <c r="AO165" s="30" t="n"/>
    </row>
    <row r="166" ht="16" customHeight="1" s="1">
      <c r="C166" s="40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  <c r="AA166" s="34" t="n"/>
      <c r="AB166" s="34" t="n"/>
      <c r="AC166" s="34" t="n"/>
      <c r="AD166" s="34" t="n"/>
      <c r="AE166" s="34" t="n"/>
      <c r="AF166" s="34" t="n"/>
      <c r="AG166" s="34" t="n"/>
      <c r="AH166" s="34" t="n"/>
      <c r="AI166" s="34" t="n"/>
      <c r="AJ166" s="34" t="n"/>
      <c r="AK166" s="34" t="n"/>
      <c r="AL166" s="34" t="n"/>
      <c r="AM166" s="34" t="n"/>
      <c r="AN166" s="34" t="n"/>
      <c r="AO166" s="30" t="n"/>
    </row>
    <row r="167" ht="16" customHeight="1" s="1">
      <c r="C167" s="40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  <c r="AA167" s="34" t="n"/>
      <c r="AB167" s="34" t="n"/>
      <c r="AC167" s="34" t="n"/>
      <c r="AD167" s="34" t="n"/>
      <c r="AE167" s="34" t="n"/>
      <c r="AF167" s="34" t="n"/>
      <c r="AG167" s="34" t="n"/>
      <c r="AH167" s="34" t="n"/>
      <c r="AI167" s="34" t="n"/>
      <c r="AJ167" s="34" t="n"/>
      <c r="AK167" s="34" t="n"/>
      <c r="AL167" s="34" t="n"/>
      <c r="AM167" s="34" t="n"/>
      <c r="AN167" s="34" t="n"/>
      <c r="AO167" s="30" t="n"/>
    </row>
    <row r="168" ht="16" customHeight="1" s="1">
      <c r="C168" s="40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34" t="n"/>
      <c r="AD168" s="34" t="n"/>
      <c r="AE168" s="34" t="n"/>
      <c r="AF168" s="34" t="n"/>
      <c r="AG168" s="34" t="n"/>
      <c r="AH168" s="34" t="n"/>
      <c r="AI168" s="34" t="n"/>
      <c r="AJ168" s="34" t="n"/>
      <c r="AK168" s="34" t="n"/>
      <c r="AL168" s="34" t="n"/>
      <c r="AM168" s="34" t="n"/>
      <c r="AN168" s="34" t="n"/>
      <c r="AO168" s="30" t="n"/>
    </row>
    <row r="169" ht="16" customHeight="1" s="1">
      <c r="C169" s="40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  <c r="AA169" s="34" t="n"/>
      <c r="AB169" s="34" t="n"/>
      <c r="AC169" s="34" t="n"/>
      <c r="AD169" s="34" t="n"/>
      <c r="AE169" s="34" t="n"/>
      <c r="AF169" s="34" t="n"/>
      <c r="AG169" s="34" t="n"/>
      <c r="AH169" s="34" t="n"/>
      <c r="AI169" s="34" t="n"/>
      <c r="AJ169" s="34" t="n"/>
      <c r="AK169" s="34" t="n"/>
      <c r="AL169" s="34" t="n"/>
      <c r="AM169" s="34" t="n"/>
      <c r="AN169" s="34" t="n"/>
      <c r="AO169" s="30" t="n"/>
    </row>
    <row r="170" ht="16" customHeight="1" s="1">
      <c r="C170" s="40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  <c r="AA170" s="34" t="n"/>
      <c r="AB170" s="34" t="n"/>
      <c r="AC170" s="34" t="n"/>
      <c r="AD170" s="34" t="n"/>
      <c r="AE170" s="34" t="n"/>
      <c r="AF170" s="34" t="n"/>
      <c r="AG170" s="34" t="n"/>
      <c r="AH170" s="34" t="n"/>
      <c r="AI170" s="34" t="n"/>
      <c r="AJ170" s="34" t="n"/>
      <c r="AK170" s="34" t="n"/>
      <c r="AL170" s="34" t="n"/>
      <c r="AM170" s="34" t="n"/>
      <c r="AN170" s="34" t="n"/>
      <c r="AO170" s="30" t="n"/>
    </row>
    <row r="171" ht="16" customHeight="1" s="1">
      <c r="C171" s="40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  <c r="AA171" s="34" t="n"/>
      <c r="AB171" s="34" t="n"/>
      <c r="AC171" s="34" t="n"/>
      <c r="AD171" s="34" t="n"/>
      <c r="AE171" s="34" t="n"/>
      <c r="AF171" s="34" t="n"/>
      <c r="AG171" s="34" t="n"/>
      <c r="AH171" s="34" t="n"/>
      <c r="AI171" s="34" t="n"/>
      <c r="AJ171" s="34" t="n"/>
      <c r="AK171" s="34" t="n"/>
      <c r="AL171" s="34" t="n"/>
      <c r="AM171" s="34" t="n"/>
      <c r="AN171" s="34" t="n"/>
      <c r="AO171" s="30" t="n"/>
    </row>
    <row r="172" ht="16" customHeight="1" s="1">
      <c r="C172" s="40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  <c r="AA172" s="34" t="n"/>
      <c r="AB172" s="34" t="n"/>
      <c r="AC172" s="34" t="n"/>
      <c r="AD172" s="34" t="n"/>
      <c r="AE172" s="34" t="n"/>
      <c r="AF172" s="34" t="n"/>
      <c r="AG172" s="34" t="n"/>
      <c r="AH172" s="34" t="n"/>
      <c r="AI172" s="34" t="n"/>
      <c r="AJ172" s="34" t="n"/>
      <c r="AK172" s="34" t="n"/>
      <c r="AL172" s="34" t="n"/>
      <c r="AM172" s="34" t="n"/>
      <c r="AN172" s="34" t="n"/>
      <c r="AO172" s="3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0"/>
  <sheetViews>
    <sheetView zoomScale="42" zoomScaleNormal="42" workbookViewId="0">
      <selection activeCell="B57" sqref="B57"/>
    </sheetView>
  </sheetViews>
  <sheetFormatPr baseColWidth="8" defaultColWidth="8.72727272727273" defaultRowHeight="14.5"/>
  <cols>
    <col width="114.090909090909" customWidth="1" style="1" min="1" max="1"/>
    <col width="9.63636363636364" customWidth="1" style="1" min="5" max="6"/>
    <col width="9.63636363636364" customWidth="1" style="1" min="11" max="11"/>
    <col width="9.63636363636364" customWidth="1" style="1" min="23" max="23"/>
    <col width="9.63636363636364" customWidth="1" style="1" min="25" max="25"/>
    <col width="9.63636363636364" customWidth="1" style="1" min="28" max="28"/>
    <col width="9.63636363636364" customWidth="1" style="1" min="31" max="31"/>
  </cols>
  <sheetData>
    <row r="1" ht="18" customHeight="1" s="1">
      <c r="A1" s="5" t="inlineStr">
        <is>
          <t>Cumulative extraction limits (CUM) from USGS economically recoverable reserves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</row>
    <row r="2">
      <c r="A2" s="7" t="inlineStr">
        <is>
          <t>CUM = reserves x conversion to kt x battery share x step multiplier. All values kt of contained metal.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</row>
    <row r="4">
      <c r="A4" s="8" t="inlineStr">
        <is>
          <t>THREE ISSUES FOUND IN THE SUPPLIED RESERVES TABLE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</row>
    <row r="5">
      <c r="A5" s="9" t="inlineStr">
        <is>
          <t>1. UNIT INCONSISTENCY. Mn (1,700) and Cu (980) are in Mt; Li, Co, Ni and graphite are in kt. Left uncorrected these two would be 1,000x too small. A conversion factor is applied below - check it matches your source.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</row>
    <row r="6">
      <c r="A6" s="9" t="inlineStr">
        <is>
          <t>2. ROW IS MISSING and takes the residual. Regional entries sum to less than the world total for every material: Ni 57.5% short, Cu 22.8%, Co 18.8%, Li 9.2%, graphite 8.9%. For nickel this is almost entirely Indonesia, the largest holder, which sits in your ROW region. The residual is assigned to ROW below.</t>
        </is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</row>
    <row r="7">
      <c r="A7" s="9" t="inlineStr">
        <is>
          <t>3. MANGANESE OVERSHOOTS. Listed regions sum to 1,718 Mt against a world total of 1,700 Mt (-1.1%). Small, but it means the regional and world figures come from different vintages. ROW residual is floored at zero.</t>
        </is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</row>
    <row r="8">
      <c r="A8" s="9" t="inlineStr">
        <is>
          <t>ALSO: Brazil has no row despite holding significant graphite, manganese and nickel reserves - confirm whether it was folded into LatAm. Aluminium is absent entirely; bauxite reserves must be added separately if m_aluminum is to be constrained.</t>
        </is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</row>
    <row r="10">
      <c r="A10" s="10" t="inlineStr">
        <is>
          <t>1.  MATERIAL PARAMETERS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</row>
    <row r="11" ht="46" customHeight="1" s="1">
      <c r="A11" s="11" t="inlineStr">
        <is>
          <t>Material</t>
        </is>
      </c>
      <c r="B11" s="11" t="inlineStr">
        <is>
          <t>Commodity</t>
        </is>
      </c>
      <c r="C11" s="11" t="inlineStr">
        <is>
          <t>Prefix</t>
        </is>
      </c>
      <c r="D11" s="11" t="inlineStr">
        <is>
          <t>World reserves
(as supplied)</t>
        </is>
      </c>
      <c r="E11" s="11" t="inlineStr">
        <is>
          <t>Unit
supplied</t>
        </is>
      </c>
      <c r="F11" s="11" t="inlineStr">
        <is>
          <t>Factor to kt</t>
        </is>
      </c>
      <c r="G11" s="11" t="inlineStr">
        <is>
          <t>World reserves
(kt)</t>
        </is>
      </c>
      <c r="H11" s="11" t="inlineStr">
        <is>
          <t>Battery share</t>
        </is>
      </c>
      <c r="I11" s="11" t="inlineStr">
        <is>
          <t>RSV2 multiplier
(resources)</t>
        </is>
      </c>
      <c r="J11" s="11" t="inlineStr">
        <is>
          <t>RSV3 multiplier
(speculative)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</row>
    <row r="12">
      <c r="A12" s="12" t="inlineStr">
        <is>
          <t>Li</t>
        </is>
      </c>
      <c r="B12" s="13" t="inlineStr">
        <is>
          <t>m_lithium</t>
        </is>
      </c>
      <c r="C12" s="13" t="inlineStr">
        <is>
          <t>MINLi</t>
        </is>
      </c>
      <c r="D12" s="42" t="n">
        <v>30000</v>
      </c>
      <c r="E12" s="13" t="inlineStr">
        <is>
          <t>kt</t>
        </is>
      </c>
      <c r="F12" s="15" t="n">
        <v>0.7</v>
      </c>
      <c r="G12" s="16">
        <f>D12*F12</f>
        <v/>
      </c>
      <c r="H12" s="43" t="n">
        <v>0.87</v>
      </c>
      <c r="I12" s="18" t="n">
        <v>1</v>
      </c>
      <c r="J12" s="18" t="n">
        <v>10</v>
      </c>
      <c r="K12" s="6" t="n"/>
      <c r="L12" s="6" t="n"/>
      <c r="M12" s="19" t="n">
        <v>2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</row>
    <row r="13">
      <c r="A13" s="20" t="inlineStr">
        <is>
          <t>Co</t>
        </is>
      </c>
      <c r="B13" s="21" t="inlineStr">
        <is>
          <t>m_cobalt</t>
        </is>
      </c>
      <c r="C13" s="21" t="inlineStr">
        <is>
          <t>MINCo</t>
        </is>
      </c>
      <c r="D13" s="44" t="n">
        <v>11000</v>
      </c>
      <c r="E13" s="21" t="inlineStr">
        <is>
          <t>kt</t>
        </is>
      </c>
      <c r="F13" s="15" t="n">
        <v>0.7</v>
      </c>
      <c r="G13" s="23">
        <f>D13*F13</f>
        <v/>
      </c>
      <c r="H13" s="43" t="n">
        <v>0.759</v>
      </c>
      <c r="I13" s="18" t="n">
        <v>1</v>
      </c>
      <c r="J13" s="18" t="n">
        <v>10</v>
      </c>
      <c r="K13" s="6" t="n"/>
      <c r="L13" s="6" t="n"/>
      <c r="M13" s="19" t="n">
        <v>1.8</v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</row>
    <row r="14">
      <c r="A14" s="12" t="inlineStr">
        <is>
          <t>Ni</t>
        </is>
      </c>
      <c r="B14" s="13" t="inlineStr">
        <is>
          <t>m_nickel</t>
        </is>
      </c>
      <c r="C14" s="13" t="inlineStr">
        <is>
          <t>MINNi</t>
        </is>
      </c>
      <c r="D14" s="42" t="n">
        <v>130000</v>
      </c>
      <c r="E14" s="13" t="inlineStr">
        <is>
          <t>kt</t>
        </is>
      </c>
      <c r="F14" s="15" t="n">
        <v>0.7</v>
      </c>
      <c r="G14" s="16">
        <f>D14*F14</f>
        <v/>
      </c>
      <c r="H14" s="43" t="n">
        <v>0.154</v>
      </c>
      <c r="I14" s="18" t="n">
        <v>1</v>
      </c>
      <c r="J14" s="18" t="n">
        <v>10</v>
      </c>
      <c r="K14" s="6" t="n"/>
      <c r="L14" s="6" t="n"/>
      <c r="M14" s="19" t="n">
        <v>1.8</v>
      </c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</row>
    <row r="15">
      <c r="A15" s="20" t="inlineStr">
        <is>
          <t>Mn</t>
        </is>
      </c>
      <c r="B15" s="21" t="inlineStr">
        <is>
          <t>m_manganese</t>
        </is>
      </c>
      <c r="C15" s="21" t="inlineStr">
        <is>
          <t>MINMn</t>
        </is>
      </c>
      <c r="D15" s="44" t="n">
        <v>1700</v>
      </c>
      <c r="E15" s="21" t="inlineStr">
        <is>
          <t>Mt</t>
        </is>
      </c>
      <c r="F15" s="15" t="n">
        <v>0.7</v>
      </c>
      <c r="G15" s="23">
        <f>D15*F15</f>
        <v/>
      </c>
      <c r="H15" s="43" t="n">
        <v>0.01</v>
      </c>
      <c r="I15" s="18" t="n">
        <v>1</v>
      </c>
      <c r="J15" s="18" t="n">
        <v>10</v>
      </c>
      <c r="K15" s="6" t="n"/>
      <c r="L15" s="6" t="n"/>
      <c r="M15" s="19" t="n">
        <v>2</v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</row>
    <row r="16">
      <c r="A16" s="12" t="inlineStr">
        <is>
          <t>Cu</t>
        </is>
      </c>
      <c r="B16" s="13" t="inlineStr">
        <is>
          <t>m_copper</t>
        </is>
      </c>
      <c r="C16" s="13" t="inlineStr">
        <is>
          <t>MINCu</t>
        </is>
      </c>
      <c r="D16" s="42" t="n">
        <v>980</v>
      </c>
      <c r="E16" s="13" t="inlineStr">
        <is>
          <t>Mt</t>
        </is>
      </c>
      <c r="F16" s="15" t="n">
        <v>0.7</v>
      </c>
      <c r="G16" s="16">
        <f>D16*F16</f>
        <v/>
      </c>
      <c r="H16" s="43" t="n">
        <v>0.026</v>
      </c>
      <c r="I16" s="18" t="n">
        <v>1</v>
      </c>
      <c r="J16" s="18" t="n">
        <v>10</v>
      </c>
      <c r="K16" s="6" t="n"/>
      <c r="L16" s="6" t="n"/>
      <c r="M16" s="19" t="n">
        <v>1.8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</row>
    <row r="17">
      <c r="A17" s="20" t="inlineStr">
        <is>
          <t>Gr</t>
        </is>
      </c>
      <c r="B17" s="21" t="inlineStr">
        <is>
          <t>m_graphite</t>
        </is>
      </c>
      <c r="C17" s="21" t="inlineStr">
        <is>
          <t>MINGr</t>
        </is>
      </c>
      <c r="D17" s="44" t="n">
        <v>290000</v>
      </c>
      <c r="E17" s="21" t="inlineStr">
        <is>
          <t>kt</t>
        </is>
      </c>
      <c r="F17" s="15" t="n">
        <v>0.7</v>
      </c>
      <c r="G17" s="23">
        <f>D17*F17</f>
        <v/>
      </c>
      <c r="H17" s="43" t="n">
        <v>0.917</v>
      </c>
      <c r="I17" s="18" t="n">
        <v>1</v>
      </c>
      <c r="J17" s="18" t="n">
        <v>10</v>
      </c>
      <c r="K17" s="6" t="n"/>
      <c r="L17" s="6" t="n"/>
      <c r="M17" s="19" t="n">
        <v>2</v>
      </c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</row>
    <row r="18">
      <c r="A18" s="7" t="inlineStr">
        <is>
          <t>Battery share is derived from your own 2024 activity data divided by world mine production, so CUM is on the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</row>
    <row r="19">
      <c r="A19" s="7" t="inlineStr">
        <is>
          <t>same scope as the model. RSV2/RSV3 multiples of reserves approximate the USGS resource hierarchy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</row>
    <row r="20">
      <c r="A20" s="7" t="inlineStr">
        <is>
          <t>(reserves -&gt; identified resources -&gt; undiscovered). These two columns are the least well sourced - verify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</row>
    <row r="21">
      <c r="A21" s="7" t="inlineStr">
        <is>
          <t>against USGS resource figures and report results across a range.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</row>
    <row r="23">
      <c r="A23" s="10" t="inlineStr">
        <is>
          <t>2.  RESERVES BY REGION (as supplied, in the unit given above)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</row>
    <row r="24" ht="23" customHeight="1" s="1">
      <c r="A24" s="11" t="inlineStr">
        <is>
          <t>Material</t>
        </is>
      </c>
      <c r="B24" s="11" t="inlineStr">
        <is>
          <t>Unit</t>
        </is>
      </c>
      <c r="C24" s="11" t="inlineStr">
        <is>
          <t>Listed sum</t>
        </is>
      </c>
      <c r="D24" s="11" t="inlineStr">
        <is>
          <t>Africa_North</t>
        </is>
      </c>
      <c r="E24" s="11" t="inlineStr">
        <is>
          <t>Africa_Other</t>
        </is>
      </c>
      <c r="F24" s="11" t="inlineStr">
        <is>
          <t>Australia</t>
        </is>
      </c>
      <c r="G24" s="11" t="inlineStr">
        <is>
          <t>Austria</t>
        </is>
      </c>
      <c r="H24" s="11" t="inlineStr">
        <is>
          <t>Baltics</t>
        </is>
      </c>
      <c r="I24" s="11" t="inlineStr">
        <is>
          <t>BeNeLux</t>
        </is>
      </c>
      <c r="J24" s="11" t="inlineStr">
        <is>
          <t>Brazil</t>
        </is>
      </c>
      <c r="K24" s="11" t="inlineStr">
        <is>
          <t>China</t>
        </is>
      </c>
      <c r="L24" s="11" t="inlineStr">
        <is>
          <t>CroSloven</t>
        </is>
      </c>
      <c r="M24" s="11" t="inlineStr">
        <is>
          <t>CzechSlovak</t>
        </is>
      </c>
      <c r="N24" s="11" t="inlineStr">
        <is>
          <t>France</t>
        </is>
      </c>
      <c r="O24" s="11" t="inlineStr">
        <is>
          <t>Germany</t>
        </is>
      </c>
      <c r="P24" s="11" t="inlineStr">
        <is>
          <t>GreeceCyp</t>
        </is>
      </c>
      <c r="Q24" s="11" t="inlineStr">
        <is>
          <t>HunRomBul</t>
        </is>
      </c>
      <c r="R24" s="11" t="inlineStr">
        <is>
          <t>Iceland</t>
        </is>
      </c>
      <c r="S24" s="11" t="inlineStr">
        <is>
          <t>India</t>
        </is>
      </c>
      <c r="T24" s="11" t="inlineStr">
        <is>
          <t>Ireland</t>
        </is>
      </c>
      <c r="U24" s="11" t="inlineStr">
        <is>
          <t>ItalyMal</t>
        </is>
      </c>
      <c r="V24" s="11" t="inlineStr">
        <is>
          <t>Japan</t>
        </is>
      </c>
      <c r="W24" s="11" t="inlineStr">
        <is>
          <t>LatAm</t>
        </is>
      </c>
      <c r="X24" s="11" t="inlineStr">
        <is>
          <t>MidEast</t>
        </is>
      </c>
      <c r="Y24" s="11" t="inlineStr">
        <is>
          <t>NorthAm</t>
        </is>
      </c>
      <c r="Z24" s="11" t="inlineStr">
        <is>
          <t>Norway</t>
        </is>
      </c>
      <c r="AA24" s="11" t="inlineStr">
        <is>
          <t>Poland</t>
        </is>
      </c>
      <c r="AB24" s="11" t="inlineStr">
        <is>
          <t>ROW</t>
        </is>
      </c>
      <c r="AC24" s="11" t="inlineStr">
        <is>
          <t>Russia</t>
        </is>
      </c>
      <c r="AD24" s="11" t="inlineStr">
        <is>
          <t>SaudiArabia</t>
        </is>
      </c>
      <c r="AE24" s="11" t="inlineStr">
        <is>
          <t>SouthAfrica</t>
        </is>
      </c>
      <c r="AF24" s="11" t="inlineStr">
        <is>
          <t>SpainPor</t>
        </is>
      </c>
      <c r="AG24" s="11" t="inlineStr">
        <is>
          <t>SweFinDen</t>
        </is>
      </c>
      <c r="AH24" s="11" t="inlineStr">
        <is>
          <t>Switzerland</t>
        </is>
      </c>
      <c r="AI24" s="11" t="inlineStr">
        <is>
          <t>Turkey</t>
        </is>
      </c>
      <c r="AJ24" s="11" t="inlineStr">
        <is>
          <t>UK</t>
        </is>
      </c>
      <c r="AK24" s="11" t="inlineStr">
        <is>
          <t>Ukraine</t>
        </is>
      </c>
      <c r="AL24" s="11" t="inlineStr">
        <is>
          <t>WestBalkans</t>
        </is>
      </c>
      <c r="AM24" s="6" t="n"/>
      <c r="AN24" s="6" t="n"/>
    </row>
    <row r="25">
      <c r="A25" s="20" t="inlineStr">
        <is>
          <t>Li</t>
        </is>
      </c>
      <c r="B25" s="20" t="inlineStr">
        <is>
          <t>kt</t>
        </is>
      </c>
      <c r="C25" s="45">
        <f>SUM(D25:AL25)</f>
        <v/>
      </c>
      <c r="D25" s="42" t="n">
        <v>0</v>
      </c>
      <c r="E25" s="42" t="n">
        <v>494</v>
      </c>
      <c r="F25" s="42" t="n">
        <v>7000</v>
      </c>
      <c r="G25" s="42" t="n">
        <v>0</v>
      </c>
      <c r="H25" s="42" t="n">
        <v>0</v>
      </c>
      <c r="I25" s="42" t="n">
        <v>0</v>
      </c>
      <c r="J25" s="42" t="n">
        <v>0</v>
      </c>
      <c r="K25" s="42" t="n">
        <v>3000</v>
      </c>
      <c r="L25" s="42" t="n">
        <v>0</v>
      </c>
      <c r="M25" s="42" t="n">
        <v>0</v>
      </c>
      <c r="N25" s="42" t="n">
        <v>0</v>
      </c>
      <c r="O25" s="42" t="n">
        <v>0</v>
      </c>
      <c r="P25" s="42" t="n">
        <v>0</v>
      </c>
      <c r="Q25" s="42" t="n">
        <v>0</v>
      </c>
      <c r="R25" s="42" t="n">
        <v>0</v>
      </c>
      <c r="S25" s="42" t="n">
        <v>0</v>
      </c>
      <c r="T25" s="42" t="n">
        <v>0</v>
      </c>
      <c r="U25" s="42" t="n">
        <v>0</v>
      </c>
      <c r="V25" s="42" t="n">
        <v>0</v>
      </c>
      <c r="W25" s="42" t="n">
        <v>13690</v>
      </c>
      <c r="X25" s="42" t="n">
        <v>0</v>
      </c>
      <c r="Y25" s="42" t="n">
        <v>3000</v>
      </c>
      <c r="Z25" s="42" t="n">
        <v>0</v>
      </c>
      <c r="AA25" s="42" t="n">
        <v>0</v>
      </c>
      <c r="AB25" s="46">
        <f>MAX(0,$D$12-(D25+E25+F25+G25+H25+I25+J25+K25+L25+M25+N25+O25+P25+Q25+R25+S25+T25+U25+V25+W25+X25+Y25+Z25+AA25+AC25+AD25+AE25+AF25+AG25+AH25+AI25+AJ25+AK25+AL25))</f>
        <v/>
      </c>
      <c r="AC25" s="42" t="n">
        <v>0</v>
      </c>
      <c r="AD25" s="42" t="n">
        <v>0</v>
      </c>
      <c r="AE25" s="42" t="n">
        <v>0</v>
      </c>
      <c r="AF25" s="42" t="n">
        <v>60</v>
      </c>
      <c r="AG25" s="42" t="n">
        <v>0</v>
      </c>
      <c r="AH25" s="42" t="n">
        <v>0</v>
      </c>
      <c r="AI25" s="42" t="n">
        <v>0</v>
      </c>
      <c r="AJ25" s="42" t="n">
        <v>0</v>
      </c>
      <c r="AK25" s="42" t="n">
        <v>0</v>
      </c>
      <c r="AL25" s="42" t="n">
        <v>0</v>
      </c>
      <c r="AM25" s="6" t="n"/>
      <c r="AN25" s="6" t="n"/>
    </row>
    <row r="26">
      <c r="A26" s="20" t="inlineStr">
        <is>
          <t>Co</t>
        </is>
      </c>
      <c r="B26" s="20" t="inlineStr">
        <is>
          <t>kt</t>
        </is>
      </c>
      <c r="C26" s="45">
        <f>SUM(D26:AL26)</f>
        <v/>
      </c>
      <c r="D26" s="44" t="n">
        <v>0</v>
      </c>
      <c r="E26" s="44" t="n">
        <v>6100</v>
      </c>
      <c r="F26" s="44" t="n">
        <v>1700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500</v>
      </c>
      <c r="X26" s="44" t="n">
        <v>0</v>
      </c>
      <c r="Y26" s="44" t="n">
        <v>290</v>
      </c>
      <c r="Z26" s="44" t="n">
        <v>0</v>
      </c>
      <c r="AA26" s="44" t="n">
        <v>0</v>
      </c>
      <c r="AB26" s="46">
        <f>MAX(0,$D$13-(D26+E26+F26+G26+H26+I26+J26+K26+L26+M26+N26+O26+P26+Q26+R26+S26+T26+U26+V26+W26+X26+Y26+Z26+AA26+AC26+AD26+AE26+AF26+AG26+AH26+AI26+AJ26+AK26+AL26))</f>
        <v/>
      </c>
      <c r="AC26" s="44" t="n">
        <v>250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91</v>
      </c>
      <c r="AJ26" s="44" t="n">
        <v>0</v>
      </c>
      <c r="AK26" s="44" t="n">
        <v>0</v>
      </c>
      <c r="AL26" s="44" t="n">
        <v>0</v>
      </c>
      <c r="AM26" s="6" t="n"/>
      <c r="AN26" s="6" t="n"/>
    </row>
    <row r="27">
      <c r="A27" s="20" t="inlineStr">
        <is>
          <t>Ni</t>
        </is>
      </c>
      <c r="B27" s="20" t="inlineStr">
        <is>
          <t>kt</t>
        </is>
      </c>
      <c r="C27" s="45">
        <f>SUM(D27:AL27)</f>
        <v/>
      </c>
      <c r="D27" s="42" t="n">
        <v>0</v>
      </c>
      <c r="E27" s="42" t="n">
        <v>0</v>
      </c>
      <c r="F27" s="42" t="n">
        <v>24000</v>
      </c>
      <c r="G27" s="42" t="n">
        <v>0</v>
      </c>
      <c r="H27" s="42" t="n">
        <v>0</v>
      </c>
      <c r="I27" s="42" t="n">
        <v>0</v>
      </c>
      <c r="J27" s="42" t="n">
        <v>0</v>
      </c>
      <c r="K27" s="42" t="n">
        <v>4400</v>
      </c>
      <c r="L27" s="42" t="n">
        <v>0</v>
      </c>
      <c r="M27" s="42" t="n">
        <v>0</v>
      </c>
      <c r="N27" s="42" t="n">
        <v>0</v>
      </c>
      <c r="O27" s="42" t="n">
        <v>0</v>
      </c>
      <c r="P27" s="42" t="n">
        <v>0</v>
      </c>
      <c r="Q27" s="42" t="n">
        <v>0</v>
      </c>
      <c r="R27" s="42" t="n">
        <v>0</v>
      </c>
      <c r="S27" s="42" t="n">
        <v>0</v>
      </c>
      <c r="T27" s="42" t="n">
        <v>0</v>
      </c>
      <c r="U27" s="42" t="n">
        <v>0</v>
      </c>
      <c r="V27" s="42" t="n">
        <v>0</v>
      </c>
      <c r="W27" s="42" t="n">
        <v>16000</v>
      </c>
      <c r="X27" s="42" t="n">
        <v>0</v>
      </c>
      <c r="Y27" s="42" t="n">
        <v>2510</v>
      </c>
      <c r="Z27" s="42" t="n">
        <v>0</v>
      </c>
      <c r="AA27" s="42" t="n">
        <v>0</v>
      </c>
      <c r="AB27" s="46">
        <f>MAX(0,$D$14-(D27+E27+F27+G27+H27+I27+J27+K27+L27+M27+N27+O27+P27+Q27+R27+S27+T27+U27+V27+W27+X27+Y27+Z27+AA27+AC27+AD27+AE27+AF27+AG27+AH27+AI27+AJ27+AK27+AL27))</f>
        <v/>
      </c>
      <c r="AC27" s="42" t="n">
        <v>8300</v>
      </c>
      <c r="AD27" s="42" t="n">
        <v>0</v>
      </c>
      <c r="AE27" s="42" t="n">
        <v>0</v>
      </c>
      <c r="AF27" s="42" t="n">
        <v>0</v>
      </c>
      <c r="AG27" s="42" t="n">
        <v>0</v>
      </c>
      <c r="AH27" s="42" t="n">
        <v>0</v>
      </c>
      <c r="AI27" s="42" t="n">
        <v>0</v>
      </c>
      <c r="AJ27" s="42" t="n">
        <v>0</v>
      </c>
      <c r="AK27" s="42" t="n">
        <v>0</v>
      </c>
      <c r="AL27" s="42" t="n">
        <v>0</v>
      </c>
      <c r="AM27" s="6" t="n"/>
      <c r="AN27" s="6" t="n"/>
    </row>
    <row r="28">
      <c r="A28" s="20" t="inlineStr">
        <is>
          <t>Mn</t>
        </is>
      </c>
      <c r="B28" s="20" t="inlineStr">
        <is>
          <t>kt</t>
        </is>
      </c>
      <c r="C28" s="45">
        <f>SUM(D28:AL28)</f>
        <v/>
      </c>
      <c r="D28" s="44">
        <f>D32*1000</f>
        <v/>
      </c>
      <c r="E28" s="44">
        <f>E32*1000</f>
        <v/>
      </c>
      <c r="F28" s="44">
        <f>F32*1000</f>
        <v/>
      </c>
      <c r="G28" s="44">
        <f>G32*1000</f>
        <v/>
      </c>
      <c r="H28" s="44">
        <f>H32*1000</f>
        <v/>
      </c>
      <c r="I28" s="44">
        <f>I32*1000</f>
        <v/>
      </c>
      <c r="J28" s="44">
        <f>J32*1000</f>
        <v/>
      </c>
      <c r="K28" s="44">
        <f>K32*1000</f>
        <v/>
      </c>
      <c r="L28" s="44">
        <f>L32*1000</f>
        <v/>
      </c>
      <c r="M28" s="44">
        <f>M32*1000</f>
        <v/>
      </c>
      <c r="N28" s="44">
        <f>N32*1000</f>
        <v/>
      </c>
      <c r="O28" s="44">
        <f>O32*1000</f>
        <v/>
      </c>
      <c r="P28" s="44">
        <f>P32*1000</f>
        <v/>
      </c>
      <c r="Q28" s="44">
        <f>Q32*1000</f>
        <v/>
      </c>
      <c r="R28" s="44">
        <f>R32*1000</f>
        <v/>
      </c>
      <c r="S28" s="44">
        <f>S32*1000</f>
        <v/>
      </c>
      <c r="T28" s="44">
        <f>T32*1000</f>
        <v/>
      </c>
      <c r="U28" s="44">
        <f>U32*1000</f>
        <v/>
      </c>
      <c r="V28" s="44">
        <f>V32*1000</f>
        <v/>
      </c>
      <c r="W28" s="44">
        <f>W32*1000</f>
        <v/>
      </c>
      <c r="X28" s="44">
        <f>X32*1000</f>
        <v/>
      </c>
      <c r="Y28" s="44">
        <f>Y32*1000</f>
        <v/>
      </c>
      <c r="Z28" s="44">
        <f>Z32*1000</f>
        <v/>
      </c>
      <c r="AA28" s="44">
        <f>AA32*1000</f>
        <v/>
      </c>
      <c r="AB28" s="44">
        <f>AB32*1000</f>
        <v/>
      </c>
      <c r="AC28" s="44">
        <f>AC32*1000</f>
        <v/>
      </c>
      <c r="AD28" s="44">
        <f>AD32*1000</f>
        <v/>
      </c>
      <c r="AE28" s="44">
        <f>AE32*1000</f>
        <v/>
      </c>
      <c r="AF28" s="44">
        <f>AF32*1000</f>
        <v/>
      </c>
      <c r="AG28" s="44">
        <f>AG32*1000</f>
        <v/>
      </c>
      <c r="AH28" s="44">
        <f>AH32*1000</f>
        <v/>
      </c>
      <c r="AI28" s="44">
        <f>AI32*1000</f>
        <v/>
      </c>
      <c r="AJ28" s="44">
        <f>AJ32*1000</f>
        <v/>
      </c>
      <c r="AK28" s="44">
        <f>AK32*1000</f>
        <v/>
      </c>
      <c r="AL28" s="44">
        <f>AL32*1000</f>
        <v/>
      </c>
      <c r="AM28" s="6" t="n"/>
      <c r="AN28" s="6" t="n"/>
    </row>
    <row r="29">
      <c r="A29" s="20" t="inlineStr">
        <is>
          <t>Cu</t>
        </is>
      </c>
      <c r="B29" s="20" t="inlineStr">
        <is>
          <t>kt</t>
        </is>
      </c>
      <c r="C29" s="45">
        <f>SUM(D29:AL29)</f>
        <v/>
      </c>
      <c r="D29" s="44">
        <f>D33*1000</f>
        <v/>
      </c>
      <c r="E29" s="44">
        <f>E33*1000</f>
        <v/>
      </c>
      <c r="F29" s="44">
        <f>F33*1000</f>
        <v/>
      </c>
      <c r="G29" s="44">
        <f>G33*1000</f>
        <v/>
      </c>
      <c r="H29" s="44">
        <f>H33*1000</f>
        <v/>
      </c>
      <c r="I29" s="44">
        <f>I33*1000</f>
        <v/>
      </c>
      <c r="J29" s="44">
        <f>J33*1000</f>
        <v/>
      </c>
      <c r="K29" s="44">
        <f>K33*1000</f>
        <v/>
      </c>
      <c r="L29" s="44">
        <f>L33*1000</f>
        <v/>
      </c>
      <c r="M29" s="44">
        <f>M33*1000</f>
        <v/>
      </c>
      <c r="N29" s="44">
        <f>N33*1000</f>
        <v/>
      </c>
      <c r="O29" s="44">
        <f>O33*1000</f>
        <v/>
      </c>
      <c r="P29" s="44">
        <f>P33*1000</f>
        <v/>
      </c>
      <c r="Q29" s="44">
        <f>Q33*1000</f>
        <v/>
      </c>
      <c r="R29" s="44">
        <f>R33*1000</f>
        <v/>
      </c>
      <c r="S29" s="44">
        <f>S33*1000</f>
        <v/>
      </c>
      <c r="T29" s="44">
        <f>T33*1000</f>
        <v/>
      </c>
      <c r="U29" s="44">
        <f>U33*1000</f>
        <v/>
      </c>
      <c r="V29" s="44">
        <f>V33*1000</f>
        <v/>
      </c>
      <c r="W29" s="44">
        <f>W33*1000</f>
        <v/>
      </c>
      <c r="X29" s="44">
        <f>X33*1000</f>
        <v/>
      </c>
      <c r="Y29" s="44">
        <f>Y33*1000</f>
        <v/>
      </c>
      <c r="Z29" s="44">
        <f>Z33*1000</f>
        <v/>
      </c>
      <c r="AA29" s="44">
        <f>AA33*1000</f>
        <v/>
      </c>
      <c r="AB29" s="44">
        <f>AB33*1000</f>
        <v/>
      </c>
      <c r="AC29" s="44">
        <f>AC33*1000</f>
        <v/>
      </c>
      <c r="AD29" s="44">
        <f>AD33*1000</f>
        <v/>
      </c>
      <c r="AE29" s="44">
        <f>AE33*1000</f>
        <v/>
      </c>
      <c r="AF29" s="44">
        <f>AF33*1000</f>
        <v/>
      </c>
      <c r="AG29" s="44">
        <f>AG33*1000</f>
        <v/>
      </c>
      <c r="AH29" s="44">
        <f>AH33*1000</f>
        <v/>
      </c>
      <c r="AI29" s="44">
        <f>AI33*1000</f>
        <v/>
      </c>
      <c r="AJ29" s="44">
        <f>AJ33*1000</f>
        <v/>
      </c>
      <c r="AK29" s="44">
        <f>AK33*1000</f>
        <v/>
      </c>
      <c r="AL29" s="44">
        <f>AL33*1000</f>
        <v/>
      </c>
      <c r="AM29" s="6" t="n"/>
      <c r="AN29" s="6" t="n"/>
    </row>
    <row r="30">
      <c r="A30" s="20" t="inlineStr">
        <is>
          <t>Gr</t>
        </is>
      </c>
      <c r="B30" s="20" t="inlineStr">
        <is>
          <t>kt</t>
        </is>
      </c>
      <c r="C30" s="45">
        <f>SUM(D30:AL30)</f>
        <v/>
      </c>
      <c r="D30" s="44" t="n">
        <v>0</v>
      </c>
      <c r="E30" s="44" t="n">
        <v>70000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81000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8600</v>
      </c>
      <c r="T30" s="44" t="n">
        <v>0</v>
      </c>
      <c r="U30" s="44" t="n">
        <v>0</v>
      </c>
      <c r="V30" s="44" t="n">
        <v>0</v>
      </c>
      <c r="W30" s="44" t="n">
        <v>77100</v>
      </c>
      <c r="X30" s="44" t="n">
        <v>0</v>
      </c>
      <c r="Y30" s="44" t="n">
        <v>5900</v>
      </c>
      <c r="Z30" s="44" t="n">
        <v>600</v>
      </c>
      <c r="AA30" s="44" t="n">
        <v>0</v>
      </c>
      <c r="AB30" s="46">
        <f>MAX(0,$D$17-(D30+E30+F30+G30+H30+I30+J30+K30+L30+M30+N30+O30+P30+Q30+R30+S30+T30+U30+V30+W30+X30+Y30+Z30+AA30+AC30+AD30+AE30+AF30+AG30+AH30+AI30+AJ30+AK30+AL30))</f>
        <v/>
      </c>
      <c r="AC30" s="44" t="n">
        <v>14000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6900</v>
      </c>
      <c r="AJ30" s="44" t="n">
        <v>0</v>
      </c>
      <c r="AK30" s="44" t="n">
        <v>0</v>
      </c>
      <c r="AL30" s="44" t="n">
        <v>0</v>
      </c>
      <c r="AM30" s="6" t="n"/>
      <c r="AN30" s="6" t="n"/>
    </row>
    <row r="31">
      <c r="A31" s="7" t="inlineStr">
        <is>
          <t>ROW cell is a formula: world total minus all other regions. It is yellow because it is inferred, not sourced.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</row>
    <row r="32">
      <c r="A32" s="7" t="inlineStr">
        <is>
          <t>'Listed sum' should now equal the world reserves in section 1 for every material.</t>
        </is>
      </c>
      <c r="B32" s="6" t="n"/>
      <c r="C32" s="6" t="n"/>
      <c r="D32" s="44" t="n">
        <v>0</v>
      </c>
      <c r="E32" s="44" t="n">
        <v>74</v>
      </c>
      <c r="F32" s="44" t="n">
        <v>500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280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34</v>
      </c>
      <c r="T32" s="44" t="n">
        <v>0</v>
      </c>
      <c r="U32" s="44" t="n">
        <v>0</v>
      </c>
      <c r="V32" s="44" t="n">
        <v>0</v>
      </c>
      <c r="W32" s="44" t="n">
        <v>270</v>
      </c>
      <c r="X32" s="44" t="n">
        <v>0</v>
      </c>
      <c r="Y32" s="44" t="n">
        <v>0</v>
      </c>
      <c r="Z32" s="44" t="n">
        <v>0</v>
      </c>
      <c r="AA32" s="44" t="n">
        <v>0</v>
      </c>
      <c r="AB32" s="46">
        <f>MAX(0,$D$15-(D32+E32+F32+G32+H32+I32+J32+K32+L32+M32+N32+O32+P32+Q32+R32+S32+T32+U32+V32+W32+X32+Y32+Z32+AA32+AC32+AD32+AE32+AF32+AG32+AH32+AI32+AJ32+AK32+AL32))</f>
        <v/>
      </c>
      <c r="AC32" s="44" t="n">
        <v>0</v>
      </c>
      <c r="AD32" s="44" t="n">
        <v>0</v>
      </c>
      <c r="AE32" s="44" t="n">
        <v>560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6" t="n"/>
      <c r="AN32" s="6" t="n"/>
    </row>
    <row r="33">
      <c r="A33" s="6" t="n"/>
      <c r="B33" s="6" t="n"/>
      <c r="C33" s="6" t="n"/>
      <c r="D33" s="42" t="n">
        <v>0</v>
      </c>
      <c r="E33" s="42" t="n">
        <v>101</v>
      </c>
      <c r="F33" s="42" t="n">
        <v>100</v>
      </c>
      <c r="G33" s="42" t="n">
        <v>0</v>
      </c>
      <c r="H33" s="42" t="n">
        <v>0</v>
      </c>
      <c r="I33" s="42" t="n">
        <v>0</v>
      </c>
      <c r="J33" s="42" t="n">
        <v>0</v>
      </c>
      <c r="K33" s="42" t="n">
        <v>41</v>
      </c>
      <c r="L33" s="42" t="n">
        <v>0</v>
      </c>
      <c r="M33" s="42" t="n">
        <v>0</v>
      </c>
      <c r="N33" s="42" t="n">
        <v>0</v>
      </c>
      <c r="O33" s="42" t="n">
        <v>0</v>
      </c>
      <c r="P33" s="42" t="n">
        <v>0</v>
      </c>
      <c r="Q33" s="42" t="n">
        <v>0</v>
      </c>
      <c r="R33" s="42" t="n">
        <v>0</v>
      </c>
      <c r="S33" s="42" t="n">
        <v>2.2</v>
      </c>
      <c r="T33" s="42" t="n">
        <v>0</v>
      </c>
      <c r="U33" s="42" t="n">
        <v>0</v>
      </c>
      <c r="V33" s="42" t="n">
        <v>0</v>
      </c>
      <c r="W33" s="42" t="n">
        <v>290</v>
      </c>
      <c r="X33" s="42" t="n">
        <v>0</v>
      </c>
      <c r="Y33" s="42" t="n">
        <v>108.3</v>
      </c>
      <c r="Z33" s="42" t="n">
        <v>0</v>
      </c>
      <c r="AA33" s="42" t="n">
        <v>34</v>
      </c>
      <c r="AB33" s="46">
        <f>MAX(0,$D$16-(D33+E33+F33+G33+H33+I33+J33+K33+L33+M33+N33+O33+P33+Q33+R33+S33+T33+U33+V33+W33+X33+Y33+Z33+AA33+AC33+AD33+AE33+AF33+AG33+AH33+AI33+AJ33+AK33+AL33))</f>
        <v/>
      </c>
      <c r="AC33" s="42" t="n">
        <v>80</v>
      </c>
      <c r="AD33" s="42" t="n">
        <v>0</v>
      </c>
      <c r="AE33" s="42" t="n">
        <v>0</v>
      </c>
      <c r="AF33" s="42" t="n">
        <v>0</v>
      </c>
      <c r="AG33" s="42" t="n">
        <v>0</v>
      </c>
      <c r="AH33" s="42" t="n">
        <v>0</v>
      </c>
      <c r="AI33" s="42" t="n">
        <v>0</v>
      </c>
      <c r="AJ33" s="42" t="n">
        <v>0</v>
      </c>
      <c r="AK33" s="42" t="n">
        <v>0</v>
      </c>
      <c r="AL33" s="42" t="n">
        <v>0</v>
      </c>
      <c r="AM33" s="6" t="n"/>
      <c r="AN33" s="6" t="n"/>
    </row>
    <row r="34">
      <c r="A34" s="10" t="inlineStr">
        <is>
          <t>3.  CUM TABLE - paste into VEDA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</row>
    <row r="35">
      <c r="A35" s="26" t="inlineStr">
        <is>
          <t>TFM_INS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</row>
    <row r="36" ht="23" customHeight="1" s="1">
      <c r="A36" s="11" t="inlineStr">
        <is>
          <t>pset_pn</t>
        </is>
      </c>
      <c r="B36" s="11" t="inlineStr">
        <is>
          <t>Attribute</t>
        </is>
      </c>
      <c r="C36" s="11" t="inlineStr">
        <is>
          <t>cset_cn</t>
        </is>
      </c>
      <c r="D36" s="11" t="inlineStr">
        <is>
          <t>Africa_North</t>
        </is>
      </c>
      <c r="E36" s="11" t="inlineStr">
        <is>
          <t>Africa_Other</t>
        </is>
      </c>
      <c r="F36" s="11" t="inlineStr">
        <is>
          <t>Australia</t>
        </is>
      </c>
      <c r="G36" s="11" t="inlineStr">
        <is>
          <t>Austria</t>
        </is>
      </c>
      <c r="H36" s="11" t="inlineStr">
        <is>
          <t>Baltics</t>
        </is>
      </c>
      <c r="I36" s="11" t="inlineStr">
        <is>
          <t>BeNeLux</t>
        </is>
      </c>
      <c r="J36" s="11" t="inlineStr">
        <is>
          <t>Brazil</t>
        </is>
      </c>
      <c r="K36" s="11" t="inlineStr">
        <is>
          <t>China</t>
        </is>
      </c>
      <c r="L36" s="11" t="inlineStr">
        <is>
          <t>CroSloven</t>
        </is>
      </c>
      <c r="M36" s="11" t="inlineStr">
        <is>
          <t>CzechSlovak</t>
        </is>
      </c>
      <c r="N36" s="11" t="inlineStr">
        <is>
          <t>France</t>
        </is>
      </c>
      <c r="O36" s="11" t="inlineStr">
        <is>
          <t>Germany</t>
        </is>
      </c>
      <c r="P36" s="11" t="inlineStr">
        <is>
          <t>GreeceCyp</t>
        </is>
      </c>
      <c r="Q36" s="11" t="inlineStr">
        <is>
          <t>HunRomBul</t>
        </is>
      </c>
      <c r="R36" s="11" t="inlineStr">
        <is>
          <t>Iceland</t>
        </is>
      </c>
      <c r="S36" s="11" t="inlineStr">
        <is>
          <t>India</t>
        </is>
      </c>
      <c r="T36" s="11" t="inlineStr">
        <is>
          <t>Ireland</t>
        </is>
      </c>
      <c r="U36" s="11" t="inlineStr">
        <is>
          <t>ItalyMal</t>
        </is>
      </c>
      <c r="V36" s="11" t="inlineStr">
        <is>
          <t>Japan</t>
        </is>
      </c>
      <c r="W36" s="11" t="inlineStr">
        <is>
          <t>LatAm</t>
        </is>
      </c>
      <c r="X36" s="11" t="inlineStr">
        <is>
          <t>MidEast</t>
        </is>
      </c>
      <c r="Y36" s="11" t="inlineStr">
        <is>
          <t>NorthAm</t>
        </is>
      </c>
      <c r="Z36" s="11" t="inlineStr">
        <is>
          <t>Norway</t>
        </is>
      </c>
      <c r="AA36" s="11" t="inlineStr">
        <is>
          <t>Poland</t>
        </is>
      </c>
      <c r="AB36" s="11" t="inlineStr">
        <is>
          <t>ROW</t>
        </is>
      </c>
      <c r="AC36" s="11" t="inlineStr">
        <is>
          <t>Russia</t>
        </is>
      </c>
      <c r="AD36" s="11" t="inlineStr">
        <is>
          <t>SaudiArabia</t>
        </is>
      </c>
      <c r="AE36" s="11" t="inlineStr">
        <is>
          <t>SouthAfrica</t>
        </is>
      </c>
      <c r="AF36" s="11" t="inlineStr">
        <is>
          <t>SpainPor</t>
        </is>
      </c>
      <c r="AG36" s="11" t="inlineStr">
        <is>
          <t>SweFinDen</t>
        </is>
      </c>
      <c r="AH36" s="11" t="inlineStr">
        <is>
          <t>Switzerland</t>
        </is>
      </c>
      <c r="AI36" s="11" t="inlineStr">
        <is>
          <t>Turkey</t>
        </is>
      </c>
      <c r="AJ36" s="11" t="inlineStr">
        <is>
          <t>UK</t>
        </is>
      </c>
      <c r="AK36" s="11" t="inlineStr">
        <is>
          <t>Ukraine</t>
        </is>
      </c>
      <c r="AL36" s="11" t="inlineStr">
        <is>
          <t>WestBalkans</t>
        </is>
      </c>
      <c r="AM36" s="6" t="n"/>
      <c r="AN36" s="6" t="n"/>
    </row>
    <row r="37">
      <c r="A37" s="12" t="inlineStr">
        <is>
          <t>MINLiRSV1</t>
        </is>
      </c>
      <c r="B37" s="12" t="inlineStr">
        <is>
          <t>CUM</t>
        </is>
      </c>
      <c r="C37" s="27" t="n"/>
      <c r="D37" s="47">
        <f>D25*$F$12*$H$12</f>
        <v/>
      </c>
      <c r="E37" s="47">
        <f>E25*$F$12*$H$12</f>
        <v/>
      </c>
      <c r="F37" s="47">
        <f>F25*$F$12*$H$12</f>
        <v/>
      </c>
      <c r="G37" s="47">
        <f>G25*$F$12*$H$12</f>
        <v/>
      </c>
      <c r="H37" s="47">
        <f>H25*$F$12*$H$12</f>
        <v/>
      </c>
      <c r="I37" s="47">
        <f>I25*$F$12*$H$12</f>
        <v/>
      </c>
      <c r="J37" s="47">
        <f>J25*$F$12*$H$12</f>
        <v/>
      </c>
      <c r="K37" s="47">
        <f>K25*$F$12*$H$12</f>
        <v/>
      </c>
      <c r="L37" s="47">
        <f>L25*$F$12*$H$12</f>
        <v/>
      </c>
      <c r="M37" s="47">
        <f>M25*$F$12*$H$12</f>
        <v/>
      </c>
      <c r="N37" s="47">
        <f>N25*$F$12*$H$12</f>
        <v/>
      </c>
      <c r="O37" s="47">
        <f>O25*$F$12*$H$12</f>
        <v/>
      </c>
      <c r="P37" s="47">
        <f>P25*$F$12*$H$12</f>
        <v/>
      </c>
      <c r="Q37" s="47">
        <f>Q25*$F$12*$H$12</f>
        <v/>
      </c>
      <c r="R37" s="47">
        <f>R25*$F$12*$H$12</f>
        <v/>
      </c>
      <c r="S37" s="47">
        <f>S25*$F$12*$H$12</f>
        <v/>
      </c>
      <c r="T37" s="47">
        <f>T25*$F$12*$H$12</f>
        <v/>
      </c>
      <c r="U37" s="47">
        <f>U25*$F$12*$H$12</f>
        <v/>
      </c>
      <c r="V37" s="47">
        <f>V25*$F$12*$H$12</f>
        <v/>
      </c>
      <c r="W37" s="47">
        <f>W25*$F$12*$H$12</f>
        <v/>
      </c>
      <c r="X37" s="47">
        <f>X25*$F$12*$H$12</f>
        <v/>
      </c>
      <c r="Y37" s="47">
        <f>Y25*$F$12*$H$12</f>
        <v/>
      </c>
      <c r="Z37" s="47">
        <f>Z25*$F$12*$H$12</f>
        <v/>
      </c>
      <c r="AA37" s="47">
        <f>AA25*$F$12*$H$12</f>
        <v/>
      </c>
      <c r="AB37" s="47">
        <f>AB25*$F$12*$H$12</f>
        <v/>
      </c>
      <c r="AC37" s="47">
        <f>AC25*$F$12*$H$12</f>
        <v/>
      </c>
      <c r="AD37" s="47">
        <f>AD25*$F$12*$H$12</f>
        <v/>
      </c>
      <c r="AE37" s="47">
        <f>AE25*$F$12*$H$12</f>
        <v/>
      </c>
      <c r="AF37" s="47">
        <f>AF25*$F$12*$H$12</f>
        <v/>
      </c>
      <c r="AG37" s="47">
        <f>AG25*$F$12*$H$12</f>
        <v/>
      </c>
      <c r="AH37" s="47">
        <f>AH25*$F$12*$H$12</f>
        <v/>
      </c>
      <c r="AI37" s="47">
        <f>AI25*$F$12*$H$12</f>
        <v/>
      </c>
      <c r="AJ37" s="47">
        <f>AJ25*$F$12*$H$12</f>
        <v/>
      </c>
      <c r="AK37" s="47">
        <f>AK25*$F$12*$H$12</f>
        <v/>
      </c>
      <c r="AL37" s="47">
        <f>AL25*$F$12*$H$12</f>
        <v/>
      </c>
      <c r="AM37" s="6" t="n"/>
      <c r="AN37" s="6" t="n"/>
    </row>
    <row r="38">
      <c r="A38" s="20" t="inlineStr">
        <is>
          <t>MINLiRSV2</t>
        </is>
      </c>
      <c r="B38" s="20" t="inlineStr">
        <is>
          <t>CUM</t>
        </is>
      </c>
      <c r="C38" s="29" t="n"/>
      <c r="D38" s="45">
        <f>D25*$F$12*$H$12*$I$12</f>
        <v/>
      </c>
      <c r="E38" s="45">
        <f>E25*$F$12*$H$12*$I$12</f>
        <v/>
      </c>
      <c r="F38" s="45">
        <f>F25*$F$12*$H$12*$I$12</f>
        <v/>
      </c>
      <c r="G38" s="45">
        <f>G25*$F$12*$H$12*$I$12</f>
        <v/>
      </c>
      <c r="H38" s="45">
        <f>H25*$F$12*$H$12*$I$12</f>
        <v/>
      </c>
      <c r="I38" s="45">
        <f>I25*$F$12*$H$12*$I$12</f>
        <v/>
      </c>
      <c r="J38" s="45">
        <f>J25*$F$12*$H$12*$I$12</f>
        <v/>
      </c>
      <c r="K38" s="45">
        <f>K25*$F$12*$H$12*$I$12</f>
        <v/>
      </c>
      <c r="L38" s="45">
        <f>L25*$F$12*$H$12*$I$12</f>
        <v/>
      </c>
      <c r="M38" s="45">
        <f>M25*$F$12*$H$12*$I$12</f>
        <v/>
      </c>
      <c r="N38" s="45">
        <f>N25*$F$12*$H$12*$I$12</f>
        <v/>
      </c>
      <c r="O38" s="45">
        <f>O25*$F$12*$H$12*$I$12</f>
        <v/>
      </c>
      <c r="P38" s="45">
        <f>P25*$F$12*$H$12*$I$12</f>
        <v/>
      </c>
      <c r="Q38" s="45">
        <f>Q25*$F$12*$H$12*$I$12</f>
        <v/>
      </c>
      <c r="R38" s="45">
        <f>R25*$F$12*$H$12*$I$12</f>
        <v/>
      </c>
      <c r="S38" s="45">
        <f>S25*$F$12*$H$12*$I$12</f>
        <v/>
      </c>
      <c r="T38" s="45">
        <f>T25*$F$12*$H$12*$I$12</f>
        <v/>
      </c>
      <c r="U38" s="45">
        <f>U25*$F$12*$H$12*$I$12</f>
        <v/>
      </c>
      <c r="V38" s="45">
        <f>V25*$F$12*$H$12*$I$12</f>
        <v/>
      </c>
      <c r="W38" s="45">
        <f>W25*$F$12*$H$12*$I$12</f>
        <v/>
      </c>
      <c r="X38" s="45">
        <f>X25*$F$12*$H$12*$I$12</f>
        <v/>
      </c>
      <c r="Y38" s="45">
        <f>Y25*$F$12*$H$12*$I$12</f>
        <v/>
      </c>
      <c r="Z38" s="45">
        <f>Z25*$F$12*$H$12*$I$12</f>
        <v/>
      </c>
      <c r="AA38" s="45">
        <f>AA25*$F$12*$H$12*$I$12</f>
        <v/>
      </c>
      <c r="AB38" s="45">
        <f>AB25*$F$12*$H$12*$I$12</f>
        <v/>
      </c>
      <c r="AC38" s="45">
        <f>AC25*$F$12*$H$12*$I$12</f>
        <v/>
      </c>
      <c r="AD38" s="45">
        <f>AD25*$F$12*$H$12*$I$12</f>
        <v/>
      </c>
      <c r="AE38" s="45">
        <f>AE25*$F$12*$H$12*$I$12</f>
        <v/>
      </c>
      <c r="AF38" s="45">
        <f>AF25*$F$12*$H$12*$I$12</f>
        <v/>
      </c>
      <c r="AG38" s="45">
        <f>AG25*$F$12*$H$12*$I$12</f>
        <v/>
      </c>
      <c r="AH38" s="45">
        <f>AH25*$F$12*$H$12*$I$12</f>
        <v/>
      </c>
      <c r="AI38" s="45">
        <f>AI25*$F$12*$H$12*$I$12</f>
        <v/>
      </c>
      <c r="AJ38" s="45">
        <f>AJ25*$F$12*$H$12*$I$12</f>
        <v/>
      </c>
      <c r="AK38" s="45">
        <f>AK25*$F$12*$H$12*$I$12</f>
        <v/>
      </c>
      <c r="AL38" s="45">
        <f>AL25*$F$12*$H$12*$I$12</f>
        <v/>
      </c>
      <c r="AM38" s="6" t="n"/>
      <c r="AN38" s="6" t="n"/>
    </row>
    <row r="39">
      <c r="A39" s="12" t="inlineStr">
        <is>
          <t>MINLiRSV3</t>
        </is>
      </c>
      <c r="B39" s="12" t="inlineStr">
        <is>
          <t>CUM</t>
        </is>
      </c>
      <c r="C39" s="27" t="n"/>
      <c r="D39" s="47">
        <f>D25*$F$12*$H$12*$J$12</f>
        <v/>
      </c>
      <c r="E39" s="47">
        <f>E25*$F$12*$H$12*$J$12</f>
        <v/>
      </c>
      <c r="F39" s="47">
        <f>F25*$F$12*$H$12*$J$12</f>
        <v/>
      </c>
      <c r="G39" s="47">
        <f>G25*$F$12*$H$12*$J$12</f>
        <v/>
      </c>
      <c r="H39" s="47">
        <f>H25*$F$12*$H$12*$J$12</f>
        <v/>
      </c>
      <c r="I39" s="47">
        <f>I25*$F$12*$H$12*$J$12</f>
        <v/>
      </c>
      <c r="J39" s="47">
        <f>J25*$F$12*$H$12*$J$12</f>
        <v/>
      </c>
      <c r="K39" s="47">
        <f>K25*$F$12*$H$12*$J$12</f>
        <v/>
      </c>
      <c r="L39" s="47">
        <f>L25*$F$12*$H$12*$J$12</f>
        <v/>
      </c>
      <c r="M39" s="47">
        <f>M25*$F$12*$H$12*$J$12</f>
        <v/>
      </c>
      <c r="N39" s="47">
        <f>N25*$F$12*$H$12*$J$12</f>
        <v/>
      </c>
      <c r="O39" s="47">
        <f>O25*$F$12*$H$12*$J$12</f>
        <v/>
      </c>
      <c r="P39" s="47">
        <f>P25*$F$12*$H$12*$J$12</f>
        <v/>
      </c>
      <c r="Q39" s="47">
        <f>Q25*$F$12*$H$12*$J$12</f>
        <v/>
      </c>
      <c r="R39" s="47">
        <f>R25*$F$12*$H$12*$J$12</f>
        <v/>
      </c>
      <c r="S39" s="47">
        <f>S25*$F$12*$H$12*$J$12</f>
        <v/>
      </c>
      <c r="T39" s="47">
        <f>T25*$F$12*$H$12*$J$12</f>
        <v/>
      </c>
      <c r="U39" s="47">
        <f>U25*$F$12*$H$12*$J$12</f>
        <v/>
      </c>
      <c r="V39" s="47">
        <f>V25*$F$12*$H$12*$J$12</f>
        <v/>
      </c>
      <c r="W39" s="47">
        <f>W25*$F$12*$H$12*$J$12</f>
        <v/>
      </c>
      <c r="X39" s="47">
        <f>X25*$F$12*$H$12*$J$12</f>
        <v/>
      </c>
      <c r="Y39" s="47">
        <f>Y25*$F$12*$H$12*$J$12</f>
        <v/>
      </c>
      <c r="Z39" s="47">
        <f>Z25*$F$12*$H$12*$J$12</f>
        <v/>
      </c>
      <c r="AA39" s="47">
        <f>AA25*$F$12*$H$12*$J$12</f>
        <v/>
      </c>
      <c r="AB39" s="47">
        <f>AB25*$F$12*$H$12*$J$12</f>
        <v/>
      </c>
      <c r="AC39" s="47">
        <f>AC25*$F$12*$H$12*$J$12</f>
        <v/>
      </c>
      <c r="AD39" s="47">
        <f>AD25*$F$12*$H$12*$J$12</f>
        <v/>
      </c>
      <c r="AE39" s="47">
        <f>AE25*$F$12*$H$12*$J$12</f>
        <v/>
      </c>
      <c r="AF39" s="47">
        <f>AF25*$F$12*$H$12*$J$12</f>
        <v/>
      </c>
      <c r="AG39" s="47">
        <f>AG25*$F$12*$H$12*$J$12</f>
        <v/>
      </c>
      <c r="AH39" s="47">
        <f>AH25*$F$12*$H$12*$J$12</f>
        <v/>
      </c>
      <c r="AI39" s="47">
        <f>AI25*$F$12*$H$12*$J$12</f>
        <v/>
      </c>
      <c r="AJ39" s="47">
        <f>AJ25*$F$12*$H$12*$J$12</f>
        <v/>
      </c>
      <c r="AK39" s="47">
        <f>AK25*$F$12*$H$12*$J$12</f>
        <v/>
      </c>
      <c r="AL39" s="47">
        <f>AL25*$F$12*$H$12*$J$12</f>
        <v/>
      </c>
      <c r="AM39" s="6" t="n"/>
      <c r="A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</row>
    <row r="41">
      <c r="A41" s="12" t="inlineStr">
        <is>
          <t>MINCoRSV1</t>
        </is>
      </c>
      <c r="B41" s="12" t="inlineStr">
        <is>
          <t>CUM</t>
        </is>
      </c>
      <c r="C41" s="27" t="n"/>
      <c r="D41" s="47">
        <f>D26*$F$13*$H$13</f>
        <v/>
      </c>
      <c r="E41" s="47">
        <f>E26*$F$13*$H$13</f>
        <v/>
      </c>
      <c r="F41" s="47">
        <f>F26*$F$13*$H$13</f>
        <v/>
      </c>
      <c r="G41" s="47">
        <f>G26*$F$13*$H$13</f>
        <v/>
      </c>
      <c r="H41" s="47">
        <f>H26*$F$13*$H$13</f>
        <v/>
      </c>
      <c r="I41" s="47">
        <f>I26*$F$13*$H$13</f>
        <v/>
      </c>
      <c r="J41" s="47">
        <f>J26*$F$13*$H$13</f>
        <v/>
      </c>
      <c r="K41" s="47">
        <f>K26*$F$13*$H$13</f>
        <v/>
      </c>
      <c r="L41" s="47">
        <f>L26*$F$13*$H$13</f>
        <v/>
      </c>
      <c r="M41" s="47">
        <f>M26*$F$13*$H$13</f>
        <v/>
      </c>
      <c r="N41" s="47">
        <f>N26*$F$13*$H$13</f>
        <v/>
      </c>
      <c r="O41" s="47">
        <f>O26*$F$13*$H$13</f>
        <v/>
      </c>
      <c r="P41" s="47">
        <f>P26*$F$13*$H$13</f>
        <v/>
      </c>
      <c r="Q41" s="47">
        <f>Q26*$F$13*$H$13</f>
        <v/>
      </c>
      <c r="R41" s="47">
        <f>R26*$F$13*$H$13</f>
        <v/>
      </c>
      <c r="S41" s="47">
        <f>S26*$F$13*$H$13</f>
        <v/>
      </c>
      <c r="T41" s="47">
        <f>T26*$F$13*$H$13</f>
        <v/>
      </c>
      <c r="U41" s="47">
        <f>U26*$F$13*$H$13</f>
        <v/>
      </c>
      <c r="V41" s="47">
        <f>V26*$F$13*$H$13</f>
        <v/>
      </c>
      <c r="W41" s="47">
        <f>W26*$F$13*$H$13</f>
        <v/>
      </c>
      <c r="X41" s="47">
        <f>X26*$F$13*$H$13</f>
        <v/>
      </c>
      <c r="Y41" s="47">
        <f>Y26*$F$13*$H$13</f>
        <v/>
      </c>
      <c r="Z41" s="47">
        <f>Z26*$F$13*$H$13</f>
        <v/>
      </c>
      <c r="AA41" s="47">
        <f>AA26*$F$13*$H$13</f>
        <v/>
      </c>
      <c r="AB41" s="47">
        <f>AB26*$F$13*$H$13</f>
        <v/>
      </c>
      <c r="AC41" s="47">
        <f>AC26*$F$13*$H$13</f>
        <v/>
      </c>
      <c r="AD41" s="47">
        <f>AD26*$F$13*$H$13</f>
        <v/>
      </c>
      <c r="AE41" s="47">
        <f>AE26*$F$13*$H$13</f>
        <v/>
      </c>
      <c r="AF41" s="47">
        <f>AF26*$F$13*$H$13</f>
        <v/>
      </c>
      <c r="AG41" s="47">
        <f>AG26*$F$13*$H$13</f>
        <v/>
      </c>
      <c r="AH41" s="47">
        <f>AH26*$F$13*$H$13</f>
        <v/>
      </c>
      <c r="AI41" s="47">
        <f>AI26*$F$13*$H$13</f>
        <v/>
      </c>
      <c r="AJ41" s="47">
        <f>AJ26*$F$13*$H$13</f>
        <v/>
      </c>
      <c r="AK41" s="47">
        <f>AK26*$F$13*$H$13</f>
        <v/>
      </c>
      <c r="AL41" s="47">
        <f>AL26*$F$13*$H$13</f>
        <v/>
      </c>
      <c r="AM41" s="6" t="n"/>
      <c r="AN41" s="6" t="n"/>
    </row>
    <row r="42">
      <c r="A42" s="20" t="inlineStr">
        <is>
          <t>MINCoRSV2</t>
        </is>
      </c>
      <c r="B42" s="20" t="inlineStr">
        <is>
          <t>CUM</t>
        </is>
      </c>
      <c r="C42" s="29" t="n"/>
      <c r="D42" s="45">
        <f>D26*$F$13*$H$13*$I$13</f>
        <v/>
      </c>
      <c r="E42" s="45">
        <f>E26*$F$13*$H$13*$I$13</f>
        <v/>
      </c>
      <c r="F42" s="45">
        <f>F26*$F$13*$H$13*$I$13</f>
        <v/>
      </c>
      <c r="G42" s="45">
        <f>G26*$F$13*$H$13*$I$13</f>
        <v/>
      </c>
      <c r="H42" s="45">
        <f>H26*$F$13*$H$13*$I$13</f>
        <v/>
      </c>
      <c r="I42" s="45">
        <f>I26*$F$13*$H$13*$I$13</f>
        <v/>
      </c>
      <c r="J42" s="45">
        <f>J26*$F$13*$H$13*$I$13</f>
        <v/>
      </c>
      <c r="K42" s="45">
        <f>K26*$F$13*$H$13*$I$13</f>
        <v/>
      </c>
      <c r="L42" s="45">
        <f>L26*$F$13*$H$13*$I$13</f>
        <v/>
      </c>
      <c r="M42" s="45">
        <f>M26*$F$13*$H$13*$I$13</f>
        <v/>
      </c>
      <c r="N42" s="45">
        <f>N26*$F$13*$H$13*$I$13</f>
        <v/>
      </c>
      <c r="O42" s="45">
        <f>O26*$F$13*$H$13*$I$13</f>
        <v/>
      </c>
      <c r="P42" s="45">
        <f>P26*$F$13*$H$13*$I$13</f>
        <v/>
      </c>
      <c r="Q42" s="45">
        <f>Q26*$F$13*$H$13*$I$13</f>
        <v/>
      </c>
      <c r="R42" s="45">
        <f>R26*$F$13*$H$13*$I$13</f>
        <v/>
      </c>
      <c r="S42" s="45">
        <f>S26*$F$13*$H$13*$I$13</f>
        <v/>
      </c>
      <c r="T42" s="45">
        <f>T26*$F$13*$H$13*$I$13</f>
        <v/>
      </c>
      <c r="U42" s="45">
        <f>U26*$F$13*$H$13*$I$13</f>
        <v/>
      </c>
      <c r="V42" s="45">
        <f>V26*$F$13*$H$13*$I$13</f>
        <v/>
      </c>
      <c r="W42" s="45">
        <f>W26*$F$13*$H$13*$I$13</f>
        <v/>
      </c>
      <c r="X42" s="45">
        <f>X26*$F$13*$H$13*$I$13</f>
        <v/>
      </c>
      <c r="Y42" s="45">
        <f>Y26*$F$13*$H$13*$I$13</f>
        <v/>
      </c>
      <c r="Z42" s="45">
        <f>Z26*$F$13*$H$13*$I$13</f>
        <v/>
      </c>
      <c r="AA42" s="45">
        <f>AA26*$F$13*$H$13*$I$13</f>
        <v/>
      </c>
      <c r="AB42" s="45">
        <f>AB26*$F$13*$H$13*$I$13</f>
        <v/>
      </c>
      <c r="AC42" s="45">
        <f>AC26*$F$13*$H$13*$I$13</f>
        <v/>
      </c>
      <c r="AD42" s="45">
        <f>AD26*$F$13*$H$13*$I$13</f>
        <v/>
      </c>
      <c r="AE42" s="45">
        <f>AE26*$F$13*$H$13*$I$13</f>
        <v/>
      </c>
      <c r="AF42" s="45">
        <f>AF26*$F$13*$H$13*$I$13</f>
        <v/>
      </c>
      <c r="AG42" s="45">
        <f>AG26*$F$13*$H$13*$I$13</f>
        <v/>
      </c>
      <c r="AH42" s="45">
        <f>AH26*$F$13*$H$13*$I$13</f>
        <v/>
      </c>
      <c r="AI42" s="45">
        <f>AI26*$F$13*$H$13*$I$13</f>
        <v/>
      </c>
      <c r="AJ42" s="45">
        <f>AJ26*$F$13*$H$13*$I$13</f>
        <v/>
      </c>
      <c r="AK42" s="45">
        <f>AK26*$F$13*$H$13*$I$13</f>
        <v/>
      </c>
      <c r="AL42" s="45">
        <f>AL26*$F$13*$H$13*$I$13</f>
        <v/>
      </c>
      <c r="AM42" s="6" t="n"/>
      <c r="AN42" s="6" t="n"/>
    </row>
    <row r="43">
      <c r="A43" s="12" t="inlineStr">
        <is>
          <t>MINCoRSV3</t>
        </is>
      </c>
      <c r="B43" s="12" t="inlineStr">
        <is>
          <t>CUM</t>
        </is>
      </c>
      <c r="C43" s="27" t="n"/>
      <c r="D43" s="47">
        <f>D26*$F$13*$H$13*$J$13</f>
        <v/>
      </c>
      <c r="E43" s="47">
        <f>E26*$F$13*$H$13*$J$13</f>
        <v/>
      </c>
      <c r="F43" s="47">
        <f>F26*$F$13*$H$13*$J$13</f>
        <v/>
      </c>
      <c r="G43" s="47">
        <f>G26*$F$13*$H$13*$J$13</f>
        <v/>
      </c>
      <c r="H43" s="47">
        <f>H26*$F$13*$H$13*$J$13</f>
        <v/>
      </c>
      <c r="I43" s="47">
        <f>I26*$F$13*$H$13*$J$13</f>
        <v/>
      </c>
      <c r="J43" s="47">
        <f>J26*$F$13*$H$13*$J$13</f>
        <v/>
      </c>
      <c r="K43" s="47">
        <f>K26*$F$13*$H$13*$J$13</f>
        <v/>
      </c>
      <c r="L43" s="47">
        <f>L26*$F$13*$H$13*$J$13</f>
        <v/>
      </c>
      <c r="M43" s="47">
        <f>M26*$F$13*$H$13*$J$13</f>
        <v/>
      </c>
      <c r="N43" s="47">
        <f>N26*$F$13*$H$13*$J$13</f>
        <v/>
      </c>
      <c r="O43" s="47">
        <f>O26*$F$13*$H$13*$J$13</f>
        <v/>
      </c>
      <c r="P43" s="47">
        <f>P26*$F$13*$H$13*$J$13</f>
        <v/>
      </c>
      <c r="Q43" s="47">
        <f>Q26*$F$13*$H$13*$J$13</f>
        <v/>
      </c>
      <c r="R43" s="47">
        <f>R26*$F$13*$H$13*$J$13</f>
        <v/>
      </c>
      <c r="S43" s="47">
        <f>S26*$F$13*$H$13*$J$13</f>
        <v/>
      </c>
      <c r="T43" s="47">
        <f>T26*$F$13*$H$13*$J$13</f>
        <v/>
      </c>
      <c r="U43" s="47">
        <f>U26*$F$13*$H$13*$J$13</f>
        <v/>
      </c>
      <c r="V43" s="47">
        <f>V26*$F$13*$H$13*$J$13</f>
        <v/>
      </c>
      <c r="W43" s="47">
        <f>W26*$F$13*$H$13*$J$13</f>
        <v/>
      </c>
      <c r="X43" s="47">
        <f>X26*$F$13*$H$13*$J$13</f>
        <v/>
      </c>
      <c r="Y43" s="47">
        <f>Y26*$F$13*$H$13*$J$13</f>
        <v/>
      </c>
      <c r="Z43" s="47">
        <f>Z26*$F$13*$H$13*$J$13</f>
        <v/>
      </c>
      <c r="AA43" s="47">
        <f>AA26*$F$13*$H$13*$J$13</f>
        <v/>
      </c>
      <c r="AB43" s="47">
        <f>AB26*$F$13*$H$13*$J$13</f>
        <v/>
      </c>
      <c r="AC43" s="47">
        <f>AC26*$F$13*$H$13*$J$13</f>
        <v/>
      </c>
      <c r="AD43" s="47">
        <f>AD26*$F$13*$H$13*$J$13</f>
        <v/>
      </c>
      <c r="AE43" s="47">
        <f>AE26*$F$13*$H$13*$J$13</f>
        <v/>
      </c>
      <c r="AF43" s="47">
        <f>AF26*$F$13*$H$13*$J$13</f>
        <v/>
      </c>
      <c r="AG43" s="47">
        <f>AG26*$F$13*$H$13*$J$13</f>
        <v/>
      </c>
      <c r="AH43" s="47">
        <f>AH26*$F$13*$H$13*$J$13</f>
        <v/>
      </c>
      <c r="AI43" s="47">
        <f>AI26*$F$13*$H$13*$J$13</f>
        <v/>
      </c>
      <c r="AJ43" s="47">
        <f>AJ26*$F$13*$H$13*$J$13</f>
        <v/>
      </c>
      <c r="AK43" s="47">
        <f>AK26*$F$13*$H$13*$J$13</f>
        <v/>
      </c>
      <c r="AL43" s="47">
        <f>AL26*$F$13*$H$13*$J$13</f>
        <v/>
      </c>
      <c r="AM43" s="6" t="n"/>
      <c r="AN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</row>
    <row r="45">
      <c r="A45" s="12" t="inlineStr">
        <is>
          <t>MINNiRSV1</t>
        </is>
      </c>
      <c r="B45" s="12" t="inlineStr">
        <is>
          <t>CUM</t>
        </is>
      </c>
      <c r="C45" s="27" t="n"/>
      <c r="D45" s="47">
        <f>D27*$F$14*$H$14</f>
        <v/>
      </c>
      <c r="E45" s="47">
        <f>E27*$F$14*$H$14</f>
        <v/>
      </c>
      <c r="F45" s="47">
        <f>F27*$F$14*$H$14</f>
        <v/>
      </c>
      <c r="G45" s="47">
        <f>G27*$F$14*$H$14</f>
        <v/>
      </c>
      <c r="H45" s="47">
        <f>H27*$F$14*$H$14</f>
        <v/>
      </c>
      <c r="I45" s="47">
        <f>I27*$F$14*$H$14</f>
        <v/>
      </c>
      <c r="J45" s="47">
        <f>J27*$F$14*$H$14</f>
        <v/>
      </c>
      <c r="K45" s="47">
        <f>K27*$F$14*$H$14</f>
        <v/>
      </c>
      <c r="L45" s="47">
        <f>L27*$F$14*$H$14</f>
        <v/>
      </c>
      <c r="M45" s="47">
        <f>M27*$F$14*$H$14</f>
        <v/>
      </c>
      <c r="N45" s="47">
        <f>N27*$F$14*$H$14</f>
        <v/>
      </c>
      <c r="O45" s="47">
        <f>O27*$F$14*$H$14</f>
        <v/>
      </c>
      <c r="P45" s="47">
        <f>P27*$F$14*$H$14</f>
        <v/>
      </c>
      <c r="Q45" s="47">
        <f>Q27*$F$14*$H$14</f>
        <v/>
      </c>
      <c r="R45" s="47">
        <f>R27*$F$14*$H$14</f>
        <v/>
      </c>
      <c r="S45" s="47">
        <f>S27*$F$14*$H$14</f>
        <v/>
      </c>
      <c r="T45" s="47">
        <f>T27*$F$14*$H$14</f>
        <v/>
      </c>
      <c r="U45" s="47">
        <f>U27*$F$14*$H$14</f>
        <v/>
      </c>
      <c r="V45" s="47">
        <f>V27*$F$14*$H$14</f>
        <v/>
      </c>
      <c r="W45" s="47">
        <f>W27*$F$14*$H$14</f>
        <v/>
      </c>
      <c r="X45" s="47">
        <f>X27*$F$14*$H$14</f>
        <v/>
      </c>
      <c r="Y45" s="47">
        <f>Y27*$F$14*$H$14</f>
        <v/>
      </c>
      <c r="Z45" s="47">
        <f>Z27*$F$14*$H$14</f>
        <v/>
      </c>
      <c r="AA45" s="47">
        <f>AA27*$F$14*$H$14</f>
        <v/>
      </c>
      <c r="AB45" s="47">
        <f>AB27*$F$14*$H$14</f>
        <v/>
      </c>
      <c r="AC45" s="47">
        <f>AC27*$F$14*$H$14</f>
        <v/>
      </c>
      <c r="AD45" s="47">
        <f>AD27*$F$14*$H$14</f>
        <v/>
      </c>
      <c r="AE45" s="47">
        <f>AE27*$F$14*$H$14</f>
        <v/>
      </c>
      <c r="AF45" s="47">
        <f>AF27*$F$14*$H$14</f>
        <v/>
      </c>
      <c r="AG45" s="47">
        <f>AG27*$F$14*$H$14</f>
        <v/>
      </c>
      <c r="AH45" s="47">
        <f>AH27*$F$14*$H$14</f>
        <v/>
      </c>
      <c r="AI45" s="47">
        <f>AI27*$F$14*$H$14</f>
        <v/>
      </c>
      <c r="AJ45" s="47">
        <f>AJ27*$F$14*$H$14</f>
        <v/>
      </c>
      <c r="AK45" s="47">
        <f>AK27*$F$14*$H$14</f>
        <v/>
      </c>
      <c r="AL45" s="47">
        <f>AL27*$F$14*$H$14</f>
        <v/>
      </c>
      <c r="AM45" s="6" t="n"/>
      <c r="AN45" s="6" t="n"/>
    </row>
    <row r="46">
      <c r="A46" s="20" t="inlineStr">
        <is>
          <t>MINNiRSV2</t>
        </is>
      </c>
      <c r="B46" s="20" t="inlineStr">
        <is>
          <t>CUM</t>
        </is>
      </c>
      <c r="C46" s="29" t="n"/>
      <c r="D46" s="45">
        <f>D27*$F$14*$H$14*$I$14</f>
        <v/>
      </c>
      <c r="E46" s="45">
        <f>E27*$F$14*$H$14*$I$14</f>
        <v/>
      </c>
      <c r="F46" s="45">
        <f>F27*$F$14*$H$14*$I$14</f>
        <v/>
      </c>
      <c r="G46" s="45">
        <f>G27*$F$14*$H$14*$I$14</f>
        <v/>
      </c>
      <c r="H46" s="45">
        <f>H27*$F$14*$H$14*$I$14</f>
        <v/>
      </c>
      <c r="I46" s="45">
        <f>I27*$F$14*$H$14*$I$14</f>
        <v/>
      </c>
      <c r="J46" s="45">
        <f>J27*$F$14*$H$14*$I$14</f>
        <v/>
      </c>
      <c r="K46" s="45">
        <f>K27*$F$14*$H$14*$I$14</f>
        <v/>
      </c>
      <c r="L46" s="45">
        <f>L27*$F$14*$H$14*$I$14</f>
        <v/>
      </c>
      <c r="M46" s="45">
        <f>M27*$F$14*$H$14*$I$14</f>
        <v/>
      </c>
      <c r="N46" s="45">
        <f>N27*$F$14*$H$14*$I$14</f>
        <v/>
      </c>
      <c r="O46" s="45">
        <f>O27*$F$14*$H$14*$I$14</f>
        <v/>
      </c>
      <c r="P46" s="45">
        <f>P27*$F$14*$H$14*$I$14</f>
        <v/>
      </c>
      <c r="Q46" s="45">
        <f>Q27*$F$14*$H$14*$I$14</f>
        <v/>
      </c>
      <c r="R46" s="45">
        <f>R27*$F$14*$H$14*$I$14</f>
        <v/>
      </c>
      <c r="S46" s="45">
        <f>S27*$F$14*$H$14*$I$14</f>
        <v/>
      </c>
      <c r="T46" s="45">
        <f>T27*$F$14*$H$14*$I$14</f>
        <v/>
      </c>
      <c r="U46" s="45">
        <f>U27*$F$14*$H$14*$I$14</f>
        <v/>
      </c>
      <c r="V46" s="45">
        <f>V27*$F$14*$H$14*$I$14</f>
        <v/>
      </c>
      <c r="W46" s="45">
        <f>W27*$F$14*$H$14*$I$14</f>
        <v/>
      </c>
      <c r="X46" s="45">
        <f>X27*$F$14*$H$14*$I$14</f>
        <v/>
      </c>
      <c r="Y46" s="45">
        <f>Y27*$F$14*$H$14*$I$14</f>
        <v/>
      </c>
      <c r="Z46" s="45">
        <f>Z27*$F$14*$H$14*$I$14</f>
        <v/>
      </c>
      <c r="AA46" s="45">
        <f>AA27*$F$14*$H$14*$I$14</f>
        <v/>
      </c>
      <c r="AB46" s="45">
        <f>AB27*$F$14*$H$14*$I$14</f>
        <v/>
      </c>
      <c r="AC46" s="45">
        <f>AC27*$F$14*$H$14*$I$14</f>
        <v/>
      </c>
      <c r="AD46" s="45">
        <f>AD27*$F$14*$H$14*$I$14</f>
        <v/>
      </c>
      <c r="AE46" s="45">
        <f>AE27*$F$14*$H$14*$I$14</f>
        <v/>
      </c>
      <c r="AF46" s="45">
        <f>AF27*$F$14*$H$14*$I$14</f>
        <v/>
      </c>
      <c r="AG46" s="45">
        <f>AG27*$F$14*$H$14*$I$14</f>
        <v/>
      </c>
      <c r="AH46" s="45">
        <f>AH27*$F$14*$H$14*$I$14</f>
        <v/>
      </c>
      <c r="AI46" s="45">
        <f>AI27*$F$14*$H$14*$I$14</f>
        <v/>
      </c>
      <c r="AJ46" s="45">
        <f>AJ27*$F$14*$H$14*$I$14</f>
        <v/>
      </c>
      <c r="AK46" s="45">
        <f>AK27*$F$14*$H$14*$I$14</f>
        <v/>
      </c>
      <c r="AL46" s="45">
        <f>AL27*$F$14*$H$14*$I$14</f>
        <v/>
      </c>
      <c r="AM46" s="6" t="n"/>
      <c r="AN46" s="6" t="n"/>
    </row>
    <row r="47">
      <c r="A47" s="12" t="inlineStr">
        <is>
          <t>MINNiRSV3</t>
        </is>
      </c>
      <c r="B47" s="12" t="inlineStr">
        <is>
          <t>CUM</t>
        </is>
      </c>
      <c r="C47" s="27" t="n"/>
      <c r="D47" s="47">
        <f>D27*$F$14*$H$14*$J$14</f>
        <v/>
      </c>
      <c r="E47" s="47">
        <f>E27*$F$14*$H$14*$J$14</f>
        <v/>
      </c>
      <c r="F47" s="47">
        <f>F27*$F$14*$H$14*$J$14</f>
        <v/>
      </c>
      <c r="G47" s="47">
        <f>G27*$F$14*$H$14*$J$14</f>
        <v/>
      </c>
      <c r="H47" s="47">
        <f>H27*$F$14*$H$14*$J$14</f>
        <v/>
      </c>
      <c r="I47" s="47">
        <f>I27*$F$14*$H$14*$J$14</f>
        <v/>
      </c>
      <c r="J47" s="47">
        <f>J27*$F$14*$H$14*$J$14</f>
        <v/>
      </c>
      <c r="K47" s="47">
        <f>K27*$F$14*$H$14*$J$14</f>
        <v/>
      </c>
      <c r="L47" s="47">
        <f>L27*$F$14*$H$14*$J$14</f>
        <v/>
      </c>
      <c r="M47" s="47">
        <f>M27*$F$14*$H$14*$J$14</f>
        <v/>
      </c>
      <c r="N47" s="47">
        <f>N27*$F$14*$H$14*$J$14</f>
        <v/>
      </c>
      <c r="O47" s="47">
        <f>O27*$F$14*$H$14*$J$14</f>
        <v/>
      </c>
      <c r="P47" s="47">
        <f>P27*$F$14*$H$14*$J$14</f>
        <v/>
      </c>
      <c r="Q47" s="47">
        <f>Q27*$F$14*$H$14*$J$14</f>
        <v/>
      </c>
      <c r="R47" s="47">
        <f>R27*$F$14*$H$14*$J$14</f>
        <v/>
      </c>
      <c r="S47" s="47">
        <f>S27*$F$14*$H$14*$J$14</f>
        <v/>
      </c>
      <c r="T47" s="47">
        <f>T27*$F$14*$H$14*$J$14</f>
        <v/>
      </c>
      <c r="U47" s="47">
        <f>U27*$F$14*$H$14*$J$14</f>
        <v/>
      </c>
      <c r="V47" s="47">
        <f>V27*$F$14*$H$14*$J$14</f>
        <v/>
      </c>
      <c r="W47" s="47">
        <f>W27*$F$14*$H$14*$J$14</f>
        <v/>
      </c>
      <c r="X47" s="47">
        <f>X27*$F$14*$H$14*$J$14</f>
        <v/>
      </c>
      <c r="Y47" s="47">
        <f>Y27*$F$14*$H$14*$J$14</f>
        <v/>
      </c>
      <c r="Z47" s="47">
        <f>Z27*$F$14*$H$14*$J$14</f>
        <v/>
      </c>
      <c r="AA47" s="47">
        <f>AA27*$F$14*$H$14*$J$14</f>
        <v/>
      </c>
      <c r="AB47" s="47">
        <f>AB27*$F$14*$H$14*$J$14</f>
        <v/>
      </c>
      <c r="AC47" s="47">
        <f>AC27*$F$14*$H$14*$J$14</f>
        <v/>
      </c>
      <c r="AD47" s="47">
        <f>AD27*$F$14*$H$14*$J$14</f>
        <v/>
      </c>
      <c r="AE47" s="47">
        <f>AE27*$F$14*$H$14*$J$14</f>
        <v/>
      </c>
      <c r="AF47" s="47">
        <f>AF27*$F$14*$H$14*$J$14</f>
        <v/>
      </c>
      <c r="AG47" s="47">
        <f>AG27*$F$14*$H$14*$J$14</f>
        <v/>
      </c>
      <c r="AH47" s="47">
        <f>AH27*$F$14*$H$14*$J$14</f>
        <v/>
      </c>
      <c r="AI47" s="47">
        <f>AI27*$F$14*$H$14*$J$14</f>
        <v/>
      </c>
      <c r="AJ47" s="47">
        <f>AJ27*$F$14*$H$14*$J$14</f>
        <v/>
      </c>
      <c r="AK47" s="47">
        <f>AK27*$F$14*$H$14*$J$14</f>
        <v/>
      </c>
      <c r="AL47" s="47">
        <f>AL27*$F$14*$H$14*$J$14</f>
        <v/>
      </c>
      <c r="AM47" s="6" t="n"/>
      <c r="A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</row>
    <row r="49">
      <c r="A49" s="12" t="inlineStr">
        <is>
          <t>MINMnRSV1</t>
        </is>
      </c>
      <c r="B49" s="12" t="inlineStr">
        <is>
          <t>CUM</t>
        </is>
      </c>
      <c r="C49" s="27" t="n"/>
      <c r="D49" s="47">
        <f>D28*$F$15*$H$15</f>
        <v/>
      </c>
      <c r="E49" s="47">
        <f>E28*$F$15*$H$15</f>
        <v/>
      </c>
      <c r="F49" s="47">
        <f>F28*$F$15*$H$15</f>
        <v/>
      </c>
      <c r="G49" s="47">
        <f>G28*$F$15*$H$15</f>
        <v/>
      </c>
      <c r="H49" s="47">
        <f>H28*$F$15*$H$15</f>
        <v/>
      </c>
      <c r="I49" s="47">
        <f>I28*$F$15*$H$15</f>
        <v/>
      </c>
      <c r="J49" s="47">
        <f>J28*$F$15*$H$15</f>
        <v/>
      </c>
      <c r="K49" s="47">
        <f>K28*$F$15*$H$15</f>
        <v/>
      </c>
      <c r="L49" s="47">
        <f>L28*$F$15*$H$15</f>
        <v/>
      </c>
      <c r="M49" s="47">
        <f>M28*$F$15*$H$15</f>
        <v/>
      </c>
      <c r="N49" s="47">
        <f>N28*$F$15*$H$15</f>
        <v/>
      </c>
      <c r="O49" s="47">
        <f>O28*$F$15*$H$15</f>
        <v/>
      </c>
      <c r="P49" s="47">
        <f>P28*$F$15*$H$15</f>
        <v/>
      </c>
      <c r="Q49" s="47">
        <f>Q28*$F$15*$H$15</f>
        <v/>
      </c>
      <c r="R49" s="47">
        <f>R28*$F$15*$H$15</f>
        <v/>
      </c>
      <c r="S49" s="47">
        <f>S28*$F$15*$H$15</f>
        <v/>
      </c>
      <c r="T49" s="47">
        <f>T28*$F$15*$H$15</f>
        <v/>
      </c>
      <c r="U49" s="47">
        <f>U28*$F$15*$H$15</f>
        <v/>
      </c>
      <c r="V49" s="47">
        <f>V28*$F$15*$H$15</f>
        <v/>
      </c>
      <c r="W49" s="47">
        <f>W28*$F$15*$H$15</f>
        <v/>
      </c>
      <c r="X49" s="47">
        <f>X28*$F$15*$H$15</f>
        <v/>
      </c>
      <c r="Y49" s="47">
        <f>Y28*$F$15*$H$15</f>
        <v/>
      </c>
      <c r="Z49" s="47">
        <f>Z28*$F$15*$H$15</f>
        <v/>
      </c>
      <c r="AA49" s="47">
        <f>AA28*$F$15*$H$15</f>
        <v/>
      </c>
      <c r="AB49" s="47">
        <f>AB28*$F$15*$H$15</f>
        <v/>
      </c>
      <c r="AC49" s="47">
        <f>AC28*$F$15*$H$15</f>
        <v/>
      </c>
      <c r="AD49" s="47">
        <f>AD28*$F$15*$H$15</f>
        <v/>
      </c>
      <c r="AE49" s="47">
        <f>AE28*$F$15*$H$15</f>
        <v/>
      </c>
      <c r="AF49" s="47">
        <f>AF28*$F$15*$H$15</f>
        <v/>
      </c>
      <c r="AG49" s="47">
        <f>AG28*$F$15*$H$15</f>
        <v/>
      </c>
      <c r="AH49" s="47">
        <f>AH28*$F$15*$H$15</f>
        <v/>
      </c>
      <c r="AI49" s="47">
        <f>AI28*$F$15*$H$15</f>
        <v/>
      </c>
      <c r="AJ49" s="47">
        <f>AJ28*$F$15*$H$15</f>
        <v/>
      </c>
      <c r="AK49" s="47">
        <f>AK28*$F$15*$H$15</f>
        <v/>
      </c>
      <c r="AL49" s="47">
        <f>AL28*$F$15*$H$15</f>
        <v/>
      </c>
      <c r="AM49" s="6" t="n"/>
      <c r="AN49" s="6" t="n"/>
    </row>
    <row r="50">
      <c r="A50" s="20" t="inlineStr">
        <is>
          <t>MINMnRSV2</t>
        </is>
      </c>
      <c r="B50" s="20" t="inlineStr">
        <is>
          <t>CUM</t>
        </is>
      </c>
      <c r="C50" s="29" t="n"/>
      <c r="D50" s="45">
        <f>D28*$F$15*$H$15*$I$15</f>
        <v/>
      </c>
      <c r="E50" s="45">
        <f>E28*$F$15*$H$15*$I$15</f>
        <v/>
      </c>
      <c r="F50" s="45">
        <f>F28*$F$15*$H$15*$I$15</f>
        <v/>
      </c>
      <c r="G50" s="45">
        <f>G28*$F$15*$H$15*$I$15</f>
        <v/>
      </c>
      <c r="H50" s="45">
        <f>H28*$F$15*$H$15*$I$15</f>
        <v/>
      </c>
      <c r="I50" s="45">
        <f>I28*$F$15*$H$15*$I$15</f>
        <v/>
      </c>
      <c r="J50" s="45">
        <f>J28*$F$15*$H$15*$I$15</f>
        <v/>
      </c>
      <c r="K50" s="45">
        <f>K28*$F$15*$H$15*$I$15</f>
        <v/>
      </c>
      <c r="L50" s="45">
        <f>L28*$F$15*$H$15*$I$15</f>
        <v/>
      </c>
      <c r="M50" s="45">
        <f>M28*$F$15*$H$15*$I$15</f>
        <v/>
      </c>
      <c r="N50" s="45">
        <f>N28*$F$15*$H$15*$I$15</f>
        <v/>
      </c>
      <c r="O50" s="45">
        <f>O28*$F$15*$H$15*$I$15</f>
        <v/>
      </c>
      <c r="P50" s="45">
        <f>P28*$F$15*$H$15*$I$15</f>
        <v/>
      </c>
      <c r="Q50" s="45">
        <f>Q28*$F$15*$H$15*$I$15</f>
        <v/>
      </c>
      <c r="R50" s="45">
        <f>R28*$F$15*$H$15*$I$15</f>
        <v/>
      </c>
      <c r="S50" s="45">
        <f>S28*$F$15*$H$15*$I$15</f>
        <v/>
      </c>
      <c r="T50" s="45">
        <f>T28*$F$15*$H$15*$I$15</f>
        <v/>
      </c>
      <c r="U50" s="45">
        <f>U28*$F$15*$H$15*$I$15</f>
        <v/>
      </c>
      <c r="V50" s="45">
        <f>V28*$F$15*$H$15*$I$15</f>
        <v/>
      </c>
      <c r="W50" s="45">
        <f>W28*$F$15*$H$15*$I$15</f>
        <v/>
      </c>
      <c r="X50" s="45">
        <f>X28*$F$15*$H$15*$I$15</f>
        <v/>
      </c>
      <c r="Y50" s="45">
        <f>Y28*$F$15*$H$15*$I$15</f>
        <v/>
      </c>
      <c r="Z50" s="45">
        <f>Z28*$F$15*$H$15*$I$15</f>
        <v/>
      </c>
      <c r="AA50" s="45">
        <f>AA28*$F$15*$H$15*$I$15</f>
        <v/>
      </c>
      <c r="AB50" s="45">
        <f>AB28*$F$15*$H$15*$I$15</f>
        <v/>
      </c>
      <c r="AC50" s="45">
        <f>AC28*$F$15*$H$15*$I$15</f>
        <v/>
      </c>
      <c r="AD50" s="45">
        <f>AD28*$F$15*$H$15*$I$15</f>
        <v/>
      </c>
      <c r="AE50" s="45">
        <f>AE28*$F$15*$H$15*$I$15</f>
        <v/>
      </c>
      <c r="AF50" s="45">
        <f>AF28*$F$15*$H$15*$I$15</f>
        <v/>
      </c>
      <c r="AG50" s="45">
        <f>AG28*$F$15*$H$15*$I$15</f>
        <v/>
      </c>
      <c r="AH50" s="45">
        <f>AH28*$F$15*$H$15*$I$15</f>
        <v/>
      </c>
      <c r="AI50" s="45">
        <f>AI28*$F$15*$H$15*$I$15</f>
        <v/>
      </c>
      <c r="AJ50" s="45">
        <f>AJ28*$F$15*$H$15*$I$15</f>
        <v/>
      </c>
      <c r="AK50" s="45">
        <f>AK28*$F$15*$H$15*$I$15</f>
        <v/>
      </c>
      <c r="AL50" s="45">
        <f>AL28*$F$15*$H$15*$I$15</f>
        <v/>
      </c>
      <c r="AM50" s="6" t="n"/>
      <c r="AN50" s="6" t="n"/>
    </row>
    <row r="51">
      <c r="A51" s="12" t="inlineStr">
        <is>
          <t>MINMnRSV3</t>
        </is>
      </c>
      <c r="B51" s="12" t="inlineStr">
        <is>
          <t>CUM</t>
        </is>
      </c>
      <c r="C51" s="27" t="n"/>
      <c r="D51" s="47">
        <f>D28*$F$15*$H$15*$J$15</f>
        <v/>
      </c>
      <c r="E51" s="47">
        <f>E28*$F$15*$H$15*$J$15</f>
        <v/>
      </c>
      <c r="F51" s="47">
        <f>F28*$F$15*$H$15*$J$15</f>
        <v/>
      </c>
      <c r="G51" s="47">
        <f>G28*$F$15*$H$15*$J$15</f>
        <v/>
      </c>
      <c r="H51" s="47">
        <f>H28*$F$15*$H$15*$J$15</f>
        <v/>
      </c>
      <c r="I51" s="47">
        <f>I28*$F$15*$H$15*$J$15</f>
        <v/>
      </c>
      <c r="J51" s="47">
        <f>J28*$F$15*$H$15*$J$15</f>
        <v/>
      </c>
      <c r="K51" s="47">
        <f>K28*$F$15*$H$15*$J$15</f>
        <v/>
      </c>
      <c r="L51" s="47">
        <f>L28*$F$15*$H$15*$J$15</f>
        <v/>
      </c>
      <c r="M51" s="47">
        <f>M28*$F$15*$H$15*$J$15</f>
        <v/>
      </c>
      <c r="N51" s="47">
        <f>N28*$F$15*$H$15*$J$15</f>
        <v/>
      </c>
      <c r="O51" s="47">
        <f>O28*$F$15*$H$15*$J$15</f>
        <v/>
      </c>
      <c r="P51" s="47">
        <f>P28*$F$15*$H$15*$J$15</f>
        <v/>
      </c>
      <c r="Q51" s="47">
        <f>Q28*$F$15*$H$15*$J$15</f>
        <v/>
      </c>
      <c r="R51" s="47">
        <f>R28*$F$15*$H$15*$J$15</f>
        <v/>
      </c>
      <c r="S51" s="47">
        <f>S28*$F$15*$H$15*$J$15</f>
        <v/>
      </c>
      <c r="T51" s="47">
        <f>T28*$F$15*$H$15*$J$15</f>
        <v/>
      </c>
      <c r="U51" s="47">
        <f>U28*$F$15*$H$15*$J$15</f>
        <v/>
      </c>
      <c r="V51" s="47">
        <f>V28*$F$15*$H$15*$J$15</f>
        <v/>
      </c>
      <c r="W51" s="47">
        <f>W28*$F$15*$H$15*$J$15</f>
        <v/>
      </c>
      <c r="X51" s="47">
        <f>X28*$F$15*$H$15*$J$15</f>
        <v/>
      </c>
      <c r="Y51" s="47">
        <f>Y28*$F$15*$H$15*$J$15</f>
        <v/>
      </c>
      <c r="Z51" s="47">
        <f>Z28*$F$15*$H$15*$J$15</f>
        <v/>
      </c>
      <c r="AA51" s="47">
        <f>AA28*$F$15*$H$15*$J$15</f>
        <v/>
      </c>
      <c r="AB51" s="47">
        <f>AB28*$F$15*$H$15*$J$15</f>
        <v/>
      </c>
      <c r="AC51" s="47">
        <f>AC28*$F$15*$H$15*$J$15</f>
        <v/>
      </c>
      <c r="AD51" s="47">
        <f>AD28*$F$15*$H$15*$J$15</f>
        <v/>
      </c>
      <c r="AE51" s="47">
        <f>AE28*$F$15*$H$15*$J$15</f>
        <v/>
      </c>
      <c r="AF51" s="47">
        <f>AF28*$F$15*$H$15*$J$15</f>
        <v/>
      </c>
      <c r="AG51" s="47">
        <f>AG28*$F$15*$H$15*$J$15</f>
        <v/>
      </c>
      <c r="AH51" s="47">
        <f>AH28*$F$15*$H$15*$J$15</f>
        <v/>
      </c>
      <c r="AI51" s="47">
        <f>AI28*$F$15*$H$15*$J$15</f>
        <v/>
      </c>
      <c r="AJ51" s="47">
        <f>AJ28*$F$15*$H$15*$J$15</f>
        <v/>
      </c>
      <c r="AK51" s="47">
        <f>AK28*$F$15*$H$15*$J$15</f>
        <v/>
      </c>
      <c r="AL51" s="47">
        <f>AL28*$F$15*$H$15*$J$15</f>
        <v/>
      </c>
      <c r="AM51" s="6" t="n"/>
      <c r="AN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</row>
    <row r="53">
      <c r="A53" s="12" t="inlineStr">
        <is>
          <t>MINCuRSV1</t>
        </is>
      </c>
      <c r="B53" s="12" t="inlineStr">
        <is>
          <t>CUM</t>
        </is>
      </c>
      <c r="C53" s="27" t="n"/>
      <c r="D53" s="47">
        <f>D29*$F$16*$H$16</f>
        <v/>
      </c>
      <c r="E53" s="47">
        <f>E29*$F$16*$H$16</f>
        <v/>
      </c>
      <c r="F53" s="47">
        <f>F29*$F$16*$H$16</f>
        <v/>
      </c>
      <c r="G53" s="47">
        <f>G29*$F$16*$H$16</f>
        <v/>
      </c>
      <c r="H53" s="47">
        <f>H29*$F$16*$H$16</f>
        <v/>
      </c>
      <c r="I53" s="47">
        <f>I29*$F$16*$H$16</f>
        <v/>
      </c>
      <c r="J53" s="47">
        <f>J29*$F$16*$H$16</f>
        <v/>
      </c>
      <c r="K53" s="47">
        <f>K29*$F$16*$H$16</f>
        <v/>
      </c>
      <c r="L53" s="47">
        <f>L29*$F$16*$H$16</f>
        <v/>
      </c>
      <c r="M53" s="47">
        <f>M29*$F$16*$H$16</f>
        <v/>
      </c>
      <c r="N53" s="47">
        <f>N29*$F$16*$H$16</f>
        <v/>
      </c>
      <c r="O53" s="47">
        <f>O29*$F$16*$H$16</f>
        <v/>
      </c>
      <c r="P53" s="47">
        <f>P29*$F$16*$H$16</f>
        <v/>
      </c>
      <c r="Q53" s="47">
        <f>Q29*$F$16*$H$16</f>
        <v/>
      </c>
      <c r="R53" s="47">
        <f>R29*$F$16*$H$16</f>
        <v/>
      </c>
      <c r="S53" s="47">
        <f>S29*$F$16*$H$16</f>
        <v/>
      </c>
      <c r="T53" s="47">
        <f>T29*$F$16*$H$16</f>
        <v/>
      </c>
      <c r="U53" s="47">
        <f>U29*$F$16*$H$16</f>
        <v/>
      </c>
      <c r="V53" s="47">
        <f>V29*$F$16*$H$16</f>
        <v/>
      </c>
      <c r="W53" s="47">
        <f>W29*$F$16*$H$16</f>
        <v/>
      </c>
      <c r="X53" s="47">
        <f>X29*$F$16*$H$16</f>
        <v/>
      </c>
      <c r="Y53" s="47">
        <f>Y29*$F$16*$H$16</f>
        <v/>
      </c>
      <c r="Z53" s="47">
        <f>Z29*$F$16*$H$16</f>
        <v/>
      </c>
      <c r="AA53" s="47">
        <f>AA29*$F$16*$H$16</f>
        <v/>
      </c>
      <c r="AB53" s="47">
        <f>AB29*$F$16*$H$16</f>
        <v/>
      </c>
      <c r="AC53" s="47">
        <f>AC29*$F$16*$H$16</f>
        <v/>
      </c>
      <c r="AD53" s="47">
        <f>AD29*$F$16*$H$16</f>
        <v/>
      </c>
      <c r="AE53" s="47">
        <f>AE29*$F$16*$H$16</f>
        <v/>
      </c>
      <c r="AF53" s="47">
        <f>AF29*$F$16*$H$16</f>
        <v/>
      </c>
      <c r="AG53" s="47">
        <f>AG29*$F$16*$H$16</f>
        <v/>
      </c>
      <c r="AH53" s="47">
        <f>AH29*$F$16*$H$16</f>
        <v/>
      </c>
      <c r="AI53" s="47">
        <f>AI29*$F$16*$H$16</f>
        <v/>
      </c>
      <c r="AJ53" s="47">
        <f>AJ29*$F$16*$H$16</f>
        <v/>
      </c>
      <c r="AK53" s="47">
        <f>AK29*$F$16*$H$16</f>
        <v/>
      </c>
      <c r="AL53" s="47">
        <f>AL29*$F$16*$H$16</f>
        <v/>
      </c>
      <c r="AM53" s="6" t="n"/>
      <c r="AN53" s="6" t="n"/>
    </row>
    <row r="54">
      <c r="A54" s="20" t="inlineStr">
        <is>
          <t>MINCuRSV2</t>
        </is>
      </c>
      <c r="B54" s="20" t="inlineStr">
        <is>
          <t>CUM</t>
        </is>
      </c>
      <c r="C54" s="29" t="n"/>
      <c r="D54" s="45">
        <f>D29*$F$16*$H$16*$I$16</f>
        <v/>
      </c>
      <c r="E54" s="45">
        <f>E29*$F$16*$H$16*$I$16</f>
        <v/>
      </c>
      <c r="F54" s="45">
        <f>F29*$F$16*$H$16*$I$16</f>
        <v/>
      </c>
      <c r="G54" s="45">
        <f>G29*$F$16*$H$16*$I$16</f>
        <v/>
      </c>
      <c r="H54" s="45">
        <f>H29*$F$16*$H$16*$I$16</f>
        <v/>
      </c>
      <c r="I54" s="45">
        <f>I29*$F$16*$H$16*$I$16</f>
        <v/>
      </c>
      <c r="J54" s="45">
        <f>J29*$F$16*$H$16*$I$16</f>
        <v/>
      </c>
      <c r="K54" s="45">
        <f>K29*$F$16*$H$16*$I$16</f>
        <v/>
      </c>
      <c r="L54" s="45">
        <f>L29*$F$16*$H$16*$I$16</f>
        <v/>
      </c>
      <c r="M54" s="45">
        <f>M29*$F$16*$H$16*$I$16</f>
        <v/>
      </c>
      <c r="N54" s="45">
        <f>N29*$F$16*$H$16*$I$16</f>
        <v/>
      </c>
      <c r="O54" s="45">
        <f>O29*$F$16*$H$16*$I$16</f>
        <v/>
      </c>
      <c r="P54" s="45">
        <f>P29*$F$16*$H$16*$I$16</f>
        <v/>
      </c>
      <c r="Q54" s="45">
        <f>Q29*$F$16*$H$16*$I$16</f>
        <v/>
      </c>
      <c r="R54" s="45">
        <f>R29*$F$16*$H$16*$I$16</f>
        <v/>
      </c>
      <c r="S54" s="45">
        <f>S29*$F$16*$H$16*$I$16</f>
        <v/>
      </c>
      <c r="T54" s="45">
        <f>T29*$F$16*$H$16*$I$16</f>
        <v/>
      </c>
      <c r="U54" s="45">
        <f>U29*$F$16*$H$16*$I$16</f>
        <v/>
      </c>
      <c r="V54" s="45">
        <f>V29*$F$16*$H$16*$I$16</f>
        <v/>
      </c>
      <c r="W54" s="45">
        <f>W29*$F$16*$H$16*$I$16</f>
        <v/>
      </c>
      <c r="X54" s="45">
        <f>X29*$F$16*$H$16*$I$16</f>
        <v/>
      </c>
      <c r="Y54" s="45">
        <f>Y29*$F$16*$H$16*$I$16</f>
        <v/>
      </c>
      <c r="Z54" s="45">
        <f>Z29*$F$16*$H$16*$I$16</f>
        <v/>
      </c>
      <c r="AA54" s="45">
        <f>AA29*$F$16*$H$16*$I$16</f>
        <v/>
      </c>
      <c r="AB54" s="45">
        <f>AB29*$F$16*$H$16*$I$16</f>
        <v/>
      </c>
      <c r="AC54" s="45">
        <f>AC29*$F$16*$H$16*$I$16</f>
        <v/>
      </c>
      <c r="AD54" s="45">
        <f>AD29*$F$16*$H$16*$I$16</f>
        <v/>
      </c>
      <c r="AE54" s="45">
        <f>AE29*$F$16*$H$16*$I$16</f>
        <v/>
      </c>
      <c r="AF54" s="45">
        <f>AF29*$F$16*$H$16*$I$16</f>
        <v/>
      </c>
      <c r="AG54" s="45">
        <f>AG29*$F$16*$H$16*$I$16</f>
        <v/>
      </c>
      <c r="AH54" s="45">
        <f>AH29*$F$16*$H$16*$I$16</f>
        <v/>
      </c>
      <c r="AI54" s="45">
        <f>AI29*$F$16*$H$16*$I$16</f>
        <v/>
      </c>
      <c r="AJ54" s="45">
        <f>AJ29*$F$16*$H$16*$I$16</f>
        <v/>
      </c>
      <c r="AK54" s="45">
        <f>AK29*$F$16*$H$16*$I$16</f>
        <v/>
      </c>
      <c r="AL54" s="45">
        <f>AL29*$F$16*$H$16*$I$16</f>
        <v/>
      </c>
      <c r="AM54" s="6" t="n"/>
      <c r="AN54" s="6" t="n"/>
    </row>
    <row r="55">
      <c r="A55" s="12" t="inlineStr">
        <is>
          <t>MINCuRSV3</t>
        </is>
      </c>
      <c r="B55" s="12" t="inlineStr">
        <is>
          <t>CUM</t>
        </is>
      </c>
      <c r="C55" s="27" t="n"/>
      <c r="D55" s="47">
        <f>D29*$F$16*$H$16*$J$16</f>
        <v/>
      </c>
      <c r="E55" s="47">
        <f>E29*$F$16*$H$16*$J$16</f>
        <v/>
      </c>
      <c r="F55" s="47">
        <f>F29*$F$16*$H$16*$J$16</f>
        <v/>
      </c>
      <c r="G55" s="47">
        <f>G29*$F$16*$H$16*$J$16</f>
        <v/>
      </c>
      <c r="H55" s="47">
        <f>H29*$F$16*$H$16*$J$16</f>
        <v/>
      </c>
      <c r="I55" s="47">
        <f>I29*$F$16*$H$16*$J$16</f>
        <v/>
      </c>
      <c r="J55" s="47">
        <f>J29*$F$16*$H$16*$J$16</f>
        <v/>
      </c>
      <c r="K55" s="47">
        <f>K29*$F$16*$H$16*$J$16</f>
        <v/>
      </c>
      <c r="L55" s="47">
        <f>L29*$F$16*$H$16*$J$16</f>
        <v/>
      </c>
      <c r="M55" s="47">
        <f>M29*$F$16*$H$16*$J$16</f>
        <v/>
      </c>
      <c r="N55" s="47">
        <f>N29*$F$16*$H$16*$J$16</f>
        <v/>
      </c>
      <c r="O55" s="47">
        <f>O29*$F$16*$H$16*$J$16</f>
        <v/>
      </c>
      <c r="P55" s="47">
        <f>P29*$F$16*$H$16*$J$16</f>
        <v/>
      </c>
      <c r="Q55" s="47">
        <f>Q29*$F$16*$H$16*$J$16</f>
        <v/>
      </c>
      <c r="R55" s="47">
        <f>R29*$F$16*$H$16*$J$16</f>
        <v/>
      </c>
      <c r="S55" s="47">
        <f>S29*$F$16*$H$16*$J$16</f>
        <v/>
      </c>
      <c r="T55" s="47">
        <f>T29*$F$16*$H$16*$J$16</f>
        <v/>
      </c>
      <c r="U55" s="47">
        <f>U29*$F$16*$H$16*$J$16</f>
        <v/>
      </c>
      <c r="V55" s="47">
        <f>V29*$F$16*$H$16*$J$16</f>
        <v/>
      </c>
      <c r="W55" s="47">
        <f>W29*$F$16*$H$16*$J$16</f>
        <v/>
      </c>
      <c r="X55" s="47">
        <f>X29*$F$16*$H$16*$J$16</f>
        <v/>
      </c>
      <c r="Y55" s="47">
        <f>Y29*$F$16*$H$16*$J$16</f>
        <v/>
      </c>
      <c r="Z55" s="47">
        <f>Z29*$F$16*$H$16*$J$16</f>
        <v/>
      </c>
      <c r="AA55" s="47">
        <f>AA29*$F$16*$H$16*$J$16</f>
        <v/>
      </c>
      <c r="AB55" s="47">
        <f>AB29*$F$16*$H$16*$J$16</f>
        <v/>
      </c>
      <c r="AC55" s="47">
        <f>AC29*$F$16*$H$16*$J$16</f>
        <v/>
      </c>
      <c r="AD55" s="47">
        <f>AD29*$F$16*$H$16*$J$16</f>
        <v/>
      </c>
      <c r="AE55" s="47">
        <f>AE29*$F$16*$H$16*$J$16</f>
        <v/>
      </c>
      <c r="AF55" s="47">
        <f>AF29*$F$16*$H$16*$J$16</f>
        <v/>
      </c>
      <c r="AG55" s="47">
        <f>AG29*$F$16*$H$16*$J$16</f>
        <v/>
      </c>
      <c r="AH55" s="47">
        <f>AH29*$F$16*$H$16*$J$16</f>
        <v/>
      </c>
      <c r="AI55" s="47">
        <f>AI29*$F$16*$H$16*$J$16</f>
        <v/>
      </c>
      <c r="AJ55" s="47">
        <f>AJ29*$F$16*$H$16*$J$16</f>
        <v/>
      </c>
      <c r="AK55" s="47">
        <f>AK29*$F$16*$H$16*$J$16</f>
        <v/>
      </c>
      <c r="AL55" s="47">
        <f>AL29*$F$16*$H$16*$J$16</f>
        <v/>
      </c>
      <c r="AM55" s="6" t="n"/>
      <c r="AN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</row>
    <row r="57">
      <c r="A57" s="12" t="inlineStr">
        <is>
          <t>MINGrRSV1</t>
        </is>
      </c>
      <c r="B57" s="12" t="inlineStr">
        <is>
          <t>CUM</t>
        </is>
      </c>
      <c r="C57" s="27" t="n"/>
      <c r="D57" s="47">
        <f>D30*$F$17*$H$17</f>
        <v/>
      </c>
      <c r="E57" s="47">
        <f>E30*$F$17*$H$17</f>
        <v/>
      </c>
      <c r="F57" s="47">
        <f>F30*$F$17*$H$17</f>
        <v/>
      </c>
      <c r="G57" s="47">
        <f>G30*$F$17*$H$17</f>
        <v/>
      </c>
      <c r="H57" s="47">
        <f>H30*$F$17*$H$17</f>
        <v/>
      </c>
      <c r="I57" s="47">
        <f>I30*$F$17*$H$17</f>
        <v/>
      </c>
      <c r="J57" s="47">
        <f>J30*$F$17*$H$17</f>
        <v/>
      </c>
      <c r="K57" s="47">
        <f>K30*$F$17*$H$17</f>
        <v/>
      </c>
      <c r="L57" s="47">
        <f>L30*$F$17*$H$17</f>
        <v/>
      </c>
      <c r="M57" s="47">
        <f>M30*$F$17*$H$17</f>
        <v/>
      </c>
      <c r="N57" s="47">
        <f>N30*$F$17*$H$17</f>
        <v/>
      </c>
      <c r="O57" s="47">
        <f>O30*$F$17*$H$17</f>
        <v/>
      </c>
      <c r="P57" s="47">
        <f>P30*$F$17*$H$17</f>
        <v/>
      </c>
      <c r="Q57" s="47">
        <f>Q30*$F$17*$H$17</f>
        <v/>
      </c>
      <c r="R57" s="47">
        <f>R30*$F$17*$H$17</f>
        <v/>
      </c>
      <c r="S57" s="47">
        <f>S30*$F$17*$H$17</f>
        <v/>
      </c>
      <c r="T57" s="47">
        <f>T30*$F$17*$H$17</f>
        <v/>
      </c>
      <c r="U57" s="47">
        <f>U30*$F$17*$H$17</f>
        <v/>
      </c>
      <c r="V57" s="47">
        <f>V30*$F$17*$H$17</f>
        <v/>
      </c>
      <c r="W57" s="47">
        <f>W30*$F$17*$H$17</f>
        <v/>
      </c>
      <c r="X57" s="47">
        <f>X30*$F$17*$H$17</f>
        <v/>
      </c>
      <c r="Y57" s="47">
        <f>Y30*$F$17*$H$17</f>
        <v/>
      </c>
      <c r="Z57" s="47">
        <f>Z30*$F$17*$H$17</f>
        <v/>
      </c>
      <c r="AA57" s="47">
        <f>AA30*$F$17*$H$17</f>
        <v/>
      </c>
      <c r="AB57" s="47">
        <f>AB30*$F$17*$H$17</f>
        <v/>
      </c>
      <c r="AC57" s="47">
        <f>AC30*$F$17*$H$17</f>
        <v/>
      </c>
      <c r="AD57" s="47">
        <f>AD30*$F$17*$H$17</f>
        <v/>
      </c>
      <c r="AE57" s="47">
        <f>AE30*$F$17*$H$17</f>
        <v/>
      </c>
      <c r="AF57" s="47">
        <f>AF30*$F$17*$H$17</f>
        <v/>
      </c>
      <c r="AG57" s="47">
        <f>AG30*$F$17*$H$17</f>
        <v/>
      </c>
      <c r="AH57" s="47">
        <f>AH30*$F$17*$H$17</f>
        <v/>
      </c>
      <c r="AI57" s="47">
        <f>AI30*$F$17*$H$17</f>
        <v/>
      </c>
      <c r="AJ57" s="47">
        <f>AJ30*$F$17*$H$17</f>
        <v/>
      </c>
      <c r="AK57" s="47">
        <f>AK30*$F$17*$H$17</f>
        <v/>
      </c>
      <c r="AL57" s="47">
        <f>AL30*$F$17*$H$17</f>
        <v/>
      </c>
      <c r="AM57" s="6" t="n"/>
      <c r="AN57" s="6" t="n"/>
    </row>
    <row r="58">
      <c r="A58" s="20" t="inlineStr">
        <is>
          <t>MINGrRSV2</t>
        </is>
      </c>
      <c r="B58" s="20" t="inlineStr">
        <is>
          <t>CUM</t>
        </is>
      </c>
      <c r="C58" s="29" t="n"/>
      <c r="D58" s="45">
        <f>D30*$F$17*$H$17*$I$17</f>
        <v/>
      </c>
      <c r="E58" s="45">
        <f>E30*$F$17*$H$17*$I$17</f>
        <v/>
      </c>
      <c r="F58" s="45">
        <f>F30*$F$17*$H$17*$I$17</f>
        <v/>
      </c>
      <c r="G58" s="45">
        <f>G30*$F$17*$H$17*$I$17</f>
        <v/>
      </c>
      <c r="H58" s="45">
        <f>H30*$F$17*$H$17*$I$17</f>
        <v/>
      </c>
      <c r="I58" s="45">
        <f>I30*$F$17*$H$17*$I$17</f>
        <v/>
      </c>
      <c r="J58" s="45">
        <f>J30*$F$17*$H$17*$I$17</f>
        <v/>
      </c>
      <c r="K58" s="45">
        <f>K30*$F$17*$H$17*$I$17</f>
        <v/>
      </c>
      <c r="L58" s="45">
        <f>L30*$F$17*$H$17*$I$17</f>
        <v/>
      </c>
      <c r="M58" s="45">
        <f>M30*$F$17*$H$17*$I$17</f>
        <v/>
      </c>
      <c r="N58" s="45">
        <f>N30*$F$17*$H$17*$I$17</f>
        <v/>
      </c>
      <c r="O58" s="45">
        <f>O30*$F$17*$H$17*$I$17</f>
        <v/>
      </c>
      <c r="P58" s="45">
        <f>P30*$F$17*$H$17*$I$17</f>
        <v/>
      </c>
      <c r="Q58" s="45">
        <f>Q30*$F$17*$H$17*$I$17</f>
        <v/>
      </c>
      <c r="R58" s="45">
        <f>R30*$F$17*$H$17*$I$17</f>
        <v/>
      </c>
      <c r="S58" s="45">
        <f>S30*$F$17*$H$17*$I$17</f>
        <v/>
      </c>
      <c r="T58" s="45">
        <f>T30*$F$17*$H$17*$I$17</f>
        <v/>
      </c>
      <c r="U58" s="45">
        <f>U30*$F$17*$H$17*$I$17</f>
        <v/>
      </c>
      <c r="V58" s="45">
        <f>V30*$F$17*$H$17*$I$17</f>
        <v/>
      </c>
      <c r="W58" s="45">
        <f>W30*$F$17*$H$17*$I$17</f>
        <v/>
      </c>
      <c r="X58" s="45">
        <f>X30*$F$17*$H$17*$I$17</f>
        <v/>
      </c>
      <c r="Y58" s="45">
        <f>Y30*$F$17*$H$17*$I$17</f>
        <v/>
      </c>
      <c r="Z58" s="45">
        <f>Z30*$F$17*$H$17*$I$17</f>
        <v/>
      </c>
      <c r="AA58" s="45">
        <f>AA30*$F$17*$H$17*$I$17</f>
        <v/>
      </c>
      <c r="AB58" s="45">
        <f>AB30*$F$17*$H$17*$I$17</f>
        <v/>
      </c>
      <c r="AC58" s="45">
        <f>AC30*$F$17*$H$17*$I$17</f>
        <v/>
      </c>
      <c r="AD58" s="45">
        <f>AD30*$F$17*$H$17*$I$17</f>
        <v/>
      </c>
      <c r="AE58" s="45">
        <f>AE30*$F$17*$H$17*$I$17</f>
        <v/>
      </c>
      <c r="AF58" s="45">
        <f>AF30*$F$17*$H$17*$I$17</f>
        <v/>
      </c>
      <c r="AG58" s="45">
        <f>AG30*$F$17*$H$17*$I$17</f>
        <v/>
      </c>
      <c r="AH58" s="45">
        <f>AH30*$F$17*$H$17*$I$17</f>
        <v/>
      </c>
      <c r="AI58" s="45">
        <f>AI30*$F$17*$H$17*$I$17</f>
        <v/>
      </c>
      <c r="AJ58" s="45">
        <f>AJ30*$F$17*$H$17*$I$17</f>
        <v/>
      </c>
      <c r="AK58" s="45">
        <f>AK30*$F$17*$H$17*$I$17</f>
        <v/>
      </c>
      <c r="AL58" s="45">
        <f>AL30*$F$17*$H$17*$I$17</f>
        <v/>
      </c>
      <c r="AM58" s="6" t="n"/>
      <c r="AN58" s="6" t="n"/>
    </row>
    <row r="59">
      <c r="A59" s="12" t="inlineStr">
        <is>
          <t>MINGrRSV3</t>
        </is>
      </c>
      <c r="B59" s="12" t="inlineStr">
        <is>
          <t>CUM</t>
        </is>
      </c>
      <c r="C59" s="27" t="n"/>
      <c r="D59" s="47">
        <f>D30*$F$17*$H$17*$J$17</f>
        <v/>
      </c>
      <c r="E59" s="47">
        <f>E30*$F$17*$H$17*$J$17</f>
        <v/>
      </c>
      <c r="F59" s="47">
        <f>F30*$F$17*$H$17*$J$17</f>
        <v/>
      </c>
      <c r="G59" s="47">
        <f>G30*$F$17*$H$17*$J$17</f>
        <v/>
      </c>
      <c r="H59" s="47">
        <f>H30*$F$17*$H$17*$J$17</f>
        <v/>
      </c>
      <c r="I59" s="47">
        <f>I30*$F$17*$H$17*$J$17</f>
        <v/>
      </c>
      <c r="J59" s="47">
        <f>J30*$F$17*$H$17*$J$17</f>
        <v/>
      </c>
      <c r="K59" s="47">
        <f>K30*$F$17*$H$17*$J$17</f>
        <v/>
      </c>
      <c r="L59" s="47">
        <f>L30*$F$17*$H$17*$J$17</f>
        <v/>
      </c>
      <c r="M59" s="47">
        <f>M30*$F$17*$H$17*$J$17</f>
        <v/>
      </c>
      <c r="N59" s="47">
        <f>N30*$F$17*$H$17*$J$17</f>
        <v/>
      </c>
      <c r="O59" s="47">
        <f>O30*$F$17*$H$17*$J$17</f>
        <v/>
      </c>
      <c r="P59" s="47">
        <f>P30*$F$17*$H$17*$J$17</f>
        <v/>
      </c>
      <c r="Q59" s="47">
        <f>Q30*$F$17*$H$17*$J$17</f>
        <v/>
      </c>
      <c r="R59" s="47">
        <f>R30*$F$17*$H$17*$J$17</f>
        <v/>
      </c>
      <c r="S59" s="47">
        <f>S30*$F$17*$H$17*$J$17</f>
        <v/>
      </c>
      <c r="T59" s="47">
        <f>T30*$F$17*$H$17*$J$17</f>
        <v/>
      </c>
      <c r="U59" s="47">
        <f>U30*$F$17*$H$17*$J$17</f>
        <v/>
      </c>
      <c r="V59" s="47">
        <f>V30*$F$17*$H$17*$J$17</f>
        <v/>
      </c>
      <c r="W59" s="47">
        <f>W30*$F$17*$H$17*$J$17</f>
        <v/>
      </c>
      <c r="X59" s="47">
        <f>X30*$F$17*$H$17*$J$17</f>
        <v/>
      </c>
      <c r="Y59" s="47">
        <f>Y30*$F$17*$H$17*$J$17</f>
        <v/>
      </c>
      <c r="Z59" s="47">
        <f>Z30*$F$17*$H$17*$J$17</f>
        <v/>
      </c>
      <c r="AA59" s="47">
        <f>AA30*$F$17*$H$17*$J$17</f>
        <v/>
      </c>
      <c r="AB59" s="47">
        <f>AB30*$F$17*$H$17*$J$17</f>
        <v/>
      </c>
      <c r="AC59" s="47">
        <f>AC30*$F$17*$H$17*$J$17</f>
        <v/>
      </c>
      <c r="AD59" s="47">
        <f>AD30*$F$17*$H$17*$J$17</f>
        <v/>
      </c>
      <c r="AE59" s="47">
        <f>AE30*$F$17*$H$17*$J$17</f>
        <v/>
      </c>
      <c r="AF59" s="47">
        <f>AF30*$F$17*$H$17*$J$17</f>
        <v/>
      </c>
      <c r="AG59" s="47">
        <f>AG30*$F$17*$H$17*$J$17</f>
        <v/>
      </c>
      <c r="AH59" s="47">
        <f>AH30*$F$17*$H$17*$J$17</f>
        <v/>
      </c>
      <c r="AI59" s="47">
        <f>AI30*$F$17*$H$17*$J$17</f>
        <v/>
      </c>
      <c r="AJ59" s="47">
        <f>AJ30*$F$17*$H$17*$J$17</f>
        <v/>
      </c>
      <c r="AK59" s="47">
        <f>AK30*$F$17*$H$17*$J$17</f>
        <v/>
      </c>
      <c r="AL59" s="47">
        <f>AL30*$F$17*$H$17*$J$17</f>
        <v/>
      </c>
      <c r="AM59" s="6" t="n"/>
      <c r="AN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</row>
    <row r="62">
      <c r="A62" s="10" t="inlineStr">
        <is>
          <t>4.  NOTES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</row>
    <row r="63">
      <c r="A63" s="7" t="inlineStr">
        <is>
          <t>CUM maps to ACT_CUM in TIMES and needs a period range - enter year '0' for the whole horizon in VEDA, or the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</row>
    <row r="64">
      <c r="A64" s="7" t="inlineStr">
        <is>
          <t>limit will not bind.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</row>
    <row r="65">
      <c r="A65" s="7" t="inlineStr">
        <is>
          <t>Aluminium (m_aluminum) has no row here because the supplied table contains no bauxite reserves. Either add them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</row>
    <row r="66">
      <c r="A66" s="7" t="inlineStr">
        <is>
          <t>or leave m_aluminum without a cumulative limit and say so in the SI.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</row>
    <row r="67">
      <c r="A67" s="7" t="inlineStr">
        <is>
          <t>Regions showing zero hold no economically recoverable reserves in the supplied table. Zero CUM means the process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</row>
    <row r="68">
      <c r="A68" s="7" t="inlineStr">
        <is>
          <t>exists but can never produce - this is intended, and is not the same as leaving the cell blank.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</row>
    <row r="69">
      <c r="A69" s="7" t="inlineStr">
        <is>
          <t>Pair CUM with BNDACT (annual capacity, anchored to observed 2024 output) and a GROWTH constraint; a cumulative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</row>
    <row r="70">
      <c r="A70" s="7" t="inlineStr">
        <is>
          <t>limit alone still permits an unrealistic production spike in a single period.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</row>
  </sheetData>
  <mergeCells count="4">
    <mergeCell ref="A5:N5"/>
    <mergeCell ref="A8:N8"/>
    <mergeCell ref="A6:N6"/>
    <mergeCell ref="A7:N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topLeftCell="M1" workbookViewId="0">
      <selection activeCell="P18" sqref="P18"/>
    </sheetView>
  </sheetViews>
  <sheetFormatPr baseColWidth="8" defaultColWidth="9" defaultRowHeight="14.5"/>
  <cols>
    <col width="18" customWidth="1" style="1" min="1" max="15"/>
    <col width="40" customWidth="1" style="1" min="16" max="18"/>
  </cols>
  <sheetData>
    <row r="1">
      <c r="A1" s="3" t="inlineStr">
        <is>
          <t>Auditable source parameters for redesigned mining supply curves</t>
        </is>
      </c>
    </row>
    <row r="2">
      <c r="A2" s="0" t="inlineStr">
        <is>
          <t>Units: BNDACT kt/yr; CUM kt; COST million USD/kt. Formulas in Codex_calc link to these rows.</t>
        </is>
      </c>
    </row>
    <row r="4">
      <c r="A4" s="2" t="inlineStr">
        <is>
          <t>Material</t>
        </is>
      </c>
      <c r="B4" s="2" t="inlineStr">
        <is>
          <t>Prefix</t>
        </is>
      </c>
      <c r="C4" s="2" t="inlineStr">
        <is>
          <t>Commodity</t>
        </is>
      </c>
      <c r="D4" s="2" t="inlineStr">
        <is>
          <t>ScopeFactor</t>
        </is>
      </c>
      <c r="E4" s="2" t="inlineStr">
        <is>
          <t>Scope numerator kt/yr</t>
        </is>
      </c>
      <c r="F4" s="2" t="inlineStr">
        <is>
          <t>World production kt/yr</t>
        </is>
      </c>
      <c r="G4" s="2" t="inlineStr">
        <is>
          <t>World reserves kt</t>
        </is>
      </c>
      <c r="H4" s="2" t="inlineStr">
        <is>
          <t>Resource total / midpoint kt</t>
        </is>
      </c>
      <c r="I4" s="2" t="inlineStr">
        <is>
          <t>Extra high/undiscovered kt</t>
        </is>
      </c>
      <c r="J4" s="2" t="inlineStr">
        <is>
          <t>RSV1 multiplier</t>
        </is>
      </c>
      <c r="K4" s="2" t="inlineStr">
        <is>
          <t>RSV2 multiplier</t>
        </is>
      </c>
      <c r="L4" s="2" t="inlineStr">
        <is>
          <t>RSV3 multiplier</t>
        </is>
      </c>
      <c r="M4" s="2" t="inlineStr">
        <is>
          <t>Cost RSV1</t>
        </is>
      </c>
      <c r="N4" s="2" t="inlineStr">
        <is>
          <t>Cost RSV2</t>
        </is>
      </c>
      <c r="O4" s="2" t="inlineStr">
        <is>
          <t>Cost RSV3</t>
        </is>
      </c>
      <c r="P4" s="2" t="inlineStr">
        <is>
          <t>Cost source</t>
        </is>
      </c>
      <c r="Q4" s="2" t="inlineStr">
        <is>
          <t>Quantity source</t>
        </is>
      </c>
      <c r="R4" s="2" t="inlineStr">
        <is>
          <t>Notes</t>
        </is>
      </c>
    </row>
    <row r="5">
      <c r="A5" s="0" t="inlineStr">
        <is>
          <t>Li</t>
        </is>
      </c>
      <c r="B5" s="0" t="inlineStr">
        <is>
          <t>MINLi</t>
        </is>
      </c>
      <c r="C5" s="0" t="inlineStr">
        <is>
          <t>m_lithium</t>
        </is>
      </c>
      <c r="D5" s="0" t="n">
        <v>0.88</v>
      </c>
      <c r="F5" s="0" t="n">
        <v>290</v>
      </c>
      <c r="G5" s="0" t="n">
        <v>37000</v>
      </c>
      <c r="H5" s="0" t="n">
        <v>150000</v>
      </c>
      <c r="J5" s="0" t="inlineStr">
        <is>
          <t>stage from deposit data</t>
        </is>
      </c>
      <c r="K5" s="0" t="inlineStr">
        <is>
          <t>stage from deposit data</t>
        </is>
      </c>
      <c r="L5" s="0" t="inlineStr">
        <is>
          <t>stage from deposit data</t>
        </is>
      </c>
      <c r="M5" s="0" t="n">
        <v>13.86</v>
      </c>
      <c r="N5" s="0" t="n">
        <v>22.45</v>
      </c>
      <c r="O5" s="0" t="n">
        <v>27.69</v>
      </c>
      <c r="P5" s="0" t="inlineStr">
        <is>
          <t>Busch et al. 2025 Supplementary Data S2; project extraction costs converted to MUSD/kt Li; RSV1/RSV2/RSV3 use approximately p25/p75/p90.</t>
        </is>
      </c>
      <c r="Q5" s="0" t="inlineStr">
        <is>
          <t>Busch et al. 2025 Supplementary Data S2 for deposit reserves/resources/capacity; USGS MCS 2026 for 88% battery end-use share.</t>
        </is>
      </c>
      <c r="R5" s="0" t="inlineStr">
        <is>
          <t>CUM uses deposit reserve/demonstrated/inferred stages. BNDACT uses 2030 deposit capacity split 1:2 across RSV1/RSV2.</t>
        </is>
      </c>
    </row>
    <row r="6">
      <c r="A6" s="0" t="inlineStr">
        <is>
          <t>Ni</t>
        </is>
      </c>
      <c r="B6" s="0" t="inlineStr">
        <is>
          <t>MINNi</t>
        </is>
      </c>
      <c r="C6" s="0" t="inlineStr">
        <is>
          <t>m_nickel</t>
        </is>
      </c>
      <c r="D6" s="0">
        <f>E6/F6</f>
        <v/>
      </c>
      <c r="E6" s="0" t="n">
        <v>555</v>
      </c>
      <c r="F6" s="0" t="n">
        <v>3900</v>
      </c>
      <c r="G6" s="0" t="n">
        <v>140000</v>
      </c>
      <c r="H6" s="0" t="n">
        <v>350000</v>
      </c>
      <c r="I6" s="0" t="n">
        <v>0</v>
      </c>
      <c r="J6" s="0" t="n">
        <v>1</v>
      </c>
      <c r="K6" s="0">
        <f>(H6-G6)/(2*G6)</f>
        <v/>
      </c>
      <c r="L6" s="0">
        <f>(H6-G6)/(2*G6)</f>
        <v/>
      </c>
      <c r="M6" s="0" t="n">
        <v>14.288</v>
      </c>
      <c r="N6" s="0" t="n">
        <v>23.139</v>
      </c>
      <c r="O6" s="4">
        <f>N6*1.1</f>
        <v/>
      </c>
      <c r="P6" s="0" t="inlineStr">
        <is>
          <t>Peiseler et al. 2024 Nature Communications Source Data Fig. 4 all-in-cost Q1/Q3/max.</t>
        </is>
      </c>
      <c r="Q6" s="0" t="inlineStr">
        <is>
          <t>USGS MCS 2026 nickel production/reserves/resources.</t>
        </is>
      </c>
      <c r="R6" s="0" t="inlineStr">
        <is>
          <t>Seabed nickel resources are not included in the base curve.</t>
        </is>
      </c>
    </row>
    <row r="7">
      <c r="A7" s="0" t="inlineStr">
        <is>
          <t>Co</t>
        </is>
      </c>
      <c r="B7" s="0" t="inlineStr">
        <is>
          <t>MINCo</t>
        </is>
      </c>
      <c r="C7" s="0" t="inlineStr">
        <is>
          <t>m_cobalt</t>
        </is>
      </c>
      <c r="D7" s="0">
        <f>E7/F7</f>
        <v/>
      </c>
      <c r="E7" s="0" t="n">
        <v>220.172</v>
      </c>
      <c r="F7" s="0" t="n">
        <v>310</v>
      </c>
      <c r="G7" s="0" t="n">
        <v>12000</v>
      </c>
      <c r="H7" s="0" t="n">
        <v>25000</v>
      </c>
      <c r="I7" s="0" t="n">
        <v>0</v>
      </c>
      <c r="J7" s="0" t="n">
        <v>1</v>
      </c>
      <c r="K7" s="0">
        <f>(H7-G7)/(2*G7)</f>
        <v/>
      </c>
      <c r="L7" s="0">
        <f>(H7-G7)/(2*G7)</f>
        <v/>
      </c>
      <c r="M7" s="0" t="n">
        <v>29.844</v>
      </c>
      <c r="N7" s="0" t="n">
        <v>42.509</v>
      </c>
      <c r="O7" s="4">
        <f>N7*1.1</f>
        <v/>
      </c>
      <c r="P7" s="0" t="inlineStr">
        <is>
          <t>Peiseler et al. 2024 Nature Communications Source Data Fig. 4 all-in-cost Q1/Q3/max.</t>
        </is>
      </c>
      <c r="Q7" s="0" t="inlineStr">
        <is>
          <t>USGS MCS 2026 cobalt production/reserves/resources.</t>
        </is>
      </c>
      <c r="R7" s="0" t="inlineStr">
        <is>
          <t>Seafloor cobalt is excluded; cobalt by-product coupling is not represented here.</t>
        </is>
      </c>
    </row>
    <row r="8">
      <c r="A8" s="0" t="inlineStr">
        <is>
          <t>Mn</t>
        </is>
      </c>
      <c r="B8" s="0" t="inlineStr">
        <is>
          <t>MINMn</t>
        </is>
      </c>
      <c r="C8" s="0" t="inlineStr">
        <is>
          <t>m_manganese</t>
        </is>
      </c>
      <c r="D8" s="0">
        <f>E8/F8</f>
        <v/>
      </c>
      <c r="E8" s="0" t="n">
        <v>202</v>
      </c>
      <c r="F8" s="0" t="n">
        <v>20000</v>
      </c>
      <c r="G8" s="0" t="n">
        <v>1800000</v>
      </c>
      <c r="H8" s="0" t="n">
        <v>17000000</v>
      </c>
      <c r="I8" s="0" t="n">
        <v>0</v>
      </c>
      <c r="J8" s="0" t="n">
        <v>1</v>
      </c>
      <c r="K8" s="0">
        <f>(H8-G8)/(2*G8)</f>
        <v/>
      </c>
      <c r="L8" s="0">
        <f>(H8-G8)/(2*G8)</f>
        <v/>
      </c>
      <c r="M8" s="0">
        <f>4.5*100/1000</f>
        <v/>
      </c>
      <c r="N8" s="0">
        <f>M8*3</f>
        <v/>
      </c>
      <c r="O8" s="4">
        <f>N8*1.1</f>
        <v/>
      </c>
      <c r="P8" s="0" t="inlineStr">
        <is>
          <t>USGS MCS 2026 manganese ore price, 4.50 USD/metric ton unit Mn; tier multipliers are assumptions.</t>
        </is>
      </c>
      <c r="Q8" s="0" t="inlineStr">
        <is>
          <t>USGS MCS 2026 manganese production/reserves; USGS Professional Paper 1802-L for 17 billion t land resources.</t>
        </is>
      </c>
      <c r="R8" s="0" t="inlineStr">
        <is>
          <t>Cost is a price proxy, not mine-level OPEX.</t>
        </is>
      </c>
    </row>
    <row r="9">
      <c r="A9" s="0" t="inlineStr">
        <is>
          <t>Al</t>
        </is>
      </c>
      <c r="B9" s="0" t="inlineStr">
        <is>
          <t>MINAl</t>
        </is>
      </c>
      <c r="C9" s="0" t="inlineStr">
        <is>
          <t>m_aluminum</t>
        </is>
      </c>
      <c r="D9" s="0">
        <f>E9/F9</f>
        <v/>
      </c>
      <c r="E9" s="0" t="n">
        <v>1486.28</v>
      </c>
      <c r="F9" s="0" t="n">
        <v>74000</v>
      </c>
      <c r="G9" s="0" t="n">
        <v>7250000</v>
      </c>
      <c r="H9" s="0" t="n">
        <v>16250000</v>
      </c>
      <c r="I9" s="0" t="n">
        <v>2500000</v>
      </c>
      <c r="J9" s="0" t="n">
        <v>1</v>
      </c>
      <c r="K9" s="0">
        <f>(H9-G9)/G9</f>
        <v/>
      </c>
      <c r="L9" s="0">
        <f>I9/G9</f>
        <v/>
      </c>
      <c r="M9" s="0">
        <f>180/100*2204.62/1000</f>
        <v/>
      </c>
      <c r="N9" s="0">
        <f>M9*3</f>
        <v/>
      </c>
      <c r="O9" s="4">
        <f>N9*1.1</f>
        <v/>
      </c>
      <c r="P9" s="0" t="inlineStr">
        <is>
          <t>USGS MCS 2026 aluminum ingot U.S. market spot price, 180 cents/lb; tier multipliers are assumptions.</t>
        </is>
      </c>
      <c r="Q9" s="0" t="inlineStr">
        <is>
          <t>USGS MCS 2026 aluminum production; bauxite reserves/resources converted using 4 t bauxite = 1 t Al.</t>
        </is>
      </c>
      <c r="R9" s="0" t="inlineStr">
        <is>
          <t>CUM is bauxite-derived aluminum equivalent, while BNDACT uses primary aluminum smelter production.</t>
        </is>
      </c>
    </row>
    <row r="10">
      <c r="A10" s="0" t="inlineStr">
        <is>
          <t>Cu</t>
        </is>
      </c>
      <c r="B10" s="0" t="inlineStr">
        <is>
          <t>MINCu</t>
        </is>
      </c>
      <c r="C10" s="0" t="inlineStr">
        <is>
          <t>m_copper</t>
        </is>
      </c>
      <c r="D10" s="0">
        <f>E10/F10</f>
        <v/>
      </c>
      <c r="E10" s="0" t="n">
        <v>570</v>
      </c>
      <c r="F10" s="0" t="n">
        <v>23000</v>
      </c>
      <c r="G10" s="0" t="n">
        <v>980000</v>
      </c>
      <c r="H10" s="0" t="n">
        <v>1500000</v>
      </c>
      <c r="I10" s="0" t="n">
        <v>3500000</v>
      </c>
      <c r="J10" s="0" t="n">
        <v>1</v>
      </c>
      <c r="K10" s="0">
        <f>(H10-G10)/G10</f>
        <v/>
      </c>
      <c r="L10" s="0">
        <f>I10/G10</f>
        <v/>
      </c>
      <c r="M10" s="0">
        <f>440/100*2204.62/1000</f>
        <v/>
      </c>
      <c r="N10" s="0">
        <f>M10*3</f>
        <v/>
      </c>
      <c r="O10" s="4">
        <f>N10*1.1</f>
        <v/>
      </c>
      <c r="P10" s="0" t="inlineStr">
        <is>
          <t>USGS MCS 2026 LME grade A cash copper price, 440 cents/lb; tier multipliers are assumptions.</t>
        </is>
      </c>
      <c r="Q10" s="0" t="inlineStr">
        <is>
          <t>USGS MCS 2026 copper production/reserves; USGS global copper resource assessment cited by MCS for identified/undiscovered resources.</t>
        </is>
      </c>
      <c r="R10" s="0" t="inlineStr">
        <is>
          <t>Copper RSV3 represents undiscovered resources allocated by current reserve geography.</t>
        </is>
      </c>
    </row>
    <row r="11">
      <c r="A11" s="0" t="inlineStr">
        <is>
          <t>Gr</t>
        </is>
      </c>
      <c r="B11" s="0" t="inlineStr">
        <is>
          <t>MINGr</t>
        </is>
      </c>
      <c r="C11" s="0" t="inlineStr">
        <is>
          <t>m_graphite</t>
        </is>
      </c>
      <c r="D11" s="0">
        <f>E11/F11</f>
        <v/>
      </c>
      <c r="E11" s="0" t="n">
        <v>1467.63</v>
      </c>
      <c r="F11" s="0" t="n">
        <v>1800</v>
      </c>
      <c r="G11" s="0" t="n">
        <v>310000</v>
      </c>
      <c r="H11" s="0" t="n">
        <v>800000</v>
      </c>
      <c r="I11" s="0" t="n">
        <v>0</v>
      </c>
      <c r="J11" s="0" t="n">
        <v>1</v>
      </c>
      <c r="K11" s="0">
        <f>(H11-G11)/(2*G11)</f>
        <v/>
      </c>
      <c r="L11" s="0">
        <f>(H11-G11)/(2*G11)</f>
        <v/>
      </c>
      <c r="M11" s="0" t="n">
        <v>1</v>
      </c>
      <c r="N11" s="0" t="n">
        <v>2.6</v>
      </c>
      <c r="O11" s="4">
        <f>N11*1.1</f>
        <v/>
      </c>
      <c r="P11" s="0" t="inlineStr">
        <is>
          <t>USGS MCS 2026 natural graphite import values for flake/lump; Benchmark 2025 article for battery-grade anode graphite high-cost proxy.</t>
        </is>
      </c>
      <c r="Q11" s="0" t="inlineStr">
        <is>
          <t>USGS MCS 2026 natural graphite production/reserves/resources.</t>
        </is>
      </c>
      <c r="R11" s="0" t="inlineStr">
        <is>
          <t>Synthetic graphite is not a mined reserve; RSV3 cost is a battery-grade anode proxy.</t>
        </is>
      </c>
    </row>
    <row r="14">
      <c r="A14" s="3" t="inlineStr">
        <is>
          <t>Primary source links</t>
        </is>
      </c>
    </row>
    <row r="15">
      <c r="A15" s="0" t="inlineStr">
        <is>
          <t>USGS MCS 2026</t>
        </is>
      </c>
      <c r="B15" s="0" t="inlineStr">
        <is>
          <t>https://doi.org/10.3133/mcs2026</t>
        </is>
      </c>
      <c r="M15" s="0" t="n">
        <v>13.86</v>
      </c>
      <c r="N15" s="0" t="n">
        <v>22.45</v>
      </c>
      <c r="O15" s="0" t="n">
        <v>27.69</v>
      </c>
    </row>
    <row r="16">
      <c r="A16" s="0" t="inlineStr">
        <is>
          <t>Busch et al. 2025</t>
        </is>
      </c>
      <c r="B16" s="0" t="inlineStr">
        <is>
          <t>https://doi.org/10.1038/s41893-025-01561-5</t>
        </is>
      </c>
      <c r="M16" s="0" t="n">
        <v>14.288</v>
      </c>
      <c r="N16" s="0" t="n">
        <v>23.139</v>
      </c>
      <c r="O16" s="0" t="n">
        <v>73.349</v>
      </c>
    </row>
    <row r="17">
      <c r="A17" s="0" t="inlineStr">
        <is>
          <t>Busch et al. 2025 data/code</t>
        </is>
      </c>
      <c r="B17" s="0" t="inlineStr">
        <is>
          <t>https://doi.org/10.5281/zenodo.14532951</t>
        </is>
      </c>
      <c r="M17" s="0" t="n">
        <v>29.844</v>
      </c>
      <c r="N17" s="0" t="n">
        <v>42.509</v>
      </c>
      <c r="O17" s="0" t="n">
        <v>94.182</v>
      </c>
    </row>
    <row r="18">
      <c r="A18" s="0" t="inlineStr">
        <is>
          <t>Peiseler et al. 2024</t>
        </is>
      </c>
      <c r="B18" s="0" t="inlineStr">
        <is>
          <t>https://doi.org/10.1038/s41467-024-54634-y</t>
        </is>
      </c>
      <c r="M18" s="0" t="n">
        <v>0.45</v>
      </c>
      <c r="N18" s="0" t="n">
        <v>1.35</v>
      </c>
      <c r="O18" s="0" t="n">
        <v>2.25</v>
      </c>
    </row>
    <row r="19">
      <c r="A19" s="0" t="inlineStr">
        <is>
          <t>Benchmark graphite article</t>
        </is>
      </c>
      <c r="B19" s="0" t="inlineStr">
        <is>
          <t>https://source.benchmarkminerals.com/article/price-correction-benchmark-to-continue-publication-of-previous-high-energy-anode-grades-and-launch-new-high-charging-rate-for-ev-variants-reversing-15-october-change-to-specifications</t>
        </is>
      </c>
      <c r="M19" s="0" t="n">
        <v>3.968316</v>
      </c>
      <c r="N19" s="0" t="n">
        <v>11.904948</v>
      </c>
      <c r="O19" s="0" t="n">
        <v>19.84158</v>
      </c>
    </row>
    <row r="20">
      <c r="A20" s="0" t="inlineStr">
        <is>
          <t>USGS manganese PP1802-L</t>
        </is>
      </c>
      <c r="B20" s="0" t="inlineStr">
        <is>
          <t>https://doi.org/10.3133/pp1802L</t>
        </is>
      </c>
      <c r="M20" s="0" t="n">
        <v>9.700328000000001</v>
      </c>
      <c r="N20" s="0" t="n">
        <v>29.100984</v>
      </c>
      <c r="O20" s="0" t="n">
        <v>48.50164</v>
      </c>
    </row>
    <row r="21">
      <c r="M21" s="0" t="n">
        <v>1</v>
      </c>
      <c r="N21" s="0" t="n">
        <v>2.6</v>
      </c>
      <c r="O21" s="0" t="n">
        <v>7.245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topLeftCell="B1" workbookViewId="0">
      <selection activeCell="D16" sqref="D16"/>
    </sheetView>
  </sheetViews>
  <sheetFormatPr baseColWidth="8" defaultColWidth="9" defaultRowHeight="14.5"/>
  <cols>
    <col width="20" customWidth="1" style="1" min="1" max="5"/>
    <col width="71" customWidth="1" style="1" min="6" max="6"/>
    <col width="20" customWidth="1" style="1" min="7" max="7"/>
  </cols>
  <sheetData>
    <row r="1">
      <c r="A1" s="2" t="inlineStr">
        <is>
          <t>Material</t>
        </is>
      </c>
      <c r="B1" s="2" t="inlineStr">
        <is>
          <t>Country</t>
        </is>
      </c>
      <c r="C1" s="2" t="inlineStr">
        <is>
          <t>TIMES region</t>
        </is>
      </c>
      <c r="D1" s="2" t="inlineStr">
        <is>
          <t>Production kt/yr</t>
        </is>
      </c>
      <c r="E1" s="2" t="inlineStr">
        <is>
          <t>Reserves kt</t>
        </is>
      </c>
      <c r="F1" s="2" t="inlineStr">
        <is>
          <t>Source</t>
        </is>
      </c>
      <c r="G1" s="2" t="inlineStr">
        <is>
          <t>Notes</t>
        </is>
      </c>
    </row>
    <row r="2">
      <c r="A2" s="0" t="inlineStr">
        <is>
          <t>Ni</t>
        </is>
      </c>
      <c r="B2" s="0" t="inlineStr">
        <is>
          <t>United States</t>
        </is>
      </c>
      <c r="C2" s="0" t="inlineStr">
        <is>
          <t>NorthAm</t>
        </is>
      </c>
      <c r="D2" s="0" t="n">
        <v>10</v>
      </c>
      <c r="E2" s="0" t="n">
        <v>340</v>
      </c>
      <c r="F2" s="0" t="inlineStr">
        <is>
          <t>USGS Mineral Commodity Summaries 2026; individual commodity chapters.</t>
        </is>
      </c>
      <c r="G2" s="0" t="inlineStr"/>
    </row>
    <row r="3">
      <c r="A3" s="0" t="inlineStr">
        <is>
          <t>Ni</t>
        </is>
      </c>
      <c r="B3" s="0" t="inlineStr">
        <is>
          <t>Australia</t>
        </is>
      </c>
      <c r="C3" s="0" t="inlineStr">
        <is>
          <t>Australia</t>
        </is>
      </c>
      <c r="D3" s="0" t="n">
        <v>45</v>
      </c>
      <c r="E3" s="0" t="n">
        <v>25000</v>
      </c>
      <c r="F3" s="0" t="inlineStr">
        <is>
          <t>USGS Mineral Commodity Summaries 2026; individual commodity chapters.</t>
        </is>
      </c>
      <c r="G3" s="0" t="inlineStr"/>
    </row>
    <row r="4">
      <c r="A4" s="0" t="inlineStr">
        <is>
          <t>Ni</t>
        </is>
      </c>
      <c r="B4" s="0" t="inlineStr">
        <is>
          <t>Brazil</t>
        </is>
      </c>
      <c r="C4" s="0" t="inlineStr">
        <is>
          <t>Brazil</t>
        </is>
      </c>
      <c r="D4" s="0" t="n">
        <v>70</v>
      </c>
      <c r="E4" s="0" t="n">
        <v>16000</v>
      </c>
      <c r="F4" s="0" t="inlineStr">
        <is>
          <t>USGS Mineral Commodity Summaries 2026; individual commodity chapters.</t>
        </is>
      </c>
      <c r="G4" s="0" t="inlineStr"/>
    </row>
    <row r="5">
      <c r="A5" s="0" t="inlineStr">
        <is>
          <t>Ni</t>
        </is>
      </c>
      <c r="B5" s="0" t="inlineStr">
        <is>
          <t>Canada</t>
        </is>
      </c>
      <c r="C5" s="0" t="inlineStr">
        <is>
          <t>NorthAm</t>
        </is>
      </c>
      <c r="D5" s="0" t="n">
        <v>140</v>
      </c>
      <c r="E5" s="0" t="n">
        <v>2200</v>
      </c>
      <c r="F5" s="0" t="inlineStr">
        <is>
          <t>USGS Mineral Commodity Summaries 2026; individual commodity chapters.</t>
        </is>
      </c>
      <c r="G5" s="0" t="inlineStr"/>
    </row>
    <row r="6">
      <c r="A6" s="0" t="inlineStr">
        <is>
          <t>Ni</t>
        </is>
      </c>
      <c r="B6" s="0" t="inlineStr">
        <is>
          <t>China</t>
        </is>
      </c>
      <c r="C6" s="0" t="inlineStr">
        <is>
          <t>China</t>
        </is>
      </c>
      <c r="D6" s="0" t="n">
        <v>120</v>
      </c>
      <c r="E6" s="0" t="n">
        <v>4400</v>
      </c>
      <c r="F6" s="0" t="inlineStr">
        <is>
          <t>USGS Mineral Commodity Summaries 2026; individual commodity chapters.</t>
        </is>
      </c>
      <c r="G6" s="0" t="inlineStr"/>
    </row>
    <row r="7">
      <c r="A7" s="0" t="inlineStr">
        <is>
          <t>Ni</t>
        </is>
      </c>
      <c r="B7" s="0" t="inlineStr">
        <is>
          <t>Indonesia</t>
        </is>
      </c>
      <c r="C7" s="0" t="inlineStr">
        <is>
          <t>ROW</t>
        </is>
      </c>
      <c r="D7" s="0" t="n">
        <v>2600</v>
      </c>
      <c r="E7" s="0" t="n">
        <v>62000</v>
      </c>
      <c r="F7" s="0" t="inlineStr">
        <is>
          <t>USGS Mineral Commodity Summaries 2026; individual commodity chapters.</t>
        </is>
      </c>
      <c r="G7" s="0" t="inlineStr"/>
    </row>
    <row r="8">
      <c r="A8" s="0" t="inlineStr">
        <is>
          <t>Ni</t>
        </is>
      </c>
      <c r="B8" s="0" t="inlineStr">
        <is>
          <t>New Caledonia</t>
        </is>
      </c>
      <c r="C8" s="0" t="inlineStr">
        <is>
          <t>ROW</t>
        </is>
      </c>
      <c r="D8" s="0" t="n">
        <v>140</v>
      </c>
      <c r="E8" s="0" t="n">
        <v>7100</v>
      </c>
      <c r="F8" s="0" t="inlineStr">
        <is>
          <t>USGS Mineral Commodity Summaries 2026; individual commodity chapters.</t>
        </is>
      </c>
      <c r="G8" s="0" t="inlineStr"/>
    </row>
    <row r="9">
      <c r="A9" s="0" t="inlineStr">
        <is>
          <t>Ni</t>
        </is>
      </c>
      <c r="B9" s="0" t="inlineStr">
        <is>
          <t>Philippines</t>
        </is>
      </c>
      <c r="C9" s="0" t="inlineStr">
        <is>
          <t>ROW</t>
        </is>
      </c>
      <c r="D9" s="0" t="n">
        <v>270</v>
      </c>
      <c r="E9" s="0" t="n">
        <v>4800</v>
      </c>
      <c r="F9" s="0" t="inlineStr">
        <is>
          <t>USGS Mineral Commodity Summaries 2026; individual commodity chapters.</t>
        </is>
      </c>
      <c r="G9" s="0" t="inlineStr"/>
    </row>
    <row r="10">
      <c r="A10" s="0" t="inlineStr">
        <is>
          <t>Ni</t>
        </is>
      </c>
      <c r="B10" s="0" t="inlineStr">
        <is>
          <t>Russia</t>
        </is>
      </c>
      <c r="C10" s="0" t="inlineStr">
        <is>
          <t>Russia</t>
        </is>
      </c>
      <c r="D10" s="0" t="n">
        <v>200</v>
      </c>
      <c r="E10" s="0" t="n">
        <v>8300</v>
      </c>
      <c r="F10" s="0" t="inlineStr">
        <is>
          <t>USGS Mineral Commodity Summaries 2026; individual commodity chapters.</t>
        </is>
      </c>
      <c r="G10" s="0" t="inlineStr"/>
    </row>
    <row r="11">
      <c r="A11" s="0" t="inlineStr">
        <is>
          <t>Ni</t>
        </is>
      </c>
      <c r="B11" s="0" t="inlineStr">
        <is>
          <t>Other countries</t>
        </is>
      </c>
      <c r="C11" s="0" t="inlineStr">
        <is>
          <t>ROW</t>
        </is>
      </c>
      <c r="D11" s="0" t="n">
        <v>290</v>
      </c>
      <c r="E11" s="0" t="n">
        <v>9100</v>
      </c>
      <c r="F11" s="0" t="inlineStr">
        <is>
          <t>USGS Mineral Commodity Summaries 2026; individual commodity chapters.</t>
        </is>
      </c>
      <c r="G11" s="0" t="inlineStr"/>
    </row>
    <row r="12">
      <c r="A12" s="0" t="inlineStr">
        <is>
          <t>Co</t>
        </is>
      </c>
      <c r="B12" s="0" t="inlineStr">
        <is>
          <t>United States</t>
        </is>
      </c>
      <c r="C12" s="0" t="inlineStr">
        <is>
          <t>NorthAm</t>
        </is>
      </c>
      <c r="D12" s="0" t="n">
        <v>0.3</v>
      </c>
      <c r="E12" s="0" t="n">
        <v>70</v>
      </c>
      <c r="F12" s="0" t="inlineStr">
        <is>
          <t>USGS Mineral Commodity Summaries 2026; individual commodity chapters.</t>
        </is>
      </c>
      <c r="G12" s="0" t="inlineStr"/>
    </row>
    <row r="13">
      <c r="A13" s="0" t="inlineStr">
        <is>
          <t>Co</t>
        </is>
      </c>
      <c r="B13" s="0" t="inlineStr">
        <is>
          <t>Australia</t>
        </is>
      </c>
      <c r="C13" s="0" t="inlineStr">
        <is>
          <t>Australia</t>
        </is>
      </c>
      <c r="D13" s="0" t="n">
        <v>3.7</v>
      </c>
      <c r="E13" s="0" t="n">
        <v>1700</v>
      </c>
      <c r="F13" s="0" t="inlineStr">
        <is>
          <t>USGS Mineral Commodity Summaries 2026; individual commodity chapters.</t>
        </is>
      </c>
      <c r="G13" s="0" t="inlineStr"/>
    </row>
    <row r="14">
      <c r="A14" s="0" t="inlineStr">
        <is>
          <t>Co</t>
        </is>
      </c>
      <c r="B14" s="0" t="inlineStr">
        <is>
          <t>Canada</t>
        </is>
      </c>
      <c r="C14" s="0" t="inlineStr">
        <is>
          <t>NorthAm</t>
        </is>
      </c>
      <c r="D14" s="0" t="n">
        <v>3.5</v>
      </c>
      <c r="E14" s="0" t="n">
        <v>220</v>
      </c>
      <c r="F14" s="0" t="inlineStr">
        <is>
          <t>USGS Mineral Commodity Summaries 2026; individual commodity chapters.</t>
        </is>
      </c>
      <c r="G14" s="0" t="inlineStr"/>
    </row>
    <row r="15">
      <c r="A15" s="0" t="inlineStr">
        <is>
          <t>Co</t>
        </is>
      </c>
      <c r="B15" s="0" t="inlineStr">
        <is>
          <t>China</t>
        </is>
      </c>
      <c r="C15" s="0" t="inlineStr">
        <is>
          <t>China</t>
        </is>
      </c>
      <c r="D15" s="0" t="n">
        <v>2</v>
      </c>
      <c r="E15" s="0" t="n">
        <v>160</v>
      </c>
      <c r="F15" s="0" t="inlineStr">
        <is>
          <t>USGS Mineral Commodity Summaries 2026; individual commodity chapters.</t>
        </is>
      </c>
      <c r="G15" s="0" t="inlineStr"/>
    </row>
    <row r="16">
      <c r="A16" s="0" t="inlineStr">
        <is>
          <t>Co</t>
        </is>
      </c>
      <c r="B16" s="0" t="inlineStr">
        <is>
          <t>Congo (Kinshasa)</t>
        </is>
      </c>
      <c r="C16" s="0" t="inlineStr">
        <is>
          <t>Africa_Other</t>
        </is>
      </c>
      <c r="D16" s="0" t="n">
        <v>230</v>
      </c>
      <c r="E16" s="0" t="n">
        <v>6000</v>
      </c>
      <c r="F16" s="0" t="inlineStr">
        <is>
          <t>USGS Mineral Commodity Summaries 2026; individual commodity chapters.</t>
        </is>
      </c>
      <c r="G16" s="0" t="inlineStr"/>
    </row>
    <row r="17">
      <c r="A17" s="0" t="inlineStr">
        <is>
          <t>Co</t>
        </is>
      </c>
      <c r="B17" s="0" t="inlineStr">
        <is>
          <t>Cuba</t>
        </is>
      </c>
      <c r="C17" s="0" t="inlineStr">
        <is>
          <t>LatAm</t>
        </is>
      </c>
      <c r="D17" s="0" t="n">
        <v>2</v>
      </c>
      <c r="E17" s="0" t="n">
        <v>500</v>
      </c>
      <c r="F17" s="0" t="inlineStr">
        <is>
          <t>USGS Mineral Commodity Summaries 2026; individual commodity chapters.</t>
        </is>
      </c>
      <c r="G17" s="0" t="inlineStr"/>
    </row>
    <row r="18">
      <c r="A18" s="0" t="inlineStr">
        <is>
          <t>Co</t>
        </is>
      </c>
      <c r="B18" s="0" t="inlineStr">
        <is>
          <t>Indonesia</t>
        </is>
      </c>
      <c r="C18" s="0" t="inlineStr">
        <is>
          <t>ROW</t>
        </is>
      </c>
      <c r="D18" s="0" t="n">
        <v>44</v>
      </c>
      <c r="E18" s="0" t="n">
        <v>760</v>
      </c>
      <c r="F18" s="0" t="inlineStr">
        <is>
          <t>USGS Mineral Commodity Summaries 2026; individual commodity chapters.</t>
        </is>
      </c>
      <c r="G18" s="0" t="inlineStr"/>
    </row>
    <row r="19">
      <c r="A19" s="0" t="inlineStr">
        <is>
          <t>Co</t>
        </is>
      </c>
      <c r="B19" s="0" t="inlineStr">
        <is>
          <t>Madagascar</t>
        </is>
      </c>
      <c r="C19" s="0" t="inlineStr">
        <is>
          <t>Africa_Other</t>
        </is>
      </c>
      <c r="D19" s="0" t="n">
        <v>3.9</v>
      </c>
      <c r="E19" s="0" t="n">
        <v>100</v>
      </c>
      <c r="F19" s="0" t="inlineStr">
        <is>
          <t>USGS Mineral Commodity Summaries 2026; individual commodity chapters.</t>
        </is>
      </c>
      <c r="G19" s="0" t="inlineStr"/>
    </row>
    <row r="20">
      <c r="A20" s="0" t="inlineStr">
        <is>
          <t>Co</t>
        </is>
      </c>
      <c r="B20" s="0" t="inlineStr">
        <is>
          <t>Papua New Guinea</t>
        </is>
      </c>
      <c r="C20" s="0" t="inlineStr">
        <is>
          <t>ROW</t>
        </is>
      </c>
      <c r="D20" s="0" t="n">
        <v>2.8</v>
      </c>
      <c r="E20" s="0" t="n">
        <v>84</v>
      </c>
      <c r="F20" s="0" t="inlineStr">
        <is>
          <t>USGS Mineral Commodity Summaries 2026; individual commodity chapters.</t>
        </is>
      </c>
      <c r="G20" s="0" t="inlineStr"/>
    </row>
    <row r="21">
      <c r="A21" s="0" t="inlineStr">
        <is>
          <t>Co</t>
        </is>
      </c>
      <c r="B21" s="0" t="inlineStr">
        <is>
          <t>Philippines</t>
        </is>
      </c>
      <c r="C21" s="0" t="inlineStr">
        <is>
          <t>ROW</t>
        </is>
      </c>
      <c r="D21" s="0" t="n">
        <v>3.7</v>
      </c>
      <c r="E21" s="0" t="n">
        <v>260</v>
      </c>
      <c r="F21" s="0" t="inlineStr">
        <is>
          <t>USGS Mineral Commodity Summaries 2026; individual commodity chapters.</t>
        </is>
      </c>
      <c r="G21" s="0" t="inlineStr"/>
    </row>
    <row r="22">
      <c r="A22" s="0" t="inlineStr">
        <is>
          <t>Co</t>
        </is>
      </c>
      <c r="B22" s="0" t="inlineStr">
        <is>
          <t>Russia</t>
        </is>
      </c>
      <c r="C22" s="0" t="inlineStr">
        <is>
          <t>Russia</t>
        </is>
      </c>
      <c r="D22" s="0" t="n">
        <v>7.7</v>
      </c>
      <c r="E22" s="0" t="n">
        <v>800</v>
      </c>
      <c r="F22" s="0" t="inlineStr">
        <is>
          <t>USGS Mineral Commodity Summaries 2026; individual commodity chapters.</t>
        </is>
      </c>
      <c r="G22" s="0" t="inlineStr"/>
    </row>
    <row r="23">
      <c r="A23" s="0" t="inlineStr">
        <is>
          <t>Co</t>
        </is>
      </c>
      <c r="B23" s="0" t="inlineStr">
        <is>
          <t>Turkey</t>
        </is>
      </c>
      <c r="C23" s="0" t="inlineStr">
        <is>
          <t>Turkey</t>
        </is>
      </c>
      <c r="D23" s="0" t="n">
        <v>1.9</v>
      </c>
      <c r="E23" s="0" t="n">
        <v>91</v>
      </c>
      <c r="F23" s="0" t="inlineStr">
        <is>
          <t>USGS Mineral Commodity Summaries 2026; individual commodity chapters.</t>
        </is>
      </c>
      <c r="G23" s="0" t="inlineStr"/>
    </row>
    <row r="24">
      <c r="A24" s="0" t="inlineStr">
        <is>
          <t>Co</t>
        </is>
      </c>
      <c r="B24" s="0" t="inlineStr">
        <is>
          <t>Other countries</t>
        </is>
      </c>
      <c r="C24" s="0" t="inlineStr">
        <is>
          <t>ROW</t>
        </is>
      </c>
      <c r="D24" s="0" t="n">
        <v>9.1</v>
      </c>
      <c r="E24" s="0" t="n">
        <v>780</v>
      </c>
      <c r="F24" s="0" t="inlineStr">
        <is>
          <t>USGS Mineral Commodity Summaries 2026; individual commodity chapters.</t>
        </is>
      </c>
      <c r="G24" s="0" t="inlineStr"/>
    </row>
    <row r="25">
      <c r="A25" s="0" t="inlineStr">
        <is>
          <t>Mn</t>
        </is>
      </c>
      <c r="B25" s="0" t="inlineStr">
        <is>
          <t>United States</t>
        </is>
      </c>
      <c r="C25" s="0" t="inlineStr">
        <is>
          <t>NorthAm</t>
        </is>
      </c>
      <c r="D25" s="0" t="n">
        <v>0</v>
      </c>
      <c r="E25" s="0" t="n">
        <v>0</v>
      </c>
      <c r="F25" s="0" t="inlineStr">
        <is>
          <t>USGS Mineral Commodity Summaries 2026; individual commodity chapters.</t>
        </is>
      </c>
      <c r="G25" s="0" t="inlineStr"/>
    </row>
    <row r="26">
      <c r="A26" s="0" t="inlineStr">
        <is>
          <t>Mn</t>
        </is>
      </c>
      <c r="B26" s="0" t="inlineStr">
        <is>
          <t>Australia</t>
        </is>
      </c>
      <c r="C26" s="0" t="inlineStr">
        <is>
          <t>Australia</t>
        </is>
      </c>
      <c r="D26" s="0" t="n">
        <v>1600</v>
      </c>
      <c r="E26" s="0" t="n">
        <v>580000</v>
      </c>
      <c r="F26" s="0" t="inlineStr">
        <is>
          <t>USGS Mineral Commodity Summaries 2026; individual commodity chapters.</t>
        </is>
      </c>
      <c r="G26" s="0" t="inlineStr"/>
    </row>
    <row r="27">
      <c r="A27" s="0" t="inlineStr">
        <is>
          <t>Mn</t>
        </is>
      </c>
      <c r="B27" s="0" t="inlineStr">
        <is>
          <t>Brazil</t>
        </is>
      </c>
      <c r="C27" s="0" t="inlineStr">
        <is>
          <t>Brazil</t>
        </is>
      </c>
      <c r="D27" s="0" t="n">
        <v>800</v>
      </c>
      <c r="E27" s="0" t="n">
        <v>300000</v>
      </c>
      <c r="F27" s="0" t="inlineStr">
        <is>
          <t>USGS Mineral Commodity Summaries 2026; individual commodity chapters.</t>
        </is>
      </c>
      <c r="G27" s="0" t="inlineStr"/>
    </row>
    <row r="28">
      <c r="A28" s="0" t="inlineStr">
        <is>
          <t>Mn</t>
        </is>
      </c>
      <c r="B28" s="0" t="inlineStr">
        <is>
          <t>China</t>
        </is>
      </c>
      <c r="C28" s="0" t="inlineStr">
        <is>
          <t>China</t>
        </is>
      </c>
      <c r="D28" s="0" t="n">
        <v>700</v>
      </c>
      <c r="E28" s="0" t="n">
        <v>260000</v>
      </c>
      <c r="F28" s="0" t="inlineStr">
        <is>
          <t>USGS Mineral Commodity Summaries 2026; individual commodity chapters.</t>
        </is>
      </c>
      <c r="G28" s="0" t="inlineStr"/>
    </row>
    <row r="29">
      <c r="A29" s="0" t="inlineStr">
        <is>
          <t>Mn</t>
        </is>
      </c>
      <c r="B29" s="0" t="inlineStr">
        <is>
          <t>Côte d’Ivoire</t>
        </is>
      </c>
      <c r="C29" s="0" t="inlineStr">
        <is>
          <t>Africa_Other</t>
        </is>
      </c>
      <c r="D29" s="0" t="n">
        <v>350</v>
      </c>
      <c r="E29" s="0" t="n">
        <v>0</v>
      </c>
      <c r="F29" s="0" t="inlineStr">
        <is>
          <t>USGS Mineral Commodity Summaries 2026; individual commodity chapters.</t>
        </is>
      </c>
      <c r="G29" s="0" t="inlineStr"/>
    </row>
    <row r="30">
      <c r="A30" s="0" t="inlineStr">
        <is>
          <t>Mn</t>
        </is>
      </c>
      <c r="B30" s="0" t="inlineStr">
        <is>
          <t>Gabon</t>
        </is>
      </c>
      <c r="C30" s="0" t="inlineStr">
        <is>
          <t>Africa_Other</t>
        </is>
      </c>
      <c r="D30" s="0" t="n">
        <v>5000</v>
      </c>
      <c r="E30" s="0" t="n">
        <v>61000</v>
      </c>
      <c r="F30" s="0" t="inlineStr">
        <is>
          <t>USGS Mineral Commodity Summaries 2026; individual commodity chapters.</t>
        </is>
      </c>
      <c r="G30" s="0" t="inlineStr"/>
    </row>
    <row r="31">
      <c r="A31" s="0" t="inlineStr">
        <is>
          <t>Mn</t>
        </is>
      </c>
      <c r="B31" s="0" t="inlineStr">
        <is>
          <t>Ghana</t>
        </is>
      </c>
      <c r="C31" s="0" t="inlineStr">
        <is>
          <t>Africa_Other</t>
        </is>
      </c>
      <c r="D31" s="0" t="n">
        <v>2000</v>
      </c>
      <c r="E31" s="0" t="n">
        <v>13000</v>
      </c>
      <c r="F31" s="0" t="inlineStr">
        <is>
          <t>USGS Mineral Commodity Summaries 2026; individual commodity chapters.</t>
        </is>
      </c>
      <c r="G31" s="0" t="inlineStr"/>
    </row>
    <row r="32">
      <c r="A32" s="0" t="inlineStr">
        <is>
          <t>Mn</t>
        </is>
      </c>
      <c r="B32" s="0" t="inlineStr">
        <is>
          <t>India</t>
        </is>
      </c>
      <c r="C32" s="0" t="inlineStr">
        <is>
          <t>India</t>
        </is>
      </c>
      <c r="D32" s="0" t="n">
        <v>790</v>
      </c>
      <c r="E32" s="0" t="n">
        <v>34000</v>
      </c>
      <c r="F32" s="0" t="inlineStr">
        <is>
          <t>USGS Mineral Commodity Summaries 2026; individual commodity chapters.</t>
        </is>
      </c>
      <c r="G32" s="0" t="inlineStr"/>
    </row>
    <row r="33">
      <c r="A33" s="0" t="inlineStr">
        <is>
          <t>Mn</t>
        </is>
      </c>
      <c r="B33" s="0" t="inlineStr">
        <is>
          <t>South Africa</t>
        </is>
      </c>
      <c r="C33" s="0" t="inlineStr">
        <is>
          <t>SouthAfrica</t>
        </is>
      </c>
      <c r="D33" s="0" t="n">
        <v>7600</v>
      </c>
      <c r="E33" s="0" t="n">
        <v>550000</v>
      </c>
      <c r="F33" s="0" t="inlineStr">
        <is>
          <t>USGS Mineral Commodity Summaries 2026; individual commodity chapters.</t>
        </is>
      </c>
      <c r="G33" s="0" t="inlineStr"/>
    </row>
    <row r="34">
      <c r="A34" s="0" t="inlineStr">
        <is>
          <t>Mn</t>
        </is>
      </c>
      <c r="B34" s="0" t="inlineStr">
        <is>
          <t>Other countries</t>
        </is>
      </c>
      <c r="C34" s="0" t="inlineStr">
        <is>
          <t>ROW</t>
        </is>
      </c>
      <c r="D34" s="0" t="n">
        <v>1300</v>
      </c>
      <c r="E34" s="0" t="n">
        <v>2000</v>
      </c>
      <c r="F34" s="0" t="inlineStr">
        <is>
          <t>USGS Mineral Commodity Summaries 2026; individual commodity chapters.</t>
        </is>
      </c>
      <c r="G34" s="0" t="inlineStr"/>
    </row>
    <row r="35">
      <c r="A35" s="0" t="inlineStr">
        <is>
          <t>Cu</t>
        </is>
      </c>
      <c r="B35" s="0" t="inlineStr">
        <is>
          <t>United States</t>
        </is>
      </c>
      <c r="C35" s="0" t="inlineStr">
        <is>
          <t>NorthAm</t>
        </is>
      </c>
      <c r="D35" s="0" t="n">
        <v>1000</v>
      </c>
      <c r="E35" s="0" t="n">
        <v>47000</v>
      </c>
      <c r="F35" s="0" t="inlineStr">
        <is>
          <t>USGS Mineral Commodity Summaries 2026; individual commodity chapters.</t>
        </is>
      </c>
      <c r="G35" s="0" t="inlineStr"/>
    </row>
    <row r="36">
      <c r="A36" s="0" t="inlineStr">
        <is>
          <t>Cu</t>
        </is>
      </c>
      <c r="B36" s="0" t="inlineStr">
        <is>
          <t>Australia</t>
        </is>
      </c>
      <c r="C36" s="0" t="inlineStr">
        <is>
          <t>Australia</t>
        </is>
      </c>
      <c r="D36" s="0" t="n">
        <v>730</v>
      </c>
      <c r="E36" s="0" t="n">
        <v>100000</v>
      </c>
      <c r="F36" s="0" t="inlineStr">
        <is>
          <t>USGS Mineral Commodity Summaries 2026; individual commodity chapters.</t>
        </is>
      </c>
      <c r="G36" s="0" t="inlineStr"/>
    </row>
    <row r="37">
      <c r="A37" s="0" t="inlineStr">
        <is>
          <t>Cu</t>
        </is>
      </c>
      <c r="B37" s="0" t="inlineStr">
        <is>
          <t>Canada</t>
        </is>
      </c>
      <c r="C37" s="0" t="inlineStr">
        <is>
          <t>NorthAm</t>
        </is>
      </c>
      <c r="D37" s="0" t="n">
        <v>500</v>
      </c>
      <c r="E37" s="0" t="n">
        <v>7000</v>
      </c>
      <c r="F37" s="0" t="inlineStr">
        <is>
          <t>USGS Mineral Commodity Summaries 2026; individual commodity chapters.</t>
        </is>
      </c>
      <c r="G37" s="0" t="inlineStr"/>
    </row>
    <row r="38">
      <c r="A38" s="0" t="inlineStr">
        <is>
          <t>Cu</t>
        </is>
      </c>
      <c r="B38" s="0" t="inlineStr">
        <is>
          <t>Chile</t>
        </is>
      </c>
      <c r="C38" s="0" t="inlineStr">
        <is>
          <t>LatAm</t>
        </is>
      </c>
      <c r="D38" s="0" t="n">
        <v>5300</v>
      </c>
      <c r="E38" s="0" t="n">
        <v>180000</v>
      </c>
      <c r="F38" s="0" t="inlineStr">
        <is>
          <t>USGS Mineral Commodity Summaries 2026; individual commodity chapters.</t>
        </is>
      </c>
      <c r="G38" s="0" t="inlineStr"/>
    </row>
    <row r="39">
      <c r="A39" s="0" t="inlineStr">
        <is>
          <t>Cu</t>
        </is>
      </c>
      <c r="B39" s="0" t="inlineStr">
        <is>
          <t>China</t>
        </is>
      </c>
      <c r="C39" s="0" t="inlineStr">
        <is>
          <t>China</t>
        </is>
      </c>
      <c r="D39" s="0" t="n">
        <v>1800</v>
      </c>
      <c r="E39" s="0" t="n">
        <v>41000</v>
      </c>
      <c r="F39" s="0" t="inlineStr">
        <is>
          <t>USGS Mineral Commodity Summaries 2026; individual commodity chapters.</t>
        </is>
      </c>
      <c r="G39" s="0" t="inlineStr"/>
    </row>
    <row r="40">
      <c r="A40" s="0" t="inlineStr">
        <is>
          <t>Cu</t>
        </is>
      </c>
      <c r="B40" s="0" t="inlineStr">
        <is>
          <t>Congo (Kinshasa)</t>
        </is>
      </c>
      <c r="C40" s="0" t="inlineStr">
        <is>
          <t>Africa_Other</t>
        </is>
      </c>
      <c r="D40" s="0" t="n">
        <v>3200</v>
      </c>
      <c r="E40" s="0" t="n">
        <v>80000</v>
      </c>
      <c r="F40" s="0" t="inlineStr">
        <is>
          <t>USGS Mineral Commodity Summaries 2026; individual commodity chapters.</t>
        </is>
      </c>
      <c r="G40" s="0" t="inlineStr"/>
    </row>
    <row r="41">
      <c r="A41" s="0" t="inlineStr">
        <is>
          <t>Cu</t>
        </is>
      </c>
      <c r="B41" s="0" t="inlineStr">
        <is>
          <t>Germany</t>
        </is>
      </c>
      <c r="C41" s="0" t="inlineStr">
        <is>
          <t>Germany</t>
        </is>
      </c>
      <c r="D41" s="0" t="n">
        <v>0</v>
      </c>
      <c r="E41" s="0" t="n">
        <v>0</v>
      </c>
      <c r="F41" s="0" t="inlineStr">
        <is>
          <t>USGS Mineral Commodity Summaries 2026; individual commodity chapters.</t>
        </is>
      </c>
      <c r="G41" s="0" t="inlineStr"/>
    </row>
    <row r="42">
      <c r="A42" s="0" t="inlineStr">
        <is>
          <t>Cu</t>
        </is>
      </c>
      <c r="B42" s="0" t="inlineStr">
        <is>
          <t>India</t>
        </is>
      </c>
      <c r="C42" s="0" t="inlineStr">
        <is>
          <t>India</t>
        </is>
      </c>
      <c r="D42" s="0" t="n">
        <v>23</v>
      </c>
      <c r="E42" s="0" t="n">
        <v>2200</v>
      </c>
      <c r="F42" s="0" t="inlineStr">
        <is>
          <t>USGS Mineral Commodity Summaries 2026; individual commodity chapters.</t>
        </is>
      </c>
      <c r="G42" s="0" t="inlineStr"/>
    </row>
    <row r="43">
      <c r="A43" s="0" t="inlineStr">
        <is>
          <t>Cu</t>
        </is>
      </c>
      <c r="B43" s="0" t="inlineStr">
        <is>
          <t>Indonesia</t>
        </is>
      </c>
      <c r="C43" s="0" t="inlineStr">
        <is>
          <t>ROW</t>
        </is>
      </c>
      <c r="D43" s="0" t="n">
        <v>710</v>
      </c>
      <c r="E43" s="0" t="n">
        <v>21000</v>
      </c>
      <c r="F43" s="0" t="inlineStr">
        <is>
          <t>USGS Mineral Commodity Summaries 2026; individual commodity chapters.</t>
        </is>
      </c>
      <c r="G43" s="0" t="inlineStr"/>
    </row>
    <row r="44">
      <c r="A44" s="0" t="inlineStr">
        <is>
          <t>Cu</t>
        </is>
      </c>
      <c r="B44" s="0" t="inlineStr">
        <is>
          <t>Japan</t>
        </is>
      </c>
      <c r="C44" s="0" t="inlineStr">
        <is>
          <t>Japan</t>
        </is>
      </c>
      <c r="D44" s="0" t="n">
        <v>0</v>
      </c>
      <c r="E44" s="0" t="n">
        <v>0</v>
      </c>
      <c r="F44" s="0" t="inlineStr">
        <is>
          <t>USGS Mineral Commodity Summaries 2026; individual commodity chapters.</t>
        </is>
      </c>
      <c r="G44" s="0" t="inlineStr"/>
    </row>
    <row r="45">
      <c r="A45" s="0" t="inlineStr">
        <is>
          <t>Cu</t>
        </is>
      </c>
      <c r="B45" s="0" t="inlineStr">
        <is>
          <t>Kazakhstan</t>
        </is>
      </c>
      <c r="C45" s="0" t="inlineStr">
        <is>
          <t>ROW</t>
        </is>
      </c>
      <c r="D45" s="0" t="n">
        <v>710</v>
      </c>
      <c r="E45" s="0" t="n">
        <v>20000</v>
      </c>
      <c r="F45" s="0" t="inlineStr">
        <is>
          <t>USGS Mineral Commodity Summaries 2026; individual commodity chapters.</t>
        </is>
      </c>
      <c r="G45" s="0" t="inlineStr"/>
    </row>
    <row r="46">
      <c r="A46" s="0" t="inlineStr">
        <is>
          <t>Cu</t>
        </is>
      </c>
      <c r="B46" s="0" t="inlineStr">
        <is>
          <t>Korea, Republic of</t>
        </is>
      </c>
      <c r="C46" s="0" t="inlineStr">
        <is>
          <t>ROW</t>
        </is>
      </c>
      <c r="D46" s="0" t="n">
        <v>0</v>
      </c>
      <c r="E46" s="0" t="n">
        <v>0</v>
      </c>
      <c r="F46" s="0" t="inlineStr">
        <is>
          <t>USGS Mineral Commodity Summaries 2026; individual commodity chapters.</t>
        </is>
      </c>
      <c r="G46" s="0" t="inlineStr"/>
    </row>
    <row r="47">
      <c r="A47" s="0" t="inlineStr">
        <is>
          <t>Cu</t>
        </is>
      </c>
      <c r="B47" s="0" t="inlineStr">
        <is>
          <t>Mexico</t>
        </is>
      </c>
      <c r="C47" s="0" t="inlineStr">
        <is>
          <t>NorthAm</t>
        </is>
      </c>
      <c r="D47" s="0" t="n">
        <v>690</v>
      </c>
      <c r="E47" s="0" t="n">
        <v>53000</v>
      </c>
      <c r="F47" s="0" t="inlineStr">
        <is>
          <t>USGS Mineral Commodity Summaries 2026; individual commodity chapters.</t>
        </is>
      </c>
      <c r="G47" s="0" t="inlineStr"/>
    </row>
    <row r="48">
      <c r="A48" s="0" t="inlineStr">
        <is>
          <t>Cu</t>
        </is>
      </c>
      <c r="B48" s="0" t="inlineStr">
        <is>
          <t>Peru</t>
        </is>
      </c>
      <c r="C48" s="0" t="inlineStr">
        <is>
          <t>LatAm</t>
        </is>
      </c>
      <c r="D48" s="0" t="n">
        <v>2700</v>
      </c>
      <c r="E48" s="0" t="n">
        <v>85000</v>
      </c>
      <c r="F48" s="0" t="inlineStr">
        <is>
          <t>USGS Mineral Commodity Summaries 2026; individual commodity chapters.</t>
        </is>
      </c>
      <c r="G48" s="0" t="inlineStr"/>
    </row>
    <row r="49">
      <c r="A49" s="0" t="inlineStr">
        <is>
          <t>Cu</t>
        </is>
      </c>
      <c r="B49" s="0" t="inlineStr">
        <is>
          <t>Poland</t>
        </is>
      </c>
      <c r="C49" s="0" t="inlineStr">
        <is>
          <t>Poland</t>
        </is>
      </c>
      <c r="D49" s="0" t="n">
        <v>410</v>
      </c>
      <c r="E49" s="0" t="n">
        <v>33000</v>
      </c>
      <c r="F49" s="0" t="inlineStr">
        <is>
          <t>USGS Mineral Commodity Summaries 2026; individual commodity chapters.</t>
        </is>
      </c>
      <c r="G49" s="0" t="inlineStr"/>
    </row>
    <row r="50">
      <c r="A50" s="0" t="inlineStr">
        <is>
          <t>Cu</t>
        </is>
      </c>
      <c r="B50" s="0" t="inlineStr">
        <is>
          <t>Russia</t>
        </is>
      </c>
      <c r="C50" s="0" t="inlineStr">
        <is>
          <t>Russia</t>
        </is>
      </c>
      <c r="D50" s="0" t="n">
        <v>1300</v>
      </c>
      <c r="E50" s="0" t="n">
        <v>80000</v>
      </c>
      <c r="F50" s="0" t="inlineStr">
        <is>
          <t>USGS Mineral Commodity Summaries 2026; individual commodity chapters.</t>
        </is>
      </c>
      <c r="G50" s="0" t="inlineStr"/>
    </row>
    <row r="51">
      <c r="A51" s="0" t="inlineStr">
        <is>
          <t>Cu</t>
        </is>
      </c>
      <c r="B51" s="0" t="inlineStr">
        <is>
          <t>Zambia</t>
        </is>
      </c>
      <c r="C51" s="0" t="inlineStr">
        <is>
          <t>Africa_Other</t>
        </is>
      </c>
      <c r="D51" s="0" t="n">
        <v>940</v>
      </c>
      <c r="E51" s="0" t="n">
        <v>21000</v>
      </c>
      <c r="F51" s="0" t="inlineStr">
        <is>
          <t>USGS Mineral Commodity Summaries 2026; individual commodity chapters.</t>
        </is>
      </c>
      <c r="G51" s="0" t="inlineStr"/>
    </row>
    <row r="52">
      <c r="A52" s="0" t="inlineStr">
        <is>
          <t>Cu</t>
        </is>
      </c>
      <c r="B52" s="0" t="inlineStr">
        <is>
          <t>Other countries</t>
        </is>
      </c>
      <c r="C52" s="0" t="inlineStr">
        <is>
          <t>ROW</t>
        </is>
      </c>
      <c r="D52" s="0" t="n">
        <v>3000</v>
      </c>
      <c r="E52" s="0" t="n">
        <v>210000</v>
      </c>
      <c r="F52" s="0" t="inlineStr">
        <is>
          <t>USGS Mineral Commodity Summaries 2026; individual commodity chapters.</t>
        </is>
      </c>
      <c r="G52" s="0" t="inlineStr"/>
    </row>
    <row r="53">
      <c r="A53" s="0" t="inlineStr">
        <is>
          <t>Gr</t>
        </is>
      </c>
      <c r="B53" s="0" t="inlineStr">
        <is>
          <t>United States</t>
        </is>
      </c>
      <c r="C53" s="0" t="inlineStr">
        <is>
          <t>NorthAm</t>
        </is>
      </c>
      <c r="D53" s="0" t="n">
        <v>0</v>
      </c>
      <c r="E53" s="0" t="n">
        <v>0</v>
      </c>
      <c r="F53" s="0" t="inlineStr">
        <is>
          <t>USGS Mineral Commodity Summaries 2026; individual commodity chapters.</t>
        </is>
      </c>
      <c r="G53" s="0" t="inlineStr"/>
    </row>
    <row r="54">
      <c r="A54" s="0" t="inlineStr">
        <is>
          <t>Gr</t>
        </is>
      </c>
      <c r="B54" s="0" t="inlineStr">
        <is>
          <t>Austria</t>
        </is>
      </c>
      <c r="C54" s="0" t="inlineStr">
        <is>
          <t>Austria</t>
        </is>
      </c>
      <c r="D54" s="0" t="n">
        <v>0.2</v>
      </c>
      <c r="E54" s="0" t="n">
        <v>0</v>
      </c>
      <c r="F54" s="0" t="inlineStr">
        <is>
          <t>USGS Mineral Commodity Summaries 2026; individual commodity chapters.</t>
        </is>
      </c>
      <c r="G54" s="0" t="inlineStr"/>
    </row>
    <row r="55">
      <c r="A55" s="0" t="inlineStr">
        <is>
          <t>Gr</t>
        </is>
      </c>
      <c r="B55" s="0" t="inlineStr">
        <is>
          <t>Brazil</t>
        </is>
      </c>
      <c r="C55" s="0" t="inlineStr">
        <is>
          <t>Brazil</t>
        </is>
      </c>
      <c r="D55" s="0" t="n">
        <v>65</v>
      </c>
      <c r="E55" s="0" t="n">
        <v>74000</v>
      </c>
      <c r="F55" s="0" t="inlineStr">
        <is>
          <t>USGS Mineral Commodity Summaries 2026; individual commodity chapters.</t>
        </is>
      </c>
      <c r="G55" s="0" t="inlineStr"/>
    </row>
    <row r="56">
      <c r="A56" s="0" t="inlineStr">
        <is>
          <t>Gr</t>
        </is>
      </c>
      <c r="B56" s="0" t="inlineStr">
        <is>
          <t>Canada</t>
        </is>
      </c>
      <c r="C56" s="0" t="inlineStr">
        <is>
          <t>NorthAm</t>
        </is>
      </c>
      <c r="D56" s="0" t="n">
        <v>8</v>
      </c>
      <c r="E56" s="0" t="n">
        <v>5900</v>
      </c>
      <c r="F56" s="0" t="inlineStr">
        <is>
          <t>USGS Mineral Commodity Summaries 2026; individual commodity chapters.</t>
        </is>
      </c>
      <c r="G56" s="0" t="inlineStr"/>
    </row>
    <row r="57">
      <c r="A57" s="0" t="inlineStr">
        <is>
          <t>Gr</t>
        </is>
      </c>
      <c r="B57" s="0" t="inlineStr">
        <is>
          <t>China</t>
        </is>
      </c>
      <c r="C57" s="0" t="inlineStr">
        <is>
          <t>China</t>
        </is>
      </c>
      <c r="D57" s="0" t="n">
        <v>1400</v>
      </c>
      <c r="E57" s="0" t="n">
        <v>100000</v>
      </c>
      <c r="F57" s="0" t="inlineStr">
        <is>
          <t>USGS Mineral Commodity Summaries 2026; individual commodity chapters.</t>
        </is>
      </c>
      <c r="G57" s="0" t="inlineStr"/>
    </row>
    <row r="58">
      <c r="A58" s="0" t="inlineStr">
        <is>
          <t>Gr</t>
        </is>
      </c>
      <c r="B58" s="0" t="inlineStr">
        <is>
          <t>Germany</t>
        </is>
      </c>
      <c r="C58" s="0" t="inlineStr">
        <is>
          <t>Germany</t>
        </is>
      </c>
      <c r="D58" s="0" t="n">
        <v>0.14</v>
      </c>
      <c r="E58" s="0" t="n">
        <v>0</v>
      </c>
      <c r="F58" s="0" t="inlineStr">
        <is>
          <t>USGS Mineral Commodity Summaries 2026; individual commodity chapters.</t>
        </is>
      </c>
      <c r="G58" s="0" t="inlineStr"/>
    </row>
    <row r="59">
      <c r="A59" s="0" t="inlineStr">
        <is>
          <t>Gr</t>
        </is>
      </c>
      <c r="B59" s="0" t="inlineStr">
        <is>
          <t>India</t>
        </is>
      </c>
      <c r="C59" s="0" t="inlineStr">
        <is>
          <t>India</t>
        </is>
      </c>
      <c r="D59" s="0" t="n">
        <v>17</v>
      </c>
      <c r="E59" s="0" t="n">
        <v>8600</v>
      </c>
      <c r="F59" s="0" t="inlineStr">
        <is>
          <t>USGS Mineral Commodity Summaries 2026; individual commodity chapters.</t>
        </is>
      </c>
      <c r="G59" s="0" t="inlineStr"/>
    </row>
    <row r="60">
      <c r="A60" s="0" t="inlineStr">
        <is>
          <t>Gr</t>
        </is>
      </c>
      <c r="B60" s="0" t="inlineStr">
        <is>
          <t>Korea, North</t>
        </is>
      </c>
      <c r="C60" s="0" t="inlineStr">
        <is>
          <t>ROW</t>
        </is>
      </c>
      <c r="D60" s="0" t="n">
        <v>8</v>
      </c>
      <c r="E60" s="0" t="n">
        <v>2000</v>
      </c>
      <c r="F60" s="0" t="inlineStr">
        <is>
          <t>USGS Mineral Commodity Summaries 2026; individual commodity chapters.</t>
        </is>
      </c>
      <c r="G60" s="0" t="inlineStr"/>
    </row>
    <row r="61">
      <c r="A61" s="0" t="inlineStr">
        <is>
          <t>Gr</t>
        </is>
      </c>
      <c r="B61" s="0" t="inlineStr">
        <is>
          <t>Korea, Republic of</t>
        </is>
      </c>
      <c r="C61" s="0" t="inlineStr">
        <is>
          <t>ROW</t>
        </is>
      </c>
      <c r="D61" s="0" t="n">
        <v>0.5</v>
      </c>
      <c r="E61" s="0" t="n">
        <v>1800</v>
      </c>
      <c r="F61" s="0" t="inlineStr">
        <is>
          <t>USGS Mineral Commodity Summaries 2026; individual commodity chapters.</t>
        </is>
      </c>
      <c r="G61" s="0" t="inlineStr"/>
    </row>
    <row r="62">
      <c r="A62" s="0" t="inlineStr">
        <is>
          <t>Gr</t>
        </is>
      </c>
      <c r="B62" s="0" t="inlineStr">
        <is>
          <t>Madagascar</t>
        </is>
      </c>
      <c r="C62" s="0" t="inlineStr">
        <is>
          <t>Africa_Other</t>
        </is>
      </c>
      <c r="D62" s="0" t="n">
        <v>80</v>
      </c>
      <c r="E62" s="0" t="n">
        <v>27000</v>
      </c>
      <c r="F62" s="0" t="inlineStr">
        <is>
          <t>USGS Mineral Commodity Summaries 2026; individual commodity chapters.</t>
        </is>
      </c>
      <c r="G62" s="0" t="inlineStr"/>
    </row>
    <row r="63">
      <c r="A63" s="0" t="inlineStr">
        <is>
          <t>Gr</t>
        </is>
      </c>
      <c r="B63" s="0" t="inlineStr">
        <is>
          <t>Mexico</t>
        </is>
      </c>
      <c r="C63" s="0" t="inlineStr">
        <is>
          <t>NorthAm</t>
        </is>
      </c>
      <c r="D63" s="0" t="n">
        <v>0.74</v>
      </c>
      <c r="E63" s="0" t="n">
        <v>3100</v>
      </c>
      <c r="F63" s="0" t="inlineStr">
        <is>
          <t>USGS Mineral Commodity Summaries 2026; individual commodity chapters.</t>
        </is>
      </c>
      <c r="G63" s="0" t="inlineStr"/>
    </row>
    <row r="64">
      <c r="A64" s="0" t="inlineStr">
        <is>
          <t>Gr</t>
        </is>
      </c>
      <c r="B64" s="0" t="inlineStr">
        <is>
          <t>Mozambique</t>
        </is>
      </c>
      <c r="C64" s="0" t="inlineStr">
        <is>
          <t>Africa_Other</t>
        </is>
      </c>
      <c r="D64" s="0" t="n">
        <v>60</v>
      </c>
      <c r="E64" s="0" t="n">
        <v>25000</v>
      </c>
      <c r="F64" s="0" t="inlineStr">
        <is>
          <t>USGS Mineral Commodity Summaries 2026; individual commodity chapters.</t>
        </is>
      </c>
      <c r="G64" s="0" t="inlineStr"/>
    </row>
    <row r="65">
      <c r="A65" s="0" t="inlineStr">
        <is>
          <t>Gr</t>
        </is>
      </c>
      <c r="B65" s="0" t="inlineStr">
        <is>
          <t>Norway</t>
        </is>
      </c>
      <c r="C65" s="0" t="inlineStr">
        <is>
          <t>Norway</t>
        </is>
      </c>
      <c r="D65" s="0" t="n">
        <v>6.6</v>
      </c>
      <c r="E65" s="0" t="n">
        <v>600</v>
      </c>
      <c r="F65" s="0" t="inlineStr">
        <is>
          <t>USGS Mineral Commodity Summaries 2026; individual commodity chapters.</t>
        </is>
      </c>
      <c r="G65" s="0" t="inlineStr"/>
    </row>
    <row r="66">
      <c r="A66" s="0" t="inlineStr">
        <is>
          <t>Gr</t>
        </is>
      </c>
      <c r="B66" s="0" t="inlineStr">
        <is>
          <t>Russia</t>
        </is>
      </c>
      <c r="C66" s="0" t="inlineStr">
        <is>
          <t>Russia</t>
        </is>
      </c>
      <c r="D66" s="0" t="n">
        <v>25</v>
      </c>
      <c r="E66" s="0" t="n">
        <v>14000</v>
      </c>
      <c r="F66" s="0" t="inlineStr">
        <is>
          <t>USGS Mineral Commodity Summaries 2026; individual commodity chapters.</t>
        </is>
      </c>
      <c r="G66" s="0" t="inlineStr"/>
    </row>
    <row r="67">
      <c r="A67" s="0" t="inlineStr">
        <is>
          <t>Gr</t>
        </is>
      </c>
      <c r="B67" s="0" t="inlineStr">
        <is>
          <t>Sri Lanka</t>
        </is>
      </c>
      <c r="C67" s="0" t="inlineStr">
        <is>
          <t>ROW</t>
        </is>
      </c>
      <c r="D67" s="0" t="n">
        <v>3.2</v>
      </c>
      <c r="E67" s="0" t="n">
        <v>1500</v>
      </c>
      <c r="F67" s="0" t="inlineStr">
        <is>
          <t>USGS Mineral Commodity Summaries 2026; individual commodity chapters.</t>
        </is>
      </c>
      <c r="G67" s="0" t="inlineStr"/>
    </row>
    <row r="68">
      <c r="A68" s="0" t="inlineStr">
        <is>
          <t>Gr</t>
        </is>
      </c>
      <c r="B68" s="0" t="inlineStr">
        <is>
          <t>Tanzania</t>
        </is>
      </c>
      <c r="C68" s="0" t="inlineStr">
        <is>
          <t>Africa_Other</t>
        </is>
      </c>
      <c r="D68" s="0" t="n">
        <v>75</v>
      </c>
      <c r="E68" s="0" t="n">
        <v>18000</v>
      </c>
      <c r="F68" s="0" t="inlineStr">
        <is>
          <t>USGS Mineral Commodity Summaries 2026; individual commodity chapters.</t>
        </is>
      </c>
      <c r="G68" s="0" t="inlineStr"/>
    </row>
    <row r="69">
      <c r="A69" s="0" t="inlineStr">
        <is>
          <t>Gr</t>
        </is>
      </c>
      <c r="B69" s="0" t="inlineStr">
        <is>
          <t>Turkey</t>
        </is>
      </c>
      <c r="C69" s="0" t="inlineStr">
        <is>
          <t>Turkey</t>
        </is>
      </c>
      <c r="D69" s="0" t="n">
        <v>2.2</v>
      </c>
      <c r="E69" s="0" t="n">
        <v>6900</v>
      </c>
      <c r="F69" s="0" t="inlineStr">
        <is>
          <t>USGS Mineral Commodity Summaries 2026; individual commodity chapters.</t>
        </is>
      </c>
      <c r="G69" s="0" t="inlineStr"/>
    </row>
    <row r="70">
      <c r="A70" s="0" t="inlineStr">
        <is>
          <t>Gr</t>
        </is>
      </c>
      <c r="B70" s="0" t="inlineStr">
        <is>
          <t>Ukraine</t>
        </is>
      </c>
      <c r="C70" s="0" t="inlineStr">
        <is>
          <t>Ukraine</t>
        </is>
      </c>
      <c r="D70" s="0" t="n">
        <v>0.8</v>
      </c>
      <c r="E70" s="0" t="n">
        <v>0</v>
      </c>
      <c r="F70" s="0" t="inlineStr">
        <is>
          <t>USGS Mineral Commodity Summaries 2026; individual commodity chapters.</t>
        </is>
      </c>
      <c r="G70" s="0" t="inlineStr"/>
    </row>
    <row r="71">
      <c r="A71" s="0" t="inlineStr">
        <is>
          <t>Gr</t>
        </is>
      </c>
      <c r="B71" s="0" t="inlineStr">
        <is>
          <t>Vietnam</t>
        </is>
      </c>
      <c r="C71" s="0" t="inlineStr">
        <is>
          <t>ROW</t>
        </is>
      </c>
      <c r="D71" s="0" t="n">
        <v>0.5</v>
      </c>
      <c r="E71" s="0" t="n">
        <v>9700</v>
      </c>
      <c r="F71" s="0" t="inlineStr">
        <is>
          <t>USGS Mineral Commodity Summaries 2026; individual commodity chapters.</t>
        </is>
      </c>
      <c r="G71" s="0" t="inlineStr"/>
    </row>
    <row r="72">
      <c r="A72" s="0" t="inlineStr">
        <is>
          <t>Al</t>
        </is>
      </c>
      <c r="B72" s="0" t="inlineStr">
        <is>
          <t>United States</t>
        </is>
      </c>
      <c r="C72" s="0" t="inlineStr">
        <is>
          <t>NorthAm</t>
        </is>
      </c>
      <c r="D72" s="0" t="n">
        <v>660</v>
      </c>
      <c r="E72" s="0" t="n">
        <v>5000</v>
      </c>
      <c r="F72" s="0" t="inlineStr">
        <is>
          <t>USGS Mineral Commodity Summaries 2026; individual commodity chapters.</t>
        </is>
      </c>
      <c r="G72" s="0" t="inlineStr">
        <is>
          <t>Production is primary Al smelter; reserves are bauxite/4.</t>
        </is>
      </c>
    </row>
    <row r="73">
      <c r="A73" s="0" t="inlineStr">
        <is>
          <t>Al</t>
        </is>
      </c>
      <c r="B73" s="0" t="inlineStr">
        <is>
          <t>Australia</t>
        </is>
      </c>
      <c r="C73" s="0" t="inlineStr">
        <is>
          <t>Australia</t>
        </is>
      </c>
      <c r="D73" s="0" t="n">
        <v>1500</v>
      </c>
      <c r="E73" s="0" t="n">
        <v>925000</v>
      </c>
      <c r="F73" s="0" t="inlineStr">
        <is>
          <t>USGS Mineral Commodity Summaries 2026; individual commodity chapters.</t>
        </is>
      </c>
      <c r="G73" s="0" t="inlineStr">
        <is>
          <t>Australia bauxite reserve is 3.7 billion t in USGS MCS 2026; converted using 4 t bauxite = 1 t Al.</t>
        </is>
      </c>
    </row>
    <row r="74">
      <c r="A74" s="0" t="inlineStr">
        <is>
          <t>Al</t>
        </is>
      </c>
      <c r="B74" s="0" t="inlineStr">
        <is>
          <t>Bahrain</t>
        </is>
      </c>
      <c r="C74" s="0" t="inlineStr">
        <is>
          <t>MidEast</t>
        </is>
      </c>
      <c r="D74" s="0" t="n">
        <v>1600</v>
      </c>
      <c r="E74" s="0" t="n">
        <v>0</v>
      </c>
      <c r="F74" s="0" t="inlineStr">
        <is>
          <t>USGS Mineral Commodity Summaries 2026; individual commodity chapters.</t>
        </is>
      </c>
      <c r="G74" s="0" t="inlineStr"/>
    </row>
    <row r="75">
      <c r="A75" s="0" t="inlineStr">
        <is>
          <t>Al</t>
        </is>
      </c>
      <c r="B75" s="0" t="inlineStr">
        <is>
          <t>Brazil</t>
        </is>
      </c>
      <c r="C75" s="0" t="inlineStr">
        <is>
          <t>Brazil</t>
        </is>
      </c>
      <c r="D75" s="0" t="n">
        <v>1200</v>
      </c>
      <c r="E75" s="0" t="n">
        <v>425000</v>
      </c>
      <c r="F75" s="0" t="inlineStr">
        <is>
          <t>USGS Mineral Commodity Summaries 2026; individual commodity chapters.</t>
        </is>
      </c>
      <c r="G75" s="0" t="inlineStr"/>
    </row>
    <row r="76">
      <c r="A76" s="0" t="inlineStr">
        <is>
          <t>Al</t>
        </is>
      </c>
      <c r="B76" s="0" t="inlineStr">
        <is>
          <t>Canada</t>
        </is>
      </c>
      <c r="C76" s="0" t="inlineStr">
        <is>
          <t>NorthAm</t>
        </is>
      </c>
      <c r="D76" s="0" t="n">
        <v>3300</v>
      </c>
      <c r="E76" s="0" t="n">
        <v>0</v>
      </c>
      <c r="F76" s="0" t="inlineStr">
        <is>
          <t>USGS Mineral Commodity Summaries 2026; individual commodity chapters.</t>
        </is>
      </c>
      <c r="G76" s="0" t="inlineStr"/>
    </row>
    <row r="77">
      <c r="A77" s="0" t="inlineStr">
        <is>
          <t>Al</t>
        </is>
      </c>
      <c r="B77" s="0" t="inlineStr">
        <is>
          <t>China</t>
        </is>
      </c>
      <c r="C77" s="0" t="inlineStr">
        <is>
          <t>China</t>
        </is>
      </c>
      <c r="D77" s="0" t="n">
        <v>45000</v>
      </c>
      <c r="E77" s="0" t="n">
        <v>177500</v>
      </c>
      <c r="F77" s="0" t="inlineStr">
        <is>
          <t>USGS Mineral Commodity Summaries 2026; individual commodity chapters.</t>
        </is>
      </c>
      <c r="G77" s="0" t="inlineStr"/>
    </row>
    <row r="78">
      <c r="A78" s="0" t="inlineStr">
        <is>
          <t>Al</t>
        </is>
      </c>
      <c r="B78" s="0" t="inlineStr">
        <is>
          <t>Greece</t>
        </is>
      </c>
      <c r="C78" s="0" t="inlineStr">
        <is>
          <t>GreeceCyp</t>
        </is>
      </c>
      <c r="D78" s="0" t="n">
        <v>0</v>
      </c>
      <c r="E78" s="0" t="n">
        <v>0</v>
      </c>
      <c r="F78" s="0" t="inlineStr">
        <is>
          <t>USGS Mineral Commodity Summaries 2026; individual commodity chapters.</t>
        </is>
      </c>
      <c r="G78" s="0" t="inlineStr"/>
    </row>
    <row r="79">
      <c r="A79" s="0" t="inlineStr">
        <is>
          <t>Al</t>
        </is>
      </c>
      <c r="B79" s="0" t="inlineStr">
        <is>
          <t>Guinea</t>
        </is>
      </c>
      <c r="C79" s="0" t="inlineStr">
        <is>
          <t>Africa_Other</t>
        </is>
      </c>
      <c r="D79" s="0" t="n">
        <v>0</v>
      </c>
      <c r="E79" s="0" t="n">
        <v>1850000</v>
      </c>
      <c r="F79" s="0" t="inlineStr">
        <is>
          <t>USGS Mineral Commodity Summaries 2026; individual commodity chapters.</t>
        </is>
      </c>
      <c r="G79" s="0" t="inlineStr"/>
    </row>
    <row r="80">
      <c r="A80" s="0" t="inlineStr">
        <is>
          <t>Al</t>
        </is>
      </c>
      <c r="B80" s="0" t="inlineStr">
        <is>
          <t>Iceland</t>
        </is>
      </c>
      <c r="C80" s="0" t="inlineStr">
        <is>
          <t>Iceland</t>
        </is>
      </c>
      <c r="D80" s="0" t="n">
        <v>750</v>
      </c>
      <c r="E80" s="0" t="n">
        <v>0</v>
      </c>
      <c r="F80" s="0" t="inlineStr">
        <is>
          <t>USGS Mineral Commodity Summaries 2026; individual commodity chapters.</t>
        </is>
      </c>
      <c r="G80" s="0" t="inlineStr"/>
    </row>
    <row r="81">
      <c r="A81" s="0" t="inlineStr">
        <is>
          <t>Al</t>
        </is>
      </c>
      <c r="B81" s="0" t="inlineStr">
        <is>
          <t>India</t>
        </is>
      </c>
      <c r="C81" s="0" t="inlineStr">
        <is>
          <t>India</t>
        </is>
      </c>
      <c r="D81" s="0" t="n">
        <v>4200</v>
      </c>
      <c r="E81" s="0" t="n">
        <v>162500</v>
      </c>
      <c r="F81" s="0" t="inlineStr">
        <is>
          <t>USGS Mineral Commodity Summaries 2026; individual commodity chapters.</t>
        </is>
      </c>
      <c r="G81" s="0" t="inlineStr"/>
    </row>
    <row r="82">
      <c r="A82" s="0" t="inlineStr">
        <is>
          <t>Al</t>
        </is>
      </c>
      <c r="B82" s="0" t="inlineStr">
        <is>
          <t>Indonesia</t>
        </is>
      </c>
      <c r="C82" s="0" t="inlineStr">
        <is>
          <t>ROW</t>
        </is>
      </c>
      <c r="D82" s="0" t="n">
        <v>0</v>
      </c>
      <c r="E82" s="0" t="n">
        <v>725000</v>
      </c>
      <c r="F82" s="0" t="inlineStr">
        <is>
          <t>USGS Mineral Commodity Summaries 2026; individual commodity chapters.</t>
        </is>
      </c>
      <c r="G82" s="0" t="inlineStr"/>
    </row>
    <row r="83">
      <c r="A83" s="0" t="inlineStr">
        <is>
          <t>Al</t>
        </is>
      </c>
      <c r="B83" s="0" t="inlineStr">
        <is>
          <t>Ireland</t>
        </is>
      </c>
      <c r="C83" s="0" t="inlineStr">
        <is>
          <t>Ireland</t>
        </is>
      </c>
      <c r="D83" s="0" t="n">
        <v>0</v>
      </c>
      <c r="E83" s="0" t="n">
        <v>0</v>
      </c>
      <c r="F83" s="0" t="inlineStr">
        <is>
          <t>USGS Mineral Commodity Summaries 2026; individual commodity chapters.</t>
        </is>
      </c>
      <c r="G83" s="0" t="inlineStr"/>
    </row>
    <row r="84">
      <c r="A84" s="0" t="inlineStr">
        <is>
          <t>Al</t>
        </is>
      </c>
      <c r="B84" s="0" t="inlineStr">
        <is>
          <t>Jamaica</t>
        </is>
      </c>
      <c r="C84" s="0" t="inlineStr">
        <is>
          <t>LatAm</t>
        </is>
      </c>
      <c r="D84" s="0" t="n">
        <v>0</v>
      </c>
      <c r="E84" s="0" t="n">
        <v>500000</v>
      </c>
      <c r="F84" s="0" t="inlineStr">
        <is>
          <t>USGS Mineral Commodity Summaries 2026; individual commodity chapters.</t>
        </is>
      </c>
      <c r="G84" s="0" t="inlineStr"/>
    </row>
    <row r="85">
      <c r="A85" s="0" t="inlineStr">
        <is>
          <t>Al</t>
        </is>
      </c>
      <c r="B85" s="0" t="inlineStr">
        <is>
          <t>Kazakhstan</t>
        </is>
      </c>
      <c r="C85" s="0" t="inlineStr">
        <is>
          <t>ROW</t>
        </is>
      </c>
      <c r="D85" s="0" t="n">
        <v>0</v>
      </c>
      <c r="E85" s="0" t="n">
        <v>40000</v>
      </c>
      <c r="F85" s="0" t="inlineStr">
        <is>
          <t>USGS Mineral Commodity Summaries 2026; individual commodity chapters.</t>
        </is>
      </c>
      <c r="G85" s="0" t="inlineStr"/>
    </row>
    <row r="86">
      <c r="A86" s="0" t="inlineStr">
        <is>
          <t>Al</t>
        </is>
      </c>
      <c r="B86" s="0" t="inlineStr">
        <is>
          <t>Malaysia</t>
        </is>
      </c>
      <c r="C86" s="0" t="inlineStr">
        <is>
          <t>ROW</t>
        </is>
      </c>
      <c r="D86" s="0" t="n">
        <v>1100</v>
      </c>
      <c r="E86" s="0" t="n">
        <v>0</v>
      </c>
      <c r="F86" s="0" t="inlineStr">
        <is>
          <t>USGS Mineral Commodity Summaries 2026; individual commodity chapters.</t>
        </is>
      </c>
      <c r="G86" s="0" t="inlineStr"/>
    </row>
    <row r="87">
      <c r="A87" s="0" t="inlineStr">
        <is>
          <t>Al</t>
        </is>
      </c>
      <c r="B87" s="0" t="inlineStr">
        <is>
          <t>Norway</t>
        </is>
      </c>
      <c r="C87" s="0" t="inlineStr">
        <is>
          <t>Norway</t>
        </is>
      </c>
      <c r="D87" s="0" t="n">
        <v>1300</v>
      </c>
      <c r="E87" s="0" t="n">
        <v>0</v>
      </c>
      <c r="F87" s="0" t="inlineStr">
        <is>
          <t>USGS Mineral Commodity Summaries 2026; individual commodity chapters.</t>
        </is>
      </c>
      <c r="G87" s="0" t="inlineStr"/>
    </row>
    <row r="88">
      <c r="A88" s="0" t="inlineStr">
        <is>
          <t>Al</t>
        </is>
      </c>
      <c r="B88" s="0" t="inlineStr">
        <is>
          <t>Russia</t>
        </is>
      </c>
      <c r="C88" s="0" t="inlineStr">
        <is>
          <t>Russia</t>
        </is>
      </c>
      <c r="D88" s="0" t="n">
        <v>3900</v>
      </c>
      <c r="E88" s="0" t="n">
        <v>162500</v>
      </c>
      <c r="F88" s="0" t="inlineStr">
        <is>
          <t>USGS Mineral Commodity Summaries 2026; individual commodity chapters.</t>
        </is>
      </c>
      <c r="G88" s="0" t="inlineStr"/>
    </row>
    <row r="89">
      <c r="A89" s="0" t="inlineStr">
        <is>
          <t>Al</t>
        </is>
      </c>
      <c r="B89" s="0" t="inlineStr">
        <is>
          <t>Saudi Arabia</t>
        </is>
      </c>
      <c r="C89" s="0" t="inlineStr">
        <is>
          <t>SaudiArabia</t>
        </is>
      </c>
      <c r="D89" s="0" t="n">
        <v>0</v>
      </c>
      <c r="E89" s="0" t="n">
        <v>45000</v>
      </c>
      <c r="F89" s="0" t="inlineStr">
        <is>
          <t>USGS Mineral Commodity Summaries 2026; individual commodity chapters.</t>
        </is>
      </c>
      <c r="G89" s="0" t="inlineStr"/>
    </row>
    <row r="90">
      <c r="A90" s="0" t="inlineStr">
        <is>
          <t>Al</t>
        </is>
      </c>
      <c r="B90" s="0" t="inlineStr">
        <is>
          <t>Spain</t>
        </is>
      </c>
      <c r="C90" s="0" t="inlineStr">
        <is>
          <t>SpainPor</t>
        </is>
      </c>
      <c r="D90" s="0" t="n">
        <v>0</v>
      </c>
      <c r="E90" s="0" t="n">
        <v>0</v>
      </c>
      <c r="F90" s="0" t="inlineStr">
        <is>
          <t>USGS Mineral Commodity Summaries 2026; individual commodity chapters.</t>
        </is>
      </c>
      <c r="G90" s="0" t="inlineStr"/>
    </row>
    <row r="91">
      <c r="A91" s="0" t="inlineStr">
        <is>
          <t>Al</t>
        </is>
      </c>
      <c r="B91" s="0" t="inlineStr">
        <is>
          <t>Turkey</t>
        </is>
      </c>
      <c r="C91" s="0" t="inlineStr">
        <is>
          <t>Turkey</t>
        </is>
      </c>
      <c r="D91" s="0" t="n">
        <v>0</v>
      </c>
      <c r="E91" s="0" t="n">
        <v>17250</v>
      </c>
      <c r="F91" s="0" t="inlineStr">
        <is>
          <t>USGS Mineral Commodity Summaries 2026; individual commodity chapters.</t>
        </is>
      </c>
      <c r="G91" s="0" t="inlineStr"/>
    </row>
    <row r="92">
      <c r="A92" s="0" t="inlineStr">
        <is>
          <t>Al</t>
        </is>
      </c>
      <c r="B92" s="0" t="inlineStr">
        <is>
          <t>United Arab Emirates</t>
        </is>
      </c>
      <c r="C92" s="0" t="inlineStr">
        <is>
          <t>MidEast</t>
        </is>
      </c>
      <c r="D92" s="0" t="n">
        <v>2700</v>
      </c>
      <c r="E92" s="0" t="n">
        <v>0</v>
      </c>
      <c r="F92" s="0" t="inlineStr">
        <is>
          <t>USGS Mineral Commodity Summaries 2026; individual commodity chapters.</t>
        </is>
      </c>
      <c r="G92" s="0" t="inlineStr"/>
    </row>
    <row r="93">
      <c r="A93" s="0" t="inlineStr">
        <is>
          <t>Al</t>
        </is>
      </c>
      <c r="B93" s="0" t="inlineStr">
        <is>
          <t>Vietnam</t>
        </is>
      </c>
      <c r="C93" s="0" t="inlineStr">
        <is>
          <t>ROW</t>
        </is>
      </c>
      <c r="D93" s="0" t="n">
        <v>0</v>
      </c>
      <c r="E93" s="0" t="n">
        <v>775000</v>
      </c>
      <c r="F93" s="0" t="inlineStr">
        <is>
          <t>USGS Mineral Commodity Summaries 2026; individual commodity chapters.</t>
        </is>
      </c>
      <c r="G93" s="0" t="inlineStr"/>
    </row>
    <row r="94">
      <c r="A94" s="0" t="inlineStr">
        <is>
          <t>Al</t>
        </is>
      </c>
      <c r="B94" s="0" t="inlineStr">
        <is>
          <t>Other countries</t>
        </is>
      </c>
      <c r="C94" s="0" t="inlineStr">
        <is>
          <t>ROW</t>
        </is>
      </c>
      <c r="D94" s="0" t="n">
        <v>7000</v>
      </c>
      <c r="E94" s="0" t="n">
        <v>1325000</v>
      </c>
      <c r="F94" s="0" t="inlineStr">
        <is>
          <t>USGS Mineral Commodity Summaries 2026; individual commodity chapters.</t>
        </is>
      </c>
      <c r="G94" s="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ColWidth="9" defaultRowHeight="14.5"/>
  <cols>
    <col width="18" customWidth="1" style="1" min="1" max="14"/>
  </cols>
  <sheetData>
    <row r="1">
      <c r="A1" s="2" t="inlineStr">
        <is>
          <t>Source row in Data S2</t>
        </is>
      </c>
      <c r="B1" s="2" t="inlineStr">
        <is>
          <t>Deposit</t>
        </is>
      </c>
      <c r="C1" s="2" t="inlineStr">
        <is>
          <t>Country</t>
        </is>
      </c>
      <c r="D1" s="2" t="inlineStr">
        <is>
          <t>TIMES region</t>
        </is>
      </c>
      <c r="E1" s="2" t="inlineStr">
        <is>
          <t>Resource type</t>
        </is>
      </c>
      <c r="F1" s="2" t="inlineStr">
        <is>
          <t>Resource total kt Li</t>
        </is>
      </c>
      <c r="G1" s="2" t="inlineStr">
        <is>
          <t>Reserve kt Li</t>
        </is>
      </c>
      <c r="H1" s="2" t="inlineStr">
        <is>
          <t>Demonstrated kt Li</t>
        </is>
      </c>
      <c r="I1" s="2" t="inlineStr">
        <is>
          <t>Inferred kt Li</t>
        </is>
      </c>
      <c r="J1" s="2" t="inlineStr">
        <is>
          <t>2030 capacity kt Li/yr</t>
        </is>
      </c>
      <c r="K1" s="2" t="inlineStr">
        <is>
          <t>Extraction Cost Original</t>
        </is>
      </c>
      <c r="L1" s="2" t="inlineStr">
        <is>
          <t>Extraction Cost Unit</t>
        </is>
      </c>
      <c r="M1" s="2" t="inlineStr">
        <is>
          <t>Inflation Adjustment 2022</t>
        </is>
      </c>
      <c r="N1" s="2" t="inlineStr">
        <is>
          <t>Source workbook</t>
        </is>
      </c>
    </row>
    <row r="2">
      <c r="A2" s="0" t="n">
        <v>6</v>
      </c>
      <c r="B2" s="0" t="inlineStr">
        <is>
          <t>Salar de Atacama (SQM)</t>
        </is>
      </c>
      <c r="C2" s="0" t="inlineStr">
        <is>
          <t>Chile</t>
        </is>
      </c>
      <c r="D2" s="0" t="inlineStr">
        <is>
          <t>LatAm</t>
        </is>
      </c>
      <c r="E2" s="0" t="inlineStr">
        <is>
          <t>Brine</t>
        </is>
      </c>
      <c r="F2" s="0" t="n">
        <v>10800</v>
      </c>
      <c r="G2" s="0" t="n">
        <v>360</v>
      </c>
      <c r="H2" s="0" t="n">
        <v>7840</v>
      </c>
      <c r="I2" s="0" t="n">
        <v>2600</v>
      </c>
      <c r="J2" s="0" t="n">
        <v>39.4514371594965</v>
      </c>
      <c r="K2" s="0" t="n">
        <v>3990</v>
      </c>
      <c r="L2" s="0" t="inlineStr">
        <is>
          <t>USD/tonne LCE</t>
        </is>
      </c>
      <c r="M2" s="0" t="n">
        <v>1</v>
      </c>
      <c r="N2" s="0" t="inlineStr">
        <is>
          <t>Busch et al. 2025 Supplementary Data S2</t>
        </is>
      </c>
    </row>
    <row r="3">
      <c r="A3" s="0" t="n">
        <v>7</v>
      </c>
      <c r="B3" s="0" t="inlineStr">
        <is>
          <t>Salar de Uyuni</t>
        </is>
      </c>
      <c r="C3" s="0" t="inlineStr">
        <is>
          <t>Bolivia</t>
        </is>
      </c>
      <c r="D3" s="0" t="inlineStr">
        <is>
          <t>LatAm</t>
        </is>
      </c>
      <c r="E3" s="0" t="inlineStr">
        <is>
          <t>Brine</t>
        </is>
      </c>
      <c r="F3" s="0" t="n">
        <v>10206.52</v>
      </c>
      <c r="G3" s="0" t="n">
        <v>5400</v>
      </c>
      <c r="H3" s="0" t="n">
        <v>4806.52</v>
      </c>
      <c r="I3" s="0" t="n">
        <v>0</v>
      </c>
      <c r="J3" s="0" t="n">
        <v>9.39319932368965</v>
      </c>
      <c r="M3" s="0" t="n">
        <v>1.11832164</v>
      </c>
      <c r="N3" s="0" t="inlineStr">
        <is>
          <t>Busch et al. 2025 Supplementary Data S2</t>
        </is>
      </c>
    </row>
    <row r="4">
      <c r="A4" s="0" t="n">
        <v>8</v>
      </c>
      <c r="B4" s="0" t="inlineStr">
        <is>
          <t>Salton Sea (All)</t>
        </is>
      </c>
      <c r="C4" s="0" t="inlineStr">
        <is>
          <t>United States</t>
        </is>
      </c>
      <c r="D4" s="0" t="inlineStr">
        <is>
          <t>NorthAm</t>
        </is>
      </c>
      <c r="E4" s="0" t="inlineStr">
        <is>
          <t>Brine</t>
        </is>
      </c>
      <c r="F4" s="0" t="n">
        <v>6760</v>
      </c>
      <c r="G4" s="0" t="n">
        <v>0</v>
      </c>
      <c r="H4" s="0" t="n">
        <v>3360</v>
      </c>
      <c r="I4" s="0" t="n">
        <v>3400</v>
      </c>
      <c r="J4" s="0" t="n">
        <v>0</v>
      </c>
      <c r="M4" s="0" t="n">
        <v>0.919963201471941</v>
      </c>
      <c r="N4" s="0" t="inlineStr">
        <is>
          <t>Busch et al. 2025 Supplementary Data S2</t>
        </is>
      </c>
    </row>
    <row r="5">
      <c r="A5" s="0" t="n">
        <v>9</v>
      </c>
      <c r="B5" s="0" t="inlineStr">
        <is>
          <t>Upper Rhine Valley</t>
        </is>
      </c>
      <c r="C5" s="0" t="inlineStr">
        <is>
          <t>Germany</t>
        </is>
      </c>
      <c r="D5" s="0" t="inlineStr">
        <is>
          <t>Germany</t>
        </is>
      </c>
      <c r="E5" s="0" t="inlineStr">
        <is>
          <t>Brine</t>
        </is>
      </c>
      <c r="F5" s="0" t="n">
        <v>5210.26042230644</v>
      </c>
      <c r="G5" s="0" t="n">
        <v>106.899296155928</v>
      </c>
      <c r="H5" s="0" t="n">
        <v>2006.4753654575</v>
      </c>
      <c r="I5" s="0" t="n">
        <v>3096.88576069302</v>
      </c>
      <c r="J5" s="0" t="n">
        <v>3.96768739432651</v>
      </c>
      <c r="K5" s="0" t="n">
        <v>4223.1</v>
      </c>
      <c r="L5" s="0" t="inlineStr">
        <is>
          <t>USD/tonne LHM (LiOH.H2O)</t>
        </is>
      </c>
      <c r="M5" s="0" t="n">
        <v>0.919963201471941</v>
      </c>
      <c r="N5" s="0" t="inlineStr">
        <is>
          <t>Busch et al. 2025 Supplementary Data S2</t>
        </is>
      </c>
    </row>
    <row r="6">
      <c r="A6" s="0" t="n">
        <v>10</v>
      </c>
      <c r="B6" s="0" t="inlineStr">
        <is>
          <t xml:space="preserve">Cauchari </t>
        </is>
      </c>
      <c r="C6" s="0" t="inlineStr">
        <is>
          <t>Argentina</t>
        </is>
      </c>
      <c r="D6" s="0" t="inlineStr">
        <is>
          <t>LatAm</t>
        </is>
      </c>
      <c r="E6" s="0" t="inlineStr">
        <is>
          <t>Brine</t>
        </is>
      </c>
      <c r="F6" s="0" t="n">
        <v>4617</v>
      </c>
      <c r="G6" s="0" t="n">
        <v>682.92</v>
      </c>
      <c r="H6" s="0" t="n">
        <v>3046.78</v>
      </c>
      <c r="I6" s="0" t="n">
        <v>887.3</v>
      </c>
      <c r="J6" s="0" t="n">
        <v>7.51455945895172</v>
      </c>
      <c r="K6" s="0" t="n">
        <v>3579</v>
      </c>
      <c r="L6" s="0" t="inlineStr">
        <is>
          <t>USD/tonne LCE</t>
        </is>
      </c>
      <c r="M6" s="0" t="n">
        <v>1.11832164</v>
      </c>
      <c r="N6" s="0" t="inlineStr">
        <is>
          <t>Busch et al. 2025 Supplementary Data S2</t>
        </is>
      </c>
    </row>
    <row r="7">
      <c r="A7" s="0" t="n">
        <v>11</v>
      </c>
      <c r="B7" s="0" t="inlineStr">
        <is>
          <t>Titan</t>
        </is>
      </c>
      <c r="C7" s="0" t="inlineStr">
        <is>
          <t>Tanzania</t>
        </is>
      </c>
      <c r="D7" s="0" t="inlineStr">
        <is>
          <t>Africa_Other</t>
        </is>
      </c>
      <c r="E7" s="0" t="inlineStr">
        <is>
          <t>Volcano-Sedimentary</t>
        </is>
      </c>
      <c r="F7" s="0" t="n">
        <v>4426</v>
      </c>
      <c r="G7" s="0" t="n">
        <v>0</v>
      </c>
      <c r="H7" s="0" t="n">
        <v>0</v>
      </c>
      <c r="I7" s="0" t="n">
        <v>4426</v>
      </c>
      <c r="J7" s="0" t="n">
        <v>0</v>
      </c>
      <c r="M7" s="0" t="n">
        <v>0.919963201471941</v>
      </c>
      <c r="N7" s="0" t="inlineStr">
        <is>
          <t>Busch et al. 2025 Supplementary Data S2</t>
        </is>
      </c>
    </row>
    <row r="8">
      <c r="A8" s="0" t="n">
        <v>12</v>
      </c>
      <c r="B8" s="0" t="inlineStr">
        <is>
          <t>Salar de Olaroz (Allkem)</t>
        </is>
      </c>
      <c r="C8" s="0" t="inlineStr">
        <is>
          <t>Argentina</t>
        </is>
      </c>
      <c r="D8" s="0" t="inlineStr">
        <is>
          <t>LatAm</t>
        </is>
      </c>
      <c r="E8" s="0" t="inlineStr">
        <is>
          <t>Brine</t>
        </is>
      </c>
      <c r="F8" s="0" t="n">
        <v>4250</v>
      </c>
      <c r="G8" s="0" t="n">
        <v>0</v>
      </c>
      <c r="H8" s="0" t="n">
        <v>2890</v>
      </c>
      <c r="I8" s="0" t="n">
        <v>1360</v>
      </c>
      <c r="J8" s="0" t="n">
        <v>7.9842194251362</v>
      </c>
      <c r="K8" s="0" t="n">
        <v>4149</v>
      </c>
      <c r="L8" s="0" t="inlineStr">
        <is>
          <t>USD/tonne LCE</t>
        </is>
      </c>
      <c r="M8" s="0" t="n">
        <v>0.919963201471941</v>
      </c>
      <c r="N8" s="0" t="inlineStr">
        <is>
          <t>Busch et al. 2025 Supplementary Data S2</t>
        </is>
      </c>
    </row>
    <row r="9">
      <c r="A9" s="0" t="n">
        <v>13</v>
      </c>
      <c r="B9" s="0" t="inlineStr">
        <is>
          <t>McDermitt</t>
        </is>
      </c>
      <c r="C9" s="0" t="inlineStr">
        <is>
          <t>United States</t>
        </is>
      </c>
      <c r="D9" s="0" t="inlineStr">
        <is>
          <t>NorthAm</t>
        </is>
      </c>
      <c r="E9" s="0" t="inlineStr">
        <is>
          <t>Volcano-Sedimentary</t>
        </is>
      </c>
      <c r="F9" s="0" t="n">
        <v>4039.25284244721</v>
      </c>
      <c r="G9" s="0" t="n">
        <v>0</v>
      </c>
      <c r="H9" s="0" t="n">
        <v>2085.38170005414</v>
      </c>
      <c r="I9" s="0" t="n">
        <v>1953.87114239307</v>
      </c>
      <c r="J9" s="0" t="n">
        <v>0</v>
      </c>
      <c r="M9" s="0" t="n">
        <v>0.919963201471941</v>
      </c>
      <c r="N9" s="0" t="inlineStr">
        <is>
          <t>Busch et al. 2025 Supplementary Data S2</t>
        </is>
      </c>
    </row>
    <row r="10">
      <c r="A10" s="0" t="n">
        <v>14</v>
      </c>
      <c r="B10" s="0" t="inlineStr">
        <is>
          <t>Thacker Pass</t>
        </is>
      </c>
      <c r="C10" s="0" t="inlineStr">
        <is>
          <t>United States</t>
        </is>
      </c>
      <c r="D10" s="0" t="inlineStr">
        <is>
          <t>NorthAm</t>
        </is>
      </c>
      <c r="E10" s="0" t="inlineStr">
        <is>
          <t>Volcano-Sedimentary</t>
        </is>
      </c>
      <c r="F10" s="0" t="n">
        <v>3588.35950189496</v>
      </c>
      <c r="G10" s="0" t="n">
        <v>695.1272333513811</v>
      </c>
      <c r="H10" s="0" t="n">
        <v>2329.61559285327</v>
      </c>
      <c r="I10" s="0" t="n">
        <v>563.616675690309</v>
      </c>
      <c r="J10" s="0" t="n">
        <v>14.2776629720083</v>
      </c>
      <c r="K10" s="0" t="n">
        <v>7198</v>
      </c>
      <c r="L10" s="0" t="inlineStr">
        <is>
          <t>USD/tonne LCE</t>
        </is>
      </c>
      <c r="M10" s="0" t="n">
        <v>1</v>
      </c>
      <c r="N10" s="0" t="inlineStr">
        <is>
          <t>Busch et al. 2025 Supplementary Data S2</t>
        </is>
      </c>
    </row>
    <row r="11">
      <c r="A11" s="0" t="n">
        <v>15</v>
      </c>
      <c r="B11" s="0" t="inlineStr">
        <is>
          <t>Bonnie Claire</t>
        </is>
      </c>
      <c r="C11" s="0" t="inlineStr">
        <is>
          <t>United States</t>
        </is>
      </c>
      <c r="D11" s="0" t="inlineStr">
        <is>
          <t>NorthAm</t>
        </is>
      </c>
      <c r="E11" s="0" t="inlineStr">
        <is>
          <t>Hard Rock</t>
        </is>
      </c>
      <c r="F11" s="0" t="n">
        <v>3452</v>
      </c>
      <c r="G11" s="0" t="n">
        <v>0</v>
      </c>
      <c r="H11" s="0" t="n">
        <v>0</v>
      </c>
      <c r="I11" s="0" t="n">
        <v>3452</v>
      </c>
      <c r="J11" s="0" t="n">
        <v>6.06800676310351</v>
      </c>
      <c r="K11" s="0" t="n">
        <v>5974</v>
      </c>
      <c r="L11" s="0" t="inlineStr">
        <is>
          <t>USD/tonne LCE</t>
        </is>
      </c>
      <c r="M11" s="0" t="n">
        <v>1.047</v>
      </c>
      <c r="N11" s="0" t="inlineStr">
        <is>
          <t>Busch et al. 2025 Supplementary Data S2</t>
        </is>
      </c>
    </row>
    <row r="12">
      <c r="A12" s="0" t="n">
        <v>16</v>
      </c>
      <c r="B12" s="0" t="inlineStr">
        <is>
          <t>Manono-Kitotolo</t>
        </is>
      </c>
      <c r="C12" s="0" t="inlineStr">
        <is>
          <t>DR Congo</t>
        </is>
      </c>
      <c r="D12" s="0" t="inlineStr">
        <is>
          <t>Africa_Other</t>
        </is>
      </c>
      <c r="E12" s="0" t="inlineStr">
        <is>
          <t>Hard Rock</t>
        </is>
      </c>
      <c r="F12" s="0" t="n">
        <v>3065.86345381526</v>
      </c>
      <c r="G12" s="0" t="n">
        <v>682.85140562249</v>
      </c>
      <c r="H12" s="0" t="n">
        <v>1378.94176706827</v>
      </c>
      <c r="I12" s="0" t="n">
        <v>1004.0702811245</v>
      </c>
      <c r="J12" s="0" t="n">
        <v>19.512680819087</v>
      </c>
      <c r="K12" s="0" t="n">
        <v>346</v>
      </c>
      <c r="L12" s="0" t="inlineStr">
        <is>
          <t>USD/tonne of SC6</t>
        </is>
      </c>
      <c r="M12" s="0" t="n">
        <v>1.080504</v>
      </c>
      <c r="N12" s="0" t="inlineStr">
        <is>
          <t>Busch et al. 2025 Supplementary Data S2</t>
        </is>
      </c>
    </row>
    <row r="13">
      <c r="A13" s="0" t="n">
        <v>17</v>
      </c>
      <c r="B13" s="0" t="inlineStr">
        <is>
          <t>Salar del Hombre Muerto (POSCO)</t>
        </is>
      </c>
      <c r="C13" s="0" t="inlineStr">
        <is>
          <t>Argentina</t>
        </is>
      </c>
      <c r="D13" s="0" t="inlineStr">
        <is>
          <t>LatAm</t>
        </is>
      </c>
      <c r="E13" s="0" t="inlineStr">
        <is>
          <t>Brine</t>
        </is>
      </c>
      <c r="F13" s="0" t="n">
        <v>2539.4688684353</v>
      </c>
      <c r="G13" s="0" t="n">
        <v>2539.4688684353</v>
      </c>
      <c r="H13" s="0" t="n">
        <v>0</v>
      </c>
      <c r="I13" s="0" t="n">
        <v>0</v>
      </c>
      <c r="J13" s="0" t="n">
        <v>0</v>
      </c>
      <c r="K13" s="0" t="n">
        <v>3650</v>
      </c>
      <c r="L13" s="0" t="inlineStr">
        <is>
          <t>USD/tonne LCE</t>
        </is>
      </c>
      <c r="M13" s="0" t="n">
        <v>0.919963201471941</v>
      </c>
      <c r="N13" s="0" t="inlineStr">
        <is>
          <t>Busch et al. 2025 Supplementary Data S2</t>
        </is>
      </c>
    </row>
    <row r="14">
      <c r="A14" s="0" t="n">
        <v>18</v>
      </c>
      <c r="B14" s="0" t="inlineStr">
        <is>
          <t>Greenbushes</t>
        </is>
      </c>
      <c r="C14" s="0" t="inlineStr">
        <is>
          <t>Australia</t>
        </is>
      </c>
      <c r="D14" s="0" t="inlineStr">
        <is>
          <t>Australia</t>
        </is>
      </c>
      <c r="E14" s="0" t="inlineStr">
        <is>
          <t>Hard Rock</t>
        </is>
      </c>
      <c r="F14" s="0" t="n">
        <v>2509.82730923695</v>
      </c>
      <c r="G14" s="0" t="n">
        <v>1668.57295850067</v>
      </c>
      <c r="H14" s="0" t="n">
        <v>348.494296495583</v>
      </c>
      <c r="I14" s="0" t="n">
        <v>492.760054240695</v>
      </c>
      <c r="J14" s="0" t="n">
        <v>70.8031185421755</v>
      </c>
      <c r="K14" s="0" t="n">
        <v>233.119296</v>
      </c>
      <c r="L14" s="0" t="inlineStr">
        <is>
          <t>USD2022/ t concentrate SC6</t>
        </is>
      </c>
      <c r="M14" s="0" t="n">
        <v>1</v>
      </c>
      <c r="N14" s="0" t="inlineStr">
        <is>
          <t>Busch et al. 2025 Supplementary Data S2</t>
        </is>
      </c>
    </row>
    <row r="15">
      <c r="A15" s="0" t="n">
        <v>19</v>
      </c>
      <c r="B15" s="0" t="inlineStr">
        <is>
          <t>Salar del Hombre Muerto (Livent)</t>
        </is>
      </c>
      <c r="C15" s="0" t="inlineStr">
        <is>
          <t>Argentina</t>
        </is>
      </c>
      <c r="D15" s="0" t="inlineStr">
        <is>
          <t>LatAm</t>
        </is>
      </c>
      <c r="E15" s="0" t="inlineStr">
        <is>
          <t>Brine</t>
        </is>
      </c>
      <c r="F15" s="0" t="n">
        <v>2220</v>
      </c>
      <c r="G15" s="0" t="n">
        <v>731</v>
      </c>
      <c r="H15" s="0" t="n">
        <v>597</v>
      </c>
      <c r="I15" s="0" t="n">
        <v>892</v>
      </c>
      <c r="J15" s="0" t="n">
        <v>18.7863986473793</v>
      </c>
      <c r="K15" s="0" t="n">
        <v>4700</v>
      </c>
      <c r="L15" s="0" t="inlineStr">
        <is>
          <t>USD/tonne LCE</t>
        </is>
      </c>
      <c r="M15" s="0" t="n">
        <v>0.919963201471941</v>
      </c>
      <c r="N15" s="0" t="inlineStr">
        <is>
          <t>Busch et al. 2025 Supplementary Data S2</t>
        </is>
      </c>
    </row>
    <row r="16">
      <c r="A16" s="0" t="n">
        <v>20</v>
      </c>
      <c r="B16" s="0" t="inlineStr">
        <is>
          <t>Pilgangoora</t>
        </is>
      </c>
      <c r="C16" s="0" t="inlineStr">
        <is>
          <t>Australia</t>
        </is>
      </c>
      <c r="D16" s="0" t="inlineStr">
        <is>
          <t>Australia</t>
        </is>
      </c>
      <c r="E16" s="0" t="inlineStr">
        <is>
          <t>Hard Rock</t>
        </is>
      </c>
      <c r="F16" s="0" t="n">
        <v>2210.53400267738</v>
      </c>
      <c r="G16" s="0" t="n">
        <v>1184.0643373494</v>
      </c>
      <c r="H16" s="0" t="n">
        <v>1026.46966532798</v>
      </c>
      <c r="I16" s="0" t="n">
        <v>0</v>
      </c>
      <c r="J16" s="0" t="n">
        <v>26.4814953973323</v>
      </c>
      <c r="K16" s="0" t="n">
        <v>931</v>
      </c>
      <c r="L16" s="0" t="inlineStr">
        <is>
          <t>USD2022/ t spodumene at 5.3%</t>
        </is>
      </c>
      <c r="M16" s="0" t="n">
        <v>0.919963201471941</v>
      </c>
      <c r="N16" s="0" t="inlineStr">
        <is>
          <t>Busch et al. 2025 Supplementary Data S2</t>
        </is>
      </c>
    </row>
    <row r="17">
      <c r="A17" s="0" t="n">
        <v>21</v>
      </c>
      <c r="B17" s="0" t="inlineStr">
        <is>
          <t>Qaidam Basin (All Projects)</t>
        </is>
      </c>
      <c r="C17" s="0" t="inlineStr">
        <is>
          <t>China</t>
        </is>
      </c>
      <c r="D17" s="0" t="inlineStr">
        <is>
          <t>China</t>
        </is>
      </c>
      <c r="E17" s="0" t="inlineStr">
        <is>
          <t>Brine</t>
        </is>
      </c>
      <c r="F17" s="0" t="n">
        <v>2021.46248</v>
      </c>
      <c r="G17" s="0" t="n">
        <v>0</v>
      </c>
      <c r="H17" s="0" t="n">
        <v>0</v>
      </c>
      <c r="I17" s="0" t="n">
        <v>2021.46248</v>
      </c>
      <c r="J17" s="0" t="n">
        <v>11.37</v>
      </c>
      <c r="M17" s="0" t="n">
        <v>0.919963201471941</v>
      </c>
      <c r="N17" s="0" t="inlineStr">
        <is>
          <t>Busch et al. 2025 Supplementary Data S2</t>
        </is>
      </c>
    </row>
    <row r="18">
      <c r="A18" s="0" t="n">
        <v>22</v>
      </c>
      <c r="B18" s="0" t="inlineStr">
        <is>
          <t>Kachi</t>
        </is>
      </c>
      <c r="C18" s="0" t="inlineStr">
        <is>
          <t>Argentina</t>
        </is>
      </c>
      <c r="D18" s="0" t="inlineStr">
        <is>
          <t>LatAm</t>
        </is>
      </c>
      <c r="E18" s="0" t="inlineStr">
        <is>
          <t>Brine</t>
        </is>
      </c>
      <c r="F18" s="0" t="n">
        <v>1991.44558743909</v>
      </c>
      <c r="G18" s="0" t="n">
        <v>117.4</v>
      </c>
      <c r="H18" s="0" t="n">
        <v>1254.06724417975</v>
      </c>
      <c r="I18" s="0" t="n">
        <v>619.978343259339</v>
      </c>
      <c r="J18" s="0" t="n">
        <v>6.57523952658275</v>
      </c>
      <c r="K18" s="0" t="n">
        <v>6047</v>
      </c>
      <c r="L18" s="0" t="inlineStr">
        <is>
          <t>USD/tonne LCE</t>
        </is>
      </c>
      <c r="M18" s="0" t="n">
        <v>0.919963201471941</v>
      </c>
      <c r="N18" s="0" t="inlineStr">
        <is>
          <t>Busch et al. 2025 Supplementary Data S2</t>
        </is>
      </c>
    </row>
    <row r="19">
      <c r="A19" s="0" t="n">
        <v>23</v>
      </c>
      <c r="B19" s="0" t="inlineStr">
        <is>
          <t>Centenario Ratones</t>
        </is>
      </c>
      <c r="C19" s="0" t="inlineStr">
        <is>
          <t>Argentina</t>
        </is>
      </c>
      <c r="D19" s="0" t="inlineStr">
        <is>
          <t>LatAm</t>
        </is>
      </c>
      <c r="E19" s="0" t="inlineStr">
        <is>
          <t>Brine</t>
        </is>
      </c>
      <c r="F19" s="0" t="n">
        <v>1867.07417433676</v>
      </c>
      <c r="G19" s="0" t="n">
        <v>208.8</v>
      </c>
      <c r="H19" s="0" t="n">
        <v>777.34131023281</v>
      </c>
      <c r="I19" s="0" t="n">
        <v>880.9328641039521</v>
      </c>
      <c r="J19" s="0" t="n">
        <v>4.50873567537103</v>
      </c>
      <c r="K19" s="0" t="n">
        <v>3500</v>
      </c>
      <c r="L19" s="0" t="inlineStr">
        <is>
          <t>USD/tonne LCE</t>
        </is>
      </c>
      <c r="M19" s="0" t="n">
        <v>1.080504</v>
      </c>
      <c r="N19" s="0" t="inlineStr">
        <is>
          <t>Busch et al. 2025 Supplementary Data S2</t>
        </is>
      </c>
    </row>
    <row r="20">
      <c r="A20" s="0" t="n">
        <v>24</v>
      </c>
      <c r="B20" s="0" t="inlineStr">
        <is>
          <t>TLC</t>
        </is>
      </c>
      <c r="C20" s="0" t="inlineStr">
        <is>
          <t>United States</t>
        </is>
      </c>
      <c r="D20" s="0" t="inlineStr">
        <is>
          <t>NorthAm</t>
        </is>
      </c>
      <c r="E20" s="0" t="inlineStr">
        <is>
          <t>Volcano-Sedimentary</t>
        </is>
      </c>
      <c r="F20" s="0" t="n">
        <v>1660.04</v>
      </c>
      <c r="G20" s="0" t="n">
        <v>0</v>
      </c>
      <c r="H20" s="0" t="n">
        <v>0</v>
      </c>
      <c r="I20" s="0" t="n">
        <v>1660.04</v>
      </c>
      <c r="J20" s="0" t="n">
        <v>6.85703550629344</v>
      </c>
      <c r="M20" s="0" t="n">
        <v>1</v>
      </c>
      <c r="N20" s="0" t="inlineStr">
        <is>
          <t>Busch et al. 2025 Supplementary Data S2</t>
        </is>
      </c>
    </row>
    <row r="21">
      <c r="A21" s="0" t="n">
        <v>25</v>
      </c>
      <c r="B21" s="0" t="inlineStr">
        <is>
          <t>Salar del Rincon (Rio Tinto)</t>
        </is>
      </c>
      <c r="C21" s="0" t="inlineStr">
        <is>
          <t>Argentina</t>
        </is>
      </c>
      <c r="D21" s="0" t="inlineStr">
        <is>
          <t>LatAm</t>
        </is>
      </c>
      <c r="E21" s="0" t="inlineStr">
        <is>
          <t>Brine</t>
        </is>
      </c>
      <c r="F21" s="0" t="n">
        <v>1559.33946940985</v>
      </c>
      <c r="G21" s="0" t="n">
        <v>225.446670276124</v>
      </c>
      <c r="H21" s="0" t="n">
        <v>432.106118029237</v>
      </c>
      <c r="I21" s="0" t="n">
        <v>901.7866811044941</v>
      </c>
      <c r="J21" s="0" t="n">
        <v>9.39319932368965</v>
      </c>
      <c r="K21" s="0" t="n">
        <v>2968</v>
      </c>
      <c r="L21" s="0" t="inlineStr">
        <is>
          <t>USD/tonne LCE</t>
        </is>
      </c>
      <c r="M21" s="0" t="n">
        <v>0.919963201471941</v>
      </c>
      <c r="N21" s="0" t="inlineStr">
        <is>
          <t>Busch et al. 2025 Supplementary Data S2</t>
        </is>
      </c>
    </row>
    <row r="22">
      <c r="A22" s="0" t="n">
        <v>26</v>
      </c>
      <c r="B22" s="0" t="inlineStr">
        <is>
          <t>Mariana</t>
        </is>
      </c>
      <c r="C22" s="0" t="inlineStr">
        <is>
          <t>Argentina</t>
        </is>
      </c>
      <c r="D22" s="0" t="inlineStr">
        <is>
          <t>LatAm</t>
        </is>
      </c>
      <c r="E22" s="0" t="inlineStr">
        <is>
          <t>Brine</t>
        </is>
      </c>
      <c r="F22" s="0" t="n">
        <v>1525.52246886843</v>
      </c>
      <c r="G22" s="0" t="n">
        <v>0</v>
      </c>
      <c r="H22" s="0" t="n">
        <v>0</v>
      </c>
      <c r="I22" s="0" t="n">
        <v>1525.52246886843</v>
      </c>
      <c r="J22" s="0" t="n">
        <v>3.19368777005448</v>
      </c>
      <c r="M22" s="0" t="n">
        <v>1</v>
      </c>
      <c r="N22" s="0" t="inlineStr">
        <is>
          <t>Busch et al. 2025 Supplementary Data S2</t>
        </is>
      </c>
    </row>
    <row r="23">
      <c r="A23" s="0" t="n">
        <v>27</v>
      </c>
      <c r="B23" s="0" t="inlineStr">
        <is>
          <t>Salar de Atacama (Albemarle)</t>
        </is>
      </c>
      <c r="C23" s="0" t="inlineStr">
        <is>
          <t>Chile</t>
        </is>
      </c>
      <c r="D23" s="0" t="inlineStr">
        <is>
          <t>LatAm</t>
        </is>
      </c>
      <c r="E23" s="0" t="inlineStr">
        <is>
          <t>Brine</t>
        </is>
      </c>
      <c r="F23" s="0" t="n">
        <v>1491</v>
      </c>
      <c r="G23" s="0" t="n">
        <v>647</v>
      </c>
      <c r="H23" s="0" t="n">
        <v>712</v>
      </c>
      <c r="I23" s="0" t="n">
        <v>132</v>
      </c>
      <c r="J23" s="0" t="n">
        <v>15.7805748637986</v>
      </c>
      <c r="K23" s="0" t="n">
        <v>3552</v>
      </c>
      <c r="L23" s="0" t="inlineStr">
        <is>
          <t>USD/tonne LCE</t>
        </is>
      </c>
      <c r="M23" s="0" t="n">
        <v>0.919963201471941</v>
      </c>
      <c r="N23" s="0" t="inlineStr">
        <is>
          <t>Busch et al. 2025 Supplementary Data S2</t>
        </is>
      </c>
    </row>
    <row r="24">
      <c r="A24" s="0" t="n">
        <v>28</v>
      </c>
      <c r="B24" s="0" t="inlineStr">
        <is>
          <t>Wodgina</t>
        </is>
      </c>
      <c r="C24" s="0" t="inlineStr">
        <is>
          <t>Australia</t>
        </is>
      </c>
      <c r="D24" s="0" t="inlineStr">
        <is>
          <t>Australia</t>
        </is>
      </c>
      <c r="E24" s="0" t="inlineStr">
        <is>
          <t>Hard Rock</t>
        </is>
      </c>
      <c r="F24" s="0" t="n">
        <v>1408.96864792503</v>
      </c>
      <c r="G24" s="0" t="n">
        <v>825.56734939759</v>
      </c>
      <c r="H24" s="0" t="n">
        <v>246.119228367783</v>
      </c>
      <c r="I24" s="0" t="n">
        <v>337.28207015966</v>
      </c>
      <c r="J24" s="0" t="n">
        <v>20.6650385121172</v>
      </c>
      <c r="M24" s="0" t="n">
        <v>1.15858121904</v>
      </c>
      <c r="N24" s="0" t="inlineStr">
        <is>
          <t>Busch et al. 2025 Supplementary Data S2</t>
        </is>
      </c>
    </row>
    <row r="25">
      <c r="A25" s="0" t="n">
        <v>29</v>
      </c>
      <c r="B25" s="0" t="inlineStr">
        <is>
          <t>Cinovec</t>
        </is>
      </c>
      <c r="C25" s="0" t="inlineStr">
        <is>
          <t>Czech Republic</t>
        </is>
      </c>
      <c r="D25" s="0" t="inlineStr">
        <is>
          <t>CzechSlovak</t>
        </is>
      </c>
      <c r="E25" s="0" t="inlineStr">
        <is>
          <t>Hard Rock</t>
        </is>
      </c>
      <c r="F25" s="0" t="n">
        <v>1388.37574445046</v>
      </c>
      <c r="G25" s="0" t="n">
        <v>0</v>
      </c>
      <c r="H25" s="0" t="n">
        <v>851.061180292366</v>
      </c>
      <c r="I25" s="0" t="n">
        <v>537.314564158094</v>
      </c>
      <c r="J25" s="0" t="n">
        <v>4.85816269021229</v>
      </c>
      <c r="K25" s="0" t="n">
        <v>610.786516853933</v>
      </c>
      <c r="L25" s="0" t="inlineStr">
        <is>
          <t>USD/tonne SC 6%</t>
        </is>
      </c>
      <c r="M25" s="0" t="n">
        <v>0.919963201471941</v>
      </c>
      <c r="N25" s="0" t="inlineStr">
        <is>
          <t>Busch et al. 2025 Supplementary Data S2</t>
        </is>
      </c>
    </row>
    <row r="26">
      <c r="A26" s="0" t="n">
        <v>30</v>
      </c>
      <c r="B26" s="0" t="inlineStr">
        <is>
          <t>Clayton Valley (Century)</t>
        </is>
      </c>
      <c r="C26" s="0" t="inlineStr">
        <is>
          <t>United States</t>
        </is>
      </c>
      <c r="D26" s="0" t="inlineStr">
        <is>
          <t>NorthAm</t>
        </is>
      </c>
      <c r="E26" s="0" t="inlineStr">
        <is>
          <t>Volcano-Sedimentary</t>
        </is>
      </c>
      <c r="F26" s="0" t="n">
        <v>1359.5</v>
      </c>
      <c r="G26" s="0" t="n">
        <v>240.9</v>
      </c>
      <c r="H26" s="0" t="n">
        <v>939</v>
      </c>
      <c r="I26" s="0" t="n">
        <v>179.6</v>
      </c>
      <c r="J26" s="0" t="n">
        <v>5.14747322938193</v>
      </c>
      <c r="K26" s="0" t="n">
        <v>3387</v>
      </c>
      <c r="L26" s="0" t="inlineStr">
        <is>
          <t>USD/tonne LCE</t>
        </is>
      </c>
      <c r="M26" s="0" t="n">
        <v>1.080504</v>
      </c>
      <c r="N26" s="0" t="inlineStr">
        <is>
          <t>Busch et al. 2025 Supplementary Data S2</t>
        </is>
      </c>
    </row>
    <row r="27">
      <c r="A27" s="0" t="n">
        <v>31</v>
      </c>
      <c r="B27" s="0" t="inlineStr">
        <is>
          <t>Sonora</t>
        </is>
      </c>
      <c r="C27" s="0" t="inlineStr">
        <is>
          <t>Mexico</t>
        </is>
      </c>
      <c r="D27" s="0" t="inlineStr">
        <is>
          <t>NorthAm</t>
        </is>
      </c>
      <c r="E27" s="0" t="inlineStr">
        <is>
          <t>Volcano-Sedimentary</t>
        </is>
      </c>
      <c r="F27" s="0" t="n">
        <v>1353.24363833243</v>
      </c>
      <c r="G27" s="0" t="n">
        <v>391.337845154304</v>
      </c>
      <c r="H27" s="0" t="n">
        <v>447.135896047645</v>
      </c>
      <c r="I27" s="0" t="n">
        <v>514.769897130482</v>
      </c>
      <c r="J27" s="0" t="n">
        <v>3.75727972947586</v>
      </c>
      <c r="K27" s="0" t="n">
        <v>2126</v>
      </c>
      <c r="L27" s="0" t="inlineStr">
        <is>
          <t>USD/tonne LCE</t>
        </is>
      </c>
      <c r="M27" s="0" t="n">
        <v>1.22912838804856</v>
      </c>
      <c r="N27" s="0" t="inlineStr">
        <is>
          <t>Busch et al. 2025 Supplementary Data S2</t>
        </is>
      </c>
    </row>
    <row r="28">
      <c r="A28" s="0" t="n">
        <v>32</v>
      </c>
      <c r="B28" s="0" t="inlineStr">
        <is>
          <t>Sal de Vida</t>
        </is>
      </c>
      <c r="C28" s="0" t="inlineStr">
        <is>
          <t>Argentina</t>
        </is>
      </c>
      <c r="D28" s="0" t="inlineStr">
        <is>
          <t>LatAm</t>
        </is>
      </c>
      <c r="E28" s="0" t="inlineStr">
        <is>
          <t>Brine</t>
        </is>
      </c>
      <c r="F28" s="0" t="n">
        <v>1340</v>
      </c>
      <c r="G28" s="0" t="n">
        <v>467</v>
      </c>
      <c r="H28" s="0" t="n">
        <v>753</v>
      </c>
      <c r="I28" s="0" t="n">
        <v>120</v>
      </c>
      <c r="J28" s="0" t="n">
        <v>8.38887845200075</v>
      </c>
      <c r="K28" s="0" t="n">
        <v>4529</v>
      </c>
      <c r="L28" s="0" t="inlineStr">
        <is>
          <t>USD/tonne LCE</t>
        </is>
      </c>
      <c r="M28" s="0" t="n">
        <v>0.919963201471941</v>
      </c>
      <c r="N28" s="0" t="inlineStr">
        <is>
          <t>Busch et al. 2025 Supplementary Data S2</t>
        </is>
      </c>
    </row>
    <row r="29">
      <c r="A29" s="0" t="n">
        <v>33</v>
      </c>
      <c r="B29" s="0" t="inlineStr">
        <is>
          <t>Mt. Holland/Earl Grey</t>
        </is>
      </c>
      <c r="C29" s="0" t="inlineStr">
        <is>
          <t>Australia</t>
        </is>
      </c>
      <c r="D29" s="0" t="inlineStr">
        <is>
          <t>Australia</t>
        </is>
      </c>
      <c r="E29" s="0" t="inlineStr">
        <is>
          <t>Hard Rock</t>
        </is>
      </c>
      <c r="F29" s="0" t="n">
        <v>1320.50455153949</v>
      </c>
      <c r="G29" s="0" t="n">
        <v>656.373493975904</v>
      </c>
      <c r="H29" s="0" t="n">
        <v>576.4752342704149</v>
      </c>
      <c r="I29" s="0" t="n">
        <v>87.6558232931727</v>
      </c>
      <c r="J29" s="0" t="n">
        <v>8.29663723464212</v>
      </c>
      <c r="K29" s="0" t="n">
        <v>155.4</v>
      </c>
      <c r="L29" s="0" t="inlineStr">
        <is>
          <t>USD/t concentrate SC5.5</t>
        </is>
      </c>
      <c r="M29" s="0" t="n">
        <v>1.11832164</v>
      </c>
      <c r="N29" s="0" t="inlineStr">
        <is>
          <t>Busch et al. 2025 Supplementary Data S2</t>
        </is>
      </c>
    </row>
    <row r="30">
      <c r="A30" s="0" t="n">
        <v>34</v>
      </c>
      <c r="B30" s="0" t="inlineStr">
        <is>
          <t>Tres Quebradas</t>
        </is>
      </c>
      <c r="C30" s="0" t="inlineStr">
        <is>
          <t>Argentina</t>
        </is>
      </c>
      <c r="D30" s="0" t="inlineStr">
        <is>
          <t>LatAm</t>
        </is>
      </c>
      <c r="E30" s="0" t="inlineStr">
        <is>
          <t>Brine</t>
        </is>
      </c>
      <c r="F30" s="0" t="n">
        <v>1315.10557661072</v>
      </c>
      <c r="G30" s="0" t="n">
        <v>244.233892799134</v>
      </c>
      <c r="H30" s="0" t="n">
        <v>507.255008121278</v>
      </c>
      <c r="I30" s="0" t="n">
        <v>563.616675690309</v>
      </c>
      <c r="J30" s="0" t="n">
        <v>3.75727972947586</v>
      </c>
      <c r="K30" s="0" t="n">
        <v>2914</v>
      </c>
      <c r="L30" s="0" t="inlineStr">
        <is>
          <t>USD/tonne LCE</t>
        </is>
      </c>
      <c r="M30" s="0" t="n">
        <v>1.047</v>
      </c>
      <c r="N30" s="0" t="inlineStr">
        <is>
          <t>Busch et al. 2025 Supplementary Data S2</t>
        </is>
      </c>
    </row>
    <row r="31">
      <c r="A31" s="0" t="n">
        <v>35</v>
      </c>
      <c r="B31" s="0" t="inlineStr">
        <is>
          <t>Hombre Muerto West (Galan)</t>
        </is>
      </c>
      <c r="C31" s="0" t="inlineStr">
        <is>
          <t>Argentina</t>
        </is>
      </c>
      <c r="D31" s="0" t="inlineStr">
        <is>
          <t>LatAm</t>
        </is>
      </c>
      <c r="E31" s="0" t="inlineStr">
        <is>
          <t>Brine</t>
        </is>
      </c>
      <c r="F31" s="0" t="n">
        <v>1237</v>
      </c>
      <c r="G31" s="0" t="n">
        <v>70.2</v>
      </c>
      <c r="H31" s="0" t="n">
        <v>1004.8</v>
      </c>
      <c r="I31" s="0" t="n">
        <v>162</v>
      </c>
      <c r="J31" s="0" t="n">
        <v>0</v>
      </c>
      <c r="K31" s="0" t="n">
        <v>3963</v>
      </c>
      <c r="L31" s="0" t="inlineStr">
        <is>
          <t>USD/tonne LCE</t>
        </is>
      </c>
      <c r="M31" s="0" t="n">
        <v>0.919963201471941</v>
      </c>
      <c r="N31" s="0" t="inlineStr">
        <is>
          <t>Busch et al. 2025 Supplementary Data S2</t>
        </is>
      </c>
    </row>
    <row r="32">
      <c r="A32" s="0" t="n">
        <v>36</v>
      </c>
      <c r="B32" s="0" t="inlineStr">
        <is>
          <t>Jadar</t>
        </is>
      </c>
      <c r="C32" s="0" t="inlineStr">
        <is>
          <t>Serbia</t>
        </is>
      </c>
      <c r="D32" s="0" t="inlineStr">
        <is>
          <t>WestBalkans</t>
        </is>
      </c>
      <c r="E32" s="0" t="inlineStr">
        <is>
          <t>Volcano-Sedimentary</t>
        </is>
      </c>
      <c r="F32" s="0" t="n">
        <v>1199.86746987952</v>
      </c>
      <c r="G32" s="0" t="n">
        <v>139.571111111111</v>
      </c>
      <c r="H32" s="0" t="n">
        <v>574.496358768407</v>
      </c>
      <c r="I32" s="0" t="n">
        <v>485.8</v>
      </c>
      <c r="J32" s="0" t="n">
        <v>9.806500093931991</v>
      </c>
      <c r="M32" s="0" t="n">
        <v>1</v>
      </c>
      <c r="N32" s="0" t="inlineStr">
        <is>
          <t>Busch et al. 2025 Supplementary Data S2</t>
        </is>
      </c>
    </row>
    <row r="33">
      <c r="A33" s="0" t="n">
        <v>37</v>
      </c>
      <c r="B33" s="0" t="inlineStr">
        <is>
          <t>Praire</t>
        </is>
      </c>
      <c r="C33" s="0" t="inlineStr">
        <is>
          <t>Canada</t>
        </is>
      </c>
      <c r="D33" s="0" t="inlineStr">
        <is>
          <t>NorthAm</t>
        </is>
      </c>
      <c r="E33" s="0" t="inlineStr">
        <is>
          <t>Brine</t>
        </is>
      </c>
      <c r="F33" s="0" t="n">
        <v>1190</v>
      </c>
      <c r="G33" s="0" t="n">
        <v>0</v>
      </c>
      <c r="H33" s="0" t="n">
        <v>850</v>
      </c>
      <c r="I33" s="0" t="n">
        <v>340</v>
      </c>
      <c r="J33" s="0" t="n">
        <v>0</v>
      </c>
      <c r="K33" s="0" t="n">
        <v>2819</v>
      </c>
      <c r="L33" s="0" t="inlineStr">
        <is>
          <t>USD/tonne LCE</t>
        </is>
      </c>
      <c r="M33" s="0" t="n">
        <v>0.919963201471941</v>
      </c>
      <c r="N33" s="0" t="inlineStr">
        <is>
          <t>Busch et al. 2025 Supplementary Data S2</t>
        </is>
      </c>
    </row>
    <row r="34">
      <c r="A34" s="0" t="n">
        <v>38</v>
      </c>
      <c r="B34" s="0" t="inlineStr">
        <is>
          <t>Zeus (Noram)</t>
        </is>
      </c>
      <c r="C34" s="0" t="inlineStr">
        <is>
          <t>United States</t>
        </is>
      </c>
      <c r="D34" s="0" t="inlineStr">
        <is>
          <t>NorthAm</t>
        </is>
      </c>
      <c r="E34" s="0" t="inlineStr">
        <is>
          <t>Volcano-Sedimentary</t>
        </is>
      </c>
      <c r="F34" s="0" t="n">
        <v>1176.757</v>
      </c>
      <c r="G34" s="0" t="n">
        <v>0</v>
      </c>
      <c r="H34" s="0" t="n">
        <v>972.079</v>
      </c>
      <c r="I34" s="0" t="n">
        <v>204.678</v>
      </c>
      <c r="J34" s="0" t="n">
        <v>5.992861168514</v>
      </c>
      <c r="K34" s="0" t="n">
        <v>3355</v>
      </c>
      <c r="L34" s="0" t="inlineStr">
        <is>
          <t>USD/tonne LCE</t>
        </is>
      </c>
      <c r="M34" s="0" t="n">
        <v>1.047</v>
      </c>
      <c r="N34" s="0" t="inlineStr">
        <is>
          <t>Busch et al. 2025 Supplementary Data S2</t>
        </is>
      </c>
    </row>
    <row r="35">
      <c r="A35" s="0" t="n">
        <v>39</v>
      </c>
      <c r="B35" s="0" t="inlineStr">
        <is>
          <t>Boardwalk</t>
        </is>
      </c>
      <c r="C35" s="0" t="inlineStr">
        <is>
          <t>Canada</t>
        </is>
      </c>
      <c r="D35" s="0" t="inlineStr">
        <is>
          <t>NorthAm</t>
        </is>
      </c>
      <c r="E35" s="0" t="inlineStr">
        <is>
          <t>Brine</t>
        </is>
      </c>
      <c r="F35" s="0" t="n">
        <v>1151</v>
      </c>
      <c r="G35" s="0" t="n">
        <v>0</v>
      </c>
      <c r="H35" s="0" t="n">
        <v>0</v>
      </c>
      <c r="I35" s="0" t="n">
        <v>1151</v>
      </c>
      <c r="J35" s="0" t="n">
        <v>5.182791658839</v>
      </c>
      <c r="K35" s="0" t="n">
        <v>4533</v>
      </c>
      <c r="L35" s="0" t="inlineStr">
        <is>
          <t>USD/tonne LHM (LiOH.H2O)</t>
        </is>
      </c>
      <c r="M35" s="0" t="n">
        <v>0.861388765423166</v>
      </c>
      <c r="N35" s="0" t="inlineStr">
        <is>
          <t>Busch et al. 2025 Supplementary Data S2</t>
        </is>
      </c>
    </row>
    <row r="36">
      <c r="A36" s="0" t="n">
        <v>40</v>
      </c>
      <c r="B36" s="0" t="inlineStr">
        <is>
          <t>Salar de Cauchari (Allkem)</t>
        </is>
      </c>
      <c r="C36" s="0" t="inlineStr">
        <is>
          <t>Argentina</t>
        </is>
      </c>
      <c r="D36" s="0" t="inlineStr">
        <is>
          <t>LatAm</t>
        </is>
      </c>
      <c r="E36" s="0" t="inlineStr">
        <is>
          <t>Brine</t>
        </is>
      </c>
      <c r="F36" s="0" t="n">
        <v>1120</v>
      </c>
      <c r="G36" s="0" t="n">
        <v>212</v>
      </c>
      <c r="H36" s="0" t="n">
        <v>623</v>
      </c>
      <c r="I36" s="0" t="n">
        <v>285</v>
      </c>
      <c r="J36" s="0" t="n">
        <v>0</v>
      </c>
      <c r="K36" s="0" t="n">
        <v>4081</v>
      </c>
      <c r="L36" s="0" t="inlineStr">
        <is>
          <t>USD/tonne LCE</t>
        </is>
      </c>
      <c r="M36" s="0" t="n">
        <v>0.919963201471941</v>
      </c>
      <c r="N36" s="0" t="inlineStr">
        <is>
          <t>Busch et al. 2025 Supplementary Data S2</t>
        </is>
      </c>
    </row>
    <row r="37">
      <c r="A37" s="0" t="n">
        <v>41</v>
      </c>
      <c r="B37" s="0" t="inlineStr">
        <is>
          <t>Titan 2</t>
        </is>
      </c>
      <c r="C37" s="0" t="inlineStr">
        <is>
          <t>Tanzania</t>
        </is>
      </c>
      <c r="D37" s="0" t="inlineStr">
        <is>
          <t>Africa_Other</t>
        </is>
      </c>
      <c r="E37" s="0" t="inlineStr">
        <is>
          <t>Volcano-Sedimentary</t>
        </is>
      </c>
      <c r="F37" s="0" t="n">
        <v>1102</v>
      </c>
      <c r="G37" s="0" t="n">
        <v>0</v>
      </c>
      <c r="H37" s="0" t="n">
        <v>0</v>
      </c>
      <c r="I37" s="0" t="n">
        <v>1102</v>
      </c>
      <c r="J37" s="0" t="n">
        <v>0</v>
      </c>
      <c r="M37" s="0" t="n">
        <v>0.919963201471941</v>
      </c>
      <c r="N37" s="0" t="inlineStr">
        <is>
          <t>Busch et al. 2025 Supplementary Data S2</t>
        </is>
      </c>
    </row>
    <row r="38">
      <c r="A38" s="0" t="n">
        <v>42</v>
      </c>
      <c r="B38" s="0" t="inlineStr">
        <is>
          <t>Kathleen Valley</t>
        </is>
      </c>
      <c r="C38" s="0" t="inlineStr">
        <is>
          <t>Australia</t>
        </is>
      </c>
      <c r="D38" s="0" t="inlineStr">
        <is>
          <t>Australia</t>
        </is>
      </c>
      <c r="E38" s="0" t="inlineStr">
        <is>
          <t>Hard Rock</t>
        </is>
      </c>
      <c r="F38" s="0" t="n">
        <v>992.6894243641231</v>
      </c>
      <c r="G38" s="0" t="n">
        <v>426.082089692102</v>
      </c>
      <c r="H38" s="0" t="n">
        <v>405.417240963855</v>
      </c>
      <c r="I38" s="0" t="n">
        <v>161.190093708166</v>
      </c>
      <c r="J38" s="0" t="n">
        <v>16.9481495397332</v>
      </c>
      <c r="M38" s="0" t="n">
        <v>1.047</v>
      </c>
      <c r="N38" s="0" t="inlineStr">
        <is>
          <t>Busch et al. 2025 Supplementary Data S2</t>
        </is>
      </c>
    </row>
    <row r="39">
      <c r="A39" s="0" t="n">
        <v>43</v>
      </c>
      <c r="B39" s="0" t="inlineStr">
        <is>
          <t>Nuristan</t>
        </is>
      </c>
      <c r="C39" s="0" t="inlineStr">
        <is>
          <t>Afghanistan</t>
        </is>
      </c>
      <c r="D39" s="0" t="inlineStr">
        <is>
          <t>ROW</t>
        </is>
      </c>
      <c r="E39" s="0" t="inlineStr">
        <is>
          <t>Hard Rock</t>
        </is>
      </c>
      <c r="F39" s="0" t="n">
        <v>987.033652</v>
      </c>
      <c r="G39" s="0" t="n">
        <v>0</v>
      </c>
      <c r="H39" s="0" t="n">
        <v>0</v>
      </c>
      <c r="I39" s="0" t="n">
        <v>987.033652</v>
      </c>
      <c r="J39" s="0" t="n">
        <v>0</v>
      </c>
      <c r="M39" s="0" t="inlineStr"/>
      <c r="N39" s="0" t="inlineStr">
        <is>
          <t>Busch et al. 2025 Supplementary Data S2</t>
        </is>
      </c>
    </row>
    <row r="40">
      <c r="A40" s="0" t="n">
        <v>44</v>
      </c>
      <c r="B40" s="0" t="inlineStr">
        <is>
          <t>Diablillios/Sal de Los Angeles</t>
        </is>
      </c>
      <c r="C40" s="0" t="inlineStr">
        <is>
          <t>Argentina</t>
        </is>
      </c>
      <c r="D40" s="0" t="inlineStr">
        <is>
          <t>LatAm</t>
        </is>
      </c>
      <c r="E40" s="0" t="inlineStr">
        <is>
          <t>Brine</t>
        </is>
      </c>
      <c r="F40" s="0" t="n">
        <v>930</v>
      </c>
      <c r="G40" s="0" t="n">
        <v>0</v>
      </c>
      <c r="H40" s="0" t="n">
        <v>0</v>
      </c>
      <c r="I40" s="0" t="n">
        <v>930</v>
      </c>
      <c r="J40" s="0" t="n">
        <v>9.39319932368965</v>
      </c>
      <c r="M40" s="0" t="n">
        <v>1.22912838804856</v>
      </c>
      <c r="N40" s="0" t="inlineStr">
        <is>
          <t>Busch et al. 2025 Supplementary Data S2</t>
        </is>
      </c>
    </row>
    <row r="41">
      <c r="A41" s="0" t="n">
        <v>45</v>
      </c>
      <c r="B41" s="0" t="inlineStr">
        <is>
          <t>Pastos Grandes (Lithium Americas)</t>
        </is>
      </c>
      <c r="C41" s="0" t="inlineStr">
        <is>
          <t>Argentina</t>
        </is>
      </c>
      <c r="D41" s="0" t="inlineStr">
        <is>
          <t>LatAm</t>
        </is>
      </c>
      <c r="E41" s="0" t="inlineStr">
        <is>
          <t>Brine</t>
        </is>
      </c>
      <c r="F41" s="0" t="n">
        <v>920.198159177044</v>
      </c>
      <c r="G41" s="0" t="n">
        <v>177</v>
      </c>
      <c r="H41" s="0" t="n">
        <v>593.276123443422</v>
      </c>
      <c r="I41" s="0" t="n">
        <v>149.922035733622</v>
      </c>
      <c r="J41" s="0" t="n">
        <v>1.76967875258313</v>
      </c>
      <c r="K41" s="0" t="n">
        <v>3388</v>
      </c>
      <c r="L41" s="0" t="inlineStr">
        <is>
          <t>USD/tonne LCE</t>
        </is>
      </c>
      <c r="M41" s="0" t="n">
        <v>1.11832164</v>
      </c>
      <c r="N41" s="0" t="inlineStr">
        <is>
          <t>Busch et al. 2025 Supplementary Data S2</t>
        </is>
      </c>
    </row>
    <row r="42">
      <c r="A42" s="0" t="n">
        <v>46</v>
      </c>
      <c r="B42" s="0" t="inlineStr">
        <is>
          <t>Falchani</t>
        </is>
      </c>
      <c r="C42" s="0" t="inlineStr">
        <is>
          <t>Peru</t>
        </is>
      </c>
      <c r="D42" s="0" t="inlineStr">
        <is>
          <t>LatAm</t>
        </is>
      </c>
      <c r="E42" s="0" t="inlineStr">
        <is>
          <t>Volcano-Sedimentary</t>
        </is>
      </c>
      <c r="F42" s="0" t="n">
        <v>884.878180833785</v>
      </c>
      <c r="G42" s="0" t="n">
        <v>0</v>
      </c>
      <c r="H42" s="0" t="n">
        <v>180.357336220899</v>
      </c>
      <c r="I42" s="0" t="n">
        <v>704.520844612886</v>
      </c>
      <c r="J42" s="0" t="n">
        <v>6.79203456697351</v>
      </c>
      <c r="M42" s="0" t="n">
        <v>1.11832164</v>
      </c>
      <c r="N42" s="0" t="inlineStr">
        <is>
          <t>Busch et al. 2025 Supplementary Data S2</t>
        </is>
      </c>
    </row>
    <row r="43">
      <c r="A43" s="0" t="n">
        <v>47</v>
      </c>
      <c r="B43" s="0" t="inlineStr">
        <is>
          <t>Salar de Tambo</t>
        </is>
      </c>
      <c r="C43" s="0" t="inlineStr">
        <is>
          <t>Chile</t>
        </is>
      </c>
      <c r="D43" s="0" t="inlineStr">
        <is>
          <t>LatAm</t>
        </is>
      </c>
      <c r="E43" s="0" t="inlineStr">
        <is>
          <t>Brine</t>
        </is>
      </c>
      <c r="F43" s="0" t="n">
        <v>877.89778830536</v>
      </c>
      <c r="G43" s="0" t="n">
        <v>0</v>
      </c>
      <c r="H43" s="0" t="n">
        <v>0</v>
      </c>
      <c r="I43" s="0" t="n">
        <v>877.89778830536</v>
      </c>
      <c r="J43" s="0" t="n">
        <v>0</v>
      </c>
      <c r="M43" s="0" t="inlineStr"/>
      <c r="N43" s="0" t="inlineStr">
        <is>
          <t>Busch et al. 2025 Supplementary Data S2</t>
        </is>
      </c>
    </row>
    <row r="44">
      <c r="A44" s="0" t="n">
        <v>48</v>
      </c>
      <c r="B44" s="0" t="inlineStr">
        <is>
          <t>Salar La Isla</t>
        </is>
      </c>
      <c r="C44" s="0" t="inlineStr">
        <is>
          <t>Chile</t>
        </is>
      </c>
      <c r="D44" s="0" t="inlineStr">
        <is>
          <t>LatAm</t>
        </is>
      </c>
      <c r="E44" s="0" t="inlineStr">
        <is>
          <t>Brine</t>
        </is>
      </c>
      <c r="F44" s="0" t="n">
        <v>853.615</v>
      </c>
      <c r="G44" s="0" t="n">
        <v>0</v>
      </c>
      <c r="H44" s="0" t="n">
        <v>0</v>
      </c>
      <c r="I44" s="0" t="n">
        <v>853.615</v>
      </c>
      <c r="J44" s="0" t="n">
        <v>0</v>
      </c>
      <c r="M44" s="0" t="n">
        <v>1.11832164</v>
      </c>
      <c r="N44" s="0" t="inlineStr">
        <is>
          <t>Busch et al. 2025 Supplementary Data S2</t>
        </is>
      </c>
    </row>
    <row r="45">
      <c r="A45" s="0" t="n">
        <v>49</v>
      </c>
      <c r="B45" s="0" t="inlineStr">
        <is>
          <t>Salar de Pedernales</t>
        </is>
      </c>
      <c r="C45" s="0" t="inlineStr">
        <is>
          <t>Chile</t>
        </is>
      </c>
      <c r="D45" s="0" t="inlineStr">
        <is>
          <t>LatAm</t>
        </is>
      </c>
      <c r="E45" s="0" t="inlineStr">
        <is>
          <t>Brine</t>
        </is>
      </c>
      <c r="F45" s="0" t="n">
        <v>807.42015322144</v>
      </c>
      <c r="G45" s="0" t="n">
        <v>0</v>
      </c>
      <c r="H45" s="0" t="n">
        <v>0</v>
      </c>
      <c r="I45" s="0" t="n">
        <v>807.42015322144</v>
      </c>
      <c r="J45" s="0" t="n">
        <v>0</v>
      </c>
      <c r="M45" s="0" t="inlineStr"/>
      <c r="N45" s="0" t="inlineStr">
        <is>
          <t>Busch et al. 2025 Supplementary Data S2</t>
        </is>
      </c>
    </row>
    <row r="46">
      <c r="A46" s="0" t="n">
        <v>50</v>
      </c>
      <c r="B46" s="0" t="inlineStr">
        <is>
          <t>Arizaro</t>
        </is>
      </c>
      <c r="C46" s="0" t="inlineStr">
        <is>
          <t>Argentina</t>
        </is>
      </c>
      <c r="D46" s="0" t="inlineStr">
        <is>
          <t>LatAm</t>
        </is>
      </c>
      <c r="E46" s="0" t="inlineStr">
        <is>
          <t>Brine</t>
        </is>
      </c>
      <c r="F46" s="0" t="n">
        <v>774.409312398484</v>
      </c>
      <c r="G46" s="0" t="n">
        <v>0</v>
      </c>
      <c r="H46" s="0" t="n">
        <v>469.304818624797</v>
      </c>
      <c r="I46" s="0" t="n">
        <v>305.104493773687</v>
      </c>
      <c r="J46" s="0" t="n">
        <v>0</v>
      </c>
      <c r="K46" s="0" t="n">
        <v>5197</v>
      </c>
      <c r="L46" s="0" t="inlineStr">
        <is>
          <t>USD/tonne LCE</t>
        </is>
      </c>
      <c r="M46" s="0" t="n">
        <v>0.919963201471941</v>
      </c>
      <c r="N46" s="0" t="inlineStr">
        <is>
          <t>Busch et al. 2025 Supplementary Data S2</t>
        </is>
      </c>
    </row>
    <row r="47">
      <c r="A47" s="0" t="n">
        <v>51</v>
      </c>
      <c r="B47" s="0" t="inlineStr">
        <is>
          <t>Exshaw</t>
        </is>
      </c>
      <c r="C47" s="0" t="inlineStr">
        <is>
          <t>Canada</t>
        </is>
      </c>
      <c r="D47" s="0" t="inlineStr">
        <is>
          <t>NorthAm</t>
        </is>
      </c>
      <c r="E47" s="0" t="inlineStr">
        <is>
          <t>Brine</t>
        </is>
      </c>
      <c r="F47" s="0" t="n">
        <v>732.701678397401</v>
      </c>
      <c r="G47" s="0" t="n">
        <v>0</v>
      </c>
      <c r="H47" s="0" t="n">
        <v>0</v>
      </c>
      <c r="I47" s="0" t="n">
        <v>732.701678397401</v>
      </c>
      <c r="J47" s="0" t="n">
        <v>0</v>
      </c>
      <c r="M47" s="0" t="n">
        <v>1.047</v>
      </c>
      <c r="N47" s="0" t="inlineStr">
        <is>
          <t>Busch et al. 2025 Supplementary Data S2</t>
        </is>
      </c>
    </row>
    <row r="48">
      <c r="A48" s="0" t="n">
        <v>52</v>
      </c>
      <c r="B48" s="0" t="inlineStr">
        <is>
          <t>Goulamina</t>
        </is>
      </c>
      <c r="C48" s="0" t="inlineStr">
        <is>
          <t>Mali</t>
        </is>
      </c>
      <c r="D48" s="0" t="inlineStr">
        <is>
          <t>Africa_Other</t>
        </is>
      </c>
      <c r="E48" s="0" t="inlineStr">
        <is>
          <t>Hard Rock</t>
        </is>
      </c>
      <c r="F48" s="0" t="n">
        <v>729.303882195449</v>
      </c>
      <c r="G48" s="0" t="n">
        <v>364.651941097724</v>
      </c>
      <c r="H48" s="0" t="n">
        <v>83.3291195761191</v>
      </c>
      <c r="I48" s="0" t="n">
        <v>281.322821521605</v>
      </c>
      <c r="J48" s="0" t="n">
        <v>20.2374600789029</v>
      </c>
      <c r="K48" s="0" t="n">
        <v>312</v>
      </c>
      <c r="L48" s="0" t="inlineStr">
        <is>
          <t>USD/tonne SC 6%</t>
        </is>
      </c>
      <c r="M48" s="0" t="n">
        <v>1.047</v>
      </c>
      <c r="N48" s="0" t="inlineStr">
        <is>
          <t>Busch et al. 2025 Supplementary Data S2</t>
        </is>
      </c>
    </row>
    <row r="49">
      <c r="A49" s="0" t="n">
        <v>53</v>
      </c>
      <c r="B49" s="0" t="inlineStr">
        <is>
          <t>Corvette</t>
        </is>
      </c>
      <c r="C49" s="0" t="inlineStr">
        <is>
          <t>Canada</t>
        </is>
      </c>
      <c r="D49" s="0" t="inlineStr">
        <is>
          <t>NorthAm</t>
        </is>
      </c>
      <c r="E49" s="0" t="inlineStr">
        <is>
          <t>Hard Rock</t>
        </is>
      </c>
      <c r="F49" s="0" t="n">
        <v>720.013386880857</v>
      </c>
      <c r="G49" s="0" t="n">
        <v>0</v>
      </c>
      <c r="H49" s="0" t="n">
        <v>0</v>
      </c>
      <c r="I49" s="0" t="n">
        <v>720.013386880857</v>
      </c>
      <c r="J49" s="0" t="n">
        <v>0</v>
      </c>
      <c r="M49" s="0" t="n">
        <v>0.919963201471941</v>
      </c>
      <c r="N49" s="0" t="inlineStr">
        <is>
          <t>Busch et al. 2025 Supplementary Data S2</t>
        </is>
      </c>
    </row>
    <row r="50">
      <c r="A50" s="0" t="n">
        <v>54</v>
      </c>
      <c r="B50" s="0" t="inlineStr">
        <is>
          <t>Salar de Cancosa</t>
        </is>
      </c>
      <c r="C50" s="0" t="inlineStr">
        <is>
          <t>Chile</t>
        </is>
      </c>
      <c r="D50" s="0" t="inlineStr">
        <is>
          <t>LatAm</t>
        </is>
      </c>
      <c r="E50" s="0" t="inlineStr">
        <is>
          <t>Brine</t>
        </is>
      </c>
      <c r="F50" s="0" t="n">
        <v>669.090021656741</v>
      </c>
      <c r="G50" s="0" t="n">
        <v>0</v>
      </c>
      <c r="H50" s="0" t="n">
        <v>0</v>
      </c>
      <c r="I50" s="0" t="n">
        <v>669.090021656741</v>
      </c>
      <c r="J50" s="0" t="n">
        <v>0</v>
      </c>
      <c r="M50" s="0" t="inlineStr"/>
      <c r="N50" s="0" t="inlineStr">
        <is>
          <t>Busch et al. 2025 Supplementary Data S2</t>
        </is>
      </c>
    </row>
    <row r="51">
      <c r="A51" s="0" t="n">
        <v>55</v>
      </c>
      <c r="B51" s="0" t="inlineStr">
        <is>
          <t>Pozuelos-Pastos Grandes (Pluspetrol)</t>
        </is>
      </c>
      <c r="C51" s="0" t="inlineStr">
        <is>
          <t>Argentina</t>
        </is>
      </c>
      <c r="D51" s="0" t="inlineStr">
        <is>
          <t>LatAm</t>
        </is>
      </c>
      <c r="E51" s="0" t="inlineStr">
        <is>
          <t>Brine</t>
        </is>
      </c>
      <c r="F51" s="0" t="n">
        <v>667.785</v>
      </c>
      <c r="G51" s="0" t="n">
        <v>0</v>
      </c>
      <c r="H51" s="0" t="n">
        <v>491.425</v>
      </c>
      <c r="I51" s="0" t="n">
        <v>176.36</v>
      </c>
      <c r="J51" s="0" t="n">
        <v>9.39319932368965</v>
      </c>
      <c r="K51" s="0" t="n">
        <v>2994</v>
      </c>
      <c r="L51" s="0" t="inlineStr">
        <is>
          <t>USD/tonne LCE</t>
        </is>
      </c>
      <c r="M51" s="0" t="n">
        <v>1.11832164</v>
      </c>
      <c r="N51" s="0" t="inlineStr">
        <is>
          <t>Busch et al. 2025 Supplementary Data S2</t>
        </is>
      </c>
    </row>
    <row r="52">
      <c r="A52" s="0" t="n">
        <v>56</v>
      </c>
      <c r="B52" s="0" t="inlineStr">
        <is>
          <t>Beaverhill</t>
        </is>
      </c>
      <c r="C52" s="0" t="inlineStr">
        <is>
          <t>Canada</t>
        </is>
      </c>
      <c r="D52" s="0" t="inlineStr">
        <is>
          <t>NorthAm</t>
        </is>
      </c>
      <c r="E52" s="0" t="inlineStr">
        <is>
          <t>Brine</t>
        </is>
      </c>
      <c r="F52" s="0" t="n">
        <v>594.86396</v>
      </c>
      <c r="G52" s="0" t="n">
        <v>0</v>
      </c>
      <c r="H52" s="0" t="n">
        <v>0</v>
      </c>
      <c r="I52" s="0" t="n">
        <v>594.86396</v>
      </c>
      <c r="J52" s="0" t="n">
        <v>0</v>
      </c>
      <c r="M52" s="0" t="inlineStr"/>
      <c r="N52" s="0" t="inlineStr">
        <is>
          <t>Busch et al. 2025 Supplementary Data S2</t>
        </is>
      </c>
    </row>
    <row r="53">
      <c r="A53" s="0" t="n">
        <v>57</v>
      </c>
      <c r="B53" s="0" t="inlineStr">
        <is>
          <t>Smackover LANXESS</t>
        </is>
      </c>
      <c r="C53" s="0" t="inlineStr">
        <is>
          <t>United States</t>
        </is>
      </c>
      <c r="D53" s="0" t="inlineStr">
        <is>
          <t>NorthAm</t>
        </is>
      </c>
      <c r="E53" s="0" t="inlineStr">
        <is>
          <t>Brine</t>
        </is>
      </c>
      <c r="F53" s="0" t="n">
        <v>590.3200000000001</v>
      </c>
      <c r="G53" s="0" t="n">
        <v>0</v>
      </c>
      <c r="H53" s="0" t="n">
        <v>0</v>
      </c>
      <c r="I53" s="0" t="n">
        <v>590.3200000000001</v>
      </c>
      <c r="J53" s="0" t="n">
        <v>3.92635731730227</v>
      </c>
      <c r="M53" s="0" t="inlineStr"/>
      <c r="N53" s="0" t="inlineStr">
        <is>
          <t>Busch et al. 2025 Supplementary Data S2</t>
        </is>
      </c>
    </row>
    <row r="54">
      <c r="A54" s="0" t="n">
        <v>58</v>
      </c>
      <c r="B54" s="0" t="inlineStr">
        <is>
          <t>Salar de Maricunga</t>
        </is>
      </c>
      <c r="C54" s="0" t="inlineStr">
        <is>
          <t>Chile</t>
        </is>
      </c>
      <c r="D54" s="0" t="inlineStr">
        <is>
          <t>LatAm</t>
        </is>
      </c>
      <c r="E54" s="0" t="inlineStr">
        <is>
          <t>Brine</t>
        </is>
      </c>
      <c r="F54" s="0" t="n">
        <v>542</v>
      </c>
      <c r="G54" s="0" t="n">
        <v>90</v>
      </c>
      <c r="H54" s="0" t="n">
        <v>268</v>
      </c>
      <c r="I54" s="0" t="n">
        <v>184</v>
      </c>
      <c r="J54" s="0" t="n">
        <v>2.56997933496149</v>
      </c>
      <c r="K54" s="0" t="n">
        <v>3864</v>
      </c>
      <c r="L54" s="0" t="inlineStr">
        <is>
          <t>USD/tonne LCE</t>
        </is>
      </c>
      <c r="M54" s="0" t="n">
        <v>1.080504</v>
      </c>
      <c r="N54" s="0" t="inlineStr">
        <is>
          <t>Busch et al. 2025 Supplementary Data S2</t>
        </is>
      </c>
    </row>
    <row r="55">
      <c r="A55" s="0" t="n">
        <v>59</v>
      </c>
      <c r="B55" s="0" t="inlineStr">
        <is>
          <t>Kings Mountain/Bessemer City</t>
        </is>
      </c>
      <c r="C55" s="0" t="inlineStr">
        <is>
          <t>United States</t>
        </is>
      </c>
      <c r="D55" s="0" t="inlineStr">
        <is>
          <t>NorthAm</t>
        </is>
      </c>
      <c r="E55" s="0" t="inlineStr">
        <is>
          <t>Hard Rock</t>
        </is>
      </c>
      <c r="F55" s="0" t="n">
        <v>516.987356626506</v>
      </c>
      <c r="G55" s="0" t="n">
        <v>0</v>
      </c>
      <c r="H55" s="0" t="n">
        <v>269.869878885282</v>
      </c>
      <c r="I55" s="0" t="n">
        <v>247.117477741224</v>
      </c>
      <c r="J55" s="0" t="n">
        <v>0</v>
      </c>
      <c r="M55" s="0" t="n">
        <v>1</v>
      </c>
      <c r="N55" s="0" t="inlineStr">
        <is>
          <t>Busch et al. 2025 Supplementary Data S2</t>
        </is>
      </c>
    </row>
    <row r="56">
      <c r="A56" s="0" t="n">
        <v>60</v>
      </c>
      <c r="B56" s="0" t="inlineStr">
        <is>
          <t>Beauvoir</t>
        </is>
      </c>
      <c r="C56" s="0" t="inlineStr">
        <is>
          <t>France</t>
        </is>
      </c>
      <c r="D56" s="0" t="inlineStr">
        <is>
          <t>France</t>
        </is>
      </c>
      <c r="E56" s="0" t="inlineStr">
        <is>
          <t>Hard Rock</t>
        </is>
      </c>
      <c r="F56" s="0" t="n">
        <v>510.977242302544</v>
      </c>
      <c r="G56" s="0" t="n">
        <v>0</v>
      </c>
      <c r="H56" s="0" t="n">
        <v>0</v>
      </c>
      <c r="I56" s="0" t="n">
        <v>510.977242302544</v>
      </c>
      <c r="J56" s="0" t="n">
        <v>0</v>
      </c>
      <c r="M56" s="0" t="n">
        <v>1</v>
      </c>
      <c r="N56" s="0" t="inlineStr">
        <is>
          <t>Busch et al. 2025 Supplementary Data S2</t>
        </is>
      </c>
    </row>
    <row r="57">
      <c r="A57" s="0" t="n">
        <v>61</v>
      </c>
      <c r="B57" s="0" t="inlineStr">
        <is>
          <t>La Corne(sayona)</t>
        </is>
      </c>
      <c r="C57" s="0" t="inlineStr">
        <is>
          <t>Canada</t>
        </is>
      </c>
      <c r="D57" s="0" t="inlineStr">
        <is>
          <t>NorthAm</t>
        </is>
      </c>
      <c r="E57" s="0" t="inlineStr">
        <is>
          <t>Hard Rock</t>
        </is>
      </c>
      <c r="F57" s="0" t="n">
        <v>502.151271753681</v>
      </c>
      <c r="G57" s="0" t="n">
        <v>130.206291834003</v>
      </c>
      <c r="H57" s="0" t="n">
        <v>230.636546184739</v>
      </c>
      <c r="I57" s="0" t="n">
        <v>141.30843373494</v>
      </c>
      <c r="J57" s="0" t="n">
        <v>5.63591959421379</v>
      </c>
      <c r="K57" s="0" t="n">
        <v>385</v>
      </c>
      <c r="L57" s="0" t="inlineStr">
        <is>
          <t>USD/tonne SC  6%</t>
        </is>
      </c>
      <c r="M57" s="0" t="n">
        <v>1</v>
      </c>
      <c r="N57" s="0" t="inlineStr">
        <is>
          <t>Busch et al. 2025 Supplementary Data S2</t>
        </is>
      </c>
    </row>
    <row r="58">
      <c r="A58" s="0" t="n">
        <v>62</v>
      </c>
      <c r="B58" s="0" t="inlineStr">
        <is>
          <t>Zinnwald</t>
        </is>
      </c>
      <c r="C58" s="0" t="inlineStr">
        <is>
          <t>Germany</t>
        </is>
      </c>
      <c r="D58" s="0" t="inlineStr">
        <is>
          <t>Germany</t>
        </is>
      </c>
      <c r="E58" s="0" t="inlineStr">
        <is>
          <t>Hard Rock</t>
        </is>
      </c>
      <c r="F58" s="0" t="n">
        <v>500</v>
      </c>
      <c r="G58" s="0" t="n">
        <v>0</v>
      </c>
      <c r="H58" s="0" t="n">
        <v>429</v>
      </c>
      <c r="I58" s="0" t="n">
        <v>71</v>
      </c>
      <c r="J58" s="0" t="n">
        <v>1.98572233702799</v>
      </c>
      <c r="M58" s="0" t="n">
        <v>0.919963201471941</v>
      </c>
      <c r="N58" s="0" t="inlineStr">
        <is>
          <t>Busch et al. 2025 Supplementary Data S2</t>
        </is>
      </c>
    </row>
    <row r="59">
      <c r="A59" s="0" t="n">
        <v>63</v>
      </c>
      <c r="B59" s="0" t="inlineStr">
        <is>
          <t>Mt. Marion</t>
        </is>
      </c>
      <c r="C59" s="0" t="inlineStr">
        <is>
          <t>Australia</t>
        </is>
      </c>
      <c r="D59" s="0" t="inlineStr">
        <is>
          <t>Australia</t>
        </is>
      </c>
      <c r="E59" s="0" t="inlineStr">
        <is>
          <t>Hard Rock</t>
        </is>
      </c>
      <c r="F59" s="0" t="n">
        <v>453.48765729585</v>
      </c>
      <c r="G59" s="0" t="n">
        <v>0</v>
      </c>
      <c r="H59" s="0" t="n">
        <v>141.215528781794</v>
      </c>
      <c r="I59" s="0" t="n">
        <v>312.272128514056</v>
      </c>
      <c r="J59" s="0" t="n">
        <v>22.5436783768552</v>
      </c>
      <c r="M59" s="0" t="n">
        <v>1.15858121904</v>
      </c>
      <c r="N59" s="0" t="inlineStr">
        <is>
          <t>Busch et al. 2025 Supplementary Data S2</t>
        </is>
      </c>
    </row>
    <row r="60">
      <c r="A60" s="0" t="n">
        <v>64</v>
      </c>
      <c r="B60" s="0" t="inlineStr">
        <is>
          <t>Great Salt Lake</t>
        </is>
      </c>
      <c r="C60" s="0" t="inlineStr">
        <is>
          <t>United States</t>
        </is>
      </c>
      <c r="D60" s="0" t="inlineStr">
        <is>
          <t>NorthAm</t>
        </is>
      </c>
      <c r="E60" s="0" t="inlineStr">
        <is>
          <t>Brine</t>
        </is>
      </c>
      <c r="F60" s="0" t="n">
        <v>439.389</v>
      </c>
      <c r="G60" s="0" t="n">
        <v>0</v>
      </c>
      <c r="H60" s="0" t="n">
        <v>0</v>
      </c>
      <c r="I60" s="0" t="n">
        <v>439.389</v>
      </c>
      <c r="J60" s="0" t="n">
        <v>0</v>
      </c>
      <c r="M60" s="0" t="n">
        <v>0.919963201471941</v>
      </c>
      <c r="N60" s="0" t="inlineStr">
        <is>
          <t>Busch et al. 2025 Supplementary Data S2</t>
        </is>
      </c>
    </row>
    <row r="61">
      <c r="A61" s="0" t="n">
        <v>65</v>
      </c>
      <c r="B61" s="0" t="inlineStr">
        <is>
          <t>Clearwater</t>
        </is>
      </c>
      <c r="C61" s="0" t="inlineStr">
        <is>
          <t>Canada</t>
        </is>
      </c>
      <c r="D61" s="0" t="inlineStr">
        <is>
          <t>NorthAm</t>
        </is>
      </c>
      <c r="E61" s="0" t="inlineStr">
        <is>
          <t>Brine</t>
        </is>
      </c>
      <c r="F61" s="0" t="n">
        <v>413.318895506226</v>
      </c>
      <c r="G61" s="0" t="n">
        <v>0</v>
      </c>
      <c r="H61" s="0" t="n">
        <v>0</v>
      </c>
      <c r="I61" s="0" t="n">
        <v>413.318895506226</v>
      </c>
      <c r="J61" s="0" t="n">
        <v>3.30640616193876</v>
      </c>
      <c r="K61" s="0" t="n">
        <v>3656</v>
      </c>
      <c r="L61" s="0" t="inlineStr">
        <is>
          <t>USD/tonne LHM (LiOH.H2O)</t>
        </is>
      </c>
      <c r="M61" s="0" t="n">
        <v>1.047</v>
      </c>
      <c r="N61" s="0" t="inlineStr">
        <is>
          <t>Busch et al. 2025 Supplementary Data S2</t>
        </is>
      </c>
    </row>
    <row r="62">
      <c r="A62" s="0" t="n">
        <v>66</v>
      </c>
      <c r="B62" s="0" t="inlineStr">
        <is>
          <t>PAK/Spark</t>
        </is>
      </c>
      <c r="C62" s="0" t="inlineStr">
        <is>
          <t>Canada</t>
        </is>
      </c>
      <c r="D62" s="0" t="inlineStr">
        <is>
          <t>NorthAm</t>
        </is>
      </c>
      <c r="E62" s="0" t="inlineStr">
        <is>
          <t>Hard Rock</t>
        </is>
      </c>
      <c r="F62" s="0" t="n">
        <v>409.270473895582</v>
      </c>
      <c r="G62" s="0" t="n">
        <v>159.122958500669</v>
      </c>
      <c r="H62" s="0" t="n">
        <v>36.6040870147256</v>
      </c>
      <c r="I62" s="0" t="n">
        <v>213.543428380187</v>
      </c>
      <c r="J62" s="0" t="n">
        <v>3.45256434341537</v>
      </c>
      <c r="M62" s="0" t="n">
        <v>0.919963201471941</v>
      </c>
      <c r="N62" s="0" t="inlineStr">
        <is>
          <t>Busch et al. 2025 Supplementary Data S2</t>
        </is>
      </c>
    </row>
    <row r="63">
      <c r="A63" s="0" t="n">
        <v>67</v>
      </c>
      <c r="B63" s="0" t="inlineStr">
        <is>
          <t>Barraute</t>
        </is>
      </c>
      <c r="C63" s="0" t="inlineStr">
        <is>
          <t>Canada</t>
        </is>
      </c>
      <c r="D63" s="0" t="inlineStr">
        <is>
          <t>NorthAm</t>
        </is>
      </c>
      <c r="E63" s="0" t="inlineStr">
        <is>
          <t>Hard Rock</t>
        </is>
      </c>
      <c r="F63" s="0" t="n">
        <v>370.26788</v>
      </c>
      <c r="G63" s="0" t="n">
        <v>0</v>
      </c>
      <c r="H63" s="0" t="n">
        <v>0</v>
      </c>
      <c r="I63" s="0" t="n">
        <v>370.26788</v>
      </c>
      <c r="J63" s="0" t="n">
        <v>0</v>
      </c>
      <c r="M63" s="0" t="inlineStr"/>
      <c r="N63" s="0" t="inlineStr">
        <is>
          <t>Busch et al. 2025 Supplementary Data S2</t>
        </is>
      </c>
    </row>
    <row r="64">
      <c r="A64" s="0" t="n">
        <v>68</v>
      </c>
      <c r="B64" s="0" t="inlineStr">
        <is>
          <t>Arcadia</t>
        </is>
      </c>
      <c r="C64" s="0" t="inlineStr">
        <is>
          <t>Zimbabwe</t>
        </is>
      </c>
      <c r="D64" s="0" t="inlineStr">
        <is>
          <t>Africa_Other</t>
        </is>
      </c>
      <c r="E64" s="0" t="inlineStr">
        <is>
          <t>Hard Rock</t>
        </is>
      </c>
      <c r="F64" s="0" t="n">
        <v>357.776974564926</v>
      </c>
      <c r="G64" s="0" t="n">
        <v>234.120481927711</v>
      </c>
      <c r="H64" s="0" t="n">
        <v>68.4622486271994</v>
      </c>
      <c r="I64" s="0" t="n">
        <v>55.1942440100162</v>
      </c>
      <c r="J64" s="0" t="n">
        <v>4.09543490512869</v>
      </c>
      <c r="K64" s="0" t="n">
        <v>357</v>
      </c>
      <c r="L64" s="0" t="inlineStr">
        <is>
          <t>USD/ tonne SC 6%</t>
        </is>
      </c>
      <c r="M64" s="0" t="n">
        <v>1.047</v>
      </c>
      <c r="N64" s="0" t="inlineStr">
        <is>
          <t>Busch et al. 2025 Supplementary Data S2</t>
        </is>
      </c>
    </row>
    <row r="65">
      <c r="A65" s="0" t="n">
        <v>69</v>
      </c>
      <c r="B65" s="0" t="inlineStr">
        <is>
          <t>Salar de Surire</t>
        </is>
      </c>
      <c r="C65" s="0" t="inlineStr">
        <is>
          <t>Chile</t>
        </is>
      </c>
      <c r="D65" s="0" t="inlineStr">
        <is>
          <t>LatAm</t>
        </is>
      </c>
      <c r="E65" s="0" t="inlineStr">
        <is>
          <t>Brine</t>
        </is>
      </c>
      <c r="F65" s="0" t="n">
        <v>350.475824038982</v>
      </c>
      <c r="G65" s="0" t="n">
        <v>0</v>
      </c>
      <c r="H65" s="0" t="n">
        <v>0</v>
      </c>
      <c r="I65" s="0" t="n">
        <v>350.475824038982</v>
      </c>
      <c r="J65" s="0" t="n">
        <v>0</v>
      </c>
      <c r="M65" s="0" t="inlineStr"/>
      <c r="N65" s="0" t="inlineStr">
        <is>
          <t>Busch et al. 2025 Supplementary Data S2</t>
        </is>
      </c>
    </row>
    <row r="66">
      <c r="A66" s="0" t="n">
        <v>70</v>
      </c>
      <c r="B66" s="0" t="inlineStr">
        <is>
          <t>Laguna Verde</t>
        </is>
      </c>
      <c r="C66" s="0" t="inlineStr">
        <is>
          <t>Chile</t>
        </is>
      </c>
      <c r="D66" s="0" t="inlineStr">
        <is>
          <t>LatAm</t>
        </is>
      </c>
      <c r="E66" s="0" t="inlineStr">
        <is>
          <t>Brine</t>
        </is>
      </c>
      <c r="F66" s="0" t="n">
        <v>338.170005414185</v>
      </c>
      <c r="G66" s="0" t="n">
        <v>0</v>
      </c>
      <c r="H66" s="0" t="n">
        <v>206.659447753113</v>
      </c>
      <c r="I66" s="0" t="n">
        <v>131.510557661072</v>
      </c>
      <c r="J66" s="0" t="n">
        <v>3.75727972947586</v>
      </c>
      <c r="K66" s="0" t="n">
        <v>3875</v>
      </c>
      <c r="L66" s="0" t="inlineStr">
        <is>
          <t>USD/tonne LCE</t>
        </is>
      </c>
      <c r="M66" s="0" t="inlineStr"/>
      <c r="N66" s="0" t="inlineStr">
        <is>
          <t>Busch et al. 2025 Supplementary Data S2</t>
        </is>
      </c>
    </row>
    <row r="67">
      <c r="A67" s="0" t="n">
        <v>71</v>
      </c>
      <c r="B67" s="0" t="inlineStr">
        <is>
          <t>Zhabuye</t>
        </is>
      </c>
      <c r="C67" s="0" t="inlineStr">
        <is>
          <t>China</t>
        </is>
      </c>
      <c r="D67" s="0" t="inlineStr">
        <is>
          <t>China</t>
        </is>
      </c>
      <c r="E67" s="0" t="inlineStr">
        <is>
          <t>Brine</t>
        </is>
      </c>
      <c r="F67" s="0" t="n">
        <v>335.840389821332</v>
      </c>
      <c r="G67" s="0" t="n">
        <v>0</v>
      </c>
      <c r="H67" s="0" t="n">
        <v>335.840389821332</v>
      </c>
      <c r="I67" s="0" t="n">
        <v>5.6843418860808e-14</v>
      </c>
      <c r="J67" s="0" t="n">
        <v>0.939319932368965</v>
      </c>
      <c r="K67" s="0" t="n">
        <v>3819</v>
      </c>
      <c r="L67" s="0" t="inlineStr">
        <is>
          <t>USD/tonne LCE</t>
        </is>
      </c>
      <c r="M67" s="0" t="n">
        <v>0.919963201471941</v>
      </c>
      <c r="N67" s="0" t="inlineStr">
        <is>
          <t>Busch et al. 2025 Supplementary Data S2</t>
        </is>
      </c>
    </row>
    <row r="68">
      <c r="A68" s="0" t="n">
        <v>72</v>
      </c>
      <c r="B68" s="0" t="inlineStr">
        <is>
          <t>Dahongliu</t>
        </is>
      </c>
      <c r="C68" s="0" t="inlineStr">
        <is>
          <t>China</t>
        </is>
      </c>
      <c r="D68" s="0" t="inlineStr">
        <is>
          <t>China</t>
        </is>
      </c>
      <c r="E68" s="0" t="inlineStr">
        <is>
          <t>Hard Rock</t>
        </is>
      </c>
      <c r="F68" s="0" t="n">
        <v>316.348797858099</v>
      </c>
      <c r="G68" s="0" t="n">
        <v>0</v>
      </c>
      <c r="H68" s="0" t="n">
        <v>316.348797858099</v>
      </c>
      <c r="I68" s="0" t="n">
        <v>0</v>
      </c>
      <c r="J68" s="0" t="n">
        <v>0</v>
      </c>
      <c r="M68" s="0" t="inlineStr"/>
      <c r="N68" s="0" t="inlineStr">
        <is>
          <t>Busch et al. 2025 Supplementary Data S2</t>
        </is>
      </c>
    </row>
    <row r="69">
      <c r="A69" s="0" t="n">
        <v>73</v>
      </c>
      <c r="B69" s="0" t="inlineStr">
        <is>
          <t>San Jose/Valdeflores</t>
        </is>
      </c>
      <c r="C69" s="0" t="inlineStr">
        <is>
          <t>Spain</t>
        </is>
      </c>
      <c r="D69" s="0" t="inlineStr">
        <is>
          <t>SpainPor</t>
        </is>
      </c>
      <c r="E69" s="0" t="inlineStr">
        <is>
          <t>Hard Rock</t>
        </is>
      </c>
      <c r="F69" s="0" t="n">
        <v>312.04</v>
      </c>
      <c r="G69" s="0" t="n">
        <v>141.698634538153</v>
      </c>
      <c r="H69" s="0" t="n">
        <v>28.3013654618474</v>
      </c>
      <c r="I69" s="0" t="n">
        <v>142.04</v>
      </c>
      <c r="J69" s="0" t="n">
        <v>3.22374600789029</v>
      </c>
      <c r="K69" s="0" t="n">
        <v>5434</v>
      </c>
      <c r="L69" s="0" t="inlineStr">
        <is>
          <t>USD/tonne LiOH</t>
        </is>
      </c>
      <c r="M69" s="0" t="n">
        <v>1.11832164</v>
      </c>
      <c r="N69" s="0" t="inlineStr">
        <is>
          <t>Busch et al. 2025 Supplementary Data S2</t>
        </is>
      </c>
    </row>
    <row r="70">
      <c r="A70" s="0" t="n">
        <v>74</v>
      </c>
      <c r="B70" s="0" t="inlineStr">
        <is>
          <t>Hombre Muerto North (Lithium South)</t>
        </is>
      </c>
      <c r="C70" s="0" t="inlineStr">
        <is>
          <t>Argentina</t>
        </is>
      </c>
      <c r="D70" s="0" t="inlineStr">
        <is>
          <t>LatAm</t>
        </is>
      </c>
      <c r="E70" s="0" t="inlineStr">
        <is>
          <t>Brine</t>
        </is>
      </c>
      <c r="F70" s="0" t="n">
        <v>297.4</v>
      </c>
      <c r="G70" s="0" t="n">
        <v>0</v>
      </c>
      <c r="H70" s="0" t="n">
        <v>297.4</v>
      </c>
      <c r="I70" s="0" t="n">
        <v>0</v>
      </c>
      <c r="J70" s="0" t="n">
        <v>0.939319932368965</v>
      </c>
      <c r="K70" s="0" t="n">
        <v>3122</v>
      </c>
      <c r="L70" s="0" t="inlineStr">
        <is>
          <t>USD/tonne LCE</t>
        </is>
      </c>
      <c r="M70" s="0" t="n">
        <v>0.919963201471941</v>
      </c>
      <c r="N70" s="0" t="inlineStr">
        <is>
          <t>Busch et al. 2025 Supplementary Data S2</t>
        </is>
      </c>
    </row>
    <row r="71">
      <c r="A71" s="0" t="n">
        <v>75</v>
      </c>
      <c r="B71" s="0" t="inlineStr">
        <is>
          <t>Green River</t>
        </is>
      </c>
      <c r="C71" s="0" t="inlineStr">
        <is>
          <t>United States</t>
        </is>
      </c>
      <c r="D71" s="0" t="inlineStr">
        <is>
          <t>NorthAm</t>
        </is>
      </c>
      <c r="E71" s="0" t="inlineStr">
        <is>
          <t>Brine</t>
        </is>
      </c>
      <c r="F71" s="0" t="n">
        <v>295</v>
      </c>
      <c r="G71" s="0" t="n">
        <v>0</v>
      </c>
      <c r="H71" s="0" t="n">
        <v>0</v>
      </c>
      <c r="I71" s="0" t="n">
        <v>295</v>
      </c>
      <c r="J71" s="0" t="n">
        <v>0</v>
      </c>
      <c r="M71" s="0" t="n">
        <v>0.861388765423166</v>
      </c>
      <c r="N71" s="0" t="inlineStr">
        <is>
          <t>Busch et al. 2025 Supplementary Data S2</t>
        </is>
      </c>
    </row>
    <row r="72">
      <c r="A72" s="0" t="n">
        <v>76</v>
      </c>
      <c r="B72" s="0" t="inlineStr">
        <is>
          <t>Silver Peak</t>
        </is>
      </c>
      <c r="C72" s="0" t="inlineStr">
        <is>
          <t>United States</t>
        </is>
      </c>
      <c r="D72" s="0" t="inlineStr">
        <is>
          <t>NorthAm</t>
        </is>
      </c>
      <c r="E72" s="0" t="inlineStr">
        <is>
          <t>Brine</t>
        </is>
      </c>
      <c r="F72" s="0" t="n">
        <v>293.28</v>
      </c>
      <c r="G72" s="0" t="n">
        <v>0</v>
      </c>
      <c r="H72" s="0" t="n">
        <v>0</v>
      </c>
      <c r="I72" s="0" t="n">
        <v>293.28</v>
      </c>
      <c r="J72" s="0" t="n">
        <v>3.75727972947586</v>
      </c>
      <c r="M72" s="0" t="inlineStr"/>
      <c r="N72" s="0" t="inlineStr">
        <is>
          <t>Busch et al. 2025 Supplementary Data S2</t>
        </is>
      </c>
    </row>
    <row r="73">
      <c r="A73" s="0" t="n">
        <v>77</v>
      </c>
      <c r="B73" s="0" t="inlineStr">
        <is>
          <t>Kolmorzerskoe</t>
        </is>
      </c>
      <c r="C73" s="0" t="inlineStr">
        <is>
          <t>Russia</t>
        </is>
      </c>
      <c r="D73" s="0" t="inlineStr">
        <is>
          <t>Russia</t>
        </is>
      </c>
      <c r="E73" s="0" t="inlineStr">
        <is>
          <t>Hard Rock</t>
        </is>
      </c>
      <c r="F73" s="0" t="n">
        <v>288.208512</v>
      </c>
      <c r="G73" s="0" t="n">
        <v>0</v>
      </c>
      <c r="H73" s="0" t="n">
        <v>0</v>
      </c>
      <c r="I73" s="0" t="n">
        <v>288.208512</v>
      </c>
      <c r="J73" s="0" t="n">
        <v>0</v>
      </c>
      <c r="M73" s="0" t="inlineStr"/>
      <c r="N73" s="0" t="inlineStr">
        <is>
          <t>Busch et al. 2025 Supplementary Data S2</t>
        </is>
      </c>
    </row>
    <row r="74">
      <c r="A74" s="0" t="n">
        <v>78</v>
      </c>
      <c r="B74" s="0" t="inlineStr">
        <is>
          <t>Paradox</t>
        </is>
      </c>
      <c r="C74" s="0" t="inlineStr">
        <is>
          <t>United States</t>
        </is>
      </c>
      <c r="D74" s="0" t="inlineStr">
        <is>
          <t>NorthAm</t>
        </is>
      </c>
      <c r="E74" s="0" t="inlineStr">
        <is>
          <t>Brine</t>
        </is>
      </c>
      <c r="F74" s="0" t="n">
        <v>282.559826746075</v>
      </c>
      <c r="G74" s="0" t="n">
        <v>0</v>
      </c>
      <c r="H74" s="0" t="n">
        <v>68.94910665944781</v>
      </c>
      <c r="I74" s="0" t="n">
        <v>213.610720086627</v>
      </c>
      <c r="J74" s="0" t="n">
        <v>2.45613375915837</v>
      </c>
      <c r="K74" s="0" t="n">
        <v>4368</v>
      </c>
      <c r="L74" s="0" t="inlineStr">
        <is>
          <t>USD/tonne LCE</t>
        </is>
      </c>
      <c r="M74" s="0" t="n">
        <v>0.861388765423166</v>
      </c>
      <c r="N74" s="0" t="inlineStr">
        <is>
          <t>Busch et al. 2025 Supplementary Data S2</t>
        </is>
      </c>
    </row>
    <row r="75">
      <c r="A75" s="0" t="n">
        <v>79</v>
      </c>
      <c r="B75" s="0" t="inlineStr">
        <is>
          <t>Salar de Aguilar</t>
        </is>
      </c>
      <c r="C75" s="0" t="inlineStr">
        <is>
          <t>Chile</t>
        </is>
      </c>
      <c r="D75" s="0" t="inlineStr">
        <is>
          <t>LatAm</t>
        </is>
      </c>
      <c r="E75" s="0" t="inlineStr">
        <is>
          <t>Brine</t>
        </is>
      </c>
      <c r="F75" s="0" t="n">
        <v>282.296</v>
      </c>
      <c r="G75" s="0" t="n">
        <v>0</v>
      </c>
      <c r="H75" s="0" t="n">
        <v>0</v>
      </c>
      <c r="I75" s="0" t="n">
        <v>282.296</v>
      </c>
      <c r="J75" s="0" t="n">
        <v>0</v>
      </c>
      <c r="M75" s="0" t="n">
        <v>1</v>
      </c>
      <c r="N75" s="0" t="inlineStr">
        <is>
          <t>Busch et al. 2025 Supplementary Data S2</t>
        </is>
      </c>
    </row>
    <row r="76">
      <c r="A76" s="0" t="n">
        <v>80</v>
      </c>
      <c r="B76" s="0" t="inlineStr">
        <is>
          <t>Kamativi</t>
        </is>
      </c>
      <c r="C76" s="0" t="inlineStr">
        <is>
          <t>Zimbabwe</t>
        </is>
      </c>
      <c r="D76" s="0" t="inlineStr">
        <is>
          <t>Africa_Other</t>
        </is>
      </c>
      <c r="E76" s="0" t="inlineStr">
        <is>
          <t>Hard Rock</t>
        </is>
      </c>
      <c r="F76" s="0" t="n">
        <v>280.20272</v>
      </c>
      <c r="G76" s="0" t="n">
        <v>0</v>
      </c>
      <c r="H76" s="0" t="n">
        <v>0</v>
      </c>
      <c r="I76" s="0" t="n">
        <v>280.20272</v>
      </c>
      <c r="J76" s="0" t="n">
        <v>0</v>
      </c>
      <c r="M76" s="0" t="inlineStr"/>
      <c r="N76" s="0" t="inlineStr">
        <is>
          <t>Busch et al. 2025 Supplementary Data S2</t>
        </is>
      </c>
    </row>
    <row r="77">
      <c r="A77" s="0" t="n">
        <v>81</v>
      </c>
      <c r="B77" s="0" t="inlineStr">
        <is>
          <t>Uis</t>
        </is>
      </c>
      <c r="C77" s="0" t="inlineStr">
        <is>
          <t>Namibia</t>
        </is>
      </c>
      <c r="D77" s="0" t="inlineStr">
        <is>
          <t>Africa_Other</t>
        </is>
      </c>
      <c r="E77" s="0" t="inlineStr">
        <is>
          <t>Hard Rock</t>
        </is>
      </c>
      <c r="F77" s="0" t="n">
        <v>272.676037483266</v>
      </c>
      <c r="G77" s="0" t="n">
        <v>0</v>
      </c>
      <c r="H77" s="0" t="n">
        <v>126.350736278447</v>
      </c>
      <c r="I77" s="0" t="n">
        <v>146.325301204819</v>
      </c>
      <c r="J77" s="0" t="n">
        <v>0</v>
      </c>
      <c r="M77" s="0" t="n">
        <v>0.919963201471941</v>
      </c>
      <c r="N77" s="0" t="inlineStr">
        <is>
          <t>Busch et al. 2025 Supplementary Data S2</t>
        </is>
      </c>
    </row>
    <row r="78">
      <c r="A78" s="0" t="n">
        <v>82</v>
      </c>
      <c r="B78" s="0" t="inlineStr">
        <is>
          <t>James Bay</t>
        </is>
      </c>
      <c r="C78" s="0" t="inlineStr">
        <is>
          <t>Canada</t>
        </is>
      </c>
      <c r="D78" s="0" t="inlineStr">
        <is>
          <t>NorthAm</t>
        </is>
      </c>
      <c r="E78" s="0" t="inlineStr">
        <is>
          <t>Hard Rock</t>
        </is>
      </c>
      <c r="F78" s="0" t="n">
        <v>262.084872824632</v>
      </c>
      <c r="G78" s="0" t="n">
        <v>224.6906291834</v>
      </c>
      <c r="H78" s="0" t="n">
        <v>37.3942436412316</v>
      </c>
      <c r="I78" s="0" t="n">
        <v>0</v>
      </c>
      <c r="J78" s="0" t="n">
        <v>8.585572045838809</v>
      </c>
      <c r="K78" s="0" t="n">
        <v>332.8</v>
      </c>
      <c r="L78" s="0" t="inlineStr">
        <is>
          <t>USD/tonne SC 6%</t>
        </is>
      </c>
      <c r="M78" s="0" t="n">
        <v>1.047</v>
      </c>
      <c r="N78" s="0" t="inlineStr">
        <is>
          <t>Busch et al. 2025 Supplementary Data S2</t>
        </is>
      </c>
    </row>
    <row r="79">
      <c r="A79" s="0" t="n">
        <v>83</v>
      </c>
      <c r="B79" s="0" t="inlineStr">
        <is>
          <t>Whabouchi</t>
        </is>
      </c>
      <c r="C79" s="0" t="inlineStr">
        <is>
          <t>Canada</t>
        </is>
      </c>
      <c r="D79" s="0" t="inlineStr">
        <is>
          <t>NorthAm</t>
        </is>
      </c>
      <c r="E79" s="0" t="inlineStr">
        <is>
          <t>Hard Rock</t>
        </is>
      </c>
      <c r="F79" s="0" t="n">
        <v>260.3182933992</v>
      </c>
      <c r="G79" s="0" t="n">
        <v>221.020883534136</v>
      </c>
      <c r="H79" s="0" t="n">
        <v>39.2974098650635</v>
      </c>
      <c r="I79" s="0" t="n">
        <v>0</v>
      </c>
      <c r="J79" s="0" t="n">
        <v>5.91339470223558</v>
      </c>
      <c r="M79" s="0" t="n">
        <v>1.11832164</v>
      </c>
      <c r="N79" s="0" t="inlineStr">
        <is>
          <t>Busch et al. 2025 Supplementary Data S2</t>
        </is>
      </c>
    </row>
    <row r="80">
      <c r="A80" s="0" t="n">
        <v>84</v>
      </c>
      <c r="B80" s="0" t="inlineStr">
        <is>
          <t>Yichun 414</t>
        </is>
      </c>
      <c r="C80" s="0" t="inlineStr">
        <is>
          <t>China</t>
        </is>
      </c>
      <c r="D80" s="0" t="inlineStr">
        <is>
          <t>China</t>
        </is>
      </c>
      <c r="E80" s="0" t="inlineStr">
        <is>
          <t>Hard Rock</t>
        </is>
      </c>
      <c r="F80" s="0" t="n">
        <v>255.989564658634</v>
      </c>
      <c r="G80" s="0" t="n">
        <v>0</v>
      </c>
      <c r="H80" s="0" t="n">
        <v>0</v>
      </c>
      <c r="I80" s="0" t="n">
        <v>255.989564658634</v>
      </c>
      <c r="J80" s="0" t="n">
        <v>1.83862483561901</v>
      </c>
      <c r="M80" s="0" t="n">
        <v>1</v>
      </c>
      <c r="N80" s="0" t="inlineStr">
        <is>
          <t>Busch et al. 2025 Supplementary Data S2</t>
        </is>
      </c>
    </row>
    <row r="81">
      <c r="A81" s="0" t="n">
        <v>85</v>
      </c>
      <c r="B81" s="0" t="inlineStr">
        <is>
          <t>Rhyolite Ridge</t>
        </is>
      </c>
      <c r="C81" s="0" t="inlineStr">
        <is>
          <t>United States</t>
        </is>
      </c>
      <c r="D81" s="0" t="inlineStr">
        <is>
          <t>NorthAm</t>
        </is>
      </c>
      <c r="E81" s="0" t="inlineStr">
        <is>
          <t>Volcano-Sedimentary</t>
        </is>
      </c>
      <c r="F81" s="0" t="n">
        <v>234.4</v>
      </c>
      <c r="G81" s="0" t="n">
        <v>108.1794</v>
      </c>
      <c r="H81" s="0" t="n">
        <v>95.2111020352781</v>
      </c>
      <c r="I81" s="0" t="n">
        <v>31.0094979647218</v>
      </c>
      <c r="J81" s="0" t="n">
        <v>4.50873567537103</v>
      </c>
      <c r="K81" s="0" t="n">
        <v>2510</v>
      </c>
      <c r="L81" s="0" t="inlineStr">
        <is>
          <t>USD/tonne LCE</t>
        </is>
      </c>
      <c r="M81" s="0" t="n">
        <v>1.080504</v>
      </c>
      <c r="N81" s="0" t="inlineStr">
        <is>
          <t>Busch et al. 2025 Supplementary Data S2</t>
        </is>
      </c>
    </row>
    <row r="82">
      <c r="A82" s="0" t="n">
        <v>86</v>
      </c>
      <c r="B82" s="0" t="inlineStr">
        <is>
          <t>Kenticha</t>
        </is>
      </c>
      <c r="C82" s="0" t="inlineStr">
        <is>
          <t>Ethiopia</t>
        </is>
      </c>
      <c r="D82" s="0" t="inlineStr">
        <is>
          <t>Africa_Other</t>
        </is>
      </c>
      <c r="E82" s="0" t="inlineStr">
        <is>
          <t>Hard Rock</t>
        </is>
      </c>
      <c r="F82" s="0" t="n">
        <v>228.75190648</v>
      </c>
      <c r="G82" s="0" t="n">
        <v>0</v>
      </c>
      <c r="H82" s="0" t="n">
        <v>0</v>
      </c>
      <c r="I82" s="0" t="n">
        <v>228.75190648</v>
      </c>
      <c r="J82" s="0" t="n">
        <v>0</v>
      </c>
      <c r="M82" s="0" t="inlineStr"/>
      <c r="N82" s="0" t="inlineStr">
        <is>
          <t>Busch et al. 2025 Supplementary Data S2</t>
        </is>
      </c>
    </row>
    <row r="83">
      <c r="A83" s="0" t="n">
        <v>87</v>
      </c>
      <c r="B83" s="0" t="inlineStr">
        <is>
          <t>Smackover SWA</t>
        </is>
      </c>
      <c r="C83" s="0" t="inlineStr">
        <is>
          <t>United States</t>
        </is>
      </c>
      <c r="D83" s="0" t="inlineStr">
        <is>
          <t>NorthAm</t>
        </is>
      </c>
      <c r="E83" s="0" t="inlineStr">
        <is>
          <t>Brine</t>
        </is>
      </c>
      <c r="F83" s="0" t="n">
        <v>224.66</v>
      </c>
      <c r="G83" s="0" t="n">
        <v>0</v>
      </c>
      <c r="H83" s="0" t="n">
        <v>0</v>
      </c>
      <c r="I83" s="0" t="n">
        <v>224.66</v>
      </c>
      <c r="J83" s="0" t="n">
        <v>4.95960924290813</v>
      </c>
      <c r="M83" s="0" t="inlineStr"/>
      <c r="N83" s="0" t="inlineStr">
        <is>
          <t>Busch et al. 2025 Supplementary Data S2</t>
        </is>
      </c>
    </row>
    <row r="84">
      <c r="A84" s="0" t="n">
        <v>88</v>
      </c>
      <c r="B84" s="0" t="inlineStr">
        <is>
          <t>Huaqiao Dagang</t>
        </is>
      </c>
      <c r="C84" s="0" t="inlineStr">
        <is>
          <t>China</t>
        </is>
      </c>
      <c r="D84" s="0" t="inlineStr">
        <is>
          <t>China</t>
        </is>
      </c>
      <c r="E84" s="0" t="inlineStr">
        <is>
          <t>Hard Rock</t>
        </is>
      </c>
      <c r="F84" s="0" t="n">
        <v>217.764072530121</v>
      </c>
      <c r="G84" s="0" t="n">
        <v>113.111785100402</v>
      </c>
      <c r="H84" s="0" t="n">
        <v>104.652287429719</v>
      </c>
      <c r="I84" s="0" t="n">
        <v>0</v>
      </c>
      <c r="J84" s="0" t="n">
        <v>0</v>
      </c>
      <c r="M84" s="0" t="inlineStr"/>
      <c r="N84" s="0" t="inlineStr">
        <is>
          <t>Busch et al. 2025 Supplementary Data S2</t>
        </is>
      </c>
    </row>
    <row r="85">
      <c r="A85" s="0" t="n">
        <v>89</v>
      </c>
      <c r="B85" s="0" t="inlineStr">
        <is>
          <t>Plumbago North</t>
        </is>
      </c>
      <c r="C85" s="0" t="inlineStr">
        <is>
          <t>United States</t>
        </is>
      </c>
      <c r="D85" s="0" t="inlineStr">
        <is>
          <t>NorthAm</t>
        </is>
      </c>
      <c r="E85" s="0" t="inlineStr">
        <is>
          <t>Hard Rock</t>
        </is>
      </c>
      <c r="F85" s="0" t="n">
        <v>217.584432</v>
      </c>
      <c r="G85" s="0" t="n">
        <v>0</v>
      </c>
      <c r="H85" s="0" t="n">
        <v>0</v>
      </c>
      <c r="I85" s="0" t="n">
        <v>217.584432</v>
      </c>
      <c r="J85" s="0" t="n">
        <v>0</v>
      </c>
      <c r="M85" s="0" t="inlineStr"/>
      <c r="N85" s="0" t="inlineStr">
        <is>
          <t>Busch et al. 2025 Supplementary Data S2</t>
        </is>
      </c>
    </row>
    <row r="86">
      <c r="A86" s="0" t="n">
        <v>90</v>
      </c>
      <c r="B86" s="0" t="inlineStr">
        <is>
          <t>Ewoyaa</t>
        </is>
      </c>
      <c r="C86" s="0" t="inlineStr">
        <is>
          <t>Ghana</t>
        </is>
      </c>
      <c r="D86" s="0" t="inlineStr">
        <is>
          <t>Africa_Other</t>
        </is>
      </c>
      <c r="E86" s="0" t="inlineStr">
        <is>
          <t>Hard Rock</t>
        </is>
      </c>
      <c r="F86" s="0" t="n">
        <v>204.971552878179</v>
      </c>
      <c r="G86" s="0" t="n">
        <v>145.080374832664</v>
      </c>
      <c r="H86" s="0" t="n">
        <v>17.0440172743705</v>
      </c>
      <c r="I86" s="0" t="n">
        <v>42.8471607711448</v>
      </c>
      <c r="J86" s="0" t="n">
        <v>6.29983092241217</v>
      </c>
      <c r="K86" s="0" t="n">
        <v>377</v>
      </c>
      <c r="L86" s="0" t="inlineStr">
        <is>
          <t>USD/tonne SC 6%</t>
        </is>
      </c>
      <c r="M86" s="0" t="n">
        <v>0.919963201471941</v>
      </c>
      <c r="N86" s="0" t="inlineStr">
        <is>
          <t>Busch et al. 2025 Supplementary Data S2</t>
        </is>
      </c>
    </row>
    <row r="87">
      <c r="A87" s="0" t="n">
        <v>91</v>
      </c>
      <c r="B87" s="0" t="inlineStr">
        <is>
          <t>Jiajika</t>
        </is>
      </c>
      <c r="C87" s="0" t="inlineStr">
        <is>
          <t>China</t>
        </is>
      </c>
      <c r="D87" s="0" t="inlineStr">
        <is>
          <t>China</t>
        </is>
      </c>
      <c r="E87" s="0" t="inlineStr">
        <is>
          <t>Hard Rock</t>
        </is>
      </c>
      <c r="F87" s="0" t="n">
        <v>204.147696</v>
      </c>
      <c r="G87" s="0" t="n">
        <v>0</v>
      </c>
      <c r="H87" s="0" t="n">
        <v>0</v>
      </c>
      <c r="I87" s="0" t="n">
        <v>204.147696</v>
      </c>
      <c r="J87" s="0" t="n">
        <v>1.14559458951719</v>
      </c>
      <c r="M87" s="0" t="inlineStr"/>
      <c r="N87" s="0" t="inlineStr">
        <is>
          <t>Busch et al. 2025 Supplementary Data S2</t>
        </is>
      </c>
    </row>
    <row r="88">
      <c r="A88" s="0" t="n">
        <v>92</v>
      </c>
      <c r="B88" s="0" t="inlineStr">
        <is>
          <t>Wolfsberg/Koralpe</t>
        </is>
      </c>
      <c r="C88" s="0" t="inlineStr">
        <is>
          <t>Austria</t>
        </is>
      </c>
      <c r="D88" s="0" t="inlineStr">
        <is>
          <t>Austria</t>
        </is>
      </c>
      <c r="E88" s="0" t="inlineStr">
        <is>
          <t>Hard Rock</t>
        </is>
      </c>
      <c r="F88" s="0" t="n">
        <v>203.833467202142</v>
      </c>
      <c r="G88" s="0" t="n">
        <v>0</v>
      </c>
      <c r="H88" s="0" t="n">
        <v>37.1619812583668</v>
      </c>
      <c r="I88" s="0" t="n">
        <v>166.671485943775</v>
      </c>
      <c r="J88" s="0" t="n">
        <v>1.45481871125305</v>
      </c>
      <c r="M88" s="0" t="n">
        <v>1.047</v>
      </c>
      <c r="N88" s="0" t="inlineStr">
        <is>
          <t>Busch et al. 2025 Supplementary Data S2</t>
        </is>
      </c>
    </row>
    <row r="89">
      <c r="A89" s="0" t="n">
        <v>93</v>
      </c>
      <c r="B89" s="0" t="inlineStr">
        <is>
          <t>Grota do Cirilo (Barreiro)</t>
        </is>
      </c>
      <c r="C89" s="0" t="inlineStr">
        <is>
          <t>Brazil</t>
        </is>
      </c>
      <c r="D89" s="0" t="inlineStr">
        <is>
          <t>Brazil</t>
        </is>
      </c>
      <c r="E89" s="0" t="inlineStr">
        <is>
          <t>Hard Rock</t>
        </is>
      </c>
      <c r="F89" s="0" t="n">
        <v>185.786843530049</v>
      </c>
      <c r="G89" s="0" t="n">
        <v>137.127937195452</v>
      </c>
      <c r="H89" s="0" t="n">
        <v>23.9537087168381</v>
      </c>
      <c r="I89" s="0" t="n">
        <v>24.7051976177585</v>
      </c>
      <c r="J89" s="0" t="n">
        <v>0</v>
      </c>
      <c r="K89" s="0" t="n">
        <v>408</v>
      </c>
      <c r="L89" s="0" t="inlineStr">
        <is>
          <t>USD/tonne SC 6%</t>
        </is>
      </c>
      <c r="M89" s="0" t="n">
        <v>1</v>
      </c>
      <c r="N89" s="0" t="inlineStr">
        <is>
          <t>Busch et al. 2025 Supplementary Data S2</t>
        </is>
      </c>
    </row>
    <row r="90">
      <c r="A90" s="0" t="n">
        <v>94</v>
      </c>
      <c r="B90" s="0" t="inlineStr">
        <is>
          <t>Grota do Cirilo (NDC)</t>
        </is>
      </c>
      <c r="C90" s="0" t="inlineStr">
        <is>
          <t>Brazil</t>
        </is>
      </c>
      <c r="D90" s="0" t="inlineStr">
        <is>
          <t>Brazil</t>
        </is>
      </c>
      <c r="E90" s="0" t="inlineStr">
        <is>
          <t>Hard Rock</t>
        </is>
      </c>
      <c r="F90" s="0" t="n">
        <v>185.242014076881</v>
      </c>
      <c r="G90" s="0" t="n">
        <v>0</v>
      </c>
      <c r="H90" s="0" t="n">
        <v>161.006497022198</v>
      </c>
      <c r="I90" s="0" t="n">
        <v>24.2355170546833</v>
      </c>
      <c r="J90" s="0" t="n">
        <v>0</v>
      </c>
      <c r="M90" s="0" t="n">
        <v>1</v>
      </c>
      <c r="N90" s="0" t="inlineStr">
        <is>
          <t>Busch et al. 2025 Supplementary Data S2</t>
        </is>
      </c>
    </row>
    <row r="91">
      <c r="A91" s="0" t="n">
        <v>95</v>
      </c>
      <c r="B91" s="0" t="inlineStr">
        <is>
          <t>Rocky</t>
        </is>
      </c>
      <c r="C91" s="0" t="inlineStr">
        <is>
          <t>Canada</t>
        </is>
      </c>
      <c r="D91" s="0" t="inlineStr">
        <is>
          <t>NorthAm</t>
        </is>
      </c>
      <c r="E91" s="0" t="inlineStr">
        <is>
          <t>Brine</t>
        </is>
      </c>
      <c r="F91" s="0" t="n">
        <v>174.721169463996</v>
      </c>
      <c r="G91" s="0" t="n">
        <v>0</v>
      </c>
      <c r="H91" s="0" t="n">
        <v>0</v>
      </c>
      <c r="I91" s="0" t="n">
        <v>174.721169463996</v>
      </c>
      <c r="J91" s="0" t="n">
        <v>0</v>
      </c>
      <c r="M91" s="0" t="n">
        <v>1.19681439926832</v>
      </c>
      <c r="N91" s="0" t="inlineStr">
        <is>
          <t>Busch et al. 2025 Supplementary Data S2</t>
        </is>
      </c>
    </row>
    <row r="92">
      <c r="A92" s="0" t="n">
        <v>96</v>
      </c>
      <c r="B92" s="0" t="inlineStr">
        <is>
          <t>Francisco Basin</t>
        </is>
      </c>
      <c r="C92" s="0" t="inlineStr">
        <is>
          <t>Chile</t>
        </is>
      </c>
      <c r="D92" s="0" t="inlineStr">
        <is>
          <t>LatAm</t>
        </is>
      </c>
      <c r="E92" s="0" t="inlineStr">
        <is>
          <t>Brine</t>
        </is>
      </c>
      <c r="F92" s="0" t="n">
        <v>172.842447211695</v>
      </c>
      <c r="G92" s="0" t="n">
        <v>0</v>
      </c>
      <c r="H92" s="0" t="n">
        <v>82.6637791012453</v>
      </c>
      <c r="I92" s="0" t="n">
        <v>90.17866811044939</v>
      </c>
      <c r="J92" s="0" t="n">
        <v>0</v>
      </c>
      <c r="K92" s="0" t="n">
        <v>3641</v>
      </c>
      <c r="L92" s="0" t="inlineStr">
        <is>
          <t>USD/tonne LCE</t>
        </is>
      </c>
      <c r="M92" s="0" t="inlineStr"/>
      <c r="N92" s="0" t="inlineStr">
        <is>
          <t>Busch et al. 2025 Supplementary Data S2</t>
        </is>
      </c>
    </row>
    <row r="93">
      <c r="A93" s="0" t="n">
        <v>97</v>
      </c>
      <c r="B93" s="0" t="inlineStr">
        <is>
          <t>Candelas</t>
        </is>
      </c>
      <c r="C93" s="0" t="inlineStr">
        <is>
          <t>Argentina</t>
        </is>
      </c>
      <c r="D93" s="0" t="inlineStr">
        <is>
          <t>LatAm</t>
        </is>
      </c>
      <c r="E93" s="0" t="inlineStr">
        <is>
          <t>Brine</t>
        </is>
      </c>
      <c r="F93" s="0" t="n">
        <v>167</v>
      </c>
      <c r="G93" s="0" t="n">
        <v>0</v>
      </c>
      <c r="H93" s="0" t="n">
        <v>167</v>
      </c>
      <c r="I93" s="0" t="n">
        <v>0</v>
      </c>
      <c r="J93" s="0" t="n">
        <v>7.13883148600413</v>
      </c>
      <c r="K93" s="0" t="n">
        <v>4277</v>
      </c>
      <c r="L93" s="0" t="inlineStr">
        <is>
          <t>USD/tonne LCE</t>
        </is>
      </c>
      <c r="M93" s="0" t="n">
        <v>1.047</v>
      </c>
      <c r="N93" s="0" t="inlineStr">
        <is>
          <t>Busch et al. 2025 Supplementary Data S2</t>
        </is>
      </c>
    </row>
    <row r="94">
      <c r="A94" s="0" t="n">
        <v>98</v>
      </c>
      <c r="B94" s="0" t="inlineStr">
        <is>
          <t>Bikita</t>
        </is>
      </c>
      <c r="C94" s="0" t="inlineStr">
        <is>
          <t>Zimbabwe</t>
        </is>
      </c>
      <c r="D94" s="0" t="inlineStr">
        <is>
          <t>Africa_Other</t>
        </is>
      </c>
      <c r="E94" s="0" t="inlineStr">
        <is>
          <t>Hard Rock</t>
        </is>
      </c>
      <c r="F94" s="0" t="n">
        <v>159.863318072289</v>
      </c>
      <c r="G94" s="0" t="n">
        <v>0</v>
      </c>
      <c r="H94" s="0" t="n">
        <v>0</v>
      </c>
      <c r="I94" s="0" t="n">
        <v>159.863318072289</v>
      </c>
      <c r="J94" s="0" t="n">
        <v>6.38737554010896</v>
      </c>
      <c r="M94" s="0" t="n">
        <v>0.919963201471941</v>
      </c>
      <c r="N94" s="0" t="inlineStr">
        <is>
          <t>Busch et al. 2025 Supplementary Data S2</t>
        </is>
      </c>
    </row>
    <row r="95">
      <c r="A95" s="0" t="n">
        <v>99</v>
      </c>
      <c r="B95" s="0" t="inlineStr">
        <is>
          <t>Bougouni</t>
        </is>
      </c>
      <c r="C95" s="0" t="inlineStr">
        <is>
          <t>Mali</t>
        </is>
      </c>
      <c r="D95" s="0" t="inlineStr">
        <is>
          <t>Africa_Other</t>
        </is>
      </c>
      <c r="E95" s="0" t="inlineStr">
        <is>
          <t>Hard Rock</t>
        </is>
      </c>
      <c r="F95" s="0" t="n">
        <v>156.126773761714</v>
      </c>
      <c r="G95" s="0" t="n">
        <v>0</v>
      </c>
      <c r="H95" s="0" t="n">
        <v>59.9236947791165</v>
      </c>
      <c r="I95" s="0" t="n">
        <v>96.20307898259701</v>
      </c>
      <c r="J95" s="0" t="n">
        <v>7.87469472102198</v>
      </c>
      <c r="K95" s="0" t="n">
        <v>647</v>
      </c>
      <c r="L95" s="0" t="inlineStr">
        <is>
          <t>USD/tonne of concentrate 6%</t>
        </is>
      </c>
      <c r="M95" s="0" t="n">
        <v>0.861388765423166</v>
      </c>
      <c r="N95" s="0" t="inlineStr">
        <is>
          <t>Busch et al. 2025 Supplementary Data S2</t>
        </is>
      </c>
    </row>
    <row r="96">
      <c r="A96" s="0" t="n">
        <v>100</v>
      </c>
      <c r="B96" s="0" t="inlineStr">
        <is>
          <t>Grota de Cirilo ( Xuxa)</t>
        </is>
      </c>
      <c r="C96" s="0" t="inlineStr">
        <is>
          <t>Brazil</t>
        </is>
      </c>
      <c r="D96" s="0" t="inlineStr">
        <is>
          <t>Brazil</t>
        </is>
      </c>
      <c r="E96" s="0" t="inlineStr">
        <is>
          <t>Hard Rock</t>
        </is>
      </c>
      <c r="F96" s="0" t="n">
        <v>153.209799675149</v>
      </c>
      <c r="G96" s="0" t="n">
        <v>84.82430969139141</v>
      </c>
      <c r="H96" s="0" t="n">
        <v>40.4676773145642</v>
      </c>
      <c r="I96" s="0" t="n">
        <v>27.9178126691933</v>
      </c>
      <c r="J96" s="0" t="n">
        <v>19.777569040015</v>
      </c>
      <c r="K96" s="0" t="n">
        <v>386</v>
      </c>
      <c r="L96" s="0" t="inlineStr">
        <is>
          <t>USD/ tonne SC 6%</t>
        </is>
      </c>
      <c r="M96" s="0" t="n">
        <v>1</v>
      </c>
      <c r="N96" s="0" t="inlineStr">
        <is>
          <t>Busch et al. 2025 Supplementary Data S2</t>
        </is>
      </c>
    </row>
    <row r="97">
      <c r="A97" s="0" t="n">
        <v>101</v>
      </c>
      <c r="B97" s="0" t="inlineStr">
        <is>
          <t>Manna</t>
        </is>
      </c>
      <c r="C97" s="0" t="inlineStr">
        <is>
          <t>Australia</t>
        </is>
      </c>
      <c r="D97" s="0" t="inlineStr">
        <is>
          <t>Australia</t>
        </is>
      </c>
      <c r="E97" s="0" t="inlineStr">
        <is>
          <t>Hard Rock</t>
        </is>
      </c>
      <c r="F97" s="0" t="n">
        <v>152.498835341365</v>
      </c>
      <c r="G97" s="0" t="n">
        <v>0</v>
      </c>
      <c r="H97" s="0" t="n">
        <v>88.25970548862119</v>
      </c>
      <c r="I97" s="0" t="n">
        <v>64.2391298527443</v>
      </c>
      <c r="J97" s="0" t="n">
        <v>5.62145406725531</v>
      </c>
      <c r="M97" s="0" t="n">
        <v>1</v>
      </c>
      <c r="N97" s="0" t="inlineStr">
        <is>
          <t>Busch et al. 2025 Supplementary Data S2</t>
        </is>
      </c>
    </row>
    <row r="98">
      <c r="A98" s="0" t="n">
        <v>102</v>
      </c>
      <c r="B98" s="0" t="inlineStr">
        <is>
          <t>Karibib</t>
        </is>
      </c>
      <c r="C98" s="0" t="inlineStr">
        <is>
          <t>Namibia</t>
        </is>
      </c>
      <c r="D98" s="0" t="inlineStr">
        <is>
          <t>Africa_Other</t>
        </is>
      </c>
      <c r="E98" s="0" t="inlineStr">
        <is>
          <t>Hard Rock</t>
        </is>
      </c>
      <c r="F98" s="0" t="n">
        <v>150</v>
      </c>
      <c r="G98" s="0" t="n">
        <v>0</v>
      </c>
      <c r="H98" s="0" t="n">
        <v>0</v>
      </c>
      <c r="I98" s="0" t="n">
        <v>150</v>
      </c>
      <c r="J98" s="0" t="n">
        <v>0.287619763291377</v>
      </c>
      <c r="M98" s="0" t="inlineStr"/>
      <c r="N98" s="0" t="inlineStr">
        <is>
          <t>Busch et al. 2025 Supplementary Data S2</t>
        </is>
      </c>
    </row>
    <row r="99">
      <c r="A99" s="0" t="n">
        <v>103</v>
      </c>
      <c r="B99" s="0" t="inlineStr">
        <is>
          <t>Salar de Pajonales</t>
        </is>
      </c>
      <c r="C99" s="0" t="inlineStr">
        <is>
          <t>Chile</t>
        </is>
      </c>
      <c r="D99" s="0" t="inlineStr">
        <is>
          <t>LatAm</t>
        </is>
      </c>
      <c r="E99" s="0" t="inlineStr">
        <is>
          <t>Brine</t>
        </is>
      </c>
      <c r="F99" s="0" t="n">
        <v>149.974</v>
      </c>
      <c r="G99" s="0" t="n">
        <v>0</v>
      </c>
      <c r="H99" s="0" t="n">
        <v>0</v>
      </c>
      <c r="I99" s="0" t="n">
        <v>149.974</v>
      </c>
      <c r="J99" s="0" t="n">
        <v>0</v>
      </c>
      <c r="M99" s="0" t="n">
        <v>1.080504</v>
      </c>
      <c r="N99" s="0" t="inlineStr">
        <is>
          <t>Busch et al. 2025 Supplementary Data S2</t>
        </is>
      </c>
    </row>
    <row r="100">
      <c r="A100" s="0" t="n">
        <v>104</v>
      </c>
      <c r="B100" s="0" t="inlineStr">
        <is>
          <t>Carolina Lithium</t>
        </is>
      </c>
      <c r="C100" s="0" t="inlineStr">
        <is>
          <t>United States</t>
        </is>
      </c>
      <c r="D100" s="0" t="inlineStr">
        <is>
          <t>NorthAm</t>
        </is>
      </c>
      <c r="E100" s="0" t="inlineStr">
        <is>
          <t>Hard Rock</t>
        </is>
      </c>
      <c r="F100" s="0" t="n">
        <v>143.538152610442</v>
      </c>
      <c r="G100" s="0" t="n">
        <v>0</v>
      </c>
      <c r="H100" s="0" t="n">
        <v>71.51183947258571</v>
      </c>
      <c r="I100" s="0" t="n">
        <v>72.02631313785611</v>
      </c>
      <c r="J100" s="0" t="n">
        <v>4.95960924290813</v>
      </c>
      <c r="K100" s="0" t="n">
        <v>201</v>
      </c>
      <c r="L100" s="0" t="inlineStr">
        <is>
          <t>USD/ tonne SC 6%</t>
        </is>
      </c>
      <c r="M100" s="0" t="n">
        <v>1</v>
      </c>
      <c r="N100" s="0" t="inlineStr">
        <is>
          <t>Busch et al. 2025 Supplementary Data S2</t>
        </is>
      </c>
    </row>
    <row r="101">
      <c r="A101" s="0" t="n">
        <v>105</v>
      </c>
      <c r="B101" s="0" t="inlineStr">
        <is>
          <t>Salar de Huasco</t>
        </is>
      </c>
      <c r="C101" s="0" t="inlineStr">
        <is>
          <t>Chile</t>
        </is>
      </c>
      <c r="D101" s="0" t="inlineStr">
        <is>
          <t>LatAm</t>
        </is>
      </c>
      <c r="E101" s="0" t="inlineStr">
        <is>
          <t>Brine</t>
        </is>
      </c>
      <c r="F101" s="0" t="n">
        <v>141.001674607472</v>
      </c>
      <c r="G101" s="0" t="n">
        <v>0</v>
      </c>
      <c r="H101" s="0" t="n">
        <v>0</v>
      </c>
      <c r="I101" s="0" t="n">
        <v>141.001674607472</v>
      </c>
      <c r="J101" s="0" t="n">
        <v>0</v>
      </c>
      <c r="M101" s="0" t="inlineStr"/>
      <c r="N101" s="0" t="inlineStr">
        <is>
          <t>Busch et al. 2025 Supplementary Data S2</t>
        </is>
      </c>
    </row>
    <row r="102">
      <c r="A102" s="0" t="n">
        <v>106</v>
      </c>
      <c r="B102" s="0" t="inlineStr">
        <is>
          <t>Rose</t>
        </is>
      </c>
      <c r="C102" s="0" t="inlineStr">
        <is>
          <t>Canada</t>
        </is>
      </c>
      <c r="D102" s="0" t="inlineStr">
        <is>
          <t>NorthAm</t>
        </is>
      </c>
      <c r="E102" s="0" t="inlineStr">
        <is>
          <t>Hard Rock</t>
        </is>
      </c>
      <c r="F102" s="0" t="n">
        <v>140.66390562249</v>
      </c>
      <c r="G102" s="0" t="n">
        <v>90.0248995983936</v>
      </c>
      <c r="H102" s="0" t="n">
        <v>42.0009357429719</v>
      </c>
      <c r="I102" s="0" t="n">
        <v>8.6380702811245</v>
      </c>
      <c r="J102" s="0" t="n">
        <v>5.86060492203645</v>
      </c>
      <c r="K102" s="0" t="n">
        <v>587</v>
      </c>
      <c r="L102" s="0" t="inlineStr">
        <is>
          <t>USD/tonne SC 6%</t>
        </is>
      </c>
      <c r="M102" s="0" t="n">
        <v>1</v>
      </c>
      <c r="N102" s="0" t="inlineStr">
        <is>
          <t>Busch et al. 2025 Supplementary Data S2</t>
        </is>
      </c>
    </row>
    <row r="103">
      <c r="A103" s="0" t="n">
        <v>107</v>
      </c>
      <c r="B103" s="0" t="inlineStr">
        <is>
          <t>Zavantinskoe</t>
        </is>
      </c>
      <c r="C103" s="0" t="inlineStr">
        <is>
          <t>Russia</t>
        </is>
      </c>
      <c r="D103" s="0" t="inlineStr">
        <is>
          <t>Russia</t>
        </is>
      </c>
      <c r="E103" s="0" t="inlineStr">
        <is>
          <t>Hard Rock</t>
        </is>
      </c>
      <c r="F103" s="0" t="n">
        <v>140.10136</v>
      </c>
      <c r="G103" s="0" t="n">
        <v>0</v>
      </c>
      <c r="H103" s="0" t="n">
        <v>0</v>
      </c>
      <c r="I103" s="0" t="n">
        <v>140.10136</v>
      </c>
      <c r="J103" s="0" t="n">
        <v>0</v>
      </c>
      <c r="M103" s="0" t="inlineStr"/>
      <c r="N103" s="0" t="inlineStr">
        <is>
          <t>Busch et al. 2025 Supplementary Data S2</t>
        </is>
      </c>
    </row>
    <row r="104">
      <c r="A104" s="0" t="n">
        <v>108</v>
      </c>
      <c r="B104" s="0" t="inlineStr">
        <is>
          <t>Ulug-Tanzek</t>
        </is>
      </c>
      <c r="C104" s="0" t="inlineStr">
        <is>
          <t>Russia</t>
        </is>
      </c>
      <c r="D104" s="0" t="inlineStr">
        <is>
          <t>Russia</t>
        </is>
      </c>
      <c r="E104" s="0" t="inlineStr">
        <is>
          <t>Hard Rock</t>
        </is>
      </c>
      <c r="F104" s="0" t="n">
        <v>139.100636</v>
      </c>
      <c r="G104" s="0" t="n">
        <v>0</v>
      </c>
      <c r="H104" s="0" t="n">
        <v>0</v>
      </c>
      <c r="I104" s="0" t="n">
        <v>139.100636</v>
      </c>
      <c r="J104" s="0" t="n">
        <v>0</v>
      </c>
      <c r="M104" s="0" t="inlineStr"/>
      <c r="N104" s="0" t="inlineStr">
        <is>
          <t>Busch et al. 2025 Supplementary Data S2</t>
        </is>
      </c>
    </row>
    <row r="105">
      <c r="A105" s="0" t="n">
        <v>109</v>
      </c>
      <c r="B105" s="0" t="inlineStr">
        <is>
          <t>Urikskoe</t>
        </is>
      </c>
      <c r="C105" s="0" t="inlineStr">
        <is>
          <t>Russia</t>
        </is>
      </c>
      <c r="D105" s="0" t="inlineStr">
        <is>
          <t>Russia</t>
        </is>
      </c>
      <c r="E105" s="0" t="inlineStr">
        <is>
          <t>Hard Rock</t>
        </is>
      </c>
      <c r="F105" s="0" t="n">
        <v>139.100636</v>
      </c>
      <c r="G105" s="0" t="n">
        <v>0</v>
      </c>
      <c r="H105" s="0" t="n">
        <v>0</v>
      </c>
      <c r="I105" s="0" t="n">
        <v>139.100636</v>
      </c>
      <c r="J105" s="0" t="n">
        <v>0</v>
      </c>
      <c r="M105" s="0" t="inlineStr"/>
      <c r="N105" s="0" t="inlineStr">
        <is>
          <t>Busch et al. 2025 Supplementary Data S2</t>
        </is>
      </c>
    </row>
    <row r="106">
      <c r="A106" s="0" t="n">
        <v>110</v>
      </c>
      <c r="B106" s="0" t="inlineStr">
        <is>
          <t>Goltsovoe/Goltsovoya</t>
        </is>
      </c>
      <c r="C106" s="0" t="inlineStr">
        <is>
          <t>Russia</t>
        </is>
      </c>
      <c r="D106" s="0" t="inlineStr">
        <is>
          <t>Russia</t>
        </is>
      </c>
      <c r="E106" s="0" t="inlineStr">
        <is>
          <t>Hard Rock</t>
        </is>
      </c>
      <c r="F106" s="0" t="n">
        <v>139.100636</v>
      </c>
      <c r="G106" s="0" t="n">
        <v>0</v>
      </c>
      <c r="H106" s="0" t="n">
        <v>0</v>
      </c>
      <c r="I106" s="0" t="n">
        <v>139.100636</v>
      </c>
      <c r="J106" s="0" t="n">
        <v>0</v>
      </c>
      <c r="M106" s="0" t="inlineStr"/>
      <c r="N106" s="0" t="inlineStr">
        <is>
          <t>Busch et al. 2025 Supplementary Data S2</t>
        </is>
      </c>
    </row>
    <row r="107">
      <c r="A107" s="0" t="n">
        <v>111</v>
      </c>
      <c r="B107" s="0" t="inlineStr">
        <is>
          <t>Polmostundrovskoe</t>
        </is>
      </c>
      <c r="C107" s="0" t="inlineStr">
        <is>
          <t>Russia</t>
        </is>
      </c>
      <c r="D107" s="0" t="inlineStr">
        <is>
          <t>Russia</t>
        </is>
      </c>
      <c r="E107" s="0" t="inlineStr">
        <is>
          <t>Hard Rock</t>
        </is>
      </c>
      <c r="F107" s="0" t="n">
        <v>139.100636</v>
      </c>
      <c r="G107" s="0" t="n">
        <v>0</v>
      </c>
      <c r="H107" s="0" t="n">
        <v>0</v>
      </c>
      <c r="I107" s="0" t="n">
        <v>139.100636</v>
      </c>
      <c r="J107" s="0" t="n">
        <v>0</v>
      </c>
      <c r="M107" s="0" t="inlineStr"/>
      <c r="N107" s="0" t="inlineStr">
        <is>
          <t>Busch et al. 2025 Supplementary Data S2</t>
        </is>
      </c>
    </row>
    <row r="108">
      <c r="A108" s="0" t="n">
        <v>112</v>
      </c>
      <c r="B108" s="0" t="inlineStr">
        <is>
          <t>Mina Do Barroso</t>
        </is>
      </c>
      <c r="C108" s="0" t="inlineStr">
        <is>
          <t>Portugal</t>
        </is>
      </c>
      <c r="D108" s="0" t="inlineStr">
        <is>
          <t>SpainPor</t>
        </is>
      </c>
      <c r="E108" s="0" t="inlineStr">
        <is>
          <t>Hard Rock</t>
        </is>
      </c>
      <c r="F108" s="0" t="n">
        <v>136.29156626506</v>
      </c>
      <c r="G108" s="0" t="n">
        <v>0</v>
      </c>
      <c r="H108" s="0" t="n">
        <v>88.91004016064259</v>
      </c>
      <c r="I108" s="0" t="n">
        <v>47.3815261044177</v>
      </c>
      <c r="J108" s="0" t="n">
        <v>0</v>
      </c>
      <c r="M108" s="0" t="n">
        <v>0.919963201471941</v>
      </c>
      <c r="N108" s="0" t="inlineStr">
        <is>
          <t>Busch et al. 2025 Supplementary Data S2</t>
        </is>
      </c>
    </row>
    <row r="109">
      <c r="A109" s="0" t="n">
        <v>113</v>
      </c>
      <c r="B109" s="0" t="inlineStr">
        <is>
          <t>Yellowknife</t>
        </is>
      </c>
      <c r="C109" s="0" t="inlineStr">
        <is>
          <t>Canada</t>
        </is>
      </c>
      <c r="D109" s="0" t="inlineStr">
        <is>
          <t>NorthAm</t>
        </is>
      </c>
      <c r="E109" s="0" t="inlineStr">
        <is>
          <t>Hard Rock</t>
        </is>
      </c>
      <c r="F109" s="0" t="n">
        <v>130.09412</v>
      </c>
      <c r="G109" s="0" t="n">
        <v>0</v>
      </c>
      <c r="H109" s="0" t="n">
        <v>0</v>
      </c>
      <c r="I109" s="0" t="n">
        <v>130.09412</v>
      </c>
      <c r="J109" s="0" t="n">
        <v>0</v>
      </c>
      <c r="M109" s="0" t="inlineStr"/>
      <c r="N109" s="0" t="inlineStr">
        <is>
          <t>Busch et al. 2025 Supplementary Data S2</t>
        </is>
      </c>
    </row>
    <row r="110">
      <c r="A110" s="0" t="n">
        <v>114</v>
      </c>
      <c r="B110" s="0" t="inlineStr">
        <is>
          <t>Mibra/Volta Grande</t>
        </is>
      </c>
      <c r="C110" s="0" t="inlineStr">
        <is>
          <t>Brazil</t>
        </is>
      </c>
      <c r="D110" s="0" t="inlineStr">
        <is>
          <t>Brazil</t>
        </is>
      </c>
      <c r="E110" s="0" t="inlineStr">
        <is>
          <t>Hard Rock</t>
        </is>
      </c>
      <c r="F110" s="0" t="n">
        <v>119.93295502008</v>
      </c>
      <c r="G110" s="0" t="n">
        <v>0</v>
      </c>
      <c r="H110" s="0" t="n">
        <v>99.7334672021419</v>
      </c>
      <c r="I110" s="0" t="n">
        <v>20.1994878179384</v>
      </c>
      <c r="J110" s="0" t="n">
        <v>3.62370843509299</v>
      </c>
      <c r="M110" s="0" t="n">
        <v>1.19681439926832</v>
      </c>
      <c r="N110" s="0" t="inlineStr">
        <is>
          <t>Busch et al. 2025 Supplementary Data S2</t>
        </is>
      </c>
    </row>
    <row r="111">
      <c r="A111" s="0" t="n">
        <v>115</v>
      </c>
      <c r="B111" s="0" t="inlineStr">
        <is>
          <t>Bald Hill</t>
        </is>
      </c>
      <c r="C111" s="0" t="inlineStr">
        <is>
          <t>Australia</t>
        </is>
      </c>
      <c r="D111" s="0" t="inlineStr">
        <is>
          <t>Australia</t>
        </is>
      </c>
      <c r="E111" s="0" t="inlineStr">
        <is>
          <t>Hard Rock</t>
        </is>
      </c>
      <c r="F111" s="0" t="n">
        <v>118.54672021419</v>
      </c>
      <c r="G111" s="0" t="n">
        <v>53.0022757697457</v>
      </c>
      <c r="H111" s="0" t="n">
        <v>15.3757697456493</v>
      </c>
      <c r="I111" s="0" t="n">
        <v>50.1686746987952</v>
      </c>
      <c r="J111" s="0" t="n">
        <v>0</v>
      </c>
      <c r="M111" s="0" t="n">
        <v>1.15858121904</v>
      </c>
      <c r="N111" s="0" t="inlineStr">
        <is>
          <t>Busch et al. 2025 Supplementary Data S2</t>
        </is>
      </c>
    </row>
    <row r="112">
      <c r="A112" s="0" t="n">
        <v>116</v>
      </c>
      <c r="B112" s="0" t="inlineStr">
        <is>
          <t>Sal de Puna</t>
        </is>
      </c>
      <c r="C112" s="0" t="inlineStr">
        <is>
          <t>Argentina</t>
        </is>
      </c>
      <c r="D112" s="0" t="inlineStr">
        <is>
          <t>LatAm</t>
        </is>
      </c>
      <c r="E112" s="0" t="inlineStr">
        <is>
          <t>Brine</t>
        </is>
      </c>
      <c r="F112" s="0" t="n">
        <v>106</v>
      </c>
      <c r="G112" s="0" t="n">
        <v>0</v>
      </c>
      <c r="H112" s="0" t="n">
        <v>0</v>
      </c>
      <c r="I112" s="0" t="n">
        <v>106</v>
      </c>
      <c r="J112" s="0" t="n">
        <v>0</v>
      </c>
      <c r="M112" s="0" t="n">
        <v>1.047</v>
      </c>
      <c r="N112" s="0" t="inlineStr">
        <is>
          <t>Busch et al. 2025 Supplementary Data S2</t>
        </is>
      </c>
    </row>
    <row r="113">
      <c r="A113" s="0" t="n">
        <v>117</v>
      </c>
      <c r="B113" s="0" t="inlineStr">
        <is>
          <t>Moblan</t>
        </is>
      </c>
      <c r="C113" s="0" t="inlineStr">
        <is>
          <t>Canada</t>
        </is>
      </c>
      <c r="D113" s="0" t="inlineStr">
        <is>
          <t>NorthAm</t>
        </is>
      </c>
      <c r="E113" s="0" t="inlineStr">
        <is>
          <t>Hard Rock</t>
        </is>
      </c>
      <c r="F113" s="0" t="n">
        <v>99.6126907630522</v>
      </c>
      <c r="G113" s="0" t="n">
        <v>69.5347121820616</v>
      </c>
      <c r="H113" s="0" t="n">
        <v>30.0779785809906</v>
      </c>
      <c r="I113" s="0" t="n">
        <v>0</v>
      </c>
      <c r="J113" s="0" t="n">
        <v>0</v>
      </c>
      <c r="M113" s="0" t="n">
        <v>1</v>
      </c>
      <c r="N113" s="0" t="inlineStr">
        <is>
          <t>Busch et al. 2025 Supplementary Data S2</t>
        </is>
      </c>
    </row>
    <row r="114">
      <c r="A114" s="0" t="n">
        <v>118</v>
      </c>
      <c r="B114" s="0" t="inlineStr">
        <is>
          <t>Zulu</t>
        </is>
      </c>
      <c r="C114" s="0" t="inlineStr">
        <is>
          <t>Zimbabwe</t>
        </is>
      </c>
      <c r="D114" s="0" t="inlineStr">
        <is>
          <t>Africa_Other</t>
        </is>
      </c>
      <c r="E114" s="0" t="inlineStr">
        <is>
          <t>Hard Rock</t>
        </is>
      </c>
      <c r="F114" s="0" t="n">
        <v>99.0343574297189</v>
      </c>
      <c r="G114" s="0" t="n">
        <v>0</v>
      </c>
      <c r="H114" s="0" t="n">
        <v>0</v>
      </c>
      <c r="I114" s="0" t="n">
        <v>99.0343574297189</v>
      </c>
      <c r="J114" s="0" t="n">
        <v>2.34153672740935</v>
      </c>
      <c r="M114" s="0" t="n">
        <v>1.047</v>
      </c>
      <c r="N114" s="0" t="inlineStr">
        <is>
          <t>Busch et al. 2025 Supplementary Data S2</t>
        </is>
      </c>
    </row>
    <row r="115">
      <c r="A115" s="0" t="n">
        <v>119</v>
      </c>
      <c r="B115" s="0" t="inlineStr">
        <is>
          <t>Salar de Ascotan</t>
        </is>
      </c>
      <c r="C115" s="0" t="inlineStr">
        <is>
          <t>Chile</t>
        </is>
      </c>
      <c r="D115" s="0" t="inlineStr">
        <is>
          <t>LatAm</t>
        </is>
      </c>
      <c r="E115" s="0" t="inlineStr">
        <is>
          <t>Brine</t>
        </is>
      </c>
      <c r="F115" s="0" t="n">
        <v>96.9894120194911</v>
      </c>
      <c r="G115" s="0" t="n">
        <v>0</v>
      </c>
      <c r="H115" s="0" t="n">
        <v>0</v>
      </c>
      <c r="I115" s="0" t="n">
        <v>96.9894120194911</v>
      </c>
      <c r="J115" s="0" t="n">
        <v>0</v>
      </c>
      <c r="M115" s="0" t="inlineStr"/>
      <c r="N115" s="0" t="inlineStr">
        <is>
          <t>Busch et al. 2025 Supplementary Data S2</t>
        </is>
      </c>
    </row>
    <row r="116">
      <c r="A116" s="0" t="n">
        <v>120</v>
      </c>
      <c r="B116" s="0" t="inlineStr">
        <is>
          <t>Marble Bar</t>
        </is>
      </c>
      <c r="C116" s="0" t="inlineStr">
        <is>
          <t>Australia</t>
        </is>
      </c>
      <c r="D116" s="0" t="inlineStr">
        <is>
          <t>Australia</t>
        </is>
      </c>
      <c r="E116" s="0" t="inlineStr">
        <is>
          <t>Hard Rock</t>
        </is>
      </c>
      <c r="F116" s="0" t="n">
        <v>83.74452476572959</v>
      </c>
      <c r="G116" s="0" t="n">
        <v>0</v>
      </c>
      <c r="H116" s="0" t="n">
        <v>18.5809906291834</v>
      </c>
      <c r="I116" s="0" t="n">
        <v>65.1635341365462</v>
      </c>
      <c r="J116" s="0" t="n">
        <v>0</v>
      </c>
      <c r="M116" s="0" t="inlineStr"/>
      <c r="N116" s="0" t="inlineStr">
        <is>
          <t>Busch et al. 2025 Supplementary Data S2</t>
        </is>
      </c>
    </row>
    <row r="117">
      <c r="A117" s="0" t="n">
        <v>121</v>
      </c>
      <c r="B117" s="0" t="inlineStr">
        <is>
          <t>Baishicun Huashan</t>
        </is>
      </c>
      <c r="C117" s="0" t="inlineStr">
        <is>
          <t>China</t>
        </is>
      </c>
      <c r="D117" s="0" t="inlineStr">
        <is>
          <t>China</t>
        </is>
      </c>
      <c r="E117" s="0" t="inlineStr">
        <is>
          <t>Hard Rock</t>
        </is>
      </c>
      <c r="F117" s="0" t="n">
        <v>81.5365457498647</v>
      </c>
      <c r="G117" s="0" t="n">
        <v>47.3815261044177</v>
      </c>
      <c r="H117" s="0" t="n">
        <v>34.155019645447</v>
      </c>
      <c r="I117" s="0" t="n">
        <v>0</v>
      </c>
      <c r="J117" s="0" t="n">
        <v>0</v>
      </c>
      <c r="K117" s="0" t="n">
        <v>5426.46</v>
      </c>
      <c r="L117" s="0" t="inlineStr">
        <is>
          <t>USD/tonne LCE</t>
        </is>
      </c>
      <c r="M117" s="0" t="n">
        <v>1.047</v>
      </c>
      <c r="N117" s="0" t="inlineStr">
        <is>
          <t>Busch et al. 2025 Supplementary Data S2</t>
        </is>
      </c>
    </row>
    <row r="118">
      <c r="A118" s="0" t="n">
        <v>122</v>
      </c>
      <c r="B118" s="0" t="inlineStr">
        <is>
          <t>Separation Rapids</t>
        </is>
      </c>
      <c r="C118" s="0" t="inlineStr">
        <is>
          <t>Canada</t>
        </is>
      </c>
      <c r="D118" s="0" t="inlineStr">
        <is>
          <t>NorthAm</t>
        </is>
      </c>
      <c r="E118" s="0" t="inlineStr">
        <is>
          <t>Hard Rock</t>
        </is>
      </c>
      <c r="F118" s="0" t="n">
        <v>81.2258714859438</v>
      </c>
      <c r="G118" s="0" t="n">
        <v>0</v>
      </c>
      <c r="H118" s="0" t="n">
        <v>63.5187575312888</v>
      </c>
      <c r="I118" s="0" t="n">
        <v>17.7071139546549</v>
      </c>
      <c r="J118" s="0" t="n">
        <v>1.68833364643998</v>
      </c>
      <c r="M118" s="0" t="inlineStr"/>
      <c r="N118" s="0" t="inlineStr">
        <is>
          <t>Busch et al. 2025 Supplementary Data S2</t>
        </is>
      </c>
    </row>
    <row r="119">
      <c r="A119" s="0" t="n">
        <v>123</v>
      </c>
      <c r="B119" s="0" t="inlineStr">
        <is>
          <t>Salar Las Parinas</t>
        </is>
      </c>
      <c r="C119" s="0" t="inlineStr">
        <is>
          <t>Chile</t>
        </is>
      </c>
      <c r="D119" s="0" t="inlineStr">
        <is>
          <t>LatAm</t>
        </is>
      </c>
      <c r="E119" s="0" t="inlineStr">
        <is>
          <t>Brine</t>
        </is>
      </c>
      <c r="F119" s="0" t="n">
        <v>80.432</v>
      </c>
      <c r="G119" s="0" t="n">
        <v>0</v>
      </c>
      <c r="H119" s="0" t="n">
        <v>0</v>
      </c>
      <c r="I119" s="0" t="n">
        <v>80.432</v>
      </c>
      <c r="J119" s="0" t="n">
        <v>0</v>
      </c>
      <c r="M119" s="0" t="n">
        <v>1.047</v>
      </c>
      <c r="N119" s="0" t="inlineStr">
        <is>
          <t>Busch et al. 2025 Supplementary Data S2</t>
        </is>
      </c>
    </row>
    <row r="120">
      <c r="A120" s="0" t="n">
        <v>124</v>
      </c>
      <c r="B120" s="0" t="inlineStr">
        <is>
          <t>Authier/La Motte/Colombe</t>
        </is>
      </c>
      <c r="C120" s="0" t="inlineStr">
        <is>
          <t>Canada</t>
        </is>
      </c>
      <c r="D120" s="0" t="inlineStr">
        <is>
          <t>NorthAm</t>
        </is>
      </c>
      <c r="E120" s="0" t="inlineStr">
        <is>
          <t>Hard Rock</t>
        </is>
      </c>
      <c r="F120" s="0" t="n">
        <v>80.1769745649264</v>
      </c>
      <c r="G120" s="0" t="n">
        <v>50.3080321285141</v>
      </c>
      <c r="H120" s="0" t="n">
        <v>15.9331994645247</v>
      </c>
      <c r="I120" s="0" t="n">
        <v>13.9357429718875</v>
      </c>
      <c r="J120" s="0" t="n">
        <v>0</v>
      </c>
      <c r="M120" s="0" t="n">
        <v>1</v>
      </c>
      <c r="N120" s="0" t="inlineStr">
        <is>
          <t>Busch et al. 2025 Supplementary Data S2</t>
        </is>
      </c>
    </row>
    <row r="121">
      <c r="A121" s="0" t="n">
        <v>125</v>
      </c>
      <c r="B121" s="0" t="inlineStr">
        <is>
          <t>Colina</t>
        </is>
      </c>
      <c r="C121" s="0" t="inlineStr">
        <is>
          <t>Brazil</t>
        </is>
      </c>
      <c r="D121" s="0" t="inlineStr">
        <is>
          <t>Brazil</t>
        </is>
      </c>
      <c r="E121" s="0" t="inlineStr">
        <is>
          <t>Hard Rock</t>
        </is>
      </c>
      <c r="F121" s="0" t="n">
        <v>74.4633199464525</v>
      </c>
      <c r="G121" s="0" t="n">
        <v>0</v>
      </c>
      <c r="H121" s="0" t="n">
        <v>11.6595716198126</v>
      </c>
      <c r="I121" s="0" t="n">
        <v>62.8037483266399</v>
      </c>
      <c r="J121" s="0" t="n">
        <v>0</v>
      </c>
      <c r="M121" s="0" t="n">
        <v>1</v>
      </c>
      <c r="N121" s="0" t="inlineStr">
        <is>
          <t>Busch et al. 2025 Supplementary Data S2</t>
        </is>
      </c>
    </row>
    <row r="122">
      <c r="A122" s="0" t="n">
        <v>126</v>
      </c>
      <c r="B122" s="0" t="inlineStr">
        <is>
          <t>Mt. Cattlin</t>
        </is>
      </c>
      <c r="C122" s="0" t="inlineStr">
        <is>
          <t>Australia</t>
        </is>
      </c>
      <c r="D122" s="0" t="inlineStr">
        <is>
          <t>Australia</t>
        </is>
      </c>
      <c r="E122" s="0" t="inlineStr">
        <is>
          <t>Hard Rock</t>
        </is>
      </c>
      <c r="F122" s="0" t="n">
        <v>71.0722891566265</v>
      </c>
      <c r="G122" s="0" t="n">
        <v>38.7413654618474</v>
      </c>
      <c r="H122" s="0" t="n">
        <v>24.4340026773762</v>
      </c>
      <c r="I122" s="0" t="n">
        <v>7.89692101740295</v>
      </c>
      <c r="J122" s="0" t="n">
        <v>0</v>
      </c>
      <c r="K122" s="0" t="n">
        <v>133.466666666667</v>
      </c>
      <c r="L122" s="0" t="inlineStr">
        <is>
          <t>USD/ tonne SC 5.5%</t>
        </is>
      </c>
      <c r="M122" s="0" t="n">
        <v>0.919963201471941</v>
      </c>
      <c r="N122" s="0" t="inlineStr">
        <is>
          <t>Busch et al. 2025 Supplementary Data S2</t>
        </is>
      </c>
    </row>
    <row r="123">
      <c r="A123" s="0" t="n">
        <v>127</v>
      </c>
      <c r="B123" s="0" t="inlineStr">
        <is>
          <t>Root</t>
        </is>
      </c>
      <c r="C123" s="0" t="inlineStr">
        <is>
          <t>Canada</t>
        </is>
      </c>
      <c r="D123" s="0" t="inlineStr">
        <is>
          <t>NorthAm</t>
        </is>
      </c>
      <c r="E123" s="0" t="inlineStr">
        <is>
          <t>Hard Rock</t>
        </is>
      </c>
      <c r="F123" s="0" t="n">
        <v>70.8214457831325</v>
      </c>
      <c r="G123" s="0" t="n">
        <v>0</v>
      </c>
      <c r="H123" s="0" t="n">
        <v>0</v>
      </c>
      <c r="I123" s="0" t="n">
        <v>70.8214457831325</v>
      </c>
      <c r="J123" s="0" t="n">
        <v>0</v>
      </c>
      <c r="M123" s="0" t="n">
        <v>0.861388765423166</v>
      </c>
      <c r="N123" s="0" t="inlineStr">
        <is>
          <t>Busch et al. 2025 Supplementary Data S2</t>
        </is>
      </c>
    </row>
    <row r="124">
      <c r="A124" s="0" t="n">
        <v>128</v>
      </c>
      <c r="B124" s="0" t="inlineStr">
        <is>
          <t>Buldania</t>
        </is>
      </c>
      <c r="C124" s="0" t="inlineStr">
        <is>
          <t>Australia</t>
        </is>
      </c>
      <c r="D124" s="0" t="inlineStr">
        <is>
          <t>Australia</t>
        </is>
      </c>
      <c r="E124" s="0" t="inlineStr">
        <is>
          <t>Hard Rock</t>
        </is>
      </c>
      <c r="F124" s="0" t="n">
        <v>69.6787148594377</v>
      </c>
      <c r="G124" s="0" t="n">
        <v>0</v>
      </c>
      <c r="H124" s="0" t="n">
        <v>41.8072289156626</v>
      </c>
      <c r="I124" s="0" t="n">
        <v>27.8714859437751</v>
      </c>
      <c r="J124" s="0" t="n">
        <v>0</v>
      </c>
      <c r="M124" s="0" t="n">
        <v>1.047</v>
      </c>
      <c r="N124" s="0" t="inlineStr">
        <is>
          <t>Busch et al. 2025 Supplementary Data S2</t>
        </is>
      </c>
    </row>
    <row r="125">
      <c r="A125" s="0" t="n">
        <v>129</v>
      </c>
      <c r="B125" s="0" t="inlineStr">
        <is>
          <t>Georgia Lake</t>
        </is>
      </c>
      <c r="C125" s="0" t="inlineStr">
        <is>
          <t>Canada</t>
        </is>
      </c>
      <c r="D125" s="0" t="inlineStr">
        <is>
          <t>NorthAm</t>
        </is>
      </c>
      <c r="E125" s="0" t="inlineStr">
        <is>
          <t>Hard Rock</t>
        </is>
      </c>
      <c r="F125" s="0" t="n">
        <v>66.9756452476573</v>
      </c>
      <c r="G125" s="0" t="n">
        <v>0</v>
      </c>
      <c r="H125" s="0" t="n">
        <v>31.1231593038822</v>
      </c>
      <c r="I125" s="0" t="n">
        <v>35.8524859437751</v>
      </c>
      <c r="J125" s="0" t="n">
        <v>2.48393762915649</v>
      </c>
      <c r="K125" s="0" t="n">
        <v>356.047</v>
      </c>
      <c r="L125" s="0" t="inlineStr">
        <is>
          <t>USD/ tonne SC 6%</t>
        </is>
      </c>
      <c r="M125" s="0" t="n">
        <v>1.047</v>
      </c>
      <c r="N125" s="0" t="inlineStr">
        <is>
          <t>Busch et al. 2025 Supplementary Data S2</t>
        </is>
      </c>
    </row>
    <row r="126">
      <c r="A126" s="0" t="n">
        <v>130</v>
      </c>
      <c r="B126" s="0" t="inlineStr">
        <is>
          <t>Ostrobothnia (All Projects)</t>
        </is>
      </c>
      <c r="C126" s="0" t="inlineStr">
        <is>
          <t>Finland</t>
        </is>
      </c>
      <c r="D126" s="0" t="inlineStr">
        <is>
          <t>SweFinDen</t>
        </is>
      </c>
      <c r="E126" s="0" t="inlineStr">
        <is>
          <t>Hard Rock</t>
        </is>
      </c>
      <c r="F126" s="0" t="n">
        <v>65.81164049810501</v>
      </c>
      <c r="G126" s="0" t="n">
        <v>36.3720628045479</v>
      </c>
      <c r="H126" s="0" t="n">
        <v>18.7120736329183</v>
      </c>
      <c r="I126" s="0" t="n">
        <v>10.7275040606389</v>
      </c>
      <c r="J126" s="0" t="n">
        <v>2.47980462145407</v>
      </c>
      <c r="K126" s="0" t="n">
        <v>545.544382022472</v>
      </c>
      <c r="L126" s="0" t="inlineStr">
        <is>
          <t>USD/tonne SC 5.5%</t>
        </is>
      </c>
      <c r="M126" s="0" t="n">
        <v>0.919963201471941</v>
      </c>
      <c r="N126" s="0" t="inlineStr">
        <is>
          <t>Busch et al. 2025 Supplementary Data S2</t>
        </is>
      </c>
    </row>
    <row r="127">
      <c r="A127" s="0" t="n">
        <v>131</v>
      </c>
      <c r="B127" s="0" t="inlineStr">
        <is>
          <t>Dome North</t>
        </is>
      </c>
      <c r="C127" s="0" t="inlineStr">
        <is>
          <t>Australia</t>
        </is>
      </c>
      <c r="D127" s="0" t="inlineStr">
        <is>
          <t>Australia</t>
        </is>
      </c>
      <c r="E127" s="0" t="inlineStr">
        <is>
          <t>Hard Rock</t>
        </is>
      </c>
      <c r="F127" s="0" t="n">
        <v>63.1753681392236</v>
      </c>
      <c r="G127" s="0" t="n">
        <v>0</v>
      </c>
      <c r="H127" s="0" t="n">
        <v>32.516733601071</v>
      </c>
      <c r="I127" s="0" t="n">
        <v>30.6586345381526</v>
      </c>
      <c r="J127" s="0" t="n">
        <v>5.12342663911328</v>
      </c>
      <c r="M127" s="0" t="n">
        <v>1.047</v>
      </c>
      <c r="N127" s="0" t="inlineStr">
        <is>
          <t>Busch et al. 2025 Supplementary Data S2</t>
        </is>
      </c>
    </row>
    <row r="128">
      <c r="A128" s="0" t="n">
        <v>132</v>
      </c>
      <c r="B128" s="0" t="inlineStr">
        <is>
          <t>Big Sandy</t>
        </is>
      </c>
      <c r="C128" s="0" t="inlineStr">
        <is>
          <t>United States</t>
        </is>
      </c>
      <c r="D128" s="0" t="inlineStr">
        <is>
          <t>NorthAm</t>
        </is>
      </c>
      <c r="E128" s="0" t="inlineStr">
        <is>
          <t>Volcano-Sedimentary</t>
        </is>
      </c>
      <c r="F128" s="0" t="n">
        <v>60.3</v>
      </c>
      <c r="G128" s="0" t="n">
        <v>0</v>
      </c>
      <c r="H128" s="0" t="n">
        <v>28.4</v>
      </c>
      <c r="I128" s="0" t="n">
        <v>31.9</v>
      </c>
      <c r="J128" s="0" t="n">
        <v>0</v>
      </c>
      <c r="M128" s="0" t="n">
        <v>1</v>
      </c>
      <c r="N128" s="0" t="inlineStr">
        <is>
          <t>Busch et al. 2025 Supplementary Data S2</t>
        </is>
      </c>
    </row>
    <row r="129">
      <c r="A129" s="0" t="n">
        <v>133</v>
      </c>
      <c r="B129" s="0" t="inlineStr">
        <is>
          <t>Salar de Cotacotani</t>
        </is>
      </c>
      <c r="C129" s="0" t="inlineStr">
        <is>
          <t>Chile</t>
        </is>
      </c>
      <c r="D129" s="0" t="inlineStr">
        <is>
          <t>LatAm</t>
        </is>
      </c>
      <c r="E129" s="0" t="inlineStr">
        <is>
          <t>Brine</t>
        </is>
      </c>
      <c r="F129" s="0" t="n">
        <v>60.2994694098538</v>
      </c>
      <c r="G129" s="0" t="n">
        <v>0</v>
      </c>
      <c r="H129" s="0" t="n">
        <v>0</v>
      </c>
      <c r="I129" s="0" t="n">
        <v>60.2994694098538</v>
      </c>
      <c r="J129" s="0" t="n">
        <v>0</v>
      </c>
      <c r="M129" s="0" t="inlineStr"/>
      <c r="N129" s="0" t="inlineStr">
        <is>
          <t>Busch et al. 2025 Supplementary Data S2</t>
        </is>
      </c>
    </row>
    <row r="130">
      <c r="A130" s="0" t="n">
        <v>134</v>
      </c>
      <c r="B130" s="0" t="inlineStr">
        <is>
          <t>Trevalour</t>
        </is>
      </c>
      <c r="C130" s="0" t="inlineStr">
        <is>
          <t>United Kingdom</t>
        </is>
      </c>
      <c r="D130" s="0" t="inlineStr">
        <is>
          <t>UK</t>
        </is>
      </c>
      <c r="E130" s="0" t="inlineStr">
        <is>
          <t>Hard Rock</t>
        </is>
      </c>
      <c r="F130" s="0" t="n">
        <v>57.6382329317269</v>
      </c>
      <c r="G130" s="0" t="n">
        <v>0</v>
      </c>
      <c r="H130" s="0" t="n">
        <v>55.7429718875502</v>
      </c>
      <c r="I130" s="0" t="n">
        <v>1.89526104417671</v>
      </c>
      <c r="J130" s="0" t="n">
        <v>1.23990231072703</v>
      </c>
      <c r="M130" s="0" t="n">
        <v>1</v>
      </c>
      <c r="N130" s="0" t="inlineStr">
        <is>
          <t>Busch et al. 2025 Supplementary Data S2</t>
        </is>
      </c>
    </row>
    <row r="131">
      <c r="A131" s="0" t="n">
        <v>135</v>
      </c>
      <c r="B131" s="0" t="inlineStr">
        <is>
          <t>Lijiagou</t>
        </is>
      </c>
      <c r="C131" s="0" t="inlineStr">
        <is>
          <t>China</t>
        </is>
      </c>
      <c r="D131" s="0" t="inlineStr">
        <is>
          <t>China</t>
        </is>
      </c>
      <c r="E131" s="0" t="inlineStr">
        <is>
          <t>Hard Rock</t>
        </is>
      </c>
      <c r="F131" s="0" t="n">
        <v>53.038372</v>
      </c>
      <c r="G131" s="0" t="n">
        <v>0</v>
      </c>
      <c r="H131" s="0" t="n">
        <v>0</v>
      </c>
      <c r="I131" s="0" t="n">
        <v>53.038372</v>
      </c>
      <c r="J131" s="0" t="n">
        <v>5.01747135074206</v>
      </c>
      <c r="M131" s="0" t="inlineStr"/>
      <c r="N131" s="0" t="inlineStr">
        <is>
          <t>Busch et al. 2025 Supplementary Data S2</t>
        </is>
      </c>
    </row>
    <row r="132">
      <c r="A132" s="0" t="n">
        <v>136</v>
      </c>
      <c r="B132" s="0" t="inlineStr">
        <is>
          <t>Thompson Brothers</t>
        </is>
      </c>
      <c r="C132" s="0" t="inlineStr">
        <is>
          <t>Canada</t>
        </is>
      </c>
      <c r="D132" s="0" t="inlineStr">
        <is>
          <t>NorthAm</t>
        </is>
      </c>
      <c r="E132" s="0" t="inlineStr">
        <is>
          <t>Hard Rock</t>
        </is>
      </c>
      <c r="F132" s="0" t="n">
        <v>51.309547523427</v>
      </c>
      <c r="G132" s="0" t="n">
        <v>0</v>
      </c>
      <c r="H132" s="0" t="n">
        <v>42.3600133868809</v>
      </c>
      <c r="I132" s="0" t="n">
        <v>8.94953413654618</v>
      </c>
      <c r="J132" s="0" t="n">
        <v>0</v>
      </c>
      <c r="M132" s="0" t="n">
        <v>1.047</v>
      </c>
      <c r="N132" s="0" t="inlineStr">
        <is>
          <t>Busch et al. 2025 Supplementary Data S2</t>
        </is>
      </c>
    </row>
    <row r="133">
      <c r="A133" s="0" t="n">
        <v>137</v>
      </c>
      <c r="B133" s="0" t="inlineStr">
        <is>
          <t>Orlovka</t>
        </is>
      </c>
      <c r="C133" s="0" t="inlineStr">
        <is>
          <t>Russia</t>
        </is>
      </c>
      <c r="D133" s="0" t="inlineStr">
        <is>
          <t>Russia</t>
        </is>
      </c>
      <c r="E133" s="0" t="inlineStr">
        <is>
          <t>Hard Rock</t>
        </is>
      </c>
      <c r="F133" s="0" t="n">
        <v>50.0362</v>
      </c>
      <c r="G133" s="0" t="n">
        <v>0</v>
      </c>
      <c r="H133" s="0" t="n">
        <v>0</v>
      </c>
      <c r="I133" s="0" t="n">
        <v>50.0362</v>
      </c>
      <c r="J133" s="0" t="n">
        <v>0</v>
      </c>
      <c r="M133" s="0" t="inlineStr"/>
      <c r="N133" s="0" t="inlineStr">
        <is>
          <t>Busch et al. 2025 Supplementary Data S2</t>
        </is>
      </c>
    </row>
    <row r="134">
      <c r="A134" s="0" t="n">
        <v>138</v>
      </c>
      <c r="B134" s="0" t="inlineStr">
        <is>
          <t>Sepeda/Romano</t>
        </is>
      </c>
      <c r="C134" s="0" t="inlineStr">
        <is>
          <t>Portugal</t>
        </is>
      </c>
      <c r="D134" s="0" t="inlineStr">
        <is>
          <t>SpainPor</t>
        </is>
      </c>
      <c r="E134" s="0" t="inlineStr">
        <is>
          <t>Hard Rock</t>
        </is>
      </c>
      <c r="F134" s="0" t="n">
        <v>47.8460508701473</v>
      </c>
      <c r="G134" s="0" t="n">
        <v>0</v>
      </c>
      <c r="H134" s="0" t="n">
        <v>0</v>
      </c>
      <c r="I134" s="0" t="n">
        <v>47.8460508701473</v>
      </c>
      <c r="J134" s="0" t="n">
        <v>0</v>
      </c>
      <c r="M134" s="0" t="n">
        <v>1.19681439926832</v>
      </c>
      <c r="N134" s="0" t="inlineStr">
        <is>
          <t>Busch et al. 2025 Supplementary Data S2</t>
        </is>
      </c>
    </row>
    <row r="135">
      <c r="A135" s="0" t="n">
        <v>139</v>
      </c>
      <c r="B135" s="0" t="inlineStr">
        <is>
          <t>Seymour</t>
        </is>
      </c>
      <c r="C135" s="0" t="inlineStr">
        <is>
          <t>Canada</t>
        </is>
      </c>
      <c r="D135" s="0" t="inlineStr">
        <is>
          <t>NorthAm</t>
        </is>
      </c>
      <c r="E135" s="0" t="inlineStr">
        <is>
          <t>Hard Rock</t>
        </is>
      </c>
      <c r="F135" s="0" t="n">
        <v>46.9077108433735</v>
      </c>
      <c r="G135" s="0" t="n">
        <v>0</v>
      </c>
      <c r="H135" s="0" t="n">
        <v>32.516733601071</v>
      </c>
      <c r="I135" s="0" t="n">
        <v>14.3909772423025</v>
      </c>
      <c r="J135" s="0" t="n">
        <v>0</v>
      </c>
      <c r="M135" s="0" t="n">
        <v>1</v>
      </c>
      <c r="N135" s="0" t="inlineStr">
        <is>
          <t>Busch et al. 2025 Supplementary Data S2</t>
        </is>
      </c>
    </row>
    <row r="136">
      <c r="A136" s="0" t="n">
        <v>140</v>
      </c>
      <c r="B136" s="0" t="inlineStr">
        <is>
          <t>Shuinanduan</t>
        </is>
      </c>
      <c r="C136" s="0" t="inlineStr">
        <is>
          <t>China</t>
        </is>
      </c>
      <c r="D136" s="0" t="inlineStr">
        <is>
          <t>China</t>
        </is>
      </c>
      <c r="E136" s="0" t="inlineStr">
        <is>
          <t>Hard Rock</t>
        </is>
      </c>
      <c r="F136" s="0" t="n">
        <v>46.6164538152611</v>
      </c>
      <c r="G136" s="0" t="n">
        <v>0</v>
      </c>
      <c r="H136" s="0" t="n">
        <v>31.7600227576975</v>
      </c>
      <c r="I136" s="0" t="n">
        <v>14.8564310575636</v>
      </c>
      <c r="J136" s="0" t="n">
        <v>0</v>
      </c>
      <c r="M136" s="0" t="inlineStr"/>
      <c r="N136" s="0" t="inlineStr">
        <is>
          <t>Busch et al. 2025 Supplementary Data S2</t>
        </is>
      </c>
    </row>
    <row r="137">
      <c r="A137" s="0" t="n">
        <v>141</v>
      </c>
      <c r="B137" s="0" t="inlineStr">
        <is>
          <t>Salar del Rincon (Argosy)</t>
        </is>
      </c>
      <c r="C137" s="0" t="inlineStr">
        <is>
          <t>Argentina</t>
        </is>
      </c>
      <c r="D137" s="0" t="inlineStr">
        <is>
          <t>LatAm</t>
        </is>
      </c>
      <c r="E137" s="0" t="inlineStr">
        <is>
          <t>Brine</t>
        </is>
      </c>
      <c r="F137" s="0" t="n">
        <v>46.0512398484028</v>
      </c>
      <c r="G137" s="0" t="n">
        <v>0</v>
      </c>
      <c r="H137" s="0" t="n">
        <v>0</v>
      </c>
      <c r="I137" s="0" t="n">
        <v>46.0512398484028</v>
      </c>
      <c r="J137" s="0" t="n">
        <v>1.87863986473793</v>
      </c>
      <c r="K137" s="0" t="n">
        <v>4625</v>
      </c>
      <c r="L137" s="0" t="inlineStr">
        <is>
          <t>USD/tonne LCE</t>
        </is>
      </c>
      <c r="M137" s="0" t="n">
        <v>1.047</v>
      </c>
      <c r="N137" s="0" t="inlineStr">
        <is>
          <t>Busch et al. 2025 Supplementary Data S2</t>
        </is>
      </c>
    </row>
    <row r="138">
      <c r="A138" s="0" t="n">
        <v>142</v>
      </c>
      <c r="B138" s="0" t="inlineStr">
        <is>
          <t>Fox Creek</t>
        </is>
      </c>
      <c r="C138" s="0" t="inlineStr">
        <is>
          <t>Canada</t>
        </is>
      </c>
      <c r="D138" s="0" t="inlineStr">
        <is>
          <t>NorthAm</t>
        </is>
      </c>
      <c r="E138" s="0" t="inlineStr">
        <is>
          <t>Brine</t>
        </is>
      </c>
      <c r="F138" s="0" t="n">
        <v>43.415</v>
      </c>
      <c r="G138" s="0" t="n">
        <v>0</v>
      </c>
      <c r="H138" s="0" t="n">
        <v>0</v>
      </c>
      <c r="I138" s="0" t="n">
        <v>43.415</v>
      </c>
      <c r="J138" s="0" t="n">
        <v>0</v>
      </c>
      <c r="M138" s="0" t="n">
        <v>0.919963201471941</v>
      </c>
      <c r="N138" s="0" t="inlineStr">
        <is>
          <t>Busch et al. 2025 Supplementary Data S2</t>
        </is>
      </c>
    </row>
    <row r="139">
      <c r="A139" s="0" t="n">
        <v>143</v>
      </c>
      <c r="B139" s="0" t="inlineStr">
        <is>
          <t>Fort Cady</t>
        </is>
      </c>
      <c r="C139" s="0" t="inlineStr">
        <is>
          <t>United States</t>
        </is>
      </c>
      <c r="D139" s="0" t="inlineStr">
        <is>
          <t>NorthAm</t>
        </is>
      </c>
      <c r="E139" s="0" t="inlineStr">
        <is>
          <t>Volcano-Sedimentary</t>
        </is>
      </c>
      <c r="F139" s="0" t="n">
        <v>41.43136</v>
      </c>
      <c r="G139" s="0" t="n">
        <v>15.05067</v>
      </c>
      <c r="H139" s="0" t="n">
        <v>5.10429</v>
      </c>
      <c r="I139" s="0" t="n">
        <v>21.2764</v>
      </c>
      <c r="J139" s="0" t="n">
        <v>0.937253428517753</v>
      </c>
      <c r="M139" s="0" t="inlineStr"/>
      <c r="N139" s="0" t="inlineStr">
        <is>
          <t>Busch et al. 2025 Supplementary Data S2</t>
        </is>
      </c>
    </row>
    <row r="140">
      <c r="A140" s="0" t="n">
        <v>144</v>
      </c>
      <c r="B140" s="0" t="inlineStr">
        <is>
          <t>Clayton Valley (Schlumberger)</t>
        </is>
      </c>
      <c r="C140" s="0" t="inlineStr">
        <is>
          <t>United States</t>
        </is>
      </c>
      <c r="D140" s="0" t="inlineStr">
        <is>
          <t>NorthAm</t>
        </is>
      </c>
      <c r="E140" s="0" t="inlineStr">
        <is>
          <t>Brine</t>
        </is>
      </c>
      <c r="F140" s="0" t="n">
        <v>40.9</v>
      </c>
      <c r="G140" s="0" t="n">
        <v>0</v>
      </c>
      <c r="H140" s="0" t="n">
        <v>0</v>
      </c>
      <c r="I140" s="0" t="n">
        <v>40.9</v>
      </c>
      <c r="J140" s="0" t="n">
        <v>1.70279917339846</v>
      </c>
      <c r="K140" s="0" t="n">
        <v>3652</v>
      </c>
      <c r="L140" s="0" t="inlineStr">
        <is>
          <t>USD/tonne LCE</t>
        </is>
      </c>
      <c r="M140" s="0" t="n">
        <v>1.15858121904</v>
      </c>
      <c r="N140" s="0" t="inlineStr">
        <is>
          <t>Busch et al. 2025 Supplementary Data S2</t>
        </is>
      </c>
    </row>
    <row r="141">
      <c r="A141" s="0" t="n">
        <v>145</v>
      </c>
      <c r="B141" s="0" t="inlineStr">
        <is>
          <t>Grota do Cirilo (Murial)</t>
        </is>
      </c>
      <c r="C141" s="0" t="inlineStr">
        <is>
          <t>Brazil</t>
        </is>
      </c>
      <c r="D141" s="0" t="inlineStr">
        <is>
          <t>Brazil</t>
        </is>
      </c>
      <c r="E141" s="0" t="inlineStr">
        <is>
          <t>Hard Rock</t>
        </is>
      </c>
      <c r="F141" s="0" t="n">
        <v>32.6897671900379</v>
      </c>
      <c r="G141" s="0" t="n">
        <v>0</v>
      </c>
      <c r="H141" s="0" t="n">
        <v>29.4020032485111</v>
      </c>
      <c r="I141" s="0" t="n">
        <v>3.2877639415268</v>
      </c>
      <c r="J141" s="0" t="n">
        <v>0</v>
      </c>
      <c r="M141" s="0" t="n">
        <v>1</v>
      </c>
      <c r="N141" s="0" t="inlineStr">
        <is>
          <t>Busch et al. 2025 Supplementary Data S2</t>
        </is>
      </c>
    </row>
    <row r="142">
      <c r="A142" s="0" t="n">
        <v>146</v>
      </c>
      <c r="B142" s="0" t="inlineStr">
        <is>
          <t>Wekuso Lake</t>
        </is>
      </c>
      <c r="C142" s="0" t="inlineStr">
        <is>
          <t>Canada</t>
        </is>
      </c>
      <c r="D142" s="0" t="inlineStr">
        <is>
          <t>NorthAm</t>
        </is>
      </c>
      <c r="E142" s="0" t="inlineStr">
        <is>
          <t>Hard Rock</t>
        </is>
      </c>
      <c r="F142" s="0" t="n">
        <v>28.020272</v>
      </c>
      <c r="G142" s="0" t="n">
        <v>0</v>
      </c>
      <c r="H142" s="0" t="n">
        <v>0</v>
      </c>
      <c r="I142" s="0" t="n">
        <v>28.020272</v>
      </c>
      <c r="J142" s="0" t="n">
        <v>0</v>
      </c>
      <c r="M142" s="0" t="inlineStr"/>
      <c r="N142" s="0" t="inlineStr">
        <is>
          <t>Busch et al. 2025 Supplementary Data S2</t>
        </is>
      </c>
    </row>
    <row r="143">
      <c r="A143" s="0" t="n">
        <v>147</v>
      </c>
      <c r="B143" s="0" t="inlineStr">
        <is>
          <t>Gods Lake</t>
        </is>
      </c>
      <c r="C143" s="0" t="inlineStr">
        <is>
          <t>Canada</t>
        </is>
      </c>
      <c r="D143" s="0" t="inlineStr">
        <is>
          <t>NorthAm</t>
        </is>
      </c>
      <c r="E143" s="0" t="inlineStr">
        <is>
          <t>Hard Rock</t>
        </is>
      </c>
      <c r="F143" s="0" t="n">
        <v>25.0181</v>
      </c>
      <c r="G143" s="0" t="n">
        <v>0</v>
      </c>
      <c r="H143" s="0" t="n">
        <v>0</v>
      </c>
      <c r="I143" s="0" t="n">
        <v>25.0181</v>
      </c>
      <c r="J143" s="0" t="n">
        <v>0</v>
      </c>
      <c r="M143" s="0" t="inlineStr"/>
      <c r="N143" s="0" t="inlineStr">
        <is>
          <t>Busch et al. 2025 Supplementary Data S2</t>
        </is>
      </c>
    </row>
    <row r="144">
      <c r="A144" s="0" t="n">
        <v>148</v>
      </c>
      <c r="B144" s="0" t="inlineStr">
        <is>
          <t>Snow Lake</t>
        </is>
      </c>
      <c r="C144" s="0" t="inlineStr">
        <is>
          <t>Canada</t>
        </is>
      </c>
      <c r="D144" s="0" t="inlineStr">
        <is>
          <t>NorthAm</t>
        </is>
      </c>
      <c r="E144" s="0" t="inlineStr">
        <is>
          <t>Hard Rock</t>
        </is>
      </c>
      <c r="F144" s="0" t="n">
        <v>25.0181</v>
      </c>
      <c r="G144" s="0" t="n">
        <v>0</v>
      </c>
      <c r="H144" s="0" t="n">
        <v>0</v>
      </c>
      <c r="I144" s="0" t="n">
        <v>25.0181</v>
      </c>
      <c r="J144" s="0" t="n">
        <v>0</v>
      </c>
      <c r="M144" s="0" t="inlineStr"/>
      <c r="N144" s="0" t="inlineStr">
        <is>
          <t>Busch et al. 2025 Supplementary Data S2</t>
        </is>
      </c>
    </row>
    <row r="145">
      <c r="A145" s="0" t="n">
        <v>149</v>
      </c>
      <c r="B145" s="0" t="inlineStr">
        <is>
          <t>Alvarroes</t>
        </is>
      </c>
      <c r="C145" s="0" t="inlineStr">
        <is>
          <t>Portugal</t>
        </is>
      </c>
      <c r="D145" s="0" t="inlineStr">
        <is>
          <t>SpainPor</t>
        </is>
      </c>
      <c r="E145" s="0" t="inlineStr">
        <is>
          <t>Hard Rock</t>
        </is>
      </c>
      <c r="F145" s="0" t="n">
        <v>23.7228152610442</v>
      </c>
      <c r="G145" s="0" t="n">
        <v>0</v>
      </c>
      <c r="H145" s="0" t="n">
        <v>0</v>
      </c>
      <c r="I145" s="0" t="n">
        <v>23.7228152610442</v>
      </c>
      <c r="J145" s="0" t="n">
        <v>0.338155175652827</v>
      </c>
      <c r="M145" s="0" t="inlineStr"/>
      <c r="N145" s="0" t="inlineStr">
        <is>
          <t>Busch et al. 2025 Supplementary Data S2</t>
        </is>
      </c>
    </row>
    <row r="146">
      <c r="A146" s="0" t="n">
        <v>150</v>
      </c>
      <c r="B146" s="0" t="inlineStr">
        <is>
          <t>Cachoeira</t>
        </is>
      </c>
      <c r="C146" s="0" t="inlineStr">
        <is>
          <t>Brazil</t>
        </is>
      </c>
      <c r="D146" s="0" t="inlineStr">
        <is>
          <t>Brazil</t>
        </is>
      </c>
      <c r="E146" s="0" t="inlineStr">
        <is>
          <t>Hard Rock</t>
        </is>
      </c>
      <c r="F146" s="0" t="n">
        <v>23.016652</v>
      </c>
      <c r="G146" s="0" t="n">
        <v>0</v>
      </c>
      <c r="H146" s="0" t="n">
        <v>0</v>
      </c>
      <c r="I146" s="0" t="n">
        <v>23.016652</v>
      </c>
      <c r="J146" s="0" t="n">
        <v>1.07082472290062</v>
      </c>
      <c r="M146" s="0" t="inlineStr"/>
      <c r="N146" s="0" t="inlineStr">
        <is>
          <t>Busch et al. 2025 Supplementary Data S2</t>
        </is>
      </c>
    </row>
    <row r="147">
      <c r="A147" s="0" t="n">
        <v>151</v>
      </c>
      <c r="B147" s="0" t="inlineStr">
        <is>
          <t>McCombe</t>
        </is>
      </c>
      <c r="C147" s="0" t="inlineStr">
        <is>
          <t>Canada</t>
        </is>
      </c>
      <c r="D147" s="0" t="inlineStr">
        <is>
          <t>NorthAm</t>
        </is>
      </c>
      <c r="E147" s="0" t="inlineStr">
        <is>
          <t>Hard Rock</t>
        </is>
      </c>
      <c r="F147" s="0" t="n">
        <v>21.1126506024096</v>
      </c>
      <c r="G147" s="0" t="n">
        <v>0</v>
      </c>
      <c r="H147" s="0" t="n">
        <v>0</v>
      </c>
      <c r="I147" s="0" t="n">
        <v>21.1126506024096</v>
      </c>
      <c r="J147" s="0" t="n">
        <v>0</v>
      </c>
      <c r="M147" s="0" t="n">
        <v>0.861388765423166</v>
      </c>
      <c r="N147" s="0" t="inlineStr">
        <is>
          <t>Busch et al. 2025 Supplementary Data S2</t>
        </is>
      </c>
    </row>
    <row r="148">
      <c r="A148" s="0" t="n">
        <v>152</v>
      </c>
      <c r="B148" s="0" t="inlineStr">
        <is>
          <t>Thor/Echo</t>
        </is>
      </c>
      <c r="C148" s="0" t="inlineStr">
        <is>
          <t>Canada</t>
        </is>
      </c>
      <c r="D148" s="0" t="inlineStr">
        <is>
          <t>NorthAm</t>
        </is>
      </c>
      <c r="E148" s="0" t="inlineStr">
        <is>
          <t>Hard Rock</t>
        </is>
      </c>
      <c r="F148" s="0" t="n">
        <v>20.01448</v>
      </c>
      <c r="G148" s="0" t="n">
        <v>0</v>
      </c>
      <c r="H148" s="0" t="n">
        <v>0</v>
      </c>
      <c r="I148" s="0" t="n">
        <v>20.01448</v>
      </c>
      <c r="J148" s="0" t="n">
        <v>0</v>
      </c>
      <c r="M148" s="0" t="inlineStr"/>
      <c r="N148" s="0" t="inlineStr">
        <is>
          <t>Busch et al. 2025 Supplementary Data S2</t>
        </is>
      </c>
    </row>
    <row r="149">
      <c r="A149" s="0" t="n">
        <v>153</v>
      </c>
      <c r="B149" s="0" t="inlineStr">
        <is>
          <t>Finniss</t>
        </is>
      </c>
      <c r="C149" s="0" t="inlineStr">
        <is>
          <t>Australia</t>
        </is>
      </c>
      <c r="D149" s="0" t="inlineStr">
        <is>
          <t>Australia</t>
        </is>
      </c>
      <c r="E149" s="0" t="inlineStr">
        <is>
          <t>Hard Rock</t>
        </is>
      </c>
      <c r="F149" s="0" t="n">
        <v>19.9281124497992</v>
      </c>
      <c r="G149" s="0" t="n">
        <v>19.9281124497992</v>
      </c>
      <c r="H149" s="0" t="n">
        <v>0</v>
      </c>
      <c r="I149" s="0" t="n">
        <v>0</v>
      </c>
      <c r="J149" s="0" t="n">
        <v>3.78170204771745</v>
      </c>
      <c r="M149" s="0" t="n">
        <v>1.047</v>
      </c>
      <c r="N149" s="0" t="inlineStr">
        <is>
          <t>Busch et al. 2025 Supplementary Data S2</t>
        </is>
      </c>
    </row>
    <row r="150">
      <c r="A150" s="0" t="n">
        <v>154</v>
      </c>
      <c r="B150" s="0" t="inlineStr">
        <is>
          <t>Tanco/Bernic Lake</t>
        </is>
      </c>
      <c r="C150" s="0" t="inlineStr">
        <is>
          <t>Canada</t>
        </is>
      </c>
      <c r="D150" s="0" t="inlineStr">
        <is>
          <t>NorthAm</t>
        </is>
      </c>
      <c r="E150" s="0" t="inlineStr">
        <is>
          <t>Hard Rock</t>
        </is>
      </c>
      <c r="F150" s="0" t="n">
        <v>19.013756</v>
      </c>
      <c r="G150" s="0" t="n">
        <v>0</v>
      </c>
      <c r="H150" s="0" t="n">
        <v>0</v>
      </c>
      <c r="I150" s="0" t="n">
        <v>19.013756</v>
      </c>
      <c r="J150" s="0" t="n">
        <v>6.96881457824535</v>
      </c>
      <c r="M150" s="0" t="inlineStr"/>
      <c r="N150" s="0" t="inlineStr">
        <is>
          <t>Busch et al. 2025 Supplementary Data S2</t>
        </is>
      </c>
    </row>
    <row r="151">
      <c r="A151" s="0" t="n">
        <v>155</v>
      </c>
      <c r="B151" s="0" t="inlineStr">
        <is>
          <t>Ningdu</t>
        </is>
      </c>
      <c r="C151" s="0" t="inlineStr">
        <is>
          <t>China</t>
        </is>
      </c>
      <c r="D151" s="0" t="inlineStr">
        <is>
          <t>China</t>
        </is>
      </c>
      <c r="E151" s="0" t="inlineStr">
        <is>
          <t>Hard Rock</t>
        </is>
      </c>
      <c r="F151" s="0" t="n">
        <v>18.7872225230103</v>
      </c>
      <c r="G151" s="0" t="n">
        <v>0</v>
      </c>
      <c r="H151" s="0" t="n">
        <v>0</v>
      </c>
      <c r="I151" s="0" t="n">
        <v>18.7872225230103</v>
      </c>
      <c r="J151" s="0" t="n">
        <v>0</v>
      </c>
      <c r="M151" s="0" t="n">
        <v>1</v>
      </c>
      <c r="N151" s="0" t="inlineStr">
        <is>
          <t>Busch et al. 2025 Supplementary Data S2</t>
        </is>
      </c>
    </row>
    <row r="152">
      <c r="A152" s="0" t="n">
        <v>156</v>
      </c>
      <c r="B152" s="0" t="inlineStr">
        <is>
          <t>Raleigh Lake</t>
        </is>
      </c>
      <c r="C152" s="0" t="inlineStr">
        <is>
          <t>Canada</t>
        </is>
      </c>
      <c r="D152" s="0" t="inlineStr">
        <is>
          <t>NorthAm</t>
        </is>
      </c>
      <c r="E152" s="0" t="inlineStr">
        <is>
          <t>Hard Rock</t>
        </is>
      </c>
      <c r="F152" s="0" t="n">
        <v>17.324</v>
      </c>
      <c r="G152" s="0" t="n">
        <v>0</v>
      </c>
      <c r="H152" s="0" t="n">
        <v>6.824</v>
      </c>
      <c r="I152" s="0" t="n">
        <v>10.5</v>
      </c>
      <c r="J152" s="0" t="n">
        <v>0</v>
      </c>
      <c r="M152" s="0" t="n">
        <v>0.919963201471941</v>
      </c>
      <c r="N152" s="0" t="inlineStr">
        <is>
          <t>Busch et al. 2025 Supplementary Data S2</t>
        </is>
      </c>
    </row>
    <row r="153">
      <c r="A153" s="0" t="n">
        <v>157</v>
      </c>
      <c r="B153" s="0" t="inlineStr">
        <is>
          <t>Baishuidong</t>
        </is>
      </c>
      <c r="C153" s="0" t="inlineStr">
        <is>
          <t>China</t>
        </is>
      </c>
      <c r="D153" s="0" t="inlineStr">
        <is>
          <t>China</t>
        </is>
      </c>
      <c r="E153" s="0" t="inlineStr">
        <is>
          <t>Hard Rock</t>
        </is>
      </c>
      <c r="F153" s="0" t="n">
        <v>14.6325301204819</v>
      </c>
      <c r="G153" s="0" t="n">
        <v>0</v>
      </c>
      <c r="H153" s="0" t="n">
        <v>10.9023962516734</v>
      </c>
      <c r="I153" s="0" t="n">
        <v>3.73013386880857</v>
      </c>
      <c r="J153" s="0" t="n">
        <v>0</v>
      </c>
      <c r="M153" s="0" t="inlineStr"/>
      <c r="N153" s="0" t="inlineStr">
        <is>
          <t>Busch et al. 2025 Supplementary Data S2</t>
        </is>
      </c>
    </row>
    <row r="154">
      <c r="A154" s="0" t="n">
        <v>158</v>
      </c>
      <c r="B154" s="0" t="inlineStr">
        <is>
          <t>Grota do Cirilo (Lavra)</t>
        </is>
      </c>
      <c r="C154" s="0" t="inlineStr">
        <is>
          <t>Brazil</t>
        </is>
      </c>
      <c r="D154" s="0" t="inlineStr">
        <is>
          <t>Brazil</t>
        </is>
      </c>
      <c r="E154" s="0" t="inlineStr">
        <is>
          <t>Hard Rock</t>
        </is>
      </c>
      <c r="F154" s="0" t="n">
        <v>12.2304818624797</v>
      </c>
      <c r="G154" s="0" t="n">
        <v>0</v>
      </c>
      <c r="H154" s="0" t="n">
        <v>11.1783974011911</v>
      </c>
      <c r="I154" s="0" t="n">
        <v>1.05208446128857</v>
      </c>
      <c r="J154" s="0" t="n">
        <v>0</v>
      </c>
      <c r="M154" s="0" t="n">
        <v>1</v>
      </c>
      <c r="N154" s="0" t="inlineStr">
        <is>
          <t>Busch et al. 2025 Supplementary Data S2</t>
        </is>
      </c>
    </row>
    <row r="155">
      <c r="A155" s="0" t="n">
        <v>159</v>
      </c>
      <c r="B155" s="0" t="inlineStr">
        <is>
          <t>Barroso</t>
        </is>
      </c>
      <c r="C155" s="0" t="inlineStr">
        <is>
          <t>Portugal</t>
        </is>
      </c>
      <c r="D155" s="0" t="inlineStr">
        <is>
          <t>SpainPor</t>
        </is>
      </c>
      <c r="E155" s="0" t="inlineStr">
        <is>
          <t>Hard Rock</t>
        </is>
      </c>
      <c r="F155" s="0" t="n">
        <v>10.00724</v>
      </c>
      <c r="G155" s="0" t="n">
        <v>0</v>
      </c>
      <c r="H155" s="0" t="n">
        <v>0</v>
      </c>
      <c r="I155" s="0" t="n">
        <v>10.00724</v>
      </c>
      <c r="J155" s="0" t="n">
        <v>4.88051850460267</v>
      </c>
      <c r="M155" s="0" t="inlineStr"/>
      <c r="N155" s="0" t="inlineStr">
        <is>
          <t>Busch et al. 2025 Supplementary Data S2</t>
        </is>
      </c>
    </row>
    <row r="156">
      <c r="A156" s="0" t="n">
        <v>160</v>
      </c>
      <c r="B156" s="0" t="inlineStr">
        <is>
          <t>Nama Creek</t>
        </is>
      </c>
      <c r="C156" s="0" t="inlineStr">
        <is>
          <t>Canada</t>
        </is>
      </c>
      <c r="D156" s="0" t="inlineStr">
        <is>
          <t>NorthAm</t>
        </is>
      </c>
      <c r="E156" s="0" t="inlineStr">
        <is>
          <t>Hard Rock</t>
        </is>
      </c>
      <c r="F156" s="0" t="n">
        <v>10.00724</v>
      </c>
      <c r="G156" s="0" t="n">
        <v>0</v>
      </c>
      <c r="H156" s="0" t="n">
        <v>0</v>
      </c>
      <c r="I156" s="0" t="n">
        <v>10.00724</v>
      </c>
      <c r="J156" s="0" t="n">
        <v>0</v>
      </c>
      <c r="M156" s="0" t="inlineStr"/>
      <c r="N156" s="0" t="inlineStr">
        <is>
          <t>Busch et al. 2025 Supplementary Data S2</t>
        </is>
      </c>
    </row>
    <row r="157">
      <c r="A157" s="0" t="n">
        <v>161</v>
      </c>
      <c r="B157" s="0" t="inlineStr">
        <is>
          <t>Violet/Herb Lake</t>
        </is>
      </c>
      <c r="C157" s="0" t="inlineStr">
        <is>
          <t>Canada</t>
        </is>
      </c>
      <c r="D157" s="0" t="inlineStr">
        <is>
          <t>NorthAm</t>
        </is>
      </c>
      <c r="E157" s="0" t="inlineStr">
        <is>
          <t>Hard Rock</t>
        </is>
      </c>
      <c r="F157" s="0" t="n">
        <v>10.00724</v>
      </c>
      <c r="G157" s="0" t="n">
        <v>0</v>
      </c>
      <c r="H157" s="0" t="n">
        <v>0</v>
      </c>
      <c r="I157" s="0" t="n">
        <v>10.00724</v>
      </c>
      <c r="J157" s="0" t="n">
        <v>0</v>
      </c>
      <c r="M157" s="0" t="inlineStr"/>
      <c r="N157" s="0" t="inlineStr">
        <is>
          <t>Busch et al. 2025 Supplementary Data S2</t>
        </is>
      </c>
    </row>
    <row r="158">
      <c r="A158" s="0" t="n">
        <v>162</v>
      </c>
      <c r="B158" s="0" t="inlineStr">
        <is>
          <t>Moose 2</t>
        </is>
      </c>
      <c r="C158" s="0" t="inlineStr">
        <is>
          <t>Canada</t>
        </is>
      </c>
      <c r="D158" s="0" t="inlineStr">
        <is>
          <t>NorthAm</t>
        </is>
      </c>
      <c r="E158" s="0" t="inlineStr">
        <is>
          <t>Hard Rock</t>
        </is>
      </c>
      <c r="F158" s="0" t="n">
        <v>10.00724</v>
      </c>
      <c r="G158" s="0" t="n">
        <v>0</v>
      </c>
      <c r="H158" s="0" t="n">
        <v>0</v>
      </c>
      <c r="I158" s="0" t="n">
        <v>10.00724</v>
      </c>
      <c r="J158" s="0" t="n">
        <v>0</v>
      </c>
      <c r="M158" s="0" t="inlineStr"/>
      <c r="N158" s="0" t="inlineStr">
        <is>
          <t>Busch et al. 2025 Supplementary Data S2</t>
        </is>
      </c>
    </row>
    <row r="159">
      <c r="A159" s="0" t="n">
        <v>163</v>
      </c>
      <c r="B159" s="0" t="inlineStr">
        <is>
          <t>C 57 Portugal (Sociedade Mineira de Pegmatites)</t>
        </is>
      </c>
      <c r="C159" s="0" t="inlineStr">
        <is>
          <t>Portugal</t>
        </is>
      </c>
      <c r="D159" s="0" t="inlineStr">
        <is>
          <t>SpainPor</t>
        </is>
      </c>
      <c r="E159" s="0" t="inlineStr">
        <is>
          <t>Hard Rock</t>
        </is>
      </c>
      <c r="F159" s="0" t="n">
        <v>8.0641499330656</v>
      </c>
      <c r="G159" s="0" t="n">
        <v>0</v>
      </c>
      <c r="H159" s="0" t="n">
        <v>0</v>
      </c>
      <c r="I159" s="0" t="n">
        <v>8.0641499330656</v>
      </c>
      <c r="J159" s="0" t="n">
        <v>0</v>
      </c>
      <c r="M159" s="0" t="inlineStr"/>
      <c r="N159" s="0" t="inlineStr">
        <is>
          <t>Busch et al. 2025 Supplementary Data S2</t>
        </is>
      </c>
    </row>
    <row r="160">
      <c r="A160" s="0" t="n">
        <v>164</v>
      </c>
      <c r="B160" s="0" t="inlineStr">
        <is>
          <t>Sirmac</t>
        </is>
      </c>
      <c r="C160" s="0" t="inlineStr">
        <is>
          <t>Canada</t>
        </is>
      </c>
      <c r="D160" s="0" t="inlineStr">
        <is>
          <t>NorthAm</t>
        </is>
      </c>
      <c r="E160" s="0" t="inlineStr">
        <is>
          <t>Hard Rock</t>
        </is>
      </c>
      <c r="F160" s="0" t="n">
        <v>1.98958</v>
      </c>
      <c r="G160" s="0" t="n">
        <v>0</v>
      </c>
      <c r="H160" s="0" t="n">
        <v>1.75088</v>
      </c>
      <c r="I160" s="0" t="n">
        <v>0.2387</v>
      </c>
      <c r="J160" s="0" t="n">
        <v>2.23689648694345</v>
      </c>
      <c r="K160" s="0" t="n">
        <v>191.7</v>
      </c>
      <c r="L160" s="0" t="inlineStr">
        <is>
          <t>USD/ tonne mineralized pegmatite SC LI2O 6%</t>
        </is>
      </c>
      <c r="M160" s="0" t="n">
        <v>0.919963201471941</v>
      </c>
      <c r="N160" s="0" t="inlineStr">
        <is>
          <t>Busch et al. 2025 Supplementary Data S2</t>
        </is>
      </c>
    </row>
    <row r="161">
      <c r="A161" s="0" t="n">
        <v>165</v>
      </c>
      <c r="B161" s="0" t="inlineStr">
        <is>
          <t>Niemi Lake</t>
        </is>
      </c>
      <c r="C161" s="0" t="inlineStr">
        <is>
          <t>Canada</t>
        </is>
      </c>
      <c r="D161" s="0" t="inlineStr">
        <is>
          <t>NorthAm</t>
        </is>
      </c>
      <c r="E161" s="0" t="inlineStr">
        <is>
          <t>Hard Rock</t>
        </is>
      </c>
      <c r="F161" s="0" t="n">
        <v>1.000724</v>
      </c>
      <c r="G161" s="0" t="n">
        <v>0</v>
      </c>
      <c r="H161" s="0" t="n">
        <v>0</v>
      </c>
      <c r="I161" s="0" t="n">
        <v>1.000724</v>
      </c>
      <c r="J161" s="0" t="n">
        <v>0</v>
      </c>
      <c r="M161" s="0" t="inlineStr"/>
      <c r="N161" s="0" t="inlineStr">
        <is>
          <t>Busch et al. 2025 Supplementary Data 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9"/>
  <sheetViews>
    <sheetView topLeftCell="A37" zoomScale="73" zoomScaleNormal="73" workbookViewId="0">
      <selection activeCell="F49" sqref="F49"/>
    </sheetView>
  </sheetViews>
  <sheetFormatPr baseColWidth="8" defaultColWidth="9" defaultRowHeight="14.5"/>
  <cols>
    <col width="13" customWidth="1" style="1" min="1" max="41"/>
  </cols>
  <sheetData>
    <row r="1">
      <c r="A1" s="0" t="inlineStr">
        <is>
          <t>Calculation layer linked by the original scenario sheet</t>
        </is>
      </c>
    </row>
    <row r="2">
      <c r="A2" s="0" t="inlineStr">
        <is>
          <t>Columns C:AO mirror the scenario table. Region cells contain formulas against Codex_sources, Codex_USGS_raw, and Codex_Li_Busch.</t>
        </is>
      </c>
    </row>
    <row r="3"/>
    <row r="4">
      <c r="A4" s="2" t="n"/>
      <c r="B4" s="2" t="n"/>
      <c r="C4" s="2" t="inlineStr">
        <is>
          <t>pset_pn</t>
        </is>
      </c>
      <c r="D4" s="2" t="inlineStr">
        <is>
          <t>Attribute</t>
        </is>
      </c>
      <c r="E4" s="2" t="inlineStr">
        <is>
          <t>cset_cn</t>
        </is>
      </c>
      <c r="F4" s="2" t="inlineStr">
        <is>
          <t>Africa_North</t>
        </is>
      </c>
      <c r="G4" s="2" t="inlineStr">
        <is>
          <t>Africa_Other</t>
        </is>
      </c>
      <c r="H4" s="2" t="inlineStr">
        <is>
          <t>Australia</t>
        </is>
      </c>
      <c r="I4" s="2" t="inlineStr">
        <is>
          <t>Austria</t>
        </is>
      </c>
      <c r="J4" s="2" t="inlineStr">
        <is>
          <t>Baltics</t>
        </is>
      </c>
      <c r="K4" s="2" t="inlineStr">
        <is>
          <t>BeNeLux</t>
        </is>
      </c>
      <c r="L4" s="2" t="inlineStr">
        <is>
          <t>Brazil</t>
        </is>
      </c>
      <c r="M4" s="2" t="inlineStr">
        <is>
          <t>China</t>
        </is>
      </c>
      <c r="N4" s="2" t="inlineStr">
        <is>
          <t>CroSloven</t>
        </is>
      </c>
      <c r="O4" s="2" t="inlineStr">
        <is>
          <t>CzechSlovak</t>
        </is>
      </c>
      <c r="P4" s="2" t="inlineStr">
        <is>
          <t>France</t>
        </is>
      </c>
      <c r="Q4" s="2" t="inlineStr">
        <is>
          <t>Germany</t>
        </is>
      </c>
      <c r="R4" s="2" t="inlineStr">
        <is>
          <t>GreeceCyp</t>
        </is>
      </c>
      <c r="S4" s="2" t="inlineStr">
        <is>
          <t>HunRomBul</t>
        </is>
      </c>
      <c r="T4" s="2" t="inlineStr">
        <is>
          <t>Iceland</t>
        </is>
      </c>
      <c r="U4" s="2" t="inlineStr">
        <is>
          <t>India</t>
        </is>
      </c>
      <c r="V4" s="2" t="inlineStr">
        <is>
          <t>Ireland</t>
        </is>
      </c>
      <c r="W4" s="2" t="inlineStr">
        <is>
          <t>ItalyMal</t>
        </is>
      </c>
      <c r="X4" s="2" t="inlineStr">
        <is>
          <t>Japan</t>
        </is>
      </c>
      <c r="Y4" s="2" t="inlineStr">
        <is>
          <t>LatAm</t>
        </is>
      </c>
      <c r="Z4" s="2" t="inlineStr">
        <is>
          <t>MidEast</t>
        </is>
      </c>
      <c r="AA4" s="2" t="inlineStr">
        <is>
          <t>NorthAm</t>
        </is>
      </c>
      <c r="AB4" s="2" t="inlineStr">
        <is>
          <t>Norway</t>
        </is>
      </c>
      <c r="AC4" s="2" t="inlineStr">
        <is>
          <t>Poland</t>
        </is>
      </c>
      <c r="AD4" s="2" t="inlineStr">
        <is>
          <t>ROW</t>
        </is>
      </c>
      <c r="AE4" s="2" t="inlineStr">
        <is>
          <t>Russia</t>
        </is>
      </c>
      <c r="AF4" s="2" t="inlineStr">
        <is>
          <t>SaudiArabia</t>
        </is>
      </c>
      <c r="AG4" s="2" t="inlineStr">
        <is>
          <t>SouthAfrica</t>
        </is>
      </c>
      <c r="AH4" s="2" t="inlineStr">
        <is>
          <t>SpainPor</t>
        </is>
      </c>
      <c r="AI4" s="2" t="inlineStr">
        <is>
          <t>SweFinDen</t>
        </is>
      </c>
      <c r="AJ4" s="2" t="inlineStr">
        <is>
          <t>Switzerland</t>
        </is>
      </c>
      <c r="AK4" s="2" t="inlineStr">
        <is>
          <t>Turkey</t>
        </is>
      </c>
      <c r="AL4" s="2" t="inlineStr">
        <is>
          <t>UK</t>
        </is>
      </c>
      <c r="AM4" s="2" t="inlineStr">
        <is>
          <t>Ukraine</t>
        </is>
      </c>
      <c r="AN4" s="2" t="inlineStr">
        <is>
          <t>WestBalkans</t>
        </is>
      </c>
      <c r="AO4" s="2" t="inlineStr">
        <is>
          <t>year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C41" s="0" t="inlineStr">
        <is>
          <t>MINLiRSV1</t>
        </is>
      </c>
      <c r="D41" s="0" t="inlineStr">
        <is>
          <t>BNDACT</t>
        </is>
      </c>
      <c r="F41" s="0">
        <f>SUMIFS(Codex_Li_Busch!$J$2:$J$161,Codex_Li_Busch!$D$2:$D$161,F$4)*Codex_sources!$D$5/3</f>
        <v/>
      </c>
      <c r="G41" s="0">
        <f>SUMIFS(Codex_Li_Busch!$J$2:$J$161,Codex_Li_Busch!$D$2:$D$161,G$4)*Codex_sources!$D$5/3</f>
        <v/>
      </c>
      <c r="H41" s="0">
        <f>SUMIFS(Codex_Li_Busch!$J$2:$J$161,Codex_Li_Busch!$D$2:$D$161,H$4)*Codex_sources!$D$5/3</f>
        <v/>
      </c>
      <c r="I41" s="0">
        <f>SUMIFS(Codex_Li_Busch!$J$2:$J$161,Codex_Li_Busch!$D$2:$D$161,I$4)*Codex_sources!$D$5/3</f>
        <v/>
      </c>
      <c r="J41" s="0">
        <f>SUMIFS(Codex_Li_Busch!$J$2:$J$161,Codex_Li_Busch!$D$2:$D$161,J$4)*Codex_sources!$D$5/3</f>
        <v/>
      </c>
      <c r="K41" s="0">
        <f>SUMIFS(Codex_Li_Busch!$J$2:$J$161,Codex_Li_Busch!$D$2:$D$161,K$4)*Codex_sources!$D$5/3</f>
        <v/>
      </c>
      <c r="L41" s="0">
        <f>SUMIFS(Codex_Li_Busch!$J$2:$J$161,Codex_Li_Busch!$D$2:$D$161,L$4)*Codex_sources!$D$5/3</f>
        <v/>
      </c>
      <c r="M41" s="0">
        <f>SUMIFS(Codex_Li_Busch!$J$2:$J$161,Codex_Li_Busch!$D$2:$D$161,M$4)*Codex_sources!$D$5/3</f>
        <v/>
      </c>
      <c r="N41" s="0">
        <f>SUMIFS(Codex_Li_Busch!$J$2:$J$161,Codex_Li_Busch!$D$2:$D$161,N$4)*Codex_sources!$D$5/3</f>
        <v/>
      </c>
      <c r="O41" s="0">
        <f>SUMIFS(Codex_Li_Busch!$J$2:$J$161,Codex_Li_Busch!$D$2:$D$161,O$4)*Codex_sources!$D$5/3</f>
        <v/>
      </c>
      <c r="P41" s="0">
        <f>SUMIFS(Codex_Li_Busch!$J$2:$J$161,Codex_Li_Busch!$D$2:$D$161,P$4)*Codex_sources!$D$5/3</f>
        <v/>
      </c>
      <c r="Q41" s="0">
        <f>SUMIFS(Codex_Li_Busch!$J$2:$J$161,Codex_Li_Busch!$D$2:$D$161,Q$4)*Codex_sources!$D$5/3</f>
        <v/>
      </c>
      <c r="R41" s="0">
        <f>SUMIFS(Codex_Li_Busch!$J$2:$J$161,Codex_Li_Busch!$D$2:$D$161,R$4)*Codex_sources!$D$5/3</f>
        <v/>
      </c>
      <c r="S41" s="0">
        <f>SUMIFS(Codex_Li_Busch!$J$2:$J$161,Codex_Li_Busch!$D$2:$D$161,S$4)*Codex_sources!$D$5/3</f>
        <v/>
      </c>
      <c r="T41" s="0">
        <f>SUMIFS(Codex_Li_Busch!$J$2:$J$161,Codex_Li_Busch!$D$2:$D$161,T$4)*Codex_sources!$D$5/3</f>
        <v/>
      </c>
      <c r="U41" s="0">
        <f>SUMIFS(Codex_Li_Busch!$J$2:$J$161,Codex_Li_Busch!$D$2:$D$161,U$4)*Codex_sources!$D$5/3</f>
        <v/>
      </c>
      <c r="V41" s="0">
        <f>SUMIFS(Codex_Li_Busch!$J$2:$J$161,Codex_Li_Busch!$D$2:$D$161,V$4)*Codex_sources!$D$5/3</f>
        <v/>
      </c>
      <c r="W41" s="0">
        <f>SUMIFS(Codex_Li_Busch!$J$2:$J$161,Codex_Li_Busch!$D$2:$D$161,W$4)*Codex_sources!$D$5/3</f>
        <v/>
      </c>
      <c r="X41" s="0">
        <f>SUMIFS(Codex_Li_Busch!$J$2:$J$161,Codex_Li_Busch!$D$2:$D$161,X$4)*Codex_sources!$D$5/3</f>
        <v/>
      </c>
      <c r="Y41" s="0">
        <f>SUMIFS(Codex_Li_Busch!$J$2:$J$161,Codex_Li_Busch!$D$2:$D$161,Y$4)*Codex_sources!$D$5/3</f>
        <v/>
      </c>
      <c r="Z41" s="0">
        <f>SUMIFS(Codex_Li_Busch!$J$2:$J$161,Codex_Li_Busch!$D$2:$D$161,Z$4)*Codex_sources!$D$5/3</f>
        <v/>
      </c>
      <c r="AA41" s="0">
        <f>SUMIFS(Codex_Li_Busch!$J$2:$J$161,Codex_Li_Busch!$D$2:$D$161,AA$4)*Codex_sources!$D$5/3</f>
        <v/>
      </c>
      <c r="AB41" s="0">
        <f>SUMIFS(Codex_Li_Busch!$J$2:$J$161,Codex_Li_Busch!$D$2:$D$161,AB$4)*Codex_sources!$D$5/3</f>
        <v/>
      </c>
      <c r="AC41" s="0">
        <f>SUMIFS(Codex_Li_Busch!$J$2:$J$161,Codex_Li_Busch!$D$2:$D$161,AC$4)*Codex_sources!$D$5/3</f>
        <v/>
      </c>
      <c r="AD41" s="0">
        <f>SUMIFS(Codex_Li_Busch!$J$2:$J$161,Codex_Li_Busch!$D$2:$D$161,AD$4)*Codex_sources!$D$5/3</f>
        <v/>
      </c>
      <c r="AE41" s="0">
        <f>SUMIFS(Codex_Li_Busch!$J$2:$J$161,Codex_Li_Busch!$D$2:$D$161,AE$4)*Codex_sources!$D$5/3</f>
        <v/>
      </c>
      <c r="AF41" s="0">
        <f>SUMIFS(Codex_Li_Busch!$J$2:$J$161,Codex_Li_Busch!$D$2:$D$161,AF$4)*Codex_sources!$D$5/3</f>
        <v/>
      </c>
      <c r="AG41" s="0">
        <f>SUMIFS(Codex_Li_Busch!$J$2:$J$161,Codex_Li_Busch!$D$2:$D$161,AG$4)*Codex_sources!$D$5/3</f>
        <v/>
      </c>
      <c r="AH41" s="0">
        <f>SUMIFS(Codex_Li_Busch!$J$2:$J$161,Codex_Li_Busch!$D$2:$D$161,AH$4)*Codex_sources!$D$5/3</f>
        <v/>
      </c>
      <c r="AI41" s="0">
        <f>SUMIFS(Codex_Li_Busch!$J$2:$J$161,Codex_Li_Busch!$D$2:$D$161,AI$4)*Codex_sources!$D$5/3</f>
        <v/>
      </c>
      <c r="AJ41" s="0">
        <f>SUMIFS(Codex_Li_Busch!$J$2:$J$161,Codex_Li_Busch!$D$2:$D$161,AJ$4)*Codex_sources!$D$5/3</f>
        <v/>
      </c>
      <c r="AK41" s="0">
        <f>SUMIFS(Codex_Li_Busch!$J$2:$J$161,Codex_Li_Busch!$D$2:$D$161,AK$4)*Codex_sources!$D$5/3</f>
        <v/>
      </c>
      <c r="AL41" s="0">
        <f>SUMIFS(Codex_Li_Busch!$J$2:$J$161,Codex_Li_Busch!$D$2:$D$161,AL$4)*Codex_sources!$D$5/3</f>
        <v/>
      </c>
      <c r="AM41" s="0">
        <f>SUMIFS(Codex_Li_Busch!$J$2:$J$161,Codex_Li_Busch!$D$2:$D$161,AM$4)*Codex_sources!$D$5/3</f>
        <v/>
      </c>
      <c r="AN41" s="0">
        <f>SUMIFS(Codex_Li_Busch!$J$2:$J$161,Codex_Li_Busch!$D$2:$D$161,AN$4)*Codex_sources!$D$5/3</f>
        <v/>
      </c>
      <c r="AO41" s="0" t="inlineStr">
        <is>
          <t>2019, 2130</t>
        </is>
      </c>
    </row>
    <row r="42">
      <c r="C42" s="0" t="inlineStr">
        <is>
          <t>MINLiRSV1</t>
        </is>
      </c>
      <c r="D42" s="0" t="inlineStr">
        <is>
          <t>CUM</t>
        </is>
      </c>
      <c r="F42" s="0">
        <f>SUMIFS(Codex_Li_Busch!$G$2:$G$161,Codex_Li_Busch!$D$2:$D$161,F$4)*Codex_sources!$D$5</f>
        <v/>
      </c>
      <c r="G42" s="0">
        <f>SUMIFS(Codex_Li_Busch!$G$2:$G$161,Codex_Li_Busch!$D$2:$D$161,G$4)*Codex_sources!$D$5</f>
        <v/>
      </c>
      <c r="H42" s="0">
        <f>SUMIFS(Codex_Li_Busch!$G$2:$G$161,Codex_Li_Busch!$D$2:$D$161,H$4)*Codex_sources!$D$5</f>
        <v/>
      </c>
      <c r="I42" s="0">
        <f>SUMIFS(Codex_Li_Busch!$G$2:$G$161,Codex_Li_Busch!$D$2:$D$161,I$4)*Codex_sources!$D$5</f>
        <v/>
      </c>
      <c r="J42" s="0">
        <f>SUMIFS(Codex_Li_Busch!$G$2:$G$161,Codex_Li_Busch!$D$2:$D$161,J$4)*Codex_sources!$D$5</f>
        <v/>
      </c>
      <c r="K42" s="0">
        <f>SUMIFS(Codex_Li_Busch!$G$2:$G$161,Codex_Li_Busch!$D$2:$D$161,K$4)*Codex_sources!$D$5</f>
        <v/>
      </c>
      <c r="L42" s="0">
        <f>SUMIFS(Codex_Li_Busch!$G$2:$G$161,Codex_Li_Busch!$D$2:$D$161,L$4)*Codex_sources!$D$5</f>
        <v/>
      </c>
      <c r="M42" s="0">
        <f>SUMIFS(Codex_Li_Busch!$G$2:$G$161,Codex_Li_Busch!$D$2:$D$161,M$4)*Codex_sources!$D$5</f>
        <v/>
      </c>
      <c r="N42" s="0">
        <f>SUMIFS(Codex_Li_Busch!$G$2:$G$161,Codex_Li_Busch!$D$2:$D$161,N$4)*Codex_sources!$D$5</f>
        <v/>
      </c>
      <c r="O42" s="0">
        <f>SUMIFS(Codex_Li_Busch!$G$2:$G$161,Codex_Li_Busch!$D$2:$D$161,O$4)*Codex_sources!$D$5</f>
        <v/>
      </c>
      <c r="P42" s="0">
        <f>SUMIFS(Codex_Li_Busch!$G$2:$G$161,Codex_Li_Busch!$D$2:$D$161,P$4)*Codex_sources!$D$5</f>
        <v/>
      </c>
      <c r="Q42" s="0">
        <f>SUMIFS(Codex_Li_Busch!$G$2:$G$161,Codex_Li_Busch!$D$2:$D$161,Q$4)*Codex_sources!$D$5</f>
        <v/>
      </c>
      <c r="R42" s="0">
        <f>SUMIFS(Codex_Li_Busch!$G$2:$G$161,Codex_Li_Busch!$D$2:$D$161,R$4)*Codex_sources!$D$5</f>
        <v/>
      </c>
      <c r="S42" s="0">
        <f>SUMIFS(Codex_Li_Busch!$G$2:$G$161,Codex_Li_Busch!$D$2:$D$161,S$4)*Codex_sources!$D$5</f>
        <v/>
      </c>
      <c r="T42" s="0">
        <f>SUMIFS(Codex_Li_Busch!$G$2:$G$161,Codex_Li_Busch!$D$2:$D$161,T$4)*Codex_sources!$D$5</f>
        <v/>
      </c>
      <c r="U42" s="0">
        <f>SUMIFS(Codex_Li_Busch!$G$2:$G$161,Codex_Li_Busch!$D$2:$D$161,U$4)*Codex_sources!$D$5</f>
        <v/>
      </c>
      <c r="V42" s="0">
        <f>SUMIFS(Codex_Li_Busch!$G$2:$G$161,Codex_Li_Busch!$D$2:$D$161,V$4)*Codex_sources!$D$5</f>
        <v/>
      </c>
      <c r="W42" s="0">
        <f>SUMIFS(Codex_Li_Busch!$G$2:$G$161,Codex_Li_Busch!$D$2:$D$161,W$4)*Codex_sources!$D$5</f>
        <v/>
      </c>
      <c r="X42" s="0">
        <f>SUMIFS(Codex_Li_Busch!$G$2:$G$161,Codex_Li_Busch!$D$2:$D$161,X$4)*Codex_sources!$D$5</f>
        <v/>
      </c>
      <c r="Y42" s="0">
        <f>SUMIFS(Codex_Li_Busch!$G$2:$G$161,Codex_Li_Busch!$D$2:$D$161,Y$4)*Codex_sources!$D$5</f>
        <v/>
      </c>
      <c r="Z42" s="0">
        <f>SUMIFS(Codex_Li_Busch!$G$2:$G$161,Codex_Li_Busch!$D$2:$D$161,Z$4)*Codex_sources!$D$5</f>
        <v/>
      </c>
      <c r="AA42" s="0">
        <f>SUMIFS(Codex_Li_Busch!$G$2:$G$161,Codex_Li_Busch!$D$2:$D$161,AA$4)*Codex_sources!$D$5</f>
        <v/>
      </c>
      <c r="AB42" s="0">
        <f>SUMIFS(Codex_Li_Busch!$G$2:$G$161,Codex_Li_Busch!$D$2:$D$161,AB$4)*Codex_sources!$D$5</f>
        <v/>
      </c>
      <c r="AC42" s="0">
        <f>SUMIFS(Codex_Li_Busch!$G$2:$G$161,Codex_Li_Busch!$D$2:$D$161,AC$4)*Codex_sources!$D$5</f>
        <v/>
      </c>
      <c r="AD42" s="0">
        <f>SUMIFS(Codex_Li_Busch!$G$2:$G$161,Codex_Li_Busch!$D$2:$D$161,AD$4)*Codex_sources!$D$5</f>
        <v/>
      </c>
      <c r="AE42" s="0">
        <f>SUMIFS(Codex_Li_Busch!$G$2:$G$161,Codex_Li_Busch!$D$2:$D$161,AE$4)*Codex_sources!$D$5</f>
        <v/>
      </c>
      <c r="AF42" s="0">
        <f>SUMIFS(Codex_Li_Busch!$G$2:$G$161,Codex_Li_Busch!$D$2:$D$161,AF$4)*Codex_sources!$D$5</f>
        <v/>
      </c>
      <c r="AG42" s="0">
        <f>SUMIFS(Codex_Li_Busch!$G$2:$G$161,Codex_Li_Busch!$D$2:$D$161,AG$4)*Codex_sources!$D$5</f>
        <v/>
      </c>
      <c r="AH42" s="0">
        <f>SUMIFS(Codex_Li_Busch!$G$2:$G$161,Codex_Li_Busch!$D$2:$D$161,AH$4)*Codex_sources!$D$5</f>
        <v/>
      </c>
      <c r="AI42" s="0">
        <f>SUMIFS(Codex_Li_Busch!$G$2:$G$161,Codex_Li_Busch!$D$2:$D$161,AI$4)*Codex_sources!$D$5</f>
        <v/>
      </c>
      <c r="AJ42" s="0">
        <f>SUMIFS(Codex_Li_Busch!$G$2:$G$161,Codex_Li_Busch!$D$2:$D$161,AJ$4)*Codex_sources!$D$5</f>
        <v/>
      </c>
      <c r="AK42" s="0">
        <f>SUMIFS(Codex_Li_Busch!$G$2:$G$161,Codex_Li_Busch!$D$2:$D$161,AK$4)*Codex_sources!$D$5</f>
        <v/>
      </c>
      <c r="AL42" s="0">
        <f>SUMIFS(Codex_Li_Busch!$G$2:$G$161,Codex_Li_Busch!$D$2:$D$161,AL$4)*Codex_sources!$D$5</f>
        <v/>
      </c>
      <c r="AM42" s="0">
        <f>SUMIFS(Codex_Li_Busch!$G$2:$G$161,Codex_Li_Busch!$D$2:$D$161,AM$4)*Codex_sources!$D$5</f>
        <v/>
      </c>
      <c r="AN42" s="0">
        <f>SUMIFS(Codex_Li_Busch!$G$2:$G$161,Codex_Li_Busch!$D$2:$D$161,AN$4)*Codex_sources!$D$5</f>
        <v/>
      </c>
      <c r="AO42" s="0">
        <f>AO41</f>
        <v/>
      </c>
    </row>
    <row r="43">
      <c r="C43" s="0" t="inlineStr">
        <is>
          <t>MINLiRSV1</t>
        </is>
      </c>
      <c r="D43" s="0" t="inlineStr">
        <is>
          <t>COST</t>
        </is>
      </c>
      <c r="E43" s="0" t="inlineStr">
        <is>
          <t>m_lithium</t>
        </is>
      </c>
      <c r="F43" s="0">
        <f>Codex_Regional!F7</f>
        <v/>
      </c>
      <c r="G43" s="0">
        <f>Codex_Regional!G7</f>
        <v/>
      </c>
      <c r="H43" s="0">
        <f>Codex_Regional!H7</f>
        <v/>
      </c>
      <c r="I43" s="0">
        <f>Codex_Regional!I7</f>
        <v/>
      </c>
      <c r="J43" s="0">
        <f>Codex_Regional!J7</f>
        <v/>
      </c>
      <c r="K43" s="0">
        <f>Codex_Regional!K7</f>
        <v/>
      </c>
      <c r="L43" s="0">
        <f>Codex_Regional!L7</f>
        <v/>
      </c>
      <c r="M43" s="0">
        <f>Codex_Regional!M7</f>
        <v/>
      </c>
      <c r="N43" s="0">
        <f>Codex_Regional!N7</f>
        <v/>
      </c>
      <c r="O43" s="0">
        <f>Codex_Regional!O7</f>
        <v/>
      </c>
      <c r="P43" s="0">
        <f>Codex_Regional!P7</f>
        <v/>
      </c>
      <c r="Q43" s="0">
        <f>Codex_Regional!Q7</f>
        <v/>
      </c>
      <c r="R43" s="0">
        <f>Codex_Regional!R7</f>
        <v/>
      </c>
      <c r="S43" s="0">
        <f>Codex_Regional!S7</f>
        <v/>
      </c>
      <c r="T43" s="0">
        <f>Codex_Regional!T7</f>
        <v/>
      </c>
      <c r="U43" s="0">
        <f>Codex_Regional!U7</f>
        <v/>
      </c>
      <c r="V43" s="0">
        <f>Codex_Regional!V7</f>
        <v/>
      </c>
      <c r="W43" s="0">
        <f>Codex_Regional!W7</f>
        <v/>
      </c>
      <c r="X43" s="0">
        <f>Codex_Regional!X7</f>
        <v/>
      </c>
      <c r="Y43" s="0">
        <f>Codex_Regional!Y7</f>
        <v/>
      </c>
      <c r="Z43" s="0">
        <f>Codex_Regional!Z7</f>
        <v/>
      </c>
      <c r="AA43" s="0">
        <f>Codex_Regional!AA7</f>
        <v/>
      </c>
      <c r="AB43" s="0">
        <f>Codex_Regional!AB7</f>
        <v/>
      </c>
      <c r="AC43" s="0">
        <f>Codex_Regional!AC7</f>
        <v/>
      </c>
      <c r="AD43" s="0">
        <f>Codex_Regional!AD7</f>
        <v/>
      </c>
      <c r="AE43" s="0">
        <f>Codex_Regional!AE7</f>
        <v/>
      </c>
      <c r="AF43" s="0">
        <f>Codex_Regional!AF7</f>
        <v/>
      </c>
      <c r="AG43" s="0">
        <f>Codex_Regional!AG7</f>
        <v/>
      </c>
      <c r="AH43" s="0">
        <f>Codex_Regional!AH7</f>
        <v/>
      </c>
      <c r="AI43" s="0">
        <f>Codex_Regional!AI7</f>
        <v/>
      </c>
      <c r="AJ43" s="0">
        <f>Codex_Regional!AJ7</f>
        <v/>
      </c>
      <c r="AK43" s="0">
        <f>Codex_Regional!AK7</f>
        <v/>
      </c>
      <c r="AL43" s="0">
        <f>Codex_Regional!AL7</f>
        <v/>
      </c>
      <c r="AM43" s="0">
        <f>Codex_Regional!AM7</f>
        <v/>
      </c>
      <c r="AN43" s="0">
        <f>Codex_Regional!AN7</f>
        <v/>
      </c>
      <c r="AO43" s="0">
        <f>AO42</f>
        <v/>
      </c>
    </row>
    <row r="44">
      <c r="C44" s="0" t="inlineStr">
        <is>
          <t>MINLiRSV2</t>
        </is>
      </c>
      <c r="D44" s="0" t="inlineStr">
        <is>
          <t>BNDACT</t>
        </is>
      </c>
      <c r="F44" s="0">
        <f>SUMIFS(Codex_Li_Busch!$J$2:$J$161,Codex_Li_Busch!$D$2:$D$161,F$4)*Codex_sources!$D$5*2/3</f>
        <v/>
      </c>
      <c r="G44" s="0">
        <f>SUMIFS(Codex_Li_Busch!$J$2:$J$161,Codex_Li_Busch!$D$2:$D$161,G$4)*Codex_sources!$D$5*2/3</f>
        <v/>
      </c>
      <c r="H44" s="0">
        <f>SUMIFS(Codex_Li_Busch!$J$2:$J$161,Codex_Li_Busch!$D$2:$D$161,H$4)*Codex_sources!$D$5*2/3</f>
        <v/>
      </c>
      <c r="I44" s="0">
        <f>SUMIFS(Codex_Li_Busch!$J$2:$J$161,Codex_Li_Busch!$D$2:$D$161,I$4)*Codex_sources!$D$5*2/3</f>
        <v/>
      </c>
      <c r="J44" s="0">
        <f>SUMIFS(Codex_Li_Busch!$J$2:$J$161,Codex_Li_Busch!$D$2:$D$161,J$4)*Codex_sources!$D$5*2/3</f>
        <v/>
      </c>
      <c r="K44" s="0">
        <f>SUMIFS(Codex_Li_Busch!$J$2:$J$161,Codex_Li_Busch!$D$2:$D$161,K$4)*Codex_sources!$D$5*2/3</f>
        <v/>
      </c>
      <c r="L44" s="0">
        <f>SUMIFS(Codex_Li_Busch!$J$2:$J$161,Codex_Li_Busch!$D$2:$D$161,L$4)*Codex_sources!$D$5*2/3</f>
        <v/>
      </c>
      <c r="M44" s="0">
        <f>SUMIFS(Codex_Li_Busch!$J$2:$J$161,Codex_Li_Busch!$D$2:$D$161,M$4)*Codex_sources!$D$5*2/3</f>
        <v/>
      </c>
      <c r="N44" s="0">
        <f>SUMIFS(Codex_Li_Busch!$J$2:$J$161,Codex_Li_Busch!$D$2:$D$161,N$4)*Codex_sources!$D$5*2/3</f>
        <v/>
      </c>
      <c r="O44" s="0">
        <f>SUMIFS(Codex_Li_Busch!$J$2:$J$161,Codex_Li_Busch!$D$2:$D$161,O$4)*Codex_sources!$D$5*2/3</f>
        <v/>
      </c>
      <c r="P44" s="0">
        <f>SUMIFS(Codex_Li_Busch!$J$2:$J$161,Codex_Li_Busch!$D$2:$D$161,P$4)*Codex_sources!$D$5*2/3</f>
        <v/>
      </c>
      <c r="Q44" s="0">
        <f>SUMIFS(Codex_Li_Busch!$J$2:$J$161,Codex_Li_Busch!$D$2:$D$161,Q$4)*Codex_sources!$D$5*2/3</f>
        <v/>
      </c>
      <c r="R44" s="0">
        <f>SUMIFS(Codex_Li_Busch!$J$2:$J$161,Codex_Li_Busch!$D$2:$D$161,R$4)*Codex_sources!$D$5*2/3</f>
        <v/>
      </c>
      <c r="S44" s="0">
        <f>SUMIFS(Codex_Li_Busch!$J$2:$J$161,Codex_Li_Busch!$D$2:$D$161,S$4)*Codex_sources!$D$5*2/3</f>
        <v/>
      </c>
      <c r="T44" s="0">
        <f>SUMIFS(Codex_Li_Busch!$J$2:$J$161,Codex_Li_Busch!$D$2:$D$161,T$4)*Codex_sources!$D$5*2/3</f>
        <v/>
      </c>
      <c r="U44" s="0">
        <f>SUMIFS(Codex_Li_Busch!$J$2:$J$161,Codex_Li_Busch!$D$2:$D$161,U$4)*Codex_sources!$D$5*2/3</f>
        <v/>
      </c>
      <c r="V44" s="0">
        <f>SUMIFS(Codex_Li_Busch!$J$2:$J$161,Codex_Li_Busch!$D$2:$D$161,V$4)*Codex_sources!$D$5*2/3</f>
        <v/>
      </c>
      <c r="W44" s="0">
        <f>SUMIFS(Codex_Li_Busch!$J$2:$J$161,Codex_Li_Busch!$D$2:$D$161,W$4)*Codex_sources!$D$5*2/3</f>
        <v/>
      </c>
      <c r="X44" s="0">
        <f>SUMIFS(Codex_Li_Busch!$J$2:$J$161,Codex_Li_Busch!$D$2:$D$161,X$4)*Codex_sources!$D$5*2/3</f>
        <v/>
      </c>
      <c r="Y44" s="0">
        <f>SUMIFS(Codex_Li_Busch!$J$2:$J$161,Codex_Li_Busch!$D$2:$D$161,Y$4)*Codex_sources!$D$5*2/3</f>
        <v/>
      </c>
      <c r="Z44" s="0">
        <f>SUMIFS(Codex_Li_Busch!$J$2:$J$161,Codex_Li_Busch!$D$2:$D$161,Z$4)*Codex_sources!$D$5*2/3</f>
        <v/>
      </c>
      <c r="AA44" s="0">
        <f>SUMIFS(Codex_Li_Busch!$J$2:$J$161,Codex_Li_Busch!$D$2:$D$161,AA$4)*Codex_sources!$D$5*2/3</f>
        <v/>
      </c>
      <c r="AB44" s="0">
        <f>SUMIFS(Codex_Li_Busch!$J$2:$J$161,Codex_Li_Busch!$D$2:$D$161,AB$4)*Codex_sources!$D$5*2/3</f>
        <v/>
      </c>
      <c r="AC44" s="0">
        <f>SUMIFS(Codex_Li_Busch!$J$2:$J$161,Codex_Li_Busch!$D$2:$D$161,AC$4)*Codex_sources!$D$5*2/3</f>
        <v/>
      </c>
      <c r="AD44" s="0">
        <f>SUMIFS(Codex_Li_Busch!$J$2:$J$161,Codex_Li_Busch!$D$2:$D$161,AD$4)*Codex_sources!$D$5*2/3</f>
        <v/>
      </c>
      <c r="AE44" s="0">
        <f>SUMIFS(Codex_Li_Busch!$J$2:$J$161,Codex_Li_Busch!$D$2:$D$161,AE$4)*Codex_sources!$D$5*2/3</f>
        <v/>
      </c>
      <c r="AF44" s="0">
        <f>SUMIFS(Codex_Li_Busch!$J$2:$J$161,Codex_Li_Busch!$D$2:$D$161,AF$4)*Codex_sources!$D$5*2/3</f>
        <v/>
      </c>
      <c r="AG44" s="0">
        <f>SUMIFS(Codex_Li_Busch!$J$2:$J$161,Codex_Li_Busch!$D$2:$D$161,AG$4)*Codex_sources!$D$5*2/3</f>
        <v/>
      </c>
      <c r="AH44" s="0">
        <f>SUMIFS(Codex_Li_Busch!$J$2:$J$161,Codex_Li_Busch!$D$2:$D$161,AH$4)*Codex_sources!$D$5*2/3</f>
        <v/>
      </c>
      <c r="AI44" s="0">
        <f>SUMIFS(Codex_Li_Busch!$J$2:$J$161,Codex_Li_Busch!$D$2:$D$161,AI$4)*Codex_sources!$D$5*2/3</f>
        <v/>
      </c>
      <c r="AJ44" s="0">
        <f>SUMIFS(Codex_Li_Busch!$J$2:$J$161,Codex_Li_Busch!$D$2:$D$161,AJ$4)*Codex_sources!$D$5*2/3</f>
        <v/>
      </c>
      <c r="AK44" s="0">
        <f>SUMIFS(Codex_Li_Busch!$J$2:$J$161,Codex_Li_Busch!$D$2:$D$161,AK$4)*Codex_sources!$D$5*2/3</f>
        <v/>
      </c>
      <c r="AL44" s="0">
        <f>SUMIFS(Codex_Li_Busch!$J$2:$J$161,Codex_Li_Busch!$D$2:$D$161,AL$4)*Codex_sources!$D$5*2/3</f>
        <v/>
      </c>
      <c r="AM44" s="0">
        <f>SUMIFS(Codex_Li_Busch!$J$2:$J$161,Codex_Li_Busch!$D$2:$D$161,AM$4)*Codex_sources!$D$5*2/3</f>
        <v/>
      </c>
      <c r="AN44" s="0">
        <f>SUMIFS(Codex_Li_Busch!$J$2:$J$161,Codex_Li_Busch!$D$2:$D$161,AN$4)*Codex_sources!$D$5*2/3</f>
        <v/>
      </c>
      <c r="AO44" s="0">
        <f>AO43</f>
        <v/>
      </c>
    </row>
    <row r="45">
      <c r="C45" s="0" t="inlineStr">
        <is>
          <t>MINLiRSV2</t>
        </is>
      </c>
      <c r="D45" s="0" t="inlineStr">
        <is>
          <t>CUM</t>
        </is>
      </c>
      <c r="F45" s="0">
        <f>SUMIFS(Codex_Li_Busch!$H$2:$H$161,Codex_Li_Busch!$D$2:$D$161,F$4)*Codex_sources!$D$5</f>
        <v/>
      </c>
      <c r="G45" s="0">
        <f>SUMIFS(Codex_Li_Busch!$H$2:$H$161,Codex_Li_Busch!$D$2:$D$161,G$4)*Codex_sources!$D$5</f>
        <v/>
      </c>
      <c r="H45" s="0">
        <f>SUMIFS(Codex_Li_Busch!$H$2:$H$161,Codex_Li_Busch!$D$2:$D$161,H$4)*Codex_sources!$D$5</f>
        <v/>
      </c>
      <c r="I45" s="0">
        <f>SUMIFS(Codex_Li_Busch!$H$2:$H$161,Codex_Li_Busch!$D$2:$D$161,I$4)*Codex_sources!$D$5</f>
        <v/>
      </c>
      <c r="J45" s="0">
        <f>SUMIFS(Codex_Li_Busch!$H$2:$H$161,Codex_Li_Busch!$D$2:$D$161,J$4)*Codex_sources!$D$5</f>
        <v/>
      </c>
      <c r="K45" s="0">
        <f>SUMIFS(Codex_Li_Busch!$H$2:$H$161,Codex_Li_Busch!$D$2:$D$161,K$4)*Codex_sources!$D$5</f>
        <v/>
      </c>
      <c r="L45" s="0">
        <f>SUMIFS(Codex_Li_Busch!$H$2:$H$161,Codex_Li_Busch!$D$2:$D$161,L$4)*Codex_sources!$D$5</f>
        <v/>
      </c>
      <c r="M45" s="0">
        <f>SUMIFS(Codex_Li_Busch!$H$2:$H$161,Codex_Li_Busch!$D$2:$D$161,M$4)*Codex_sources!$D$5</f>
        <v/>
      </c>
      <c r="N45" s="0">
        <f>SUMIFS(Codex_Li_Busch!$H$2:$H$161,Codex_Li_Busch!$D$2:$D$161,N$4)*Codex_sources!$D$5</f>
        <v/>
      </c>
      <c r="O45" s="0">
        <f>SUMIFS(Codex_Li_Busch!$H$2:$H$161,Codex_Li_Busch!$D$2:$D$161,O$4)*Codex_sources!$D$5</f>
        <v/>
      </c>
      <c r="P45" s="0">
        <f>SUMIFS(Codex_Li_Busch!$H$2:$H$161,Codex_Li_Busch!$D$2:$D$161,P$4)*Codex_sources!$D$5</f>
        <v/>
      </c>
      <c r="Q45" s="0">
        <f>SUMIFS(Codex_Li_Busch!$H$2:$H$161,Codex_Li_Busch!$D$2:$D$161,Q$4)*Codex_sources!$D$5</f>
        <v/>
      </c>
      <c r="R45" s="0">
        <f>SUMIFS(Codex_Li_Busch!$H$2:$H$161,Codex_Li_Busch!$D$2:$D$161,R$4)*Codex_sources!$D$5</f>
        <v/>
      </c>
      <c r="S45" s="0">
        <f>SUMIFS(Codex_Li_Busch!$H$2:$H$161,Codex_Li_Busch!$D$2:$D$161,S$4)*Codex_sources!$D$5</f>
        <v/>
      </c>
      <c r="T45" s="0">
        <f>SUMIFS(Codex_Li_Busch!$H$2:$H$161,Codex_Li_Busch!$D$2:$D$161,T$4)*Codex_sources!$D$5</f>
        <v/>
      </c>
      <c r="U45" s="0">
        <f>SUMIFS(Codex_Li_Busch!$H$2:$H$161,Codex_Li_Busch!$D$2:$D$161,U$4)*Codex_sources!$D$5</f>
        <v/>
      </c>
      <c r="V45" s="0">
        <f>SUMIFS(Codex_Li_Busch!$H$2:$H$161,Codex_Li_Busch!$D$2:$D$161,V$4)*Codex_sources!$D$5</f>
        <v/>
      </c>
      <c r="W45" s="0">
        <f>SUMIFS(Codex_Li_Busch!$H$2:$H$161,Codex_Li_Busch!$D$2:$D$161,W$4)*Codex_sources!$D$5</f>
        <v/>
      </c>
      <c r="X45" s="0">
        <f>SUMIFS(Codex_Li_Busch!$H$2:$H$161,Codex_Li_Busch!$D$2:$D$161,X$4)*Codex_sources!$D$5</f>
        <v/>
      </c>
      <c r="Y45" s="0">
        <f>SUMIFS(Codex_Li_Busch!$H$2:$H$161,Codex_Li_Busch!$D$2:$D$161,Y$4)*Codex_sources!$D$5</f>
        <v/>
      </c>
      <c r="Z45" s="0">
        <f>SUMIFS(Codex_Li_Busch!$H$2:$H$161,Codex_Li_Busch!$D$2:$D$161,Z$4)*Codex_sources!$D$5</f>
        <v/>
      </c>
      <c r="AA45" s="0">
        <f>SUMIFS(Codex_Li_Busch!$H$2:$H$161,Codex_Li_Busch!$D$2:$D$161,AA$4)*Codex_sources!$D$5</f>
        <v/>
      </c>
      <c r="AB45" s="0">
        <f>SUMIFS(Codex_Li_Busch!$H$2:$H$161,Codex_Li_Busch!$D$2:$D$161,AB$4)*Codex_sources!$D$5</f>
        <v/>
      </c>
      <c r="AC45" s="0">
        <f>SUMIFS(Codex_Li_Busch!$H$2:$H$161,Codex_Li_Busch!$D$2:$D$161,AC$4)*Codex_sources!$D$5</f>
        <v/>
      </c>
      <c r="AD45" s="0">
        <f>SUMIFS(Codex_Li_Busch!$H$2:$H$161,Codex_Li_Busch!$D$2:$D$161,AD$4)*Codex_sources!$D$5</f>
        <v/>
      </c>
      <c r="AE45" s="0">
        <f>SUMIFS(Codex_Li_Busch!$H$2:$H$161,Codex_Li_Busch!$D$2:$D$161,AE$4)*Codex_sources!$D$5</f>
        <v/>
      </c>
      <c r="AF45" s="0">
        <f>SUMIFS(Codex_Li_Busch!$H$2:$H$161,Codex_Li_Busch!$D$2:$D$161,AF$4)*Codex_sources!$D$5</f>
        <v/>
      </c>
      <c r="AG45" s="0">
        <f>SUMIFS(Codex_Li_Busch!$H$2:$H$161,Codex_Li_Busch!$D$2:$D$161,AG$4)*Codex_sources!$D$5</f>
        <v/>
      </c>
      <c r="AH45" s="0">
        <f>SUMIFS(Codex_Li_Busch!$H$2:$H$161,Codex_Li_Busch!$D$2:$D$161,AH$4)*Codex_sources!$D$5</f>
        <v/>
      </c>
      <c r="AI45" s="0">
        <f>SUMIFS(Codex_Li_Busch!$H$2:$H$161,Codex_Li_Busch!$D$2:$D$161,AI$4)*Codex_sources!$D$5</f>
        <v/>
      </c>
      <c r="AJ45" s="0">
        <f>SUMIFS(Codex_Li_Busch!$H$2:$H$161,Codex_Li_Busch!$D$2:$D$161,AJ$4)*Codex_sources!$D$5</f>
        <v/>
      </c>
      <c r="AK45" s="0">
        <f>SUMIFS(Codex_Li_Busch!$H$2:$H$161,Codex_Li_Busch!$D$2:$D$161,AK$4)*Codex_sources!$D$5</f>
        <v/>
      </c>
      <c r="AL45" s="0">
        <f>SUMIFS(Codex_Li_Busch!$H$2:$H$161,Codex_Li_Busch!$D$2:$D$161,AL$4)*Codex_sources!$D$5</f>
        <v/>
      </c>
      <c r="AM45" s="0">
        <f>SUMIFS(Codex_Li_Busch!$H$2:$H$161,Codex_Li_Busch!$D$2:$D$161,AM$4)*Codex_sources!$D$5</f>
        <v/>
      </c>
      <c r="AN45" s="0">
        <f>SUMIFS(Codex_Li_Busch!$H$2:$H$161,Codex_Li_Busch!$D$2:$D$161,AN$4)*Codex_sources!$D$5</f>
        <v/>
      </c>
      <c r="AO45" s="0">
        <f>AO44</f>
        <v/>
      </c>
    </row>
    <row r="46">
      <c r="C46" s="0" t="inlineStr">
        <is>
          <t>MINLiRSV2</t>
        </is>
      </c>
      <c r="D46" s="0" t="inlineStr">
        <is>
          <t>COST</t>
        </is>
      </c>
      <c r="E46" s="0" t="inlineStr">
        <is>
          <t>m_lithium</t>
        </is>
      </c>
      <c r="F46" s="0">
        <f>Codex_Regional!F7*(Codex_sources!$N$5/Codex_sources!$M$5)</f>
        <v/>
      </c>
      <c r="G46" s="0">
        <f>Codex_Regional!G7*(Codex_sources!$N$5/Codex_sources!$M$5)</f>
        <v/>
      </c>
      <c r="H46" s="0">
        <f>Codex_Regional!H7*(Codex_sources!$N$5/Codex_sources!$M$5)</f>
        <v/>
      </c>
      <c r="I46" s="0">
        <f>Codex_Regional!I7*(Codex_sources!$N$5/Codex_sources!$M$5)</f>
        <v/>
      </c>
      <c r="J46" s="0">
        <f>Codex_Regional!J7*(Codex_sources!$N$5/Codex_sources!$M$5)</f>
        <v/>
      </c>
      <c r="K46" s="0">
        <f>Codex_Regional!K7*(Codex_sources!$N$5/Codex_sources!$M$5)</f>
        <v/>
      </c>
      <c r="L46" s="0">
        <f>Codex_Regional!L7*(Codex_sources!$N$5/Codex_sources!$M$5)</f>
        <v/>
      </c>
      <c r="M46" s="0">
        <f>Codex_Regional!M7*(Codex_sources!$N$5/Codex_sources!$M$5)</f>
        <v/>
      </c>
      <c r="N46" s="0">
        <f>Codex_Regional!N7*(Codex_sources!$N$5/Codex_sources!$M$5)</f>
        <v/>
      </c>
      <c r="O46" s="0">
        <f>Codex_Regional!O7*(Codex_sources!$N$5/Codex_sources!$M$5)</f>
        <v/>
      </c>
      <c r="P46" s="0">
        <f>Codex_Regional!P7*(Codex_sources!$N$5/Codex_sources!$M$5)</f>
        <v/>
      </c>
      <c r="Q46" s="0">
        <f>Codex_Regional!Q7*(Codex_sources!$N$5/Codex_sources!$M$5)</f>
        <v/>
      </c>
      <c r="R46" s="0">
        <f>Codex_Regional!R7*(Codex_sources!$N$5/Codex_sources!$M$5)</f>
        <v/>
      </c>
      <c r="S46" s="0">
        <f>Codex_Regional!S7*(Codex_sources!$N$5/Codex_sources!$M$5)</f>
        <v/>
      </c>
      <c r="T46" s="0">
        <f>Codex_Regional!T7*(Codex_sources!$N$5/Codex_sources!$M$5)</f>
        <v/>
      </c>
      <c r="U46" s="0">
        <f>Codex_Regional!U7*(Codex_sources!$N$5/Codex_sources!$M$5)</f>
        <v/>
      </c>
      <c r="V46" s="0">
        <f>Codex_Regional!V7*(Codex_sources!$N$5/Codex_sources!$M$5)</f>
        <v/>
      </c>
      <c r="W46" s="0">
        <f>Codex_Regional!W7*(Codex_sources!$N$5/Codex_sources!$M$5)</f>
        <v/>
      </c>
      <c r="X46" s="0">
        <f>Codex_Regional!X7*(Codex_sources!$N$5/Codex_sources!$M$5)</f>
        <v/>
      </c>
      <c r="Y46" s="0">
        <f>Codex_Regional!Y7*(Codex_sources!$N$5/Codex_sources!$M$5)</f>
        <v/>
      </c>
      <c r="Z46" s="0">
        <f>Codex_Regional!Z7*(Codex_sources!$N$5/Codex_sources!$M$5)</f>
        <v/>
      </c>
      <c r="AA46" s="0">
        <f>Codex_Regional!AA7*(Codex_sources!$N$5/Codex_sources!$M$5)</f>
        <v/>
      </c>
      <c r="AB46" s="0">
        <f>Codex_Regional!AB7*(Codex_sources!$N$5/Codex_sources!$M$5)</f>
        <v/>
      </c>
      <c r="AC46" s="0">
        <f>Codex_Regional!AC7*(Codex_sources!$N$5/Codex_sources!$M$5)</f>
        <v/>
      </c>
      <c r="AD46" s="0">
        <f>Codex_Regional!AD7*(Codex_sources!$N$5/Codex_sources!$M$5)</f>
        <v/>
      </c>
      <c r="AE46" s="0">
        <f>Codex_Regional!AE7*(Codex_sources!$N$5/Codex_sources!$M$5)</f>
        <v/>
      </c>
      <c r="AF46" s="0">
        <f>Codex_Regional!AF7*(Codex_sources!$N$5/Codex_sources!$M$5)</f>
        <v/>
      </c>
      <c r="AG46" s="0">
        <f>Codex_Regional!AG7*(Codex_sources!$N$5/Codex_sources!$M$5)</f>
        <v/>
      </c>
      <c r="AH46" s="0">
        <f>Codex_Regional!AH7*(Codex_sources!$N$5/Codex_sources!$M$5)</f>
        <v/>
      </c>
      <c r="AI46" s="0">
        <f>Codex_Regional!AI7*(Codex_sources!$N$5/Codex_sources!$M$5)</f>
        <v/>
      </c>
      <c r="AJ46" s="0">
        <f>Codex_Regional!AJ7*(Codex_sources!$N$5/Codex_sources!$M$5)</f>
        <v/>
      </c>
      <c r="AK46" s="0">
        <f>Codex_Regional!AK7*(Codex_sources!$N$5/Codex_sources!$M$5)</f>
        <v/>
      </c>
      <c r="AL46" s="0">
        <f>Codex_Regional!AL7*(Codex_sources!$N$5/Codex_sources!$M$5)</f>
        <v/>
      </c>
      <c r="AM46" s="0">
        <f>Codex_Regional!AM7*(Codex_sources!$N$5/Codex_sources!$M$5)</f>
        <v/>
      </c>
      <c r="AN46" s="0">
        <f>Codex_Regional!AN7*(Codex_sources!$N$5/Codex_sources!$M$5)</f>
        <v/>
      </c>
      <c r="AO46" s="0">
        <f>AO45</f>
        <v/>
      </c>
    </row>
    <row r="47">
      <c r="C47" s="0" t="inlineStr">
        <is>
          <t>MINLiRSV3</t>
        </is>
      </c>
      <c r="D47" s="0" t="inlineStr">
        <is>
          <t>BNDACT</t>
        </is>
      </c>
      <c r="AO47" s="0">
        <f>AO46</f>
        <v/>
      </c>
    </row>
    <row r="48">
      <c r="C48" s="0" t="inlineStr">
        <is>
          <t>MINLiRSV3</t>
        </is>
      </c>
      <c r="D48" s="0" t="inlineStr">
        <is>
          <t>CUM</t>
        </is>
      </c>
      <c r="F48" s="0">
        <f>SUMIFS(Codex_Li_Busch!$I$2:$I$161,Codex_Li_Busch!$D$2:$D$161,F$4)*Codex_sources!$D$5</f>
        <v/>
      </c>
      <c r="G48" s="0">
        <f>SUMIFS(Codex_Li_Busch!$I$2:$I$161,Codex_Li_Busch!$D$2:$D$161,G$4)*Codex_sources!$D$5</f>
        <v/>
      </c>
      <c r="H48" s="0">
        <f>SUMIFS(Codex_Li_Busch!$I$2:$I$161,Codex_Li_Busch!$D$2:$D$161,H$4)*Codex_sources!$D$5</f>
        <v/>
      </c>
      <c r="I48" s="0">
        <f>SUMIFS(Codex_Li_Busch!$I$2:$I$161,Codex_Li_Busch!$D$2:$D$161,I$4)*Codex_sources!$D$5</f>
        <v/>
      </c>
      <c r="J48" s="0">
        <f>SUMIFS(Codex_Li_Busch!$I$2:$I$161,Codex_Li_Busch!$D$2:$D$161,J$4)*Codex_sources!$D$5</f>
        <v/>
      </c>
      <c r="K48" s="0">
        <f>SUMIFS(Codex_Li_Busch!$I$2:$I$161,Codex_Li_Busch!$D$2:$D$161,K$4)*Codex_sources!$D$5</f>
        <v/>
      </c>
      <c r="L48" s="0">
        <f>SUMIFS(Codex_Li_Busch!$I$2:$I$161,Codex_Li_Busch!$D$2:$D$161,L$4)*Codex_sources!$D$5</f>
        <v/>
      </c>
      <c r="M48" s="0">
        <f>SUMIFS(Codex_Li_Busch!$I$2:$I$161,Codex_Li_Busch!$D$2:$D$161,M$4)*Codex_sources!$D$5</f>
        <v/>
      </c>
      <c r="N48" s="0">
        <f>SUMIFS(Codex_Li_Busch!$I$2:$I$161,Codex_Li_Busch!$D$2:$D$161,N$4)*Codex_sources!$D$5</f>
        <v/>
      </c>
      <c r="O48" s="0">
        <f>SUMIFS(Codex_Li_Busch!$I$2:$I$161,Codex_Li_Busch!$D$2:$D$161,O$4)*Codex_sources!$D$5</f>
        <v/>
      </c>
      <c r="P48" s="0">
        <f>SUMIFS(Codex_Li_Busch!$I$2:$I$161,Codex_Li_Busch!$D$2:$D$161,P$4)*Codex_sources!$D$5</f>
        <v/>
      </c>
      <c r="Q48" s="0">
        <f>SUMIFS(Codex_Li_Busch!$I$2:$I$161,Codex_Li_Busch!$D$2:$D$161,Q$4)*Codex_sources!$D$5</f>
        <v/>
      </c>
      <c r="R48" s="0">
        <f>SUMIFS(Codex_Li_Busch!$I$2:$I$161,Codex_Li_Busch!$D$2:$D$161,R$4)*Codex_sources!$D$5</f>
        <v/>
      </c>
      <c r="S48" s="0">
        <f>SUMIFS(Codex_Li_Busch!$I$2:$I$161,Codex_Li_Busch!$D$2:$D$161,S$4)*Codex_sources!$D$5</f>
        <v/>
      </c>
      <c r="T48" s="0">
        <f>SUMIFS(Codex_Li_Busch!$I$2:$I$161,Codex_Li_Busch!$D$2:$D$161,T$4)*Codex_sources!$D$5</f>
        <v/>
      </c>
      <c r="U48" s="0">
        <f>SUMIFS(Codex_Li_Busch!$I$2:$I$161,Codex_Li_Busch!$D$2:$D$161,U$4)*Codex_sources!$D$5</f>
        <v/>
      </c>
      <c r="V48" s="0">
        <f>SUMIFS(Codex_Li_Busch!$I$2:$I$161,Codex_Li_Busch!$D$2:$D$161,V$4)*Codex_sources!$D$5</f>
        <v/>
      </c>
      <c r="W48" s="0">
        <f>SUMIFS(Codex_Li_Busch!$I$2:$I$161,Codex_Li_Busch!$D$2:$D$161,W$4)*Codex_sources!$D$5</f>
        <v/>
      </c>
      <c r="X48" s="0">
        <f>SUMIFS(Codex_Li_Busch!$I$2:$I$161,Codex_Li_Busch!$D$2:$D$161,X$4)*Codex_sources!$D$5</f>
        <v/>
      </c>
      <c r="Y48" s="0">
        <f>SUMIFS(Codex_Li_Busch!$I$2:$I$161,Codex_Li_Busch!$D$2:$D$161,Y$4)*Codex_sources!$D$5</f>
        <v/>
      </c>
      <c r="Z48" s="0">
        <f>SUMIFS(Codex_Li_Busch!$I$2:$I$161,Codex_Li_Busch!$D$2:$D$161,Z$4)*Codex_sources!$D$5</f>
        <v/>
      </c>
      <c r="AA48" s="0">
        <f>SUMIFS(Codex_Li_Busch!$I$2:$I$161,Codex_Li_Busch!$D$2:$D$161,AA$4)*Codex_sources!$D$5</f>
        <v/>
      </c>
      <c r="AB48" s="0">
        <f>SUMIFS(Codex_Li_Busch!$I$2:$I$161,Codex_Li_Busch!$D$2:$D$161,AB$4)*Codex_sources!$D$5</f>
        <v/>
      </c>
      <c r="AC48" s="0">
        <f>SUMIFS(Codex_Li_Busch!$I$2:$I$161,Codex_Li_Busch!$D$2:$D$161,AC$4)*Codex_sources!$D$5</f>
        <v/>
      </c>
      <c r="AD48" s="0">
        <f>SUMIFS(Codex_Li_Busch!$I$2:$I$161,Codex_Li_Busch!$D$2:$D$161,AD$4)*Codex_sources!$D$5</f>
        <v/>
      </c>
      <c r="AE48" s="0">
        <f>SUMIFS(Codex_Li_Busch!$I$2:$I$161,Codex_Li_Busch!$D$2:$D$161,AE$4)*Codex_sources!$D$5</f>
        <v/>
      </c>
      <c r="AF48" s="0">
        <f>SUMIFS(Codex_Li_Busch!$I$2:$I$161,Codex_Li_Busch!$D$2:$D$161,AF$4)*Codex_sources!$D$5</f>
        <v/>
      </c>
      <c r="AG48" s="0">
        <f>SUMIFS(Codex_Li_Busch!$I$2:$I$161,Codex_Li_Busch!$D$2:$D$161,AG$4)*Codex_sources!$D$5</f>
        <v/>
      </c>
      <c r="AH48" s="0">
        <f>SUMIFS(Codex_Li_Busch!$I$2:$I$161,Codex_Li_Busch!$D$2:$D$161,AH$4)*Codex_sources!$D$5</f>
        <v/>
      </c>
      <c r="AI48" s="0">
        <f>SUMIFS(Codex_Li_Busch!$I$2:$I$161,Codex_Li_Busch!$D$2:$D$161,AI$4)*Codex_sources!$D$5</f>
        <v/>
      </c>
      <c r="AJ48" s="0">
        <f>SUMIFS(Codex_Li_Busch!$I$2:$I$161,Codex_Li_Busch!$D$2:$D$161,AJ$4)*Codex_sources!$D$5</f>
        <v/>
      </c>
      <c r="AK48" s="0">
        <f>SUMIFS(Codex_Li_Busch!$I$2:$I$161,Codex_Li_Busch!$D$2:$D$161,AK$4)*Codex_sources!$D$5</f>
        <v/>
      </c>
      <c r="AL48" s="0">
        <f>SUMIFS(Codex_Li_Busch!$I$2:$I$161,Codex_Li_Busch!$D$2:$D$161,AL$4)*Codex_sources!$D$5</f>
        <v/>
      </c>
      <c r="AM48" s="0">
        <f>SUMIFS(Codex_Li_Busch!$I$2:$I$161,Codex_Li_Busch!$D$2:$D$161,AM$4)*Codex_sources!$D$5</f>
        <v/>
      </c>
      <c r="AN48" s="0">
        <f>SUMIFS(Codex_Li_Busch!$I$2:$I$161,Codex_Li_Busch!$D$2:$D$161,AN$4)*Codex_sources!$D$5</f>
        <v/>
      </c>
      <c r="AO48" s="0">
        <f>AO47</f>
        <v/>
      </c>
    </row>
    <row r="49">
      <c r="C49" s="0" t="inlineStr">
        <is>
          <t>MINLiRSV3</t>
        </is>
      </c>
      <c r="D49" s="0" t="inlineStr">
        <is>
          <t>COST</t>
        </is>
      </c>
      <c r="E49" s="0" t="inlineStr">
        <is>
          <t>m_lithium</t>
        </is>
      </c>
      <c r="F49" s="0">
        <f>Codex_Regional!F7*(Codex_sources!$O$5/Codex_sources!$M$5)</f>
        <v/>
      </c>
      <c r="G49" s="0">
        <f>Codex_Regional!G7*(Codex_sources!$O$5/Codex_sources!$M$5)</f>
        <v/>
      </c>
      <c r="H49" s="0">
        <f>Codex_Regional!H7*(Codex_sources!$O$5/Codex_sources!$M$5)</f>
        <v/>
      </c>
      <c r="I49" s="0">
        <f>Codex_Regional!I7*(Codex_sources!$O$5/Codex_sources!$M$5)</f>
        <v/>
      </c>
      <c r="J49" s="0">
        <f>Codex_Regional!J7*(Codex_sources!$O$5/Codex_sources!$M$5)</f>
        <v/>
      </c>
      <c r="K49" s="0">
        <f>Codex_Regional!K7*(Codex_sources!$O$5/Codex_sources!$M$5)</f>
        <v/>
      </c>
      <c r="L49" s="0">
        <f>Codex_Regional!L7*(Codex_sources!$O$5/Codex_sources!$M$5)</f>
        <v/>
      </c>
      <c r="M49" s="0">
        <f>Codex_Regional!M7*(Codex_sources!$O$5/Codex_sources!$M$5)</f>
        <v/>
      </c>
      <c r="N49" s="0">
        <f>Codex_Regional!N7*(Codex_sources!$O$5/Codex_sources!$M$5)</f>
        <v/>
      </c>
      <c r="O49" s="0">
        <f>Codex_Regional!O7*(Codex_sources!$O$5/Codex_sources!$M$5)</f>
        <v/>
      </c>
      <c r="P49" s="0">
        <f>Codex_Regional!P7*(Codex_sources!$O$5/Codex_sources!$M$5)</f>
        <v/>
      </c>
      <c r="Q49" s="0">
        <f>Codex_Regional!Q7*(Codex_sources!$O$5/Codex_sources!$M$5)</f>
        <v/>
      </c>
      <c r="R49" s="0">
        <f>Codex_Regional!R7*(Codex_sources!$O$5/Codex_sources!$M$5)</f>
        <v/>
      </c>
      <c r="S49" s="0">
        <f>Codex_Regional!S7*(Codex_sources!$O$5/Codex_sources!$M$5)</f>
        <v/>
      </c>
      <c r="T49" s="0">
        <f>Codex_Regional!T7*(Codex_sources!$O$5/Codex_sources!$M$5)</f>
        <v/>
      </c>
      <c r="U49" s="0">
        <f>Codex_Regional!U7*(Codex_sources!$O$5/Codex_sources!$M$5)</f>
        <v/>
      </c>
      <c r="V49" s="0">
        <f>Codex_Regional!V7*(Codex_sources!$O$5/Codex_sources!$M$5)</f>
        <v/>
      </c>
      <c r="W49" s="0">
        <f>Codex_Regional!W7*(Codex_sources!$O$5/Codex_sources!$M$5)</f>
        <v/>
      </c>
      <c r="X49" s="0">
        <f>Codex_Regional!X7*(Codex_sources!$O$5/Codex_sources!$M$5)</f>
        <v/>
      </c>
      <c r="Y49" s="0">
        <f>Codex_Regional!Y7*(Codex_sources!$O$5/Codex_sources!$M$5)</f>
        <v/>
      </c>
      <c r="Z49" s="0">
        <f>Codex_Regional!Z7*(Codex_sources!$O$5/Codex_sources!$M$5)</f>
        <v/>
      </c>
      <c r="AA49" s="0">
        <f>Codex_Regional!AA7*(Codex_sources!$O$5/Codex_sources!$M$5)</f>
        <v/>
      </c>
      <c r="AB49" s="0">
        <f>Codex_Regional!AB7*(Codex_sources!$O$5/Codex_sources!$M$5)</f>
        <v/>
      </c>
      <c r="AC49" s="0">
        <f>Codex_Regional!AC7*(Codex_sources!$O$5/Codex_sources!$M$5)</f>
        <v/>
      </c>
      <c r="AD49" s="0">
        <f>Codex_Regional!AD7*(Codex_sources!$O$5/Codex_sources!$M$5)</f>
        <v/>
      </c>
      <c r="AE49" s="0">
        <f>Codex_Regional!AE7*(Codex_sources!$O$5/Codex_sources!$M$5)</f>
        <v/>
      </c>
      <c r="AF49" s="0">
        <f>Codex_Regional!AF7*(Codex_sources!$O$5/Codex_sources!$M$5)</f>
        <v/>
      </c>
      <c r="AG49" s="0">
        <f>Codex_Regional!AG7*(Codex_sources!$O$5/Codex_sources!$M$5)</f>
        <v/>
      </c>
      <c r="AH49" s="0">
        <f>Codex_Regional!AH7*(Codex_sources!$O$5/Codex_sources!$M$5)</f>
        <v/>
      </c>
      <c r="AI49" s="0">
        <f>Codex_Regional!AI7*(Codex_sources!$O$5/Codex_sources!$M$5)</f>
        <v/>
      </c>
      <c r="AJ49" s="0">
        <f>Codex_Regional!AJ7*(Codex_sources!$O$5/Codex_sources!$M$5)</f>
        <v/>
      </c>
      <c r="AK49" s="0">
        <f>Codex_Regional!AK7*(Codex_sources!$O$5/Codex_sources!$M$5)</f>
        <v/>
      </c>
      <c r="AL49" s="0">
        <f>Codex_Regional!AL7*(Codex_sources!$O$5/Codex_sources!$M$5)</f>
        <v/>
      </c>
      <c r="AM49" s="0">
        <f>Codex_Regional!AM7*(Codex_sources!$O$5/Codex_sources!$M$5)</f>
        <v/>
      </c>
      <c r="AN49" s="0">
        <f>Codex_Regional!AN7*(Codex_sources!$O$5/Codex_sources!$M$5)</f>
        <v/>
      </c>
      <c r="AO49" s="0">
        <f>AO48</f>
        <v/>
      </c>
    </row>
    <row r="50">
      <c r="AO50" s="0">
        <f>AO49</f>
        <v/>
      </c>
    </row>
    <row r="51">
      <c r="C51" s="0" t="inlineStr">
        <is>
          <t>MINNiRSV1</t>
        </is>
      </c>
      <c r="D51" s="0" t="inlineStr">
        <is>
          <t>BNDACT</t>
        </is>
      </c>
      <c r="F51" s="0">
        <f>SUMIFS(Codex_USGS_raw!$D$2:$D$94,Codex_USGS_raw!$A$2:$A$94,Codex_sources!$A$6,Codex_USGS_raw!$C$2:$C$94,F$4)*Codex_sources!$D$6*1</f>
        <v/>
      </c>
      <c r="G51" s="0">
        <f>SUMIFS(Codex_USGS_raw!$D$2:$D$94,Codex_USGS_raw!$A$2:$A$94,Codex_sources!$A$6,Codex_USGS_raw!$C$2:$C$94,G$4)*Codex_sources!$D$6*1</f>
        <v/>
      </c>
      <c r="H51" s="0">
        <f>SUMIFS(Codex_USGS_raw!$D$2:$D$94,Codex_USGS_raw!$A$2:$A$94,Codex_sources!$A$6,Codex_USGS_raw!$C$2:$C$94,H$4)*Codex_sources!$D$6*1</f>
        <v/>
      </c>
      <c r="I51" s="0">
        <f>SUMIFS(Codex_USGS_raw!$D$2:$D$94,Codex_USGS_raw!$A$2:$A$94,Codex_sources!$A$6,Codex_USGS_raw!$C$2:$C$94,I$4)*Codex_sources!$D$6*1</f>
        <v/>
      </c>
      <c r="J51" s="0">
        <f>SUMIFS(Codex_USGS_raw!$D$2:$D$94,Codex_USGS_raw!$A$2:$A$94,Codex_sources!$A$6,Codex_USGS_raw!$C$2:$C$94,J$4)*Codex_sources!$D$6*1</f>
        <v/>
      </c>
      <c r="K51" s="0">
        <f>SUMIFS(Codex_USGS_raw!$D$2:$D$94,Codex_USGS_raw!$A$2:$A$94,Codex_sources!$A$6,Codex_USGS_raw!$C$2:$C$94,K$4)*Codex_sources!$D$6*1</f>
        <v/>
      </c>
      <c r="L51" s="0">
        <f>SUMIFS(Codex_USGS_raw!$D$2:$D$94,Codex_USGS_raw!$A$2:$A$94,Codex_sources!$A$6,Codex_USGS_raw!$C$2:$C$94,L$4)*Codex_sources!$D$6*1</f>
        <v/>
      </c>
      <c r="M51" s="0">
        <f>SUMIFS(Codex_USGS_raw!$D$2:$D$94,Codex_USGS_raw!$A$2:$A$94,Codex_sources!$A$6,Codex_USGS_raw!$C$2:$C$94,M$4)*Codex_sources!$D$6*1</f>
        <v/>
      </c>
      <c r="N51" s="0">
        <f>SUMIFS(Codex_USGS_raw!$D$2:$D$94,Codex_USGS_raw!$A$2:$A$94,Codex_sources!$A$6,Codex_USGS_raw!$C$2:$C$94,N$4)*Codex_sources!$D$6*1</f>
        <v/>
      </c>
      <c r="O51" s="0">
        <f>SUMIFS(Codex_USGS_raw!$D$2:$D$94,Codex_USGS_raw!$A$2:$A$94,Codex_sources!$A$6,Codex_USGS_raw!$C$2:$C$94,O$4)*Codex_sources!$D$6*1</f>
        <v/>
      </c>
      <c r="P51" s="0">
        <f>SUMIFS(Codex_USGS_raw!$D$2:$D$94,Codex_USGS_raw!$A$2:$A$94,Codex_sources!$A$6,Codex_USGS_raw!$C$2:$C$94,P$4)*Codex_sources!$D$6*1</f>
        <v/>
      </c>
      <c r="Q51" s="0">
        <f>SUMIFS(Codex_USGS_raw!$D$2:$D$94,Codex_USGS_raw!$A$2:$A$94,Codex_sources!$A$6,Codex_USGS_raw!$C$2:$C$94,Q$4)*Codex_sources!$D$6*1</f>
        <v/>
      </c>
      <c r="R51" s="0">
        <f>SUMIFS(Codex_USGS_raw!$D$2:$D$94,Codex_USGS_raw!$A$2:$A$94,Codex_sources!$A$6,Codex_USGS_raw!$C$2:$C$94,R$4)*Codex_sources!$D$6*1</f>
        <v/>
      </c>
      <c r="S51" s="0">
        <f>SUMIFS(Codex_USGS_raw!$D$2:$D$94,Codex_USGS_raw!$A$2:$A$94,Codex_sources!$A$6,Codex_USGS_raw!$C$2:$C$94,S$4)*Codex_sources!$D$6*1</f>
        <v/>
      </c>
      <c r="T51" s="0">
        <f>SUMIFS(Codex_USGS_raw!$D$2:$D$94,Codex_USGS_raw!$A$2:$A$94,Codex_sources!$A$6,Codex_USGS_raw!$C$2:$C$94,T$4)*Codex_sources!$D$6*1</f>
        <v/>
      </c>
      <c r="U51" s="0">
        <f>SUMIFS(Codex_USGS_raw!$D$2:$D$94,Codex_USGS_raw!$A$2:$A$94,Codex_sources!$A$6,Codex_USGS_raw!$C$2:$C$94,U$4)*Codex_sources!$D$6*1</f>
        <v/>
      </c>
      <c r="V51" s="0">
        <f>SUMIFS(Codex_USGS_raw!$D$2:$D$94,Codex_USGS_raw!$A$2:$A$94,Codex_sources!$A$6,Codex_USGS_raw!$C$2:$C$94,V$4)*Codex_sources!$D$6*1</f>
        <v/>
      </c>
      <c r="W51" s="0">
        <f>SUMIFS(Codex_USGS_raw!$D$2:$D$94,Codex_USGS_raw!$A$2:$A$94,Codex_sources!$A$6,Codex_USGS_raw!$C$2:$C$94,W$4)*Codex_sources!$D$6*1</f>
        <v/>
      </c>
      <c r="X51" s="0">
        <f>SUMIFS(Codex_USGS_raw!$D$2:$D$94,Codex_USGS_raw!$A$2:$A$94,Codex_sources!$A$6,Codex_USGS_raw!$C$2:$C$94,X$4)*Codex_sources!$D$6*1</f>
        <v/>
      </c>
      <c r="Y51" s="0">
        <f>SUMIFS(Codex_USGS_raw!$D$2:$D$94,Codex_USGS_raw!$A$2:$A$94,Codex_sources!$A$6,Codex_USGS_raw!$C$2:$C$94,Y$4)*Codex_sources!$D$6*1</f>
        <v/>
      </c>
      <c r="Z51" s="0">
        <f>SUMIFS(Codex_USGS_raw!$D$2:$D$94,Codex_USGS_raw!$A$2:$A$94,Codex_sources!$A$6,Codex_USGS_raw!$C$2:$C$94,Z$4)*Codex_sources!$D$6*1</f>
        <v/>
      </c>
      <c r="AA51" s="0">
        <f>SUMIFS(Codex_USGS_raw!$D$2:$D$94,Codex_USGS_raw!$A$2:$A$94,Codex_sources!$A$6,Codex_USGS_raw!$C$2:$C$94,AA$4)*Codex_sources!$D$6*1</f>
        <v/>
      </c>
      <c r="AB51" s="0">
        <f>SUMIFS(Codex_USGS_raw!$D$2:$D$94,Codex_USGS_raw!$A$2:$A$94,Codex_sources!$A$6,Codex_USGS_raw!$C$2:$C$94,AB$4)*Codex_sources!$D$6*1</f>
        <v/>
      </c>
      <c r="AC51" s="0">
        <f>SUMIFS(Codex_USGS_raw!$D$2:$D$94,Codex_USGS_raw!$A$2:$A$94,Codex_sources!$A$6,Codex_USGS_raw!$C$2:$C$94,AC$4)*Codex_sources!$D$6*1</f>
        <v/>
      </c>
      <c r="AD51" s="0">
        <f>SUMIFS(Codex_USGS_raw!$D$2:$D$94,Codex_USGS_raw!$A$2:$A$94,Codex_sources!$A$6,Codex_USGS_raw!$C$2:$C$94,AD$4)*Codex_sources!$D$6*1</f>
        <v/>
      </c>
      <c r="AE51" s="0">
        <f>SUMIFS(Codex_USGS_raw!$D$2:$D$94,Codex_USGS_raw!$A$2:$A$94,Codex_sources!$A$6,Codex_USGS_raw!$C$2:$C$94,AE$4)*Codex_sources!$D$6*1</f>
        <v/>
      </c>
      <c r="AF51" s="0">
        <f>SUMIFS(Codex_USGS_raw!$D$2:$D$94,Codex_USGS_raw!$A$2:$A$94,Codex_sources!$A$6,Codex_USGS_raw!$C$2:$C$94,AF$4)*Codex_sources!$D$6*1</f>
        <v/>
      </c>
      <c r="AG51" s="0">
        <f>SUMIFS(Codex_USGS_raw!$D$2:$D$94,Codex_USGS_raw!$A$2:$A$94,Codex_sources!$A$6,Codex_USGS_raw!$C$2:$C$94,AG$4)*Codex_sources!$D$6*1</f>
        <v/>
      </c>
      <c r="AH51" s="0">
        <f>SUMIFS(Codex_USGS_raw!$D$2:$D$94,Codex_USGS_raw!$A$2:$A$94,Codex_sources!$A$6,Codex_USGS_raw!$C$2:$C$94,AH$4)*Codex_sources!$D$6*1</f>
        <v/>
      </c>
      <c r="AI51" s="0">
        <f>SUMIFS(Codex_USGS_raw!$D$2:$D$94,Codex_USGS_raw!$A$2:$A$94,Codex_sources!$A$6,Codex_USGS_raw!$C$2:$C$94,AI$4)*Codex_sources!$D$6*1</f>
        <v/>
      </c>
      <c r="AJ51" s="0">
        <f>SUMIFS(Codex_USGS_raw!$D$2:$D$94,Codex_USGS_raw!$A$2:$A$94,Codex_sources!$A$6,Codex_USGS_raw!$C$2:$C$94,AJ$4)*Codex_sources!$D$6*1</f>
        <v/>
      </c>
      <c r="AK51" s="0">
        <f>SUMIFS(Codex_USGS_raw!$D$2:$D$94,Codex_USGS_raw!$A$2:$A$94,Codex_sources!$A$6,Codex_USGS_raw!$C$2:$C$94,AK$4)*Codex_sources!$D$6*1</f>
        <v/>
      </c>
      <c r="AL51" s="0">
        <f>SUMIFS(Codex_USGS_raw!$D$2:$D$94,Codex_USGS_raw!$A$2:$A$94,Codex_sources!$A$6,Codex_USGS_raw!$C$2:$C$94,AL$4)*Codex_sources!$D$6*1</f>
        <v/>
      </c>
      <c r="AM51" s="0">
        <f>SUMIFS(Codex_USGS_raw!$D$2:$D$94,Codex_USGS_raw!$A$2:$A$94,Codex_sources!$A$6,Codex_USGS_raw!$C$2:$C$94,AM$4)*Codex_sources!$D$6*1</f>
        <v/>
      </c>
      <c r="AN51" s="0">
        <f>SUMIFS(Codex_USGS_raw!$D$2:$D$94,Codex_USGS_raw!$A$2:$A$94,Codex_sources!$A$6,Codex_USGS_raw!$C$2:$C$94,AN$4)*Codex_sources!$D$6*1</f>
        <v/>
      </c>
      <c r="AO51" s="0">
        <f>AO50</f>
        <v/>
      </c>
    </row>
    <row r="52">
      <c r="C52" s="0" t="inlineStr">
        <is>
          <t>MINNiRSV1</t>
        </is>
      </c>
      <c r="D52" s="0" t="inlineStr">
        <is>
          <t>CUM</t>
        </is>
      </c>
      <c r="F52" s="0">
        <f>SUMIFS(Codex_USGS_raw!$E$2:$E$94,Codex_USGS_raw!$A$2:$A$94,Codex_sources!$A$6,Codex_USGS_raw!$C$2:$C$94,F$4)*Codex_sources!$D$6*Codex_sources!$J$6</f>
        <v/>
      </c>
      <c r="G52" s="0">
        <f>SUMIFS(Codex_USGS_raw!$E$2:$E$94,Codex_USGS_raw!$A$2:$A$94,Codex_sources!$A$6,Codex_USGS_raw!$C$2:$C$94,G$4)*Codex_sources!$D$6*Codex_sources!$J$6</f>
        <v/>
      </c>
      <c r="H52" s="0">
        <f>SUMIFS(Codex_USGS_raw!$E$2:$E$94,Codex_USGS_raw!$A$2:$A$94,Codex_sources!$A$6,Codex_USGS_raw!$C$2:$C$94,H$4)*Codex_sources!$D$6*Codex_sources!$J$6</f>
        <v/>
      </c>
      <c r="I52" s="0">
        <f>SUMIFS(Codex_USGS_raw!$E$2:$E$94,Codex_USGS_raw!$A$2:$A$94,Codex_sources!$A$6,Codex_USGS_raw!$C$2:$C$94,I$4)*Codex_sources!$D$6*Codex_sources!$J$6</f>
        <v/>
      </c>
      <c r="J52" s="0">
        <f>SUMIFS(Codex_USGS_raw!$E$2:$E$94,Codex_USGS_raw!$A$2:$A$94,Codex_sources!$A$6,Codex_USGS_raw!$C$2:$C$94,J$4)*Codex_sources!$D$6*Codex_sources!$J$6</f>
        <v/>
      </c>
      <c r="K52" s="0">
        <f>SUMIFS(Codex_USGS_raw!$E$2:$E$94,Codex_USGS_raw!$A$2:$A$94,Codex_sources!$A$6,Codex_USGS_raw!$C$2:$C$94,K$4)*Codex_sources!$D$6*Codex_sources!$J$6</f>
        <v/>
      </c>
      <c r="L52" s="0">
        <f>SUMIFS(Codex_USGS_raw!$E$2:$E$94,Codex_USGS_raw!$A$2:$A$94,Codex_sources!$A$6,Codex_USGS_raw!$C$2:$C$94,L$4)*Codex_sources!$D$6*Codex_sources!$J$6</f>
        <v/>
      </c>
      <c r="M52" s="0">
        <f>SUMIFS(Codex_USGS_raw!$E$2:$E$94,Codex_USGS_raw!$A$2:$A$94,Codex_sources!$A$6,Codex_USGS_raw!$C$2:$C$94,M$4)*Codex_sources!$D$6*Codex_sources!$J$6</f>
        <v/>
      </c>
      <c r="N52" s="0">
        <f>SUMIFS(Codex_USGS_raw!$E$2:$E$94,Codex_USGS_raw!$A$2:$A$94,Codex_sources!$A$6,Codex_USGS_raw!$C$2:$C$94,N$4)*Codex_sources!$D$6*Codex_sources!$J$6</f>
        <v/>
      </c>
      <c r="O52" s="0">
        <f>SUMIFS(Codex_USGS_raw!$E$2:$E$94,Codex_USGS_raw!$A$2:$A$94,Codex_sources!$A$6,Codex_USGS_raw!$C$2:$C$94,O$4)*Codex_sources!$D$6*Codex_sources!$J$6</f>
        <v/>
      </c>
      <c r="P52" s="0">
        <f>SUMIFS(Codex_USGS_raw!$E$2:$E$94,Codex_USGS_raw!$A$2:$A$94,Codex_sources!$A$6,Codex_USGS_raw!$C$2:$C$94,P$4)*Codex_sources!$D$6*Codex_sources!$J$6</f>
        <v/>
      </c>
      <c r="Q52" s="0">
        <f>SUMIFS(Codex_USGS_raw!$E$2:$E$94,Codex_USGS_raw!$A$2:$A$94,Codex_sources!$A$6,Codex_USGS_raw!$C$2:$C$94,Q$4)*Codex_sources!$D$6*Codex_sources!$J$6</f>
        <v/>
      </c>
      <c r="R52" s="0">
        <f>SUMIFS(Codex_USGS_raw!$E$2:$E$94,Codex_USGS_raw!$A$2:$A$94,Codex_sources!$A$6,Codex_USGS_raw!$C$2:$C$94,R$4)*Codex_sources!$D$6*Codex_sources!$J$6</f>
        <v/>
      </c>
      <c r="S52" s="0">
        <f>SUMIFS(Codex_USGS_raw!$E$2:$E$94,Codex_USGS_raw!$A$2:$A$94,Codex_sources!$A$6,Codex_USGS_raw!$C$2:$C$94,S$4)*Codex_sources!$D$6*Codex_sources!$J$6</f>
        <v/>
      </c>
      <c r="T52" s="0">
        <f>SUMIFS(Codex_USGS_raw!$E$2:$E$94,Codex_USGS_raw!$A$2:$A$94,Codex_sources!$A$6,Codex_USGS_raw!$C$2:$C$94,T$4)*Codex_sources!$D$6*Codex_sources!$J$6</f>
        <v/>
      </c>
      <c r="U52" s="0">
        <f>SUMIFS(Codex_USGS_raw!$E$2:$E$94,Codex_USGS_raw!$A$2:$A$94,Codex_sources!$A$6,Codex_USGS_raw!$C$2:$C$94,U$4)*Codex_sources!$D$6*Codex_sources!$J$6</f>
        <v/>
      </c>
      <c r="V52" s="0">
        <f>SUMIFS(Codex_USGS_raw!$E$2:$E$94,Codex_USGS_raw!$A$2:$A$94,Codex_sources!$A$6,Codex_USGS_raw!$C$2:$C$94,V$4)*Codex_sources!$D$6*Codex_sources!$J$6</f>
        <v/>
      </c>
      <c r="W52" s="0">
        <f>SUMIFS(Codex_USGS_raw!$E$2:$E$94,Codex_USGS_raw!$A$2:$A$94,Codex_sources!$A$6,Codex_USGS_raw!$C$2:$C$94,W$4)*Codex_sources!$D$6*Codex_sources!$J$6</f>
        <v/>
      </c>
      <c r="X52" s="0">
        <f>SUMIFS(Codex_USGS_raw!$E$2:$E$94,Codex_USGS_raw!$A$2:$A$94,Codex_sources!$A$6,Codex_USGS_raw!$C$2:$C$94,X$4)*Codex_sources!$D$6*Codex_sources!$J$6</f>
        <v/>
      </c>
      <c r="Y52" s="0">
        <f>SUMIFS(Codex_USGS_raw!$E$2:$E$94,Codex_USGS_raw!$A$2:$A$94,Codex_sources!$A$6,Codex_USGS_raw!$C$2:$C$94,Y$4)*Codex_sources!$D$6*Codex_sources!$J$6</f>
        <v/>
      </c>
      <c r="Z52" s="0">
        <f>SUMIFS(Codex_USGS_raw!$E$2:$E$94,Codex_USGS_raw!$A$2:$A$94,Codex_sources!$A$6,Codex_USGS_raw!$C$2:$C$94,Z$4)*Codex_sources!$D$6*Codex_sources!$J$6</f>
        <v/>
      </c>
      <c r="AA52" s="0">
        <f>SUMIFS(Codex_USGS_raw!$E$2:$E$94,Codex_USGS_raw!$A$2:$A$94,Codex_sources!$A$6,Codex_USGS_raw!$C$2:$C$94,AA$4)*Codex_sources!$D$6*Codex_sources!$J$6</f>
        <v/>
      </c>
      <c r="AB52" s="0">
        <f>SUMIFS(Codex_USGS_raw!$E$2:$E$94,Codex_USGS_raw!$A$2:$A$94,Codex_sources!$A$6,Codex_USGS_raw!$C$2:$C$94,AB$4)*Codex_sources!$D$6*Codex_sources!$J$6</f>
        <v/>
      </c>
      <c r="AC52" s="0">
        <f>SUMIFS(Codex_USGS_raw!$E$2:$E$94,Codex_USGS_raw!$A$2:$A$94,Codex_sources!$A$6,Codex_USGS_raw!$C$2:$C$94,AC$4)*Codex_sources!$D$6*Codex_sources!$J$6</f>
        <v/>
      </c>
      <c r="AD52" s="0">
        <f>SUMIFS(Codex_USGS_raw!$E$2:$E$94,Codex_USGS_raw!$A$2:$A$94,Codex_sources!$A$6,Codex_USGS_raw!$C$2:$C$94,AD$4)*Codex_sources!$D$6*Codex_sources!$J$6</f>
        <v/>
      </c>
      <c r="AE52" s="0">
        <f>SUMIFS(Codex_USGS_raw!$E$2:$E$94,Codex_USGS_raw!$A$2:$A$94,Codex_sources!$A$6,Codex_USGS_raw!$C$2:$C$94,AE$4)*Codex_sources!$D$6*Codex_sources!$J$6</f>
        <v/>
      </c>
      <c r="AF52" s="0">
        <f>SUMIFS(Codex_USGS_raw!$E$2:$E$94,Codex_USGS_raw!$A$2:$A$94,Codex_sources!$A$6,Codex_USGS_raw!$C$2:$C$94,AF$4)*Codex_sources!$D$6*Codex_sources!$J$6</f>
        <v/>
      </c>
      <c r="AG52" s="0">
        <f>SUMIFS(Codex_USGS_raw!$E$2:$E$94,Codex_USGS_raw!$A$2:$A$94,Codex_sources!$A$6,Codex_USGS_raw!$C$2:$C$94,AG$4)*Codex_sources!$D$6*Codex_sources!$J$6</f>
        <v/>
      </c>
      <c r="AH52" s="0">
        <f>SUMIFS(Codex_USGS_raw!$E$2:$E$94,Codex_USGS_raw!$A$2:$A$94,Codex_sources!$A$6,Codex_USGS_raw!$C$2:$C$94,AH$4)*Codex_sources!$D$6*Codex_sources!$J$6</f>
        <v/>
      </c>
      <c r="AI52" s="0">
        <f>SUMIFS(Codex_USGS_raw!$E$2:$E$94,Codex_USGS_raw!$A$2:$A$94,Codex_sources!$A$6,Codex_USGS_raw!$C$2:$C$94,AI$4)*Codex_sources!$D$6*Codex_sources!$J$6</f>
        <v/>
      </c>
      <c r="AJ52" s="0">
        <f>SUMIFS(Codex_USGS_raw!$E$2:$E$94,Codex_USGS_raw!$A$2:$A$94,Codex_sources!$A$6,Codex_USGS_raw!$C$2:$C$94,AJ$4)*Codex_sources!$D$6*Codex_sources!$J$6</f>
        <v/>
      </c>
      <c r="AK52" s="0">
        <f>SUMIFS(Codex_USGS_raw!$E$2:$E$94,Codex_USGS_raw!$A$2:$A$94,Codex_sources!$A$6,Codex_USGS_raw!$C$2:$C$94,AK$4)*Codex_sources!$D$6*Codex_sources!$J$6</f>
        <v/>
      </c>
      <c r="AL52" s="0">
        <f>SUMIFS(Codex_USGS_raw!$E$2:$E$94,Codex_USGS_raw!$A$2:$A$94,Codex_sources!$A$6,Codex_USGS_raw!$C$2:$C$94,AL$4)*Codex_sources!$D$6*Codex_sources!$J$6</f>
        <v/>
      </c>
      <c r="AM52" s="0">
        <f>SUMIFS(Codex_USGS_raw!$E$2:$E$94,Codex_USGS_raw!$A$2:$A$94,Codex_sources!$A$6,Codex_USGS_raw!$C$2:$C$94,AM$4)*Codex_sources!$D$6*Codex_sources!$J$6</f>
        <v/>
      </c>
      <c r="AN52" s="0">
        <f>SUMIFS(Codex_USGS_raw!$E$2:$E$94,Codex_USGS_raw!$A$2:$A$94,Codex_sources!$A$6,Codex_USGS_raw!$C$2:$C$94,AN$4)*Codex_sources!$D$6*Codex_sources!$J$6</f>
        <v/>
      </c>
      <c r="AO52" s="0">
        <f>AO51</f>
        <v/>
      </c>
    </row>
    <row r="53">
      <c r="C53" s="0" t="inlineStr">
        <is>
          <t>MINNiRSV1</t>
        </is>
      </c>
      <c r="D53" s="0" t="inlineStr">
        <is>
          <t>COST</t>
        </is>
      </c>
      <c r="E53" s="0" t="inlineStr">
        <is>
          <t>m_nickel</t>
        </is>
      </c>
      <c r="F53" s="0">
        <f>Codex_Regional!F10</f>
        <v/>
      </c>
      <c r="G53" s="0">
        <f>Codex_Regional!G10</f>
        <v/>
      </c>
      <c r="H53" s="0">
        <f>Codex_Regional!H10</f>
        <v/>
      </c>
      <c r="I53" s="0">
        <f>Codex_Regional!I10</f>
        <v/>
      </c>
      <c r="J53" s="0">
        <f>Codex_Regional!J10</f>
        <v/>
      </c>
      <c r="K53" s="0">
        <f>Codex_Regional!K10</f>
        <v/>
      </c>
      <c r="L53" s="0">
        <f>Codex_Regional!L10</f>
        <v/>
      </c>
      <c r="M53" s="0">
        <f>Codex_Regional!M10</f>
        <v/>
      </c>
      <c r="N53" s="0">
        <f>Codex_Regional!N10</f>
        <v/>
      </c>
      <c r="O53" s="0">
        <f>Codex_Regional!O10</f>
        <v/>
      </c>
      <c r="P53" s="0">
        <f>Codex_Regional!P10</f>
        <v/>
      </c>
      <c r="Q53" s="0">
        <f>Codex_Regional!Q10</f>
        <v/>
      </c>
      <c r="R53" s="0">
        <f>Codex_Regional!R10</f>
        <v/>
      </c>
      <c r="S53" s="0">
        <f>Codex_Regional!S10</f>
        <v/>
      </c>
      <c r="T53" s="0">
        <f>Codex_Regional!T10</f>
        <v/>
      </c>
      <c r="U53" s="0">
        <f>Codex_Regional!U10</f>
        <v/>
      </c>
      <c r="V53" s="0">
        <f>Codex_Regional!V10</f>
        <v/>
      </c>
      <c r="W53" s="0">
        <f>Codex_Regional!W10</f>
        <v/>
      </c>
      <c r="X53" s="0">
        <f>Codex_Regional!X10</f>
        <v/>
      </c>
      <c r="Y53" s="0">
        <f>Codex_Regional!Y10</f>
        <v/>
      </c>
      <c r="Z53" s="0">
        <f>Codex_Regional!Z10</f>
        <v/>
      </c>
      <c r="AA53" s="0">
        <f>Codex_Regional!AA10</f>
        <v/>
      </c>
      <c r="AB53" s="0">
        <f>Codex_Regional!AB10</f>
        <v/>
      </c>
      <c r="AC53" s="0">
        <f>Codex_Regional!AC10</f>
        <v/>
      </c>
      <c r="AD53" s="0">
        <f>Codex_Regional!AD10</f>
        <v/>
      </c>
      <c r="AE53" s="0">
        <f>Codex_Regional!AE10</f>
        <v/>
      </c>
      <c r="AF53" s="0">
        <f>Codex_Regional!AF10</f>
        <v/>
      </c>
      <c r="AG53" s="0">
        <f>Codex_Regional!AG10</f>
        <v/>
      </c>
      <c r="AH53" s="0">
        <f>Codex_Regional!AH10</f>
        <v/>
      </c>
      <c r="AI53" s="0">
        <f>Codex_Regional!AI10</f>
        <v/>
      </c>
      <c r="AJ53" s="0">
        <f>Codex_Regional!AJ10</f>
        <v/>
      </c>
      <c r="AK53" s="0">
        <f>Codex_Regional!AK10</f>
        <v/>
      </c>
      <c r="AL53" s="0">
        <f>Codex_Regional!AL10</f>
        <v/>
      </c>
      <c r="AM53" s="0">
        <f>Codex_Regional!AM10</f>
        <v/>
      </c>
      <c r="AN53" s="0">
        <f>Codex_Regional!AN10</f>
        <v/>
      </c>
      <c r="AO53" s="0">
        <f>AO52</f>
        <v/>
      </c>
    </row>
    <row r="54">
      <c r="C54" s="0" t="inlineStr">
        <is>
          <t>MINNiRSV2</t>
        </is>
      </c>
      <c r="D54" s="0" t="inlineStr">
        <is>
          <t>BNDACT</t>
        </is>
      </c>
      <c r="F54" s="0">
        <f>SUMIFS(Codex_USGS_raw!$D$2:$D$94,Codex_USGS_raw!$A$2:$A$94,Codex_sources!$A$6,Codex_USGS_raw!$C$2:$C$94,F$4)*Codex_sources!$D$6*2</f>
        <v/>
      </c>
      <c r="G54" s="0">
        <f>SUMIFS(Codex_USGS_raw!$D$2:$D$94,Codex_USGS_raw!$A$2:$A$94,Codex_sources!$A$6,Codex_USGS_raw!$C$2:$C$94,G$4)*Codex_sources!$D$6*2</f>
        <v/>
      </c>
      <c r="H54" s="0">
        <f>SUMIFS(Codex_USGS_raw!$D$2:$D$94,Codex_USGS_raw!$A$2:$A$94,Codex_sources!$A$6,Codex_USGS_raw!$C$2:$C$94,H$4)*Codex_sources!$D$6*2</f>
        <v/>
      </c>
      <c r="I54" s="0">
        <f>SUMIFS(Codex_USGS_raw!$D$2:$D$94,Codex_USGS_raw!$A$2:$A$94,Codex_sources!$A$6,Codex_USGS_raw!$C$2:$C$94,I$4)*Codex_sources!$D$6*2</f>
        <v/>
      </c>
      <c r="J54" s="0">
        <f>SUMIFS(Codex_USGS_raw!$D$2:$D$94,Codex_USGS_raw!$A$2:$A$94,Codex_sources!$A$6,Codex_USGS_raw!$C$2:$C$94,J$4)*Codex_sources!$D$6*2</f>
        <v/>
      </c>
      <c r="K54" s="0">
        <f>SUMIFS(Codex_USGS_raw!$D$2:$D$94,Codex_USGS_raw!$A$2:$A$94,Codex_sources!$A$6,Codex_USGS_raw!$C$2:$C$94,K$4)*Codex_sources!$D$6*2</f>
        <v/>
      </c>
      <c r="L54" s="0">
        <f>SUMIFS(Codex_USGS_raw!$D$2:$D$94,Codex_USGS_raw!$A$2:$A$94,Codex_sources!$A$6,Codex_USGS_raw!$C$2:$C$94,L$4)*Codex_sources!$D$6*2</f>
        <v/>
      </c>
      <c r="M54" s="0">
        <f>SUMIFS(Codex_USGS_raw!$D$2:$D$94,Codex_USGS_raw!$A$2:$A$94,Codex_sources!$A$6,Codex_USGS_raw!$C$2:$C$94,M$4)*Codex_sources!$D$6*2</f>
        <v/>
      </c>
      <c r="N54" s="0">
        <f>SUMIFS(Codex_USGS_raw!$D$2:$D$94,Codex_USGS_raw!$A$2:$A$94,Codex_sources!$A$6,Codex_USGS_raw!$C$2:$C$94,N$4)*Codex_sources!$D$6*2</f>
        <v/>
      </c>
      <c r="O54" s="0">
        <f>SUMIFS(Codex_USGS_raw!$D$2:$D$94,Codex_USGS_raw!$A$2:$A$94,Codex_sources!$A$6,Codex_USGS_raw!$C$2:$C$94,O$4)*Codex_sources!$D$6*2</f>
        <v/>
      </c>
      <c r="P54" s="0">
        <f>SUMIFS(Codex_USGS_raw!$D$2:$D$94,Codex_USGS_raw!$A$2:$A$94,Codex_sources!$A$6,Codex_USGS_raw!$C$2:$C$94,P$4)*Codex_sources!$D$6*2</f>
        <v/>
      </c>
      <c r="Q54" s="0">
        <f>SUMIFS(Codex_USGS_raw!$D$2:$D$94,Codex_USGS_raw!$A$2:$A$94,Codex_sources!$A$6,Codex_USGS_raw!$C$2:$C$94,Q$4)*Codex_sources!$D$6*2</f>
        <v/>
      </c>
      <c r="R54" s="0">
        <f>SUMIFS(Codex_USGS_raw!$D$2:$D$94,Codex_USGS_raw!$A$2:$A$94,Codex_sources!$A$6,Codex_USGS_raw!$C$2:$C$94,R$4)*Codex_sources!$D$6*2</f>
        <v/>
      </c>
      <c r="S54" s="0">
        <f>SUMIFS(Codex_USGS_raw!$D$2:$D$94,Codex_USGS_raw!$A$2:$A$94,Codex_sources!$A$6,Codex_USGS_raw!$C$2:$C$94,S$4)*Codex_sources!$D$6*2</f>
        <v/>
      </c>
      <c r="T54" s="0">
        <f>SUMIFS(Codex_USGS_raw!$D$2:$D$94,Codex_USGS_raw!$A$2:$A$94,Codex_sources!$A$6,Codex_USGS_raw!$C$2:$C$94,T$4)*Codex_sources!$D$6*2</f>
        <v/>
      </c>
      <c r="U54" s="0">
        <f>SUMIFS(Codex_USGS_raw!$D$2:$D$94,Codex_USGS_raw!$A$2:$A$94,Codex_sources!$A$6,Codex_USGS_raw!$C$2:$C$94,U$4)*Codex_sources!$D$6*2</f>
        <v/>
      </c>
      <c r="V54" s="0">
        <f>SUMIFS(Codex_USGS_raw!$D$2:$D$94,Codex_USGS_raw!$A$2:$A$94,Codex_sources!$A$6,Codex_USGS_raw!$C$2:$C$94,V$4)*Codex_sources!$D$6*2</f>
        <v/>
      </c>
      <c r="W54" s="0">
        <f>SUMIFS(Codex_USGS_raw!$D$2:$D$94,Codex_USGS_raw!$A$2:$A$94,Codex_sources!$A$6,Codex_USGS_raw!$C$2:$C$94,W$4)*Codex_sources!$D$6*2</f>
        <v/>
      </c>
      <c r="X54" s="0">
        <f>SUMIFS(Codex_USGS_raw!$D$2:$D$94,Codex_USGS_raw!$A$2:$A$94,Codex_sources!$A$6,Codex_USGS_raw!$C$2:$C$94,X$4)*Codex_sources!$D$6*2</f>
        <v/>
      </c>
      <c r="Y54" s="0">
        <f>SUMIFS(Codex_USGS_raw!$D$2:$D$94,Codex_USGS_raw!$A$2:$A$94,Codex_sources!$A$6,Codex_USGS_raw!$C$2:$C$94,Y$4)*Codex_sources!$D$6*2</f>
        <v/>
      </c>
      <c r="Z54" s="0">
        <f>SUMIFS(Codex_USGS_raw!$D$2:$D$94,Codex_USGS_raw!$A$2:$A$94,Codex_sources!$A$6,Codex_USGS_raw!$C$2:$C$94,Z$4)*Codex_sources!$D$6*2</f>
        <v/>
      </c>
      <c r="AA54" s="0">
        <f>SUMIFS(Codex_USGS_raw!$D$2:$D$94,Codex_USGS_raw!$A$2:$A$94,Codex_sources!$A$6,Codex_USGS_raw!$C$2:$C$94,AA$4)*Codex_sources!$D$6*2</f>
        <v/>
      </c>
      <c r="AB54" s="0">
        <f>SUMIFS(Codex_USGS_raw!$D$2:$D$94,Codex_USGS_raw!$A$2:$A$94,Codex_sources!$A$6,Codex_USGS_raw!$C$2:$C$94,AB$4)*Codex_sources!$D$6*2</f>
        <v/>
      </c>
      <c r="AC54" s="0">
        <f>SUMIFS(Codex_USGS_raw!$D$2:$D$94,Codex_USGS_raw!$A$2:$A$94,Codex_sources!$A$6,Codex_USGS_raw!$C$2:$C$94,AC$4)*Codex_sources!$D$6*2</f>
        <v/>
      </c>
      <c r="AD54" s="0">
        <f>SUMIFS(Codex_USGS_raw!$D$2:$D$94,Codex_USGS_raw!$A$2:$A$94,Codex_sources!$A$6,Codex_USGS_raw!$C$2:$C$94,AD$4)*Codex_sources!$D$6*2</f>
        <v/>
      </c>
      <c r="AE54" s="0">
        <f>SUMIFS(Codex_USGS_raw!$D$2:$D$94,Codex_USGS_raw!$A$2:$A$94,Codex_sources!$A$6,Codex_USGS_raw!$C$2:$C$94,AE$4)*Codex_sources!$D$6*2</f>
        <v/>
      </c>
      <c r="AF54" s="0">
        <f>SUMIFS(Codex_USGS_raw!$D$2:$D$94,Codex_USGS_raw!$A$2:$A$94,Codex_sources!$A$6,Codex_USGS_raw!$C$2:$C$94,AF$4)*Codex_sources!$D$6*2</f>
        <v/>
      </c>
      <c r="AG54" s="0">
        <f>SUMIFS(Codex_USGS_raw!$D$2:$D$94,Codex_USGS_raw!$A$2:$A$94,Codex_sources!$A$6,Codex_USGS_raw!$C$2:$C$94,AG$4)*Codex_sources!$D$6*2</f>
        <v/>
      </c>
      <c r="AH54" s="0">
        <f>SUMIFS(Codex_USGS_raw!$D$2:$D$94,Codex_USGS_raw!$A$2:$A$94,Codex_sources!$A$6,Codex_USGS_raw!$C$2:$C$94,AH$4)*Codex_sources!$D$6*2</f>
        <v/>
      </c>
      <c r="AI54" s="0">
        <f>SUMIFS(Codex_USGS_raw!$D$2:$D$94,Codex_USGS_raw!$A$2:$A$94,Codex_sources!$A$6,Codex_USGS_raw!$C$2:$C$94,AI$4)*Codex_sources!$D$6*2</f>
        <v/>
      </c>
      <c r="AJ54" s="0">
        <f>SUMIFS(Codex_USGS_raw!$D$2:$D$94,Codex_USGS_raw!$A$2:$A$94,Codex_sources!$A$6,Codex_USGS_raw!$C$2:$C$94,AJ$4)*Codex_sources!$D$6*2</f>
        <v/>
      </c>
      <c r="AK54" s="0">
        <f>SUMIFS(Codex_USGS_raw!$D$2:$D$94,Codex_USGS_raw!$A$2:$A$94,Codex_sources!$A$6,Codex_USGS_raw!$C$2:$C$94,AK$4)*Codex_sources!$D$6*2</f>
        <v/>
      </c>
      <c r="AL54" s="0">
        <f>SUMIFS(Codex_USGS_raw!$D$2:$D$94,Codex_USGS_raw!$A$2:$A$94,Codex_sources!$A$6,Codex_USGS_raw!$C$2:$C$94,AL$4)*Codex_sources!$D$6*2</f>
        <v/>
      </c>
      <c r="AM54" s="0">
        <f>SUMIFS(Codex_USGS_raw!$D$2:$D$94,Codex_USGS_raw!$A$2:$A$94,Codex_sources!$A$6,Codex_USGS_raw!$C$2:$C$94,AM$4)*Codex_sources!$D$6*2</f>
        <v/>
      </c>
      <c r="AN54" s="0">
        <f>SUMIFS(Codex_USGS_raw!$D$2:$D$94,Codex_USGS_raw!$A$2:$A$94,Codex_sources!$A$6,Codex_USGS_raw!$C$2:$C$94,AN$4)*Codex_sources!$D$6*2</f>
        <v/>
      </c>
      <c r="AO54" s="0">
        <f>AO53</f>
        <v/>
      </c>
    </row>
    <row r="55">
      <c r="C55" s="0" t="inlineStr">
        <is>
          <t>MINNiRSV2</t>
        </is>
      </c>
      <c r="D55" s="0" t="inlineStr">
        <is>
          <t>CUM</t>
        </is>
      </c>
      <c r="F55" s="0">
        <f>SUMIFS(Codex_USGS_raw!$E$2:$E$94,Codex_USGS_raw!$A$2:$A$94,Codex_sources!$A$6,Codex_USGS_raw!$C$2:$C$94,F$4)*Codex_sources!$D$6*Codex_sources!$K$6</f>
        <v/>
      </c>
      <c r="G55" s="0">
        <f>SUMIFS(Codex_USGS_raw!$E$2:$E$94,Codex_USGS_raw!$A$2:$A$94,Codex_sources!$A$6,Codex_USGS_raw!$C$2:$C$94,G$4)*Codex_sources!$D$6*Codex_sources!$K$6</f>
        <v/>
      </c>
      <c r="H55" s="0">
        <f>SUMIFS(Codex_USGS_raw!$E$2:$E$94,Codex_USGS_raw!$A$2:$A$94,Codex_sources!$A$6,Codex_USGS_raw!$C$2:$C$94,H$4)*Codex_sources!$D$6*Codex_sources!$K$6</f>
        <v/>
      </c>
      <c r="I55" s="0">
        <f>SUMIFS(Codex_USGS_raw!$E$2:$E$94,Codex_USGS_raw!$A$2:$A$94,Codex_sources!$A$6,Codex_USGS_raw!$C$2:$C$94,I$4)*Codex_sources!$D$6*Codex_sources!$K$6</f>
        <v/>
      </c>
      <c r="J55" s="0">
        <f>SUMIFS(Codex_USGS_raw!$E$2:$E$94,Codex_USGS_raw!$A$2:$A$94,Codex_sources!$A$6,Codex_USGS_raw!$C$2:$C$94,J$4)*Codex_sources!$D$6*Codex_sources!$K$6</f>
        <v/>
      </c>
      <c r="K55" s="0">
        <f>SUMIFS(Codex_USGS_raw!$E$2:$E$94,Codex_USGS_raw!$A$2:$A$94,Codex_sources!$A$6,Codex_USGS_raw!$C$2:$C$94,K$4)*Codex_sources!$D$6*Codex_sources!$K$6</f>
        <v/>
      </c>
      <c r="L55" s="0">
        <f>SUMIFS(Codex_USGS_raw!$E$2:$E$94,Codex_USGS_raw!$A$2:$A$94,Codex_sources!$A$6,Codex_USGS_raw!$C$2:$C$94,L$4)*Codex_sources!$D$6*Codex_sources!$K$6</f>
        <v/>
      </c>
      <c r="M55" s="0">
        <f>SUMIFS(Codex_USGS_raw!$E$2:$E$94,Codex_USGS_raw!$A$2:$A$94,Codex_sources!$A$6,Codex_USGS_raw!$C$2:$C$94,M$4)*Codex_sources!$D$6*Codex_sources!$K$6</f>
        <v/>
      </c>
      <c r="N55" s="0">
        <f>SUMIFS(Codex_USGS_raw!$E$2:$E$94,Codex_USGS_raw!$A$2:$A$94,Codex_sources!$A$6,Codex_USGS_raw!$C$2:$C$94,N$4)*Codex_sources!$D$6*Codex_sources!$K$6</f>
        <v/>
      </c>
      <c r="O55" s="0">
        <f>SUMIFS(Codex_USGS_raw!$E$2:$E$94,Codex_USGS_raw!$A$2:$A$94,Codex_sources!$A$6,Codex_USGS_raw!$C$2:$C$94,O$4)*Codex_sources!$D$6*Codex_sources!$K$6</f>
        <v/>
      </c>
      <c r="P55" s="0">
        <f>SUMIFS(Codex_USGS_raw!$E$2:$E$94,Codex_USGS_raw!$A$2:$A$94,Codex_sources!$A$6,Codex_USGS_raw!$C$2:$C$94,P$4)*Codex_sources!$D$6*Codex_sources!$K$6</f>
        <v/>
      </c>
      <c r="Q55" s="0">
        <f>SUMIFS(Codex_USGS_raw!$E$2:$E$94,Codex_USGS_raw!$A$2:$A$94,Codex_sources!$A$6,Codex_USGS_raw!$C$2:$C$94,Q$4)*Codex_sources!$D$6*Codex_sources!$K$6</f>
        <v/>
      </c>
      <c r="R55" s="0">
        <f>SUMIFS(Codex_USGS_raw!$E$2:$E$94,Codex_USGS_raw!$A$2:$A$94,Codex_sources!$A$6,Codex_USGS_raw!$C$2:$C$94,R$4)*Codex_sources!$D$6*Codex_sources!$K$6</f>
        <v/>
      </c>
      <c r="S55" s="0">
        <f>SUMIFS(Codex_USGS_raw!$E$2:$E$94,Codex_USGS_raw!$A$2:$A$94,Codex_sources!$A$6,Codex_USGS_raw!$C$2:$C$94,S$4)*Codex_sources!$D$6*Codex_sources!$K$6</f>
        <v/>
      </c>
      <c r="T55" s="0">
        <f>SUMIFS(Codex_USGS_raw!$E$2:$E$94,Codex_USGS_raw!$A$2:$A$94,Codex_sources!$A$6,Codex_USGS_raw!$C$2:$C$94,T$4)*Codex_sources!$D$6*Codex_sources!$K$6</f>
        <v/>
      </c>
      <c r="U55" s="0">
        <f>SUMIFS(Codex_USGS_raw!$E$2:$E$94,Codex_USGS_raw!$A$2:$A$94,Codex_sources!$A$6,Codex_USGS_raw!$C$2:$C$94,U$4)*Codex_sources!$D$6*Codex_sources!$K$6</f>
        <v/>
      </c>
      <c r="V55" s="0">
        <f>SUMIFS(Codex_USGS_raw!$E$2:$E$94,Codex_USGS_raw!$A$2:$A$94,Codex_sources!$A$6,Codex_USGS_raw!$C$2:$C$94,V$4)*Codex_sources!$D$6*Codex_sources!$K$6</f>
        <v/>
      </c>
      <c r="W55" s="0">
        <f>SUMIFS(Codex_USGS_raw!$E$2:$E$94,Codex_USGS_raw!$A$2:$A$94,Codex_sources!$A$6,Codex_USGS_raw!$C$2:$C$94,W$4)*Codex_sources!$D$6*Codex_sources!$K$6</f>
        <v/>
      </c>
      <c r="X55" s="0">
        <f>SUMIFS(Codex_USGS_raw!$E$2:$E$94,Codex_USGS_raw!$A$2:$A$94,Codex_sources!$A$6,Codex_USGS_raw!$C$2:$C$94,X$4)*Codex_sources!$D$6*Codex_sources!$K$6</f>
        <v/>
      </c>
      <c r="Y55" s="0">
        <f>SUMIFS(Codex_USGS_raw!$E$2:$E$94,Codex_USGS_raw!$A$2:$A$94,Codex_sources!$A$6,Codex_USGS_raw!$C$2:$C$94,Y$4)*Codex_sources!$D$6*Codex_sources!$K$6</f>
        <v/>
      </c>
      <c r="Z55" s="0">
        <f>SUMIFS(Codex_USGS_raw!$E$2:$E$94,Codex_USGS_raw!$A$2:$A$94,Codex_sources!$A$6,Codex_USGS_raw!$C$2:$C$94,Z$4)*Codex_sources!$D$6*Codex_sources!$K$6</f>
        <v/>
      </c>
      <c r="AA55" s="0">
        <f>SUMIFS(Codex_USGS_raw!$E$2:$E$94,Codex_USGS_raw!$A$2:$A$94,Codex_sources!$A$6,Codex_USGS_raw!$C$2:$C$94,AA$4)*Codex_sources!$D$6*Codex_sources!$K$6</f>
        <v/>
      </c>
      <c r="AB55" s="0">
        <f>SUMIFS(Codex_USGS_raw!$E$2:$E$94,Codex_USGS_raw!$A$2:$A$94,Codex_sources!$A$6,Codex_USGS_raw!$C$2:$C$94,AB$4)*Codex_sources!$D$6*Codex_sources!$K$6</f>
        <v/>
      </c>
      <c r="AC55" s="0">
        <f>SUMIFS(Codex_USGS_raw!$E$2:$E$94,Codex_USGS_raw!$A$2:$A$94,Codex_sources!$A$6,Codex_USGS_raw!$C$2:$C$94,AC$4)*Codex_sources!$D$6*Codex_sources!$K$6</f>
        <v/>
      </c>
      <c r="AD55" s="0">
        <f>SUMIFS(Codex_USGS_raw!$E$2:$E$94,Codex_USGS_raw!$A$2:$A$94,Codex_sources!$A$6,Codex_USGS_raw!$C$2:$C$94,AD$4)*Codex_sources!$D$6*Codex_sources!$K$6</f>
        <v/>
      </c>
      <c r="AE55" s="0">
        <f>SUMIFS(Codex_USGS_raw!$E$2:$E$94,Codex_USGS_raw!$A$2:$A$94,Codex_sources!$A$6,Codex_USGS_raw!$C$2:$C$94,AE$4)*Codex_sources!$D$6*Codex_sources!$K$6</f>
        <v/>
      </c>
      <c r="AF55" s="0">
        <f>SUMIFS(Codex_USGS_raw!$E$2:$E$94,Codex_USGS_raw!$A$2:$A$94,Codex_sources!$A$6,Codex_USGS_raw!$C$2:$C$94,AF$4)*Codex_sources!$D$6*Codex_sources!$K$6</f>
        <v/>
      </c>
      <c r="AG55" s="0">
        <f>SUMIFS(Codex_USGS_raw!$E$2:$E$94,Codex_USGS_raw!$A$2:$A$94,Codex_sources!$A$6,Codex_USGS_raw!$C$2:$C$94,AG$4)*Codex_sources!$D$6*Codex_sources!$K$6</f>
        <v/>
      </c>
      <c r="AH55" s="0">
        <f>SUMIFS(Codex_USGS_raw!$E$2:$E$94,Codex_USGS_raw!$A$2:$A$94,Codex_sources!$A$6,Codex_USGS_raw!$C$2:$C$94,AH$4)*Codex_sources!$D$6*Codex_sources!$K$6</f>
        <v/>
      </c>
      <c r="AI55" s="0">
        <f>SUMIFS(Codex_USGS_raw!$E$2:$E$94,Codex_USGS_raw!$A$2:$A$94,Codex_sources!$A$6,Codex_USGS_raw!$C$2:$C$94,AI$4)*Codex_sources!$D$6*Codex_sources!$K$6</f>
        <v/>
      </c>
      <c r="AJ55" s="0">
        <f>SUMIFS(Codex_USGS_raw!$E$2:$E$94,Codex_USGS_raw!$A$2:$A$94,Codex_sources!$A$6,Codex_USGS_raw!$C$2:$C$94,AJ$4)*Codex_sources!$D$6*Codex_sources!$K$6</f>
        <v/>
      </c>
      <c r="AK55" s="0">
        <f>SUMIFS(Codex_USGS_raw!$E$2:$E$94,Codex_USGS_raw!$A$2:$A$94,Codex_sources!$A$6,Codex_USGS_raw!$C$2:$C$94,AK$4)*Codex_sources!$D$6*Codex_sources!$K$6</f>
        <v/>
      </c>
      <c r="AL55" s="0">
        <f>SUMIFS(Codex_USGS_raw!$E$2:$E$94,Codex_USGS_raw!$A$2:$A$94,Codex_sources!$A$6,Codex_USGS_raw!$C$2:$C$94,AL$4)*Codex_sources!$D$6*Codex_sources!$K$6</f>
        <v/>
      </c>
      <c r="AM55" s="0">
        <f>SUMIFS(Codex_USGS_raw!$E$2:$E$94,Codex_USGS_raw!$A$2:$A$94,Codex_sources!$A$6,Codex_USGS_raw!$C$2:$C$94,AM$4)*Codex_sources!$D$6*Codex_sources!$K$6</f>
        <v/>
      </c>
      <c r="AN55" s="0">
        <f>SUMIFS(Codex_USGS_raw!$E$2:$E$94,Codex_USGS_raw!$A$2:$A$94,Codex_sources!$A$6,Codex_USGS_raw!$C$2:$C$94,AN$4)*Codex_sources!$D$6*Codex_sources!$K$6</f>
        <v/>
      </c>
      <c r="AO55" s="0">
        <f>AO54</f>
        <v/>
      </c>
    </row>
    <row r="56">
      <c r="C56" s="0" t="inlineStr">
        <is>
          <t>MINNiRSV2</t>
        </is>
      </c>
      <c r="D56" s="0" t="inlineStr">
        <is>
          <t>COST</t>
        </is>
      </c>
      <c r="E56" s="0" t="inlineStr">
        <is>
          <t>m_nickel</t>
        </is>
      </c>
      <c r="F56" s="0">
        <f>Codex_Regional!F10*(Codex_sources!$N$6/Codex_sources!$M$6)</f>
        <v/>
      </c>
      <c r="G56" s="0">
        <f>Codex_Regional!G10*(Codex_sources!$N$6/Codex_sources!$M$6)</f>
        <v/>
      </c>
      <c r="H56" s="0">
        <f>Codex_Regional!H10*(Codex_sources!$N$6/Codex_sources!$M$6)</f>
        <v/>
      </c>
      <c r="I56" s="0">
        <f>Codex_Regional!I10*(Codex_sources!$N$6/Codex_sources!$M$6)</f>
        <v/>
      </c>
      <c r="J56" s="0">
        <f>Codex_Regional!J10*(Codex_sources!$N$6/Codex_sources!$M$6)</f>
        <v/>
      </c>
      <c r="K56" s="0">
        <f>Codex_Regional!K10*(Codex_sources!$N$6/Codex_sources!$M$6)</f>
        <v/>
      </c>
      <c r="L56" s="0">
        <f>Codex_Regional!L10*(Codex_sources!$N$6/Codex_sources!$M$6)</f>
        <v/>
      </c>
      <c r="M56" s="0">
        <f>Codex_Regional!M10*(Codex_sources!$N$6/Codex_sources!$M$6)</f>
        <v/>
      </c>
      <c r="N56" s="0">
        <f>Codex_Regional!N10*(Codex_sources!$N$6/Codex_sources!$M$6)</f>
        <v/>
      </c>
      <c r="O56" s="0">
        <f>Codex_Regional!O10*(Codex_sources!$N$6/Codex_sources!$M$6)</f>
        <v/>
      </c>
      <c r="P56" s="0">
        <f>Codex_Regional!P10*(Codex_sources!$N$6/Codex_sources!$M$6)</f>
        <v/>
      </c>
      <c r="Q56" s="0">
        <f>Codex_Regional!Q10*(Codex_sources!$N$6/Codex_sources!$M$6)</f>
        <v/>
      </c>
      <c r="R56" s="0">
        <f>Codex_Regional!R10*(Codex_sources!$N$6/Codex_sources!$M$6)</f>
        <v/>
      </c>
      <c r="S56" s="0">
        <f>Codex_Regional!S10*(Codex_sources!$N$6/Codex_sources!$M$6)</f>
        <v/>
      </c>
      <c r="T56" s="0">
        <f>Codex_Regional!T10*(Codex_sources!$N$6/Codex_sources!$M$6)</f>
        <v/>
      </c>
      <c r="U56" s="0">
        <f>Codex_Regional!U10*(Codex_sources!$N$6/Codex_sources!$M$6)</f>
        <v/>
      </c>
      <c r="V56" s="0">
        <f>Codex_Regional!V10*(Codex_sources!$N$6/Codex_sources!$M$6)</f>
        <v/>
      </c>
      <c r="W56" s="0">
        <f>Codex_Regional!W10*(Codex_sources!$N$6/Codex_sources!$M$6)</f>
        <v/>
      </c>
      <c r="X56" s="0">
        <f>Codex_Regional!X10*(Codex_sources!$N$6/Codex_sources!$M$6)</f>
        <v/>
      </c>
      <c r="Y56" s="0">
        <f>Codex_Regional!Y10*(Codex_sources!$N$6/Codex_sources!$M$6)</f>
        <v/>
      </c>
      <c r="Z56" s="0">
        <f>Codex_Regional!Z10*(Codex_sources!$N$6/Codex_sources!$M$6)</f>
        <v/>
      </c>
      <c r="AA56" s="0">
        <f>Codex_Regional!AA10*(Codex_sources!$N$6/Codex_sources!$M$6)</f>
        <v/>
      </c>
      <c r="AB56" s="0">
        <f>Codex_Regional!AB10*(Codex_sources!$N$6/Codex_sources!$M$6)</f>
        <v/>
      </c>
      <c r="AC56" s="0">
        <f>Codex_Regional!AC10*(Codex_sources!$N$6/Codex_sources!$M$6)</f>
        <v/>
      </c>
      <c r="AD56" s="0">
        <f>Codex_Regional!AD10*(Codex_sources!$N$6/Codex_sources!$M$6)</f>
        <v/>
      </c>
      <c r="AE56" s="0">
        <f>Codex_Regional!AE10*(Codex_sources!$N$6/Codex_sources!$M$6)</f>
        <v/>
      </c>
      <c r="AF56" s="0">
        <f>Codex_Regional!AF10*(Codex_sources!$N$6/Codex_sources!$M$6)</f>
        <v/>
      </c>
      <c r="AG56" s="0">
        <f>Codex_Regional!AG10*(Codex_sources!$N$6/Codex_sources!$M$6)</f>
        <v/>
      </c>
      <c r="AH56" s="0">
        <f>Codex_Regional!AH10*(Codex_sources!$N$6/Codex_sources!$M$6)</f>
        <v/>
      </c>
      <c r="AI56" s="0">
        <f>Codex_Regional!AI10*(Codex_sources!$N$6/Codex_sources!$M$6)</f>
        <v/>
      </c>
      <c r="AJ56" s="0">
        <f>Codex_Regional!AJ10*(Codex_sources!$N$6/Codex_sources!$M$6)</f>
        <v/>
      </c>
      <c r="AK56" s="0">
        <f>Codex_Regional!AK10*(Codex_sources!$N$6/Codex_sources!$M$6)</f>
        <v/>
      </c>
      <c r="AL56" s="0">
        <f>Codex_Regional!AL10*(Codex_sources!$N$6/Codex_sources!$M$6)</f>
        <v/>
      </c>
      <c r="AM56" s="0">
        <f>Codex_Regional!AM10*(Codex_sources!$N$6/Codex_sources!$M$6)</f>
        <v/>
      </c>
      <c r="AN56" s="0">
        <f>Codex_Regional!AN10*(Codex_sources!$N$6/Codex_sources!$M$6)</f>
        <v/>
      </c>
      <c r="AO56" s="0">
        <f>AO55</f>
        <v/>
      </c>
    </row>
    <row r="57">
      <c r="C57" s="0" t="inlineStr">
        <is>
          <t>MINNiRSV3</t>
        </is>
      </c>
      <c r="D57" s="0" t="inlineStr">
        <is>
          <t>BNDACT</t>
        </is>
      </c>
      <c r="AO57" s="0">
        <f>AO56</f>
        <v/>
      </c>
    </row>
    <row r="58">
      <c r="C58" s="0" t="inlineStr">
        <is>
          <t>MINNiRSV3</t>
        </is>
      </c>
      <c r="D58" s="0" t="inlineStr">
        <is>
          <t>CUM</t>
        </is>
      </c>
      <c r="F58" s="0">
        <f>SUMIFS(Codex_USGS_raw!$E$2:$E$94,Codex_USGS_raw!$A$2:$A$94,Codex_sources!$A$6,Codex_USGS_raw!$C$2:$C$94,F$4)*Codex_sources!$D$6*Codex_sources!$L$6</f>
        <v/>
      </c>
      <c r="G58" s="0">
        <f>SUMIFS(Codex_USGS_raw!$E$2:$E$94,Codex_USGS_raw!$A$2:$A$94,Codex_sources!$A$6,Codex_USGS_raw!$C$2:$C$94,G$4)*Codex_sources!$D$6*Codex_sources!$L$6</f>
        <v/>
      </c>
      <c r="H58" s="0">
        <f>SUMIFS(Codex_USGS_raw!$E$2:$E$94,Codex_USGS_raw!$A$2:$A$94,Codex_sources!$A$6,Codex_USGS_raw!$C$2:$C$94,H$4)*Codex_sources!$D$6*Codex_sources!$L$6</f>
        <v/>
      </c>
      <c r="I58" s="0">
        <f>SUMIFS(Codex_USGS_raw!$E$2:$E$94,Codex_USGS_raw!$A$2:$A$94,Codex_sources!$A$6,Codex_USGS_raw!$C$2:$C$94,I$4)*Codex_sources!$D$6*Codex_sources!$L$6</f>
        <v/>
      </c>
      <c r="J58" s="0">
        <f>SUMIFS(Codex_USGS_raw!$E$2:$E$94,Codex_USGS_raw!$A$2:$A$94,Codex_sources!$A$6,Codex_USGS_raw!$C$2:$C$94,J$4)*Codex_sources!$D$6*Codex_sources!$L$6</f>
        <v/>
      </c>
      <c r="K58" s="0">
        <f>SUMIFS(Codex_USGS_raw!$E$2:$E$94,Codex_USGS_raw!$A$2:$A$94,Codex_sources!$A$6,Codex_USGS_raw!$C$2:$C$94,K$4)*Codex_sources!$D$6*Codex_sources!$L$6</f>
        <v/>
      </c>
      <c r="L58" s="0">
        <f>SUMIFS(Codex_USGS_raw!$E$2:$E$94,Codex_USGS_raw!$A$2:$A$94,Codex_sources!$A$6,Codex_USGS_raw!$C$2:$C$94,L$4)*Codex_sources!$D$6*Codex_sources!$L$6</f>
        <v/>
      </c>
      <c r="M58" s="0">
        <f>SUMIFS(Codex_USGS_raw!$E$2:$E$94,Codex_USGS_raw!$A$2:$A$94,Codex_sources!$A$6,Codex_USGS_raw!$C$2:$C$94,M$4)*Codex_sources!$D$6*Codex_sources!$L$6</f>
        <v/>
      </c>
      <c r="N58" s="0">
        <f>SUMIFS(Codex_USGS_raw!$E$2:$E$94,Codex_USGS_raw!$A$2:$A$94,Codex_sources!$A$6,Codex_USGS_raw!$C$2:$C$94,N$4)*Codex_sources!$D$6*Codex_sources!$L$6</f>
        <v/>
      </c>
      <c r="O58" s="0">
        <f>SUMIFS(Codex_USGS_raw!$E$2:$E$94,Codex_USGS_raw!$A$2:$A$94,Codex_sources!$A$6,Codex_USGS_raw!$C$2:$C$94,O$4)*Codex_sources!$D$6*Codex_sources!$L$6</f>
        <v/>
      </c>
      <c r="P58" s="0">
        <f>SUMIFS(Codex_USGS_raw!$E$2:$E$94,Codex_USGS_raw!$A$2:$A$94,Codex_sources!$A$6,Codex_USGS_raw!$C$2:$C$94,P$4)*Codex_sources!$D$6*Codex_sources!$L$6</f>
        <v/>
      </c>
      <c r="Q58" s="0">
        <f>SUMIFS(Codex_USGS_raw!$E$2:$E$94,Codex_USGS_raw!$A$2:$A$94,Codex_sources!$A$6,Codex_USGS_raw!$C$2:$C$94,Q$4)*Codex_sources!$D$6*Codex_sources!$L$6</f>
        <v/>
      </c>
      <c r="R58" s="0">
        <f>SUMIFS(Codex_USGS_raw!$E$2:$E$94,Codex_USGS_raw!$A$2:$A$94,Codex_sources!$A$6,Codex_USGS_raw!$C$2:$C$94,R$4)*Codex_sources!$D$6*Codex_sources!$L$6</f>
        <v/>
      </c>
      <c r="S58" s="0">
        <f>SUMIFS(Codex_USGS_raw!$E$2:$E$94,Codex_USGS_raw!$A$2:$A$94,Codex_sources!$A$6,Codex_USGS_raw!$C$2:$C$94,S$4)*Codex_sources!$D$6*Codex_sources!$L$6</f>
        <v/>
      </c>
      <c r="T58" s="0">
        <f>SUMIFS(Codex_USGS_raw!$E$2:$E$94,Codex_USGS_raw!$A$2:$A$94,Codex_sources!$A$6,Codex_USGS_raw!$C$2:$C$94,T$4)*Codex_sources!$D$6*Codex_sources!$L$6</f>
        <v/>
      </c>
      <c r="U58" s="0">
        <f>SUMIFS(Codex_USGS_raw!$E$2:$E$94,Codex_USGS_raw!$A$2:$A$94,Codex_sources!$A$6,Codex_USGS_raw!$C$2:$C$94,U$4)*Codex_sources!$D$6*Codex_sources!$L$6</f>
        <v/>
      </c>
      <c r="V58" s="0">
        <f>SUMIFS(Codex_USGS_raw!$E$2:$E$94,Codex_USGS_raw!$A$2:$A$94,Codex_sources!$A$6,Codex_USGS_raw!$C$2:$C$94,V$4)*Codex_sources!$D$6*Codex_sources!$L$6</f>
        <v/>
      </c>
      <c r="W58" s="0">
        <f>SUMIFS(Codex_USGS_raw!$E$2:$E$94,Codex_USGS_raw!$A$2:$A$94,Codex_sources!$A$6,Codex_USGS_raw!$C$2:$C$94,W$4)*Codex_sources!$D$6*Codex_sources!$L$6</f>
        <v/>
      </c>
      <c r="X58" s="0">
        <f>SUMIFS(Codex_USGS_raw!$E$2:$E$94,Codex_USGS_raw!$A$2:$A$94,Codex_sources!$A$6,Codex_USGS_raw!$C$2:$C$94,X$4)*Codex_sources!$D$6*Codex_sources!$L$6</f>
        <v/>
      </c>
      <c r="Y58" s="0">
        <f>SUMIFS(Codex_USGS_raw!$E$2:$E$94,Codex_USGS_raw!$A$2:$A$94,Codex_sources!$A$6,Codex_USGS_raw!$C$2:$C$94,Y$4)*Codex_sources!$D$6*Codex_sources!$L$6</f>
        <v/>
      </c>
      <c r="Z58" s="0">
        <f>SUMIFS(Codex_USGS_raw!$E$2:$E$94,Codex_USGS_raw!$A$2:$A$94,Codex_sources!$A$6,Codex_USGS_raw!$C$2:$C$94,Z$4)*Codex_sources!$D$6*Codex_sources!$L$6</f>
        <v/>
      </c>
      <c r="AA58" s="0">
        <f>SUMIFS(Codex_USGS_raw!$E$2:$E$94,Codex_USGS_raw!$A$2:$A$94,Codex_sources!$A$6,Codex_USGS_raw!$C$2:$C$94,AA$4)*Codex_sources!$D$6*Codex_sources!$L$6</f>
        <v/>
      </c>
      <c r="AB58" s="0">
        <f>SUMIFS(Codex_USGS_raw!$E$2:$E$94,Codex_USGS_raw!$A$2:$A$94,Codex_sources!$A$6,Codex_USGS_raw!$C$2:$C$94,AB$4)*Codex_sources!$D$6*Codex_sources!$L$6</f>
        <v/>
      </c>
      <c r="AC58" s="0">
        <f>SUMIFS(Codex_USGS_raw!$E$2:$E$94,Codex_USGS_raw!$A$2:$A$94,Codex_sources!$A$6,Codex_USGS_raw!$C$2:$C$94,AC$4)*Codex_sources!$D$6*Codex_sources!$L$6</f>
        <v/>
      </c>
      <c r="AD58" s="0">
        <f>SUMIFS(Codex_USGS_raw!$E$2:$E$94,Codex_USGS_raw!$A$2:$A$94,Codex_sources!$A$6,Codex_USGS_raw!$C$2:$C$94,AD$4)*Codex_sources!$D$6*Codex_sources!$L$6</f>
        <v/>
      </c>
      <c r="AE58" s="0">
        <f>SUMIFS(Codex_USGS_raw!$E$2:$E$94,Codex_USGS_raw!$A$2:$A$94,Codex_sources!$A$6,Codex_USGS_raw!$C$2:$C$94,AE$4)*Codex_sources!$D$6*Codex_sources!$L$6</f>
        <v/>
      </c>
      <c r="AF58" s="0">
        <f>SUMIFS(Codex_USGS_raw!$E$2:$E$94,Codex_USGS_raw!$A$2:$A$94,Codex_sources!$A$6,Codex_USGS_raw!$C$2:$C$94,AF$4)*Codex_sources!$D$6*Codex_sources!$L$6</f>
        <v/>
      </c>
      <c r="AG58" s="0">
        <f>SUMIFS(Codex_USGS_raw!$E$2:$E$94,Codex_USGS_raw!$A$2:$A$94,Codex_sources!$A$6,Codex_USGS_raw!$C$2:$C$94,AG$4)*Codex_sources!$D$6*Codex_sources!$L$6</f>
        <v/>
      </c>
      <c r="AH58" s="0">
        <f>SUMIFS(Codex_USGS_raw!$E$2:$E$94,Codex_USGS_raw!$A$2:$A$94,Codex_sources!$A$6,Codex_USGS_raw!$C$2:$C$94,AH$4)*Codex_sources!$D$6*Codex_sources!$L$6</f>
        <v/>
      </c>
      <c r="AI58" s="0">
        <f>SUMIFS(Codex_USGS_raw!$E$2:$E$94,Codex_USGS_raw!$A$2:$A$94,Codex_sources!$A$6,Codex_USGS_raw!$C$2:$C$94,AI$4)*Codex_sources!$D$6*Codex_sources!$L$6</f>
        <v/>
      </c>
      <c r="AJ58" s="0">
        <f>SUMIFS(Codex_USGS_raw!$E$2:$E$94,Codex_USGS_raw!$A$2:$A$94,Codex_sources!$A$6,Codex_USGS_raw!$C$2:$C$94,AJ$4)*Codex_sources!$D$6*Codex_sources!$L$6</f>
        <v/>
      </c>
      <c r="AK58" s="0">
        <f>SUMIFS(Codex_USGS_raw!$E$2:$E$94,Codex_USGS_raw!$A$2:$A$94,Codex_sources!$A$6,Codex_USGS_raw!$C$2:$C$94,AK$4)*Codex_sources!$D$6*Codex_sources!$L$6</f>
        <v/>
      </c>
      <c r="AL58" s="0">
        <f>SUMIFS(Codex_USGS_raw!$E$2:$E$94,Codex_USGS_raw!$A$2:$A$94,Codex_sources!$A$6,Codex_USGS_raw!$C$2:$C$94,AL$4)*Codex_sources!$D$6*Codex_sources!$L$6</f>
        <v/>
      </c>
      <c r="AM58" s="0">
        <f>SUMIFS(Codex_USGS_raw!$E$2:$E$94,Codex_USGS_raw!$A$2:$A$94,Codex_sources!$A$6,Codex_USGS_raw!$C$2:$C$94,AM$4)*Codex_sources!$D$6*Codex_sources!$L$6</f>
        <v/>
      </c>
      <c r="AN58" s="0">
        <f>SUMIFS(Codex_USGS_raw!$E$2:$E$94,Codex_USGS_raw!$A$2:$A$94,Codex_sources!$A$6,Codex_USGS_raw!$C$2:$C$94,AN$4)*Codex_sources!$D$6*Codex_sources!$L$6</f>
        <v/>
      </c>
      <c r="AO58" s="0">
        <f>AO57</f>
        <v/>
      </c>
    </row>
    <row r="59">
      <c r="C59" s="0" t="inlineStr">
        <is>
          <t>MINNiRSV3</t>
        </is>
      </c>
      <c r="D59" s="0" t="inlineStr">
        <is>
          <t>COST</t>
        </is>
      </c>
      <c r="E59" s="0" t="inlineStr">
        <is>
          <t>m_nickel</t>
        </is>
      </c>
      <c r="F59" s="0">
        <f>Codex_Regional!F10*(Codex_sources!$O$6/Codex_sources!$M$6)</f>
        <v/>
      </c>
      <c r="G59" s="0">
        <f>Codex_Regional!G10*(Codex_sources!$O$6/Codex_sources!$M$6)</f>
        <v/>
      </c>
      <c r="H59" s="0">
        <f>Codex_Regional!H10*(Codex_sources!$O$6/Codex_sources!$M$6)</f>
        <v/>
      </c>
      <c r="I59" s="0">
        <f>Codex_Regional!I10*(Codex_sources!$O$6/Codex_sources!$M$6)</f>
        <v/>
      </c>
      <c r="J59" s="0">
        <f>Codex_Regional!J10*(Codex_sources!$O$6/Codex_sources!$M$6)</f>
        <v/>
      </c>
      <c r="K59" s="0">
        <f>Codex_Regional!K10*(Codex_sources!$O$6/Codex_sources!$M$6)</f>
        <v/>
      </c>
      <c r="L59" s="0">
        <f>Codex_Regional!L10*(Codex_sources!$O$6/Codex_sources!$M$6)</f>
        <v/>
      </c>
      <c r="M59" s="0">
        <f>Codex_Regional!M10*(Codex_sources!$O$6/Codex_sources!$M$6)</f>
        <v/>
      </c>
      <c r="N59" s="0">
        <f>Codex_Regional!N10*(Codex_sources!$O$6/Codex_sources!$M$6)</f>
        <v/>
      </c>
      <c r="O59" s="0">
        <f>Codex_Regional!O10*(Codex_sources!$O$6/Codex_sources!$M$6)</f>
        <v/>
      </c>
      <c r="P59" s="0">
        <f>Codex_Regional!P10*(Codex_sources!$O$6/Codex_sources!$M$6)</f>
        <v/>
      </c>
      <c r="Q59" s="0">
        <f>Codex_Regional!Q10*(Codex_sources!$O$6/Codex_sources!$M$6)</f>
        <v/>
      </c>
      <c r="R59" s="0">
        <f>Codex_Regional!R10*(Codex_sources!$O$6/Codex_sources!$M$6)</f>
        <v/>
      </c>
      <c r="S59" s="0">
        <f>Codex_Regional!S10*(Codex_sources!$O$6/Codex_sources!$M$6)</f>
        <v/>
      </c>
      <c r="T59" s="0">
        <f>Codex_Regional!T10*(Codex_sources!$O$6/Codex_sources!$M$6)</f>
        <v/>
      </c>
      <c r="U59" s="0">
        <f>Codex_Regional!U10*(Codex_sources!$O$6/Codex_sources!$M$6)</f>
        <v/>
      </c>
      <c r="V59" s="0">
        <f>Codex_Regional!V10*(Codex_sources!$O$6/Codex_sources!$M$6)</f>
        <v/>
      </c>
      <c r="W59" s="0">
        <f>Codex_Regional!W10*(Codex_sources!$O$6/Codex_sources!$M$6)</f>
        <v/>
      </c>
      <c r="X59" s="0">
        <f>Codex_Regional!X10*(Codex_sources!$O$6/Codex_sources!$M$6)</f>
        <v/>
      </c>
      <c r="Y59" s="0">
        <f>Codex_Regional!Y10*(Codex_sources!$O$6/Codex_sources!$M$6)</f>
        <v/>
      </c>
      <c r="Z59" s="0">
        <f>Codex_Regional!Z10*(Codex_sources!$O$6/Codex_sources!$M$6)</f>
        <v/>
      </c>
      <c r="AA59" s="0">
        <f>Codex_Regional!AA10*(Codex_sources!$O$6/Codex_sources!$M$6)</f>
        <v/>
      </c>
      <c r="AB59" s="0">
        <f>Codex_Regional!AB10*(Codex_sources!$O$6/Codex_sources!$M$6)</f>
        <v/>
      </c>
      <c r="AC59" s="0">
        <f>Codex_Regional!AC10*(Codex_sources!$O$6/Codex_sources!$M$6)</f>
        <v/>
      </c>
      <c r="AD59" s="0">
        <f>Codex_Regional!AD10*(Codex_sources!$O$6/Codex_sources!$M$6)</f>
        <v/>
      </c>
      <c r="AE59" s="0">
        <f>Codex_Regional!AE10*(Codex_sources!$O$6/Codex_sources!$M$6)</f>
        <v/>
      </c>
      <c r="AF59" s="0">
        <f>Codex_Regional!AF10*(Codex_sources!$O$6/Codex_sources!$M$6)</f>
        <v/>
      </c>
      <c r="AG59" s="0">
        <f>Codex_Regional!AG10*(Codex_sources!$O$6/Codex_sources!$M$6)</f>
        <v/>
      </c>
      <c r="AH59" s="0">
        <f>Codex_Regional!AH10*(Codex_sources!$O$6/Codex_sources!$M$6)</f>
        <v/>
      </c>
      <c r="AI59" s="0">
        <f>Codex_Regional!AI10*(Codex_sources!$O$6/Codex_sources!$M$6)</f>
        <v/>
      </c>
      <c r="AJ59" s="0">
        <f>Codex_Regional!AJ10*(Codex_sources!$O$6/Codex_sources!$M$6)</f>
        <v/>
      </c>
      <c r="AK59" s="0">
        <f>Codex_Regional!AK10*(Codex_sources!$O$6/Codex_sources!$M$6)</f>
        <v/>
      </c>
      <c r="AL59" s="0">
        <f>Codex_Regional!AL10*(Codex_sources!$O$6/Codex_sources!$M$6)</f>
        <v/>
      </c>
      <c r="AM59" s="0">
        <f>Codex_Regional!AM10*(Codex_sources!$O$6/Codex_sources!$M$6)</f>
        <v/>
      </c>
      <c r="AN59" s="0">
        <f>Codex_Regional!AN10*(Codex_sources!$O$6/Codex_sources!$M$6)</f>
        <v/>
      </c>
      <c r="AO59" s="0">
        <f>AO58</f>
        <v/>
      </c>
    </row>
    <row r="60">
      <c r="AO60" s="0">
        <f>AO59</f>
        <v/>
      </c>
    </row>
    <row r="61">
      <c r="C61" s="0" t="inlineStr">
        <is>
          <t>MINCoRSV1</t>
        </is>
      </c>
      <c r="D61" s="0" t="inlineStr">
        <is>
          <t>BNDACT</t>
        </is>
      </c>
      <c r="F61" s="0">
        <f>SUMIFS(Codex_USGS_raw!$D$2:$D$94,Codex_USGS_raw!$A$2:$A$94,Codex_sources!$A$7,Codex_USGS_raw!$C$2:$C$94,F$4)*Codex_sources!$D$7*1</f>
        <v/>
      </c>
      <c r="G61" s="0">
        <f>SUMIFS(Codex_USGS_raw!$D$2:$D$94,Codex_USGS_raw!$A$2:$A$94,Codex_sources!$A$7,Codex_USGS_raw!$C$2:$C$94,G$4)*Codex_sources!$D$7*1</f>
        <v/>
      </c>
      <c r="H61" s="0">
        <f>SUMIFS(Codex_USGS_raw!$D$2:$D$94,Codex_USGS_raw!$A$2:$A$94,Codex_sources!$A$7,Codex_USGS_raw!$C$2:$C$94,H$4)*Codex_sources!$D$7*1</f>
        <v/>
      </c>
      <c r="I61" s="0">
        <f>SUMIFS(Codex_USGS_raw!$D$2:$D$94,Codex_USGS_raw!$A$2:$A$94,Codex_sources!$A$7,Codex_USGS_raw!$C$2:$C$94,I$4)*Codex_sources!$D$7*1</f>
        <v/>
      </c>
      <c r="J61" s="0">
        <f>SUMIFS(Codex_USGS_raw!$D$2:$D$94,Codex_USGS_raw!$A$2:$A$94,Codex_sources!$A$7,Codex_USGS_raw!$C$2:$C$94,J$4)*Codex_sources!$D$7*1</f>
        <v/>
      </c>
      <c r="K61" s="0">
        <f>SUMIFS(Codex_USGS_raw!$D$2:$D$94,Codex_USGS_raw!$A$2:$A$94,Codex_sources!$A$7,Codex_USGS_raw!$C$2:$C$94,K$4)*Codex_sources!$D$7*1</f>
        <v/>
      </c>
      <c r="L61" s="0">
        <f>SUMIFS(Codex_USGS_raw!$D$2:$D$94,Codex_USGS_raw!$A$2:$A$94,Codex_sources!$A$7,Codex_USGS_raw!$C$2:$C$94,L$4)*Codex_sources!$D$7*1</f>
        <v/>
      </c>
      <c r="M61" s="0">
        <f>SUMIFS(Codex_USGS_raw!$D$2:$D$94,Codex_USGS_raw!$A$2:$A$94,Codex_sources!$A$7,Codex_USGS_raw!$C$2:$C$94,M$4)*Codex_sources!$D$7*1</f>
        <v/>
      </c>
      <c r="N61" s="0">
        <f>SUMIFS(Codex_USGS_raw!$D$2:$D$94,Codex_USGS_raw!$A$2:$A$94,Codex_sources!$A$7,Codex_USGS_raw!$C$2:$C$94,N$4)*Codex_sources!$D$7*1</f>
        <v/>
      </c>
      <c r="O61" s="0">
        <f>SUMIFS(Codex_USGS_raw!$D$2:$D$94,Codex_USGS_raw!$A$2:$A$94,Codex_sources!$A$7,Codex_USGS_raw!$C$2:$C$94,O$4)*Codex_sources!$D$7*1</f>
        <v/>
      </c>
      <c r="P61" s="0">
        <f>SUMIFS(Codex_USGS_raw!$D$2:$D$94,Codex_USGS_raw!$A$2:$A$94,Codex_sources!$A$7,Codex_USGS_raw!$C$2:$C$94,P$4)*Codex_sources!$D$7*1</f>
        <v/>
      </c>
      <c r="Q61" s="0">
        <f>SUMIFS(Codex_USGS_raw!$D$2:$D$94,Codex_USGS_raw!$A$2:$A$94,Codex_sources!$A$7,Codex_USGS_raw!$C$2:$C$94,Q$4)*Codex_sources!$D$7*1</f>
        <v/>
      </c>
      <c r="R61" s="0">
        <f>SUMIFS(Codex_USGS_raw!$D$2:$D$94,Codex_USGS_raw!$A$2:$A$94,Codex_sources!$A$7,Codex_USGS_raw!$C$2:$C$94,R$4)*Codex_sources!$D$7*1</f>
        <v/>
      </c>
      <c r="S61" s="0">
        <f>SUMIFS(Codex_USGS_raw!$D$2:$D$94,Codex_USGS_raw!$A$2:$A$94,Codex_sources!$A$7,Codex_USGS_raw!$C$2:$C$94,S$4)*Codex_sources!$D$7*1</f>
        <v/>
      </c>
      <c r="T61" s="0">
        <f>SUMIFS(Codex_USGS_raw!$D$2:$D$94,Codex_USGS_raw!$A$2:$A$94,Codex_sources!$A$7,Codex_USGS_raw!$C$2:$C$94,T$4)*Codex_sources!$D$7*1</f>
        <v/>
      </c>
      <c r="U61" s="0">
        <f>SUMIFS(Codex_USGS_raw!$D$2:$D$94,Codex_USGS_raw!$A$2:$A$94,Codex_sources!$A$7,Codex_USGS_raw!$C$2:$C$94,U$4)*Codex_sources!$D$7*1</f>
        <v/>
      </c>
      <c r="V61" s="0">
        <f>SUMIFS(Codex_USGS_raw!$D$2:$D$94,Codex_USGS_raw!$A$2:$A$94,Codex_sources!$A$7,Codex_USGS_raw!$C$2:$C$94,V$4)*Codex_sources!$D$7*1</f>
        <v/>
      </c>
      <c r="W61" s="0">
        <f>SUMIFS(Codex_USGS_raw!$D$2:$D$94,Codex_USGS_raw!$A$2:$A$94,Codex_sources!$A$7,Codex_USGS_raw!$C$2:$C$94,W$4)*Codex_sources!$D$7*1</f>
        <v/>
      </c>
      <c r="X61" s="0">
        <f>SUMIFS(Codex_USGS_raw!$D$2:$D$94,Codex_USGS_raw!$A$2:$A$94,Codex_sources!$A$7,Codex_USGS_raw!$C$2:$C$94,X$4)*Codex_sources!$D$7*1</f>
        <v/>
      </c>
      <c r="Y61" s="0">
        <f>SUMIFS(Codex_USGS_raw!$D$2:$D$94,Codex_USGS_raw!$A$2:$A$94,Codex_sources!$A$7,Codex_USGS_raw!$C$2:$C$94,Y$4)*Codex_sources!$D$7*1</f>
        <v/>
      </c>
      <c r="Z61" s="0">
        <f>SUMIFS(Codex_USGS_raw!$D$2:$D$94,Codex_USGS_raw!$A$2:$A$94,Codex_sources!$A$7,Codex_USGS_raw!$C$2:$C$94,Z$4)*Codex_sources!$D$7*1</f>
        <v/>
      </c>
      <c r="AA61" s="0">
        <f>SUMIFS(Codex_USGS_raw!$D$2:$D$94,Codex_USGS_raw!$A$2:$A$94,Codex_sources!$A$7,Codex_USGS_raw!$C$2:$C$94,AA$4)*Codex_sources!$D$7*1</f>
        <v/>
      </c>
      <c r="AB61" s="0">
        <f>SUMIFS(Codex_USGS_raw!$D$2:$D$94,Codex_USGS_raw!$A$2:$A$94,Codex_sources!$A$7,Codex_USGS_raw!$C$2:$C$94,AB$4)*Codex_sources!$D$7*1</f>
        <v/>
      </c>
      <c r="AC61" s="0">
        <f>SUMIFS(Codex_USGS_raw!$D$2:$D$94,Codex_USGS_raw!$A$2:$A$94,Codex_sources!$A$7,Codex_USGS_raw!$C$2:$C$94,AC$4)*Codex_sources!$D$7*1</f>
        <v/>
      </c>
      <c r="AD61" s="0">
        <f>SUMIFS(Codex_USGS_raw!$D$2:$D$94,Codex_USGS_raw!$A$2:$A$94,Codex_sources!$A$7,Codex_USGS_raw!$C$2:$C$94,AD$4)*Codex_sources!$D$7*1</f>
        <v/>
      </c>
      <c r="AE61" s="0">
        <f>SUMIFS(Codex_USGS_raw!$D$2:$D$94,Codex_USGS_raw!$A$2:$A$94,Codex_sources!$A$7,Codex_USGS_raw!$C$2:$C$94,AE$4)*Codex_sources!$D$7*1</f>
        <v/>
      </c>
      <c r="AF61" s="0">
        <f>SUMIFS(Codex_USGS_raw!$D$2:$D$94,Codex_USGS_raw!$A$2:$A$94,Codex_sources!$A$7,Codex_USGS_raw!$C$2:$C$94,AF$4)*Codex_sources!$D$7*1</f>
        <v/>
      </c>
      <c r="AG61" s="0">
        <f>SUMIFS(Codex_USGS_raw!$D$2:$D$94,Codex_USGS_raw!$A$2:$A$94,Codex_sources!$A$7,Codex_USGS_raw!$C$2:$C$94,AG$4)*Codex_sources!$D$7*1</f>
        <v/>
      </c>
      <c r="AH61" s="0">
        <f>SUMIFS(Codex_USGS_raw!$D$2:$D$94,Codex_USGS_raw!$A$2:$A$94,Codex_sources!$A$7,Codex_USGS_raw!$C$2:$C$94,AH$4)*Codex_sources!$D$7*1</f>
        <v/>
      </c>
      <c r="AI61" s="0">
        <f>SUMIFS(Codex_USGS_raw!$D$2:$D$94,Codex_USGS_raw!$A$2:$A$94,Codex_sources!$A$7,Codex_USGS_raw!$C$2:$C$94,AI$4)*Codex_sources!$D$7*1</f>
        <v/>
      </c>
      <c r="AJ61" s="0">
        <f>SUMIFS(Codex_USGS_raw!$D$2:$D$94,Codex_USGS_raw!$A$2:$A$94,Codex_sources!$A$7,Codex_USGS_raw!$C$2:$C$94,AJ$4)*Codex_sources!$D$7*1</f>
        <v/>
      </c>
      <c r="AK61" s="0">
        <f>SUMIFS(Codex_USGS_raw!$D$2:$D$94,Codex_USGS_raw!$A$2:$A$94,Codex_sources!$A$7,Codex_USGS_raw!$C$2:$C$94,AK$4)*Codex_sources!$D$7*1</f>
        <v/>
      </c>
      <c r="AL61" s="0">
        <f>SUMIFS(Codex_USGS_raw!$D$2:$D$94,Codex_USGS_raw!$A$2:$A$94,Codex_sources!$A$7,Codex_USGS_raw!$C$2:$C$94,AL$4)*Codex_sources!$D$7*1</f>
        <v/>
      </c>
      <c r="AM61" s="0">
        <f>SUMIFS(Codex_USGS_raw!$D$2:$D$94,Codex_USGS_raw!$A$2:$A$94,Codex_sources!$A$7,Codex_USGS_raw!$C$2:$C$94,AM$4)*Codex_sources!$D$7*1</f>
        <v/>
      </c>
      <c r="AN61" s="0">
        <f>SUMIFS(Codex_USGS_raw!$D$2:$D$94,Codex_USGS_raw!$A$2:$A$94,Codex_sources!$A$7,Codex_USGS_raw!$C$2:$C$94,AN$4)*Codex_sources!$D$7*1</f>
        <v/>
      </c>
      <c r="AO61" s="0">
        <f>AO60</f>
        <v/>
      </c>
    </row>
    <row r="62">
      <c r="C62" s="0" t="inlineStr">
        <is>
          <t>MINCoRSV1</t>
        </is>
      </c>
      <c r="D62" s="0" t="inlineStr">
        <is>
          <t>CUM</t>
        </is>
      </c>
      <c r="F62" s="0">
        <f>SUMIFS(Codex_USGS_raw!$E$2:$E$94,Codex_USGS_raw!$A$2:$A$94,Codex_sources!$A$7,Codex_USGS_raw!$C$2:$C$94,F$4)*Codex_sources!$D$7*Codex_sources!$J$7</f>
        <v/>
      </c>
      <c r="G62" s="0">
        <f>SUMIFS(Codex_USGS_raw!$E$2:$E$94,Codex_USGS_raw!$A$2:$A$94,Codex_sources!$A$7,Codex_USGS_raw!$C$2:$C$94,G$4)*Codex_sources!$D$7*Codex_sources!$J$7</f>
        <v/>
      </c>
      <c r="H62" s="0">
        <f>SUMIFS(Codex_USGS_raw!$E$2:$E$94,Codex_USGS_raw!$A$2:$A$94,Codex_sources!$A$7,Codex_USGS_raw!$C$2:$C$94,H$4)*Codex_sources!$D$7*Codex_sources!$J$7</f>
        <v/>
      </c>
      <c r="I62" s="0">
        <f>SUMIFS(Codex_USGS_raw!$E$2:$E$94,Codex_USGS_raw!$A$2:$A$94,Codex_sources!$A$7,Codex_USGS_raw!$C$2:$C$94,I$4)*Codex_sources!$D$7*Codex_sources!$J$7</f>
        <v/>
      </c>
      <c r="J62" s="0">
        <f>SUMIFS(Codex_USGS_raw!$E$2:$E$94,Codex_USGS_raw!$A$2:$A$94,Codex_sources!$A$7,Codex_USGS_raw!$C$2:$C$94,J$4)*Codex_sources!$D$7*Codex_sources!$J$7</f>
        <v/>
      </c>
      <c r="K62" s="0">
        <f>SUMIFS(Codex_USGS_raw!$E$2:$E$94,Codex_USGS_raw!$A$2:$A$94,Codex_sources!$A$7,Codex_USGS_raw!$C$2:$C$94,K$4)*Codex_sources!$D$7*Codex_sources!$J$7</f>
        <v/>
      </c>
      <c r="L62" s="0">
        <f>SUMIFS(Codex_USGS_raw!$E$2:$E$94,Codex_USGS_raw!$A$2:$A$94,Codex_sources!$A$7,Codex_USGS_raw!$C$2:$C$94,L$4)*Codex_sources!$D$7*Codex_sources!$J$7</f>
        <v/>
      </c>
      <c r="M62" s="0">
        <f>SUMIFS(Codex_USGS_raw!$E$2:$E$94,Codex_USGS_raw!$A$2:$A$94,Codex_sources!$A$7,Codex_USGS_raw!$C$2:$C$94,M$4)*Codex_sources!$D$7*Codex_sources!$J$7</f>
        <v/>
      </c>
      <c r="N62" s="0">
        <f>SUMIFS(Codex_USGS_raw!$E$2:$E$94,Codex_USGS_raw!$A$2:$A$94,Codex_sources!$A$7,Codex_USGS_raw!$C$2:$C$94,N$4)*Codex_sources!$D$7*Codex_sources!$J$7</f>
        <v/>
      </c>
      <c r="O62" s="0">
        <f>SUMIFS(Codex_USGS_raw!$E$2:$E$94,Codex_USGS_raw!$A$2:$A$94,Codex_sources!$A$7,Codex_USGS_raw!$C$2:$C$94,O$4)*Codex_sources!$D$7*Codex_sources!$J$7</f>
        <v/>
      </c>
      <c r="P62" s="0">
        <f>SUMIFS(Codex_USGS_raw!$E$2:$E$94,Codex_USGS_raw!$A$2:$A$94,Codex_sources!$A$7,Codex_USGS_raw!$C$2:$C$94,P$4)*Codex_sources!$D$7*Codex_sources!$J$7</f>
        <v/>
      </c>
      <c r="Q62" s="0">
        <f>SUMIFS(Codex_USGS_raw!$E$2:$E$94,Codex_USGS_raw!$A$2:$A$94,Codex_sources!$A$7,Codex_USGS_raw!$C$2:$C$94,Q$4)*Codex_sources!$D$7*Codex_sources!$J$7</f>
        <v/>
      </c>
      <c r="R62" s="0">
        <f>SUMIFS(Codex_USGS_raw!$E$2:$E$94,Codex_USGS_raw!$A$2:$A$94,Codex_sources!$A$7,Codex_USGS_raw!$C$2:$C$94,R$4)*Codex_sources!$D$7*Codex_sources!$J$7</f>
        <v/>
      </c>
      <c r="S62" s="0">
        <f>SUMIFS(Codex_USGS_raw!$E$2:$E$94,Codex_USGS_raw!$A$2:$A$94,Codex_sources!$A$7,Codex_USGS_raw!$C$2:$C$94,S$4)*Codex_sources!$D$7*Codex_sources!$J$7</f>
        <v/>
      </c>
      <c r="T62" s="0">
        <f>SUMIFS(Codex_USGS_raw!$E$2:$E$94,Codex_USGS_raw!$A$2:$A$94,Codex_sources!$A$7,Codex_USGS_raw!$C$2:$C$94,T$4)*Codex_sources!$D$7*Codex_sources!$J$7</f>
        <v/>
      </c>
      <c r="U62" s="0">
        <f>SUMIFS(Codex_USGS_raw!$E$2:$E$94,Codex_USGS_raw!$A$2:$A$94,Codex_sources!$A$7,Codex_USGS_raw!$C$2:$C$94,U$4)*Codex_sources!$D$7*Codex_sources!$J$7</f>
        <v/>
      </c>
      <c r="V62" s="0">
        <f>SUMIFS(Codex_USGS_raw!$E$2:$E$94,Codex_USGS_raw!$A$2:$A$94,Codex_sources!$A$7,Codex_USGS_raw!$C$2:$C$94,V$4)*Codex_sources!$D$7*Codex_sources!$J$7</f>
        <v/>
      </c>
      <c r="W62" s="0">
        <f>SUMIFS(Codex_USGS_raw!$E$2:$E$94,Codex_USGS_raw!$A$2:$A$94,Codex_sources!$A$7,Codex_USGS_raw!$C$2:$C$94,W$4)*Codex_sources!$D$7*Codex_sources!$J$7</f>
        <v/>
      </c>
      <c r="X62" s="0">
        <f>SUMIFS(Codex_USGS_raw!$E$2:$E$94,Codex_USGS_raw!$A$2:$A$94,Codex_sources!$A$7,Codex_USGS_raw!$C$2:$C$94,X$4)*Codex_sources!$D$7*Codex_sources!$J$7</f>
        <v/>
      </c>
      <c r="Y62" s="0">
        <f>SUMIFS(Codex_USGS_raw!$E$2:$E$94,Codex_USGS_raw!$A$2:$A$94,Codex_sources!$A$7,Codex_USGS_raw!$C$2:$C$94,Y$4)*Codex_sources!$D$7*Codex_sources!$J$7</f>
        <v/>
      </c>
      <c r="Z62" s="0">
        <f>SUMIFS(Codex_USGS_raw!$E$2:$E$94,Codex_USGS_raw!$A$2:$A$94,Codex_sources!$A$7,Codex_USGS_raw!$C$2:$C$94,Z$4)*Codex_sources!$D$7*Codex_sources!$J$7</f>
        <v/>
      </c>
      <c r="AA62" s="0">
        <f>SUMIFS(Codex_USGS_raw!$E$2:$E$94,Codex_USGS_raw!$A$2:$A$94,Codex_sources!$A$7,Codex_USGS_raw!$C$2:$C$94,AA$4)*Codex_sources!$D$7*Codex_sources!$J$7</f>
        <v/>
      </c>
      <c r="AB62" s="0">
        <f>SUMIFS(Codex_USGS_raw!$E$2:$E$94,Codex_USGS_raw!$A$2:$A$94,Codex_sources!$A$7,Codex_USGS_raw!$C$2:$C$94,AB$4)*Codex_sources!$D$7*Codex_sources!$J$7</f>
        <v/>
      </c>
      <c r="AC62" s="0">
        <f>SUMIFS(Codex_USGS_raw!$E$2:$E$94,Codex_USGS_raw!$A$2:$A$94,Codex_sources!$A$7,Codex_USGS_raw!$C$2:$C$94,AC$4)*Codex_sources!$D$7*Codex_sources!$J$7</f>
        <v/>
      </c>
      <c r="AD62" s="0">
        <f>SUMIFS(Codex_USGS_raw!$E$2:$E$94,Codex_USGS_raw!$A$2:$A$94,Codex_sources!$A$7,Codex_USGS_raw!$C$2:$C$94,AD$4)*Codex_sources!$D$7*Codex_sources!$J$7</f>
        <v/>
      </c>
      <c r="AE62" s="0">
        <f>SUMIFS(Codex_USGS_raw!$E$2:$E$94,Codex_USGS_raw!$A$2:$A$94,Codex_sources!$A$7,Codex_USGS_raw!$C$2:$C$94,AE$4)*Codex_sources!$D$7*Codex_sources!$J$7</f>
        <v/>
      </c>
      <c r="AF62" s="0">
        <f>SUMIFS(Codex_USGS_raw!$E$2:$E$94,Codex_USGS_raw!$A$2:$A$94,Codex_sources!$A$7,Codex_USGS_raw!$C$2:$C$94,AF$4)*Codex_sources!$D$7*Codex_sources!$J$7</f>
        <v/>
      </c>
      <c r="AG62" s="0">
        <f>SUMIFS(Codex_USGS_raw!$E$2:$E$94,Codex_USGS_raw!$A$2:$A$94,Codex_sources!$A$7,Codex_USGS_raw!$C$2:$C$94,AG$4)*Codex_sources!$D$7*Codex_sources!$J$7</f>
        <v/>
      </c>
      <c r="AH62" s="0">
        <f>SUMIFS(Codex_USGS_raw!$E$2:$E$94,Codex_USGS_raw!$A$2:$A$94,Codex_sources!$A$7,Codex_USGS_raw!$C$2:$C$94,AH$4)*Codex_sources!$D$7*Codex_sources!$J$7</f>
        <v/>
      </c>
      <c r="AI62" s="0">
        <f>SUMIFS(Codex_USGS_raw!$E$2:$E$94,Codex_USGS_raw!$A$2:$A$94,Codex_sources!$A$7,Codex_USGS_raw!$C$2:$C$94,AI$4)*Codex_sources!$D$7*Codex_sources!$J$7</f>
        <v/>
      </c>
      <c r="AJ62" s="0">
        <f>SUMIFS(Codex_USGS_raw!$E$2:$E$94,Codex_USGS_raw!$A$2:$A$94,Codex_sources!$A$7,Codex_USGS_raw!$C$2:$C$94,AJ$4)*Codex_sources!$D$7*Codex_sources!$J$7</f>
        <v/>
      </c>
      <c r="AK62" s="0">
        <f>SUMIFS(Codex_USGS_raw!$E$2:$E$94,Codex_USGS_raw!$A$2:$A$94,Codex_sources!$A$7,Codex_USGS_raw!$C$2:$C$94,AK$4)*Codex_sources!$D$7*Codex_sources!$J$7</f>
        <v/>
      </c>
      <c r="AL62" s="0">
        <f>SUMIFS(Codex_USGS_raw!$E$2:$E$94,Codex_USGS_raw!$A$2:$A$94,Codex_sources!$A$7,Codex_USGS_raw!$C$2:$C$94,AL$4)*Codex_sources!$D$7*Codex_sources!$J$7</f>
        <v/>
      </c>
      <c r="AM62" s="0">
        <f>SUMIFS(Codex_USGS_raw!$E$2:$E$94,Codex_USGS_raw!$A$2:$A$94,Codex_sources!$A$7,Codex_USGS_raw!$C$2:$C$94,AM$4)*Codex_sources!$D$7*Codex_sources!$J$7</f>
        <v/>
      </c>
      <c r="AN62" s="0">
        <f>SUMIFS(Codex_USGS_raw!$E$2:$E$94,Codex_USGS_raw!$A$2:$A$94,Codex_sources!$A$7,Codex_USGS_raw!$C$2:$C$94,AN$4)*Codex_sources!$D$7*Codex_sources!$J$7</f>
        <v/>
      </c>
      <c r="AO62" s="0">
        <f>AO61</f>
        <v/>
      </c>
    </row>
    <row r="63">
      <c r="C63" s="0" t="inlineStr">
        <is>
          <t>MINCoRSV1</t>
        </is>
      </c>
      <c r="D63" s="0" t="inlineStr">
        <is>
          <t>COST</t>
        </is>
      </c>
      <c r="E63" s="0" t="inlineStr">
        <is>
          <t>m_cobalt</t>
        </is>
      </c>
      <c r="F63" s="0">
        <f>Codex_sources!$M$7</f>
        <v/>
      </c>
      <c r="G63" s="0">
        <f>Codex_sources!$M$7</f>
        <v/>
      </c>
      <c r="H63" s="0">
        <f>Codex_sources!$M$7</f>
        <v/>
      </c>
      <c r="I63" s="0">
        <f>Codex_sources!$M$7</f>
        <v/>
      </c>
      <c r="J63" s="0">
        <f>Codex_sources!$M$7</f>
        <v/>
      </c>
      <c r="K63" s="0">
        <f>Codex_sources!$M$7</f>
        <v/>
      </c>
      <c r="L63" s="0">
        <f>Codex_sources!$M$7</f>
        <v/>
      </c>
      <c r="M63" s="0">
        <f>Codex_sources!$M$7</f>
        <v/>
      </c>
      <c r="N63" s="0">
        <f>Codex_sources!$M$7</f>
        <v/>
      </c>
      <c r="O63" s="0">
        <f>Codex_sources!$M$7</f>
        <v/>
      </c>
      <c r="P63" s="0">
        <f>Codex_sources!$M$7</f>
        <v/>
      </c>
      <c r="Q63" s="0">
        <f>Codex_sources!$M$7</f>
        <v/>
      </c>
      <c r="R63" s="0">
        <f>Codex_sources!$M$7</f>
        <v/>
      </c>
      <c r="S63" s="0">
        <f>Codex_sources!$M$7</f>
        <v/>
      </c>
      <c r="T63" s="0">
        <f>Codex_sources!$M$7</f>
        <v/>
      </c>
      <c r="U63" s="0">
        <f>Codex_sources!$M$7</f>
        <v/>
      </c>
      <c r="V63" s="0">
        <f>Codex_sources!$M$7</f>
        <v/>
      </c>
      <c r="W63" s="0">
        <f>Codex_sources!$M$7</f>
        <v/>
      </c>
      <c r="X63" s="0">
        <f>Codex_sources!$M$7</f>
        <v/>
      </c>
      <c r="Y63" s="0">
        <f>Codex_sources!$M$7</f>
        <v/>
      </c>
      <c r="Z63" s="0">
        <f>Codex_sources!$M$7</f>
        <v/>
      </c>
      <c r="AA63" s="0">
        <f>Codex_sources!$M$7</f>
        <v/>
      </c>
      <c r="AB63" s="0">
        <f>Codex_sources!$M$7</f>
        <v/>
      </c>
      <c r="AC63" s="0">
        <f>Codex_sources!$M$7</f>
        <v/>
      </c>
      <c r="AD63" s="0">
        <f>Codex_sources!$M$7</f>
        <v/>
      </c>
      <c r="AE63" s="0">
        <f>Codex_sources!$M$7</f>
        <v/>
      </c>
      <c r="AF63" s="0">
        <f>Codex_sources!$M$7</f>
        <v/>
      </c>
      <c r="AG63" s="0">
        <f>Codex_sources!$M$7</f>
        <v/>
      </c>
      <c r="AH63" s="0">
        <f>Codex_sources!$M$7</f>
        <v/>
      </c>
      <c r="AI63" s="0">
        <f>Codex_sources!$M$7</f>
        <v/>
      </c>
      <c r="AJ63" s="0">
        <f>Codex_sources!$M$7</f>
        <v/>
      </c>
      <c r="AK63" s="0">
        <f>Codex_sources!$M$7</f>
        <v/>
      </c>
      <c r="AL63" s="0">
        <f>Codex_sources!$M$7</f>
        <v/>
      </c>
      <c r="AM63" s="0">
        <f>Codex_sources!$M$7</f>
        <v/>
      </c>
      <c r="AN63" s="0">
        <f>Codex_sources!$M$7</f>
        <v/>
      </c>
      <c r="AO63" s="0">
        <f>AO62</f>
        <v/>
      </c>
    </row>
    <row r="64">
      <c r="C64" s="0" t="inlineStr">
        <is>
          <t>MINCoRSV2</t>
        </is>
      </c>
      <c r="D64" s="0" t="inlineStr">
        <is>
          <t>BNDACT</t>
        </is>
      </c>
      <c r="F64" s="0">
        <f>SUMIFS(Codex_USGS_raw!$D$2:$D$94,Codex_USGS_raw!$A$2:$A$94,Codex_sources!$A$7,Codex_USGS_raw!$C$2:$C$94,F$4)*Codex_sources!$D$7*2</f>
        <v/>
      </c>
      <c r="G64" s="0">
        <f>SUMIFS(Codex_USGS_raw!$D$2:$D$94,Codex_USGS_raw!$A$2:$A$94,Codex_sources!$A$7,Codex_USGS_raw!$C$2:$C$94,G$4)*Codex_sources!$D$7*2</f>
        <v/>
      </c>
      <c r="H64" s="0">
        <f>SUMIFS(Codex_USGS_raw!$D$2:$D$94,Codex_USGS_raw!$A$2:$A$94,Codex_sources!$A$7,Codex_USGS_raw!$C$2:$C$94,H$4)*Codex_sources!$D$7*2</f>
        <v/>
      </c>
      <c r="I64" s="0">
        <f>SUMIFS(Codex_USGS_raw!$D$2:$D$94,Codex_USGS_raw!$A$2:$A$94,Codex_sources!$A$7,Codex_USGS_raw!$C$2:$C$94,I$4)*Codex_sources!$D$7*2</f>
        <v/>
      </c>
      <c r="J64" s="0">
        <f>SUMIFS(Codex_USGS_raw!$D$2:$D$94,Codex_USGS_raw!$A$2:$A$94,Codex_sources!$A$7,Codex_USGS_raw!$C$2:$C$94,J$4)*Codex_sources!$D$7*2</f>
        <v/>
      </c>
      <c r="K64" s="0">
        <f>SUMIFS(Codex_USGS_raw!$D$2:$D$94,Codex_USGS_raw!$A$2:$A$94,Codex_sources!$A$7,Codex_USGS_raw!$C$2:$C$94,K$4)*Codex_sources!$D$7*2</f>
        <v/>
      </c>
      <c r="L64" s="0">
        <f>SUMIFS(Codex_USGS_raw!$D$2:$D$94,Codex_USGS_raw!$A$2:$A$94,Codex_sources!$A$7,Codex_USGS_raw!$C$2:$C$94,L$4)*Codex_sources!$D$7*2</f>
        <v/>
      </c>
      <c r="M64" s="0">
        <f>SUMIFS(Codex_USGS_raw!$D$2:$D$94,Codex_USGS_raw!$A$2:$A$94,Codex_sources!$A$7,Codex_USGS_raw!$C$2:$C$94,M$4)*Codex_sources!$D$7*2</f>
        <v/>
      </c>
      <c r="N64" s="0">
        <f>SUMIFS(Codex_USGS_raw!$D$2:$D$94,Codex_USGS_raw!$A$2:$A$94,Codex_sources!$A$7,Codex_USGS_raw!$C$2:$C$94,N$4)*Codex_sources!$D$7*2</f>
        <v/>
      </c>
      <c r="O64" s="0">
        <f>SUMIFS(Codex_USGS_raw!$D$2:$D$94,Codex_USGS_raw!$A$2:$A$94,Codex_sources!$A$7,Codex_USGS_raw!$C$2:$C$94,O$4)*Codex_sources!$D$7*2</f>
        <v/>
      </c>
      <c r="P64" s="0">
        <f>SUMIFS(Codex_USGS_raw!$D$2:$D$94,Codex_USGS_raw!$A$2:$A$94,Codex_sources!$A$7,Codex_USGS_raw!$C$2:$C$94,P$4)*Codex_sources!$D$7*2</f>
        <v/>
      </c>
      <c r="Q64" s="0">
        <f>SUMIFS(Codex_USGS_raw!$D$2:$D$94,Codex_USGS_raw!$A$2:$A$94,Codex_sources!$A$7,Codex_USGS_raw!$C$2:$C$94,Q$4)*Codex_sources!$D$7*2</f>
        <v/>
      </c>
      <c r="R64" s="0">
        <f>SUMIFS(Codex_USGS_raw!$D$2:$D$94,Codex_USGS_raw!$A$2:$A$94,Codex_sources!$A$7,Codex_USGS_raw!$C$2:$C$94,R$4)*Codex_sources!$D$7*2</f>
        <v/>
      </c>
      <c r="S64" s="0">
        <f>SUMIFS(Codex_USGS_raw!$D$2:$D$94,Codex_USGS_raw!$A$2:$A$94,Codex_sources!$A$7,Codex_USGS_raw!$C$2:$C$94,S$4)*Codex_sources!$D$7*2</f>
        <v/>
      </c>
      <c r="T64" s="0">
        <f>SUMIFS(Codex_USGS_raw!$D$2:$D$94,Codex_USGS_raw!$A$2:$A$94,Codex_sources!$A$7,Codex_USGS_raw!$C$2:$C$94,T$4)*Codex_sources!$D$7*2</f>
        <v/>
      </c>
      <c r="U64" s="0">
        <f>SUMIFS(Codex_USGS_raw!$D$2:$D$94,Codex_USGS_raw!$A$2:$A$94,Codex_sources!$A$7,Codex_USGS_raw!$C$2:$C$94,U$4)*Codex_sources!$D$7*2</f>
        <v/>
      </c>
      <c r="V64" s="0">
        <f>SUMIFS(Codex_USGS_raw!$D$2:$D$94,Codex_USGS_raw!$A$2:$A$94,Codex_sources!$A$7,Codex_USGS_raw!$C$2:$C$94,V$4)*Codex_sources!$D$7*2</f>
        <v/>
      </c>
      <c r="W64" s="0">
        <f>SUMIFS(Codex_USGS_raw!$D$2:$D$94,Codex_USGS_raw!$A$2:$A$94,Codex_sources!$A$7,Codex_USGS_raw!$C$2:$C$94,W$4)*Codex_sources!$D$7*2</f>
        <v/>
      </c>
      <c r="X64" s="0">
        <f>SUMIFS(Codex_USGS_raw!$D$2:$D$94,Codex_USGS_raw!$A$2:$A$94,Codex_sources!$A$7,Codex_USGS_raw!$C$2:$C$94,X$4)*Codex_sources!$D$7*2</f>
        <v/>
      </c>
      <c r="Y64" s="0">
        <f>SUMIFS(Codex_USGS_raw!$D$2:$D$94,Codex_USGS_raw!$A$2:$A$94,Codex_sources!$A$7,Codex_USGS_raw!$C$2:$C$94,Y$4)*Codex_sources!$D$7*2</f>
        <v/>
      </c>
      <c r="Z64" s="0">
        <f>SUMIFS(Codex_USGS_raw!$D$2:$D$94,Codex_USGS_raw!$A$2:$A$94,Codex_sources!$A$7,Codex_USGS_raw!$C$2:$C$94,Z$4)*Codex_sources!$D$7*2</f>
        <v/>
      </c>
      <c r="AA64" s="0">
        <f>SUMIFS(Codex_USGS_raw!$D$2:$D$94,Codex_USGS_raw!$A$2:$A$94,Codex_sources!$A$7,Codex_USGS_raw!$C$2:$C$94,AA$4)*Codex_sources!$D$7*2</f>
        <v/>
      </c>
      <c r="AB64" s="0">
        <f>SUMIFS(Codex_USGS_raw!$D$2:$D$94,Codex_USGS_raw!$A$2:$A$94,Codex_sources!$A$7,Codex_USGS_raw!$C$2:$C$94,AB$4)*Codex_sources!$D$7*2</f>
        <v/>
      </c>
      <c r="AC64" s="0">
        <f>SUMIFS(Codex_USGS_raw!$D$2:$D$94,Codex_USGS_raw!$A$2:$A$94,Codex_sources!$A$7,Codex_USGS_raw!$C$2:$C$94,AC$4)*Codex_sources!$D$7*2</f>
        <v/>
      </c>
      <c r="AD64" s="0">
        <f>SUMIFS(Codex_USGS_raw!$D$2:$D$94,Codex_USGS_raw!$A$2:$A$94,Codex_sources!$A$7,Codex_USGS_raw!$C$2:$C$94,AD$4)*Codex_sources!$D$7*2</f>
        <v/>
      </c>
      <c r="AE64" s="0">
        <f>SUMIFS(Codex_USGS_raw!$D$2:$D$94,Codex_USGS_raw!$A$2:$A$94,Codex_sources!$A$7,Codex_USGS_raw!$C$2:$C$94,AE$4)*Codex_sources!$D$7*2</f>
        <v/>
      </c>
      <c r="AF64" s="0">
        <f>SUMIFS(Codex_USGS_raw!$D$2:$D$94,Codex_USGS_raw!$A$2:$A$94,Codex_sources!$A$7,Codex_USGS_raw!$C$2:$C$94,AF$4)*Codex_sources!$D$7*2</f>
        <v/>
      </c>
      <c r="AG64" s="0">
        <f>SUMIFS(Codex_USGS_raw!$D$2:$D$94,Codex_USGS_raw!$A$2:$A$94,Codex_sources!$A$7,Codex_USGS_raw!$C$2:$C$94,AG$4)*Codex_sources!$D$7*2</f>
        <v/>
      </c>
      <c r="AH64" s="0">
        <f>SUMIFS(Codex_USGS_raw!$D$2:$D$94,Codex_USGS_raw!$A$2:$A$94,Codex_sources!$A$7,Codex_USGS_raw!$C$2:$C$94,AH$4)*Codex_sources!$D$7*2</f>
        <v/>
      </c>
      <c r="AI64" s="0">
        <f>SUMIFS(Codex_USGS_raw!$D$2:$D$94,Codex_USGS_raw!$A$2:$A$94,Codex_sources!$A$7,Codex_USGS_raw!$C$2:$C$94,AI$4)*Codex_sources!$D$7*2</f>
        <v/>
      </c>
      <c r="AJ64" s="0">
        <f>SUMIFS(Codex_USGS_raw!$D$2:$D$94,Codex_USGS_raw!$A$2:$A$94,Codex_sources!$A$7,Codex_USGS_raw!$C$2:$C$94,AJ$4)*Codex_sources!$D$7*2</f>
        <v/>
      </c>
      <c r="AK64" s="0">
        <f>SUMIFS(Codex_USGS_raw!$D$2:$D$94,Codex_USGS_raw!$A$2:$A$94,Codex_sources!$A$7,Codex_USGS_raw!$C$2:$C$94,AK$4)*Codex_sources!$D$7*2</f>
        <v/>
      </c>
      <c r="AL64" s="0">
        <f>SUMIFS(Codex_USGS_raw!$D$2:$D$94,Codex_USGS_raw!$A$2:$A$94,Codex_sources!$A$7,Codex_USGS_raw!$C$2:$C$94,AL$4)*Codex_sources!$D$7*2</f>
        <v/>
      </c>
      <c r="AM64" s="0">
        <f>SUMIFS(Codex_USGS_raw!$D$2:$D$94,Codex_USGS_raw!$A$2:$A$94,Codex_sources!$A$7,Codex_USGS_raw!$C$2:$C$94,AM$4)*Codex_sources!$D$7*2</f>
        <v/>
      </c>
      <c r="AN64" s="0">
        <f>SUMIFS(Codex_USGS_raw!$D$2:$D$94,Codex_USGS_raw!$A$2:$A$94,Codex_sources!$A$7,Codex_USGS_raw!$C$2:$C$94,AN$4)*Codex_sources!$D$7*2</f>
        <v/>
      </c>
      <c r="AO64" s="0">
        <f>AO63</f>
        <v/>
      </c>
    </row>
    <row r="65">
      <c r="C65" s="0" t="inlineStr">
        <is>
          <t>MINCoRSV2</t>
        </is>
      </c>
      <c r="D65" s="0" t="inlineStr">
        <is>
          <t>CUM</t>
        </is>
      </c>
      <c r="F65" s="0">
        <f>SUMIFS(Codex_USGS_raw!$E$2:$E$94,Codex_USGS_raw!$A$2:$A$94,Codex_sources!$A$7,Codex_USGS_raw!$C$2:$C$94,F$4)*Codex_sources!$D$7*Codex_sources!$K$7</f>
        <v/>
      </c>
      <c r="G65" s="0">
        <f>SUMIFS(Codex_USGS_raw!$E$2:$E$94,Codex_USGS_raw!$A$2:$A$94,Codex_sources!$A$7,Codex_USGS_raw!$C$2:$C$94,G$4)*Codex_sources!$D$7*Codex_sources!$K$7</f>
        <v/>
      </c>
      <c r="H65" s="0">
        <f>SUMIFS(Codex_USGS_raw!$E$2:$E$94,Codex_USGS_raw!$A$2:$A$94,Codex_sources!$A$7,Codex_USGS_raw!$C$2:$C$94,H$4)*Codex_sources!$D$7*Codex_sources!$K$7</f>
        <v/>
      </c>
      <c r="I65" s="0">
        <f>SUMIFS(Codex_USGS_raw!$E$2:$E$94,Codex_USGS_raw!$A$2:$A$94,Codex_sources!$A$7,Codex_USGS_raw!$C$2:$C$94,I$4)*Codex_sources!$D$7*Codex_sources!$K$7</f>
        <v/>
      </c>
      <c r="J65" s="0">
        <f>SUMIFS(Codex_USGS_raw!$E$2:$E$94,Codex_USGS_raw!$A$2:$A$94,Codex_sources!$A$7,Codex_USGS_raw!$C$2:$C$94,J$4)*Codex_sources!$D$7*Codex_sources!$K$7</f>
        <v/>
      </c>
      <c r="K65" s="0">
        <f>SUMIFS(Codex_USGS_raw!$E$2:$E$94,Codex_USGS_raw!$A$2:$A$94,Codex_sources!$A$7,Codex_USGS_raw!$C$2:$C$94,K$4)*Codex_sources!$D$7*Codex_sources!$K$7</f>
        <v/>
      </c>
      <c r="L65" s="0">
        <f>SUMIFS(Codex_USGS_raw!$E$2:$E$94,Codex_USGS_raw!$A$2:$A$94,Codex_sources!$A$7,Codex_USGS_raw!$C$2:$C$94,L$4)*Codex_sources!$D$7*Codex_sources!$K$7</f>
        <v/>
      </c>
      <c r="M65" s="0">
        <f>SUMIFS(Codex_USGS_raw!$E$2:$E$94,Codex_USGS_raw!$A$2:$A$94,Codex_sources!$A$7,Codex_USGS_raw!$C$2:$C$94,M$4)*Codex_sources!$D$7*Codex_sources!$K$7</f>
        <v/>
      </c>
      <c r="N65" s="0">
        <f>SUMIFS(Codex_USGS_raw!$E$2:$E$94,Codex_USGS_raw!$A$2:$A$94,Codex_sources!$A$7,Codex_USGS_raw!$C$2:$C$94,N$4)*Codex_sources!$D$7*Codex_sources!$K$7</f>
        <v/>
      </c>
      <c r="O65" s="0">
        <f>SUMIFS(Codex_USGS_raw!$E$2:$E$94,Codex_USGS_raw!$A$2:$A$94,Codex_sources!$A$7,Codex_USGS_raw!$C$2:$C$94,O$4)*Codex_sources!$D$7*Codex_sources!$K$7</f>
        <v/>
      </c>
      <c r="P65" s="0">
        <f>SUMIFS(Codex_USGS_raw!$E$2:$E$94,Codex_USGS_raw!$A$2:$A$94,Codex_sources!$A$7,Codex_USGS_raw!$C$2:$C$94,P$4)*Codex_sources!$D$7*Codex_sources!$K$7</f>
        <v/>
      </c>
      <c r="Q65" s="0">
        <f>SUMIFS(Codex_USGS_raw!$E$2:$E$94,Codex_USGS_raw!$A$2:$A$94,Codex_sources!$A$7,Codex_USGS_raw!$C$2:$C$94,Q$4)*Codex_sources!$D$7*Codex_sources!$K$7</f>
        <v/>
      </c>
      <c r="R65" s="0">
        <f>SUMIFS(Codex_USGS_raw!$E$2:$E$94,Codex_USGS_raw!$A$2:$A$94,Codex_sources!$A$7,Codex_USGS_raw!$C$2:$C$94,R$4)*Codex_sources!$D$7*Codex_sources!$K$7</f>
        <v/>
      </c>
      <c r="S65" s="0">
        <f>SUMIFS(Codex_USGS_raw!$E$2:$E$94,Codex_USGS_raw!$A$2:$A$94,Codex_sources!$A$7,Codex_USGS_raw!$C$2:$C$94,S$4)*Codex_sources!$D$7*Codex_sources!$K$7</f>
        <v/>
      </c>
      <c r="T65" s="0">
        <f>SUMIFS(Codex_USGS_raw!$E$2:$E$94,Codex_USGS_raw!$A$2:$A$94,Codex_sources!$A$7,Codex_USGS_raw!$C$2:$C$94,T$4)*Codex_sources!$D$7*Codex_sources!$K$7</f>
        <v/>
      </c>
      <c r="U65" s="0">
        <f>SUMIFS(Codex_USGS_raw!$E$2:$E$94,Codex_USGS_raw!$A$2:$A$94,Codex_sources!$A$7,Codex_USGS_raw!$C$2:$C$94,U$4)*Codex_sources!$D$7*Codex_sources!$K$7</f>
        <v/>
      </c>
      <c r="V65" s="0">
        <f>SUMIFS(Codex_USGS_raw!$E$2:$E$94,Codex_USGS_raw!$A$2:$A$94,Codex_sources!$A$7,Codex_USGS_raw!$C$2:$C$94,V$4)*Codex_sources!$D$7*Codex_sources!$K$7</f>
        <v/>
      </c>
      <c r="W65" s="0">
        <f>SUMIFS(Codex_USGS_raw!$E$2:$E$94,Codex_USGS_raw!$A$2:$A$94,Codex_sources!$A$7,Codex_USGS_raw!$C$2:$C$94,W$4)*Codex_sources!$D$7*Codex_sources!$K$7</f>
        <v/>
      </c>
      <c r="X65" s="0">
        <f>SUMIFS(Codex_USGS_raw!$E$2:$E$94,Codex_USGS_raw!$A$2:$A$94,Codex_sources!$A$7,Codex_USGS_raw!$C$2:$C$94,X$4)*Codex_sources!$D$7*Codex_sources!$K$7</f>
        <v/>
      </c>
      <c r="Y65" s="0">
        <f>SUMIFS(Codex_USGS_raw!$E$2:$E$94,Codex_USGS_raw!$A$2:$A$94,Codex_sources!$A$7,Codex_USGS_raw!$C$2:$C$94,Y$4)*Codex_sources!$D$7*Codex_sources!$K$7</f>
        <v/>
      </c>
      <c r="Z65" s="0">
        <f>SUMIFS(Codex_USGS_raw!$E$2:$E$94,Codex_USGS_raw!$A$2:$A$94,Codex_sources!$A$7,Codex_USGS_raw!$C$2:$C$94,Z$4)*Codex_sources!$D$7*Codex_sources!$K$7</f>
        <v/>
      </c>
      <c r="AA65" s="0">
        <f>SUMIFS(Codex_USGS_raw!$E$2:$E$94,Codex_USGS_raw!$A$2:$A$94,Codex_sources!$A$7,Codex_USGS_raw!$C$2:$C$94,AA$4)*Codex_sources!$D$7*Codex_sources!$K$7</f>
        <v/>
      </c>
      <c r="AB65" s="0">
        <f>SUMIFS(Codex_USGS_raw!$E$2:$E$94,Codex_USGS_raw!$A$2:$A$94,Codex_sources!$A$7,Codex_USGS_raw!$C$2:$C$94,AB$4)*Codex_sources!$D$7*Codex_sources!$K$7</f>
        <v/>
      </c>
      <c r="AC65" s="0">
        <f>SUMIFS(Codex_USGS_raw!$E$2:$E$94,Codex_USGS_raw!$A$2:$A$94,Codex_sources!$A$7,Codex_USGS_raw!$C$2:$C$94,AC$4)*Codex_sources!$D$7*Codex_sources!$K$7</f>
        <v/>
      </c>
      <c r="AD65" s="0">
        <f>SUMIFS(Codex_USGS_raw!$E$2:$E$94,Codex_USGS_raw!$A$2:$A$94,Codex_sources!$A$7,Codex_USGS_raw!$C$2:$C$94,AD$4)*Codex_sources!$D$7*Codex_sources!$K$7</f>
        <v/>
      </c>
      <c r="AE65" s="0">
        <f>SUMIFS(Codex_USGS_raw!$E$2:$E$94,Codex_USGS_raw!$A$2:$A$94,Codex_sources!$A$7,Codex_USGS_raw!$C$2:$C$94,AE$4)*Codex_sources!$D$7*Codex_sources!$K$7</f>
        <v/>
      </c>
      <c r="AF65" s="0">
        <f>SUMIFS(Codex_USGS_raw!$E$2:$E$94,Codex_USGS_raw!$A$2:$A$94,Codex_sources!$A$7,Codex_USGS_raw!$C$2:$C$94,AF$4)*Codex_sources!$D$7*Codex_sources!$K$7</f>
        <v/>
      </c>
      <c r="AG65" s="0">
        <f>SUMIFS(Codex_USGS_raw!$E$2:$E$94,Codex_USGS_raw!$A$2:$A$94,Codex_sources!$A$7,Codex_USGS_raw!$C$2:$C$94,AG$4)*Codex_sources!$D$7*Codex_sources!$K$7</f>
        <v/>
      </c>
      <c r="AH65" s="0">
        <f>SUMIFS(Codex_USGS_raw!$E$2:$E$94,Codex_USGS_raw!$A$2:$A$94,Codex_sources!$A$7,Codex_USGS_raw!$C$2:$C$94,AH$4)*Codex_sources!$D$7*Codex_sources!$K$7</f>
        <v/>
      </c>
      <c r="AI65" s="0">
        <f>SUMIFS(Codex_USGS_raw!$E$2:$E$94,Codex_USGS_raw!$A$2:$A$94,Codex_sources!$A$7,Codex_USGS_raw!$C$2:$C$94,AI$4)*Codex_sources!$D$7*Codex_sources!$K$7</f>
        <v/>
      </c>
      <c r="AJ65" s="0">
        <f>SUMIFS(Codex_USGS_raw!$E$2:$E$94,Codex_USGS_raw!$A$2:$A$94,Codex_sources!$A$7,Codex_USGS_raw!$C$2:$C$94,AJ$4)*Codex_sources!$D$7*Codex_sources!$K$7</f>
        <v/>
      </c>
      <c r="AK65" s="0">
        <f>SUMIFS(Codex_USGS_raw!$E$2:$E$94,Codex_USGS_raw!$A$2:$A$94,Codex_sources!$A$7,Codex_USGS_raw!$C$2:$C$94,AK$4)*Codex_sources!$D$7*Codex_sources!$K$7</f>
        <v/>
      </c>
      <c r="AL65" s="0">
        <f>SUMIFS(Codex_USGS_raw!$E$2:$E$94,Codex_USGS_raw!$A$2:$A$94,Codex_sources!$A$7,Codex_USGS_raw!$C$2:$C$94,AL$4)*Codex_sources!$D$7*Codex_sources!$K$7</f>
        <v/>
      </c>
      <c r="AM65" s="0">
        <f>SUMIFS(Codex_USGS_raw!$E$2:$E$94,Codex_USGS_raw!$A$2:$A$94,Codex_sources!$A$7,Codex_USGS_raw!$C$2:$C$94,AM$4)*Codex_sources!$D$7*Codex_sources!$K$7</f>
        <v/>
      </c>
      <c r="AN65" s="0">
        <f>SUMIFS(Codex_USGS_raw!$E$2:$E$94,Codex_USGS_raw!$A$2:$A$94,Codex_sources!$A$7,Codex_USGS_raw!$C$2:$C$94,AN$4)*Codex_sources!$D$7*Codex_sources!$K$7</f>
        <v/>
      </c>
      <c r="AO65" s="0">
        <f>AO64</f>
        <v/>
      </c>
    </row>
    <row r="66">
      <c r="C66" s="0" t="inlineStr">
        <is>
          <t>MINCoRSV2</t>
        </is>
      </c>
      <c r="D66" s="0" t="inlineStr">
        <is>
          <t>COST</t>
        </is>
      </c>
      <c r="E66" s="0" t="inlineStr">
        <is>
          <t>m_cobalt</t>
        </is>
      </c>
      <c r="F66" s="0">
        <f>Codex_sources!$N$7</f>
        <v/>
      </c>
      <c r="G66" s="0">
        <f>Codex_sources!$N$7</f>
        <v/>
      </c>
      <c r="H66" s="0">
        <f>Codex_sources!$N$7</f>
        <v/>
      </c>
      <c r="I66" s="0">
        <f>Codex_sources!$N$7</f>
        <v/>
      </c>
      <c r="J66" s="0">
        <f>Codex_sources!$N$7</f>
        <v/>
      </c>
      <c r="K66" s="0">
        <f>Codex_sources!$N$7</f>
        <v/>
      </c>
      <c r="L66" s="0">
        <f>Codex_sources!$N$7</f>
        <v/>
      </c>
      <c r="M66" s="0">
        <f>Codex_sources!$N$7</f>
        <v/>
      </c>
      <c r="N66" s="0">
        <f>Codex_sources!$N$7</f>
        <v/>
      </c>
      <c r="O66" s="0">
        <f>Codex_sources!$N$7</f>
        <v/>
      </c>
      <c r="P66" s="0">
        <f>Codex_sources!$N$7</f>
        <v/>
      </c>
      <c r="Q66" s="0">
        <f>Codex_sources!$N$7</f>
        <v/>
      </c>
      <c r="R66" s="0">
        <f>Codex_sources!$N$7</f>
        <v/>
      </c>
      <c r="S66" s="0">
        <f>Codex_sources!$N$7</f>
        <v/>
      </c>
      <c r="T66" s="0">
        <f>Codex_sources!$N$7</f>
        <v/>
      </c>
      <c r="U66" s="0">
        <f>Codex_sources!$N$7</f>
        <v/>
      </c>
      <c r="V66" s="0">
        <f>Codex_sources!$N$7</f>
        <v/>
      </c>
      <c r="W66" s="0">
        <f>Codex_sources!$N$7</f>
        <v/>
      </c>
      <c r="X66" s="0">
        <f>Codex_sources!$N$7</f>
        <v/>
      </c>
      <c r="Y66" s="0">
        <f>Codex_sources!$N$7</f>
        <v/>
      </c>
      <c r="Z66" s="0">
        <f>Codex_sources!$N$7</f>
        <v/>
      </c>
      <c r="AA66" s="0">
        <f>Codex_sources!$N$7</f>
        <v/>
      </c>
      <c r="AB66" s="0">
        <f>Codex_sources!$N$7</f>
        <v/>
      </c>
      <c r="AC66" s="0">
        <f>Codex_sources!$N$7</f>
        <v/>
      </c>
      <c r="AD66" s="0">
        <f>Codex_sources!$N$7</f>
        <v/>
      </c>
      <c r="AE66" s="0">
        <f>Codex_sources!$N$7</f>
        <v/>
      </c>
      <c r="AF66" s="0">
        <f>Codex_sources!$N$7</f>
        <v/>
      </c>
      <c r="AG66" s="0">
        <f>Codex_sources!$N$7</f>
        <v/>
      </c>
      <c r="AH66" s="0">
        <f>Codex_sources!$N$7</f>
        <v/>
      </c>
      <c r="AI66" s="0">
        <f>Codex_sources!$N$7</f>
        <v/>
      </c>
      <c r="AJ66" s="0">
        <f>Codex_sources!$N$7</f>
        <v/>
      </c>
      <c r="AK66" s="0">
        <f>Codex_sources!$N$7</f>
        <v/>
      </c>
      <c r="AL66" s="0">
        <f>Codex_sources!$N$7</f>
        <v/>
      </c>
      <c r="AM66" s="0">
        <f>Codex_sources!$N$7</f>
        <v/>
      </c>
      <c r="AN66" s="0">
        <f>Codex_sources!$N$7</f>
        <v/>
      </c>
      <c r="AO66" s="0">
        <f>AO65</f>
        <v/>
      </c>
    </row>
    <row r="67">
      <c r="C67" s="0" t="inlineStr">
        <is>
          <t>MINCoRSV3</t>
        </is>
      </c>
      <c r="D67" s="0" t="inlineStr">
        <is>
          <t>BNDACT</t>
        </is>
      </c>
      <c r="AO67" s="0">
        <f>AO66</f>
        <v/>
      </c>
    </row>
    <row r="68">
      <c r="C68" s="0" t="inlineStr">
        <is>
          <t>MINCoRSV3</t>
        </is>
      </c>
      <c r="D68" s="0" t="inlineStr">
        <is>
          <t>CUM</t>
        </is>
      </c>
      <c r="F68" s="0">
        <f>SUMIFS(Codex_USGS_raw!$E$2:$E$94,Codex_USGS_raw!$A$2:$A$94,Codex_sources!$A$7,Codex_USGS_raw!$C$2:$C$94,F$4)*Codex_sources!$D$7*Codex_sources!$L$7</f>
        <v/>
      </c>
      <c r="G68" s="0">
        <f>SUMIFS(Codex_USGS_raw!$E$2:$E$94,Codex_USGS_raw!$A$2:$A$94,Codex_sources!$A$7,Codex_USGS_raw!$C$2:$C$94,G$4)*Codex_sources!$D$7*Codex_sources!$L$7</f>
        <v/>
      </c>
      <c r="H68" s="0">
        <f>SUMIFS(Codex_USGS_raw!$E$2:$E$94,Codex_USGS_raw!$A$2:$A$94,Codex_sources!$A$7,Codex_USGS_raw!$C$2:$C$94,H$4)*Codex_sources!$D$7*Codex_sources!$L$7</f>
        <v/>
      </c>
      <c r="I68" s="0">
        <f>SUMIFS(Codex_USGS_raw!$E$2:$E$94,Codex_USGS_raw!$A$2:$A$94,Codex_sources!$A$7,Codex_USGS_raw!$C$2:$C$94,I$4)*Codex_sources!$D$7*Codex_sources!$L$7</f>
        <v/>
      </c>
      <c r="J68" s="0">
        <f>SUMIFS(Codex_USGS_raw!$E$2:$E$94,Codex_USGS_raw!$A$2:$A$94,Codex_sources!$A$7,Codex_USGS_raw!$C$2:$C$94,J$4)*Codex_sources!$D$7*Codex_sources!$L$7</f>
        <v/>
      </c>
      <c r="K68" s="0">
        <f>SUMIFS(Codex_USGS_raw!$E$2:$E$94,Codex_USGS_raw!$A$2:$A$94,Codex_sources!$A$7,Codex_USGS_raw!$C$2:$C$94,K$4)*Codex_sources!$D$7*Codex_sources!$L$7</f>
        <v/>
      </c>
      <c r="L68" s="0">
        <f>SUMIFS(Codex_USGS_raw!$E$2:$E$94,Codex_USGS_raw!$A$2:$A$94,Codex_sources!$A$7,Codex_USGS_raw!$C$2:$C$94,L$4)*Codex_sources!$D$7*Codex_sources!$L$7</f>
        <v/>
      </c>
      <c r="M68" s="0">
        <f>SUMIFS(Codex_USGS_raw!$E$2:$E$94,Codex_USGS_raw!$A$2:$A$94,Codex_sources!$A$7,Codex_USGS_raw!$C$2:$C$94,M$4)*Codex_sources!$D$7*Codex_sources!$L$7</f>
        <v/>
      </c>
      <c r="N68" s="0">
        <f>SUMIFS(Codex_USGS_raw!$E$2:$E$94,Codex_USGS_raw!$A$2:$A$94,Codex_sources!$A$7,Codex_USGS_raw!$C$2:$C$94,N$4)*Codex_sources!$D$7*Codex_sources!$L$7</f>
        <v/>
      </c>
      <c r="O68" s="0">
        <f>SUMIFS(Codex_USGS_raw!$E$2:$E$94,Codex_USGS_raw!$A$2:$A$94,Codex_sources!$A$7,Codex_USGS_raw!$C$2:$C$94,O$4)*Codex_sources!$D$7*Codex_sources!$L$7</f>
        <v/>
      </c>
      <c r="P68" s="0">
        <f>SUMIFS(Codex_USGS_raw!$E$2:$E$94,Codex_USGS_raw!$A$2:$A$94,Codex_sources!$A$7,Codex_USGS_raw!$C$2:$C$94,P$4)*Codex_sources!$D$7*Codex_sources!$L$7</f>
        <v/>
      </c>
      <c r="Q68" s="0">
        <f>SUMIFS(Codex_USGS_raw!$E$2:$E$94,Codex_USGS_raw!$A$2:$A$94,Codex_sources!$A$7,Codex_USGS_raw!$C$2:$C$94,Q$4)*Codex_sources!$D$7*Codex_sources!$L$7</f>
        <v/>
      </c>
      <c r="R68" s="0">
        <f>SUMIFS(Codex_USGS_raw!$E$2:$E$94,Codex_USGS_raw!$A$2:$A$94,Codex_sources!$A$7,Codex_USGS_raw!$C$2:$C$94,R$4)*Codex_sources!$D$7*Codex_sources!$L$7</f>
        <v/>
      </c>
      <c r="S68" s="0">
        <f>SUMIFS(Codex_USGS_raw!$E$2:$E$94,Codex_USGS_raw!$A$2:$A$94,Codex_sources!$A$7,Codex_USGS_raw!$C$2:$C$94,S$4)*Codex_sources!$D$7*Codex_sources!$L$7</f>
        <v/>
      </c>
      <c r="T68" s="0">
        <f>SUMIFS(Codex_USGS_raw!$E$2:$E$94,Codex_USGS_raw!$A$2:$A$94,Codex_sources!$A$7,Codex_USGS_raw!$C$2:$C$94,T$4)*Codex_sources!$D$7*Codex_sources!$L$7</f>
        <v/>
      </c>
      <c r="U68" s="0">
        <f>SUMIFS(Codex_USGS_raw!$E$2:$E$94,Codex_USGS_raw!$A$2:$A$94,Codex_sources!$A$7,Codex_USGS_raw!$C$2:$C$94,U$4)*Codex_sources!$D$7*Codex_sources!$L$7</f>
        <v/>
      </c>
      <c r="V68" s="0">
        <f>SUMIFS(Codex_USGS_raw!$E$2:$E$94,Codex_USGS_raw!$A$2:$A$94,Codex_sources!$A$7,Codex_USGS_raw!$C$2:$C$94,V$4)*Codex_sources!$D$7*Codex_sources!$L$7</f>
        <v/>
      </c>
      <c r="W68" s="0">
        <f>SUMIFS(Codex_USGS_raw!$E$2:$E$94,Codex_USGS_raw!$A$2:$A$94,Codex_sources!$A$7,Codex_USGS_raw!$C$2:$C$94,W$4)*Codex_sources!$D$7*Codex_sources!$L$7</f>
        <v/>
      </c>
      <c r="X68" s="0">
        <f>SUMIFS(Codex_USGS_raw!$E$2:$E$94,Codex_USGS_raw!$A$2:$A$94,Codex_sources!$A$7,Codex_USGS_raw!$C$2:$C$94,X$4)*Codex_sources!$D$7*Codex_sources!$L$7</f>
        <v/>
      </c>
      <c r="Y68" s="0">
        <f>SUMIFS(Codex_USGS_raw!$E$2:$E$94,Codex_USGS_raw!$A$2:$A$94,Codex_sources!$A$7,Codex_USGS_raw!$C$2:$C$94,Y$4)*Codex_sources!$D$7*Codex_sources!$L$7</f>
        <v/>
      </c>
      <c r="Z68" s="0">
        <f>SUMIFS(Codex_USGS_raw!$E$2:$E$94,Codex_USGS_raw!$A$2:$A$94,Codex_sources!$A$7,Codex_USGS_raw!$C$2:$C$94,Z$4)*Codex_sources!$D$7*Codex_sources!$L$7</f>
        <v/>
      </c>
      <c r="AA68" s="0">
        <f>SUMIFS(Codex_USGS_raw!$E$2:$E$94,Codex_USGS_raw!$A$2:$A$94,Codex_sources!$A$7,Codex_USGS_raw!$C$2:$C$94,AA$4)*Codex_sources!$D$7*Codex_sources!$L$7</f>
        <v/>
      </c>
      <c r="AB68" s="0">
        <f>SUMIFS(Codex_USGS_raw!$E$2:$E$94,Codex_USGS_raw!$A$2:$A$94,Codex_sources!$A$7,Codex_USGS_raw!$C$2:$C$94,AB$4)*Codex_sources!$D$7*Codex_sources!$L$7</f>
        <v/>
      </c>
      <c r="AC68" s="0">
        <f>SUMIFS(Codex_USGS_raw!$E$2:$E$94,Codex_USGS_raw!$A$2:$A$94,Codex_sources!$A$7,Codex_USGS_raw!$C$2:$C$94,AC$4)*Codex_sources!$D$7*Codex_sources!$L$7</f>
        <v/>
      </c>
      <c r="AD68" s="0">
        <f>SUMIFS(Codex_USGS_raw!$E$2:$E$94,Codex_USGS_raw!$A$2:$A$94,Codex_sources!$A$7,Codex_USGS_raw!$C$2:$C$94,AD$4)*Codex_sources!$D$7*Codex_sources!$L$7</f>
        <v/>
      </c>
      <c r="AE68" s="0">
        <f>SUMIFS(Codex_USGS_raw!$E$2:$E$94,Codex_USGS_raw!$A$2:$A$94,Codex_sources!$A$7,Codex_USGS_raw!$C$2:$C$94,AE$4)*Codex_sources!$D$7*Codex_sources!$L$7</f>
        <v/>
      </c>
      <c r="AF68" s="0">
        <f>SUMIFS(Codex_USGS_raw!$E$2:$E$94,Codex_USGS_raw!$A$2:$A$94,Codex_sources!$A$7,Codex_USGS_raw!$C$2:$C$94,AF$4)*Codex_sources!$D$7*Codex_sources!$L$7</f>
        <v/>
      </c>
      <c r="AG68" s="0">
        <f>SUMIFS(Codex_USGS_raw!$E$2:$E$94,Codex_USGS_raw!$A$2:$A$94,Codex_sources!$A$7,Codex_USGS_raw!$C$2:$C$94,AG$4)*Codex_sources!$D$7*Codex_sources!$L$7</f>
        <v/>
      </c>
      <c r="AH68" s="0">
        <f>SUMIFS(Codex_USGS_raw!$E$2:$E$94,Codex_USGS_raw!$A$2:$A$94,Codex_sources!$A$7,Codex_USGS_raw!$C$2:$C$94,AH$4)*Codex_sources!$D$7*Codex_sources!$L$7</f>
        <v/>
      </c>
      <c r="AI68" s="0">
        <f>SUMIFS(Codex_USGS_raw!$E$2:$E$94,Codex_USGS_raw!$A$2:$A$94,Codex_sources!$A$7,Codex_USGS_raw!$C$2:$C$94,AI$4)*Codex_sources!$D$7*Codex_sources!$L$7</f>
        <v/>
      </c>
      <c r="AJ68" s="0">
        <f>SUMIFS(Codex_USGS_raw!$E$2:$E$94,Codex_USGS_raw!$A$2:$A$94,Codex_sources!$A$7,Codex_USGS_raw!$C$2:$C$94,AJ$4)*Codex_sources!$D$7*Codex_sources!$L$7</f>
        <v/>
      </c>
      <c r="AK68" s="0">
        <f>SUMIFS(Codex_USGS_raw!$E$2:$E$94,Codex_USGS_raw!$A$2:$A$94,Codex_sources!$A$7,Codex_USGS_raw!$C$2:$C$94,AK$4)*Codex_sources!$D$7*Codex_sources!$L$7</f>
        <v/>
      </c>
      <c r="AL68" s="0">
        <f>SUMIFS(Codex_USGS_raw!$E$2:$E$94,Codex_USGS_raw!$A$2:$A$94,Codex_sources!$A$7,Codex_USGS_raw!$C$2:$C$94,AL$4)*Codex_sources!$D$7*Codex_sources!$L$7</f>
        <v/>
      </c>
      <c r="AM68" s="0">
        <f>SUMIFS(Codex_USGS_raw!$E$2:$E$94,Codex_USGS_raw!$A$2:$A$94,Codex_sources!$A$7,Codex_USGS_raw!$C$2:$C$94,AM$4)*Codex_sources!$D$7*Codex_sources!$L$7</f>
        <v/>
      </c>
      <c r="AN68" s="0">
        <f>SUMIFS(Codex_USGS_raw!$E$2:$E$94,Codex_USGS_raw!$A$2:$A$94,Codex_sources!$A$7,Codex_USGS_raw!$C$2:$C$94,AN$4)*Codex_sources!$D$7*Codex_sources!$L$7</f>
        <v/>
      </c>
      <c r="AO68" s="0">
        <f>AO67</f>
        <v/>
      </c>
    </row>
    <row r="69">
      <c r="C69" s="0" t="inlineStr">
        <is>
          <t>MINCoRSV3</t>
        </is>
      </c>
      <c r="D69" s="0" t="inlineStr">
        <is>
          <t>COST</t>
        </is>
      </c>
      <c r="E69" s="0" t="inlineStr">
        <is>
          <t>m_cobalt</t>
        </is>
      </c>
      <c r="F69" s="0">
        <f>Codex_sources!$O$7</f>
        <v/>
      </c>
      <c r="G69" s="0">
        <f>Codex_sources!$O$7</f>
        <v/>
      </c>
      <c r="H69" s="0">
        <f>Codex_sources!$O$7</f>
        <v/>
      </c>
      <c r="I69" s="0">
        <f>Codex_sources!$O$7</f>
        <v/>
      </c>
      <c r="J69" s="0">
        <f>Codex_sources!$O$7</f>
        <v/>
      </c>
      <c r="K69" s="0">
        <f>Codex_sources!$O$7</f>
        <v/>
      </c>
      <c r="L69" s="0">
        <f>Codex_sources!$O$7</f>
        <v/>
      </c>
      <c r="M69" s="0">
        <f>Codex_sources!$O$7</f>
        <v/>
      </c>
      <c r="N69" s="0">
        <f>Codex_sources!$O$7</f>
        <v/>
      </c>
      <c r="O69" s="0">
        <f>Codex_sources!$O$7</f>
        <v/>
      </c>
      <c r="P69" s="0">
        <f>Codex_sources!$O$7</f>
        <v/>
      </c>
      <c r="Q69" s="0">
        <f>Codex_sources!$O$7</f>
        <v/>
      </c>
      <c r="R69" s="0">
        <f>Codex_sources!$O$7</f>
        <v/>
      </c>
      <c r="S69" s="0">
        <f>Codex_sources!$O$7</f>
        <v/>
      </c>
      <c r="T69" s="0">
        <f>Codex_sources!$O$7</f>
        <v/>
      </c>
      <c r="U69" s="0">
        <f>Codex_sources!$O$7</f>
        <v/>
      </c>
      <c r="V69" s="0">
        <f>Codex_sources!$O$7</f>
        <v/>
      </c>
      <c r="W69" s="0">
        <f>Codex_sources!$O$7</f>
        <v/>
      </c>
      <c r="X69" s="0">
        <f>Codex_sources!$O$7</f>
        <v/>
      </c>
      <c r="Y69" s="0">
        <f>Codex_sources!$O$7</f>
        <v/>
      </c>
      <c r="Z69" s="0">
        <f>Codex_sources!$O$7</f>
        <v/>
      </c>
      <c r="AA69" s="0">
        <f>Codex_sources!$O$7</f>
        <v/>
      </c>
      <c r="AB69" s="0">
        <f>Codex_sources!$O$7</f>
        <v/>
      </c>
      <c r="AC69" s="0">
        <f>Codex_sources!$O$7</f>
        <v/>
      </c>
      <c r="AD69" s="0">
        <f>Codex_sources!$O$7</f>
        <v/>
      </c>
      <c r="AE69" s="0">
        <f>Codex_sources!$O$7</f>
        <v/>
      </c>
      <c r="AF69" s="0">
        <f>Codex_sources!$O$7</f>
        <v/>
      </c>
      <c r="AG69" s="0">
        <f>Codex_sources!$O$7</f>
        <v/>
      </c>
      <c r="AH69" s="0">
        <f>Codex_sources!$O$7</f>
        <v/>
      </c>
      <c r="AI69" s="0">
        <f>Codex_sources!$O$7</f>
        <v/>
      </c>
      <c r="AJ69" s="0">
        <f>Codex_sources!$O$7</f>
        <v/>
      </c>
      <c r="AK69" s="0">
        <f>Codex_sources!$O$7</f>
        <v/>
      </c>
      <c r="AL69" s="0">
        <f>Codex_sources!$O$7</f>
        <v/>
      </c>
      <c r="AM69" s="0">
        <f>Codex_sources!$O$7</f>
        <v/>
      </c>
      <c r="AN69" s="0">
        <f>Codex_sources!$O$7</f>
        <v/>
      </c>
      <c r="AO69" s="0">
        <f>AO68</f>
        <v/>
      </c>
    </row>
    <row r="70">
      <c r="AO70" s="0">
        <f>AO69</f>
        <v/>
      </c>
    </row>
    <row r="71">
      <c r="C71" s="0" t="inlineStr">
        <is>
          <t>MINMnRSV1</t>
        </is>
      </c>
      <c r="D71" s="0" t="inlineStr">
        <is>
          <t>BNDACT</t>
        </is>
      </c>
      <c r="F71" s="0">
        <f>SUMIFS(Codex_USGS_raw!$D$2:$D$94,Codex_USGS_raw!$A$2:$A$94,Codex_sources!$A$8,Codex_USGS_raw!$C$2:$C$94,F$4)*Codex_sources!$D$8*1</f>
        <v/>
      </c>
      <c r="G71" s="0">
        <f>SUMIFS(Codex_USGS_raw!$D$2:$D$94,Codex_USGS_raw!$A$2:$A$94,Codex_sources!$A$8,Codex_USGS_raw!$C$2:$C$94,G$4)*Codex_sources!$D$8*1</f>
        <v/>
      </c>
      <c r="H71" s="0">
        <f>SUMIFS(Codex_USGS_raw!$D$2:$D$94,Codex_USGS_raw!$A$2:$A$94,Codex_sources!$A$8,Codex_USGS_raw!$C$2:$C$94,H$4)*Codex_sources!$D$8*1</f>
        <v/>
      </c>
      <c r="I71" s="0">
        <f>SUMIFS(Codex_USGS_raw!$D$2:$D$94,Codex_USGS_raw!$A$2:$A$94,Codex_sources!$A$8,Codex_USGS_raw!$C$2:$C$94,I$4)*Codex_sources!$D$8*1</f>
        <v/>
      </c>
      <c r="J71" s="0">
        <f>SUMIFS(Codex_USGS_raw!$D$2:$D$94,Codex_USGS_raw!$A$2:$A$94,Codex_sources!$A$8,Codex_USGS_raw!$C$2:$C$94,J$4)*Codex_sources!$D$8*1</f>
        <v/>
      </c>
      <c r="K71" s="0">
        <f>SUMIFS(Codex_USGS_raw!$D$2:$D$94,Codex_USGS_raw!$A$2:$A$94,Codex_sources!$A$8,Codex_USGS_raw!$C$2:$C$94,K$4)*Codex_sources!$D$8*1</f>
        <v/>
      </c>
      <c r="L71" s="0">
        <f>SUMIFS(Codex_USGS_raw!$D$2:$D$94,Codex_USGS_raw!$A$2:$A$94,Codex_sources!$A$8,Codex_USGS_raw!$C$2:$C$94,L$4)*Codex_sources!$D$8*1</f>
        <v/>
      </c>
      <c r="M71" s="0">
        <f>SUMIFS(Codex_USGS_raw!$D$2:$D$94,Codex_USGS_raw!$A$2:$A$94,Codex_sources!$A$8,Codex_USGS_raw!$C$2:$C$94,M$4)*Codex_sources!$D$8*1</f>
        <v/>
      </c>
      <c r="N71" s="0">
        <f>SUMIFS(Codex_USGS_raw!$D$2:$D$94,Codex_USGS_raw!$A$2:$A$94,Codex_sources!$A$8,Codex_USGS_raw!$C$2:$C$94,N$4)*Codex_sources!$D$8*1</f>
        <v/>
      </c>
      <c r="O71" s="0">
        <f>SUMIFS(Codex_USGS_raw!$D$2:$D$94,Codex_USGS_raw!$A$2:$A$94,Codex_sources!$A$8,Codex_USGS_raw!$C$2:$C$94,O$4)*Codex_sources!$D$8*1</f>
        <v/>
      </c>
      <c r="P71" s="0">
        <f>SUMIFS(Codex_USGS_raw!$D$2:$D$94,Codex_USGS_raw!$A$2:$A$94,Codex_sources!$A$8,Codex_USGS_raw!$C$2:$C$94,P$4)*Codex_sources!$D$8*1</f>
        <v/>
      </c>
      <c r="Q71" s="0">
        <f>SUMIFS(Codex_USGS_raw!$D$2:$D$94,Codex_USGS_raw!$A$2:$A$94,Codex_sources!$A$8,Codex_USGS_raw!$C$2:$C$94,Q$4)*Codex_sources!$D$8*1</f>
        <v/>
      </c>
      <c r="R71" s="0">
        <f>SUMIFS(Codex_USGS_raw!$D$2:$D$94,Codex_USGS_raw!$A$2:$A$94,Codex_sources!$A$8,Codex_USGS_raw!$C$2:$C$94,R$4)*Codex_sources!$D$8*1</f>
        <v/>
      </c>
      <c r="S71" s="0">
        <f>SUMIFS(Codex_USGS_raw!$D$2:$D$94,Codex_USGS_raw!$A$2:$A$94,Codex_sources!$A$8,Codex_USGS_raw!$C$2:$C$94,S$4)*Codex_sources!$D$8*1</f>
        <v/>
      </c>
      <c r="T71" s="0">
        <f>SUMIFS(Codex_USGS_raw!$D$2:$D$94,Codex_USGS_raw!$A$2:$A$94,Codex_sources!$A$8,Codex_USGS_raw!$C$2:$C$94,T$4)*Codex_sources!$D$8*1</f>
        <v/>
      </c>
      <c r="U71" s="0">
        <f>SUMIFS(Codex_USGS_raw!$D$2:$D$94,Codex_USGS_raw!$A$2:$A$94,Codex_sources!$A$8,Codex_USGS_raw!$C$2:$C$94,U$4)*Codex_sources!$D$8*1</f>
        <v/>
      </c>
      <c r="V71" s="0">
        <f>SUMIFS(Codex_USGS_raw!$D$2:$D$94,Codex_USGS_raw!$A$2:$A$94,Codex_sources!$A$8,Codex_USGS_raw!$C$2:$C$94,V$4)*Codex_sources!$D$8*1</f>
        <v/>
      </c>
      <c r="W71" s="0">
        <f>SUMIFS(Codex_USGS_raw!$D$2:$D$94,Codex_USGS_raw!$A$2:$A$94,Codex_sources!$A$8,Codex_USGS_raw!$C$2:$C$94,W$4)*Codex_sources!$D$8*1</f>
        <v/>
      </c>
      <c r="X71" s="0">
        <f>SUMIFS(Codex_USGS_raw!$D$2:$D$94,Codex_USGS_raw!$A$2:$A$94,Codex_sources!$A$8,Codex_USGS_raw!$C$2:$C$94,X$4)*Codex_sources!$D$8*1</f>
        <v/>
      </c>
      <c r="Y71" s="0">
        <f>SUMIFS(Codex_USGS_raw!$D$2:$D$94,Codex_USGS_raw!$A$2:$A$94,Codex_sources!$A$8,Codex_USGS_raw!$C$2:$C$94,Y$4)*Codex_sources!$D$8*1</f>
        <v/>
      </c>
      <c r="Z71" s="0">
        <f>SUMIFS(Codex_USGS_raw!$D$2:$D$94,Codex_USGS_raw!$A$2:$A$94,Codex_sources!$A$8,Codex_USGS_raw!$C$2:$C$94,Z$4)*Codex_sources!$D$8*1</f>
        <v/>
      </c>
      <c r="AA71" s="0">
        <f>SUMIFS(Codex_USGS_raw!$D$2:$D$94,Codex_USGS_raw!$A$2:$A$94,Codex_sources!$A$8,Codex_USGS_raw!$C$2:$C$94,AA$4)*Codex_sources!$D$8*1</f>
        <v/>
      </c>
      <c r="AB71" s="0">
        <f>SUMIFS(Codex_USGS_raw!$D$2:$D$94,Codex_USGS_raw!$A$2:$A$94,Codex_sources!$A$8,Codex_USGS_raw!$C$2:$C$94,AB$4)*Codex_sources!$D$8*1</f>
        <v/>
      </c>
      <c r="AC71" s="0">
        <f>SUMIFS(Codex_USGS_raw!$D$2:$D$94,Codex_USGS_raw!$A$2:$A$94,Codex_sources!$A$8,Codex_USGS_raw!$C$2:$C$94,AC$4)*Codex_sources!$D$8*1</f>
        <v/>
      </c>
      <c r="AD71" s="0">
        <f>SUMIFS(Codex_USGS_raw!$D$2:$D$94,Codex_USGS_raw!$A$2:$A$94,Codex_sources!$A$8,Codex_USGS_raw!$C$2:$C$94,AD$4)*Codex_sources!$D$8*1</f>
        <v/>
      </c>
      <c r="AE71" s="0">
        <f>SUMIFS(Codex_USGS_raw!$D$2:$D$94,Codex_USGS_raw!$A$2:$A$94,Codex_sources!$A$8,Codex_USGS_raw!$C$2:$C$94,AE$4)*Codex_sources!$D$8*1</f>
        <v/>
      </c>
      <c r="AF71" s="0">
        <f>SUMIFS(Codex_USGS_raw!$D$2:$D$94,Codex_USGS_raw!$A$2:$A$94,Codex_sources!$A$8,Codex_USGS_raw!$C$2:$C$94,AF$4)*Codex_sources!$D$8*1</f>
        <v/>
      </c>
      <c r="AG71" s="0">
        <f>SUMIFS(Codex_USGS_raw!$D$2:$D$94,Codex_USGS_raw!$A$2:$A$94,Codex_sources!$A$8,Codex_USGS_raw!$C$2:$C$94,AG$4)*Codex_sources!$D$8*1</f>
        <v/>
      </c>
      <c r="AH71" s="0">
        <f>SUMIFS(Codex_USGS_raw!$D$2:$D$94,Codex_USGS_raw!$A$2:$A$94,Codex_sources!$A$8,Codex_USGS_raw!$C$2:$C$94,AH$4)*Codex_sources!$D$8*1</f>
        <v/>
      </c>
      <c r="AI71" s="0">
        <f>SUMIFS(Codex_USGS_raw!$D$2:$D$94,Codex_USGS_raw!$A$2:$A$94,Codex_sources!$A$8,Codex_USGS_raw!$C$2:$C$94,AI$4)*Codex_sources!$D$8*1</f>
        <v/>
      </c>
      <c r="AJ71" s="0">
        <f>SUMIFS(Codex_USGS_raw!$D$2:$D$94,Codex_USGS_raw!$A$2:$A$94,Codex_sources!$A$8,Codex_USGS_raw!$C$2:$C$94,AJ$4)*Codex_sources!$D$8*1</f>
        <v/>
      </c>
      <c r="AK71" s="0">
        <f>SUMIFS(Codex_USGS_raw!$D$2:$D$94,Codex_USGS_raw!$A$2:$A$94,Codex_sources!$A$8,Codex_USGS_raw!$C$2:$C$94,AK$4)*Codex_sources!$D$8*1</f>
        <v/>
      </c>
      <c r="AL71" s="0">
        <f>SUMIFS(Codex_USGS_raw!$D$2:$D$94,Codex_USGS_raw!$A$2:$A$94,Codex_sources!$A$8,Codex_USGS_raw!$C$2:$C$94,AL$4)*Codex_sources!$D$8*1</f>
        <v/>
      </c>
      <c r="AM71" s="0">
        <f>SUMIFS(Codex_USGS_raw!$D$2:$D$94,Codex_USGS_raw!$A$2:$A$94,Codex_sources!$A$8,Codex_USGS_raw!$C$2:$C$94,AM$4)*Codex_sources!$D$8*1</f>
        <v/>
      </c>
      <c r="AN71" s="0">
        <f>SUMIFS(Codex_USGS_raw!$D$2:$D$94,Codex_USGS_raw!$A$2:$A$94,Codex_sources!$A$8,Codex_USGS_raw!$C$2:$C$94,AN$4)*Codex_sources!$D$8*1</f>
        <v/>
      </c>
      <c r="AO71" s="0">
        <f>AO70</f>
        <v/>
      </c>
    </row>
    <row r="72">
      <c r="C72" s="0" t="inlineStr">
        <is>
          <t>MINMnRSV1</t>
        </is>
      </c>
      <c r="D72" s="0" t="inlineStr">
        <is>
          <t>CUM</t>
        </is>
      </c>
      <c r="F72" s="0">
        <f>SUMIFS(Codex_USGS_raw!$E$2:$E$94,Codex_USGS_raw!$A$2:$A$94,Codex_sources!$A$8,Codex_USGS_raw!$C$2:$C$94,F$4)*Codex_sources!$D$8*Codex_sources!$J$8</f>
        <v/>
      </c>
      <c r="G72" s="0">
        <f>SUMIFS(Codex_USGS_raw!$E$2:$E$94,Codex_USGS_raw!$A$2:$A$94,Codex_sources!$A$8,Codex_USGS_raw!$C$2:$C$94,G$4)*Codex_sources!$D$8*Codex_sources!$J$8</f>
        <v/>
      </c>
      <c r="H72" s="0">
        <f>SUMIFS(Codex_USGS_raw!$E$2:$E$94,Codex_USGS_raw!$A$2:$A$94,Codex_sources!$A$8,Codex_USGS_raw!$C$2:$C$94,H$4)*Codex_sources!$D$8*Codex_sources!$J$8</f>
        <v/>
      </c>
      <c r="I72" s="0">
        <f>SUMIFS(Codex_USGS_raw!$E$2:$E$94,Codex_USGS_raw!$A$2:$A$94,Codex_sources!$A$8,Codex_USGS_raw!$C$2:$C$94,I$4)*Codex_sources!$D$8*Codex_sources!$J$8</f>
        <v/>
      </c>
      <c r="J72" s="0">
        <f>SUMIFS(Codex_USGS_raw!$E$2:$E$94,Codex_USGS_raw!$A$2:$A$94,Codex_sources!$A$8,Codex_USGS_raw!$C$2:$C$94,J$4)*Codex_sources!$D$8*Codex_sources!$J$8</f>
        <v/>
      </c>
      <c r="K72" s="0">
        <f>SUMIFS(Codex_USGS_raw!$E$2:$E$94,Codex_USGS_raw!$A$2:$A$94,Codex_sources!$A$8,Codex_USGS_raw!$C$2:$C$94,K$4)*Codex_sources!$D$8*Codex_sources!$J$8</f>
        <v/>
      </c>
      <c r="L72" s="0">
        <f>SUMIFS(Codex_USGS_raw!$E$2:$E$94,Codex_USGS_raw!$A$2:$A$94,Codex_sources!$A$8,Codex_USGS_raw!$C$2:$C$94,L$4)*Codex_sources!$D$8*Codex_sources!$J$8</f>
        <v/>
      </c>
      <c r="M72" s="0">
        <f>SUMIFS(Codex_USGS_raw!$E$2:$E$94,Codex_USGS_raw!$A$2:$A$94,Codex_sources!$A$8,Codex_USGS_raw!$C$2:$C$94,M$4)*Codex_sources!$D$8*Codex_sources!$J$8</f>
        <v/>
      </c>
      <c r="N72" s="0">
        <f>SUMIFS(Codex_USGS_raw!$E$2:$E$94,Codex_USGS_raw!$A$2:$A$94,Codex_sources!$A$8,Codex_USGS_raw!$C$2:$C$94,N$4)*Codex_sources!$D$8*Codex_sources!$J$8</f>
        <v/>
      </c>
      <c r="O72" s="0">
        <f>SUMIFS(Codex_USGS_raw!$E$2:$E$94,Codex_USGS_raw!$A$2:$A$94,Codex_sources!$A$8,Codex_USGS_raw!$C$2:$C$94,O$4)*Codex_sources!$D$8*Codex_sources!$J$8</f>
        <v/>
      </c>
      <c r="P72" s="0">
        <f>SUMIFS(Codex_USGS_raw!$E$2:$E$94,Codex_USGS_raw!$A$2:$A$94,Codex_sources!$A$8,Codex_USGS_raw!$C$2:$C$94,P$4)*Codex_sources!$D$8*Codex_sources!$J$8</f>
        <v/>
      </c>
      <c r="Q72" s="0">
        <f>SUMIFS(Codex_USGS_raw!$E$2:$E$94,Codex_USGS_raw!$A$2:$A$94,Codex_sources!$A$8,Codex_USGS_raw!$C$2:$C$94,Q$4)*Codex_sources!$D$8*Codex_sources!$J$8</f>
        <v/>
      </c>
      <c r="R72" s="0">
        <f>SUMIFS(Codex_USGS_raw!$E$2:$E$94,Codex_USGS_raw!$A$2:$A$94,Codex_sources!$A$8,Codex_USGS_raw!$C$2:$C$94,R$4)*Codex_sources!$D$8*Codex_sources!$J$8</f>
        <v/>
      </c>
      <c r="S72" s="0">
        <f>SUMIFS(Codex_USGS_raw!$E$2:$E$94,Codex_USGS_raw!$A$2:$A$94,Codex_sources!$A$8,Codex_USGS_raw!$C$2:$C$94,S$4)*Codex_sources!$D$8*Codex_sources!$J$8</f>
        <v/>
      </c>
      <c r="T72" s="0">
        <f>SUMIFS(Codex_USGS_raw!$E$2:$E$94,Codex_USGS_raw!$A$2:$A$94,Codex_sources!$A$8,Codex_USGS_raw!$C$2:$C$94,T$4)*Codex_sources!$D$8*Codex_sources!$J$8</f>
        <v/>
      </c>
      <c r="U72" s="0">
        <f>SUMIFS(Codex_USGS_raw!$E$2:$E$94,Codex_USGS_raw!$A$2:$A$94,Codex_sources!$A$8,Codex_USGS_raw!$C$2:$C$94,U$4)*Codex_sources!$D$8*Codex_sources!$J$8</f>
        <v/>
      </c>
      <c r="V72" s="0">
        <f>SUMIFS(Codex_USGS_raw!$E$2:$E$94,Codex_USGS_raw!$A$2:$A$94,Codex_sources!$A$8,Codex_USGS_raw!$C$2:$C$94,V$4)*Codex_sources!$D$8*Codex_sources!$J$8</f>
        <v/>
      </c>
      <c r="W72" s="0">
        <f>SUMIFS(Codex_USGS_raw!$E$2:$E$94,Codex_USGS_raw!$A$2:$A$94,Codex_sources!$A$8,Codex_USGS_raw!$C$2:$C$94,W$4)*Codex_sources!$D$8*Codex_sources!$J$8</f>
        <v/>
      </c>
      <c r="X72" s="0">
        <f>SUMIFS(Codex_USGS_raw!$E$2:$E$94,Codex_USGS_raw!$A$2:$A$94,Codex_sources!$A$8,Codex_USGS_raw!$C$2:$C$94,X$4)*Codex_sources!$D$8*Codex_sources!$J$8</f>
        <v/>
      </c>
      <c r="Y72" s="0">
        <f>SUMIFS(Codex_USGS_raw!$E$2:$E$94,Codex_USGS_raw!$A$2:$A$94,Codex_sources!$A$8,Codex_USGS_raw!$C$2:$C$94,Y$4)*Codex_sources!$D$8*Codex_sources!$J$8</f>
        <v/>
      </c>
      <c r="Z72" s="0">
        <f>SUMIFS(Codex_USGS_raw!$E$2:$E$94,Codex_USGS_raw!$A$2:$A$94,Codex_sources!$A$8,Codex_USGS_raw!$C$2:$C$94,Z$4)*Codex_sources!$D$8*Codex_sources!$J$8</f>
        <v/>
      </c>
      <c r="AA72" s="0">
        <f>SUMIFS(Codex_USGS_raw!$E$2:$E$94,Codex_USGS_raw!$A$2:$A$94,Codex_sources!$A$8,Codex_USGS_raw!$C$2:$C$94,AA$4)*Codex_sources!$D$8*Codex_sources!$J$8</f>
        <v/>
      </c>
      <c r="AB72" s="0">
        <f>SUMIFS(Codex_USGS_raw!$E$2:$E$94,Codex_USGS_raw!$A$2:$A$94,Codex_sources!$A$8,Codex_USGS_raw!$C$2:$C$94,AB$4)*Codex_sources!$D$8*Codex_sources!$J$8</f>
        <v/>
      </c>
      <c r="AC72" s="0">
        <f>SUMIFS(Codex_USGS_raw!$E$2:$E$94,Codex_USGS_raw!$A$2:$A$94,Codex_sources!$A$8,Codex_USGS_raw!$C$2:$C$94,AC$4)*Codex_sources!$D$8*Codex_sources!$J$8</f>
        <v/>
      </c>
      <c r="AD72" s="0">
        <f>SUMIFS(Codex_USGS_raw!$E$2:$E$94,Codex_USGS_raw!$A$2:$A$94,Codex_sources!$A$8,Codex_USGS_raw!$C$2:$C$94,AD$4)*Codex_sources!$D$8*Codex_sources!$J$8</f>
        <v/>
      </c>
      <c r="AE72" s="0">
        <f>SUMIFS(Codex_USGS_raw!$E$2:$E$94,Codex_USGS_raw!$A$2:$A$94,Codex_sources!$A$8,Codex_USGS_raw!$C$2:$C$94,AE$4)*Codex_sources!$D$8*Codex_sources!$J$8</f>
        <v/>
      </c>
      <c r="AF72" s="0">
        <f>SUMIFS(Codex_USGS_raw!$E$2:$E$94,Codex_USGS_raw!$A$2:$A$94,Codex_sources!$A$8,Codex_USGS_raw!$C$2:$C$94,AF$4)*Codex_sources!$D$8*Codex_sources!$J$8</f>
        <v/>
      </c>
      <c r="AG72" s="0">
        <f>SUMIFS(Codex_USGS_raw!$E$2:$E$94,Codex_USGS_raw!$A$2:$A$94,Codex_sources!$A$8,Codex_USGS_raw!$C$2:$C$94,AG$4)*Codex_sources!$D$8*Codex_sources!$J$8</f>
        <v/>
      </c>
      <c r="AH72" s="0">
        <f>SUMIFS(Codex_USGS_raw!$E$2:$E$94,Codex_USGS_raw!$A$2:$A$94,Codex_sources!$A$8,Codex_USGS_raw!$C$2:$C$94,AH$4)*Codex_sources!$D$8*Codex_sources!$J$8</f>
        <v/>
      </c>
      <c r="AI72" s="0">
        <f>SUMIFS(Codex_USGS_raw!$E$2:$E$94,Codex_USGS_raw!$A$2:$A$94,Codex_sources!$A$8,Codex_USGS_raw!$C$2:$C$94,AI$4)*Codex_sources!$D$8*Codex_sources!$J$8</f>
        <v/>
      </c>
      <c r="AJ72" s="0">
        <f>SUMIFS(Codex_USGS_raw!$E$2:$E$94,Codex_USGS_raw!$A$2:$A$94,Codex_sources!$A$8,Codex_USGS_raw!$C$2:$C$94,AJ$4)*Codex_sources!$D$8*Codex_sources!$J$8</f>
        <v/>
      </c>
      <c r="AK72" s="0">
        <f>SUMIFS(Codex_USGS_raw!$E$2:$E$94,Codex_USGS_raw!$A$2:$A$94,Codex_sources!$A$8,Codex_USGS_raw!$C$2:$C$94,AK$4)*Codex_sources!$D$8*Codex_sources!$J$8</f>
        <v/>
      </c>
      <c r="AL72" s="0">
        <f>SUMIFS(Codex_USGS_raw!$E$2:$E$94,Codex_USGS_raw!$A$2:$A$94,Codex_sources!$A$8,Codex_USGS_raw!$C$2:$C$94,AL$4)*Codex_sources!$D$8*Codex_sources!$J$8</f>
        <v/>
      </c>
      <c r="AM72" s="0">
        <f>SUMIFS(Codex_USGS_raw!$E$2:$E$94,Codex_USGS_raw!$A$2:$A$94,Codex_sources!$A$8,Codex_USGS_raw!$C$2:$C$94,AM$4)*Codex_sources!$D$8*Codex_sources!$J$8</f>
        <v/>
      </c>
      <c r="AN72" s="0">
        <f>SUMIFS(Codex_USGS_raw!$E$2:$E$94,Codex_USGS_raw!$A$2:$A$94,Codex_sources!$A$8,Codex_USGS_raw!$C$2:$C$94,AN$4)*Codex_sources!$D$8*Codex_sources!$J$8</f>
        <v/>
      </c>
      <c r="AO72" s="0">
        <f>AO71</f>
        <v/>
      </c>
    </row>
    <row r="73">
      <c r="C73" s="0" t="inlineStr">
        <is>
          <t>MINMnRSV1</t>
        </is>
      </c>
      <c r="D73" s="0" t="inlineStr">
        <is>
          <t>COST</t>
        </is>
      </c>
      <c r="E73" s="0" t="inlineStr">
        <is>
          <t>m_manganese</t>
        </is>
      </c>
      <c r="F73" s="0">
        <f>Codex_Regional!F13</f>
        <v/>
      </c>
      <c r="G73" s="0">
        <f>Codex_Regional!G13</f>
        <v/>
      </c>
      <c r="H73" s="0">
        <f>Codex_Regional!H13</f>
        <v/>
      </c>
      <c r="I73" s="0">
        <f>Codex_Regional!I13</f>
        <v/>
      </c>
      <c r="J73" s="0">
        <f>Codex_Regional!J13</f>
        <v/>
      </c>
      <c r="K73" s="0">
        <f>Codex_Regional!K13</f>
        <v/>
      </c>
      <c r="L73" s="0">
        <f>Codex_Regional!L13</f>
        <v/>
      </c>
      <c r="M73" s="0">
        <f>Codex_Regional!M13</f>
        <v/>
      </c>
      <c r="N73" s="0">
        <f>Codex_Regional!N13</f>
        <v/>
      </c>
      <c r="O73" s="0">
        <f>Codex_Regional!O13</f>
        <v/>
      </c>
      <c r="P73" s="0">
        <f>Codex_Regional!P13</f>
        <v/>
      </c>
      <c r="Q73" s="0">
        <f>Codex_Regional!Q13</f>
        <v/>
      </c>
      <c r="R73" s="0">
        <f>Codex_Regional!R13</f>
        <v/>
      </c>
      <c r="S73" s="0">
        <f>Codex_Regional!S13</f>
        <v/>
      </c>
      <c r="T73" s="0">
        <f>Codex_Regional!T13</f>
        <v/>
      </c>
      <c r="U73" s="0">
        <f>Codex_Regional!U13</f>
        <v/>
      </c>
      <c r="V73" s="0">
        <f>Codex_Regional!V13</f>
        <v/>
      </c>
      <c r="W73" s="0">
        <f>Codex_Regional!W13</f>
        <v/>
      </c>
      <c r="X73" s="0">
        <f>Codex_Regional!X13</f>
        <v/>
      </c>
      <c r="Y73" s="0">
        <f>Codex_Regional!Y13</f>
        <v/>
      </c>
      <c r="Z73" s="0">
        <f>Codex_Regional!Z13</f>
        <v/>
      </c>
      <c r="AA73" s="0">
        <f>Codex_Regional!AA13</f>
        <v/>
      </c>
      <c r="AB73" s="0">
        <f>Codex_Regional!AB13</f>
        <v/>
      </c>
      <c r="AC73" s="0">
        <f>Codex_Regional!AC13</f>
        <v/>
      </c>
      <c r="AD73" s="0">
        <f>Codex_Regional!AD13</f>
        <v/>
      </c>
      <c r="AE73" s="0">
        <f>Codex_Regional!AE13</f>
        <v/>
      </c>
      <c r="AF73" s="0">
        <f>Codex_Regional!AF13</f>
        <v/>
      </c>
      <c r="AG73" s="0">
        <f>Codex_Regional!AG13</f>
        <v/>
      </c>
      <c r="AH73" s="0">
        <f>Codex_Regional!AH13</f>
        <v/>
      </c>
      <c r="AI73" s="0">
        <f>Codex_Regional!AI13</f>
        <v/>
      </c>
      <c r="AJ73" s="0">
        <f>Codex_Regional!AJ13</f>
        <v/>
      </c>
      <c r="AK73" s="0">
        <f>Codex_Regional!AK13</f>
        <v/>
      </c>
      <c r="AL73" s="0">
        <f>Codex_Regional!AL13</f>
        <v/>
      </c>
      <c r="AM73" s="0">
        <f>Codex_Regional!AM13</f>
        <v/>
      </c>
      <c r="AN73" s="0">
        <f>Codex_Regional!AN13</f>
        <v/>
      </c>
      <c r="AO73" s="0">
        <f>AO72</f>
        <v/>
      </c>
    </row>
    <row r="74">
      <c r="C74" s="0" t="inlineStr">
        <is>
          <t>MINMnRSV2</t>
        </is>
      </c>
      <c r="D74" s="0" t="inlineStr">
        <is>
          <t>BNDACT</t>
        </is>
      </c>
      <c r="F74" s="0">
        <f>SUMIFS(Codex_USGS_raw!$D$2:$D$94,Codex_USGS_raw!$A$2:$A$94,Codex_sources!$A$8,Codex_USGS_raw!$C$2:$C$94,F$4)*Codex_sources!$D$8*2</f>
        <v/>
      </c>
      <c r="G74" s="0">
        <f>SUMIFS(Codex_USGS_raw!$D$2:$D$94,Codex_USGS_raw!$A$2:$A$94,Codex_sources!$A$8,Codex_USGS_raw!$C$2:$C$94,G$4)*Codex_sources!$D$8*2</f>
        <v/>
      </c>
      <c r="H74" s="0">
        <f>SUMIFS(Codex_USGS_raw!$D$2:$D$94,Codex_USGS_raw!$A$2:$A$94,Codex_sources!$A$8,Codex_USGS_raw!$C$2:$C$94,H$4)*Codex_sources!$D$8*2</f>
        <v/>
      </c>
      <c r="I74" s="0">
        <f>SUMIFS(Codex_USGS_raw!$D$2:$D$94,Codex_USGS_raw!$A$2:$A$94,Codex_sources!$A$8,Codex_USGS_raw!$C$2:$C$94,I$4)*Codex_sources!$D$8*2</f>
        <v/>
      </c>
      <c r="J74" s="0">
        <f>SUMIFS(Codex_USGS_raw!$D$2:$D$94,Codex_USGS_raw!$A$2:$A$94,Codex_sources!$A$8,Codex_USGS_raw!$C$2:$C$94,J$4)*Codex_sources!$D$8*2</f>
        <v/>
      </c>
      <c r="K74" s="0">
        <f>SUMIFS(Codex_USGS_raw!$D$2:$D$94,Codex_USGS_raw!$A$2:$A$94,Codex_sources!$A$8,Codex_USGS_raw!$C$2:$C$94,K$4)*Codex_sources!$D$8*2</f>
        <v/>
      </c>
      <c r="L74" s="0">
        <f>SUMIFS(Codex_USGS_raw!$D$2:$D$94,Codex_USGS_raw!$A$2:$A$94,Codex_sources!$A$8,Codex_USGS_raw!$C$2:$C$94,L$4)*Codex_sources!$D$8*2</f>
        <v/>
      </c>
      <c r="M74" s="0">
        <f>SUMIFS(Codex_USGS_raw!$D$2:$D$94,Codex_USGS_raw!$A$2:$A$94,Codex_sources!$A$8,Codex_USGS_raw!$C$2:$C$94,M$4)*Codex_sources!$D$8*2</f>
        <v/>
      </c>
      <c r="N74" s="0">
        <f>SUMIFS(Codex_USGS_raw!$D$2:$D$94,Codex_USGS_raw!$A$2:$A$94,Codex_sources!$A$8,Codex_USGS_raw!$C$2:$C$94,N$4)*Codex_sources!$D$8*2</f>
        <v/>
      </c>
      <c r="O74" s="0">
        <f>SUMIFS(Codex_USGS_raw!$D$2:$D$94,Codex_USGS_raw!$A$2:$A$94,Codex_sources!$A$8,Codex_USGS_raw!$C$2:$C$94,O$4)*Codex_sources!$D$8*2</f>
        <v/>
      </c>
      <c r="P74" s="0">
        <f>SUMIFS(Codex_USGS_raw!$D$2:$D$94,Codex_USGS_raw!$A$2:$A$94,Codex_sources!$A$8,Codex_USGS_raw!$C$2:$C$94,P$4)*Codex_sources!$D$8*2</f>
        <v/>
      </c>
      <c r="Q74" s="0">
        <f>SUMIFS(Codex_USGS_raw!$D$2:$D$94,Codex_USGS_raw!$A$2:$A$94,Codex_sources!$A$8,Codex_USGS_raw!$C$2:$C$94,Q$4)*Codex_sources!$D$8*2</f>
        <v/>
      </c>
      <c r="R74" s="0">
        <f>SUMIFS(Codex_USGS_raw!$D$2:$D$94,Codex_USGS_raw!$A$2:$A$94,Codex_sources!$A$8,Codex_USGS_raw!$C$2:$C$94,R$4)*Codex_sources!$D$8*2</f>
        <v/>
      </c>
      <c r="S74" s="0">
        <f>SUMIFS(Codex_USGS_raw!$D$2:$D$94,Codex_USGS_raw!$A$2:$A$94,Codex_sources!$A$8,Codex_USGS_raw!$C$2:$C$94,S$4)*Codex_sources!$D$8*2</f>
        <v/>
      </c>
      <c r="T74" s="0">
        <f>SUMIFS(Codex_USGS_raw!$D$2:$D$94,Codex_USGS_raw!$A$2:$A$94,Codex_sources!$A$8,Codex_USGS_raw!$C$2:$C$94,T$4)*Codex_sources!$D$8*2</f>
        <v/>
      </c>
      <c r="U74" s="0">
        <f>SUMIFS(Codex_USGS_raw!$D$2:$D$94,Codex_USGS_raw!$A$2:$A$94,Codex_sources!$A$8,Codex_USGS_raw!$C$2:$C$94,U$4)*Codex_sources!$D$8*2</f>
        <v/>
      </c>
      <c r="V74" s="0">
        <f>SUMIFS(Codex_USGS_raw!$D$2:$D$94,Codex_USGS_raw!$A$2:$A$94,Codex_sources!$A$8,Codex_USGS_raw!$C$2:$C$94,V$4)*Codex_sources!$D$8*2</f>
        <v/>
      </c>
      <c r="W74" s="0">
        <f>SUMIFS(Codex_USGS_raw!$D$2:$D$94,Codex_USGS_raw!$A$2:$A$94,Codex_sources!$A$8,Codex_USGS_raw!$C$2:$C$94,W$4)*Codex_sources!$D$8*2</f>
        <v/>
      </c>
      <c r="X74" s="0">
        <f>SUMIFS(Codex_USGS_raw!$D$2:$D$94,Codex_USGS_raw!$A$2:$A$94,Codex_sources!$A$8,Codex_USGS_raw!$C$2:$C$94,X$4)*Codex_sources!$D$8*2</f>
        <v/>
      </c>
      <c r="Y74" s="0">
        <f>SUMIFS(Codex_USGS_raw!$D$2:$D$94,Codex_USGS_raw!$A$2:$A$94,Codex_sources!$A$8,Codex_USGS_raw!$C$2:$C$94,Y$4)*Codex_sources!$D$8*2</f>
        <v/>
      </c>
      <c r="Z74" s="0">
        <f>SUMIFS(Codex_USGS_raw!$D$2:$D$94,Codex_USGS_raw!$A$2:$A$94,Codex_sources!$A$8,Codex_USGS_raw!$C$2:$C$94,Z$4)*Codex_sources!$D$8*2</f>
        <v/>
      </c>
      <c r="AA74" s="0">
        <f>SUMIFS(Codex_USGS_raw!$D$2:$D$94,Codex_USGS_raw!$A$2:$A$94,Codex_sources!$A$8,Codex_USGS_raw!$C$2:$C$94,AA$4)*Codex_sources!$D$8*2</f>
        <v/>
      </c>
      <c r="AB74" s="0">
        <f>SUMIFS(Codex_USGS_raw!$D$2:$D$94,Codex_USGS_raw!$A$2:$A$94,Codex_sources!$A$8,Codex_USGS_raw!$C$2:$C$94,AB$4)*Codex_sources!$D$8*2</f>
        <v/>
      </c>
      <c r="AC74" s="0">
        <f>SUMIFS(Codex_USGS_raw!$D$2:$D$94,Codex_USGS_raw!$A$2:$A$94,Codex_sources!$A$8,Codex_USGS_raw!$C$2:$C$94,AC$4)*Codex_sources!$D$8*2</f>
        <v/>
      </c>
      <c r="AD74" s="0">
        <f>SUMIFS(Codex_USGS_raw!$D$2:$D$94,Codex_USGS_raw!$A$2:$A$94,Codex_sources!$A$8,Codex_USGS_raw!$C$2:$C$94,AD$4)*Codex_sources!$D$8*2</f>
        <v/>
      </c>
      <c r="AE74" s="0">
        <f>SUMIFS(Codex_USGS_raw!$D$2:$D$94,Codex_USGS_raw!$A$2:$A$94,Codex_sources!$A$8,Codex_USGS_raw!$C$2:$C$94,AE$4)*Codex_sources!$D$8*2</f>
        <v/>
      </c>
      <c r="AF74" s="0">
        <f>SUMIFS(Codex_USGS_raw!$D$2:$D$94,Codex_USGS_raw!$A$2:$A$94,Codex_sources!$A$8,Codex_USGS_raw!$C$2:$C$94,AF$4)*Codex_sources!$D$8*2</f>
        <v/>
      </c>
      <c r="AG74" s="0">
        <f>SUMIFS(Codex_USGS_raw!$D$2:$D$94,Codex_USGS_raw!$A$2:$A$94,Codex_sources!$A$8,Codex_USGS_raw!$C$2:$C$94,AG$4)*Codex_sources!$D$8*2</f>
        <v/>
      </c>
      <c r="AH74" s="0">
        <f>SUMIFS(Codex_USGS_raw!$D$2:$D$94,Codex_USGS_raw!$A$2:$A$94,Codex_sources!$A$8,Codex_USGS_raw!$C$2:$C$94,AH$4)*Codex_sources!$D$8*2</f>
        <v/>
      </c>
      <c r="AI74" s="0">
        <f>SUMIFS(Codex_USGS_raw!$D$2:$D$94,Codex_USGS_raw!$A$2:$A$94,Codex_sources!$A$8,Codex_USGS_raw!$C$2:$C$94,AI$4)*Codex_sources!$D$8*2</f>
        <v/>
      </c>
      <c r="AJ74" s="0">
        <f>SUMIFS(Codex_USGS_raw!$D$2:$D$94,Codex_USGS_raw!$A$2:$A$94,Codex_sources!$A$8,Codex_USGS_raw!$C$2:$C$94,AJ$4)*Codex_sources!$D$8*2</f>
        <v/>
      </c>
      <c r="AK74" s="0">
        <f>SUMIFS(Codex_USGS_raw!$D$2:$D$94,Codex_USGS_raw!$A$2:$A$94,Codex_sources!$A$8,Codex_USGS_raw!$C$2:$C$94,AK$4)*Codex_sources!$D$8*2</f>
        <v/>
      </c>
      <c r="AL74" s="0">
        <f>SUMIFS(Codex_USGS_raw!$D$2:$D$94,Codex_USGS_raw!$A$2:$A$94,Codex_sources!$A$8,Codex_USGS_raw!$C$2:$C$94,AL$4)*Codex_sources!$D$8*2</f>
        <v/>
      </c>
      <c r="AM74" s="0">
        <f>SUMIFS(Codex_USGS_raw!$D$2:$D$94,Codex_USGS_raw!$A$2:$A$94,Codex_sources!$A$8,Codex_USGS_raw!$C$2:$C$94,AM$4)*Codex_sources!$D$8*2</f>
        <v/>
      </c>
      <c r="AN74" s="0">
        <f>SUMIFS(Codex_USGS_raw!$D$2:$D$94,Codex_USGS_raw!$A$2:$A$94,Codex_sources!$A$8,Codex_USGS_raw!$C$2:$C$94,AN$4)*Codex_sources!$D$8*2</f>
        <v/>
      </c>
      <c r="AO74" s="0">
        <f>AO73</f>
        <v/>
      </c>
    </row>
    <row r="75">
      <c r="C75" s="0" t="inlineStr">
        <is>
          <t>MINMnRSV2</t>
        </is>
      </c>
      <c r="D75" s="0" t="inlineStr">
        <is>
          <t>CUM</t>
        </is>
      </c>
      <c r="F75" s="0">
        <f>SUMIFS(Codex_USGS_raw!$E$2:$E$94,Codex_USGS_raw!$A$2:$A$94,Codex_sources!$A$8,Codex_USGS_raw!$C$2:$C$94,F$4)*Codex_sources!$D$8*Codex_sources!$K$8</f>
        <v/>
      </c>
      <c r="G75" s="0">
        <f>SUMIFS(Codex_USGS_raw!$E$2:$E$94,Codex_USGS_raw!$A$2:$A$94,Codex_sources!$A$8,Codex_USGS_raw!$C$2:$C$94,G$4)*Codex_sources!$D$8*Codex_sources!$K$8</f>
        <v/>
      </c>
      <c r="H75" s="0">
        <f>SUMIFS(Codex_USGS_raw!$E$2:$E$94,Codex_USGS_raw!$A$2:$A$94,Codex_sources!$A$8,Codex_USGS_raw!$C$2:$C$94,H$4)*Codex_sources!$D$8*Codex_sources!$K$8</f>
        <v/>
      </c>
      <c r="I75" s="0">
        <f>SUMIFS(Codex_USGS_raw!$E$2:$E$94,Codex_USGS_raw!$A$2:$A$94,Codex_sources!$A$8,Codex_USGS_raw!$C$2:$C$94,I$4)*Codex_sources!$D$8*Codex_sources!$K$8</f>
        <v/>
      </c>
      <c r="J75" s="0">
        <f>SUMIFS(Codex_USGS_raw!$E$2:$E$94,Codex_USGS_raw!$A$2:$A$94,Codex_sources!$A$8,Codex_USGS_raw!$C$2:$C$94,J$4)*Codex_sources!$D$8*Codex_sources!$K$8</f>
        <v/>
      </c>
      <c r="K75" s="0">
        <f>SUMIFS(Codex_USGS_raw!$E$2:$E$94,Codex_USGS_raw!$A$2:$A$94,Codex_sources!$A$8,Codex_USGS_raw!$C$2:$C$94,K$4)*Codex_sources!$D$8*Codex_sources!$K$8</f>
        <v/>
      </c>
      <c r="L75" s="0">
        <f>SUMIFS(Codex_USGS_raw!$E$2:$E$94,Codex_USGS_raw!$A$2:$A$94,Codex_sources!$A$8,Codex_USGS_raw!$C$2:$C$94,L$4)*Codex_sources!$D$8*Codex_sources!$K$8</f>
        <v/>
      </c>
      <c r="M75" s="0">
        <f>SUMIFS(Codex_USGS_raw!$E$2:$E$94,Codex_USGS_raw!$A$2:$A$94,Codex_sources!$A$8,Codex_USGS_raw!$C$2:$C$94,M$4)*Codex_sources!$D$8*Codex_sources!$K$8</f>
        <v/>
      </c>
      <c r="N75" s="0">
        <f>SUMIFS(Codex_USGS_raw!$E$2:$E$94,Codex_USGS_raw!$A$2:$A$94,Codex_sources!$A$8,Codex_USGS_raw!$C$2:$C$94,N$4)*Codex_sources!$D$8*Codex_sources!$K$8</f>
        <v/>
      </c>
      <c r="O75" s="0">
        <f>SUMIFS(Codex_USGS_raw!$E$2:$E$94,Codex_USGS_raw!$A$2:$A$94,Codex_sources!$A$8,Codex_USGS_raw!$C$2:$C$94,O$4)*Codex_sources!$D$8*Codex_sources!$K$8</f>
        <v/>
      </c>
      <c r="P75" s="0">
        <f>SUMIFS(Codex_USGS_raw!$E$2:$E$94,Codex_USGS_raw!$A$2:$A$94,Codex_sources!$A$8,Codex_USGS_raw!$C$2:$C$94,P$4)*Codex_sources!$D$8*Codex_sources!$K$8</f>
        <v/>
      </c>
      <c r="Q75" s="0">
        <f>SUMIFS(Codex_USGS_raw!$E$2:$E$94,Codex_USGS_raw!$A$2:$A$94,Codex_sources!$A$8,Codex_USGS_raw!$C$2:$C$94,Q$4)*Codex_sources!$D$8*Codex_sources!$K$8</f>
        <v/>
      </c>
      <c r="R75" s="0">
        <f>SUMIFS(Codex_USGS_raw!$E$2:$E$94,Codex_USGS_raw!$A$2:$A$94,Codex_sources!$A$8,Codex_USGS_raw!$C$2:$C$94,R$4)*Codex_sources!$D$8*Codex_sources!$K$8</f>
        <v/>
      </c>
      <c r="S75" s="0">
        <f>SUMIFS(Codex_USGS_raw!$E$2:$E$94,Codex_USGS_raw!$A$2:$A$94,Codex_sources!$A$8,Codex_USGS_raw!$C$2:$C$94,S$4)*Codex_sources!$D$8*Codex_sources!$K$8</f>
        <v/>
      </c>
      <c r="T75" s="0">
        <f>SUMIFS(Codex_USGS_raw!$E$2:$E$94,Codex_USGS_raw!$A$2:$A$94,Codex_sources!$A$8,Codex_USGS_raw!$C$2:$C$94,T$4)*Codex_sources!$D$8*Codex_sources!$K$8</f>
        <v/>
      </c>
      <c r="U75" s="0">
        <f>SUMIFS(Codex_USGS_raw!$E$2:$E$94,Codex_USGS_raw!$A$2:$A$94,Codex_sources!$A$8,Codex_USGS_raw!$C$2:$C$94,U$4)*Codex_sources!$D$8*Codex_sources!$K$8</f>
        <v/>
      </c>
      <c r="V75" s="0">
        <f>SUMIFS(Codex_USGS_raw!$E$2:$E$94,Codex_USGS_raw!$A$2:$A$94,Codex_sources!$A$8,Codex_USGS_raw!$C$2:$C$94,V$4)*Codex_sources!$D$8*Codex_sources!$K$8</f>
        <v/>
      </c>
      <c r="W75" s="0">
        <f>SUMIFS(Codex_USGS_raw!$E$2:$E$94,Codex_USGS_raw!$A$2:$A$94,Codex_sources!$A$8,Codex_USGS_raw!$C$2:$C$94,W$4)*Codex_sources!$D$8*Codex_sources!$K$8</f>
        <v/>
      </c>
      <c r="X75" s="0">
        <f>SUMIFS(Codex_USGS_raw!$E$2:$E$94,Codex_USGS_raw!$A$2:$A$94,Codex_sources!$A$8,Codex_USGS_raw!$C$2:$C$94,X$4)*Codex_sources!$D$8*Codex_sources!$K$8</f>
        <v/>
      </c>
      <c r="Y75" s="0">
        <f>SUMIFS(Codex_USGS_raw!$E$2:$E$94,Codex_USGS_raw!$A$2:$A$94,Codex_sources!$A$8,Codex_USGS_raw!$C$2:$C$94,Y$4)*Codex_sources!$D$8*Codex_sources!$K$8</f>
        <v/>
      </c>
      <c r="Z75" s="0">
        <f>SUMIFS(Codex_USGS_raw!$E$2:$E$94,Codex_USGS_raw!$A$2:$A$94,Codex_sources!$A$8,Codex_USGS_raw!$C$2:$C$94,Z$4)*Codex_sources!$D$8*Codex_sources!$K$8</f>
        <v/>
      </c>
      <c r="AA75" s="0">
        <f>SUMIFS(Codex_USGS_raw!$E$2:$E$94,Codex_USGS_raw!$A$2:$A$94,Codex_sources!$A$8,Codex_USGS_raw!$C$2:$C$94,AA$4)*Codex_sources!$D$8*Codex_sources!$K$8</f>
        <v/>
      </c>
      <c r="AB75" s="0">
        <f>SUMIFS(Codex_USGS_raw!$E$2:$E$94,Codex_USGS_raw!$A$2:$A$94,Codex_sources!$A$8,Codex_USGS_raw!$C$2:$C$94,AB$4)*Codex_sources!$D$8*Codex_sources!$K$8</f>
        <v/>
      </c>
      <c r="AC75" s="0">
        <f>SUMIFS(Codex_USGS_raw!$E$2:$E$94,Codex_USGS_raw!$A$2:$A$94,Codex_sources!$A$8,Codex_USGS_raw!$C$2:$C$94,AC$4)*Codex_sources!$D$8*Codex_sources!$K$8</f>
        <v/>
      </c>
      <c r="AD75" s="0">
        <f>SUMIFS(Codex_USGS_raw!$E$2:$E$94,Codex_USGS_raw!$A$2:$A$94,Codex_sources!$A$8,Codex_USGS_raw!$C$2:$C$94,AD$4)*Codex_sources!$D$8*Codex_sources!$K$8</f>
        <v/>
      </c>
      <c r="AE75" s="0">
        <f>SUMIFS(Codex_USGS_raw!$E$2:$E$94,Codex_USGS_raw!$A$2:$A$94,Codex_sources!$A$8,Codex_USGS_raw!$C$2:$C$94,AE$4)*Codex_sources!$D$8*Codex_sources!$K$8</f>
        <v/>
      </c>
      <c r="AF75" s="0">
        <f>SUMIFS(Codex_USGS_raw!$E$2:$E$94,Codex_USGS_raw!$A$2:$A$94,Codex_sources!$A$8,Codex_USGS_raw!$C$2:$C$94,AF$4)*Codex_sources!$D$8*Codex_sources!$K$8</f>
        <v/>
      </c>
      <c r="AG75" s="0">
        <f>SUMIFS(Codex_USGS_raw!$E$2:$E$94,Codex_USGS_raw!$A$2:$A$94,Codex_sources!$A$8,Codex_USGS_raw!$C$2:$C$94,AG$4)*Codex_sources!$D$8*Codex_sources!$K$8</f>
        <v/>
      </c>
      <c r="AH75" s="0">
        <f>SUMIFS(Codex_USGS_raw!$E$2:$E$94,Codex_USGS_raw!$A$2:$A$94,Codex_sources!$A$8,Codex_USGS_raw!$C$2:$C$94,AH$4)*Codex_sources!$D$8*Codex_sources!$K$8</f>
        <v/>
      </c>
      <c r="AI75" s="0">
        <f>SUMIFS(Codex_USGS_raw!$E$2:$E$94,Codex_USGS_raw!$A$2:$A$94,Codex_sources!$A$8,Codex_USGS_raw!$C$2:$C$94,AI$4)*Codex_sources!$D$8*Codex_sources!$K$8</f>
        <v/>
      </c>
      <c r="AJ75" s="0">
        <f>SUMIFS(Codex_USGS_raw!$E$2:$E$94,Codex_USGS_raw!$A$2:$A$94,Codex_sources!$A$8,Codex_USGS_raw!$C$2:$C$94,AJ$4)*Codex_sources!$D$8*Codex_sources!$K$8</f>
        <v/>
      </c>
      <c r="AK75" s="0">
        <f>SUMIFS(Codex_USGS_raw!$E$2:$E$94,Codex_USGS_raw!$A$2:$A$94,Codex_sources!$A$8,Codex_USGS_raw!$C$2:$C$94,AK$4)*Codex_sources!$D$8*Codex_sources!$K$8</f>
        <v/>
      </c>
      <c r="AL75" s="0">
        <f>SUMIFS(Codex_USGS_raw!$E$2:$E$94,Codex_USGS_raw!$A$2:$A$94,Codex_sources!$A$8,Codex_USGS_raw!$C$2:$C$94,AL$4)*Codex_sources!$D$8*Codex_sources!$K$8</f>
        <v/>
      </c>
      <c r="AM75" s="0">
        <f>SUMIFS(Codex_USGS_raw!$E$2:$E$94,Codex_USGS_raw!$A$2:$A$94,Codex_sources!$A$8,Codex_USGS_raw!$C$2:$C$94,AM$4)*Codex_sources!$D$8*Codex_sources!$K$8</f>
        <v/>
      </c>
      <c r="AN75" s="0">
        <f>SUMIFS(Codex_USGS_raw!$E$2:$E$94,Codex_USGS_raw!$A$2:$A$94,Codex_sources!$A$8,Codex_USGS_raw!$C$2:$C$94,AN$4)*Codex_sources!$D$8*Codex_sources!$K$8</f>
        <v/>
      </c>
      <c r="AO75" s="0">
        <f>AO74</f>
        <v/>
      </c>
    </row>
    <row r="76">
      <c r="C76" s="0" t="inlineStr">
        <is>
          <t>MINMnRSV2</t>
        </is>
      </c>
      <c r="D76" s="0" t="inlineStr">
        <is>
          <t>COST</t>
        </is>
      </c>
      <c r="E76" s="0" t="inlineStr">
        <is>
          <t>m_manganese</t>
        </is>
      </c>
      <c r="F76" s="0">
        <f>Codex_Regional!F13*(Codex_sources!$N$8/Codex_sources!$M$8)</f>
        <v/>
      </c>
      <c r="G76" s="0">
        <f>Codex_Regional!G13*(Codex_sources!$N$8/Codex_sources!$M$8)</f>
        <v/>
      </c>
      <c r="H76" s="0">
        <f>Codex_Regional!H13*(Codex_sources!$N$8/Codex_sources!$M$8)</f>
        <v/>
      </c>
      <c r="I76" s="0">
        <f>Codex_Regional!I13*(Codex_sources!$N$8/Codex_sources!$M$8)</f>
        <v/>
      </c>
      <c r="J76" s="0">
        <f>Codex_Regional!J13*(Codex_sources!$N$8/Codex_sources!$M$8)</f>
        <v/>
      </c>
      <c r="K76" s="0">
        <f>Codex_Regional!K13*(Codex_sources!$N$8/Codex_sources!$M$8)</f>
        <v/>
      </c>
      <c r="L76" s="0">
        <f>Codex_Regional!L13*(Codex_sources!$N$8/Codex_sources!$M$8)</f>
        <v/>
      </c>
      <c r="M76" s="0">
        <f>Codex_Regional!M13*(Codex_sources!$N$8/Codex_sources!$M$8)</f>
        <v/>
      </c>
      <c r="N76" s="0">
        <f>Codex_Regional!N13*(Codex_sources!$N$8/Codex_sources!$M$8)</f>
        <v/>
      </c>
      <c r="O76" s="0">
        <f>Codex_Regional!O13*(Codex_sources!$N$8/Codex_sources!$M$8)</f>
        <v/>
      </c>
      <c r="P76" s="0">
        <f>Codex_Regional!P13*(Codex_sources!$N$8/Codex_sources!$M$8)</f>
        <v/>
      </c>
      <c r="Q76" s="0">
        <f>Codex_Regional!Q13*(Codex_sources!$N$8/Codex_sources!$M$8)</f>
        <v/>
      </c>
      <c r="R76" s="0">
        <f>Codex_Regional!R13*(Codex_sources!$N$8/Codex_sources!$M$8)</f>
        <v/>
      </c>
      <c r="S76" s="0">
        <f>Codex_Regional!S13*(Codex_sources!$N$8/Codex_sources!$M$8)</f>
        <v/>
      </c>
      <c r="T76" s="0">
        <f>Codex_Regional!T13*(Codex_sources!$N$8/Codex_sources!$M$8)</f>
        <v/>
      </c>
      <c r="U76" s="0">
        <f>Codex_Regional!U13*(Codex_sources!$N$8/Codex_sources!$M$8)</f>
        <v/>
      </c>
      <c r="V76" s="0">
        <f>Codex_Regional!V13*(Codex_sources!$N$8/Codex_sources!$M$8)</f>
        <v/>
      </c>
      <c r="W76" s="0">
        <f>Codex_Regional!W13*(Codex_sources!$N$8/Codex_sources!$M$8)</f>
        <v/>
      </c>
      <c r="X76" s="0">
        <f>Codex_Regional!X13*(Codex_sources!$N$8/Codex_sources!$M$8)</f>
        <v/>
      </c>
      <c r="Y76" s="0">
        <f>Codex_Regional!Y13*(Codex_sources!$N$8/Codex_sources!$M$8)</f>
        <v/>
      </c>
      <c r="Z76" s="0">
        <f>Codex_Regional!Z13*(Codex_sources!$N$8/Codex_sources!$M$8)</f>
        <v/>
      </c>
      <c r="AA76" s="0">
        <f>Codex_Regional!AA13*(Codex_sources!$N$8/Codex_sources!$M$8)</f>
        <v/>
      </c>
      <c r="AB76" s="0">
        <f>Codex_Regional!AB13*(Codex_sources!$N$8/Codex_sources!$M$8)</f>
        <v/>
      </c>
      <c r="AC76" s="0">
        <f>Codex_Regional!AC13*(Codex_sources!$N$8/Codex_sources!$M$8)</f>
        <v/>
      </c>
      <c r="AD76" s="0">
        <f>Codex_Regional!AD13*(Codex_sources!$N$8/Codex_sources!$M$8)</f>
        <v/>
      </c>
      <c r="AE76" s="0">
        <f>Codex_Regional!AE13*(Codex_sources!$N$8/Codex_sources!$M$8)</f>
        <v/>
      </c>
      <c r="AF76" s="0">
        <f>Codex_Regional!AF13*(Codex_sources!$N$8/Codex_sources!$M$8)</f>
        <v/>
      </c>
      <c r="AG76" s="0">
        <f>Codex_Regional!AG13*(Codex_sources!$N$8/Codex_sources!$M$8)</f>
        <v/>
      </c>
      <c r="AH76" s="0">
        <f>Codex_Regional!AH13*(Codex_sources!$N$8/Codex_sources!$M$8)</f>
        <v/>
      </c>
      <c r="AI76" s="0">
        <f>Codex_Regional!AI13*(Codex_sources!$N$8/Codex_sources!$M$8)</f>
        <v/>
      </c>
      <c r="AJ76" s="0">
        <f>Codex_Regional!AJ13*(Codex_sources!$N$8/Codex_sources!$M$8)</f>
        <v/>
      </c>
      <c r="AK76" s="0">
        <f>Codex_Regional!AK13*(Codex_sources!$N$8/Codex_sources!$M$8)</f>
        <v/>
      </c>
      <c r="AL76" s="0">
        <f>Codex_Regional!AL13*(Codex_sources!$N$8/Codex_sources!$M$8)</f>
        <v/>
      </c>
      <c r="AM76" s="0">
        <f>Codex_Regional!AM13*(Codex_sources!$N$8/Codex_sources!$M$8)</f>
        <v/>
      </c>
      <c r="AN76" s="0">
        <f>Codex_Regional!AN13*(Codex_sources!$N$8/Codex_sources!$M$8)</f>
        <v/>
      </c>
      <c r="AO76" s="0">
        <f>AO75</f>
        <v/>
      </c>
    </row>
    <row r="77">
      <c r="C77" s="0" t="inlineStr">
        <is>
          <t>MINMnRSV3</t>
        </is>
      </c>
      <c r="D77" s="0" t="inlineStr">
        <is>
          <t>BNDACT</t>
        </is>
      </c>
      <c r="AO77" s="0">
        <f>AO76</f>
        <v/>
      </c>
    </row>
    <row r="78">
      <c r="C78" s="0" t="inlineStr">
        <is>
          <t>MINMnRSV3</t>
        </is>
      </c>
      <c r="D78" s="0" t="inlineStr">
        <is>
          <t>CUM</t>
        </is>
      </c>
      <c r="F78" s="0">
        <f>SUMIFS(Codex_USGS_raw!$E$2:$E$94,Codex_USGS_raw!$A$2:$A$94,Codex_sources!$A$8,Codex_USGS_raw!$C$2:$C$94,F$4)*Codex_sources!$D$8*Codex_sources!$L$8</f>
        <v/>
      </c>
      <c r="G78" s="0">
        <f>SUMIFS(Codex_USGS_raw!$E$2:$E$94,Codex_USGS_raw!$A$2:$A$94,Codex_sources!$A$8,Codex_USGS_raw!$C$2:$C$94,G$4)*Codex_sources!$D$8*Codex_sources!$L$8</f>
        <v/>
      </c>
      <c r="H78" s="0">
        <f>SUMIFS(Codex_USGS_raw!$E$2:$E$94,Codex_USGS_raw!$A$2:$A$94,Codex_sources!$A$8,Codex_USGS_raw!$C$2:$C$94,H$4)*Codex_sources!$D$8*Codex_sources!$L$8</f>
        <v/>
      </c>
      <c r="I78" s="0">
        <f>SUMIFS(Codex_USGS_raw!$E$2:$E$94,Codex_USGS_raw!$A$2:$A$94,Codex_sources!$A$8,Codex_USGS_raw!$C$2:$C$94,I$4)*Codex_sources!$D$8*Codex_sources!$L$8</f>
        <v/>
      </c>
      <c r="J78" s="0">
        <f>SUMIFS(Codex_USGS_raw!$E$2:$E$94,Codex_USGS_raw!$A$2:$A$94,Codex_sources!$A$8,Codex_USGS_raw!$C$2:$C$94,J$4)*Codex_sources!$D$8*Codex_sources!$L$8</f>
        <v/>
      </c>
      <c r="K78" s="0">
        <f>SUMIFS(Codex_USGS_raw!$E$2:$E$94,Codex_USGS_raw!$A$2:$A$94,Codex_sources!$A$8,Codex_USGS_raw!$C$2:$C$94,K$4)*Codex_sources!$D$8*Codex_sources!$L$8</f>
        <v/>
      </c>
      <c r="L78" s="0">
        <f>SUMIFS(Codex_USGS_raw!$E$2:$E$94,Codex_USGS_raw!$A$2:$A$94,Codex_sources!$A$8,Codex_USGS_raw!$C$2:$C$94,L$4)*Codex_sources!$D$8*Codex_sources!$L$8</f>
        <v/>
      </c>
      <c r="M78" s="0">
        <f>SUMIFS(Codex_USGS_raw!$E$2:$E$94,Codex_USGS_raw!$A$2:$A$94,Codex_sources!$A$8,Codex_USGS_raw!$C$2:$C$94,M$4)*Codex_sources!$D$8*Codex_sources!$L$8</f>
        <v/>
      </c>
      <c r="N78" s="0">
        <f>SUMIFS(Codex_USGS_raw!$E$2:$E$94,Codex_USGS_raw!$A$2:$A$94,Codex_sources!$A$8,Codex_USGS_raw!$C$2:$C$94,N$4)*Codex_sources!$D$8*Codex_sources!$L$8</f>
        <v/>
      </c>
      <c r="O78" s="0">
        <f>SUMIFS(Codex_USGS_raw!$E$2:$E$94,Codex_USGS_raw!$A$2:$A$94,Codex_sources!$A$8,Codex_USGS_raw!$C$2:$C$94,O$4)*Codex_sources!$D$8*Codex_sources!$L$8</f>
        <v/>
      </c>
      <c r="P78" s="0">
        <f>SUMIFS(Codex_USGS_raw!$E$2:$E$94,Codex_USGS_raw!$A$2:$A$94,Codex_sources!$A$8,Codex_USGS_raw!$C$2:$C$94,P$4)*Codex_sources!$D$8*Codex_sources!$L$8</f>
        <v/>
      </c>
      <c r="Q78" s="0">
        <f>SUMIFS(Codex_USGS_raw!$E$2:$E$94,Codex_USGS_raw!$A$2:$A$94,Codex_sources!$A$8,Codex_USGS_raw!$C$2:$C$94,Q$4)*Codex_sources!$D$8*Codex_sources!$L$8</f>
        <v/>
      </c>
      <c r="R78" s="0">
        <f>SUMIFS(Codex_USGS_raw!$E$2:$E$94,Codex_USGS_raw!$A$2:$A$94,Codex_sources!$A$8,Codex_USGS_raw!$C$2:$C$94,R$4)*Codex_sources!$D$8*Codex_sources!$L$8</f>
        <v/>
      </c>
      <c r="S78" s="0">
        <f>SUMIFS(Codex_USGS_raw!$E$2:$E$94,Codex_USGS_raw!$A$2:$A$94,Codex_sources!$A$8,Codex_USGS_raw!$C$2:$C$94,S$4)*Codex_sources!$D$8*Codex_sources!$L$8</f>
        <v/>
      </c>
      <c r="T78" s="0">
        <f>SUMIFS(Codex_USGS_raw!$E$2:$E$94,Codex_USGS_raw!$A$2:$A$94,Codex_sources!$A$8,Codex_USGS_raw!$C$2:$C$94,T$4)*Codex_sources!$D$8*Codex_sources!$L$8</f>
        <v/>
      </c>
      <c r="U78" s="0">
        <f>SUMIFS(Codex_USGS_raw!$E$2:$E$94,Codex_USGS_raw!$A$2:$A$94,Codex_sources!$A$8,Codex_USGS_raw!$C$2:$C$94,U$4)*Codex_sources!$D$8*Codex_sources!$L$8</f>
        <v/>
      </c>
      <c r="V78" s="0">
        <f>SUMIFS(Codex_USGS_raw!$E$2:$E$94,Codex_USGS_raw!$A$2:$A$94,Codex_sources!$A$8,Codex_USGS_raw!$C$2:$C$94,V$4)*Codex_sources!$D$8*Codex_sources!$L$8</f>
        <v/>
      </c>
      <c r="W78" s="0">
        <f>SUMIFS(Codex_USGS_raw!$E$2:$E$94,Codex_USGS_raw!$A$2:$A$94,Codex_sources!$A$8,Codex_USGS_raw!$C$2:$C$94,W$4)*Codex_sources!$D$8*Codex_sources!$L$8</f>
        <v/>
      </c>
      <c r="X78" s="0">
        <f>SUMIFS(Codex_USGS_raw!$E$2:$E$94,Codex_USGS_raw!$A$2:$A$94,Codex_sources!$A$8,Codex_USGS_raw!$C$2:$C$94,X$4)*Codex_sources!$D$8*Codex_sources!$L$8</f>
        <v/>
      </c>
      <c r="Y78" s="0">
        <f>SUMIFS(Codex_USGS_raw!$E$2:$E$94,Codex_USGS_raw!$A$2:$A$94,Codex_sources!$A$8,Codex_USGS_raw!$C$2:$C$94,Y$4)*Codex_sources!$D$8*Codex_sources!$L$8</f>
        <v/>
      </c>
      <c r="Z78" s="0">
        <f>SUMIFS(Codex_USGS_raw!$E$2:$E$94,Codex_USGS_raw!$A$2:$A$94,Codex_sources!$A$8,Codex_USGS_raw!$C$2:$C$94,Z$4)*Codex_sources!$D$8*Codex_sources!$L$8</f>
        <v/>
      </c>
      <c r="AA78" s="0">
        <f>SUMIFS(Codex_USGS_raw!$E$2:$E$94,Codex_USGS_raw!$A$2:$A$94,Codex_sources!$A$8,Codex_USGS_raw!$C$2:$C$94,AA$4)*Codex_sources!$D$8*Codex_sources!$L$8</f>
        <v/>
      </c>
      <c r="AB78" s="0">
        <f>SUMIFS(Codex_USGS_raw!$E$2:$E$94,Codex_USGS_raw!$A$2:$A$94,Codex_sources!$A$8,Codex_USGS_raw!$C$2:$C$94,AB$4)*Codex_sources!$D$8*Codex_sources!$L$8</f>
        <v/>
      </c>
      <c r="AC78" s="0">
        <f>SUMIFS(Codex_USGS_raw!$E$2:$E$94,Codex_USGS_raw!$A$2:$A$94,Codex_sources!$A$8,Codex_USGS_raw!$C$2:$C$94,AC$4)*Codex_sources!$D$8*Codex_sources!$L$8</f>
        <v/>
      </c>
      <c r="AD78" s="0">
        <f>SUMIFS(Codex_USGS_raw!$E$2:$E$94,Codex_USGS_raw!$A$2:$A$94,Codex_sources!$A$8,Codex_USGS_raw!$C$2:$C$94,AD$4)*Codex_sources!$D$8*Codex_sources!$L$8</f>
        <v/>
      </c>
      <c r="AE78" s="0">
        <f>SUMIFS(Codex_USGS_raw!$E$2:$E$94,Codex_USGS_raw!$A$2:$A$94,Codex_sources!$A$8,Codex_USGS_raw!$C$2:$C$94,AE$4)*Codex_sources!$D$8*Codex_sources!$L$8</f>
        <v/>
      </c>
      <c r="AF78" s="0">
        <f>SUMIFS(Codex_USGS_raw!$E$2:$E$94,Codex_USGS_raw!$A$2:$A$94,Codex_sources!$A$8,Codex_USGS_raw!$C$2:$C$94,AF$4)*Codex_sources!$D$8*Codex_sources!$L$8</f>
        <v/>
      </c>
      <c r="AG78" s="0">
        <f>SUMIFS(Codex_USGS_raw!$E$2:$E$94,Codex_USGS_raw!$A$2:$A$94,Codex_sources!$A$8,Codex_USGS_raw!$C$2:$C$94,AG$4)*Codex_sources!$D$8*Codex_sources!$L$8</f>
        <v/>
      </c>
      <c r="AH78" s="0">
        <f>SUMIFS(Codex_USGS_raw!$E$2:$E$94,Codex_USGS_raw!$A$2:$A$94,Codex_sources!$A$8,Codex_USGS_raw!$C$2:$C$94,AH$4)*Codex_sources!$D$8*Codex_sources!$L$8</f>
        <v/>
      </c>
      <c r="AI78" s="0">
        <f>SUMIFS(Codex_USGS_raw!$E$2:$E$94,Codex_USGS_raw!$A$2:$A$94,Codex_sources!$A$8,Codex_USGS_raw!$C$2:$C$94,AI$4)*Codex_sources!$D$8*Codex_sources!$L$8</f>
        <v/>
      </c>
      <c r="AJ78" s="0">
        <f>SUMIFS(Codex_USGS_raw!$E$2:$E$94,Codex_USGS_raw!$A$2:$A$94,Codex_sources!$A$8,Codex_USGS_raw!$C$2:$C$94,AJ$4)*Codex_sources!$D$8*Codex_sources!$L$8</f>
        <v/>
      </c>
      <c r="AK78" s="0">
        <f>SUMIFS(Codex_USGS_raw!$E$2:$E$94,Codex_USGS_raw!$A$2:$A$94,Codex_sources!$A$8,Codex_USGS_raw!$C$2:$C$94,AK$4)*Codex_sources!$D$8*Codex_sources!$L$8</f>
        <v/>
      </c>
      <c r="AL78" s="0">
        <f>SUMIFS(Codex_USGS_raw!$E$2:$E$94,Codex_USGS_raw!$A$2:$A$94,Codex_sources!$A$8,Codex_USGS_raw!$C$2:$C$94,AL$4)*Codex_sources!$D$8*Codex_sources!$L$8</f>
        <v/>
      </c>
      <c r="AM78" s="0">
        <f>SUMIFS(Codex_USGS_raw!$E$2:$E$94,Codex_USGS_raw!$A$2:$A$94,Codex_sources!$A$8,Codex_USGS_raw!$C$2:$C$94,AM$4)*Codex_sources!$D$8*Codex_sources!$L$8</f>
        <v/>
      </c>
      <c r="AN78" s="0">
        <f>SUMIFS(Codex_USGS_raw!$E$2:$E$94,Codex_USGS_raw!$A$2:$A$94,Codex_sources!$A$8,Codex_USGS_raw!$C$2:$C$94,AN$4)*Codex_sources!$D$8*Codex_sources!$L$8</f>
        <v/>
      </c>
      <c r="AO78" s="0">
        <f>AO77</f>
        <v/>
      </c>
    </row>
    <row r="79">
      <c r="C79" s="0" t="inlineStr">
        <is>
          <t>MINMnRSV3</t>
        </is>
      </c>
      <c r="D79" s="0" t="inlineStr">
        <is>
          <t>COST</t>
        </is>
      </c>
      <c r="E79" s="0" t="inlineStr">
        <is>
          <t>m_manganese</t>
        </is>
      </c>
      <c r="F79" s="0">
        <f>Codex_Regional!F13*(Codex_sources!$O$8/Codex_sources!$M$8)</f>
        <v/>
      </c>
      <c r="G79" s="0">
        <f>Codex_Regional!G13*(Codex_sources!$O$8/Codex_sources!$M$8)</f>
        <v/>
      </c>
      <c r="H79" s="0">
        <f>Codex_Regional!H13*(Codex_sources!$O$8/Codex_sources!$M$8)</f>
        <v/>
      </c>
      <c r="I79" s="0">
        <f>Codex_Regional!I13*(Codex_sources!$O$8/Codex_sources!$M$8)</f>
        <v/>
      </c>
      <c r="J79" s="0">
        <f>Codex_Regional!J13*(Codex_sources!$O$8/Codex_sources!$M$8)</f>
        <v/>
      </c>
      <c r="K79" s="0">
        <f>Codex_Regional!K13*(Codex_sources!$O$8/Codex_sources!$M$8)</f>
        <v/>
      </c>
      <c r="L79" s="0">
        <f>Codex_Regional!L13*(Codex_sources!$O$8/Codex_sources!$M$8)</f>
        <v/>
      </c>
      <c r="M79" s="0">
        <f>Codex_Regional!M13*(Codex_sources!$O$8/Codex_sources!$M$8)</f>
        <v/>
      </c>
      <c r="N79" s="0">
        <f>Codex_Regional!N13*(Codex_sources!$O$8/Codex_sources!$M$8)</f>
        <v/>
      </c>
      <c r="O79" s="0">
        <f>Codex_Regional!O13*(Codex_sources!$O$8/Codex_sources!$M$8)</f>
        <v/>
      </c>
      <c r="P79" s="0">
        <f>Codex_Regional!P13*(Codex_sources!$O$8/Codex_sources!$M$8)</f>
        <v/>
      </c>
      <c r="Q79" s="0">
        <f>Codex_Regional!Q13*(Codex_sources!$O$8/Codex_sources!$M$8)</f>
        <v/>
      </c>
      <c r="R79" s="0">
        <f>Codex_Regional!R13*(Codex_sources!$O$8/Codex_sources!$M$8)</f>
        <v/>
      </c>
      <c r="S79" s="0">
        <f>Codex_Regional!S13*(Codex_sources!$O$8/Codex_sources!$M$8)</f>
        <v/>
      </c>
      <c r="T79" s="0">
        <f>Codex_Regional!T13*(Codex_sources!$O$8/Codex_sources!$M$8)</f>
        <v/>
      </c>
      <c r="U79" s="0">
        <f>Codex_Regional!U13*(Codex_sources!$O$8/Codex_sources!$M$8)</f>
        <v/>
      </c>
      <c r="V79" s="0">
        <f>Codex_Regional!V13*(Codex_sources!$O$8/Codex_sources!$M$8)</f>
        <v/>
      </c>
      <c r="W79" s="0">
        <f>Codex_Regional!W13*(Codex_sources!$O$8/Codex_sources!$M$8)</f>
        <v/>
      </c>
      <c r="X79" s="0">
        <f>Codex_Regional!X13*(Codex_sources!$O$8/Codex_sources!$M$8)</f>
        <v/>
      </c>
      <c r="Y79" s="0">
        <f>Codex_Regional!Y13*(Codex_sources!$O$8/Codex_sources!$M$8)</f>
        <v/>
      </c>
      <c r="Z79" s="0">
        <f>Codex_Regional!Z13*(Codex_sources!$O$8/Codex_sources!$M$8)</f>
        <v/>
      </c>
      <c r="AA79" s="0">
        <f>Codex_Regional!AA13*(Codex_sources!$O$8/Codex_sources!$M$8)</f>
        <v/>
      </c>
      <c r="AB79" s="0">
        <f>Codex_Regional!AB13*(Codex_sources!$O$8/Codex_sources!$M$8)</f>
        <v/>
      </c>
      <c r="AC79" s="0">
        <f>Codex_Regional!AC13*(Codex_sources!$O$8/Codex_sources!$M$8)</f>
        <v/>
      </c>
      <c r="AD79" s="0">
        <f>Codex_Regional!AD13*(Codex_sources!$O$8/Codex_sources!$M$8)</f>
        <v/>
      </c>
      <c r="AE79" s="0">
        <f>Codex_Regional!AE13*(Codex_sources!$O$8/Codex_sources!$M$8)</f>
        <v/>
      </c>
      <c r="AF79" s="0">
        <f>Codex_Regional!AF13*(Codex_sources!$O$8/Codex_sources!$M$8)</f>
        <v/>
      </c>
      <c r="AG79" s="0">
        <f>Codex_Regional!AG13*(Codex_sources!$O$8/Codex_sources!$M$8)</f>
        <v/>
      </c>
      <c r="AH79" s="0">
        <f>Codex_Regional!AH13*(Codex_sources!$O$8/Codex_sources!$M$8)</f>
        <v/>
      </c>
      <c r="AI79" s="0">
        <f>Codex_Regional!AI13*(Codex_sources!$O$8/Codex_sources!$M$8)</f>
        <v/>
      </c>
      <c r="AJ79" s="0">
        <f>Codex_Regional!AJ13*(Codex_sources!$O$8/Codex_sources!$M$8)</f>
        <v/>
      </c>
      <c r="AK79" s="0">
        <f>Codex_Regional!AK13*(Codex_sources!$O$8/Codex_sources!$M$8)</f>
        <v/>
      </c>
      <c r="AL79" s="0">
        <f>Codex_Regional!AL13*(Codex_sources!$O$8/Codex_sources!$M$8)</f>
        <v/>
      </c>
      <c r="AM79" s="0">
        <f>Codex_Regional!AM13*(Codex_sources!$O$8/Codex_sources!$M$8)</f>
        <v/>
      </c>
      <c r="AN79" s="0">
        <f>Codex_Regional!AN13*(Codex_sources!$O$8/Codex_sources!$M$8)</f>
        <v/>
      </c>
      <c r="AO79" s="0">
        <f>AO78</f>
        <v/>
      </c>
    </row>
    <row r="80">
      <c r="AO80" s="0">
        <f>AO79</f>
        <v/>
      </c>
    </row>
    <row r="81">
      <c r="C81" s="0" t="inlineStr">
        <is>
          <t>MINAlRSV1</t>
        </is>
      </c>
      <c r="D81" s="0" t="inlineStr">
        <is>
          <t>BNDACT</t>
        </is>
      </c>
      <c r="F81" s="0">
        <f>SUMIFS(Codex_USGS_raw!$D$2:$D$94,Codex_USGS_raw!$A$2:$A$94,Codex_sources!$A$9,Codex_USGS_raw!$C$2:$C$94,F$4)*Codex_sources!$D$9*1</f>
        <v/>
      </c>
      <c r="G81" s="0">
        <f>SUMIFS(Codex_USGS_raw!$D$2:$D$94,Codex_USGS_raw!$A$2:$A$94,Codex_sources!$A$9,Codex_USGS_raw!$C$2:$C$94,G$4)*Codex_sources!$D$9*1</f>
        <v/>
      </c>
      <c r="H81" s="0">
        <f>SUMIFS(Codex_USGS_raw!$D$2:$D$94,Codex_USGS_raw!$A$2:$A$94,Codex_sources!$A$9,Codex_USGS_raw!$C$2:$C$94,H$4)*Codex_sources!$D$9*1</f>
        <v/>
      </c>
      <c r="I81" s="0">
        <f>SUMIFS(Codex_USGS_raw!$D$2:$D$94,Codex_USGS_raw!$A$2:$A$94,Codex_sources!$A$9,Codex_USGS_raw!$C$2:$C$94,I$4)*Codex_sources!$D$9*1</f>
        <v/>
      </c>
      <c r="J81" s="0">
        <f>SUMIFS(Codex_USGS_raw!$D$2:$D$94,Codex_USGS_raw!$A$2:$A$94,Codex_sources!$A$9,Codex_USGS_raw!$C$2:$C$94,J$4)*Codex_sources!$D$9*1</f>
        <v/>
      </c>
      <c r="K81" s="0">
        <f>SUMIFS(Codex_USGS_raw!$D$2:$D$94,Codex_USGS_raw!$A$2:$A$94,Codex_sources!$A$9,Codex_USGS_raw!$C$2:$C$94,K$4)*Codex_sources!$D$9*1</f>
        <v/>
      </c>
      <c r="L81" s="0">
        <f>SUMIFS(Codex_USGS_raw!$D$2:$D$94,Codex_USGS_raw!$A$2:$A$94,Codex_sources!$A$9,Codex_USGS_raw!$C$2:$C$94,L$4)*Codex_sources!$D$9*1</f>
        <v/>
      </c>
      <c r="M81" s="0">
        <f>SUMIFS(Codex_USGS_raw!$D$2:$D$94,Codex_USGS_raw!$A$2:$A$94,Codex_sources!$A$9,Codex_USGS_raw!$C$2:$C$94,M$4)*Codex_sources!$D$9*1</f>
        <v/>
      </c>
      <c r="N81" s="0">
        <f>SUMIFS(Codex_USGS_raw!$D$2:$D$94,Codex_USGS_raw!$A$2:$A$94,Codex_sources!$A$9,Codex_USGS_raw!$C$2:$C$94,N$4)*Codex_sources!$D$9*1</f>
        <v/>
      </c>
      <c r="O81" s="0">
        <f>SUMIFS(Codex_USGS_raw!$D$2:$D$94,Codex_USGS_raw!$A$2:$A$94,Codex_sources!$A$9,Codex_USGS_raw!$C$2:$C$94,O$4)*Codex_sources!$D$9*1</f>
        <v/>
      </c>
      <c r="P81" s="0">
        <f>SUMIFS(Codex_USGS_raw!$D$2:$D$94,Codex_USGS_raw!$A$2:$A$94,Codex_sources!$A$9,Codex_USGS_raw!$C$2:$C$94,P$4)*Codex_sources!$D$9*1</f>
        <v/>
      </c>
      <c r="Q81" s="0">
        <f>SUMIFS(Codex_USGS_raw!$D$2:$D$94,Codex_USGS_raw!$A$2:$A$94,Codex_sources!$A$9,Codex_USGS_raw!$C$2:$C$94,Q$4)*Codex_sources!$D$9*1</f>
        <v/>
      </c>
      <c r="R81" s="0">
        <f>SUMIFS(Codex_USGS_raw!$D$2:$D$94,Codex_USGS_raw!$A$2:$A$94,Codex_sources!$A$9,Codex_USGS_raw!$C$2:$C$94,R$4)*Codex_sources!$D$9*1</f>
        <v/>
      </c>
      <c r="S81" s="0">
        <f>SUMIFS(Codex_USGS_raw!$D$2:$D$94,Codex_USGS_raw!$A$2:$A$94,Codex_sources!$A$9,Codex_USGS_raw!$C$2:$C$94,S$4)*Codex_sources!$D$9*1</f>
        <v/>
      </c>
      <c r="T81" s="0">
        <f>SUMIFS(Codex_USGS_raw!$D$2:$D$94,Codex_USGS_raw!$A$2:$A$94,Codex_sources!$A$9,Codex_USGS_raw!$C$2:$C$94,T$4)*Codex_sources!$D$9*1</f>
        <v/>
      </c>
      <c r="U81" s="0">
        <f>SUMIFS(Codex_USGS_raw!$D$2:$D$94,Codex_USGS_raw!$A$2:$A$94,Codex_sources!$A$9,Codex_USGS_raw!$C$2:$C$94,U$4)*Codex_sources!$D$9*1</f>
        <v/>
      </c>
      <c r="V81" s="0">
        <f>SUMIFS(Codex_USGS_raw!$D$2:$D$94,Codex_USGS_raw!$A$2:$A$94,Codex_sources!$A$9,Codex_USGS_raw!$C$2:$C$94,V$4)*Codex_sources!$D$9*1</f>
        <v/>
      </c>
      <c r="W81" s="0">
        <f>SUMIFS(Codex_USGS_raw!$D$2:$D$94,Codex_USGS_raw!$A$2:$A$94,Codex_sources!$A$9,Codex_USGS_raw!$C$2:$C$94,W$4)*Codex_sources!$D$9*1</f>
        <v/>
      </c>
      <c r="X81" s="0">
        <f>SUMIFS(Codex_USGS_raw!$D$2:$D$94,Codex_USGS_raw!$A$2:$A$94,Codex_sources!$A$9,Codex_USGS_raw!$C$2:$C$94,X$4)*Codex_sources!$D$9*1</f>
        <v/>
      </c>
      <c r="Y81" s="0">
        <f>SUMIFS(Codex_USGS_raw!$D$2:$D$94,Codex_USGS_raw!$A$2:$A$94,Codex_sources!$A$9,Codex_USGS_raw!$C$2:$C$94,Y$4)*Codex_sources!$D$9*1</f>
        <v/>
      </c>
      <c r="Z81" s="0">
        <f>SUMIFS(Codex_USGS_raw!$D$2:$D$94,Codex_USGS_raw!$A$2:$A$94,Codex_sources!$A$9,Codex_USGS_raw!$C$2:$C$94,Z$4)*Codex_sources!$D$9*1</f>
        <v/>
      </c>
      <c r="AA81" s="0">
        <f>SUMIFS(Codex_USGS_raw!$D$2:$D$94,Codex_USGS_raw!$A$2:$A$94,Codex_sources!$A$9,Codex_USGS_raw!$C$2:$C$94,AA$4)*Codex_sources!$D$9*1</f>
        <v/>
      </c>
      <c r="AB81" s="0">
        <f>SUMIFS(Codex_USGS_raw!$D$2:$D$94,Codex_USGS_raw!$A$2:$A$94,Codex_sources!$A$9,Codex_USGS_raw!$C$2:$C$94,AB$4)*Codex_sources!$D$9*1</f>
        <v/>
      </c>
      <c r="AC81" s="0">
        <f>SUMIFS(Codex_USGS_raw!$D$2:$D$94,Codex_USGS_raw!$A$2:$A$94,Codex_sources!$A$9,Codex_USGS_raw!$C$2:$C$94,AC$4)*Codex_sources!$D$9*1</f>
        <v/>
      </c>
      <c r="AD81" s="0">
        <f>SUMIFS(Codex_USGS_raw!$D$2:$D$94,Codex_USGS_raw!$A$2:$A$94,Codex_sources!$A$9,Codex_USGS_raw!$C$2:$C$94,AD$4)*Codex_sources!$D$9*1</f>
        <v/>
      </c>
      <c r="AE81" s="0">
        <f>SUMIFS(Codex_USGS_raw!$D$2:$D$94,Codex_USGS_raw!$A$2:$A$94,Codex_sources!$A$9,Codex_USGS_raw!$C$2:$C$94,AE$4)*Codex_sources!$D$9*1</f>
        <v/>
      </c>
      <c r="AF81" s="0">
        <f>SUMIFS(Codex_USGS_raw!$D$2:$D$94,Codex_USGS_raw!$A$2:$A$94,Codex_sources!$A$9,Codex_USGS_raw!$C$2:$C$94,AF$4)*Codex_sources!$D$9*1</f>
        <v/>
      </c>
      <c r="AG81" s="0">
        <f>SUMIFS(Codex_USGS_raw!$D$2:$D$94,Codex_USGS_raw!$A$2:$A$94,Codex_sources!$A$9,Codex_USGS_raw!$C$2:$C$94,AG$4)*Codex_sources!$D$9*1</f>
        <v/>
      </c>
      <c r="AH81" s="0">
        <f>SUMIFS(Codex_USGS_raw!$D$2:$D$94,Codex_USGS_raw!$A$2:$A$94,Codex_sources!$A$9,Codex_USGS_raw!$C$2:$C$94,AH$4)*Codex_sources!$D$9*1</f>
        <v/>
      </c>
      <c r="AI81" s="0">
        <f>SUMIFS(Codex_USGS_raw!$D$2:$D$94,Codex_USGS_raw!$A$2:$A$94,Codex_sources!$A$9,Codex_USGS_raw!$C$2:$C$94,AI$4)*Codex_sources!$D$9*1</f>
        <v/>
      </c>
      <c r="AJ81" s="0">
        <f>SUMIFS(Codex_USGS_raw!$D$2:$D$94,Codex_USGS_raw!$A$2:$A$94,Codex_sources!$A$9,Codex_USGS_raw!$C$2:$C$94,AJ$4)*Codex_sources!$D$9*1</f>
        <v/>
      </c>
      <c r="AK81" s="0">
        <f>SUMIFS(Codex_USGS_raw!$D$2:$D$94,Codex_USGS_raw!$A$2:$A$94,Codex_sources!$A$9,Codex_USGS_raw!$C$2:$C$94,AK$4)*Codex_sources!$D$9*1</f>
        <v/>
      </c>
      <c r="AL81" s="0">
        <f>SUMIFS(Codex_USGS_raw!$D$2:$D$94,Codex_USGS_raw!$A$2:$A$94,Codex_sources!$A$9,Codex_USGS_raw!$C$2:$C$94,AL$4)*Codex_sources!$D$9*1</f>
        <v/>
      </c>
      <c r="AM81" s="0">
        <f>SUMIFS(Codex_USGS_raw!$D$2:$D$94,Codex_USGS_raw!$A$2:$A$94,Codex_sources!$A$9,Codex_USGS_raw!$C$2:$C$94,AM$4)*Codex_sources!$D$9*1</f>
        <v/>
      </c>
      <c r="AN81" s="0">
        <f>SUMIFS(Codex_USGS_raw!$D$2:$D$94,Codex_USGS_raw!$A$2:$A$94,Codex_sources!$A$9,Codex_USGS_raw!$C$2:$C$94,AN$4)*Codex_sources!$D$9*1</f>
        <v/>
      </c>
      <c r="AO81" s="0">
        <f>AO80</f>
        <v/>
      </c>
    </row>
    <row r="82">
      <c r="C82" s="0" t="inlineStr">
        <is>
          <t>MINAlRSV1</t>
        </is>
      </c>
      <c r="D82" s="0" t="inlineStr">
        <is>
          <t>CUM</t>
        </is>
      </c>
      <c r="F82" s="0">
        <f>SUMIFS(Codex_USGS_raw!$E$2:$E$94,Codex_USGS_raw!$A$2:$A$94,Codex_sources!$A$9,Codex_USGS_raw!$C$2:$C$94,F$4)*Codex_sources!$D$9*Codex_sources!$J$9</f>
        <v/>
      </c>
      <c r="G82" s="0">
        <f>SUMIFS(Codex_USGS_raw!$E$2:$E$94,Codex_USGS_raw!$A$2:$A$94,Codex_sources!$A$9,Codex_USGS_raw!$C$2:$C$94,G$4)*Codex_sources!$D$9*Codex_sources!$J$9</f>
        <v/>
      </c>
      <c r="H82" s="0">
        <f>SUMIFS(Codex_USGS_raw!$E$2:$E$94,Codex_USGS_raw!$A$2:$A$94,Codex_sources!$A$9,Codex_USGS_raw!$C$2:$C$94,H$4)*Codex_sources!$D$9*Codex_sources!$J$9</f>
        <v/>
      </c>
      <c r="I82" s="0">
        <f>SUMIFS(Codex_USGS_raw!$E$2:$E$94,Codex_USGS_raw!$A$2:$A$94,Codex_sources!$A$9,Codex_USGS_raw!$C$2:$C$94,I$4)*Codex_sources!$D$9*Codex_sources!$J$9</f>
        <v/>
      </c>
      <c r="J82" s="0">
        <f>SUMIFS(Codex_USGS_raw!$E$2:$E$94,Codex_USGS_raw!$A$2:$A$94,Codex_sources!$A$9,Codex_USGS_raw!$C$2:$C$94,J$4)*Codex_sources!$D$9*Codex_sources!$J$9</f>
        <v/>
      </c>
      <c r="K82" s="0">
        <f>SUMIFS(Codex_USGS_raw!$E$2:$E$94,Codex_USGS_raw!$A$2:$A$94,Codex_sources!$A$9,Codex_USGS_raw!$C$2:$C$94,K$4)*Codex_sources!$D$9*Codex_sources!$J$9</f>
        <v/>
      </c>
      <c r="L82" s="0">
        <f>SUMIFS(Codex_USGS_raw!$E$2:$E$94,Codex_USGS_raw!$A$2:$A$94,Codex_sources!$A$9,Codex_USGS_raw!$C$2:$C$94,L$4)*Codex_sources!$D$9*Codex_sources!$J$9</f>
        <v/>
      </c>
      <c r="M82" s="0">
        <f>SUMIFS(Codex_USGS_raw!$E$2:$E$94,Codex_USGS_raw!$A$2:$A$94,Codex_sources!$A$9,Codex_USGS_raw!$C$2:$C$94,M$4)*Codex_sources!$D$9*Codex_sources!$J$9</f>
        <v/>
      </c>
      <c r="N82" s="0">
        <f>SUMIFS(Codex_USGS_raw!$E$2:$E$94,Codex_USGS_raw!$A$2:$A$94,Codex_sources!$A$9,Codex_USGS_raw!$C$2:$C$94,N$4)*Codex_sources!$D$9*Codex_sources!$J$9</f>
        <v/>
      </c>
      <c r="O82" s="0">
        <f>SUMIFS(Codex_USGS_raw!$E$2:$E$94,Codex_USGS_raw!$A$2:$A$94,Codex_sources!$A$9,Codex_USGS_raw!$C$2:$C$94,O$4)*Codex_sources!$D$9*Codex_sources!$J$9</f>
        <v/>
      </c>
      <c r="P82" s="0">
        <f>SUMIFS(Codex_USGS_raw!$E$2:$E$94,Codex_USGS_raw!$A$2:$A$94,Codex_sources!$A$9,Codex_USGS_raw!$C$2:$C$94,P$4)*Codex_sources!$D$9*Codex_sources!$J$9</f>
        <v/>
      </c>
      <c r="Q82" s="0">
        <f>SUMIFS(Codex_USGS_raw!$E$2:$E$94,Codex_USGS_raw!$A$2:$A$94,Codex_sources!$A$9,Codex_USGS_raw!$C$2:$C$94,Q$4)*Codex_sources!$D$9*Codex_sources!$J$9</f>
        <v/>
      </c>
      <c r="R82" s="0">
        <f>SUMIFS(Codex_USGS_raw!$E$2:$E$94,Codex_USGS_raw!$A$2:$A$94,Codex_sources!$A$9,Codex_USGS_raw!$C$2:$C$94,R$4)*Codex_sources!$D$9*Codex_sources!$J$9</f>
        <v/>
      </c>
      <c r="S82" s="0">
        <f>SUMIFS(Codex_USGS_raw!$E$2:$E$94,Codex_USGS_raw!$A$2:$A$94,Codex_sources!$A$9,Codex_USGS_raw!$C$2:$C$94,S$4)*Codex_sources!$D$9*Codex_sources!$J$9</f>
        <v/>
      </c>
      <c r="T82" s="0">
        <f>SUMIFS(Codex_USGS_raw!$E$2:$E$94,Codex_USGS_raw!$A$2:$A$94,Codex_sources!$A$9,Codex_USGS_raw!$C$2:$C$94,T$4)*Codex_sources!$D$9*Codex_sources!$J$9</f>
        <v/>
      </c>
      <c r="U82" s="0">
        <f>SUMIFS(Codex_USGS_raw!$E$2:$E$94,Codex_USGS_raw!$A$2:$A$94,Codex_sources!$A$9,Codex_USGS_raw!$C$2:$C$94,U$4)*Codex_sources!$D$9*Codex_sources!$J$9</f>
        <v/>
      </c>
      <c r="V82" s="0">
        <f>SUMIFS(Codex_USGS_raw!$E$2:$E$94,Codex_USGS_raw!$A$2:$A$94,Codex_sources!$A$9,Codex_USGS_raw!$C$2:$C$94,V$4)*Codex_sources!$D$9*Codex_sources!$J$9</f>
        <v/>
      </c>
      <c r="W82" s="0">
        <f>SUMIFS(Codex_USGS_raw!$E$2:$E$94,Codex_USGS_raw!$A$2:$A$94,Codex_sources!$A$9,Codex_USGS_raw!$C$2:$C$94,W$4)*Codex_sources!$D$9*Codex_sources!$J$9</f>
        <v/>
      </c>
      <c r="X82" s="0">
        <f>SUMIFS(Codex_USGS_raw!$E$2:$E$94,Codex_USGS_raw!$A$2:$A$94,Codex_sources!$A$9,Codex_USGS_raw!$C$2:$C$94,X$4)*Codex_sources!$D$9*Codex_sources!$J$9</f>
        <v/>
      </c>
      <c r="Y82" s="0">
        <f>SUMIFS(Codex_USGS_raw!$E$2:$E$94,Codex_USGS_raw!$A$2:$A$94,Codex_sources!$A$9,Codex_USGS_raw!$C$2:$C$94,Y$4)*Codex_sources!$D$9*Codex_sources!$J$9</f>
        <v/>
      </c>
      <c r="Z82" s="0">
        <f>SUMIFS(Codex_USGS_raw!$E$2:$E$94,Codex_USGS_raw!$A$2:$A$94,Codex_sources!$A$9,Codex_USGS_raw!$C$2:$C$94,Z$4)*Codex_sources!$D$9*Codex_sources!$J$9</f>
        <v/>
      </c>
      <c r="AA82" s="0">
        <f>SUMIFS(Codex_USGS_raw!$E$2:$E$94,Codex_USGS_raw!$A$2:$A$94,Codex_sources!$A$9,Codex_USGS_raw!$C$2:$C$94,AA$4)*Codex_sources!$D$9*Codex_sources!$J$9</f>
        <v/>
      </c>
      <c r="AB82" s="0">
        <f>SUMIFS(Codex_USGS_raw!$E$2:$E$94,Codex_USGS_raw!$A$2:$A$94,Codex_sources!$A$9,Codex_USGS_raw!$C$2:$C$94,AB$4)*Codex_sources!$D$9*Codex_sources!$J$9</f>
        <v/>
      </c>
      <c r="AC82" s="0">
        <f>SUMIFS(Codex_USGS_raw!$E$2:$E$94,Codex_USGS_raw!$A$2:$A$94,Codex_sources!$A$9,Codex_USGS_raw!$C$2:$C$94,AC$4)*Codex_sources!$D$9*Codex_sources!$J$9</f>
        <v/>
      </c>
      <c r="AD82" s="0">
        <f>SUMIFS(Codex_USGS_raw!$E$2:$E$94,Codex_USGS_raw!$A$2:$A$94,Codex_sources!$A$9,Codex_USGS_raw!$C$2:$C$94,AD$4)*Codex_sources!$D$9*Codex_sources!$J$9</f>
        <v/>
      </c>
      <c r="AE82" s="0">
        <f>SUMIFS(Codex_USGS_raw!$E$2:$E$94,Codex_USGS_raw!$A$2:$A$94,Codex_sources!$A$9,Codex_USGS_raw!$C$2:$C$94,AE$4)*Codex_sources!$D$9*Codex_sources!$J$9</f>
        <v/>
      </c>
      <c r="AF82" s="0">
        <f>SUMIFS(Codex_USGS_raw!$E$2:$E$94,Codex_USGS_raw!$A$2:$A$94,Codex_sources!$A$9,Codex_USGS_raw!$C$2:$C$94,AF$4)*Codex_sources!$D$9*Codex_sources!$J$9</f>
        <v/>
      </c>
      <c r="AG82" s="0">
        <f>SUMIFS(Codex_USGS_raw!$E$2:$E$94,Codex_USGS_raw!$A$2:$A$94,Codex_sources!$A$9,Codex_USGS_raw!$C$2:$C$94,AG$4)*Codex_sources!$D$9*Codex_sources!$J$9</f>
        <v/>
      </c>
      <c r="AH82" s="0">
        <f>SUMIFS(Codex_USGS_raw!$E$2:$E$94,Codex_USGS_raw!$A$2:$A$94,Codex_sources!$A$9,Codex_USGS_raw!$C$2:$C$94,AH$4)*Codex_sources!$D$9*Codex_sources!$J$9</f>
        <v/>
      </c>
      <c r="AI82" s="0">
        <f>SUMIFS(Codex_USGS_raw!$E$2:$E$94,Codex_USGS_raw!$A$2:$A$94,Codex_sources!$A$9,Codex_USGS_raw!$C$2:$C$94,AI$4)*Codex_sources!$D$9*Codex_sources!$J$9</f>
        <v/>
      </c>
      <c r="AJ82" s="0">
        <f>SUMIFS(Codex_USGS_raw!$E$2:$E$94,Codex_USGS_raw!$A$2:$A$94,Codex_sources!$A$9,Codex_USGS_raw!$C$2:$C$94,AJ$4)*Codex_sources!$D$9*Codex_sources!$J$9</f>
        <v/>
      </c>
      <c r="AK82" s="0">
        <f>SUMIFS(Codex_USGS_raw!$E$2:$E$94,Codex_USGS_raw!$A$2:$A$94,Codex_sources!$A$9,Codex_USGS_raw!$C$2:$C$94,AK$4)*Codex_sources!$D$9*Codex_sources!$J$9</f>
        <v/>
      </c>
      <c r="AL82" s="0">
        <f>SUMIFS(Codex_USGS_raw!$E$2:$E$94,Codex_USGS_raw!$A$2:$A$94,Codex_sources!$A$9,Codex_USGS_raw!$C$2:$C$94,AL$4)*Codex_sources!$D$9*Codex_sources!$J$9</f>
        <v/>
      </c>
      <c r="AM82" s="0">
        <f>SUMIFS(Codex_USGS_raw!$E$2:$E$94,Codex_USGS_raw!$A$2:$A$94,Codex_sources!$A$9,Codex_USGS_raw!$C$2:$C$94,AM$4)*Codex_sources!$D$9*Codex_sources!$J$9</f>
        <v/>
      </c>
      <c r="AN82" s="0">
        <f>SUMIFS(Codex_USGS_raw!$E$2:$E$94,Codex_USGS_raw!$A$2:$A$94,Codex_sources!$A$9,Codex_USGS_raw!$C$2:$C$94,AN$4)*Codex_sources!$D$9*Codex_sources!$J$9</f>
        <v/>
      </c>
      <c r="AO82" s="0">
        <f>AO81</f>
        <v/>
      </c>
    </row>
    <row r="83">
      <c r="C83" s="0" t="inlineStr">
        <is>
          <t>MINAlRSV1</t>
        </is>
      </c>
      <c r="D83" s="0" t="inlineStr">
        <is>
          <t>COST</t>
        </is>
      </c>
      <c r="E83" s="0" t="inlineStr">
        <is>
          <t>m_aluminum</t>
        </is>
      </c>
      <c r="F83" s="0">
        <f>Codex_Regional!F16</f>
        <v/>
      </c>
      <c r="G83" s="0">
        <f>Codex_Regional!G16</f>
        <v/>
      </c>
      <c r="H83" s="0">
        <f>Codex_Regional!H16</f>
        <v/>
      </c>
      <c r="I83" s="0">
        <f>Codex_Regional!I16</f>
        <v/>
      </c>
      <c r="J83" s="0">
        <f>Codex_Regional!J16</f>
        <v/>
      </c>
      <c r="K83" s="0">
        <f>Codex_Regional!K16</f>
        <v/>
      </c>
      <c r="L83" s="0">
        <f>Codex_Regional!L16</f>
        <v/>
      </c>
      <c r="M83" s="0">
        <f>Codex_Regional!M16</f>
        <v/>
      </c>
      <c r="N83" s="0">
        <f>Codex_Regional!N16</f>
        <v/>
      </c>
      <c r="O83" s="0">
        <f>Codex_Regional!O16</f>
        <v/>
      </c>
      <c r="P83" s="0">
        <f>Codex_Regional!P16</f>
        <v/>
      </c>
      <c r="Q83" s="0">
        <f>Codex_Regional!Q16</f>
        <v/>
      </c>
      <c r="R83" s="0">
        <f>Codex_Regional!R16</f>
        <v/>
      </c>
      <c r="S83" s="0">
        <f>Codex_Regional!S16</f>
        <v/>
      </c>
      <c r="T83" s="0">
        <f>Codex_Regional!T16</f>
        <v/>
      </c>
      <c r="U83" s="0">
        <f>Codex_Regional!U16</f>
        <v/>
      </c>
      <c r="V83" s="0">
        <f>Codex_Regional!V16</f>
        <v/>
      </c>
      <c r="W83" s="0">
        <f>Codex_Regional!W16</f>
        <v/>
      </c>
      <c r="X83" s="0">
        <f>Codex_Regional!X16</f>
        <v/>
      </c>
      <c r="Y83" s="0">
        <f>Codex_Regional!Y16</f>
        <v/>
      </c>
      <c r="Z83" s="0">
        <f>Codex_Regional!Z16</f>
        <v/>
      </c>
      <c r="AA83" s="0">
        <f>Codex_Regional!AA16</f>
        <v/>
      </c>
      <c r="AB83" s="0">
        <f>Codex_Regional!AB16</f>
        <v/>
      </c>
      <c r="AC83" s="0">
        <f>Codex_Regional!AC16</f>
        <v/>
      </c>
      <c r="AD83" s="0">
        <f>Codex_Regional!AD16</f>
        <v/>
      </c>
      <c r="AE83" s="0">
        <f>Codex_Regional!AE16</f>
        <v/>
      </c>
      <c r="AF83" s="0">
        <f>Codex_Regional!AF16</f>
        <v/>
      </c>
      <c r="AG83" s="0">
        <f>Codex_Regional!AG16</f>
        <v/>
      </c>
      <c r="AH83" s="0">
        <f>Codex_Regional!AH16</f>
        <v/>
      </c>
      <c r="AI83" s="0">
        <f>Codex_Regional!AI16</f>
        <v/>
      </c>
      <c r="AJ83" s="0">
        <f>Codex_Regional!AJ16</f>
        <v/>
      </c>
      <c r="AK83" s="0">
        <f>Codex_Regional!AK16</f>
        <v/>
      </c>
      <c r="AL83" s="0">
        <f>Codex_Regional!AL16</f>
        <v/>
      </c>
      <c r="AM83" s="0">
        <f>Codex_Regional!AM16</f>
        <v/>
      </c>
      <c r="AN83" s="0">
        <f>Codex_Regional!AN16</f>
        <v/>
      </c>
      <c r="AO83" s="0">
        <f>AO82</f>
        <v/>
      </c>
    </row>
    <row r="84">
      <c r="C84" s="0" t="inlineStr">
        <is>
          <t>MINAlRSV2</t>
        </is>
      </c>
      <c r="D84" s="0" t="inlineStr">
        <is>
          <t>BNDACT</t>
        </is>
      </c>
      <c r="F84" s="0">
        <f>SUMIFS(Codex_USGS_raw!$D$2:$D$94,Codex_USGS_raw!$A$2:$A$94,Codex_sources!$A$9,Codex_USGS_raw!$C$2:$C$94,F$4)*Codex_sources!$D$9*2</f>
        <v/>
      </c>
      <c r="G84" s="0">
        <f>SUMIFS(Codex_USGS_raw!$D$2:$D$94,Codex_USGS_raw!$A$2:$A$94,Codex_sources!$A$9,Codex_USGS_raw!$C$2:$C$94,G$4)*Codex_sources!$D$9*2</f>
        <v/>
      </c>
      <c r="H84" s="0">
        <f>SUMIFS(Codex_USGS_raw!$D$2:$D$94,Codex_USGS_raw!$A$2:$A$94,Codex_sources!$A$9,Codex_USGS_raw!$C$2:$C$94,H$4)*Codex_sources!$D$9*2</f>
        <v/>
      </c>
      <c r="I84" s="0">
        <f>SUMIFS(Codex_USGS_raw!$D$2:$D$94,Codex_USGS_raw!$A$2:$A$94,Codex_sources!$A$9,Codex_USGS_raw!$C$2:$C$94,I$4)*Codex_sources!$D$9*2</f>
        <v/>
      </c>
      <c r="J84" s="0">
        <f>SUMIFS(Codex_USGS_raw!$D$2:$D$94,Codex_USGS_raw!$A$2:$A$94,Codex_sources!$A$9,Codex_USGS_raw!$C$2:$C$94,J$4)*Codex_sources!$D$9*2</f>
        <v/>
      </c>
      <c r="K84" s="0">
        <f>SUMIFS(Codex_USGS_raw!$D$2:$D$94,Codex_USGS_raw!$A$2:$A$94,Codex_sources!$A$9,Codex_USGS_raw!$C$2:$C$94,K$4)*Codex_sources!$D$9*2</f>
        <v/>
      </c>
      <c r="L84" s="0">
        <f>SUMIFS(Codex_USGS_raw!$D$2:$D$94,Codex_USGS_raw!$A$2:$A$94,Codex_sources!$A$9,Codex_USGS_raw!$C$2:$C$94,L$4)*Codex_sources!$D$9*2</f>
        <v/>
      </c>
      <c r="M84" s="0">
        <f>SUMIFS(Codex_USGS_raw!$D$2:$D$94,Codex_USGS_raw!$A$2:$A$94,Codex_sources!$A$9,Codex_USGS_raw!$C$2:$C$94,M$4)*Codex_sources!$D$9*2</f>
        <v/>
      </c>
      <c r="N84" s="0">
        <f>SUMIFS(Codex_USGS_raw!$D$2:$D$94,Codex_USGS_raw!$A$2:$A$94,Codex_sources!$A$9,Codex_USGS_raw!$C$2:$C$94,N$4)*Codex_sources!$D$9*2</f>
        <v/>
      </c>
      <c r="O84" s="0">
        <f>SUMIFS(Codex_USGS_raw!$D$2:$D$94,Codex_USGS_raw!$A$2:$A$94,Codex_sources!$A$9,Codex_USGS_raw!$C$2:$C$94,O$4)*Codex_sources!$D$9*2</f>
        <v/>
      </c>
      <c r="P84" s="0">
        <f>SUMIFS(Codex_USGS_raw!$D$2:$D$94,Codex_USGS_raw!$A$2:$A$94,Codex_sources!$A$9,Codex_USGS_raw!$C$2:$C$94,P$4)*Codex_sources!$D$9*2</f>
        <v/>
      </c>
      <c r="Q84" s="0">
        <f>SUMIFS(Codex_USGS_raw!$D$2:$D$94,Codex_USGS_raw!$A$2:$A$94,Codex_sources!$A$9,Codex_USGS_raw!$C$2:$C$94,Q$4)*Codex_sources!$D$9*2</f>
        <v/>
      </c>
      <c r="R84" s="0">
        <f>SUMIFS(Codex_USGS_raw!$D$2:$D$94,Codex_USGS_raw!$A$2:$A$94,Codex_sources!$A$9,Codex_USGS_raw!$C$2:$C$94,R$4)*Codex_sources!$D$9*2</f>
        <v/>
      </c>
      <c r="S84" s="0">
        <f>SUMIFS(Codex_USGS_raw!$D$2:$D$94,Codex_USGS_raw!$A$2:$A$94,Codex_sources!$A$9,Codex_USGS_raw!$C$2:$C$94,S$4)*Codex_sources!$D$9*2</f>
        <v/>
      </c>
      <c r="T84" s="0">
        <f>SUMIFS(Codex_USGS_raw!$D$2:$D$94,Codex_USGS_raw!$A$2:$A$94,Codex_sources!$A$9,Codex_USGS_raw!$C$2:$C$94,T$4)*Codex_sources!$D$9*2</f>
        <v/>
      </c>
      <c r="U84" s="0">
        <f>SUMIFS(Codex_USGS_raw!$D$2:$D$94,Codex_USGS_raw!$A$2:$A$94,Codex_sources!$A$9,Codex_USGS_raw!$C$2:$C$94,U$4)*Codex_sources!$D$9*2</f>
        <v/>
      </c>
      <c r="V84" s="0">
        <f>SUMIFS(Codex_USGS_raw!$D$2:$D$94,Codex_USGS_raw!$A$2:$A$94,Codex_sources!$A$9,Codex_USGS_raw!$C$2:$C$94,V$4)*Codex_sources!$D$9*2</f>
        <v/>
      </c>
      <c r="W84" s="0">
        <f>SUMIFS(Codex_USGS_raw!$D$2:$D$94,Codex_USGS_raw!$A$2:$A$94,Codex_sources!$A$9,Codex_USGS_raw!$C$2:$C$94,W$4)*Codex_sources!$D$9*2</f>
        <v/>
      </c>
      <c r="X84" s="0">
        <f>SUMIFS(Codex_USGS_raw!$D$2:$D$94,Codex_USGS_raw!$A$2:$A$94,Codex_sources!$A$9,Codex_USGS_raw!$C$2:$C$94,X$4)*Codex_sources!$D$9*2</f>
        <v/>
      </c>
      <c r="Y84" s="0">
        <f>SUMIFS(Codex_USGS_raw!$D$2:$D$94,Codex_USGS_raw!$A$2:$A$94,Codex_sources!$A$9,Codex_USGS_raw!$C$2:$C$94,Y$4)*Codex_sources!$D$9*2</f>
        <v/>
      </c>
      <c r="Z84" s="0">
        <f>SUMIFS(Codex_USGS_raw!$D$2:$D$94,Codex_USGS_raw!$A$2:$A$94,Codex_sources!$A$9,Codex_USGS_raw!$C$2:$C$94,Z$4)*Codex_sources!$D$9*2</f>
        <v/>
      </c>
      <c r="AA84" s="0">
        <f>SUMIFS(Codex_USGS_raw!$D$2:$D$94,Codex_USGS_raw!$A$2:$A$94,Codex_sources!$A$9,Codex_USGS_raw!$C$2:$C$94,AA$4)*Codex_sources!$D$9*2</f>
        <v/>
      </c>
      <c r="AB84" s="0">
        <f>SUMIFS(Codex_USGS_raw!$D$2:$D$94,Codex_USGS_raw!$A$2:$A$94,Codex_sources!$A$9,Codex_USGS_raw!$C$2:$C$94,AB$4)*Codex_sources!$D$9*2</f>
        <v/>
      </c>
      <c r="AC84" s="0">
        <f>SUMIFS(Codex_USGS_raw!$D$2:$D$94,Codex_USGS_raw!$A$2:$A$94,Codex_sources!$A$9,Codex_USGS_raw!$C$2:$C$94,AC$4)*Codex_sources!$D$9*2</f>
        <v/>
      </c>
      <c r="AD84" s="0">
        <f>SUMIFS(Codex_USGS_raw!$D$2:$D$94,Codex_USGS_raw!$A$2:$A$94,Codex_sources!$A$9,Codex_USGS_raw!$C$2:$C$94,AD$4)*Codex_sources!$D$9*2</f>
        <v/>
      </c>
      <c r="AE84" s="0">
        <f>SUMIFS(Codex_USGS_raw!$D$2:$D$94,Codex_USGS_raw!$A$2:$A$94,Codex_sources!$A$9,Codex_USGS_raw!$C$2:$C$94,AE$4)*Codex_sources!$D$9*2</f>
        <v/>
      </c>
      <c r="AF84" s="0">
        <f>SUMIFS(Codex_USGS_raw!$D$2:$D$94,Codex_USGS_raw!$A$2:$A$94,Codex_sources!$A$9,Codex_USGS_raw!$C$2:$C$94,AF$4)*Codex_sources!$D$9*2</f>
        <v/>
      </c>
      <c r="AG84" s="0">
        <f>SUMIFS(Codex_USGS_raw!$D$2:$D$94,Codex_USGS_raw!$A$2:$A$94,Codex_sources!$A$9,Codex_USGS_raw!$C$2:$C$94,AG$4)*Codex_sources!$D$9*2</f>
        <v/>
      </c>
      <c r="AH84" s="0">
        <f>SUMIFS(Codex_USGS_raw!$D$2:$D$94,Codex_USGS_raw!$A$2:$A$94,Codex_sources!$A$9,Codex_USGS_raw!$C$2:$C$94,AH$4)*Codex_sources!$D$9*2</f>
        <v/>
      </c>
      <c r="AI84" s="0">
        <f>SUMIFS(Codex_USGS_raw!$D$2:$D$94,Codex_USGS_raw!$A$2:$A$94,Codex_sources!$A$9,Codex_USGS_raw!$C$2:$C$94,AI$4)*Codex_sources!$D$9*2</f>
        <v/>
      </c>
      <c r="AJ84" s="0">
        <f>SUMIFS(Codex_USGS_raw!$D$2:$D$94,Codex_USGS_raw!$A$2:$A$94,Codex_sources!$A$9,Codex_USGS_raw!$C$2:$C$94,AJ$4)*Codex_sources!$D$9*2</f>
        <v/>
      </c>
      <c r="AK84" s="0">
        <f>SUMIFS(Codex_USGS_raw!$D$2:$D$94,Codex_USGS_raw!$A$2:$A$94,Codex_sources!$A$9,Codex_USGS_raw!$C$2:$C$94,AK$4)*Codex_sources!$D$9*2</f>
        <v/>
      </c>
      <c r="AL84" s="0">
        <f>SUMIFS(Codex_USGS_raw!$D$2:$D$94,Codex_USGS_raw!$A$2:$A$94,Codex_sources!$A$9,Codex_USGS_raw!$C$2:$C$94,AL$4)*Codex_sources!$D$9*2</f>
        <v/>
      </c>
      <c r="AM84" s="0">
        <f>SUMIFS(Codex_USGS_raw!$D$2:$D$94,Codex_USGS_raw!$A$2:$A$94,Codex_sources!$A$9,Codex_USGS_raw!$C$2:$C$94,AM$4)*Codex_sources!$D$9*2</f>
        <v/>
      </c>
      <c r="AN84" s="0">
        <f>SUMIFS(Codex_USGS_raw!$D$2:$D$94,Codex_USGS_raw!$A$2:$A$94,Codex_sources!$A$9,Codex_USGS_raw!$C$2:$C$94,AN$4)*Codex_sources!$D$9*2</f>
        <v/>
      </c>
      <c r="AO84" s="0">
        <f>AO83</f>
        <v/>
      </c>
    </row>
    <row r="85">
      <c r="C85" s="0" t="inlineStr">
        <is>
          <t>MINAlRSV2</t>
        </is>
      </c>
      <c r="D85" s="0" t="inlineStr">
        <is>
          <t>CUM</t>
        </is>
      </c>
      <c r="F85" s="0">
        <f>SUMIFS(Codex_USGS_raw!$E$2:$E$94,Codex_USGS_raw!$A$2:$A$94,Codex_sources!$A$9,Codex_USGS_raw!$C$2:$C$94,F$4)*Codex_sources!$D$9*Codex_sources!$K$9</f>
        <v/>
      </c>
      <c r="G85" s="0">
        <f>SUMIFS(Codex_USGS_raw!$E$2:$E$94,Codex_USGS_raw!$A$2:$A$94,Codex_sources!$A$9,Codex_USGS_raw!$C$2:$C$94,G$4)*Codex_sources!$D$9*Codex_sources!$K$9</f>
        <v/>
      </c>
      <c r="H85" s="0">
        <f>SUMIFS(Codex_USGS_raw!$E$2:$E$94,Codex_USGS_raw!$A$2:$A$94,Codex_sources!$A$9,Codex_USGS_raw!$C$2:$C$94,H$4)*Codex_sources!$D$9*Codex_sources!$K$9</f>
        <v/>
      </c>
      <c r="I85" s="0">
        <f>SUMIFS(Codex_USGS_raw!$E$2:$E$94,Codex_USGS_raw!$A$2:$A$94,Codex_sources!$A$9,Codex_USGS_raw!$C$2:$C$94,I$4)*Codex_sources!$D$9*Codex_sources!$K$9</f>
        <v/>
      </c>
      <c r="J85" s="0">
        <f>SUMIFS(Codex_USGS_raw!$E$2:$E$94,Codex_USGS_raw!$A$2:$A$94,Codex_sources!$A$9,Codex_USGS_raw!$C$2:$C$94,J$4)*Codex_sources!$D$9*Codex_sources!$K$9</f>
        <v/>
      </c>
      <c r="K85" s="0">
        <f>SUMIFS(Codex_USGS_raw!$E$2:$E$94,Codex_USGS_raw!$A$2:$A$94,Codex_sources!$A$9,Codex_USGS_raw!$C$2:$C$94,K$4)*Codex_sources!$D$9*Codex_sources!$K$9</f>
        <v/>
      </c>
      <c r="L85" s="0">
        <f>SUMIFS(Codex_USGS_raw!$E$2:$E$94,Codex_USGS_raw!$A$2:$A$94,Codex_sources!$A$9,Codex_USGS_raw!$C$2:$C$94,L$4)*Codex_sources!$D$9*Codex_sources!$K$9</f>
        <v/>
      </c>
      <c r="M85" s="0">
        <f>SUMIFS(Codex_USGS_raw!$E$2:$E$94,Codex_USGS_raw!$A$2:$A$94,Codex_sources!$A$9,Codex_USGS_raw!$C$2:$C$94,M$4)*Codex_sources!$D$9*Codex_sources!$K$9</f>
        <v/>
      </c>
      <c r="N85" s="0">
        <f>SUMIFS(Codex_USGS_raw!$E$2:$E$94,Codex_USGS_raw!$A$2:$A$94,Codex_sources!$A$9,Codex_USGS_raw!$C$2:$C$94,N$4)*Codex_sources!$D$9*Codex_sources!$K$9</f>
        <v/>
      </c>
      <c r="O85" s="0">
        <f>SUMIFS(Codex_USGS_raw!$E$2:$E$94,Codex_USGS_raw!$A$2:$A$94,Codex_sources!$A$9,Codex_USGS_raw!$C$2:$C$94,O$4)*Codex_sources!$D$9*Codex_sources!$K$9</f>
        <v/>
      </c>
      <c r="P85" s="0">
        <f>SUMIFS(Codex_USGS_raw!$E$2:$E$94,Codex_USGS_raw!$A$2:$A$94,Codex_sources!$A$9,Codex_USGS_raw!$C$2:$C$94,P$4)*Codex_sources!$D$9*Codex_sources!$K$9</f>
        <v/>
      </c>
      <c r="Q85" s="0">
        <f>SUMIFS(Codex_USGS_raw!$E$2:$E$94,Codex_USGS_raw!$A$2:$A$94,Codex_sources!$A$9,Codex_USGS_raw!$C$2:$C$94,Q$4)*Codex_sources!$D$9*Codex_sources!$K$9</f>
        <v/>
      </c>
      <c r="R85" s="0">
        <f>SUMIFS(Codex_USGS_raw!$E$2:$E$94,Codex_USGS_raw!$A$2:$A$94,Codex_sources!$A$9,Codex_USGS_raw!$C$2:$C$94,R$4)*Codex_sources!$D$9*Codex_sources!$K$9</f>
        <v/>
      </c>
      <c r="S85" s="0">
        <f>SUMIFS(Codex_USGS_raw!$E$2:$E$94,Codex_USGS_raw!$A$2:$A$94,Codex_sources!$A$9,Codex_USGS_raw!$C$2:$C$94,S$4)*Codex_sources!$D$9*Codex_sources!$K$9</f>
        <v/>
      </c>
      <c r="T85" s="0">
        <f>SUMIFS(Codex_USGS_raw!$E$2:$E$94,Codex_USGS_raw!$A$2:$A$94,Codex_sources!$A$9,Codex_USGS_raw!$C$2:$C$94,T$4)*Codex_sources!$D$9*Codex_sources!$K$9</f>
        <v/>
      </c>
      <c r="U85" s="0">
        <f>SUMIFS(Codex_USGS_raw!$E$2:$E$94,Codex_USGS_raw!$A$2:$A$94,Codex_sources!$A$9,Codex_USGS_raw!$C$2:$C$94,U$4)*Codex_sources!$D$9*Codex_sources!$K$9</f>
        <v/>
      </c>
      <c r="V85" s="0">
        <f>SUMIFS(Codex_USGS_raw!$E$2:$E$94,Codex_USGS_raw!$A$2:$A$94,Codex_sources!$A$9,Codex_USGS_raw!$C$2:$C$94,V$4)*Codex_sources!$D$9*Codex_sources!$K$9</f>
        <v/>
      </c>
      <c r="W85" s="0">
        <f>SUMIFS(Codex_USGS_raw!$E$2:$E$94,Codex_USGS_raw!$A$2:$A$94,Codex_sources!$A$9,Codex_USGS_raw!$C$2:$C$94,W$4)*Codex_sources!$D$9*Codex_sources!$K$9</f>
        <v/>
      </c>
      <c r="X85" s="0">
        <f>SUMIFS(Codex_USGS_raw!$E$2:$E$94,Codex_USGS_raw!$A$2:$A$94,Codex_sources!$A$9,Codex_USGS_raw!$C$2:$C$94,X$4)*Codex_sources!$D$9*Codex_sources!$K$9</f>
        <v/>
      </c>
      <c r="Y85" s="0">
        <f>SUMIFS(Codex_USGS_raw!$E$2:$E$94,Codex_USGS_raw!$A$2:$A$94,Codex_sources!$A$9,Codex_USGS_raw!$C$2:$C$94,Y$4)*Codex_sources!$D$9*Codex_sources!$K$9</f>
        <v/>
      </c>
      <c r="Z85" s="0">
        <f>SUMIFS(Codex_USGS_raw!$E$2:$E$94,Codex_USGS_raw!$A$2:$A$94,Codex_sources!$A$9,Codex_USGS_raw!$C$2:$C$94,Z$4)*Codex_sources!$D$9*Codex_sources!$K$9</f>
        <v/>
      </c>
      <c r="AA85" s="0">
        <f>SUMIFS(Codex_USGS_raw!$E$2:$E$94,Codex_USGS_raw!$A$2:$A$94,Codex_sources!$A$9,Codex_USGS_raw!$C$2:$C$94,AA$4)*Codex_sources!$D$9*Codex_sources!$K$9</f>
        <v/>
      </c>
      <c r="AB85" s="0">
        <f>SUMIFS(Codex_USGS_raw!$E$2:$E$94,Codex_USGS_raw!$A$2:$A$94,Codex_sources!$A$9,Codex_USGS_raw!$C$2:$C$94,AB$4)*Codex_sources!$D$9*Codex_sources!$K$9</f>
        <v/>
      </c>
      <c r="AC85" s="0">
        <f>SUMIFS(Codex_USGS_raw!$E$2:$E$94,Codex_USGS_raw!$A$2:$A$94,Codex_sources!$A$9,Codex_USGS_raw!$C$2:$C$94,AC$4)*Codex_sources!$D$9*Codex_sources!$K$9</f>
        <v/>
      </c>
      <c r="AD85" s="0">
        <f>SUMIFS(Codex_USGS_raw!$E$2:$E$94,Codex_USGS_raw!$A$2:$A$94,Codex_sources!$A$9,Codex_USGS_raw!$C$2:$C$94,AD$4)*Codex_sources!$D$9*Codex_sources!$K$9</f>
        <v/>
      </c>
      <c r="AE85" s="0">
        <f>SUMIFS(Codex_USGS_raw!$E$2:$E$94,Codex_USGS_raw!$A$2:$A$94,Codex_sources!$A$9,Codex_USGS_raw!$C$2:$C$94,AE$4)*Codex_sources!$D$9*Codex_sources!$K$9</f>
        <v/>
      </c>
      <c r="AF85" s="0">
        <f>SUMIFS(Codex_USGS_raw!$E$2:$E$94,Codex_USGS_raw!$A$2:$A$94,Codex_sources!$A$9,Codex_USGS_raw!$C$2:$C$94,AF$4)*Codex_sources!$D$9*Codex_sources!$K$9</f>
        <v/>
      </c>
      <c r="AG85" s="0">
        <f>SUMIFS(Codex_USGS_raw!$E$2:$E$94,Codex_USGS_raw!$A$2:$A$94,Codex_sources!$A$9,Codex_USGS_raw!$C$2:$C$94,AG$4)*Codex_sources!$D$9*Codex_sources!$K$9</f>
        <v/>
      </c>
      <c r="AH85" s="0">
        <f>SUMIFS(Codex_USGS_raw!$E$2:$E$94,Codex_USGS_raw!$A$2:$A$94,Codex_sources!$A$9,Codex_USGS_raw!$C$2:$C$94,AH$4)*Codex_sources!$D$9*Codex_sources!$K$9</f>
        <v/>
      </c>
      <c r="AI85" s="0">
        <f>SUMIFS(Codex_USGS_raw!$E$2:$E$94,Codex_USGS_raw!$A$2:$A$94,Codex_sources!$A$9,Codex_USGS_raw!$C$2:$C$94,AI$4)*Codex_sources!$D$9*Codex_sources!$K$9</f>
        <v/>
      </c>
      <c r="AJ85" s="0">
        <f>SUMIFS(Codex_USGS_raw!$E$2:$E$94,Codex_USGS_raw!$A$2:$A$94,Codex_sources!$A$9,Codex_USGS_raw!$C$2:$C$94,AJ$4)*Codex_sources!$D$9*Codex_sources!$K$9</f>
        <v/>
      </c>
      <c r="AK85" s="0">
        <f>SUMIFS(Codex_USGS_raw!$E$2:$E$94,Codex_USGS_raw!$A$2:$A$94,Codex_sources!$A$9,Codex_USGS_raw!$C$2:$C$94,AK$4)*Codex_sources!$D$9*Codex_sources!$K$9</f>
        <v/>
      </c>
      <c r="AL85" s="0">
        <f>SUMIFS(Codex_USGS_raw!$E$2:$E$94,Codex_USGS_raw!$A$2:$A$94,Codex_sources!$A$9,Codex_USGS_raw!$C$2:$C$94,AL$4)*Codex_sources!$D$9*Codex_sources!$K$9</f>
        <v/>
      </c>
      <c r="AM85" s="0">
        <f>SUMIFS(Codex_USGS_raw!$E$2:$E$94,Codex_USGS_raw!$A$2:$A$94,Codex_sources!$A$9,Codex_USGS_raw!$C$2:$C$94,AM$4)*Codex_sources!$D$9*Codex_sources!$K$9</f>
        <v/>
      </c>
      <c r="AN85" s="0">
        <f>SUMIFS(Codex_USGS_raw!$E$2:$E$94,Codex_USGS_raw!$A$2:$A$94,Codex_sources!$A$9,Codex_USGS_raw!$C$2:$C$94,AN$4)*Codex_sources!$D$9*Codex_sources!$K$9</f>
        <v/>
      </c>
      <c r="AO85" s="0">
        <f>AO84</f>
        <v/>
      </c>
    </row>
    <row r="86">
      <c r="C86" s="0" t="inlineStr">
        <is>
          <t>MINAlRSV2</t>
        </is>
      </c>
      <c r="D86" s="0" t="inlineStr">
        <is>
          <t>COST</t>
        </is>
      </c>
      <c r="E86" s="0" t="inlineStr">
        <is>
          <t>m_aluminum</t>
        </is>
      </c>
      <c r="F86" s="0">
        <f>Codex_Regional!F16*(Codex_sources!$N$9/Codex_sources!$M$9)</f>
        <v/>
      </c>
      <c r="G86" s="0">
        <f>Codex_Regional!G16*(Codex_sources!$N$9/Codex_sources!$M$9)</f>
        <v/>
      </c>
      <c r="H86" s="0">
        <f>Codex_Regional!H16*(Codex_sources!$N$9/Codex_sources!$M$9)</f>
        <v/>
      </c>
      <c r="I86" s="0">
        <f>Codex_Regional!I16*(Codex_sources!$N$9/Codex_sources!$M$9)</f>
        <v/>
      </c>
      <c r="J86" s="0">
        <f>Codex_Regional!J16*(Codex_sources!$N$9/Codex_sources!$M$9)</f>
        <v/>
      </c>
      <c r="K86" s="0">
        <f>Codex_Regional!K16*(Codex_sources!$N$9/Codex_sources!$M$9)</f>
        <v/>
      </c>
      <c r="L86" s="0">
        <f>Codex_Regional!L16*(Codex_sources!$N$9/Codex_sources!$M$9)</f>
        <v/>
      </c>
      <c r="M86" s="0">
        <f>Codex_Regional!M16*(Codex_sources!$N$9/Codex_sources!$M$9)</f>
        <v/>
      </c>
      <c r="N86" s="0">
        <f>Codex_Regional!N16*(Codex_sources!$N$9/Codex_sources!$M$9)</f>
        <v/>
      </c>
      <c r="O86" s="0">
        <f>Codex_Regional!O16*(Codex_sources!$N$9/Codex_sources!$M$9)</f>
        <v/>
      </c>
      <c r="P86" s="0">
        <f>Codex_Regional!P16*(Codex_sources!$N$9/Codex_sources!$M$9)</f>
        <v/>
      </c>
      <c r="Q86" s="0">
        <f>Codex_Regional!Q16*(Codex_sources!$N$9/Codex_sources!$M$9)</f>
        <v/>
      </c>
      <c r="R86" s="0">
        <f>Codex_Regional!R16*(Codex_sources!$N$9/Codex_sources!$M$9)</f>
        <v/>
      </c>
      <c r="S86" s="0">
        <f>Codex_Regional!S16*(Codex_sources!$N$9/Codex_sources!$M$9)</f>
        <v/>
      </c>
      <c r="T86" s="0">
        <f>Codex_Regional!T16*(Codex_sources!$N$9/Codex_sources!$M$9)</f>
        <v/>
      </c>
      <c r="U86" s="0">
        <f>Codex_Regional!U16*(Codex_sources!$N$9/Codex_sources!$M$9)</f>
        <v/>
      </c>
      <c r="V86" s="0">
        <f>Codex_Regional!V16*(Codex_sources!$N$9/Codex_sources!$M$9)</f>
        <v/>
      </c>
      <c r="W86" s="0">
        <f>Codex_Regional!W16*(Codex_sources!$N$9/Codex_sources!$M$9)</f>
        <v/>
      </c>
      <c r="X86" s="0">
        <f>Codex_Regional!X16*(Codex_sources!$N$9/Codex_sources!$M$9)</f>
        <v/>
      </c>
      <c r="Y86" s="0">
        <f>Codex_Regional!Y16*(Codex_sources!$N$9/Codex_sources!$M$9)</f>
        <v/>
      </c>
      <c r="Z86" s="0">
        <f>Codex_Regional!Z16*(Codex_sources!$N$9/Codex_sources!$M$9)</f>
        <v/>
      </c>
      <c r="AA86" s="0">
        <f>Codex_Regional!AA16*(Codex_sources!$N$9/Codex_sources!$M$9)</f>
        <v/>
      </c>
      <c r="AB86" s="0">
        <f>Codex_Regional!AB16*(Codex_sources!$N$9/Codex_sources!$M$9)</f>
        <v/>
      </c>
      <c r="AC86" s="0">
        <f>Codex_Regional!AC16*(Codex_sources!$N$9/Codex_sources!$M$9)</f>
        <v/>
      </c>
      <c r="AD86" s="0">
        <f>Codex_Regional!AD16*(Codex_sources!$N$9/Codex_sources!$M$9)</f>
        <v/>
      </c>
      <c r="AE86" s="0">
        <f>Codex_Regional!AE16*(Codex_sources!$N$9/Codex_sources!$M$9)</f>
        <v/>
      </c>
      <c r="AF86" s="0">
        <f>Codex_Regional!AF16*(Codex_sources!$N$9/Codex_sources!$M$9)</f>
        <v/>
      </c>
      <c r="AG86" s="0">
        <f>Codex_Regional!AG16*(Codex_sources!$N$9/Codex_sources!$M$9)</f>
        <v/>
      </c>
      <c r="AH86" s="0">
        <f>Codex_Regional!AH16*(Codex_sources!$N$9/Codex_sources!$M$9)</f>
        <v/>
      </c>
      <c r="AI86" s="0">
        <f>Codex_Regional!AI16*(Codex_sources!$N$9/Codex_sources!$M$9)</f>
        <v/>
      </c>
      <c r="AJ86" s="0">
        <f>Codex_Regional!AJ16*(Codex_sources!$N$9/Codex_sources!$M$9)</f>
        <v/>
      </c>
      <c r="AK86" s="0">
        <f>Codex_Regional!AK16*(Codex_sources!$N$9/Codex_sources!$M$9)</f>
        <v/>
      </c>
      <c r="AL86" s="0">
        <f>Codex_Regional!AL16*(Codex_sources!$N$9/Codex_sources!$M$9)</f>
        <v/>
      </c>
      <c r="AM86" s="0">
        <f>Codex_Regional!AM16*(Codex_sources!$N$9/Codex_sources!$M$9)</f>
        <v/>
      </c>
      <c r="AN86" s="0">
        <f>Codex_Regional!AN16*(Codex_sources!$N$9/Codex_sources!$M$9)</f>
        <v/>
      </c>
      <c r="AO86" s="0">
        <f>AO85</f>
        <v/>
      </c>
    </row>
    <row r="87">
      <c r="C87" s="0" t="inlineStr">
        <is>
          <t>MINAlRSV3</t>
        </is>
      </c>
      <c r="D87" s="0" t="inlineStr">
        <is>
          <t>BNDACT</t>
        </is>
      </c>
      <c r="AO87" s="0">
        <f>AO86</f>
        <v/>
      </c>
    </row>
    <row r="88">
      <c r="C88" s="0" t="inlineStr">
        <is>
          <t>MINAlRSV3</t>
        </is>
      </c>
      <c r="D88" s="0" t="inlineStr">
        <is>
          <t>CUM</t>
        </is>
      </c>
      <c r="F88" s="0">
        <f>SUMIFS(Codex_USGS_raw!$E$2:$E$94,Codex_USGS_raw!$A$2:$A$94,Codex_sources!$A$9,Codex_USGS_raw!$C$2:$C$94,F$4)*Codex_sources!$D$9*Codex_sources!$L$9</f>
        <v/>
      </c>
      <c r="G88" s="0">
        <f>SUMIFS(Codex_USGS_raw!$E$2:$E$94,Codex_USGS_raw!$A$2:$A$94,Codex_sources!$A$9,Codex_USGS_raw!$C$2:$C$94,G$4)*Codex_sources!$D$9*Codex_sources!$L$9</f>
        <v/>
      </c>
      <c r="H88" s="0">
        <f>SUMIFS(Codex_USGS_raw!$E$2:$E$94,Codex_USGS_raw!$A$2:$A$94,Codex_sources!$A$9,Codex_USGS_raw!$C$2:$C$94,H$4)*Codex_sources!$D$9*Codex_sources!$L$9</f>
        <v/>
      </c>
      <c r="I88" s="0">
        <f>SUMIFS(Codex_USGS_raw!$E$2:$E$94,Codex_USGS_raw!$A$2:$A$94,Codex_sources!$A$9,Codex_USGS_raw!$C$2:$C$94,I$4)*Codex_sources!$D$9*Codex_sources!$L$9</f>
        <v/>
      </c>
      <c r="J88" s="0">
        <f>SUMIFS(Codex_USGS_raw!$E$2:$E$94,Codex_USGS_raw!$A$2:$A$94,Codex_sources!$A$9,Codex_USGS_raw!$C$2:$C$94,J$4)*Codex_sources!$D$9*Codex_sources!$L$9</f>
        <v/>
      </c>
      <c r="K88" s="0">
        <f>SUMIFS(Codex_USGS_raw!$E$2:$E$94,Codex_USGS_raw!$A$2:$A$94,Codex_sources!$A$9,Codex_USGS_raw!$C$2:$C$94,K$4)*Codex_sources!$D$9*Codex_sources!$L$9</f>
        <v/>
      </c>
      <c r="L88" s="0">
        <f>SUMIFS(Codex_USGS_raw!$E$2:$E$94,Codex_USGS_raw!$A$2:$A$94,Codex_sources!$A$9,Codex_USGS_raw!$C$2:$C$94,L$4)*Codex_sources!$D$9*Codex_sources!$L$9</f>
        <v/>
      </c>
      <c r="M88" s="0">
        <f>SUMIFS(Codex_USGS_raw!$E$2:$E$94,Codex_USGS_raw!$A$2:$A$94,Codex_sources!$A$9,Codex_USGS_raw!$C$2:$C$94,M$4)*Codex_sources!$D$9*Codex_sources!$L$9</f>
        <v/>
      </c>
      <c r="N88" s="0">
        <f>SUMIFS(Codex_USGS_raw!$E$2:$E$94,Codex_USGS_raw!$A$2:$A$94,Codex_sources!$A$9,Codex_USGS_raw!$C$2:$C$94,N$4)*Codex_sources!$D$9*Codex_sources!$L$9</f>
        <v/>
      </c>
      <c r="O88" s="0">
        <f>SUMIFS(Codex_USGS_raw!$E$2:$E$94,Codex_USGS_raw!$A$2:$A$94,Codex_sources!$A$9,Codex_USGS_raw!$C$2:$C$94,O$4)*Codex_sources!$D$9*Codex_sources!$L$9</f>
        <v/>
      </c>
      <c r="P88" s="0">
        <f>SUMIFS(Codex_USGS_raw!$E$2:$E$94,Codex_USGS_raw!$A$2:$A$94,Codex_sources!$A$9,Codex_USGS_raw!$C$2:$C$94,P$4)*Codex_sources!$D$9*Codex_sources!$L$9</f>
        <v/>
      </c>
      <c r="Q88" s="0">
        <f>SUMIFS(Codex_USGS_raw!$E$2:$E$94,Codex_USGS_raw!$A$2:$A$94,Codex_sources!$A$9,Codex_USGS_raw!$C$2:$C$94,Q$4)*Codex_sources!$D$9*Codex_sources!$L$9</f>
        <v/>
      </c>
      <c r="R88" s="0">
        <f>SUMIFS(Codex_USGS_raw!$E$2:$E$94,Codex_USGS_raw!$A$2:$A$94,Codex_sources!$A$9,Codex_USGS_raw!$C$2:$C$94,R$4)*Codex_sources!$D$9*Codex_sources!$L$9</f>
        <v/>
      </c>
      <c r="S88" s="0">
        <f>SUMIFS(Codex_USGS_raw!$E$2:$E$94,Codex_USGS_raw!$A$2:$A$94,Codex_sources!$A$9,Codex_USGS_raw!$C$2:$C$94,S$4)*Codex_sources!$D$9*Codex_sources!$L$9</f>
        <v/>
      </c>
      <c r="T88" s="0">
        <f>SUMIFS(Codex_USGS_raw!$E$2:$E$94,Codex_USGS_raw!$A$2:$A$94,Codex_sources!$A$9,Codex_USGS_raw!$C$2:$C$94,T$4)*Codex_sources!$D$9*Codex_sources!$L$9</f>
        <v/>
      </c>
      <c r="U88" s="0">
        <f>SUMIFS(Codex_USGS_raw!$E$2:$E$94,Codex_USGS_raw!$A$2:$A$94,Codex_sources!$A$9,Codex_USGS_raw!$C$2:$C$94,U$4)*Codex_sources!$D$9*Codex_sources!$L$9</f>
        <v/>
      </c>
      <c r="V88" s="0">
        <f>SUMIFS(Codex_USGS_raw!$E$2:$E$94,Codex_USGS_raw!$A$2:$A$94,Codex_sources!$A$9,Codex_USGS_raw!$C$2:$C$94,V$4)*Codex_sources!$D$9*Codex_sources!$L$9</f>
        <v/>
      </c>
      <c r="W88" s="0">
        <f>SUMIFS(Codex_USGS_raw!$E$2:$E$94,Codex_USGS_raw!$A$2:$A$94,Codex_sources!$A$9,Codex_USGS_raw!$C$2:$C$94,W$4)*Codex_sources!$D$9*Codex_sources!$L$9</f>
        <v/>
      </c>
      <c r="X88" s="0">
        <f>SUMIFS(Codex_USGS_raw!$E$2:$E$94,Codex_USGS_raw!$A$2:$A$94,Codex_sources!$A$9,Codex_USGS_raw!$C$2:$C$94,X$4)*Codex_sources!$D$9*Codex_sources!$L$9</f>
        <v/>
      </c>
      <c r="Y88" s="0">
        <f>SUMIFS(Codex_USGS_raw!$E$2:$E$94,Codex_USGS_raw!$A$2:$A$94,Codex_sources!$A$9,Codex_USGS_raw!$C$2:$C$94,Y$4)*Codex_sources!$D$9*Codex_sources!$L$9</f>
        <v/>
      </c>
      <c r="Z88" s="0">
        <f>SUMIFS(Codex_USGS_raw!$E$2:$E$94,Codex_USGS_raw!$A$2:$A$94,Codex_sources!$A$9,Codex_USGS_raw!$C$2:$C$94,Z$4)*Codex_sources!$D$9*Codex_sources!$L$9</f>
        <v/>
      </c>
      <c r="AA88" s="0">
        <f>SUMIFS(Codex_USGS_raw!$E$2:$E$94,Codex_USGS_raw!$A$2:$A$94,Codex_sources!$A$9,Codex_USGS_raw!$C$2:$C$94,AA$4)*Codex_sources!$D$9*Codex_sources!$L$9</f>
        <v/>
      </c>
      <c r="AB88" s="0">
        <f>SUMIFS(Codex_USGS_raw!$E$2:$E$94,Codex_USGS_raw!$A$2:$A$94,Codex_sources!$A$9,Codex_USGS_raw!$C$2:$C$94,AB$4)*Codex_sources!$D$9*Codex_sources!$L$9</f>
        <v/>
      </c>
      <c r="AC88" s="0">
        <f>SUMIFS(Codex_USGS_raw!$E$2:$E$94,Codex_USGS_raw!$A$2:$A$94,Codex_sources!$A$9,Codex_USGS_raw!$C$2:$C$94,AC$4)*Codex_sources!$D$9*Codex_sources!$L$9</f>
        <v/>
      </c>
      <c r="AD88" s="0">
        <f>SUMIFS(Codex_USGS_raw!$E$2:$E$94,Codex_USGS_raw!$A$2:$A$94,Codex_sources!$A$9,Codex_USGS_raw!$C$2:$C$94,AD$4)*Codex_sources!$D$9*Codex_sources!$L$9</f>
        <v/>
      </c>
      <c r="AE88" s="0">
        <f>SUMIFS(Codex_USGS_raw!$E$2:$E$94,Codex_USGS_raw!$A$2:$A$94,Codex_sources!$A$9,Codex_USGS_raw!$C$2:$C$94,AE$4)*Codex_sources!$D$9*Codex_sources!$L$9</f>
        <v/>
      </c>
      <c r="AF88" s="0">
        <f>SUMIFS(Codex_USGS_raw!$E$2:$E$94,Codex_USGS_raw!$A$2:$A$94,Codex_sources!$A$9,Codex_USGS_raw!$C$2:$C$94,AF$4)*Codex_sources!$D$9*Codex_sources!$L$9</f>
        <v/>
      </c>
      <c r="AG88" s="0">
        <f>SUMIFS(Codex_USGS_raw!$E$2:$E$94,Codex_USGS_raw!$A$2:$A$94,Codex_sources!$A$9,Codex_USGS_raw!$C$2:$C$94,AG$4)*Codex_sources!$D$9*Codex_sources!$L$9</f>
        <v/>
      </c>
      <c r="AH88" s="0">
        <f>SUMIFS(Codex_USGS_raw!$E$2:$E$94,Codex_USGS_raw!$A$2:$A$94,Codex_sources!$A$9,Codex_USGS_raw!$C$2:$C$94,AH$4)*Codex_sources!$D$9*Codex_sources!$L$9</f>
        <v/>
      </c>
      <c r="AI88" s="0">
        <f>SUMIFS(Codex_USGS_raw!$E$2:$E$94,Codex_USGS_raw!$A$2:$A$94,Codex_sources!$A$9,Codex_USGS_raw!$C$2:$C$94,AI$4)*Codex_sources!$D$9*Codex_sources!$L$9</f>
        <v/>
      </c>
      <c r="AJ88" s="0">
        <f>SUMIFS(Codex_USGS_raw!$E$2:$E$94,Codex_USGS_raw!$A$2:$A$94,Codex_sources!$A$9,Codex_USGS_raw!$C$2:$C$94,AJ$4)*Codex_sources!$D$9*Codex_sources!$L$9</f>
        <v/>
      </c>
      <c r="AK88" s="0">
        <f>SUMIFS(Codex_USGS_raw!$E$2:$E$94,Codex_USGS_raw!$A$2:$A$94,Codex_sources!$A$9,Codex_USGS_raw!$C$2:$C$94,AK$4)*Codex_sources!$D$9*Codex_sources!$L$9</f>
        <v/>
      </c>
      <c r="AL88" s="0">
        <f>SUMIFS(Codex_USGS_raw!$E$2:$E$94,Codex_USGS_raw!$A$2:$A$94,Codex_sources!$A$9,Codex_USGS_raw!$C$2:$C$94,AL$4)*Codex_sources!$D$9*Codex_sources!$L$9</f>
        <v/>
      </c>
      <c r="AM88" s="0">
        <f>SUMIFS(Codex_USGS_raw!$E$2:$E$94,Codex_USGS_raw!$A$2:$A$94,Codex_sources!$A$9,Codex_USGS_raw!$C$2:$C$94,AM$4)*Codex_sources!$D$9*Codex_sources!$L$9</f>
        <v/>
      </c>
      <c r="AN88" s="0">
        <f>SUMIFS(Codex_USGS_raw!$E$2:$E$94,Codex_USGS_raw!$A$2:$A$94,Codex_sources!$A$9,Codex_USGS_raw!$C$2:$C$94,AN$4)*Codex_sources!$D$9*Codex_sources!$L$9</f>
        <v/>
      </c>
      <c r="AO88" s="0">
        <f>AO87</f>
        <v/>
      </c>
    </row>
    <row r="89">
      <c r="C89" s="0" t="inlineStr">
        <is>
          <t>MINAlRSV3</t>
        </is>
      </c>
      <c r="D89" s="0" t="inlineStr">
        <is>
          <t>COST</t>
        </is>
      </c>
      <c r="E89" s="0" t="inlineStr">
        <is>
          <t>m_aluminum</t>
        </is>
      </c>
      <c r="F89" s="0">
        <f>Codex_Regional!F16*(Codex_sources!$O$9/Codex_sources!$M$9)</f>
        <v/>
      </c>
      <c r="G89" s="0">
        <f>Codex_Regional!G16*(Codex_sources!$O$9/Codex_sources!$M$9)</f>
        <v/>
      </c>
      <c r="H89" s="0">
        <f>Codex_Regional!H16*(Codex_sources!$O$9/Codex_sources!$M$9)</f>
        <v/>
      </c>
      <c r="I89" s="0">
        <f>Codex_Regional!I16*(Codex_sources!$O$9/Codex_sources!$M$9)</f>
        <v/>
      </c>
      <c r="J89" s="0">
        <f>Codex_Regional!J16*(Codex_sources!$O$9/Codex_sources!$M$9)</f>
        <v/>
      </c>
      <c r="K89" s="0">
        <f>Codex_Regional!K16*(Codex_sources!$O$9/Codex_sources!$M$9)</f>
        <v/>
      </c>
      <c r="L89" s="0">
        <f>Codex_Regional!L16*(Codex_sources!$O$9/Codex_sources!$M$9)</f>
        <v/>
      </c>
      <c r="M89" s="0">
        <f>Codex_Regional!M16*(Codex_sources!$O$9/Codex_sources!$M$9)</f>
        <v/>
      </c>
      <c r="N89" s="0">
        <f>Codex_Regional!N16*(Codex_sources!$O$9/Codex_sources!$M$9)</f>
        <v/>
      </c>
      <c r="O89" s="0">
        <f>Codex_Regional!O16*(Codex_sources!$O$9/Codex_sources!$M$9)</f>
        <v/>
      </c>
      <c r="P89" s="0">
        <f>Codex_Regional!P16*(Codex_sources!$O$9/Codex_sources!$M$9)</f>
        <v/>
      </c>
      <c r="Q89" s="0">
        <f>Codex_Regional!Q16*(Codex_sources!$O$9/Codex_sources!$M$9)</f>
        <v/>
      </c>
      <c r="R89" s="0">
        <f>Codex_Regional!R16*(Codex_sources!$O$9/Codex_sources!$M$9)</f>
        <v/>
      </c>
      <c r="S89" s="0">
        <f>Codex_Regional!S16*(Codex_sources!$O$9/Codex_sources!$M$9)</f>
        <v/>
      </c>
      <c r="T89" s="0">
        <f>Codex_Regional!T16*(Codex_sources!$O$9/Codex_sources!$M$9)</f>
        <v/>
      </c>
      <c r="U89" s="0">
        <f>Codex_Regional!U16*(Codex_sources!$O$9/Codex_sources!$M$9)</f>
        <v/>
      </c>
      <c r="V89" s="0">
        <f>Codex_Regional!V16*(Codex_sources!$O$9/Codex_sources!$M$9)</f>
        <v/>
      </c>
      <c r="W89" s="0">
        <f>Codex_Regional!W16*(Codex_sources!$O$9/Codex_sources!$M$9)</f>
        <v/>
      </c>
      <c r="X89" s="0">
        <f>Codex_Regional!X16*(Codex_sources!$O$9/Codex_sources!$M$9)</f>
        <v/>
      </c>
      <c r="Y89" s="0">
        <f>Codex_Regional!Y16*(Codex_sources!$O$9/Codex_sources!$M$9)</f>
        <v/>
      </c>
      <c r="Z89" s="0">
        <f>Codex_Regional!Z16*(Codex_sources!$O$9/Codex_sources!$M$9)</f>
        <v/>
      </c>
      <c r="AA89" s="0">
        <f>Codex_Regional!AA16*(Codex_sources!$O$9/Codex_sources!$M$9)</f>
        <v/>
      </c>
      <c r="AB89" s="0">
        <f>Codex_Regional!AB16*(Codex_sources!$O$9/Codex_sources!$M$9)</f>
        <v/>
      </c>
      <c r="AC89" s="0">
        <f>Codex_Regional!AC16*(Codex_sources!$O$9/Codex_sources!$M$9)</f>
        <v/>
      </c>
      <c r="AD89" s="0">
        <f>Codex_Regional!AD16*(Codex_sources!$O$9/Codex_sources!$M$9)</f>
        <v/>
      </c>
      <c r="AE89" s="0">
        <f>Codex_Regional!AE16*(Codex_sources!$O$9/Codex_sources!$M$9)</f>
        <v/>
      </c>
      <c r="AF89" s="0">
        <f>Codex_Regional!AF16*(Codex_sources!$O$9/Codex_sources!$M$9)</f>
        <v/>
      </c>
      <c r="AG89" s="0">
        <f>Codex_Regional!AG16*(Codex_sources!$O$9/Codex_sources!$M$9)</f>
        <v/>
      </c>
      <c r="AH89" s="0">
        <f>Codex_Regional!AH16*(Codex_sources!$O$9/Codex_sources!$M$9)</f>
        <v/>
      </c>
      <c r="AI89" s="0">
        <f>Codex_Regional!AI16*(Codex_sources!$O$9/Codex_sources!$M$9)</f>
        <v/>
      </c>
      <c r="AJ89" s="0">
        <f>Codex_Regional!AJ16*(Codex_sources!$O$9/Codex_sources!$M$9)</f>
        <v/>
      </c>
      <c r="AK89" s="0">
        <f>Codex_Regional!AK16*(Codex_sources!$O$9/Codex_sources!$M$9)</f>
        <v/>
      </c>
      <c r="AL89" s="0">
        <f>Codex_Regional!AL16*(Codex_sources!$O$9/Codex_sources!$M$9)</f>
        <v/>
      </c>
      <c r="AM89" s="0">
        <f>Codex_Regional!AM16*(Codex_sources!$O$9/Codex_sources!$M$9)</f>
        <v/>
      </c>
      <c r="AN89" s="0">
        <f>Codex_Regional!AN16*(Codex_sources!$O$9/Codex_sources!$M$9)</f>
        <v/>
      </c>
      <c r="AO89" s="0">
        <f>AO88</f>
        <v/>
      </c>
    </row>
    <row r="90">
      <c r="AO90" s="0">
        <f>AO89</f>
        <v/>
      </c>
    </row>
    <row r="91">
      <c r="C91" s="0" t="inlineStr">
        <is>
          <t>MINCuRSV1</t>
        </is>
      </c>
      <c r="D91" s="0" t="inlineStr">
        <is>
          <t>BNDACT</t>
        </is>
      </c>
      <c r="F91" s="0">
        <f>SUMIFS(Codex_USGS_raw!$D$2:$D$94,Codex_USGS_raw!$A$2:$A$94,Codex_sources!$A$10,Codex_USGS_raw!$C$2:$C$94,F$4)*Codex_sources!$D$10*1</f>
        <v/>
      </c>
      <c r="G91" s="0">
        <f>SUMIFS(Codex_USGS_raw!$D$2:$D$94,Codex_USGS_raw!$A$2:$A$94,Codex_sources!$A$10,Codex_USGS_raw!$C$2:$C$94,G$4)*Codex_sources!$D$10*1</f>
        <v/>
      </c>
      <c r="H91" s="0">
        <f>SUMIFS(Codex_USGS_raw!$D$2:$D$94,Codex_USGS_raw!$A$2:$A$94,Codex_sources!$A$10,Codex_USGS_raw!$C$2:$C$94,H$4)*Codex_sources!$D$10*1</f>
        <v/>
      </c>
      <c r="I91" s="0">
        <f>SUMIFS(Codex_USGS_raw!$D$2:$D$94,Codex_USGS_raw!$A$2:$A$94,Codex_sources!$A$10,Codex_USGS_raw!$C$2:$C$94,I$4)*Codex_sources!$D$10*1</f>
        <v/>
      </c>
      <c r="J91" s="0">
        <f>SUMIFS(Codex_USGS_raw!$D$2:$D$94,Codex_USGS_raw!$A$2:$A$94,Codex_sources!$A$10,Codex_USGS_raw!$C$2:$C$94,J$4)*Codex_sources!$D$10*1</f>
        <v/>
      </c>
      <c r="K91" s="0">
        <f>SUMIFS(Codex_USGS_raw!$D$2:$D$94,Codex_USGS_raw!$A$2:$A$94,Codex_sources!$A$10,Codex_USGS_raw!$C$2:$C$94,K$4)*Codex_sources!$D$10*1</f>
        <v/>
      </c>
      <c r="L91" s="0">
        <f>SUMIFS(Codex_USGS_raw!$D$2:$D$94,Codex_USGS_raw!$A$2:$A$94,Codex_sources!$A$10,Codex_USGS_raw!$C$2:$C$94,L$4)*Codex_sources!$D$10*1</f>
        <v/>
      </c>
      <c r="M91" s="0">
        <f>SUMIFS(Codex_USGS_raw!$D$2:$D$94,Codex_USGS_raw!$A$2:$A$94,Codex_sources!$A$10,Codex_USGS_raw!$C$2:$C$94,M$4)*Codex_sources!$D$10*1</f>
        <v/>
      </c>
      <c r="N91" s="0">
        <f>SUMIFS(Codex_USGS_raw!$D$2:$D$94,Codex_USGS_raw!$A$2:$A$94,Codex_sources!$A$10,Codex_USGS_raw!$C$2:$C$94,N$4)*Codex_sources!$D$10*1</f>
        <v/>
      </c>
      <c r="O91" s="0">
        <f>SUMIFS(Codex_USGS_raw!$D$2:$D$94,Codex_USGS_raw!$A$2:$A$94,Codex_sources!$A$10,Codex_USGS_raw!$C$2:$C$94,O$4)*Codex_sources!$D$10*1</f>
        <v/>
      </c>
      <c r="P91" s="0">
        <f>SUMIFS(Codex_USGS_raw!$D$2:$D$94,Codex_USGS_raw!$A$2:$A$94,Codex_sources!$A$10,Codex_USGS_raw!$C$2:$C$94,P$4)*Codex_sources!$D$10*1</f>
        <v/>
      </c>
      <c r="Q91" s="0">
        <f>SUMIFS(Codex_USGS_raw!$D$2:$D$94,Codex_USGS_raw!$A$2:$A$94,Codex_sources!$A$10,Codex_USGS_raw!$C$2:$C$94,Q$4)*Codex_sources!$D$10*1</f>
        <v/>
      </c>
      <c r="R91" s="0">
        <f>SUMIFS(Codex_USGS_raw!$D$2:$D$94,Codex_USGS_raw!$A$2:$A$94,Codex_sources!$A$10,Codex_USGS_raw!$C$2:$C$94,R$4)*Codex_sources!$D$10*1</f>
        <v/>
      </c>
      <c r="S91" s="0">
        <f>SUMIFS(Codex_USGS_raw!$D$2:$D$94,Codex_USGS_raw!$A$2:$A$94,Codex_sources!$A$10,Codex_USGS_raw!$C$2:$C$94,S$4)*Codex_sources!$D$10*1</f>
        <v/>
      </c>
      <c r="T91" s="0">
        <f>SUMIFS(Codex_USGS_raw!$D$2:$D$94,Codex_USGS_raw!$A$2:$A$94,Codex_sources!$A$10,Codex_USGS_raw!$C$2:$C$94,T$4)*Codex_sources!$D$10*1</f>
        <v/>
      </c>
      <c r="U91" s="0">
        <f>SUMIFS(Codex_USGS_raw!$D$2:$D$94,Codex_USGS_raw!$A$2:$A$94,Codex_sources!$A$10,Codex_USGS_raw!$C$2:$C$94,U$4)*Codex_sources!$D$10*1</f>
        <v/>
      </c>
      <c r="V91" s="0">
        <f>SUMIFS(Codex_USGS_raw!$D$2:$D$94,Codex_USGS_raw!$A$2:$A$94,Codex_sources!$A$10,Codex_USGS_raw!$C$2:$C$94,V$4)*Codex_sources!$D$10*1</f>
        <v/>
      </c>
      <c r="W91" s="0">
        <f>SUMIFS(Codex_USGS_raw!$D$2:$D$94,Codex_USGS_raw!$A$2:$A$94,Codex_sources!$A$10,Codex_USGS_raw!$C$2:$C$94,W$4)*Codex_sources!$D$10*1</f>
        <v/>
      </c>
      <c r="X91" s="0">
        <f>SUMIFS(Codex_USGS_raw!$D$2:$D$94,Codex_USGS_raw!$A$2:$A$94,Codex_sources!$A$10,Codex_USGS_raw!$C$2:$C$94,X$4)*Codex_sources!$D$10*1</f>
        <v/>
      </c>
      <c r="Y91" s="0">
        <f>SUMIFS(Codex_USGS_raw!$D$2:$D$94,Codex_USGS_raw!$A$2:$A$94,Codex_sources!$A$10,Codex_USGS_raw!$C$2:$C$94,Y$4)*Codex_sources!$D$10*1</f>
        <v/>
      </c>
      <c r="Z91" s="0">
        <f>SUMIFS(Codex_USGS_raw!$D$2:$D$94,Codex_USGS_raw!$A$2:$A$94,Codex_sources!$A$10,Codex_USGS_raw!$C$2:$C$94,Z$4)*Codex_sources!$D$10*1</f>
        <v/>
      </c>
      <c r="AA91" s="0">
        <f>SUMIFS(Codex_USGS_raw!$D$2:$D$94,Codex_USGS_raw!$A$2:$A$94,Codex_sources!$A$10,Codex_USGS_raw!$C$2:$C$94,AA$4)*Codex_sources!$D$10*1</f>
        <v/>
      </c>
      <c r="AB91" s="0">
        <f>SUMIFS(Codex_USGS_raw!$D$2:$D$94,Codex_USGS_raw!$A$2:$A$94,Codex_sources!$A$10,Codex_USGS_raw!$C$2:$C$94,AB$4)*Codex_sources!$D$10*1</f>
        <v/>
      </c>
      <c r="AC91" s="0">
        <f>SUMIFS(Codex_USGS_raw!$D$2:$D$94,Codex_USGS_raw!$A$2:$A$94,Codex_sources!$A$10,Codex_USGS_raw!$C$2:$C$94,AC$4)*Codex_sources!$D$10*1</f>
        <v/>
      </c>
      <c r="AD91" s="0">
        <f>SUMIFS(Codex_USGS_raw!$D$2:$D$94,Codex_USGS_raw!$A$2:$A$94,Codex_sources!$A$10,Codex_USGS_raw!$C$2:$C$94,AD$4)*Codex_sources!$D$10*1</f>
        <v/>
      </c>
      <c r="AE91" s="0">
        <f>SUMIFS(Codex_USGS_raw!$D$2:$D$94,Codex_USGS_raw!$A$2:$A$94,Codex_sources!$A$10,Codex_USGS_raw!$C$2:$C$94,AE$4)*Codex_sources!$D$10*1</f>
        <v/>
      </c>
      <c r="AF91" s="0">
        <f>SUMIFS(Codex_USGS_raw!$D$2:$D$94,Codex_USGS_raw!$A$2:$A$94,Codex_sources!$A$10,Codex_USGS_raw!$C$2:$C$94,AF$4)*Codex_sources!$D$10*1</f>
        <v/>
      </c>
      <c r="AG91" s="0">
        <f>SUMIFS(Codex_USGS_raw!$D$2:$D$94,Codex_USGS_raw!$A$2:$A$94,Codex_sources!$A$10,Codex_USGS_raw!$C$2:$C$94,AG$4)*Codex_sources!$D$10*1</f>
        <v/>
      </c>
      <c r="AH91" s="0">
        <f>SUMIFS(Codex_USGS_raw!$D$2:$D$94,Codex_USGS_raw!$A$2:$A$94,Codex_sources!$A$10,Codex_USGS_raw!$C$2:$C$94,AH$4)*Codex_sources!$D$10*1</f>
        <v/>
      </c>
      <c r="AI91" s="0">
        <f>SUMIFS(Codex_USGS_raw!$D$2:$D$94,Codex_USGS_raw!$A$2:$A$94,Codex_sources!$A$10,Codex_USGS_raw!$C$2:$C$94,AI$4)*Codex_sources!$D$10*1</f>
        <v/>
      </c>
      <c r="AJ91" s="0">
        <f>SUMIFS(Codex_USGS_raw!$D$2:$D$94,Codex_USGS_raw!$A$2:$A$94,Codex_sources!$A$10,Codex_USGS_raw!$C$2:$C$94,AJ$4)*Codex_sources!$D$10*1</f>
        <v/>
      </c>
      <c r="AK91" s="0">
        <f>SUMIFS(Codex_USGS_raw!$D$2:$D$94,Codex_USGS_raw!$A$2:$A$94,Codex_sources!$A$10,Codex_USGS_raw!$C$2:$C$94,AK$4)*Codex_sources!$D$10*1</f>
        <v/>
      </c>
      <c r="AL91" s="0">
        <f>SUMIFS(Codex_USGS_raw!$D$2:$D$94,Codex_USGS_raw!$A$2:$A$94,Codex_sources!$A$10,Codex_USGS_raw!$C$2:$C$94,AL$4)*Codex_sources!$D$10*1</f>
        <v/>
      </c>
      <c r="AM91" s="0">
        <f>SUMIFS(Codex_USGS_raw!$D$2:$D$94,Codex_USGS_raw!$A$2:$A$94,Codex_sources!$A$10,Codex_USGS_raw!$C$2:$C$94,AM$4)*Codex_sources!$D$10*1</f>
        <v/>
      </c>
      <c r="AN91" s="0">
        <f>SUMIFS(Codex_USGS_raw!$D$2:$D$94,Codex_USGS_raw!$A$2:$A$94,Codex_sources!$A$10,Codex_USGS_raw!$C$2:$C$94,AN$4)*Codex_sources!$D$10*1</f>
        <v/>
      </c>
      <c r="AO91" s="0">
        <f>AO90</f>
        <v/>
      </c>
    </row>
    <row r="92">
      <c r="C92" s="0" t="inlineStr">
        <is>
          <t>MINCuRSV1</t>
        </is>
      </c>
      <c r="D92" s="0" t="inlineStr">
        <is>
          <t>CUM</t>
        </is>
      </c>
      <c r="F92" s="0">
        <f>SUMIFS(Codex_USGS_raw!$E$2:$E$94,Codex_USGS_raw!$A$2:$A$94,Codex_sources!$A$10,Codex_USGS_raw!$C$2:$C$94,F$4)*Codex_sources!$D$10*Codex_sources!$J$10</f>
        <v/>
      </c>
      <c r="G92" s="0">
        <f>SUMIFS(Codex_USGS_raw!$E$2:$E$94,Codex_USGS_raw!$A$2:$A$94,Codex_sources!$A$10,Codex_USGS_raw!$C$2:$C$94,G$4)*Codex_sources!$D$10*Codex_sources!$J$10</f>
        <v/>
      </c>
      <c r="H92" s="0">
        <f>SUMIFS(Codex_USGS_raw!$E$2:$E$94,Codex_USGS_raw!$A$2:$A$94,Codex_sources!$A$10,Codex_USGS_raw!$C$2:$C$94,H$4)*Codex_sources!$D$10*Codex_sources!$J$10</f>
        <v/>
      </c>
      <c r="I92" s="0">
        <f>SUMIFS(Codex_USGS_raw!$E$2:$E$94,Codex_USGS_raw!$A$2:$A$94,Codex_sources!$A$10,Codex_USGS_raw!$C$2:$C$94,I$4)*Codex_sources!$D$10*Codex_sources!$J$10</f>
        <v/>
      </c>
      <c r="J92" s="0">
        <f>SUMIFS(Codex_USGS_raw!$E$2:$E$94,Codex_USGS_raw!$A$2:$A$94,Codex_sources!$A$10,Codex_USGS_raw!$C$2:$C$94,J$4)*Codex_sources!$D$10*Codex_sources!$J$10</f>
        <v/>
      </c>
      <c r="K92" s="0">
        <f>SUMIFS(Codex_USGS_raw!$E$2:$E$94,Codex_USGS_raw!$A$2:$A$94,Codex_sources!$A$10,Codex_USGS_raw!$C$2:$C$94,K$4)*Codex_sources!$D$10*Codex_sources!$J$10</f>
        <v/>
      </c>
      <c r="L92" s="0">
        <f>SUMIFS(Codex_USGS_raw!$E$2:$E$94,Codex_USGS_raw!$A$2:$A$94,Codex_sources!$A$10,Codex_USGS_raw!$C$2:$C$94,L$4)*Codex_sources!$D$10*Codex_sources!$J$10</f>
        <v/>
      </c>
      <c r="M92" s="0">
        <f>SUMIFS(Codex_USGS_raw!$E$2:$E$94,Codex_USGS_raw!$A$2:$A$94,Codex_sources!$A$10,Codex_USGS_raw!$C$2:$C$94,M$4)*Codex_sources!$D$10*Codex_sources!$J$10</f>
        <v/>
      </c>
      <c r="N92" s="0">
        <f>SUMIFS(Codex_USGS_raw!$E$2:$E$94,Codex_USGS_raw!$A$2:$A$94,Codex_sources!$A$10,Codex_USGS_raw!$C$2:$C$94,N$4)*Codex_sources!$D$10*Codex_sources!$J$10</f>
        <v/>
      </c>
      <c r="O92" s="0">
        <f>SUMIFS(Codex_USGS_raw!$E$2:$E$94,Codex_USGS_raw!$A$2:$A$94,Codex_sources!$A$10,Codex_USGS_raw!$C$2:$C$94,O$4)*Codex_sources!$D$10*Codex_sources!$J$10</f>
        <v/>
      </c>
      <c r="P92" s="0">
        <f>SUMIFS(Codex_USGS_raw!$E$2:$E$94,Codex_USGS_raw!$A$2:$A$94,Codex_sources!$A$10,Codex_USGS_raw!$C$2:$C$94,P$4)*Codex_sources!$D$10*Codex_sources!$J$10</f>
        <v/>
      </c>
      <c r="Q92" s="0">
        <f>SUMIFS(Codex_USGS_raw!$E$2:$E$94,Codex_USGS_raw!$A$2:$A$94,Codex_sources!$A$10,Codex_USGS_raw!$C$2:$C$94,Q$4)*Codex_sources!$D$10*Codex_sources!$J$10</f>
        <v/>
      </c>
      <c r="R92" s="0">
        <f>SUMIFS(Codex_USGS_raw!$E$2:$E$94,Codex_USGS_raw!$A$2:$A$94,Codex_sources!$A$10,Codex_USGS_raw!$C$2:$C$94,R$4)*Codex_sources!$D$10*Codex_sources!$J$10</f>
        <v/>
      </c>
      <c r="S92" s="0">
        <f>SUMIFS(Codex_USGS_raw!$E$2:$E$94,Codex_USGS_raw!$A$2:$A$94,Codex_sources!$A$10,Codex_USGS_raw!$C$2:$C$94,S$4)*Codex_sources!$D$10*Codex_sources!$J$10</f>
        <v/>
      </c>
      <c r="T92" s="0">
        <f>SUMIFS(Codex_USGS_raw!$E$2:$E$94,Codex_USGS_raw!$A$2:$A$94,Codex_sources!$A$10,Codex_USGS_raw!$C$2:$C$94,T$4)*Codex_sources!$D$10*Codex_sources!$J$10</f>
        <v/>
      </c>
      <c r="U92" s="0">
        <f>SUMIFS(Codex_USGS_raw!$E$2:$E$94,Codex_USGS_raw!$A$2:$A$94,Codex_sources!$A$10,Codex_USGS_raw!$C$2:$C$94,U$4)*Codex_sources!$D$10*Codex_sources!$J$10</f>
        <v/>
      </c>
      <c r="V92" s="0">
        <f>SUMIFS(Codex_USGS_raw!$E$2:$E$94,Codex_USGS_raw!$A$2:$A$94,Codex_sources!$A$10,Codex_USGS_raw!$C$2:$C$94,V$4)*Codex_sources!$D$10*Codex_sources!$J$10</f>
        <v/>
      </c>
      <c r="W92" s="0">
        <f>SUMIFS(Codex_USGS_raw!$E$2:$E$94,Codex_USGS_raw!$A$2:$A$94,Codex_sources!$A$10,Codex_USGS_raw!$C$2:$C$94,W$4)*Codex_sources!$D$10*Codex_sources!$J$10</f>
        <v/>
      </c>
      <c r="X92" s="0">
        <f>SUMIFS(Codex_USGS_raw!$E$2:$E$94,Codex_USGS_raw!$A$2:$A$94,Codex_sources!$A$10,Codex_USGS_raw!$C$2:$C$94,X$4)*Codex_sources!$D$10*Codex_sources!$J$10</f>
        <v/>
      </c>
      <c r="Y92" s="0">
        <f>SUMIFS(Codex_USGS_raw!$E$2:$E$94,Codex_USGS_raw!$A$2:$A$94,Codex_sources!$A$10,Codex_USGS_raw!$C$2:$C$94,Y$4)*Codex_sources!$D$10*Codex_sources!$J$10</f>
        <v/>
      </c>
      <c r="Z92" s="0">
        <f>SUMIFS(Codex_USGS_raw!$E$2:$E$94,Codex_USGS_raw!$A$2:$A$94,Codex_sources!$A$10,Codex_USGS_raw!$C$2:$C$94,Z$4)*Codex_sources!$D$10*Codex_sources!$J$10</f>
        <v/>
      </c>
      <c r="AA92" s="0">
        <f>SUMIFS(Codex_USGS_raw!$E$2:$E$94,Codex_USGS_raw!$A$2:$A$94,Codex_sources!$A$10,Codex_USGS_raw!$C$2:$C$94,AA$4)*Codex_sources!$D$10*Codex_sources!$J$10</f>
        <v/>
      </c>
      <c r="AB92" s="0">
        <f>SUMIFS(Codex_USGS_raw!$E$2:$E$94,Codex_USGS_raw!$A$2:$A$94,Codex_sources!$A$10,Codex_USGS_raw!$C$2:$C$94,AB$4)*Codex_sources!$D$10*Codex_sources!$J$10</f>
        <v/>
      </c>
      <c r="AC92" s="0">
        <f>SUMIFS(Codex_USGS_raw!$E$2:$E$94,Codex_USGS_raw!$A$2:$A$94,Codex_sources!$A$10,Codex_USGS_raw!$C$2:$C$94,AC$4)*Codex_sources!$D$10*Codex_sources!$J$10</f>
        <v/>
      </c>
      <c r="AD92" s="0">
        <f>SUMIFS(Codex_USGS_raw!$E$2:$E$94,Codex_USGS_raw!$A$2:$A$94,Codex_sources!$A$10,Codex_USGS_raw!$C$2:$C$94,AD$4)*Codex_sources!$D$10*Codex_sources!$J$10</f>
        <v/>
      </c>
      <c r="AE92" s="0">
        <f>SUMIFS(Codex_USGS_raw!$E$2:$E$94,Codex_USGS_raw!$A$2:$A$94,Codex_sources!$A$10,Codex_USGS_raw!$C$2:$C$94,AE$4)*Codex_sources!$D$10*Codex_sources!$J$10</f>
        <v/>
      </c>
      <c r="AF92" s="0">
        <f>SUMIFS(Codex_USGS_raw!$E$2:$E$94,Codex_USGS_raw!$A$2:$A$94,Codex_sources!$A$10,Codex_USGS_raw!$C$2:$C$94,AF$4)*Codex_sources!$D$10*Codex_sources!$J$10</f>
        <v/>
      </c>
      <c r="AG92" s="0">
        <f>SUMIFS(Codex_USGS_raw!$E$2:$E$94,Codex_USGS_raw!$A$2:$A$94,Codex_sources!$A$10,Codex_USGS_raw!$C$2:$C$94,AG$4)*Codex_sources!$D$10*Codex_sources!$J$10</f>
        <v/>
      </c>
      <c r="AH92" s="0">
        <f>SUMIFS(Codex_USGS_raw!$E$2:$E$94,Codex_USGS_raw!$A$2:$A$94,Codex_sources!$A$10,Codex_USGS_raw!$C$2:$C$94,AH$4)*Codex_sources!$D$10*Codex_sources!$J$10</f>
        <v/>
      </c>
      <c r="AI92" s="0">
        <f>SUMIFS(Codex_USGS_raw!$E$2:$E$94,Codex_USGS_raw!$A$2:$A$94,Codex_sources!$A$10,Codex_USGS_raw!$C$2:$C$94,AI$4)*Codex_sources!$D$10*Codex_sources!$J$10</f>
        <v/>
      </c>
      <c r="AJ92" s="0">
        <f>SUMIFS(Codex_USGS_raw!$E$2:$E$94,Codex_USGS_raw!$A$2:$A$94,Codex_sources!$A$10,Codex_USGS_raw!$C$2:$C$94,AJ$4)*Codex_sources!$D$10*Codex_sources!$J$10</f>
        <v/>
      </c>
      <c r="AK92" s="0">
        <f>SUMIFS(Codex_USGS_raw!$E$2:$E$94,Codex_USGS_raw!$A$2:$A$94,Codex_sources!$A$10,Codex_USGS_raw!$C$2:$C$94,AK$4)*Codex_sources!$D$10*Codex_sources!$J$10</f>
        <v/>
      </c>
      <c r="AL92" s="0">
        <f>SUMIFS(Codex_USGS_raw!$E$2:$E$94,Codex_USGS_raw!$A$2:$A$94,Codex_sources!$A$10,Codex_USGS_raw!$C$2:$C$94,AL$4)*Codex_sources!$D$10*Codex_sources!$J$10</f>
        <v/>
      </c>
      <c r="AM92" s="0">
        <f>SUMIFS(Codex_USGS_raw!$E$2:$E$94,Codex_USGS_raw!$A$2:$A$94,Codex_sources!$A$10,Codex_USGS_raw!$C$2:$C$94,AM$4)*Codex_sources!$D$10*Codex_sources!$J$10</f>
        <v/>
      </c>
      <c r="AN92" s="0">
        <f>SUMIFS(Codex_USGS_raw!$E$2:$E$94,Codex_USGS_raw!$A$2:$A$94,Codex_sources!$A$10,Codex_USGS_raw!$C$2:$C$94,AN$4)*Codex_sources!$D$10*Codex_sources!$J$10</f>
        <v/>
      </c>
      <c r="AO92" s="0">
        <f>AO91</f>
        <v/>
      </c>
    </row>
    <row r="93">
      <c r="C93" s="0" t="inlineStr">
        <is>
          <t>MINCuRSV1</t>
        </is>
      </c>
      <c r="D93" s="0" t="inlineStr">
        <is>
          <t>COST</t>
        </is>
      </c>
      <c r="E93" s="0" t="inlineStr">
        <is>
          <t>m_copper</t>
        </is>
      </c>
      <c r="F93" s="0">
        <f>Codex_Regional!F19</f>
        <v/>
      </c>
      <c r="G93" s="0">
        <f>Codex_Regional!G19</f>
        <v/>
      </c>
      <c r="H93" s="0">
        <f>Codex_Regional!H19</f>
        <v/>
      </c>
      <c r="I93" s="0">
        <f>Codex_Regional!I19</f>
        <v/>
      </c>
      <c r="J93" s="0">
        <f>Codex_Regional!J19</f>
        <v/>
      </c>
      <c r="K93" s="0">
        <f>Codex_Regional!K19</f>
        <v/>
      </c>
      <c r="L93" s="0">
        <f>Codex_Regional!L19</f>
        <v/>
      </c>
      <c r="M93" s="0">
        <f>Codex_Regional!M19</f>
        <v/>
      </c>
      <c r="N93" s="0">
        <f>Codex_Regional!N19</f>
        <v/>
      </c>
      <c r="O93" s="0">
        <f>Codex_Regional!O19</f>
        <v/>
      </c>
      <c r="P93" s="0">
        <f>Codex_Regional!P19</f>
        <v/>
      </c>
      <c r="Q93" s="0">
        <f>Codex_Regional!Q19</f>
        <v/>
      </c>
      <c r="R93" s="0">
        <f>Codex_Regional!R19</f>
        <v/>
      </c>
      <c r="S93" s="0">
        <f>Codex_Regional!S19</f>
        <v/>
      </c>
      <c r="T93" s="0">
        <f>Codex_Regional!T19</f>
        <v/>
      </c>
      <c r="U93" s="0">
        <f>Codex_Regional!U19</f>
        <v/>
      </c>
      <c r="V93" s="0">
        <f>Codex_Regional!V19</f>
        <v/>
      </c>
      <c r="W93" s="0">
        <f>Codex_Regional!W19</f>
        <v/>
      </c>
      <c r="X93" s="0">
        <f>Codex_Regional!X19</f>
        <v/>
      </c>
      <c r="Y93" s="0">
        <f>Codex_Regional!Y19</f>
        <v/>
      </c>
      <c r="Z93" s="0">
        <f>Codex_Regional!Z19</f>
        <v/>
      </c>
      <c r="AA93" s="0">
        <f>Codex_Regional!AA19</f>
        <v/>
      </c>
      <c r="AB93" s="0">
        <f>Codex_Regional!AB19</f>
        <v/>
      </c>
      <c r="AC93" s="0">
        <f>Codex_Regional!AC19</f>
        <v/>
      </c>
      <c r="AD93" s="0">
        <f>Codex_Regional!AD19</f>
        <v/>
      </c>
      <c r="AE93" s="0">
        <f>Codex_Regional!AE19</f>
        <v/>
      </c>
      <c r="AF93" s="0">
        <f>Codex_Regional!AF19</f>
        <v/>
      </c>
      <c r="AG93" s="0">
        <f>Codex_Regional!AG19</f>
        <v/>
      </c>
      <c r="AH93" s="0">
        <f>Codex_Regional!AH19</f>
        <v/>
      </c>
      <c r="AI93" s="0">
        <f>Codex_Regional!AI19</f>
        <v/>
      </c>
      <c r="AJ93" s="0">
        <f>Codex_Regional!AJ19</f>
        <v/>
      </c>
      <c r="AK93" s="0">
        <f>Codex_Regional!AK19</f>
        <v/>
      </c>
      <c r="AL93" s="0">
        <f>Codex_Regional!AL19</f>
        <v/>
      </c>
      <c r="AM93" s="0">
        <f>Codex_Regional!AM19</f>
        <v/>
      </c>
      <c r="AN93" s="0">
        <f>Codex_Regional!AN19</f>
        <v/>
      </c>
      <c r="AO93" s="0">
        <f>AO92</f>
        <v/>
      </c>
    </row>
    <row r="94">
      <c r="C94" s="0" t="inlineStr">
        <is>
          <t>MINCuRSV2</t>
        </is>
      </c>
      <c r="D94" s="0" t="inlineStr">
        <is>
          <t>BNDACT</t>
        </is>
      </c>
      <c r="F94" s="0">
        <f>SUMIFS(Codex_USGS_raw!$D$2:$D$94,Codex_USGS_raw!$A$2:$A$94,Codex_sources!$A$10,Codex_USGS_raw!$C$2:$C$94,F$4)*Codex_sources!$D$10*2</f>
        <v/>
      </c>
      <c r="G94" s="0">
        <f>SUMIFS(Codex_USGS_raw!$D$2:$D$94,Codex_USGS_raw!$A$2:$A$94,Codex_sources!$A$10,Codex_USGS_raw!$C$2:$C$94,G$4)*Codex_sources!$D$10*2</f>
        <v/>
      </c>
      <c r="H94" s="0">
        <f>SUMIFS(Codex_USGS_raw!$D$2:$D$94,Codex_USGS_raw!$A$2:$A$94,Codex_sources!$A$10,Codex_USGS_raw!$C$2:$C$94,H$4)*Codex_sources!$D$10*2</f>
        <v/>
      </c>
      <c r="I94" s="0">
        <f>SUMIFS(Codex_USGS_raw!$D$2:$D$94,Codex_USGS_raw!$A$2:$A$94,Codex_sources!$A$10,Codex_USGS_raw!$C$2:$C$94,I$4)*Codex_sources!$D$10*2</f>
        <v/>
      </c>
      <c r="J94" s="0">
        <f>SUMIFS(Codex_USGS_raw!$D$2:$D$94,Codex_USGS_raw!$A$2:$A$94,Codex_sources!$A$10,Codex_USGS_raw!$C$2:$C$94,J$4)*Codex_sources!$D$10*2</f>
        <v/>
      </c>
      <c r="K94" s="0">
        <f>SUMIFS(Codex_USGS_raw!$D$2:$D$94,Codex_USGS_raw!$A$2:$A$94,Codex_sources!$A$10,Codex_USGS_raw!$C$2:$C$94,K$4)*Codex_sources!$D$10*2</f>
        <v/>
      </c>
      <c r="L94" s="0">
        <f>SUMIFS(Codex_USGS_raw!$D$2:$D$94,Codex_USGS_raw!$A$2:$A$94,Codex_sources!$A$10,Codex_USGS_raw!$C$2:$C$94,L$4)*Codex_sources!$D$10*2</f>
        <v/>
      </c>
      <c r="M94" s="0">
        <f>SUMIFS(Codex_USGS_raw!$D$2:$D$94,Codex_USGS_raw!$A$2:$A$94,Codex_sources!$A$10,Codex_USGS_raw!$C$2:$C$94,M$4)*Codex_sources!$D$10*2</f>
        <v/>
      </c>
      <c r="N94" s="0">
        <f>SUMIFS(Codex_USGS_raw!$D$2:$D$94,Codex_USGS_raw!$A$2:$A$94,Codex_sources!$A$10,Codex_USGS_raw!$C$2:$C$94,N$4)*Codex_sources!$D$10*2</f>
        <v/>
      </c>
      <c r="O94" s="0">
        <f>SUMIFS(Codex_USGS_raw!$D$2:$D$94,Codex_USGS_raw!$A$2:$A$94,Codex_sources!$A$10,Codex_USGS_raw!$C$2:$C$94,O$4)*Codex_sources!$D$10*2</f>
        <v/>
      </c>
      <c r="P94" s="0">
        <f>SUMIFS(Codex_USGS_raw!$D$2:$D$94,Codex_USGS_raw!$A$2:$A$94,Codex_sources!$A$10,Codex_USGS_raw!$C$2:$C$94,P$4)*Codex_sources!$D$10*2</f>
        <v/>
      </c>
      <c r="Q94" s="0">
        <f>SUMIFS(Codex_USGS_raw!$D$2:$D$94,Codex_USGS_raw!$A$2:$A$94,Codex_sources!$A$10,Codex_USGS_raw!$C$2:$C$94,Q$4)*Codex_sources!$D$10*2</f>
        <v/>
      </c>
      <c r="R94" s="0">
        <f>SUMIFS(Codex_USGS_raw!$D$2:$D$94,Codex_USGS_raw!$A$2:$A$94,Codex_sources!$A$10,Codex_USGS_raw!$C$2:$C$94,R$4)*Codex_sources!$D$10*2</f>
        <v/>
      </c>
      <c r="S94" s="0">
        <f>SUMIFS(Codex_USGS_raw!$D$2:$D$94,Codex_USGS_raw!$A$2:$A$94,Codex_sources!$A$10,Codex_USGS_raw!$C$2:$C$94,S$4)*Codex_sources!$D$10*2</f>
        <v/>
      </c>
      <c r="T94" s="0">
        <f>SUMIFS(Codex_USGS_raw!$D$2:$D$94,Codex_USGS_raw!$A$2:$A$94,Codex_sources!$A$10,Codex_USGS_raw!$C$2:$C$94,T$4)*Codex_sources!$D$10*2</f>
        <v/>
      </c>
      <c r="U94" s="0">
        <f>SUMIFS(Codex_USGS_raw!$D$2:$D$94,Codex_USGS_raw!$A$2:$A$94,Codex_sources!$A$10,Codex_USGS_raw!$C$2:$C$94,U$4)*Codex_sources!$D$10*2</f>
        <v/>
      </c>
      <c r="V94" s="0">
        <f>SUMIFS(Codex_USGS_raw!$D$2:$D$94,Codex_USGS_raw!$A$2:$A$94,Codex_sources!$A$10,Codex_USGS_raw!$C$2:$C$94,V$4)*Codex_sources!$D$10*2</f>
        <v/>
      </c>
      <c r="W94" s="0">
        <f>SUMIFS(Codex_USGS_raw!$D$2:$D$94,Codex_USGS_raw!$A$2:$A$94,Codex_sources!$A$10,Codex_USGS_raw!$C$2:$C$94,W$4)*Codex_sources!$D$10*2</f>
        <v/>
      </c>
      <c r="X94" s="0">
        <f>SUMIFS(Codex_USGS_raw!$D$2:$D$94,Codex_USGS_raw!$A$2:$A$94,Codex_sources!$A$10,Codex_USGS_raw!$C$2:$C$94,X$4)*Codex_sources!$D$10*2</f>
        <v/>
      </c>
      <c r="Y94" s="0">
        <f>SUMIFS(Codex_USGS_raw!$D$2:$D$94,Codex_USGS_raw!$A$2:$A$94,Codex_sources!$A$10,Codex_USGS_raw!$C$2:$C$94,Y$4)*Codex_sources!$D$10*2</f>
        <v/>
      </c>
      <c r="Z94" s="0">
        <f>SUMIFS(Codex_USGS_raw!$D$2:$D$94,Codex_USGS_raw!$A$2:$A$94,Codex_sources!$A$10,Codex_USGS_raw!$C$2:$C$94,Z$4)*Codex_sources!$D$10*2</f>
        <v/>
      </c>
      <c r="AA94" s="0">
        <f>SUMIFS(Codex_USGS_raw!$D$2:$D$94,Codex_USGS_raw!$A$2:$A$94,Codex_sources!$A$10,Codex_USGS_raw!$C$2:$C$94,AA$4)*Codex_sources!$D$10*2</f>
        <v/>
      </c>
      <c r="AB94" s="0">
        <f>SUMIFS(Codex_USGS_raw!$D$2:$D$94,Codex_USGS_raw!$A$2:$A$94,Codex_sources!$A$10,Codex_USGS_raw!$C$2:$C$94,AB$4)*Codex_sources!$D$10*2</f>
        <v/>
      </c>
      <c r="AC94" s="0">
        <f>SUMIFS(Codex_USGS_raw!$D$2:$D$94,Codex_USGS_raw!$A$2:$A$94,Codex_sources!$A$10,Codex_USGS_raw!$C$2:$C$94,AC$4)*Codex_sources!$D$10*2</f>
        <v/>
      </c>
      <c r="AD94" s="0">
        <f>SUMIFS(Codex_USGS_raw!$D$2:$D$94,Codex_USGS_raw!$A$2:$A$94,Codex_sources!$A$10,Codex_USGS_raw!$C$2:$C$94,AD$4)*Codex_sources!$D$10*2</f>
        <v/>
      </c>
      <c r="AE94" s="0">
        <f>SUMIFS(Codex_USGS_raw!$D$2:$D$94,Codex_USGS_raw!$A$2:$A$94,Codex_sources!$A$10,Codex_USGS_raw!$C$2:$C$94,AE$4)*Codex_sources!$D$10*2</f>
        <v/>
      </c>
      <c r="AF94" s="0">
        <f>SUMIFS(Codex_USGS_raw!$D$2:$D$94,Codex_USGS_raw!$A$2:$A$94,Codex_sources!$A$10,Codex_USGS_raw!$C$2:$C$94,AF$4)*Codex_sources!$D$10*2</f>
        <v/>
      </c>
      <c r="AG94" s="0">
        <f>SUMIFS(Codex_USGS_raw!$D$2:$D$94,Codex_USGS_raw!$A$2:$A$94,Codex_sources!$A$10,Codex_USGS_raw!$C$2:$C$94,AG$4)*Codex_sources!$D$10*2</f>
        <v/>
      </c>
      <c r="AH94" s="0">
        <f>SUMIFS(Codex_USGS_raw!$D$2:$D$94,Codex_USGS_raw!$A$2:$A$94,Codex_sources!$A$10,Codex_USGS_raw!$C$2:$C$94,AH$4)*Codex_sources!$D$10*2</f>
        <v/>
      </c>
      <c r="AI94" s="0">
        <f>SUMIFS(Codex_USGS_raw!$D$2:$D$94,Codex_USGS_raw!$A$2:$A$94,Codex_sources!$A$10,Codex_USGS_raw!$C$2:$C$94,AI$4)*Codex_sources!$D$10*2</f>
        <v/>
      </c>
      <c r="AJ94" s="0">
        <f>SUMIFS(Codex_USGS_raw!$D$2:$D$94,Codex_USGS_raw!$A$2:$A$94,Codex_sources!$A$10,Codex_USGS_raw!$C$2:$C$94,AJ$4)*Codex_sources!$D$10*2</f>
        <v/>
      </c>
      <c r="AK94" s="0">
        <f>SUMIFS(Codex_USGS_raw!$D$2:$D$94,Codex_USGS_raw!$A$2:$A$94,Codex_sources!$A$10,Codex_USGS_raw!$C$2:$C$94,AK$4)*Codex_sources!$D$10*2</f>
        <v/>
      </c>
      <c r="AL94" s="0">
        <f>SUMIFS(Codex_USGS_raw!$D$2:$D$94,Codex_USGS_raw!$A$2:$A$94,Codex_sources!$A$10,Codex_USGS_raw!$C$2:$C$94,AL$4)*Codex_sources!$D$10*2</f>
        <v/>
      </c>
      <c r="AM94" s="0">
        <f>SUMIFS(Codex_USGS_raw!$D$2:$D$94,Codex_USGS_raw!$A$2:$A$94,Codex_sources!$A$10,Codex_USGS_raw!$C$2:$C$94,AM$4)*Codex_sources!$D$10*2</f>
        <v/>
      </c>
      <c r="AN94" s="0">
        <f>SUMIFS(Codex_USGS_raw!$D$2:$D$94,Codex_USGS_raw!$A$2:$A$94,Codex_sources!$A$10,Codex_USGS_raw!$C$2:$C$94,AN$4)*Codex_sources!$D$10*2</f>
        <v/>
      </c>
      <c r="AO94" s="0">
        <f>AO93</f>
        <v/>
      </c>
    </row>
    <row r="95">
      <c r="C95" s="0" t="inlineStr">
        <is>
          <t>MINCuRSV2</t>
        </is>
      </c>
      <c r="D95" s="0" t="inlineStr">
        <is>
          <t>CUM</t>
        </is>
      </c>
      <c r="F95" s="0">
        <f>SUMIFS(Codex_USGS_raw!$E$2:$E$94,Codex_USGS_raw!$A$2:$A$94,Codex_sources!$A$10,Codex_USGS_raw!$C$2:$C$94,F$4)*Codex_sources!$D$10*Codex_sources!$K$10</f>
        <v/>
      </c>
      <c r="G95" s="0">
        <f>SUMIFS(Codex_USGS_raw!$E$2:$E$94,Codex_USGS_raw!$A$2:$A$94,Codex_sources!$A$10,Codex_USGS_raw!$C$2:$C$94,G$4)*Codex_sources!$D$10*Codex_sources!$K$10</f>
        <v/>
      </c>
      <c r="H95" s="0">
        <f>SUMIFS(Codex_USGS_raw!$E$2:$E$94,Codex_USGS_raw!$A$2:$A$94,Codex_sources!$A$10,Codex_USGS_raw!$C$2:$C$94,H$4)*Codex_sources!$D$10*Codex_sources!$K$10</f>
        <v/>
      </c>
      <c r="I95" s="0">
        <f>SUMIFS(Codex_USGS_raw!$E$2:$E$94,Codex_USGS_raw!$A$2:$A$94,Codex_sources!$A$10,Codex_USGS_raw!$C$2:$C$94,I$4)*Codex_sources!$D$10*Codex_sources!$K$10</f>
        <v/>
      </c>
      <c r="J95" s="0">
        <f>SUMIFS(Codex_USGS_raw!$E$2:$E$94,Codex_USGS_raw!$A$2:$A$94,Codex_sources!$A$10,Codex_USGS_raw!$C$2:$C$94,J$4)*Codex_sources!$D$10*Codex_sources!$K$10</f>
        <v/>
      </c>
      <c r="K95" s="0">
        <f>SUMIFS(Codex_USGS_raw!$E$2:$E$94,Codex_USGS_raw!$A$2:$A$94,Codex_sources!$A$10,Codex_USGS_raw!$C$2:$C$94,K$4)*Codex_sources!$D$10*Codex_sources!$K$10</f>
        <v/>
      </c>
      <c r="L95" s="0">
        <f>SUMIFS(Codex_USGS_raw!$E$2:$E$94,Codex_USGS_raw!$A$2:$A$94,Codex_sources!$A$10,Codex_USGS_raw!$C$2:$C$94,L$4)*Codex_sources!$D$10*Codex_sources!$K$10</f>
        <v/>
      </c>
      <c r="M95" s="0">
        <f>SUMIFS(Codex_USGS_raw!$E$2:$E$94,Codex_USGS_raw!$A$2:$A$94,Codex_sources!$A$10,Codex_USGS_raw!$C$2:$C$94,M$4)*Codex_sources!$D$10*Codex_sources!$K$10</f>
        <v/>
      </c>
      <c r="N95" s="0">
        <f>SUMIFS(Codex_USGS_raw!$E$2:$E$94,Codex_USGS_raw!$A$2:$A$94,Codex_sources!$A$10,Codex_USGS_raw!$C$2:$C$94,N$4)*Codex_sources!$D$10*Codex_sources!$K$10</f>
        <v/>
      </c>
      <c r="O95" s="0">
        <f>SUMIFS(Codex_USGS_raw!$E$2:$E$94,Codex_USGS_raw!$A$2:$A$94,Codex_sources!$A$10,Codex_USGS_raw!$C$2:$C$94,O$4)*Codex_sources!$D$10*Codex_sources!$K$10</f>
        <v/>
      </c>
      <c r="P95" s="0">
        <f>SUMIFS(Codex_USGS_raw!$E$2:$E$94,Codex_USGS_raw!$A$2:$A$94,Codex_sources!$A$10,Codex_USGS_raw!$C$2:$C$94,P$4)*Codex_sources!$D$10*Codex_sources!$K$10</f>
        <v/>
      </c>
      <c r="Q95" s="0">
        <f>SUMIFS(Codex_USGS_raw!$E$2:$E$94,Codex_USGS_raw!$A$2:$A$94,Codex_sources!$A$10,Codex_USGS_raw!$C$2:$C$94,Q$4)*Codex_sources!$D$10*Codex_sources!$K$10</f>
        <v/>
      </c>
      <c r="R95" s="0">
        <f>SUMIFS(Codex_USGS_raw!$E$2:$E$94,Codex_USGS_raw!$A$2:$A$94,Codex_sources!$A$10,Codex_USGS_raw!$C$2:$C$94,R$4)*Codex_sources!$D$10*Codex_sources!$K$10</f>
        <v/>
      </c>
      <c r="S95" s="0">
        <f>SUMIFS(Codex_USGS_raw!$E$2:$E$94,Codex_USGS_raw!$A$2:$A$94,Codex_sources!$A$10,Codex_USGS_raw!$C$2:$C$94,S$4)*Codex_sources!$D$10*Codex_sources!$K$10</f>
        <v/>
      </c>
      <c r="T95" s="0">
        <f>SUMIFS(Codex_USGS_raw!$E$2:$E$94,Codex_USGS_raw!$A$2:$A$94,Codex_sources!$A$10,Codex_USGS_raw!$C$2:$C$94,T$4)*Codex_sources!$D$10*Codex_sources!$K$10</f>
        <v/>
      </c>
      <c r="U95" s="0">
        <f>SUMIFS(Codex_USGS_raw!$E$2:$E$94,Codex_USGS_raw!$A$2:$A$94,Codex_sources!$A$10,Codex_USGS_raw!$C$2:$C$94,U$4)*Codex_sources!$D$10*Codex_sources!$K$10</f>
        <v/>
      </c>
      <c r="V95" s="0">
        <f>SUMIFS(Codex_USGS_raw!$E$2:$E$94,Codex_USGS_raw!$A$2:$A$94,Codex_sources!$A$10,Codex_USGS_raw!$C$2:$C$94,V$4)*Codex_sources!$D$10*Codex_sources!$K$10</f>
        <v/>
      </c>
      <c r="W95" s="0">
        <f>SUMIFS(Codex_USGS_raw!$E$2:$E$94,Codex_USGS_raw!$A$2:$A$94,Codex_sources!$A$10,Codex_USGS_raw!$C$2:$C$94,W$4)*Codex_sources!$D$10*Codex_sources!$K$10</f>
        <v/>
      </c>
      <c r="X95" s="0">
        <f>SUMIFS(Codex_USGS_raw!$E$2:$E$94,Codex_USGS_raw!$A$2:$A$94,Codex_sources!$A$10,Codex_USGS_raw!$C$2:$C$94,X$4)*Codex_sources!$D$10*Codex_sources!$K$10</f>
        <v/>
      </c>
      <c r="Y95" s="0">
        <f>SUMIFS(Codex_USGS_raw!$E$2:$E$94,Codex_USGS_raw!$A$2:$A$94,Codex_sources!$A$10,Codex_USGS_raw!$C$2:$C$94,Y$4)*Codex_sources!$D$10*Codex_sources!$K$10</f>
        <v/>
      </c>
      <c r="Z95" s="0">
        <f>SUMIFS(Codex_USGS_raw!$E$2:$E$94,Codex_USGS_raw!$A$2:$A$94,Codex_sources!$A$10,Codex_USGS_raw!$C$2:$C$94,Z$4)*Codex_sources!$D$10*Codex_sources!$K$10</f>
        <v/>
      </c>
      <c r="AA95" s="0">
        <f>SUMIFS(Codex_USGS_raw!$E$2:$E$94,Codex_USGS_raw!$A$2:$A$94,Codex_sources!$A$10,Codex_USGS_raw!$C$2:$C$94,AA$4)*Codex_sources!$D$10*Codex_sources!$K$10</f>
        <v/>
      </c>
      <c r="AB95" s="0">
        <f>SUMIFS(Codex_USGS_raw!$E$2:$E$94,Codex_USGS_raw!$A$2:$A$94,Codex_sources!$A$10,Codex_USGS_raw!$C$2:$C$94,AB$4)*Codex_sources!$D$10*Codex_sources!$K$10</f>
        <v/>
      </c>
      <c r="AC95" s="0">
        <f>SUMIFS(Codex_USGS_raw!$E$2:$E$94,Codex_USGS_raw!$A$2:$A$94,Codex_sources!$A$10,Codex_USGS_raw!$C$2:$C$94,AC$4)*Codex_sources!$D$10*Codex_sources!$K$10</f>
        <v/>
      </c>
      <c r="AD95" s="0">
        <f>SUMIFS(Codex_USGS_raw!$E$2:$E$94,Codex_USGS_raw!$A$2:$A$94,Codex_sources!$A$10,Codex_USGS_raw!$C$2:$C$94,AD$4)*Codex_sources!$D$10*Codex_sources!$K$10</f>
        <v/>
      </c>
      <c r="AE95" s="0">
        <f>SUMIFS(Codex_USGS_raw!$E$2:$E$94,Codex_USGS_raw!$A$2:$A$94,Codex_sources!$A$10,Codex_USGS_raw!$C$2:$C$94,AE$4)*Codex_sources!$D$10*Codex_sources!$K$10</f>
        <v/>
      </c>
      <c r="AF95" s="0">
        <f>SUMIFS(Codex_USGS_raw!$E$2:$E$94,Codex_USGS_raw!$A$2:$A$94,Codex_sources!$A$10,Codex_USGS_raw!$C$2:$C$94,AF$4)*Codex_sources!$D$10*Codex_sources!$K$10</f>
        <v/>
      </c>
      <c r="AG95" s="0">
        <f>SUMIFS(Codex_USGS_raw!$E$2:$E$94,Codex_USGS_raw!$A$2:$A$94,Codex_sources!$A$10,Codex_USGS_raw!$C$2:$C$94,AG$4)*Codex_sources!$D$10*Codex_sources!$K$10</f>
        <v/>
      </c>
      <c r="AH95" s="0">
        <f>SUMIFS(Codex_USGS_raw!$E$2:$E$94,Codex_USGS_raw!$A$2:$A$94,Codex_sources!$A$10,Codex_USGS_raw!$C$2:$C$94,AH$4)*Codex_sources!$D$10*Codex_sources!$K$10</f>
        <v/>
      </c>
      <c r="AI95" s="0">
        <f>SUMIFS(Codex_USGS_raw!$E$2:$E$94,Codex_USGS_raw!$A$2:$A$94,Codex_sources!$A$10,Codex_USGS_raw!$C$2:$C$94,AI$4)*Codex_sources!$D$10*Codex_sources!$K$10</f>
        <v/>
      </c>
      <c r="AJ95" s="0">
        <f>SUMIFS(Codex_USGS_raw!$E$2:$E$94,Codex_USGS_raw!$A$2:$A$94,Codex_sources!$A$10,Codex_USGS_raw!$C$2:$C$94,AJ$4)*Codex_sources!$D$10*Codex_sources!$K$10</f>
        <v/>
      </c>
      <c r="AK95" s="0">
        <f>SUMIFS(Codex_USGS_raw!$E$2:$E$94,Codex_USGS_raw!$A$2:$A$94,Codex_sources!$A$10,Codex_USGS_raw!$C$2:$C$94,AK$4)*Codex_sources!$D$10*Codex_sources!$K$10</f>
        <v/>
      </c>
      <c r="AL95" s="0">
        <f>SUMIFS(Codex_USGS_raw!$E$2:$E$94,Codex_USGS_raw!$A$2:$A$94,Codex_sources!$A$10,Codex_USGS_raw!$C$2:$C$94,AL$4)*Codex_sources!$D$10*Codex_sources!$K$10</f>
        <v/>
      </c>
      <c r="AM95" s="0">
        <f>SUMIFS(Codex_USGS_raw!$E$2:$E$94,Codex_USGS_raw!$A$2:$A$94,Codex_sources!$A$10,Codex_USGS_raw!$C$2:$C$94,AM$4)*Codex_sources!$D$10*Codex_sources!$K$10</f>
        <v/>
      </c>
      <c r="AN95" s="0">
        <f>SUMIFS(Codex_USGS_raw!$E$2:$E$94,Codex_USGS_raw!$A$2:$A$94,Codex_sources!$A$10,Codex_USGS_raw!$C$2:$C$94,AN$4)*Codex_sources!$D$10*Codex_sources!$K$10</f>
        <v/>
      </c>
      <c r="AO95" s="0">
        <f>AO94</f>
        <v/>
      </c>
    </row>
    <row r="96">
      <c r="C96" s="0" t="inlineStr">
        <is>
          <t>MINCuRSV2</t>
        </is>
      </c>
      <c r="D96" s="0" t="inlineStr">
        <is>
          <t>COST</t>
        </is>
      </c>
      <c r="E96" s="0" t="inlineStr">
        <is>
          <t>m_copper</t>
        </is>
      </c>
      <c r="F96" s="0">
        <f>Codex_Regional!F19*(Codex_sources!$N$10/Codex_sources!$M$10)</f>
        <v/>
      </c>
      <c r="G96" s="0">
        <f>Codex_Regional!G19*(Codex_sources!$N$10/Codex_sources!$M$10)</f>
        <v/>
      </c>
      <c r="H96" s="0">
        <f>Codex_Regional!H19*(Codex_sources!$N$10/Codex_sources!$M$10)</f>
        <v/>
      </c>
      <c r="I96" s="0">
        <f>Codex_Regional!I19*(Codex_sources!$N$10/Codex_sources!$M$10)</f>
        <v/>
      </c>
      <c r="J96" s="0">
        <f>Codex_Regional!J19*(Codex_sources!$N$10/Codex_sources!$M$10)</f>
        <v/>
      </c>
      <c r="K96" s="0">
        <f>Codex_Regional!K19*(Codex_sources!$N$10/Codex_sources!$M$10)</f>
        <v/>
      </c>
      <c r="L96" s="0">
        <f>Codex_Regional!L19*(Codex_sources!$N$10/Codex_sources!$M$10)</f>
        <v/>
      </c>
      <c r="M96" s="0">
        <f>Codex_Regional!M19*(Codex_sources!$N$10/Codex_sources!$M$10)</f>
        <v/>
      </c>
      <c r="N96" s="0">
        <f>Codex_Regional!N19*(Codex_sources!$N$10/Codex_sources!$M$10)</f>
        <v/>
      </c>
      <c r="O96" s="0">
        <f>Codex_Regional!O19*(Codex_sources!$N$10/Codex_sources!$M$10)</f>
        <v/>
      </c>
      <c r="P96" s="0">
        <f>Codex_Regional!P19*(Codex_sources!$N$10/Codex_sources!$M$10)</f>
        <v/>
      </c>
      <c r="Q96" s="0">
        <f>Codex_Regional!Q19*(Codex_sources!$N$10/Codex_sources!$M$10)</f>
        <v/>
      </c>
      <c r="R96" s="0">
        <f>Codex_Regional!R19*(Codex_sources!$N$10/Codex_sources!$M$10)</f>
        <v/>
      </c>
      <c r="S96" s="0">
        <f>Codex_Regional!S19*(Codex_sources!$N$10/Codex_sources!$M$10)</f>
        <v/>
      </c>
      <c r="T96" s="0">
        <f>Codex_Regional!T19*(Codex_sources!$N$10/Codex_sources!$M$10)</f>
        <v/>
      </c>
      <c r="U96" s="0">
        <f>Codex_Regional!U19*(Codex_sources!$N$10/Codex_sources!$M$10)</f>
        <v/>
      </c>
      <c r="V96" s="0">
        <f>Codex_Regional!V19*(Codex_sources!$N$10/Codex_sources!$M$10)</f>
        <v/>
      </c>
      <c r="W96" s="0">
        <f>Codex_Regional!W19*(Codex_sources!$N$10/Codex_sources!$M$10)</f>
        <v/>
      </c>
      <c r="X96" s="0">
        <f>Codex_Regional!X19*(Codex_sources!$N$10/Codex_sources!$M$10)</f>
        <v/>
      </c>
      <c r="Y96" s="0">
        <f>Codex_Regional!Y19*(Codex_sources!$N$10/Codex_sources!$M$10)</f>
        <v/>
      </c>
      <c r="Z96" s="0">
        <f>Codex_Regional!Z19*(Codex_sources!$N$10/Codex_sources!$M$10)</f>
        <v/>
      </c>
      <c r="AA96" s="0">
        <f>Codex_Regional!AA19*(Codex_sources!$N$10/Codex_sources!$M$10)</f>
        <v/>
      </c>
      <c r="AB96" s="0">
        <f>Codex_Regional!AB19*(Codex_sources!$N$10/Codex_sources!$M$10)</f>
        <v/>
      </c>
      <c r="AC96" s="0">
        <f>Codex_Regional!AC19*(Codex_sources!$N$10/Codex_sources!$M$10)</f>
        <v/>
      </c>
      <c r="AD96" s="0">
        <f>Codex_Regional!AD19*(Codex_sources!$N$10/Codex_sources!$M$10)</f>
        <v/>
      </c>
      <c r="AE96" s="0">
        <f>Codex_Regional!AE19*(Codex_sources!$N$10/Codex_sources!$M$10)</f>
        <v/>
      </c>
      <c r="AF96" s="0">
        <f>Codex_Regional!AF19*(Codex_sources!$N$10/Codex_sources!$M$10)</f>
        <v/>
      </c>
      <c r="AG96" s="0">
        <f>Codex_Regional!AG19*(Codex_sources!$N$10/Codex_sources!$M$10)</f>
        <v/>
      </c>
      <c r="AH96" s="0">
        <f>Codex_Regional!AH19*(Codex_sources!$N$10/Codex_sources!$M$10)</f>
        <v/>
      </c>
      <c r="AI96" s="0">
        <f>Codex_Regional!AI19*(Codex_sources!$N$10/Codex_sources!$M$10)</f>
        <v/>
      </c>
      <c r="AJ96" s="0">
        <f>Codex_Regional!AJ19*(Codex_sources!$N$10/Codex_sources!$M$10)</f>
        <v/>
      </c>
      <c r="AK96" s="0">
        <f>Codex_Regional!AK19*(Codex_sources!$N$10/Codex_sources!$M$10)</f>
        <v/>
      </c>
      <c r="AL96" s="0">
        <f>Codex_Regional!AL19*(Codex_sources!$N$10/Codex_sources!$M$10)</f>
        <v/>
      </c>
      <c r="AM96" s="0">
        <f>Codex_Regional!AM19*(Codex_sources!$N$10/Codex_sources!$M$10)</f>
        <v/>
      </c>
      <c r="AN96" s="0">
        <f>Codex_Regional!AN19*(Codex_sources!$N$10/Codex_sources!$M$10)</f>
        <v/>
      </c>
      <c r="AO96" s="0">
        <f>AO95</f>
        <v/>
      </c>
    </row>
    <row r="97">
      <c r="C97" s="0" t="inlineStr">
        <is>
          <t>MINCuRSV3</t>
        </is>
      </c>
      <c r="D97" s="0" t="inlineStr">
        <is>
          <t>BNDACT</t>
        </is>
      </c>
      <c r="AO97" s="0">
        <f>AO96</f>
        <v/>
      </c>
    </row>
    <row r="98">
      <c r="C98" s="0" t="inlineStr">
        <is>
          <t>MINCuRSV3</t>
        </is>
      </c>
      <c r="D98" s="0" t="inlineStr">
        <is>
          <t>CUM</t>
        </is>
      </c>
      <c r="F98" s="0">
        <f>SUMIFS(Codex_USGS_raw!$E$2:$E$94,Codex_USGS_raw!$A$2:$A$94,Codex_sources!$A$10,Codex_USGS_raw!$C$2:$C$94,F$4)*Codex_sources!$D$10*Codex_sources!$L$10</f>
        <v/>
      </c>
      <c r="G98" s="0">
        <f>SUMIFS(Codex_USGS_raw!$E$2:$E$94,Codex_USGS_raw!$A$2:$A$94,Codex_sources!$A$10,Codex_USGS_raw!$C$2:$C$94,G$4)*Codex_sources!$D$10*Codex_sources!$L$10</f>
        <v/>
      </c>
      <c r="H98" s="0">
        <f>SUMIFS(Codex_USGS_raw!$E$2:$E$94,Codex_USGS_raw!$A$2:$A$94,Codex_sources!$A$10,Codex_USGS_raw!$C$2:$C$94,H$4)*Codex_sources!$D$10*Codex_sources!$L$10</f>
        <v/>
      </c>
      <c r="I98" s="0">
        <f>SUMIFS(Codex_USGS_raw!$E$2:$E$94,Codex_USGS_raw!$A$2:$A$94,Codex_sources!$A$10,Codex_USGS_raw!$C$2:$C$94,I$4)*Codex_sources!$D$10*Codex_sources!$L$10</f>
        <v/>
      </c>
      <c r="J98" s="0">
        <f>SUMIFS(Codex_USGS_raw!$E$2:$E$94,Codex_USGS_raw!$A$2:$A$94,Codex_sources!$A$10,Codex_USGS_raw!$C$2:$C$94,J$4)*Codex_sources!$D$10*Codex_sources!$L$10</f>
        <v/>
      </c>
      <c r="K98" s="0">
        <f>SUMIFS(Codex_USGS_raw!$E$2:$E$94,Codex_USGS_raw!$A$2:$A$94,Codex_sources!$A$10,Codex_USGS_raw!$C$2:$C$94,K$4)*Codex_sources!$D$10*Codex_sources!$L$10</f>
        <v/>
      </c>
      <c r="L98" s="0">
        <f>SUMIFS(Codex_USGS_raw!$E$2:$E$94,Codex_USGS_raw!$A$2:$A$94,Codex_sources!$A$10,Codex_USGS_raw!$C$2:$C$94,L$4)*Codex_sources!$D$10*Codex_sources!$L$10</f>
        <v/>
      </c>
      <c r="M98" s="0">
        <f>SUMIFS(Codex_USGS_raw!$E$2:$E$94,Codex_USGS_raw!$A$2:$A$94,Codex_sources!$A$10,Codex_USGS_raw!$C$2:$C$94,M$4)*Codex_sources!$D$10*Codex_sources!$L$10</f>
        <v/>
      </c>
      <c r="N98" s="0">
        <f>SUMIFS(Codex_USGS_raw!$E$2:$E$94,Codex_USGS_raw!$A$2:$A$94,Codex_sources!$A$10,Codex_USGS_raw!$C$2:$C$94,N$4)*Codex_sources!$D$10*Codex_sources!$L$10</f>
        <v/>
      </c>
      <c r="O98" s="0">
        <f>SUMIFS(Codex_USGS_raw!$E$2:$E$94,Codex_USGS_raw!$A$2:$A$94,Codex_sources!$A$10,Codex_USGS_raw!$C$2:$C$94,O$4)*Codex_sources!$D$10*Codex_sources!$L$10</f>
        <v/>
      </c>
      <c r="P98" s="0">
        <f>SUMIFS(Codex_USGS_raw!$E$2:$E$94,Codex_USGS_raw!$A$2:$A$94,Codex_sources!$A$10,Codex_USGS_raw!$C$2:$C$94,P$4)*Codex_sources!$D$10*Codex_sources!$L$10</f>
        <v/>
      </c>
      <c r="Q98" s="0">
        <f>SUMIFS(Codex_USGS_raw!$E$2:$E$94,Codex_USGS_raw!$A$2:$A$94,Codex_sources!$A$10,Codex_USGS_raw!$C$2:$C$94,Q$4)*Codex_sources!$D$10*Codex_sources!$L$10</f>
        <v/>
      </c>
      <c r="R98" s="0">
        <f>SUMIFS(Codex_USGS_raw!$E$2:$E$94,Codex_USGS_raw!$A$2:$A$94,Codex_sources!$A$10,Codex_USGS_raw!$C$2:$C$94,R$4)*Codex_sources!$D$10*Codex_sources!$L$10</f>
        <v/>
      </c>
      <c r="S98" s="0">
        <f>SUMIFS(Codex_USGS_raw!$E$2:$E$94,Codex_USGS_raw!$A$2:$A$94,Codex_sources!$A$10,Codex_USGS_raw!$C$2:$C$94,S$4)*Codex_sources!$D$10*Codex_sources!$L$10</f>
        <v/>
      </c>
      <c r="T98" s="0">
        <f>SUMIFS(Codex_USGS_raw!$E$2:$E$94,Codex_USGS_raw!$A$2:$A$94,Codex_sources!$A$10,Codex_USGS_raw!$C$2:$C$94,T$4)*Codex_sources!$D$10*Codex_sources!$L$10</f>
        <v/>
      </c>
      <c r="U98" s="0">
        <f>SUMIFS(Codex_USGS_raw!$E$2:$E$94,Codex_USGS_raw!$A$2:$A$94,Codex_sources!$A$10,Codex_USGS_raw!$C$2:$C$94,U$4)*Codex_sources!$D$10*Codex_sources!$L$10</f>
        <v/>
      </c>
      <c r="V98" s="0">
        <f>SUMIFS(Codex_USGS_raw!$E$2:$E$94,Codex_USGS_raw!$A$2:$A$94,Codex_sources!$A$10,Codex_USGS_raw!$C$2:$C$94,V$4)*Codex_sources!$D$10*Codex_sources!$L$10</f>
        <v/>
      </c>
      <c r="W98" s="0">
        <f>SUMIFS(Codex_USGS_raw!$E$2:$E$94,Codex_USGS_raw!$A$2:$A$94,Codex_sources!$A$10,Codex_USGS_raw!$C$2:$C$94,W$4)*Codex_sources!$D$10*Codex_sources!$L$10</f>
        <v/>
      </c>
      <c r="X98" s="0">
        <f>SUMIFS(Codex_USGS_raw!$E$2:$E$94,Codex_USGS_raw!$A$2:$A$94,Codex_sources!$A$10,Codex_USGS_raw!$C$2:$C$94,X$4)*Codex_sources!$D$10*Codex_sources!$L$10</f>
        <v/>
      </c>
      <c r="Y98" s="0">
        <f>SUMIFS(Codex_USGS_raw!$E$2:$E$94,Codex_USGS_raw!$A$2:$A$94,Codex_sources!$A$10,Codex_USGS_raw!$C$2:$C$94,Y$4)*Codex_sources!$D$10*Codex_sources!$L$10</f>
        <v/>
      </c>
      <c r="Z98" s="0">
        <f>SUMIFS(Codex_USGS_raw!$E$2:$E$94,Codex_USGS_raw!$A$2:$A$94,Codex_sources!$A$10,Codex_USGS_raw!$C$2:$C$94,Z$4)*Codex_sources!$D$10*Codex_sources!$L$10</f>
        <v/>
      </c>
      <c r="AA98" s="0">
        <f>SUMIFS(Codex_USGS_raw!$E$2:$E$94,Codex_USGS_raw!$A$2:$A$94,Codex_sources!$A$10,Codex_USGS_raw!$C$2:$C$94,AA$4)*Codex_sources!$D$10*Codex_sources!$L$10</f>
        <v/>
      </c>
      <c r="AB98" s="0">
        <f>SUMIFS(Codex_USGS_raw!$E$2:$E$94,Codex_USGS_raw!$A$2:$A$94,Codex_sources!$A$10,Codex_USGS_raw!$C$2:$C$94,AB$4)*Codex_sources!$D$10*Codex_sources!$L$10</f>
        <v/>
      </c>
      <c r="AC98" s="0">
        <f>SUMIFS(Codex_USGS_raw!$E$2:$E$94,Codex_USGS_raw!$A$2:$A$94,Codex_sources!$A$10,Codex_USGS_raw!$C$2:$C$94,AC$4)*Codex_sources!$D$10*Codex_sources!$L$10</f>
        <v/>
      </c>
      <c r="AD98" s="0">
        <f>SUMIFS(Codex_USGS_raw!$E$2:$E$94,Codex_USGS_raw!$A$2:$A$94,Codex_sources!$A$10,Codex_USGS_raw!$C$2:$C$94,AD$4)*Codex_sources!$D$10*Codex_sources!$L$10</f>
        <v/>
      </c>
      <c r="AE98" s="0">
        <f>SUMIFS(Codex_USGS_raw!$E$2:$E$94,Codex_USGS_raw!$A$2:$A$94,Codex_sources!$A$10,Codex_USGS_raw!$C$2:$C$94,AE$4)*Codex_sources!$D$10*Codex_sources!$L$10</f>
        <v/>
      </c>
      <c r="AF98" s="0">
        <f>SUMIFS(Codex_USGS_raw!$E$2:$E$94,Codex_USGS_raw!$A$2:$A$94,Codex_sources!$A$10,Codex_USGS_raw!$C$2:$C$94,AF$4)*Codex_sources!$D$10*Codex_sources!$L$10</f>
        <v/>
      </c>
      <c r="AG98" s="0">
        <f>SUMIFS(Codex_USGS_raw!$E$2:$E$94,Codex_USGS_raw!$A$2:$A$94,Codex_sources!$A$10,Codex_USGS_raw!$C$2:$C$94,AG$4)*Codex_sources!$D$10*Codex_sources!$L$10</f>
        <v/>
      </c>
      <c r="AH98" s="0">
        <f>SUMIFS(Codex_USGS_raw!$E$2:$E$94,Codex_USGS_raw!$A$2:$A$94,Codex_sources!$A$10,Codex_USGS_raw!$C$2:$C$94,AH$4)*Codex_sources!$D$10*Codex_sources!$L$10</f>
        <v/>
      </c>
      <c r="AI98" s="0">
        <f>SUMIFS(Codex_USGS_raw!$E$2:$E$94,Codex_USGS_raw!$A$2:$A$94,Codex_sources!$A$10,Codex_USGS_raw!$C$2:$C$94,AI$4)*Codex_sources!$D$10*Codex_sources!$L$10</f>
        <v/>
      </c>
      <c r="AJ98" s="0">
        <f>SUMIFS(Codex_USGS_raw!$E$2:$E$94,Codex_USGS_raw!$A$2:$A$94,Codex_sources!$A$10,Codex_USGS_raw!$C$2:$C$94,AJ$4)*Codex_sources!$D$10*Codex_sources!$L$10</f>
        <v/>
      </c>
      <c r="AK98" s="0">
        <f>SUMIFS(Codex_USGS_raw!$E$2:$E$94,Codex_USGS_raw!$A$2:$A$94,Codex_sources!$A$10,Codex_USGS_raw!$C$2:$C$94,AK$4)*Codex_sources!$D$10*Codex_sources!$L$10</f>
        <v/>
      </c>
      <c r="AL98" s="0">
        <f>SUMIFS(Codex_USGS_raw!$E$2:$E$94,Codex_USGS_raw!$A$2:$A$94,Codex_sources!$A$10,Codex_USGS_raw!$C$2:$C$94,AL$4)*Codex_sources!$D$10*Codex_sources!$L$10</f>
        <v/>
      </c>
      <c r="AM98" s="0">
        <f>SUMIFS(Codex_USGS_raw!$E$2:$E$94,Codex_USGS_raw!$A$2:$A$94,Codex_sources!$A$10,Codex_USGS_raw!$C$2:$C$94,AM$4)*Codex_sources!$D$10*Codex_sources!$L$10</f>
        <v/>
      </c>
      <c r="AN98" s="0">
        <f>SUMIFS(Codex_USGS_raw!$E$2:$E$94,Codex_USGS_raw!$A$2:$A$94,Codex_sources!$A$10,Codex_USGS_raw!$C$2:$C$94,AN$4)*Codex_sources!$D$10*Codex_sources!$L$10</f>
        <v/>
      </c>
      <c r="AO98" s="0">
        <f>AO97</f>
        <v/>
      </c>
    </row>
    <row r="99">
      <c r="C99" s="0" t="inlineStr">
        <is>
          <t>MINCuRSV3</t>
        </is>
      </c>
      <c r="D99" s="0" t="inlineStr">
        <is>
          <t>COST</t>
        </is>
      </c>
      <c r="E99" s="0" t="inlineStr">
        <is>
          <t>m_copper</t>
        </is>
      </c>
      <c r="F99" s="0">
        <f>Codex_Regional!F19*(Codex_sources!$O$10/Codex_sources!$M$10)</f>
        <v/>
      </c>
      <c r="G99" s="0">
        <f>Codex_Regional!G19*(Codex_sources!$O$10/Codex_sources!$M$10)</f>
        <v/>
      </c>
      <c r="H99" s="0">
        <f>Codex_Regional!H19*(Codex_sources!$O$10/Codex_sources!$M$10)</f>
        <v/>
      </c>
      <c r="I99" s="0">
        <f>Codex_Regional!I19*(Codex_sources!$O$10/Codex_sources!$M$10)</f>
        <v/>
      </c>
      <c r="J99" s="0">
        <f>Codex_Regional!J19*(Codex_sources!$O$10/Codex_sources!$M$10)</f>
        <v/>
      </c>
      <c r="K99" s="0">
        <f>Codex_Regional!K19*(Codex_sources!$O$10/Codex_sources!$M$10)</f>
        <v/>
      </c>
      <c r="L99" s="0">
        <f>Codex_Regional!L19*(Codex_sources!$O$10/Codex_sources!$M$10)</f>
        <v/>
      </c>
      <c r="M99" s="0">
        <f>Codex_Regional!M19*(Codex_sources!$O$10/Codex_sources!$M$10)</f>
        <v/>
      </c>
      <c r="N99" s="0">
        <f>Codex_Regional!N19*(Codex_sources!$O$10/Codex_sources!$M$10)</f>
        <v/>
      </c>
      <c r="O99" s="0">
        <f>Codex_Regional!O19*(Codex_sources!$O$10/Codex_sources!$M$10)</f>
        <v/>
      </c>
      <c r="P99" s="0">
        <f>Codex_Regional!P19*(Codex_sources!$O$10/Codex_sources!$M$10)</f>
        <v/>
      </c>
      <c r="Q99" s="0">
        <f>Codex_Regional!Q19*(Codex_sources!$O$10/Codex_sources!$M$10)</f>
        <v/>
      </c>
      <c r="R99" s="0">
        <f>Codex_Regional!R19*(Codex_sources!$O$10/Codex_sources!$M$10)</f>
        <v/>
      </c>
      <c r="S99" s="0">
        <f>Codex_Regional!S19*(Codex_sources!$O$10/Codex_sources!$M$10)</f>
        <v/>
      </c>
      <c r="T99" s="0">
        <f>Codex_Regional!T19*(Codex_sources!$O$10/Codex_sources!$M$10)</f>
        <v/>
      </c>
      <c r="U99" s="0">
        <f>Codex_Regional!U19*(Codex_sources!$O$10/Codex_sources!$M$10)</f>
        <v/>
      </c>
      <c r="V99" s="0">
        <f>Codex_Regional!V19*(Codex_sources!$O$10/Codex_sources!$M$10)</f>
        <v/>
      </c>
      <c r="W99" s="0">
        <f>Codex_Regional!W19*(Codex_sources!$O$10/Codex_sources!$M$10)</f>
        <v/>
      </c>
      <c r="X99" s="0">
        <f>Codex_Regional!X19*(Codex_sources!$O$10/Codex_sources!$M$10)</f>
        <v/>
      </c>
      <c r="Y99" s="0">
        <f>Codex_Regional!Y19*(Codex_sources!$O$10/Codex_sources!$M$10)</f>
        <v/>
      </c>
      <c r="Z99" s="0">
        <f>Codex_Regional!Z19*(Codex_sources!$O$10/Codex_sources!$M$10)</f>
        <v/>
      </c>
      <c r="AA99" s="0">
        <f>Codex_Regional!AA19*(Codex_sources!$O$10/Codex_sources!$M$10)</f>
        <v/>
      </c>
      <c r="AB99" s="0">
        <f>Codex_Regional!AB19*(Codex_sources!$O$10/Codex_sources!$M$10)</f>
        <v/>
      </c>
      <c r="AC99" s="0">
        <f>Codex_Regional!AC19*(Codex_sources!$O$10/Codex_sources!$M$10)</f>
        <v/>
      </c>
      <c r="AD99" s="0">
        <f>Codex_Regional!AD19*(Codex_sources!$O$10/Codex_sources!$M$10)</f>
        <v/>
      </c>
      <c r="AE99" s="0">
        <f>Codex_Regional!AE19*(Codex_sources!$O$10/Codex_sources!$M$10)</f>
        <v/>
      </c>
      <c r="AF99" s="0">
        <f>Codex_Regional!AF19*(Codex_sources!$O$10/Codex_sources!$M$10)</f>
        <v/>
      </c>
      <c r="AG99" s="0">
        <f>Codex_Regional!AG19*(Codex_sources!$O$10/Codex_sources!$M$10)</f>
        <v/>
      </c>
      <c r="AH99" s="0">
        <f>Codex_Regional!AH19*(Codex_sources!$O$10/Codex_sources!$M$10)</f>
        <v/>
      </c>
      <c r="AI99" s="0">
        <f>Codex_Regional!AI19*(Codex_sources!$O$10/Codex_sources!$M$10)</f>
        <v/>
      </c>
      <c r="AJ99" s="0">
        <f>Codex_Regional!AJ19*(Codex_sources!$O$10/Codex_sources!$M$10)</f>
        <v/>
      </c>
      <c r="AK99" s="0">
        <f>Codex_Regional!AK19*(Codex_sources!$O$10/Codex_sources!$M$10)</f>
        <v/>
      </c>
      <c r="AL99" s="0">
        <f>Codex_Regional!AL19*(Codex_sources!$O$10/Codex_sources!$M$10)</f>
        <v/>
      </c>
      <c r="AM99" s="0">
        <f>Codex_Regional!AM19*(Codex_sources!$O$10/Codex_sources!$M$10)</f>
        <v/>
      </c>
      <c r="AN99" s="0">
        <f>Codex_Regional!AN19*(Codex_sources!$O$10/Codex_sources!$M$10)</f>
        <v/>
      </c>
      <c r="AO99" s="0">
        <f>AO98</f>
        <v/>
      </c>
    </row>
    <row r="100">
      <c r="AO100" s="0">
        <f>AO99</f>
        <v/>
      </c>
    </row>
    <row r="101">
      <c r="C101" s="0" t="inlineStr">
        <is>
          <t>MINGrRSV1</t>
        </is>
      </c>
      <c r="D101" s="0" t="inlineStr">
        <is>
          <t>BNDACT</t>
        </is>
      </c>
      <c r="F101" s="0">
        <f>SUMIFS(Codex_USGS_raw!$D$2:$D$94,Codex_USGS_raw!$A$2:$A$94,Codex_sources!$A$11,Codex_USGS_raw!$C$2:$C$94,F$4)*Codex_sources!$D$11*1</f>
        <v/>
      </c>
      <c r="G101" s="0">
        <f>SUMIFS(Codex_USGS_raw!$D$2:$D$94,Codex_USGS_raw!$A$2:$A$94,Codex_sources!$A$11,Codex_USGS_raw!$C$2:$C$94,G$4)*Codex_sources!$D$11*1</f>
        <v/>
      </c>
      <c r="H101" s="0">
        <f>SUMIFS(Codex_USGS_raw!$D$2:$D$94,Codex_USGS_raw!$A$2:$A$94,Codex_sources!$A$11,Codex_USGS_raw!$C$2:$C$94,H$4)*Codex_sources!$D$11*1</f>
        <v/>
      </c>
      <c r="I101" s="0">
        <f>SUMIFS(Codex_USGS_raw!$D$2:$D$94,Codex_USGS_raw!$A$2:$A$94,Codex_sources!$A$11,Codex_USGS_raw!$C$2:$C$94,I$4)*Codex_sources!$D$11*1</f>
        <v/>
      </c>
      <c r="J101" s="0">
        <f>SUMIFS(Codex_USGS_raw!$D$2:$D$94,Codex_USGS_raw!$A$2:$A$94,Codex_sources!$A$11,Codex_USGS_raw!$C$2:$C$94,J$4)*Codex_sources!$D$11*1</f>
        <v/>
      </c>
      <c r="K101" s="0">
        <f>SUMIFS(Codex_USGS_raw!$D$2:$D$94,Codex_USGS_raw!$A$2:$A$94,Codex_sources!$A$11,Codex_USGS_raw!$C$2:$C$94,K$4)*Codex_sources!$D$11*1</f>
        <v/>
      </c>
      <c r="L101" s="0">
        <f>SUMIFS(Codex_USGS_raw!$D$2:$D$94,Codex_USGS_raw!$A$2:$A$94,Codex_sources!$A$11,Codex_USGS_raw!$C$2:$C$94,L$4)*Codex_sources!$D$11*1</f>
        <v/>
      </c>
      <c r="M101" s="0">
        <f>SUMIFS(Codex_USGS_raw!$D$2:$D$94,Codex_USGS_raw!$A$2:$A$94,Codex_sources!$A$11,Codex_USGS_raw!$C$2:$C$94,M$4)*Codex_sources!$D$11*1</f>
        <v/>
      </c>
      <c r="N101" s="0">
        <f>SUMIFS(Codex_USGS_raw!$D$2:$D$94,Codex_USGS_raw!$A$2:$A$94,Codex_sources!$A$11,Codex_USGS_raw!$C$2:$C$94,N$4)*Codex_sources!$D$11*1</f>
        <v/>
      </c>
      <c r="O101" s="0">
        <f>SUMIFS(Codex_USGS_raw!$D$2:$D$94,Codex_USGS_raw!$A$2:$A$94,Codex_sources!$A$11,Codex_USGS_raw!$C$2:$C$94,O$4)*Codex_sources!$D$11*1</f>
        <v/>
      </c>
      <c r="P101" s="0">
        <f>SUMIFS(Codex_USGS_raw!$D$2:$D$94,Codex_USGS_raw!$A$2:$A$94,Codex_sources!$A$11,Codex_USGS_raw!$C$2:$C$94,P$4)*Codex_sources!$D$11*1</f>
        <v/>
      </c>
      <c r="Q101" s="0">
        <f>SUMIFS(Codex_USGS_raw!$D$2:$D$94,Codex_USGS_raw!$A$2:$A$94,Codex_sources!$A$11,Codex_USGS_raw!$C$2:$C$94,Q$4)*Codex_sources!$D$11*1</f>
        <v/>
      </c>
      <c r="R101" s="0">
        <f>SUMIFS(Codex_USGS_raw!$D$2:$D$94,Codex_USGS_raw!$A$2:$A$94,Codex_sources!$A$11,Codex_USGS_raw!$C$2:$C$94,R$4)*Codex_sources!$D$11*1</f>
        <v/>
      </c>
      <c r="S101" s="0">
        <f>SUMIFS(Codex_USGS_raw!$D$2:$D$94,Codex_USGS_raw!$A$2:$A$94,Codex_sources!$A$11,Codex_USGS_raw!$C$2:$C$94,S$4)*Codex_sources!$D$11*1</f>
        <v/>
      </c>
      <c r="T101" s="0">
        <f>SUMIFS(Codex_USGS_raw!$D$2:$D$94,Codex_USGS_raw!$A$2:$A$94,Codex_sources!$A$11,Codex_USGS_raw!$C$2:$C$94,T$4)*Codex_sources!$D$11*1</f>
        <v/>
      </c>
      <c r="U101" s="0">
        <f>SUMIFS(Codex_USGS_raw!$D$2:$D$94,Codex_USGS_raw!$A$2:$A$94,Codex_sources!$A$11,Codex_USGS_raw!$C$2:$C$94,U$4)*Codex_sources!$D$11*1</f>
        <v/>
      </c>
      <c r="V101" s="0">
        <f>SUMIFS(Codex_USGS_raw!$D$2:$D$94,Codex_USGS_raw!$A$2:$A$94,Codex_sources!$A$11,Codex_USGS_raw!$C$2:$C$94,V$4)*Codex_sources!$D$11*1</f>
        <v/>
      </c>
      <c r="W101" s="0">
        <f>SUMIFS(Codex_USGS_raw!$D$2:$D$94,Codex_USGS_raw!$A$2:$A$94,Codex_sources!$A$11,Codex_USGS_raw!$C$2:$C$94,W$4)*Codex_sources!$D$11*1</f>
        <v/>
      </c>
      <c r="X101" s="0">
        <f>SUMIFS(Codex_USGS_raw!$D$2:$D$94,Codex_USGS_raw!$A$2:$A$94,Codex_sources!$A$11,Codex_USGS_raw!$C$2:$C$94,X$4)*Codex_sources!$D$11*1</f>
        <v/>
      </c>
      <c r="Y101" s="0">
        <f>SUMIFS(Codex_USGS_raw!$D$2:$D$94,Codex_USGS_raw!$A$2:$A$94,Codex_sources!$A$11,Codex_USGS_raw!$C$2:$C$94,Y$4)*Codex_sources!$D$11*1</f>
        <v/>
      </c>
      <c r="Z101" s="0">
        <f>SUMIFS(Codex_USGS_raw!$D$2:$D$94,Codex_USGS_raw!$A$2:$A$94,Codex_sources!$A$11,Codex_USGS_raw!$C$2:$C$94,Z$4)*Codex_sources!$D$11*1</f>
        <v/>
      </c>
      <c r="AA101" s="0">
        <f>SUMIFS(Codex_USGS_raw!$D$2:$D$94,Codex_USGS_raw!$A$2:$A$94,Codex_sources!$A$11,Codex_USGS_raw!$C$2:$C$94,AA$4)*Codex_sources!$D$11*1</f>
        <v/>
      </c>
      <c r="AB101" s="0">
        <f>SUMIFS(Codex_USGS_raw!$D$2:$D$94,Codex_USGS_raw!$A$2:$A$94,Codex_sources!$A$11,Codex_USGS_raw!$C$2:$C$94,AB$4)*Codex_sources!$D$11*1</f>
        <v/>
      </c>
      <c r="AC101" s="0">
        <f>SUMIFS(Codex_USGS_raw!$D$2:$D$94,Codex_USGS_raw!$A$2:$A$94,Codex_sources!$A$11,Codex_USGS_raw!$C$2:$C$94,AC$4)*Codex_sources!$D$11*1</f>
        <v/>
      </c>
      <c r="AD101" s="0">
        <f>SUMIFS(Codex_USGS_raw!$D$2:$D$94,Codex_USGS_raw!$A$2:$A$94,Codex_sources!$A$11,Codex_USGS_raw!$C$2:$C$94,AD$4)*Codex_sources!$D$11*1</f>
        <v/>
      </c>
      <c r="AE101" s="0">
        <f>SUMIFS(Codex_USGS_raw!$D$2:$D$94,Codex_USGS_raw!$A$2:$A$94,Codex_sources!$A$11,Codex_USGS_raw!$C$2:$C$94,AE$4)*Codex_sources!$D$11*1</f>
        <v/>
      </c>
      <c r="AF101" s="0">
        <f>SUMIFS(Codex_USGS_raw!$D$2:$D$94,Codex_USGS_raw!$A$2:$A$94,Codex_sources!$A$11,Codex_USGS_raw!$C$2:$C$94,AF$4)*Codex_sources!$D$11*1</f>
        <v/>
      </c>
      <c r="AG101" s="0">
        <f>SUMIFS(Codex_USGS_raw!$D$2:$D$94,Codex_USGS_raw!$A$2:$A$94,Codex_sources!$A$11,Codex_USGS_raw!$C$2:$C$94,AG$4)*Codex_sources!$D$11*1</f>
        <v/>
      </c>
      <c r="AH101" s="0">
        <f>SUMIFS(Codex_USGS_raw!$D$2:$D$94,Codex_USGS_raw!$A$2:$A$94,Codex_sources!$A$11,Codex_USGS_raw!$C$2:$C$94,AH$4)*Codex_sources!$D$11*1</f>
        <v/>
      </c>
      <c r="AI101" s="0">
        <f>SUMIFS(Codex_USGS_raw!$D$2:$D$94,Codex_USGS_raw!$A$2:$A$94,Codex_sources!$A$11,Codex_USGS_raw!$C$2:$C$94,AI$4)*Codex_sources!$D$11*1</f>
        <v/>
      </c>
      <c r="AJ101" s="0">
        <f>SUMIFS(Codex_USGS_raw!$D$2:$D$94,Codex_USGS_raw!$A$2:$A$94,Codex_sources!$A$11,Codex_USGS_raw!$C$2:$C$94,AJ$4)*Codex_sources!$D$11*1</f>
        <v/>
      </c>
      <c r="AK101" s="0">
        <f>SUMIFS(Codex_USGS_raw!$D$2:$D$94,Codex_USGS_raw!$A$2:$A$94,Codex_sources!$A$11,Codex_USGS_raw!$C$2:$C$94,AK$4)*Codex_sources!$D$11*1</f>
        <v/>
      </c>
      <c r="AL101" s="0">
        <f>SUMIFS(Codex_USGS_raw!$D$2:$D$94,Codex_USGS_raw!$A$2:$A$94,Codex_sources!$A$11,Codex_USGS_raw!$C$2:$C$94,AL$4)*Codex_sources!$D$11*1</f>
        <v/>
      </c>
      <c r="AM101" s="0">
        <f>SUMIFS(Codex_USGS_raw!$D$2:$D$94,Codex_USGS_raw!$A$2:$A$94,Codex_sources!$A$11,Codex_USGS_raw!$C$2:$C$94,AM$4)*Codex_sources!$D$11*1</f>
        <v/>
      </c>
      <c r="AN101" s="0">
        <f>SUMIFS(Codex_USGS_raw!$D$2:$D$94,Codex_USGS_raw!$A$2:$A$94,Codex_sources!$A$11,Codex_USGS_raw!$C$2:$C$94,AN$4)*Codex_sources!$D$11*1</f>
        <v/>
      </c>
      <c r="AO101" s="0">
        <f>AO100</f>
        <v/>
      </c>
    </row>
    <row r="102">
      <c r="C102" s="0" t="inlineStr">
        <is>
          <t>MINGrRSV1</t>
        </is>
      </c>
      <c r="D102" s="0" t="inlineStr">
        <is>
          <t>CUM</t>
        </is>
      </c>
      <c r="F102" s="0">
        <f>SUMIFS(Codex_USGS_raw!$E$2:$E$94,Codex_USGS_raw!$A$2:$A$94,Codex_sources!$A$11,Codex_USGS_raw!$C$2:$C$94,F$4)*Codex_sources!$D$11*Codex_sources!$J$11</f>
        <v/>
      </c>
      <c r="G102" s="0">
        <f>SUMIFS(Codex_USGS_raw!$E$2:$E$94,Codex_USGS_raw!$A$2:$A$94,Codex_sources!$A$11,Codex_USGS_raw!$C$2:$C$94,G$4)*Codex_sources!$D$11*Codex_sources!$J$11</f>
        <v/>
      </c>
      <c r="H102" s="0">
        <f>SUMIFS(Codex_USGS_raw!$E$2:$E$94,Codex_USGS_raw!$A$2:$A$94,Codex_sources!$A$11,Codex_USGS_raw!$C$2:$C$94,H$4)*Codex_sources!$D$11*Codex_sources!$J$11</f>
        <v/>
      </c>
      <c r="I102" s="0">
        <f>SUMIFS(Codex_USGS_raw!$E$2:$E$94,Codex_USGS_raw!$A$2:$A$94,Codex_sources!$A$11,Codex_USGS_raw!$C$2:$C$94,I$4)*Codex_sources!$D$11*Codex_sources!$J$11</f>
        <v/>
      </c>
      <c r="J102" s="0">
        <f>SUMIFS(Codex_USGS_raw!$E$2:$E$94,Codex_USGS_raw!$A$2:$A$94,Codex_sources!$A$11,Codex_USGS_raw!$C$2:$C$94,J$4)*Codex_sources!$D$11*Codex_sources!$J$11</f>
        <v/>
      </c>
      <c r="K102" s="0">
        <f>SUMIFS(Codex_USGS_raw!$E$2:$E$94,Codex_USGS_raw!$A$2:$A$94,Codex_sources!$A$11,Codex_USGS_raw!$C$2:$C$94,K$4)*Codex_sources!$D$11*Codex_sources!$J$11</f>
        <v/>
      </c>
      <c r="L102" s="0">
        <f>SUMIFS(Codex_USGS_raw!$E$2:$E$94,Codex_USGS_raw!$A$2:$A$94,Codex_sources!$A$11,Codex_USGS_raw!$C$2:$C$94,L$4)*Codex_sources!$D$11*Codex_sources!$J$11</f>
        <v/>
      </c>
      <c r="M102" s="0">
        <f>SUMIFS(Codex_USGS_raw!$E$2:$E$94,Codex_USGS_raw!$A$2:$A$94,Codex_sources!$A$11,Codex_USGS_raw!$C$2:$C$94,M$4)*Codex_sources!$D$11*Codex_sources!$J$11</f>
        <v/>
      </c>
      <c r="N102" s="0">
        <f>SUMIFS(Codex_USGS_raw!$E$2:$E$94,Codex_USGS_raw!$A$2:$A$94,Codex_sources!$A$11,Codex_USGS_raw!$C$2:$C$94,N$4)*Codex_sources!$D$11*Codex_sources!$J$11</f>
        <v/>
      </c>
      <c r="O102" s="0">
        <f>SUMIFS(Codex_USGS_raw!$E$2:$E$94,Codex_USGS_raw!$A$2:$A$94,Codex_sources!$A$11,Codex_USGS_raw!$C$2:$C$94,O$4)*Codex_sources!$D$11*Codex_sources!$J$11</f>
        <v/>
      </c>
      <c r="P102" s="0">
        <f>SUMIFS(Codex_USGS_raw!$E$2:$E$94,Codex_USGS_raw!$A$2:$A$94,Codex_sources!$A$11,Codex_USGS_raw!$C$2:$C$94,P$4)*Codex_sources!$D$11*Codex_sources!$J$11</f>
        <v/>
      </c>
      <c r="Q102" s="0">
        <f>SUMIFS(Codex_USGS_raw!$E$2:$E$94,Codex_USGS_raw!$A$2:$A$94,Codex_sources!$A$11,Codex_USGS_raw!$C$2:$C$94,Q$4)*Codex_sources!$D$11*Codex_sources!$J$11</f>
        <v/>
      </c>
      <c r="R102" s="0">
        <f>SUMIFS(Codex_USGS_raw!$E$2:$E$94,Codex_USGS_raw!$A$2:$A$94,Codex_sources!$A$11,Codex_USGS_raw!$C$2:$C$94,R$4)*Codex_sources!$D$11*Codex_sources!$J$11</f>
        <v/>
      </c>
      <c r="S102" s="0">
        <f>SUMIFS(Codex_USGS_raw!$E$2:$E$94,Codex_USGS_raw!$A$2:$A$94,Codex_sources!$A$11,Codex_USGS_raw!$C$2:$C$94,S$4)*Codex_sources!$D$11*Codex_sources!$J$11</f>
        <v/>
      </c>
      <c r="T102" s="0">
        <f>SUMIFS(Codex_USGS_raw!$E$2:$E$94,Codex_USGS_raw!$A$2:$A$94,Codex_sources!$A$11,Codex_USGS_raw!$C$2:$C$94,T$4)*Codex_sources!$D$11*Codex_sources!$J$11</f>
        <v/>
      </c>
      <c r="U102" s="0">
        <f>SUMIFS(Codex_USGS_raw!$E$2:$E$94,Codex_USGS_raw!$A$2:$A$94,Codex_sources!$A$11,Codex_USGS_raw!$C$2:$C$94,U$4)*Codex_sources!$D$11*Codex_sources!$J$11</f>
        <v/>
      </c>
      <c r="V102" s="0">
        <f>SUMIFS(Codex_USGS_raw!$E$2:$E$94,Codex_USGS_raw!$A$2:$A$94,Codex_sources!$A$11,Codex_USGS_raw!$C$2:$C$94,V$4)*Codex_sources!$D$11*Codex_sources!$J$11</f>
        <v/>
      </c>
      <c r="W102" s="0">
        <f>SUMIFS(Codex_USGS_raw!$E$2:$E$94,Codex_USGS_raw!$A$2:$A$94,Codex_sources!$A$11,Codex_USGS_raw!$C$2:$C$94,W$4)*Codex_sources!$D$11*Codex_sources!$J$11</f>
        <v/>
      </c>
      <c r="X102" s="0">
        <f>SUMIFS(Codex_USGS_raw!$E$2:$E$94,Codex_USGS_raw!$A$2:$A$94,Codex_sources!$A$11,Codex_USGS_raw!$C$2:$C$94,X$4)*Codex_sources!$D$11*Codex_sources!$J$11</f>
        <v/>
      </c>
      <c r="Y102" s="0">
        <f>SUMIFS(Codex_USGS_raw!$E$2:$E$94,Codex_USGS_raw!$A$2:$A$94,Codex_sources!$A$11,Codex_USGS_raw!$C$2:$C$94,Y$4)*Codex_sources!$D$11*Codex_sources!$J$11</f>
        <v/>
      </c>
      <c r="Z102" s="0">
        <f>SUMIFS(Codex_USGS_raw!$E$2:$E$94,Codex_USGS_raw!$A$2:$A$94,Codex_sources!$A$11,Codex_USGS_raw!$C$2:$C$94,Z$4)*Codex_sources!$D$11*Codex_sources!$J$11</f>
        <v/>
      </c>
      <c r="AA102" s="0">
        <f>SUMIFS(Codex_USGS_raw!$E$2:$E$94,Codex_USGS_raw!$A$2:$A$94,Codex_sources!$A$11,Codex_USGS_raw!$C$2:$C$94,AA$4)*Codex_sources!$D$11*Codex_sources!$J$11</f>
        <v/>
      </c>
      <c r="AB102" s="0">
        <f>SUMIFS(Codex_USGS_raw!$E$2:$E$94,Codex_USGS_raw!$A$2:$A$94,Codex_sources!$A$11,Codex_USGS_raw!$C$2:$C$94,AB$4)*Codex_sources!$D$11*Codex_sources!$J$11</f>
        <v/>
      </c>
      <c r="AC102" s="0">
        <f>SUMIFS(Codex_USGS_raw!$E$2:$E$94,Codex_USGS_raw!$A$2:$A$94,Codex_sources!$A$11,Codex_USGS_raw!$C$2:$C$94,AC$4)*Codex_sources!$D$11*Codex_sources!$J$11</f>
        <v/>
      </c>
      <c r="AD102" s="0">
        <f>SUMIFS(Codex_USGS_raw!$E$2:$E$94,Codex_USGS_raw!$A$2:$A$94,Codex_sources!$A$11,Codex_USGS_raw!$C$2:$C$94,AD$4)*Codex_sources!$D$11*Codex_sources!$J$11</f>
        <v/>
      </c>
      <c r="AE102" s="0">
        <f>SUMIFS(Codex_USGS_raw!$E$2:$E$94,Codex_USGS_raw!$A$2:$A$94,Codex_sources!$A$11,Codex_USGS_raw!$C$2:$C$94,AE$4)*Codex_sources!$D$11*Codex_sources!$J$11</f>
        <v/>
      </c>
      <c r="AF102" s="0">
        <f>SUMIFS(Codex_USGS_raw!$E$2:$E$94,Codex_USGS_raw!$A$2:$A$94,Codex_sources!$A$11,Codex_USGS_raw!$C$2:$C$94,AF$4)*Codex_sources!$D$11*Codex_sources!$J$11</f>
        <v/>
      </c>
      <c r="AG102" s="0">
        <f>SUMIFS(Codex_USGS_raw!$E$2:$E$94,Codex_USGS_raw!$A$2:$A$94,Codex_sources!$A$11,Codex_USGS_raw!$C$2:$C$94,AG$4)*Codex_sources!$D$11*Codex_sources!$J$11</f>
        <v/>
      </c>
      <c r="AH102" s="0">
        <f>SUMIFS(Codex_USGS_raw!$E$2:$E$94,Codex_USGS_raw!$A$2:$A$94,Codex_sources!$A$11,Codex_USGS_raw!$C$2:$C$94,AH$4)*Codex_sources!$D$11*Codex_sources!$J$11</f>
        <v/>
      </c>
      <c r="AI102" s="0">
        <f>SUMIFS(Codex_USGS_raw!$E$2:$E$94,Codex_USGS_raw!$A$2:$A$94,Codex_sources!$A$11,Codex_USGS_raw!$C$2:$C$94,AI$4)*Codex_sources!$D$11*Codex_sources!$J$11</f>
        <v/>
      </c>
      <c r="AJ102" s="0">
        <f>SUMIFS(Codex_USGS_raw!$E$2:$E$94,Codex_USGS_raw!$A$2:$A$94,Codex_sources!$A$11,Codex_USGS_raw!$C$2:$C$94,AJ$4)*Codex_sources!$D$11*Codex_sources!$J$11</f>
        <v/>
      </c>
      <c r="AK102" s="0">
        <f>SUMIFS(Codex_USGS_raw!$E$2:$E$94,Codex_USGS_raw!$A$2:$A$94,Codex_sources!$A$11,Codex_USGS_raw!$C$2:$C$94,AK$4)*Codex_sources!$D$11*Codex_sources!$J$11</f>
        <v/>
      </c>
      <c r="AL102" s="0">
        <f>SUMIFS(Codex_USGS_raw!$E$2:$E$94,Codex_USGS_raw!$A$2:$A$94,Codex_sources!$A$11,Codex_USGS_raw!$C$2:$C$94,AL$4)*Codex_sources!$D$11*Codex_sources!$J$11</f>
        <v/>
      </c>
      <c r="AM102" s="0">
        <f>SUMIFS(Codex_USGS_raw!$E$2:$E$94,Codex_USGS_raw!$A$2:$A$94,Codex_sources!$A$11,Codex_USGS_raw!$C$2:$C$94,AM$4)*Codex_sources!$D$11*Codex_sources!$J$11</f>
        <v/>
      </c>
      <c r="AN102" s="0">
        <f>SUMIFS(Codex_USGS_raw!$E$2:$E$94,Codex_USGS_raw!$A$2:$A$94,Codex_sources!$A$11,Codex_USGS_raw!$C$2:$C$94,AN$4)*Codex_sources!$D$11*Codex_sources!$J$11</f>
        <v/>
      </c>
      <c r="AO102" s="0">
        <f>AO101</f>
        <v/>
      </c>
    </row>
    <row r="103">
      <c r="C103" s="0" t="inlineStr">
        <is>
          <t>MINGrRSV1</t>
        </is>
      </c>
      <c r="D103" s="0" t="inlineStr">
        <is>
          <t>COST</t>
        </is>
      </c>
      <c r="E103" s="0" t="inlineStr">
        <is>
          <t>m_graphite</t>
        </is>
      </c>
      <c r="F103" s="0">
        <f>Codex_Regional!F22</f>
        <v/>
      </c>
      <c r="G103" s="0">
        <f>Codex_Regional!G22</f>
        <v/>
      </c>
      <c r="H103" s="0">
        <f>Codex_Regional!H22</f>
        <v/>
      </c>
      <c r="I103" s="0">
        <f>Codex_Regional!I22</f>
        <v/>
      </c>
      <c r="J103" s="0">
        <f>Codex_Regional!J22</f>
        <v/>
      </c>
      <c r="K103" s="0">
        <f>Codex_Regional!K22</f>
        <v/>
      </c>
      <c r="L103" s="0">
        <f>Codex_Regional!L22</f>
        <v/>
      </c>
      <c r="M103" s="0">
        <f>Codex_Regional!M22</f>
        <v/>
      </c>
      <c r="N103" s="0">
        <f>Codex_Regional!N22</f>
        <v/>
      </c>
      <c r="O103" s="0">
        <f>Codex_Regional!O22</f>
        <v/>
      </c>
      <c r="P103" s="0">
        <f>Codex_Regional!P22</f>
        <v/>
      </c>
      <c r="Q103" s="0">
        <f>Codex_Regional!Q22</f>
        <v/>
      </c>
      <c r="R103" s="0">
        <f>Codex_Regional!R22</f>
        <v/>
      </c>
      <c r="S103" s="0">
        <f>Codex_Regional!S22</f>
        <v/>
      </c>
      <c r="T103" s="0">
        <f>Codex_Regional!T22</f>
        <v/>
      </c>
      <c r="U103" s="0">
        <f>Codex_Regional!U22</f>
        <v/>
      </c>
      <c r="V103" s="0">
        <f>Codex_Regional!V22</f>
        <v/>
      </c>
      <c r="W103" s="0">
        <f>Codex_Regional!W22</f>
        <v/>
      </c>
      <c r="X103" s="0">
        <f>Codex_Regional!X22</f>
        <v/>
      </c>
      <c r="Y103" s="0">
        <f>Codex_Regional!Y22</f>
        <v/>
      </c>
      <c r="Z103" s="0">
        <f>Codex_Regional!Z22</f>
        <v/>
      </c>
      <c r="AA103" s="0">
        <f>Codex_Regional!AA22</f>
        <v/>
      </c>
      <c r="AB103" s="0">
        <f>Codex_Regional!AB22</f>
        <v/>
      </c>
      <c r="AC103" s="0">
        <f>Codex_Regional!AC22</f>
        <v/>
      </c>
      <c r="AD103" s="0">
        <f>Codex_Regional!AD22</f>
        <v/>
      </c>
      <c r="AE103" s="0">
        <f>Codex_Regional!AE22</f>
        <v/>
      </c>
      <c r="AF103" s="0">
        <f>Codex_Regional!AF22</f>
        <v/>
      </c>
      <c r="AG103" s="0">
        <f>Codex_Regional!AG22</f>
        <v/>
      </c>
      <c r="AH103" s="0">
        <f>Codex_Regional!AH22</f>
        <v/>
      </c>
      <c r="AI103" s="0">
        <f>Codex_Regional!AI22</f>
        <v/>
      </c>
      <c r="AJ103" s="0">
        <f>Codex_Regional!AJ22</f>
        <v/>
      </c>
      <c r="AK103" s="0">
        <f>Codex_Regional!AK22</f>
        <v/>
      </c>
      <c r="AL103" s="0">
        <f>Codex_Regional!AL22</f>
        <v/>
      </c>
      <c r="AM103" s="0">
        <f>Codex_Regional!AM22</f>
        <v/>
      </c>
      <c r="AN103" s="0">
        <f>Codex_Regional!AN22</f>
        <v/>
      </c>
      <c r="AO103" s="0">
        <f>AO102</f>
        <v/>
      </c>
    </row>
    <row r="104">
      <c r="C104" s="0" t="inlineStr">
        <is>
          <t>MINGrRSV2</t>
        </is>
      </c>
      <c r="D104" s="0" t="inlineStr">
        <is>
          <t>BNDACT</t>
        </is>
      </c>
      <c r="F104" s="0">
        <f>SUMIFS(Codex_USGS_raw!$D$2:$D$94,Codex_USGS_raw!$A$2:$A$94,Codex_sources!$A$11,Codex_USGS_raw!$C$2:$C$94,F$4)*Codex_sources!$D$11*2</f>
        <v/>
      </c>
      <c r="G104" s="0">
        <f>SUMIFS(Codex_USGS_raw!$D$2:$D$94,Codex_USGS_raw!$A$2:$A$94,Codex_sources!$A$11,Codex_USGS_raw!$C$2:$C$94,G$4)*Codex_sources!$D$11*2</f>
        <v/>
      </c>
      <c r="H104" s="0">
        <f>SUMIFS(Codex_USGS_raw!$D$2:$D$94,Codex_USGS_raw!$A$2:$A$94,Codex_sources!$A$11,Codex_USGS_raw!$C$2:$C$94,H$4)*Codex_sources!$D$11*2</f>
        <v/>
      </c>
      <c r="I104" s="0">
        <f>SUMIFS(Codex_USGS_raw!$D$2:$D$94,Codex_USGS_raw!$A$2:$A$94,Codex_sources!$A$11,Codex_USGS_raw!$C$2:$C$94,I$4)*Codex_sources!$D$11*2</f>
        <v/>
      </c>
      <c r="J104" s="0">
        <f>SUMIFS(Codex_USGS_raw!$D$2:$D$94,Codex_USGS_raw!$A$2:$A$94,Codex_sources!$A$11,Codex_USGS_raw!$C$2:$C$94,J$4)*Codex_sources!$D$11*2</f>
        <v/>
      </c>
      <c r="K104" s="0">
        <f>SUMIFS(Codex_USGS_raw!$D$2:$D$94,Codex_USGS_raw!$A$2:$A$94,Codex_sources!$A$11,Codex_USGS_raw!$C$2:$C$94,K$4)*Codex_sources!$D$11*2</f>
        <v/>
      </c>
      <c r="L104" s="0">
        <f>SUMIFS(Codex_USGS_raw!$D$2:$D$94,Codex_USGS_raw!$A$2:$A$94,Codex_sources!$A$11,Codex_USGS_raw!$C$2:$C$94,L$4)*Codex_sources!$D$11*2</f>
        <v/>
      </c>
      <c r="M104" s="0">
        <f>SUMIFS(Codex_USGS_raw!$D$2:$D$94,Codex_USGS_raw!$A$2:$A$94,Codex_sources!$A$11,Codex_USGS_raw!$C$2:$C$94,M$4)*Codex_sources!$D$11*2</f>
        <v/>
      </c>
      <c r="N104" s="0">
        <f>SUMIFS(Codex_USGS_raw!$D$2:$D$94,Codex_USGS_raw!$A$2:$A$94,Codex_sources!$A$11,Codex_USGS_raw!$C$2:$C$94,N$4)*Codex_sources!$D$11*2</f>
        <v/>
      </c>
      <c r="O104" s="0">
        <f>SUMIFS(Codex_USGS_raw!$D$2:$D$94,Codex_USGS_raw!$A$2:$A$94,Codex_sources!$A$11,Codex_USGS_raw!$C$2:$C$94,O$4)*Codex_sources!$D$11*2</f>
        <v/>
      </c>
      <c r="P104" s="0">
        <f>SUMIFS(Codex_USGS_raw!$D$2:$D$94,Codex_USGS_raw!$A$2:$A$94,Codex_sources!$A$11,Codex_USGS_raw!$C$2:$C$94,P$4)*Codex_sources!$D$11*2</f>
        <v/>
      </c>
      <c r="Q104" s="0">
        <f>SUMIFS(Codex_USGS_raw!$D$2:$D$94,Codex_USGS_raw!$A$2:$A$94,Codex_sources!$A$11,Codex_USGS_raw!$C$2:$C$94,Q$4)*Codex_sources!$D$11*2</f>
        <v/>
      </c>
      <c r="R104" s="0">
        <f>SUMIFS(Codex_USGS_raw!$D$2:$D$94,Codex_USGS_raw!$A$2:$A$94,Codex_sources!$A$11,Codex_USGS_raw!$C$2:$C$94,R$4)*Codex_sources!$D$11*2</f>
        <v/>
      </c>
      <c r="S104" s="0">
        <f>SUMIFS(Codex_USGS_raw!$D$2:$D$94,Codex_USGS_raw!$A$2:$A$94,Codex_sources!$A$11,Codex_USGS_raw!$C$2:$C$94,S$4)*Codex_sources!$D$11*2</f>
        <v/>
      </c>
      <c r="T104" s="0">
        <f>SUMIFS(Codex_USGS_raw!$D$2:$D$94,Codex_USGS_raw!$A$2:$A$94,Codex_sources!$A$11,Codex_USGS_raw!$C$2:$C$94,T$4)*Codex_sources!$D$11*2</f>
        <v/>
      </c>
      <c r="U104" s="0">
        <f>SUMIFS(Codex_USGS_raw!$D$2:$D$94,Codex_USGS_raw!$A$2:$A$94,Codex_sources!$A$11,Codex_USGS_raw!$C$2:$C$94,U$4)*Codex_sources!$D$11*2</f>
        <v/>
      </c>
      <c r="V104" s="0">
        <f>SUMIFS(Codex_USGS_raw!$D$2:$D$94,Codex_USGS_raw!$A$2:$A$94,Codex_sources!$A$11,Codex_USGS_raw!$C$2:$C$94,V$4)*Codex_sources!$D$11*2</f>
        <v/>
      </c>
      <c r="W104" s="0">
        <f>SUMIFS(Codex_USGS_raw!$D$2:$D$94,Codex_USGS_raw!$A$2:$A$94,Codex_sources!$A$11,Codex_USGS_raw!$C$2:$C$94,W$4)*Codex_sources!$D$11*2</f>
        <v/>
      </c>
      <c r="X104" s="0">
        <f>SUMIFS(Codex_USGS_raw!$D$2:$D$94,Codex_USGS_raw!$A$2:$A$94,Codex_sources!$A$11,Codex_USGS_raw!$C$2:$C$94,X$4)*Codex_sources!$D$11*2</f>
        <v/>
      </c>
      <c r="Y104" s="0">
        <f>SUMIFS(Codex_USGS_raw!$D$2:$D$94,Codex_USGS_raw!$A$2:$A$94,Codex_sources!$A$11,Codex_USGS_raw!$C$2:$C$94,Y$4)*Codex_sources!$D$11*2</f>
        <v/>
      </c>
      <c r="Z104" s="0">
        <f>SUMIFS(Codex_USGS_raw!$D$2:$D$94,Codex_USGS_raw!$A$2:$A$94,Codex_sources!$A$11,Codex_USGS_raw!$C$2:$C$94,Z$4)*Codex_sources!$D$11*2</f>
        <v/>
      </c>
      <c r="AA104" s="0">
        <f>SUMIFS(Codex_USGS_raw!$D$2:$D$94,Codex_USGS_raw!$A$2:$A$94,Codex_sources!$A$11,Codex_USGS_raw!$C$2:$C$94,AA$4)*Codex_sources!$D$11*2</f>
        <v/>
      </c>
      <c r="AB104" s="0">
        <f>SUMIFS(Codex_USGS_raw!$D$2:$D$94,Codex_USGS_raw!$A$2:$A$94,Codex_sources!$A$11,Codex_USGS_raw!$C$2:$C$94,AB$4)*Codex_sources!$D$11*2</f>
        <v/>
      </c>
      <c r="AC104" s="0">
        <f>SUMIFS(Codex_USGS_raw!$D$2:$D$94,Codex_USGS_raw!$A$2:$A$94,Codex_sources!$A$11,Codex_USGS_raw!$C$2:$C$94,AC$4)*Codex_sources!$D$11*2</f>
        <v/>
      </c>
      <c r="AD104" s="0">
        <f>SUMIFS(Codex_USGS_raw!$D$2:$D$94,Codex_USGS_raw!$A$2:$A$94,Codex_sources!$A$11,Codex_USGS_raw!$C$2:$C$94,AD$4)*Codex_sources!$D$11*2</f>
        <v/>
      </c>
      <c r="AE104" s="0">
        <f>SUMIFS(Codex_USGS_raw!$D$2:$D$94,Codex_USGS_raw!$A$2:$A$94,Codex_sources!$A$11,Codex_USGS_raw!$C$2:$C$94,AE$4)*Codex_sources!$D$11*2</f>
        <v/>
      </c>
      <c r="AF104" s="0">
        <f>SUMIFS(Codex_USGS_raw!$D$2:$D$94,Codex_USGS_raw!$A$2:$A$94,Codex_sources!$A$11,Codex_USGS_raw!$C$2:$C$94,AF$4)*Codex_sources!$D$11*2</f>
        <v/>
      </c>
      <c r="AG104" s="0">
        <f>SUMIFS(Codex_USGS_raw!$D$2:$D$94,Codex_USGS_raw!$A$2:$A$94,Codex_sources!$A$11,Codex_USGS_raw!$C$2:$C$94,AG$4)*Codex_sources!$D$11*2</f>
        <v/>
      </c>
      <c r="AH104" s="0">
        <f>SUMIFS(Codex_USGS_raw!$D$2:$D$94,Codex_USGS_raw!$A$2:$A$94,Codex_sources!$A$11,Codex_USGS_raw!$C$2:$C$94,AH$4)*Codex_sources!$D$11*2</f>
        <v/>
      </c>
      <c r="AI104" s="0">
        <f>SUMIFS(Codex_USGS_raw!$D$2:$D$94,Codex_USGS_raw!$A$2:$A$94,Codex_sources!$A$11,Codex_USGS_raw!$C$2:$C$94,AI$4)*Codex_sources!$D$11*2</f>
        <v/>
      </c>
      <c r="AJ104" s="0">
        <f>SUMIFS(Codex_USGS_raw!$D$2:$D$94,Codex_USGS_raw!$A$2:$A$94,Codex_sources!$A$11,Codex_USGS_raw!$C$2:$C$94,AJ$4)*Codex_sources!$D$11*2</f>
        <v/>
      </c>
      <c r="AK104" s="0">
        <f>SUMIFS(Codex_USGS_raw!$D$2:$D$94,Codex_USGS_raw!$A$2:$A$94,Codex_sources!$A$11,Codex_USGS_raw!$C$2:$C$94,AK$4)*Codex_sources!$D$11*2</f>
        <v/>
      </c>
      <c r="AL104" s="0">
        <f>SUMIFS(Codex_USGS_raw!$D$2:$D$94,Codex_USGS_raw!$A$2:$A$94,Codex_sources!$A$11,Codex_USGS_raw!$C$2:$C$94,AL$4)*Codex_sources!$D$11*2</f>
        <v/>
      </c>
      <c r="AM104" s="0">
        <f>SUMIFS(Codex_USGS_raw!$D$2:$D$94,Codex_USGS_raw!$A$2:$A$94,Codex_sources!$A$11,Codex_USGS_raw!$C$2:$C$94,AM$4)*Codex_sources!$D$11*2</f>
        <v/>
      </c>
      <c r="AN104" s="0">
        <f>SUMIFS(Codex_USGS_raw!$D$2:$D$94,Codex_USGS_raw!$A$2:$A$94,Codex_sources!$A$11,Codex_USGS_raw!$C$2:$C$94,AN$4)*Codex_sources!$D$11*2</f>
        <v/>
      </c>
      <c r="AO104" s="0">
        <f>AO103</f>
        <v/>
      </c>
    </row>
    <row r="105">
      <c r="C105" s="0" t="inlineStr">
        <is>
          <t>MINGrRSV2</t>
        </is>
      </c>
      <c r="D105" s="0" t="inlineStr">
        <is>
          <t>CUM</t>
        </is>
      </c>
      <c r="F105" s="0">
        <f>SUMIFS(Codex_USGS_raw!$E$2:$E$94,Codex_USGS_raw!$A$2:$A$94,Codex_sources!$A$11,Codex_USGS_raw!$C$2:$C$94,F$4)*Codex_sources!$D$11*Codex_sources!$K$11</f>
        <v/>
      </c>
      <c r="G105" s="0">
        <f>SUMIFS(Codex_USGS_raw!$E$2:$E$94,Codex_USGS_raw!$A$2:$A$94,Codex_sources!$A$11,Codex_USGS_raw!$C$2:$C$94,G$4)*Codex_sources!$D$11*Codex_sources!$K$11</f>
        <v/>
      </c>
      <c r="H105" s="0">
        <f>SUMIFS(Codex_USGS_raw!$E$2:$E$94,Codex_USGS_raw!$A$2:$A$94,Codex_sources!$A$11,Codex_USGS_raw!$C$2:$C$94,H$4)*Codex_sources!$D$11*Codex_sources!$K$11</f>
        <v/>
      </c>
      <c r="I105" s="0">
        <f>SUMIFS(Codex_USGS_raw!$E$2:$E$94,Codex_USGS_raw!$A$2:$A$94,Codex_sources!$A$11,Codex_USGS_raw!$C$2:$C$94,I$4)*Codex_sources!$D$11*Codex_sources!$K$11</f>
        <v/>
      </c>
      <c r="J105" s="0">
        <f>SUMIFS(Codex_USGS_raw!$E$2:$E$94,Codex_USGS_raw!$A$2:$A$94,Codex_sources!$A$11,Codex_USGS_raw!$C$2:$C$94,J$4)*Codex_sources!$D$11*Codex_sources!$K$11</f>
        <v/>
      </c>
      <c r="K105" s="0">
        <f>SUMIFS(Codex_USGS_raw!$E$2:$E$94,Codex_USGS_raw!$A$2:$A$94,Codex_sources!$A$11,Codex_USGS_raw!$C$2:$C$94,K$4)*Codex_sources!$D$11*Codex_sources!$K$11</f>
        <v/>
      </c>
      <c r="L105" s="0">
        <f>SUMIFS(Codex_USGS_raw!$E$2:$E$94,Codex_USGS_raw!$A$2:$A$94,Codex_sources!$A$11,Codex_USGS_raw!$C$2:$C$94,L$4)*Codex_sources!$D$11*Codex_sources!$K$11</f>
        <v/>
      </c>
      <c r="M105" s="0">
        <f>SUMIFS(Codex_USGS_raw!$E$2:$E$94,Codex_USGS_raw!$A$2:$A$94,Codex_sources!$A$11,Codex_USGS_raw!$C$2:$C$94,M$4)*Codex_sources!$D$11*Codex_sources!$K$11</f>
        <v/>
      </c>
      <c r="N105" s="0">
        <f>SUMIFS(Codex_USGS_raw!$E$2:$E$94,Codex_USGS_raw!$A$2:$A$94,Codex_sources!$A$11,Codex_USGS_raw!$C$2:$C$94,N$4)*Codex_sources!$D$11*Codex_sources!$K$11</f>
        <v/>
      </c>
      <c r="O105" s="0">
        <f>SUMIFS(Codex_USGS_raw!$E$2:$E$94,Codex_USGS_raw!$A$2:$A$94,Codex_sources!$A$11,Codex_USGS_raw!$C$2:$C$94,O$4)*Codex_sources!$D$11*Codex_sources!$K$11</f>
        <v/>
      </c>
      <c r="P105" s="0">
        <f>SUMIFS(Codex_USGS_raw!$E$2:$E$94,Codex_USGS_raw!$A$2:$A$94,Codex_sources!$A$11,Codex_USGS_raw!$C$2:$C$94,P$4)*Codex_sources!$D$11*Codex_sources!$K$11</f>
        <v/>
      </c>
      <c r="Q105" s="0">
        <f>SUMIFS(Codex_USGS_raw!$E$2:$E$94,Codex_USGS_raw!$A$2:$A$94,Codex_sources!$A$11,Codex_USGS_raw!$C$2:$C$94,Q$4)*Codex_sources!$D$11*Codex_sources!$K$11</f>
        <v/>
      </c>
      <c r="R105" s="0">
        <f>SUMIFS(Codex_USGS_raw!$E$2:$E$94,Codex_USGS_raw!$A$2:$A$94,Codex_sources!$A$11,Codex_USGS_raw!$C$2:$C$94,R$4)*Codex_sources!$D$11*Codex_sources!$K$11</f>
        <v/>
      </c>
      <c r="S105" s="0">
        <f>SUMIFS(Codex_USGS_raw!$E$2:$E$94,Codex_USGS_raw!$A$2:$A$94,Codex_sources!$A$11,Codex_USGS_raw!$C$2:$C$94,S$4)*Codex_sources!$D$11*Codex_sources!$K$11</f>
        <v/>
      </c>
      <c r="T105" s="0">
        <f>SUMIFS(Codex_USGS_raw!$E$2:$E$94,Codex_USGS_raw!$A$2:$A$94,Codex_sources!$A$11,Codex_USGS_raw!$C$2:$C$94,T$4)*Codex_sources!$D$11*Codex_sources!$K$11</f>
        <v/>
      </c>
      <c r="U105" s="0">
        <f>SUMIFS(Codex_USGS_raw!$E$2:$E$94,Codex_USGS_raw!$A$2:$A$94,Codex_sources!$A$11,Codex_USGS_raw!$C$2:$C$94,U$4)*Codex_sources!$D$11*Codex_sources!$K$11</f>
        <v/>
      </c>
      <c r="V105" s="0">
        <f>SUMIFS(Codex_USGS_raw!$E$2:$E$94,Codex_USGS_raw!$A$2:$A$94,Codex_sources!$A$11,Codex_USGS_raw!$C$2:$C$94,V$4)*Codex_sources!$D$11*Codex_sources!$K$11</f>
        <v/>
      </c>
      <c r="W105" s="0">
        <f>SUMIFS(Codex_USGS_raw!$E$2:$E$94,Codex_USGS_raw!$A$2:$A$94,Codex_sources!$A$11,Codex_USGS_raw!$C$2:$C$94,W$4)*Codex_sources!$D$11*Codex_sources!$K$11</f>
        <v/>
      </c>
      <c r="X105" s="0">
        <f>SUMIFS(Codex_USGS_raw!$E$2:$E$94,Codex_USGS_raw!$A$2:$A$94,Codex_sources!$A$11,Codex_USGS_raw!$C$2:$C$94,X$4)*Codex_sources!$D$11*Codex_sources!$K$11</f>
        <v/>
      </c>
      <c r="Y105" s="0">
        <f>SUMIFS(Codex_USGS_raw!$E$2:$E$94,Codex_USGS_raw!$A$2:$A$94,Codex_sources!$A$11,Codex_USGS_raw!$C$2:$C$94,Y$4)*Codex_sources!$D$11*Codex_sources!$K$11</f>
        <v/>
      </c>
      <c r="Z105" s="0">
        <f>SUMIFS(Codex_USGS_raw!$E$2:$E$94,Codex_USGS_raw!$A$2:$A$94,Codex_sources!$A$11,Codex_USGS_raw!$C$2:$C$94,Z$4)*Codex_sources!$D$11*Codex_sources!$K$11</f>
        <v/>
      </c>
      <c r="AA105" s="0">
        <f>SUMIFS(Codex_USGS_raw!$E$2:$E$94,Codex_USGS_raw!$A$2:$A$94,Codex_sources!$A$11,Codex_USGS_raw!$C$2:$C$94,AA$4)*Codex_sources!$D$11*Codex_sources!$K$11</f>
        <v/>
      </c>
      <c r="AB105" s="0">
        <f>SUMIFS(Codex_USGS_raw!$E$2:$E$94,Codex_USGS_raw!$A$2:$A$94,Codex_sources!$A$11,Codex_USGS_raw!$C$2:$C$94,AB$4)*Codex_sources!$D$11*Codex_sources!$K$11</f>
        <v/>
      </c>
      <c r="AC105" s="0">
        <f>SUMIFS(Codex_USGS_raw!$E$2:$E$94,Codex_USGS_raw!$A$2:$A$94,Codex_sources!$A$11,Codex_USGS_raw!$C$2:$C$94,AC$4)*Codex_sources!$D$11*Codex_sources!$K$11</f>
        <v/>
      </c>
      <c r="AD105" s="0">
        <f>SUMIFS(Codex_USGS_raw!$E$2:$E$94,Codex_USGS_raw!$A$2:$A$94,Codex_sources!$A$11,Codex_USGS_raw!$C$2:$C$94,AD$4)*Codex_sources!$D$11*Codex_sources!$K$11</f>
        <v/>
      </c>
      <c r="AE105" s="0">
        <f>SUMIFS(Codex_USGS_raw!$E$2:$E$94,Codex_USGS_raw!$A$2:$A$94,Codex_sources!$A$11,Codex_USGS_raw!$C$2:$C$94,AE$4)*Codex_sources!$D$11*Codex_sources!$K$11</f>
        <v/>
      </c>
      <c r="AF105" s="0">
        <f>SUMIFS(Codex_USGS_raw!$E$2:$E$94,Codex_USGS_raw!$A$2:$A$94,Codex_sources!$A$11,Codex_USGS_raw!$C$2:$C$94,AF$4)*Codex_sources!$D$11*Codex_sources!$K$11</f>
        <v/>
      </c>
      <c r="AG105" s="0">
        <f>SUMIFS(Codex_USGS_raw!$E$2:$E$94,Codex_USGS_raw!$A$2:$A$94,Codex_sources!$A$11,Codex_USGS_raw!$C$2:$C$94,AG$4)*Codex_sources!$D$11*Codex_sources!$K$11</f>
        <v/>
      </c>
      <c r="AH105" s="0">
        <f>SUMIFS(Codex_USGS_raw!$E$2:$E$94,Codex_USGS_raw!$A$2:$A$94,Codex_sources!$A$11,Codex_USGS_raw!$C$2:$C$94,AH$4)*Codex_sources!$D$11*Codex_sources!$K$11</f>
        <v/>
      </c>
      <c r="AI105" s="0">
        <f>SUMIFS(Codex_USGS_raw!$E$2:$E$94,Codex_USGS_raw!$A$2:$A$94,Codex_sources!$A$11,Codex_USGS_raw!$C$2:$C$94,AI$4)*Codex_sources!$D$11*Codex_sources!$K$11</f>
        <v/>
      </c>
      <c r="AJ105" s="0">
        <f>SUMIFS(Codex_USGS_raw!$E$2:$E$94,Codex_USGS_raw!$A$2:$A$94,Codex_sources!$A$11,Codex_USGS_raw!$C$2:$C$94,AJ$4)*Codex_sources!$D$11*Codex_sources!$K$11</f>
        <v/>
      </c>
      <c r="AK105" s="0">
        <f>SUMIFS(Codex_USGS_raw!$E$2:$E$94,Codex_USGS_raw!$A$2:$A$94,Codex_sources!$A$11,Codex_USGS_raw!$C$2:$C$94,AK$4)*Codex_sources!$D$11*Codex_sources!$K$11</f>
        <v/>
      </c>
      <c r="AL105" s="0">
        <f>SUMIFS(Codex_USGS_raw!$E$2:$E$94,Codex_USGS_raw!$A$2:$A$94,Codex_sources!$A$11,Codex_USGS_raw!$C$2:$C$94,AL$4)*Codex_sources!$D$11*Codex_sources!$K$11</f>
        <v/>
      </c>
      <c r="AM105" s="0">
        <f>SUMIFS(Codex_USGS_raw!$E$2:$E$94,Codex_USGS_raw!$A$2:$A$94,Codex_sources!$A$11,Codex_USGS_raw!$C$2:$C$94,AM$4)*Codex_sources!$D$11*Codex_sources!$K$11</f>
        <v/>
      </c>
      <c r="AN105" s="0">
        <f>SUMIFS(Codex_USGS_raw!$E$2:$E$94,Codex_USGS_raw!$A$2:$A$94,Codex_sources!$A$11,Codex_USGS_raw!$C$2:$C$94,AN$4)*Codex_sources!$D$11*Codex_sources!$K$11</f>
        <v/>
      </c>
      <c r="AO105" s="0">
        <f>AO104</f>
        <v/>
      </c>
    </row>
    <row r="106">
      <c r="C106" s="0" t="inlineStr">
        <is>
          <t>MINGrRSV2</t>
        </is>
      </c>
      <c r="D106" s="0" t="inlineStr">
        <is>
          <t>COST</t>
        </is>
      </c>
      <c r="E106" s="0" t="inlineStr">
        <is>
          <t>m_graphite</t>
        </is>
      </c>
      <c r="F106" s="0">
        <f>Codex_Regional!F22*(Codex_sources!$N$11/Codex_sources!$M$11)</f>
        <v/>
      </c>
      <c r="G106" s="0">
        <f>Codex_Regional!G22*(Codex_sources!$N$11/Codex_sources!$M$11)</f>
        <v/>
      </c>
      <c r="H106" s="0">
        <f>Codex_Regional!H22*(Codex_sources!$N$11/Codex_sources!$M$11)</f>
        <v/>
      </c>
      <c r="I106" s="0">
        <f>Codex_Regional!I22*(Codex_sources!$N$11/Codex_sources!$M$11)</f>
        <v/>
      </c>
      <c r="J106" s="0">
        <f>Codex_Regional!J22*(Codex_sources!$N$11/Codex_sources!$M$11)</f>
        <v/>
      </c>
      <c r="K106" s="0">
        <f>Codex_Regional!K22*(Codex_sources!$N$11/Codex_sources!$M$11)</f>
        <v/>
      </c>
      <c r="L106" s="0">
        <f>Codex_Regional!L22*(Codex_sources!$N$11/Codex_sources!$M$11)</f>
        <v/>
      </c>
      <c r="M106" s="0">
        <f>Codex_Regional!M22*(Codex_sources!$N$11/Codex_sources!$M$11)</f>
        <v/>
      </c>
      <c r="N106" s="0">
        <f>Codex_Regional!N22*(Codex_sources!$N$11/Codex_sources!$M$11)</f>
        <v/>
      </c>
      <c r="O106" s="0">
        <f>Codex_Regional!O22*(Codex_sources!$N$11/Codex_sources!$M$11)</f>
        <v/>
      </c>
      <c r="P106" s="0">
        <f>Codex_Regional!P22*(Codex_sources!$N$11/Codex_sources!$M$11)</f>
        <v/>
      </c>
      <c r="Q106" s="0">
        <f>Codex_Regional!Q22*(Codex_sources!$N$11/Codex_sources!$M$11)</f>
        <v/>
      </c>
      <c r="R106" s="0">
        <f>Codex_Regional!R22*(Codex_sources!$N$11/Codex_sources!$M$11)</f>
        <v/>
      </c>
      <c r="S106" s="0">
        <f>Codex_Regional!S22*(Codex_sources!$N$11/Codex_sources!$M$11)</f>
        <v/>
      </c>
      <c r="T106" s="0">
        <f>Codex_Regional!T22*(Codex_sources!$N$11/Codex_sources!$M$11)</f>
        <v/>
      </c>
      <c r="U106" s="0">
        <f>Codex_Regional!U22*(Codex_sources!$N$11/Codex_sources!$M$11)</f>
        <v/>
      </c>
      <c r="V106" s="0">
        <f>Codex_Regional!V22*(Codex_sources!$N$11/Codex_sources!$M$11)</f>
        <v/>
      </c>
      <c r="W106" s="0">
        <f>Codex_Regional!W22*(Codex_sources!$N$11/Codex_sources!$M$11)</f>
        <v/>
      </c>
      <c r="X106" s="0">
        <f>Codex_Regional!X22*(Codex_sources!$N$11/Codex_sources!$M$11)</f>
        <v/>
      </c>
      <c r="Y106" s="0">
        <f>Codex_Regional!Y22*(Codex_sources!$N$11/Codex_sources!$M$11)</f>
        <v/>
      </c>
      <c r="Z106" s="0">
        <f>Codex_Regional!Z22*(Codex_sources!$N$11/Codex_sources!$M$11)</f>
        <v/>
      </c>
      <c r="AA106" s="0">
        <f>Codex_Regional!AA22*(Codex_sources!$N$11/Codex_sources!$M$11)</f>
        <v/>
      </c>
      <c r="AB106" s="0">
        <f>Codex_Regional!AB22*(Codex_sources!$N$11/Codex_sources!$M$11)</f>
        <v/>
      </c>
      <c r="AC106" s="0">
        <f>Codex_Regional!AC22*(Codex_sources!$N$11/Codex_sources!$M$11)</f>
        <v/>
      </c>
      <c r="AD106" s="0">
        <f>Codex_Regional!AD22*(Codex_sources!$N$11/Codex_sources!$M$11)</f>
        <v/>
      </c>
      <c r="AE106" s="0">
        <f>Codex_Regional!AE22*(Codex_sources!$N$11/Codex_sources!$M$11)</f>
        <v/>
      </c>
      <c r="AF106" s="0">
        <f>Codex_Regional!AF22*(Codex_sources!$N$11/Codex_sources!$M$11)</f>
        <v/>
      </c>
      <c r="AG106" s="0">
        <f>Codex_Regional!AG22*(Codex_sources!$N$11/Codex_sources!$M$11)</f>
        <v/>
      </c>
      <c r="AH106" s="0">
        <f>Codex_Regional!AH22*(Codex_sources!$N$11/Codex_sources!$M$11)</f>
        <v/>
      </c>
      <c r="AI106" s="0">
        <f>Codex_Regional!AI22*(Codex_sources!$N$11/Codex_sources!$M$11)</f>
        <v/>
      </c>
      <c r="AJ106" s="0">
        <f>Codex_Regional!AJ22*(Codex_sources!$N$11/Codex_sources!$M$11)</f>
        <v/>
      </c>
      <c r="AK106" s="0">
        <f>Codex_Regional!AK22*(Codex_sources!$N$11/Codex_sources!$M$11)</f>
        <v/>
      </c>
      <c r="AL106" s="0">
        <f>Codex_Regional!AL22*(Codex_sources!$N$11/Codex_sources!$M$11)</f>
        <v/>
      </c>
      <c r="AM106" s="0">
        <f>Codex_Regional!AM22*(Codex_sources!$N$11/Codex_sources!$M$11)</f>
        <v/>
      </c>
      <c r="AN106" s="0">
        <f>Codex_Regional!AN22*(Codex_sources!$N$11/Codex_sources!$M$11)</f>
        <v/>
      </c>
      <c r="AO106" s="0">
        <f>AO105</f>
        <v/>
      </c>
    </row>
    <row r="107">
      <c r="C107" s="0" t="inlineStr">
        <is>
          <t>MINGrRSV3</t>
        </is>
      </c>
      <c r="D107" s="0" t="inlineStr">
        <is>
          <t>BNDACT</t>
        </is>
      </c>
      <c r="AO107" s="0">
        <f>AO106</f>
        <v/>
      </c>
    </row>
    <row r="108">
      <c r="C108" s="0" t="inlineStr">
        <is>
          <t>MINGrRSV3</t>
        </is>
      </c>
      <c r="D108" s="0" t="inlineStr">
        <is>
          <t>CUM</t>
        </is>
      </c>
      <c r="F108" s="0">
        <f>SUMIFS(Codex_USGS_raw!$E$2:$E$94,Codex_USGS_raw!$A$2:$A$94,Codex_sources!$A$11,Codex_USGS_raw!$C$2:$C$94,F$4)*Codex_sources!$D$11*Codex_sources!$L$11</f>
        <v/>
      </c>
      <c r="G108" s="0">
        <f>SUMIFS(Codex_USGS_raw!$E$2:$E$94,Codex_USGS_raw!$A$2:$A$94,Codex_sources!$A$11,Codex_USGS_raw!$C$2:$C$94,G$4)*Codex_sources!$D$11*Codex_sources!$L$11</f>
        <v/>
      </c>
      <c r="H108" s="0">
        <f>SUMIFS(Codex_USGS_raw!$E$2:$E$94,Codex_USGS_raw!$A$2:$A$94,Codex_sources!$A$11,Codex_USGS_raw!$C$2:$C$94,H$4)*Codex_sources!$D$11*Codex_sources!$L$11</f>
        <v/>
      </c>
      <c r="I108" s="0">
        <f>SUMIFS(Codex_USGS_raw!$E$2:$E$94,Codex_USGS_raw!$A$2:$A$94,Codex_sources!$A$11,Codex_USGS_raw!$C$2:$C$94,I$4)*Codex_sources!$D$11*Codex_sources!$L$11</f>
        <v/>
      </c>
      <c r="J108" s="0">
        <f>SUMIFS(Codex_USGS_raw!$E$2:$E$94,Codex_USGS_raw!$A$2:$A$94,Codex_sources!$A$11,Codex_USGS_raw!$C$2:$C$94,J$4)*Codex_sources!$D$11*Codex_sources!$L$11</f>
        <v/>
      </c>
      <c r="K108" s="0">
        <f>SUMIFS(Codex_USGS_raw!$E$2:$E$94,Codex_USGS_raw!$A$2:$A$94,Codex_sources!$A$11,Codex_USGS_raw!$C$2:$C$94,K$4)*Codex_sources!$D$11*Codex_sources!$L$11</f>
        <v/>
      </c>
      <c r="L108" s="0">
        <f>SUMIFS(Codex_USGS_raw!$E$2:$E$94,Codex_USGS_raw!$A$2:$A$94,Codex_sources!$A$11,Codex_USGS_raw!$C$2:$C$94,L$4)*Codex_sources!$D$11*Codex_sources!$L$11</f>
        <v/>
      </c>
      <c r="M108" s="0">
        <f>SUMIFS(Codex_USGS_raw!$E$2:$E$94,Codex_USGS_raw!$A$2:$A$94,Codex_sources!$A$11,Codex_USGS_raw!$C$2:$C$94,M$4)*Codex_sources!$D$11*Codex_sources!$L$11</f>
        <v/>
      </c>
      <c r="N108" s="0">
        <f>SUMIFS(Codex_USGS_raw!$E$2:$E$94,Codex_USGS_raw!$A$2:$A$94,Codex_sources!$A$11,Codex_USGS_raw!$C$2:$C$94,N$4)*Codex_sources!$D$11*Codex_sources!$L$11</f>
        <v/>
      </c>
      <c r="O108" s="0">
        <f>SUMIFS(Codex_USGS_raw!$E$2:$E$94,Codex_USGS_raw!$A$2:$A$94,Codex_sources!$A$11,Codex_USGS_raw!$C$2:$C$94,O$4)*Codex_sources!$D$11*Codex_sources!$L$11</f>
        <v/>
      </c>
      <c r="P108" s="0">
        <f>SUMIFS(Codex_USGS_raw!$E$2:$E$94,Codex_USGS_raw!$A$2:$A$94,Codex_sources!$A$11,Codex_USGS_raw!$C$2:$C$94,P$4)*Codex_sources!$D$11*Codex_sources!$L$11</f>
        <v/>
      </c>
      <c r="Q108" s="0">
        <f>SUMIFS(Codex_USGS_raw!$E$2:$E$94,Codex_USGS_raw!$A$2:$A$94,Codex_sources!$A$11,Codex_USGS_raw!$C$2:$C$94,Q$4)*Codex_sources!$D$11*Codex_sources!$L$11</f>
        <v/>
      </c>
      <c r="R108" s="0">
        <f>SUMIFS(Codex_USGS_raw!$E$2:$E$94,Codex_USGS_raw!$A$2:$A$94,Codex_sources!$A$11,Codex_USGS_raw!$C$2:$C$94,R$4)*Codex_sources!$D$11*Codex_sources!$L$11</f>
        <v/>
      </c>
      <c r="S108" s="0">
        <f>SUMIFS(Codex_USGS_raw!$E$2:$E$94,Codex_USGS_raw!$A$2:$A$94,Codex_sources!$A$11,Codex_USGS_raw!$C$2:$C$94,S$4)*Codex_sources!$D$11*Codex_sources!$L$11</f>
        <v/>
      </c>
      <c r="T108" s="0">
        <f>SUMIFS(Codex_USGS_raw!$E$2:$E$94,Codex_USGS_raw!$A$2:$A$94,Codex_sources!$A$11,Codex_USGS_raw!$C$2:$C$94,T$4)*Codex_sources!$D$11*Codex_sources!$L$11</f>
        <v/>
      </c>
      <c r="U108" s="0">
        <f>SUMIFS(Codex_USGS_raw!$E$2:$E$94,Codex_USGS_raw!$A$2:$A$94,Codex_sources!$A$11,Codex_USGS_raw!$C$2:$C$94,U$4)*Codex_sources!$D$11*Codex_sources!$L$11</f>
        <v/>
      </c>
      <c r="V108" s="0">
        <f>SUMIFS(Codex_USGS_raw!$E$2:$E$94,Codex_USGS_raw!$A$2:$A$94,Codex_sources!$A$11,Codex_USGS_raw!$C$2:$C$94,V$4)*Codex_sources!$D$11*Codex_sources!$L$11</f>
        <v/>
      </c>
      <c r="W108" s="0">
        <f>SUMIFS(Codex_USGS_raw!$E$2:$E$94,Codex_USGS_raw!$A$2:$A$94,Codex_sources!$A$11,Codex_USGS_raw!$C$2:$C$94,W$4)*Codex_sources!$D$11*Codex_sources!$L$11</f>
        <v/>
      </c>
      <c r="X108" s="0">
        <f>SUMIFS(Codex_USGS_raw!$E$2:$E$94,Codex_USGS_raw!$A$2:$A$94,Codex_sources!$A$11,Codex_USGS_raw!$C$2:$C$94,X$4)*Codex_sources!$D$11*Codex_sources!$L$11</f>
        <v/>
      </c>
      <c r="Y108" s="0">
        <f>SUMIFS(Codex_USGS_raw!$E$2:$E$94,Codex_USGS_raw!$A$2:$A$94,Codex_sources!$A$11,Codex_USGS_raw!$C$2:$C$94,Y$4)*Codex_sources!$D$11*Codex_sources!$L$11</f>
        <v/>
      </c>
      <c r="Z108" s="0">
        <f>SUMIFS(Codex_USGS_raw!$E$2:$E$94,Codex_USGS_raw!$A$2:$A$94,Codex_sources!$A$11,Codex_USGS_raw!$C$2:$C$94,Z$4)*Codex_sources!$D$11*Codex_sources!$L$11</f>
        <v/>
      </c>
      <c r="AA108" s="0">
        <f>SUMIFS(Codex_USGS_raw!$E$2:$E$94,Codex_USGS_raw!$A$2:$A$94,Codex_sources!$A$11,Codex_USGS_raw!$C$2:$C$94,AA$4)*Codex_sources!$D$11*Codex_sources!$L$11</f>
        <v/>
      </c>
      <c r="AB108" s="0">
        <f>SUMIFS(Codex_USGS_raw!$E$2:$E$94,Codex_USGS_raw!$A$2:$A$94,Codex_sources!$A$11,Codex_USGS_raw!$C$2:$C$94,AB$4)*Codex_sources!$D$11*Codex_sources!$L$11</f>
        <v/>
      </c>
      <c r="AC108" s="0">
        <f>SUMIFS(Codex_USGS_raw!$E$2:$E$94,Codex_USGS_raw!$A$2:$A$94,Codex_sources!$A$11,Codex_USGS_raw!$C$2:$C$94,AC$4)*Codex_sources!$D$11*Codex_sources!$L$11</f>
        <v/>
      </c>
      <c r="AD108" s="0">
        <f>SUMIFS(Codex_USGS_raw!$E$2:$E$94,Codex_USGS_raw!$A$2:$A$94,Codex_sources!$A$11,Codex_USGS_raw!$C$2:$C$94,AD$4)*Codex_sources!$D$11*Codex_sources!$L$11</f>
        <v/>
      </c>
      <c r="AE108" s="0">
        <f>SUMIFS(Codex_USGS_raw!$E$2:$E$94,Codex_USGS_raw!$A$2:$A$94,Codex_sources!$A$11,Codex_USGS_raw!$C$2:$C$94,AE$4)*Codex_sources!$D$11*Codex_sources!$L$11</f>
        <v/>
      </c>
      <c r="AF108" s="0">
        <f>SUMIFS(Codex_USGS_raw!$E$2:$E$94,Codex_USGS_raw!$A$2:$A$94,Codex_sources!$A$11,Codex_USGS_raw!$C$2:$C$94,AF$4)*Codex_sources!$D$11*Codex_sources!$L$11</f>
        <v/>
      </c>
      <c r="AG108" s="0">
        <f>SUMIFS(Codex_USGS_raw!$E$2:$E$94,Codex_USGS_raw!$A$2:$A$94,Codex_sources!$A$11,Codex_USGS_raw!$C$2:$C$94,AG$4)*Codex_sources!$D$11*Codex_sources!$L$11</f>
        <v/>
      </c>
      <c r="AH108" s="0">
        <f>SUMIFS(Codex_USGS_raw!$E$2:$E$94,Codex_USGS_raw!$A$2:$A$94,Codex_sources!$A$11,Codex_USGS_raw!$C$2:$C$94,AH$4)*Codex_sources!$D$11*Codex_sources!$L$11</f>
        <v/>
      </c>
      <c r="AI108" s="0">
        <f>SUMIFS(Codex_USGS_raw!$E$2:$E$94,Codex_USGS_raw!$A$2:$A$94,Codex_sources!$A$11,Codex_USGS_raw!$C$2:$C$94,AI$4)*Codex_sources!$D$11*Codex_sources!$L$11</f>
        <v/>
      </c>
      <c r="AJ108" s="0">
        <f>SUMIFS(Codex_USGS_raw!$E$2:$E$94,Codex_USGS_raw!$A$2:$A$94,Codex_sources!$A$11,Codex_USGS_raw!$C$2:$C$94,AJ$4)*Codex_sources!$D$11*Codex_sources!$L$11</f>
        <v/>
      </c>
      <c r="AK108" s="0">
        <f>SUMIFS(Codex_USGS_raw!$E$2:$E$94,Codex_USGS_raw!$A$2:$A$94,Codex_sources!$A$11,Codex_USGS_raw!$C$2:$C$94,AK$4)*Codex_sources!$D$11*Codex_sources!$L$11</f>
        <v/>
      </c>
      <c r="AL108" s="0">
        <f>SUMIFS(Codex_USGS_raw!$E$2:$E$94,Codex_USGS_raw!$A$2:$A$94,Codex_sources!$A$11,Codex_USGS_raw!$C$2:$C$94,AL$4)*Codex_sources!$D$11*Codex_sources!$L$11</f>
        <v/>
      </c>
      <c r="AM108" s="0">
        <f>SUMIFS(Codex_USGS_raw!$E$2:$E$94,Codex_USGS_raw!$A$2:$A$94,Codex_sources!$A$11,Codex_USGS_raw!$C$2:$C$94,AM$4)*Codex_sources!$D$11*Codex_sources!$L$11</f>
        <v/>
      </c>
      <c r="AN108" s="0">
        <f>SUMIFS(Codex_USGS_raw!$E$2:$E$94,Codex_USGS_raw!$A$2:$A$94,Codex_sources!$A$11,Codex_USGS_raw!$C$2:$C$94,AN$4)*Codex_sources!$D$11*Codex_sources!$L$11</f>
        <v/>
      </c>
      <c r="AO108" s="0">
        <f>AO107</f>
        <v/>
      </c>
    </row>
    <row r="109">
      <c r="C109" s="0" t="inlineStr">
        <is>
          <t>MINGrRSV3</t>
        </is>
      </c>
      <c r="D109" s="0" t="inlineStr">
        <is>
          <t>COST</t>
        </is>
      </c>
      <c r="E109" s="0" t="inlineStr">
        <is>
          <t>m_graphite</t>
        </is>
      </c>
      <c r="F109" s="0">
        <f>Codex_Regional!F22*(Codex_sources!$O$11/Codex_sources!$M$11)</f>
        <v/>
      </c>
      <c r="G109" s="0">
        <f>Codex_Regional!G22*(Codex_sources!$O$11/Codex_sources!$M$11)</f>
        <v/>
      </c>
      <c r="H109" s="0">
        <f>Codex_Regional!H22*(Codex_sources!$O$11/Codex_sources!$M$11)</f>
        <v/>
      </c>
      <c r="I109" s="0">
        <f>Codex_Regional!I22*(Codex_sources!$O$11/Codex_sources!$M$11)</f>
        <v/>
      </c>
      <c r="J109" s="0">
        <f>Codex_Regional!J22*(Codex_sources!$O$11/Codex_sources!$M$11)</f>
        <v/>
      </c>
      <c r="K109" s="0">
        <f>Codex_Regional!K22*(Codex_sources!$O$11/Codex_sources!$M$11)</f>
        <v/>
      </c>
      <c r="L109" s="0">
        <f>Codex_Regional!L22*(Codex_sources!$O$11/Codex_sources!$M$11)</f>
        <v/>
      </c>
      <c r="M109" s="0">
        <f>Codex_Regional!M22*(Codex_sources!$O$11/Codex_sources!$M$11)</f>
        <v/>
      </c>
      <c r="N109" s="0">
        <f>Codex_Regional!N22*(Codex_sources!$O$11/Codex_sources!$M$11)</f>
        <v/>
      </c>
      <c r="O109" s="0">
        <f>Codex_Regional!O22*(Codex_sources!$O$11/Codex_sources!$M$11)</f>
        <v/>
      </c>
      <c r="P109" s="0">
        <f>Codex_Regional!P22*(Codex_sources!$O$11/Codex_sources!$M$11)</f>
        <v/>
      </c>
      <c r="Q109" s="0">
        <f>Codex_Regional!Q22*(Codex_sources!$O$11/Codex_sources!$M$11)</f>
        <v/>
      </c>
      <c r="R109" s="0">
        <f>Codex_Regional!R22*(Codex_sources!$O$11/Codex_sources!$M$11)</f>
        <v/>
      </c>
      <c r="S109" s="0">
        <f>Codex_Regional!S22*(Codex_sources!$O$11/Codex_sources!$M$11)</f>
        <v/>
      </c>
      <c r="T109" s="0">
        <f>Codex_Regional!T22*(Codex_sources!$O$11/Codex_sources!$M$11)</f>
        <v/>
      </c>
      <c r="U109" s="0">
        <f>Codex_Regional!U22*(Codex_sources!$O$11/Codex_sources!$M$11)</f>
        <v/>
      </c>
      <c r="V109" s="0">
        <f>Codex_Regional!V22*(Codex_sources!$O$11/Codex_sources!$M$11)</f>
        <v/>
      </c>
      <c r="W109" s="0">
        <f>Codex_Regional!W22*(Codex_sources!$O$11/Codex_sources!$M$11)</f>
        <v/>
      </c>
      <c r="X109" s="0">
        <f>Codex_Regional!X22*(Codex_sources!$O$11/Codex_sources!$M$11)</f>
        <v/>
      </c>
      <c r="Y109" s="0">
        <f>Codex_Regional!Y22*(Codex_sources!$O$11/Codex_sources!$M$11)</f>
        <v/>
      </c>
      <c r="Z109" s="0">
        <f>Codex_Regional!Z22*(Codex_sources!$O$11/Codex_sources!$M$11)</f>
        <v/>
      </c>
      <c r="AA109" s="0">
        <f>Codex_Regional!AA22*(Codex_sources!$O$11/Codex_sources!$M$11)</f>
        <v/>
      </c>
      <c r="AB109" s="0">
        <f>Codex_Regional!AB22*(Codex_sources!$O$11/Codex_sources!$M$11)</f>
        <v/>
      </c>
      <c r="AC109" s="0">
        <f>Codex_Regional!AC22*(Codex_sources!$O$11/Codex_sources!$M$11)</f>
        <v/>
      </c>
      <c r="AD109" s="0">
        <f>Codex_Regional!AD22*(Codex_sources!$O$11/Codex_sources!$M$11)</f>
        <v/>
      </c>
      <c r="AE109" s="0">
        <f>Codex_Regional!AE22*(Codex_sources!$O$11/Codex_sources!$M$11)</f>
        <v/>
      </c>
      <c r="AF109" s="0">
        <f>Codex_Regional!AF22*(Codex_sources!$O$11/Codex_sources!$M$11)</f>
        <v/>
      </c>
      <c r="AG109" s="0">
        <f>Codex_Regional!AG22*(Codex_sources!$O$11/Codex_sources!$M$11)</f>
        <v/>
      </c>
      <c r="AH109" s="0">
        <f>Codex_Regional!AH22*(Codex_sources!$O$11/Codex_sources!$M$11)</f>
        <v/>
      </c>
      <c r="AI109" s="0">
        <f>Codex_Regional!AI22*(Codex_sources!$O$11/Codex_sources!$M$11)</f>
        <v/>
      </c>
      <c r="AJ109" s="0">
        <f>Codex_Regional!AJ22*(Codex_sources!$O$11/Codex_sources!$M$11)</f>
        <v/>
      </c>
      <c r="AK109" s="0">
        <f>Codex_Regional!AK22*(Codex_sources!$O$11/Codex_sources!$M$11)</f>
        <v/>
      </c>
      <c r="AL109" s="0">
        <f>Codex_Regional!AL22*(Codex_sources!$O$11/Codex_sources!$M$11)</f>
        <v/>
      </c>
      <c r="AM109" s="0">
        <f>Codex_Regional!AM22*(Codex_sources!$O$11/Codex_sources!$M$11)</f>
        <v/>
      </c>
      <c r="AN109" s="0">
        <f>Codex_Regional!AN22*(Codex_sources!$O$11/Codex_sources!$M$11)</f>
        <v/>
      </c>
      <c r="AO109" s="0">
        <f>AO108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15" sqref="E15"/>
    </sheetView>
  </sheetViews>
  <sheetFormatPr baseColWidth="8" defaultColWidth="9" defaultRowHeight="14.5"/>
  <sheetData>
    <row r="1">
      <c r="A1" s="0" t="inlineStr">
        <is>
          <t>Updated</t>
        </is>
      </c>
      <c r="B1" s="0" t="inlineStr">
        <is>
          <t>2026-08-31T00:43:22</t>
        </is>
      </c>
    </row>
    <row r="2">
      <c r="A2" s="0" t="inlineStr">
        <is>
          <t>Backup created</t>
        </is>
      </c>
      <c r="B2" s="0" t="inlineStr">
        <is>
          <t>C:\Users\xli9\OneDrive - McGill University\Desktop\manu11_Battery_ISIE\KiNESYS_BattCircularity-main\KiNESYS_BattCircularity-main-AK_July\SuppXLS\Scen_usingStepMining_n_mute_original_Min2.bak_allredesign_20260831_004322.xlsx</t>
        </is>
      </c>
    </row>
    <row r="3">
      <c r="A3" s="0" t="inlineStr">
        <is>
          <t>Output workbook</t>
        </is>
      </c>
      <c r="B3" s="0" t="inlineStr">
        <is>
          <t>C:\Users\xli9\OneDrive - McGill University\Desktop\manu11_Battery_ISIE\KiNESYS_BattCircularity-main\KiNESYS_BattCircularity-main-AK_July\SuppXLS\Scen_usingStepMining_n_mute_original_Min2.xlsx</t>
        </is>
      </c>
    </row>
    <row r="4">
      <c r="A4" s="0" t="inlineStr">
        <is>
          <t>Main design</t>
        </is>
      </c>
      <c r="B4" s="0" t="inlineStr">
        <is>
          <t>All MIN*RSV1/2/3 rows link to Codex_calc; Codex_calc links to auditable source sheets.</t>
        </is>
      </c>
    </row>
    <row r="5">
      <c r="A5" s="0" t="inlineStr">
        <is>
          <t>CUM horizon</t>
        </is>
      </c>
      <c r="B5" s="0" t="inlineStr">
        <is>
          <t>2020, 2100</t>
        </is>
      </c>
    </row>
    <row r="6">
      <c r="A6" s="0" t="inlineStr">
        <is>
          <t>Lithium</t>
        </is>
      </c>
      <c r="B6" s="0" t="inlineStr">
        <is>
          <t>Busch et al. 2025 deposit-level capacity, reserve, demonstrated resources, inferred resources, and extraction cost quantiles; RSV3 cost uses p90 rather than the single maximum project.</t>
        </is>
      </c>
    </row>
    <row r="7">
      <c r="A7" s="0" t="inlineStr">
        <is>
          <t>Nickel/cobalt</t>
        </is>
      </c>
      <c r="B7" s="0" t="inlineStr">
        <is>
          <t>USGS MCS 2026 reserves/production/resources for BNDACT/CUM; Peiseler et al. 2024 public source data for cost tiers.</t>
        </is>
      </c>
    </row>
    <row r="8">
      <c r="A8" s="0" t="inlineStr">
        <is>
          <t>Mn/Al/Cu/Graphite</t>
        </is>
      </c>
      <c r="B8" s="0" t="inlineStr">
        <is>
          <t>USGS MCS 2026 production/reserves/resources and public price proxies; tier multipliers are documented in Codex_sources.</t>
        </is>
      </c>
    </row>
    <row r="9">
      <c r="A9" s="0" t="inlineStr">
        <is>
          <t>Caveat</t>
        </is>
      </c>
      <c r="B9" s="0" t="inlineStr">
        <is>
          <t>Some non-lithium costs are price proxies, not mine-level OPEX, because public mine-level cost curves were not available.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selection activeCell="A1" sqref="A1"/>
    </sheetView>
  </sheetViews>
  <sheetFormatPr baseColWidth="8" defaultRowHeight="15"/>
  <cols>
    <col width="40" customWidth="1" style="1" min="1" max="1"/>
  </cols>
  <sheetData>
    <row r="1">
      <c r="A1" s="0" t="inlineStr">
        <is>
          <t>Region-specific RSV1 base extraction cost (MUSD/kt), derived from within-region deposit/production data.</t>
        </is>
      </c>
    </row>
    <row r="2">
      <c r="A2" s="0" t="inlineStr">
        <is>
          <t>RSV2/RSV3 = this base x the material global tier ratio from Codex_sources (N/M, O/M) - preserves the RSV1/2/3 cost-escalation ladder per material while making the base level region-specific.</t>
        </is>
      </c>
    </row>
    <row r="3">
      <c r="A3" s="0" t="inlineStr">
        <is>
          <t>ASSUMPTION rows flag global fallback used where no regional source was found, or where the region has zero reserves (BNDACT=0) so the cost value is non-binding.</t>
        </is>
      </c>
    </row>
    <row r="5">
      <c r="C5" s="0" t="inlineStr">
        <is>
          <t>Material</t>
        </is>
      </c>
      <c r="D5" s="0" t="inlineStr">
        <is>
          <t>RowType</t>
        </is>
      </c>
      <c r="F5" s="0" t="inlineStr">
        <is>
          <t>Africa_North</t>
        </is>
      </c>
      <c r="G5" s="0" t="inlineStr">
        <is>
          <t>Africa_Other</t>
        </is>
      </c>
      <c r="H5" s="0" t="inlineStr">
        <is>
          <t>Australia</t>
        </is>
      </c>
      <c r="I5" s="0" t="inlineStr">
        <is>
          <t>Austria</t>
        </is>
      </c>
      <c r="J5" s="0" t="inlineStr">
        <is>
          <t>Baltics</t>
        </is>
      </c>
      <c r="K5" s="0" t="inlineStr">
        <is>
          <t>BeNeLux</t>
        </is>
      </c>
      <c r="L5" s="0" t="inlineStr">
        <is>
          <t>Brazil</t>
        </is>
      </c>
      <c r="M5" s="0" t="inlineStr">
        <is>
          <t>China</t>
        </is>
      </c>
      <c r="N5" s="0" t="inlineStr">
        <is>
          <t>CroSloven</t>
        </is>
      </c>
      <c r="O5" s="0" t="inlineStr">
        <is>
          <t>CzechSlovak</t>
        </is>
      </c>
      <c r="P5" s="0" t="inlineStr">
        <is>
          <t>France</t>
        </is>
      </c>
      <c r="Q5" s="0" t="inlineStr">
        <is>
          <t>Germany</t>
        </is>
      </c>
      <c r="R5" s="0" t="inlineStr">
        <is>
          <t>GreeceCyp</t>
        </is>
      </c>
      <c r="S5" s="0" t="inlineStr">
        <is>
          <t>HunRomBul</t>
        </is>
      </c>
      <c r="T5" s="0" t="inlineStr">
        <is>
          <t>Iceland</t>
        </is>
      </c>
      <c r="U5" s="0" t="inlineStr">
        <is>
          <t>India</t>
        </is>
      </c>
      <c r="V5" s="0" t="inlineStr">
        <is>
          <t>Ireland</t>
        </is>
      </c>
      <c r="W5" s="0" t="inlineStr">
        <is>
          <t>ItalyMal</t>
        </is>
      </c>
      <c r="X5" s="0" t="inlineStr">
        <is>
          <t>Japan</t>
        </is>
      </c>
      <c r="Y5" s="0" t="inlineStr">
        <is>
          <t>LatAm</t>
        </is>
      </c>
      <c r="Z5" s="0" t="inlineStr">
        <is>
          <t>MidEast</t>
        </is>
      </c>
      <c r="AA5" s="0" t="inlineStr">
        <is>
          <t>NorthAm</t>
        </is>
      </c>
      <c r="AB5" s="0" t="inlineStr">
        <is>
          <t>Norway</t>
        </is>
      </c>
      <c r="AC5" s="0" t="inlineStr">
        <is>
          <t>Poland</t>
        </is>
      </c>
      <c r="AD5" s="0" t="inlineStr">
        <is>
          <t>ROW</t>
        </is>
      </c>
      <c r="AE5" s="0" t="inlineStr">
        <is>
          <t>Russia</t>
        </is>
      </c>
      <c r="AF5" s="0" t="inlineStr">
        <is>
          <t>SaudiArabia</t>
        </is>
      </c>
      <c r="AG5" s="0" t="inlineStr">
        <is>
          <t>SouthAfrica</t>
        </is>
      </c>
      <c r="AH5" s="0" t="inlineStr">
        <is>
          <t>SpainPor</t>
        </is>
      </c>
      <c r="AI5" s="0" t="inlineStr">
        <is>
          <t>SweFinDen</t>
        </is>
      </c>
      <c r="AJ5" s="0" t="inlineStr">
        <is>
          <t>Switzerland</t>
        </is>
      </c>
      <c r="AK5" s="0" t="inlineStr">
        <is>
          <t>Turkey</t>
        </is>
      </c>
      <c r="AL5" s="0" t="inlineStr">
        <is>
          <t>UK</t>
        </is>
      </c>
      <c r="AM5" s="0" t="inlineStr">
        <is>
          <t>Ukraine</t>
        </is>
      </c>
      <c r="AN5" s="0" t="inlineStr">
        <is>
          <t>WestBalkans</t>
        </is>
      </c>
    </row>
    <row r="7">
      <c r="A7" s="0" t="inlineStr">
        <is>
          <t>Lithium RSV1 base = capacity-weighted mean of Busch et al. 2025 deposit-level extraction costs (converted to MUSD/kt Li via stoichiometry) within each TIMES region.</t>
        </is>
      </c>
      <c r="C7" s="0" t="inlineStr">
        <is>
          <t>m_lithium</t>
        </is>
      </c>
      <c r="D7" s="0" t="inlineStr">
        <is>
          <t>RSV1_base_MUSDperkt</t>
        </is>
      </c>
      <c r="F7" s="0" t="n">
        <v>13.86</v>
      </c>
      <c r="G7" s="0" t="n">
        <v>13.6098</v>
      </c>
      <c r="H7" s="0" t="n">
        <v>14.8233</v>
      </c>
      <c r="I7" s="0" t="n">
        <v>13.86</v>
      </c>
      <c r="J7" s="0" t="n">
        <v>13.86</v>
      </c>
      <c r="K7" s="0" t="n">
        <v>13.86</v>
      </c>
      <c r="L7" s="0" t="n">
        <v>13.8482</v>
      </c>
      <c r="M7" s="0" t="n">
        <v>18.7005</v>
      </c>
      <c r="N7" s="0" t="n">
        <v>13.86</v>
      </c>
      <c r="O7" s="0" t="n">
        <v>20.1589</v>
      </c>
      <c r="P7" s="0" t="n">
        <v>13.86</v>
      </c>
      <c r="Q7" s="0" t="n">
        <v>23.4863</v>
      </c>
      <c r="R7" s="0" t="n">
        <v>13.86</v>
      </c>
      <c r="S7" s="0" t="n">
        <v>13.86</v>
      </c>
      <c r="T7" s="0" t="n">
        <v>13.86</v>
      </c>
      <c r="U7" s="0" t="n">
        <v>13.86</v>
      </c>
      <c r="V7" s="0" t="n">
        <v>13.86</v>
      </c>
      <c r="W7" s="0" t="n">
        <v>13.86</v>
      </c>
      <c r="X7" s="0" t="n">
        <v>13.86</v>
      </c>
      <c r="Y7" s="0" t="n">
        <v>20.7681</v>
      </c>
      <c r="Z7" s="0" t="n">
        <v>13.86</v>
      </c>
      <c r="AA7" s="0" t="n">
        <v>21.3822</v>
      </c>
      <c r="AB7" s="0" t="n">
        <v>13.86</v>
      </c>
      <c r="AC7" s="0" t="n">
        <v>13.86</v>
      </c>
      <c r="AD7" s="0" t="n">
        <v>13.86</v>
      </c>
      <c r="AE7" s="0" t="n">
        <v>13.86</v>
      </c>
      <c r="AF7" s="0" t="n">
        <v>13.86</v>
      </c>
      <c r="AG7" s="0" t="n">
        <v>13.86</v>
      </c>
      <c r="AH7" s="0" t="n">
        <v>20.9686</v>
      </c>
      <c r="AI7" s="0" t="n">
        <v>19.6424</v>
      </c>
      <c r="AJ7" s="0" t="n">
        <v>13.86</v>
      </c>
      <c r="AK7" s="0" t="n">
        <v>13.86</v>
      </c>
      <c r="AL7" s="0" t="n">
        <v>13.86</v>
      </c>
      <c r="AM7" s="0" t="n">
        <v>13.86</v>
      </c>
      <c r="AN7" s="0" t="n">
        <v>13.86</v>
      </c>
    </row>
    <row r="8">
      <c r="C8" s="0" t="inlineStr">
        <is>
          <t>m_lithium</t>
        </is>
      </c>
      <c r="D8" s="0" t="inlineStr">
        <is>
          <t>Flag</t>
        </is>
      </c>
      <c r="F8" s="48" t="inlineStr">
        <is>
          <t>ASSUMPTION: zero regional reserves (BNDACT=0), cost non-binding, global fallback</t>
        </is>
      </c>
      <c r="G8" s="0" t="inlineStr">
        <is>
          <t>Sourced: Busch et al. 2025 deposit-level extraction cost, capacity-weighted within region (see Codex_Li_Busch)</t>
        </is>
      </c>
      <c r="H8" s="0" t="inlineStr">
        <is>
          <t>Sourced: Busch et al. 2025 deposit-level extraction cost, capacity-weighted within region (see Codex_Li_Busch)</t>
        </is>
      </c>
      <c r="I8" s="48" t="inlineStr">
        <is>
          <t>ASSUMPTION: global fallback, no regional source found</t>
        </is>
      </c>
      <c r="J8" s="48" t="inlineStr">
        <is>
          <t>ASSUMPTION: zero regional reserves (BNDACT=0), cost non-binding, global fallback</t>
        </is>
      </c>
      <c r="K8" s="48" t="inlineStr">
        <is>
          <t>ASSUMPTION: zero regional reserves (BNDACT=0), cost non-binding, global fallback</t>
        </is>
      </c>
      <c r="L8" s="0" t="inlineStr">
        <is>
          <t>Sourced: Busch et al. 2025 deposit-level extraction cost, capacity-weighted within region (see Codex_Li_Busch)</t>
        </is>
      </c>
      <c r="M8" s="0" t="inlineStr">
        <is>
          <t>Sourced: Busch et al. 2025 deposit-level extraction cost, capacity-weighted within region (see Codex_Li_Busch)</t>
        </is>
      </c>
      <c r="N8" s="48" t="inlineStr">
        <is>
          <t>ASSUMPTION: zero regional reserves (BNDACT=0), cost non-binding, global fallback</t>
        </is>
      </c>
      <c r="O8" s="0" t="inlineStr">
        <is>
          <t>Sourced: Busch et al. 2025 deposit-level extraction cost, capacity-weighted within region (see Codex_Li_Busch)</t>
        </is>
      </c>
      <c r="P8" s="48" t="inlineStr">
        <is>
          <t>ASSUMPTION: zero regional reserves (BNDACT=0), cost non-binding, global fallback</t>
        </is>
      </c>
      <c r="Q8" s="0" t="inlineStr">
        <is>
          <t>Sourced: Busch et al. 2025 deposit-level extraction cost, capacity-weighted within region (see Codex_Li_Busch)</t>
        </is>
      </c>
      <c r="R8" s="48" t="inlineStr">
        <is>
          <t>ASSUMPTION: zero regional reserves (BNDACT=0), cost non-binding, global fallback</t>
        </is>
      </c>
      <c r="S8" s="48" t="inlineStr">
        <is>
          <t>ASSUMPTION: zero regional reserves (BNDACT=0), cost non-binding, global fallback</t>
        </is>
      </c>
      <c r="T8" s="48" t="inlineStr">
        <is>
          <t>ASSUMPTION: zero regional reserves (BNDACT=0), cost non-binding, global fallback</t>
        </is>
      </c>
      <c r="U8" s="48" t="inlineStr">
        <is>
          <t>ASSUMPTION: zero regional reserves (BNDACT=0), cost non-binding, global fallback</t>
        </is>
      </c>
      <c r="V8" s="48" t="inlineStr">
        <is>
          <t>ASSUMPTION: zero regional reserves (BNDACT=0), cost non-binding, global fallback</t>
        </is>
      </c>
      <c r="W8" s="48" t="inlineStr">
        <is>
          <t>ASSUMPTION: zero regional reserves (BNDACT=0), cost non-binding, global fallback</t>
        </is>
      </c>
      <c r="X8" s="48" t="inlineStr">
        <is>
          <t>ASSUMPTION: zero regional reserves (BNDACT=0), cost non-binding, global fallback</t>
        </is>
      </c>
      <c r="Y8" s="0" t="inlineStr">
        <is>
          <t>Sourced: Busch et al. 2025 deposit-level extraction cost, capacity-weighted within region (see Codex_Li_Busch)</t>
        </is>
      </c>
      <c r="Z8" s="48" t="inlineStr">
        <is>
          <t>ASSUMPTION: zero regional reserves (BNDACT=0), cost non-binding, global fallback</t>
        </is>
      </c>
      <c r="AA8" s="0" t="inlineStr">
        <is>
          <t>Sourced: Busch et al. 2025 deposit-level extraction cost, capacity-weighted within region (see Codex_Li_Busch)</t>
        </is>
      </c>
      <c r="AB8" s="48" t="inlineStr">
        <is>
          <t>ASSUMPTION: zero regional reserves (BNDACT=0), cost non-binding, global fallback</t>
        </is>
      </c>
      <c r="AC8" s="48" t="inlineStr">
        <is>
          <t>ASSUMPTION: zero regional reserves (BNDACT=0), cost non-binding, global fallback</t>
        </is>
      </c>
      <c r="AD8" s="48" t="inlineStr">
        <is>
          <t>ASSUMPTION: zero regional reserves (BNDACT=0), cost non-binding, global fallback</t>
        </is>
      </c>
      <c r="AE8" s="48" t="inlineStr">
        <is>
          <t>ASSUMPTION: zero regional reserves (BNDACT=0), cost non-binding, global fallback</t>
        </is>
      </c>
      <c r="AF8" s="48" t="inlineStr">
        <is>
          <t>ASSUMPTION: zero regional reserves (BNDACT=0), cost non-binding, global fallback</t>
        </is>
      </c>
      <c r="AG8" s="48" t="inlineStr">
        <is>
          <t>ASSUMPTION: zero regional reserves (BNDACT=0), cost non-binding, global fallback</t>
        </is>
      </c>
      <c r="AH8" s="0" t="inlineStr">
        <is>
          <t>Sourced: Busch et al. 2025 deposit-level extraction cost, capacity-weighted within region (see Codex_Li_Busch)</t>
        </is>
      </c>
      <c r="AI8" s="0" t="inlineStr">
        <is>
          <t>Sourced: Busch et al. 2025 deposit-level extraction cost, capacity-weighted within region (see Codex_Li_Busch)</t>
        </is>
      </c>
      <c r="AJ8" s="48" t="inlineStr">
        <is>
          <t>ASSUMPTION: zero regional reserves (BNDACT=0), cost non-binding, global fallback</t>
        </is>
      </c>
      <c r="AK8" s="48" t="inlineStr">
        <is>
          <t>ASSUMPTION: zero regional reserves (BNDACT=0), cost non-binding, global fallback</t>
        </is>
      </c>
      <c r="AL8" s="48" t="inlineStr">
        <is>
          <t>ASSUMPTION: global fallback, no regional source found</t>
        </is>
      </c>
      <c r="AM8" s="48" t="inlineStr">
        <is>
          <t>ASSUMPTION: zero regional reserves (BNDACT=0), cost non-binding, global fallback</t>
        </is>
      </c>
      <c r="AN8" s="48" t="inlineStr">
        <is>
          <t>ASSUMPTION: global fallback, no regional source found</t>
        </is>
      </c>
    </row>
    <row r="10">
      <c r="A10" s="0" t="inlineStr">
        <is>
          <t>Nickel RSV1 base: Indonesia (HPAL/NPI/matte simple avg of 3 routes) drives ROW; all other regions use global fallback (no genuine per-country cash cost found for Australia/Brazil/China/NorthAm/Russia sulfide-nickel operations).</t>
        </is>
      </c>
      <c r="C10" s="0" t="inlineStr">
        <is>
          <t>m_nickel</t>
        </is>
      </c>
      <c r="D10" s="0" t="inlineStr">
        <is>
          <t>RSV1_base_MUSDperkt</t>
        </is>
      </c>
      <c r="F10" s="0" t="n">
        <v>14.288</v>
      </c>
      <c r="G10" s="0" t="n">
        <v>14.288</v>
      </c>
      <c r="H10" s="0" t="n">
        <v>14.288</v>
      </c>
      <c r="I10" s="0" t="n">
        <v>14.288</v>
      </c>
      <c r="J10" s="0" t="n">
        <v>14.288</v>
      </c>
      <c r="K10" s="0" t="n">
        <v>14.288</v>
      </c>
      <c r="L10" s="0" t="n">
        <v>14.288</v>
      </c>
      <c r="M10" s="0" t="n">
        <v>14.288</v>
      </c>
      <c r="N10" s="0" t="n">
        <v>14.288</v>
      </c>
      <c r="O10" s="0" t="n">
        <v>14.288</v>
      </c>
      <c r="P10" s="0" t="n">
        <v>14.288</v>
      </c>
      <c r="Q10" s="0" t="n">
        <v>14.288</v>
      </c>
      <c r="R10" s="0" t="n">
        <v>14.288</v>
      </c>
      <c r="S10" s="0" t="n">
        <v>14.288</v>
      </c>
      <c r="T10" s="0" t="n">
        <v>14.288</v>
      </c>
      <c r="U10" s="0" t="n">
        <v>14.288</v>
      </c>
      <c r="V10" s="0" t="n">
        <v>14.288</v>
      </c>
      <c r="W10" s="0" t="n">
        <v>14.288</v>
      </c>
      <c r="X10" s="0" t="n">
        <v>14.288</v>
      </c>
      <c r="Y10" s="0" t="n">
        <v>14.288</v>
      </c>
      <c r="Z10" s="0" t="n">
        <v>14.288</v>
      </c>
      <c r="AA10" s="0" t="n">
        <v>14.288</v>
      </c>
      <c r="AB10" s="0" t="n">
        <v>14.288</v>
      </c>
      <c r="AC10" s="0" t="n">
        <v>14.288</v>
      </c>
      <c r="AD10" s="0" t="n">
        <v>13.2</v>
      </c>
      <c r="AE10" s="0" t="n">
        <v>14.288</v>
      </c>
      <c r="AF10" s="0" t="n">
        <v>14.288</v>
      </c>
      <c r="AG10" s="0" t="n">
        <v>14.288</v>
      </c>
      <c r="AH10" s="0" t="n">
        <v>14.288</v>
      </c>
      <c r="AI10" s="0" t="n">
        <v>14.288</v>
      </c>
      <c r="AJ10" s="0" t="n">
        <v>14.288</v>
      </c>
      <c r="AK10" s="0" t="n">
        <v>14.288</v>
      </c>
      <c r="AL10" s="0" t="n">
        <v>14.288</v>
      </c>
      <c r="AM10" s="0" t="n">
        <v>14.288</v>
      </c>
      <c r="AN10" s="0" t="n">
        <v>14.288</v>
      </c>
    </row>
    <row r="11">
      <c r="C11" s="0" t="inlineStr">
        <is>
          <t>m_nickel</t>
        </is>
      </c>
      <c r="D11" s="0" t="inlineStr">
        <is>
          <t>Flag</t>
        </is>
      </c>
      <c r="F11" s="48" t="inlineStr">
        <is>
          <t>ASSUMPTION: zero regional reserves (BNDACT=0), cost non-binding, global fallback</t>
        </is>
      </c>
      <c r="G11" s="48" t="inlineStr">
        <is>
          <t>ASSUMPTION: zero regional reserves (BNDACT=0), cost non-binding, global fallback</t>
        </is>
      </c>
      <c r="H11" s="48" t="inlineStr">
        <is>
          <t>ASSUMPTION: global fallback, no regional source found</t>
        </is>
      </c>
      <c r="I11" s="48" t="inlineStr">
        <is>
          <t>ASSUMPTION: zero regional reserves (BNDACT=0), cost non-binding, global fallback</t>
        </is>
      </c>
      <c r="J11" s="48" t="inlineStr">
        <is>
          <t>ASSUMPTION: zero regional reserves (BNDACT=0), cost non-binding, global fallback</t>
        </is>
      </c>
      <c r="K11" s="48" t="inlineStr">
        <is>
          <t>ASSUMPTION: zero regional reserves (BNDACT=0), cost non-binding, global fallback</t>
        </is>
      </c>
      <c r="L11" s="48" t="inlineStr">
        <is>
          <t>ASSUMPTION: global fallback, no regional source found</t>
        </is>
      </c>
      <c r="M11" s="48" t="inlineStr">
        <is>
          <t>ASSUMPTION: global fallback, no regional source found</t>
        </is>
      </c>
      <c r="N11" s="48" t="inlineStr">
        <is>
          <t>ASSUMPTION: zero regional reserves (BNDACT=0), cost non-binding, global fallback</t>
        </is>
      </c>
      <c r="O11" s="48" t="inlineStr">
        <is>
          <t>ASSUMPTION: zero regional reserves (BNDACT=0), cost non-binding, global fallback</t>
        </is>
      </c>
      <c r="P11" s="48" t="inlineStr">
        <is>
          <t>ASSUMPTION: zero regional reserves (BNDACT=0), cost non-binding, global fallback</t>
        </is>
      </c>
      <c r="Q11" s="48" t="inlineStr">
        <is>
          <t>ASSUMPTION: zero regional reserves (BNDACT=0), cost non-binding, global fallback</t>
        </is>
      </c>
      <c r="R11" s="48" t="inlineStr">
        <is>
          <t>ASSUMPTION: zero regional reserves (BNDACT=0), cost non-binding, global fallback</t>
        </is>
      </c>
      <c r="S11" s="48" t="inlineStr">
        <is>
          <t>ASSUMPTION: zero regional reserves (BNDACT=0), cost non-binding, global fallback</t>
        </is>
      </c>
      <c r="T11" s="48" t="inlineStr">
        <is>
          <t>ASSUMPTION: zero regional reserves (BNDACT=0), cost non-binding, global fallback</t>
        </is>
      </c>
      <c r="U11" s="48" t="inlineStr">
        <is>
          <t>ASSUMPTION: zero regional reserves (BNDACT=0), cost non-binding, global fallback</t>
        </is>
      </c>
      <c r="V11" s="48" t="inlineStr">
        <is>
          <t>ASSUMPTION: zero regional reserves (BNDACT=0), cost non-binding, global fallback</t>
        </is>
      </c>
      <c r="W11" s="48" t="inlineStr">
        <is>
          <t>ASSUMPTION: zero regional reserves (BNDACT=0), cost non-binding, global fallback</t>
        </is>
      </c>
      <c r="X11" s="48" t="inlineStr">
        <is>
          <t>ASSUMPTION: zero regional reserves (BNDACT=0), cost non-binding, global fallback</t>
        </is>
      </c>
      <c r="Y11" s="48" t="inlineStr">
        <is>
          <t>ASSUMPTION: zero regional reserves (BNDACT=0), cost non-binding, global fallback</t>
        </is>
      </c>
      <c r="Z11" s="48" t="inlineStr">
        <is>
          <t>ASSUMPTION: zero regional reserves (BNDACT=0), cost non-binding, global fallback</t>
        </is>
      </c>
      <c r="AA11" s="48" t="inlineStr">
        <is>
          <t>ASSUMPTION: global fallback, no regional source found</t>
        </is>
      </c>
      <c r="AB11" s="48" t="inlineStr">
        <is>
          <t>ASSUMPTION: zero regional reserves (BNDACT=0), cost non-binding, global fallback</t>
        </is>
      </c>
      <c r="AC11" s="48" t="inlineStr">
        <is>
          <t>ASSUMPTION: zero regional reserves (BNDACT=0), cost non-binding, global fallback</t>
        </is>
      </c>
      <c r="AD11" s="0" t="inlineStr">
        <is>
          <t>Sourced: Indonesia HPAL/NPI/matte C1 cash cost avg (Benchmark Mineral Intelligence, via MMTA Oct 2025) - Indonesia dominates ROW Ni production (USGS MCS 2026)</t>
        </is>
      </c>
      <c r="AE11" s="48" t="inlineStr">
        <is>
          <t>ASSUMPTION: global fallback, no regional source found</t>
        </is>
      </c>
      <c r="AF11" s="48" t="inlineStr">
        <is>
          <t>ASSUMPTION: zero regional reserves (BNDACT=0), cost non-binding, global fallback</t>
        </is>
      </c>
      <c r="AG11" s="48" t="inlineStr">
        <is>
          <t>ASSUMPTION: zero regional reserves (BNDACT=0), cost non-binding, global fallback</t>
        </is>
      </c>
      <c r="AH11" s="48" t="inlineStr">
        <is>
          <t>ASSUMPTION: zero regional reserves (BNDACT=0), cost non-binding, global fallback</t>
        </is>
      </c>
      <c r="AI11" s="48" t="inlineStr">
        <is>
          <t>ASSUMPTION: zero regional reserves (BNDACT=0), cost non-binding, global fallback</t>
        </is>
      </c>
      <c r="AJ11" s="48" t="inlineStr">
        <is>
          <t>ASSUMPTION: zero regional reserves (BNDACT=0), cost non-binding, global fallback</t>
        </is>
      </c>
      <c r="AK11" s="48" t="inlineStr">
        <is>
          <t>ASSUMPTION: zero regional reserves (BNDACT=0), cost non-binding, global fallback</t>
        </is>
      </c>
      <c r="AL11" s="48" t="inlineStr">
        <is>
          <t>ASSUMPTION: zero regional reserves (BNDACT=0), cost non-binding, global fallback</t>
        </is>
      </c>
      <c r="AM11" s="48" t="inlineStr">
        <is>
          <t>ASSUMPTION: zero regional reserves (BNDACT=0), cost non-binding, global fallback</t>
        </is>
      </c>
      <c r="AN11" s="48" t="inlineStr">
        <is>
          <t>ASSUMPTION: zero regional reserves (BNDACT=0), cost non-binding, global fallback</t>
        </is>
      </c>
    </row>
    <row r="13">
      <c r="A13" s="0" t="inlineStr">
        <is>
          <t>Manganese RSV1 base: South Africa/Australia/Gabon(Africa_Other) use real $/dmtu operating costs converted to $/t contained Mn (x100). Brazil/China/India/ROW use global fallback.</t>
        </is>
      </c>
      <c r="C13" s="0" t="inlineStr">
        <is>
          <t>m_manganese</t>
        </is>
      </c>
      <c r="D13" s="0" t="inlineStr">
        <is>
          <t>RSV1_base_MUSDperkt</t>
        </is>
      </c>
      <c r="F13" s="0" t="n">
        <v>0.45</v>
      </c>
      <c r="G13" s="0" t="n">
        <v>0.24</v>
      </c>
      <c r="H13" s="0" t="n">
        <v>0.232</v>
      </c>
      <c r="I13" s="0" t="n">
        <v>0.45</v>
      </c>
      <c r="J13" s="0" t="n">
        <v>0.45</v>
      </c>
      <c r="K13" s="0" t="n">
        <v>0.45</v>
      </c>
      <c r="L13" s="0" t="n">
        <v>0.45</v>
      </c>
      <c r="M13" s="0" t="n">
        <v>0.45</v>
      </c>
      <c r="N13" s="0" t="n">
        <v>0.45</v>
      </c>
      <c r="O13" s="0" t="n">
        <v>0.45</v>
      </c>
      <c r="P13" s="0" t="n">
        <v>0.45</v>
      </c>
      <c r="Q13" s="0" t="n">
        <v>0.45</v>
      </c>
      <c r="R13" s="0" t="n">
        <v>0.45</v>
      </c>
      <c r="S13" s="0" t="n">
        <v>0.45</v>
      </c>
      <c r="T13" s="0" t="n">
        <v>0.45</v>
      </c>
      <c r="U13" s="0" t="n">
        <v>0.45</v>
      </c>
      <c r="V13" s="0" t="n">
        <v>0.45</v>
      </c>
      <c r="W13" s="0" t="n">
        <v>0.45</v>
      </c>
      <c r="X13" s="0" t="n">
        <v>0.45</v>
      </c>
      <c r="Y13" s="0" t="n">
        <v>0.45</v>
      </c>
      <c r="Z13" s="0" t="n">
        <v>0.45</v>
      </c>
      <c r="AA13" s="0" t="n">
        <v>0.45</v>
      </c>
      <c r="AB13" s="0" t="n">
        <v>0.45</v>
      </c>
      <c r="AC13" s="0" t="n">
        <v>0.45</v>
      </c>
      <c r="AD13" s="0" t="n">
        <v>0.45</v>
      </c>
      <c r="AE13" s="0" t="n">
        <v>0.45</v>
      </c>
      <c r="AF13" s="0" t="n">
        <v>0.45</v>
      </c>
      <c r="AG13" s="0" t="n">
        <v>0.3025</v>
      </c>
      <c r="AH13" s="0" t="n">
        <v>0.45</v>
      </c>
      <c r="AI13" s="0" t="n">
        <v>0.45</v>
      </c>
      <c r="AJ13" s="0" t="n">
        <v>0.45</v>
      </c>
      <c r="AK13" s="0" t="n">
        <v>0.45</v>
      </c>
      <c r="AL13" s="0" t="n">
        <v>0.45</v>
      </c>
      <c r="AM13" s="0" t="n">
        <v>0.45</v>
      </c>
      <c r="AN13" s="0" t="n">
        <v>0.45</v>
      </c>
    </row>
    <row r="14">
      <c r="C14" s="0" t="inlineStr">
        <is>
          <t>m_manganese</t>
        </is>
      </c>
      <c r="D14" s="0" t="inlineStr">
        <is>
          <t>Flag</t>
        </is>
      </c>
      <c r="F14" s="48" t="inlineStr">
        <is>
          <t>ASSUMPTION: zero regional reserves (BNDACT=0), cost non-binding, global fallback</t>
        </is>
      </c>
      <c r="G14" s="0" t="inlineStr">
        <is>
          <t>Sourced: Eramet/Comilog (Moanda, Gabon) FOB cash cost $2.4/dmtu FY2025 (Eramet FY2025 results); Ghana/Cote d'Ivoire production in this region uses Gabon proxy (no separate source found)</t>
        </is>
      </c>
      <c r="H14" s="0" t="inlineStr">
        <is>
          <t>Sourced: South32 GEMCO (Groote Eylandt) operating unit cost $2.32/dmtu FY2024 (SMM)</t>
        </is>
      </c>
      <c r="I14" s="48" t="inlineStr">
        <is>
          <t>ASSUMPTION: zero regional reserves (BNDACT=0), cost non-binding, global fallback</t>
        </is>
      </c>
      <c r="J14" s="48" t="inlineStr">
        <is>
          <t>ASSUMPTION: zero regional reserves (BNDACT=0), cost non-binding, global fallback</t>
        </is>
      </c>
      <c r="K14" s="48" t="inlineStr">
        <is>
          <t>ASSUMPTION: zero regional reserves (BNDACT=0), cost non-binding, global fallback</t>
        </is>
      </c>
      <c r="L14" s="48" t="inlineStr">
        <is>
          <t>ASSUMPTION: global fallback, no regional source found</t>
        </is>
      </c>
      <c r="M14" s="48" t="inlineStr">
        <is>
          <t>ASSUMPTION: global fallback, no regional source found</t>
        </is>
      </c>
      <c r="N14" s="48" t="inlineStr">
        <is>
          <t>ASSUMPTION: zero regional reserves (BNDACT=0), cost non-binding, global fallback</t>
        </is>
      </c>
      <c r="O14" s="48" t="inlineStr">
        <is>
          <t>ASSUMPTION: zero regional reserves (BNDACT=0), cost non-binding, global fallback</t>
        </is>
      </c>
      <c r="P14" s="48" t="inlineStr">
        <is>
          <t>ASSUMPTION: zero regional reserves (BNDACT=0), cost non-binding, global fallback</t>
        </is>
      </c>
      <c r="Q14" s="48" t="inlineStr">
        <is>
          <t>ASSUMPTION: zero regional reserves (BNDACT=0), cost non-binding, global fallback</t>
        </is>
      </c>
      <c r="R14" s="48" t="inlineStr">
        <is>
          <t>ASSUMPTION: zero regional reserves (BNDACT=0), cost non-binding, global fallback</t>
        </is>
      </c>
      <c r="S14" s="48" t="inlineStr">
        <is>
          <t>ASSUMPTION: zero regional reserves (BNDACT=0), cost non-binding, global fallback</t>
        </is>
      </c>
      <c r="T14" s="48" t="inlineStr">
        <is>
          <t>ASSUMPTION: zero regional reserves (BNDACT=0), cost non-binding, global fallback</t>
        </is>
      </c>
      <c r="U14" s="48" t="inlineStr">
        <is>
          <t>ASSUMPTION: global fallback, no regional source found</t>
        </is>
      </c>
      <c r="V14" s="48" t="inlineStr">
        <is>
          <t>ASSUMPTION: zero regional reserves (BNDACT=0), cost non-binding, global fallback</t>
        </is>
      </c>
      <c r="W14" s="48" t="inlineStr">
        <is>
          <t>ASSUMPTION: zero regional reserves (BNDACT=0), cost non-binding, global fallback</t>
        </is>
      </c>
      <c r="X14" s="48" t="inlineStr">
        <is>
          <t>ASSUMPTION: zero regional reserves (BNDACT=0), cost non-binding, global fallback</t>
        </is>
      </c>
      <c r="Y14" s="48" t="inlineStr">
        <is>
          <t>ASSUMPTION: zero regional reserves (BNDACT=0), cost non-binding, global fallback</t>
        </is>
      </c>
      <c r="Z14" s="48" t="inlineStr">
        <is>
          <t>ASSUMPTION: zero regional reserves (BNDACT=0), cost non-binding, global fallback</t>
        </is>
      </c>
      <c r="AA14" s="48" t="inlineStr">
        <is>
          <t>ASSUMPTION: zero regional reserves (BNDACT=0), cost non-binding, global fallback</t>
        </is>
      </c>
      <c r="AB14" s="48" t="inlineStr">
        <is>
          <t>ASSUMPTION: zero regional reserves (BNDACT=0), cost non-binding, global fallback</t>
        </is>
      </c>
      <c r="AC14" s="48" t="inlineStr">
        <is>
          <t>ASSUMPTION: zero regional reserves (BNDACT=0), cost non-binding, global fallback</t>
        </is>
      </c>
      <c r="AD14" s="48" t="inlineStr">
        <is>
          <t>ASSUMPTION: global fallback, no regional source found</t>
        </is>
      </c>
      <c r="AE14" s="48" t="inlineStr">
        <is>
          <t>ASSUMPTION: zero regional reserves (BNDACT=0), cost non-binding, global fallback</t>
        </is>
      </c>
      <c r="AF14" s="48" t="inlineStr">
        <is>
          <t>ASSUMPTION: zero regional reserves (BNDACT=0), cost non-binding, global fallback</t>
        </is>
      </c>
      <c r="AG14" s="0" t="inlineStr">
        <is>
          <t>Sourced: South32 Kalahari (Mamatwan/Wessels) operating unit cost $3.00-3.05/dmtu FY2025 (South32 FY25 Operational Review via Ferro-Alloys.com)</t>
        </is>
      </c>
      <c r="AH14" s="48" t="inlineStr">
        <is>
          <t>ASSUMPTION: zero regional reserves (BNDACT=0), cost non-binding, global fallback</t>
        </is>
      </c>
      <c r="AI14" s="48" t="inlineStr">
        <is>
          <t>ASSUMPTION: zero regional reserves (BNDACT=0), cost non-binding, global fallback</t>
        </is>
      </c>
      <c r="AJ14" s="48" t="inlineStr">
        <is>
          <t>ASSUMPTION: zero regional reserves (BNDACT=0), cost non-binding, global fallback</t>
        </is>
      </c>
      <c r="AK14" s="48" t="inlineStr">
        <is>
          <t>ASSUMPTION: zero regional reserves (BNDACT=0), cost non-binding, global fallback</t>
        </is>
      </c>
      <c r="AL14" s="48" t="inlineStr">
        <is>
          <t>ASSUMPTION: zero regional reserves (BNDACT=0), cost non-binding, global fallback</t>
        </is>
      </c>
      <c r="AM14" s="48" t="inlineStr">
        <is>
          <t>ASSUMPTION: zero regional reserves (BNDACT=0), cost non-binding, global fallback</t>
        </is>
      </c>
      <c r="AN14" s="48" t="inlineStr">
        <is>
          <t>ASSUMPTION: zero regional reserves (BNDACT=0), cost non-binding, global fallback</t>
        </is>
      </c>
    </row>
    <row r="16">
      <c r="A16" s="0" t="inlineStr">
        <is>
          <t>Aluminum RSV1 base: China and India use real all-in smelting cash cost. Other regions (Iceland/Norway/Canada/Gulf/Russia/Australia) had only electricity-price or cost-curve-percentile data, not $/t all-in cost - kept on global fallback rather than derive a number (no fabrication).</t>
        </is>
      </c>
      <c r="C16" s="0" t="inlineStr">
        <is>
          <t>m_aluminum</t>
        </is>
      </c>
      <c r="D16" s="0" t="inlineStr">
        <is>
          <t>RSV1_base_MUSDperkt</t>
        </is>
      </c>
      <c r="F16" s="0" t="n">
        <v>3.968316</v>
      </c>
      <c r="G16" s="0" t="n">
        <v>3.968316</v>
      </c>
      <c r="H16" s="0" t="n">
        <v>3.968316</v>
      </c>
      <c r="I16" s="0" t="n">
        <v>3.968316</v>
      </c>
      <c r="J16" s="0" t="n">
        <v>3.968316</v>
      </c>
      <c r="K16" s="0" t="n">
        <v>3.968316</v>
      </c>
      <c r="L16" s="0" t="n">
        <v>3.968316</v>
      </c>
      <c r="M16" s="0" t="n">
        <v>2.565</v>
      </c>
      <c r="N16" s="0" t="n">
        <v>3.968316</v>
      </c>
      <c r="O16" s="0" t="n">
        <v>3.968316</v>
      </c>
      <c r="P16" s="0" t="n">
        <v>3.968316</v>
      </c>
      <c r="Q16" s="0" t="n">
        <v>3.968316</v>
      </c>
      <c r="R16" s="0" t="n">
        <v>3.968316</v>
      </c>
      <c r="S16" s="0" t="n">
        <v>3.968316</v>
      </c>
      <c r="T16" s="0" t="n">
        <v>3.968316</v>
      </c>
      <c r="U16" s="0" t="n">
        <v>1.8143</v>
      </c>
      <c r="V16" s="0" t="n">
        <v>3.968316</v>
      </c>
      <c r="W16" s="0" t="n">
        <v>3.968316</v>
      </c>
      <c r="X16" s="0" t="n">
        <v>3.968316</v>
      </c>
      <c r="Y16" s="0" t="n">
        <v>3.968316</v>
      </c>
      <c r="Z16" s="0" t="n">
        <v>3.968316</v>
      </c>
      <c r="AA16" s="0" t="n">
        <v>3.968316</v>
      </c>
      <c r="AB16" s="0" t="n">
        <v>3.968316</v>
      </c>
      <c r="AC16" s="0" t="n">
        <v>3.968316</v>
      </c>
      <c r="AD16" s="0" t="n">
        <v>3.968316</v>
      </c>
      <c r="AE16" s="0" t="n">
        <v>3.968316</v>
      </c>
      <c r="AF16" s="0" t="n">
        <v>3.968316</v>
      </c>
      <c r="AG16" s="0" t="n">
        <v>3.968316</v>
      </c>
      <c r="AH16" s="0" t="n">
        <v>3.968316</v>
      </c>
      <c r="AI16" s="0" t="n">
        <v>3.968316</v>
      </c>
      <c r="AJ16" s="0" t="n">
        <v>3.968316</v>
      </c>
      <c r="AK16" s="0" t="n">
        <v>3.968316</v>
      </c>
      <c r="AL16" s="0" t="n">
        <v>3.968316</v>
      </c>
      <c r="AM16" s="0" t="n">
        <v>3.968316</v>
      </c>
      <c r="AN16" s="0" t="n">
        <v>3.968316</v>
      </c>
    </row>
    <row r="17">
      <c r="C17" s="0" t="inlineStr">
        <is>
          <t>m_aluminum</t>
        </is>
      </c>
      <c r="D17" s="0" t="inlineStr">
        <is>
          <t>Flag</t>
        </is>
      </c>
      <c r="F17" s="48" t="inlineStr">
        <is>
          <t>ASSUMPTION: zero regional reserves (BNDACT=0), cost non-binding, global fallback</t>
        </is>
      </c>
      <c r="G17" s="48" t="inlineStr">
        <is>
          <t>ASSUMPTION: zero regional reserves (BNDACT=0), cost non-binding, global fallback</t>
        </is>
      </c>
      <c r="H17" s="48" t="inlineStr">
        <is>
          <t>ASSUMPTION: global fallback, no regional source found</t>
        </is>
      </c>
      <c r="I17" s="48" t="inlineStr">
        <is>
          <t>ASSUMPTION: zero regional reserves (BNDACT=0), cost non-binding, global fallback</t>
        </is>
      </c>
      <c r="J17" s="48" t="inlineStr">
        <is>
          <t>ASSUMPTION: zero regional reserves (BNDACT=0), cost non-binding, global fallback</t>
        </is>
      </c>
      <c r="K17" s="48" t="inlineStr">
        <is>
          <t>ASSUMPTION: zero regional reserves (BNDACT=0), cost non-binding, global fallback</t>
        </is>
      </c>
      <c r="L17" s="48" t="inlineStr">
        <is>
          <t>ASSUMPTION: global fallback, no regional source found</t>
        </is>
      </c>
      <c r="M17" s="0" t="inlineStr">
        <is>
          <t>Sourced: All-in primary aluminum production cost ~$2,565/t, Sep 2024 (S&amp;P Global Commodity Insights, coal-heavy grid power)</t>
        </is>
      </c>
      <c r="N17" s="48" t="inlineStr">
        <is>
          <t>ASSUMPTION: zero regional reserves (BNDACT=0), cost non-binding, global fallback</t>
        </is>
      </c>
      <c r="O17" s="48" t="inlineStr">
        <is>
          <t>ASSUMPTION: zero regional reserves (BNDACT=0), cost non-binding, global fallback</t>
        </is>
      </c>
      <c r="P17" s="48" t="inlineStr">
        <is>
          <t>ASSUMPTION: zero regional reserves (BNDACT=0), cost non-binding, global fallback</t>
        </is>
      </c>
      <c r="Q17" s="48" t="inlineStr">
        <is>
          <t>ASSUMPTION: zero regional reserves (BNDACT=0), cost non-binding, global fallback</t>
        </is>
      </c>
      <c r="R17" s="48" t="inlineStr">
        <is>
          <t>ASSUMPTION: zero regional reserves (BNDACT=0), cost non-binding, global fallback</t>
        </is>
      </c>
      <c r="S17" s="48" t="inlineStr">
        <is>
          <t>ASSUMPTION: zero regional reserves (BNDACT=0), cost non-binding, global fallback</t>
        </is>
      </c>
      <c r="T17" s="48" t="inlineStr">
        <is>
          <t>ASSUMPTION: global fallback, no regional source found</t>
        </is>
      </c>
      <c r="U17" s="0" t="inlineStr">
        <is>
          <t>Sourced: Vedanta (Odisha, captive coal power) aluminium-making/hot-metal cash cost, avg of Q2 FY2020 $1,852/t, Q1 FY2026 $1,765/t, Q2 FY2026 $1,826/t (Business Standard; AlCircle)</t>
        </is>
      </c>
      <c r="V17" s="48" t="inlineStr">
        <is>
          <t>ASSUMPTION: zero regional reserves (BNDACT=0), cost non-binding, global fallback</t>
        </is>
      </c>
      <c r="W17" s="48" t="inlineStr">
        <is>
          <t>ASSUMPTION: zero regional reserves (BNDACT=0), cost non-binding, global fallback</t>
        </is>
      </c>
      <c r="X17" s="48" t="inlineStr">
        <is>
          <t>ASSUMPTION: zero regional reserves (BNDACT=0), cost non-binding, global fallback</t>
        </is>
      </c>
      <c r="Y17" s="48" t="inlineStr">
        <is>
          <t>ASSUMPTION: zero regional reserves (BNDACT=0), cost non-binding, global fallback</t>
        </is>
      </c>
      <c r="Z17" s="48" t="inlineStr">
        <is>
          <t>ASSUMPTION: global fallback, no regional source found</t>
        </is>
      </c>
      <c r="AA17" s="48" t="inlineStr">
        <is>
          <t>ASSUMPTION: global fallback, no regional source found</t>
        </is>
      </c>
      <c r="AB17" s="48" t="inlineStr">
        <is>
          <t>ASSUMPTION: global fallback, no regional source found</t>
        </is>
      </c>
      <c r="AC17" s="48" t="inlineStr">
        <is>
          <t>ASSUMPTION: zero regional reserves (BNDACT=0), cost non-binding, global fallback</t>
        </is>
      </c>
      <c r="AD17" s="48" t="inlineStr">
        <is>
          <t>ASSUMPTION: global fallback, no regional source found</t>
        </is>
      </c>
      <c r="AE17" s="48" t="inlineStr">
        <is>
          <t>ASSUMPTION: global fallback, no regional source found</t>
        </is>
      </c>
      <c r="AF17" s="48" t="inlineStr">
        <is>
          <t>ASSUMPTION: zero regional reserves (BNDACT=0), cost non-binding, global fallback</t>
        </is>
      </c>
      <c r="AG17" s="48" t="inlineStr">
        <is>
          <t>ASSUMPTION: zero regional reserves (BNDACT=0), cost non-binding, global fallback</t>
        </is>
      </c>
      <c r="AH17" s="48" t="inlineStr">
        <is>
          <t>ASSUMPTION: zero regional reserves (BNDACT=0), cost non-binding, global fallback</t>
        </is>
      </c>
      <c r="AI17" s="48" t="inlineStr">
        <is>
          <t>ASSUMPTION: zero regional reserves (BNDACT=0), cost non-binding, global fallback</t>
        </is>
      </c>
      <c r="AJ17" s="48" t="inlineStr">
        <is>
          <t>ASSUMPTION: zero regional reserves (BNDACT=0), cost non-binding, global fallback</t>
        </is>
      </c>
      <c r="AK17" s="48" t="inlineStr">
        <is>
          <t>ASSUMPTION: zero regional reserves (BNDACT=0), cost non-binding, global fallback</t>
        </is>
      </c>
      <c r="AL17" s="48" t="inlineStr">
        <is>
          <t>ASSUMPTION: zero regional reserves (BNDACT=0), cost non-binding, global fallback</t>
        </is>
      </c>
      <c r="AM17" s="48" t="inlineStr">
        <is>
          <t>ASSUMPTION: zero regional reserves (BNDACT=0), cost non-binding, global fallback</t>
        </is>
      </c>
      <c r="AN17" s="48" t="inlineStr">
        <is>
          <t>ASSUMPTION: zero regional reserves (BNDACT=0), cost non-binding, global fallback</t>
        </is>
      </c>
    </row>
    <row r="19">
      <c r="A19" s="0" t="inlineStr">
        <is>
          <t>Copper RSV1 base: real country C1/cash cost data (Cochilco, Codelco/BHP/Ivanhoe/FirstQuantum/SouthernCopper/KGHM filings), production-weighted per Codex_USGS_raw where 2+ countries. India/Russia fallback (no source found). China/ROW flagged LOW CONFIDENCE (secondary aggregator only).</t>
        </is>
      </c>
      <c r="C19" s="0" t="inlineStr">
        <is>
          <t>m_copper</t>
        </is>
      </c>
      <c r="D19" s="0" t="inlineStr">
        <is>
          <t>RSV1_base_MUSDperkt</t>
        </is>
      </c>
      <c r="F19" s="0" t="n">
        <v>9.700328000000001</v>
      </c>
      <c r="G19" s="0" t="n">
        <v>4.7219</v>
      </c>
      <c r="H19" s="0" t="n">
        <v>2.6015</v>
      </c>
      <c r="I19" s="0" t="n">
        <v>9.700328000000001</v>
      </c>
      <c r="J19" s="0" t="n">
        <v>9.700328000000001</v>
      </c>
      <c r="K19" s="0" t="n">
        <v>9.700328000000001</v>
      </c>
      <c r="L19" s="0" t="n">
        <v>9.700328000000001</v>
      </c>
      <c r="M19" s="0" t="n">
        <v>5.0706</v>
      </c>
      <c r="N19" s="0" t="n">
        <v>9.700328000000001</v>
      </c>
      <c r="O19" s="0" t="n">
        <v>9.700328000000001</v>
      </c>
      <c r="P19" s="0" t="n">
        <v>9.700328000000001</v>
      </c>
      <c r="Q19" s="0" t="n">
        <v>9.700328000000001</v>
      </c>
      <c r="R19" s="0" t="n">
        <v>9.700328000000001</v>
      </c>
      <c r="S19" s="0" t="n">
        <v>9.700328000000001</v>
      </c>
      <c r="T19" s="0" t="n">
        <v>9.700328000000001</v>
      </c>
      <c r="U19" s="0" t="n">
        <v>9.700328000000001</v>
      </c>
      <c r="V19" s="0" t="n">
        <v>9.700328000000001</v>
      </c>
      <c r="W19" s="0" t="n">
        <v>9.700328000000001</v>
      </c>
      <c r="X19" s="0" t="n">
        <v>9.700328000000001</v>
      </c>
      <c r="Y19" s="0" t="n">
        <v>3.422</v>
      </c>
      <c r="Z19" s="0" t="n">
        <v>9.700328000000001</v>
      </c>
      <c r="AA19" s="0" t="n">
        <v>5.9842</v>
      </c>
      <c r="AB19" s="0" t="n">
        <v>9.700328000000001</v>
      </c>
      <c r="AC19" s="0" t="n">
        <v>5.6989</v>
      </c>
      <c r="AD19" s="0" t="n">
        <v>2.2708</v>
      </c>
      <c r="AE19" s="0" t="n">
        <v>9.700328000000001</v>
      </c>
      <c r="AF19" s="0" t="n">
        <v>9.700328000000001</v>
      </c>
      <c r="AG19" s="0" t="n">
        <v>9.700328000000001</v>
      </c>
      <c r="AH19" s="0" t="n">
        <v>9.700328000000001</v>
      </c>
      <c r="AI19" s="0" t="n">
        <v>9.700328000000001</v>
      </c>
      <c r="AJ19" s="0" t="n">
        <v>9.700328000000001</v>
      </c>
      <c r="AK19" s="0" t="n">
        <v>9.700328000000001</v>
      </c>
      <c r="AL19" s="0" t="n">
        <v>9.700328000000001</v>
      </c>
      <c r="AM19" s="0" t="n">
        <v>9.700328000000001</v>
      </c>
      <c r="AN19" s="0" t="n">
        <v>9.700328000000001</v>
      </c>
    </row>
    <row r="20">
      <c r="C20" s="0" t="inlineStr">
        <is>
          <t>m_copper</t>
        </is>
      </c>
      <c r="D20" s="0" t="inlineStr">
        <is>
          <t>Flag</t>
        </is>
      </c>
      <c r="F20" s="48" t="inlineStr">
        <is>
          <t>ASSUMPTION: zero regional reserves (BNDACT=0), cost non-binding, global fallback</t>
        </is>
      </c>
      <c r="G20" s="0" t="inlineStr">
        <is>
          <t>Sourced: DR Congo (Kamoa-Kakula, Ivanhoe Mines) C1 cash cost $2.16/lb FY2025 + Zambia (Kansanshi, First Quantum) C1 avg $2.08/lb 2025, production-weighted (USGS MCS2026 country production)</t>
        </is>
      </c>
      <c r="H20" s="0" t="inlineStr">
        <is>
          <t>Sourced: BHP Olympic Dam unit cost $1.18/lb FY2025 (BHP FY2025 Operational Review) - single-mine proxy for the region</t>
        </is>
      </c>
      <c r="I20" s="48" t="inlineStr">
        <is>
          <t>ASSUMPTION: zero regional reserves (BNDACT=0), cost non-binding, global fallback</t>
        </is>
      </c>
      <c r="J20" s="48" t="inlineStr">
        <is>
          <t>ASSUMPTION: zero regional reserves (BNDACT=0), cost non-binding, global fallback</t>
        </is>
      </c>
      <c r="K20" s="48" t="inlineStr">
        <is>
          <t>ASSUMPTION: zero regional reserves (BNDACT=0), cost non-binding, global fallback</t>
        </is>
      </c>
      <c r="L20" s="48" t="inlineStr">
        <is>
          <t>ASSUMPTION: zero regional reserves (BNDACT=0), cost non-binding, global fallback</t>
        </is>
      </c>
      <c r="M20" s="48" t="inlineStr">
        <is>
          <t>ASSUMPTION/LOW CONFIDENCE: Project Blue minegate cost estimate ~$2.20-2.40+/lb for Chinese domestic mines (relayed via secondary aggregator, not independently verified) - used with low confidence flag</t>
        </is>
      </c>
      <c r="N20" s="48" t="inlineStr">
        <is>
          <t>ASSUMPTION: zero regional reserves (BNDACT=0), cost non-binding, global fallback</t>
        </is>
      </c>
      <c r="O20" s="48" t="inlineStr">
        <is>
          <t>ASSUMPTION: zero regional reserves (BNDACT=0), cost non-binding, global fallback</t>
        </is>
      </c>
      <c r="P20" s="48" t="inlineStr">
        <is>
          <t>ASSUMPTION: zero regional reserves (BNDACT=0), cost non-binding, global fallback</t>
        </is>
      </c>
      <c r="Q20" s="48" t="inlineStr">
        <is>
          <t>ASSUMPTION: zero regional reserves (BNDACT=0), cost non-binding, global fallback</t>
        </is>
      </c>
      <c r="R20" s="48" t="inlineStr">
        <is>
          <t>ASSUMPTION: zero regional reserves (BNDACT=0), cost non-binding, global fallback</t>
        </is>
      </c>
      <c r="S20" s="48" t="inlineStr">
        <is>
          <t>ASSUMPTION: zero regional reserves (BNDACT=0), cost non-binding, global fallback</t>
        </is>
      </c>
      <c r="T20" s="48" t="inlineStr">
        <is>
          <t>ASSUMPTION: zero regional reserves (BNDACT=0), cost non-binding, global fallback</t>
        </is>
      </c>
      <c r="U20" s="48" t="inlineStr">
        <is>
          <t>ASSUMPTION: global fallback, no regional source found</t>
        </is>
      </c>
      <c r="V20" s="48" t="inlineStr">
        <is>
          <t>ASSUMPTION: zero regional reserves (BNDACT=0), cost non-binding, global fallback</t>
        </is>
      </c>
      <c r="W20" s="48" t="inlineStr">
        <is>
          <t>ASSUMPTION: zero regional reserves (BNDACT=0), cost non-binding, global fallback</t>
        </is>
      </c>
      <c r="X20" s="48" t="inlineStr">
        <is>
          <t>ASSUMPTION: zero regional reserves (BNDACT=0), cost non-binding, global fallback</t>
        </is>
      </c>
      <c r="Y20" s="0" t="inlineStr">
        <is>
          <t>Sourced: Chile national weighted-avg C1 cash cost $1.808/lb FY2025 (Cochilco, 21 mines=94.4% of output) + Peru Quellaveco (Anglo American) unit cost $1.05/lb FY2024, production-weighted (USGS MCS2026 country production)</t>
        </is>
      </c>
      <c r="Z20" s="48" t="inlineStr">
        <is>
          <t>ASSUMPTION: zero regional reserves (BNDACT=0), cost non-binding, global fallback</t>
        </is>
      </c>
      <c r="AA20" s="0" t="inlineStr">
        <is>
          <t>Sourced: US (Freeport-McMoRan US mines) avg unit net cash cost $3.09/lb 9M2025 + Mexico (Southern Copper) gross operating cash cost $2.17/lb FY2025, production-weighted; Canada cost not found, weight renormalized over US+Mexico only</t>
        </is>
      </c>
      <c r="AB20" s="48" t="inlineStr">
        <is>
          <t>ASSUMPTION: zero regional reserves (BNDACT=0), cost non-binding, global fallback</t>
        </is>
      </c>
      <c r="AC20" s="0" t="inlineStr">
        <is>
          <t>Sourced: KGHM Polska Miedz Group C1 cash cost $2.57-2.60/lb, Q3 2025 (includes Poland mineral extraction tax ~$1.24/lb component) (KGHM IR release Q3 2025)</t>
        </is>
      </c>
      <c r="AD20" s="48" t="inlineStr">
        <is>
          <t>ASSUMPTION/LOW CONFIDENCE: Kazakhstan (KAZ Minerals Bozshakol) net cash cost ~$0.95-1.12/lb (unverified secondary aggregator figure) - used with low confidence flag</t>
        </is>
      </c>
      <c r="AE20" s="48" t="inlineStr">
        <is>
          <t>ASSUMPTION: global fallback, no regional source found</t>
        </is>
      </c>
      <c r="AF20" s="48" t="inlineStr">
        <is>
          <t>ASSUMPTION: zero regional reserves (BNDACT=0), cost non-binding, global fallback</t>
        </is>
      </c>
      <c r="AG20" s="48" t="inlineStr">
        <is>
          <t>ASSUMPTION: zero regional reserves (BNDACT=0), cost non-binding, global fallback</t>
        </is>
      </c>
      <c r="AH20" s="48" t="inlineStr">
        <is>
          <t>ASSUMPTION: zero regional reserves (BNDACT=0), cost non-binding, global fallback</t>
        </is>
      </c>
      <c r="AI20" s="48" t="inlineStr">
        <is>
          <t>ASSUMPTION: zero regional reserves (BNDACT=0), cost non-binding, global fallback</t>
        </is>
      </c>
      <c r="AJ20" s="48" t="inlineStr">
        <is>
          <t>ASSUMPTION: zero regional reserves (BNDACT=0), cost non-binding, global fallback</t>
        </is>
      </c>
      <c r="AK20" s="48" t="inlineStr">
        <is>
          <t>ASSUMPTION: zero regional reserves (BNDACT=0), cost non-binding, global fallback</t>
        </is>
      </c>
      <c r="AL20" s="48" t="inlineStr">
        <is>
          <t>ASSUMPTION: zero regional reserves (BNDACT=0), cost non-binding, global fallback</t>
        </is>
      </c>
      <c r="AM20" s="48" t="inlineStr">
        <is>
          <t>ASSUMPTION: zero regional reserves (BNDACT=0), cost non-binding, global fallback</t>
        </is>
      </c>
      <c r="AN20" s="48" t="inlineStr">
        <is>
          <t>ASSUMPTION: zero regional reserves (BNDACT=0), cost non-binding, global fallback</t>
        </is>
      </c>
    </row>
    <row r="22">
      <c r="A22" s="0" t="inlineStr">
        <is>
          <t>Graphite RSV1 base: Africa_Other (Mozambique/Madagascar/Tanzania cash costs, prod-weighted), NorthAm (Canada PEA study cost), China (flake price proxy, not mine cash cost - flagged). Others fallback.</t>
        </is>
      </c>
      <c r="C22" s="0" t="inlineStr">
        <is>
          <t>m_graphite</t>
        </is>
      </c>
      <c r="D22" s="0" t="inlineStr">
        <is>
          <t>RSV1_base_MUSDperkt</t>
        </is>
      </c>
      <c r="F22" s="0" t="n">
        <v>1</v>
      </c>
      <c r="G22" s="0" t="n">
        <v>0.5719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0.46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0.435</v>
      </c>
      <c r="AB22" s="0" t="n">
        <v>1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</row>
    <row r="23">
      <c r="C23" s="0" t="inlineStr">
        <is>
          <t>m_graphite</t>
        </is>
      </c>
      <c r="D23" s="0" t="inlineStr">
        <is>
          <t>Flag</t>
        </is>
      </c>
      <c r="F23" s="48" t="inlineStr">
        <is>
          <t>ASSUMPTION: zero regional reserves (BNDACT=0), cost non-binding, global fallback</t>
        </is>
      </c>
      <c r="G23" s="0" t="inlineStr">
        <is>
          <t>Sourced: Mozambique (Syrah Balama) C1 cash cost $535/t FOB + Madagascar (NextSource Molo) cash cost $650/t FOB + Tanzania (Black Rock Mahenge) AISC $518/t, production-weighted (USGS MCS2026 country production)</t>
        </is>
      </c>
      <c r="H23" s="48" t="inlineStr">
        <is>
          <t>ASSUMPTION: zero regional reserves (BNDACT=0), cost non-binding, global fallback</t>
        </is>
      </c>
      <c r="I23" s="48" t="inlineStr">
        <is>
          <t>ASSUMPTION: global fallback, no regional source found</t>
        </is>
      </c>
      <c r="J23" s="48" t="inlineStr">
        <is>
          <t>ASSUMPTION: zero regional reserves (BNDACT=0), cost non-binding, global fallback</t>
        </is>
      </c>
      <c r="K23" s="48" t="inlineStr">
        <is>
          <t>ASSUMPTION: zero regional reserves (BNDACT=0), cost non-binding, global fallback</t>
        </is>
      </c>
      <c r="L23" s="48" t="inlineStr">
        <is>
          <t>ASSUMPTION: global fallback, no regional source found</t>
        </is>
      </c>
      <c r="M23" s="0" t="inlineStr">
        <is>
          <t>Price-basis proxy (not mine cash cost): Fastmarkets 94% C flake graphite FOB China price ~$450-470/t, Oct 2024 - flagged as price proxy since no mine-level cash cost was found for the dominant producer</t>
        </is>
      </c>
      <c r="N23" s="48" t="inlineStr">
        <is>
          <t>ASSUMPTION: zero regional reserves (BNDACT=0), cost non-binding, global fallback</t>
        </is>
      </c>
      <c r="O23" s="48" t="inlineStr">
        <is>
          <t>ASSUMPTION: zero regional reserves (BNDACT=0), cost non-binding, global fallback</t>
        </is>
      </c>
      <c r="P23" s="48" t="inlineStr">
        <is>
          <t>ASSUMPTION: zero regional reserves (BNDACT=0), cost non-binding, global fallback</t>
        </is>
      </c>
      <c r="Q23" s="48" t="inlineStr">
        <is>
          <t>ASSUMPTION: global fallback, no regional source found</t>
        </is>
      </c>
      <c r="R23" s="48" t="inlineStr">
        <is>
          <t>ASSUMPTION: zero regional reserves (BNDACT=0), cost non-binding, global fallback</t>
        </is>
      </c>
      <c r="S23" s="48" t="inlineStr">
        <is>
          <t>ASSUMPTION: zero regional reserves (BNDACT=0), cost non-binding, global fallback</t>
        </is>
      </c>
      <c r="T23" s="48" t="inlineStr">
        <is>
          <t>ASSUMPTION: zero regional reserves (BNDACT=0), cost non-binding, global fallback</t>
        </is>
      </c>
      <c r="U23" s="48" t="inlineStr">
        <is>
          <t>ASSUMPTION: global fallback, no regional source found</t>
        </is>
      </c>
      <c r="V23" s="48" t="inlineStr">
        <is>
          <t>ASSUMPTION: zero regional reserves (BNDACT=0), cost non-binding, global fallback</t>
        </is>
      </c>
      <c r="W23" s="48" t="inlineStr">
        <is>
          <t>ASSUMPTION: zero regional reserves (BNDACT=0), cost non-binding, global fallback</t>
        </is>
      </c>
      <c r="X23" s="48" t="inlineStr">
        <is>
          <t>ASSUMPTION: zero regional reserves (BNDACT=0), cost non-binding, global fallback</t>
        </is>
      </c>
      <c r="Y23" s="48" t="inlineStr">
        <is>
          <t>ASSUMPTION: zero regional reserves (BNDACT=0), cost non-binding, global fallback</t>
        </is>
      </c>
      <c r="Z23" s="48" t="inlineStr">
        <is>
          <t>ASSUMPTION: zero regional reserves (BNDACT=0), cost non-binding, global fallback</t>
        </is>
      </c>
      <c r="AA23" s="0" t="inlineStr">
        <is>
          <t>Sourced (project-study basis, not an operating mine): Focus Graphite Lac Knife (Quebec) PEA milling opex $67.61/t + thermal purification opex $367.45/t = $435/t (Investing News Network coverage of PEA)</t>
        </is>
      </c>
      <c r="AB23" s="48" t="inlineStr">
        <is>
          <t>ASSUMPTION: global fallback, no regional source found</t>
        </is>
      </c>
      <c r="AC23" s="48" t="inlineStr">
        <is>
          <t>ASSUMPTION: zero regional reserves (BNDACT=0), cost non-binding, global fallback</t>
        </is>
      </c>
      <c r="AD23" s="48" t="inlineStr">
        <is>
          <t>ASSUMPTION: global fallback, no regional source found</t>
        </is>
      </c>
      <c r="AE23" s="48" t="inlineStr">
        <is>
          <t>ASSUMPTION: global fallback, no regional source found</t>
        </is>
      </c>
      <c r="AF23" s="48" t="inlineStr">
        <is>
          <t>ASSUMPTION: zero regional reserves (BNDACT=0), cost non-binding, global fallback</t>
        </is>
      </c>
      <c r="AG23" s="48" t="inlineStr">
        <is>
          <t>ASSUMPTION: zero regional reserves (BNDACT=0), cost non-binding, global fallback</t>
        </is>
      </c>
      <c r="AH23" s="48" t="inlineStr">
        <is>
          <t>ASSUMPTION: zero regional reserves (BNDACT=0), cost non-binding, global fallback</t>
        </is>
      </c>
      <c r="AI23" s="48" t="inlineStr">
        <is>
          <t>ASSUMPTION: zero regional reserves (BNDACT=0), cost non-binding, global fallback</t>
        </is>
      </c>
      <c r="AJ23" s="48" t="inlineStr">
        <is>
          <t>ASSUMPTION: zero regional reserves (BNDACT=0), cost non-binding, global fallback</t>
        </is>
      </c>
      <c r="AK23" s="48" t="inlineStr">
        <is>
          <t>ASSUMPTION: global fallback, no regional source found</t>
        </is>
      </c>
      <c r="AL23" s="48" t="inlineStr">
        <is>
          <t>ASSUMPTION: zero regional reserves (BNDACT=0), cost non-binding, global fallback</t>
        </is>
      </c>
      <c r="AM23" s="48" t="inlineStr">
        <is>
          <t>ASSUMPTION: zero regional reserves (BNDACT=0), cost non-binding, global fallback</t>
        </is>
      </c>
      <c r="AN23" s="48" t="inlineStr">
        <is>
          <t>ASSUMPTION: global fallback, no regional source found</t>
        </is>
      </c>
    </row>
    <row r="25">
      <c r="A25" s="0" t="inlineStr">
        <is>
          <t>m_cobalt: NOT regionally differentiated. Research (2026-09) found only a GLOBAL average AISC ($9.70/lb, 2020, S&amp;P Global Market Intelligence) and no genuine country- or route-level (DRC vs Australia/Canada/Indonesia by-product) cobalt cash-cost figure that could be independently verified (IEA/USGS/Peiseler-linked sources were blocked or did not disaggregate by country in what could be checked). Codex_calc rows 63/66/69 are UNCHANGED (still =Codex_sources!$M/N/O$7, uniform across all regions) rather than force an unsourced regional split. This is a known limitation, not an oversight - see sources.md.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2026-08-21T23:04:00Z</dcterms:created>
  <dcterms:modified xsi:type="dcterms:W3CDTF">2026-09-15T14:02:23Z</dcterms:modified>
  <cp:lastModifiedBy>李潇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DC95FD9CA6244BBBAA8F357CCB54B2EC_13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