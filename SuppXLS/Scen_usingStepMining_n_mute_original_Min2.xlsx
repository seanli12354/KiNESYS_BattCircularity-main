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Scen_usingStepMining_n_mute_ori" sheetId="1" r:id="rId1"/>
    <sheet name="Scen_usingStepMining_n_mute_(2)" sheetId="8" r:id="rId2"/>
    <sheet name="NOUSEattache--data--from" sheetId="2" r:id="rId3"/>
    <sheet name="Codex_sources" sheetId="3" r:id="rId4"/>
    <sheet name="Codex_USGS_raw" sheetId="4" r:id="rId5"/>
    <sheet name="Codex_Li_Busch" sheetId="5" r:id="rId6"/>
    <sheet name="Codex_calc" sheetId="6" r:id="rId7"/>
    <sheet name="Codex_update_notes" sheetId="7" r:id="rId8"/>
  </sheets>
  <definedNames>
    <definedName name="_xlnm._FilterDatabase" localSheetId="0" hidden="1">Scen_usingStepMining_n_mute_ori!$C$39:$AO$109</definedName>
    <definedName name="_xlnm._FilterDatabase" localSheetId="1" hidden="1">'Scen_usingStepMining_n_mute_(2)'!$C$39:$AO$109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<sst xmlns="http://schemas.openxmlformats.org/spreadsheetml/2006/main" count="2121" uniqueCount="466">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</sst>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10" borderId="3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4">
      <alignment vertical="center"/>
    </xf>
    <xf numFmtId="0" fontId="21" fillId="0" borderId="4">
      <alignment vertical="center"/>
    </xf>
    <xf numFmtId="0" fontId="22" fillId="0" borderId="5">
      <alignment vertical="center"/>
    </xf>
    <xf numFmtId="0" fontId="22" fillId="0" borderId="0">
      <alignment vertical="center"/>
    </xf>
    <xf numFmtId="0" fontId="23" fillId="11" borderId="6">
      <alignment vertical="center"/>
    </xf>
    <xf numFmtId="0" fontId="24" fillId="12" borderId="7">
      <alignment vertical="center"/>
    </xf>
    <xf numFmtId="0" fontId="25" fillId="12" borderId="6">
      <alignment vertical="center"/>
    </xf>
    <xf numFmtId="0" fontId="26" fillId="13" borderId="8">
      <alignment vertical="center"/>
    </xf>
    <xf numFmtId="0" fontId="27" fillId="0" borderId="9">
      <alignment vertical="center"/>
    </xf>
    <xf numFmtId="0" fontId="28" fillId="0" borderId="10">
      <alignment vertical="center"/>
    </xf>
    <xf numFmtId="0" fontId="29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2" fillId="9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  <xf numFmtId="0" fontId="32" fillId="36" borderId="0">
      <alignment vertical="center"/>
    </xf>
    <xf numFmtId="0" fontId="33" fillId="37" borderId="0">
      <alignment vertical="center"/>
    </xf>
    <xf numFmtId="0" fontId="33" fillId="38" borderId="0">
      <alignment vertical="center"/>
    </xf>
    <xf numFmtId="0" fontId="32" fillId="39" borderId="0">
      <alignment vertical="center"/>
    </xf>
    <xf numFmtId="0" fontId="13" fillId="0" borderId="0"/>
  </cellStyleXfs>
  <cellXfs count="41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3" borderId="0" xfId="0" applyFont="1" applyFill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top" wrapText="1"/>
    </xf>
    <xf numFmtId="0" fontId="6" fillId="0" borderId="0" xfId="0" applyFont="1" applyAlignment="1"/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/>
    <xf numFmtId="0" fontId="10" fillId="7" borderId="1" xfId="0" applyFont="1" applyFill="1" applyBorder="1" applyAlignment="1"/>
    <xf numFmtId="178" fontId="10" fillId="7" borderId="1" xfId="0" applyNumberFormat="1" applyFont="1" applyFill="1" applyBorder="1" applyAlignment="1"/>
    <xf numFmtId="4" fontId="10" fillId="4" borderId="1" xfId="0" applyNumberFormat="1" applyFont="1" applyFill="1" applyBorder="1" applyAlignment="1"/>
    <xf numFmtId="3" fontId="9" fillId="7" borderId="1" xfId="0" applyNumberFormat="1" applyFont="1" applyFill="1" applyBorder="1" applyAlignment="1"/>
    <xf numFmtId="179" fontId="10" fillId="4" borderId="1" xfId="0" applyNumberFormat="1" applyFont="1" applyFill="1" applyBorder="1" applyAlignment="1"/>
    <xf numFmtId="2" fontId="10" fillId="4" borderId="1" xfId="0" applyNumberFormat="1" applyFont="1" applyFill="1" applyBorder="1" applyAlignment="1"/>
    <xf numFmtId="2" fontId="11" fillId="4" borderId="1" xfId="0" applyNumberFormat="1" applyFont="1" applyFill="1" applyBorder="1" applyAlignment="1"/>
    <xf numFmtId="0" fontId="9" fillId="0" borderId="1" xfId="0" applyFont="1" applyBorder="1" applyAlignment="1"/>
    <xf numFmtId="0" fontId="10" fillId="0" borderId="1" xfId="0" applyFont="1" applyBorder="1" applyAlignment="1"/>
    <xf numFmtId="178" fontId="10" fillId="0" borderId="1" xfId="0" applyNumberFormat="1" applyFont="1" applyBorder="1" applyAlignment="1"/>
    <xf numFmtId="3" fontId="9" fillId="0" borderId="1" xfId="0" applyNumberFormat="1" applyFont="1" applyBorder="1" applyAlignment="1"/>
    <xf numFmtId="178" fontId="9" fillId="0" borderId="1" xfId="0" applyNumberFormat="1" applyFont="1" applyBorder="1" applyAlignment="1"/>
    <xf numFmtId="178" fontId="9" fillId="4" borderId="1" xfId="0" applyNumberFormat="1" applyFont="1" applyFill="1" applyBorder="1" applyAlignment="1"/>
    <xf numFmtId="0" fontId="12" fillId="0" borderId="0" xfId="0" applyFont="1" applyAlignment="1"/>
    <xf numFmtId="0" fontId="4" fillId="7" borderId="1" xfId="0" applyFont="1" applyFill="1" applyBorder="1" applyAlignment="1"/>
    <xf numFmtId="178" fontId="9" fillId="7" borderId="1" xfId="0" applyNumberFormat="1" applyFont="1" applyFill="1" applyBorder="1" applyAlignment="1"/>
    <xf numFmtId="0" fontId="4" fillId="0" borderId="1" xfId="0" applyFont="1" applyBorder="1" applyAlignment="1"/>
    <xf numFmtId="0" fontId="0" fillId="3" borderId="0" xfId="0" applyFill="1" applyAlignment="1">
      <alignment vertical="center"/>
    </xf>
    <xf numFmtId="0" fontId="0" fillId="3" borderId="0" xfId="0" applyFill="1" applyAlignment="1"/>
    <xf numFmtId="0" fontId="13" fillId="8" borderId="0" xfId="49" applyFill="1" applyAlignment="1">
      <alignment horizontal="center"/>
    </xf>
    <xf numFmtId="0" fontId="13" fillId="0" borderId="0" xfId="0" applyFont="1" applyAlignment="1"/>
    <xf numFmtId="0" fontId="13" fillId="3" borderId="0" xfId="0" applyFont="1" applyFill="1" applyAlignment="1"/>
    <xf numFmtId="0" fontId="14" fillId="0" borderId="0" xfId="0" applyFont="1" applyAlignment="1">
      <alignment vertical="center"/>
    </xf>
    <xf numFmtId="180" fontId="13" fillId="0" borderId="2" xfId="49" applyNumberFormat="1" applyBorder="1"/>
    <xf numFmtId="0" fontId="13" fillId="0" borderId="0" xfId="49" applyAlignment="1">
      <alignment horizontal="center"/>
    </xf>
    <xf numFmtId="0" fontId="0" fillId="9" borderId="0" xfId="0" applyFill="1" applyAlignment="1"/>
    <xf numFmtId="0" fontId="13" fillId="9" borderId="0" xfId="0" applyFont="1" applyFill="1" applyAlignment="1"/>
    <xf numFmtId="0" fontId="14" fillId="3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zoomScale="80" zoomScaleNormal="80" zoomScaleSheetLayoutView="60" topLeftCell="A36" workbookViewId="0">
      <selection activeCell="E54" sqref="E54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7" width="12.8181818181818" style="1" customWidth="1"/>
    <col min="8" max="8" width="12.8181818181818" style="31" customWidth="1"/>
    <col min="9" max="10" width="12.8181818181818"/>
    <col min="11" max="11" width="33.1818181818182" style="1" customWidth="1"/>
    <col min="12" max="12" width="11.2727272727273" style="1" customWidth="1"/>
    <col min="13" max="13" width="12.8181818181818" style="31" customWidth="1"/>
    <col min="14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2.8181818181818"/>
    <col min="20" max="21" width="12.8181818181818" style="1" customWidth="1"/>
    <col min="22" max="24" width="12.8181818181818"/>
    <col min="25" max="35" width="12.8181818181818" style="1" customWidth="1"/>
    <col min="36" max="36" width="12.8181818181818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32" t="s">
        <v>0</v>
      </c>
      <c r="D4" s="32">
        <v>12.85</v>
      </c>
      <c r="K4" s="33"/>
      <c r="L4" s="33" t="s">
        <v>1</v>
      </c>
      <c r="M4" s="34"/>
    </row>
    <row r="5" spans="3:41">
      <c r="C5" s="32" t="s">
        <v>2</v>
      </c>
      <c r="D5" s="32">
        <v>20</v>
      </c>
      <c r="K5" s="33" t="s">
        <v>3</v>
      </c>
      <c r="L5" s="33" t="s">
        <v>4</v>
      </c>
      <c r="M5" s="30" t="s">
        <v>5</v>
      </c>
    </row>
    <row r="6" ht="16" customHeight="1" spans="3:41">
      <c r="C6" s="32" t="s">
        <v>6</v>
      </c>
      <c r="D6" s="32">
        <v>29.3</v>
      </c>
      <c r="K6" s="35" t="s">
        <v>7</v>
      </c>
      <c r="L6" s="36" t="s">
        <v>8</v>
      </c>
      <c r="M6" s="30">
        <v>99999</v>
      </c>
    </row>
    <row r="7" spans="3:41">
      <c r="C7" s="32" t="s">
        <v>9</v>
      </c>
      <c r="D7" s="37">
        <v>2</v>
      </c>
      <c r="K7" t="s">
        <v>10</v>
      </c>
      <c r="L7" t="str">
        <f t="shared" ref="L7:L16" si="0">L6</f>
        <v>ACT_COST</v>
      </c>
      <c r="M7" s="30">
        <f t="shared" ref="M7:M27" si="1">M6</f>
        <v>99999</v>
      </c>
    </row>
    <row r="8" spans="3:41">
      <c r="C8" s="32" t="s">
        <v>11</v>
      </c>
      <c r="D8" s="32">
        <v>2.5</v>
      </c>
      <c r="K8" t="s">
        <v>12</v>
      </c>
      <c r="L8" t="str">
        <f t="shared" si="0"/>
        <v>ACT_COST</v>
      </c>
      <c r="M8" s="30">
        <f t="shared" si="1"/>
        <v>99999</v>
      </c>
    </row>
    <row r="9" spans="3:41">
      <c r="C9" s="32" t="s">
        <v>13</v>
      </c>
      <c r="D9" s="32">
        <v>8</v>
      </c>
      <c r="K9" t="s">
        <v>14</v>
      </c>
      <c r="L9" t="str">
        <f t="shared" si="0"/>
        <v>ACT_COST</v>
      </c>
      <c r="M9" s="30">
        <f t="shared" si="1"/>
        <v>99999</v>
      </c>
    </row>
    <row r="10" spans="3:41">
      <c r="C10" s="32" t="s">
        <v>15</v>
      </c>
      <c r="D10" s="32">
        <v>1</v>
      </c>
      <c r="K10" t="s">
        <v>16</v>
      </c>
      <c r="L10" t="str">
        <f t="shared" si="0"/>
        <v>ACT_COST</v>
      </c>
      <c r="M10" s="30">
        <f t="shared" si="1"/>
        <v>99999</v>
      </c>
    </row>
    <row r="11" spans="3:41">
      <c r="K11" t="s">
        <v>17</v>
      </c>
      <c r="L11" t="str">
        <f t="shared" si="0"/>
        <v>ACT_COST</v>
      </c>
      <c r="M11" s="30">
        <f t="shared" si="1"/>
        <v>99999</v>
      </c>
    </row>
    <row r="12" spans="3:41">
      <c r="K12" t="s">
        <v>18</v>
      </c>
      <c r="L12" t="str">
        <f t="shared" si="0"/>
        <v>ACT_COST</v>
      </c>
      <c r="M12" s="30">
        <f t="shared" si="1"/>
        <v>99999</v>
      </c>
    </row>
    <row r="13" spans="3:41">
      <c r="C13" s="33"/>
      <c r="D13" s="33"/>
      <c r="E13" s="33"/>
      <c r="F13" s="33"/>
      <c r="G13" s="33"/>
      <c r="H13" s="34"/>
      <c r="I13" s="33"/>
      <c r="J13" s="33"/>
      <c r="K13" s="33" t="s">
        <v>19</v>
      </c>
      <c r="L13" t="str">
        <f t="shared" si="0"/>
        <v>ACT_COST</v>
      </c>
      <c r="M13" s="30">
        <f t="shared" si="1"/>
        <v>99999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</row>
    <row r="14" spans="3:41">
      <c r="C14" s="33"/>
      <c r="D14" s="33"/>
      <c r="E14" s="33"/>
      <c r="F14" s="33"/>
      <c r="G14" s="33"/>
      <c r="H14" s="34"/>
      <c r="I14" s="33"/>
      <c r="J14" s="33"/>
      <c r="K14" s="33" t="s">
        <v>20</v>
      </c>
      <c r="L14" t="str">
        <f t="shared" si="0"/>
        <v>ACT_COST</v>
      </c>
      <c r="M14" s="30">
        <f t="shared" si="1"/>
        <v>99999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</row>
    <row r="15" spans="3:41">
      <c r="C15" s="33"/>
      <c r="D15" s="33"/>
      <c r="E15" s="33"/>
      <c r="F15" s="33"/>
      <c r="G15" s="33"/>
      <c r="H15" s="34"/>
      <c r="I15" s="33"/>
      <c r="J15" s="33"/>
      <c r="K15" s="33" t="s">
        <v>21</v>
      </c>
      <c r="L15" t="str">
        <f t="shared" si="0"/>
        <v>ACT_COST</v>
      </c>
      <c r="M15" s="30">
        <f t="shared" si="1"/>
        <v>99999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</row>
    <row r="16" spans="3:41">
      <c r="C16" s="33"/>
      <c r="D16" s="33"/>
      <c r="E16" s="33"/>
      <c r="K16" t="s">
        <v>22</v>
      </c>
      <c r="L16" t="str">
        <f t="shared" si="0"/>
        <v>ACT_COST</v>
      </c>
      <c r="M16" s="30">
        <f t="shared" si="1"/>
        <v>99999</v>
      </c>
      <c r="AN16" s="33"/>
    </row>
    <row r="17" ht="16" customHeight="1" spans="3:41">
      <c r="C17" s="33"/>
      <c r="D17" s="33"/>
      <c r="E17" s="33"/>
      <c r="F17" s="33"/>
      <c r="G17" s="33"/>
      <c r="H17" s="34"/>
      <c r="I17" s="33"/>
      <c r="J17" s="33"/>
      <c r="K17" s="35" t="s">
        <v>7</v>
      </c>
      <c r="L17" s="33" t="s">
        <v>23</v>
      </c>
      <c r="M17" s="34">
        <f t="shared" si="1"/>
        <v>99999</v>
      </c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</row>
    <row r="18" spans="3:41">
      <c r="C18" s="33"/>
      <c r="D18" s="33"/>
      <c r="E18" s="33"/>
      <c r="F18" s="33"/>
      <c r="G18" s="33"/>
      <c r="H18" s="34"/>
      <c r="I18" s="33"/>
      <c r="J18" s="33"/>
      <c r="K18" t="s">
        <v>10</v>
      </c>
      <c r="L18" s="33" t="str">
        <f t="shared" ref="L18:L27" si="2">L17</f>
        <v>NCAP_FOM</v>
      </c>
      <c r="M18" s="34">
        <f t="shared" si="1"/>
        <v>99999</v>
      </c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</row>
    <row r="19" spans="3:41">
      <c r="C19" s="33"/>
      <c r="D19" s="33"/>
      <c r="E19" s="37"/>
      <c r="F19" s="33"/>
      <c r="G19" s="33"/>
      <c r="H19" s="34"/>
      <c r="I19" s="33"/>
      <c r="J19" s="33"/>
      <c r="K19" t="s">
        <v>12</v>
      </c>
      <c r="L19" s="33" t="str">
        <f t="shared" si="2"/>
        <v>NCAP_FOM</v>
      </c>
      <c r="M19" s="34">
        <f t="shared" si="1"/>
        <v>99999</v>
      </c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</row>
    <row r="20" spans="3:41">
      <c r="C20" s="33"/>
      <c r="D20" s="33"/>
      <c r="E20" s="33"/>
      <c r="F20" s="33"/>
      <c r="G20" s="33"/>
      <c r="H20" s="34"/>
      <c r="I20" s="33"/>
      <c r="J20" s="33"/>
      <c r="K20" t="s">
        <v>14</v>
      </c>
      <c r="L20" s="33" t="str">
        <f t="shared" si="2"/>
        <v>NCAP_FOM</v>
      </c>
      <c r="M20" s="34">
        <f t="shared" si="1"/>
        <v>99999</v>
      </c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</row>
    <row r="21" spans="3:41">
      <c r="C21" s="33"/>
      <c r="D21" s="33"/>
      <c r="E21" s="33"/>
      <c r="F21" s="33"/>
      <c r="G21" s="33"/>
      <c r="H21" s="34"/>
      <c r="I21" s="33"/>
      <c r="J21" s="33"/>
      <c r="K21" t="s">
        <v>16</v>
      </c>
      <c r="L21" s="33" t="str">
        <f t="shared" si="2"/>
        <v>NCAP_FOM</v>
      </c>
      <c r="M21" s="34">
        <f t="shared" si="1"/>
        <v>99999</v>
      </c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</row>
    <row r="22" spans="3:41">
      <c r="C22" s="33"/>
      <c r="D22" s="33"/>
      <c r="E22" s="37"/>
      <c r="F22" s="33"/>
      <c r="G22" s="33"/>
      <c r="H22" s="34"/>
      <c r="I22" s="33"/>
      <c r="J22" s="33"/>
      <c r="K22" t="s">
        <v>17</v>
      </c>
      <c r="L22" s="33" t="str">
        <f t="shared" si="2"/>
        <v>NCAP_FOM</v>
      </c>
      <c r="M22" s="34">
        <f t="shared" si="1"/>
        <v>99999</v>
      </c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</row>
    <row r="23" spans="3:41">
      <c r="C23" s="33"/>
      <c r="D23" s="33"/>
      <c r="E23" s="33"/>
      <c r="F23" s="33"/>
      <c r="G23" s="33"/>
      <c r="H23" s="34"/>
      <c r="I23" s="33"/>
      <c r="J23" s="33"/>
      <c r="K23" t="s">
        <v>18</v>
      </c>
      <c r="L23" s="33" t="str">
        <f t="shared" si="2"/>
        <v>NCAP_FOM</v>
      </c>
      <c r="M23" s="34">
        <f t="shared" si="1"/>
        <v>99999</v>
      </c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</row>
    <row r="24" spans="3:41">
      <c r="C24" s="33"/>
      <c r="D24" s="33"/>
      <c r="E24" s="33"/>
      <c r="F24" s="33"/>
      <c r="G24" s="33"/>
      <c r="H24" s="34"/>
      <c r="I24" s="33"/>
      <c r="J24" s="33"/>
      <c r="K24" s="33" t="s">
        <v>19</v>
      </c>
      <c r="L24" s="33" t="str">
        <f t="shared" si="2"/>
        <v>NCAP_FOM</v>
      </c>
      <c r="M24" s="34">
        <f t="shared" si="1"/>
        <v>99999</v>
      </c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</row>
    <row r="25" spans="3:41">
      <c r="C25" s="33"/>
      <c r="D25" s="33"/>
      <c r="E25" s="37"/>
      <c r="F25" s="33"/>
      <c r="G25" s="33"/>
      <c r="H25" s="34"/>
      <c r="I25" s="33"/>
      <c r="J25" s="33"/>
      <c r="K25" s="33" t="s">
        <v>20</v>
      </c>
      <c r="L25" s="33" t="str">
        <f t="shared" si="2"/>
        <v>NCAP_FOM</v>
      </c>
      <c r="M25" s="34">
        <f t="shared" si="1"/>
        <v>99999</v>
      </c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</row>
    <row r="26" spans="3:41">
      <c r="C26" s="33"/>
      <c r="D26" s="33"/>
      <c r="E26" s="33"/>
      <c r="F26" s="33"/>
      <c r="G26" s="33"/>
      <c r="H26" s="34"/>
      <c r="I26" s="33"/>
      <c r="J26" s="33"/>
      <c r="K26" s="33" t="s">
        <v>21</v>
      </c>
      <c r="L26" s="33" t="str">
        <f t="shared" si="2"/>
        <v>NCAP_FOM</v>
      </c>
      <c r="M26" s="34">
        <f t="shared" si="1"/>
        <v>99999</v>
      </c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</row>
    <row r="27" spans="3:41">
      <c r="C27" s="33"/>
      <c r="D27" s="33"/>
      <c r="E27" s="33"/>
      <c r="F27" s="33"/>
      <c r="G27" s="33"/>
      <c r="H27" s="34"/>
      <c r="I27" s="33"/>
      <c r="J27" s="33"/>
      <c r="K27" t="s">
        <v>22</v>
      </c>
      <c r="L27" s="33" t="str">
        <f t="shared" si="2"/>
        <v>NCAP_FOM</v>
      </c>
      <c r="M27" s="34">
        <f t="shared" si="1"/>
        <v>99999</v>
      </c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</row>
    <row r="28" spans="3:41">
      <c r="C28" s="33"/>
      <c r="D28" s="33"/>
      <c r="E28" s="33"/>
      <c r="F28" s="33"/>
      <c r="G28" s="33"/>
      <c r="H28" s="34"/>
      <c r="I28" s="33"/>
      <c r="J28" s="33"/>
      <c r="K28" s="33"/>
      <c r="L28" s="33"/>
      <c r="M28" s="34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</row>
    <row r="29" spans="3:41">
      <c r="C29" s="33"/>
      <c r="D29" s="33"/>
      <c r="E29" s="33"/>
      <c r="F29" s="33"/>
      <c r="G29" s="33"/>
      <c r="H29" s="34"/>
      <c r="I29" s="33"/>
      <c r="J29" s="33"/>
      <c r="K29" s="33"/>
      <c r="L29" s="33"/>
      <c r="M29" s="34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</row>
    <row r="30" spans="3:41">
      <c r="C30" s="33"/>
      <c r="D30" s="33"/>
      <c r="E30" s="33"/>
      <c r="F30" s="33"/>
      <c r="G30" s="33"/>
      <c r="H30" s="34"/>
      <c r="I30" s="33"/>
      <c r="J30" s="33"/>
      <c r="K30" s="33"/>
      <c r="L30" s="33"/>
      <c r="M30" s="34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</row>
    <row r="31" spans="3:41">
      <c r="C31" s="33"/>
      <c r="D31" s="33"/>
      <c r="E31" s="33"/>
      <c r="F31" s="33"/>
      <c r="G31" s="33"/>
      <c r="H31" s="34"/>
      <c r="I31" s="33"/>
      <c r="J31" s="33"/>
      <c r="K31" s="33"/>
      <c r="L31" s="33"/>
      <c r="M31" s="34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</row>
    <row r="32" spans="3:41">
      <c r="C32" s="34" t="s">
        <v>24</v>
      </c>
      <c r="D32" s="33"/>
      <c r="E32" s="33"/>
      <c r="F32" s="33"/>
      <c r="G32" s="33"/>
      <c r="H32" s="34"/>
      <c r="I32" s="33"/>
      <c r="J32" s="33"/>
      <c r="K32" s="33"/>
      <c r="L32" s="33"/>
      <c r="M32" s="34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</row>
    <row r="33" spans="3:41">
      <c r="C33" s="33"/>
      <c r="D33" s="33"/>
      <c r="E33" s="33"/>
      <c r="F33" s="33"/>
      <c r="G33" s="33"/>
      <c r="H33" s="34"/>
      <c r="I33" s="33"/>
      <c r="J33" s="33"/>
      <c r="K33" s="33"/>
      <c r="L33" s="33"/>
      <c r="M33" s="34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</row>
    <row r="34" spans="3:41">
      <c r="C34" s="33"/>
      <c r="D34" s="33"/>
      <c r="E34" s="33"/>
      <c r="F34" s="33"/>
      <c r="G34" s="33"/>
      <c r="H34" s="34"/>
      <c r="I34" s="33"/>
      <c r="J34" s="33"/>
      <c r="K34" s="33"/>
      <c r="L34" s="33"/>
      <c r="M34" s="34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</row>
    <row r="35" spans="3:41">
      <c r="C35" s="33"/>
      <c r="D35" s="33"/>
      <c r="E35" s="33"/>
      <c r="F35" s="33"/>
      <c r="G35" s="33"/>
      <c r="H35" s="34"/>
      <c r="I35" s="33"/>
      <c r="J35" s="33"/>
      <c r="K35" s="33"/>
      <c r="L35" s="33"/>
      <c r="M35" s="3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</row>
    <row r="36" spans="3:41">
      <c r="D36" s="33"/>
      <c r="E36" s="33"/>
      <c r="F36" s="33"/>
      <c r="G36" s="33"/>
      <c r="H36" s="34"/>
      <c r="I36" s="33"/>
      <c r="J36" s="33"/>
      <c r="K36" s="33"/>
      <c r="L36" s="33"/>
      <c r="M36" s="34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</row>
    <row r="37" spans="3:41">
      <c r="C37" s="33"/>
      <c r="D37" s="33"/>
      <c r="E37" s="33"/>
      <c r="F37" s="33"/>
      <c r="G37" s="33"/>
      <c r="H37" s="34"/>
      <c r="I37" s="33"/>
      <c r="J37" s="33"/>
      <c r="K37" s="33"/>
      <c r="L37" s="33"/>
      <c r="M37" s="34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</row>
    <row r="38" spans="3:41">
      <c r="C38" s="33"/>
      <c r="D38" s="33"/>
      <c r="E38" s="33"/>
      <c r="F38" s="33"/>
      <c r="I38" s="33"/>
      <c r="J38" s="33"/>
      <c r="K38" s="33"/>
      <c r="L38" s="33"/>
      <c r="M38" s="34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</row>
    <row r="39" spans="3:41">
      <c r="C39" s="33" t="s">
        <v>25</v>
      </c>
      <c r="D39" s="33"/>
      <c r="E39" s="33"/>
      <c r="F39" s="33"/>
      <c r="I39" s="33"/>
      <c r="J39" s="33"/>
      <c r="K39" s="33"/>
      <c r="L39" s="33"/>
      <c r="M39" s="34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</row>
    <row r="40" spans="3:41">
      <c r="C40" s="33" t="s">
        <v>3</v>
      </c>
      <c r="D40" s="33" t="s">
        <v>4</v>
      </c>
      <c r="E40" s="33" t="s">
        <v>26</v>
      </c>
      <c r="F40" s="33" t="s">
        <v>27</v>
      </c>
      <c r="G40" t="s">
        <v>28</v>
      </c>
      <c r="H40" s="30" t="s">
        <v>29</v>
      </c>
      <c r="I40" s="33" t="s">
        <v>30</v>
      </c>
      <c r="J40" s="33" t="s">
        <v>31</v>
      </c>
      <c r="K40" s="33" t="s">
        <v>32</v>
      </c>
      <c r="L40" s="33" t="s">
        <v>33</v>
      </c>
      <c r="M40" s="34" t="s">
        <v>34</v>
      </c>
      <c r="N40" s="33" t="s">
        <v>35</v>
      </c>
      <c r="O40" s="33" t="s">
        <v>36</v>
      </c>
      <c r="P40" s="33" t="s">
        <v>37</v>
      </c>
      <c r="Q40" s="33" t="s">
        <v>38</v>
      </c>
      <c r="R40" s="33" t="s">
        <v>39</v>
      </c>
      <c r="S40" s="33" t="s">
        <v>40</v>
      </c>
      <c r="T40" s="33" t="s">
        <v>41</v>
      </c>
      <c r="U40" s="33" t="s">
        <v>42</v>
      </c>
      <c r="V40" s="33" t="s">
        <v>43</v>
      </c>
      <c r="W40" s="33" t="s">
        <v>44</v>
      </c>
      <c r="X40" s="33" t="s">
        <v>45</v>
      </c>
      <c r="Y40" s="33" t="s">
        <v>46</v>
      </c>
      <c r="Z40" s="33" t="s">
        <v>47</v>
      </c>
      <c r="AA40" s="33" t="s">
        <v>48</v>
      </c>
      <c r="AB40" s="33" t="s">
        <v>49</v>
      </c>
      <c r="AC40" s="33" t="s">
        <v>50</v>
      </c>
      <c r="AD40" s="33" t="s">
        <v>51</v>
      </c>
      <c r="AE40" s="33" t="s">
        <v>52</v>
      </c>
      <c r="AF40" s="33" t="s">
        <v>53</v>
      </c>
      <c r="AG40" s="33" t="s">
        <v>54</v>
      </c>
      <c r="AH40" s="33" t="s">
        <v>55</v>
      </c>
      <c r="AI40" s="33" t="s">
        <v>56</v>
      </c>
      <c r="AJ40" s="33" t="s">
        <v>57</v>
      </c>
      <c r="AK40" s="33" t="s">
        <v>58</v>
      </c>
      <c r="AL40" s="33" t="s">
        <v>59</v>
      </c>
      <c r="AM40" s="33" t="s">
        <v>60</v>
      </c>
      <c r="AN40" s="33" t="s">
        <v>61</v>
      </c>
      <c r="AO40" t="s">
        <v>62</v>
      </c>
    </row>
    <row r="41" spans="3:41">
      <c r="C41" s="33" t="str">
        <f>Codex_calc!C41</f>
        <v>MINLiRSV1</v>
      </c>
      <c r="D41" s="33" t="str">
        <f>Codex_calc!D41</f>
        <v>BNDACT</v>
      </c>
      <c r="E41" s="33"/>
      <c r="F41" s="33">
        <f>Codex_calc!F41</f>
        <v>0</v>
      </c>
      <c r="G41" s="33">
        <f>Codex_calc!G41</f>
        <v>19.6640791533596</v>
      </c>
      <c r="H41" s="34">
        <f>Codex_calc!H41</f>
        <v>52.8776454380362</v>
      </c>
      <c r="I41" s="33">
        <f>Codex_calc!I41</f>
        <v>0.426746821967561</v>
      </c>
      <c r="J41" s="33">
        <f>Codex_calc!J41</f>
        <v>0</v>
      </c>
      <c r="K41" s="33">
        <f>Codex_calc!K41</f>
        <v>0</v>
      </c>
      <c r="L41" s="33">
        <f>Codex_calc!L41</f>
        <v>7.17848331141586</v>
      </c>
      <c r="M41" s="34">
        <f>Codex_calc!M41</f>
        <v>5.95789647441919</v>
      </c>
      <c r="N41" s="33">
        <f>Codex_calc!N41</f>
        <v>0</v>
      </c>
      <c r="O41" s="33">
        <f>Codex_calc!O41</f>
        <v>1.42506105579561</v>
      </c>
      <c r="P41" s="33">
        <f>Codex_calc!P41</f>
        <v>0</v>
      </c>
      <c r="Q41" s="33">
        <f>Codex_calc!Q41</f>
        <v>1.74633352119732</v>
      </c>
      <c r="R41" s="33">
        <f>Codex_calc!R41</f>
        <v>0</v>
      </c>
      <c r="S41" s="33">
        <f>Codex_calc!S41</f>
        <v>0</v>
      </c>
      <c r="T41" s="33">
        <f>Codex_calc!T41</f>
        <v>0</v>
      </c>
      <c r="U41" s="33">
        <f>Codex_calc!U41</f>
        <v>0</v>
      </c>
      <c r="V41" s="33">
        <f>Codex_calc!V41</f>
        <v>0</v>
      </c>
      <c r="W41" s="33">
        <f>Codex_calc!W41</f>
        <v>0</v>
      </c>
      <c r="X41" s="33">
        <f>Codex_calc!X41</f>
        <v>0</v>
      </c>
      <c r="Y41" s="33">
        <f>Codex_calc!Y41</f>
        <v>52.3188076898992</v>
      </c>
      <c r="Z41" s="33">
        <f>Codex_calc!Z41</f>
        <v>0</v>
      </c>
      <c r="AA41" s="33">
        <f>Codex_calc!AA41</f>
        <v>35.3828442607552</v>
      </c>
      <c r="AB41" s="33">
        <f>Codex_calc!AB41</f>
        <v>0</v>
      </c>
      <c r="AC41" s="33">
        <f>Codex_calc!AC41</f>
        <v>0</v>
      </c>
      <c r="AD41" s="33">
        <f>Codex_calc!AD41</f>
        <v>0</v>
      </c>
      <c r="AE41" s="33">
        <f>Codex_calc!AE41</f>
        <v>0</v>
      </c>
      <c r="AF41" s="33">
        <f>Codex_calc!AF41</f>
        <v>0</v>
      </c>
      <c r="AG41" s="33">
        <f>Codex_calc!AG41</f>
        <v>0</v>
      </c>
      <c r="AH41" s="33">
        <f>Codex_calc!AH41</f>
        <v>2.47644310852276</v>
      </c>
      <c r="AI41" s="33">
        <f>Codex_calc!AI41</f>
        <v>0.727409355626527</v>
      </c>
      <c r="AJ41" s="33">
        <f>Codex_calc!AJ41</f>
        <v>0</v>
      </c>
      <c r="AK41" s="33">
        <f>Codex_calc!AK41</f>
        <v>0</v>
      </c>
      <c r="AL41" s="33">
        <f>Codex_calc!AL41</f>
        <v>0.363704677813262</v>
      </c>
      <c r="AM41" s="33">
        <f>Codex_calc!AM41</f>
        <v>0</v>
      </c>
      <c r="AN41" s="33">
        <f>Codex_calc!AN41</f>
        <v>2.87657336088672</v>
      </c>
      <c r="AO41" t="str">
        <f>Codex_calc!AO41</f>
        <v>2019, 2130</v>
      </c>
    </row>
    <row r="42" spans="3:41">
      <c r="C42" s="33" t="str">
        <f>Codex_calc!C42</f>
        <v>MINLiRSV1</v>
      </c>
      <c r="D42" s="33" t="str">
        <f>Codex_calc!D42</f>
        <v>CUM</v>
      </c>
      <c r="E42" s="33"/>
      <c r="F42" s="33"/>
      <c r="G42" s="33"/>
      <c r="H42" s="34"/>
      <c r="I42" s="33"/>
      <c r="J42" s="33"/>
      <c r="K42" s="33"/>
      <c r="L42" s="33"/>
      <c r="M42" s="34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t="str">
        <f>Codex_calc!AO42</f>
        <v>2019, 2130</v>
      </c>
    </row>
    <row r="43" spans="3:41">
      <c r="C43" s="33" t="str">
        <f>Codex_calc!C43</f>
        <v>MINLiRSV1</v>
      </c>
      <c r="D43" s="33" t="str">
        <f>Codex_calc!D43</f>
        <v>COST</v>
      </c>
      <c r="E43" s="33" t="str">
        <f>Codex_calc!E43</f>
        <v>m_lithium</v>
      </c>
      <c r="F43" s="33">
        <f>Codex_calc!F43</f>
        <v>13.86</v>
      </c>
      <c r="G43" s="33">
        <f>Codex_calc!G43</f>
        <v>13.86</v>
      </c>
      <c r="H43" s="34">
        <f>Codex_calc!H43</f>
        <v>13.86</v>
      </c>
      <c r="I43" s="33">
        <f>Codex_calc!I43</f>
        <v>13.86</v>
      </c>
      <c r="J43" s="33">
        <f>Codex_calc!J43</f>
        <v>13.86</v>
      </c>
      <c r="K43" s="33">
        <f>Codex_calc!K43</f>
        <v>13.86</v>
      </c>
      <c r="L43" s="33">
        <f>Codex_calc!L43</f>
        <v>13.86</v>
      </c>
      <c r="M43" s="34">
        <f>Codex_calc!M43</f>
        <v>13.86</v>
      </c>
      <c r="N43" s="33">
        <f>Codex_calc!N43</f>
        <v>13.86</v>
      </c>
      <c r="O43" s="33">
        <f>Codex_calc!O43</f>
        <v>13.86</v>
      </c>
      <c r="P43" s="33">
        <f>Codex_calc!P43</f>
        <v>13.86</v>
      </c>
      <c r="Q43" s="33">
        <f>Codex_calc!Q43</f>
        <v>13.86</v>
      </c>
      <c r="R43" s="33">
        <f>Codex_calc!R43</f>
        <v>13.86</v>
      </c>
      <c r="S43" s="33">
        <f>Codex_calc!S43</f>
        <v>13.86</v>
      </c>
      <c r="T43" s="33">
        <f>Codex_calc!T43</f>
        <v>13.86</v>
      </c>
      <c r="U43" s="33">
        <f>Codex_calc!U43</f>
        <v>13.86</v>
      </c>
      <c r="V43" s="33">
        <f>Codex_calc!V43</f>
        <v>13.86</v>
      </c>
      <c r="W43" s="33">
        <f>Codex_calc!W43</f>
        <v>13.86</v>
      </c>
      <c r="X43" s="33">
        <f>Codex_calc!X43</f>
        <v>13.86</v>
      </c>
      <c r="Y43" s="33">
        <f>Codex_calc!Y43</f>
        <v>13.86</v>
      </c>
      <c r="Z43" s="33">
        <f>Codex_calc!Z43</f>
        <v>13.86</v>
      </c>
      <c r="AA43" s="33">
        <f>Codex_calc!AA43</f>
        <v>13.86</v>
      </c>
      <c r="AB43" s="33">
        <f>Codex_calc!AB43</f>
        <v>13.86</v>
      </c>
      <c r="AC43" s="33">
        <f>Codex_calc!AC43</f>
        <v>13.86</v>
      </c>
      <c r="AD43" s="33">
        <f>Codex_calc!AD43</f>
        <v>13.86</v>
      </c>
      <c r="AE43" s="33">
        <f>Codex_calc!AE43</f>
        <v>13.86</v>
      </c>
      <c r="AF43" s="33">
        <f>Codex_calc!AF43</f>
        <v>13.86</v>
      </c>
      <c r="AG43" s="33">
        <f>Codex_calc!AG43</f>
        <v>13.86</v>
      </c>
      <c r="AH43" s="33">
        <f>Codex_calc!AH43</f>
        <v>13.86</v>
      </c>
      <c r="AI43" s="33">
        <f>Codex_calc!AI43</f>
        <v>13.86</v>
      </c>
      <c r="AJ43" s="33">
        <f>Codex_calc!AJ43</f>
        <v>13.86</v>
      </c>
      <c r="AK43" s="33">
        <f>Codex_calc!AK43</f>
        <v>13.86</v>
      </c>
      <c r="AL43" s="33">
        <f>Codex_calc!AL43</f>
        <v>13.86</v>
      </c>
      <c r="AM43" s="33">
        <f>Codex_calc!AM43</f>
        <v>13.86</v>
      </c>
      <c r="AN43" s="33">
        <f>Codex_calc!AN43</f>
        <v>13.86</v>
      </c>
      <c r="AO43" t="str">
        <f>Codex_calc!AO43</f>
        <v>2019, 2130</v>
      </c>
    </row>
    <row r="44" spans="3:41">
      <c r="C44" s="33" t="str">
        <f>Codex_calc!C44</f>
        <v>MINLiRSV2</v>
      </c>
      <c r="D44" s="33" t="str">
        <f>Codex_calc!D44</f>
        <v>BNDACT</v>
      </c>
      <c r="E44" s="33"/>
      <c r="F44" s="33">
        <f>Codex_calc!F44</f>
        <v>0</v>
      </c>
      <c r="G44" s="33">
        <f>Codex_calc!G44</f>
        <v>39.3281583067193</v>
      </c>
      <c r="H44" s="34">
        <f>Codex_calc!H44</f>
        <v>105.755290876072</v>
      </c>
      <c r="I44" s="33">
        <f>Codex_calc!I44</f>
        <v>0.853493643935123</v>
      </c>
      <c r="J44" s="33">
        <f>Codex_calc!J44</f>
        <v>0</v>
      </c>
      <c r="K44" s="33">
        <f>Codex_calc!K44</f>
        <v>0</v>
      </c>
      <c r="L44" s="33">
        <f>Codex_calc!L44</f>
        <v>14.3569666228317</v>
      </c>
      <c r="M44" s="34">
        <f>Codex_calc!M44</f>
        <v>11.9157929488384</v>
      </c>
      <c r="N44" s="33">
        <f>Codex_calc!N44</f>
        <v>0</v>
      </c>
      <c r="O44" s="33">
        <f>Codex_calc!O44</f>
        <v>2.85012211159121</v>
      </c>
      <c r="P44" s="33">
        <f>Codex_calc!P44</f>
        <v>0</v>
      </c>
      <c r="Q44" s="33">
        <f>Codex_calc!Q44</f>
        <v>3.49266704239464</v>
      </c>
      <c r="R44" s="33">
        <f>Codex_calc!R44</f>
        <v>0</v>
      </c>
      <c r="S44" s="33">
        <f>Codex_calc!S44</f>
        <v>0</v>
      </c>
      <c r="T44" s="33">
        <f>Codex_calc!T44</f>
        <v>0</v>
      </c>
      <c r="U44" s="33">
        <f>Codex_calc!U44</f>
        <v>0</v>
      </c>
      <c r="V44" s="33">
        <f>Codex_calc!V44</f>
        <v>0</v>
      </c>
      <c r="W44" s="33">
        <f>Codex_calc!W44</f>
        <v>0</v>
      </c>
      <c r="X44" s="33">
        <f>Codex_calc!X44</f>
        <v>0</v>
      </c>
      <c r="Y44" s="33">
        <f>Codex_calc!Y44</f>
        <v>104.637615379798</v>
      </c>
      <c r="Z44" s="33">
        <f>Codex_calc!Z44</f>
        <v>0</v>
      </c>
      <c r="AA44" s="33">
        <f>Codex_calc!AA44</f>
        <v>70.7656885215104</v>
      </c>
      <c r="AB44" s="33">
        <f>Codex_calc!AB44</f>
        <v>0</v>
      </c>
      <c r="AC44" s="33">
        <f>Codex_calc!AC44</f>
        <v>0</v>
      </c>
      <c r="AD44" s="33">
        <f>Codex_calc!AD44</f>
        <v>0</v>
      </c>
      <c r="AE44" s="33">
        <f>Codex_calc!AE44</f>
        <v>0</v>
      </c>
      <c r="AF44" s="33">
        <f>Codex_calc!AF44</f>
        <v>0</v>
      </c>
      <c r="AG44" s="33">
        <f>Codex_calc!AG44</f>
        <v>0</v>
      </c>
      <c r="AH44" s="33">
        <f>Codex_calc!AH44</f>
        <v>4.95288621704553</v>
      </c>
      <c r="AI44" s="33">
        <f>Codex_calc!AI44</f>
        <v>1.45481871125305</v>
      </c>
      <c r="AJ44" s="33">
        <f>Codex_calc!AJ44</f>
        <v>0</v>
      </c>
      <c r="AK44" s="33">
        <f>Codex_calc!AK44</f>
        <v>0</v>
      </c>
      <c r="AL44" s="33">
        <f>Codex_calc!AL44</f>
        <v>0.727409355626524</v>
      </c>
      <c r="AM44" s="33">
        <f>Codex_calc!AM44</f>
        <v>0</v>
      </c>
      <c r="AN44" s="33">
        <f>Codex_calc!AN44</f>
        <v>5.75314672177343</v>
      </c>
      <c r="AO44" t="str">
        <f>Codex_calc!AO44</f>
        <v>2019, 2130</v>
      </c>
    </row>
    <row r="45" spans="3:41">
      <c r="C45" s="33" t="str">
        <f>Codex_calc!C45</f>
        <v>MINLiRSV2</v>
      </c>
      <c r="D45" s="33" t="str">
        <f>Codex_calc!D45</f>
        <v>CUM</v>
      </c>
      <c r="E45" s="33"/>
      <c r="F45" s="33"/>
      <c r="G45" s="33"/>
      <c r="H45" s="34"/>
      <c r="I45" s="33"/>
      <c r="J45" s="33"/>
      <c r="K45" s="33"/>
      <c r="L45" s="33"/>
      <c r="M45" s="34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t="str">
        <f>Codex_calc!AO45</f>
        <v>2019, 2130</v>
      </c>
    </row>
    <row r="46" spans="3:41">
      <c r="C46" s="33" t="str">
        <f>Codex_calc!C46</f>
        <v>MINLiRSV2</v>
      </c>
      <c r="D46" s="33" t="str">
        <f>Codex_calc!D46</f>
        <v>COST</v>
      </c>
      <c r="E46" s="33" t="str">
        <f>Codex_calc!E46</f>
        <v>m_lithium</v>
      </c>
      <c r="F46" s="33">
        <f>Codex_calc!F46</f>
        <v>22.45</v>
      </c>
      <c r="G46" s="33">
        <f>Codex_calc!G46</f>
        <v>22.45</v>
      </c>
      <c r="H46" s="34">
        <f>Codex_calc!H46</f>
        <v>22.45</v>
      </c>
      <c r="I46" s="33">
        <f>Codex_calc!I46</f>
        <v>22.45</v>
      </c>
      <c r="J46" s="33">
        <f>Codex_calc!J46</f>
        <v>22.45</v>
      </c>
      <c r="K46" s="33">
        <f>Codex_calc!K46</f>
        <v>22.45</v>
      </c>
      <c r="L46" s="33">
        <f>Codex_calc!L46</f>
        <v>22.45</v>
      </c>
      <c r="M46" s="34">
        <f>Codex_calc!M46</f>
        <v>22.45</v>
      </c>
      <c r="N46" s="33">
        <f>Codex_calc!N46</f>
        <v>22.45</v>
      </c>
      <c r="O46" s="33">
        <f>Codex_calc!O46</f>
        <v>22.45</v>
      </c>
      <c r="P46" s="33">
        <f>Codex_calc!P46</f>
        <v>22.45</v>
      </c>
      <c r="Q46" s="33">
        <f>Codex_calc!Q46</f>
        <v>22.45</v>
      </c>
      <c r="R46" s="33">
        <f>Codex_calc!R46</f>
        <v>22.45</v>
      </c>
      <c r="S46" s="33">
        <f>Codex_calc!S46</f>
        <v>22.45</v>
      </c>
      <c r="T46" s="33">
        <f>Codex_calc!T46</f>
        <v>22.45</v>
      </c>
      <c r="U46" s="33">
        <f>Codex_calc!U46</f>
        <v>22.45</v>
      </c>
      <c r="V46" s="33">
        <f>Codex_calc!V46</f>
        <v>22.45</v>
      </c>
      <c r="W46" s="33">
        <f>Codex_calc!W46</f>
        <v>22.45</v>
      </c>
      <c r="X46" s="33">
        <f>Codex_calc!X46</f>
        <v>22.45</v>
      </c>
      <c r="Y46" s="33">
        <f>Codex_calc!Y46</f>
        <v>22.45</v>
      </c>
      <c r="Z46" s="33">
        <f>Codex_calc!Z46</f>
        <v>22.45</v>
      </c>
      <c r="AA46" s="33">
        <f>Codex_calc!AA46</f>
        <v>22.45</v>
      </c>
      <c r="AB46" s="33">
        <f>Codex_calc!AB46</f>
        <v>22.45</v>
      </c>
      <c r="AC46" s="33">
        <f>Codex_calc!AC46</f>
        <v>22.45</v>
      </c>
      <c r="AD46" s="33">
        <f>Codex_calc!AD46</f>
        <v>22.45</v>
      </c>
      <c r="AE46" s="33">
        <f>Codex_calc!AE46</f>
        <v>22.45</v>
      </c>
      <c r="AF46" s="33">
        <f>Codex_calc!AF46</f>
        <v>22.45</v>
      </c>
      <c r="AG46" s="33">
        <f>Codex_calc!AG46</f>
        <v>22.45</v>
      </c>
      <c r="AH46" s="33">
        <f>Codex_calc!AH46</f>
        <v>22.45</v>
      </c>
      <c r="AI46" s="33">
        <f>Codex_calc!AI46</f>
        <v>22.45</v>
      </c>
      <c r="AJ46" s="33">
        <f>Codex_calc!AJ46</f>
        <v>22.45</v>
      </c>
      <c r="AK46" s="33">
        <f>Codex_calc!AK46</f>
        <v>22.45</v>
      </c>
      <c r="AL46" s="33">
        <f>Codex_calc!AL46</f>
        <v>22.45</v>
      </c>
      <c r="AM46" s="33">
        <f>Codex_calc!AM46</f>
        <v>22.45</v>
      </c>
      <c r="AN46" s="33">
        <f>Codex_calc!AN46</f>
        <v>22.45</v>
      </c>
      <c r="AO46" t="str">
        <f>Codex_calc!AO46</f>
        <v>2019, 2130</v>
      </c>
    </row>
    <row r="47" spans="3:41">
      <c r="C47" s="33" t="str">
        <f>Codex_calc!C47</f>
        <v>MINLiRSV3</v>
      </c>
      <c r="D47" s="33" t="str">
        <f>Codex_calc!D47</f>
        <v>BNDACT</v>
      </c>
      <c r="E47" s="33"/>
      <c r="F47" s="33"/>
      <c r="G47" s="33"/>
      <c r="H47" s="34"/>
      <c r="I47" s="33"/>
      <c r="J47" s="33"/>
      <c r="K47" s="33"/>
      <c r="L47" s="33"/>
      <c r="M47" s="34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t="str">
        <f>Codex_calc!AO47</f>
        <v>2019, 2130</v>
      </c>
    </row>
    <row r="48" spans="3:41">
      <c r="C48" s="33" t="str">
        <f>Codex_calc!C48</f>
        <v>MINLiRSV3</v>
      </c>
      <c r="D48" s="33" t="str">
        <f>Codex_calc!D48</f>
        <v>CUM</v>
      </c>
      <c r="E48" s="33"/>
      <c r="F48" s="33"/>
      <c r="G48" s="33"/>
      <c r="H48" s="34"/>
      <c r="I48" s="33"/>
      <c r="J48" s="33"/>
      <c r="K48" s="33"/>
      <c r="L48" s="33"/>
      <c r="M48" s="34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t="str">
        <f>Codex_calc!AO48</f>
        <v>2019, 2130</v>
      </c>
    </row>
    <row r="49" spans="3:41">
      <c r="C49" s="33" t="str">
        <f>Codex_calc!C49</f>
        <v>MINLiRSV3</v>
      </c>
      <c r="D49" s="33" t="str">
        <f>Codex_calc!D49</f>
        <v>COST</v>
      </c>
      <c r="E49" s="33" t="str">
        <f>Codex_calc!E49</f>
        <v>m_lithium</v>
      </c>
      <c r="F49" s="33">
        <f>Codex_calc!F49</f>
        <v>27.69</v>
      </c>
      <c r="G49" s="33">
        <f>Codex_calc!G49</f>
        <v>27.69</v>
      </c>
      <c r="H49" s="34">
        <f>Codex_calc!H49</f>
        <v>27.69</v>
      </c>
      <c r="I49" s="33">
        <f>Codex_calc!I49</f>
        <v>27.69</v>
      </c>
      <c r="J49" s="33">
        <f>Codex_calc!J49</f>
        <v>27.69</v>
      </c>
      <c r="K49" s="33">
        <f>Codex_calc!K49</f>
        <v>27.69</v>
      </c>
      <c r="L49" s="33">
        <f>Codex_calc!L49</f>
        <v>27.69</v>
      </c>
      <c r="M49" s="34">
        <f>Codex_calc!M49</f>
        <v>27.69</v>
      </c>
      <c r="N49" s="33">
        <f>Codex_calc!N49</f>
        <v>27.69</v>
      </c>
      <c r="O49" s="33">
        <f>Codex_calc!O49</f>
        <v>27.69</v>
      </c>
      <c r="P49" s="33">
        <f>Codex_calc!P49</f>
        <v>27.69</v>
      </c>
      <c r="Q49" s="33">
        <f>Codex_calc!Q49</f>
        <v>27.69</v>
      </c>
      <c r="R49" s="33">
        <f>Codex_calc!R49</f>
        <v>27.69</v>
      </c>
      <c r="S49" s="33">
        <f>Codex_calc!S49</f>
        <v>27.69</v>
      </c>
      <c r="T49" s="33">
        <f>Codex_calc!T49</f>
        <v>27.69</v>
      </c>
      <c r="U49" s="33">
        <f>Codex_calc!U49</f>
        <v>27.69</v>
      </c>
      <c r="V49" s="33">
        <f>Codex_calc!V49</f>
        <v>27.69</v>
      </c>
      <c r="W49" s="33">
        <f>Codex_calc!W49</f>
        <v>27.69</v>
      </c>
      <c r="X49" s="33">
        <f>Codex_calc!X49</f>
        <v>27.69</v>
      </c>
      <c r="Y49" s="33">
        <f>Codex_calc!Y49</f>
        <v>27.69</v>
      </c>
      <c r="Z49" s="33">
        <f>Codex_calc!Z49</f>
        <v>27.69</v>
      </c>
      <c r="AA49" s="33">
        <f>Codex_calc!AA49</f>
        <v>27.69</v>
      </c>
      <c r="AB49" s="33">
        <f>Codex_calc!AB49</f>
        <v>27.69</v>
      </c>
      <c r="AC49" s="33">
        <f>Codex_calc!AC49</f>
        <v>27.69</v>
      </c>
      <c r="AD49" s="33">
        <f>Codex_calc!AD49</f>
        <v>27.69</v>
      </c>
      <c r="AE49" s="33">
        <f>Codex_calc!AE49</f>
        <v>27.69</v>
      </c>
      <c r="AF49" s="33">
        <f>Codex_calc!AF49</f>
        <v>27.69</v>
      </c>
      <c r="AG49" s="33">
        <f>Codex_calc!AG49</f>
        <v>27.69</v>
      </c>
      <c r="AH49" s="33">
        <f>Codex_calc!AH49</f>
        <v>27.69</v>
      </c>
      <c r="AI49" s="33">
        <f>Codex_calc!AI49</f>
        <v>27.69</v>
      </c>
      <c r="AJ49" s="33">
        <f>Codex_calc!AJ49</f>
        <v>27.69</v>
      </c>
      <c r="AK49" s="33">
        <f>Codex_calc!AK49</f>
        <v>27.69</v>
      </c>
      <c r="AL49" s="33">
        <f>Codex_calc!AL49</f>
        <v>27.69</v>
      </c>
      <c r="AM49" s="33">
        <f>Codex_calc!AM49</f>
        <v>27.69</v>
      </c>
      <c r="AN49" s="33">
        <f>Codex_calc!AN49</f>
        <v>27.69</v>
      </c>
      <c r="AO49" t="str">
        <f>Codex_calc!AO49</f>
        <v>2019, 2130</v>
      </c>
    </row>
    <row r="50" spans="3:41">
      <c r="C50" s="33" t="s">
        <v>63</v>
      </c>
      <c r="D50" s="33">
        <f>Codex_calc!D50</f>
        <v>0</v>
      </c>
      <c r="E50" s="33">
        <f>Codex_calc!E50</f>
        <v>0</v>
      </c>
      <c r="F50" s="33">
        <f>Codex_calc!F50</f>
        <v>0</v>
      </c>
      <c r="G50" s="33">
        <f>Codex_calc!G50</f>
        <v>0</v>
      </c>
      <c r="H50" s="34">
        <f>Codex_calc!H50</f>
        <v>0</v>
      </c>
      <c r="I50" s="33">
        <f>Codex_calc!I50</f>
        <v>0</v>
      </c>
      <c r="J50" s="33">
        <f>Codex_calc!J50</f>
        <v>0</v>
      </c>
      <c r="K50" s="33">
        <f>Codex_calc!K50</f>
        <v>0</v>
      </c>
      <c r="L50" s="33">
        <f>Codex_calc!L50</f>
        <v>0</v>
      </c>
      <c r="M50" s="34">
        <f>Codex_calc!M50</f>
        <v>0</v>
      </c>
      <c r="N50" s="33">
        <f>Codex_calc!N50</f>
        <v>0</v>
      </c>
      <c r="O50" s="33">
        <f>Codex_calc!O50</f>
        <v>0</v>
      </c>
      <c r="P50" s="33">
        <f>Codex_calc!P50</f>
        <v>0</v>
      </c>
      <c r="Q50" s="33">
        <f>Codex_calc!Q50</f>
        <v>0</v>
      </c>
      <c r="R50" s="33">
        <f>Codex_calc!R50</f>
        <v>0</v>
      </c>
      <c r="S50" s="33">
        <f>Codex_calc!S50</f>
        <v>0</v>
      </c>
      <c r="T50" s="33">
        <f>Codex_calc!T50</f>
        <v>0</v>
      </c>
      <c r="U50" s="33">
        <f>Codex_calc!U50</f>
        <v>0</v>
      </c>
      <c r="V50" s="33">
        <f>Codex_calc!V50</f>
        <v>0</v>
      </c>
      <c r="W50" s="33">
        <f>Codex_calc!W50</f>
        <v>0</v>
      </c>
      <c r="X50" s="33">
        <f>Codex_calc!X50</f>
        <v>0</v>
      </c>
      <c r="Y50" s="33">
        <f>Codex_calc!Y50</f>
        <v>0</v>
      </c>
      <c r="Z50" s="33">
        <f>Codex_calc!Z50</f>
        <v>0</v>
      </c>
      <c r="AA50" s="33">
        <f>Codex_calc!AA50</f>
        <v>0</v>
      </c>
      <c r="AB50" s="33">
        <f>Codex_calc!AB50</f>
        <v>0</v>
      </c>
      <c r="AC50" s="33">
        <f>Codex_calc!AC50</f>
        <v>0</v>
      </c>
      <c r="AD50" s="33">
        <f>Codex_calc!AD50</f>
        <v>0</v>
      </c>
      <c r="AE50" s="33">
        <f>Codex_calc!AE50</f>
        <v>0</v>
      </c>
      <c r="AF50" s="33">
        <f>Codex_calc!AF50</f>
        <v>0</v>
      </c>
      <c r="AG50" s="33">
        <f>Codex_calc!AG50</f>
        <v>0</v>
      </c>
      <c r="AH50" s="33">
        <f>Codex_calc!AH50</f>
        <v>0</v>
      </c>
      <c r="AI50" s="33">
        <f>Codex_calc!AI50</f>
        <v>0</v>
      </c>
      <c r="AJ50" s="33">
        <f>Codex_calc!AJ50</f>
        <v>0</v>
      </c>
      <c r="AK50" s="33">
        <f>Codex_calc!AK50</f>
        <v>0</v>
      </c>
      <c r="AL50" s="33">
        <f>Codex_calc!AL50</f>
        <v>0</v>
      </c>
      <c r="AM50" s="33">
        <f>Codex_calc!AM50</f>
        <v>0</v>
      </c>
      <c r="AN50" s="33">
        <f>Codex_calc!AN50</f>
        <v>0</v>
      </c>
      <c r="AO50" t="str">
        <f>Codex_calc!AO50</f>
        <v>2019, 2130</v>
      </c>
    </row>
    <row r="51" spans="3:41">
      <c r="C51" s="33" t="str">
        <f>Codex_calc!C51</f>
        <v>MINNiRSV1</v>
      </c>
      <c r="D51" s="33" t="str">
        <f>Codex_calc!D51</f>
        <v>BNDACT</v>
      </c>
      <c r="E51" s="33"/>
      <c r="F51" s="33">
        <f>Codex_calc!F51</f>
        <v>0</v>
      </c>
      <c r="G51" s="33">
        <f>Codex_calc!G51</f>
        <v>0</v>
      </c>
      <c r="H51" s="34">
        <f>Codex_calc!H51</f>
        <v>6.40384615384615</v>
      </c>
      <c r="I51" s="33">
        <f>Codex_calc!I51</f>
        <v>0</v>
      </c>
      <c r="J51" s="33">
        <f>Codex_calc!J51</f>
        <v>0</v>
      </c>
      <c r="K51" s="33">
        <f>Codex_calc!K51</f>
        <v>0</v>
      </c>
      <c r="L51" s="33">
        <f>Codex_calc!L51</f>
        <v>9.96153846153846</v>
      </c>
      <c r="M51" s="34">
        <f>Codex_calc!M51</f>
        <v>17.0769230769231</v>
      </c>
      <c r="N51" s="33">
        <f>Codex_calc!N51</f>
        <v>0</v>
      </c>
      <c r="O51" s="33">
        <f>Codex_calc!O51</f>
        <v>0</v>
      </c>
      <c r="P51" s="33">
        <f>Codex_calc!P51</f>
        <v>0</v>
      </c>
      <c r="Q51" s="33">
        <f>Codex_calc!Q51</f>
        <v>0</v>
      </c>
      <c r="R51" s="33">
        <f>Codex_calc!R51</f>
        <v>0</v>
      </c>
      <c r="S51" s="33">
        <f>Codex_calc!S51</f>
        <v>0</v>
      </c>
      <c r="T51" s="33">
        <f>Codex_calc!T51</f>
        <v>0</v>
      </c>
      <c r="U51" s="33">
        <f>Codex_calc!U51</f>
        <v>0</v>
      </c>
      <c r="V51" s="33">
        <f>Codex_calc!V51</f>
        <v>0</v>
      </c>
      <c r="W51" s="33">
        <f>Codex_calc!W51</f>
        <v>0</v>
      </c>
      <c r="X51" s="33">
        <f>Codex_calc!X51</f>
        <v>0</v>
      </c>
      <c r="Y51" s="33">
        <f>Codex_calc!Y51</f>
        <v>0</v>
      </c>
      <c r="Z51" s="33">
        <f>Codex_calc!Z51</f>
        <v>0</v>
      </c>
      <c r="AA51" s="33">
        <f>Codex_calc!AA51</f>
        <v>21.3461538461538</v>
      </c>
      <c r="AB51" s="33">
        <f>Codex_calc!AB51</f>
        <v>0</v>
      </c>
      <c r="AC51" s="33">
        <f>Codex_calc!AC51</f>
        <v>0</v>
      </c>
      <c r="AD51" s="33">
        <f>Codex_calc!AD51</f>
        <v>469.615384615385</v>
      </c>
      <c r="AE51" s="33">
        <f>Codex_calc!AE51</f>
        <v>28.4615384615385</v>
      </c>
      <c r="AF51" s="33">
        <f>Codex_calc!AF51</f>
        <v>0</v>
      </c>
      <c r="AG51" s="33">
        <f>Codex_calc!AG51</f>
        <v>0</v>
      </c>
      <c r="AH51" s="33">
        <f>Codex_calc!AH51</f>
        <v>0</v>
      </c>
      <c r="AI51" s="33">
        <f>Codex_calc!AI51</f>
        <v>0</v>
      </c>
      <c r="AJ51" s="33">
        <f>Codex_calc!AJ51</f>
        <v>0</v>
      </c>
      <c r="AK51" s="33">
        <f>Codex_calc!AK51</f>
        <v>0</v>
      </c>
      <c r="AL51" s="33">
        <f>Codex_calc!AL51</f>
        <v>0</v>
      </c>
      <c r="AM51" s="33">
        <f>Codex_calc!AM51</f>
        <v>0</v>
      </c>
      <c r="AN51" s="33">
        <f>Codex_calc!AN51</f>
        <v>0</v>
      </c>
      <c r="AO51" t="str">
        <f>Codex_calc!AO51</f>
        <v>2019, 2130</v>
      </c>
    </row>
    <row r="52" spans="3:41">
      <c r="C52" s="33" t="str">
        <f>Codex_calc!C52</f>
        <v>MINNiRSV1</v>
      </c>
      <c r="D52" s="33" t="str">
        <f>Codex_calc!D52</f>
        <v>CUM</v>
      </c>
      <c r="E52" s="33"/>
      <c r="F52" s="33"/>
      <c r="G52" s="33"/>
      <c r="H52" s="34"/>
      <c r="I52" s="33"/>
      <c r="J52" s="33"/>
      <c r="K52" s="33"/>
      <c r="L52" s="33"/>
      <c r="M52" s="34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t="str">
        <f>Codex_calc!AO52</f>
        <v>2019, 2130</v>
      </c>
    </row>
    <row r="53" spans="3:41">
      <c r="C53" s="33" t="str">
        <f>Codex_calc!C53</f>
        <v>MINNiRSV1</v>
      </c>
      <c r="D53" s="33" t="str">
        <f>Codex_calc!D53</f>
        <v>COST</v>
      </c>
      <c r="E53" s="33" t="str">
        <f>Codex_calc!E53</f>
        <v>m_nickel</v>
      </c>
      <c r="F53" s="33">
        <f>Codex_calc!F53</f>
        <v>14.288</v>
      </c>
      <c r="G53" s="33">
        <f>Codex_calc!G53</f>
        <v>14.288</v>
      </c>
      <c r="H53" s="34">
        <f>Codex_calc!H53</f>
        <v>14.288</v>
      </c>
      <c r="I53" s="33">
        <f>Codex_calc!I53</f>
        <v>14.288</v>
      </c>
      <c r="J53" s="33">
        <f>Codex_calc!J53</f>
        <v>14.288</v>
      </c>
      <c r="K53" s="33">
        <f>Codex_calc!K53</f>
        <v>14.288</v>
      </c>
      <c r="L53" s="33">
        <f>Codex_calc!L53</f>
        <v>14.288</v>
      </c>
      <c r="M53" s="34">
        <f>Codex_calc!M53</f>
        <v>14.288</v>
      </c>
      <c r="N53" s="33">
        <f>Codex_calc!N53</f>
        <v>14.288</v>
      </c>
      <c r="O53" s="33">
        <f>Codex_calc!O53</f>
        <v>14.288</v>
      </c>
      <c r="P53" s="33">
        <f>Codex_calc!P53</f>
        <v>14.288</v>
      </c>
      <c r="Q53" s="33">
        <f>Codex_calc!Q53</f>
        <v>14.288</v>
      </c>
      <c r="R53" s="33">
        <f>Codex_calc!R53</f>
        <v>14.288</v>
      </c>
      <c r="S53" s="33">
        <f>Codex_calc!S53</f>
        <v>14.288</v>
      </c>
      <c r="T53" s="33">
        <f>Codex_calc!T53</f>
        <v>14.288</v>
      </c>
      <c r="U53" s="33">
        <f>Codex_calc!U53</f>
        <v>14.288</v>
      </c>
      <c r="V53" s="33">
        <f>Codex_calc!V53</f>
        <v>14.288</v>
      </c>
      <c r="W53" s="33">
        <f>Codex_calc!W53</f>
        <v>14.288</v>
      </c>
      <c r="X53" s="33">
        <f>Codex_calc!X53</f>
        <v>14.288</v>
      </c>
      <c r="Y53" s="33">
        <f>Codex_calc!Y53</f>
        <v>14.288</v>
      </c>
      <c r="Z53" s="33">
        <f>Codex_calc!Z53</f>
        <v>14.288</v>
      </c>
      <c r="AA53" s="33">
        <f>Codex_calc!AA53</f>
        <v>14.288</v>
      </c>
      <c r="AB53" s="33">
        <f>Codex_calc!AB53</f>
        <v>14.288</v>
      </c>
      <c r="AC53" s="33">
        <f>Codex_calc!AC53</f>
        <v>14.288</v>
      </c>
      <c r="AD53" s="33">
        <f>Codex_calc!AD53</f>
        <v>14.288</v>
      </c>
      <c r="AE53" s="33">
        <f>Codex_calc!AE53</f>
        <v>14.288</v>
      </c>
      <c r="AF53" s="33">
        <f>Codex_calc!AF53</f>
        <v>14.288</v>
      </c>
      <c r="AG53" s="33">
        <f>Codex_calc!AG53</f>
        <v>14.288</v>
      </c>
      <c r="AH53" s="33">
        <f>Codex_calc!AH53</f>
        <v>14.288</v>
      </c>
      <c r="AI53" s="33">
        <f>Codex_calc!AI53</f>
        <v>14.288</v>
      </c>
      <c r="AJ53" s="33">
        <f>Codex_calc!AJ53</f>
        <v>14.288</v>
      </c>
      <c r="AK53" s="33">
        <f>Codex_calc!AK53</f>
        <v>14.288</v>
      </c>
      <c r="AL53" s="33">
        <f>Codex_calc!AL53</f>
        <v>14.288</v>
      </c>
      <c r="AM53" s="33">
        <f>Codex_calc!AM53</f>
        <v>14.288</v>
      </c>
      <c r="AN53" s="33">
        <f>Codex_calc!AN53</f>
        <v>14.288</v>
      </c>
      <c r="AO53" t="str">
        <f>Codex_calc!AO53</f>
        <v>2019, 2130</v>
      </c>
    </row>
    <row r="54" spans="3:41">
      <c r="C54" s="33" t="str">
        <f>Codex_calc!C54</f>
        <v>MINNiRSV2</v>
      </c>
      <c r="D54" s="33" t="str">
        <f>Codex_calc!D54</f>
        <v>BNDACT</v>
      </c>
      <c r="E54" s="33"/>
      <c r="F54" s="33">
        <f>Codex_calc!F54</f>
        <v>0</v>
      </c>
      <c r="G54" s="33">
        <f>Codex_calc!G54</f>
        <v>0</v>
      </c>
      <c r="H54" s="34">
        <f>Codex_calc!H54</f>
        <v>12.8076923076923</v>
      </c>
      <c r="I54" s="33">
        <f>Codex_calc!I54</f>
        <v>0</v>
      </c>
      <c r="J54" s="33">
        <f>Codex_calc!J54</f>
        <v>0</v>
      </c>
      <c r="K54" s="33">
        <f>Codex_calc!K54</f>
        <v>0</v>
      </c>
      <c r="L54" s="33">
        <f>Codex_calc!L54</f>
        <v>19.9230769230769</v>
      </c>
      <c r="M54" s="34">
        <f>Codex_calc!M54</f>
        <v>34.1538461538462</v>
      </c>
      <c r="N54" s="33">
        <f>Codex_calc!N54</f>
        <v>0</v>
      </c>
      <c r="O54" s="33">
        <f>Codex_calc!O54</f>
        <v>0</v>
      </c>
      <c r="P54" s="33">
        <f>Codex_calc!P54</f>
        <v>0</v>
      </c>
      <c r="Q54" s="33">
        <f>Codex_calc!Q54</f>
        <v>0</v>
      </c>
      <c r="R54" s="33">
        <f>Codex_calc!R54</f>
        <v>0</v>
      </c>
      <c r="S54" s="33">
        <f>Codex_calc!S54</f>
        <v>0</v>
      </c>
      <c r="T54" s="33">
        <f>Codex_calc!T54</f>
        <v>0</v>
      </c>
      <c r="U54" s="33">
        <f>Codex_calc!U54</f>
        <v>0</v>
      </c>
      <c r="V54" s="33">
        <f>Codex_calc!V54</f>
        <v>0</v>
      </c>
      <c r="W54" s="33">
        <f>Codex_calc!W54</f>
        <v>0</v>
      </c>
      <c r="X54" s="33">
        <f>Codex_calc!X54</f>
        <v>0</v>
      </c>
      <c r="Y54" s="33">
        <f>Codex_calc!Y54</f>
        <v>0</v>
      </c>
      <c r="Z54" s="33">
        <f>Codex_calc!Z54</f>
        <v>0</v>
      </c>
      <c r="AA54" s="33">
        <f>Codex_calc!AA54</f>
        <v>42.6923076923077</v>
      </c>
      <c r="AB54" s="33">
        <f>Codex_calc!AB54</f>
        <v>0</v>
      </c>
      <c r="AC54" s="33">
        <f>Codex_calc!AC54</f>
        <v>0</v>
      </c>
      <c r="AD54" s="33">
        <f>Codex_calc!AD54</f>
        <v>939.230769230769</v>
      </c>
      <c r="AE54" s="33">
        <f>Codex_calc!AE54</f>
        <v>56.9230769230769</v>
      </c>
      <c r="AF54" s="33">
        <f>Codex_calc!AF54</f>
        <v>0</v>
      </c>
      <c r="AG54" s="33">
        <f>Codex_calc!AG54</f>
        <v>0</v>
      </c>
      <c r="AH54" s="33">
        <f>Codex_calc!AH54</f>
        <v>0</v>
      </c>
      <c r="AI54" s="33">
        <f>Codex_calc!AI54</f>
        <v>0</v>
      </c>
      <c r="AJ54" s="33">
        <f>Codex_calc!AJ54</f>
        <v>0</v>
      </c>
      <c r="AK54" s="33">
        <f>Codex_calc!AK54</f>
        <v>0</v>
      </c>
      <c r="AL54" s="33">
        <f>Codex_calc!AL54</f>
        <v>0</v>
      </c>
      <c r="AM54" s="33">
        <f>Codex_calc!AM54</f>
        <v>0</v>
      </c>
      <c r="AN54" s="33">
        <f>Codex_calc!AN54</f>
        <v>0</v>
      </c>
      <c r="AO54" t="str">
        <f>Codex_calc!AO54</f>
        <v>2019, 2130</v>
      </c>
    </row>
    <row r="55" spans="3:41">
      <c r="C55" s="33" t="str">
        <f>Codex_calc!C55</f>
        <v>MINNiRSV2</v>
      </c>
      <c r="D55" s="33" t="str">
        <f>Codex_calc!D55</f>
        <v>CUM</v>
      </c>
      <c r="E55" s="33"/>
      <c r="F55" s="33"/>
      <c r="G55" s="33"/>
      <c r="H55" s="34"/>
      <c r="I55" s="33"/>
      <c r="J55" s="33"/>
      <c r="K55" s="33"/>
      <c r="L55" s="33"/>
      <c r="M55" s="34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t="str">
        <f>Codex_calc!AO55</f>
        <v>2019, 2130</v>
      </c>
    </row>
    <row r="56" spans="3:41">
      <c r="C56" s="33" t="str">
        <f>Codex_calc!C56</f>
        <v>MINNiRSV2</v>
      </c>
      <c r="D56" s="33" t="str">
        <f>Codex_calc!D56</f>
        <v>COST</v>
      </c>
      <c r="E56" s="33" t="str">
        <f>Codex_calc!E56</f>
        <v>m_nickel</v>
      </c>
      <c r="F56" s="33">
        <f>F53*1.05</f>
        <v>15.0024</v>
      </c>
      <c r="G56" s="33">
        <f t="shared" ref="G56:AN56" si="3">G53*1.05</f>
        <v>15.0024</v>
      </c>
      <c r="H56" s="33">
        <f t="shared" si="3"/>
        <v>15.0024</v>
      </c>
      <c r="I56" s="33">
        <f t="shared" si="3"/>
        <v>15.0024</v>
      </c>
      <c r="J56" s="33">
        <f t="shared" si="3"/>
        <v>15.0024</v>
      </c>
      <c r="K56" s="33">
        <f t="shared" si="3"/>
        <v>15.0024</v>
      </c>
      <c r="L56" s="33">
        <f t="shared" si="3"/>
        <v>15.0024</v>
      </c>
      <c r="M56" s="33">
        <f t="shared" si="3"/>
        <v>15.0024</v>
      </c>
      <c r="N56" s="33">
        <f t="shared" si="3"/>
        <v>15.0024</v>
      </c>
      <c r="O56" s="33">
        <f t="shared" si="3"/>
        <v>15.0024</v>
      </c>
      <c r="P56" s="33">
        <f t="shared" si="3"/>
        <v>15.0024</v>
      </c>
      <c r="Q56" s="33">
        <f t="shared" si="3"/>
        <v>15.0024</v>
      </c>
      <c r="R56" s="33">
        <f t="shared" si="3"/>
        <v>15.0024</v>
      </c>
      <c r="S56" s="33">
        <f t="shared" si="3"/>
        <v>15.0024</v>
      </c>
      <c r="T56" s="33">
        <f t="shared" si="3"/>
        <v>15.0024</v>
      </c>
      <c r="U56" s="33">
        <f t="shared" si="3"/>
        <v>15.0024</v>
      </c>
      <c r="V56" s="33">
        <f t="shared" si="3"/>
        <v>15.0024</v>
      </c>
      <c r="W56" s="33">
        <f t="shared" si="3"/>
        <v>15.0024</v>
      </c>
      <c r="X56" s="33">
        <f t="shared" si="3"/>
        <v>15.0024</v>
      </c>
      <c r="Y56" s="33">
        <f t="shared" si="3"/>
        <v>15.0024</v>
      </c>
      <c r="Z56" s="33">
        <f t="shared" si="3"/>
        <v>15.0024</v>
      </c>
      <c r="AA56" s="33">
        <f t="shared" si="3"/>
        <v>15.0024</v>
      </c>
      <c r="AB56" s="33">
        <f t="shared" si="3"/>
        <v>15.0024</v>
      </c>
      <c r="AC56" s="33">
        <f t="shared" si="3"/>
        <v>15.0024</v>
      </c>
      <c r="AD56" s="33">
        <f t="shared" si="3"/>
        <v>15.0024</v>
      </c>
      <c r="AE56" s="33">
        <f t="shared" si="3"/>
        <v>15.0024</v>
      </c>
      <c r="AF56" s="33">
        <f t="shared" si="3"/>
        <v>15.0024</v>
      </c>
      <c r="AG56" s="33">
        <f t="shared" si="3"/>
        <v>15.0024</v>
      </c>
      <c r="AH56" s="33">
        <f t="shared" si="3"/>
        <v>15.0024</v>
      </c>
      <c r="AI56" s="33">
        <f t="shared" si="3"/>
        <v>15.0024</v>
      </c>
      <c r="AJ56" s="33">
        <f t="shared" si="3"/>
        <v>15.0024</v>
      </c>
      <c r="AK56" s="33">
        <f t="shared" si="3"/>
        <v>15.0024</v>
      </c>
      <c r="AL56" s="33">
        <f t="shared" si="3"/>
        <v>15.0024</v>
      </c>
      <c r="AM56" s="33">
        <f t="shared" si="3"/>
        <v>15.0024</v>
      </c>
      <c r="AN56" s="33">
        <f t="shared" si="3"/>
        <v>15.0024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/>
      <c r="F57"/>
      <c r="G57"/>
      <c r="H57"/>
      <c r="K57"/>
      <c r="L57"/>
      <c r="M57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/>
      <c r="F58"/>
      <c r="G58"/>
      <c r="H58"/>
      <c r="K58"/>
      <c r="L58"/>
      <c r="M58"/>
      <c r="P58"/>
      <c r="R58"/>
      <c r="T58"/>
      <c r="U58"/>
      <c r="Y58"/>
      <c r="Z58"/>
      <c r="AA58"/>
      <c r="AB58"/>
      <c r="AC58"/>
      <c r="AD58"/>
      <c r="AE58"/>
      <c r="AF58"/>
      <c r="AG58"/>
      <c r="AH58"/>
      <c r="AI58"/>
      <c r="AK58"/>
      <c r="AM58"/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F56*1.05</f>
        <v>15.75252</v>
      </c>
      <c r="G59">
        <f t="shared" ref="G59:AN59" si="4">G56*1.05</f>
        <v>15.75252</v>
      </c>
      <c r="H59">
        <f t="shared" si="4"/>
        <v>15.75252</v>
      </c>
      <c r="I59">
        <f t="shared" si="4"/>
        <v>15.75252</v>
      </c>
      <c r="J59">
        <f t="shared" si="4"/>
        <v>15.75252</v>
      </c>
      <c r="K59">
        <f t="shared" si="4"/>
        <v>15.75252</v>
      </c>
      <c r="L59">
        <f t="shared" si="4"/>
        <v>15.75252</v>
      </c>
      <c r="M59">
        <f t="shared" si="4"/>
        <v>15.75252</v>
      </c>
      <c r="N59">
        <f t="shared" si="4"/>
        <v>15.75252</v>
      </c>
      <c r="O59">
        <f t="shared" si="4"/>
        <v>15.75252</v>
      </c>
      <c r="P59">
        <f t="shared" si="4"/>
        <v>15.75252</v>
      </c>
      <c r="Q59">
        <f t="shared" si="4"/>
        <v>15.75252</v>
      </c>
      <c r="R59">
        <f t="shared" si="4"/>
        <v>15.75252</v>
      </c>
      <c r="S59">
        <f t="shared" si="4"/>
        <v>15.75252</v>
      </c>
      <c r="T59">
        <f t="shared" si="4"/>
        <v>15.75252</v>
      </c>
      <c r="U59">
        <f t="shared" si="4"/>
        <v>15.75252</v>
      </c>
      <c r="V59">
        <f t="shared" si="4"/>
        <v>15.75252</v>
      </c>
      <c r="W59">
        <f t="shared" si="4"/>
        <v>15.75252</v>
      </c>
      <c r="X59">
        <f t="shared" si="4"/>
        <v>15.75252</v>
      </c>
      <c r="Y59">
        <f t="shared" si="4"/>
        <v>15.75252</v>
      </c>
      <c r="Z59">
        <f t="shared" si="4"/>
        <v>15.75252</v>
      </c>
      <c r="AA59">
        <f t="shared" si="4"/>
        <v>15.75252</v>
      </c>
      <c r="AB59">
        <f t="shared" si="4"/>
        <v>15.75252</v>
      </c>
      <c r="AC59">
        <f t="shared" si="4"/>
        <v>15.75252</v>
      </c>
      <c r="AD59">
        <f t="shared" si="4"/>
        <v>15.75252</v>
      </c>
      <c r="AE59">
        <f t="shared" si="4"/>
        <v>15.75252</v>
      </c>
      <c r="AF59">
        <f t="shared" si="4"/>
        <v>15.75252</v>
      </c>
      <c r="AG59">
        <f t="shared" si="4"/>
        <v>15.75252</v>
      </c>
      <c r="AH59">
        <f t="shared" si="4"/>
        <v>15.75252</v>
      </c>
      <c r="AI59">
        <f t="shared" si="4"/>
        <v>15.75252</v>
      </c>
      <c r="AJ59">
        <f t="shared" si="4"/>
        <v>15.75252</v>
      </c>
      <c r="AK59">
        <f t="shared" si="4"/>
        <v>15.75252</v>
      </c>
      <c r="AL59">
        <f t="shared" si="4"/>
        <v>15.75252</v>
      </c>
      <c r="AM59">
        <f t="shared" si="4"/>
        <v>15.75252</v>
      </c>
      <c r="AN59">
        <f t="shared" si="4"/>
        <v>15.75252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 s="3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 s="3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 s="33">
        <f>Codex_calc!F61</f>
        <v>0</v>
      </c>
      <c r="G61" s="33">
        <f>Codex_calc!G61</f>
        <v>166.12332516129</v>
      </c>
      <c r="H61" s="34">
        <f>Codex_calc!H61</f>
        <v>2.62785935483871</v>
      </c>
      <c r="I61" s="33">
        <f>Codex_calc!I61</f>
        <v>0</v>
      </c>
      <c r="J61" s="33">
        <f>Codex_calc!J61</f>
        <v>0</v>
      </c>
      <c r="K61" s="33">
        <f>Codex_calc!K61</f>
        <v>0</v>
      </c>
      <c r="L61" s="33">
        <f>Codex_calc!L61</f>
        <v>0</v>
      </c>
      <c r="M61" s="34">
        <f>Codex_calc!M61</f>
        <v>1.42046451612903</v>
      </c>
      <c r="N61" s="33">
        <f>Codex_calc!N61</f>
        <v>0</v>
      </c>
      <c r="O61" s="33">
        <f>Codex_calc!O61</f>
        <v>0</v>
      </c>
      <c r="P61" s="33">
        <f>Codex_calc!P61</f>
        <v>0</v>
      </c>
      <c r="Q61" s="33">
        <f>Codex_calc!Q61</f>
        <v>0</v>
      </c>
      <c r="R61" s="33">
        <f>Codex_calc!R61</f>
        <v>0</v>
      </c>
      <c r="S61" s="33">
        <f>Codex_calc!S61</f>
        <v>0</v>
      </c>
      <c r="T61" s="33">
        <f>Codex_calc!T61</f>
        <v>0</v>
      </c>
      <c r="U61" s="33">
        <f>Codex_calc!U61</f>
        <v>0</v>
      </c>
      <c r="V61" s="33">
        <f>Codex_calc!V61</f>
        <v>0</v>
      </c>
      <c r="W61" s="33">
        <f>Codex_calc!W61</f>
        <v>0</v>
      </c>
      <c r="X61" s="33">
        <f>Codex_calc!X61</f>
        <v>0</v>
      </c>
      <c r="Y61" s="33">
        <f>Codex_calc!Y61</f>
        <v>1.42046451612903</v>
      </c>
      <c r="Z61" s="33">
        <f>Codex_calc!Z61</f>
        <v>0</v>
      </c>
      <c r="AA61" s="33">
        <f>Codex_calc!AA61</f>
        <v>2.69888258064516</v>
      </c>
      <c r="AB61" s="33">
        <f>Codex_calc!AB61</f>
        <v>0</v>
      </c>
      <c r="AC61" s="33">
        <f>Codex_calc!AC61</f>
        <v>0</v>
      </c>
      <c r="AD61" s="33">
        <f>Codex_calc!AD61</f>
        <v>42.3298425806452</v>
      </c>
      <c r="AE61" s="33">
        <f>Codex_calc!AE61</f>
        <v>5.46878838709677</v>
      </c>
      <c r="AF61" s="33">
        <f>Codex_calc!AF61</f>
        <v>0</v>
      </c>
      <c r="AG61" s="33">
        <f>Codex_calc!AG61</f>
        <v>0</v>
      </c>
      <c r="AH61" s="33">
        <f>Codex_calc!AH61</f>
        <v>0</v>
      </c>
      <c r="AI61" s="33">
        <f>Codex_calc!AI61</f>
        <v>0</v>
      </c>
      <c r="AJ61" s="33">
        <f>Codex_calc!AJ61</f>
        <v>0</v>
      </c>
      <c r="AK61" s="33">
        <f>Codex_calc!AK61</f>
        <v>1.34944129032258</v>
      </c>
      <c r="AL61" s="33">
        <f>Codex_calc!AL61</f>
        <v>0</v>
      </c>
      <c r="AM61" s="33">
        <f>Codex_calc!AM61</f>
        <v>0</v>
      </c>
      <c r="AN61" s="33">
        <f>Codex_calc!AN61</f>
        <v>0</v>
      </c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/>
      <c r="F62"/>
      <c r="G62"/>
      <c r="H62" s="30"/>
      <c r="K62"/>
      <c r="L62"/>
      <c r="M62" s="30"/>
      <c r="P62"/>
      <c r="R62"/>
      <c r="T62"/>
      <c r="U62"/>
      <c r="Y62"/>
      <c r="Z62"/>
      <c r="AA62"/>
      <c r="AB62"/>
      <c r="AC62"/>
      <c r="AD62"/>
      <c r="AE62"/>
      <c r="AF62"/>
      <c r="AG62"/>
      <c r="AH62"/>
      <c r="AI62"/>
      <c r="AK62"/>
      <c r="AM62"/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 s="30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 s="30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 s="33">
        <f>Codex_calc!F64</f>
        <v>0</v>
      </c>
      <c r="G64" s="33">
        <f>Codex_calc!G64</f>
        <v>332.246650322581</v>
      </c>
      <c r="H64" s="34">
        <f>Codex_calc!H64</f>
        <v>5.25571870967742</v>
      </c>
      <c r="I64" s="33">
        <f>Codex_calc!I64</f>
        <v>0</v>
      </c>
      <c r="J64" s="33">
        <f>Codex_calc!J64</f>
        <v>0</v>
      </c>
      <c r="K64" s="33">
        <f>Codex_calc!K64</f>
        <v>0</v>
      </c>
      <c r="L64" s="33">
        <f>Codex_calc!L64</f>
        <v>0</v>
      </c>
      <c r="M64" s="34">
        <f>Codex_calc!M64</f>
        <v>2.84092903225806</v>
      </c>
      <c r="N64" s="33">
        <f>Codex_calc!N64</f>
        <v>0</v>
      </c>
      <c r="O64" s="33">
        <f>Codex_calc!O64</f>
        <v>0</v>
      </c>
      <c r="P64" s="33">
        <f>Codex_calc!P64</f>
        <v>0</v>
      </c>
      <c r="Q64" s="33">
        <f>Codex_calc!Q64</f>
        <v>0</v>
      </c>
      <c r="R64" s="33">
        <f>Codex_calc!R64</f>
        <v>0</v>
      </c>
      <c r="S64" s="33">
        <f>Codex_calc!S64</f>
        <v>0</v>
      </c>
      <c r="T64" s="33">
        <f>Codex_calc!T64</f>
        <v>0</v>
      </c>
      <c r="U64" s="33">
        <f>Codex_calc!U64</f>
        <v>0</v>
      </c>
      <c r="V64" s="33">
        <f>Codex_calc!V64</f>
        <v>0</v>
      </c>
      <c r="W64" s="33">
        <f>Codex_calc!W64</f>
        <v>0</v>
      </c>
      <c r="X64" s="33">
        <f>Codex_calc!X64</f>
        <v>0</v>
      </c>
      <c r="Y64" s="33">
        <f>Codex_calc!Y64</f>
        <v>2.84092903225806</v>
      </c>
      <c r="Z64" s="33">
        <f>Codex_calc!Z64</f>
        <v>0</v>
      </c>
      <c r="AA64" s="33">
        <f>Codex_calc!AA64</f>
        <v>5.39776516129032</v>
      </c>
      <c r="AB64" s="33">
        <f>Codex_calc!AB64</f>
        <v>0</v>
      </c>
      <c r="AC64" s="33">
        <f>Codex_calc!AC64</f>
        <v>0</v>
      </c>
      <c r="AD64" s="33">
        <f>Codex_calc!AD64</f>
        <v>84.6596851612903</v>
      </c>
      <c r="AE64" s="33">
        <f>Codex_calc!AE64</f>
        <v>10.9375767741935</v>
      </c>
      <c r="AF64" s="33">
        <f>Codex_calc!AF64</f>
        <v>0</v>
      </c>
      <c r="AG64" s="33">
        <f>Codex_calc!AG64</f>
        <v>0</v>
      </c>
      <c r="AH64" s="33">
        <f>Codex_calc!AH64</f>
        <v>0</v>
      </c>
      <c r="AI64" s="33">
        <f>Codex_calc!AI64</f>
        <v>0</v>
      </c>
      <c r="AJ64" s="33">
        <f>Codex_calc!AJ64</f>
        <v>0</v>
      </c>
      <c r="AK64" s="33">
        <f>Codex_calc!AK64</f>
        <v>2.69888258064516</v>
      </c>
      <c r="AL64" s="33">
        <f>Codex_calc!AL64</f>
        <v>0</v>
      </c>
      <c r="AM64" s="33">
        <f>Codex_calc!AM64</f>
        <v>0</v>
      </c>
      <c r="AN64" s="33">
        <f>Codex_calc!AN64</f>
        <v>0</v>
      </c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/>
      <c r="F65"/>
      <c r="G65"/>
      <c r="H65" s="30"/>
      <c r="K65"/>
      <c r="L65"/>
      <c r="M65" s="30"/>
      <c r="P65"/>
      <c r="R65"/>
      <c r="T65"/>
      <c r="U65"/>
      <c r="Y65"/>
      <c r="Z65"/>
      <c r="AA65"/>
      <c r="AB65"/>
      <c r="AC65"/>
      <c r="AD65"/>
      <c r="AE65"/>
      <c r="AF65"/>
      <c r="AG65"/>
      <c r="AH65"/>
      <c r="AI65"/>
      <c r="AK65"/>
      <c r="AM65"/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F63*1.05</f>
        <v>31.3362</v>
      </c>
      <c r="G66">
        <f t="shared" ref="G66:AN66" si="5">G63*1.05</f>
        <v>31.3362</v>
      </c>
      <c r="H66">
        <f t="shared" si="5"/>
        <v>31.3362</v>
      </c>
      <c r="I66">
        <f t="shared" si="5"/>
        <v>31.3362</v>
      </c>
      <c r="J66">
        <f t="shared" si="5"/>
        <v>31.3362</v>
      </c>
      <c r="K66">
        <f t="shared" si="5"/>
        <v>31.3362</v>
      </c>
      <c r="L66">
        <f t="shared" si="5"/>
        <v>31.3362</v>
      </c>
      <c r="M66">
        <f t="shared" si="5"/>
        <v>31.3362</v>
      </c>
      <c r="N66">
        <f t="shared" si="5"/>
        <v>31.3362</v>
      </c>
      <c r="O66">
        <f t="shared" si="5"/>
        <v>31.3362</v>
      </c>
      <c r="P66">
        <f t="shared" si="5"/>
        <v>31.3362</v>
      </c>
      <c r="Q66">
        <f t="shared" si="5"/>
        <v>31.3362</v>
      </c>
      <c r="R66">
        <f t="shared" si="5"/>
        <v>31.3362</v>
      </c>
      <c r="S66">
        <f t="shared" si="5"/>
        <v>31.3362</v>
      </c>
      <c r="T66">
        <f t="shared" si="5"/>
        <v>31.3362</v>
      </c>
      <c r="U66">
        <f t="shared" si="5"/>
        <v>31.3362</v>
      </c>
      <c r="V66">
        <f t="shared" si="5"/>
        <v>31.3362</v>
      </c>
      <c r="W66">
        <f t="shared" si="5"/>
        <v>31.3362</v>
      </c>
      <c r="X66">
        <f t="shared" si="5"/>
        <v>31.3362</v>
      </c>
      <c r="Y66">
        <f t="shared" si="5"/>
        <v>31.3362</v>
      </c>
      <c r="Z66">
        <f t="shared" si="5"/>
        <v>31.3362</v>
      </c>
      <c r="AA66">
        <f t="shared" si="5"/>
        <v>31.3362</v>
      </c>
      <c r="AB66">
        <f t="shared" si="5"/>
        <v>31.3362</v>
      </c>
      <c r="AC66">
        <f t="shared" si="5"/>
        <v>31.3362</v>
      </c>
      <c r="AD66">
        <f t="shared" si="5"/>
        <v>31.3362</v>
      </c>
      <c r="AE66">
        <f t="shared" si="5"/>
        <v>31.3362</v>
      </c>
      <c r="AF66">
        <f t="shared" si="5"/>
        <v>31.3362</v>
      </c>
      <c r="AG66">
        <f t="shared" si="5"/>
        <v>31.3362</v>
      </c>
      <c r="AH66">
        <f t="shared" si="5"/>
        <v>31.3362</v>
      </c>
      <c r="AI66">
        <f t="shared" si="5"/>
        <v>31.3362</v>
      </c>
      <c r="AJ66">
        <f t="shared" si="5"/>
        <v>31.3362</v>
      </c>
      <c r="AK66">
        <f t="shared" si="5"/>
        <v>31.3362</v>
      </c>
      <c r="AL66">
        <f t="shared" si="5"/>
        <v>31.3362</v>
      </c>
      <c r="AM66">
        <f t="shared" si="5"/>
        <v>31.3362</v>
      </c>
      <c r="AN66">
        <f t="shared" si="5"/>
        <v>31.3362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/>
      <c r="F67"/>
      <c r="G67"/>
      <c r="H67"/>
      <c r="K67"/>
      <c r="L67"/>
      <c r="M67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/>
      <c r="F68"/>
      <c r="G68"/>
      <c r="H68"/>
      <c r="K68"/>
      <c r="L68"/>
      <c r="M68"/>
      <c r="P68"/>
      <c r="R68"/>
      <c r="T68"/>
      <c r="U68"/>
      <c r="Y68"/>
      <c r="Z68"/>
      <c r="AA68"/>
      <c r="AB68"/>
      <c r="AC68"/>
      <c r="AD68"/>
      <c r="AE68"/>
      <c r="AF68"/>
      <c r="AG68"/>
      <c r="AH68"/>
      <c r="AI68"/>
      <c r="AK68"/>
      <c r="AM68"/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F66*1.05</f>
        <v>32.90301</v>
      </c>
      <c r="G69">
        <f t="shared" ref="G69:AN69" si="6">G66*1.05</f>
        <v>32.90301</v>
      </c>
      <c r="H69">
        <f t="shared" si="6"/>
        <v>32.90301</v>
      </c>
      <c r="I69">
        <f t="shared" si="6"/>
        <v>32.90301</v>
      </c>
      <c r="J69">
        <f t="shared" si="6"/>
        <v>32.90301</v>
      </c>
      <c r="K69">
        <f t="shared" si="6"/>
        <v>32.90301</v>
      </c>
      <c r="L69">
        <f t="shared" si="6"/>
        <v>32.90301</v>
      </c>
      <c r="M69">
        <f t="shared" si="6"/>
        <v>32.90301</v>
      </c>
      <c r="N69">
        <f t="shared" si="6"/>
        <v>32.90301</v>
      </c>
      <c r="O69">
        <f t="shared" si="6"/>
        <v>32.90301</v>
      </c>
      <c r="P69">
        <f t="shared" si="6"/>
        <v>32.90301</v>
      </c>
      <c r="Q69">
        <f t="shared" si="6"/>
        <v>32.90301</v>
      </c>
      <c r="R69">
        <f t="shared" si="6"/>
        <v>32.90301</v>
      </c>
      <c r="S69">
        <f t="shared" si="6"/>
        <v>32.90301</v>
      </c>
      <c r="T69">
        <f t="shared" si="6"/>
        <v>32.90301</v>
      </c>
      <c r="U69">
        <f t="shared" si="6"/>
        <v>32.90301</v>
      </c>
      <c r="V69">
        <f t="shared" si="6"/>
        <v>32.90301</v>
      </c>
      <c r="W69">
        <f t="shared" si="6"/>
        <v>32.90301</v>
      </c>
      <c r="X69">
        <f t="shared" si="6"/>
        <v>32.90301</v>
      </c>
      <c r="Y69">
        <f t="shared" si="6"/>
        <v>32.90301</v>
      </c>
      <c r="Z69">
        <f t="shared" si="6"/>
        <v>32.90301</v>
      </c>
      <c r="AA69">
        <f t="shared" si="6"/>
        <v>32.90301</v>
      </c>
      <c r="AB69">
        <f t="shared" si="6"/>
        <v>32.90301</v>
      </c>
      <c r="AC69">
        <f t="shared" si="6"/>
        <v>32.90301</v>
      </c>
      <c r="AD69">
        <f t="shared" si="6"/>
        <v>32.90301</v>
      </c>
      <c r="AE69">
        <f t="shared" si="6"/>
        <v>32.90301</v>
      </c>
      <c r="AF69">
        <f t="shared" si="6"/>
        <v>32.90301</v>
      </c>
      <c r="AG69">
        <f t="shared" si="6"/>
        <v>32.90301</v>
      </c>
      <c r="AH69">
        <f t="shared" si="6"/>
        <v>32.90301</v>
      </c>
      <c r="AI69">
        <f t="shared" si="6"/>
        <v>32.90301</v>
      </c>
      <c r="AJ69">
        <f t="shared" si="6"/>
        <v>32.90301</v>
      </c>
      <c r="AK69">
        <f t="shared" si="6"/>
        <v>32.90301</v>
      </c>
      <c r="AL69">
        <f t="shared" si="6"/>
        <v>32.90301</v>
      </c>
      <c r="AM69">
        <f t="shared" si="6"/>
        <v>32.90301</v>
      </c>
      <c r="AN69">
        <f t="shared" si="6"/>
        <v>32.90301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 s="3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 s="3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 s="33">
        <f>Codex_calc!F71</f>
        <v>0</v>
      </c>
      <c r="G71" s="33">
        <f>Codex_calc!G71</f>
        <v>74.235</v>
      </c>
      <c r="H71" s="34">
        <f>Codex_calc!H71</f>
        <v>16.16</v>
      </c>
      <c r="I71" s="33">
        <f>Codex_calc!I71</f>
        <v>0</v>
      </c>
      <c r="J71" s="33">
        <f>Codex_calc!J71</f>
        <v>0</v>
      </c>
      <c r="K71" s="33">
        <f>Codex_calc!K71</f>
        <v>0</v>
      </c>
      <c r="L71" s="33">
        <f>Codex_calc!L71</f>
        <v>8.08</v>
      </c>
      <c r="M71" s="34">
        <f>Codex_calc!M71</f>
        <v>7.07</v>
      </c>
      <c r="N71" s="33">
        <f>Codex_calc!N71</f>
        <v>0</v>
      </c>
      <c r="O71" s="33">
        <f>Codex_calc!O71</f>
        <v>0</v>
      </c>
      <c r="P71" s="33">
        <f>Codex_calc!P71</f>
        <v>0</v>
      </c>
      <c r="Q71" s="33">
        <f>Codex_calc!Q71</f>
        <v>0</v>
      </c>
      <c r="R71" s="33">
        <f>Codex_calc!R71</f>
        <v>0</v>
      </c>
      <c r="S71" s="33">
        <f>Codex_calc!S71</f>
        <v>0</v>
      </c>
      <c r="T71" s="33">
        <f>Codex_calc!T71</f>
        <v>0</v>
      </c>
      <c r="U71" s="33">
        <f>Codex_calc!U71</f>
        <v>7.979</v>
      </c>
      <c r="V71" s="33">
        <f>Codex_calc!V71</f>
        <v>0</v>
      </c>
      <c r="W71" s="33">
        <f>Codex_calc!W71</f>
        <v>0</v>
      </c>
      <c r="X71" s="33">
        <f>Codex_calc!X71</f>
        <v>0</v>
      </c>
      <c r="Y71" s="33">
        <f>Codex_calc!Y71</f>
        <v>0</v>
      </c>
      <c r="Z71" s="33">
        <f>Codex_calc!Z71</f>
        <v>0</v>
      </c>
      <c r="AA71" s="33">
        <f>Codex_calc!AA71</f>
        <v>0</v>
      </c>
      <c r="AB71" s="33">
        <f>Codex_calc!AB71</f>
        <v>0</v>
      </c>
      <c r="AC71" s="33">
        <f>Codex_calc!AC71</f>
        <v>0</v>
      </c>
      <c r="AD71" s="33">
        <f>Codex_calc!AD71</f>
        <v>13.13</v>
      </c>
      <c r="AE71" s="33">
        <f>Codex_calc!AE71</f>
        <v>0</v>
      </c>
      <c r="AF71" s="33">
        <f>Codex_calc!AF71</f>
        <v>0</v>
      </c>
      <c r="AG71" s="33">
        <f>Codex_calc!AG71</f>
        <v>76.76</v>
      </c>
      <c r="AH71" s="33">
        <f>Codex_calc!AH71</f>
        <v>0</v>
      </c>
      <c r="AI71" s="33">
        <f>Codex_calc!AI71</f>
        <v>0</v>
      </c>
      <c r="AJ71" s="33">
        <f>Codex_calc!AJ71</f>
        <v>0</v>
      </c>
      <c r="AK71" s="33">
        <f>Codex_calc!AK71</f>
        <v>0</v>
      </c>
      <c r="AL71" s="33">
        <f>Codex_calc!AL71</f>
        <v>0</v>
      </c>
      <c r="AM71" s="33">
        <f>Codex_calc!AM71</f>
        <v>0</v>
      </c>
      <c r="AN71" s="33">
        <f>Codex_calc!AN71</f>
        <v>0</v>
      </c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/>
      <c r="F72"/>
      <c r="G72"/>
      <c r="H72" s="30"/>
      <c r="K72"/>
      <c r="L72"/>
      <c r="M72" s="30"/>
      <c r="P72"/>
      <c r="R72"/>
      <c r="T72"/>
      <c r="U72"/>
      <c r="Y72"/>
      <c r="Z72"/>
      <c r="AA72"/>
      <c r="AB72"/>
      <c r="AC72"/>
      <c r="AD72"/>
      <c r="AE72"/>
      <c r="AF72"/>
      <c r="AG72"/>
      <c r="AH72"/>
      <c r="AI72"/>
      <c r="AK72"/>
      <c r="AM72"/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 s="30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 s="30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 s="33">
        <f>Codex_calc!F74</f>
        <v>0</v>
      </c>
      <c r="G74" s="33">
        <f>Codex_calc!G74</f>
        <v>148.47</v>
      </c>
      <c r="H74" s="34">
        <f>Codex_calc!H74</f>
        <v>32.32</v>
      </c>
      <c r="I74" s="33">
        <f>Codex_calc!I74</f>
        <v>0</v>
      </c>
      <c r="J74" s="33">
        <f>Codex_calc!J74</f>
        <v>0</v>
      </c>
      <c r="K74" s="33">
        <f>Codex_calc!K74</f>
        <v>0</v>
      </c>
      <c r="L74" s="33">
        <f>Codex_calc!L74</f>
        <v>16.16</v>
      </c>
      <c r="M74" s="34">
        <f>Codex_calc!M74</f>
        <v>14.14</v>
      </c>
      <c r="N74" s="33">
        <f>Codex_calc!N74</f>
        <v>0</v>
      </c>
      <c r="O74" s="33">
        <f>Codex_calc!O74</f>
        <v>0</v>
      </c>
      <c r="P74" s="33">
        <f>Codex_calc!P74</f>
        <v>0</v>
      </c>
      <c r="Q74" s="33">
        <f>Codex_calc!Q74</f>
        <v>0</v>
      </c>
      <c r="R74" s="33">
        <f>Codex_calc!R74</f>
        <v>0</v>
      </c>
      <c r="S74" s="33">
        <f>Codex_calc!S74</f>
        <v>0</v>
      </c>
      <c r="T74" s="33">
        <f>Codex_calc!T74</f>
        <v>0</v>
      </c>
      <c r="U74" s="33">
        <f>Codex_calc!U74</f>
        <v>15.958</v>
      </c>
      <c r="V74" s="33">
        <f>Codex_calc!V74</f>
        <v>0</v>
      </c>
      <c r="W74" s="33">
        <f>Codex_calc!W74</f>
        <v>0</v>
      </c>
      <c r="X74" s="33">
        <f>Codex_calc!X74</f>
        <v>0</v>
      </c>
      <c r="Y74" s="33">
        <f>Codex_calc!Y74</f>
        <v>0</v>
      </c>
      <c r="Z74" s="33">
        <f>Codex_calc!Z74</f>
        <v>0</v>
      </c>
      <c r="AA74" s="33">
        <f>Codex_calc!AA74</f>
        <v>0</v>
      </c>
      <c r="AB74" s="33">
        <f>Codex_calc!AB74</f>
        <v>0</v>
      </c>
      <c r="AC74" s="33">
        <f>Codex_calc!AC74</f>
        <v>0</v>
      </c>
      <c r="AD74" s="33">
        <f>Codex_calc!AD74</f>
        <v>26.26</v>
      </c>
      <c r="AE74" s="33">
        <f>Codex_calc!AE74</f>
        <v>0</v>
      </c>
      <c r="AF74" s="33">
        <f>Codex_calc!AF74</f>
        <v>0</v>
      </c>
      <c r="AG74" s="33">
        <f>Codex_calc!AG74</f>
        <v>153.52</v>
      </c>
      <c r="AH74" s="33">
        <f>Codex_calc!AH74</f>
        <v>0</v>
      </c>
      <c r="AI74" s="33">
        <f>Codex_calc!AI74</f>
        <v>0</v>
      </c>
      <c r="AJ74" s="33">
        <f>Codex_calc!AJ74</f>
        <v>0</v>
      </c>
      <c r="AK74" s="33">
        <f>Codex_calc!AK74</f>
        <v>0</v>
      </c>
      <c r="AL74" s="33">
        <f>Codex_calc!AL74</f>
        <v>0</v>
      </c>
      <c r="AM74" s="33">
        <f>Codex_calc!AM74</f>
        <v>0</v>
      </c>
      <c r="AN74" s="33">
        <f>Codex_calc!AN74</f>
        <v>0</v>
      </c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/>
      <c r="F75"/>
      <c r="G75"/>
      <c r="H75" s="30"/>
      <c r="K75"/>
      <c r="L75"/>
      <c r="M75" s="30"/>
      <c r="P75"/>
      <c r="R75"/>
      <c r="T75"/>
      <c r="U75"/>
      <c r="Y75"/>
      <c r="Z75"/>
      <c r="AA75"/>
      <c r="AB75"/>
      <c r="AC75"/>
      <c r="AD75"/>
      <c r="AE75"/>
      <c r="AF75"/>
      <c r="AG75"/>
      <c r="AH75"/>
      <c r="AI75"/>
      <c r="AK75"/>
      <c r="AM75"/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F73*1.05</f>
        <v>0.4725</v>
      </c>
      <c r="G76">
        <f t="shared" ref="G76:AN76" si="7">G73*1.05</f>
        <v>0.4725</v>
      </c>
      <c r="H76">
        <f t="shared" si="7"/>
        <v>0.4725</v>
      </c>
      <c r="I76">
        <f t="shared" si="7"/>
        <v>0.4725</v>
      </c>
      <c r="J76">
        <f t="shared" si="7"/>
        <v>0.4725</v>
      </c>
      <c r="K76">
        <f t="shared" si="7"/>
        <v>0.4725</v>
      </c>
      <c r="L76">
        <f t="shared" si="7"/>
        <v>0.4725</v>
      </c>
      <c r="M76">
        <f t="shared" si="7"/>
        <v>0.4725</v>
      </c>
      <c r="N76">
        <f t="shared" si="7"/>
        <v>0.4725</v>
      </c>
      <c r="O76">
        <f t="shared" si="7"/>
        <v>0.4725</v>
      </c>
      <c r="P76">
        <f t="shared" si="7"/>
        <v>0.4725</v>
      </c>
      <c r="Q76">
        <f t="shared" si="7"/>
        <v>0.4725</v>
      </c>
      <c r="R76">
        <f t="shared" si="7"/>
        <v>0.4725</v>
      </c>
      <c r="S76">
        <f t="shared" si="7"/>
        <v>0.4725</v>
      </c>
      <c r="T76">
        <f t="shared" si="7"/>
        <v>0.4725</v>
      </c>
      <c r="U76">
        <f t="shared" si="7"/>
        <v>0.4725</v>
      </c>
      <c r="V76">
        <f t="shared" si="7"/>
        <v>0.4725</v>
      </c>
      <c r="W76">
        <f t="shared" si="7"/>
        <v>0.4725</v>
      </c>
      <c r="X76">
        <f t="shared" si="7"/>
        <v>0.4725</v>
      </c>
      <c r="Y76">
        <f t="shared" si="7"/>
        <v>0.4725</v>
      </c>
      <c r="Z76">
        <f t="shared" si="7"/>
        <v>0.4725</v>
      </c>
      <c r="AA76">
        <f t="shared" si="7"/>
        <v>0.4725</v>
      </c>
      <c r="AB76">
        <f t="shared" si="7"/>
        <v>0.4725</v>
      </c>
      <c r="AC76">
        <f t="shared" si="7"/>
        <v>0.4725</v>
      </c>
      <c r="AD76">
        <f t="shared" si="7"/>
        <v>0.4725</v>
      </c>
      <c r="AE76">
        <f t="shared" si="7"/>
        <v>0.4725</v>
      </c>
      <c r="AF76">
        <f t="shared" si="7"/>
        <v>0.4725</v>
      </c>
      <c r="AG76">
        <f t="shared" si="7"/>
        <v>0.4725</v>
      </c>
      <c r="AH76">
        <f t="shared" si="7"/>
        <v>0.4725</v>
      </c>
      <c r="AI76">
        <f t="shared" si="7"/>
        <v>0.4725</v>
      </c>
      <c r="AJ76">
        <f t="shared" si="7"/>
        <v>0.4725</v>
      </c>
      <c r="AK76">
        <f t="shared" si="7"/>
        <v>0.4725</v>
      </c>
      <c r="AL76">
        <f t="shared" si="7"/>
        <v>0.4725</v>
      </c>
      <c r="AM76">
        <f t="shared" si="7"/>
        <v>0.4725</v>
      </c>
      <c r="AN76">
        <f t="shared" si="7"/>
        <v>0.4725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/>
      <c r="F77"/>
      <c r="G77"/>
      <c r="H77"/>
      <c r="K77"/>
      <c r="L77"/>
      <c r="M77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/>
      <c r="F78"/>
      <c r="G78"/>
      <c r="H78"/>
      <c r="K78"/>
      <c r="L78"/>
      <c r="M78"/>
      <c r="P78"/>
      <c r="R78"/>
      <c r="T78"/>
      <c r="U78"/>
      <c r="Y78"/>
      <c r="Z78"/>
      <c r="AA78"/>
      <c r="AB78"/>
      <c r="AC78"/>
      <c r="AD78"/>
      <c r="AE78"/>
      <c r="AF78"/>
      <c r="AG78"/>
      <c r="AH78"/>
      <c r="AI78"/>
      <c r="AK78"/>
      <c r="AM78"/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F76*1.05</f>
        <v>0.496125</v>
      </c>
      <c r="G79">
        <f t="shared" ref="G79:AN79" si="8">G76*1.05</f>
        <v>0.496125</v>
      </c>
      <c r="H79">
        <f t="shared" si="8"/>
        <v>0.496125</v>
      </c>
      <c r="I79">
        <f t="shared" si="8"/>
        <v>0.496125</v>
      </c>
      <c r="J79">
        <f t="shared" si="8"/>
        <v>0.496125</v>
      </c>
      <c r="K79">
        <f t="shared" si="8"/>
        <v>0.496125</v>
      </c>
      <c r="L79">
        <f t="shared" si="8"/>
        <v>0.496125</v>
      </c>
      <c r="M79">
        <f t="shared" si="8"/>
        <v>0.496125</v>
      </c>
      <c r="N79">
        <f t="shared" si="8"/>
        <v>0.496125</v>
      </c>
      <c r="O79">
        <f t="shared" si="8"/>
        <v>0.496125</v>
      </c>
      <c r="P79">
        <f t="shared" si="8"/>
        <v>0.496125</v>
      </c>
      <c r="Q79">
        <f t="shared" si="8"/>
        <v>0.496125</v>
      </c>
      <c r="R79">
        <f t="shared" si="8"/>
        <v>0.496125</v>
      </c>
      <c r="S79">
        <f t="shared" si="8"/>
        <v>0.496125</v>
      </c>
      <c r="T79">
        <f t="shared" si="8"/>
        <v>0.496125</v>
      </c>
      <c r="U79">
        <f t="shared" si="8"/>
        <v>0.496125</v>
      </c>
      <c r="V79">
        <f t="shared" si="8"/>
        <v>0.496125</v>
      </c>
      <c r="W79">
        <f t="shared" si="8"/>
        <v>0.496125</v>
      </c>
      <c r="X79">
        <f t="shared" si="8"/>
        <v>0.496125</v>
      </c>
      <c r="Y79">
        <f t="shared" si="8"/>
        <v>0.496125</v>
      </c>
      <c r="Z79">
        <f t="shared" si="8"/>
        <v>0.496125</v>
      </c>
      <c r="AA79">
        <f t="shared" si="8"/>
        <v>0.496125</v>
      </c>
      <c r="AB79">
        <f t="shared" si="8"/>
        <v>0.496125</v>
      </c>
      <c r="AC79">
        <f t="shared" si="8"/>
        <v>0.496125</v>
      </c>
      <c r="AD79">
        <f t="shared" si="8"/>
        <v>0.496125</v>
      </c>
      <c r="AE79">
        <f t="shared" si="8"/>
        <v>0.496125</v>
      </c>
      <c r="AF79">
        <f t="shared" si="8"/>
        <v>0.496125</v>
      </c>
      <c r="AG79">
        <f t="shared" si="8"/>
        <v>0.496125</v>
      </c>
      <c r="AH79">
        <f t="shared" si="8"/>
        <v>0.496125</v>
      </c>
      <c r="AI79">
        <f t="shared" si="8"/>
        <v>0.496125</v>
      </c>
      <c r="AJ79">
        <f t="shared" si="8"/>
        <v>0.496125</v>
      </c>
      <c r="AK79">
        <f t="shared" si="8"/>
        <v>0.496125</v>
      </c>
      <c r="AL79">
        <f t="shared" si="8"/>
        <v>0.496125</v>
      </c>
      <c r="AM79">
        <f t="shared" si="8"/>
        <v>0.496125</v>
      </c>
      <c r="AN79">
        <f t="shared" si="8"/>
        <v>0.496125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 s="3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 s="3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F81" s="33">
        <f>Codex_calc!F81</f>
        <v>0</v>
      </c>
      <c r="G81" s="33">
        <f>Codex_calc!G81</f>
        <v>0</v>
      </c>
      <c r="H81" s="34">
        <f>Codex_calc!H81</f>
        <v>30.1272972972973</v>
      </c>
      <c r="I81" s="33">
        <f>Codex_calc!I81</f>
        <v>0</v>
      </c>
      <c r="J81" s="33">
        <f>Codex_calc!J81</f>
        <v>0</v>
      </c>
      <c r="K81" s="33">
        <f>Codex_calc!K81</f>
        <v>0</v>
      </c>
      <c r="L81" s="33">
        <f>Codex_calc!L81</f>
        <v>24.1018378378378</v>
      </c>
      <c r="M81" s="34">
        <f>Codex_calc!M81</f>
        <v>903.818918918919</v>
      </c>
      <c r="N81" s="33">
        <f>Codex_calc!N81</f>
        <v>0</v>
      </c>
      <c r="O81" s="33">
        <f>Codex_calc!O81</f>
        <v>0</v>
      </c>
      <c r="P81" s="33">
        <f>Codex_calc!P81</f>
        <v>0</v>
      </c>
      <c r="Q81" s="33">
        <f>Codex_calc!Q81</f>
        <v>0</v>
      </c>
      <c r="R81" s="33">
        <f>Codex_calc!R81</f>
        <v>0</v>
      </c>
      <c r="S81" s="33">
        <f>Codex_calc!S81</f>
        <v>0</v>
      </c>
      <c r="T81" s="33">
        <f>Codex_calc!T81</f>
        <v>15.0636486486486</v>
      </c>
      <c r="U81" s="33">
        <f>Codex_calc!U81</f>
        <v>84.3564324324324</v>
      </c>
      <c r="V81" s="33">
        <f>Codex_calc!V81</f>
        <v>0</v>
      </c>
      <c r="W81" s="33">
        <f>Codex_calc!W81</f>
        <v>0</v>
      </c>
      <c r="X81" s="33">
        <f>Codex_calc!X81</f>
        <v>0</v>
      </c>
      <c r="Y81" s="33">
        <f>Codex_calc!Y81</f>
        <v>0</v>
      </c>
      <c r="Z81" s="33">
        <f>Codex_calc!Z81</f>
        <v>86.3649189189189</v>
      </c>
      <c r="AA81" s="33">
        <f>Codex_calc!AA81</f>
        <v>79.5360648648649</v>
      </c>
      <c r="AB81" s="33">
        <f>Codex_calc!AB81</f>
        <v>26.1103243243243</v>
      </c>
      <c r="AC81" s="33">
        <f>Codex_calc!AC81</f>
        <v>0</v>
      </c>
      <c r="AD81" s="33">
        <f>Codex_calc!AD81</f>
        <v>162.687405405405</v>
      </c>
      <c r="AE81" s="33">
        <f>Codex_calc!AE81</f>
        <v>78.330972972973</v>
      </c>
      <c r="AF81" s="33">
        <f>Codex_calc!AF81</f>
        <v>0</v>
      </c>
      <c r="AG81" s="33">
        <f>Codex_calc!AG81</f>
        <v>0</v>
      </c>
      <c r="AH81" s="33">
        <f>Codex_calc!AH81</f>
        <v>0</v>
      </c>
      <c r="AI81" s="33">
        <f>Codex_calc!AI81</f>
        <v>0</v>
      </c>
      <c r="AJ81" s="33">
        <f>Codex_calc!AJ81</f>
        <v>0</v>
      </c>
      <c r="AK81" s="33">
        <f>Codex_calc!AK81</f>
        <v>0</v>
      </c>
      <c r="AL81" s="33">
        <f>Codex_calc!AL81</f>
        <v>0</v>
      </c>
      <c r="AM81" s="33">
        <f>Codex_calc!AM81</f>
        <v>0</v>
      </c>
      <c r="AN81" s="33">
        <f>Codex_calc!AN81</f>
        <v>0</v>
      </c>
      <c r="AO81" t="str">
        <f>Codex_calc!AO81</f>
        <v>2019, 2130</v>
      </c>
    </row>
    <row r="82" s="30" customFormat="1" spans="3:41">
      <c r="C82" s="30" t="str">
        <f>Codex_calc!C82</f>
        <v>MINAlRSV1</v>
      </c>
      <c r="D82" s="30" t="str">
        <f>Codex_calc!D82</f>
        <v>CUM</v>
      </c>
      <c r="AO82" s="30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 s="30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 s="30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F84" s="33">
        <f>Codex_calc!F84</f>
        <v>0</v>
      </c>
      <c r="G84" s="33">
        <f>Codex_calc!G84</f>
        <v>0</v>
      </c>
      <c r="H84" s="34">
        <f>Codex_calc!H84</f>
        <v>60.2545945945946</v>
      </c>
      <c r="I84" s="33">
        <f>Codex_calc!I84</f>
        <v>0</v>
      </c>
      <c r="J84" s="33">
        <f>Codex_calc!J84</f>
        <v>0</v>
      </c>
      <c r="K84" s="33">
        <f>Codex_calc!K84</f>
        <v>0</v>
      </c>
      <c r="L84" s="33">
        <f>Codex_calc!L84</f>
        <v>48.2036756756757</v>
      </c>
      <c r="M84" s="34">
        <f>Codex_calc!M84</f>
        <v>1807.63783783784</v>
      </c>
      <c r="N84" s="33">
        <f>Codex_calc!N84</f>
        <v>0</v>
      </c>
      <c r="O84" s="33">
        <f>Codex_calc!O84</f>
        <v>0</v>
      </c>
      <c r="P84" s="33">
        <f>Codex_calc!P84</f>
        <v>0</v>
      </c>
      <c r="Q84" s="33">
        <f>Codex_calc!Q84</f>
        <v>0</v>
      </c>
      <c r="R84" s="33">
        <f>Codex_calc!R84</f>
        <v>0</v>
      </c>
      <c r="S84" s="33">
        <f>Codex_calc!S84</f>
        <v>0</v>
      </c>
      <c r="T84" s="33">
        <f>Codex_calc!T84</f>
        <v>30.1272972972973</v>
      </c>
      <c r="U84" s="33">
        <f>Codex_calc!U84</f>
        <v>168.712864864865</v>
      </c>
      <c r="V84" s="33">
        <f>Codex_calc!V84</f>
        <v>0</v>
      </c>
      <c r="W84" s="33">
        <f>Codex_calc!W84</f>
        <v>0</v>
      </c>
      <c r="X84" s="33">
        <f>Codex_calc!X84</f>
        <v>0</v>
      </c>
      <c r="Y84" s="33">
        <f>Codex_calc!Y84</f>
        <v>0</v>
      </c>
      <c r="Z84" s="33">
        <f>Codex_calc!Z84</f>
        <v>172.729837837838</v>
      </c>
      <c r="AA84" s="33">
        <f>Codex_calc!AA84</f>
        <v>159.07212972973</v>
      </c>
      <c r="AB84" s="33">
        <f>Codex_calc!AB84</f>
        <v>52.2206486486486</v>
      </c>
      <c r="AC84" s="33">
        <f>Codex_calc!AC84</f>
        <v>0</v>
      </c>
      <c r="AD84" s="33">
        <f>Codex_calc!AD84</f>
        <v>325.374810810811</v>
      </c>
      <c r="AE84" s="33">
        <f>Codex_calc!AE84</f>
        <v>156.661945945946</v>
      </c>
      <c r="AF84" s="33">
        <f>Codex_calc!AF84</f>
        <v>0</v>
      </c>
      <c r="AG84" s="33">
        <f>Codex_calc!AG84</f>
        <v>0</v>
      </c>
      <c r="AH84" s="33">
        <f>Codex_calc!AH84</f>
        <v>0</v>
      </c>
      <c r="AI84" s="33">
        <f>Codex_calc!AI84</f>
        <v>0</v>
      </c>
      <c r="AJ84" s="33">
        <f>Codex_calc!AJ84</f>
        <v>0</v>
      </c>
      <c r="AK84" s="33">
        <f>Codex_calc!AK84</f>
        <v>0</v>
      </c>
      <c r="AL84" s="33">
        <f>Codex_calc!AL84</f>
        <v>0</v>
      </c>
      <c r="AM84" s="33">
        <f>Codex_calc!AM84</f>
        <v>0</v>
      </c>
      <c r="AN84" s="33">
        <f>Codex_calc!AN84</f>
        <v>0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/>
      <c r="F85"/>
      <c r="G85"/>
      <c r="H85" s="30"/>
      <c r="K85"/>
      <c r="L85"/>
      <c r="M85" s="30"/>
      <c r="P85"/>
      <c r="R85"/>
      <c r="T85"/>
      <c r="U85"/>
      <c r="Y85"/>
      <c r="Z85"/>
      <c r="AA85"/>
      <c r="AB85"/>
      <c r="AC85"/>
      <c r="AD85"/>
      <c r="AE85"/>
      <c r="AF85"/>
      <c r="AG85"/>
      <c r="AH85"/>
      <c r="AI85"/>
      <c r="AK85"/>
      <c r="AM85"/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F83*1.05</f>
        <v>4.1667318</v>
      </c>
      <c r="G86">
        <f t="shared" ref="G86:AN86" si="9">G83*1.05</f>
        <v>4.1667318</v>
      </c>
      <c r="H86">
        <f t="shared" si="9"/>
        <v>4.1667318</v>
      </c>
      <c r="I86">
        <f t="shared" si="9"/>
        <v>4.1667318</v>
      </c>
      <c r="J86">
        <f t="shared" si="9"/>
        <v>4.1667318</v>
      </c>
      <c r="K86">
        <f t="shared" si="9"/>
        <v>4.1667318</v>
      </c>
      <c r="L86">
        <f t="shared" si="9"/>
        <v>4.1667318</v>
      </c>
      <c r="M86">
        <f t="shared" si="9"/>
        <v>4.1667318</v>
      </c>
      <c r="N86">
        <f t="shared" si="9"/>
        <v>4.1667318</v>
      </c>
      <c r="O86">
        <f t="shared" si="9"/>
        <v>4.1667318</v>
      </c>
      <c r="P86">
        <f t="shared" si="9"/>
        <v>4.1667318</v>
      </c>
      <c r="Q86">
        <f t="shared" si="9"/>
        <v>4.1667318</v>
      </c>
      <c r="R86">
        <f t="shared" si="9"/>
        <v>4.1667318</v>
      </c>
      <c r="S86">
        <f t="shared" si="9"/>
        <v>4.1667318</v>
      </c>
      <c r="T86">
        <f t="shared" si="9"/>
        <v>4.1667318</v>
      </c>
      <c r="U86">
        <f t="shared" si="9"/>
        <v>4.1667318</v>
      </c>
      <c r="V86">
        <f t="shared" si="9"/>
        <v>4.1667318</v>
      </c>
      <c r="W86">
        <f t="shared" si="9"/>
        <v>4.1667318</v>
      </c>
      <c r="X86">
        <f t="shared" si="9"/>
        <v>4.1667318</v>
      </c>
      <c r="Y86">
        <f t="shared" si="9"/>
        <v>4.1667318</v>
      </c>
      <c r="Z86">
        <f t="shared" si="9"/>
        <v>4.1667318</v>
      </c>
      <c r="AA86">
        <f t="shared" si="9"/>
        <v>4.1667318</v>
      </c>
      <c r="AB86">
        <f t="shared" si="9"/>
        <v>4.1667318</v>
      </c>
      <c r="AC86">
        <f t="shared" si="9"/>
        <v>4.1667318</v>
      </c>
      <c r="AD86">
        <f t="shared" si="9"/>
        <v>4.1667318</v>
      </c>
      <c r="AE86">
        <f t="shared" si="9"/>
        <v>4.1667318</v>
      </c>
      <c r="AF86">
        <f t="shared" si="9"/>
        <v>4.1667318</v>
      </c>
      <c r="AG86">
        <f t="shared" si="9"/>
        <v>4.1667318</v>
      </c>
      <c r="AH86">
        <f t="shared" si="9"/>
        <v>4.1667318</v>
      </c>
      <c r="AI86">
        <f t="shared" si="9"/>
        <v>4.1667318</v>
      </c>
      <c r="AJ86">
        <f t="shared" si="9"/>
        <v>4.1667318</v>
      </c>
      <c r="AK86">
        <f t="shared" si="9"/>
        <v>4.1667318</v>
      </c>
      <c r="AL86">
        <f t="shared" si="9"/>
        <v>4.1667318</v>
      </c>
      <c r="AM86">
        <f t="shared" si="9"/>
        <v>4.1667318</v>
      </c>
      <c r="AN86">
        <f t="shared" si="9"/>
        <v>4.1667318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/>
      <c r="F87"/>
      <c r="G87"/>
      <c r="H87"/>
      <c r="K87"/>
      <c r="L87"/>
      <c r="M87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/>
      <c r="F88"/>
      <c r="G88"/>
      <c r="H88"/>
      <c r="K88"/>
      <c r="L88"/>
      <c r="M88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F86*1.05</f>
        <v>4.37506839</v>
      </c>
      <c r="G89">
        <f t="shared" ref="G89:AN89" si="10">G86*1.05</f>
        <v>4.37506839</v>
      </c>
      <c r="H89">
        <f t="shared" si="10"/>
        <v>4.37506839</v>
      </c>
      <c r="I89">
        <f t="shared" si="10"/>
        <v>4.37506839</v>
      </c>
      <c r="J89">
        <f t="shared" si="10"/>
        <v>4.37506839</v>
      </c>
      <c r="K89">
        <f t="shared" si="10"/>
        <v>4.37506839</v>
      </c>
      <c r="L89">
        <f t="shared" si="10"/>
        <v>4.37506839</v>
      </c>
      <c r="M89">
        <f t="shared" si="10"/>
        <v>4.37506839</v>
      </c>
      <c r="N89">
        <f t="shared" si="10"/>
        <v>4.37506839</v>
      </c>
      <c r="O89">
        <f t="shared" si="10"/>
        <v>4.37506839</v>
      </c>
      <c r="P89">
        <f t="shared" si="10"/>
        <v>4.37506839</v>
      </c>
      <c r="Q89">
        <f t="shared" si="10"/>
        <v>4.37506839</v>
      </c>
      <c r="R89">
        <f t="shared" si="10"/>
        <v>4.37506839</v>
      </c>
      <c r="S89">
        <f t="shared" si="10"/>
        <v>4.37506839</v>
      </c>
      <c r="T89">
        <f t="shared" si="10"/>
        <v>4.37506839</v>
      </c>
      <c r="U89">
        <f t="shared" si="10"/>
        <v>4.37506839</v>
      </c>
      <c r="V89">
        <f t="shared" si="10"/>
        <v>4.37506839</v>
      </c>
      <c r="W89">
        <f t="shared" si="10"/>
        <v>4.37506839</v>
      </c>
      <c r="X89">
        <f t="shared" si="10"/>
        <v>4.37506839</v>
      </c>
      <c r="Y89">
        <f t="shared" si="10"/>
        <v>4.37506839</v>
      </c>
      <c r="Z89">
        <f t="shared" si="10"/>
        <v>4.37506839</v>
      </c>
      <c r="AA89">
        <f t="shared" si="10"/>
        <v>4.37506839</v>
      </c>
      <c r="AB89">
        <f t="shared" si="10"/>
        <v>4.37506839</v>
      </c>
      <c r="AC89">
        <f t="shared" si="10"/>
        <v>4.37506839</v>
      </c>
      <c r="AD89">
        <f t="shared" si="10"/>
        <v>4.37506839</v>
      </c>
      <c r="AE89">
        <f t="shared" si="10"/>
        <v>4.37506839</v>
      </c>
      <c r="AF89">
        <f t="shared" si="10"/>
        <v>4.37506839</v>
      </c>
      <c r="AG89">
        <f t="shared" si="10"/>
        <v>4.37506839</v>
      </c>
      <c r="AH89">
        <f t="shared" si="10"/>
        <v>4.37506839</v>
      </c>
      <c r="AI89">
        <f t="shared" si="10"/>
        <v>4.37506839</v>
      </c>
      <c r="AJ89">
        <f t="shared" si="10"/>
        <v>4.37506839</v>
      </c>
      <c r="AK89">
        <f t="shared" si="10"/>
        <v>4.37506839</v>
      </c>
      <c r="AL89">
        <f t="shared" si="10"/>
        <v>4.37506839</v>
      </c>
      <c r="AM89">
        <f t="shared" si="10"/>
        <v>4.37506839</v>
      </c>
      <c r="AN89">
        <f t="shared" si="10"/>
        <v>4.37506839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 s="3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 s="3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 s="33">
        <f>Codex_calc!F91</f>
        <v>0</v>
      </c>
      <c r="G91" s="33">
        <f>Codex_calc!G91</f>
        <v>102.6</v>
      </c>
      <c r="H91" s="34">
        <f>Codex_calc!H91</f>
        <v>18.0913043478261</v>
      </c>
      <c r="I91" s="33">
        <f>Codex_calc!I91</f>
        <v>0</v>
      </c>
      <c r="J91" s="33">
        <f>Codex_calc!J91</f>
        <v>0</v>
      </c>
      <c r="K91" s="33">
        <f>Codex_calc!K91</f>
        <v>0</v>
      </c>
      <c r="L91" s="33">
        <f>Codex_calc!L91</f>
        <v>0</v>
      </c>
      <c r="M91" s="34">
        <f>Codex_calc!M91</f>
        <v>44.6086956521739</v>
      </c>
      <c r="N91" s="33">
        <f>Codex_calc!N91</f>
        <v>0</v>
      </c>
      <c r="O91" s="33">
        <f>Codex_calc!O91</f>
        <v>0</v>
      </c>
      <c r="P91" s="33">
        <f>Codex_calc!P91</f>
        <v>0</v>
      </c>
      <c r="Q91" s="33">
        <f>Codex_calc!Q91</f>
        <v>0</v>
      </c>
      <c r="R91" s="33">
        <f>Codex_calc!R91</f>
        <v>0</v>
      </c>
      <c r="S91" s="33">
        <f>Codex_calc!S91</f>
        <v>0</v>
      </c>
      <c r="T91" s="33">
        <f>Codex_calc!T91</f>
        <v>0</v>
      </c>
      <c r="U91" s="33">
        <f>Codex_calc!U91</f>
        <v>0.57</v>
      </c>
      <c r="V91" s="33">
        <f>Codex_calc!V91</f>
        <v>0</v>
      </c>
      <c r="W91" s="33">
        <f>Codex_calc!W91</f>
        <v>0</v>
      </c>
      <c r="X91" s="33">
        <f>Codex_calc!X91</f>
        <v>0</v>
      </c>
      <c r="Y91" s="33">
        <f>Codex_calc!Y91</f>
        <v>198.260869565217</v>
      </c>
      <c r="Z91" s="33">
        <f>Codex_calc!Z91</f>
        <v>0</v>
      </c>
      <c r="AA91" s="33">
        <f>Codex_calc!AA91</f>
        <v>54.2739130434783</v>
      </c>
      <c r="AB91" s="33">
        <f>Codex_calc!AB91</f>
        <v>0</v>
      </c>
      <c r="AC91" s="33">
        <f>Codex_calc!AC91</f>
        <v>10.1608695652174</v>
      </c>
      <c r="AD91" s="33">
        <f>Codex_calc!AD91</f>
        <v>109.539130434783</v>
      </c>
      <c r="AE91" s="33">
        <f>Codex_calc!AE91</f>
        <v>32.2173913043478</v>
      </c>
      <c r="AF91" s="33">
        <f>Codex_calc!AF91</f>
        <v>0</v>
      </c>
      <c r="AG91" s="33">
        <f>Codex_calc!AG91</f>
        <v>0</v>
      </c>
      <c r="AH91" s="33">
        <f>Codex_calc!AH91</f>
        <v>0</v>
      </c>
      <c r="AI91" s="33">
        <f>Codex_calc!AI91</f>
        <v>0</v>
      </c>
      <c r="AJ91" s="33">
        <f>Codex_calc!AJ91</f>
        <v>0</v>
      </c>
      <c r="AK91" s="33">
        <f>Codex_calc!AK91</f>
        <v>0</v>
      </c>
      <c r="AL91" s="33">
        <f>Codex_calc!AL91</f>
        <v>0</v>
      </c>
      <c r="AM91" s="33">
        <f>Codex_calc!AM91</f>
        <v>0</v>
      </c>
      <c r="AN91" s="33">
        <f>Codex_calc!AN91</f>
        <v>0</v>
      </c>
      <c r="AO91" t="str">
        <f>Codex_calc!AO91</f>
        <v>2019, 2130</v>
      </c>
    </row>
    <row r="92" s="30" customFormat="1" spans="3:41">
      <c r="C92" s="30" t="str">
        <f>Codex_calc!C92</f>
        <v>MINCuRSV1</v>
      </c>
      <c r="D92" s="30" t="str">
        <f>Codex_calc!D92</f>
        <v>CUM</v>
      </c>
      <c r="AO92" s="30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 s="30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 s="30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 s="33">
        <f>Codex_calc!F94</f>
        <v>0</v>
      </c>
      <c r="G94" s="33">
        <f>Codex_calc!G94</f>
        <v>205.2</v>
      </c>
      <c r="H94" s="34">
        <f>Codex_calc!H94</f>
        <v>36.1826086956522</v>
      </c>
      <c r="I94" s="33">
        <f>Codex_calc!I94</f>
        <v>0</v>
      </c>
      <c r="J94" s="33">
        <f>Codex_calc!J94</f>
        <v>0</v>
      </c>
      <c r="K94" s="33">
        <f>Codex_calc!K94</f>
        <v>0</v>
      </c>
      <c r="L94" s="33">
        <f>Codex_calc!L94</f>
        <v>0</v>
      </c>
      <c r="M94" s="34">
        <f>Codex_calc!M94</f>
        <v>89.2173913043478</v>
      </c>
      <c r="N94" s="33">
        <f>Codex_calc!N94</f>
        <v>0</v>
      </c>
      <c r="O94" s="33">
        <f>Codex_calc!O94</f>
        <v>0</v>
      </c>
      <c r="P94" s="33">
        <f>Codex_calc!P94</f>
        <v>0</v>
      </c>
      <c r="Q94" s="33">
        <f>Codex_calc!Q94</f>
        <v>0</v>
      </c>
      <c r="R94" s="33">
        <f>Codex_calc!R94</f>
        <v>0</v>
      </c>
      <c r="S94" s="33">
        <f>Codex_calc!S94</f>
        <v>0</v>
      </c>
      <c r="T94" s="33">
        <f>Codex_calc!T94</f>
        <v>0</v>
      </c>
      <c r="U94" s="33">
        <f>Codex_calc!U94</f>
        <v>1.14</v>
      </c>
      <c r="V94" s="33">
        <f>Codex_calc!V94</f>
        <v>0</v>
      </c>
      <c r="W94" s="33">
        <f>Codex_calc!W94</f>
        <v>0</v>
      </c>
      <c r="X94" s="33">
        <f>Codex_calc!X94</f>
        <v>0</v>
      </c>
      <c r="Y94" s="33">
        <f>Codex_calc!Y94</f>
        <v>396.521739130435</v>
      </c>
      <c r="Z94" s="33">
        <f>Codex_calc!Z94</f>
        <v>0</v>
      </c>
      <c r="AA94" s="33">
        <f>Codex_calc!AA94</f>
        <v>108.547826086957</v>
      </c>
      <c r="AB94" s="33">
        <f>Codex_calc!AB94</f>
        <v>0</v>
      </c>
      <c r="AC94" s="33">
        <f>Codex_calc!AC94</f>
        <v>20.3217391304348</v>
      </c>
      <c r="AD94" s="33">
        <f>Codex_calc!AD94</f>
        <v>219.078260869565</v>
      </c>
      <c r="AE94" s="33">
        <f>Codex_calc!AE94</f>
        <v>64.4347826086956</v>
      </c>
      <c r="AF94" s="33">
        <f>Codex_calc!AF94</f>
        <v>0</v>
      </c>
      <c r="AG94" s="33">
        <f>Codex_calc!AG94</f>
        <v>0</v>
      </c>
      <c r="AH94" s="33">
        <f>Codex_calc!AH94</f>
        <v>0</v>
      </c>
      <c r="AI94" s="33">
        <f>Codex_calc!AI94</f>
        <v>0</v>
      </c>
      <c r="AJ94" s="33">
        <f>Codex_calc!AJ94</f>
        <v>0</v>
      </c>
      <c r="AK94" s="33">
        <f>Codex_calc!AK94</f>
        <v>0</v>
      </c>
      <c r="AL94" s="33">
        <f>Codex_calc!AL94</f>
        <v>0</v>
      </c>
      <c r="AM94" s="33">
        <f>Codex_calc!AM94</f>
        <v>0</v>
      </c>
      <c r="AN94" s="33">
        <f>Codex_calc!AN94</f>
        <v>0</v>
      </c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/>
      <c r="F95"/>
      <c r="G95"/>
      <c r="H95" s="30"/>
      <c r="K95"/>
      <c r="L95"/>
      <c r="M95" s="30"/>
      <c r="P95"/>
      <c r="R95"/>
      <c r="T95"/>
      <c r="U95"/>
      <c r="Y95"/>
      <c r="Z95"/>
      <c r="AA95"/>
      <c r="AB95"/>
      <c r="AC95"/>
      <c r="AD95"/>
      <c r="AE95"/>
      <c r="AF95"/>
      <c r="AG95"/>
      <c r="AH95"/>
      <c r="AI95"/>
      <c r="AK95"/>
      <c r="AM95"/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F93*1.05</f>
        <v>10.1853444</v>
      </c>
      <c r="G96">
        <f t="shared" ref="G96:AN96" si="11">G93*1.05</f>
        <v>10.1853444</v>
      </c>
      <c r="H96">
        <f t="shared" si="11"/>
        <v>10.1853444</v>
      </c>
      <c r="I96">
        <f t="shared" si="11"/>
        <v>10.1853444</v>
      </c>
      <c r="J96">
        <f t="shared" si="11"/>
        <v>10.1853444</v>
      </c>
      <c r="K96">
        <f t="shared" si="11"/>
        <v>10.1853444</v>
      </c>
      <c r="L96">
        <f t="shared" si="11"/>
        <v>10.1853444</v>
      </c>
      <c r="M96">
        <f t="shared" si="11"/>
        <v>10.1853444</v>
      </c>
      <c r="N96">
        <f t="shared" si="11"/>
        <v>10.1853444</v>
      </c>
      <c r="O96">
        <f t="shared" si="11"/>
        <v>10.1853444</v>
      </c>
      <c r="P96">
        <f t="shared" si="11"/>
        <v>10.1853444</v>
      </c>
      <c r="Q96">
        <f t="shared" si="11"/>
        <v>10.1853444</v>
      </c>
      <c r="R96">
        <f t="shared" si="11"/>
        <v>10.1853444</v>
      </c>
      <c r="S96">
        <f t="shared" si="11"/>
        <v>10.1853444</v>
      </c>
      <c r="T96">
        <f t="shared" si="11"/>
        <v>10.1853444</v>
      </c>
      <c r="U96">
        <f t="shared" si="11"/>
        <v>10.1853444</v>
      </c>
      <c r="V96">
        <f t="shared" si="11"/>
        <v>10.1853444</v>
      </c>
      <c r="W96">
        <f t="shared" si="11"/>
        <v>10.1853444</v>
      </c>
      <c r="X96">
        <f t="shared" si="11"/>
        <v>10.1853444</v>
      </c>
      <c r="Y96">
        <f t="shared" si="11"/>
        <v>10.1853444</v>
      </c>
      <c r="Z96">
        <f t="shared" si="11"/>
        <v>10.1853444</v>
      </c>
      <c r="AA96">
        <f t="shared" si="11"/>
        <v>10.1853444</v>
      </c>
      <c r="AB96">
        <f t="shared" si="11"/>
        <v>10.1853444</v>
      </c>
      <c r="AC96">
        <f t="shared" si="11"/>
        <v>10.1853444</v>
      </c>
      <c r="AD96">
        <f t="shared" si="11"/>
        <v>10.1853444</v>
      </c>
      <c r="AE96">
        <f t="shared" si="11"/>
        <v>10.1853444</v>
      </c>
      <c r="AF96">
        <f t="shared" si="11"/>
        <v>10.1853444</v>
      </c>
      <c r="AG96">
        <f t="shared" si="11"/>
        <v>10.1853444</v>
      </c>
      <c r="AH96">
        <f t="shared" si="11"/>
        <v>10.1853444</v>
      </c>
      <c r="AI96">
        <f t="shared" si="11"/>
        <v>10.1853444</v>
      </c>
      <c r="AJ96">
        <f t="shared" si="11"/>
        <v>10.1853444</v>
      </c>
      <c r="AK96">
        <f t="shared" si="11"/>
        <v>10.1853444</v>
      </c>
      <c r="AL96">
        <f t="shared" si="11"/>
        <v>10.1853444</v>
      </c>
      <c r="AM96">
        <f t="shared" si="11"/>
        <v>10.1853444</v>
      </c>
      <c r="AN96">
        <f t="shared" si="11"/>
        <v>10.1853444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/>
      <c r="F97"/>
      <c r="G97"/>
      <c r="H97"/>
      <c r="K97"/>
      <c r="L97"/>
      <c r="M97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/>
      <c r="F98"/>
      <c r="G98"/>
      <c r="H98"/>
      <c r="K98"/>
      <c r="L98"/>
      <c r="M98"/>
      <c r="P98"/>
      <c r="R98"/>
      <c r="T98"/>
      <c r="U98"/>
      <c r="Y98"/>
      <c r="Z98"/>
      <c r="AA98"/>
      <c r="AB98"/>
      <c r="AC98"/>
      <c r="AD98"/>
      <c r="AE98"/>
      <c r="AF98"/>
      <c r="AG98"/>
      <c r="AH98"/>
      <c r="AI98"/>
      <c r="AK98"/>
      <c r="AM98"/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F96*1.05</f>
        <v>10.69461162</v>
      </c>
      <c r="G99">
        <f t="shared" ref="G99:AN99" si="12">G96*1.05</f>
        <v>10.69461162</v>
      </c>
      <c r="H99">
        <f t="shared" si="12"/>
        <v>10.69461162</v>
      </c>
      <c r="I99">
        <f t="shared" si="12"/>
        <v>10.69461162</v>
      </c>
      <c r="J99">
        <f t="shared" si="12"/>
        <v>10.69461162</v>
      </c>
      <c r="K99">
        <f t="shared" si="12"/>
        <v>10.69461162</v>
      </c>
      <c r="L99">
        <f t="shared" si="12"/>
        <v>10.69461162</v>
      </c>
      <c r="M99">
        <f t="shared" si="12"/>
        <v>10.69461162</v>
      </c>
      <c r="N99">
        <f t="shared" si="12"/>
        <v>10.69461162</v>
      </c>
      <c r="O99">
        <f t="shared" si="12"/>
        <v>10.69461162</v>
      </c>
      <c r="P99">
        <f t="shared" si="12"/>
        <v>10.69461162</v>
      </c>
      <c r="Q99">
        <f t="shared" si="12"/>
        <v>10.69461162</v>
      </c>
      <c r="R99">
        <f t="shared" si="12"/>
        <v>10.69461162</v>
      </c>
      <c r="S99">
        <f t="shared" si="12"/>
        <v>10.69461162</v>
      </c>
      <c r="T99">
        <f t="shared" si="12"/>
        <v>10.69461162</v>
      </c>
      <c r="U99">
        <f t="shared" si="12"/>
        <v>10.69461162</v>
      </c>
      <c r="V99">
        <f t="shared" si="12"/>
        <v>10.69461162</v>
      </c>
      <c r="W99">
        <f t="shared" si="12"/>
        <v>10.69461162</v>
      </c>
      <c r="X99">
        <f t="shared" si="12"/>
        <v>10.69461162</v>
      </c>
      <c r="Y99">
        <f t="shared" si="12"/>
        <v>10.69461162</v>
      </c>
      <c r="Z99">
        <f t="shared" si="12"/>
        <v>10.69461162</v>
      </c>
      <c r="AA99">
        <f t="shared" si="12"/>
        <v>10.69461162</v>
      </c>
      <c r="AB99">
        <f t="shared" si="12"/>
        <v>10.69461162</v>
      </c>
      <c r="AC99">
        <f t="shared" si="12"/>
        <v>10.69461162</v>
      </c>
      <c r="AD99">
        <f t="shared" si="12"/>
        <v>10.69461162</v>
      </c>
      <c r="AE99">
        <f t="shared" si="12"/>
        <v>10.69461162</v>
      </c>
      <c r="AF99">
        <f t="shared" si="12"/>
        <v>10.69461162</v>
      </c>
      <c r="AG99">
        <f t="shared" si="12"/>
        <v>10.69461162</v>
      </c>
      <c r="AH99">
        <f t="shared" si="12"/>
        <v>10.69461162</v>
      </c>
      <c r="AI99">
        <f t="shared" si="12"/>
        <v>10.69461162</v>
      </c>
      <c r="AJ99">
        <f t="shared" si="12"/>
        <v>10.69461162</v>
      </c>
      <c r="AK99">
        <f t="shared" si="12"/>
        <v>10.69461162</v>
      </c>
      <c r="AL99">
        <f t="shared" si="12"/>
        <v>10.69461162</v>
      </c>
      <c r="AM99">
        <f t="shared" si="12"/>
        <v>10.69461162</v>
      </c>
      <c r="AN99">
        <f t="shared" si="12"/>
        <v>10.69461162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 s="3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 s="3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 s="33">
        <f>Codex_calc!F101</f>
        <v>0</v>
      </c>
      <c r="G101" s="33">
        <f>Codex_calc!G101</f>
        <v>175.30025</v>
      </c>
      <c r="H101" s="34">
        <f>Codex_calc!H101</f>
        <v>0</v>
      </c>
      <c r="I101" s="33">
        <f>Codex_calc!I101</f>
        <v>0.16307</v>
      </c>
      <c r="J101" s="33">
        <f>Codex_calc!J101</f>
        <v>0</v>
      </c>
      <c r="K101" s="33">
        <f>Codex_calc!K101</f>
        <v>0</v>
      </c>
      <c r="L101" s="33">
        <f>Codex_calc!L101</f>
        <v>52.99775</v>
      </c>
      <c r="M101" s="34">
        <f>Codex_calc!M101</f>
        <v>1141.49</v>
      </c>
      <c r="N101" s="33">
        <f>Codex_calc!N101</f>
        <v>0</v>
      </c>
      <c r="O101" s="33">
        <f>Codex_calc!O101</f>
        <v>0</v>
      </c>
      <c r="P101" s="33">
        <f>Codex_calc!P101</f>
        <v>0</v>
      </c>
      <c r="Q101" s="33">
        <f>Codex_calc!Q101</f>
        <v>0.114149</v>
      </c>
      <c r="R101" s="33">
        <f>Codex_calc!R101</f>
        <v>0</v>
      </c>
      <c r="S101" s="33">
        <f>Codex_calc!S101</f>
        <v>0</v>
      </c>
      <c r="T101" s="33">
        <f>Codex_calc!T101</f>
        <v>0</v>
      </c>
      <c r="U101" s="33">
        <f>Codex_calc!U101</f>
        <v>13.86095</v>
      </c>
      <c r="V101" s="33">
        <f>Codex_calc!V101</f>
        <v>0</v>
      </c>
      <c r="W101" s="33">
        <f>Codex_calc!W101</f>
        <v>0</v>
      </c>
      <c r="X101" s="33">
        <f>Codex_calc!X101</f>
        <v>0</v>
      </c>
      <c r="Y101" s="33">
        <f>Codex_calc!Y101</f>
        <v>0</v>
      </c>
      <c r="Z101" s="33">
        <f>Codex_calc!Z101</f>
        <v>0</v>
      </c>
      <c r="AA101" s="33">
        <f>Codex_calc!AA101</f>
        <v>7.126159</v>
      </c>
      <c r="AB101" s="33">
        <f>Codex_calc!AB101</f>
        <v>5.38131</v>
      </c>
      <c r="AC101" s="33">
        <f>Codex_calc!AC101</f>
        <v>0</v>
      </c>
      <c r="AD101" s="33">
        <f>Codex_calc!AD101</f>
        <v>9.94727</v>
      </c>
      <c r="AE101" s="33">
        <f>Codex_calc!AE101</f>
        <v>20.38375</v>
      </c>
      <c r="AF101" s="33">
        <f>Codex_calc!AF101</f>
        <v>0</v>
      </c>
      <c r="AG101" s="33">
        <f>Codex_calc!AG101</f>
        <v>0</v>
      </c>
      <c r="AH101" s="33">
        <f>Codex_calc!AH101</f>
        <v>0</v>
      </c>
      <c r="AI101" s="33">
        <f>Codex_calc!AI101</f>
        <v>0</v>
      </c>
      <c r="AJ101" s="33">
        <f>Codex_calc!AJ101</f>
        <v>0</v>
      </c>
      <c r="AK101" s="33">
        <f>Codex_calc!AK101</f>
        <v>1.79377</v>
      </c>
      <c r="AL101" s="33">
        <f>Codex_calc!AL101</f>
        <v>0</v>
      </c>
      <c r="AM101" s="33">
        <f>Codex_calc!AM101</f>
        <v>0.65228</v>
      </c>
      <c r="AN101" s="33">
        <f>Codex_calc!AN101</f>
        <v>0</v>
      </c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/>
      <c r="F102"/>
      <c r="G102"/>
      <c r="H102" s="30"/>
      <c r="K102"/>
      <c r="L102"/>
      <c r="M102" s="30"/>
      <c r="P102"/>
      <c r="R102"/>
      <c r="T102"/>
      <c r="U102"/>
      <c r="Y102"/>
      <c r="Z102"/>
      <c r="AA102"/>
      <c r="AB102"/>
      <c r="AC102"/>
      <c r="AD102"/>
      <c r="AE102"/>
      <c r="AF102"/>
      <c r="AG102"/>
      <c r="AH102"/>
      <c r="AI102"/>
      <c r="AK102"/>
      <c r="AM102"/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 s="30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 s="30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 s="33">
        <f>Codex_calc!F104</f>
        <v>0</v>
      </c>
      <c r="G104" s="33">
        <f>Codex_calc!G104</f>
        <v>350.6005</v>
      </c>
      <c r="H104" s="34">
        <f>Codex_calc!H104</f>
        <v>0</v>
      </c>
      <c r="I104" s="33">
        <f>Codex_calc!I104</f>
        <v>0.32614</v>
      </c>
      <c r="J104" s="33">
        <f>Codex_calc!J104</f>
        <v>0</v>
      </c>
      <c r="K104" s="33">
        <f>Codex_calc!K104</f>
        <v>0</v>
      </c>
      <c r="L104" s="33">
        <f>Codex_calc!L104</f>
        <v>105.9955</v>
      </c>
      <c r="M104" s="34">
        <f>Codex_calc!M104</f>
        <v>2282.98</v>
      </c>
      <c r="N104" s="33">
        <f>Codex_calc!N104</f>
        <v>0</v>
      </c>
      <c r="O104" s="33">
        <f>Codex_calc!O104</f>
        <v>0</v>
      </c>
      <c r="P104" s="33">
        <f>Codex_calc!P104</f>
        <v>0</v>
      </c>
      <c r="Q104" s="33">
        <f>Codex_calc!Q104</f>
        <v>0.228298</v>
      </c>
      <c r="R104" s="33">
        <f>Codex_calc!R104</f>
        <v>0</v>
      </c>
      <c r="S104" s="33">
        <f>Codex_calc!S104</f>
        <v>0</v>
      </c>
      <c r="T104" s="33">
        <f>Codex_calc!T104</f>
        <v>0</v>
      </c>
      <c r="U104" s="33">
        <f>Codex_calc!U104</f>
        <v>27.7219</v>
      </c>
      <c r="V104" s="33">
        <f>Codex_calc!V104</f>
        <v>0</v>
      </c>
      <c r="W104" s="33">
        <f>Codex_calc!W104</f>
        <v>0</v>
      </c>
      <c r="X104" s="33">
        <f>Codex_calc!X104</f>
        <v>0</v>
      </c>
      <c r="Y104" s="33">
        <f>Codex_calc!Y104</f>
        <v>0</v>
      </c>
      <c r="Z104" s="33">
        <f>Codex_calc!Z104</f>
        <v>0</v>
      </c>
      <c r="AA104" s="33">
        <f>Codex_calc!AA104</f>
        <v>14.252318</v>
      </c>
      <c r="AB104" s="33">
        <f>Codex_calc!AB104</f>
        <v>10.76262</v>
      </c>
      <c r="AC104" s="33">
        <f>Codex_calc!AC104</f>
        <v>0</v>
      </c>
      <c r="AD104" s="33">
        <f>Codex_calc!AD104</f>
        <v>19.89454</v>
      </c>
      <c r="AE104" s="33">
        <f>Codex_calc!AE104</f>
        <v>40.7675</v>
      </c>
      <c r="AF104" s="33">
        <f>Codex_calc!AF104</f>
        <v>0</v>
      </c>
      <c r="AG104" s="33">
        <f>Codex_calc!AG104</f>
        <v>0</v>
      </c>
      <c r="AH104" s="33">
        <f>Codex_calc!AH104</f>
        <v>0</v>
      </c>
      <c r="AI104" s="33">
        <f>Codex_calc!AI104</f>
        <v>0</v>
      </c>
      <c r="AJ104" s="33">
        <f>Codex_calc!AJ104</f>
        <v>0</v>
      </c>
      <c r="AK104" s="33">
        <f>Codex_calc!AK104</f>
        <v>3.58754</v>
      </c>
      <c r="AL104" s="33">
        <f>Codex_calc!AL104</f>
        <v>0</v>
      </c>
      <c r="AM104" s="33">
        <f>Codex_calc!AM104</f>
        <v>1.30456</v>
      </c>
      <c r="AN104" s="33">
        <f>Codex_calc!AN104</f>
        <v>0</v>
      </c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/>
      <c r="F105"/>
      <c r="G105"/>
      <c r="H105" s="30"/>
      <c r="K105"/>
      <c r="L105"/>
      <c r="M105" s="30"/>
      <c r="P105"/>
      <c r="R105"/>
      <c r="T105"/>
      <c r="U105"/>
      <c r="Y105"/>
      <c r="Z105"/>
      <c r="AA105"/>
      <c r="AB105"/>
      <c r="AC105"/>
      <c r="AD105"/>
      <c r="AE105"/>
      <c r="AF105"/>
      <c r="AG105"/>
      <c r="AH105"/>
      <c r="AI105"/>
      <c r="AK105"/>
      <c r="AM105"/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F103*1.05</f>
        <v>1.05</v>
      </c>
      <c r="G106">
        <f t="shared" ref="G106:AN106" si="13">G103*1.05</f>
        <v>1.05</v>
      </c>
      <c r="H106">
        <f t="shared" si="13"/>
        <v>1.05</v>
      </c>
      <c r="I106">
        <f t="shared" si="13"/>
        <v>1.05</v>
      </c>
      <c r="J106">
        <f t="shared" si="13"/>
        <v>1.05</v>
      </c>
      <c r="K106">
        <f t="shared" si="13"/>
        <v>1.05</v>
      </c>
      <c r="L106">
        <f t="shared" si="13"/>
        <v>1.05</v>
      </c>
      <c r="M106">
        <f t="shared" si="13"/>
        <v>1.05</v>
      </c>
      <c r="N106">
        <f t="shared" si="13"/>
        <v>1.05</v>
      </c>
      <c r="O106">
        <f t="shared" si="13"/>
        <v>1.05</v>
      </c>
      <c r="P106">
        <f t="shared" si="13"/>
        <v>1.05</v>
      </c>
      <c r="Q106">
        <f t="shared" si="13"/>
        <v>1.05</v>
      </c>
      <c r="R106">
        <f t="shared" si="13"/>
        <v>1.05</v>
      </c>
      <c r="S106">
        <f t="shared" si="13"/>
        <v>1.05</v>
      </c>
      <c r="T106">
        <f t="shared" si="13"/>
        <v>1.05</v>
      </c>
      <c r="U106">
        <f t="shared" si="13"/>
        <v>1.05</v>
      </c>
      <c r="V106">
        <f t="shared" si="13"/>
        <v>1.05</v>
      </c>
      <c r="W106">
        <f t="shared" si="13"/>
        <v>1.05</v>
      </c>
      <c r="X106">
        <f t="shared" si="13"/>
        <v>1.05</v>
      </c>
      <c r="Y106">
        <f t="shared" si="13"/>
        <v>1.05</v>
      </c>
      <c r="Z106">
        <f t="shared" si="13"/>
        <v>1.05</v>
      </c>
      <c r="AA106">
        <f t="shared" si="13"/>
        <v>1.05</v>
      </c>
      <c r="AB106">
        <f t="shared" si="13"/>
        <v>1.05</v>
      </c>
      <c r="AC106">
        <f t="shared" si="13"/>
        <v>1.05</v>
      </c>
      <c r="AD106">
        <f t="shared" si="13"/>
        <v>1.05</v>
      </c>
      <c r="AE106">
        <f t="shared" si="13"/>
        <v>1.05</v>
      </c>
      <c r="AF106">
        <f t="shared" si="13"/>
        <v>1.05</v>
      </c>
      <c r="AG106">
        <f t="shared" si="13"/>
        <v>1.05</v>
      </c>
      <c r="AH106">
        <f t="shared" si="13"/>
        <v>1.05</v>
      </c>
      <c r="AI106">
        <f t="shared" si="13"/>
        <v>1.05</v>
      </c>
      <c r="AJ106">
        <f t="shared" si="13"/>
        <v>1.05</v>
      </c>
      <c r="AK106">
        <f t="shared" si="13"/>
        <v>1.05</v>
      </c>
      <c r="AL106">
        <f t="shared" si="13"/>
        <v>1.05</v>
      </c>
      <c r="AM106">
        <f t="shared" si="13"/>
        <v>1.05</v>
      </c>
      <c r="AN106">
        <f t="shared" si="13"/>
        <v>1.05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/>
      <c r="F107"/>
      <c r="G107"/>
      <c r="H107"/>
      <c r="K107"/>
      <c r="L107"/>
      <c r="M107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/>
      <c r="F108"/>
      <c r="G108"/>
      <c r="H108"/>
      <c r="K108"/>
      <c r="L108"/>
      <c r="M108"/>
      <c r="P108"/>
      <c r="R108"/>
      <c r="T108"/>
      <c r="U108"/>
      <c r="Y108"/>
      <c r="Z108"/>
      <c r="AA108"/>
      <c r="AB108"/>
      <c r="AC108"/>
      <c r="AD108"/>
      <c r="AE108"/>
      <c r="AF108"/>
      <c r="AG108"/>
      <c r="AH108"/>
      <c r="AI108"/>
      <c r="AK108"/>
      <c r="AM108"/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F106*1.05</f>
        <v>1.1025</v>
      </c>
      <c r="G109">
        <f t="shared" ref="G109:AN109" si="14">G106*1.05</f>
        <v>1.1025</v>
      </c>
      <c r="H109">
        <f t="shared" si="14"/>
        <v>1.1025</v>
      </c>
      <c r="I109">
        <f t="shared" si="14"/>
        <v>1.1025</v>
      </c>
      <c r="J109">
        <f t="shared" si="14"/>
        <v>1.1025</v>
      </c>
      <c r="K109">
        <f t="shared" si="14"/>
        <v>1.1025</v>
      </c>
      <c r="L109">
        <f t="shared" si="14"/>
        <v>1.1025</v>
      </c>
      <c r="M109">
        <f t="shared" si="14"/>
        <v>1.1025</v>
      </c>
      <c r="N109">
        <f t="shared" si="14"/>
        <v>1.1025</v>
      </c>
      <c r="O109">
        <f t="shared" si="14"/>
        <v>1.1025</v>
      </c>
      <c r="P109">
        <f t="shared" si="14"/>
        <v>1.1025</v>
      </c>
      <c r="Q109">
        <f t="shared" si="14"/>
        <v>1.1025</v>
      </c>
      <c r="R109">
        <f t="shared" si="14"/>
        <v>1.1025</v>
      </c>
      <c r="S109">
        <f t="shared" si="14"/>
        <v>1.1025</v>
      </c>
      <c r="T109">
        <f t="shared" si="14"/>
        <v>1.1025</v>
      </c>
      <c r="U109">
        <f t="shared" si="14"/>
        <v>1.1025</v>
      </c>
      <c r="V109">
        <f t="shared" si="14"/>
        <v>1.1025</v>
      </c>
      <c r="W109">
        <f t="shared" si="14"/>
        <v>1.1025</v>
      </c>
      <c r="X109">
        <f t="shared" si="14"/>
        <v>1.1025</v>
      </c>
      <c r="Y109">
        <f t="shared" si="14"/>
        <v>1.1025</v>
      </c>
      <c r="Z109">
        <f t="shared" si="14"/>
        <v>1.1025</v>
      </c>
      <c r="AA109">
        <f t="shared" si="14"/>
        <v>1.1025</v>
      </c>
      <c r="AB109">
        <f t="shared" si="14"/>
        <v>1.1025</v>
      </c>
      <c r="AC109">
        <f t="shared" si="14"/>
        <v>1.1025</v>
      </c>
      <c r="AD109">
        <f t="shared" si="14"/>
        <v>1.1025</v>
      </c>
      <c r="AE109">
        <f t="shared" si="14"/>
        <v>1.1025</v>
      </c>
      <c r="AF109">
        <f t="shared" si="14"/>
        <v>1.1025</v>
      </c>
      <c r="AG109">
        <f t="shared" si="14"/>
        <v>1.1025</v>
      </c>
      <c r="AH109">
        <f t="shared" si="14"/>
        <v>1.1025</v>
      </c>
      <c r="AI109">
        <f t="shared" si="14"/>
        <v>1.1025</v>
      </c>
      <c r="AJ109">
        <f t="shared" si="14"/>
        <v>1.1025</v>
      </c>
      <c r="AK109">
        <f t="shared" si="14"/>
        <v>1.1025</v>
      </c>
      <c r="AL109">
        <f t="shared" si="14"/>
        <v>1.1025</v>
      </c>
      <c r="AM109">
        <f t="shared" si="14"/>
        <v>1.1025</v>
      </c>
      <c r="AN109">
        <f t="shared" si="14"/>
        <v>1.1025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 s="30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 s="30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 s="30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 s="30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>F82/F113</f>
        <v>#DIV/0!</v>
      </c>
      <c r="G115" s="1" t="e">
        <f t="shared" ref="G115:AN115" si="15">G82/G113</f>
        <v>#DIV/0!</v>
      </c>
      <c r="H115" s="31">
        <f t="shared" si="15"/>
        <v>0</v>
      </c>
      <c r="I115" s="1" t="e">
        <f t="shared" si="15"/>
        <v>#DIV/0!</v>
      </c>
      <c r="J115" s="1" t="e">
        <f t="shared" si="15"/>
        <v>#DIV/0!</v>
      </c>
      <c r="K115" s="1" t="e">
        <f t="shared" si="15"/>
        <v>#DIV/0!</v>
      </c>
      <c r="L115" s="1">
        <f t="shared" si="15"/>
        <v>0</v>
      </c>
      <c r="M115" s="31">
        <f t="shared" si="15"/>
        <v>0</v>
      </c>
      <c r="N115" s="1" t="e">
        <f t="shared" si="15"/>
        <v>#DIV/0!</v>
      </c>
      <c r="O115" s="1" t="e">
        <f t="shared" si="15"/>
        <v>#DIV/0!</v>
      </c>
      <c r="P115" s="1" t="e">
        <f t="shared" si="15"/>
        <v>#DIV/0!</v>
      </c>
      <c r="Q115" s="1" t="e">
        <f t="shared" si="15"/>
        <v>#DIV/0!</v>
      </c>
      <c r="R115" s="1" t="e">
        <f t="shared" si="15"/>
        <v>#DIV/0!</v>
      </c>
      <c r="S115" s="1" t="e">
        <f t="shared" si="15"/>
        <v>#DIV/0!</v>
      </c>
      <c r="T115" s="1">
        <f t="shared" si="15"/>
        <v>0</v>
      </c>
      <c r="U115" s="1">
        <f t="shared" si="15"/>
        <v>0</v>
      </c>
      <c r="V115" s="1" t="e">
        <f t="shared" si="15"/>
        <v>#DIV/0!</v>
      </c>
      <c r="W115" s="1" t="e">
        <f t="shared" si="15"/>
        <v>#DIV/0!</v>
      </c>
      <c r="X115" s="1" t="e">
        <f t="shared" si="15"/>
        <v>#DIV/0!</v>
      </c>
      <c r="Y115" s="1" t="e">
        <f t="shared" si="15"/>
        <v>#DIV/0!</v>
      </c>
      <c r="Z115" s="1">
        <f t="shared" si="15"/>
        <v>0</v>
      </c>
      <c r="AA115" s="1">
        <f t="shared" si="15"/>
        <v>0</v>
      </c>
      <c r="AB115" s="1">
        <f t="shared" si="15"/>
        <v>0</v>
      </c>
      <c r="AC115" s="1" t="e">
        <f t="shared" si="15"/>
        <v>#DIV/0!</v>
      </c>
      <c r="AD115" s="1">
        <f t="shared" si="15"/>
        <v>0</v>
      </c>
      <c r="AE115" s="1">
        <f t="shared" si="15"/>
        <v>0</v>
      </c>
      <c r="AF115" s="1" t="e">
        <f t="shared" si="15"/>
        <v>#DIV/0!</v>
      </c>
      <c r="AG115" s="1" t="e">
        <f t="shared" si="15"/>
        <v>#DIV/0!</v>
      </c>
      <c r="AH115" s="1" t="e">
        <f t="shared" si="15"/>
        <v>#DIV/0!</v>
      </c>
      <c r="AI115" s="1" t="e">
        <f t="shared" si="15"/>
        <v>#DIV/0!</v>
      </c>
      <c r="AJ115" s="1" t="e">
        <f t="shared" si="15"/>
        <v>#DIV/0!</v>
      </c>
      <c r="AK115" s="1" t="e">
        <f t="shared" si="15"/>
        <v>#DIV/0!</v>
      </c>
      <c r="AL115" s="1" t="e">
        <f t="shared" si="15"/>
        <v>#DIV/0!</v>
      </c>
      <c r="AM115" s="1" t="e">
        <f t="shared" si="15"/>
        <v>#DIV/0!</v>
      </c>
      <c r="AN115" s="1" t="e">
        <f t="shared" si="15"/>
        <v>#DIV/0!</v>
      </c>
    </row>
    <row r="116" spans="3:40">
      <c r="F116" s="1" t="e">
        <f>F102/F101</f>
        <v>#DIV/0!</v>
      </c>
      <c r="G116" s="1">
        <f t="shared" ref="G116:AN116" si="16">G102/G101</f>
        <v>0</v>
      </c>
      <c r="H116" s="31" t="e">
        <f t="shared" si="16"/>
        <v>#DIV/0!</v>
      </c>
      <c r="I116" s="1">
        <f t="shared" si="16"/>
        <v>0</v>
      </c>
      <c r="J116" s="1" t="e">
        <f t="shared" si="16"/>
        <v>#DIV/0!</v>
      </c>
      <c r="K116" s="1" t="e">
        <f t="shared" si="16"/>
        <v>#DIV/0!</v>
      </c>
      <c r="L116" s="1">
        <f t="shared" si="16"/>
        <v>0</v>
      </c>
      <c r="M116" s="31">
        <f t="shared" si="16"/>
        <v>0</v>
      </c>
      <c r="N116" s="1" t="e">
        <f t="shared" si="16"/>
        <v>#DIV/0!</v>
      </c>
      <c r="O116" s="1" t="e">
        <f t="shared" si="16"/>
        <v>#DIV/0!</v>
      </c>
      <c r="P116" s="1" t="e">
        <f t="shared" si="16"/>
        <v>#DIV/0!</v>
      </c>
      <c r="Q116" s="1">
        <f t="shared" si="16"/>
        <v>0</v>
      </c>
      <c r="R116" s="1" t="e">
        <f t="shared" si="16"/>
        <v>#DIV/0!</v>
      </c>
      <c r="S116" s="1" t="e">
        <f t="shared" si="16"/>
        <v>#DIV/0!</v>
      </c>
      <c r="T116" s="1" t="e">
        <f t="shared" si="16"/>
        <v>#DIV/0!</v>
      </c>
      <c r="U116" s="1">
        <f t="shared" si="16"/>
        <v>0</v>
      </c>
      <c r="V116" s="1" t="e">
        <f t="shared" si="16"/>
        <v>#DIV/0!</v>
      </c>
      <c r="W116" s="1" t="e">
        <f t="shared" si="16"/>
        <v>#DIV/0!</v>
      </c>
      <c r="X116" s="1" t="e">
        <f t="shared" si="16"/>
        <v>#DIV/0!</v>
      </c>
      <c r="Y116" s="1" t="e">
        <f t="shared" si="16"/>
        <v>#DIV/0!</v>
      </c>
      <c r="Z116" s="1" t="e">
        <f t="shared" si="16"/>
        <v>#DIV/0!</v>
      </c>
      <c r="AA116" s="1">
        <f t="shared" si="16"/>
        <v>0</v>
      </c>
      <c r="AB116" s="1">
        <f t="shared" si="16"/>
        <v>0</v>
      </c>
      <c r="AC116" s="1" t="e">
        <f t="shared" si="16"/>
        <v>#DIV/0!</v>
      </c>
      <c r="AD116" s="1">
        <f t="shared" si="16"/>
        <v>0</v>
      </c>
      <c r="AE116" s="1">
        <f t="shared" si="16"/>
        <v>0</v>
      </c>
      <c r="AF116" s="1" t="e">
        <f t="shared" si="16"/>
        <v>#DIV/0!</v>
      </c>
      <c r="AG116" s="1" t="e">
        <f t="shared" si="16"/>
        <v>#DIV/0!</v>
      </c>
      <c r="AH116" s="1" t="e">
        <f t="shared" si="16"/>
        <v>#DIV/0!</v>
      </c>
      <c r="AI116" s="1" t="e">
        <f t="shared" si="16"/>
        <v>#DIV/0!</v>
      </c>
      <c r="AJ116" s="1" t="e">
        <f t="shared" si="16"/>
        <v>#DIV/0!</v>
      </c>
      <c r="AK116" s="1">
        <f t="shared" si="16"/>
        <v>0</v>
      </c>
      <c r="AL116" s="1" t="e">
        <f t="shared" si="16"/>
        <v>#DIV/0!</v>
      </c>
      <c r="AM116" s="1">
        <f t="shared" si="16"/>
        <v>0</v>
      </c>
      <c r="AN116" s="1" t="e">
        <f t="shared" si="16"/>
        <v>#DIV/0!</v>
      </c>
    </row>
    <row r="117" spans="3:40">
      <c r="C117" t="s">
        <v>64</v>
      </c>
      <c r="E117" s="38" t="s">
        <v>65</v>
      </c>
      <c r="F117" s="38" t="s">
        <v>27</v>
      </c>
      <c r="G117" s="38" t="s">
        <v>28</v>
      </c>
      <c r="H117" s="31" t="s">
        <v>29</v>
      </c>
      <c r="I117" s="38" t="s">
        <v>30</v>
      </c>
      <c r="J117" s="38" t="s">
        <v>31</v>
      </c>
      <c r="K117" s="38" t="s">
        <v>32</v>
      </c>
      <c r="L117" s="38" t="s">
        <v>33</v>
      </c>
      <c r="M117" s="31" t="s">
        <v>34</v>
      </c>
      <c r="N117" s="38" t="s">
        <v>35</v>
      </c>
      <c r="O117" s="38" t="s">
        <v>36</v>
      </c>
      <c r="P117" s="38" t="s">
        <v>37</v>
      </c>
      <c r="Q117" s="38" t="s">
        <v>38</v>
      </c>
      <c r="R117" s="38" t="s">
        <v>39</v>
      </c>
      <c r="S117" s="38" t="s">
        <v>40</v>
      </c>
      <c r="T117" s="38" t="s">
        <v>41</v>
      </c>
      <c r="U117" s="38" t="s">
        <v>42</v>
      </c>
      <c r="V117" s="38" t="s">
        <v>43</v>
      </c>
      <c r="W117" s="38" t="s">
        <v>44</v>
      </c>
      <c r="X117" s="38" t="s">
        <v>45</v>
      </c>
      <c r="Y117" s="38" t="s">
        <v>46</v>
      </c>
      <c r="Z117" s="38" t="s">
        <v>47</v>
      </c>
      <c r="AA117" s="38" t="s">
        <v>48</v>
      </c>
      <c r="AB117" s="38" t="s">
        <v>49</v>
      </c>
      <c r="AC117" s="38" t="s">
        <v>50</v>
      </c>
      <c r="AD117" s="38" t="s">
        <v>51</v>
      </c>
      <c r="AE117" s="38" t="s">
        <v>52</v>
      </c>
      <c r="AF117" s="38" t="s">
        <v>53</v>
      </c>
      <c r="AG117" s="38" t="s">
        <v>54</v>
      </c>
      <c r="AH117" s="38" t="s">
        <v>55</v>
      </c>
      <c r="AI117" s="38" t="s">
        <v>56</v>
      </c>
      <c r="AJ117" s="38" t="s">
        <v>57</v>
      </c>
      <c r="AK117" s="38" t="s">
        <v>58</v>
      </c>
      <c r="AL117" s="38" t="s">
        <v>59</v>
      </c>
      <c r="AM117" s="38" t="s">
        <v>60</v>
      </c>
      <c r="AN117" s="39" t="s">
        <v>61</v>
      </c>
    </row>
    <row r="118" spans="3:40">
      <c r="E118" s="38" t="s">
        <v>7</v>
      </c>
      <c r="F118" s="38">
        <v>0</v>
      </c>
      <c r="G118" s="38">
        <v>21.489</v>
      </c>
      <c r="H118" s="31">
        <v>76.56</v>
      </c>
      <c r="I118" s="38">
        <v>0</v>
      </c>
      <c r="J118" s="38">
        <v>0</v>
      </c>
      <c r="K118" s="38">
        <v>0</v>
      </c>
      <c r="L118" s="38">
        <v>8.7</v>
      </c>
      <c r="M118" s="31">
        <v>35.67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58.29</v>
      </c>
      <c r="Z118" s="38">
        <v>0</v>
      </c>
      <c r="AA118" s="38">
        <v>3.741</v>
      </c>
      <c r="AB118" s="38">
        <v>0</v>
      </c>
      <c r="AC118" s="38">
        <v>0</v>
      </c>
      <c r="AD118" s="38">
        <v>4.002</v>
      </c>
      <c r="AE118" s="38">
        <v>0</v>
      </c>
      <c r="AF118" s="38">
        <v>0</v>
      </c>
      <c r="AG118" s="38">
        <v>0</v>
      </c>
      <c r="AH118" s="38">
        <v>0.348</v>
      </c>
      <c r="AI118" s="38">
        <v>0</v>
      </c>
      <c r="AJ118" s="38">
        <v>0</v>
      </c>
      <c r="AK118" s="38">
        <v>0</v>
      </c>
      <c r="AL118" s="38">
        <v>0</v>
      </c>
      <c r="AM118" s="38">
        <v>0</v>
      </c>
      <c r="AN118" s="38">
        <v>0</v>
      </c>
    </row>
    <row r="119" spans="3:40">
      <c r="C119" t="s">
        <v>66</v>
      </c>
      <c r="E119" s="38" t="s">
        <v>10</v>
      </c>
      <c r="F119" s="38">
        <v>0</v>
      </c>
      <c r="G119" s="38">
        <v>0</v>
      </c>
      <c r="H119" s="31">
        <v>16.5</v>
      </c>
      <c r="I119" s="38">
        <v>0</v>
      </c>
      <c r="J119" s="38">
        <v>0</v>
      </c>
      <c r="K119" s="38">
        <v>0</v>
      </c>
      <c r="L119" s="38">
        <v>11.55</v>
      </c>
      <c r="M119" s="31">
        <v>18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29.7</v>
      </c>
      <c r="AB119" s="38">
        <v>0</v>
      </c>
      <c r="AC119" s="38">
        <v>0</v>
      </c>
      <c r="AD119" s="38">
        <v>447.75</v>
      </c>
      <c r="AE119" s="38">
        <v>31.5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</row>
    <row r="120" spans="3:40">
      <c r="E120" s="38" t="s">
        <v>12</v>
      </c>
      <c r="F120" s="38">
        <v>0</v>
      </c>
      <c r="G120" s="38">
        <v>169.176</v>
      </c>
      <c r="H120" s="31">
        <v>2.736</v>
      </c>
      <c r="I120" s="38">
        <v>0</v>
      </c>
      <c r="J120" s="38">
        <v>0</v>
      </c>
      <c r="K120" s="38">
        <v>0</v>
      </c>
      <c r="L120" s="38">
        <v>0</v>
      </c>
      <c r="M120" s="31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2.66</v>
      </c>
      <c r="Z120" s="38">
        <v>0</v>
      </c>
      <c r="AA120" s="38">
        <v>3.648</v>
      </c>
      <c r="AB120" s="38">
        <v>0</v>
      </c>
      <c r="AC120" s="38">
        <v>0</v>
      </c>
      <c r="AD120" s="38">
        <v>33.288</v>
      </c>
      <c r="AE120" s="38">
        <v>6.612</v>
      </c>
      <c r="AF120" s="38">
        <v>0</v>
      </c>
      <c r="AG120" s="38">
        <v>0</v>
      </c>
      <c r="AH120" s="38">
        <v>0</v>
      </c>
      <c r="AI120" s="38">
        <v>0</v>
      </c>
      <c r="AJ120" s="38">
        <v>0</v>
      </c>
      <c r="AK120" s="38">
        <v>2.052</v>
      </c>
      <c r="AL120" s="38">
        <v>0</v>
      </c>
      <c r="AM120" s="38">
        <v>0</v>
      </c>
      <c r="AN120" s="38">
        <v>0</v>
      </c>
    </row>
    <row r="121" spans="3:40">
      <c r="C121" t="s">
        <v>67</v>
      </c>
      <c r="E121" s="38" t="s">
        <v>14</v>
      </c>
      <c r="F121" s="38">
        <v>0</v>
      </c>
      <c r="G121" s="38">
        <v>57.8</v>
      </c>
      <c r="H121" s="31">
        <v>28</v>
      </c>
      <c r="I121" s="38">
        <v>0</v>
      </c>
      <c r="J121" s="38">
        <v>0</v>
      </c>
      <c r="K121" s="38">
        <v>0</v>
      </c>
      <c r="L121" s="38">
        <v>5.9</v>
      </c>
      <c r="M121" s="31">
        <v>7.7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8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20.6</v>
      </c>
      <c r="AE121" s="38">
        <v>0</v>
      </c>
      <c r="AF121" s="38">
        <v>0</v>
      </c>
      <c r="AG121" s="38">
        <v>74</v>
      </c>
      <c r="AH121" s="38">
        <v>0</v>
      </c>
      <c r="AI121" s="38">
        <v>0</v>
      </c>
      <c r="AJ121" s="38">
        <v>0</v>
      </c>
      <c r="AK121" s="38">
        <v>0</v>
      </c>
      <c r="AL121" s="38">
        <v>0</v>
      </c>
      <c r="AM121" s="38">
        <v>0</v>
      </c>
      <c r="AN121" s="38">
        <v>0</v>
      </c>
    </row>
    <row r="122" spans="3:40">
      <c r="E122" s="38" t="s">
        <v>16</v>
      </c>
      <c r="F122" s="38">
        <v>0</v>
      </c>
      <c r="G122" s="38">
        <v>3.18</v>
      </c>
      <c r="H122" s="31">
        <v>190.44</v>
      </c>
      <c r="I122" s="38">
        <v>0</v>
      </c>
      <c r="J122" s="38">
        <v>0</v>
      </c>
      <c r="K122" s="38">
        <v>0</v>
      </c>
      <c r="L122" s="38">
        <v>116.38</v>
      </c>
      <c r="M122" s="31">
        <v>888.72</v>
      </c>
      <c r="N122" s="38">
        <v>0</v>
      </c>
      <c r="O122" s="38">
        <v>0</v>
      </c>
      <c r="P122" s="38">
        <v>0</v>
      </c>
      <c r="Q122" s="38">
        <v>10.16</v>
      </c>
      <c r="R122" s="38">
        <v>9.1</v>
      </c>
      <c r="S122" s="38">
        <v>0</v>
      </c>
      <c r="T122" s="38">
        <v>0</v>
      </c>
      <c r="U122" s="38">
        <v>80.4</v>
      </c>
      <c r="V122" s="38">
        <v>16.92</v>
      </c>
      <c r="W122" s="38">
        <v>0</v>
      </c>
      <c r="X122" s="38">
        <v>0</v>
      </c>
      <c r="Y122" s="38">
        <v>0</v>
      </c>
      <c r="Z122" s="38">
        <v>25.4</v>
      </c>
      <c r="AA122" s="38">
        <v>23.5</v>
      </c>
      <c r="AB122" s="38">
        <v>0</v>
      </c>
      <c r="AC122" s="38">
        <v>0</v>
      </c>
      <c r="AD122" s="38">
        <v>60.3</v>
      </c>
      <c r="AE122" s="38">
        <v>30.68</v>
      </c>
      <c r="AF122" s="38">
        <v>19.04</v>
      </c>
      <c r="AG122" s="38">
        <v>0</v>
      </c>
      <c r="AH122" s="38">
        <v>8.68</v>
      </c>
      <c r="AI122" s="38">
        <v>0</v>
      </c>
      <c r="AJ122" s="38">
        <v>0</v>
      </c>
      <c r="AK122" s="38">
        <v>3.38</v>
      </c>
      <c r="AL122" s="38">
        <v>0</v>
      </c>
      <c r="AM122" s="38">
        <v>0</v>
      </c>
      <c r="AN122" s="38">
        <v>0</v>
      </c>
    </row>
    <row r="123" spans="3:40">
      <c r="E123" s="38" t="s">
        <v>17</v>
      </c>
      <c r="F123" s="38">
        <v>0</v>
      </c>
      <c r="G123" s="38">
        <v>99.5</v>
      </c>
      <c r="H123" s="31">
        <v>20</v>
      </c>
      <c r="I123" s="38">
        <v>0</v>
      </c>
      <c r="J123" s="38">
        <v>0</v>
      </c>
      <c r="K123" s="38">
        <v>0</v>
      </c>
      <c r="L123" s="38">
        <v>0</v>
      </c>
      <c r="M123" s="31">
        <v>45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0.75</v>
      </c>
      <c r="V123" s="38">
        <v>0</v>
      </c>
      <c r="W123" s="38">
        <v>0</v>
      </c>
      <c r="X123" s="38">
        <v>0</v>
      </c>
      <c r="Y123" s="38">
        <v>197.5</v>
      </c>
      <c r="Z123" s="38">
        <v>0</v>
      </c>
      <c r="AA123" s="38">
        <v>56.25</v>
      </c>
      <c r="AB123" s="38">
        <v>0</v>
      </c>
      <c r="AC123" s="38">
        <v>10.25</v>
      </c>
      <c r="AD123" s="38">
        <v>117.5</v>
      </c>
      <c r="AE123" s="38">
        <v>23.25</v>
      </c>
      <c r="AF123" s="38">
        <v>0</v>
      </c>
      <c r="AG123" s="38">
        <v>0</v>
      </c>
      <c r="AH123" s="38">
        <v>0</v>
      </c>
      <c r="AI123" s="38">
        <v>0</v>
      </c>
      <c r="AJ123" s="38">
        <v>0</v>
      </c>
      <c r="AK123" s="38">
        <v>0</v>
      </c>
      <c r="AL123" s="38">
        <v>0</v>
      </c>
      <c r="AM123" s="38">
        <v>0</v>
      </c>
      <c r="AN123" s="38">
        <v>0</v>
      </c>
    </row>
    <row r="124" spans="3:40">
      <c r="E124" s="38" t="s">
        <v>18</v>
      </c>
      <c r="F124" s="38">
        <v>0</v>
      </c>
      <c r="G124" s="38">
        <v>170.1</v>
      </c>
      <c r="H124" s="31">
        <v>0</v>
      </c>
      <c r="I124" s="38">
        <v>0.45</v>
      </c>
      <c r="J124" s="38">
        <v>0</v>
      </c>
      <c r="K124" s="38">
        <v>0</v>
      </c>
      <c r="L124" s="38">
        <v>61.2</v>
      </c>
      <c r="M124" s="31">
        <v>1143</v>
      </c>
      <c r="N124" s="38">
        <v>0</v>
      </c>
      <c r="O124" s="38">
        <v>0</v>
      </c>
      <c r="P124" s="38">
        <v>0</v>
      </c>
      <c r="Q124" s="38">
        <v>0.18</v>
      </c>
      <c r="R124" s="38">
        <v>0</v>
      </c>
      <c r="S124" s="38">
        <v>0</v>
      </c>
      <c r="T124" s="38">
        <v>0</v>
      </c>
      <c r="U124" s="38">
        <v>25.2</v>
      </c>
      <c r="V124" s="38">
        <v>0</v>
      </c>
      <c r="W124" s="38">
        <v>0</v>
      </c>
      <c r="X124" s="38">
        <v>0</v>
      </c>
      <c r="Y124" s="38">
        <v>0</v>
      </c>
      <c r="Z124" s="38">
        <v>0</v>
      </c>
      <c r="AA124" s="38">
        <v>18.81</v>
      </c>
      <c r="AB124" s="38">
        <v>6.3</v>
      </c>
      <c r="AC124" s="38">
        <v>0</v>
      </c>
      <c r="AD124" s="38">
        <v>20.61</v>
      </c>
      <c r="AE124" s="38">
        <v>18</v>
      </c>
      <c r="AF124" s="38">
        <v>0</v>
      </c>
      <c r="AG124" s="38">
        <v>0</v>
      </c>
      <c r="AH124" s="38">
        <v>0</v>
      </c>
      <c r="AI124" s="38">
        <v>0</v>
      </c>
      <c r="AJ124" s="38">
        <v>0</v>
      </c>
      <c r="AK124" s="38">
        <v>2.7</v>
      </c>
      <c r="AL124" s="38">
        <v>0</v>
      </c>
      <c r="AM124" s="38">
        <v>1.08</v>
      </c>
      <c r="AN124" s="38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1"/>
      <c r="D152" s="30"/>
      <c r="E152" s="31"/>
      <c r="F152" s="31"/>
      <c r="G152" s="31"/>
      <c r="I152" s="30"/>
      <c r="J152" s="30"/>
      <c r="K152" s="31"/>
      <c r="L152" s="31"/>
      <c r="N152" s="30"/>
      <c r="O152" s="30"/>
      <c r="P152" s="31"/>
      <c r="Q152" s="30"/>
      <c r="R152" s="31"/>
      <c r="S152" s="30"/>
      <c r="T152" s="31"/>
      <c r="U152" s="31"/>
      <c r="V152" s="30"/>
      <c r="W152" s="30"/>
      <c r="X152" s="30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0"/>
      <c r="AK152" s="31"/>
      <c r="AL152" s="30"/>
      <c r="AM152" s="31"/>
      <c r="AN152" s="30"/>
      <c r="AO152" s="31"/>
    </row>
    <row r="153" spans="3:41">
      <c r="C153" s="34"/>
      <c r="D153" s="30"/>
      <c r="E153" s="31"/>
      <c r="F153" s="31"/>
      <c r="G153" s="31"/>
      <c r="I153" s="30"/>
      <c r="J153" s="30"/>
      <c r="K153" s="31"/>
      <c r="L153" s="31"/>
      <c r="N153" s="30"/>
      <c r="O153" s="30"/>
      <c r="P153" s="31"/>
      <c r="Q153" s="30"/>
      <c r="R153" s="31"/>
      <c r="S153" s="30"/>
      <c r="T153" s="31"/>
      <c r="U153" s="31"/>
      <c r="V153" s="30"/>
      <c r="W153" s="30"/>
      <c r="X153" s="30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0"/>
      <c r="AK153" s="31"/>
      <c r="AL153" s="30"/>
      <c r="AM153" s="31"/>
      <c r="AN153" s="30"/>
      <c r="AO153" s="31"/>
    </row>
    <row r="154" spans="3:41">
      <c r="C154" s="31"/>
      <c r="D154" s="30"/>
      <c r="E154" s="31"/>
      <c r="F154" s="31"/>
      <c r="G154" s="31"/>
      <c r="I154" s="30"/>
      <c r="J154" s="30"/>
      <c r="K154" s="31"/>
      <c r="L154" s="31"/>
      <c r="N154" s="30"/>
      <c r="O154" s="30"/>
      <c r="P154" s="31"/>
      <c r="Q154" s="30"/>
      <c r="R154" s="31"/>
      <c r="S154" s="30"/>
      <c r="T154" s="31"/>
      <c r="U154" s="31"/>
      <c r="V154" s="30"/>
      <c r="W154" s="30"/>
      <c r="X154" s="30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0"/>
      <c r="AK154" s="31"/>
      <c r="AL154" s="30"/>
      <c r="AM154" s="31"/>
      <c r="AN154" s="30"/>
      <c r="AO154" s="31"/>
    </row>
    <row r="155" spans="3:41">
      <c r="C155" s="31"/>
      <c r="D155" s="30"/>
      <c r="E155" s="31"/>
      <c r="F155" s="31"/>
      <c r="G155" s="31"/>
      <c r="I155" s="30"/>
      <c r="J155" s="30"/>
      <c r="K155" s="31"/>
      <c r="L155" s="31"/>
      <c r="N155" s="30"/>
      <c r="O155" s="30"/>
      <c r="P155" s="31"/>
      <c r="Q155" s="30"/>
      <c r="R155" s="31"/>
      <c r="S155" s="30"/>
      <c r="T155" s="31"/>
      <c r="U155" s="31"/>
      <c r="V155" s="30"/>
      <c r="W155" s="30"/>
      <c r="X155" s="30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0"/>
      <c r="AK155" s="31"/>
      <c r="AL155" s="30"/>
      <c r="AM155" s="31"/>
      <c r="AN155" s="30"/>
      <c r="AO155" s="31"/>
    </row>
    <row r="156" spans="3:41">
      <c r="C156" s="31"/>
      <c r="D156" s="30"/>
      <c r="E156" s="31"/>
      <c r="F156" s="31"/>
      <c r="G156" s="31"/>
      <c r="I156" s="30"/>
      <c r="J156" s="30"/>
      <c r="K156" s="31"/>
      <c r="L156" s="31"/>
      <c r="N156" s="30"/>
      <c r="O156" s="30"/>
      <c r="P156" s="31"/>
      <c r="Q156" s="30"/>
      <c r="R156" s="31"/>
      <c r="S156" s="30"/>
      <c r="T156" s="31"/>
      <c r="U156" s="31"/>
      <c r="V156" s="30"/>
      <c r="W156" s="30"/>
      <c r="X156" s="30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0"/>
      <c r="AK156" s="31"/>
      <c r="AL156" s="30"/>
      <c r="AM156" s="31"/>
      <c r="AN156" s="30"/>
      <c r="AO156" s="31"/>
    </row>
    <row r="157" spans="3:41">
      <c r="C157" s="31"/>
      <c r="D157" s="30"/>
      <c r="E157" s="31"/>
      <c r="F157" s="31"/>
      <c r="G157" s="31"/>
      <c r="I157" s="30"/>
      <c r="J157" s="30"/>
      <c r="K157" s="31"/>
      <c r="L157" s="31"/>
      <c r="N157" s="30"/>
      <c r="O157" s="30"/>
      <c r="P157" s="31"/>
      <c r="Q157" s="30"/>
      <c r="R157" s="31"/>
      <c r="S157" s="30"/>
      <c r="T157" s="31"/>
      <c r="U157" s="31"/>
      <c r="V157" s="30"/>
      <c r="W157" s="30"/>
      <c r="X157" s="30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0"/>
      <c r="AK157" s="31"/>
      <c r="AL157" s="30"/>
      <c r="AM157" s="31"/>
      <c r="AN157" s="30"/>
      <c r="AO157" s="31"/>
    </row>
    <row r="158" spans="3:41">
      <c r="C158" s="31"/>
      <c r="D158" s="30"/>
      <c r="E158" s="31"/>
      <c r="F158" s="31"/>
      <c r="G158" s="31"/>
      <c r="I158" s="30"/>
      <c r="J158" s="30"/>
      <c r="K158" s="31"/>
      <c r="L158" s="31"/>
      <c r="N158" s="30"/>
      <c r="O158" s="30"/>
      <c r="P158" s="31"/>
      <c r="Q158" s="30"/>
      <c r="R158" s="31"/>
      <c r="S158" s="30"/>
      <c r="T158" s="31"/>
      <c r="U158" s="31"/>
      <c r="V158" s="30"/>
      <c r="W158" s="30"/>
      <c r="X158" s="30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0"/>
      <c r="AK158" s="31"/>
      <c r="AL158" s="30"/>
      <c r="AM158" s="31"/>
      <c r="AN158" s="30"/>
      <c r="AO158" s="31"/>
    </row>
    <row r="159" spans="3:41">
      <c r="C159" s="31"/>
      <c r="D159" s="30"/>
      <c r="E159" s="31"/>
      <c r="F159" s="31"/>
      <c r="G159" s="31"/>
      <c r="I159" s="30"/>
      <c r="J159" s="30"/>
      <c r="K159" s="31"/>
      <c r="L159" s="31"/>
      <c r="N159" s="30"/>
      <c r="O159" s="30"/>
      <c r="P159" s="31"/>
      <c r="Q159" s="30"/>
      <c r="R159" s="31"/>
      <c r="S159" s="30"/>
      <c r="T159" s="31"/>
      <c r="U159" s="31"/>
      <c r="V159" s="30"/>
      <c r="W159" s="30"/>
      <c r="X159" s="30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0"/>
      <c r="AK159" s="31"/>
      <c r="AL159" s="30"/>
      <c r="AM159" s="31"/>
      <c r="AN159" s="30"/>
      <c r="AO159" s="31"/>
    </row>
    <row r="160" spans="3:41">
      <c r="C160" s="31"/>
      <c r="D160" s="30"/>
      <c r="E160" s="31"/>
      <c r="F160" s="31"/>
      <c r="G160" s="31"/>
      <c r="I160" s="30"/>
      <c r="J160" s="30"/>
      <c r="K160" s="31"/>
      <c r="L160" s="31"/>
      <c r="N160" s="30"/>
      <c r="O160" s="30"/>
      <c r="P160" s="31"/>
      <c r="Q160" s="30"/>
      <c r="R160" s="31"/>
      <c r="S160" s="30"/>
      <c r="T160" s="31"/>
      <c r="U160" s="31"/>
      <c r="V160" s="30"/>
      <c r="W160" s="30"/>
      <c r="X160" s="30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0"/>
      <c r="AK160" s="31"/>
      <c r="AL160" s="30"/>
      <c r="AM160" s="31"/>
      <c r="AN160" s="30"/>
      <c r="AO160" s="31"/>
    </row>
    <row r="161" spans="3:41">
      <c r="C161" s="31"/>
      <c r="D161" s="30"/>
      <c r="E161" s="31"/>
      <c r="F161" s="31"/>
      <c r="G161" s="31"/>
      <c r="I161" s="30"/>
      <c r="J161" s="30"/>
      <c r="K161" s="31"/>
      <c r="L161" s="31"/>
      <c r="N161" s="30"/>
      <c r="O161" s="30"/>
      <c r="P161" s="31"/>
      <c r="Q161" s="30"/>
      <c r="R161" s="31"/>
      <c r="S161" s="30"/>
      <c r="T161" s="31"/>
      <c r="U161" s="31"/>
      <c r="V161" s="30"/>
      <c r="W161" s="30"/>
      <c r="X161" s="30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0"/>
      <c r="AK161" s="31"/>
      <c r="AL161" s="30"/>
      <c r="AM161" s="31"/>
      <c r="AN161" s="30"/>
      <c r="AO161" s="31"/>
    </row>
    <row r="162" spans="3:41">
      <c r="C162" s="31"/>
      <c r="D162" s="34"/>
      <c r="E162" s="34"/>
      <c r="F162" s="34"/>
      <c r="G162" s="31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0"/>
      <c r="H163" s="30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0"/>
    </row>
    <row r="164" ht="16" customHeight="1" spans="3:41">
      <c r="C164" s="40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0"/>
    </row>
    <row r="165" ht="16" customHeight="1" spans="3:41">
      <c r="C165" s="40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0"/>
    </row>
    <row r="166" ht="16" customHeight="1" spans="3:41">
      <c r="C166" s="40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0"/>
    </row>
    <row r="167" ht="16" customHeight="1" spans="3:41">
      <c r="C167" s="40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0"/>
    </row>
    <row r="168" ht="16" customHeight="1" spans="3:41">
      <c r="C168" s="40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0"/>
    </row>
    <row r="169" ht="16" customHeight="1" spans="3:41">
      <c r="C169" s="40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0"/>
    </row>
    <row r="170" ht="16" customHeight="1" spans="3:41">
      <c r="C170" s="40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0"/>
    </row>
    <row r="171" ht="16" customHeight="1" spans="3:41">
      <c r="C171" s="40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0"/>
    </row>
    <row r="172" ht="16" customHeight="1" spans="3:41">
      <c r="C172" s="40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tabSelected="1" zoomScale="80" zoomScaleNormal="80" zoomScaleSheetLayoutView="60" topLeftCell="A29" workbookViewId="0">
      <selection activeCell="E36" sqref="E36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7" width="12.8181818181818" style="1" customWidth="1"/>
    <col min="8" max="8" width="12.8181818181818" style="31" customWidth="1"/>
    <col min="9" max="9" width="12.8181818181818"/>
    <col min="10" max="10" width="10.5454545454545"/>
    <col min="11" max="11" width="33.1818181818182" style="1" customWidth="1"/>
    <col min="12" max="12" width="11.2727272727273" style="1" customWidth="1"/>
    <col min="13" max="13" width="12.8181818181818" style="31" customWidth="1"/>
    <col min="14" max="14" width="10.5454545454545"/>
    <col min="15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0.5454545454545"/>
    <col min="20" max="21" width="12.8181818181818" style="1" customWidth="1"/>
    <col min="22" max="24" width="10.5454545454545"/>
    <col min="25" max="35" width="12.8181818181818" style="1" customWidth="1"/>
    <col min="36" max="36" width="10.5454545454545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32" t="s">
        <v>0</v>
      </c>
      <c r="D4" s="32">
        <v>12.85</v>
      </c>
      <c r="K4" s="33"/>
      <c r="L4" s="33" t="s">
        <v>1</v>
      </c>
      <c r="M4" s="34"/>
    </row>
    <row r="5" spans="3:41">
      <c r="C5" s="32" t="s">
        <v>2</v>
      </c>
      <c r="D5" s="32">
        <v>20</v>
      </c>
      <c r="K5" s="33" t="s">
        <v>3</v>
      </c>
      <c r="L5" s="33" t="s">
        <v>4</v>
      </c>
      <c r="M5" s="30" t="s">
        <v>5</v>
      </c>
    </row>
    <row r="6" ht="16" customHeight="1" spans="3:41">
      <c r="C6" s="32" t="s">
        <v>6</v>
      </c>
      <c r="D6" s="32">
        <v>29.3</v>
      </c>
      <c r="K6" s="35" t="s">
        <v>7</v>
      </c>
      <c r="L6" s="36" t="s">
        <v>8</v>
      </c>
      <c r="M6" s="30">
        <v>99999</v>
      </c>
    </row>
    <row r="7" spans="3:41">
      <c r="C7" s="32" t="s">
        <v>9</v>
      </c>
      <c r="D7" s="37">
        <v>2</v>
      </c>
      <c r="K7" t="s">
        <v>10</v>
      </c>
      <c r="L7" t="str">
        <f t="shared" ref="L7:L16" si="0">L6</f>
        <v>ACT_COST</v>
      </c>
      <c r="M7" s="30">
        <f t="shared" ref="M7:M27" si="1">M6</f>
        <v>99999</v>
      </c>
    </row>
    <row r="8" spans="3:41">
      <c r="C8" s="32" t="s">
        <v>11</v>
      </c>
      <c r="D8" s="32">
        <v>2.5</v>
      </c>
      <c r="K8" t="s">
        <v>12</v>
      </c>
      <c r="L8" t="str">
        <f t="shared" si="0"/>
        <v>ACT_COST</v>
      </c>
      <c r="M8" s="30">
        <f t="shared" si="1"/>
        <v>99999</v>
      </c>
    </row>
    <row r="9" spans="3:41">
      <c r="C9" s="32" t="s">
        <v>13</v>
      </c>
      <c r="D9" s="32">
        <v>8</v>
      </c>
      <c r="K9" t="s">
        <v>14</v>
      </c>
      <c r="L9" t="str">
        <f t="shared" si="0"/>
        <v>ACT_COST</v>
      </c>
      <c r="M9" s="30">
        <f t="shared" si="1"/>
        <v>99999</v>
      </c>
    </row>
    <row r="10" spans="3:41">
      <c r="C10" s="32" t="s">
        <v>15</v>
      </c>
      <c r="D10" s="32">
        <v>1</v>
      </c>
      <c r="K10" t="s">
        <v>16</v>
      </c>
      <c r="L10" t="str">
        <f t="shared" si="0"/>
        <v>ACT_COST</v>
      </c>
      <c r="M10" s="30">
        <f t="shared" si="1"/>
        <v>99999</v>
      </c>
    </row>
    <row r="11" spans="3:41">
      <c r="K11" t="s">
        <v>17</v>
      </c>
      <c r="L11" t="str">
        <f t="shared" si="0"/>
        <v>ACT_COST</v>
      </c>
      <c r="M11" s="30">
        <f t="shared" si="1"/>
        <v>99999</v>
      </c>
    </row>
    <row r="12" spans="3:41">
      <c r="K12" t="s">
        <v>18</v>
      </c>
      <c r="L12" t="str">
        <f t="shared" si="0"/>
        <v>ACT_COST</v>
      </c>
      <c r="M12" s="30">
        <f t="shared" si="1"/>
        <v>99999</v>
      </c>
    </row>
    <row r="13" spans="3:41">
      <c r="C13" s="33"/>
      <c r="D13" s="33"/>
      <c r="E13" s="33"/>
      <c r="F13" s="33"/>
      <c r="G13" s="33"/>
      <c r="H13" s="34"/>
      <c r="I13" s="33"/>
      <c r="J13" s="33"/>
      <c r="K13" s="33" t="s">
        <v>19</v>
      </c>
      <c r="L13" t="str">
        <f t="shared" si="0"/>
        <v>ACT_COST</v>
      </c>
      <c r="M13" s="30">
        <f t="shared" si="1"/>
        <v>99999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</row>
    <row r="14" spans="3:41">
      <c r="C14" s="33"/>
      <c r="D14" s="33"/>
      <c r="E14" s="33"/>
      <c r="F14" s="33"/>
      <c r="G14" s="33"/>
      <c r="H14" s="34"/>
      <c r="I14" s="33"/>
      <c r="J14" s="33"/>
      <c r="K14" s="33" t="s">
        <v>20</v>
      </c>
      <c r="L14" t="str">
        <f t="shared" si="0"/>
        <v>ACT_COST</v>
      </c>
      <c r="M14" s="30">
        <f t="shared" si="1"/>
        <v>99999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</row>
    <row r="15" spans="3:41">
      <c r="C15" s="33"/>
      <c r="D15" s="33"/>
      <c r="E15" s="33"/>
      <c r="F15" s="33"/>
      <c r="G15" s="33"/>
      <c r="H15" s="34"/>
      <c r="I15" s="33"/>
      <c r="J15" s="33"/>
      <c r="K15" s="33" t="s">
        <v>21</v>
      </c>
      <c r="L15" t="str">
        <f t="shared" si="0"/>
        <v>ACT_COST</v>
      </c>
      <c r="M15" s="30">
        <f t="shared" si="1"/>
        <v>99999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</row>
    <row r="16" spans="3:41">
      <c r="C16" s="33"/>
      <c r="D16" s="33"/>
      <c r="E16" s="33"/>
      <c r="K16" t="s">
        <v>22</v>
      </c>
      <c r="L16" t="str">
        <f t="shared" si="0"/>
        <v>ACT_COST</v>
      </c>
      <c r="M16" s="30">
        <f t="shared" si="1"/>
        <v>99999</v>
      </c>
      <c r="AN16" s="33"/>
    </row>
    <row r="17" ht="16" customHeight="1" spans="3:41">
      <c r="C17" s="33"/>
      <c r="D17" s="33"/>
      <c r="E17" s="33"/>
      <c r="F17" s="33"/>
      <c r="G17" s="33"/>
      <c r="H17" s="34"/>
      <c r="I17" s="33"/>
      <c r="J17" s="33"/>
      <c r="K17" s="35" t="s">
        <v>7</v>
      </c>
      <c r="L17" s="33" t="s">
        <v>23</v>
      </c>
      <c r="M17" s="34">
        <f t="shared" si="1"/>
        <v>99999</v>
      </c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</row>
    <row r="18" spans="3:41">
      <c r="C18" s="33"/>
      <c r="D18" s="33"/>
      <c r="E18" s="33"/>
      <c r="F18" s="33"/>
      <c r="G18" s="33"/>
      <c r="H18" s="34"/>
      <c r="I18" s="33"/>
      <c r="J18" s="33"/>
      <c r="K18" t="s">
        <v>10</v>
      </c>
      <c r="L18" s="33" t="str">
        <f t="shared" ref="L18:L27" si="2">L17</f>
        <v>NCAP_FOM</v>
      </c>
      <c r="M18" s="34">
        <f t="shared" si="1"/>
        <v>99999</v>
      </c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</row>
    <row r="19" spans="3:41">
      <c r="C19" s="33"/>
      <c r="D19" s="33"/>
      <c r="E19" s="37"/>
      <c r="F19" s="33"/>
      <c r="G19" s="33"/>
      <c r="H19" s="34"/>
      <c r="I19" s="33"/>
      <c r="J19" s="33"/>
      <c r="K19" t="s">
        <v>12</v>
      </c>
      <c r="L19" s="33" t="str">
        <f t="shared" si="2"/>
        <v>NCAP_FOM</v>
      </c>
      <c r="M19" s="34">
        <f t="shared" si="1"/>
        <v>99999</v>
      </c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</row>
    <row r="20" spans="3:41">
      <c r="C20" s="33"/>
      <c r="D20" s="33"/>
      <c r="E20" s="33"/>
      <c r="F20" s="33"/>
      <c r="G20" s="33"/>
      <c r="H20" s="34"/>
      <c r="I20" s="33"/>
      <c r="J20" s="33"/>
      <c r="K20" t="s">
        <v>14</v>
      </c>
      <c r="L20" s="33" t="str">
        <f t="shared" si="2"/>
        <v>NCAP_FOM</v>
      </c>
      <c r="M20" s="34">
        <f t="shared" si="1"/>
        <v>99999</v>
      </c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</row>
    <row r="21" spans="3:41">
      <c r="C21" s="33"/>
      <c r="D21" s="33"/>
      <c r="E21" s="33"/>
      <c r="F21" s="33"/>
      <c r="G21" s="33"/>
      <c r="H21" s="34"/>
      <c r="I21" s="33"/>
      <c r="J21" s="33"/>
      <c r="K21" t="s">
        <v>16</v>
      </c>
      <c r="L21" s="33" t="str">
        <f t="shared" si="2"/>
        <v>NCAP_FOM</v>
      </c>
      <c r="M21" s="34">
        <f t="shared" si="1"/>
        <v>99999</v>
      </c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</row>
    <row r="22" spans="3:41">
      <c r="C22" s="33"/>
      <c r="D22" s="33"/>
      <c r="E22" s="37"/>
      <c r="F22" s="33"/>
      <c r="G22" s="33"/>
      <c r="H22" s="34"/>
      <c r="I22" s="33"/>
      <c r="J22" s="33"/>
      <c r="K22" t="s">
        <v>17</v>
      </c>
      <c r="L22" s="33" t="str">
        <f t="shared" si="2"/>
        <v>NCAP_FOM</v>
      </c>
      <c r="M22" s="34">
        <f t="shared" si="1"/>
        <v>99999</v>
      </c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</row>
    <row r="23" spans="3:41">
      <c r="C23" s="33"/>
      <c r="D23" s="33"/>
      <c r="E23" s="33"/>
      <c r="F23" s="33"/>
      <c r="G23" s="33"/>
      <c r="H23" s="34"/>
      <c r="I23" s="33"/>
      <c r="J23" s="33"/>
      <c r="K23" t="s">
        <v>18</v>
      </c>
      <c r="L23" s="33" t="str">
        <f t="shared" si="2"/>
        <v>NCAP_FOM</v>
      </c>
      <c r="M23" s="34">
        <f t="shared" si="1"/>
        <v>99999</v>
      </c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</row>
    <row r="24" spans="3:41">
      <c r="C24" s="33"/>
      <c r="D24" s="33"/>
      <c r="E24" s="33"/>
      <c r="F24" s="33"/>
      <c r="G24" s="33"/>
      <c r="H24" s="34"/>
      <c r="I24" s="33"/>
      <c r="J24" s="33"/>
      <c r="K24" s="33" t="s">
        <v>19</v>
      </c>
      <c r="L24" s="33" t="str">
        <f t="shared" si="2"/>
        <v>NCAP_FOM</v>
      </c>
      <c r="M24" s="34">
        <f t="shared" si="1"/>
        <v>99999</v>
      </c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</row>
    <row r="25" spans="3:41">
      <c r="C25" s="33"/>
      <c r="D25" s="33"/>
      <c r="E25" s="37"/>
      <c r="F25" s="33"/>
      <c r="G25" s="33"/>
      <c r="H25" s="34"/>
      <c r="I25" s="33"/>
      <c r="J25" s="33"/>
      <c r="K25" s="33" t="s">
        <v>20</v>
      </c>
      <c r="L25" s="33" t="str">
        <f t="shared" si="2"/>
        <v>NCAP_FOM</v>
      </c>
      <c r="M25" s="34">
        <f t="shared" si="1"/>
        <v>99999</v>
      </c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</row>
    <row r="26" spans="3:41">
      <c r="C26" s="33"/>
      <c r="D26" s="33"/>
      <c r="E26" s="33"/>
      <c r="F26" s="33"/>
      <c r="G26" s="33"/>
      <c r="H26" s="34"/>
      <c r="I26" s="33"/>
      <c r="J26" s="33"/>
      <c r="K26" s="33" t="s">
        <v>21</v>
      </c>
      <c r="L26" s="33" t="str">
        <f t="shared" si="2"/>
        <v>NCAP_FOM</v>
      </c>
      <c r="M26" s="34">
        <f t="shared" si="1"/>
        <v>99999</v>
      </c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</row>
    <row r="27" spans="3:41">
      <c r="C27" s="33"/>
      <c r="D27" s="33"/>
      <c r="E27" s="33"/>
      <c r="F27" s="33"/>
      <c r="G27" s="33"/>
      <c r="H27" s="34"/>
      <c r="I27" s="33"/>
      <c r="J27" s="33"/>
      <c r="K27" t="s">
        <v>22</v>
      </c>
      <c r="L27" s="33" t="str">
        <f t="shared" si="2"/>
        <v>NCAP_FOM</v>
      </c>
      <c r="M27" s="34">
        <f t="shared" si="1"/>
        <v>99999</v>
      </c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</row>
    <row r="28" spans="3:41">
      <c r="C28" s="33"/>
      <c r="D28" s="33"/>
      <c r="E28" s="33"/>
      <c r="F28" s="33"/>
      <c r="G28" s="33"/>
      <c r="H28" s="34"/>
      <c r="I28" s="33"/>
      <c r="J28" s="33"/>
      <c r="K28" s="33"/>
      <c r="L28" s="33"/>
      <c r="M28" s="34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</row>
    <row r="29" spans="3:41">
      <c r="C29" s="33"/>
      <c r="D29" s="33"/>
      <c r="E29" s="33"/>
      <c r="F29" s="33"/>
      <c r="G29" s="33"/>
      <c r="H29" s="34"/>
      <c r="I29" s="33"/>
      <c r="J29" s="33"/>
      <c r="K29" s="33"/>
      <c r="L29" s="33"/>
      <c r="M29" s="34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</row>
    <row r="30" spans="3:41">
      <c r="C30" s="33"/>
      <c r="D30" s="33"/>
      <c r="E30" s="33"/>
      <c r="F30" s="33"/>
      <c r="G30" s="33"/>
      <c r="H30" s="34"/>
      <c r="I30" s="33"/>
      <c r="J30" s="33"/>
      <c r="K30" s="33"/>
      <c r="L30" s="33"/>
      <c r="M30" s="34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</row>
    <row r="31" spans="3:41">
      <c r="C31" s="33"/>
      <c r="D31" s="33"/>
      <c r="E31" s="33"/>
      <c r="F31" s="33"/>
      <c r="G31" s="33"/>
      <c r="H31" s="34"/>
      <c r="I31" s="33"/>
      <c r="J31" s="33"/>
      <c r="K31" s="33"/>
      <c r="L31" s="33"/>
      <c r="M31" s="34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</row>
    <row r="32" spans="3:41">
      <c r="C32" s="34" t="s">
        <v>24</v>
      </c>
      <c r="D32" s="33"/>
      <c r="E32" s="33"/>
      <c r="F32" s="33"/>
      <c r="G32" s="33"/>
      <c r="H32" s="34"/>
      <c r="I32" s="33"/>
      <c r="J32" s="33"/>
      <c r="K32" s="33"/>
      <c r="L32" s="33"/>
      <c r="M32" s="34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</row>
    <row r="33" spans="3:41">
      <c r="C33" s="33"/>
      <c r="D33" s="33"/>
      <c r="E33" s="33"/>
      <c r="F33" s="33"/>
      <c r="G33" s="33"/>
      <c r="H33" s="34"/>
      <c r="I33" s="33"/>
      <c r="J33" s="33"/>
      <c r="K33" s="33"/>
      <c r="L33" s="33"/>
      <c r="M33" s="34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</row>
    <row r="34" spans="3:41">
      <c r="C34" s="33"/>
      <c r="D34" s="33"/>
      <c r="E34" s="33"/>
      <c r="F34" s="33"/>
      <c r="G34" s="33"/>
      <c r="H34" s="34"/>
      <c r="I34" s="33"/>
      <c r="J34" s="33"/>
      <c r="K34" s="33"/>
      <c r="L34" s="33"/>
      <c r="M34" s="34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</row>
    <row r="35" spans="3:41">
      <c r="C35" s="33"/>
      <c r="D35" s="33"/>
      <c r="E35" s="33"/>
      <c r="F35" s="33"/>
      <c r="G35" s="33"/>
      <c r="H35" s="34"/>
      <c r="I35" s="33"/>
      <c r="J35" s="33"/>
      <c r="K35" s="33"/>
      <c r="L35" s="33"/>
      <c r="M35" s="3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</row>
    <row r="36" spans="3:41">
      <c r="D36" s="33"/>
      <c r="E36" s="33"/>
      <c r="F36" s="33"/>
      <c r="G36" s="33"/>
      <c r="H36" s="34"/>
      <c r="I36" s="33"/>
      <c r="J36" s="33"/>
      <c r="K36" s="33"/>
      <c r="L36" s="33"/>
      <c r="M36" s="34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</row>
    <row r="37" spans="3:41">
      <c r="C37" s="33"/>
      <c r="D37" s="33"/>
      <c r="E37" s="33"/>
      <c r="F37" s="33"/>
      <c r="G37" s="33"/>
      <c r="H37" s="34"/>
      <c r="I37" s="33"/>
      <c r="J37" s="33"/>
      <c r="K37" s="33"/>
      <c r="L37" s="33"/>
      <c r="M37" s="34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</row>
    <row r="38" spans="3:41">
      <c r="C38" s="33"/>
      <c r="D38" s="33"/>
      <c r="E38" s="33"/>
      <c r="F38" s="33"/>
      <c r="I38" s="33"/>
      <c r="J38" s="33"/>
      <c r="K38" s="33"/>
      <c r="L38" s="33"/>
      <c r="M38" s="34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</row>
    <row r="39" spans="3:41">
      <c r="C39" s="33"/>
      <c r="D39" s="33"/>
      <c r="E39" s="33"/>
      <c r="F39" s="33"/>
      <c r="I39" s="33"/>
      <c r="J39" s="33"/>
      <c r="K39" s="33"/>
      <c r="L39" s="33"/>
      <c r="M39" s="34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</row>
    <row r="40" spans="3:41">
      <c r="C40" s="33" t="s">
        <v>3</v>
      </c>
      <c r="D40" s="33" t="s">
        <v>4</v>
      </c>
      <c r="E40" s="33" t="s">
        <v>26</v>
      </c>
      <c r="F40" s="33" t="s">
        <v>27</v>
      </c>
      <c r="G40" t="s">
        <v>28</v>
      </c>
      <c r="H40" s="30" t="s">
        <v>29</v>
      </c>
      <c r="I40" s="33" t="s">
        <v>30</v>
      </c>
      <c r="J40" s="33" t="s">
        <v>31</v>
      </c>
      <c r="K40" s="33" t="s">
        <v>32</v>
      </c>
      <c r="L40" s="33" t="s">
        <v>33</v>
      </c>
      <c r="M40" s="34" t="s">
        <v>34</v>
      </c>
      <c r="N40" s="33" t="s">
        <v>35</v>
      </c>
      <c r="O40" s="33" t="s">
        <v>36</v>
      </c>
      <c r="P40" s="33" t="s">
        <v>37</v>
      </c>
      <c r="Q40" s="33" t="s">
        <v>38</v>
      </c>
      <c r="R40" s="33" t="s">
        <v>39</v>
      </c>
      <c r="S40" s="33" t="s">
        <v>40</v>
      </c>
      <c r="T40" s="33" t="s">
        <v>41</v>
      </c>
      <c r="U40" s="33" t="s">
        <v>42</v>
      </c>
      <c r="V40" s="33" t="s">
        <v>43</v>
      </c>
      <c r="W40" s="33" t="s">
        <v>44</v>
      </c>
      <c r="X40" s="33" t="s">
        <v>45</v>
      </c>
      <c r="Y40" s="33" t="s">
        <v>46</v>
      </c>
      <c r="Z40" s="33" t="s">
        <v>47</v>
      </c>
      <c r="AA40" s="33" t="s">
        <v>48</v>
      </c>
      <c r="AB40" s="33" t="s">
        <v>49</v>
      </c>
      <c r="AC40" s="33" t="s">
        <v>50</v>
      </c>
      <c r="AD40" s="33" t="s">
        <v>51</v>
      </c>
      <c r="AE40" s="33" t="s">
        <v>52</v>
      </c>
      <c r="AF40" s="33" t="s">
        <v>53</v>
      </c>
      <c r="AG40" s="33" t="s">
        <v>54</v>
      </c>
      <c r="AH40" s="33" t="s">
        <v>55</v>
      </c>
      <c r="AI40" s="33" t="s">
        <v>56</v>
      </c>
      <c r="AJ40" s="33" t="s">
        <v>57</v>
      </c>
      <c r="AK40" s="33" t="s">
        <v>58</v>
      </c>
      <c r="AL40" s="33" t="s">
        <v>59</v>
      </c>
      <c r="AM40" s="33" t="s">
        <v>60</v>
      </c>
      <c r="AN40" s="33" t="s">
        <v>61</v>
      </c>
      <c r="AO40" t="s">
        <v>62</v>
      </c>
    </row>
    <row r="41" spans="3:41">
      <c r="C41" s="33" t="str">
        <f>Codex_calc!C41</f>
        <v>MINLiRSV1</v>
      </c>
      <c r="D41" s="33" t="str">
        <f>Codex_calc!D41</f>
        <v>BNDACT</v>
      </c>
      <c r="E41" s="33"/>
      <c r="F41" s="33">
        <f>Codex_calc!F41</f>
        <v>0</v>
      </c>
      <c r="G41" s="33">
        <f>Codex_calc!G41</f>
        <v>19.6640791533596</v>
      </c>
      <c r="H41" s="34">
        <f>Codex_calc!H41</f>
        <v>52.8776454380362</v>
      </c>
      <c r="I41" s="33">
        <f>Codex_calc!I41</f>
        <v>0.426746821967561</v>
      </c>
      <c r="J41" s="33">
        <f>Codex_calc!J41</f>
        <v>0</v>
      </c>
      <c r="K41" s="33">
        <f>Codex_calc!K41</f>
        <v>0</v>
      </c>
      <c r="L41" s="33">
        <f>Codex_calc!L41</f>
        <v>7.17848331141586</v>
      </c>
      <c r="M41" s="34">
        <f>Codex_calc!M41</f>
        <v>5.95789647441919</v>
      </c>
      <c r="N41" s="33">
        <f>Codex_calc!N41</f>
        <v>0</v>
      </c>
      <c r="O41" s="33">
        <f>Codex_calc!O41</f>
        <v>1.42506105579561</v>
      </c>
      <c r="P41" s="33">
        <f>Codex_calc!P41</f>
        <v>0</v>
      </c>
      <c r="Q41" s="33">
        <f>Codex_calc!Q41</f>
        <v>1.74633352119732</v>
      </c>
      <c r="R41" s="33">
        <f>Codex_calc!R41</f>
        <v>0</v>
      </c>
      <c r="S41" s="33">
        <f>Codex_calc!S41</f>
        <v>0</v>
      </c>
      <c r="T41" s="33">
        <f>Codex_calc!T41</f>
        <v>0</v>
      </c>
      <c r="U41" s="33">
        <f>Codex_calc!U41</f>
        <v>0</v>
      </c>
      <c r="V41" s="33">
        <f>Codex_calc!V41</f>
        <v>0</v>
      </c>
      <c r="W41" s="33">
        <f>Codex_calc!W41</f>
        <v>0</v>
      </c>
      <c r="X41" s="33">
        <f>Codex_calc!X41</f>
        <v>0</v>
      </c>
      <c r="Y41" s="33">
        <f>Codex_calc!Y41</f>
        <v>52.3188076898992</v>
      </c>
      <c r="Z41" s="33">
        <f>Codex_calc!Z41</f>
        <v>0</v>
      </c>
      <c r="AA41" s="33">
        <f>Codex_calc!AA41</f>
        <v>35.3828442607552</v>
      </c>
      <c r="AB41" s="33">
        <f>Codex_calc!AB41</f>
        <v>0</v>
      </c>
      <c r="AC41" s="33">
        <f>Codex_calc!AC41</f>
        <v>0</v>
      </c>
      <c r="AD41" s="33">
        <f>Codex_calc!AD41</f>
        <v>0</v>
      </c>
      <c r="AE41" s="33">
        <f>Codex_calc!AE41</f>
        <v>0</v>
      </c>
      <c r="AF41" s="33">
        <f>Codex_calc!AF41</f>
        <v>0</v>
      </c>
      <c r="AG41" s="33">
        <f>Codex_calc!AG41</f>
        <v>0</v>
      </c>
      <c r="AH41" s="33">
        <f>Codex_calc!AH41</f>
        <v>2.47644310852276</v>
      </c>
      <c r="AI41" s="33">
        <f>Codex_calc!AI41</f>
        <v>0.727409355626527</v>
      </c>
      <c r="AJ41" s="33">
        <f>Codex_calc!AJ41</f>
        <v>0</v>
      </c>
      <c r="AK41" s="33">
        <f>Codex_calc!AK41</f>
        <v>0</v>
      </c>
      <c r="AL41" s="33">
        <f>Codex_calc!AL41</f>
        <v>0.363704677813262</v>
      </c>
      <c r="AM41" s="33">
        <f>Codex_calc!AM41</f>
        <v>0</v>
      </c>
      <c r="AN41" s="33">
        <f>Codex_calc!AN41</f>
        <v>2.87657336088672</v>
      </c>
      <c r="AO41" t="str">
        <f>Codex_calc!AO41</f>
        <v>2019, 2130</v>
      </c>
    </row>
    <row r="42" spans="3:41">
      <c r="C42" s="33" t="str">
        <f>Codex_calc!C42</f>
        <v>MINLiRSV1</v>
      </c>
      <c r="D42" s="33" t="str">
        <f>Codex_calc!D42</f>
        <v>CUM</v>
      </c>
      <c r="E42" s="33"/>
      <c r="F42" s="33"/>
      <c r="G42" s="33"/>
      <c r="H42" s="34"/>
      <c r="I42" s="33"/>
      <c r="J42" s="33"/>
      <c r="K42" s="33"/>
      <c r="L42" s="33"/>
      <c r="M42" s="34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t="str">
        <f>Codex_calc!AO42</f>
        <v>2019, 2130</v>
      </c>
    </row>
    <row r="43" spans="3:41">
      <c r="C43" s="33" t="str">
        <f>Codex_calc!C43</f>
        <v>MINLiRSV1</v>
      </c>
      <c r="D43" s="33" t="str">
        <f>Codex_calc!D43</f>
        <v>COST</v>
      </c>
      <c r="E43" s="33" t="str">
        <f>Codex_calc!E43</f>
        <v>m_lithium</v>
      </c>
      <c r="F43" s="33">
        <f>Codex_calc!F43</f>
        <v>13.86</v>
      </c>
      <c r="G43" s="33">
        <f>Codex_calc!G43</f>
        <v>13.86</v>
      </c>
      <c r="H43" s="34">
        <f>Codex_calc!H43</f>
        <v>13.86</v>
      </c>
      <c r="I43" s="33">
        <f>Codex_calc!I43</f>
        <v>13.86</v>
      </c>
      <c r="J43" s="33">
        <f>Codex_calc!J43</f>
        <v>13.86</v>
      </c>
      <c r="K43" s="33">
        <f>Codex_calc!K43</f>
        <v>13.86</v>
      </c>
      <c r="L43" s="33">
        <f>Codex_calc!L43</f>
        <v>13.86</v>
      </c>
      <c r="M43" s="34">
        <f>Codex_calc!M43</f>
        <v>13.86</v>
      </c>
      <c r="N43" s="33">
        <f>Codex_calc!N43</f>
        <v>13.86</v>
      </c>
      <c r="O43" s="33">
        <f>Codex_calc!O43</f>
        <v>13.86</v>
      </c>
      <c r="P43" s="33">
        <f>Codex_calc!P43</f>
        <v>13.86</v>
      </c>
      <c r="Q43" s="33">
        <f>Codex_calc!Q43</f>
        <v>13.86</v>
      </c>
      <c r="R43" s="33">
        <f>Codex_calc!R43</f>
        <v>13.86</v>
      </c>
      <c r="S43" s="33">
        <f>Codex_calc!S43</f>
        <v>13.86</v>
      </c>
      <c r="T43" s="33">
        <f>Codex_calc!T43</f>
        <v>13.86</v>
      </c>
      <c r="U43" s="33">
        <f>Codex_calc!U43</f>
        <v>13.86</v>
      </c>
      <c r="V43" s="33">
        <f>Codex_calc!V43</f>
        <v>13.86</v>
      </c>
      <c r="W43" s="33">
        <f>Codex_calc!W43</f>
        <v>13.86</v>
      </c>
      <c r="X43" s="33">
        <f>Codex_calc!X43</f>
        <v>13.86</v>
      </c>
      <c r="Y43" s="33">
        <f>Codex_calc!Y43</f>
        <v>13.86</v>
      </c>
      <c r="Z43" s="33">
        <f>Codex_calc!Z43</f>
        <v>13.86</v>
      </c>
      <c r="AA43" s="33">
        <f>Codex_calc!AA43</f>
        <v>13.86</v>
      </c>
      <c r="AB43" s="33">
        <f>Codex_calc!AB43</f>
        <v>13.86</v>
      </c>
      <c r="AC43" s="33">
        <f>Codex_calc!AC43</f>
        <v>13.86</v>
      </c>
      <c r="AD43" s="33">
        <f>Codex_calc!AD43</f>
        <v>13.86</v>
      </c>
      <c r="AE43" s="33">
        <f>Codex_calc!AE43</f>
        <v>13.86</v>
      </c>
      <c r="AF43" s="33">
        <f>Codex_calc!AF43</f>
        <v>13.86</v>
      </c>
      <c r="AG43" s="33">
        <f>Codex_calc!AG43</f>
        <v>13.86</v>
      </c>
      <c r="AH43" s="33">
        <f>Codex_calc!AH43</f>
        <v>13.86</v>
      </c>
      <c r="AI43" s="33">
        <f>Codex_calc!AI43</f>
        <v>13.86</v>
      </c>
      <c r="AJ43" s="33">
        <f>Codex_calc!AJ43</f>
        <v>13.86</v>
      </c>
      <c r="AK43" s="33">
        <f>Codex_calc!AK43</f>
        <v>13.86</v>
      </c>
      <c r="AL43" s="33">
        <f>Codex_calc!AL43</f>
        <v>13.86</v>
      </c>
      <c r="AM43" s="33">
        <f>Codex_calc!AM43</f>
        <v>13.86</v>
      </c>
      <c r="AN43" s="33">
        <f>Codex_calc!AN43</f>
        <v>13.86</v>
      </c>
      <c r="AO43" t="str">
        <f>Codex_calc!AO43</f>
        <v>2019, 2130</v>
      </c>
    </row>
    <row r="44" spans="3:41">
      <c r="C44" s="33" t="str">
        <f>Codex_calc!C44</f>
        <v>MINLiRSV2</v>
      </c>
      <c r="D44" s="33" t="str">
        <f>Codex_calc!D44</f>
        <v>BNDACT</v>
      </c>
      <c r="E44" s="33"/>
      <c r="F44" s="33">
        <f>Codex_calc!F44</f>
        <v>0</v>
      </c>
      <c r="G44" s="33">
        <f>Codex_calc!G44</f>
        <v>39.3281583067193</v>
      </c>
      <c r="H44" s="34">
        <f>Codex_calc!H44</f>
        <v>105.755290876072</v>
      </c>
      <c r="I44" s="33">
        <f>Codex_calc!I44</f>
        <v>0.853493643935123</v>
      </c>
      <c r="J44" s="33">
        <f>Codex_calc!J44</f>
        <v>0</v>
      </c>
      <c r="K44" s="33">
        <f>Codex_calc!K44</f>
        <v>0</v>
      </c>
      <c r="L44" s="33">
        <f>Codex_calc!L44</f>
        <v>14.3569666228317</v>
      </c>
      <c r="M44" s="34">
        <f>Codex_calc!M44</f>
        <v>11.9157929488384</v>
      </c>
      <c r="N44" s="33">
        <f>Codex_calc!N44</f>
        <v>0</v>
      </c>
      <c r="O44" s="33">
        <f>Codex_calc!O44</f>
        <v>2.85012211159121</v>
      </c>
      <c r="P44" s="33">
        <f>Codex_calc!P44</f>
        <v>0</v>
      </c>
      <c r="Q44" s="33">
        <f>Codex_calc!Q44</f>
        <v>3.49266704239464</v>
      </c>
      <c r="R44" s="33">
        <f>Codex_calc!R44</f>
        <v>0</v>
      </c>
      <c r="S44" s="33">
        <f>Codex_calc!S44</f>
        <v>0</v>
      </c>
      <c r="T44" s="33">
        <f>Codex_calc!T44</f>
        <v>0</v>
      </c>
      <c r="U44" s="33">
        <f>Codex_calc!U44</f>
        <v>0</v>
      </c>
      <c r="V44" s="33">
        <f>Codex_calc!V44</f>
        <v>0</v>
      </c>
      <c r="W44" s="33">
        <f>Codex_calc!W44</f>
        <v>0</v>
      </c>
      <c r="X44" s="33">
        <f>Codex_calc!X44</f>
        <v>0</v>
      </c>
      <c r="Y44" s="33">
        <f>Codex_calc!Y44</f>
        <v>104.637615379798</v>
      </c>
      <c r="Z44" s="33">
        <f>Codex_calc!Z44</f>
        <v>0</v>
      </c>
      <c r="AA44" s="33">
        <f>Codex_calc!AA44</f>
        <v>70.7656885215104</v>
      </c>
      <c r="AB44" s="33">
        <f>Codex_calc!AB44</f>
        <v>0</v>
      </c>
      <c r="AC44" s="33">
        <f>Codex_calc!AC44</f>
        <v>0</v>
      </c>
      <c r="AD44" s="33">
        <f>Codex_calc!AD44</f>
        <v>0</v>
      </c>
      <c r="AE44" s="33">
        <f>Codex_calc!AE44</f>
        <v>0</v>
      </c>
      <c r="AF44" s="33">
        <f>Codex_calc!AF44</f>
        <v>0</v>
      </c>
      <c r="AG44" s="33">
        <f>Codex_calc!AG44</f>
        <v>0</v>
      </c>
      <c r="AH44" s="33">
        <f>Codex_calc!AH44</f>
        <v>4.95288621704553</v>
      </c>
      <c r="AI44" s="33">
        <f>Codex_calc!AI44</f>
        <v>1.45481871125305</v>
      </c>
      <c r="AJ44" s="33">
        <f>Codex_calc!AJ44</f>
        <v>0</v>
      </c>
      <c r="AK44" s="33">
        <f>Codex_calc!AK44</f>
        <v>0</v>
      </c>
      <c r="AL44" s="33">
        <f>Codex_calc!AL44</f>
        <v>0.727409355626524</v>
      </c>
      <c r="AM44" s="33">
        <f>Codex_calc!AM44</f>
        <v>0</v>
      </c>
      <c r="AN44" s="33">
        <f>Codex_calc!AN44</f>
        <v>5.75314672177343</v>
      </c>
      <c r="AO44" t="str">
        <f>Codex_calc!AO44</f>
        <v>2019, 2130</v>
      </c>
    </row>
    <row r="45" spans="3:41">
      <c r="C45" s="33" t="str">
        <f>Codex_calc!C45</f>
        <v>MINLiRSV2</v>
      </c>
      <c r="D45" s="33" t="str">
        <f>Codex_calc!D45</f>
        <v>CUM</v>
      </c>
      <c r="E45" s="33"/>
      <c r="F45" s="33"/>
      <c r="G45" s="33"/>
      <c r="H45" s="34"/>
      <c r="I45" s="33"/>
      <c r="J45" s="33"/>
      <c r="K45" s="33"/>
      <c r="L45" s="33"/>
      <c r="M45" s="34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t="str">
        <f>Codex_calc!AO45</f>
        <v>2019, 2130</v>
      </c>
    </row>
    <row r="46" spans="3:41">
      <c r="C46" s="33" t="str">
        <f>Codex_calc!C46</f>
        <v>MINLiRSV2</v>
      </c>
      <c r="D46" s="33" t="str">
        <f>Codex_calc!D46</f>
        <v>COST</v>
      </c>
      <c r="E46" s="33" t="str">
        <f>Codex_calc!E46</f>
        <v>m_lithium</v>
      </c>
      <c r="F46" s="33">
        <f>Codex_calc!F46</f>
        <v>22.45</v>
      </c>
      <c r="G46" s="33">
        <f>Codex_calc!G46</f>
        <v>22.45</v>
      </c>
      <c r="H46" s="34">
        <f>Codex_calc!H46</f>
        <v>22.45</v>
      </c>
      <c r="I46" s="33">
        <f>Codex_calc!I46</f>
        <v>22.45</v>
      </c>
      <c r="J46" s="33">
        <f>Codex_calc!J46</f>
        <v>22.45</v>
      </c>
      <c r="K46" s="33">
        <f>Codex_calc!K46</f>
        <v>22.45</v>
      </c>
      <c r="L46" s="33">
        <f>Codex_calc!L46</f>
        <v>22.45</v>
      </c>
      <c r="M46" s="34">
        <f>Codex_calc!M46</f>
        <v>22.45</v>
      </c>
      <c r="N46" s="33">
        <f>Codex_calc!N46</f>
        <v>22.45</v>
      </c>
      <c r="O46" s="33">
        <f>Codex_calc!O46</f>
        <v>22.45</v>
      </c>
      <c r="P46" s="33">
        <f>Codex_calc!P46</f>
        <v>22.45</v>
      </c>
      <c r="Q46" s="33">
        <f>Codex_calc!Q46</f>
        <v>22.45</v>
      </c>
      <c r="R46" s="33">
        <f>Codex_calc!R46</f>
        <v>22.45</v>
      </c>
      <c r="S46" s="33">
        <f>Codex_calc!S46</f>
        <v>22.45</v>
      </c>
      <c r="T46" s="33">
        <f>Codex_calc!T46</f>
        <v>22.45</v>
      </c>
      <c r="U46" s="33">
        <f>Codex_calc!U46</f>
        <v>22.45</v>
      </c>
      <c r="V46" s="33">
        <f>Codex_calc!V46</f>
        <v>22.45</v>
      </c>
      <c r="W46" s="33">
        <f>Codex_calc!W46</f>
        <v>22.45</v>
      </c>
      <c r="X46" s="33">
        <f>Codex_calc!X46</f>
        <v>22.45</v>
      </c>
      <c r="Y46" s="33">
        <f>Codex_calc!Y46</f>
        <v>22.45</v>
      </c>
      <c r="Z46" s="33">
        <f>Codex_calc!Z46</f>
        <v>22.45</v>
      </c>
      <c r="AA46" s="33">
        <f>Codex_calc!AA46</f>
        <v>22.45</v>
      </c>
      <c r="AB46" s="33">
        <f>Codex_calc!AB46</f>
        <v>22.45</v>
      </c>
      <c r="AC46" s="33">
        <f>Codex_calc!AC46</f>
        <v>22.45</v>
      </c>
      <c r="AD46" s="33">
        <f>Codex_calc!AD46</f>
        <v>22.45</v>
      </c>
      <c r="AE46" s="33">
        <f>Codex_calc!AE46</f>
        <v>22.45</v>
      </c>
      <c r="AF46" s="33">
        <f>Codex_calc!AF46</f>
        <v>22.45</v>
      </c>
      <c r="AG46" s="33">
        <f>Codex_calc!AG46</f>
        <v>22.45</v>
      </c>
      <c r="AH46" s="33">
        <f>Codex_calc!AH46</f>
        <v>22.45</v>
      </c>
      <c r="AI46" s="33">
        <f>Codex_calc!AI46</f>
        <v>22.45</v>
      </c>
      <c r="AJ46" s="33">
        <f>Codex_calc!AJ46</f>
        <v>22.45</v>
      </c>
      <c r="AK46" s="33">
        <f>Codex_calc!AK46</f>
        <v>22.45</v>
      </c>
      <c r="AL46" s="33">
        <f>Codex_calc!AL46</f>
        <v>22.45</v>
      </c>
      <c r="AM46" s="33">
        <f>Codex_calc!AM46</f>
        <v>22.45</v>
      </c>
      <c r="AN46" s="33">
        <f>Codex_calc!AN46</f>
        <v>22.45</v>
      </c>
      <c r="AO46" t="str">
        <f>Codex_calc!AO46</f>
        <v>2019, 2130</v>
      </c>
    </row>
    <row r="47" spans="3:41">
      <c r="C47" s="33" t="str">
        <f>Codex_calc!C47</f>
        <v>MINLiRSV3</v>
      </c>
      <c r="D47" s="33" t="str">
        <f>Codex_calc!D47</f>
        <v>BNDACT</v>
      </c>
      <c r="E47" s="33"/>
      <c r="F47" s="33"/>
      <c r="G47" s="33"/>
      <c r="H47" s="34"/>
      <c r="I47" s="33"/>
      <c r="J47" s="33"/>
      <c r="K47" s="33"/>
      <c r="L47" s="33"/>
      <c r="M47" s="34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t="str">
        <f>Codex_calc!AO47</f>
        <v>2019, 2130</v>
      </c>
    </row>
    <row r="48" spans="3:41">
      <c r="C48" s="33" t="str">
        <f>Codex_calc!C48</f>
        <v>MINLiRSV3</v>
      </c>
      <c r="D48" s="33" t="str">
        <f>Codex_calc!D48</f>
        <v>CUM</v>
      </c>
      <c r="E48" s="33"/>
      <c r="F48" s="33"/>
      <c r="G48" s="33"/>
      <c r="H48" s="34"/>
      <c r="I48" s="33"/>
      <c r="J48" s="33"/>
      <c r="K48" s="33"/>
      <c r="L48" s="33"/>
      <c r="M48" s="34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t="str">
        <f>Codex_calc!AO48</f>
        <v>2019, 2130</v>
      </c>
    </row>
    <row r="49" spans="3:41">
      <c r="C49" s="33" t="str">
        <f>Codex_calc!C49</f>
        <v>MINLiRSV3</v>
      </c>
      <c r="D49" s="33" t="str">
        <f>Codex_calc!D49</f>
        <v>COST</v>
      </c>
      <c r="E49" s="33" t="str">
        <f>Codex_calc!E49</f>
        <v>m_lithium</v>
      </c>
      <c r="F49" s="33">
        <f>Codex_calc!F49</f>
        <v>27.69</v>
      </c>
      <c r="G49" s="33">
        <f>Codex_calc!G49</f>
        <v>27.69</v>
      </c>
      <c r="H49" s="34">
        <f>Codex_calc!H49</f>
        <v>27.69</v>
      </c>
      <c r="I49" s="33">
        <f>Codex_calc!I49</f>
        <v>27.69</v>
      </c>
      <c r="J49" s="33">
        <f>Codex_calc!J49</f>
        <v>27.69</v>
      </c>
      <c r="K49" s="33">
        <f>Codex_calc!K49</f>
        <v>27.69</v>
      </c>
      <c r="L49" s="33">
        <f>Codex_calc!L49</f>
        <v>27.69</v>
      </c>
      <c r="M49" s="34">
        <f>Codex_calc!M49</f>
        <v>27.69</v>
      </c>
      <c r="N49" s="33">
        <f>Codex_calc!N49</f>
        <v>27.69</v>
      </c>
      <c r="O49" s="33">
        <f>Codex_calc!O49</f>
        <v>27.69</v>
      </c>
      <c r="P49" s="33">
        <f>Codex_calc!P49</f>
        <v>27.69</v>
      </c>
      <c r="Q49" s="33">
        <f>Codex_calc!Q49</f>
        <v>27.69</v>
      </c>
      <c r="R49" s="33">
        <f>Codex_calc!R49</f>
        <v>27.69</v>
      </c>
      <c r="S49" s="33">
        <f>Codex_calc!S49</f>
        <v>27.69</v>
      </c>
      <c r="T49" s="33">
        <f>Codex_calc!T49</f>
        <v>27.69</v>
      </c>
      <c r="U49" s="33">
        <f>Codex_calc!U49</f>
        <v>27.69</v>
      </c>
      <c r="V49" s="33">
        <f>Codex_calc!V49</f>
        <v>27.69</v>
      </c>
      <c r="W49" s="33">
        <f>Codex_calc!W49</f>
        <v>27.69</v>
      </c>
      <c r="X49" s="33">
        <f>Codex_calc!X49</f>
        <v>27.69</v>
      </c>
      <c r="Y49" s="33">
        <f>Codex_calc!Y49</f>
        <v>27.69</v>
      </c>
      <c r="Z49" s="33">
        <f>Codex_calc!Z49</f>
        <v>27.69</v>
      </c>
      <c r="AA49" s="33">
        <f>Codex_calc!AA49</f>
        <v>27.69</v>
      </c>
      <c r="AB49" s="33">
        <f>Codex_calc!AB49</f>
        <v>27.69</v>
      </c>
      <c r="AC49" s="33">
        <f>Codex_calc!AC49</f>
        <v>27.69</v>
      </c>
      <c r="AD49" s="33">
        <f>Codex_calc!AD49</f>
        <v>27.69</v>
      </c>
      <c r="AE49" s="33">
        <f>Codex_calc!AE49</f>
        <v>27.69</v>
      </c>
      <c r="AF49" s="33">
        <f>Codex_calc!AF49</f>
        <v>27.69</v>
      </c>
      <c r="AG49" s="33">
        <f>Codex_calc!AG49</f>
        <v>27.69</v>
      </c>
      <c r="AH49" s="33">
        <f>Codex_calc!AH49</f>
        <v>27.69</v>
      </c>
      <c r="AI49" s="33">
        <f>Codex_calc!AI49</f>
        <v>27.69</v>
      </c>
      <c r="AJ49" s="33">
        <f>Codex_calc!AJ49</f>
        <v>27.69</v>
      </c>
      <c r="AK49" s="33">
        <f>Codex_calc!AK49</f>
        <v>27.69</v>
      </c>
      <c r="AL49" s="33">
        <f>Codex_calc!AL49</f>
        <v>27.69</v>
      </c>
      <c r="AM49" s="33">
        <f>Codex_calc!AM49</f>
        <v>27.69</v>
      </c>
      <c r="AN49" s="33">
        <f>Codex_calc!AN49</f>
        <v>27.69</v>
      </c>
      <c r="AO49" t="str">
        <f>Codex_calc!AO49</f>
        <v>2019, 2130</v>
      </c>
    </row>
    <row r="50" spans="3:41">
      <c r="C50" s="33" t="s">
        <v>63</v>
      </c>
      <c r="D50" s="33">
        <f>Codex_calc!D50</f>
        <v>0</v>
      </c>
      <c r="E50" s="33">
        <f>Codex_calc!E50</f>
        <v>0</v>
      </c>
      <c r="F50" s="33">
        <f>Codex_calc!F50</f>
        <v>0</v>
      </c>
      <c r="G50" s="33">
        <f>Codex_calc!G50</f>
        <v>0</v>
      </c>
      <c r="H50" s="34">
        <f>Codex_calc!H50</f>
        <v>0</v>
      </c>
      <c r="I50" s="33">
        <f>Codex_calc!I50</f>
        <v>0</v>
      </c>
      <c r="J50" s="33">
        <f>Codex_calc!J50</f>
        <v>0</v>
      </c>
      <c r="K50" s="33">
        <f>Codex_calc!K50</f>
        <v>0</v>
      </c>
      <c r="L50" s="33">
        <f>Codex_calc!L50</f>
        <v>0</v>
      </c>
      <c r="M50" s="34">
        <f>Codex_calc!M50</f>
        <v>0</v>
      </c>
      <c r="N50" s="33">
        <f>Codex_calc!N50</f>
        <v>0</v>
      </c>
      <c r="O50" s="33">
        <f>Codex_calc!O50</f>
        <v>0</v>
      </c>
      <c r="P50" s="33">
        <f>Codex_calc!P50</f>
        <v>0</v>
      </c>
      <c r="Q50" s="33">
        <f>Codex_calc!Q50</f>
        <v>0</v>
      </c>
      <c r="R50" s="33">
        <f>Codex_calc!R50</f>
        <v>0</v>
      </c>
      <c r="S50" s="33">
        <f>Codex_calc!S50</f>
        <v>0</v>
      </c>
      <c r="T50" s="33">
        <f>Codex_calc!T50</f>
        <v>0</v>
      </c>
      <c r="U50" s="33">
        <f>Codex_calc!U50</f>
        <v>0</v>
      </c>
      <c r="V50" s="33">
        <f>Codex_calc!V50</f>
        <v>0</v>
      </c>
      <c r="W50" s="33">
        <f>Codex_calc!W50</f>
        <v>0</v>
      </c>
      <c r="X50" s="33">
        <f>Codex_calc!X50</f>
        <v>0</v>
      </c>
      <c r="Y50" s="33">
        <f>Codex_calc!Y50</f>
        <v>0</v>
      </c>
      <c r="Z50" s="33">
        <f>Codex_calc!Z50</f>
        <v>0</v>
      </c>
      <c r="AA50" s="33">
        <f>Codex_calc!AA50</f>
        <v>0</v>
      </c>
      <c r="AB50" s="33">
        <f>Codex_calc!AB50</f>
        <v>0</v>
      </c>
      <c r="AC50" s="33">
        <f>Codex_calc!AC50</f>
        <v>0</v>
      </c>
      <c r="AD50" s="33">
        <f>Codex_calc!AD50</f>
        <v>0</v>
      </c>
      <c r="AE50" s="33">
        <f>Codex_calc!AE50</f>
        <v>0</v>
      </c>
      <c r="AF50" s="33">
        <f>Codex_calc!AF50</f>
        <v>0</v>
      </c>
      <c r="AG50" s="33">
        <f>Codex_calc!AG50</f>
        <v>0</v>
      </c>
      <c r="AH50" s="33">
        <f>Codex_calc!AH50</f>
        <v>0</v>
      </c>
      <c r="AI50" s="33">
        <f>Codex_calc!AI50</f>
        <v>0</v>
      </c>
      <c r="AJ50" s="33">
        <f>Codex_calc!AJ50</f>
        <v>0</v>
      </c>
      <c r="AK50" s="33">
        <f>Codex_calc!AK50</f>
        <v>0</v>
      </c>
      <c r="AL50" s="33">
        <f>Codex_calc!AL50</f>
        <v>0</v>
      </c>
      <c r="AM50" s="33">
        <f>Codex_calc!AM50</f>
        <v>0</v>
      </c>
      <c r="AN50" s="33">
        <f>Codex_calc!AN50</f>
        <v>0</v>
      </c>
      <c r="AO50" t="str">
        <f>Codex_calc!AO50</f>
        <v>2019, 2130</v>
      </c>
    </row>
    <row r="51" spans="3:41">
      <c r="C51" s="33" t="str">
        <f>Codex_calc!C51</f>
        <v>MINNiRSV1</v>
      </c>
      <c r="D51" s="33" t="str">
        <f>Codex_calc!D51</f>
        <v>BNDACT</v>
      </c>
      <c r="E51" s="33"/>
      <c r="F51" s="33">
        <f>Codex_calc!F51</f>
        <v>0</v>
      </c>
      <c r="G51" s="33">
        <f>Codex_calc!G51</f>
        <v>0</v>
      </c>
      <c r="H51" s="34">
        <f>Codex_calc!H51</f>
        <v>6.40384615384615</v>
      </c>
      <c r="I51" s="33">
        <f>Codex_calc!I51</f>
        <v>0</v>
      </c>
      <c r="J51" s="33">
        <f>Codex_calc!J51</f>
        <v>0</v>
      </c>
      <c r="K51" s="33">
        <f>Codex_calc!K51</f>
        <v>0</v>
      </c>
      <c r="L51" s="33">
        <f>Codex_calc!L51</f>
        <v>9.96153846153846</v>
      </c>
      <c r="M51" s="34">
        <f>Codex_calc!M51</f>
        <v>17.0769230769231</v>
      </c>
      <c r="N51" s="33">
        <f>Codex_calc!N51</f>
        <v>0</v>
      </c>
      <c r="O51" s="33">
        <f>Codex_calc!O51</f>
        <v>0</v>
      </c>
      <c r="P51" s="33">
        <f>Codex_calc!P51</f>
        <v>0</v>
      </c>
      <c r="Q51" s="33">
        <f>Codex_calc!Q51</f>
        <v>0</v>
      </c>
      <c r="R51" s="33">
        <f>Codex_calc!R51</f>
        <v>0</v>
      </c>
      <c r="S51" s="33">
        <f>Codex_calc!S51</f>
        <v>0</v>
      </c>
      <c r="T51" s="33">
        <f>Codex_calc!T51</f>
        <v>0</v>
      </c>
      <c r="U51" s="33">
        <f>Codex_calc!U51</f>
        <v>0</v>
      </c>
      <c r="V51" s="33">
        <f>Codex_calc!V51</f>
        <v>0</v>
      </c>
      <c r="W51" s="33">
        <f>Codex_calc!W51</f>
        <v>0</v>
      </c>
      <c r="X51" s="33">
        <f>Codex_calc!X51</f>
        <v>0</v>
      </c>
      <c r="Y51" s="33">
        <f>Codex_calc!Y51</f>
        <v>0</v>
      </c>
      <c r="Z51" s="33">
        <f>Codex_calc!Z51</f>
        <v>0</v>
      </c>
      <c r="AA51" s="33">
        <f>Codex_calc!AA51</f>
        <v>21.3461538461538</v>
      </c>
      <c r="AB51" s="33">
        <f>Codex_calc!AB51</f>
        <v>0</v>
      </c>
      <c r="AC51" s="33">
        <f>Codex_calc!AC51</f>
        <v>0</v>
      </c>
      <c r="AD51" s="33">
        <f>Codex_calc!AD51</f>
        <v>469.615384615385</v>
      </c>
      <c r="AE51" s="33">
        <f>Codex_calc!AE51</f>
        <v>28.4615384615385</v>
      </c>
      <c r="AF51" s="33">
        <f>Codex_calc!AF51</f>
        <v>0</v>
      </c>
      <c r="AG51" s="33">
        <f>Codex_calc!AG51</f>
        <v>0</v>
      </c>
      <c r="AH51" s="33">
        <f>Codex_calc!AH51</f>
        <v>0</v>
      </c>
      <c r="AI51" s="33">
        <f>Codex_calc!AI51</f>
        <v>0</v>
      </c>
      <c r="AJ51" s="33">
        <f>Codex_calc!AJ51</f>
        <v>0</v>
      </c>
      <c r="AK51" s="33">
        <f>Codex_calc!AK51</f>
        <v>0</v>
      </c>
      <c r="AL51" s="33">
        <f>Codex_calc!AL51</f>
        <v>0</v>
      </c>
      <c r="AM51" s="33">
        <f>Codex_calc!AM51</f>
        <v>0</v>
      </c>
      <c r="AN51" s="33">
        <f>Codex_calc!AN51</f>
        <v>0</v>
      </c>
      <c r="AO51" t="str">
        <f>Codex_calc!AO51</f>
        <v>2019, 2130</v>
      </c>
    </row>
    <row r="52" spans="3:41">
      <c r="C52" s="33" t="str">
        <f>Codex_calc!C52</f>
        <v>MINNiRSV1</v>
      </c>
      <c r="D52" s="33" t="str">
        <f>Codex_calc!D52</f>
        <v>CUM</v>
      </c>
      <c r="E52" s="33"/>
      <c r="F52" s="33"/>
      <c r="G52" s="33"/>
      <c r="H52" s="34"/>
      <c r="I52" s="33"/>
      <c r="J52" s="33"/>
      <c r="K52" s="33"/>
      <c r="L52" s="33"/>
      <c r="M52" s="34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t="str">
        <f>Codex_calc!AO52</f>
        <v>2019, 2130</v>
      </c>
    </row>
    <row r="53" spans="3:41">
      <c r="C53" s="33" t="str">
        <f>Codex_calc!C53</f>
        <v>MINNiRSV1</v>
      </c>
      <c r="D53" s="33" t="str">
        <f>Codex_calc!D53</f>
        <v>COST</v>
      </c>
      <c r="E53" s="33" t="str">
        <f>Codex_calc!E53</f>
        <v>m_nickel</v>
      </c>
      <c r="F53" s="33">
        <f>Codex_calc!F53</f>
        <v>14.288</v>
      </c>
      <c r="G53" s="33">
        <f>Codex_calc!G53</f>
        <v>14.288</v>
      </c>
      <c r="H53" s="34">
        <f>Codex_calc!H53</f>
        <v>14.288</v>
      </c>
      <c r="I53" s="33">
        <f>Codex_calc!I53</f>
        <v>14.288</v>
      </c>
      <c r="J53" s="33">
        <f>Codex_calc!J53</f>
        <v>14.288</v>
      </c>
      <c r="K53" s="33">
        <f>Codex_calc!K53</f>
        <v>14.288</v>
      </c>
      <c r="L53" s="33">
        <f>Codex_calc!L53</f>
        <v>14.288</v>
      </c>
      <c r="M53" s="34">
        <f>Codex_calc!M53</f>
        <v>14.288</v>
      </c>
      <c r="N53" s="33">
        <f>Codex_calc!N53</f>
        <v>14.288</v>
      </c>
      <c r="O53" s="33">
        <f>Codex_calc!O53</f>
        <v>14.288</v>
      </c>
      <c r="P53" s="33">
        <f>Codex_calc!P53</f>
        <v>14.288</v>
      </c>
      <c r="Q53" s="33">
        <f>Codex_calc!Q53</f>
        <v>14.288</v>
      </c>
      <c r="R53" s="33">
        <f>Codex_calc!R53</f>
        <v>14.288</v>
      </c>
      <c r="S53" s="33">
        <f>Codex_calc!S53</f>
        <v>14.288</v>
      </c>
      <c r="T53" s="33">
        <f>Codex_calc!T53</f>
        <v>14.288</v>
      </c>
      <c r="U53" s="33">
        <f>Codex_calc!U53</f>
        <v>14.288</v>
      </c>
      <c r="V53" s="33">
        <f>Codex_calc!V53</f>
        <v>14.288</v>
      </c>
      <c r="W53" s="33">
        <f>Codex_calc!W53</f>
        <v>14.288</v>
      </c>
      <c r="X53" s="33">
        <f>Codex_calc!X53</f>
        <v>14.288</v>
      </c>
      <c r="Y53" s="33">
        <f>Codex_calc!Y53</f>
        <v>14.288</v>
      </c>
      <c r="Z53" s="33">
        <f>Codex_calc!Z53</f>
        <v>14.288</v>
      </c>
      <c r="AA53" s="33">
        <f>Codex_calc!AA53</f>
        <v>14.288</v>
      </c>
      <c r="AB53" s="33">
        <f>Codex_calc!AB53</f>
        <v>14.288</v>
      </c>
      <c r="AC53" s="33">
        <f>Codex_calc!AC53</f>
        <v>14.288</v>
      </c>
      <c r="AD53" s="33">
        <f>Codex_calc!AD53</f>
        <v>14.288</v>
      </c>
      <c r="AE53" s="33">
        <f>Codex_calc!AE53</f>
        <v>14.288</v>
      </c>
      <c r="AF53" s="33">
        <f>Codex_calc!AF53</f>
        <v>14.288</v>
      </c>
      <c r="AG53" s="33">
        <f>Codex_calc!AG53</f>
        <v>14.288</v>
      </c>
      <c r="AH53" s="33">
        <f>Codex_calc!AH53</f>
        <v>14.288</v>
      </c>
      <c r="AI53" s="33">
        <f>Codex_calc!AI53</f>
        <v>14.288</v>
      </c>
      <c r="AJ53" s="33">
        <f>Codex_calc!AJ53</f>
        <v>14.288</v>
      </c>
      <c r="AK53" s="33">
        <f>Codex_calc!AK53</f>
        <v>14.288</v>
      </c>
      <c r="AL53" s="33">
        <f>Codex_calc!AL53</f>
        <v>14.288</v>
      </c>
      <c r="AM53" s="33">
        <f>Codex_calc!AM53</f>
        <v>14.288</v>
      </c>
      <c r="AN53" s="33">
        <f>Codex_calc!AN53</f>
        <v>14.288</v>
      </c>
      <c r="AO53" t="str">
        <f>Codex_calc!AO53</f>
        <v>2019, 2130</v>
      </c>
    </row>
    <row r="54" spans="3:41">
      <c r="C54" s="33" t="str">
        <f>Codex_calc!C54</f>
        <v>MINNiRSV2</v>
      </c>
      <c r="D54" s="33" t="str">
        <f>Codex_calc!D54</f>
        <v>BNDACT</v>
      </c>
      <c r="E54" s="33"/>
      <c r="F54" s="33">
        <f>Codex_calc!F54</f>
        <v>0</v>
      </c>
      <c r="G54" s="33">
        <f>Codex_calc!G54</f>
        <v>0</v>
      </c>
      <c r="H54" s="34">
        <f>Codex_calc!H54</f>
        <v>12.8076923076923</v>
      </c>
      <c r="I54" s="33">
        <f>Codex_calc!I54</f>
        <v>0</v>
      </c>
      <c r="J54" s="33">
        <f>Codex_calc!J54</f>
        <v>0</v>
      </c>
      <c r="K54" s="33">
        <f>Codex_calc!K54</f>
        <v>0</v>
      </c>
      <c r="L54" s="33">
        <f>Codex_calc!L54</f>
        <v>19.9230769230769</v>
      </c>
      <c r="M54" s="34">
        <f>Codex_calc!M54</f>
        <v>34.1538461538462</v>
      </c>
      <c r="N54" s="33">
        <f>Codex_calc!N54</f>
        <v>0</v>
      </c>
      <c r="O54" s="33">
        <f>Codex_calc!O54</f>
        <v>0</v>
      </c>
      <c r="P54" s="33">
        <f>Codex_calc!P54</f>
        <v>0</v>
      </c>
      <c r="Q54" s="33">
        <f>Codex_calc!Q54</f>
        <v>0</v>
      </c>
      <c r="R54" s="33">
        <f>Codex_calc!R54</f>
        <v>0</v>
      </c>
      <c r="S54" s="33">
        <f>Codex_calc!S54</f>
        <v>0</v>
      </c>
      <c r="T54" s="33">
        <f>Codex_calc!T54</f>
        <v>0</v>
      </c>
      <c r="U54" s="33">
        <f>Codex_calc!U54</f>
        <v>0</v>
      </c>
      <c r="V54" s="33">
        <f>Codex_calc!V54</f>
        <v>0</v>
      </c>
      <c r="W54" s="33">
        <f>Codex_calc!W54</f>
        <v>0</v>
      </c>
      <c r="X54" s="33">
        <f>Codex_calc!X54</f>
        <v>0</v>
      </c>
      <c r="Y54" s="33">
        <f>Codex_calc!Y54</f>
        <v>0</v>
      </c>
      <c r="Z54" s="33">
        <f>Codex_calc!Z54</f>
        <v>0</v>
      </c>
      <c r="AA54" s="33">
        <f>Codex_calc!AA54</f>
        <v>42.6923076923077</v>
      </c>
      <c r="AB54" s="33">
        <f>Codex_calc!AB54</f>
        <v>0</v>
      </c>
      <c r="AC54" s="33">
        <f>Codex_calc!AC54</f>
        <v>0</v>
      </c>
      <c r="AD54" s="33">
        <f>Codex_calc!AD54</f>
        <v>939.230769230769</v>
      </c>
      <c r="AE54" s="33">
        <f>Codex_calc!AE54</f>
        <v>56.9230769230769</v>
      </c>
      <c r="AF54" s="33">
        <f>Codex_calc!AF54</f>
        <v>0</v>
      </c>
      <c r="AG54" s="33">
        <f>Codex_calc!AG54</f>
        <v>0</v>
      </c>
      <c r="AH54" s="33">
        <f>Codex_calc!AH54</f>
        <v>0</v>
      </c>
      <c r="AI54" s="33">
        <f>Codex_calc!AI54</f>
        <v>0</v>
      </c>
      <c r="AJ54" s="33">
        <f>Codex_calc!AJ54</f>
        <v>0</v>
      </c>
      <c r="AK54" s="33">
        <f>Codex_calc!AK54</f>
        <v>0</v>
      </c>
      <c r="AL54" s="33">
        <f>Codex_calc!AL54</f>
        <v>0</v>
      </c>
      <c r="AM54" s="33">
        <f>Codex_calc!AM54</f>
        <v>0</v>
      </c>
      <c r="AN54" s="33">
        <f>Codex_calc!AN54</f>
        <v>0</v>
      </c>
      <c r="AO54" t="str">
        <f>Codex_calc!AO54</f>
        <v>2019, 2130</v>
      </c>
    </row>
    <row r="55" spans="3:41">
      <c r="C55" s="33" t="str">
        <f>Codex_calc!C55</f>
        <v>MINNiRSV2</v>
      </c>
      <c r="D55" s="33" t="str">
        <f>Codex_calc!D55</f>
        <v>CUM</v>
      </c>
      <c r="E55" s="33"/>
      <c r="F55" s="33"/>
      <c r="G55" s="33"/>
      <c r="H55" s="34"/>
      <c r="I55" s="33"/>
      <c r="J55" s="33"/>
      <c r="K55" s="33"/>
      <c r="L55" s="33"/>
      <c r="M55" s="34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t="str">
        <f>Codex_calc!AO55</f>
        <v>2019, 2130</v>
      </c>
    </row>
    <row r="56" spans="3:41">
      <c r="C56" s="33" t="str">
        <f>Codex_calc!C56</f>
        <v>MINNiRSV2</v>
      </c>
      <c r="D56" s="33" t="str">
        <f>Codex_calc!D56</f>
        <v>COST</v>
      </c>
      <c r="E56" s="33" t="str">
        <f>Codex_calc!E56</f>
        <v>m_nickel</v>
      </c>
      <c r="F56" s="33">
        <f>Codex_calc!F56</f>
        <v>23.139</v>
      </c>
      <c r="G56" s="33">
        <f>Codex_calc!G56</f>
        <v>23.139</v>
      </c>
      <c r="H56" s="34">
        <f>Codex_calc!H56</f>
        <v>23.139</v>
      </c>
      <c r="I56" s="33">
        <f>Codex_calc!I56</f>
        <v>23.139</v>
      </c>
      <c r="J56" s="33">
        <f>Codex_calc!J56</f>
        <v>23.139</v>
      </c>
      <c r="K56" s="33">
        <f>Codex_calc!K56</f>
        <v>23.139</v>
      </c>
      <c r="L56" s="33">
        <f>Codex_calc!L56</f>
        <v>23.139</v>
      </c>
      <c r="M56" s="34">
        <f>Codex_calc!M56</f>
        <v>23.139</v>
      </c>
      <c r="N56" s="33">
        <f>Codex_calc!N56</f>
        <v>23.139</v>
      </c>
      <c r="O56" s="33">
        <f>Codex_calc!O56</f>
        <v>23.139</v>
      </c>
      <c r="P56" s="33">
        <f>Codex_calc!P56</f>
        <v>23.139</v>
      </c>
      <c r="Q56" s="33">
        <f>Codex_calc!Q56</f>
        <v>23.139</v>
      </c>
      <c r="R56" s="33">
        <f>Codex_calc!R56</f>
        <v>23.139</v>
      </c>
      <c r="S56" s="33">
        <f>Codex_calc!S56</f>
        <v>23.139</v>
      </c>
      <c r="T56" s="33">
        <f>Codex_calc!T56</f>
        <v>23.139</v>
      </c>
      <c r="U56" s="33">
        <f>Codex_calc!U56</f>
        <v>23.139</v>
      </c>
      <c r="V56" s="33">
        <f>Codex_calc!V56</f>
        <v>23.139</v>
      </c>
      <c r="W56" s="33">
        <f>Codex_calc!W56</f>
        <v>23.139</v>
      </c>
      <c r="X56" s="33">
        <f>Codex_calc!X56</f>
        <v>23.139</v>
      </c>
      <c r="Y56" s="33">
        <f>Codex_calc!Y56</f>
        <v>23.139</v>
      </c>
      <c r="Z56" s="33">
        <f>Codex_calc!Z56</f>
        <v>23.139</v>
      </c>
      <c r="AA56" s="33">
        <f>Codex_calc!AA56</f>
        <v>23.139</v>
      </c>
      <c r="AB56" s="33">
        <f>Codex_calc!AB56</f>
        <v>23.139</v>
      </c>
      <c r="AC56" s="33">
        <f>Codex_calc!AC56</f>
        <v>23.139</v>
      </c>
      <c r="AD56" s="33">
        <f>Codex_calc!AD56</f>
        <v>23.139</v>
      </c>
      <c r="AE56" s="33">
        <f>Codex_calc!AE56</f>
        <v>23.139</v>
      </c>
      <c r="AF56" s="33">
        <f>Codex_calc!AF56</f>
        <v>23.139</v>
      </c>
      <c r="AG56" s="33">
        <f>Codex_calc!AG56</f>
        <v>23.139</v>
      </c>
      <c r="AH56" s="33">
        <f>Codex_calc!AH56</f>
        <v>23.139</v>
      </c>
      <c r="AI56" s="33">
        <f>Codex_calc!AI56</f>
        <v>23.139</v>
      </c>
      <c r="AJ56" s="33">
        <f>Codex_calc!AJ56</f>
        <v>23.139</v>
      </c>
      <c r="AK56" s="33">
        <f>Codex_calc!AK56</f>
        <v>23.139</v>
      </c>
      <c r="AL56" s="33">
        <f>Codex_calc!AL56</f>
        <v>23.139</v>
      </c>
      <c r="AM56" s="33">
        <f>Codex_calc!AM56</f>
        <v>23.139</v>
      </c>
      <c r="AN56" s="33">
        <f>Codex_calc!AN56</f>
        <v>23.139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/>
      <c r="F57"/>
      <c r="G57"/>
      <c r="H57" s="30"/>
      <c r="K57"/>
      <c r="L57"/>
      <c r="M57" s="30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/>
      <c r="F58"/>
      <c r="G58"/>
      <c r="H58" s="30"/>
      <c r="K58"/>
      <c r="L58"/>
      <c r="M58" s="30"/>
      <c r="P58"/>
      <c r="R58"/>
      <c r="T58"/>
      <c r="U58"/>
      <c r="Y58"/>
      <c r="Z58"/>
      <c r="AA58"/>
      <c r="AB58"/>
      <c r="AC58"/>
      <c r="AD58"/>
      <c r="AE58"/>
      <c r="AF58"/>
      <c r="AG58"/>
      <c r="AH58"/>
      <c r="AI58"/>
      <c r="AK58"/>
      <c r="AM58"/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25.4529</v>
      </c>
      <c r="G59">
        <f>Codex_calc!G59</f>
        <v>25.4529</v>
      </c>
      <c r="H59" s="30">
        <f>Codex_calc!H59</f>
        <v>25.4529</v>
      </c>
      <c r="I59">
        <f>Codex_calc!I59</f>
        <v>25.4529</v>
      </c>
      <c r="J59">
        <f>Codex_calc!J59</f>
        <v>25.4529</v>
      </c>
      <c r="K59">
        <f>Codex_calc!K59</f>
        <v>25.4529</v>
      </c>
      <c r="L59">
        <f>Codex_calc!L59</f>
        <v>25.4529</v>
      </c>
      <c r="M59" s="30">
        <f>Codex_calc!M59</f>
        <v>25.4529</v>
      </c>
      <c r="N59">
        <f>Codex_calc!N59</f>
        <v>25.4529</v>
      </c>
      <c r="O59">
        <f>Codex_calc!O59</f>
        <v>25.4529</v>
      </c>
      <c r="P59">
        <f>Codex_calc!P59</f>
        <v>25.4529</v>
      </c>
      <c r="Q59">
        <f>Codex_calc!Q59</f>
        <v>25.4529</v>
      </c>
      <c r="R59">
        <f>Codex_calc!R59</f>
        <v>25.4529</v>
      </c>
      <c r="S59">
        <f>Codex_calc!S59</f>
        <v>25.4529</v>
      </c>
      <c r="T59">
        <f>Codex_calc!T59</f>
        <v>25.4529</v>
      </c>
      <c r="U59">
        <f>Codex_calc!U59</f>
        <v>25.4529</v>
      </c>
      <c r="V59">
        <f>Codex_calc!V59</f>
        <v>25.4529</v>
      </c>
      <c r="W59">
        <f>Codex_calc!W59</f>
        <v>25.4529</v>
      </c>
      <c r="X59">
        <f>Codex_calc!X59</f>
        <v>25.4529</v>
      </c>
      <c r="Y59">
        <f>Codex_calc!Y59</f>
        <v>25.4529</v>
      </c>
      <c r="Z59">
        <f>Codex_calc!Z59</f>
        <v>25.4529</v>
      </c>
      <c r="AA59">
        <f>Codex_calc!AA59</f>
        <v>25.4529</v>
      </c>
      <c r="AB59">
        <f>Codex_calc!AB59</f>
        <v>25.4529</v>
      </c>
      <c r="AC59">
        <f>Codex_calc!AC59</f>
        <v>25.4529</v>
      </c>
      <c r="AD59">
        <f>Codex_calc!AD59</f>
        <v>25.4529</v>
      </c>
      <c r="AE59">
        <f>Codex_calc!AE59</f>
        <v>25.4529</v>
      </c>
      <c r="AF59">
        <f>Codex_calc!AF59</f>
        <v>25.4529</v>
      </c>
      <c r="AG59">
        <f>Codex_calc!AG59</f>
        <v>25.4529</v>
      </c>
      <c r="AH59">
        <f>Codex_calc!AH59</f>
        <v>25.4529</v>
      </c>
      <c r="AI59">
        <f>Codex_calc!AI59</f>
        <v>25.4529</v>
      </c>
      <c r="AJ59">
        <f>Codex_calc!AJ59</f>
        <v>25.4529</v>
      </c>
      <c r="AK59">
        <f>Codex_calc!AK59</f>
        <v>25.4529</v>
      </c>
      <c r="AL59">
        <f>Codex_calc!AL59</f>
        <v>25.4529</v>
      </c>
      <c r="AM59">
        <f>Codex_calc!AM59</f>
        <v>25.4529</v>
      </c>
      <c r="AN59">
        <f>Codex_calc!AN59</f>
        <v>25.4529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 s="3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 s="3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 s="33">
        <f>Codex_calc!F61</f>
        <v>0</v>
      </c>
      <c r="G61" s="33">
        <f>Codex_calc!G61</f>
        <v>166.12332516129</v>
      </c>
      <c r="H61" s="34">
        <f>Codex_calc!H61</f>
        <v>2.62785935483871</v>
      </c>
      <c r="I61" s="33">
        <f>Codex_calc!I61</f>
        <v>0</v>
      </c>
      <c r="J61" s="33">
        <f>Codex_calc!J61</f>
        <v>0</v>
      </c>
      <c r="K61" s="33">
        <f>Codex_calc!K61</f>
        <v>0</v>
      </c>
      <c r="L61" s="33">
        <f>Codex_calc!L61</f>
        <v>0</v>
      </c>
      <c r="M61" s="34">
        <f>Codex_calc!M61</f>
        <v>1.42046451612903</v>
      </c>
      <c r="N61" s="33">
        <f>Codex_calc!N61</f>
        <v>0</v>
      </c>
      <c r="O61" s="33">
        <f>Codex_calc!O61</f>
        <v>0</v>
      </c>
      <c r="P61" s="33">
        <f>Codex_calc!P61</f>
        <v>0</v>
      </c>
      <c r="Q61" s="33">
        <f>Codex_calc!Q61</f>
        <v>0</v>
      </c>
      <c r="R61" s="33">
        <f>Codex_calc!R61</f>
        <v>0</v>
      </c>
      <c r="S61" s="33">
        <f>Codex_calc!S61</f>
        <v>0</v>
      </c>
      <c r="T61" s="33">
        <f>Codex_calc!T61</f>
        <v>0</v>
      </c>
      <c r="U61" s="33">
        <f>Codex_calc!U61</f>
        <v>0</v>
      </c>
      <c r="V61" s="33">
        <f>Codex_calc!V61</f>
        <v>0</v>
      </c>
      <c r="W61" s="33">
        <f>Codex_calc!W61</f>
        <v>0</v>
      </c>
      <c r="X61" s="33">
        <f>Codex_calc!X61</f>
        <v>0</v>
      </c>
      <c r="Y61" s="33">
        <f>Codex_calc!Y61</f>
        <v>1.42046451612903</v>
      </c>
      <c r="Z61" s="33">
        <f>Codex_calc!Z61</f>
        <v>0</v>
      </c>
      <c r="AA61" s="33">
        <f>Codex_calc!AA61</f>
        <v>2.69888258064516</v>
      </c>
      <c r="AB61" s="33">
        <f>Codex_calc!AB61</f>
        <v>0</v>
      </c>
      <c r="AC61" s="33">
        <f>Codex_calc!AC61</f>
        <v>0</v>
      </c>
      <c r="AD61" s="33">
        <f>Codex_calc!AD61</f>
        <v>42.3298425806452</v>
      </c>
      <c r="AE61" s="33">
        <f>Codex_calc!AE61</f>
        <v>5.46878838709677</v>
      </c>
      <c r="AF61" s="33">
        <f>Codex_calc!AF61</f>
        <v>0</v>
      </c>
      <c r="AG61" s="33">
        <f>Codex_calc!AG61</f>
        <v>0</v>
      </c>
      <c r="AH61" s="33">
        <f>Codex_calc!AH61</f>
        <v>0</v>
      </c>
      <c r="AI61" s="33">
        <f>Codex_calc!AI61</f>
        <v>0</v>
      </c>
      <c r="AJ61" s="33">
        <f>Codex_calc!AJ61</f>
        <v>0</v>
      </c>
      <c r="AK61" s="33">
        <f>Codex_calc!AK61</f>
        <v>1.34944129032258</v>
      </c>
      <c r="AL61" s="33">
        <f>Codex_calc!AL61</f>
        <v>0</v>
      </c>
      <c r="AM61" s="33">
        <f>Codex_calc!AM61</f>
        <v>0</v>
      </c>
      <c r="AN61" s="33">
        <f>Codex_calc!AN61</f>
        <v>0</v>
      </c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/>
      <c r="F62"/>
      <c r="G62"/>
      <c r="H62" s="30"/>
      <c r="K62"/>
      <c r="L62"/>
      <c r="M62" s="30"/>
      <c r="P62"/>
      <c r="R62"/>
      <c r="T62"/>
      <c r="U62"/>
      <c r="Y62"/>
      <c r="Z62"/>
      <c r="AA62"/>
      <c r="AB62"/>
      <c r="AC62"/>
      <c r="AD62"/>
      <c r="AE62"/>
      <c r="AF62"/>
      <c r="AG62"/>
      <c r="AH62"/>
      <c r="AI62"/>
      <c r="AK62"/>
      <c r="AM62"/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 s="30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 s="30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 s="33">
        <f>Codex_calc!F64</f>
        <v>0</v>
      </c>
      <c r="G64" s="33">
        <f>Codex_calc!G64</f>
        <v>332.246650322581</v>
      </c>
      <c r="H64" s="34">
        <f>Codex_calc!H64</f>
        <v>5.25571870967742</v>
      </c>
      <c r="I64" s="33">
        <f>Codex_calc!I64</f>
        <v>0</v>
      </c>
      <c r="J64" s="33">
        <f>Codex_calc!J64</f>
        <v>0</v>
      </c>
      <c r="K64" s="33">
        <f>Codex_calc!K64</f>
        <v>0</v>
      </c>
      <c r="L64" s="33">
        <f>Codex_calc!L64</f>
        <v>0</v>
      </c>
      <c r="M64" s="34">
        <f>Codex_calc!M64</f>
        <v>2.84092903225806</v>
      </c>
      <c r="N64" s="33">
        <f>Codex_calc!N64</f>
        <v>0</v>
      </c>
      <c r="O64" s="33">
        <f>Codex_calc!O64</f>
        <v>0</v>
      </c>
      <c r="P64" s="33">
        <f>Codex_calc!P64</f>
        <v>0</v>
      </c>
      <c r="Q64" s="33">
        <f>Codex_calc!Q64</f>
        <v>0</v>
      </c>
      <c r="R64" s="33">
        <f>Codex_calc!R64</f>
        <v>0</v>
      </c>
      <c r="S64" s="33">
        <f>Codex_calc!S64</f>
        <v>0</v>
      </c>
      <c r="T64" s="33">
        <f>Codex_calc!T64</f>
        <v>0</v>
      </c>
      <c r="U64" s="33">
        <f>Codex_calc!U64</f>
        <v>0</v>
      </c>
      <c r="V64" s="33">
        <f>Codex_calc!V64</f>
        <v>0</v>
      </c>
      <c r="W64" s="33">
        <f>Codex_calc!W64</f>
        <v>0</v>
      </c>
      <c r="X64" s="33">
        <f>Codex_calc!X64</f>
        <v>0</v>
      </c>
      <c r="Y64" s="33">
        <f>Codex_calc!Y64</f>
        <v>2.84092903225806</v>
      </c>
      <c r="Z64" s="33">
        <f>Codex_calc!Z64</f>
        <v>0</v>
      </c>
      <c r="AA64" s="33">
        <f>Codex_calc!AA64</f>
        <v>5.39776516129032</v>
      </c>
      <c r="AB64" s="33">
        <f>Codex_calc!AB64</f>
        <v>0</v>
      </c>
      <c r="AC64" s="33">
        <f>Codex_calc!AC64</f>
        <v>0</v>
      </c>
      <c r="AD64" s="33">
        <f>Codex_calc!AD64</f>
        <v>84.6596851612903</v>
      </c>
      <c r="AE64" s="33">
        <f>Codex_calc!AE64</f>
        <v>10.9375767741935</v>
      </c>
      <c r="AF64" s="33">
        <f>Codex_calc!AF64</f>
        <v>0</v>
      </c>
      <c r="AG64" s="33">
        <f>Codex_calc!AG64</f>
        <v>0</v>
      </c>
      <c r="AH64" s="33">
        <f>Codex_calc!AH64</f>
        <v>0</v>
      </c>
      <c r="AI64" s="33">
        <f>Codex_calc!AI64</f>
        <v>0</v>
      </c>
      <c r="AJ64" s="33">
        <f>Codex_calc!AJ64</f>
        <v>0</v>
      </c>
      <c r="AK64" s="33">
        <f>Codex_calc!AK64</f>
        <v>2.69888258064516</v>
      </c>
      <c r="AL64" s="33">
        <f>Codex_calc!AL64</f>
        <v>0</v>
      </c>
      <c r="AM64" s="33">
        <f>Codex_calc!AM64</f>
        <v>0</v>
      </c>
      <c r="AN64" s="33">
        <f>Codex_calc!AN64</f>
        <v>0</v>
      </c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/>
      <c r="F65"/>
      <c r="G65"/>
      <c r="H65" s="30"/>
      <c r="K65"/>
      <c r="L65"/>
      <c r="M65" s="30"/>
      <c r="P65"/>
      <c r="R65"/>
      <c r="T65"/>
      <c r="U65"/>
      <c r="Y65"/>
      <c r="Z65"/>
      <c r="AA65"/>
      <c r="AB65"/>
      <c r="AC65"/>
      <c r="AD65"/>
      <c r="AE65"/>
      <c r="AF65"/>
      <c r="AG65"/>
      <c r="AH65"/>
      <c r="AI65"/>
      <c r="AK65"/>
      <c r="AM65"/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 s="30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 s="30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/>
      <c r="F67"/>
      <c r="G67"/>
      <c r="H67" s="30"/>
      <c r="K67"/>
      <c r="L67"/>
      <c r="M67" s="30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/>
      <c r="F68"/>
      <c r="G68"/>
      <c r="H68" s="30"/>
      <c r="K68"/>
      <c r="L68"/>
      <c r="M68" s="30"/>
      <c r="P68"/>
      <c r="R68"/>
      <c r="T68"/>
      <c r="U68"/>
      <c r="Y68"/>
      <c r="Z68"/>
      <c r="AA68"/>
      <c r="AB68"/>
      <c r="AC68"/>
      <c r="AD68"/>
      <c r="AE68"/>
      <c r="AF68"/>
      <c r="AG68"/>
      <c r="AH68"/>
      <c r="AI68"/>
      <c r="AK68"/>
      <c r="AM68"/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46.7599</v>
      </c>
      <c r="G69">
        <f>Codex_calc!G69</f>
        <v>46.7599</v>
      </c>
      <c r="H69" s="30">
        <f>Codex_calc!H69</f>
        <v>46.7599</v>
      </c>
      <c r="I69">
        <f>Codex_calc!I69</f>
        <v>46.7599</v>
      </c>
      <c r="J69">
        <f>Codex_calc!J69</f>
        <v>46.7599</v>
      </c>
      <c r="K69">
        <f>Codex_calc!K69</f>
        <v>46.7599</v>
      </c>
      <c r="L69">
        <f>Codex_calc!L69</f>
        <v>46.7599</v>
      </c>
      <c r="M69" s="30">
        <f>Codex_calc!M69</f>
        <v>46.7599</v>
      </c>
      <c r="N69">
        <f>Codex_calc!N69</f>
        <v>46.7599</v>
      </c>
      <c r="O69">
        <f>Codex_calc!O69</f>
        <v>46.7599</v>
      </c>
      <c r="P69">
        <f>Codex_calc!P69</f>
        <v>46.7599</v>
      </c>
      <c r="Q69">
        <f>Codex_calc!Q69</f>
        <v>46.7599</v>
      </c>
      <c r="R69">
        <f>Codex_calc!R69</f>
        <v>46.7599</v>
      </c>
      <c r="S69">
        <f>Codex_calc!S69</f>
        <v>46.7599</v>
      </c>
      <c r="T69">
        <f>Codex_calc!T69</f>
        <v>46.7599</v>
      </c>
      <c r="U69">
        <f>Codex_calc!U69</f>
        <v>46.7599</v>
      </c>
      <c r="V69">
        <f>Codex_calc!V69</f>
        <v>46.7599</v>
      </c>
      <c r="W69">
        <f>Codex_calc!W69</f>
        <v>46.7599</v>
      </c>
      <c r="X69">
        <f>Codex_calc!X69</f>
        <v>46.7599</v>
      </c>
      <c r="Y69">
        <f>Codex_calc!Y69</f>
        <v>46.7599</v>
      </c>
      <c r="Z69">
        <f>Codex_calc!Z69</f>
        <v>46.7599</v>
      </c>
      <c r="AA69">
        <f>Codex_calc!AA69</f>
        <v>46.7599</v>
      </c>
      <c r="AB69">
        <f>Codex_calc!AB69</f>
        <v>46.7599</v>
      </c>
      <c r="AC69">
        <f>Codex_calc!AC69</f>
        <v>46.7599</v>
      </c>
      <c r="AD69">
        <f>Codex_calc!AD69</f>
        <v>46.7599</v>
      </c>
      <c r="AE69">
        <f>Codex_calc!AE69</f>
        <v>46.7599</v>
      </c>
      <c r="AF69">
        <f>Codex_calc!AF69</f>
        <v>46.7599</v>
      </c>
      <c r="AG69">
        <f>Codex_calc!AG69</f>
        <v>46.7599</v>
      </c>
      <c r="AH69">
        <f>Codex_calc!AH69</f>
        <v>46.7599</v>
      </c>
      <c r="AI69">
        <f>Codex_calc!AI69</f>
        <v>46.7599</v>
      </c>
      <c r="AJ69">
        <f>Codex_calc!AJ69</f>
        <v>46.7599</v>
      </c>
      <c r="AK69">
        <f>Codex_calc!AK69</f>
        <v>46.7599</v>
      </c>
      <c r="AL69">
        <f>Codex_calc!AL69</f>
        <v>46.7599</v>
      </c>
      <c r="AM69">
        <f>Codex_calc!AM69</f>
        <v>46.7599</v>
      </c>
      <c r="AN69">
        <f>Codex_calc!AN69</f>
        <v>46.7599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 s="3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 s="3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 s="33">
        <f>Codex_calc!F71</f>
        <v>0</v>
      </c>
      <c r="G71" s="33">
        <f>Codex_calc!G71</f>
        <v>74.235</v>
      </c>
      <c r="H71" s="34">
        <f>Codex_calc!H71</f>
        <v>16.16</v>
      </c>
      <c r="I71" s="33">
        <f>Codex_calc!I71</f>
        <v>0</v>
      </c>
      <c r="J71" s="33">
        <f>Codex_calc!J71</f>
        <v>0</v>
      </c>
      <c r="K71" s="33">
        <f>Codex_calc!K71</f>
        <v>0</v>
      </c>
      <c r="L71" s="33">
        <f>Codex_calc!L71</f>
        <v>8.08</v>
      </c>
      <c r="M71" s="34">
        <f>Codex_calc!M71</f>
        <v>7.07</v>
      </c>
      <c r="N71" s="33">
        <f>Codex_calc!N71</f>
        <v>0</v>
      </c>
      <c r="O71" s="33">
        <f>Codex_calc!O71</f>
        <v>0</v>
      </c>
      <c r="P71" s="33">
        <f>Codex_calc!P71</f>
        <v>0</v>
      </c>
      <c r="Q71" s="33">
        <f>Codex_calc!Q71</f>
        <v>0</v>
      </c>
      <c r="R71" s="33">
        <f>Codex_calc!R71</f>
        <v>0</v>
      </c>
      <c r="S71" s="33">
        <f>Codex_calc!S71</f>
        <v>0</v>
      </c>
      <c r="T71" s="33">
        <f>Codex_calc!T71</f>
        <v>0</v>
      </c>
      <c r="U71" s="33">
        <f>Codex_calc!U71</f>
        <v>7.979</v>
      </c>
      <c r="V71" s="33">
        <f>Codex_calc!V71</f>
        <v>0</v>
      </c>
      <c r="W71" s="33">
        <f>Codex_calc!W71</f>
        <v>0</v>
      </c>
      <c r="X71" s="33">
        <f>Codex_calc!X71</f>
        <v>0</v>
      </c>
      <c r="Y71" s="33">
        <f>Codex_calc!Y71</f>
        <v>0</v>
      </c>
      <c r="Z71" s="33">
        <f>Codex_calc!Z71</f>
        <v>0</v>
      </c>
      <c r="AA71" s="33">
        <f>Codex_calc!AA71</f>
        <v>0</v>
      </c>
      <c r="AB71" s="33">
        <f>Codex_calc!AB71</f>
        <v>0</v>
      </c>
      <c r="AC71" s="33">
        <f>Codex_calc!AC71</f>
        <v>0</v>
      </c>
      <c r="AD71" s="33">
        <f>Codex_calc!AD71</f>
        <v>13.13</v>
      </c>
      <c r="AE71" s="33">
        <f>Codex_calc!AE71</f>
        <v>0</v>
      </c>
      <c r="AF71" s="33">
        <f>Codex_calc!AF71</f>
        <v>0</v>
      </c>
      <c r="AG71" s="33">
        <f>Codex_calc!AG71</f>
        <v>76.76</v>
      </c>
      <c r="AH71" s="33">
        <f>Codex_calc!AH71</f>
        <v>0</v>
      </c>
      <c r="AI71" s="33">
        <f>Codex_calc!AI71</f>
        <v>0</v>
      </c>
      <c r="AJ71" s="33">
        <f>Codex_calc!AJ71</f>
        <v>0</v>
      </c>
      <c r="AK71" s="33">
        <f>Codex_calc!AK71</f>
        <v>0</v>
      </c>
      <c r="AL71" s="33">
        <f>Codex_calc!AL71</f>
        <v>0</v>
      </c>
      <c r="AM71" s="33">
        <f>Codex_calc!AM71</f>
        <v>0</v>
      </c>
      <c r="AN71" s="33">
        <f>Codex_calc!AN71</f>
        <v>0</v>
      </c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/>
      <c r="F72"/>
      <c r="G72"/>
      <c r="H72" s="30"/>
      <c r="K72"/>
      <c r="L72"/>
      <c r="M72" s="30"/>
      <c r="P72"/>
      <c r="R72"/>
      <c r="T72"/>
      <c r="U72"/>
      <c r="Y72"/>
      <c r="Z72"/>
      <c r="AA72"/>
      <c r="AB72"/>
      <c r="AC72"/>
      <c r="AD72"/>
      <c r="AE72"/>
      <c r="AF72"/>
      <c r="AG72"/>
      <c r="AH72"/>
      <c r="AI72"/>
      <c r="AK72"/>
      <c r="AM72"/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 s="30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 s="30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 s="33">
        <f>Codex_calc!F74</f>
        <v>0</v>
      </c>
      <c r="G74" s="33">
        <f>Codex_calc!G74</f>
        <v>148.47</v>
      </c>
      <c r="H74" s="34">
        <f>Codex_calc!H74</f>
        <v>32.32</v>
      </c>
      <c r="I74" s="33">
        <f>Codex_calc!I74</f>
        <v>0</v>
      </c>
      <c r="J74" s="33">
        <f>Codex_calc!J74</f>
        <v>0</v>
      </c>
      <c r="K74" s="33">
        <f>Codex_calc!K74</f>
        <v>0</v>
      </c>
      <c r="L74" s="33">
        <f>Codex_calc!L74</f>
        <v>16.16</v>
      </c>
      <c r="M74" s="34">
        <f>Codex_calc!M74</f>
        <v>14.14</v>
      </c>
      <c r="N74" s="33">
        <f>Codex_calc!N74</f>
        <v>0</v>
      </c>
      <c r="O74" s="33">
        <f>Codex_calc!O74</f>
        <v>0</v>
      </c>
      <c r="P74" s="33">
        <f>Codex_calc!P74</f>
        <v>0</v>
      </c>
      <c r="Q74" s="33">
        <f>Codex_calc!Q74</f>
        <v>0</v>
      </c>
      <c r="R74" s="33">
        <f>Codex_calc!R74</f>
        <v>0</v>
      </c>
      <c r="S74" s="33">
        <f>Codex_calc!S74</f>
        <v>0</v>
      </c>
      <c r="T74" s="33">
        <f>Codex_calc!T74</f>
        <v>0</v>
      </c>
      <c r="U74" s="33">
        <f>Codex_calc!U74</f>
        <v>15.958</v>
      </c>
      <c r="V74" s="33">
        <f>Codex_calc!V74</f>
        <v>0</v>
      </c>
      <c r="W74" s="33">
        <f>Codex_calc!W74</f>
        <v>0</v>
      </c>
      <c r="X74" s="33">
        <f>Codex_calc!X74</f>
        <v>0</v>
      </c>
      <c r="Y74" s="33">
        <f>Codex_calc!Y74</f>
        <v>0</v>
      </c>
      <c r="Z74" s="33">
        <f>Codex_calc!Z74</f>
        <v>0</v>
      </c>
      <c r="AA74" s="33">
        <f>Codex_calc!AA74</f>
        <v>0</v>
      </c>
      <c r="AB74" s="33">
        <f>Codex_calc!AB74</f>
        <v>0</v>
      </c>
      <c r="AC74" s="33">
        <f>Codex_calc!AC74</f>
        <v>0</v>
      </c>
      <c r="AD74" s="33">
        <f>Codex_calc!AD74</f>
        <v>26.26</v>
      </c>
      <c r="AE74" s="33">
        <f>Codex_calc!AE74</f>
        <v>0</v>
      </c>
      <c r="AF74" s="33">
        <f>Codex_calc!AF74</f>
        <v>0</v>
      </c>
      <c r="AG74" s="33">
        <f>Codex_calc!AG74</f>
        <v>153.52</v>
      </c>
      <c r="AH74" s="33">
        <f>Codex_calc!AH74</f>
        <v>0</v>
      </c>
      <c r="AI74" s="33">
        <f>Codex_calc!AI74</f>
        <v>0</v>
      </c>
      <c r="AJ74" s="33">
        <f>Codex_calc!AJ74</f>
        <v>0</v>
      </c>
      <c r="AK74" s="33">
        <f>Codex_calc!AK74</f>
        <v>0</v>
      </c>
      <c r="AL74" s="33">
        <f>Codex_calc!AL74</f>
        <v>0</v>
      </c>
      <c r="AM74" s="33">
        <f>Codex_calc!AM74</f>
        <v>0</v>
      </c>
      <c r="AN74" s="33">
        <f>Codex_calc!AN74</f>
        <v>0</v>
      </c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/>
      <c r="F75"/>
      <c r="G75"/>
      <c r="H75" s="30"/>
      <c r="K75"/>
      <c r="L75"/>
      <c r="M75" s="30"/>
      <c r="P75"/>
      <c r="R75"/>
      <c r="T75"/>
      <c r="U75"/>
      <c r="Y75"/>
      <c r="Z75"/>
      <c r="AA75"/>
      <c r="AB75"/>
      <c r="AC75"/>
      <c r="AD75"/>
      <c r="AE75"/>
      <c r="AF75"/>
      <c r="AG75"/>
      <c r="AH75"/>
      <c r="AI75"/>
      <c r="AK75"/>
      <c r="AM75"/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 s="30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 s="30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/>
      <c r="F77"/>
      <c r="G77"/>
      <c r="H77" s="30"/>
      <c r="K77"/>
      <c r="L77"/>
      <c r="M77" s="30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/>
      <c r="F78"/>
      <c r="G78"/>
      <c r="H78" s="30"/>
      <c r="K78"/>
      <c r="L78"/>
      <c r="M78" s="30"/>
      <c r="P78"/>
      <c r="R78"/>
      <c r="T78"/>
      <c r="U78"/>
      <c r="Y78"/>
      <c r="Z78"/>
      <c r="AA78"/>
      <c r="AB78"/>
      <c r="AC78"/>
      <c r="AD78"/>
      <c r="AE78"/>
      <c r="AF78"/>
      <c r="AG78"/>
      <c r="AH78"/>
      <c r="AI78"/>
      <c r="AK78"/>
      <c r="AM78"/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1.485</v>
      </c>
      <c r="G79">
        <f>Codex_calc!G79</f>
        <v>1.485</v>
      </c>
      <c r="H79" s="30">
        <f>Codex_calc!H79</f>
        <v>1.485</v>
      </c>
      <c r="I79">
        <f>Codex_calc!I79</f>
        <v>1.485</v>
      </c>
      <c r="J79">
        <f>Codex_calc!J79</f>
        <v>1.485</v>
      </c>
      <c r="K79">
        <f>Codex_calc!K79</f>
        <v>1.485</v>
      </c>
      <c r="L79">
        <f>Codex_calc!L79</f>
        <v>1.485</v>
      </c>
      <c r="M79" s="30">
        <f>Codex_calc!M79</f>
        <v>1.485</v>
      </c>
      <c r="N79">
        <f>Codex_calc!N79</f>
        <v>1.485</v>
      </c>
      <c r="O79">
        <f>Codex_calc!O79</f>
        <v>1.485</v>
      </c>
      <c r="P79">
        <f>Codex_calc!P79</f>
        <v>1.485</v>
      </c>
      <c r="Q79">
        <f>Codex_calc!Q79</f>
        <v>1.485</v>
      </c>
      <c r="R79">
        <f>Codex_calc!R79</f>
        <v>1.485</v>
      </c>
      <c r="S79">
        <f>Codex_calc!S79</f>
        <v>1.485</v>
      </c>
      <c r="T79">
        <f>Codex_calc!T79</f>
        <v>1.485</v>
      </c>
      <c r="U79">
        <f>Codex_calc!U79</f>
        <v>1.485</v>
      </c>
      <c r="V79">
        <f>Codex_calc!V79</f>
        <v>1.485</v>
      </c>
      <c r="W79">
        <f>Codex_calc!W79</f>
        <v>1.485</v>
      </c>
      <c r="X79">
        <f>Codex_calc!X79</f>
        <v>1.485</v>
      </c>
      <c r="Y79">
        <f>Codex_calc!Y79</f>
        <v>1.485</v>
      </c>
      <c r="Z79">
        <f>Codex_calc!Z79</f>
        <v>1.485</v>
      </c>
      <c r="AA79">
        <f>Codex_calc!AA79</f>
        <v>1.485</v>
      </c>
      <c r="AB79">
        <f>Codex_calc!AB79</f>
        <v>1.485</v>
      </c>
      <c r="AC79">
        <f>Codex_calc!AC79</f>
        <v>1.485</v>
      </c>
      <c r="AD79">
        <f>Codex_calc!AD79</f>
        <v>1.485</v>
      </c>
      <c r="AE79">
        <f>Codex_calc!AE79</f>
        <v>1.485</v>
      </c>
      <c r="AF79">
        <f>Codex_calc!AF79</f>
        <v>1.485</v>
      </c>
      <c r="AG79">
        <f>Codex_calc!AG79</f>
        <v>1.485</v>
      </c>
      <c r="AH79">
        <f>Codex_calc!AH79</f>
        <v>1.485</v>
      </c>
      <c r="AI79">
        <f>Codex_calc!AI79</f>
        <v>1.485</v>
      </c>
      <c r="AJ79">
        <f>Codex_calc!AJ79</f>
        <v>1.485</v>
      </c>
      <c r="AK79">
        <f>Codex_calc!AK79</f>
        <v>1.485</v>
      </c>
      <c r="AL79">
        <f>Codex_calc!AL79</f>
        <v>1.485</v>
      </c>
      <c r="AM79">
        <f>Codex_calc!AM79</f>
        <v>1.485</v>
      </c>
      <c r="AN79">
        <f>Codex_calc!AN79</f>
        <v>1.485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 s="3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 s="3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F81" s="33">
        <f>Codex_calc!F81</f>
        <v>0</v>
      </c>
      <c r="G81" s="33">
        <f>Codex_calc!G81</f>
        <v>0</v>
      </c>
      <c r="H81" s="34">
        <f>Codex_calc!H81</f>
        <v>30.1272972972973</v>
      </c>
      <c r="I81" s="33">
        <f>Codex_calc!I81</f>
        <v>0</v>
      </c>
      <c r="J81" s="33">
        <f>Codex_calc!J81</f>
        <v>0</v>
      </c>
      <c r="K81" s="33">
        <f>Codex_calc!K81</f>
        <v>0</v>
      </c>
      <c r="L81" s="33">
        <f>Codex_calc!L81</f>
        <v>24.1018378378378</v>
      </c>
      <c r="M81" s="34">
        <f>Codex_calc!M81</f>
        <v>903.818918918919</v>
      </c>
      <c r="N81" s="33">
        <f>Codex_calc!N81</f>
        <v>0</v>
      </c>
      <c r="O81" s="33">
        <f>Codex_calc!O81</f>
        <v>0</v>
      </c>
      <c r="P81" s="33">
        <f>Codex_calc!P81</f>
        <v>0</v>
      </c>
      <c r="Q81" s="33">
        <f>Codex_calc!Q81</f>
        <v>0</v>
      </c>
      <c r="R81" s="33">
        <f>Codex_calc!R81</f>
        <v>0</v>
      </c>
      <c r="S81" s="33">
        <f>Codex_calc!S81</f>
        <v>0</v>
      </c>
      <c r="T81" s="33">
        <f>Codex_calc!T81</f>
        <v>15.0636486486486</v>
      </c>
      <c r="U81" s="33">
        <f>Codex_calc!U81</f>
        <v>84.3564324324324</v>
      </c>
      <c r="V81" s="33">
        <f>Codex_calc!V81</f>
        <v>0</v>
      </c>
      <c r="W81" s="33">
        <f>Codex_calc!W81</f>
        <v>0</v>
      </c>
      <c r="X81" s="33">
        <f>Codex_calc!X81</f>
        <v>0</v>
      </c>
      <c r="Y81" s="33">
        <f>Codex_calc!Y81</f>
        <v>0</v>
      </c>
      <c r="Z81" s="33">
        <f>Codex_calc!Z81</f>
        <v>86.3649189189189</v>
      </c>
      <c r="AA81" s="33">
        <f>Codex_calc!AA81</f>
        <v>79.5360648648649</v>
      </c>
      <c r="AB81" s="33">
        <f>Codex_calc!AB81</f>
        <v>26.1103243243243</v>
      </c>
      <c r="AC81" s="33">
        <f>Codex_calc!AC81</f>
        <v>0</v>
      </c>
      <c r="AD81" s="33">
        <f>Codex_calc!AD81</f>
        <v>162.687405405405</v>
      </c>
      <c r="AE81" s="33">
        <f>Codex_calc!AE81</f>
        <v>78.330972972973</v>
      </c>
      <c r="AF81" s="33">
        <f>Codex_calc!AF81</f>
        <v>0</v>
      </c>
      <c r="AG81" s="33">
        <f>Codex_calc!AG81</f>
        <v>0</v>
      </c>
      <c r="AH81" s="33">
        <f>Codex_calc!AH81</f>
        <v>0</v>
      </c>
      <c r="AI81" s="33">
        <f>Codex_calc!AI81</f>
        <v>0</v>
      </c>
      <c r="AJ81" s="33">
        <f>Codex_calc!AJ81</f>
        <v>0</v>
      </c>
      <c r="AK81" s="33">
        <f>Codex_calc!AK81</f>
        <v>0</v>
      </c>
      <c r="AL81" s="33">
        <f>Codex_calc!AL81</f>
        <v>0</v>
      </c>
      <c r="AM81" s="33">
        <f>Codex_calc!AM81</f>
        <v>0</v>
      </c>
      <c r="AN81" s="33">
        <f>Codex_calc!AN81</f>
        <v>0</v>
      </c>
      <c r="AO81" t="str">
        <f>Codex_calc!AO81</f>
        <v>2019, 2130</v>
      </c>
    </row>
    <row r="82" s="30" customFormat="1" spans="3:41">
      <c r="C82" s="30" t="str">
        <f>Codex_calc!C82</f>
        <v>MINAlRSV1</v>
      </c>
      <c r="D82" s="30" t="str">
        <f>Codex_calc!D82</f>
        <v>CUM</v>
      </c>
      <c r="AO82" s="30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 s="30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 s="30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F84" s="33">
        <f>Codex_calc!F84</f>
        <v>0</v>
      </c>
      <c r="G84" s="33">
        <f>Codex_calc!G84</f>
        <v>0</v>
      </c>
      <c r="H84" s="34">
        <f>Codex_calc!H84</f>
        <v>60.2545945945946</v>
      </c>
      <c r="I84" s="33">
        <f>Codex_calc!I84</f>
        <v>0</v>
      </c>
      <c r="J84" s="33">
        <f>Codex_calc!J84</f>
        <v>0</v>
      </c>
      <c r="K84" s="33">
        <f>Codex_calc!K84</f>
        <v>0</v>
      </c>
      <c r="L84" s="33">
        <f>Codex_calc!L84</f>
        <v>48.2036756756757</v>
      </c>
      <c r="M84" s="34">
        <f>Codex_calc!M84</f>
        <v>1807.63783783784</v>
      </c>
      <c r="N84" s="33">
        <f>Codex_calc!N84</f>
        <v>0</v>
      </c>
      <c r="O84" s="33">
        <f>Codex_calc!O84</f>
        <v>0</v>
      </c>
      <c r="P84" s="33">
        <f>Codex_calc!P84</f>
        <v>0</v>
      </c>
      <c r="Q84" s="33">
        <f>Codex_calc!Q84</f>
        <v>0</v>
      </c>
      <c r="R84" s="33">
        <f>Codex_calc!R84</f>
        <v>0</v>
      </c>
      <c r="S84" s="33">
        <f>Codex_calc!S84</f>
        <v>0</v>
      </c>
      <c r="T84" s="33">
        <f>Codex_calc!T84</f>
        <v>30.1272972972973</v>
      </c>
      <c r="U84" s="33">
        <f>Codex_calc!U84</f>
        <v>168.712864864865</v>
      </c>
      <c r="V84" s="33">
        <f>Codex_calc!V84</f>
        <v>0</v>
      </c>
      <c r="W84" s="33">
        <f>Codex_calc!W84</f>
        <v>0</v>
      </c>
      <c r="X84" s="33">
        <f>Codex_calc!X84</f>
        <v>0</v>
      </c>
      <c r="Y84" s="33">
        <f>Codex_calc!Y84</f>
        <v>0</v>
      </c>
      <c r="Z84" s="33">
        <f>Codex_calc!Z84</f>
        <v>172.729837837838</v>
      </c>
      <c r="AA84" s="33">
        <f>Codex_calc!AA84</f>
        <v>159.07212972973</v>
      </c>
      <c r="AB84" s="33">
        <f>Codex_calc!AB84</f>
        <v>52.2206486486486</v>
      </c>
      <c r="AC84" s="33">
        <f>Codex_calc!AC84</f>
        <v>0</v>
      </c>
      <c r="AD84" s="33">
        <f>Codex_calc!AD84</f>
        <v>325.374810810811</v>
      </c>
      <c r="AE84" s="33">
        <f>Codex_calc!AE84</f>
        <v>156.661945945946</v>
      </c>
      <c r="AF84" s="33">
        <f>Codex_calc!AF84</f>
        <v>0</v>
      </c>
      <c r="AG84" s="33">
        <f>Codex_calc!AG84</f>
        <v>0</v>
      </c>
      <c r="AH84" s="33">
        <f>Codex_calc!AH84</f>
        <v>0</v>
      </c>
      <c r="AI84" s="33">
        <f>Codex_calc!AI84</f>
        <v>0</v>
      </c>
      <c r="AJ84" s="33">
        <f>Codex_calc!AJ84</f>
        <v>0</v>
      </c>
      <c r="AK84" s="33">
        <f>Codex_calc!AK84</f>
        <v>0</v>
      </c>
      <c r="AL84" s="33">
        <f>Codex_calc!AL84</f>
        <v>0</v>
      </c>
      <c r="AM84" s="33">
        <f>Codex_calc!AM84</f>
        <v>0</v>
      </c>
      <c r="AN84" s="33">
        <f>Codex_calc!AN84</f>
        <v>0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/>
      <c r="F85"/>
      <c r="G85"/>
      <c r="H85" s="30"/>
      <c r="K85"/>
      <c r="L85"/>
      <c r="M85" s="30"/>
      <c r="P85"/>
      <c r="R85"/>
      <c r="T85"/>
      <c r="U85"/>
      <c r="Y85"/>
      <c r="Z85"/>
      <c r="AA85"/>
      <c r="AB85"/>
      <c r="AC85"/>
      <c r="AD85"/>
      <c r="AE85"/>
      <c r="AF85"/>
      <c r="AG85"/>
      <c r="AH85"/>
      <c r="AI85"/>
      <c r="AK85"/>
      <c r="AM85"/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 s="30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 s="30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/>
      <c r="F87"/>
      <c r="G87"/>
      <c r="H87" s="30"/>
      <c r="K87"/>
      <c r="L87"/>
      <c r="M87" s="30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/>
      <c r="F88"/>
      <c r="G88"/>
      <c r="H88" s="30"/>
      <c r="K88"/>
      <c r="L88"/>
      <c r="M88" s="30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13.0954428</v>
      </c>
      <c r="G89">
        <f>Codex_calc!G89</f>
        <v>13.0954428</v>
      </c>
      <c r="H89" s="30">
        <f>Codex_calc!H89</f>
        <v>13.0954428</v>
      </c>
      <c r="I89">
        <f>Codex_calc!I89</f>
        <v>13.0954428</v>
      </c>
      <c r="J89">
        <f>Codex_calc!J89</f>
        <v>13.0954428</v>
      </c>
      <c r="K89">
        <f>Codex_calc!K89</f>
        <v>13.0954428</v>
      </c>
      <c r="L89">
        <f>Codex_calc!L89</f>
        <v>13.0954428</v>
      </c>
      <c r="M89" s="30">
        <f>Codex_calc!M89</f>
        <v>13.0954428</v>
      </c>
      <c r="N89">
        <f>Codex_calc!N89</f>
        <v>13.0954428</v>
      </c>
      <c r="O89">
        <f>Codex_calc!O89</f>
        <v>13.0954428</v>
      </c>
      <c r="P89">
        <f>Codex_calc!P89</f>
        <v>13.0954428</v>
      </c>
      <c r="Q89">
        <f>Codex_calc!Q89</f>
        <v>13.0954428</v>
      </c>
      <c r="R89">
        <f>Codex_calc!R89</f>
        <v>13.0954428</v>
      </c>
      <c r="S89">
        <f>Codex_calc!S89</f>
        <v>13.0954428</v>
      </c>
      <c r="T89">
        <f>Codex_calc!T89</f>
        <v>13.0954428</v>
      </c>
      <c r="U89">
        <f>Codex_calc!U89</f>
        <v>13.0954428</v>
      </c>
      <c r="V89">
        <f>Codex_calc!V89</f>
        <v>13.0954428</v>
      </c>
      <c r="W89">
        <f>Codex_calc!W89</f>
        <v>13.0954428</v>
      </c>
      <c r="X89">
        <f>Codex_calc!X89</f>
        <v>13.0954428</v>
      </c>
      <c r="Y89">
        <f>Codex_calc!Y89</f>
        <v>13.0954428</v>
      </c>
      <c r="Z89">
        <f>Codex_calc!Z89</f>
        <v>13.0954428</v>
      </c>
      <c r="AA89">
        <f>Codex_calc!AA89</f>
        <v>13.0954428</v>
      </c>
      <c r="AB89">
        <f>Codex_calc!AB89</f>
        <v>13.0954428</v>
      </c>
      <c r="AC89">
        <f>Codex_calc!AC89</f>
        <v>13.0954428</v>
      </c>
      <c r="AD89">
        <f>Codex_calc!AD89</f>
        <v>13.0954428</v>
      </c>
      <c r="AE89">
        <f>Codex_calc!AE89</f>
        <v>13.0954428</v>
      </c>
      <c r="AF89">
        <f>Codex_calc!AF89</f>
        <v>13.0954428</v>
      </c>
      <c r="AG89">
        <f>Codex_calc!AG89</f>
        <v>13.0954428</v>
      </c>
      <c r="AH89">
        <f>Codex_calc!AH89</f>
        <v>13.0954428</v>
      </c>
      <c r="AI89">
        <f>Codex_calc!AI89</f>
        <v>13.0954428</v>
      </c>
      <c r="AJ89">
        <f>Codex_calc!AJ89</f>
        <v>13.0954428</v>
      </c>
      <c r="AK89">
        <f>Codex_calc!AK89</f>
        <v>13.0954428</v>
      </c>
      <c r="AL89">
        <f>Codex_calc!AL89</f>
        <v>13.0954428</v>
      </c>
      <c r="AM89">
        <f>Codex_calc!AM89</f>
        <v>13.0954428</v>
      </c>
      <c r="AN89">
        <f>Codex_calc!AN89</f>
        <v>13.0954428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 s="3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 s="3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 s="33">
        <f>Codex_calc!F91</f>
        <v>0</v>
      </c>
      <c r="G91" s="33">
        <f>Codex_calc!G91</f>
        <v>102.6</v>
      </c>
      <c r="H91" s="34">
        <f>Codex_calc!H91</f>
        <v>18.0913043478261</v>
      </c>
      <c r="I91" s="33">
        <f>Codex_calc!I91</f>
        <v>0</v>
      </c>
      <c r="J91" s="33">
        <f>Codex_calc!J91</f>
        <v>0</v>
      </c>
      <c r="K91" s="33">
        <f>Codex_calc!K91</f>
        <v>0</v>
      </c>
      <c r="L91" s="33">
        <f>Codex_calc!L91</f>
        <v>0</v>
      </c>
      <c r="M91" s="34">
        <f>Codex_calc!M91</f>
        <v>44.6086956521739</v>
      </c>
      <c r="N91" s="33">
        <f>Codex_calc!N91</f>
        <v>0</v>
      </c>
      <c r="O91" s="33">
        <f>Codex_calc!O91</f>
        <v>0</v>
      </c>
      <c r="P91" s="33">
        <f>Codex_calc!P91</f>
        <v>0</v>
      </c>
      <c r="Q91" s="33">
        <f>Codex_calc!Q91</f>
        <v>0</v>
      </c>
      <c r="R91" s="33">
        <f>Codex_calc!R91</f>
        <v>0</v>
      </c>
      <c r="S91" s="33">
        <f>Codex_calc!S91</f>
        <v>0</v>
      </c>
      <c r="T91" s="33">
        <f>Codex_calc!T91</f>
        <v>0</v>
      </c>
      <c r="U91" s="33">
        <f>Codex_calc!U91</f>
        <v>0.57</v>
      </c>
      <c r="V91" s="33">
        <f>Codex_calc!V91</f>
        <v>0</v>
      </c>
      <c r="W91" s="33">
        <f>Codex_calc!W91</f>
        <v>0</v>
      </c>
      <c r="X91" s="33">
        <f>Codex_calc!X91</f>
        <v>0</v>
      </c>
      <c r="Y91" s="33">
        <f>Codex_calc!Y91</f>
        <v>198.260869565217</v>
      </c>
      <c r="Z91" s="33">
        <f>Codex_calc!Z91</f>
        <v>0</v>
      </c>
      <c r="AA91" s="33">
        <f>Codex_calc!AA91</f>
        <v>54.2739130434783</v>
      </c>
      <c r="AB91" s="33">
        <f>Codex_calc!AB91</f>
        <v>0</v>
      </c>
      <c r="AC91" s="33">
        <f>Codex_calc!AC91</f>
        <v>10.1608695652174</v>
      </c>
      <c r="AD91" s="33">
        <f>Codex_calc!AD91</f>
        <v>109.539130434783</v>
      </c>
      <c r="AE91" s="33">
        <f>Codex_calc!AE91</f>
        <v>32.2173913043478</v>
      </c>
      <c r="AF91" s="33">
        <f>Codex_calc!AF91</f>
        <v>0</v>
      </c>
      <c r="AG91" s="33">
        <f>Codex_calc!AG91</f>
        <v>0</v>
      </c>
      <c r="AH91" s="33">
        <f>Codex_calc!AH91</f>
        <v>0</v>
      </c>
      <c r="AI91" s="33">
        <f>Codex_calc!AI91</f>
        <v>0</v>
      </c>
      <c r="AJ91" s="33">
        <f>Codex_calc!AJ91</f>
        <v>0</v>
      </c>
      <c r="AK91" s="33">
        <f>Codex_calc!AK91</f>
        <v>0</v>
      </c>
      <c r="AL91" s="33">
        <f>Codex_calc!AL91</f>
        <v>0</v>
      </c>
      <c r="AM91" s="33">
        <f>Codex_calc!AM91</f>
        <v>0</v>
      </c>
      <c r="AN91" s="33">
        <f>Codex_calc!AN91</f>
        <v>0</v>
      </c>
      <c r="AO91" t="str">
        <f>Codex_calc!AO91</f>
        <v>2019, 2130</v>
      </c>
    </row>
    <row r="92" s="30" customFormat="1" spans="3:41">
      <c r="C92" s="30" t="str">
        <f>Codex_calc!C92</f>
        <v>MINCuRSV1</v>
      </c>
      <c r="D92" s="30" t="str">
        <f>Codex_calc!D92</f>
        <v>CUM</v>
      </c>
      <c r="AO92" s="30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 s="30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 s="30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 s="33">
        <f>Codex_calc!F94</f>
        <v>0</v>
      </c>
      <c r="G94" s="33">
        <f>Codex_calc!G94</f>
        <v>205.2</v>
      </c>
      <c r="H94" s="34">
        <f>Codex_calc!H94</f>
        <v>36.1826086956522</v>
      </c>
      <c r="I94" s="33">
        <f>Codex_calc!I94</f>
        <v>0</v>
      </c>
      <c r="J94" s="33">
        <f>Codex_calc!J94</f>
        <v>0</v>
      </c>
      <c r="K94" s="33">
        <f>Codex_calc!K94</f>
        <v>0</v>
      </c>
      <c r="L94" s="33">
        <f>Codex_calc!L94</f>
        <v>0</v>
      </c>
      <c r="M94" s="34">
        <f>Codex_calc!M94</f>
        <v>89.2173913043478</v>
      </c>
      <c r="N94" s="33">
        <f>Codex_calc!N94</f>
        <v>0</v>
      </c>
      <c r="O94" s="33">
        <f>Codex_calc!O94</f>
        <v>0</v>
      </c>
      <c r="P94" s="33">
        <f>Codex_calc!P94</f>
        <v>0</v>
      </c>
      <c r="Q94" s="33">
        <f>Codex_calc!Q94</f>
        <v>0</v>
      </c>
      <c r="R94" s="33">
        <f>Codex_calc!R94</f>
        <v>0</v>
      </c>
      <c r="S94" s="33">
        <f>Codex_calc!S94</f>
        <v>0</v>
      </c>
      <c r="T94" s="33">
        <f>Codex_calc!T94</f>
        <v>0</v>
      </c>
      <c r="U94" s="33">
        <f>Codex_calc!U94</f>
        <v>1.14</v>
      </c>
      <c r="V94" s="33">
        <f>Codex_calc!V94</f>
        <v>0</v>
      </c>
      <c r="W94" s="33">
        <f>Codex_calc!W94</f>
        <v>0</v>
      </c>
      <c r="X94" s="33">
        <f>Codex_calc!X94</f>
        <v>0</v>
      </c>
      <c r="Y94" s="33">
        <f>Codex_calc!Y94</f>
        <v>396.521739130435</v>
      </c>
      <c r="Z94" s="33">
        <f>Codex_calc!Z94</f>
        <v>0</v>
      </c>
      <c r="AA94" s="33">
        <f>Codex_calc!AA94</f>
        <v>108.547826086957</v>
      </c>
      <c r="AB94" s="33">
        <f>Codex_calc!AB94</f>
        <v>0</v>
      </c>
      <c r="AC94" s="33">
        <f>Codex_calc!AC94</f>
        <v>20.3217391304348</v>
      </c>
      <c r="AD94" s="33">
        <f>Codex_calc!AD94</f>
        <v>219.078260869565</v>
      </c>
      <c r="AE94" s="33">
        <f>Codex_calc!AE94</f>
        <v>64.4347826086956</v>
      </c>
      <c r="AF94" s="33">
        <f>Codex_calc!AF94</f>
        <v>0</v>
      </c>
      <c r="AG94" s="33">
        <f>Codex_calc!AG94</f>
        <v>0</v>
      </c>
      <c r="AH94" s="33">
        <f>Codex_calc!AH94</f>
        <v>0</v>
      </c>
      <c r="AI94" s="33">
        <f>Codex_calc!AI94</f>
        <v>0</v>
      </c>
      <c r="AJ94" s="33">
        <f>Codex_calc!AJ94</f>
        <v>0</v>
      </c>
      <c r="AK94" s="33">
        <f>Codex_calc!AK94</f>
        <v>0</v>
      </c>
      <c r="AL94" s="33">
        <f>Codex_calc!AL94</f>
        <v>0</v>
      </c>
      <c r="AM94" s="33">
        <f>Codex_calc!AM94</f>
        <v>0</v>
      </c>
      <c r="AN94" s="33">
        <f>Codex_calc!AN94</f>
        <v>0</v>
      </c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/>
      <c r="F95"/>
      <c r="G95"/>
      <c r="H95" s="30"/>
      <c r="K95"/>
      <c r="L95"/>
      <c r="M95" s="30"/>
      <c r="P95"/>
      <c r="R95"/>
      <c r="T95"/>
      <c r="U95"/>
      <c r="Y95"/>
      <c r="Z95"/>
      <c r="AA95"/>
      <c r="AB95"/>
      <c r="AC95"/>
      <c r="AD95"/>
      <c r="AE95"/>
      <c r="AF95"/>
      <c r="AG95"/>
      <c r="AH95"/>
      <c r="AI95"/>
      <c r="AK95"/>
      <c r="AM95"/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 s="30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 s="30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/>
      <c r="F97"/>
      <c r="G97"/>
      <c r="H97" s="30"/>
      <c r="K97"/>
      <c r="L97"/>
      <c r="M97" s="30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/>
      <c r="F98"/>
      <c r="G98"/>
      <c r="H98" s="30"/>
      <c r="K98"/>
      <c r="L98"/>
      <c r="M98" s="30"/>
      <c r="P98"/>
      <c r="R98"/>
      <c r="T98"/>
      <c r="U98"/>
      <c r="Y98"/>
      <c r="Z98"/>
      <c r="AA98"/>
      <c r="AB98"/>
      <c r="AC98"/>
      <c r="AD98"/>
      <c r="AE98"/>
      <c r="AF98"/>
      <c r="AG98"/>
      <c r="AH98"/>
      <c r="AI98"/>
      <c r="AK98"/>
      <c r="AM98"/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32.0110824</v>
      </c>
      <c r="G99">
        <f>Codex_calc!G99</f>
        <v>32.0110824</v>
      </c>
      <c r="H99" s="30">
        <f>Codex_calc!H99</f>
        <v>32.0110824</v>
      </c>
      <c r="I99">
        <f>Codex_calc!I99</f>
        <v>32.0110824</v>
      </c>
      <c r="J99">
        <f>Codex_calc!J99</f>
        <v>32.0110824</v>
      </c>
      <c r="K99">
        <f>Codex_calc!K99</f>
        <v>32.0110824</v>
      </c>
      <c r="L99">
        <f>Codex_calc!L99</f>
        <v>32.0110824</v>
      </c>
      <c r="M99" s="30">
        <f>Codex_calc!M99</f>
        <v>32.0110824</v>
      </c>
      <c r="N99">
        <f>Codex_calc!N99</f>
        <v>32.0110824</v>
      </c>
      <c r="O99">
        <f>Codex_calc!O99</f>
        <v>32.0110824</v>
      </c>
      <c r="P99">
        <f>Codex_calc!P99</f>
        <v>32.0110824</v>
      </c>
      <c r="Q99">
        <f>Codex_calc!Q99</f>
        <v>32.0110824</v>
      </c>
      <c r="R99">
        <f>Codex_calc!R99</f>
        <v>32.0110824</v>
      </c>
      <c r="S99">
        <f>Codex_calc!S99</f>
        <v>32.0110824</v>
      </c>
      <c r="T99">
        <f>Codex_calc!T99</f>
        <v>32.0110824</v>
      </c>
      <c r="U99">
        <f>Codex_calc!U99</f>
        <v>32.0110824</v>
      </c>
      <c r="V99">
        <f>Codex_calc!V99</f>
        <v>32.0110824</v>
      </c>
      <c r="W99">
        <f>Codex_calc!W99</f>
        <v>32.0110824</v>
      </c>
      <c r="X99">
        <f>Codex_calc!X99</f>
        <v>32.0110824</v>
      </c>
      <c r="Y99">
        <f>Codex_calc!Y99</f>
        <v>32.0110824</v>
      </c>
      <c r="Z99">
        <f>Codex_calc!Z99</f>
        <v>32.0110824</v>
      </c>
      <c r="AA99">
        <f>Codex_calc!AA99</f>
        <v>32.0110824</v>
      </c>
      <c r="AB99">
        <f>Codex_calc!AB99</f>
        <v>32.0110824</v>
      </c>
      <c r="AC99">
        <f>Codex_calc!AC99</f>
        <v>32.0110824</v>
      </c>
      <c r="AD99">
        <f>Codex_calc!AD99</f>
        <v>32.0110824</v>
      </c>
      <c r="AE99">
        <f>Codex_calc!AE99</f>
        <v>32.0110824</v>
      </c>
      <c r="AF99">
        <f>Codex_calc!AF99</f>
        <v>32.0110824</v>
      </c>
      <c r="AG99">
        <f>Codex_calc!AG99</f>
        <v>32.0110824</v>
      </c>
      <c r="AH99">
        <f>Codex_calc!AH99</f>
        <v>32.0110824</v>
      </c>
      <c r="AI99">
        <f>Codex_calc!AI99</f>
        <v>32.0110824</v>
      </c>
      <c r="AJ99">
        <f>Codex_calc!AJ99</f>
        <v>32.0110824</v>
      </c>
      <c r="AK99">
        <f>Codex_calc!AK99</f>
        <v>32.0110824</v>
      </c>
      <c r="AL99">
        <f>Codex_calc!AL99</f>
        <v>32.0110824</v>
      </c>
      <c r="AM99">
        <f>Codex_calc!AM99</f>
        <v>32.0110824</v>
      </c>
      <c r="AN99">
        <f>Codex_calc!AN99</f>
        <v>32.0110824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 s="3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 s="3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 s="33">
        <f>Codex_calc!F101</f>
        <v>0</v>
      </c>
      <c r="G101" s="33">
        <f>Codex_calc!G101</f>
        <v>175.30025</v>
      </c>
      <c r="H101" s="34">
        <f>Codex_calc!H101</f>
        <v>0</v>
      </c>
      <c r="I101" s="33">
        <f>Codex_calc!I101</f>
        <v>0.16307</v>
      </c>
      <c r="J101" s="33">
        <f>Codex_calc!J101</f>
        <v>0</v>
      </c>
      <c r="K101" s="33">
        <f>Codex_calc!K101</f>
        <v>0</v>
      </c>
      <c r="L101" s="33">
        <f>Codex_calc!L101</f>
        <v>52.99775</v>
      </c>
      <c r="M101" s="34">
        <f>Codex_calc!M101</f>
        <v>1141.49</v>
      </c>
      <c r="N101" s="33">
        <f>Codex_calc!N101</f>
        <v>0</v>
      </c>
      <c r="O101" s="33">
        <f>Codex_calc!O101</f>
        <v>0</v>
      </c>
      <c r="P101" s="33">
        <f>Codex_calc!P101</f>
        <v>0</v>
      </c>
      <c r="Q101" s="33">
        <f>Codex_calc!Q101</f>
        <v>0.114149</v>
      </c>
      <c r="R101" s="33">
        <f>Codex_calc!R101</f>
        <v>0</v>
      </c>
      <c r="S101" s="33">
        <f>Codex_calc!S101</f>
        <v>0</v>
      </c>
      <c r="T101" s="33">
        <f>Codex_calc!T101</f>
        <v>0</v>
      </c>
      <c r="U101" s="33">
        <f>Codex_calc!U101</f>
        <v>13.86095</v>
      </c>
      <c r="V101" s="33">
        <f>Codex_calc!V101</f>
        <v>0</v>
      </c>
      <c r="W101" s="33">
        <f>Codex_calc!W101</f>
        <v>0</v>
      </c>
      <c r="X101" s="33">
        <f>Codex_calc!X101</f>
        <v>0</v>
      </c>
      <c r="Y101" s="33">
        <f>Codex_calc!Y101</f>
        <v>0</v>
      </c>
      <c r="Z101" s="33">
        <f>Codex_calc!Z101</f>
        <v>0</v>
      </c>
      <c r="AA101" s="33">
        <f>Codex_calc!AA101</f>
        <v>7.126159</v>
      </c>
      <c r="AB101" s="33">
        <f>Codex_calc!AB101</f>
        <v>5.38131</v>
      </c>
      <c r="AC101" s="33">
        <f>Codex_calc!AC101</f>
        <v>0</v>
      </c>
      <c r="AD101" s="33">
        <f>Codex_calc!AD101</f>
        <v>9.94727</v>
      </c>
      <c r="AE101" s="33">
        <f>Codex_calc!AE101</f>
        <v>20.38375</v>
      </c>
      <c r="AF101" s="33">
        <f>Codex_calc!AF101</f>
        <v>0</v>
      </c>
      <c r="AG101" s="33">
        <f>Codex_calc!AG101</f>
        <v>0</v>
      </c>
      <c r="AH101" s="33">
        <f>Codex_calc!AH101</f>
        <v>0</v>
      </c>
      <c r="AI101" s="33">
        <f>Codex_calc!AI101</f>
        <v>0</v>
      </c>
      <c r="AJ101" s="33">
        <f>Codex_calc!AJ101</f>
        <v>0</v>
      </c>
      <c r="AK101" s="33">
        <f>Codex_calc!AK101</f>
        <v>1.79377</v>
      </c>
      <c r="AL101" s="33">
        <f>Codex_calc!AL101</f>
        <v>0</v>
      </c>
      <c r="AM101" s="33">
        <f>Codex_calc!AM101</f>
        <v>0.65228</v>
      </c>
      <c r="AN101" s="33">
        <f>Codex_calc!AN101</f>
        <v>0</v>
      </c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/>
      <c r="F102"/>
      <c r="G102"/>
      <c r="H102" s="30"/>
      <c r="K102"/>
      <c r="L102"/>
      <c r="M102" s="30"/>
      <c r="P102"/>
      <c r="R102"/>
      <c r="T102"/>
      <c r="U102"/>
      <c r="Y102"/>
      <c r="Z102"/>
      <c r="AA102"/>
      <c r="AB102"/>
      <c r="AC102"/>
      <c r="AD102"/>
      <c r="AE102"/>
      <c r="AF102"/>
      <c r="AG102"/>
      <c r="AH102"/>
      <c r="AI102"/>
      <c r="AK102"/>
      <c r="AM102"/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 s="30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 s="30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 s="33">
        <f>Codex_calc!F104</f>
        <v>0</v>
      </c>
      <c r="G104" s="33">
        <f>Codex_calc!G104</f>
        <v>350.6005</v>
      </c>
      <c r="H104" s="34">
        <f>Codex_calc!H104</f>
        <v>0</v>
      </c>
      <c r="I104" s="33">
        <f>Codex_calc!I104</f>
        <v>0.32614</v>
      </c>
      <c r="J104" s="33">
        <f>Codex_calc!J104</f>
        <v>0</v>
      </c>
      <c r="K104" s="33">
        <f>Codex_calc!K104</f>
        <v>0</v>
      </c>
      <c r="L104" s="33">
        <f>Codex_calc!L104</f>
        <v>105.9955</v>
      </c>
      <c r="M104" s="34">
        <f>Codex_calc!M104</f>
        <v>2282.98</v>
      </c>
      <c r="N104" s="33">
        <f>Codex_calc!N104</f>
        <v>0</v>
      </c>
      <c r="O104" s="33">
        <f>Codex_calc!O104</f>
        <v>0</v>
      </c>
      <c r="P104" s="33">
        <f>Codex_calc!P104</f>
        <v>0</v>
      </c>
      <c r="Q104" s="33">
        <f>Codex_calc!Q104</f>
        <v>0.228298</v>
      </c>
      <c r="R104" s="33">
        <f>Codex_calc!R104</f>
        <v>0</v>
      </c>
      <c r="S104" s="33">
        <f>Codex_calc!S104</f>
        <v>0</v>
      </c>
      <c r="T104" s="33">
        <f>Codex_calc!T104</f>
        <v>0</v>
      </c>
      <c r="U104" s="33">
        <f>Codex_calc!U104</f>
        <v>27.7219</v>
      </c>
      <c r="V104" s="33">
        <f>Codex_calc!V104</f>
        <v>0</v>
      </c>
      <c r="W104" s="33">
        <f>Codex_calc!W104</f>
        <v>0</v>
      </c>
      <c r="X104" s="33">
        <f>Codex_calc!X104</f>
        <v>0</v>
      </c>
      <c r="Y104" s="33">
        <f>Codex_calc!Y104</f>
        <v>0</v>
      </c>
      <c r="Z104" s="33">
        <f>Codex_calc!Z104</f>
        <v>0</v>
      </c>
      <c r="AA104" s="33">
        <f>Codex_calc!AA104</f>
        <v>14.252318</v>
      </c>
      <c r="AB104" s="33">
        <f>Codex_calc!AB104</f>
        <v>10.76262</v>
      </c>
      <c r="AC104" s="33">
        <f>Codex_calc!AC104</f>
        <v>0</v>
      </c>
      <c r="AD104" s="33">
        <f>Codex_calc!AD104</f>
        <v>19.89454</v>
      </c>
      <c r="AE104" s="33">
        <f>Codex_calc!AE104</f>
        <v>40.7675</v>
      </c>
      <c r="AF104" s="33">
        <f>Codex_calc!AF104</f>
        <v>0</v>
      </c>
      <c r="AG104" s="33">
        <f>Codex_calc!AG104</f>
        <v>0</v>
      </c>
      <c r="AH104" s="33">
        <f>Codex_calc!AH104</f>
        <v>0</v>
      </c>
      <c r="AI104" s="33">
        <f>Codex_calc!AI104</f>
        <v>0</v>
      </c>
      <c r="AJ104" s="33">
        <f>Codex_calc!AJ104</f>
        <v>0</v>
      </c>
      <c r="AK104" s="33">
        <f>Codex_calc!AK104</f>
        <v>3.58754</v>
      </c>
      <c r="AL104" s="33">
        <f>Codex_calc!AL104</f>
        <v>0</v>
      </c>
      <c r="AM104" s="33">
        <f>Codex_calc!AM104</f>
        <v>1.30456</v>
      </c>
      <c r="AN104" s="33">
        <f>Codex_calc!AN104</f>
        <v>0</v>
      </c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/>
      <c r="F105"/>
      <c r="G105"/>
      <c r="H105" s="30"/>
      <c r="K105"/>
      <c r="L105"/>
      <c r="M105" s="30"/>
      <c r="P105"/>
      <c r="R105"/>
      <c r="T105"/>
      <c r="U105"/>
      <c r="Y105"/>
      <c r="Z105"/>
      <c r="AA105"/>
      <c r="AB105"/>
      <c r="AC105"/>
      <c r="AD105"/>
      <c r="AE105"/>
      <c r="AF105"/>
      <c r="AG105"/>
      <c r="AH105"/>
      <c r="AI105"/>
      <c r="AK105"/>
      <c r="AM105"/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 s="30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 s="30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/>
      <c r="F107"/>
      <c r="G107"/>
      <c r="H107" s="30"/>
      <c r="K107"/>
      <c r="L107"/>
      <c r="M107" s="30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/>
      <c r="F108"/>
      <c r="G108"/>
      <c r="H108" s="30"/>
      <c r="K108"/>
      <c r="L108"/>
      <c r="M108" s="30"/>
      <c r="P108"/>
      <c r="R108"/>
      <c r="T108"/>
      <c r="U108"/>
      <c r="Y108"/>
      <c r="Z108"/>
      <c r="AA108"/>
      <c r="AB108"/>
      <c r="AC108"/>
      <c r="AD108"/>
      <c r="AE108"/>
      <c r="AF108"/>
      <c r="AG108"/>
      <c r="AH108"/>
      <c r="AI108"/>
      <c r="AK108"/>
      <c r="AM108"/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2.86</v>
      </c>
      <c r="G109">
        <f>Codex_calc!G109</f>
        <v>2.86</v>
      </c>
      <c r="H109" s="30">
        <f>Codex_calc!H109</f>
        <v>2.86</v>
      </c>
      <c r="I109">
        <f>Codex_calc!I109</f>
        <v>2.86</v>
      </c>
      <c r="J109">
        <f>Codex_calc!J109</f>
        <v>2.86</v>
      </c>
      <c r="K109">
        <f>Codex_calc!K109</f>
        <v>2.86</v>
      </c>
      <c r="L109">
        <f>Codex_calc!L109</f>
        <v>2.86</v>
      </c>
      <c r="M109" s="30">
        <f>Codex_calc!M109</f>
        <v>2.86</v>
      </c>
      <c r="N109">
        <f>Codex_calc!N109</f>
        <v>2.86</v>
      </c>
      <c r="O109">
        <f>Codex_calc!O109</f>
        <v>2.86</v>
      </c>
      <c r="P109">
        <f>Codex_calc!P109</f>
        <v>2.86</v>
      </c>
      <c r="Q109">
        <f>Codex_calc!Q109</f>
        <v>2.86</v>
      </c>
      <c r="R109">
        <f>Codex_calc!R109</f>
        <v>2.86</v>
      </c>
      <c r="S109">
        <f>Codex_calc!S109</f>
        <v>2.86</v>
      </c>
      <c r="T109">
        <f>Codex_calc!T109</f>
        <v>2.86</v>
      </c>
      <c r="U109">
        <f>Codex_calc!U109</f>
        <v>2.86</v>
      </c>
      <c r="V109">
        <f>Codex_calc!V109</f>
        <v>2.86</v>
      </c>
      <c r="W109">
        <f>Codex_calc!W109</f>
        <v>2.86</v>
      </c>
      <c r="X109">
        <f>Codex_calc!X109</f>
        <v>2.86</v>
      </c>
      <c r="Y109">
        <f>Codex_calc!Y109</f>
        <v>2.86</v>
      </c>
      <c r="Z109">
        <f>Codex_calc!Z109</f>
        <v>2.86</v>
      </c>
      <c r="AA109">
        <f>Codex_calc!AA109</f>
        <v>2.86</v>
      </c>
      <c r="AB109">
        <f>Codex_calc!AB109</f>
        <v>2.86</v>
      </c>
      <c r="AC109">
        <f>Codex_calc!AC109</f>
        <v>2.86</v>
      </c>
      <c r="AD109">
        <f>Codex_calc!AD109</f>
        <v>2.86</v>
      </c>
      <c r="AE109">
        <f>Codex_calc!AE109</f>
        <v>2.86</v>
      </c>
      <c r="AF109">
        <f>Codex_calc!AF109</f>
        <v>2.86</v>
      </c>
      <c r="AG109">
        <f>Codex_calc!AG109</f>
        <v>2.86</v>
      </c>
      <c r="AH109">
        <f>Codex_calc!AH109</f>
        <v>2.86</v>
      </c>
      <c r="AI109">
        <f>Codex_calc!AI109</f>
        <v>2.86</v>
      </c>
      <c r="AJ109">
        <f>Codex_calc!AJ109</f>
        <v>2.86</v>
      </c>
      <c r="AK109">
        <f>Codex_calc!AK109</f>
        <v>2.86</v>
      </c>
      <c r="AL109">
        <f>Codex_calc!AL109</f>
        <v>2.86</v>
      </c>
      <c r="AM109">
        <f>Codex_calc!AM109</f>
        <v>2.86</v>
      </c>
      <c r="AN109">
        <f>Codex_calc!AN109</f>
        <v>2.86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 s="30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 s="30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 s="30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 s="30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 t="shared" ref="F115:AN115" si="3">F82/F113</f>
        <v>#DIV/0!</v>
      </c>
      <c r="G115" s="1" t="e">
        <f t="shared" si="3"/>
        <v>#DIV/0!</v>
      </c>
      <c r="H115" s="31">
        <f t="shared" si="3"/>
        <v>0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0</v>
      </c>
      <c r="M115" s="31">
        <f t="shared" si="3"/>
        <v>0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0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0</v>
      </c>
      <c r="AB115" s="1">
        <f t="shared" si="3"/>
        <v>0</v>
      </c>
      <c r="AC115" s="1" t="e">
        <f t="shared" si="3"/>
        <v>#DIV/0!</v>
      </c>
      <c r="AD115" s="1">
        <f t="shared" si="3"/>
        <v>0</v>
      </c>
      <c r="AE115" s="1">
        <f t="shared" si="3"/>
        <v>0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 t="shared" ref="F116:AN116" si="4">F102/F101</f>
        <v>#DIV/0!</v>
      </c>
      <c r="G116" s="1">
        <f t="shared" si="4"/>
        <v>0</v>
      </c>
      <c r="H116" s="31" t="e">
        <f t="shared" si="4"/>
        <v>#DIV/0!</v>
      </c>
      <c r="I116" s="1">
        <f t="shared" si="4"/>
        <v>0</v>
      </c>
      <c r="J116" s="1" t="e">
        <f t="shared" si="4"/>
        <v>#DIV/0!</v>
      </c>
      <c r="K116" s="1" t="e">
        <f t="shared" si="4"/>
        <v>#DIV/0!</v>
      </c>
      <c r="L116" s="1">
        <f t="shared" si="4"/>
        <v>0</v>
      </c>
      <c r="M116" s="31">
        <f t="shared" si="4"/>
        <v>0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>
        <f t="shared" si="4"/>
        <v>0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>
        <f t="shared" si="4"/>
        <v>0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>
        <f t="shared" si="4"/>
        <v>0</v>
      </c>
      <c r="AB116" s="1">
        <f t="shared" si="4"/>
        <v>0</v>
      </c>
      <c r="AC116" s="1" t="e">
        <f t="shared" si="4"/>
        <v>#DIV/0!</v>
      </c>
      <c r="AD116" s="1">
        <f t="shared" si="4"/>
        <v>0</v>
      </c>
      <c r="AE116" s="1">
        <f t="shared" si="4"/>
        <v>0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>
        <f t="shared" si="4"/>
        <v>0</v>
      </c>
      <c r="AL116" s="1" t="e">
        <f t="shared" si="4"/>
        <v>#DIV/0!</v>
      </c>
      <c r="AM116" s="1">
        <f t="shared" si="4"/>
        <v>0</v>
      </c>
      <c r="AN116" s="1" t="e">
        <f t="shared" si="4"/>
        <v>#DIV/0!</v>
      </c>
    </row>
    <row r="117" spans="3:40">
      <c r="C117" t="s">
        <v>64</v>
      </c>
      <c r="E117" s="38" t="s">
        <v>65</v>
      </c>
      <c r="F117" s="38" t="s">
        <v>27</v>
      </c>
      <c r="G117" s="38" t="s">
        <v>28</v>
      </c>
      <c r="H117" s="31" t="s">
        <v>29</v>
      </c>
      <c r="I117" s="38" t="s">
        <v>30</v>
      </c>
      <c r="J117" s="38" t="s">
        <v>31</v>
      </c>
      <c r="K117" s="38" t="s">
        <v>32</v>
      </c>
      <c r="L117" s="38" t="s">
        <v>33</v>
      </c>
      <c r="M117" s="31" t="s">
        <v>34</v>
      </c>
      <c r="N117" s="38" t="s">
        <v>35</v>
      </c>
      <c r="O117" s="38" t="s">
        <v>36</v>
      </c>
      <c r="P117" s="38" t="s">
        <v>37</v>
      </c>
      <c r="Q117" s="38" t="s">
        <v>38</v>
      </c>
      <c r="R117" s="38" t="s">
        <v>39</v>
      </c>
      <c r="S117" s="38" t="s">
        <v>40</v>
      </c>
      <c r="T117" s="38" t="s">
        <v>41</v>
      </c>
      <c r="U117" s="38" t="s">
        <v>42</v>
      </c>
      <c r="V117" s="38" t="s">
        <v>43</v>
      </c>
      <c r="W117" s="38" t="s">
        <v>44</v>
      </c>
      <c r="X117" s="38" t="s">
        <v>45</v>
      </c>
      <c r="Y117" s="38" t="s">
        <v>46</v>
      </c>
      <c r="Z117" s="38" t="s">
        <v>47</v>
      </c>
      <c r="AA117" s="38" t="s">
        <v>48</v>
      </c>
      <c r="AB117" s="38" t="s">
        <v>49</v>
      </c>
      <c r="AC117" s="38" t="s">
        <v>50</v>
      </c>
      <c r="AD117" s="38" t="s">
        <v>51</v>
      </c>
      <c r="AE117" s="38" t="s">
        <v>52</v>
      </c>
      <c r="AF117" s="38" t="s">
        <v>53</v>
      </c>
      <c r="AG117" s="38" t="s">
        <v>54</v>
      </c>
      <c r="AH117" s="38" t="s">
        <v>55</v>
      </c>
      <c r="AI117" s="38" t="s">
        <v>56</v>
      </c>
      <c r="AJ117" s="38" t="s">
        <v>57</v>
      </c>
      <c r="AK117" s="38" t="s">
        <v>58</v>
      </c>
      <c r="AL117" s="38" t="s">
        <v>59</v>
      </c>
      <c r="AM117" s="38" t="s">
        <v>60</v>
      </c>
      <c r="AN117" s="39" t="s">
        <v>61</v>
      </c>
    </row>
    <row r="118" spans="3:40">
      <c r="E118" s="38" t="s">
        <v>7</v>
      </c>
      <c r="F118" s="38">
        <v>0</v>
      </c>
      <c r="G118" s="38">
        <v>21.489</v>
      </c>
      <c r="H118" s="31">
        <v>76.56</v>
      </c>
      <c r="I118" s="38">
        <v>0</v>
      </c>
      <c r="J118" s="38">
        <v>0</v>
      </c>
      <c r="K118" s="38">
        <v>0</v>
      </c>
      <c r="L118" s="38">
        <v>8.7</v>
      </c>
      <c r="M118" s="31">
        <v>35.67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58.29</v>
      </c>
      <c r="Z118" s="38">
        <v>0</v>
      </c>
      <c r="AA118" s="38">
        <v>3.741</v>
      </c>
      <c r="AB118" s="38">
        <v>0</v>
      </c>
      <c r="AC118" s="38">
        <v>0</v>
      </c>
      <c r="AD118" s="38">
        <v>4.002</v>
      </c>
      <c r="AE118" s="38">
        <v>0</v>
      </c>
      <c r="AF118" s="38">
        <v>0</v>
      </c>
      <c r="AG118" s="38">
        <v>0</v>
      </c>
      <c r="AH118" s="38">
        <v>0.348</v>
      </c>
      <c r="AI118" s="38">
        <v>0</v>
      </c>
      <c r="AJ118" s="38">
        <v>0</v>
      </c>
      <c r="AK118" s="38">
        <v>0</v>
      </c>
      <c r="AL118" s="38">
        <v>0</v>
      </c>
      <c r="AM118" s="38">
        <v>0</v>
      </c>
      <c r="AN118" s="38">
        <v>0</v>
      </c>
    </row>
    <row r="119" spans="3:40">
      <c r="C119" t="s">
        <v>66</v>
      </c>
      <c r="E119" s="38" t="s">
        <v>10</v>
      </c>
      <c r="F119" s="38">
        <v>0</v>
      </c>
      <c r="G119" s="38">
        <v>0</v>
      </c>
      <c r="H119" s="31">
        <v>16.5</v>
      </c>
      <c r="I119" s="38">
        <v>0</v>
      </c>
      <c r="J119" s="38">
        <v>0</v>
      </c>
      <c r="K119" s="38">
        <v>0</v>
      </c>
      <c r="L119" s="38">
        <v>11.55</v>
      </c>
      <c r="M119" s="31">
        <v>18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29.7</v>
      </c>
      <c r="AB119" s="38">
        <v>0</v>
      </c>
      <c r="AC119" s="38">
        <v>0</v>
      </c>
      <c r="AD119" s="38">
        <v>447.75</v>
      </c>
      <c r="AE119" s="38">
        <v>31.5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</row>
    <row r="120" spans="3:40">
      <c r="E120" s="38" t="s">
        <v>12</v>
      </c>
      <c r="F120" s="38">
        <v>0</v>
      </c>
      <c r="G120" s="38">
        <v>169.176</v>
      </c>
      <c r="H120" s="31">
        <v>2.736</v>
      </c>
      <c r="I120" s="38">
        <v>0</v>
      </c>
      <c r="J120" s="38">
        <v>0</v>
      </c>
      <c r="K120" s="38">
        <v>0</v>
      </c>
      <c r="L120" s="38">
        <v>0</v>
      </c>
      <c r="M120" s="31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2.66</v>
      </c>
      <c r="Z120" s="38">
        <v>0</v>
      </c>
      <c r="AA120" s="38">
        <v>3.648</v>
      </c>
      <c r="AB120" s="38">
        <v>0</v>
      </c>
      <c r="AC120" s="38">
        <v>0</v>
      </c>
      <c r="AD120" s="38">
        <v>33.288</v>
      </c>
      <c r="AE120" s="38">
        <v>6.612</v>
      </c>
      <c r="AF120" s="38">
        <v>0</v>
      </c>
      <c r="AG120" s="38">
        <v>0</v>
      </c>
      <c r="AH120" s="38">
        <v>0</v>
      </c>
      <c r="AI120" s="38">
        <v>0</v>
      </c>
      <c r="AJ120" s="38">
        <v>0</v>
      </c>
      <c r="AK120" s="38">
        <v>2.052</v>
      </c>
      <c r="AL120" s="38">
        <v>0</v>
      </c>
      <c r="AM120" s="38">
        <v>0</v>
      </c>
      <c r="AN120" s="38">
        <v>0</v>
      </c>
    </row>
    <row r="121" spans="3:40">
      <c r="C121" t="s">
        <v>67</v>
      </c>
      <c r="E121" s="38" t="s">
        <v>14</v>
      </c>
      <c r="F121" s="38">
        <v>0</v>
      </c>
      <c r="G121" s="38">
        <v>57.8</v>
      </c>
      <c r="H121" s="31">
        <v>28</v>
      </c>
      <c r="I121" s="38">
        <v>0</v>
      </c>
      <c r="J121" s="38">
        <v>0</v>
      </c>
      <c r="K121" s="38">
        <v>0</v>
      </c>
      <c r="L121" s="38">
        <v>5.9</v>
      </c>
      <c r="M121" s="31">
        <v>7.7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8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20.6</v>
      </c>
      <c r="AE121" s="38">
        <v>0</v>
      </c>
      <c r="AF121" s="38">
        <v>0</v>
      </c>
      <c r="AG121" s="38">
        <v>74</v>
      </c>
      <c r="AH121" s="38">
        <v>0</v>
      </c>
      <c r="AI121" s="38">
        <v>0</v>
      </c>
      <c r="AJ121" s="38">
        <v>0</v>
      </c>
      <c r="AK121" s="38">
        <v>0</v>
      </c>
      <c r="AL121" s="38">
        <v>0</v>
      </c>
      <c r="AM121" s="38">
        <v>0</v>
      </c>
      <c r="AN121" s="38">
        <v>0</v>
      </c>
    </row>
    <row r="122" spans="3:40">
      <c r="E122" s="38" t="s">
        <v>16</v>
      </c>
      <c r="F122" s="38">
        <v>0</v>
      </c>
      <c r="G122" s="38">
        <v>3.18</v>
      </c>
      <c r="H122" s="31">
        <v>190.44</v>
      </c>
      <c r="I122" s="38">
        <v>0</v>
      </c>
      <c r="J122" s="38">
        <v>0</v>
      </c>
      <c r="K122" s="38">
        <v>0</v>
      </c>
      <c r="L122" s="38">
        <v>116.38</v>
      </c>
      <c r="M122" s="31">
        <v>888.72</v>
      </c>
      <c r="N122" s="38">
        <v>0</v>
      </c>
      <c r="O122" s="38">
        <v>0</v>
      </c>
      <c r="P122" s="38">
        <v>0</v>
      </c>
      <c r="Q122" s="38">
        <v>10.16</v>
      </c>
      <c r="R122" s="38">
        <v>9.1</v>
      </c>
      <c r="S122" s="38">
        <v>0</v>
      </c>
      <c r="T122" s="38">
        <v>0</v>
      </c>
      <c r="U122" s="38">
        <v>80.4</v>
      </c>
      <c r="V122" s="38">
        <v>16.92</v>
      </c>
      <c r="W122" s="38">
        <v>0</v>
      </c>
      <c r="X122" s="38">
        <v>0</v>
      </c>
      <c r="Y122" s="38">
        <v>0</v>
      </c>
      <c r="Z122" s="38">
        <v>25.4</v>
      </c>
      <c r="AA122" s="38">
        <v>23.5</v>
      </c>
      <c r="AB122" s="38">
        <v>0</v>
      </c>
      <c r="AC122" s="38">
        <v>0</v>
      </c>
      <c r="AD122" s="38">
        <v>60.3</v>
      </c>
      <c r="AE122" s="38">
        <v>30.68</v>
      </c>
      <c r="AF122" s="38">
        <v>19.04</v>
      </c>
      <c r="AG122" s="38">
        <v>0</v>
      </c>
      <c r="AH122" s="38">
        <v>8.68</v>
      </c>
      <c r="AI122" s="38">
        <v>0</v>
      </c>
      <c r="AJ122" s="38">
        <v>0</v>
      </c>
      <c r="AK122" s="38">
        <v>3.38</v>
      </c>
      <c r="AL122" s="38">
        <v>0</v>
      </c>
      <c r="AM122" s="38">
        <v>0</v>
      </c>
      <c r="AN122" s="38">
        <v>0</v>
      </c>
    </row>
    <row r="123" spans="3:40">
      <c r="E123" s="38" t="s">
        <v>17</v>
      </c>
      <c r="F123" s="38">
        <v>0</v>
      </c>
      <c r="G123" s="38">
        <v>99.5</v>
      </c>
      <c r="H123" s="31">
        <v>20</v>
      </c>
      <c r="I123" s="38">
        <v>0</v>
      </c>
      <c r="J123" s="38">
        <v>0</v>
      </c>
      <c r="K123" s="38">
        <v>0</v>
      </c>
      <c r="L123" s="38">
        <v>0</v>
      </c>
      <c r="M123" s="31">
        <v>45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0.75</v>
      </c>
      <c r="V123" s="38">
        <v>0</v>
      </c>
      <c r="W123" s="38">
        <v>0</v>
      </c>
      <c r="X123" s="38">
        <v>0</v>
      </c>
      <c r="Y123" s="38">
        <v>197.5</v>
      </c>
      <c r="Z123" s="38">
        <v>0</v>
      </c>
      <c r="AA123" s="38">
        <v>56.25</v>
      </c>
      <c r="AB123" s="38">
        <v>0</v>
      </c>
      <c r="AC123" s="38">
        <v>10.25</v>
      </c>
      <c r="AD123" s="38">
        <v>117.5</v>
      </c>
      <c r="AE123" s="38">
        <v>23.25</v>
      </c>
      <c r="AF123" s="38">
        <v>0</v>
      </c>
      <c r="AG123" s="38">
        <v>0</v>
      </c>
      <c r="AH123" s="38">
        <v>0</v>
      </c>
      <c r="AI123" s="38">
        <v>0</v>
      </c>
      <c r="AJ123" s="38">
        <v>0</v>
      </c>
      <c r="AK123" s="38">
        <v>0</v>
      </c>
      <c r="AL123" s="38">
        <v>0</v>
      </c>
      <c r="AM123" s="38">
        <v>0</v>
      </c>
      <c r="AN123" s="38">
        <v>0</v>
      </c>
    </row>
    <row r="124" spans="3:40">
      <c r="E124" s="38" t="s">
        <v>18</v>
      </c>
      <c r="F124" s="38">
        <v>0</v>
      </c>
      <c r="G124" s="38">
        <v>170.1</v>
      </c>
      <c r="H124" s="31">
        <v>0</v>
      </c>
      <c r="I124" s="38">
        <v>0.45</v>
      </c>
      <c r="J124" s="38">
        <v>0</v>
      </c>
      <c r="K124" s="38">
        <v>0</v>
      </c>
      <c r="L124" s="38">
        <v>61.2</v>
      </c>
      <c r="M124" s="31">
        <v>1143</v>
      </c>
      <c r="N124" s="38">
        <v>0</v>
      </c>
      <c r="O124" s="38">
        <v>0</v>
      </c>
      <c r="P124" s="38">
        <v>0</v>
      </c>
      <c r="Q124" s="38">
        <v>0.18</v>
      </c>
      <c r="R124" s="38">
        <v>0</v>
      </c>
      <c r="S124" s="38">
        <v>0</v>
      </c>
      <c r="T124" s="38">
        <v>0</v>
      </c>
      <c r="U124" s="38">
        <v>25.2</v>
      </c>
      <c r="V124" s="38">
        <v>0</v>
      </c>
      <c r="W124" s="38">
        <v>0</v>
      </c>
      <c r="X124" s="38">
        <v>0</v>
      </c>
      <c r="Y124" s="38">
        <v>0</v>
      </c>
      <c r="Z124" s="38">
        <v>0</v>
      </c>
      <c r="AA124" s="38">
        <v>18.81</v>
      </c>
      <c r="AB124" s="38">
        <v>6.3</v>
      </c>
      <c r="AC124" s="38">
        <v>0</v>
      </c>
      <c r="AD124" s="38">
        <v>20.61</v>
      </c>
      <c r="AE124" s="38">
        <v>18</v>
      </c>
      <c r="AF124" s="38">
        <v>0</v>
      </c>
      <c r="AG124" s="38">
        <v>0</v>
      </c>
      <c r="AH124" s="38">
        <v>0</v>
      </c>
      <c r="AI124" s="38">
        <v>0</v>
      </c>
      <c r="AJ124" s="38">
        <v>0</v>
      </c>
      <c r="AK124" s="38">
        <v>2.7</v>
      </c>
      <c r="AL124" s="38">
        <v>0</v>
      </c>
      <c r="AM124" s="38">
        <v>1.08</v>
      </c>
      <c r="AN124" s="38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1"/>
      <c r="D152" s="30"/>
      <c r="E152" s="31"/>
      <c r="F152" s="31"/>
      <c r="G152" s="31"/>
      <c r="I152" s="30"/>
      <c r="J152" s="30"/>
      <c r="K152" s="31"/>
      <c r="L152" s="31"/>
      <c r="N152" s="30"/>
      <c r="O152" s="30"/>
      <c r="P152" s="31"/>
      <c r="Q152" s="30"/>
      <c r="R152" s="31"/>
      <c r="S152" s="30"/>
      <c r="T152" s="31"/>
      <c r="U152" s="31"/>
      <c r="V152" s="30"/>
      <c r="W152" s="30"/>
      <c r="X152" s="30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0"/>
      <c r="AK152" s="31"/>
      <c r="AL152" s="30"/>
      <c r="AM152" s="31"/>
      <c r="AN152" s="30"/>
      <c r="AO152" s="31"/>
    </row>
    <row r="153" spans="3:41">
      <c r="C153" s="34"/>
      <c r="D153" s="30"/>
      <c r="E153" s="31"/>
      <c r="F153" s="31"/>
      <c r="G153" s="31"/>
      <c r="I153" s="30"/>
      <c r="J153" s="30"/>
      <c r="K153" s="31"/>
      <c r="L153" s="31"/>
      <c r="N153" s="30"/>
      <c r="O153" s="30"/>
      <c r="P153" s="31"/>
      <c r="Q153" s="30"/>
      <c r="R153" s="31"/>
      <c r="S153" s="30"/>
      <c r="T153" s="31"/>
      <c r="U153" s="31"/>
      <c r="V153" s="30"/>
      <c r="W153" s="30"/>
      <c r="X153" s="30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0"/>
      <c r="AK153" s="31"/>
      <c r="AL153" s="30"/>
      <c r="AM153" s="31"/>
      <c r="AN153" s="30"/>
      <c r="AO153" s="31"/>
    </row>
    <row r="154" spans="3:41">
      <c r="C154" s="31"/>
      <c r="D154" s="30"/>
      <c r="E154" s="31"/>
      <c r="F154" s="31"/>
      <c r="G154" s="31"/>
      <c r="I154" s="30"/>
      <c r="J154" s="30"/>
      <c r="K154" s="31"/>
      <c r="L154" s="31"/>
      <c r="N154" s="30"/>
      <c r="O154" s="30"/>
      <c r="P154" s="31"/>
      <c r="Q154" s="30"/>
      <c r="R154" s="31"/>
      <c r="S154" s="30"/>
      <c r="T154" s="31"/>
      <c r="U154" s="31"/>
      <c r="V154" s="30"/>
      <c r="W154" s="30"/>
      <c r="X154" s="30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0"/>
      <c r="AK154" s="31"/>
      <c r="AL154" s="30"/>
      <c r="AM154" s="31"/>
      <c r="AN154" s="30"/>
      <c r="AO154" s="31"/>
    </row>
    <row r="155" spans="3:41">
      <c r="C155" s="31"/>
      <c r="D155" s="30"/>
      <c r="E155" s="31"/>
      <c r="F155" s="31"/>
      <c r="G155" s="31"/>
      <c r="I155" s="30"/>
      <c r="J155" s="30"/>
      <c r="K155" s="31"/>
      <c r="L155" s="31"/>
      <c r="N155" s="30"/>
      <c r="O155" s="30"/>
      <c r="P155" s="31"/>
      <c r="Q155" s="30"/>
      <c r="R155" s="31"/>
      <c r="S155" s="30"/>
      <c r="T155" s="31"/>
      <c r="U155" s="31"/>
      <c r="V155" s="30"/>
      <c r="W155" s="30"/>
      <c r="X155" s="30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0"/>
      <c r="AK155" s="31"/>
      <c r="AL155" s="30"/>
      <c r="AM155" s="31"/>
      <c r="AN155" s="30"/>
      <c r="AO155" s="31"/>
    </row>
    <row r="156" spans="3:41">
      <c r="C156" s="31"/>
      <c r="D156" s="30"/>
      <c r="E156" s="31"/>
      <c r="F156" s="31"/>
      <c r="G156" s="31"/>
      <c r="I156" s="30"/>
      <c r="J156" s="30"/>
      <c r="K156" s="31"/>
      <c r="L156" s="31"/>
      <c r="N156" s="30"/>
      <c r="O156" s="30"/>
      <c r="P156" s="31"/>
      <c r="Q156" s="30"/>
      <c r="R156" s="31"/>
      <c r="S156" s="30"/>
      <c r="T156" s="31"/>
      <c r="U156" s="31"/>
      <c r="V156" s="30"/>
      <c r="W156" s="30"/>
      <c r="X156" s="30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0"/>
      <c r="AK156" s="31"/>
      <c r="AL156" s="30"/>
      <c r="AM156" s="31"/>
      <c r="AN156" s="30"/>
      <c r="AO156" s="31"/>
    </row>
    <row r="157" spans="3:41">
      <c r="C157" s="31"/>
      <c r="D157" s="30"/>
      <c r="E157" s="31"/>
      <c r="F157" s="31"/>
      <c r="G157" s="31"/>
      <c r="I157" s="30"/>
      <c r="J157" s="30"/>
      <c r="K157" s="31"/>
      <c r="L157" s="31"/>
      <c r="N157" s="30"/>
      <c r="O157" s="30"/>
      <c r="P157" s="31"/>
      <c r="Q157" s="30"/>
      <c r="R157" s="31"/>
      <c r="S157" s="30"/>
      <c r="T157" s="31"/>
      <c r="U157" s="31"/>
      <c r="V157" s="30"/>
      <c r="W157" s="30"/>
      <c r="X157" s="30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0"/>
      <c r="AK157" s="31"/>
      <c r="AL157" s="30"/>
      <c r="AM157" s="31"/>
      <c r="AN157" s="30"/>
      <c r="AO157" s="31"/>
    </row>
    <row r="158" spans="3:41">
      <c r="C158" s="31"/>
      <c r="D158" s="30"/>
      <c r="E158" s="31"/>
      <c r="F158" s="31"/>
      <c r="G158" s="31"/>
      <c r="I158" s="30"/>
      <c r="J158" s="30"/>
      <c r="K158" s="31"/>
      <c r="L158" s="31"/>
      <c r="N158" s="30"/>
      <c r="O158" s="30"/>
      <c r="P158" s="31"/>
      <c r="Q158" s="30"/>
      <c r="R158" s="31"/>
      <c r="S158" s="30"/>
      <c r="T158" s="31"/>
      <c r="U158" s="31"/>
      <c r="V158" s="30"/>
      <c r="W158" s="30"/>
      <c r="X158" s="30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0"/>
      <c r="AK158" s="31"/>
      <c r="AL158" s="30"/>
      <c r="AM158" s="31"/>
      <c r="AN158" s="30"/>
      <c r="AO158" s="31"/>
    </row>
    <row r="159" spans="3:41">
      <c r="C159" s="31"/>
      <c r="D159" s="30"/>
      <c r="E159" s="31"/>
      <c r="F159" s="31"/>
      <c r="G159" s="31"/>
      <c r="I159" s="30"/>
      <c r="J159" s="30"/>
      <c r="K159" s="31"/>
      <c r="L159" s="31"/>
      <c r="N159" s="30"/>
      <c r="O159" s="30"/>
      <c r="P159" s="31"/>
      <c r="Q159" s="30"/>
      <c r="R159" s="31"/>
      <c r="S159" s="30"/>
      <c r="T159" s="31"/>
      <c r="U159" s="31"/>
      <c r="V159" s="30"/>
      <c r="W159" s="30"/>
      <c r="X159" s="30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0"/>
      <c r="AK159" s="31"/>
      <c r="AL159" s="30"/>
      <c r="AM159" s="31"/>
      <c r="AN159" s="30"/>
      <c r="AO159" s="31"/>
    </row>
    <row r="160" spans="3:41">
      <c r="C160" s="31"/>
      <c r="D160" s="30"/>
      <c r="E160" s="31"/>
      <c r="F160" s="31"/>
      <c r="G160" s="31"/>
      <c r="I160" s="30"/>
      <c r="J160" s="30"/>
      <c r="K160" s="31"/>
      <c r="L160" s="31"/>
      <c r="N160" s="30"/>
      <c r="O160" s="30"/>
      <c r="P160" s="31"/>
      <c r="Q160" s="30"/>
      <c r="R160" s="31"/>
      <c r="S160" s="30"/>
      <c r="T160" s="31"/>
      <c r="U160" s="31"/>
      <c r="V160" s="30"/>
      <c r="W160" s="30"/>
      <c r="X160" s="30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0"/>
      <c r="AK160" s="31"/>
      <c r="AL160" s="30"/>
      <c r="AM160" s="31"/>
      <c r="AN160" s="30"/>
      <c r="AO160" s="31"/>
    </row>
    <row r="161" spans="3:41">
      <c r="C161" s="31"/>
      <c r="D161" s="30"/>
      <c r="E161" s="31"/>
      <c r="F161" s="31"/>
      <c r="G161" s="31"/>
      <c r="I161" s="30"/>
      <c r="J161" s="30"/>
      <c r="K161" s="31"/>
      <c r="L161" s="31"/>
      <c r="N161" s="30"/>
      <c r="O161" s="30"/>
      <c r="P161" s="31"/>
      <c r="Q161" s="30"/>
      <c r="R161" s="31"/>
      <c r="S161" s="30"/>
      <c r="T161" s="31"/>
      <c r="U161" s="31"/>
      <c r="V161" s="30"/>
      <c r="W161" s="30"/>
      <c r="X161" s="30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0"/>
      <c r="AK161" s="31"/>
      <c r="AL161" s="30"/>
      <c r="AM161" s="31"/>
      <c r="AN161" s="30"/>
      <c r="AO161" s="31"/>
    </row>
    <row r="162" spans="3:41">
      <c r="C162" s="31"/>
      <c r="D162" s="34"/>
      <c r="E162" s="34"/>
      <c r="F162" s="34"/>
      <c r="G162" s="31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0"/>
      <c r="H163" s="30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0"/>
    </row>
    <row r="164" ht="16" customHeight="1" spans="3:41">
      <c r="C164" s="40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0"/>
    </row>
    <row r="165" ht="16" customHeight="1" spans="3:41">
      <c r="C165" s="40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0"/>
    </row>
    <row r="166" ht="16" customHeight="1" spans="3:41">
      <c r="C166" s="40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0"/>
    </row>
    <row r="167" ht="16" customHeight="1" spans="3:41">
      <c r="C167" s="40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0"/>
    </row>
    <row r="168" ht="16" customHeight="1" spans="3:41">
      <c r="C168" s="40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0"/>
    </row>
    <row r="169" ht="16" customHeight="1" spans="3:41">
      <c r="C169" s="40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0"/>
    </row>
    <row r="170" ht="16" customHeight="1" spans="3:41">
      <c r="C170" s="40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0"/>
    </row>
    <row r="171" ht="16" customHeight="1" spans="3:41">
      <c r="C171" s="40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0"/>
    </row>
    <row r="172" ht="16" customHeight="1" spans="3:41">
      <c r="C172" s="40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42" zoomScaleNormal="42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5" t="s">
        <v>71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spans="1:40">
      <c r="A2" s="7" t="s">
        <v>72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spans="1:40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spans="1:40">
      <c r="A4" s="8" t="s">
        <v>73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spans="1:40">
      <c r="A5" s="9" t="s">
        <v>74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0">
      <c r="A6" s="9" t="s">
        <v>75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 spans="1:40">
      <c r="A7" s="9" t="s">
        <v>76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 spans="1:40">
      <c r="A8" s="9" t="s">
        <v>77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 spans="1:4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 spans="1:40">
      <c r="A10" s="10" t="s">
        <v>78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 ht="46" customHeight="1" spans="1:40">
      <c r="A11" s="11" t="s">
        <v>79</v>
      </c>
      <c r="B11" s="11" t="s">
        <v>80</v>
      </c>
      <c r="C11" s="11" t="s">
        <v>81</v>
      </c>
      <c r="D11" s="11" t="s">
        <v>82</v>
      </c>
      <c r="E11" s="11" t="s">
        <v>83</v>
      </c>
      <c r="F11" s="11" t="s">
        <v>84</v>
      </c>
      <c r="G11" s="11" t="s">
        <v>85</v>
      </c>
      <c r="H11" s="11" t="s">
        <v>86</v>
      </c>
      <c r="I11" s="11" t="s">
        <v>87</v>
      </c>
      <c r="J11" s="11" t="s">
        <v>88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 spans="1:40">
      <c r="A12" s="12" t="s">
        <v>89</v>
      </c>
      <c r="B12" s="13" t="s">
        <v>0</v>
      </c>
      <c r="C12" s="13" t="s">
        <v>90</v>
      </c>
      <c r="D12" s="14">
        <v>30000</v>
      </c>
      <c r="E12" s="13" t="s">
        <v>91</v>
      </c>
      <c r="F12" s="15">
        <v>0.7</v>
      </c>
      <c r="G12" s="16">
        <f t="shared" ref="G12:G17" si="0">D12*F12</f>
        <v>21000</v>
      </c>
      <c r="H12" s="17">
        <v>0.87</v>
      </c>
      <c r="I12" s="18">
        <v>1</v>
      </c>
      <c r="J12" s="18">
        <v>10</v>
      </c>
      <c r="K12" s="6"/>
      <c r="L12" s="6"/>
      <c r="M12" s="19">
        <v>2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spans="1:40">
      <c r="A13" s="20" t="s">
        <v>92</v>
      </c>
      <c r="B13" s="21" t="s">
        <v>6</v>
      </c>
      <c r="C13" s="21" t="s">
        <v>93</v>
      </c>
      <c r="D13" s="22">
        <v>11000</v>
      </c>
      <c r="E13" s="21" t="s">
        <v>91</v>
      </c>
      <c r="F13" s="15">
        <v>0.7</v>
      </c>
      <c r="G13" s="23">
        <f t="shared" si="0"/>
        <v>7700</v>
      </c>
      <c r="H13" s="17">
        <v>0.759</v>
      </c>
      <c r="I13" s="18">
        <v>1</v>
      </c>
      <c r="J13" s="18">
        <v>10</v>
      </c>
      <c r="K13" s="6"/>
      <c r="L13" s="6"/>
      <c r="M13" s="19">
        <v>1.8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spans="1:40">
      <c r="A14" s="12" t="s">
        <v>94</v>
      </c>
      <c r="B14" s="13" t="s">
        <v>2</v>
      </c>
      <c r="C14" s="13" t="s">
        <v>95</v>
      </c>
      <c r="D14" s="14">
        <v>130000</v>
      </c>
      <c r="E14" s="13" t="s">
        <v>91</v>
      </c>
      <c r="F14" s="15">
        <v>0.7</v>
      </c>
      <c r="G14" s="16">
        <f t="shared" si="0"/>
        <v>91000</v>
      </c>
      <c r="H14" s="17">
        <v>0.154</v>
      </c>
      <c r="I14" s="18">
        <v>1</v>
      </c>
      <c r="J14" s="18">
        <v>10</v>
      </c>
      <c r="K14" s="6"/>
      <c r="L14" s="6"/>
      <c r="M14" s="19">
        <v>1.8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spans="1:40">
      <c r="A15" s="20" t="s">
        <v>96</v>
      </c>
      <c r="B15" s="21" t="s">
        <v>9</v>
      </c>
      <c r="C15" s="21" t="s">
        <v>97</v>
      </c>
      <c r="D15" s="22">
        <v>1700</v>
      </c>
      <c r="E15" s="21" t="s">
        <v>98</v>
      </c>
      <c r="F15" s="15">
        <v>0.7</v>
      </c>
      <c r="G15" s="23">
        <f t="shared" si="0"/>
        <v>1190</v>
      </c>
      <c r="H15" s="17">
        <v>0.01</v>
      </c>
      <c r="I15" s="18">
        <v>1</v>
      </c>
      <c r="J15" s="18">
        <v>10</v>
      </c>
      <c r="K15" s="6"/>
      <c r="L15" s="6"/>
      <c r="M15" s="19">
        <v>2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spans="1:40">
      <c r="A16" s="12" t="s">
        <v>99</v>
      </c>
      <c r="B16" s="13" t="s">
        <v>13</v>
      </c>
      <c r="C16" s="13" t="s">
        <v>100</v>
      </c>
      <c r="D16" s="14">
        <v>980</v>
      </c>
      <c r="E16" s="13" t="s">
        <v>98</v>
      </c>
      <c r="F16" s="15">
        <v>0.7</v>
      </c>
      <c r="G16" s="16">
        <f t="shared" si="0"/>
        <v>686</v>
      </c>
      <c r="H16" s="17">
        <v>0.026</v>
      </c>
      <c r="I16" s="18">
        <v>1</v>
      </c>
      <c r="J16" s="18">
        <v>10</v>
      </c>
      <c r="K16" s="6"/>
      <c r="L16" s="6"/>
      <c r="M16" s="19">
        <v>1.8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spans="1:40">
      <c r="A17" s="20" t="s">
        <v>101</v>
      </c>
      <c r="B17" s="21" t="s">
        <v>15</v>
      </c>
      <c r="C17" s="21" t="s">
        <v>102</v>
      </c>
      <c r="D17" s="22">
        <v>290000</v>
      </c>
      <c r="E17" s="21" t="s">
        <v>91</v>
      </c>
      <c r="F17" s="15">
        <v>0.7</v>
      </c>
      <c r="G17" s="23">
        <f t="shared" si="0"/>
        <v>203000</v>
      </c>
      <c r="H17" s="17">
        <v>0.917</v>
      </c>
      <c r="I17" s="18">
        <v>1</v>
      </c>
      <c r="J17" s="18">
        <v>10</v>
      </c>
      <c r="K17" s="6"/>
      <c r="L17" s="6"/>
      <c r="M17" s="19">
        <v>2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 spans="1:40">
      <c r="A18" s="7" t="s">
        <v>103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spans="1:40">
      <c r="A19" s="7" t="s">
        <v>104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spans="1:40">
      <c r="A20" s="7" t="s">
        <v>105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spans="1:40">
      <c r="A21" s="7" t="s">
        <v>106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spans="1:4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spans="1:40">
      <c r="A23" s="10" t="s">
        <v>107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ht="23" customHeight="1" spans="1:40">
      <c r="A24" s="11" t="s">
        <v>79</v>
      </c>
      <c r="B24" s="11" t="s">
        <v>108</v>
      </c>
      <c r="C24" s="11" t="s">
        <v>109</v>
      </c>
      <c r="D24" s="11" t="s">
        <v>27</v>
      </c>
      <c r="E24" s="11" t="s">
        <v>28</v>
      </c>
      <c r="F24" s="11" t="s">
        <v>29</v>
      </c>
      <c r="G24" s="11" t="s">
        <v>30</v>
      </c>
      <c r="H24" s="11" t="s">
        <v>31</v>
      </c>
      <c r="I24" s="11" t="s">
        <v>32</v>
      </c>
      <c r="J24" s="11" t="s">
        <v>33</v>
      </c>
      <c r="K24" s="11" t="s">
        <v>34</v>
      </c>
      <c r="L24" s="11" t="s">
        <v>35</v>
      </c>
      <c r="M24" s="11" t="s">
        <v>36</v>
      </c>
      <c r="N24" s="11" t="s">
        <v>37</v>
      </c>
      <c r="O24" s="11" t="s">
        <v>38</v>
      </c>
      <c r="P24" s="11" t="s">
        <v>39</v>
      </c>
      <c r="Q24" s="11" t="s">
        <v>40</v>
      </c>
      <c r="R24" s="11" t="s">
        <v>41</v>
      </c>
      <c r="S24" s="11" t="s">
        <v>42</v>
      </c>
      <c r="T24" s="11" t="s">
        <v>43</v>
      </c>
      <c r="U24" s="11" t="s">
        <v>44</v>
      </c>
      <c r="V24" s="11" t="s">
        <v>45</v>
      </c>
      <c r="W24" s="11" t="s">
        <v>46</v>
      </c>
      <c r="X24" s="11" t="s">
        <v>47</v>
      </c>
      <c r="Y24" s="11" t="s">
        <v>48</v>
      </c>
      <c r="Z24" s="11" t="s">
        <v>49</v>
      </c>
      <c r="AA24" s="11" t="s">
        <v>50</v>
      </c>
      <c r="AB24" s="11" t="s">
        <v>51</v>
      </c>
      <c r="AC24" s="11" t="s">
        <v>52</v>
      </c>
      <c r="AD24" s="11" t="s">
        <v>53</v>
      </c>
      <c r="AE24" s="11" t="s">
        <v>54</v>
      </c>
      <c r="AF24" s="11" t="s">
        <v>55</v>
      </c>
      <c r="AG24" s="11" t="s">
        <v>56</v>
      </c>
      <c r="AH24" s="11" t="s">
        <v>57</v>
      </c>
      <c r="AI24" s="11" t="s">
        <v>58</v>
      </c>
      <c r="AJ24" s="11" t="s">
        <v>59</v>
      </c>
      <c r="AK24" s="11" t="s">
        <v>60</v>
      </c>
      <c r="AL24" s="11" t="s">
        <v>61</v>
      </c>
      <c r="AM24" s="6"/>
      <c r="AN24" s="6"/>
    </row>
    <row r="25" spans="1:40">
      <c r="A25" s="20" t="s">
        <v>89</v>
      </c>
      <c r="B25" s="20" t="s">
        <v>91</v>
      </c>
      <c r="C25" s="24">
        <f t="shared" ref="C25:C30" si="1">SUM(D25:AL25)</f>
        <v>30000</v>
      </c>
      <c r="D25" s="14">
        <v>0</v>
      </c>
      <c r="E25" s="14">
        <v>494</v>
      </c>
      <c r="F25" s="14">
        <v>7000</v>
      </c>
      <c r="G25" s="14">
        <v>0</v>
      </c>
      <c r="H25" s="14">
        <v>0</v>
      </c>
      <c r="I25" s="14">
        <v>0</v>
      </c>
      <c r="J25" s="14">
        <v>0</v>
      </c>
      <c r="K25" s="14">
        <v>3000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13690</v>
      </c>
      <c r="X25" s="14">
        <v>0</v>
      </c>
      <c r="Y25" s="14">
        <v>3000</v>
      </c>
      <c r="Z25" s="14">
        <v>0</v>
      </c>
      <c r="AA25" s="14">
        <v>0</v>
      </c>
      <c r="AB25" s="25">
        <f>MAX(0,$D$12-(D25+E25+F25+G25+H25+I25+J25+K25+L25+M25+N25+O25+P25+Q25+R25+S25+T25+U25+V25+W25+X25+Y25+Z25+AA25+AC25+AD25+AE25+AF25+AG25+AH25+AI25+AJ25+AK25+AL25))</f>
        <v>2756</v>
      </c>
      <c r="AC25" s="14">
        <v>0</v>
      </c>
      <c r="AD25" s="14">
        <v>0</v>
      </c>
      <c r="AE25" s="14">
        <v>0</v>
      </c>
      <c r="AF25" s="14">
        <v>60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6"/>
      <c r="AN25" s="6"/>
    </row>
    <row r="26" spans="1:40">
      <c r="A26" s="20" t="s">
        <v>92</v>
      </c>
      <c r="B26" s="20" t="s">
        <v>91</v>
      </c>
      <c r="C26" s="24">
        <f t="shared" si="1"/>
        <v>11000</v>
      </c>
      <c r="D26" s="22">
        <v>0</v>
      </c>
      <c r="E26" s="22">
        <v>6100</v>
      </c>
      <c r="F26" s="22">
        <v>1700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500</v>
      </c>
      <c r="X26" s="22">
        <v>0</v>
      </c>
      <c r="Y26" s="22">
        <v>290</v>
      </c>
      <c r="Z26" s="22">
        <v>0</v>
      </c>
      <c r="AA26" s="22">
        <v>0</v>
      </c>
      <c r="AB26" s="25">
        <f>MAX(0,$D$13-(D26+E26+F26+G26+H26+I26+J26+K26+L26+M26+N26+O26+P26+Q26+R26+S26+T26+U26+V26+W26+X26+Y26+Z26+AA26+AC26+AD26+AE26+AF26+AG26+AH26+AI26+AJ26+AK26+AL26))</f>
        <v>2069</v>
      </c>
      <c r="AC26" s="22">
        <v>250</v>
      </c>
      <c r="AD26" s="22">
        <v>0</v>
      </c>
      <c r="AE26" s="22">
        <v>0</v>
      </c>
      <c r="AF26" s="22">
        <v>0</v>
      </c>
      <c r="AG26" s="22">
        <v>0</v>
      </c>
      <c r="AH26" s="22">
        <v>0</v>
      </c>
      <c r="AI26" s="22">
        <v>91</v>
      </c>
      <c r="AJ26" s="22">
        <v>0</v>
      </c>
      <c r="AK26" s="22">
        <v>0</v>
      </c>
      <c r="AL26" s="22">
        <v>0</v>
      </c>
      <c r="AM26" s="6"/>
      <c r="AN26" s="6"/>
    </row>
    <row r="27" spans="1:40">
      <c r="A27" s="20" t="s">
        <v>94</v>
      </c>
      <c r="B27" s="20" t="s">
        <v>91</v>
      </c>
      <c r="C27" s="24">
        <f t="shared" si="1"/>
        <v>130000</v>
      </c>
      <c r="D27" s="14">
        <v>0</v>
      </c>
      <c r="E27" s="14">
        <v>0</v>
      </c>
      <c r="F27" s="14">
        <v>24000</v>
      </c>
      <c r="G27" s="14">
        <v>0</v>
      </c>
      <c r="H27" s="14">
        <v>0</v>
      </c>
      <c r="I27" s="14">
        <v>0</v>
      </c>
      <c r="J27" s="14">
        <v>0</v>
      </c>
      <c r="K27" s="14">
        <v>4400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16000</v>
      </c>
      <c r="X27" s="14">
        <v>0</v>
      </c>
      <c r="Y27" s="14">
        <v>2510</v>
      </c>
      <c r="Z27" s="14">
        <v>0</v>
      </c>
      <c r="AA27" s="14">
        <v>0</v>
      </c>
      <c r="AB27" s="25">
        <f>MAX(0,$D$14-(D27+E27+F27+G27+H27+I27+J27+K27+L27+M27+N27+O27+P27+Q27+R27+S27+T27+U27+V27+W27+X27+Y27+Z27+AA27+AC27+AD27+AE27+AF27+AG27+AH27+AI27+AJ27+AK27+AL27))</f>
        <v>74790</v>
      </c>
      <c r="AC27" s="14">
        <v>8300</v>
      </c>
      <c r="AD27" s="14">
        <v>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6"/>
      <c r="AN27" s="6"/>
    </row>
    <row r="28" spans="1:40">
      <c r="A28" s="20" t="s">
        <v>96</v>
      </c>
      <c r="B28" s="20" t="s">
        <v>91</v>
      </c>
      <c r="C28" s="24">
        <f t="shared" si="1"/>
        <v>1718000</v>
      </c>
      <c r="D28" s="22">
        <f t="shared" ref="D28:AL28" si="2">D32*1000</f>
        <v>0</v>
      </c>
      <c r="E28" s="22">
        <f t="shared" si="2"/>
        <v>74000</v>
      </c>
      <c r="F28" s="22">
        <f t="shared" si="2"/>
        <v>500000</v>
      </c>
      <c r="G28" s="22">
        <f t="shared" si="2"/>
        <v>0</v>
      </c>
      <c r="H28" s="22">
        <f t="shared" si="2"/>
        <v>0</v>
      </c>
      <c r="I28" s="22">
        <f t="shared" si="2"/>
        <v>0</v>
      </c>
      <c r="J28" s="22">
        <f t="shared" si="2"/>
        <v>0</v>
      </c>
      <c r="K28" s="22">
        <f t="shared" si="2"/>
        <v>280000</v>
      </c>
      <c r="L28" s="22">
        <f t="shared" si="2"/>
        <v>0</v>
      </c>
      <c r="M28" s="22">
        <f t="shared" si="2"/>
        <v>0</v>
      </c>
      <c r="N28" s="22">
        <f t="shared" si="2"/>
        <v>0</v>
      </c>
      <c r="O28" s="22">
        <f t="shared" si="2"/>
        <v>0</v>
      </c>
      <c r="P28" s="22">
        <f t="shared" si="2"/>
        <v>0</v>
      </c>
      <c r="Q28" s="22">
        <f t="shared" si="2"/>
        <v>0</v>
      </c>
      <c r="R28" s="22">
        <f t="shared" si="2"/>
        <v>0</v>
      </c>
      <c r="S28" s="22">
        <f t="shared" si="2"/>
        <v>34000</v>
      </c>
      <c r="T28" s="22">
        <f t="shared" si="2"/>
        <v>0</v>
      </c>
      <c r="U28" s="22">
        <f t="shared" si="2"/>
        <v>0</v>
      </c>
      <c r="V28" s="22">
        <f t="shared" si="2"/>
        <v>0</v>
      </c>
      <c r="W28" s="22">
        <f t="shared" si="2"/>
        <v>270000</v>
      </c>
      <c r="X28" s="22">
        <f t="shared" si="2"/>
        <v>0</v>
      </c>
      <c r="Y28" s="22">
        <f t="shared" si="2"/>
        <v>0</v>
      </c>
      <c r="Z28" s="22">
        <f t="shared" si="2"/>
        <v>0</v>
      </c>
      <c r="AA28" s="22">
        <f t="shared" si="2"/>
        <v>0</v>
      </c>
      <c r="AB28" s="22">
        <f t="shared" si="2"/>
        <v>0</v>
      </c>
      <c r="AC28" s="22">
        <f t="shared" si="2"/>
        <v>0</v>
      </c>
      <c r="AD28" s="22">
        <f t="shared" si="2"/>
        <v>0</v>
      </c>
      <c r="AE28" s="22">
        <f t="shared" si="2"/>
        <v>560000</v>
      </c>
      <c r="AF28" s="22">
        <f t="shared" si="2"/>
        <v>0</v>
      </c>
      <c r="AG28" s="22">
        <f t="shared" si="2"/>
        <v>0</v>
      </c>
      <c r="AH28" s="22">
        <f t="shared" si="2"/>
        <v>0</v>
      </c>
      <c r="AI28" s="22">
        <f t="shared" si="2"/>
        <v>0</v>
      </c>
      <c r="AJ28" s="22">
        <f t="shared" si="2"/>
        <v>0</v>
      </c>
      <c r="AK28" s="22">
        <f t="shared" si="2"/>
        <v>0</v>
      </c>
      <c r="AL28" s="22">
        <f t="shared" si="2"/>
        <v>0</v>
      </c>
      <c r="AM28" s="6"/>
      <c r="AN28" s="6"/>
    </row>
    <row r="29" spans="1:40">
      <c r="A29" s="20" t="s">
        <v>99</v>
      </c>
      <c r="B29" s="20" t="s">
        <v>91</v>
      </c>
      <c r="C29" s="24">
        <f t="shared" si="1"/>
        <v>980000</v>
      </c>
      <c r="D29" s="22">
        <f t="shared" ref="D29:AL29" si="3">D33*1000</f>
        <v>0</v>
      </c>
      <c r="E29" s="22">
        <f t="shared" si="3"/>
        <v>101000</v>
      </c>
      <c r="F29" s="22">
        <f t="shared" si="3"/>
        <v>100000</v>
      </c>
      <c r="G29" s="22">
        <f t="shared" si="3"/>
        <v>0</v>
      </c>
      <c r="H29" s="22">
        <f t="shared" si="3"/>
        <v>0</v>
      </c>
      <c r="I29" s="22">
        <f t="shared" si="3"/>
        <v>0</v>
      </c>
      <c r="J29" s="22">
        <f t="shared" si="3"/>
        <v>0</v>
      </c>
      <c r="K29" s="22">
        <f t="shared" si="3"/>
        <v>41000</v>
      </c>
      <c r="L29" s="22">
        <f t="shared" si="3"/>
        <v>0</v>
      </c>
      <c r="M29" s="22">
        <f t="shared" si="3"/>
        <v>0</v>
      </c>
      <c r="N29" s="22">
        <f t="shared" si="3"/>
        <v>0</v>
      </c>
      <c r="O29" s="22">
        <f t="shared" si="3"/>
        <v>0</v>
      </c>
      <c r="P29" s="22">
        <f t="shared" si="3"/>
        <v>0</v>
      </c>
      <c r="Q29" s="22">
        <f t="shared" si="3"/>
        <v>0</v>
      </c>
      <c r="R29" s="22">
        <f t="shared" si="3"/>
        <v>0</v>
      </c>
      <c r="S29" s="22">
        <f t="shared" si="3"/>
        <v>2200</v>
      </c>
      <c r="T29" s="22">
        <f t="shared" si="3"/>
        <v>0</v>
      </c>
      <c r="U29" s="22">
        <f t="shared" si="3"/>
        <v>0</v>
      </c>
      <c r="V29" s="22">
        <f t="shared" si="3"/>
        <v>0</v>
      </c>
      <c r="W29" s="22">
        <f t="shared" si="3"/>
        <v>290000</v>
      </c>
      <c r="X29" s="22">
        <f t="shared" si="3"/>
        <v>0</v>
      </c>
      <c r="Y29" s="22">
        <f t="shared" si="3"/>
        <v>108300</v>
      </c>
      <c r="Z29" s="22">
        <f t="shared" si="3"/>
        <v>0</v>
      </c>
      <c r="AA29" s="22">
        <f t="shared" si="3"/>
        <v>34000</v>
      </c>
      <c r="AB29" s="22">
        <f t="shared" si="3"/>
        <v>223500</v>
      </c>
      <c r="AC29" s="22">
        <f t="shared" si="3"/>
        <v>80000</v>
      </c>
      <c r="AD29" s="22">
        <f t="shared" si="3"/>
        <v>0</v>
      </c>
      <c r="AE29" s="22">
        <f t="shared" si="3"/>
        <v>0</v>
      </c>
      <c r="AF29" s="22">
        <f t="shared" si="3"/>
        <v>0</v>
      </c>
      <c r="AG29" s="22">
        <f t="shared" si="3"/>
        <v>0</v>
      </c>
      <c r="AH29" s="22">
        <f t="shared" si="3"/>
        <v>0</v>
      </c>
      <c r="AI29" s="22">
        <f t="shared" si="3"/>
        <v>0</v>
      </c>
      <c r="AJ29" s="22">
        <f t="shared" si="3"/>
        <v>0</v>
      </c>
      <c r="AK29" s="22">
        <f t="shared" si="3"/>
        <v>0</v>
      </c>
      <c r="AL29" s="22">
        <f t="shared" si="3"/>
        <v>0</v>
      </c>
      <c r="AM29" s="6"/>
      <c r="AN29" s="6"/>
    </row>
    <row r="30" spans="1:40">
      <c r="A30" s="20" t="s">
        <v>101</v>
      </c>
      <c r="B30" s="20" t="s">
        <v>91</v>
      </c>
      <c r="C30" s="24">
        <f t="shared" si="1"/>
        <v>290000</v>
      </c>
      <c r="D30" s="22">
        <v>0</v>
      </c>
      <c r="E30" s="22">
        <v>70000</v>
      </c>
      <c r="F30" s="22">
        <v>0</v>
      </c>
      <c r="G30" s="22">
        <v>0</v>
      </c>
      <c r="H30" s="22">
        <v>0</v>
      </c>
      <c r="I30" s="22">
        <v>0</v>
      </c>
      <c r="J30" s="22">
        <v>0</v>
      </c>
      <c r="K30" s="22">
        <v>81000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8600</v>
      </c>
      <c r="T30" s="22">
        <v>0</v>
      </c>
      <c r="U30" s="22">
        <v>0</v>
      </c>
      <c r="V30" s="22">
        <v>0</v>
      </c>
      <c r="W30" s="22">
        <v>77100</v>
      </c>
      <c r="X30" s="22">
        <v>0</v>
      </c>
      <c r="Y30" s="22">
        <v>5900</v>
      </c>
      <c r="Z30" s="22">
        <v>600</v>
      </c>
      <c r="AA30" s="22">
        <v>0</v>
      </c>
      <c r="AB30" s="25">
        <f>MAX(0,$D$17-(D30+E30+F30+G30+H30+I30+J30+K30+L30+M30+N30+O30+P30+Q30+R30+S30+T30+U30+V30+W30+X30+Y30+Z30+AA30+AC30+AD30+AE30+AF30+AG30+AH30+AI30+AJ30+AK30+AL30))</f>
        <v>25900</v>
      </c>
      <c r="AC30" s="22">
        <v>14000</v>
      </c>
      <c r="AD30" s="22">
        <v>0</v>
      </c>
      <c r="AE30" s="22">
        <v>0</v>
      </c>
      <c r="AF30" s="22">
        <v>0</v>
      </c>
      <c r="AG30" s="22">
        <v>0</v>
      </c>
      <c r="AH30" s="22">
        <v>0</v>
      </c>
      <c r="AI30" s="22">
        <v>6900</v>
      </c>
      <c r="AJ30" s="22">
        <v>0</v>
      </c>
      <c r="AK30" s="22">
        <v>0</v>
      </c>
      <c r="AL30" s="22">
        <v>0</v>
      </c>
      <c r="AM30" s="6"/>
      <c r="AN30" s="6"/>
    </row>
    <row r="31" spans="1:40">
      <c r="A31" s="7" t="s">
        <v>110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>
      <c r="A32" s="7" t="s">
        <v>111</v>
      </c>
      <c r="B32" s="6"/>
      <c r="C32" s="6"/>
      <c r="D32" s="22">
        <v>0</v>
      </c>
      <c r="E32" s="22">
        <v>74</v>
      </c>
      <c r="F32" s="22">
        <v>500</v>
      </c>
      <c r="G32" s="22">
        <v>0</v>
      </c>
      <c r="H32" s="22">
        <v>0</v>
      </c>
      <c r="I32" s="22">
        <v>0</v>
      </c>
      <c r="J32" s="22">
        <v>0</v>
      </c>
      <c r="K32" s="22">
        <v>280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34</v>
      </c>
      <c r="T32" s="22">
        <v>0</v>
      </c>
      <c r="U32" s="22">
        <v>0</v>
      </c>
      <c r="V32" s="22">
        <v>0</v>
      </c>
      <c r="W32" s="22">
        <v>270</v>
      </c>
      <c r="X32" s="22">
        <v>0</v>
      </c>
      <c r="Y32" s="22">
        <v>0</v>
      </c>
      <c r="Z32" s="22">
        <v>0</v>
      </c>
      <c r="AA32" s="22">
        <v>0</v>
      </c>
      <c r="AB32" s="25">
        <f>MAX(0,$D$15-(D32+E32+F32+G32+H32+I32+J32+K32+L32+M32+N32+O32+P32+Q32+R32+S32+T32+U32+V32+W32+X32+Y32+Z32+AA32+AC32+AD32+AE32+AF32+AG32+AH32+AI32+AJ32+AK32+AL32))</f>
        <v>0</v>
      </c>
      <c r="AC32" s="22">
        <v>0</v>
      </c>
      <c r="AD32" s="22">
        <v>0</v>
      </c>
      <c r="AE32" s="22">
        <v>560</v>
      </c>
      <c r="AF32" s="22">
        <v>0</v>
      </c>
      <c r="AG32" s="22">
        <v>0</v>
      </c>
      <c r="AH32" s="22">
        <v>0</v>
      </c>
      <c r="AI32" s="22">
        <v>0</v>
      </c>
      <c r="AJ32" s="22">
        <v>0</v>
      </c>
      <c r="AK32" s="22">
        <v>0</v>
      </c>
      <c r="AL32" s="22">
        <v>0</v>
      </c>
      <c r="AM32" s="6"/>
      <c r="AN32" s="6"/>
    </row>
    <row r="33" spans="1:40">
      <c r="A33" s="6"/>
      <c r="B33" s="6"/>
      <c r="C33" s="6"/>
      <c r="D33" s="14">
        <v>0</v>
      </c>
      <c r="E33" s="14">
        <v>101</v>
      </c>
      <c r="F33" s="14">
        <v>100</v>
      </c>
      <c r="G33" s="14">
        <v>0</v>
      </c>
      <c r="H33" s="14">
        <v>0</v>
      </c>
      <c r="I33" s="14">
        <v>0</v>
      </c>
      <c r="J33" s="14">
        <v>0</v>
      </c>
      <c r="K33" s="14">
        <v>41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2.2</v>
      </c>
      <c r="T33" s="14">
        <v>0</v>
      </c>
      <c r="U33" s="14">
        <v>0</v>
      </c>
      <c r="V33" s="14">
        <v>0</v>
      </c>
      <c r="W33" s="14">
        <v>290</v>
      </c>
      <c r="X33" s="14">
        <v>0</v>
      </c>
      <c r="Y33" s="14">
        <v>108.3</v>
      </c>
      <c r="Z33" s="14">
        <v>0</v>
      </c>
      <c r="AA33" s="14">
        <v>34</v>
      </c>
      <c r="AB33" s="25">
        <f>MAX(0,$D$16-(D33+E33+F33+G33+H33+I33+J33+K33+L33+M33+N33+O33+P33+Q33+R33+S33+T33+U33+V33+W33+X33+Y33+Z33+AA33+AC33+AD33+AE33+AF33+AG33+AH33+AI33+AJ33+AK33+AL33))</f>
        <v>223.5</v>
      </c>
      <c r="AC33" s="14">
        <v>80</v>
      </c>
      <c r="AD33" s="14">
        <v>0</v>
      </c>
      <c r="AE33" s="14">
        <v>0</v>
      </c>
      <c r="AF33" s="14">
        <v>0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6"/>
      <c r="AN33" s="6"/>
    </row>
    <row r="34" spans="1:40">
      <c r="A34" s="10" t="s">
        <v>112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spans="1:40">
      <c r="A35" s="26" t="s">
        <v>113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ht="23" customHeight="1" spans="1:40">
      <c r="A36" s="11" t="s">
        <v>3</v>
      </c>
      <c r="B36" s="11" t="s">
        <v>4</v>
      </c>
      <c r="C36" s="11" t="s">
        <v>26</v>
      </c>
      <c r="D36" s="11" t="s">
        <v>27</v>
      </c>
      <c r="E36" s="11" t="s">
        <v>28</v>
      </c>
      <c r="F36" s="11" t="s">
        <v>29</v>
      </c>
      <c r="G36" s="11" t="s">
        <v>30</v>
      </c>
      <c r="H36" s="11" t="s">
        <v>31</v>
      </c>
      <c r="I36" s="11" t="s">
        <v>32</v>
      </c>
      <c r="J36" s="11" t="s">
        <v>33</v>
      </c>
      <c r="K36" s="11" t="s">
        <v>34</v>
      </c>
      <c r="L36" s="11" t="s">
        <v>35</v>
      </c>
      <c r="M36" s="11" t="s">
        <v>36</v>
      </c>
      <c r="N36" s="11" t="s">
        <v>37</v>
      </c>
      <c r="O36" s="11" t="s">
        <v>38</v>
      </c>
      <c r="P36" s="11" t="s">
        <v>39</v>
      </c>
      <c r="Q36" s="11" t="s">
        <v>40</v>
      </c>
      <c r="R36" s="11" t="s">
        <v>41</v>
      </c>
      <c r="S36" s="11" t="s">
        <v>42</v>
      </c>
      <c r="T36" s="11" t="s">
        <v>43</v>
      </c>
      <c r="U36" s="11" t="s">
        <v>44</v>
      </c>
      <c r="V36" s="11" t="s">
        <v>45</v>
      </c>
      <c r="W36" s="11" t="s">
        <v>46</v>
      </c>
      <c r="X36" s="11" t="s">
        <v>47</v>
      </c>
      <c r="Y36" s="11" t="s">
        <v>48</v>
      </c>
      <c r="Z36" s="11" t="s">
        <v>49</v>
      </c>
      <c r="AA36" s="11" t="s">
        <v>50</v>
      </c>
      <c r="AB36" s="11" t="s">
        <v>51</v>
      </c>
      <c r="AC36" s="11" t="s">
        <v>52</v>
      </c>
      <c r="AD36" s="11" t="s">
        <v>53</v>
      </c>
      <c r="AE36" s="11" t="s">
        <v>54</v>
      </c>
      <c r="AF36" s="11" t="s">
        <v>55</v>
      </c>
      <c r="AG36" s="11" t="s">
        <v>56</v>
      </c>
      <c r="AH36" s="11" t="s">
        <v>57</v>
      </c>
      <c r="AI36" s="11" t="s">
        <v>58</v>
      </c>
      <c r="AJ36" s="11" t="s">
        <v>59</v>
      </c>
      <c r="AK36" s="11" t="s">
        <v>60</v>
      </c>
      <c r="AL36" s="11" t="s">
        <v>61</v>
      </c>
      <c r="AM36" s="6"/>
      <c r="AN36" s="6"/>
    </row>
    <row r="37" spans="1:40">
      <c r="A37" s="12" t="s">
        <v>114</v>
      </c>
      <c r="B37" s="12" t="s">
        <v>115</v>
      </c>
      <c r="C37" s="27"/>
      <c r="D37" s="28">
        <f t="shared" ref="D37:AL37" si="4">D25*$F$12*$H$12</f>
        <v>0</v>
      </c>
      <c r="E37" s="28">
        <f t="shared" si="4"/>
        <v>300.846</v>
      </c>
      <c r="F37" s="28">
        <f t="shared" si="4"/>
        <v>4263</v>
      </c>
      <c r="G37" s="28">
        <f t="shared" si="4"/>
        <v>0</v>
      </c>
      <c r="H37" s="28">
        <f t="shared" si="4"/>
        <v>0</v>
      </c>
      <c r="I37" s="28">
        <f t="shared" si="4"/>
        <v>0</v>
      </c>
      <c r="J37" s="28">
        <f t="shared" si="4"/>
        <v>0</v>
      </c>
      <c r="K37" s="28">
        <f t="shared" si="4"/>
        <v>1827</v>
      </c>
      <c r="L37" s="28">
        <f t="shared" si="4"/>
        <v>0</v>
      </c>
      <c r="M37" s="28">
        <f t="shared" si="4"/>
        <v>0</v>
      </c>
      <c r="N37" s="28">
        <f t="shared" si="4"/>
        <v>0</v>
      </c>
      <c r="O37" s="28">
        <f t="shared" si="4"/>
        <v>0</v>
      </c>
      <c r="P37" s="28">
        <f t="shared" si="4"/>
        <v>0</v>
      </c>
      <c r="Q37" s="28">
        <f t="shared" si="4"/>
        <v>0</v>
      </c>
      <c r="R37" s="28">
        <f t="shared" si="4"/>
        <v>0</v>
      </c>
      <c r="S37" s="28">
        <f t="shared" si="4"/>
        <v>0</v>
      </c>
      <c r="T37" s="28">
        <f t="shared" si="4"/>
        <v>0</v>
      </c>
      <c r="U37" s="28">
        <f t="shared" si="4"/>
        <v>0</v>
      </c>
      <c r="V37" s="28">
        <f t="shared" si="4"/>
        <v>0</v>
      </c>
      <c r="W37" s="28">
        <f t="shared" si="4"/>
        <v>8337.21</v>
      </c>
      <c r="X37" s="28">
        <f t="shared" si="4"/>
        <v>0</v>
      </c>
      <c r="Y37" s="28">
        <f t="shared" si="4"/>
        <v>1827</v>
      </c>
      <c r="Z37" s="28">
        <f t="shared" si="4"/>
        <v>0</v>
      </c>
      <c r="AA37" s="28">
        <f t="shared" si="4"/>
        <v>0</v>
      </c>
      <c r="AB37" s="28">
        <f t="shared" si="4"/>
        <v>1678.404</v>
      </c>
      <c r="AC37" s="28">
        <f t="shared" si="4"/>
        <v>0</v>
      </c>
      <c r="AD37" s="28">
        <f t="shared" si="4"/>
        <v>0</v>
      </c>
      <c r="AE37" s="28">
        <f t="shared" si="4"/>
        <v>0</v>
      </c>
      <c r="AF37" s="28">
        <f t="shared" si="4"/>
        <v>36.54</v>
      </c>
      <c r="AG37" s="28">
        <f t="shared" si="4"/>
        <v>0</v>
      </c>
      <c r="AH37" s="28">
        <f t="shared" si="4"/>
        <v>0</v>
      </c>
      <c r="AI37" s="28">
        <f t="shared" si="4"/>
        <v>0</v>
      </c>
      <c r="AJ37" s="28">
        <f t="shared" si="4"/>
        <v>0</v>
      </c>
      <c r="AK37" s="28">
        <f t="shared" si="4"/>
        <v>0</v>
      </c>
      <c r="AL37" s="28">
        <f t="shared" si="4"/>
        <v>0</v>
      </c>
      <c r="AM37" s="6"/>
      <c r="AN37" s="6"/>
    </row>
    <row r="38" spans="1:40">
      <c r="A38" s="20" t="s">
        <v>116</v>
      </c>
      <c r="B38" s="20" t="s">
        <v>115</v>
      </c>
      <c r="C38" s="29"/>
      <c r="D38" s="24">
        <f t="shared" ref="D38:AL38" si="5">D25*$F$12*$H$12*$I$12</f>
        <v>0</v>
      </c>
      <c r="E38" s="24">
        <f t="shared" si="5"/>
        <v>300.846</v>
      </c>
      <c r="F38" s="24">
        <f t="shared" si="5"/>
        <v>4263</v>
      </c>
      <c r="G38" s="24">
        <f t="shared" si="5"/>
        <v>0</v>
      </c>
      <c r="H38" s="24">
        <f t="shared" si="5"/>
        <v>0</v>
      </c>
      <c r="I38" s="24">
        <f t="shared" si="5"/>
        <v>0</v>
      </c>
      <c r="J38" s="24">
        <f t="shared" si="5"/>
        <v>0</v>
      </c>
      <c r="K38" s="24">
        <f t="shared" si="5"/>
        <v>1827</v>
      </c>
      <c r="L38" s="24">
        <f t="shared" si="5"/>
        <v>0</v>
      </c>
      <c r="M38" s="24">
        <f t="shared" si="5"/>
        <v>0</v>
      </c>
      <c r="N38" s="24">
        <f t="shared" si="5"/>
        <v>0</v>
      </c>
      <c r="O38" s="24">
        <f t="shared" si="5"/>
        <v>0</v>
      </c>
      <c r="P38" s="24">
        <f t="shared" si="5"/>
        <v>0</v>
      </c>
      <c r="Q38" s="24">
        <f t="shared" si="5"/>
        <v>0</v>
      </c>
      <c r="R38" s="24">
        <f t="shared" si="5"/>
        <v>0</v>
      </c>
      <c r="S38" s="24">
        <f t="shared" si="5"/>
        <v>0</v>
      </c>
      <c r="T38" s="24">
        <f t="shared" si="5"/>
        <v>0</v>
      </c>
      <c r="U38" s="24">
        <f t="shared" si="5"/>
        <v>0</v>
      </c>
      <c r="V38" s="24">
        <f t="shared" si="5"/>
        <v>0</v>
      </c>
      <c r="W38" s="24">
        <f t="shared" si="5"/>
        <v>8337.21</v>
      </c>
      <c r="X38" s="24">
        <f t="shared" si="5"/>
        <v>0</v>
      </c>
      <c r="Y38" s="24">
        <f t="shared" si="5"/>
        <v>1827</v>
      </c>
      <c r="Z38" s="24">
        <f t="shared" si="5"/>
        <v>0</v>
      </c>
      <c r="AA38" s="24">
        <f t="shared" si="5"/>
        <v>0</v>
      </c>
      <c r="AB38" s="24">
        <f t="shared" si="5"/>
        <v>1678.404</v>
      </c>
      <c r="AC38" s="24">
        <f t="shared" si="5"/>
        <v>0</v>
      </c>
      <c r="AD38" s="24">
        <f t="shared" si="5"/>
        <v>0</v>
      </c>
      <c r="AE38" s="24">
        <f t="shared" si="5"/>
        <v>0</v>
      </c>
      <c r="AF38" s="24">
        <f t="shared" si="5"/>
        <v>36.54</v>
      </c>
      <c r="AG38" s="24">
        <f t="shared" si="5"/>
        <v>0</v>
      </c>
      <c r="AH38" s="24">
        <f t="shared" si="5"/>
        <v>0</v>
      </c>
      <c r="AI38" s="24">
        <f t="shared" si="5"/>
        <v>0</v>
      </c>
      <c r="AJ38" s="24">
        <f t="shared" si="5"/>
        <v>0</v>
      </c>
      <c r="AK38" s="24">
        <f t="shared" si="5"/>
        <v>0</v>
      </c>
      <c r="AL38" s="24">
        <f t="shared" si="5"/>
        <v>0</v>
      </c>
      <c r="AM38" s="6"/>
      <c r="AN38" s="6"/>
    </row>
    <row r="39" spans="1:40">
      <c r="A39" s="12" t="s">
        <v>117</v>
      </c>
      <c r="B39" s="12" t="s">
        <v>115</v>
      </c>
      <c r="C39" s="27"/>
      <c r="D39" s="28">
        <f t="shared" ref="D39:AL39" si="6">D25*$F$12*$H$12*$J$12</f>
        <v>0</v>
      </c>
      <c r="E39" s="28">
        <f t="shared" si="6"/>
        <v>3008.46</v>
      </c>
      <c r="F39" s="28">
        <f t="shared" si="6"/>
        <v>42630</v>
      </c>
      <c r="G39" s="28">
        <f t="shared" si="6"/>
        <v>0</v>
      </c>
      <c r="H39" s="28">
        <f t="shared" si="6"/>
        <v>0</v>
      </c>
      <c r="I39" s="28">
        <f t="shared" si="6"/>
        <v>0</v>
      </c>
      <c r="J39" s="28">
        <f t="shared" si="6"/>
        <v>0</v>
      </c>
      <c r="K39" s="28">
        <f t="shared" si="6"/>
        <v>18270</v>
      </c>
      <c r="L39" s="28">
        <f t="shared" si="6"/>
        <v>0</v>
      </c>
      <c r="M39" s="28">
        <f t="shared" si="6"/>
        <v>0</v>
      </c>
      <c r="N39" s="28">
        <f t="shared" si="6"/>
        <v>0</v>
      </c>
      <c r="O39" s="28">
        <f t="shared" si="6"/>
        <v>0</v>
      </c>
      <c r="P39" s="28">
        <f t="shared" si="6"/>
        <v>0</v>
      </c>
      <c r="Q39" s="28">
        <f t="shared" si="6"/>
        <v>0</v>
      </c>
      <c r="R39" s="28">
        <f t="shared" si="6"/>
        <v>0</v>
      </c>
      <c r="S39" s="28">
        <f t="shared" si="6"/>
        <v>0</v>
      </c>
      <c r="T39" s="28">
        <f t="shared" si="6"/>
        <v>0</v>
      </c>
      <c r="U39" s="28">
        <f t="shared" si="6"/>
        <v>0</v>
      </c>
      <c r="V39" s="28">
        <f t="shared" si="6"/>
        <v>0</v>
      </c>
      <c r="W39" s="28">
        <f t="shared" si="6"/>
        <v>83372.1</v>
      </c>
      <c r="X39" s="28">
        <f t="shared" si="6"/>
        <v>0</v>
      </c>
      <c r="Y39" s="28">
        <f t="shared" si="6"/>
        <v>18270</v>
      </c>
      <c r="Z39" s="28">
        <f t="shared" si="6"/>
        <v>0</v>
      </c>
      <c r="AA39" s="28">
        <f t="shared" si="6"/>
        <v>0</v>
      </c>
      <c r="AB39" s="28">
        <f t="shared" si="6"/>
        <v>16784.04</v>
      </c>
      <c r="AC39" s="28">
        <f t="shared" si="6"/>
        <v>0</v>
      </c>
      <c r="AD39" s="28">
        <f t="shared" si="6"/>
        <v>0</v>
      </c>
      <c r="AE39" s="28">
        <f t="shared" si="6"/>
        <v>0</v>
      </c>
      <c r="AF39" s="28">
        <f t="shared" si="6"/>
        <v>365.4</v>
      </c>
      <c r="AG39" s="28">
        <f t="shared" si="6"/>
        <v>0</v>
      </c>
      <c r="AH39" s="28">
        <f t="shared" si="6"/>
        <v>0</v>
      </c>
      <c r="AI39" s="28">
        <f t="shared" si="6"/>
        <v>0</v>
      </c>
      <c r="AJ39" s="28">
        <f t="shared" si="6"/>
        <v>0</v>
      </c>
      <c r="AK39" s="28">
        <f t="shared" si="6"/>
        <v>0</v>
      </c>
      <c r="AL39" s="28">
        <f t="shared" si="6"/>
        <v>0</v>
      </c>
      <c r="AM39" s="6"/>
      <c r="AN39" s="6"/>
    </row>
    <row r="40" spans="1: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spans="1:40">
      <c r="A41" s="12" t="s">
        <v>118</v>
      </c>
      <c r="B41" s="12" t="s">
        <v>115</v>
      </c>
      <c r="C41" s="27"/>
      <c r="D41" s="28">
        <f t="shared" ref="D41:AL41" si="7">D26*$F$13*$H$13</f>
        <v>0</v>
      </c>
      <c r="E41" s="28">
        <f t="shared" si="7"/>
        <v>3240.93</v>
      </c>
      <c r="F41" s="28">
        <f t="shared" si="7"/>
        <v>903.21</v>
      </c>
      <c r="G41" s="28">
        <f t="shared" si="7"/>
        <v>0</v>
      </c>
      <c r="H41" s="28">
        <f t="shared" si="7"/>
        <v>0</v>
      </c>
      <c r="I41" s="28">
        <f t="shared" si="7"/>
        <v>0</v>
      </c>
      <c r="J41" s="28">
        <f t="shared" si="7"/>
        <v>0</v>
      </c>
      <c r="K41" s="28">
        <f t="shared" si="7"/>
        <v>0</v>
      </c>
      <c r="L41" s="28">
        <f t="shared" si="7"/>
        <v>0</v>
      </c>
      <c r="M41" s="28">
        <f t="shared" si="7"/>
        <v>0</v>
      </c>
      <c r="N41" s="28">
        <f t="shared" si="7"/>
        <v>0</v>
      </c>
      <c r="O41" s="28">
        <f t="shared" si="7"/>
        <v>0</v>
      </c>
      <c r="P41" s="28">
        <f t="shared" si="7"/>
        <v>0</v>
      </c>
      <c r="Q41" s="28">
        <f t="shared" si="7"/>
        <v>0</v>
      </c>
      <c r="R41" s="28">
        <f t="shared" si="7"/>
        <v>0</v>
      </c>
      <c r="S41" s="28">
        <f t="shared" si="7"/>
        <v>0</v>
      </c>
      <c r="T41" s="28">
        <f t="shared" si="7"/>
        <v>0</v>
      </c>
      <c r="U41" s="28">
        <f t="shared" si="7"/>
        <v>0</v>
      </c>
      <c r="V41" s="28">
        <f t="shared" si="7"/>
        <v>0</v>
      </c>
      <c r="W41" s="28">
        <f t="shared" si="7"/>
        <v>265.65</v>
      </c>
      <c r="X41" s="28">
        <f t="shared" si="7"/>
        <v>0</v>
      </c>
      <c r="Y41" s="28">
        <f t="shared" si="7"/>
        <v>154.077</v>
      </c>
      <c r="Z41" s="28">
        <f t="shared" si="7"/>
        <v>0</v>
      </c>
      <c r="AA41" s="28">
        <f t="shared" si="7"/>
        <v>0</v>
      </c>
      <c r="AB41" s="28">
        <f t="shared" si="7"/>
        <v>1099.2597</v>
      </c>
      <c r="AC41" s="28">
        <f t="shared" si="7"/>
        <v>132.825</v>
      </c>
      <c r="AD41" s="28">
        <f t="shared" si="7"/>
        <v>0</v>
      </c>
      <c r="AE41" s="28">
        <f t="shared" si="7"/>
        <v>0</v>
      </c>
      <c r="AF41" s="28">
        <f t="shared" si="7"/>
        <v>0</v>
      </c>
      <c r="AG41" s="28">
        <f t="shared" si="7"/>
        <v>0</v>
      </c>
      <c r="AH41" s="28">
        <f t="shared" si="7"/>
        <v>0</v>
      </c>
      <c r="AI41" s="28">
        <f t="shared" si="7"/>
        <v>48.3483</v>
      </c>
      <c r="AJ41" s="28">
        <f t="shared" si="7"/>
        <v>0</v>
      </c>
      <c r="AK41" s="28">
        <f t="shared" si="7"/>
        <v>0</v>
      </c>
      <c r="AL41" s="28">
        <f t="shared" si="7"/>
        <v>0</v>
      </c>
      <c r="AM41" s="6"/>
      <c r="AN41" s="6"/>
    </row>
    <row r="42" spans="1:40">
      <c r="A42" s="20" t="s">
        <v>119</v>
      </c>
      <c r="B42" s="20" t="s">
        <v>115</v>
      </c>
      <c r="C42" s="29"/>
      <c r="D42" s="24">
        <f t="shared" ref="D42:AL42" si="8">D26*$F$13*$H$13*$I$13</f>
        <v>0</v>
      </c>
      <c r="E42" s="24">
        <f t="shared" si="8"/>
        <v>3240.93</v>
      </c>
      <c r="F42" s="24">
        <f t="shared" si="8"/>
        <v>903.21</v>
      </c>
      <c r="G42" s="24">
        <f t="shared" si="8"/>
        <v>0</v>
      </c>
      <c r="H42" s="24">
        <f t="shared" si="8"/>
        <v>0</v>
      </c>
      <c r="I42" s="24">
        <f t="shared" si="8"/>
        <v>0</v>
      </c>
      <c r="J42" s="24">
        <f t="shared" si="8"/>
        <v>0</v>
      </c>
      <c r="K42" s="24">
        <f t="shared" si="8"/>
        <v>0</v>
      </c>
      <c r="L42" s="24">
        <f t="shared" si="8"/>
        <v>0</v>
      </c>
      <c r="M42" s="24">
        <f t="shared" si="8"/>
        <v>0</v>
      </c>
      <c r="N42" s="24">
        <f t="shared" si="8"/>
        <v>0</v>
      </c>
      <c r="O42" s="24">
        <f t="shared" si="8"/>
        <v>0</v>
      </c>
      <c r="P42" s="24">
        <f t="shared" si="8"/>
        <v>0</v>
      </c>
      <c r="Q42" s="24">
        <f t="shared" si="8"/>
        <v>0</v>
      </c>
      <c r="R42" s="24">
        <f t="shared" si="8"/>
        <v>0</v>
      </c>
      <c r="S42" s="24">
        <f t="shared" si="8"/>
        <v>0</v>
      </c>
      <c r="T42" s="24">
        <f t="shared" si="8"/>
        <v>0</v>
      </c>
      <c r="U42" s="24">
        <f t="shared" si="8"/>
        <v>0</v>
      </c>
      <c r="V42" s="24">
        <f t="shared" si="8"/>
        <v>0</v>
      </c>
      <c r="W42" s="24">
        <f t="shared" si="8"/>
        <v>265.65</v>
      </c>
      <c r="X42" s="24">
        <f t="shared" si="8"/>
        <v>0</v>
      </c>
      <c r="Y42" s="24">
        <f t="shared" si="8"/>
        <v>154.077</v>
      </c>
      <c r="Z42" s="24">
        <f t="shared" si="8"/>
        <v>0</v>
      </c>
      <c r="AA42" s="24">
        <f t="shared" si="8"/>
        <v>0</v>
      </c>
      <c r="AB42" s="24">
        <f t="shared" si="8"/>
        <v>1099.2597</v>
      </c>
      <c r="AC42" s="24">
        <f t="shared" si="8"/>
        <v>132.825</v>
      </c>
      <c r="AD42" s="24">
        <f t="shared" si="8"/>
        <v>0</v>
      </c>
      <c r="AE42" s="24">
        <f t="shared" si="8"/>
        <v>0</v>
      </c>
      <c r="AF42" s="24">
        <f t="shared" si="8"/>
        <v>0</v>
      </c>
      <c r="AG42" s="24">
        <f t="shared" si="8"/>
        <v>0</v>
      </c>
      <c r="AH42" s="24">
        <f t="shared" si="8"/>
        <v>0</v>
      </c>
      <c r="AI42" s="24">
        <f t="shared" si="8"/>
        <v>48.3483</v>
      </c>
      <c r="AJ42" s="24">
        <f t="shared" si="8"/>
        <v>0</v>
      </c>
      <c r="AK42" s="24">
        <f t="shared" si="8"/>
        <v>0</v>
      </c>
      <c r="AL42" s="24">
        <f t="shared" si="8"/>
        <v>0</v>
      </c>
      <c r="AM42" s="6"/>
      <c r="AN42" s="6"/>
    </row>
    <row r="43" spans="1:40">
      <c r="A43" s="12" t="s">
        <v>120</v>
      </c>
      <c r="B43" s="12" t="s">
        <v>115</v>
      </c>
      <c r="C43" s="27"/>
      <c r="D43" s="28">
        <f t="shared" ref="D43:AL43" si="9">D26*$F$13*$H$13*$J$13</f>
        <v>0</v>
      </c>
      <c r="E43" s="28">
        <f t="shared" si="9"/>
        <v>32409.3</v>
      </c>
      <c r="F43" s="28">
        <f t="shared" si="9"/>
        <v>9032.1</v>
      </c>
      <c r="G43" s="28">
        <f t="shared" si="9"/>
        <v>0</v>
      </c>
      <c r="H43" s="28">
        <f t="shared" si="9"/>
        <v>0</v>
      </c>
      <c r="I43" s="28">
        <f t="shared" si="9"/>
        <v>0</v>
      </c>
      <c r="J43" s="28">
        <f t="shared" si="9"/>
        <v>0</v>
      </c>
      <c r="K43" s="28">
        <f t="shared" si="9"/>
        <v>0</v>
      </c>
      <c r="L43" s="28">
        <f t="shared" si="9"/>
        <v>0</v>
      </c>
      <c r="M43" s="28">
        <f t="shared" si="9"/>
        <v>0</v>
      </c>
      <c r="N43" s="28">
        <f t="shared" si="9"/>
        <v>0</v>
      </c>
      <c r="O43" s="28">
        <f t="shared" si="9"/>
        <v>0</v>
      </c>
      <c r="P43" s="28">
        <f t="shared" si="9"/>
        <v>0</v>
      </c>
      <c r="Q43" s="28">
        <f t="shared" si="9"/>
        <v>0</v>
      </c>
      <c r="R43" s="28">
        <f t="shared" si="9"/>
        <v>0</v>
      </c>
      <c r="S43" s="28">
        <f t="shared" si="9"/>
        <v>0</v>
      </c>
      <c r="T43" s="28">
        <f t="shared" si="9"/>
        <v>0</v>
      </c>
      <c r="U43" s="28">
        <f t="shared" si="9"/>
        <v>0</v>
      </c>
      <c r="V43" s="28">
        <f t="shared" si="9"/>
        <v>0</v>
      </c>
      <c r="W43" s="28">
        <f t="shared" si="9"/>
        <v>2656.5</v>
      </c>
      <c r="X43" s="28">
        <f t="shared" si="9"/>
        <v>0</v>
      </c>
      <c r="Y43" s="28">
        <f t="shared" si="9"/>
        <v>1540.77</v>
      </c>
      <c r="Z43" s="28">
        <f t="shared" si="9"/>
        <v>0</v>
      </c>
      <c r="AA43" s="28">
        <f t="shared" si="9"/>
        <v>0</v>
      </c>
      <c r="AB43" s="28">
        <f t="shared" si="9"/>
        <v>10992.597</v>
      </c>
      <c r="AC43" s="28">
        <f t="shared" si="9"/>
        <v>1328.25</v>
      </c>
      <c r="AD43" s="28">
        <f t="shared" si="9"/>
        <v>0</v>
      </c>
      <c r="AE43" s="28">
        <f t="shared" si="9"/>
        <v>0</v>
      </c>
      <c r="AF43" s="28">
        <f t="shared" si="9"/>
        <v>0</v>
      </c>
      <c r="AG43" s="28">
        <f t="shared" si="9"/>
        <v>0</v>
      </c>
      <c r="AH43" s="28">
        <f t="shared" si="9"/>
        <v>0</v>
      </c>
      <c r="AI43" s="28">
        <f t="shared" si="9"/>
        <v>483.483</v>
      </c>
      <c r="AJ43" s="28">
        <f t="shared" si="9"/>
        <v>0</v>
      </c>
      <c r="AK43" s="28">
        <f t="shared" si="9"/>
        <v>0</v>
      </c>
      <c r="AL43" s="28">
        <f t="shared" si="9"/>
        <v>0</v>
      </c>
      <c r="AM43" s="6"/>
      <c r="AN43" s="6"/>
    </row>
    <row r="44" spans="1:4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 spans="1:40">
      <c r="A45" s="12" t="s">
        <v>121</v>
      </c>
      <c r="B45" s="12" t="s">
        <v>115</v>
      </c>
      <c r="C45" s="27"/>
      <c r="D45" s="28">
        <f t="shared" ref="D45:AL45" si="10">D27*$F$14*$H$14</f>
        <v>0</v>
      </c>
      <c r="E45" s="28">
        <f t="shared" si="10"/>
        <v>0</v>
      </c>
      <c r="F45" s="28">
        <f t="shared" si="10"/>
        <v>2587.2</v>
      </c>
      <c r="G45" s="28">
        <f t="shared" si="10"/>
        <v>0</v>
      </c>
      <c r="H45" s="28">
        <f t="shared" si="10"/>
        <v>0</v>
      </c>
      <c r="I45" s="28">
        <f t="shared" si="10"/>
        <v>0</v>
      </c>
      <c r="J45" s="28">
        <f t="shared" si="10"/>
        <v>0</v>
      </c>
      <c r="K45" s="28">
        <f t="shared" si="10"/>
        <v>474.32</v>
      </c>
      <c r="L45" s="28">
        <f t="shared" si="10"/>
        <v>0</v>
      </c>
      <c r="M45" s="28">
        <f t="shared" si="10"/>
        <v>0</v>
      </c>
      <c r="N45" s="28">
        <f t="shared" si="10"/>
        <v>0</v>
      </c>
      <c r="O45" s="28">
        <f t="shared" si="10"/>
        <v>0</v>
      </c>
      <c r="P45" s="28">
        <f t="shared" si="10"/>
        <v>0</v>
      </c>
      <c r="Q45" s="28">
        <f t="shared" si="10"/>
        <v>0</v>
      </c>
      <c r="R45" s="28">
        <f t="shared" si="10"/>
        <v>0</v>
      </c>
      <c r="S45" s="28">
        <f t="shared" si="10"/>
        <v>0</v>
      </c>
      <c r="T45" s="28">
        <f t="shared" si="10"/>
        <v>0</v>
      </c>
      <c r="U45" s="28">
        <f t="shared" si="10"/>
        <v>0</v>
      </c>
      <c r="V45" s="28">
        <f t="shared" si="10"/>
        <v>0</v>
      </c>
      <c r="W45" s="28">
        <f t="shared" si="10"/>
        <v>1724.8</v>
      </c>
      <c r="X45" s="28">
        <f t="shared" si="10"/>
        <v>0</v>
      </c>
      <c r="Y45" s="28">
        <f t="shared" si="10"/>
        <v>270.578</v>
      </c>
      <c r="Z45" s="28">
        <f t="shared" si="10"/>
        <v>0</v>
      </c>
      <c r="AA45" s="28">
        <f t="shared" si="10"/>
        <v>0</v>
      </c>
      <c r="AB45" s="28">
        <f t="shared" si="10"/>
        <v>8062.362</v>
      </c>
      <c r="AC45" s="28">
        <f t="shared" si="10"/>
        <v>894.74</v>
      </c>
      <c r="AD45" s="28">
        <f t="shared" si="10"/>
        <v>0</v>
      </c>
      <c r="AE45" s="28">
        <f t="shared" si="10"/>
        <v>0</v>
      </c>
      <c r="AF45" s="28">
        <f t="shared" si="10"/>
        <v>0</v>
      </c>
      <c r="AG45" s="28">
        <f t="shared" si="10"/>
        <v>0</v>
      </c>
      <c r="AH45" s="28">
        <f t="shared" si="10"/>
        <v>0</v>
      </c>
      <c r="AI45" s="28">
        <f t="shared" si="10"/>
        <v>0</v>
      </c>
      <c r="AJ45" s="28">
        <f t="shared" si="10"/>
        <v>0</v>
      </c>
      <c r="AK45" s="28">
        <f t="shared" si="10"/>
        <v>0</v>
      </c>
      <c r="AL45" s="28">
        <f t="shared" si="10"/>
        <v>0</v>
      </c>
      <c r="AM45" s="6"/>
      <c r="AN45" s="6"/>
    </row>
    <row r="46" spans="1:40">
      <c r="A46" s="20" t="s">
        <v>122</v>
      </c>
      <c r="B46" s="20" t="s">
        <v>115</v>
      </c>
      <c r="C46" s="29"/>
      <c r="D46" s="24">
        <f t="shared" ref="D46:AL46" si="11">D27*$F$14*$H$14*$I$14</f>
        <v>0</v>
      </c>
      <c r="E46" s="24">
        <f t="shared" si="11"/>
        <v>0</v>
      </c>
      <c r="F46" s="24">
        <f t="shared" si="11"/>
        <v>2587.2</v>
      </c>
      <c r="G46" s="24">
        <f t="shared" si="11"/>
        <v>0</v>
      </c>
      <c r="H46" s="24">
        <f t="shared" si="11"/>
        <v>0</v>
      </c>
      <c r="I46" s="24">
        <f t="shared" si="11"/>
        <v>0</v>
      </c>
      <c r="J46" s="24">
        <f t="shared" si="11"/>
        <v>0</v>
      </c>
      <c r="K46" s="24">
        <f t="shared" si="11"/>
        <v>474.32</v>
      </c>
      <c r="L46" s="24">
        <f t="shared" si="11"/>
        <v>0</v>
      </c>
      <c r="M46" s="24">
        <f t="shared" si="11"/>
        <v>0</v>
      </c>
      <c r="N46" s="24">
        <f t="shared" si="11"/>
        <v>0</v>
      </c>
      <c r="O46" s="24">
        <f t="shared" si="11"/>
        <v>0</v>
      </c>
      <c r="P46" s="24">
        <f t="shared" si="11"/>
        <v>0</v>
      </c>
      <c r="Q46" s="24">
        <f t="shared" si="11"/>
        <v>0</v>
      </c>
      <c r="R46" s="24">
        <f t="shared" si="11"/>
        <v>0</v>
      </c>
      <c r="S46" s="24">
        <f t="shared" si="11"/>
        <v>0</v>
      </c>
      <c r="T46" s="24">
        <f t="shared" si="11"/>
        <v>0</v>
      </c>
      <c r="U46" s="24">
        <f t="shared" si="11"/>
        <v>0</v>
      </c>
      <c r="V46" s="24">
        <f t="shared" si="11"/>
        <v>0</v>
      </c>
      <c r="W46" s="24">
        <f t="shared" si="11"/>
        <v>1724.8</v>
      </c>
      <c r="X46" s="24">
        <f t="shared" si="11"/>
        <v>0</v>
      </c>
      <c r="Y46" s="24">
        <f t="shared" si="11"/>
        <v>270.578</v>
      </c>
      <c r="Z46" s="24">
        <f t="shared" si="11"/>
        <v>0</v>
      </c>
      <c r="AA46" s="24">
        <f t="shared" si="11"/>
        <v>0</v>
      </c>
      <c r="AB46" s="24">
        <f t="shared" si="11"/>
        <v>8062.362</v>
      </c>
      <c r="AC46" s="24">
        <f t="shared" si="11"/>
        <v>894.74</v>
      </c>
      <c r="AD46" s="24">
        <f t="shared" si="11"/>
        <v>0</v>
      </c>
      <c r="AE46" s="24">
        <f t="shared" si="11"/>
        <v>0</v>
      </c>
      <c r="AF46" s="24">
        <f t="shared" si="11"/>
        <v>0</v>
      </c>
      <c r="AG46" s="24">
        <f t="shared" si="11"/>
        <v>0</v>
      </c>
      <c r="AH46" s="24">
        <f t="shared" si="11"/>
        <v>0</v>
      </c>
      <c r="AI46" s="24">
        <f t="shared" si="11"/>
        <v>0</v>
      </c>
      <c r="AJ46" s="24">
        <f t="shared" si="11"/>
        <v>0</v>
      </c>
      <c r="AK46" s="24">
        <f t="shared" si="11"/>
        <v>0</v>
      </c>
      <c r="AL46" s="24">
        <f t="shared" si="11"/>
        <v>0</v>
      </c>
      <c r="AM46" s="6"/>
      <c r="AN46" s="6"/>
    </row>
    <row r="47" spans="1:40">
      <c r="A47" s="12" t="s">
        <v>123</v>
      </c>
      <c r="B47" s="12" t="s">
        <v>115</v>
      </c>
      <c r="C47" s="27"/>
      <c r="D47" s="28">
        <f t="shared" ref="D47:AL47" si="12">D27*$F$14*$H$14*$J$14</f>
        <v>0</v>
      </c>
      <c r="E47" s="28">
        <f t="shared" si="12"/>
        <v>0</v>
      </c>
      <c r="F47" s="28">
        <f t="shared" si="12"/>
        <v>25872</v>
      </c>
      <c r="G47" s="28">
        <f t="shared" si="12"/>
        <v>0</v>
      </c>
      <c r="H47" s="28">
        <f t="shared" si="12"/>
        <v>0</v>
      </c>
      <c r="I47" s="28">
        <f t="shared" si="12"/>
        <v>0</v>
      </c>
      <c r="J47" s="28">
        <f t="shared" si="12"/>
        <v>0</v>
      </c>
      <c r="K47" s="28">
        <f t="shared" si="12"/>
        <v>4743.2</v>
      </c>
      <c r="L47" s="28">
        <f t="shared" si="12"/>
        <v>0</v>
      </c>
      <c r="M47" s="28">
        <f t="shared" si="12"/>
        <v>0</v>
      </c>
      <c r="N47" s="28">
        <f t="shared" si="12"/>
        <v>0</v>
      </c>
      <c r="O47" s="28">
        <f t="shared" si="12"/>
        <v>0</v>
      </c>
      <c r="P47" s="28">
        <f t="shared" si="12"/>
        <v>0</v>
      </c>
      <c r="Q47" s="28">
        <f t="shared" si="12"/>
        <v>0</v>
      </c>
      <c r="R47" s="28">
        <f t="shared" si="12"/>
        <v>0</v>
      </c>
      <c r="S47" s="28">
        <f t="shared" si="12"/>
        <v>0</v>
      </c>
      <c r="T47" s="28">
        <f t="shared" si="12"/>
        <v>0</v>
      </c>
      <c r="U47" s="28">
        <f t="shared" si="12"/>
        <v>0</v>
      </c>
      <c r="V47" s="28">
        <f t="shared" si="12"/>
        <v>0</v>
      </c>
      <c r="W47" s="28">
        <f t="shared" si="12"/>
        <v>17248</v>
      </c>
      <c r="X47" s="28">
        <f t="shared" si="12"/>
        <v>0</v>
      </c>
      <c r="Y47" s="28">
        <f t="shared" si="12"/>
        <v>2705.78</v>
      </c>
      <c r="Z47" s="28">
        <f t="shared" si="12"/>
        <v>0</v>
      </c>
      <c r="AA47" s="28">
        <f t="shared" si="12"/>
        <v>0</v>
      </c>
      <c r="AB47" s="28">
        <f t="shared" si="12"/>
        <v>80623.62</v>
      </c>
      <c r="AC47" s="28">
        <f t="shared" si="12"/>
        <v>8947.4</v>
      </c>
      <c r="AD47" s="28">
        <f t="shared" si="12"/>
        <v>0</v>
      </c>
      <c r="AE47" s="28">
        <f t="shared" si="12"/>
        <v>0</v>
      </c>
      <c r="AF47" s="28">
        <f t="shared" si="12"/>
        <v>0</v>
      </c>
      <c r="AG47" s="28">
        <f t="shared" si="12"/>
        <v>0</v>
      </c>
      <c r="AH47" s="28">
        <f t="shared" si="12"/>
        <v>0</v>
      </c>
      <c r="AI47" s="28">
        <f t="shared" si="12"/>
        <v>0</v>
      </c>
      <c r="AJ47" s="28">
        <f t="shared" si="12"/>
        <v>0</v>
      </c>
      <c r="AK47" s="28">
        <f t="shared" si="12"/>
        <v>0</v>
      </c>
      <c r="AL47" s="28">
        <f t="shared" si="12"/>
        <v>0</v>
      </c>
      <c r="AM47" s="6"/>
      <c r="AN47" s="6"/>
    </row>
    <row r="48" spans="1:4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 spans="1:40">
      <c r="A49" s="12" t="s">
        <v>124</v>
      </c>
      <c r="B49" s="12" t="s">
        <v>115</v>
      </c>
      <c r="C49" s="27"/>
      <c r="D49" s="28">
        <f t="shared" ref="D49:AL49" si="13">D28*$F$15*$H$15</f>
        <v>0</v>
      </c>
      <c r="E49" s="28">
        <f t="shared" si="13"/>
        <v>518</v>
      </c>
      <c r="F49" s="28">
        <f t="shared" si="13"/>
        <v>3500</v>
      </c>
      <c r="G49" s="28">
        <f t="shared" si="13"/>
        <v>0</v>
      </c>
      <c r="H49" s="28">
        <f t="shared" si="13"/>
        <v>0</v>
      </c>
      <c r="I49" s="28">
        <f t="shared" si="13"/>
        <v>0</v>
      </c>
      <c r="J49" s="28">
        <f t="shared" si="13"/>
        <v>0</v>
      </c>
      <c r="K49" s="28">
        <f t="shared" si="13"/>
        <v>1960</v>
      </c>
      <c r="L49" s="28">
        <f t="shared" si="13"/>
        <v>0</v>
      </c>
      <c r="M49" s="28">
        <f t="shared" si="13"/>
        <v>0</v>
      </c>
      <c r="N49" s="28">
        <f t="shared" si="13"/>
        <v>0</v>
      </c>
      <c r="O49" s="28">
        <f t="shared" si="13"/>
        <v>0</v>
      </c>
      <c r="P49" s="28">
        <f t="shared" si="13"/>
        <v>0</v>
      </c>
      <c r="Q49" s="28">
        <f t="shared" si="13"/>
        <v>0</v>
      </c>
      <c r="R49" s="28">
        <f t="shared" si="13"/>
        <v>0</v>
      </c>
      <c r="S49" s="28">
        <f t="shared" si="13"/>
        <v>238</v>
      </c>
      <c r="T49" s="28">
        <f t="shared" si="13"/>
        <v>0</v>
      </c>
      <c r="U49" s="28">
        <f t="shared" si="13"/>
        <v>0</v>
      </c>
      <c r="V49" s="28">
        <f t="shared" si="13"/>
        <v>0</v>
      </c>
      <c r="W49" s="28">
        <f t="shared" si="13"/>
        <v>1890</v>
      </c>
      <c r="X49" s="28">
        <f t="shared" si="13"/>
        <v>0</v>
      </c>
      <c r="Y49" s="28">
        <f t="shared" si="13"/>
        <v>0</v>
      </c>
      <c r="Z49" s="28">
        <f t="shared" si="13"/>
        <v>0</v>
      </c>
      <c r="AA49" s="28">
        <f t="shared" si="13"/>
        <v>0</v>
      </c>
      <c r="AB49" s="28">
        <f t="shared" si="13"/>
        <v>0</v>
      </c>
      <c r="AC49" s="28">
        <f t="shared" si="13"/>
        <v>0</v>
      </c>
      <c r="AD49" s="28">
        <f t="shared" si="13"/>
        <v>0</v>
      </c>
      <c r="AE49" s="28">
        <f t="shared" si="13"/>
        <v>3920</v>
      </c>
      <c r="AF49" s="28">
        <f t="shared" si="13"/>
        <v>0</v>
      </c>
      <c r="AG49" s="28">
        <f t="shared" si="13"/>
        <v>0</v>
      </c>
      <c r="AH49" s="28">
        <f t="shared" si="13"/>
        <v>0</v>
      </c>
      <c r="AI49" s="28">
        <f t="shared" si="13"/>
        <v>0</v>
      </c>
      <c r="AJ49" s="28">
        <f t="shared" si="13"/>
        <v>0</v>
      </c>
      <c r="AK49" s="28">
        <f t="shared" si="13"/>
        <v>0</v>
      </c>
      <c r="AL49" s="28">
        <f t="shared" si="13"/>
        <v>0</v>
      </c>
      <c r="AM49" s="6"/>
      <c r="AN49" s="6"/>
    </row>
    <row r="50" spans="1:40">
      <c r="A50" s="20" t="s">
        <v>125</v>
      </c>
      <c r="B50" s="20" t="s">
        <v>115</v>
      </c>
      <c r="C50" s="29"/>
      <c r="D50" s="24">
        <f t="shared" ref="D50:AL50" si="14">D28*$F$15*$H$15*$I$15</f>
        <v>0</v>
      </c>
      <c r="E50" s="24">
        <f t="shared" si="14"/>
        <v>518</v>
      </c>
      <c r="F50" s="24">
        <f t="shared" si="14"/>
        <v>3500</v>
      </c>
      <c r="G50" s="24">
        <f t="shared" si="14"/>
        <v>0</v>
      </c>
      <c r="H50" s="24">
        <f t="shared" si="14"/>
        <v>0</v>
      </c>
      <c r="I50" s="24">
        <f t="shared" si="14"/>
        <v>0</v>
      </c>
      <c r="J50" s="24">
        <f t="shared" si="14"/>
        <v>0</v>
      </c>
      <c r="K50" s="24">
        <f t="shared" si="14"/>
        <v>1960</v>
      </c>
      <c r="L50" s="24">
        <f t="shared" si="14"/>
        <v>0</v>
      </c>
      <c r="M50" s="24">
        <f t="shared" si="14"/>
        <v>0</v>
      </c>
      <c r="N50" s="24">
        <f t="shared" si="14"/>
        <v>0</v>
      </c>
      <c r="O50" s="24">
        <f t="shared" si="14"/>
        <v>0</v>
      </c>
      <c r="P50" s="24">
        <f t="shared" si="14"/>
        <v>0</v>
      </c>
      <c r="Q50" s="24">
        <f t="shared" si="14"/>
        <v>0</v>
      </c>
      <c r="R50" s="24">
        <f t="shared" si="14"/>
        <v>0</v>
      </c>
      <c r="S50" s="24">
        <f t="shared" si="14"/>
        <v>238</v>
      </c>
      <c r="T50" s="24">
        <f t="shared" si="14"/>
        <v>0</v>
      </c>
      <c r="U50" s="24">
        <f t="shared" si="14"/>
        <v>0</v>
      </c>
      <c r="V50" s="24">
        <f t="shared" si="14"/>
        <v>0</v>
      </c>
      <c r="W50" s="24">
        <f t="shared" si="14"/>
        <v>1890</v>
      </c>
      <c r="X50" s="24">
        <f t="shared" si="14"/>
        <v>0</v>
      </c>
      <c r="Y50" s="24">
        <f t="shared" si="14"/>
        <v>0</v>
      </c>
      <c r="Z50" s="24">
        <f t="shared" si="14"/>
        <v>0</v>
      </c>
      <c r="AA50" s="24">
        <f t="shared" si="14"/>
        <v>0</v>
      </c>
      <c r="AB50" s="24">
        <f t="shared" si="14"/>
        <v>0</v>
      </c>
      <c r="AC50" s="24">
        <f t="shared" si="14"/>
        <v>0</v>
      </c>
      <c r="AD50" s="24">
        <f t="shared" si="14"/>
        <v>0</v>
      </c>
      <c r="AE50" s="24">
        <f t="shared" si="14"/>
        <v>3920</v>
      </c>
      <c r="AF50" s="24">
        <f t="shared" si="14"/>
        <v>0</v>
      </c>
      <c r="AG50" s="24">
        <f t="shared" si="14"/>
        <v>0</v>
      </c>
      <c r="AH50" s="24">
        <f t="shared" si="14"/>
        <v>0</v>
      </c>
      <c r="AI50" s="24">
        <f t="shared" si="14"/>
        <v>0</v>
      </c>
      <c r="AJ50" s="24">
        <f t="shared" si="14"/>
        <v>0</v>
      </c>
      <c r="AK50" s="24">
        <f t="shared" si="14"/>
        <v>0</v>
      </c>
      <c r="AL50" s="24">
        <f t="shared" si="14"/>
        <v>0</v>
      </c>
      <c r="AM50" s="6"/>
      <c r="AN50" s="6"/>
    </row>
    <row r="51" spans="1:40">
      <c r="A51" s="12" t="s">
        <v>126</v>
      </c>
      <c r="B51" s="12" t="s">
        <v>115</v>
      </c>
      <c r="C51" s="27"/>
      <c r="D51" s="28">
        <f t="shared" ref="D51:AL51" si="15">D28*$F$15*$H$15*$J$15</f>
        <v>0</v>
      </c>
      <c r="E51" s="28">
        <f t="shared" si="15"/>
        <v>5180</v>
      </c>
      <c r="F51" s="28">
        <f t="shared" si="15"/>
        <v>35000</v>
      </c>
      <c r="G51" s="28">
        <f t="shared" si="15"/>
        <v>0</v>
      </c>
      <c r="H51" s="28">
        <f t="shared" si="15"/>
        <v>0</v>
      </c>
      <c r="I51" s="28">
        <f t="shared" si="15"/>
        <v>0</v>
      </c>
      <c r="J51" s="28">
        <f t="shared" si="15"/>
        <v>0</v>
      </c>
      <c r="K51" s="28">
        <f t="shared" si="15"/>
        <v>19600</v>
      </c>
      <c r="L51" s="28">
        <f t="shared" si="15"/>
        <v>0</v>
      </c>
      <c r="M51" s="28">
        <f t="shared" si="15"/>
        <v>0</v>
      </c>
      <c r="N51" s="28">
        <f t="shared" si="15"/>
        <v>0</v>
      </c>
      <c r="O51" s="28">
        <f t="shared" si="15"/>
        <v>0</v>
      </c>
      <c r="P51" s="28">
        <f t="shared" si="15"/>
        <v>0</v>
      </c>
      <c r="Q51" s="28">
        <f t="shared" si="15"/>
        <v>0</v>
      </c>
      <c r="R51" s="28">
        <f t="shared" si="15"/>
        <v>0</v>
      </c>
      <c r="S51" s="28">
        <f t="shared" si="15"/>
        <v>2380</v>
      </c>
      <c r="T51" s="28">
        <f t="shared" si="15"/>
        <v>0</v>
      </c>
      <c r="U51" s="28">
        <f t="shared" si="15"/>
        <v>0</v>
      </c>
      <c r="V51" s="28">
        <f t="shared" si="15"/>
        <v>0</v>
      </c>
      <c r="W51" s="28">
        <f t="shared" si="15"/>
        <v>18900</v>
      </c>
      <c r="X51" s="28">
        <f t="shared" si="15"/>
        <v>0</v>
      </c>
      <c r="Y51" s="28">
        <f t="shared" si="15"/>
        <v>0</v>
      </c>
      <c r="Z51" s="28">
        <f t="shared" si="15"/>
        <v>0</v>
      </c>
      <c r="AA51" s="28">
        <f t="shared" si="15"/>
        <v>0</v>
      </c>
      <c r="AB51" s="28">
        <f t="shared" si="15"/>
        <v>0</v>
      </c>
      <c r="AC51" s="28">
        <f t="shared" si="15"/>
        <v>0</v>
      </c>
      <c r="AD51" s="28">
        <f t="shared" si="15"/>
        <v>0</v>
      </c>
      <c r="AE51" s="28">
        <f t="shared" si="15"/>
        <v>39200</v>
      </c>
      <c r="AF51" s="28">
        <f t="shared" si="15"/>
        <v>0</v>
      </c>
      <c r="AG51" s="28">
        <f t="shared" si="15"/>
        <v>0</v>
      </c>
      <c r="AH51" s="28">
        <f t="shared" si="15"/>
        <v>0</v>
      </c>
      <c r="AI51" s="28">
        <f t="shared" si="15"/>
        <v>0</v>
      </c>
      <c r="AJ51" s="28">
        <f t="shared" si="15"/>
        <v>0</v>
      </c>
      <c r="AK51" s="28">
        <f t="shared" si="15"/>
        <v>0</v>
      </c>
      <c r="AL51" s="28">
        <f t="shared" si="15"/>
        <v>0</v>
      </c>
      <c r="AM51" s="6"/>
      <c r="AN51" s="6"/>
    </row>
    <row r="52" spans="1:4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 spans="1:40">
      <c r="A53" s="12" t="s">
        <v>127</v>
      </c>
      <c r="B53" s="12" t="s">
        <v>115</v>
      </c>
      <c r="C53" s="27"/>
      <c r="D53" s="28">
        <f t="shared" ref="D53:AL53" si="16">D29*$F$16*$H$16</f>
        <v>0</v>
      </c>
      <c r="E53" s="28">
        <f t="shared" si="16"/>
        <v>1838.2</v>
      </c>
      <c r="F53" s="28">
        <f t="shared" si="16"/>
        <v>1820</v>
      </c>
      <c r="G53" s="28">
        <f t="shared" si="16"/>
        <v>0</v>
      </c>
      <c r="H53" s="28">
        <f t="shared" si="16"/>
        <v>0</v>
      </c>
      <c r="I53" s="28">
        <f t="shared" si="16"/>
        <v>0</v>
      </c>
      <c r="J53" s="28">
        <f t="shared" si="16"/>
        <v>0</v>
      </c>
      <c r="K53" s="28">
        <f t="shared" si="16"/>
        <v>746.2</v>
      </c>
      <c r="L53" s="28">
        <f t="shared" si="16"/>
        <v>0</v>
      </c>
      <c r="M53" s="28">
        <f t="shared" si="16"/>
        <v>0</v>
      </c>
      <c r="N53" s="28">
        <f t="shared" si="16"/>
        <v>0</v>
      </c>
      <c r="O53" s="28">
        <f t="shared" si="16"/>
        <v>0</v>
      </c>
      <c r="P53" s="28">
        <f t="shared" si="16"/>
        <v>0</v>
      </c>
      <c r="Q53" s="28">
        <f t="shared" si="16"/>
        <v>0</v>
      </c>
      <c r="R53" s="28">
        <f t="shared" si="16"/>
        <v>0</v>
      </c>
      <c r="S53" s="28">
        <f t="shared" si="16"/>
        <v>40.04</v>
      </c>
      <c r="T53" s="28">
        <f t="shared" si="16"/>
        <v>0</v>
      </c>
      <c r="U53" s="28">
        <f t="shared" si="16"/>
        <v>0</v>
      </c>
      <c r="V53" s="28">
        <f t="shared" si="16"/>
        <v>0</v>
      </c>
      <c r="W53" s="28">
        <f t="shared" si="16"/>
        <v>5278</v>
      </c>
      <c r="X53" s="28">
        <f t="shared" si="16"/>
        <v>0</v>
      </c>
      <c r="Y53" s="28">
        <f t="shared" si="16"/>
        <v>1971.06</v>
      </c>
      <c r="Z53" s="28">
        <f t="shared" si="16"/>
        <v>0</v>
      </c>
      <c r="AA53" s="28">
        <f t="shared" si="16"/>
        <v>618.8</v>
      </c>
      <c r="AB53" s="28">
        <f t="shared" si="16"/>
        <v>4067.7</v>
      </c>
      <c r="AC53" s="28">
        <f t="shared" si="16"/>
        <v>1456</v>
      </c>
      <c r="AD53" s="28">
        <f t="shared" si="16"/>
        <v>0</v>
      </c>
      <c r="AE53" s="28">
        <f t="shared" si="16"/>
        <v>0</v>
      </c>
      <c r="AF53" s="28">
        <f t="shared" si="16"/>
        <v>0</v>
      </c>
      <c r="AG53" s="28">
        <f t="shared" si="16"/>
        <v>0</v>
      </c>
      <c r="AH53" s="28">
        <f t="shared" si="16"/>
        <v>0</v>
      </c>
      <c r="AI53" s="28">
        <f t="shared" si="16"/>
        <v>0</v>
      </c>
      <c r="AJ53" s="28">
        <f t="shared" si="16"/>
        <v>0</v>
      </c>
      <c r="AK53" s="28">
        <f t="shared" si="16"/>
        <v>0</v>
      </c>
      <c r="AL53" s="28">
        <f t="shared" si="16"/>
        <v>0</v>
      </c>
      <c r="AM53" s="6"/>
      <c r="AN53" s="6"/>
    </row>
    <row r="54" spans="1:40">
      <c r="A54" s="20" t="s">
        <v>128</v>
      </c>
      <c r="B54" s="20" t="s">
        <v>115</v>
      </c>
      <c r="C54" s="29"/>
      <c r="D54" s="24">
        <f t="shared" ref="D54:AL54" si="17">D29*$F$16*$H$16*$I$16</f>
        <v>0</v>
      </c>
      <c r="E54" s="24">
        <f t="shared" si="17"/>
        <v>1838.2</v>
      </c>
      <c r="F54" s="24">
        <f t="shared" si="17"/>
        <v>1820</v>
      </c>
      <c r="G54" s="24">
        <f t="shared" si="17"/>
        <v>0</v>
      </c>
      <c r="H54" s="24">
        <f t="shared" si="17"/>
        <v>0</v>
      </c>
      <c r="I54" s="24">
        <f t="shared" si="17"/>
        <v>0</v>
      </c>
      <c r="J54" s="24">
        <f t="shared" si="17"/>
        <v>0</v>
      </c>
      <c r="K54" s="24">
        <f t="shared" si="17"/>
        <v>746.2</v>
      </c>
      <c r="L54" s="24">
        <f t="shared" si="17"/>
        <v>0</v>
      </c>
      <c r="M54" s="24">
        <f t="shared" si="17"/>
        <v>0</v>
      </c>
      <c r="N54" s="24">
        <f t="shared" si="17"/>
        <v>0</v>
      </c>
      <c r="O54" s="24">
        <f t="shared" si="17"/>
        <v>0</v>
      </c>
      <c r="P54" s="24">
        <f t="shared" si="17"/>
        <v>0</v>
      </c>
      <c r="Q54" s="24">
        <f t="shared" si="17"/>
        <v>0</v>
      </c>
      <c r="R54" s="24">
        <f t="shared" si="17"/>
        <v>0</v>
      </c>
      <c r="S54" s="24">
        <f t="shared" si="17"/>
        <v>40.04</v>
      </c>
      <c r="T54" s="24">
        <f t="shared" si="17"/>
        <v>0</v>
      </c>
      <c r="U54" s="24">
        <f t="shared" si="17"/>
        <v>0</v>
      </c>
      <c r="V54" s="24">
        <f t="shared" si="17"/>
        <v>0</v>
      </c>
      <c r="W54" s="24">
        <f t="shared" si="17"/>
        <v>5278</v>
      </c>
      <c r="X54" s="24">
        <f t="shared" si="17"/>
        <v>0</v>
      </c>
      <c r="Y54" s="24">
        <f t="shared" si="17"/>
        <v>1971.06</v>
      </c>
      <c r="Z54" s="24">
        <f t="shared" si="17"/>
        <v>0</v>
      </c>
      <c r="AA54" s="24">
        <f t="shared" si="17"/>
        <v>618.8</v>
      </c>
      <c r="AB54" s="24">
        <f t="shared" si="17"/>
        <v>4067.7</v>
      </c>
      <c r="AC54" s="24">
        <f t="shared" si="17"/>
        <v>1456</v>
      </c>
      <c r="AD54" s="24">
        <f t="shared" si="17"/>
        <v>0</v>
      </c>
      <c r="AE54" s="24">
        <f t="shared" si="17"/>
        <v>0</v>
      </c>
      <c r="AF54" s="24">
        <f t="shared" si="17"/>
        <v>0</v>
      </c>
      <c r="AG54" s="24">
        <f t="shared" si="17"/>
        <v>0</v>
      </c>
      <c r="AH54" s="24">
        <f t="shared" si="17"/>
        <v>0</v>
      </c>
      <c r="AI54" s="24">
        <f t="shared" si="17"/>
        <v>0</v>
      </c>
      <c r="AJ54" s="24">
        <f t="shared" si="17"/>
        <v>0</v>
      </c>
      <c r="AK54" s="24">
        <f t="shared" si="17"/>
        <v>0</v>
      </c>
      <c r="AL54" s="24">
        <f t="shared" si="17"/>
        <v>0</v>
      </c>
      <c r="AM54" s="6"/>
      <c r="AN54" s="6"/>
    </row>
    <row r="55" spans="1:40">
      <c r="A55" s="12" t="s">
        <v>129</v>
      </c>
      <c r="B55" s="12" t="s">
        <v>115</v>
      </c>
      <c r="C55" s="27"/>
      <c r="D55" s="28">
        <f t="shared" ref="D55:AL55" si="18">D29*$F$16*$H$16*$J$16</f>
        <v>0</v>
      </c>
      <c r="E55" s="28">
        <f t="shared" si="18"/>
        <v>18382</v>
      </c>
      <c r="F55" s="28">
        <f t="shared" si="18"/>
        <v>18200</v>
      </c>
      <c r="G55" s="28">
        <f t="shared" si="18"/>
        <v>0</v>
      </c>
      <c r="H55" s="28">
        <f t="shared" si="18"/>
        <v>0</v>
      </c>
      <c r="I55" s="28">
        <f t="shared" si="18"/>
        <v>0</v>
      </c>
      <c r="J55" s="28">
        <f t="shared" si="18"/>
        <v>0</v>
      </c>
      <c r="K55" s="28">
        <f t="shared" si="18"/>
        <v>7462</v>
      </c>
      <c r="L55" s="28">
        <f t="shared" si="18"/>
        <v>0</v>
      </c>
      <c r="M55" s="28">
        <f t="shared" si="18"/>
        <v>0</v>
      </c>
      <c r="N55" s="28">
        <f t="shared" si="18"/>
        <v>0</v>
      </c>
      <c r="O55" s="28">
        <f t="shared" si="18"/>
        <v>0</v>
      </c>
      <c r="P55" s="28">
        <f t="shared" si="18"/>
        <v>0</v>
      </c>
      <c r="Q55" s="28">
        <f t="shared" si="18"/>
        <v>0</v>
      </c>
      <c r="R55" s="28">
        <f t="shared" si="18"/>
        <v>0</v>
      </c>
      <c r="S55" s="28">
        <f t="shared" si="18"/>
        <v>400.4</v>
      </c>
      <c r="T55" s="28">
        <f t="shared" si="18"/>
        <v>0</v>
      </c>
      <c r="U55" s="28">
        <f t="shared" si="18"/>
        <v>0</v>
      </c>
      <c r="V55" s="28">
        <f t="shared" si="18"/>
        <v>0</v>
      </c>
      <c r="W55" s="28">
        <f t="shared" si="18"/>
        <v>52780</v>
      </c>
      <c r="X55" s="28">
        <f t="shared" si="18"/>
        <v>0</v>
      </c>
      <c r="Y55" s="28">
        <f t="shared" si="18"/>
        <v>19710.6</v>
      </c>
      <c r="Z55" s="28">
        <f t="shared" si="18"/>
        <v>0</v>
      </c>
      <c r="AA55" s="28">
        <f t="shared" si="18"/>
        <v>6188</v>
      </c>
      <c r="AB55" s="28">
        <f t="shared" si="18"/>
        <v>40677</v>
      </c>
      <c r="AC55" s="28">
        <f t="shared" si="18"/>
        <v>14560</v>
      </c>
      <c r="AD55" s="28">
        <f t="shared" si="18"/>
        <v>0</v>
      </c>
      <c r="AE55" s="28">
        <f t="shared" si="18"/>
        <v>0</v>
      </c>
      <c r="AF55" s="28">
        <f t="shared" si="18"/>
        <v>0</v>
      </c>
      <c r="AG55" s="28">
        <f t="shared" si="18"/>
        <v>0</v>
      </c>
      <c r="AH55" s="28">
        <f t="shared" si="18"/>
        <v>0</v>
      </c>
      <c r="AI55" s="28">
        <f t="shared" si="18"/>
        <v>0</v>
      </c>
      <c r="AJ55" s="28">
        <f t="shared" si="18"/>
        <v>0</v>
      </c>
      <c r="AK55" s="28">
        <f t="shared" si="18"/>
        <v>0</v>
      </c>
      <c r="AL55" s="28">
        <f t="shared" si="18"/>
        <v>0</v>
      </c>
      <c r="AM55" s="6"/>
      <c r="AN55" s="6"/>
    </row>
    <row r="56" spans="1:4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spans="1:40">
      <c r="A57" s="12" t="s">
        <v>130</v>
      </c>
      <c r="B57" s="12" t="s">
        <v>115</v>
      </c>
      <c r="C57" s="27"/>
      <c r="D57" s="28">
        <f t="shared" ref="D57:AL57" si="19">D30*$F$17*$H$17</f>
        <v>0</v>
      </c>
      <c r="E57" s="28">
        <f t="shared" si="19"/>
        <v>44933</v>
      </c>
      <c r="F57" s="28">
        <f t="shared" si="19"/>
        <v>0</v>
      </c>
      <c r="G57" s="28">
        <f t="shared" si="19"/>
        <v>0</v>
      </c>
      <c r="H57" s="28">
        <f t="shared" si="19"/>
        <v>0</v>
      </c>
      <c r="I57" s="28">
        <f t="shared" si="19"/>
        <v>0</v>
      </c>
      <c r="J57" s="28">
        <f t="shared" si="19"/>
        <v>0</v>
      </c>
      <c r="K57" s="28">
        <f t="shared" si="19"/>
        <v>51993.9</v>
      </c>
      <c r="L57" s="28">
        <f t="shared" si="19"/>
        <v>0</v>
      </c>
      <c r="M57" s="28">
        <f t="shared" si="19"/>
        <v>0</v>
      </c>
      <c r="N57" s="28">
        <f t="shared" si="19"/>
        <v>0</v>
      </c>
      <c r="O57" s="28">
        <f t="shared" si="19"/>
        <v>0</v>
      </c>
      <c r="P57" s="28">
        <f t="shared" si="19"/>
        <v>0</v>
      </c>
      <c r="Q57" s="28">
        <f t="shared" si="19"/>
        <v>0</v>
      </c>
      <c r="R57" s="28">
        <f t="shared" si="19"/>
        <v>0</v>
      </c>
      <c r="S57" s="28">
        <f t="shared" si="19"/>
        <v>5520.34</v>
      </c>
      <c r="T57" s="28">
        <f t="shared" si="19"/>
        <v>0</v>
      </c>
      <c r="U57" s="28">
        <f t="shared" si="19"/>
        <v>0</v>
      </c>
      <c r="V57" s="28">
        <f t="shared" si="19"/>
        <v>0</v>
      </c>
      <c r="W57" s="28">
        <f t="shared" si="19"/>
        <v>49490.49</v>
      </c>
      <c r="X57" s="28">
        <f t="shared" si="19"/>
        <v>0</v>
      </c>
      <c r="Y57" s="28">
        <f t="shared" si="19"/>
        <v>3787.21</v>
      </c>
      <c r="Z57" s="28">
        <f t="shared" si="19"/>
        <v>385.14</v>
      </c>
      <c r="AA57" s="28">
        <f t="shared" si="19"/>
        <v>0</v>
      </c>
      <c r="AB57" s="28">
        <f t="shared" si="19"/>
        <v>16625.21</v>
      </c>
      <c r="AC57" s="28">
        <f t="shared" si="19"/>
        <v>8986.6</v>
      </c>
      <c r="AD57" s="28">
        <f t="shared" si="19"/>
        <v>0</v>
      </c>
      <c r="AE57" s="28">
        <f t="shared" si="19"/>
        <v>0</v>
      </c>
      <c r="AF57" s="28">
        <f t="shared" si="19"/>
        <v>0</v>
      </c>
      <c r="AG57" s="28">
        <f t="shared" si="19"/>
        <v>0</v>
      </c>
      <c r="AH57" s="28">
        <f t="shared" si="19"/>
        <v>0</v>
      </c>
      <c r="AI57" s="28">
        <f t="shared" si="19"/>
        <v>4429.11</v>
      </c>
      <c r="AJ57" s="28">
        <f t="shared" si="19"/>
        <v>0</v>
      </c>
      <c r="AK57" s="28">
        <f t="shared" si="19"/>
        <v>0</v>
      </c>
      <c r="AL57" s="28">
        <f t="shared" si="19"/>
        <v>0</v>
      </c>
      <c r="AM57" s="6"/>
      <c r="AN57" s="6"/>
    </row>
    <row r="58" spans="1:40">
      <c r="A58" s="20" t="s">
        <v>131</v>
      </c>
      <c r="B58" s="20" t="s">
        <v>115</v>
      </c>
      <c r="C58" s="29"/>
      <c r="D58" s="24">
        <f t="shared" ref="D58:AL58" si="20">D30*$F$17*$H$17*$I$17</f>
        <v>0</v>
      </c>
      <c r="E58" s="24">
        <f t="shared" si="20"/>
        <v>44933</v>
      </c>
      <c r="F58" s="24">
        <f t="shared" si="20"/>
        <v>0</v>
      </c>
      <c r="G58" s="24">
        <f t="shared" si="20"/>
        <v>0</v>
      </c>
      <c r="H58" s="24">
        <f t="shared" si="20"/>
        <v>0</v>
      </c>
      <c r="I58" s="24">
        <f t="shared" si="20"/>
        <v>0</v>
      </c>
      <c r="J58" s="24">
        <f t="shared" si="20"/>
        <v>0</v>
      </c>
      <c r="K58" s="24">
        <f t="shared" si="20"/>
        <v>51993.9</v>
      </c>
      <c r="L58" s="24">
        <f t="shared" si="20"/>
        <v>0</v>
      </c>
      <c r="M58" s="24">
        <f t="shared" si="20"/>
        <v>0</v>
      </c>
      <c r="N58" s="24">
        <f t="shared" si="20"/>
        <v>0</v>
      </c>
      <c r="O58" s="24">
        <f t="shared" si="20"/>
        <v>0</v>
      </c>
      <c r="P58" s="24">
        <f t="shared" si="20"/>
        <v>0</v>
      </c>
      <c r="Q58" s="24">
        <f t="shared" si="20"/>
        <v>0</v>
      </c>
      <c r="R58" s="24">
        <f t="shared" si="20"/>
        <v>0</v>
      </c>
      <c r="S58" s="24">
        <f t="shared" si="20"/>
        <v>5520.34</v>
      </c>
      <c r="T58" s="24">
        <f t="shared" si="20"/>
        <v>0</v>
      </c>
      <c r="U58" s="24">
        <f t="shared" si="20"/>
        <v>0</v>
      </c>
      <c r="V58" s="24">
        <f t="shared" si="20"/>
        <v>0</v>
      </c>
      <c r="W58" s="24">
        <f t="shared" si="20"/>
        <v>49490.49</v>
      </c>
      <c r="X58" s="24">
        <f t="shared" si="20"/>
        <v>0</v>
      </c>
      <c r="Y58" s="24">
        <f t="shared" si="20"/>
        <v>3787.21</v>
      </c>
      <c r="Z58" s="24">
        <f t="shared" si="20"/>
        <v>385.14</v>
      </c>
      <c r="AA58" s="24">
        <f t="shared" si="20"/>
        <v>0</v>
      </c>
      <c r="AB58" s="24">
        <f t="shared" si="20"/>
        <v>16625.21</v>
      </c>
      <c r="AC58" s="24">
        <f t="shared" si="20"/>
        <v>8986.6</v>
      </c>
      <c r="AD58" s="24">
        <f t="shared" si="20"/>
        <v>0</v>
      </c>
      <c r="AE58" s="24">
        <f t="shared" si="20"/>
        <v>0</v>
      </c>
      <c r="AF58" s="24">
        <f t="shared" si="20"/>
        <v>0</v>
      </c>
      <c r="AG58" s="24">
        <f t="shared" si="20"/>
        <v>0</v>
      </c>
      <c r="AH58" s="24">
        <f t="shared" si="20"/>
        <v>0</v>
      </c>
      <c r="AI58" s="24">
        <f t="shared" si="20"/>
        <v>4429.11</v>
      </c>
      <c r="AJ58" s="24">
        <f t="shared" si="20"/>
        <v>0</v>
      </c>
      <c r="AK58" s="24">
        <f t="shared" si="20"/>
        <v>0</v>
      </c>
      <c r="AL58" s="24">
        <f t="shared" si="20"/>
        <v>0</v>
      </c>
      <c r="AM58" s="6"/>
      <c r="AN58" s="6"/>
    </row>
    <row r="59" spans="1:40">
      <c r="A59" s="12" t="s">
        <v>132</v>
      </c>
      <c r="B59" s="12" t="s">
        <v>115</v>
      </c>
      <c r="C59" s="27"/>
      <c r="D59" s="28">
        <f t="shared" ref="D59:AL59" si="21">D30*$F$17*$H$17*$J$17</f>
        <v>0</v>
      </c>
      <c r="E59" s="28">
        <f t="shared" si="21"/>
        <v>449330</v>
      </c>
      <c r="F59" s="28">
        <f t="shared" si="21"/>
        <v>0</v>
      </c>
      <c r="G59" s="28">
        <f t="shared" si="21"/>
        <v>0</v>
      </c>
      <c r="H59" s="28">
        <f t="shared" si="21"/>
        <v>0</v>
      </c>
      <c r="I59" s="28">
        <f t="shared" si="21"/>
        <v>0</v>
      </c>
      <c r="J59" s="28">
        <f t="shared" si="21"/>
        <v>0</v>
      </c>
      <c r="K59" s="28">
        <f t="shared" si="21"/>
        <v>519939</v>
      </c>
      <c r="L59" s="28">
        <f t="shared" si="21"/>
        <v>0</v>
      </c>
      <c r="M59" s="28">
        <f t="shared" si="21"/>
        <v>0</v>
      </c>
      <c r="N59" s="28">
        <f t="shared" si="21"/>
        <v>0</v>
      </c>
      <c r="O59" s="28">
        <f t="shared" si="21"/>
        <v>0</v>
      </c>
      <c r="P59" s="28">
        <f t="shared" si="21"/>
        <v>0</v>
      </c>
      <c r="Q59" s="28">
        <f t="shared" si="21"/>
        <v>0</v>
      </c>
      <c r="R59" s="28">
        <f t="shared" si="21"/>
        <v>0</v>
      </c>
      <c r="S59" s="28">
        <f t="shared" si="21"/>
        <v>55203.4</v>
      </c>
      <c r="T59" s="28">
        <f t="shared" si="21"/>
        <v>0</v>
      </c>
      <c r="U59" s="28">
        <f t="shared" si="21"/>
        <v>0</v>
      </c>
      <c r="V59" s="28">
        <f t="shared" si="21"/>
        <v>0</v>
      </c>
      <c r="W59" s="28">
        <f t="shared" si="21"/>
        <v>494904.9</v>
      </c>
      <c r="X59" s="28">
        <f t="shared" si="21"/>
        <v>0</v>
      </c>
      <c r="Y59" s="28">
        <f t="shared" si="21"/>
        <v>37872.1</v>
      </c>
      <c r="Z59" s="28">
        <f t="shared" si="21"/>
        <v>3851.4</v>
      </c>
      <c r="AA59" s="28">
        <f t="shared" si="21"/>
        <v>0</v>
      </c>
      <c r="AB59" s="28">
        <f t="shared" si="21"/>
        <v>166252.1</v>
      </c>
      <c r="AC59" s="28">
        <f t="shared" si="21"/>
        <v>89866</v>
      </c>
      <c r="AD59" s="28">
        <f t="shared" si="21"/>
        <v>0</v>
      </c>
      <c r="AE59" s="28">
        <f t="shared" si="21"/>
        <v>0</v>
      </c>
      <c r="AF59" s="28">
        <f t="shared" si="21"/>
        <v>0</v>
      </c>
      <c r="AG59" s="28">
        <f t="shared" si="21"/>
        <v>0</v>
      </c>
      <c r="AH59" s="28">
        <f t="shared" si="21"/>
        <v>0</v>
      </c>
      <c r="AI59" s="28">
        <f t="shared" si="21"/>
        <v>44291.1</v>
      </c>
      <c r="AJ59" s="28">
        <f t="shared" si="21"/>
        <v>0</v>
      </c>
      <c r="AK59" s="28">
        <f t="shared" si="21"/>
        <v>0</v>
      </c>
      <c r="AL59" s="28">
        <f t="shared" si="21"/>
        <v>0</v>
      </c>
      <c r="AM59" s="6"/>
      <c r="AN59" s="6"/>
    </row>
    <row r="60" spans="1:4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>
      <c r="A62" s="10" t="s">
        <v>133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>
      <c r="A63" s="7" t="s">
        <v>134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>
      <c r="A64" s="7" t="s">
        <v>135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1:40">
      <c r="A65" s="7" t="s">
        <v>136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1:40">
      <c r="A66" s="7" t="s">
        <v>137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1:40">
      <c r="A67" s="7" t="s">
        <v>138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1:40">
      <c r="A68" s="7" t="s">
        <v>139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1:40">
      <c r="A69" s="7" t="s">
        <v>140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1:40">
      <c r="A70" s="7" t="s">
        <v>141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</row>
    <row r="71" spans="1:4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</row>
    <row r="72" spans="1:4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</row>
    <row r="73" spans="1:4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 spans="1:4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 spans="1:4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 spans="1:4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 spans="1:4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 spans="1:4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</row>
    <row r="79" spans="1:4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spans="1:4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topLeftCell="M1" workbookViewId="0">
      <selection activeCell="P18" sqref="P18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 s="4">
        <f t="shared" ref="O6:O11" si="1">N6*1.1</f>
        <v>25.4529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 s="4">
        <f t="shared" si="1"/>
        <v>46.7599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 s="4">
        <f t="shared" si="1"/>
        <v>1.485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 s="4">
        <f t="shared" si="1"/>
        <v>13.0954428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 s="4">
        <f t="shared" si="1"/>
        <v>32.0110824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 s="4">
        <f t="shared" si="1"/>
        <v>2.86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  <c r="M15" s="1">
        <v>13.86</v>
      </c>
      <c r="N15" s="1">
        <v>22.45</v>
      </c>
      <c r="O15" s="1">
        <v>27.69</v>
      </c>
    </row>
    <row r="16" spans="1:18">
      <c r="A16" t="s">
        <v>185</v>
      </c>
      <c r="B16" t="s">
        <v>186</v>
      </c>
      <c r="M16" s="1">
        <v>14.288</v>
      </c>
      <c r="N16" s="1">
        <v>23.139</v>
      </c>
      <c r="O16" s="1">
        <v>73.349</v>
      </c>
    </row>
    <row r="17" spans="1:15">
      <c r="A17" t="s">
        <v>187</v>
      </c>
      <c r="B17" t="s">
        <v>188</v>
      </c>
      <c r="M17" s="1">
        <v>29.844</v>
      </c>
      <c r="N17" s="1">
        <v>42.509</v>
      </c>
      <c r="O17" s="1">
        <v>94.182</v>
      </c>
    </row>
    <row r="18" spans="1:15">
      <c r="A18" t="s">
        <v>189</v>
      </c>
      <c r="B18" t="s">
        <v>190</v>
      </c>
      <c r="M18" s="1">
        <v>0.45</v>
      </c>
      <c r="N18" s="1">
        <v>1.35</v>
      </c>
      <c r="O18" s="1">
        <v>2.25</v>
      </c>
    </row>
    <row r="19" spans="1:15">
      <c r="A19" t="s">
        <v>191</v>
      </c>
      <c r="B19" t="s">
        <v>192</v>
      </c>
      <c r="M19" s="1">
        <v>3.968316</v>
      </c>
      <c r="N19" s="1">
        <v>11.904948</v>
      </c>
      <c r="O19" s="1">
        <v>19.84158</v>
      </c>
    </row>
    <row r="20" spans="1:15">
      <c r="A20" t="s">
        <v>193</v>
      </c>
      <c r="B20" t="s">
        <v>194</v>
      </c>
      <c r="M20" s="1">
        <v>9.700328</v>
      </c>
      <c r="N20" s="1">
        <v>29.100984</v>
      </c>
      <c r="O20" s="1">
        <v>48.50164</v>
      </c>
    </row>
    <row r="21" spans="1:15">
      <c r="M21" s="1">
        <v>1</v>
      </c>
      <c r="N21" s="1">
        <v>2.6</v>
      </c>
      <c r="O21" s="1">
        <v>7.245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opLeftCell="B1" workbookViewId="0">
      <selection activeCell="D16" sqref="D16"/>
    </sheetView>
  </sheetViews>
  <sheetFormatPr defaultColWidth="9" defaultRowHeight="14.5" outlineLevelCol="6"/>
  <cols>
    <col min="1" max="5" width="20" style="1" customWidth="1"/>
    <col min="6" max="6" width="71" style="1" customWidth="1"/>
    <col min="7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zoomScale="73" zoomScaleNormal="73" topLeftCell="A37" workbookViewId="0">
      <selection activeCell="F49" sqref="F49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25.4529</v>
      </c>
      <c r="G59">
        <f>Codex_sources!$O$6</f>
        <v>25.4529</v>
      </c>
      <c r="H59">
        <f>Codex_sources!$O$6</f>
        <v>25.4529</v>
      </c>
      <c r="I59">
        <f>Codex_sources!$O$6</f>
        <v>25.4529</v>
      </c>
      <c r="J59">
        <f>Codex_sources!$O$6</f>
        <v>25.4529</v>
      </c>
      <c r="K59">
        <f>Codex_sources!$O$6</f>
        <v>25.4529</v>
      </c>
      <c r="L59">
        <f>Codex_sources!$O$6</f>
        <v>25.4529</v>
      </c>
      <c r="M59">
        <f>Codex_sources!$O$6</f>
        <v>25.4529</v>
      </c>
      <c r="N59">
        <f>Codex_sources!$O$6</f>
        <v>25.4529</v>
      </c>
      <c r="O59">
        <f>Codex_sources!$O$6</f>
        <v>25.4529</v>
      </c>
      <c r="P59">
        <f>Codex_sources!$O$6</f>
        <v>25.4529</v>
      </c>
      <c r="Q59">
        <f>Codex_sources!$O$6</f>
        <v>25.4529</v>
      </c>
      <c r="R59">
        <f>Codex_sources!$O$6</f>
        <v>25.4529</v>
      </c>
      <c r="S59">
        <f>Codex_sources!$O$6</f>
        <v>25.4529</v>
      </c>
      <c r="T59">
        <f>Codex_sources!$O$6</f>
        <v>25.4529</v>
      </c>
      <c r="U59">
        <f>Codex_sources!$O$6</f>
        <v>25.4529</v>
      </c>
      <c r="V59">
        <f>Codex_sources!$O$6</f>
        <v>25.4529</v>
      </c>
      <c r="W59">
        <f>Codex_sources!$O$6</f>
        <v>25.4529</v>
      </c>
      <c r="X59">
        <f>Codex_sources!$O$6</f>
        <v>25.4529</v>
      </c>
      <c r="Y59">
        <f>Codex_sources!$O$6</f>
        <v>25.4529</v>
      </c>
      <c r="Z59">
        <f>Codex_sources!$O$6</f>
        <v>25.4529</v>
      </c>
      <c r="AA59">
        <f>Codex_sources!$O$6</f>
        <v>25.4529</v>
      </c>
      <c r="AB59">
        <f>Codex_sources!$O$6</f>
        <v>25.4529</v>
      </c>
      <c r="AC59">
        <f>Codex_sources!$O$6</f>
        <v>25.4529</v>
      </c>
      <c r="AD59">
        <f>Codex_sources!$O$6</f>
        <v>25.4529</v>
      </c>
      <c r="AE59">
        <f>Codex_sources!$O$6</f>
        <v>25.4529</v>
      </c>
      <c r="AF59">
        <f>Codex_sources!$O$6</f>
        <v>25.4529</v>
      </c>
      <c r="AG59">
        <f>Codex_sources!$O$6</f>
        <v>25.4529</v>
      </c>
      <c r="AH59">
        <f>Codex_sources!$O$6</f>
        <v>25.4529</v>
      </c>
      <c r="AI59">
        <f>Codex_sources!$O$6</f>
        <v>25.4529</v>
      </c>
      <c r="AJ59">
        <f>Codex_sources!$O$6</f>
        <v>25.4529</v>
      </c>
      <c r="AK59">
        <f>Codex_sources!$O$6</f>
        <v>25.4529</v>
      </c>
      <c r="AL59">
        <f>Codex_sources!$O$6</f>
        <v>25.4529</v>
      </c>
      <c r="AM59">
        <f>Codex_sources!$O$6</f>
        <v>25.4529</v>
      </c>
      <c r="AN59">
        <f>Codex_sources!$O$6</f>
        <v>25.4529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46.7599</v>
      </c>
      <c r="G69">
        <f>Codex_sources!$O$7</f>
        <v>46.7599</v>
      </c>
      <c r="H69">
        <f>Codex_sources!$O$7</f>
        <v>46.7599</v>
      </c>
      <c r="I69">
        <f>Codex_sources!$O$7</f>
        <v>46.7599</v>
      </c>
      <c r="J69">
        <f>Codex_sources!$O$7</f>
        <v>46.7599</v>
      </c>
      <c r="K69">
        <f>Codex_sources!$O$7</f>
        <v>46.7599</v>
      </c>
      <c r="L69">
        <f>Codex_sources!$O$7</f>
        <v>46.7599</v>
      </c>
      <c r="M69">
        <f>Codex_sources!$O$7</f>
        <v>46.7599</v>
      </c>
      <c r="N69">
        <f>Codex_sources!$O$7</f>
        <v>46.7599</v>
      </c>
      <c r="O69">
        <f>Codex_sources!$O$7</f>
        <v>46.7599</v>
      </c>
      <c r="P69">
        <f>Codex_sources!$O$7</f>
        <v>46.7599</v>
      </c>
      <c r="Q69">
        <f>Codex_sources!$O$7</f>
        <v>46.7599</v>
      </c>
      <c r="R69">
        <f>Codex_sources!$O$7</f>
        <v>46.7599</v>
      </c>
      <c r="S69">
        <f>Codex_sources!$O$7</f>
        <v>46.7599</v>
      </c>
      <c r="T69">
        <f>Codex_sources!$O$7</f>
        <v>46.7599</v>
      </c>
      <c r="U69">
        <f>Codex_sources!$O$7</f>
        <v>46.7599</v>
      </c>
      <c r="V69">
        <f>Codex_sources!$O$7</f>
        <v>46.7599</v>
      </c>
      <c r="W69">
        <f>Codex_sources!$O$7</f>
        <v>46.7599</v>
      </c>
      <c r="X69">
        <f>Codex_sources!$O$7</f>
        <v>46.7599</v>
      </c>
      <c r="Y69">
        <f>Codex_sources!$O$7</f>
        <v>46.7599</v>
      </c>
      <c r="Z69">
        <f>Codex_sources!$O$7</f>
        <v>46.7599</v>
      </c>
      <c r="AA69">
        <f>Codex_sources!$O$7</f>
        <v>46.7599</v>
      </c>
      <c r="AB69">
        <f>Codex_sources!$O$7</f>
        <v>46.7599</v>
      </c>
      <c r="AC69">
        <f>Codex_sources!$O$7</f>
        <v>46.7599</v>
      </c>
      <c r="AD69">
        <f>Codex_sources!$O$7</f>
        <v>46.7599</v>
      </c>
      <c r="AE69">
        <f>Codex_sources!$O$7</f>
        <v>46.7599</v>
      </c>
      <c r="AF69">
        <f>Codex_sources!$O$7</f>
        <v>46.7599</v>
      </c>
      <c r="AG69">
        <f>Codex_sources!$O$7</f>
        <v>46.7599</v>
      </c>
      <c r="AH69">
        <f>Codex_sources!$O$7</f>
        <v>46.7599</v>
      </c>
      <c r="AI69">
        <f>Codex_sources!$O$7</f>
        <v>46.7599</v>
      </c>
      <c r="AJ69">
        <f>Codex_sources!$O$7</f>
        <v>46.7599</v>
      </c>
      <c r="AK69">
        <f>Codex_sources!$O$7</f>
        <v>46.7599</v>
      </c>
      <c r="AL69">
        <f>Codex_sources!$O$7</f>
        <v>46.7599</v>
      </c>
      <c r="AM69">
        <f>Codex_sources!$O$7</f>
        <v>46.7599</v>
      </c>
      <c r="AN69">
        <f>Codex_sources!$O$7</f>
        <v>46.7599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1.485</v>
      </c>
      <c r="G79">
        <f>Codex_sources!$O$8</f>
        <v>1.485</v>
      </c>
      <c r="H79">
        <f>Codex_sources!$O$8</f>
        <v>1.485</v>
      </c>
      <c r="I79">
        <f>Codex_sources!$O$8</f>
        <v>1.485</v>
      </c>
      <c r="J79">
        <f>Codex_sources!$O$8</f>
        <v>1.485</v>
      </c>
      <c r="K79">
        <f>Codex_sources!$O$8</f>
        <v>1.485</v>
      </c>
      <c r="L79">
        <f>Codex_sources!$O$8</f>
        <v>1.485</v>
      </c>
      <c r="M79">
        <f>Codex_sources!$O$8</f>
        <v>1.485</v>
      </c>
      <c r="N79">
        <f>Codex_sources!$O$8</f>
        <v>1.485</v>
      </c>
      <c r="O79">
        <f>Codex_sources!$O$8</f>
        <v>1.485</v>
      </c>
      <c r="P79">
        <f>Codex_sources!$O$8</f>
        <v>1.485</v>
      </c>
      <c r="Q79">
        <f>Codex_sources!$O$8</f>
        <v>1.485</v>
      </c>
      <c r="R79">
        <f>Codex_sources!$O$8</f>
        <v>1.485</v>
      </c>
      <c r="S79">
        <f>Codex_sources!$O$8</f>
        <v>1.485</v>
      </c>
      <c r="T79">
        <f>Codex_sources!$O$8</f>
        <v>1.485</v>
      </c>
      <c r="U79">
        <f>Codex_sources!$O$8</f>
        <v>1.485</v>
      </c>
      <c r="V79">
        <f>Codex_sources!$O$8</f>
        <v>1.485</v>
      </c>
      <c r="W79">
        <f>Codex_sources!$O$8</f>
        <v>1.485</v>
      </c>
      <c r="X79">
        <f>Codex_sources!$O$8</f>
        <v>1.485</v>
      </c>
      <c r="Y79">
        <f>Codex_sources!$O$8</f>
        <v>1.485</v>
      </c>
      <c r="Z79">
        <f>Codex_sources!$O$8</f>
        <v>1.485</v>
      </c>
      <c r="AA79">
        <f>Codex_sources!$O$8</f>
        <v>1.485</v>
      </c>
      <c r="AB79">
        <f>Codex_sources!$O$8</f>
        <v>1.485</v>
      </c>
      <c r="AC79">
        <f>Codex_sources!$O$8</f>
        <v>1.485</v>
      </c>
      <c r="AD79">
        <f>Codex_sources!$O$8</f>
        <v>1.485</v>
      </c>
      <c r="AE79">
        <f>Codex_sources!$O$8</f>
        <v>1.485</v>
      </c>
      <c r="AF79">
        <f>Codex_sources!$O$8</f>
        <v>1.485</v>
      </c>
      <c r="AG79">
        <f>Codex_sources!$O$8</f>
        <v>1.485</v>
      </c>
      <c r="AH79">
        <f>Codex_sources!$O$8</f>
        <v>1.485</v>
      </c>
      <c r="AI79">
        <f>Codex_sources!$O$8</f>
        <v>1.485</v>
      </c>
      <c r="AJ79">
        <f>Codex_sources!$O$8</f>
        <v>1.485</v>
      </c>
      <c r="AK79">
        <f>Codex_sources!$O$8</f>
        <v>1.485</v>
      </c>
      <c r="AL79">
        <f>Codex_sources!$O$8</f>
        <v>1.485</v>
      </c>
      <c r="AM79">
        <f>Codex_sources!$O$8</f>
        <v>1.485</v>
      </c>
      <c r="AN79">
        <f>Codex_sources!$O$8</f>
        <v>1.485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13.0954428</v>
      </c>
      <c r="G89">
        <f>Codex_sources!$O$9</f>
        <v>13.0954428</v>
      </c>
      <c r="H89">
        <f>Codex_sources!$O$9</f>
        <v>13.0954428</v>
      </c>
      <c r="I89">
        <f>Codex_sources!$O$9</f>
        <v>13.0954428</v>
      </c>
      <c r="J89">
        <f>Codex_sources!$O$9</f>
        <v>13.0954428</v>
      </c>
      <c r="K89">
        <f>Codex_sources!$O$9</f>
        <v>13.0954428</v>
      </c>
      <c r="L89">
        <f>Codex_sources!$O$9</f>
        <v>13.0954428</v>
      </c>
      <c r="M89">
        <f>Codex_sources!$O$9</f>
        <v>13.0954428</v>
      </c>
      <c r="N89">
        <f>Codex_sources!$O$9</f>
        <v>13.0954428</v>
      </c>
      <c r="O89">
        <f>Codex_sources!$O$9</f>
        <v>13.0954428</v>
      </c>
      <c r="P89">
        <f>Codex_sources!$O$9</f>
        <v>13.0954428</v>
      </c>
      <c r="Q89">
        <f>Codex_sources!$O$9</f>
        <v>13.0954428</v>
      </c>
      <c r="R89">
        <f>Codex_sources!$O$9</f>
        <v>13.0954428</v>
      </c>
      <c r="S89">
        <f>Codex_sources!$O$9</f>
        <v>13.0954428</v>
      </c>
      <c r="T89">
        <f>Codex_sources!$O$9</f>
        <v>13.0954428</v>
      </c>
      <c r="U89">
        <f>Codex_sources!$O$9</f>
        <v>13.0954428</v>
      </c>
      <c r="V89">
        <f>Codex_sources!$O$9</f>
        <v>13.0954428</v>
      </c>
      <c r="W89">
        <f>Codex_sources!$O$9</f>
        <v>13.0954428</v>
      </c>
      <c r="X89">
        <f>Codex_sources!$O$9</f>
        <v>13.0954428</v>
      </c>
      <c r="Y89">
        <f>Codex_sources!$O$9</f>
        <v>13.0954428</v>
      </c>
      <c r="Z89">
        <f>Codex_sources!$O$9</f>
        <v>13.0954428</v>
      </c>
      <c r="AA89">
        <f>Codex_sources!$O$9</f>
        <v>13.0954428</v>
      </c>
      <c r="AB89">
        <f>Codex_sources!$O$9</f>
        <v>13.0954428</v>
      </c>
      <c r="AC89">
        <f>Codex_sources!$O$9</f>
        <v>13.0954428</v>
      </c>
      <c r="AD89">
        <f>Codex_sources!$O$9</f>
        <v>13.0954428</v>
      </c>
      <c r="AE89">
        <f>Codex_sources!$O$9</f>
        <v>13.0954428</v>
      </c>
      <c r="AF89">
        <f>Codex_sources!$O$9</f>
        <v>13.0954428</v>
      </c>
      <c r="AG89">
        <f>Codex_sources!$O$9</f>
        <v>13.0954428</v>
      </c>
      <c r="AH89">
        <f>Codex_sources!$O$9</f>
        <v>13.0954428</v>
      </c>
      <c r="AI89">
        <f>Codex_sources!$O$9</f>
        <v>13.0954428</v>
      </c>
      <c r="AJ89">
        <f>Codex_sources!$O$9</f>
        <v>13.0954428</v>
      </c>
      <c r="AK89">
        <f>Codex_sources!$O$9</f>
        <v>13.0954428</v>
      </c>
      <c r="AL89">
        <f>Codex_sources!$O$9</f>
        <v>13.0954428</v>
      </c>
      <c r="AM89">
        <f>Codex_sources!$O$9</f>
        <v>13.0954428</v>
      </c>
      <c r="AN89">
        <f>Codex_sources!$O$9</f>
        <v>13.0954428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32.0110824</v>
      </c>
      <c r="G99">
        <f>Codex_sources!$O$10</f>
        <v>32.0110824</v>
      </c>
      <c r="H99">
        <f>Codex_sources!$O$10</f>
        <v>32.0110824</v>
      </c>
      <c r="I99">
        <f>Codex_sources!$O$10</f>
        <v>32.0110824</v>
      </c>
      <c r="J99">
        <f>Codex_sources!$O$10</f>
        <v>32.0110824</v>
      </c>
      <c r="K99">
        <f>Codex_sources!$O$10</f>
        <v>32.0110824</v>
      </c>
      <c r="L99">
        <f>Codex_sources!$O$10</f>
        <v>32.0110824</v>
      </c>
      <c r="M99">
        <f>Codex_sources!$O$10</f>
        <v>32.0110824</v>
      </c>
      <c r="N99">
        <f>Codex_sources!$O$10</f>
        <v>32.0110824</v>
      </c>
      <c r="O99">
        <f>Codex_sources!$O$10</f>
        <v>32.0110824</v>
      </c>
      <c r="P99">
        <f>Codex_sources!$O$10</f>
        <v>32.0110824</v>
      </c>
      <c r="Q99">
        <f>Codex_sources!$O$10</f>
        <v>32.0110824</v>
      </c>
      <c r="R99">
        <f>Codex_sources!$O$10</f>
        <v>32.0110824</v>
      </c>
      <c r="S99">
        <f>Codex_sources!$O$10</f>
        <v>32.0110824</v>
      </c>
      <c r="T99">
        <f>Codex_sources!$O$10</f>
        <v>32.0110824</v>
      </c>
      <c r="U99">
        <f>Codex_sources!$O$10</f>
        <v>32.0110824</v>
      </c>
      <c r="V99">
        <f>Codex_sources!$O$10</f>
        <v>32.0110824</v>
      </c>
      <c r="W99">
        <f>Codex_sources!$O$10</f>
        <v>32.0110824</v>
      </c>
      <c r="X99">
        <f>Codex_sources!$O$10</f>
        <v>32.0110824</v>
      </c>
      <c r="Y99">
        <f>Codex_sources!$O$10</f>
        <v>32.0110824</v>
      </c>
      <c r="Z99">
        <f>Codex_sources!$O$10</f>
        <v>32.0110824</v>
      </c>
      <c r="AA99">
        <f>Codex_sources!$O$10</f>
        <v>32.0110824</v>
      </c>
      <c r="AB99">
        <f>Codex_sources!$O$10</f>
        <v>32.0110824</v>
      </c>
      <c r="AC99">
        <f>Codex_sources!$O$10</f>
        <v>32.0110824</v>
      </c>
      <c r="AD99">
        <f>Codex_sources!$O$10</f>
        <v>32.0110824</v>
      </c>
      <c r="AE99">
        <f>Codex_sources!$O$10</f>
        <v>32.0110824</v>
      </c>
      <c r="AF99">
        <f>Codex_sources!$O$10</f>
        <v>32.0110824</v>
      </c>
      <c r="AG99">
        <f>Codex_sources!$O$10</f>
        <v>32.0110824</v>
      </c>
      <c r="AH99">
        <f>Codex_sources!$O$10</f>
        <v>32.0110824</v>
      </c>
      <c r="AI99">
        <f>Codex_sources!$O$10</f>
        <v>32.0110824</v>
      </c>
      <c r="AJ99">
        <f>Codex_sources!$O$10</f>
        <v>32.0110824</v>
      </c>
      <c r="AK99">
        <f>Codex_sources!$O$10</f>
        <v>32.0110824</v>
      </c>
      <c r="AL99">
        <f>Codex_sources!$O$10</f>
        <v>32.0110824</v>
      </c>
      <c r="AM99">
        <f>Codex_sources!$O$10</f>
        <v>32.0110824</v>
      </c>
      <c r="AN99">
        <f>Codex_sources!$O$10</f>
        <v>32.0110824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2.86</v>
      </c>
      <c r="G109">
        <f>Codex_sources!$O$11</f>
        <v>2.86</v>
      </c>
      <c r="H109">
        <f>Codex_sources!$O$11</f>
        <v>2.86</v>
      </c>
      <c r="I109">
        <f>Codex_sources!$O$11</f>
        <v>2.86</v>
      </c>
      <c r="J109">
        <f>Codex_sources!$O$11</f>
        <v>2.86</v>
      </c>
      <c r="K109">
        <f>Codex_sources!$O$11</f>
        <v>2.86</v>
      </c>
      <c r="L109">
        <f>Codex_sources!$O$11</f>
        <v>2.86</v>
      </c>
      <c r="M109">
        <f>Codex_sources!$O$11</f>
        <v>2.86</v>
      </c>
      <c r="N109">
        <f>Codex_sources!$O$11</f>
        <v>2.86</v>
      </c>
      <c r="O109">
        <f>Codex_sources!$O$11</f>
        <v>2.86</v>
      </c>
      <c r="P109">
        <f>Codex_sources!$O$11</f>
        <v>2.86</v>
      </c>
      <c r="Q109">
        <f>Codex_sources!$O$11</f>
        <v>2.86</v>
      </c>
      <c r="R109">
        <f>Codex_sources!$O$11</f>
        <v>2.86</v>
      </c>
      <c r="S109">
        <f>Codex_sources!$O$11</f>
        <v>2.86</v>
      </c>
      <c r="T109">
        <f>Codex_sources!$O$11</f>
        <v>2.86</v>
      </c>
      <c r="U109">
        <f>Codex_sources!$O$11</f>
        <v>2.86</v>
      </c>
      <c r="V109">
        <f>Codex_sources!$O$11</f>
        <v>2.86</v>
      </c>
      <c r="W109">
        <f>Codex_sources!$O$11</f>
        <v>2.86</v>
      </c>
      <c r="X109">
        <f>Codex_sources!$O$11</f>
        <v>2.86</v>
      </c>
      <c r="Y109">
        <f>Codex_sources!$O$11</f>
        <v>2.86</v>
      </c>
      <c r="Z109">
        <f>Codex_sources!$O$11</f>
        <v>2.86</v>
      </c>
      <c r="AA109">
        <f>Codex_sources!$O$11</f>
        <v>2.86</v>
      </c>
      <c r="AB109">
        <f>Codex_sources!$O$11</f>
        <v>2.86</v>
      </c>
      <c r="AC109">
        <f>Codex_sources!$O$11</f>
        <v>2.86</v>
      </c>
      <c r="AD109">
        <f>Codex_sources!$O$11</f>
        <v>2.86</v>
      </c>
      <c r="AE109">
        <f>Codex_sources!$O$11</f>
        <v>2.86</v>
      </c>
      <c r="AF109">
        <f>Codex_sources!$O$11</f>
        <v>2.86</v>
      </c>
      <c r="AG109">
        <f>Codex_sources!$O$11</f>
        <v>2.86</v>
      </c>
      <c r="AH109">
        <f>Codex_sources!$O$11</f>
        <v>2.86</v>
      </c>
      <c r="AI109">
        <f>Codex_sources!$O$11</f>
        <v>2.86</v>
      </c>
      <c r="AJ109">
        <f>Codex_sources!$O$11</f>
        <v>2.86</v>
      </c>
      <c r="AK109">
        <f>Codex_sources!$O$11</f>
        <v>2.86</v>
      </c>
      <c r="AL109">
        <f>Codex_sources!$O$11</f>
        <v>2.86</v>
      </c>
      <c r="AM109">
        <f>Codex_sources!$O$11</f>
        <v>2.86</v>
      </c>
      <c r="AN109">
        <f>Codex_sources!$O$11</f>
        <v>2.86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E15" sqref="E15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Scen_usingStepMining_n_mute_ori</vt:lpstr>
      <vt:lpstr>Scen_usingStepMining_n_mute_(2)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2026-09-01T11:22:15Z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