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8350" windowHeight="8710" tabRatio="600" firstSheet="0" activeTab="0" autoFilterDateGrouping="1"/>
  </bookViews>
  <sheets>
    <sheet xmlns:r="http://schemas.openxmlformats.org/officeDocument/2006/relationships" name="Scen_usingStepMining_n_mute_ori" sheetId="1" state="visible" r:id="rId1"/>
    <sheet xmlns:r="http://schemas.openxmlformats.org/officeDocument/2006/relationships" name="attache--data--from" sheetId="2" state="visible" r:id="rId2"/>
    <sheet xmlns:r="http://schemas.openxmlformats.org/officeDocument/2006/relationships" name="Codex_update_note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_ "/>
    <numFmt numFmtId="167" formatCode="_-&quot;$&quot;* #,##0.00_-;\-&quot;$&quot;* #,##0.00_-;_-&quot;$&quot;* \-??_-;_-@_-"/>
    <numFmt numFmtId="168" formatCode="_-&quot;$&quot;* #,##0_-;\-&quot;$&quot;* #,##0_-;_-&quot;$&quot;* &quot;-&quot;_-;_-@_-"/>
  </numFmts>
  <fonts count="32">
    <font>
      <name val="Calibri"/>
      <charset val="134"/>
      <color theme="1"/>
      <sz val="11"/>
      <scheme val="minor"/>
    </font>
    <font>
      <name val="Arial"/>
      <charset val="1"/>
      <b val="1"/>
      <sz val="14"/>
    </font>
    <font>
      <name val="Calibri"/>
      <charset val="1"/>
      <color theme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1F4E79"/>
      <sz val="11"/>
    </font>
    <font>
      <name val="Arial"/>
      <charset val="1"/>
      <b val="1"/>
      <color rgb="FFC00000"/>
      <sz val="9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color rgb="FF0000FF"/>
      <sz val="10"/>
    </font>
    <font>
      <name val="Arial"/>
      <charset val="1"/>
      <i val="1"/>
      <color rgb="FF0000FF"/>
      <sz val="10"/>
    </font>
    <font>
      <name val="Arial"/>
      <charset val="1"/>
      <b val="1"/>
      <color rgb="FFC00000"/>
      <sz val="10"/>
    </font>
    <font>
      <name val="Arial"/>
      <charset val="134"/>
      <sz val="10"/>
    </font>
    <font>
      <name val="Segoe UI"/>
      <charset val="134"/>
      <color rgb="FF212529"/>
      <sz val="10.2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CE4E4"/>
        <bgColor rgb="FFDDEBF7"/>
      </patternFill>
    </fill>
    <fill>
      <patternFill patternType="solid">
        <fgColor rgb="FF1F4E79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Alignment="1">
      <alignment vertical="center"/>
    </xf>
    <xf numFmtId="43" fontId="0" fillId="0" borderId="0" applyAlignment="1">
      <alignment vertical="center"/>
    </xf>
    <xf numFmtId="167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168" fontId="0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0" fillId="8" borderId="3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4" applyAlignment="1">
      <alignment vertical="center"/>
    </xf>
    <xf numFmtId="0" fontId="19" fillId="0" borderId="4" applyAlignment="1">
      <alignment vertical="center"/>
    </xf>
    <xf numFmtId="0" fontId="20" fillId="0" borderId="5" applyAlignment="1">
      <alignment vertical="center"/>
    </xf>
    <xf numFmtId="0" fontId="20" fillId="0" borderId="0" applyAlignment="1">
      <alignment vertical="center"/>
    </xf>
    <xf numFmtId="0" fontId="21" fillId="9" borderId="6" applyAlignment="1">
      <alignment vertical="center"/>
    </xf>
    <xf numFmtId="0" fontId="22" fillId="10" borderId="7" applyAlignment="1">
      <alignment vertical="center"/>
    </xf>
    <xf numFmtId="0" fontId="23" fillId="10" borderId="6" applyAlignment="1">
      <alignment vertical="center"/>
    </xf>
    <xf numFmtId="0" fontId="24" fillId="11" borderId="8" applyAlignment="1">
      <alignment vertical="center"/>
    </xf>
    <xf numFmtId="0" fontId="25" fillId="0" borderId="9" applyAlignment="1">
      <alignment vertical="center"/>
    </xf>
    <xf numFmtId="0" fontId="26" fillId="0" borderId="1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9" fillId="14" borderId="0" applyAlignment="1">
      <alignment vertical="center"/>
    </xf>
    <xf numFmtId="0" fontId="30" fillId="7" borderId="0" applyAlignment="1">
      <alignment vertical="center"/>
    </xf>
    <xf numFmtId="0" fontId="31" fillId="15" borderId="0" applyAlignment="1">
      <alignment vertical="center"/>
    </xf>
    <xf numFmtId="0" fontId="31" fillId="16" borderId="0" applyAlignment="1">
      <alignment vertical="center"/>
    </xf>
    <xf numFmtId="0" fontId="30" fillId="17" borderId="0" applyAlignment="1">
      <alignment vertical="center"/>
    </xf>
    <xf numFmtId="0" fontId="30" fillId="18" borderId="0" applyAlignment="1">
      <alignment vertical="center"/>
    </xf>
    <xf numFmtId="0" fontId="31" fillId="19" borderId="0" applyAlignment="1">
      <alignment vertical="center"/>
    </xf>
    <xf numFmtId="0" fontId="31" fillId="20" borderId="0" applyAlignment="1">
      <alignment vertical="center"/>
    </xf>
    <xf numFmtId="0" fontId="30" fillId="21" borderId="0" applyAlignment="1">
      <alignment vertical="center"/>
    </xf>
    <xf numFmtId="0" fontId="30" fillId="22" borderId="0" applyAlignment="1">
      <alignment vertical="center"/>
    </xf>
    <xf numFmtId="0" fontId="31" fillId="23" borderId="0" applyAlignment="1">
      <alignment vertical="center"/>
    </xf>
    <xf numFmtId="0" fontId="31" fillId="24" borderId="0" applyAlignment="1">
      <alignment vertical="center"/>
    </xf>
    <xf numFmtId="0" fontId="30" fillId="25" borderId="0" applyAlignment="1">
      <alignment vertical="center"/>
    </xf>
    <xf numFmtId="0" fontId="30" fillId="26" borderId="0" applyAlignment="1">
      <alignment vertical="center"/>
    </xf>
    <xf numFmtId="0" fontId="31" fillId="27" borderId="0" applyAlignment="1">
      <alignment vertical="center"/>
    </xf>
    <xf numFmtId="0" fontId="31" fillId="28" borderId="0" applyAlignment="1">
      <alignment vertical="center"/>
    </xf>
    <xf numFmtId="0" fontId="30" fillId="29" borderId="0" applyAlignment="1">
      <alignment vertical="center"/>
    </xf>
    <xf numFmtId="0" fontId="30" fillId="30" borderId="0" applyAlignment="1">
      <alignment vertical="center"/>
    </xf>
    <xf numFmtId="0" fontId="31" fillId="31" borderId="0" applyAlignment="1">
      <alignment vertical="center"/>
    </xf>
    <xf numFmtId="0" fontId="31" fillId="32" borderId="0" applyAlignment="1">
      <alignment vertical="center"/>
    </xf>
    <xf numFmtId="0" fontId="30" fillId="33" borderId="0" applyAlignment="1">
      <alignment vertical="center"/>
    </xf>
    <xf numFmtId="0" fontId="30" fillId="34" borderId="0" applyAlignment="1">
      <alignment vertical="center"/>
    </xf>
    <xf numFmtId="0" fontId="31" fillId="35" borderId="0" applyAlignment="1">
      <alignment vertical="center"/>
    </xf>
    <xf numFmtId="0" fontId="31" fillId="36" borderId="0" applyAlignment="1">
      <alignment vertical="center"/>
    </xf>
    <xf numFmtId="0" fontId="30" fillId="37" borderId="0" applyAlignment="1">
      <alignment vertical="center"/>
    </xf>
    <xf numFmtId="0" fontId="11" fillId="0" borderId="0"/>
  </cellStyleXfs>
  <cellXfs count="42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0" applyAlignment="1" pivotButton="0" quotePrefix="0" xfId="0">
      <alignment vertical="top" wrapText="1"/>
    </xf>
    <xf numFmtId="0" fontId="4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7" fillId="5" borderId="1" pivotButton="0" quotePrefix="0" xfId="0"/>
    <xf numFmtId="0" fontId="8" fillId="5" borderId="1" pivotButton="0" quotePrefix="0" xfId="0"/>
    <xf numFmtId="164" fontId="8" fillId="5" borderId="1" pivotButton="0" quotePrefix="0" xfId="0"/>
    <xf numFmtId="4" fontId="8" fillId="2" borderId="1" pivotButton="0" quotePrefix="0" xfId="0"/>
    <xf numFmtId="3" fontId="7" fillId="5" borderId="1" pivotButton="0" quotePrefix="0" xfId="0"/>
    <xf numFmtId="165" fontId="8" fillId="2" borderId="1" pivotButton="0" quotePrefix="0" xfId="0"/>
    <xf numFmtId="2" fontId="8" fillId="2" borderId="1" pivotButton="0" quotePrefix="0" xfId="0"/>
    <xf numFmtId="2" fontId="9" fillId="2" borderId="1" pivotButton="0" quotePrefix="0" xfId="0"/>
    <xf numFmtId="0" fontId="7" fillId="0" borderId="1" pivotButton="0" quotePrefix="0" xfId="0"/>
    <xf numFmtId="0" fontId="8" fillId="0" borderId="1" pivotButton="0" quotePrefix="0" xfId="0"/>
    <xf numFmtId="164" fontId="8" fillId="0" borderId="1" pivotButton="0" quotePrefix="0" xfId="0"/>
    <xf numFmtId="3" fontId="7" fillId="0" borderId="1" pivotButton="0" quotePrefix="0" xfId="0"/>
    <xf numFmtId="164" fontId="7" fillId="0" borderId="1" pivotButton="0" quotePrefix="0" xfId="0"/>
    <xf numFmtId="164" fontId="7" fillId="2" borderId="1" pivotButton="0" quotePrefix="0" xfId="0"/>
    <xf numFmtId="0" fontId="10" fillId="0" borderId="0" pivotButton="0" quotePrefix="0" xfId="0"/>
    <xf numFmtId="0" fontId="2" fillId="5" borderId="1" pivotButton="0" quotePrefix="0" xfId="0"/>
    <xf numFmtId="164" fontId="7" fillId="5" borderId="1" pivotButton="0" quotePrefix="0" xfId="0"/>
    <xf numFmtId="0" fontId="2" fillId="0" borderId="1" pivotButton="0" quotePrefix="0" xfId="0"/>
    <xf numFmtId="0" fontId="11" fillId="6" borderId="0" applyAlignment="1" pivotButton="0" quotePrefix="0" xfId="49">
      <alignment horizontal="center"/>
    </xf>
    <xf numFmtId="0" fontId="11" fillId="0" borderId="0" pivotButton="0" quotePrefix="0" xfId="0"/>
    <xf numFmtId="0" fontId="0" fillId="0" borderId="0" pivotButton="0" quotePrefix="0" xfId="0"/>
    <xf numFmtId="0" fontId="12" fillId="0" borderId="0" applyAlignment="1" pivotButton="0" quotePrefix="0" xfId="0">
      <alignment vertical="center"/>
    </xf>
    <xf numFmtId="166" fontId="11" fillId="0" borderId="2" pivotButton="0" quotePrefix="0" xfId="49"/>
    <xf numFmtId="0" fontId="11" fillId="0" borderId="0" applyAlignment="1" pivotButton="0" quotePrefix="0" xfId="49">
      <alignment horizontal="center"/>
    </xf>
    <xf numFmtId="0" fontId="11" fillId="0" borderId="0" applyAlignment="1" pivotButton="0" quotePrefix="0" xfId="49">
      <alignment horizontal="center"/>
    </xf>
    <xf numFmtId="0" fontId="0" fillId="7" borderId="0" pivotButton="0" quotePrefix="0" xfId="0"/>
    <xf numFmtId="0" fontId="11" fillId="7" borderId="0" pivotButton="0" quotePrefix="0" xfId="0"/>
    <xf numFmtId="166" fontId="11" fillId="0" borderId="2" pivotButton="0" quotePrefix="0" xfId="49"/>
    <xf numFmtId="164" fontId="8" fillId="5" borderId="1" pivotButton="0" quotePrefix="0" xfId="0"/>
    <xf numFmtId="165" fontId="8" fillId="2" borderId="1" pivotButton="0" quotePrefix="0" xfId="0"/>
    <xf numFmtId="164" fontId="8" fillId="0" borderId="1" pivotButton="0" quotePrefix="0" xfId="0"/>
    <xf numFmtId="164" fontId="7" fillId="0" borderId="1" pivotButton="0" quotePrefix="0" xfId="0"/>
    <xf numFmtId="164" fontId="7" fillId="2" borderId="1" pivotButton="0" quotePrefix="0" xfId="0"/>
    <xf numFmtId="164" fontId="7" fillId="5" borderId="1" pivotButton="0" quotePrefix="0" xfId="0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4:AO141"/>
  <sheetViews>
    <sheetView tabSelected="1" topLeftCell="A84" zoomScale="46" zoomScaleNormal="46" zoomScaleSheetLayoutView="60" workbookViewId="0">
      <selection activeCell="G135" sqref="G135"/>
    </sheetView>
  </sheetViews>
  <sheetFormatPr baseColWidth="8" defaultColWidth="9.81818181818182" defaultRowHeight="14.5"/>
  <cols>
    <col width="30.3636363636364" customWidth="1" style="28" min="3" max="3"/>
    <col width="21.4545454545455" customWidth="1" style="28" min="5" max="5"/>
    <col width="12.8181818181818" customWidth="1" style="28" min="6" max="6"/>
    <col width="12.8181818181818" customWidth="1" style="28" min="7" max="8"/>
    <col width="33.1818181818182" customWidth="1" style="28" min="11" max="11"/>
    <col width="11.2727272727273" customWidth="1" style="28" min="12" max="12"/>
    <col width="12.8181818181818" customWidth="1" style="28" min="13" max="13"/>
    <col width="12.8181818181818" customWidth="1" style="28" min="16" max="16"/>
    <col width="12.8181818181818" customWidth="1" style="28" min="18" max="18"/>
    <col width="12.8181818181818" customWidth="1" style="28" min="20" max="21"/>
    <col width="12.8181818181818" customWidth="1" style="28" min="25" max="35"/>
    <col width="12.8181818181818" customWidth="1" style="28" min="37" max="37"/>
    <col width="12.8181818181818" customWidth="1" style="28" min="39" max="39"/>
    <col width="10.5454545454545" customWidth="1" style="28" min="41" max="41"/>
  </cols>
  <sheetData>
    <row r="4">
      <c r="C4" s="26" t="inlineStr">
        <is>
          <t>m_lithium</t>
        </is>
      </c>
      <c r="D4" s="26" t="n">
        <v>12.85</v>
      </c>
      <c r="K4" s="27" t="n"/>
      <c r="L4" s="27" t="inlineStr">
        <is>
          <t>~TFM_UPD</t>
        </is>
      </c>
      <c r="M4" s="27" t="n"/>
    </row>
    <row r="5">
      <c r="C5" s="26" t="inlineStr">
        <is>
          <t>m_nickel</t>
        </is>
      </c>
      <c r="D5" s="26" t="n">
        <v>20</v>
      </c>
      <c r="K5" s="27" t="inlineStr">
        <is>
          <t>pset_pn</t>
        </is>
      </c>
      <c r="L5" s="27" t="inlineStr">
        <is>
          <t>Attribute</t>
        </is>
      </c>
      <c r="M5" t="inlineStr">
        <is>
          <t>AllRegions</t>
        </is>
      </c>
    </row>
    <row r="6" ht="16" customHeight="1" s="28">
      <c r="C6" s="26" t="inlineStr">
        <is>
          <t>m_cobalt</t>
        </is>
      </c>
      <c r="D6" s="26" t="n">
        <v>29.3</v>
      </c>
      <c r="K6" s="29" t="inlineStr">
        <is>
          <t>MINBatMaterials_LI</t>
        </is>
      </c>
      <c r="L6" s="35" t="inlineStr">
        <is>
          <t>ACT_COST</t>
        </is>
      </c>
      <c r="M6" s="0" t="n">
        <v>99999</v>
      </c>
    </row>
    <row r="7">
      <c r="C7" s="26" t="inlineStr">
        <is>
          <t>m_manganese</t>
        </is>
      </c>
      <c r="D7" s="32" t="n">
        <v>2</v>
      </c>
      <c r="K7" s="0" t="inlineStr">
        <is>
          <t>MINBatMaterials_NI</t>
        </is>
      </c>
      <c r="L7" s="0">
        <f>L6</f>
        <v/>
      </c>
      <c r="M7" s="0">
        <f>M6</f>
        <v/>
      </c>
    </row>
    <row r="8">
      <c r="C8" s="26" t="inlineStr">
        <is>
          <t>m_aluminum</t>
        </is>
      </c>
      <c r="D8" s="26" t="n">
        <v>2.5</v>
      </c>
      <c r="K8" s="0" t="inlineStr">
        <is>
          <t>MINBatMaterials_COB</t>
        </is>
      </c>
      <c r="L8" s="0">
        <f>L7</f>
        <v/>
      </c>
      <c r="M8" s="0">
        <f>M7</f>
        <v/>
      </c>
    </row>
    <row r="9">
      <c r="C9" s="26" t="inlineStr">
        <is>
          <t>m_copper</t>
        </is>
      </c>
      <c r="D9" s="26" t="n">
        <v>8</v>
      </c>
      <c r="K9" s="0" t="inlineStr">
        <is>
          <t>MINBatMaterials_MN</t>
        </is>
      </c>
      <c r="L9" s="0">
        <f>L8</f>
        <v/>
      </c>
      <c r="M9" s="0">
        <f>M8</f>
        <v/>
      </c>
    </row>
    <row r="10">
      <c r="C10" s="26" t="inlineStr">
        <is>
          <t>m_graphite</t>
        </is>
      </c>
      <c r="D10" s="26" t="n">
        <v>1</v>
      </c>
      <c r="K10" s="0" t="inlineStr">
        <is>
          <t>MINBatMaterials_AL</t>
        </is>
      </c>
      <c r="L10" s="0">
        <f>L9</f>
        <v/>
      </c>
      <c r="M10" s="0">
        <f>M9</f>
        <v/>
      </c>
    </row>
    <row r="11">
      <c r="K11" s="0" t="inlineStr">
        <is>
          <t>MINBatMaterials_COP</t>
        </is>
      </c>
      <c r="L11" s="0">
        <f>L10</f>
        <v/>
      </c>
      <c r="M11" s="0">
        <f>M10</f>
        <v/>
      </c>
    </row>
    <row r="12">
      <c r="K12" s="0" t="inlineStr">
        <is>
          <t>MINBatMaterials_GR</t>
        </is>
      </c>
      <c r="L12" s="0">
        <f>L11</f>
        <v/>
      </c>
      <c r="M12" s="0">
        <f>M11</f>
        <v/>
      </c>
    </row>
    <row r="13">
      <c r="C13" s="27" t="n"/>
      <c r="D13" s="27" t="n"/>
      <c r="E13" s="27" t="n"/>
      <c r="F13" s="27" t="n"/>
      <c r="G13" s="27" t="n"/>
      <c r="H13" s="27" t="n"/>
      <c r="I13" s="27" t="n"/>
      <c r="J13" s="27" t="n"/>
      <c r="K13" s="27" t="inlineStr">
        <is>
          <t>MINBatMaterials_COB_byCop</t>
        </is>
      </c>
      <c r="L13" s="0">
        <f>L12</f>
        <v/>
      </c>
      <c r="M13" s="0">
        <f>M12</f>
        <v/>
      </c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  <c r="AA13" s="27" t="n"/>
      <c r="AB13" s="27" t="n"/>
      <c r="AC13" s="27" t="n"/>
      <c r="AD13" s="27" t="n"/>
      <c r="AE13" s="27" t="n"/>
      <c r="AF13" s="27" t="n"/>
      <c r="AG13" s="27" t="n"/>
      <c r="AH13" s="27" t="n"/>
      <c r="AI13" s="27" t="n"/>
      <c r="AJ13" s="27" t="n"/>
      <c r="AK13" s="27" t="n"/>
      <c r="AL13" s="27" t="n"/>
      <c r="AM13" s="27" t="n"/>
      <c r="AN13" s="27" t="n"/>
      <c r="AO13" s="27" t="n"/>
    </row>
    <row r="14"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inlineStr">
        <is>
          <t>MINBatMaterials_COB_byNI_sulfide</t>
        </is>
      </c>
      <c r="L14" s="0">
        <f>L13</f>
        <v/>
      </c>
      <c r="M14" s="0">
        <f>M13</f>
        <v/>
      </c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  <c r="AL14" s="27" t="n"/>
      <c r="AM14" s="27" t="n"/>
      <c r="AN14" s="27" t="n"/>
      <c r="AO14" s="27" t="n"/>
    </row>
    <row r="15"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inlineStr">
        <is>
          <t>MINBatMaterials_COB_direct</t>
        </is>
      </c>
      <c r="L15" s="0">
        <f>L14</f>
        <v/>
      </c>
      <c r="M15" s="0">
        <f>M14</f>
        <v/>
      </c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  <c r="AA15" s="27" t="n"/>
      <c r="AB15" s="27" t="n"/>
      <c r="AC15" s="27" t="n"/>
      <c r="AD15" s="27" t="n"/>
      <c r="AE15" s="27" t="n"/>
      <c r="AF15" s="27" t="n"/>
      <c r="AG15" s="27" t="n"/>
      <c r="AH15" s="27" t="n"/>
      <c r="AI15" s="27" t="n"/>
      <c r="AJ15" s="27" t="n"/>
      <c r="AK15" s="27" t="n"/>
      <c r="AL15" s="27" t="n"/>
      <c r="AM15" s="27" t="n"/>
      <c r="AN15" s="27" t="n"/>
      <c r="AO15" s="27" t="n"/>
    </row>
    <row r="16">
      <c r="C16" s="27" t="n"/>
      <c r="D16" s="27" t="n"/>
      <c r="E16" s="27" t="n"/>
      <c r="K16" t="inlineStr">
        <is>
          <t>MINBatMaterials_COB_byNI_HPAL</t>
        </is>
      </c>
      <c r="L16" s="0">
        <f>L15</f>
        <v/>
      </c>
      <c r="M16" s="0">
        <f>M15</f>
        <v/>
      </c>
      <c r="AN16" s="27" t="n"/>
    </row>
    <row r="17" ht="16" customHeight="1" s="28">
      <c r="C17" s="27" t="n"/>
      <c r="D17" s="27" t="n"/>
      <c r="E17" s="27" t="n"/>
      <c r="F17" s="27" t="n"/>
      <c r="G17" s="27" t="n"/>
      <c r="H17" s="27" t="n"/>
      <c r="I17" s="27" t="n"/>
      <c r="J17" s="27" t="n"/>
      <c r="K17" s="29" t="inlineStr">
        <is>
          <t>MINBatMaterials_LI</t>
        </is>
      </c>
      <c r="L17" s="27" t="inlineStr">
        <is>
          <t>NCAP_FOM</t>
        </is>
      </c>
      <c r="M17" s="27">
        <f>M16</f>
        <v/>
      </c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  <c r="AI17" s="27" t="n"/>
      <c r="AJ17" s="27" t="n"/>
      <c r="AK17" s="27" t="n"/>
      <c r="AL17" s="27" t="n"/>
      <c r="AM17" s="27" t="n"/>
      <c r="AN17" s="27" t="n"/>
      <c r="AO17" s="27" t="n"/>
    </row>
    <row r="18">
      <c r="C18" s="27" t="n"/>
      <c r="D18" s="27" t="n"/>
      <c r="E18" s="27" t="n"/>
      <c r="F18" s="27" t="n"/>
      <c r="G18" s="27" t="n"/>
      <c r="H18" s="27" t="n"/>
      <c r="I18" s="27" t="n"/>
      <c r="J18" s="27" t="n"/>
      <c r="K18" s="0" t="inlineStr">
        <is>
          <t>MINBatMaterials_NI</t>
        </is>
      </c>
      <c r="L18" s="27">
        <f>L17</f>
        <v/>
      </c>
      <c r="M18" s="27">
        <f>M17</f>
        <v/>
      </c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  <c r="AJ18" s="27" t="n"/>
      <c r="AK18" s="27" t="n"/>
      <c r="AL18" s="27" t="n"/>
      <c r="AM18" s="27" t="n"/>
      <c r="AN18" s="27" t="n"/>
      <c r="AO18" s="27" t="n"/>
    </row>
    <row r="19">
      <c r="C19" s="27" t="n"/>
      <c r="D19" s="27" t="n"/>
      <c r="E19" s="32" t="n"/>
      <c r="F19" s="27" t="n"/>
      <c r="G19" s="27" t="n"/>
      <c r="H19" s="27" t="n"/>
      <c r="I19" s="27" t="n"/>
      <c r="J19" s="27" t="n"/>
      <c r="K19" s="0" t="inlineStr">
        <is>
          <t>MINBatMaterials_COB</t>
        </is>
      </c>
      <c r="L19" s="27">
        <f>L18</f>
        <v/>
      </c>
      <c r="M19" s="27">
        <f>M18</f>
        <v/>
      </c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  <c r="AA19" s="27" t="n"/>
      <c r="AB19" s="27" t="n"/>
      <c r="AC19" s="27" t="n"/>
      <c r="AD19" s="27" t="n"/>
      <c r="AE19" s="27" t="n"/>
      <c r="AF19" s="27" t="n"/>
      <c r="AG19" s="27" t="n"/>
      <c r="AH19" s="27" t="n"/>
      <c r="AI19" s="27" t="n"/>
      <c r="AJ19" s="27" t="n"/>
      <c r="AK19" s="27" t="n"/>
      <c r="AL19" s="27" t="n"/>
      <c r="AM19" s="27" t="n"/>
      <c r="AN19" s="27" t="n"/>
      <c r="AO19" s="27" t="n"/>
    </row>
    <row r="20">
      <c r="C20" s="27" t="n"/>
      <c r="D20" s="27" t="n"/>
      <c r="E20" s="27" t="n"/>
      <c r="F20" s="27" t="n"/>
      <c r="G20" s="27" t="n"/>
      <c r="H20" s="27" t="n"/>
      <c r="I20" s="27" t="n"/>
      <c r="J20" s="27" t="n"/>
      <c r="K20" s="0" t="inlineStr">
        <is>
          <t>MINBatMaterials_MN</t>
        </is>
      </c>
      <c r="L20" s="27">
        <f>L19</f>
        <v/>
      </c>
      <c r="M20" s="27">
        <f>M19</f>
        <v/>
      </c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7" t="n"/>
      <c r="AI20" s="27" t="n"/>
      <c r="AJ20" s="27" t="n"/>
      <c r="AK20" s="27" t="n"/>
      <c r="AL20" s="27" t="n"/>
      <c r="AM20" s="27" t="n"/>
      <c r="AN20" s="27" t="n"/>
      <c r="AO20" s="27" t="n"/>
    </row>
    <row r="21">
      <c r="C21" s="27" t="n"/>
      <c r="D21" s="27" t="n"/>
      <c r="E21" s="27" t="n"/>
      <c r="F21" s="27" t="n"/>
      <c r="G21" s="27" t="n"/>
      <c r="H21" s="27" t="n"/>
      <c r="I21" s="27" t="n"/>
      <c r="J21" s="27" t="n"/>
      <c r="K21" s="0" t="inlineStr">
        <is>
          <t>MINBatMaterials_AL</t>
        </is>
      </c>
      <c r="L21" s="27">
        <f>L20</f>
        <v/>
      </c>
      <c r="M21" s="27">
        <f>M20</f>
        <v/>
      </c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  <c r="AI21" s="27" t="n"/>
      <c r="AJ21" s="27" t="n"/>
      <c r="AK21" s="27" t="n"/>
      <c r="AL21" s="27" t="n"/>
      <c r="AM21" s="27" t="n"/>
      <c r="AN21" s="27" t="n"/>
      <c r="AO21" s="27" t="n"/>
    </row>
    <row r="22">
      <c r="C22" s="27" t="n"/>
      <c r="D22" s="27" t="n"/>
      <c r="E22" s="32" t="n"/>
      <c r="F22" s="27" t="n"/>
      <c r="G22" s="27" t="n"/>
      <c r="H22" s="27" t="n"/>
      <c r="I22" s="27" t="n"/>
      <c r="J22" s="27" t="n"/>
      <c r="K22" s="0" t="inlineStr">
        <is>
          <t>MINBatMaterials_COP</t>
        </is>
      </c>
      <c r="L22" s="27">
        <f>L21</f>
        <v/>
      </c>
      <c r="M22" s="27">
        <f>M21</f>
        <v/>
      </c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  <c r="AA22" s="27" t="n"/>
      <c r="AB22" s="27" t="n"/>
      <c r="AC22" s="27" t="n"/>
      <c r="AD22" s="27" t="n"/>
      <c r="AE22" s="27" t="n"/>
      <c r="AF22" s="27" t="n"/>
      <c r="AG22" s="27" t="n"/>
      <c r="AH22" s="27" t="n"/>
      <c r="AI22" s="27" t="n"/>
      <c r="AJ22" s="27" t="n"/>
      <c r="AK22" s="27" t="n"/>
      <c r="AL22" s="27" t="n"/>
      <c r="AM22" s="27" t="n"/>
      <c r="AN22" s="27" t="n"/>
      <c r="AO22" s="27" t="n"/>
    </row>
    <row r="23">
      <c r="C23" s="27" t="n"/>
      <c r="D23" s="27" t="n"/>
      <c r="E23" s="27" t="n"/>
      <c r="F23" s="27" t="n"/>
      <c r="G23" s="27" t="n"/>
      <c r="H23" s="27" t="n"/>
      <c r="I23" s="27" t="n"/>
      <c r="J23" s="27" t="n"/>
      <c r="K23" s="0" t="inlineStr">
        <is>
          <t>MINBatMaterials_GR</t>
        </is>
      </c>
      <c r="L23" s="27">
        <f>L22</f>
        <v/>
      </c>
      <c r="M23" s="27">
        <f>M22</f>
        <v/>
      </c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  <c r="AI23" s="27" t="n"/>
      <c r="AJ23" s="27" t="n"/>
      <c r="AK23" s="27" t="n"/>
      <c r="AL23" s="27" t="n"/>
      <c r="AM23" s="27" t="n"/>
      <c r="AN23" s="27" t="n"/>
      <c r="AO23" s="27" t="n"/>
    </row>
    <row r="24"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inlineStr">
        <is>
          <t>MINBatMaterials_COB_byCop</t>
        </is>
      </c>
      <c r="L24" s="27">
        <f>L23</f>
        <v/>
      </c>
      <c r="M24" s="27">
        <f>M23</f>
        <v/>
      </c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  <c r="AA24" s="27" t="n"/>
      <c r="AB24" s="27" t="n"/>
      <c r="AC24" s="27" t="n"/>
      <c r="AD24" s="27" t="n"/>
      <c r="AE24" s="27" t="n"/>
      <c r="AF24" s="27" t="n"/>
      <c r="AG24" s="27" t="n"/>
      <c r="AH24" s="27" t="n"/>
      <c r="AI24" s="27" t="n"/>
      <c r="AJ24" s="27" t="n"/>
      <c r="AK24" s="27" t="n"/>
      <c r="AL24" s="27" t="n"/>
      <c r="AM24" s="27" t="n"/>
      <c r="AN24" s="27" t="n"/>
      <c r="AO24" s="27" t="n"/>
    </row>
    <row r="25">
      <c r="C25" s="27" t="n"/>
      <c r="D25" s="27" t="n"/>
      <c r="E25" s="32" t="n"/>
      <c r="F25" s="27" t="n"/>
      <c r="G25" s="27" t="n"/>
      <c r="H25" s="27" t="n"/>
      <c r="I25" s="27" t="n"/>
      <c r="J25" s="27" t="n"/>
      <c r="K25" s="27" t="inlineStr">
        <is>
          <t>MINBatMaterials_COB_byNI_sulfide</t>
        </is>
      </c>
      <c r="L25" s="27">
        <f>L24</f>
        <v/>
      </c>
      <c r="M25" s="27">
        <f>M24</f>
        <v/>
      </c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  <c r="AI25" s="27" t="n"/>
      <c r="AJ25" s="27" t="n"/>
      <c r="AK25" s="27" t="n"/>
      <c r="AL25" s="27" t="n"/>
      <c r="AM25" s="27" t="n"/>
      <c r="AN25" s="27" t="n"/>
      <c r="AO25" s="27" t="n"/>
    </row>
    <row r="26"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inlineStr">
        <is>
          <t>MINBatMaterials_COB_direct</t>
        </is>
      </c>
      <c r="L26" s="27">
        <f>L25</f>
        <v/>
      </c>
      <c r="M26" s="27">
        <f>M25</f>
        <v/>
      </c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  <c r="AA26" s="27" t="n"/>
      <c r="AB26" s="27" t="n"/>
      <c r="AC26" s="27" t="n"/>
      <c r="AD26" s="27" t="n"/>
      <c r="AE26" s="27" t="n"/>
      <c r="AF26" s="27" t="n"/>
      <c r="AG26" s="27" t="n"/>
      <c r="AH26" s="27" t="n"/>
      <c r="AI26" s="27" t="n"/>
      <c r="AJ26" s="27" t="n"/>
      <c r="AK26" s="27" t="n"/>
      <c r="AL26" s="27" t="n"/>
      <c r="AM26" s="27" t="n"/>
      <c r="AN26" s="27" t="n"/>
      <c r="AO26" s="27" t="n"/>
    </row>
    <row r="27">
      <c r="C27" s="27" t="n"/>
      <c r="D27" s="27" t="n"/>
      <c r="E27" s="27" t="n"/>
      <c r="F27" s="27" t="n"/>
      <c r="G27" s="27" t="n"/>
      <c r="H27" s="27" t="n"/>
      <c r="I27" s="27" t="n"/>
      <c r="J27" s="27" t="n"/>
      <c r="K27" t="inlineStr">
        <is>
          <t>MINBatMaterials_COB_byNI_HPAL</t>
        </is>
      </c>
      <c r="L27" s="27">
        <f>L26</f>
        <v/>
      </c>
      <c r="M27" s="27">
        <f>M26</f>
        <v/>
      </c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  <c r="AI27" s="27" t="n"/>
      <c r="AJ27" s="27" t="n"/>
      <c r="AK27" s="27" t="n"/>
      <c r="AL27" s="27" t="n"/>
      <c r="AM27" s="27" t="n"/>
      <c r="AN27" s="27" t="n"/>
      <c r="AO27" s="27" t="n"/>
    </row>
    <row r="28"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  <c r="AA28" s="27" t="n"/>
      <c r="AB28" s="27" t="n"/>
      <c r="AC28" s="27" t="n"/>
      <c r="AD28" s="27" t="n"/>
      <c r="AE28" s="27" t="n"/>
      <c r="AF28" s="27" t="n"/>
      <c r="AG28" s="27" t="n"/>
      <c r="AH28" s="27" t="n"/>
      <c r="AI28" s="27" t="n"/>
      <c r="AJ28" s="27" t="n"/>
      <c r="AK28" s="27" t="n"/>
      <c r="AL28" s="27" t="n"/>
      <c r="AM28" s="27" t="n"/>
      <c r="AN28" s="27" t="n"/>
      <c r="AO28" s="27" t="n"/>
    </row>
    <row r="29">
      <c r="C29" s="27" t="n"/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  <c r="AI29" s="27" t="n"/>
      <c r="AJ29" s="27" t="n"/>
      <c r="AK29" s="27" t="n"/>
      <c r="AL29" s="27" t="n"/>
      <c r="AM29" s="27" t="n"/>
      <c r="AN29" s="27" t="n"/>
      <c r="AO29" s="27" t="n"/>
    </row>
    <row r="30"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  <c r="AA30" s="27" t="n"/>
      <c r="AB30" s="27" t="n"/>
      <c r="AC30" s="27" t="n"/>
      <c r="AD30" s="27" t="n"/>
      <c r="AE30" s="27" t="n"/>
      <c r="AF30" s="27" t="n"/>
      <c r="AG30" s="27" t="n"/>
      <c r="AH30" s="27" t="n"/>
      <c r="AI30" s="27" t="n"/>
      <c r="AJ30" s="27" t="n"/>
      <c r="AK30" s="27" t="n"/>
      <c r="AL30" s="27" t="n"/>
      <c r="AM30" s="27" t="n"/>
      <c r="AN30" s="27" t="n"/>
      <c r="AO30" s="27" t="n"/>
    </row>
    <row r="31"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  <c r="AI31" s="27" t="n"/>
      <c r="AJ31" s="27" t="n"/>
      <c r="AK31" s="27" t="n"/>
      <c r="AL31" s="27" t="n"/>
      <c r="AM31" s="27" t="n"/>
      <c r="AN31" s="27" t="n"/>
      <c r="AO31" s="27" t="n"/>
    </row>
    <row r="32"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27" t="n"/>
      <c r="AJ32" s="27" t="n"/>
      <c r="AK32" s="27" t="n"/>
      <c r="AL32" s="27" t="n"/>
      <c r="AM32" s="27" t="n"/>
      <c r="AN32" s="27" t="n"/>
      <c r="AO32" s="27" t="n"/>
    </row>
    <row r="33"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  <c r="AJ33" s="27" t="n"/>
      <c r="AK33" s="27" t="n"/>
      <c r="AL33" s="27" t="n"/>
      <c r="AM33" s="27" t="n"/>
      <c r="AN33" s="27" t="n"/>
      <c r="AO33" s="27" t="n"/>
    </row>
    <row r="34"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  <c r="AJ34" s="27" t="n"/>
      <c r="AK34" s="27" t="n"/>
      <c r="AL34" s="27" t="n"/>
      <c r="AM34" s="27" t="n"/>
      <c r="AN34" s="27" t="n"/>
      <c r="AO34" s="27" t="n"/>
    </row>
    <row r="35"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  <c r="AI35" s="27" t="n"/>
      <c r="AJ35" s="27" t="n"/>
      <c r="AK35" s="27" t="n"/>
      <c r="AL35" s="27" t="n"/>
      <c r="AM35" s="27" t="n"/>
      <c r="AN35" s="27" t="n"/>
      <c r="AO35" s="27" t="n"/>
    </row>
    <row r="36"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27" t="n"/>
      <c r="AJ36" s="27" t="n"/>
      <c r="AK36" s="27" t="n"/>
      <c r="AL36" s="27" t="n"/>
      <c r="AM36" s="27" t="n"/>
      <c r="AN36" s="27" t="n"/>
      <c r="AO36" s="27" t="n"/>
    </row>
    <row r="37"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  <c r="AI37" s="27" t="n"/>
      <c r="AJ37" s="27" t="n"/>
      <c r="AK37" s="27" t="n"/>
      <c r="AL37" s="27" t="n"/>
      <c r="AM37" s="27" t="n"/>
      <c r="AN37" s="27" t="n"/>
      <c r="AO37" s="27" t="n"/>
    </row>
    <row r="38">
      <c r="C38" s="27" t="n"/>
      <c r="D38" s="27" t="n"/>
      <c r="E38" s="27" t="n"/>
      <c r="F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27" t="n"/>
      <c r="AJ38" s="27" t="n"/>
      <c r="AK38" s="27" t="n"/>
      <c r="AL38" s="27" t="n"/>
      <c r="AM38" s="27" t="n"/>
      <c r="AN38" s="27" t="n"/>
      <c r="AO38" s="27" t="n"/>
    </row>
    <row r="39">
      <c r="C39" s="27" t="inlineStr">
        <is>
          <t>~TFM_INS</t>
        </is>
      </c>
      <c r="D39" s="27" t="n"/>
      <c r="E39" s="27" t="n"/>
      <c r="F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  <c r="AI39" s="27" t="n"/>
      <c r="AJ39" s="27" t="n"/>
      <c r="AK39" s="27" t="n"/>
      <c r="AL39" s="27" t="n"/>
      <c r="AM39" s="27" t="n"/>
      <c r="AN39" s="27" t="n"/>
      <c r="AO39" s="27" t="n"/>
    </row>
    <row r="40">
      <c r="C40" s="27" t="inlineStr">
        <is>
          <t>pset_pn</t>
        </is>
      </c>
      <c r="D40" s="27" t="inlineStr">
        <is>
          <t>Attribute</t>
        </is>
      </c>
      <c r="E40" s="27" t="inlineStr">
        <is>
          <t>cset_cn</t>
        </is>
      </c>
      <c r="F40" s="27" t="inlineStr">
        <is>
          <t>Africa_North</t>
        </is>
      </c>
      <c r="G40" s="0" t="inlineStr">
        <is>
          <t>Africa_Other</t>
        </is>
      </c>
      <c r="H40" s="0" t="inlineStr">
        <is>
          <t>Australia</t>
        </is>
      </c>
      <c r="I40" s="27" t="inlineStr">
        <is>
          <t>Austria</t>
        </is>
      </c>
      <c r="J40" s="27" t="inlineStr">
        <is>
          <t>Baltics</t>
        </is>
      </c>
      <c r="K40" s="27" t="inlineStr">
        <is>
          <t>BeNeLux</t>
        </is>
      </c>
      <c r="L40" s="27" t="inlineStr">
        <is>
          <t>Brazil</t>
        </is>
      </c>
      <c r="M40" s="27" t="inlineStr">
        <is>
          <t>China</t>
        </is>
      </c>
      <c r="N40" s="27" t="inlineStr">
        <is>
          <t>CroSloven</t>
        </is>
      </c>
      <c r="O40" s="27" t="inlineStr">
        <is>
          <t>CzechSlovak</t>
        </is>
      </c>
      <c r="P40" s="27" t="inlineStr">
        <is>
          <t>France</t>
        </is>
      </c>
      <c r="Q40" s="27" t="inlineStr">
        <is>
          <t>Germany</t>
        </is>
      </c>
      <c r="R40" s="27" t="inlineStr">
        <is>
          <t>GreeceCyp</t>
        </is>
      </c>
      <c r="S40" s="27" t="inlineStr">
        <is>
          <t>HunRomBul</t>
        </is>
      </c>
      <c r="T40" s="27" t="inlineStr">
        <is>
          <t>Iceland</t>
        </is>
      </c>
      <c r="U40" s="27" t="inlineStr">
        <is>
          <t>India</t>
        </is>
      </c>
      <c r="V40" s="27" t="inlineStr">
        <is>
          <t>Ireland</t>
        </is>
      </c>
      <c r="W40" s="27" t="inlineStr">
        <is>
          <t>ItalyMal</t>
        </is>
      </c>
      <c r="X40" s="27" t="inlineStr">
        <is>
          <t>Japan</t>
        </is>
      </c>
      <c r="Y40" s="27" t="inlineStr">
        <is>
          <t>LatAm</t>
        </is>
      </c>
      <c r="Z40" s="27" t="inlineStr">
        <is>
          <t>MidEast</t>
        </is>
      </c>
      <c r="AA40" s="27" t="inlineStr">
        <is>
          <t>NorthAm</t>
        </is>
      </c>
      <c r="AB40" s="27" t="inlineStr">
        <is>
          <t>Norway</t>
        </is>
      </c>
      <c r="AC40" s="27" t="inlineStr">
        <is>
          <t>Poland</t>
        </is>
      </c>
      <c r="AD40" s="27" t="inlineStr">
        <is>
          <t>ROW</t>
        </is>
      </c>
      <c r="AE40" s="27" t="inlineStr">
        <is>
          <t>Russia</t>
        </is>
      </c>
      <c r="AF40" s="27" t="inlineStr">
        <is>
          <t>SaudiArabia</t>
        </is>
      </c>
      <c r="AG40" s="27" t="inlineStr">
        <is>
          <t>SouthAfrica</t>
        </is>
      </c>
      <c r="AH40" s="27" t="inlineStr">
        <is>
          <t>SpainPor</t>
        </is>
      </c>
      <c r="AI40" s="27" t="inlineStr">
        <is>
          <t>SweFinDen</t>
        </is>
      </c>
      <c r="AJ40" s="27" t="inlineStr">
        <is>
          <t>Switzerland</t>
        </is>
      </c>
      <c r="AK40" s="27" t="inlineStr">
        <is>
          <t>Turkey</t>
        </is>
      </c>
      <c r="AL40" s="27" t="inlineStr">
        <is>
          <t>UK</t>
        </is>
      </c>
      <c r="AM40" s="27" t="inlineStr">
        <is>
          <t>Ukraine</t>
        </is>
      </c>
      <c r="AN40" s="27" t="inlineStr">
        <is>
          <t>WestBalkans</t>
        </is>
      </c>
      <c r="AO40" s="0" t="inlineStr">
        <is>
          <t>year</t>
        </is>
      </c>
    </row>
    <row r="41">
      <c r="C41" s="27" t="inlineStr">
        <is>
          <t>MINLiRSV1</t>
        </is>
      </c>
      <c r="D41" s="27" t="inlineStr">
        <is>
          <t>BNDACT</t>
        </is>
      </c>
      <c r="E41" s="27" t="n"/>
      <c r="F41" s="27" t="n">
        <v>0</v>
      </c>
      <c r="G41" s="27" t="n">
        <v>22.346</v>
      </c>
      <c r="H41" s="27" t="n">
        <v>60.088</v>
      </c>
      <c r="I41" s="27" t="n">
        <v>0.485</v>
      </c>
      <c r="J41" s="27" t="n">
        <v>0</v>
      </c>
      <c r="K41" s="27" t="n">
        <v>0</v>
      </c>
      <c r="L41" s="27" t="n">
        <v>8.157</v>
      </c>
      <c r="M41" s="27" t="n">
        <v>6.77</v>
      </c>
      <c r="N41" s="27" t="n">
        <v>0</v>
      </c>
      <c r="O41" s="27" t="n">
        <v>1.619</v>
      </c>
      <c r="P41" s="27" t="n">
        <v>0</v>
      </c>
      <c r="Q41" s="27" t="n">
        <v>1.984</v>
      </c>
      <c r="R41" s="27" t="n">
        <v>0</v>
      </c>
      <c r="S41" s="27" t="n">
        <v>0</v>
      </c>
      <c r="T41" s="27" t="n">
        <v>0</v>
      </c>
      <c r="U41" s="27" t="n">
        <v>0</v>
      </c>
      <c r="V41" s="27" t="n">
        <v>0</v>
      </c>
      <c r="W41" s="27" t="n">
        <v>0</v>
      </c>
      <c r="X41" s="27" t="n">
        <v>0</v>
      </c>
      <c r="Y41" s="27" t="n">
        <v>59.453</v>
      </c>
      <c r="Z41" s="27" t="n">
        <v>0</v>
      </c>
      <c r="AA41" s="27" t="n">
        <v>40.208</v>
      </c>
      <c r="AB41" s="27" t="n">
        <v>0</v>
      </c>
      <c r="AC41" s="27" t="n">
        <v>0</v>
      </c>
      <c r="AD41" s="27" t="n">
        <v>0</v>
      </c>
      <c r="AE41" s="27" t="n">
        <v>0</v>
      </c>
      <c r="AF41" s="27" t="n">
        <v>0</v>
      </c>
      <c r="AG41" s="27" t="n">
        <v>0</v>
      </c>
      <c r="AH41" s="27" t="n">
        <v>2.814</v>
      </c>
      <c r="AI41" s="27" t="n">
        <v>0.827</v>
      </c>
      <c r="AJ41" s="27" t="n">
        <v>0</v>
      </c>
      <c r="AK41" s="27" t="n">
        <v>0</v>
      </c>
      <c r="AL41" s="27" t="n">
        <v>0.413</v>
      </c>
      <c r="AM41" s="27" t="n">
        <v>0</v>
      </c>
      <c r="AN41" s="27" t="n">
        <v>3.269</v>
      </c>
      <c r="AO41" s="0" t="inlineStr">
        <is>
          <t>2020, 2100</t>
        </is>
      </c>
    </row>
    <row r="42">
      <c r="C42" s="27" t="inlineStr">
        <is>
          <t>MINLiRSV1</t>
        </is>
      </c>
      <c r="D42" s="27" t="inlineStr">
        <is>
          <t>CUM</t>
        </is>
      </c>
      <c r="E42" s="27" t="n"/>
      <c r="F42" s="27" t="n">
        <v>0</v>
      </c>
      <c r="G42" s="27" t="n">
        <v>1426.704</v>
      </c>
      <c r="H42" s="27" t="n">
        <v>4872.332</v>
      </c>
      <c r="I42" s="27" t="n">
        <v>0</v>
      </c>
      <c r="J42" s="27" t="n">
        <v>0</v>
      </c>
      <c r="K42" s="27" t="n">
        <v>0</v>
      </c>
      <c r="L42" s="27" t="n">
        <v>221.952</v>
      </c>
      <c r="M42" s="27" t="n">
        <v>160.493</v>
      </c>
      <c r="N42" s="27" t="n">
        <v>0</v>
      </c>
      <c r="O42" s="27" t="n">
        <v>0</v>
      </c>
      <c r="P42" s="27" t="n">
        <v>0</v>
      </c>
      <c r="Q42" s="27" t="n">
        <v>106.899</v>
      </c>
      <c r="R42" s="27" t="n">
        <v>0</v>
      </c>
      <c r="S42" s="27" t="n">
        <v>0</v>
      </c>
      <c r="T42" s="27" t="n">
        <v>0</v>
      </c>
      <c r="U42" s="27" t="n">
        <v>0</v>
      </c>
      <c r="V42" s="27" t="n">
        <v>0</v>
      </c>
      <c r="W42" s="27" t="n">
        <v>0</v>
      </c>
      <c r="X42" s="27" t="n">
        <v>0</v>
      </c>
      <c r="Y42" s="27" t="n">
        <v>12172.469</v>
      </c>
      <c r="Z42" s="27" t="n">
        <v>0</v>
      </c>
      <c r="AA42" s="27" t="n">
        <v>2395.504</v>
      </c>
      <c r="AB42" s="27" t="n">
        <v>0</v>
      </c>
      <c r="AC42" s="27" t="n">
        <v>0</v>
      </c>
      <c r="AD42" s="27" t="n">
        <v>0</v>
      </c>
      <c r="AE42" s="27" t="n">
        <v>0</v>
      </c>
      <c r="AF42" s="27" t="n">
        <v>0</v>
      </c>
      <c r="AG42" s="27" t="n">
        <v>0</v>
      </c>
      <c r="AH42" s="27" t="n">
        <v>141.699</v>
      </c>
      <c r="AI42" s="27" t="n">
        <v>36.372</v>
      </c>
      <c r="AJ42" s="27" t="n">
        <v>0</v>
      </c>
      <c r="AK42" s="27" t="n">
        <v>0</v>
      </c>
      <c r="AL42" s="27" t="n">
        <v>0</v>
      </c>
      <c r="AM42" s="27" t="n">
        <v>0</v>
      </c>
      <c r="AN42" s="27" t="n">
        <v>139.571</v>
      </c>
      <c r="AO42" s="0" t="inlineStr">
        <is>
          <t>2020, 2100</t>
        </is>
      </c>
    </row>
    <row r="43">
      <c r="C43" s="27" t="inlineStr">
        <is>
          <t>MINLiRSV1</t>
        </is>
      </c>
      <c r="D43" s="27" t="inlineStr">
        <is>
          <t>COST</t>
        </is>
      </c>
      <c r="E43" s="27" t="inlineStr">
        <is>
          <t>m_lithium</t>
        </is>
      </c>
      <c r="F43" s="27" t="n">
        <v>13.86</v>
      </c>
      <c r="G43" s="27" t="n">
        <v>13.86</v>
      </c>
      <c r="H43" s="27" t="n">
        <v>13.86</v>
      </c>
      <c r="I43" s="27" t="n">
        <v>13.86</v>
      </c>
      <c r="J43" s="27" t="n">
        <v>13.86</v>
      </c>
      <c r="K43" s="27" t="n">
        <v>13.86</v>
      </c>
      <c r="L43" s="27" t="n">
        <v>13.86</v>
      </c>
      <c r="M43" s="27" t="n">
        <v>13.86</v>
      </c>
      <c r="N43" s="27" t="n">
        <v>13.86</v>
      </c>
      <c r="O43" s="27" t="n">
        <v>13.86</v>
      </c>
      <c r="P43" s="27" t="n">
        <v>13.86</v>
      </c>
      <c r="Q43" s="27" t="n">
        <v>13.86</v>
      </c>
      <c r="R43" s="27" t="n">
        <v>13.86</v>
      </c>
      <c r="S43" s="27" t="n">
        <v>13.86</v>
      </c>
      <c r="T43" s="27" t="n">
        <v>13.86</v>
      </c>
      <c r="U43" s="27" t="n">
        <v>13.86</v>
      </c>
      <c r="V43" s="27" t="n">
        <v>13.86</v>
      </c>
      <c r="W43" s="27" t="n">
        <v>13.86</v>
      </c>
      <c r="X43" s="27" t="n">
        <v>13.86</v>
      </c>
      <c r="Y43" s="27" t="n">
        <v>13.86</v>
      </c>
      <c r="Z43" s="27" t="n">
        <v>13.86</v>
      </c>
      <c r="AA43" s="27" t="n">
        <v>13.86</v>
      </c>
      <c r="AB43" s="27" t="n">
        <v>13.86</v>
      </c>
      <c r="AC43" s="27" t="n">
        <v>13.86</v>
      </c>
      <c r="AD43" s="27" t="n">
        <v>13.86</v>
      </c>
      <c r="AE43" s="27" t="n">
        <v>13.86</v>
      </c>
      <c r="AF43" s="27" t="n">
        <v>13.86</v>
      </c>
      <c r="AG43" s="27" t="n">
        <v>13.86</v>
      </c>
      <c r="AH43" s="27" t="n">
        <v>13.86</v>
      </c>
      <c r="AI43" s="27" t="n">
        <v>13.86</v>
      </c>
      <c r="AJ43" s="27" t="n">
        <v>13.86</v>
      </c>
      <c r="AK43" s="27" t="n">
        <v>13.86</v>
      </c>
      <c r="AL43" s="27" t="n">
        <v>13.86</v>
      </c>
      <c r="AM43" s="27" t="n">
        <v>13.86</v>
      </c>
      <c r="AN43" s="27" t="n">
        <v>13.86</v>
      </c>
      <c r="AO43" s="0" t="inlineStr">
        <is>
          <t>2020, 2100</t>
        </is>
      </c>
    </row>
    <row r="44">
      <c r="C44" s="27" t="inlineStr">
        <is>
          <t>MINLiRSV2</t>
        </is>
      </c>
      <c r="D44" s="27" t="inlineStr">
        <is>
          <t>BNDACT</t>
        </is>
      </c>
      <c r="E44" s="27" t="n"/>
      <c r="F44" s="27" t="n">
        <v>0</v>
      </c>
      <c r="G44" s="27" t="n">
        <v>44.691</v>
      </c>
      <c r="H44" s="27" t="n">
        <v>120.176</v>
      </c>
      <c r="I44" s="27" t="n">
        <v>0.97</v>
      </c>
      <c r="J44" s="27" t="n">
        <v>0</v>
      </c>
      <c r="K44" s="27" t="n">
        <v>0</v>
      </c>
      <c r="L44" s="27" t="n">
        <v>16.315</v>
      </c>
      <c r="M44" s="27" t="n">
        <v>13.541</v>
      </c>
      <c r="N44" s="27" t="n">
        <v>0</v>
      </c>
      <c r="O44" s="27" t="n">
        <v>3.239</v>
      </c>
      <c r="P44" s="27" t="n">
        <v>0</v>
      </c>
      <c r="Q44" s="27" t="n">
        <v>3.969</v>
      </c>
      <c r="R44" s="27" t="n">
        <v>0</v>
      </c>
      <c r="S44" s="27" t="n">
        <v>0</v>
      </c>
      <c r="T44" s="27" t="n">
        <v>0</v>
      </c>
      <c r="U44" s="27" t="n">
        <v>0</v>
      </c>
      <c r="V44" s="27" t="n">
        <v>0</v>
      </c>
      <c r="W44" s="27" t="n">
        <v>0</v>
      </c>
      <c r="X44" s="27" t="n">
        <v>0</v>
      </c>
      <c r="Y44" s="27" t="n">
        <v>118.906</v>
      </c>
      <c r="Z44" s="27" t="n">
        <v>0</v>
      </c>
      <c r="AA44" s="27" t="n">
        <v>80.416</v>
      </c>
      <c r="AB44" s="27" t="n">
        <v>0</v>
      </c>
      <c r="AC44" s="27" t="n">
        <v>0</v>
      </c>
      <c r="AD44" s="27" t="n">
        <v>0</v>
      </c>
      <c r="AE44" s="27" t="n">
        <v>0</v>
      </c>
      <c r="AF44" s="27" t="n">
        <v>0</v>
      </c>
      <c r="AG44" s="27" t="n">
        <v>0</v>
      </c>
      <c r="AH44" s="27" t="n">
        <v>5.628</v>
      </c>
      <c r="AI44" s="27" t="n">
        <v>1.653</v>
      </c>
      <c r="AJ44" s="27" t="n">
        <v>0</v>
      </c>
      <c r="AK44" s="27" t="n">
        <v>0</v>
      </c>
      <c r="AL44" s="27" t="n">
        <v>0.827</v>
      </c>
      <c r="AM44" s="27" t="n">
        <v>0</v>
      </c>
      <c r="AN44" s="27" t="n">
        <v>6.538</v>
      </c>
      <c r="AO44" s="0" t="inlineStr">
        <is>
          <t>2020, 2100</t>
        </is>
      </c>
    </row>
    <row r="45">
      <c r="C45" s="27" t="inlineStr">
        <is>
          <t>MINLiRSV2</t>
        </is>
      </c>
      <c r="D45" s="27" t="inlineStr">
        <is>
          <t>CUM</t>
        </is>
      </c>
      <c r="E45" s="27" t="n"/>
      <c r="F45" s="27" t="n">
        <v>0</v>
      </c>
      <c r="G45" s="27" t="n">
        <v>1734.052</v>
      </c>
      <c r="H45" s="27" t="n">
        <v>2965.166</v>
      </c>
      <c r="I45" s="27" t="n">
        <v>37.162</v>
      </c>
      <c r="J45" s="27" t="n">
        <v>0</v>
      </c>
      <c r="K45" s="27" t="n">
        <v>0</v>
      </c>
      <c r="L45" s="27" t="n">
        <v>377.401</v>
      </c>
      <c r="M45" s="27" t="n">
        <v>833.659</v>
      </c>
      <c r="N45" s="27" t="n">
        <v>0</v>
      </c>
      <c r="O45" s="27" t="n">
        <v>851.061</v>
      </c>
      <c r="P45" s="27" t="n">
        <v>0</v>
      </c>
      <c r="Q45" s="27" t="n">
        <v>2435.475</v>
      </c>
      <c r="R45" s="27" t="n">
        <v>0</v>
      </c>
      <c r="S45" s="27" t="n">
        <v>0</v>
      </c>
      <c r="T45" s="27" t="n">
        <v>0</v>
      </c>
      <c r="U45" s="27" t="n">
        <v>0</v>
      </c>
      <c r="V45" s="27" t="n">
        <v>0</v>
      </c>
      <c r="W45" s="27" t="n">
        <v>0</v>
      </c>
      <c r="X45" s="27" t="n">
        <v>0</v>
      </c>
      <c r="Y45" s="27" t="n">
        <v>27999.956</v>
      </c>
      <c r="Z45" s="27" t="n">
        <v>0</v>
      </c>
      <c r="AA45" s="27" t="n">
        <v>12132.296</v>
      </c>
      <c r="AB45" s="27" t="n">
        <v>0</v>
      </c>
      <c r="AC45" s="27" t="n">
        <v>0</v>
      </c>
      <c r="AD45" s="27" t="n">
        <v>0</v>
      </c>
      <c r="AE45" s="27" t="n">
        <v>0</v>
      </c>
      <c r="AF45" s="27" t="n">
        <v>0</v>
      </c>
      <c r="AG45" s="27" t="n">
        <v>0</v>
      </c>
      <c r="AH45" s="27" t="n">
        <v>117.211</v>
      </c>
      <c r="AI45" s="27" t="n">
        <v>18.712</v>
      </c>
      <c r="AJ45" s="27" t="n">
        <v>0</v>
      </c>
      <c r="AK45" s="27" t="n">
        <v>0</v>
      </c>
      <c r="AL45" s="27" t="n">
        <v>55.743</v>
      </c>
      <c r="AM45" s="27" t="n">
        <v>0</v>
      </c>
      <c r="AN45" s="27" t="n">
        <v>574.496</v>
      </c>
      <c r="AO45" s="0" t="inlineStr">
        <is>
          <t>2020, 2100</t>
        </is>
      </c>
    </row>
    <row r="46">
      <c r="C46" s="27" t="inlineStr">
        <is>
          <t>MINLiRSV2</t>
        </is>
      </c>
      <c r="D46" s="27" t="inlineStr">
        <is>
          <t>COST</t>
        </is>
      </c>
      <c r="E46" s="27" t="inlineStr">
        <is>
          <t>m_lithium</t>
        </is>
      </c>
      <c r="F46" s="27" t="n">
        <v>22.45</v>
      </c>
      <c r="G46" s="27" t="n">
        <v>22.45</v>
      </c>
      <c r="H46" s="27" t="n">
        <v>22.45</v>
      </c>
      <c r="I46" s="27" t="n">
        <v>22.45</v>
      </c>
      <c r="J46" s="27" t="n">
        <v>22.45</v>
      </c>
      <c r="K46" s="27" t="n">
        <v>22.45</v>
      </c>
      <c r="L46" s="27" t="n">
        <v>22.45</v>
      </c>
      <c r="M46" s="27" t="n">
        <v>22.45</v>
      </c>
      <c r="N46" s="27" t="n">
        <v>22.45</v>
      </c>
      <c r="O46" s="27" t="n">
        <v>22.45</v>
      </c>
      <c r="P46" s="27" t="n">
        <v>22.45</v>
      </c>
      <c r="Q46" s="27" t="n">
        <v>22.45</v>
      </c>
      <c r="R46" s="27" t="n">
        <v>22.45</v>
      </c>
      <c r="S46" s="27" t="n">
        <v>22.45</v>
      </c>
      <c r="T46" s="27" t="n">
        <v>22.45</v>
      </c>
      <c r="U46" s="27" t="n">
        <v>22.45</v>
      </c>
      <c r="V46" s="27" t="n">
        <v>22.45</v>
      </c>
      <c r="W46" s="27" t="n">
        <v>22.45</v>
      </c>
      <c r="X46" s="27" t="n">
        <v>22.45</v>
      </c>
      <c r="Y46" s="27" t="n">
        <v>22.45</v>
      </c>
      <c r="Z46" s="27" t="n">
        <v>22.45</v>
      </c>
      <c r="AA46" s="27" t="n">
        <v>22.45</v>
      </c>
      <c r="AB46" s="27" t="n">
        <v>22.45</v>
      </c>
      <c r="AC46" s="27" t="n">
        <v>22.45</v>
      </c>
      <c r="AD46" s="27" t="n">
        <v>22.45</v>
      </c>
      <c r="AE46" s="27" t="n">
        <v>22.45</v>
      </c>
      <c r="AF46" s="27" t="n">
        <v>22.45</v>
      </c>
      <c r="AG46" s="27" t="n">
        <v>22.45</v>
      </c>
      <c r="AH46" s="27" t="n">
        <v>22.45</v>
      </c>
      <c r="AI46" s="27" t="n">
        <v>22.45</v>
      </c>
      <c r="AJ46" s="27" t="n">
        <v>22.45</v>
      </c>
      <c r="AK46" s="27" t="n">
        <v>22.45</v>
      </c>
      <c r="AL46" s="27" t="n">
        <v>22.45</v>
      </c>
      <c r="AM46" s="27" t="n">
        <v>22.45</v>
      </c>
      <c r="AN46" s="27" t="n">
        <v>22.45</v>
      </c>
      <c r="AO46" s="0" t="inlineStr">
        <is>
          <t>2020, 2100</t>
        </is>
      </c>
    </row>
    <row r="47">
      <c r="C47" s="27" t="inlineStr">
        <is>
          <t>MINLiRSV3</t>
        </is>
      </c>
      <c r="D47" s="27" t="inlineStr">
        <is>
          <t>BNDACT</t>
        </is>
      </c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  <c r="AJ47" s="27" t="n"/>
      <c r="AK47" s="27" t="n"/>
      <c r="AL47" s="27" t="n"/>
      <c r="AM47" s="27" t="n"/>
      <c r="AN47" s="27" t="n"/>
      <c r="AO47" s="0" t="inlineStr">
        <is>
          <t>2020, 2100</t>
        </is>
      </c>
    </row>
    <row r="48">
      <c r="C48" s="27" t="inlineStr">
        <is>
          <t>MINLiRSV3</t>
        </is>
      </c>
      <c r="D48" s="27" t="inlineStr">
        <is>
          <t>CUM</t>
        </is>
      </c>
      <c r="E48" s="27" t="n"/>
      <c r="F48" s="27" t="n">
        <v>0</v>
      </c>
      <c r="G48" s="27" t="n">
        <v>8071.815</v>
      </c>
      <c r="H48" s="27" t="n">
        <v>1637.159</v>
      </c>
      <c r="I48" s="27" t="n">
        <v>166.671</v>
      </c>
      <c r="J48" s="27" t="n">
        <v>0</v>
      </c>
      <c r="K48" s="27" t="n">
        <v>0</v>
      </c>
      <c r="L48" s="27" t="n">
        <v>187.218</v>
      </c>
      <c r="M48" s="27" t="n">
        <v>2572.012</v>
      </c>
      <c r="N48" s="27" t="n">
        <v>0</v>
      </c>
      <c r="O48" s="27" t="n">
        <v>537.3150000000001</v>
      </c>
      <c r="P48" s="27" t="n">
        <v>510.977</v>
      </c>
      <c r="Q48" s="27" t="n">
        <v>3167.886</v>
      </c>
      <c r="R48" s="27" t="n">
        <v>0</v>
      </c>
      <c r="S48" s="27" t="n">
        <v>0</v>
      </c>
      <c r="T48" s="27" t="n">
        <v>0</v>
      </c>
      <c r="U48" s="27" t="n">
        <v>0</v>
      </c>
      <c r="V48" s="27" t="n">
        <v>0</v>
      </c>
      <c r="W48" s="27" t="n">
        <v>0</v>
      </c>
      <c r="X48" s="27" t="n">
        <v>0</v>
      </c>
      <c r="Y48" s="27" t="n">
        <v>18123.276</v>
      </c>
      <c r="Z48" s="27" t="n">
        <v>0</v>
      </c>
      <c r="AA48" s="27" t="n">
        <v>20022.151</v>
      </c>
      <c r="AB48" s="27" t="n">
        <v>0</v>
      </c>
      <c r="AC48" s="27" t="n">
        <v>0</v>
      </c>
      <c r="AD48" s="27" t="n">
        <v>987.034</v>
      </c>
      <c r="AE48" s="27" t="n">
        <v>1034.749</v>
      </c>
      <c r="AF48" s="27" t="n">
        <v>0</v>
      </c>
      <c r="AG48" s="27" t="n">
        <v>0</v>
      </c>
      <c r="AH48" s="27" t="n">
        <v>279.062</v>
      </c>
      <c r="AI48" s="27" t="n">
        <v>10.728</v>
      </c>
      <c r="AJ48" s="27" t="n">
        <v>0</v>
      </c>
      <c r="AK48" s="27" t="n">
        <v>0</v>
      </c>
      <c r="AL48" s="27" t="n">
        <v>1.895</v>
      </c>
      <c r="AM48" s="27" t="n">
        <v>0</v>
      </c>
      <c r="AN48" s="27" t="n">
        <v>485.8</v>
      </c>
      <c r="AO48" s="0" t="inlineStr">
        <is>
          <t>2020, 2100</t>
        </is>
      </c>
    </row>
    <row r="49">
      <c r="C49" s="27" t="inlineStr">
        <is>
          <t>MINLiRSV3</t>
        </is>
      </c>
      <c r="D49" s="27" t="inlineStr">
        <is>
          <t>COST</t>
        </is>
      </c>
      <c r="E49" s="27" t="inlineStr">
        <is>
          <t>m_lithium</t>
        </is>
      </c>
      <c r="F49" s="27" t="n">
        <v>38.31</v>
      </c>
      <c r="G49" s="27" t="n">
        <v>38.31</v>
      </c>
      <c r="H49" s="27" t="n">
        <v>38.31</v>
      </c>
      <c r="I49" s="27" t="n">
        <v>38.31</v>
      </c>
      <c r="J49" s="27" t="n">
        <v>38.31</v>
      </c>
      <c r="K49" s="27" t="n">
        <v>38.31</v>
      </c>
      <c r="L49" s="27" t="n">
        <v>38.31</v>
      </c>
      <c r="M49" s="27" t="n">
        <v>38.31</v>
      </c>
      <c r="N49" s="27" t="n">
        <v>38.31</v>
      </c>
      <c r="O49" s="27" t="n">
        <v>38.31</v>
      </c>
      <c r="P49" s="27" t="n">
        <v>38.31</v>
      </c>
      <c r="Q49" s="27" t="n">
        <v>38.31</v>
      </c>
      <c r="R49" s="27" t="n">
        <v>38.31</v>
      </c>
      <c r="S49" s="27" t="n">
        <v>38.31</v>
      </c>
      <c r="T49" s="27" t="n">
        <v>38.31</v>
      </c>
      <c r="U49" s="27" t="n">
        <v>38.31</v>
      </c>
      <c r="V49" s="27" t="n">
        <v>38.31</v>
      </c>
      <c r="W49" s="27" t="n">
        <v>38.31</v>
      </c>
      <c r="X49" s="27" t="n">
        <v>38.31</v>
      </c>
      <c r="Y49" s="27" t="n">
        <v>38.31</v>
      </c>
      <c r="Z49" s="27" t="n">
        <v>38.31</v>
      </c>
      <c r="AA49" s="27" t="n">
        <v>38.31</v>
      </c>
      <c r="AB49" s="27" t="n">
        <v>38.31</v>
      </c>
      <c r="AC49" s="27" t="n">
        <v>38.31</v>
      </c>
      <c r="AD49" s="27" t="n">
        <v>38.31</v>
      </c>
      <c r="AE49" s="27" t="n">
        <v>38.31</v>
      </c>
      <c r="AF49" s="27" t="n">
        <v>38.31</v>
      </c>
      <c r="AG49" s="27" t="n">
        <v>38.31</v>
      </c>
      <c r="AH49" s="27" t="n">
        <v>38.31</v>
      </c>
      <c r="AI49" s="27" t="n">
        <v>38.31</v>
      </c>
      <c r="AJ49" s="27" t="n">
        <v>38.31</v>
      </c>
      <c r="AK49" s="27" t="n">
        <v>38.31</v>
      </c>
      <c r="AL49" s="27" t="n">
        <v>38.31</v>
      </c>
      <c r="AM49" s="27" t="n">
        <v>38.31</v>
      </c>
      <c r="AN49" s="27" t="n">
        <v>38.31</v>
      </c>
      <c r="AO49" s="0" t="inlineStr">
        <is>
          <t>2020, 2100</t>
        </is>
      </c>
    </row>
    <row r="50">
      <c r="C50" s="27" t="inlineStr">
        <is>
          <t>*</t>
        </is>
      </c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  <c r="AA50" s="27" t="n"/>
      <c r="AB50" s="27" t="n"/>
      <c r="AC50" s="27" t="n"/>
      <c r="AD50" s="27" t="n"/>
      <c r="AE50" s="27" t="n"/>
      <c r="AF50" s="27" t="n"/>
      <c r="AG50" s="27" t="n"/>
      <c r="AH50" s="27" t="n"/>
      <c r="AI50" s="27" t="n"/>
      <c r="AJ50" s="27" t="n"/>
      <c r="AK50" s="27" t="n"/>
      <c r="AL50" s="27" t="n"/>
      <c r="AM50" s="27" t="n"/>
      <c r="AN50" s="27" t="n"/>
      <c r="AO50" s="0" t="inlineStr">
        <is>
          <t>2020, 2100</t>
        </is>
      </c>
    </row>
    <row r="51">
      <c r="C51" s="27" t="inlineStr">
        <is>
          <t>MINNiRSV1</t>
        </is>
      </c>
      <c r="D51" s="27" t="inlineStr">
        <is>
          <t>BNDACT</t>
        </is>
      </c>
      <c r="E51" s="27" t="n"/>
      <c r="F51" s="27">
        <f>F119*1</f>
        <v/>
      </c>
      <c r="G51" s="27">
        <f>G119*1</f>
        <v/>
      </c>
      <c r="H51" s="27">
        <f>H119*1</f>
        <v/>
      </c>
      <c r="I51" s="27">
        <f>I119*1</f>
        <v/>
      </c>
      <c r="J51" s="27">
        <f>J119*1</f>
        <v/>
      </c>
      <c r="K51" s="27">
        <f>K119*1</f>
        <v/>
      </c>
      <c r="L51" s="27">
        <f>L119*1</f>
        <v/>
      </c>
      <c r="M51" s="27">
        <f>M119*1</f>
        <v/>
      </c>
      <c r="N51" s="27">
        <f>N119*1</f>
        <v/>
      </c>
      <c r="O51" s="27">
        <f>O119*1</f>
        <v/>
      </c>
      <c r="P51" s="27">
        <f>P119*1</f>
        <v/>
      </c>
      <c r="Q51" s="27">
        <f>Q119*1</f>
        <v/>
      </c>
      <c r="R51" s="27">
        <f>R119*1</f>
        <v/>
      </c>
      <c r="S51" s="27">
        <f>S119*1</f>
        <v/>
      </c>
      <c r="T51" s="27">
        <f>T119*1</f>
        <v/>
      </c>
      <c r="U51" s="27">
        <f>U119*1</f>
        <v/>
      </c>
      <c r="V51" s="27">
        <f>V119*1</f>
        <v/>
      </c>
      <c r="W51" s="27">
        <f>W119*1</f>
        <v/>
      </c>
      <c r="X51" s="27">
        <f>X119*1</f>
        <v/>
      </c>
      <c r="Y51" s="27">
        <f>Y119*1</f>
        <v/>
      </c>
      <c r="Z51" s="27">
        <f>Z119*1</f>
        <v/>
      </c>
      <c r="AA51" s="27">
        <f>AA119*1</f>
        <v/>
      </c>
      <c r="AB51" s="27">
        <f>AB119*1</f>
        <v/>
      </c>
      <c r="AC51" s="27">
        <f>AC119*1</f>
        <v/>
      </c>
      <c r="AD51" s="27">
        <f>AD119*1</f>
        <v/>
      </c>
      <c r="AE51" s="27">
        <f>AE119*1</f>
        <v/>
      </c>
      <c r="AF51" s="27">
        <f>AF119*1</f>
        <v/>
      </c>
      <c r="AG51" s="27">
        <f>AG119*1</f>
        <v/>
      </c>
      <c r="AH51" s="27">
        <f>AH119*1</f>
        <v/>
      </c>
      <c r="AI51" s="27">
        <f>AI119*1</f>
        <v/>
      </c>
      <c r="AJ51" s="27">
        <f>AJ119*1</f>
        <v/>
      </c>
      <c r="AK51" s="27">
        <f>AK119*1</f>
        <v/>
      </c>
      <c r="AL51" s="27">
        <f>AL119*1</f>
        <v/>
      </c>
      <c r="AM51" s="27">
        <f>AM119*1</f>
        <v/>
      </c>
      <c r="AN51" s="27">
        <f>AN119*1</f>
        <v/>
      </c>
      <c r="AO51" s="0" t="inlineStr">
        <is>
          <t>2020, 2100</t>
        </is>
      </c>
    </row>
    <row r="52">
      <c r="C52" s="27" t="inlineStr">
        <is>
          <t>MINNiRSV1</t>
        </is>
      </c>
      <c r="D52" s="27" t="inlineStr">
        <is>
          <t>CUM</t>
        </is>
      </c>
      <c r="E52" s="27" t="n"/>
      <c r="F52" s="27">
        <f>'attache--data--from'!D45</f>
        <v/>
      </c>
      <c r="G52" s="27">
        <f>'attache--data--from'!E45</f>
        <v/>
      </c>
      <c r="H52" s="27">
        <f>'attache--data--from'!F45</f>
        <v/>
      </c>
      <c r="I52" s="27">
        <f>'attache--data--from'!G45</f>
        <v/>
      </c>
      <c r="J52" s="27">
        <f>'attache--data--from'!H45</f>
        <v/>
      </c>
      <c r="K52" s="27">
        <f>'attache--data--from'!I45</f>
        <v/>
      </c>
      <c r="L52" s="27">
        <f>'attache--data--from'!J45</f>
        <v/>
      </c>
      <c r="M52" s="27">
        <f>'attache--data--from'!K45</f>
        <v/>
      </c>
      <c r="N52" s="27">
        <f>'attache--data--from'!L45</f>
        <v/>
      </c>
      <c r="O52" s="27">
        <f>'attache--data--from'!M45</f>
        <v/>
      </c>
      <c r="P52" s="27">
        <f>'attache--data--from'!N45</f>
        <v/>
      </c>
      <c r="Q52" s="27">
        <f>'attache--data--from'!O45</f>
        <v/>
      </c>
      <c r="R52" s="27">
        <f>'attache--data--from'!P45</f>
        <v/>
      </c>
      <c r="S52" s="27">
        <f>'attache--data--from'!Q45</f>
        <v/>
      </c>
      <c r="T52" s="27">
        <f>'attache--data--from'!R45</f>
        <v/>
      </c>
      <c r="U52" s="27">
        <f>'attache--data--from'!S45</f>
        <v/>
      </c>
      <c r="V52" s="27">
        <f>'attache--data--from'!T45</f>
        <v/>
      </c>
      <c r="W52" s="27">
        <f>'attache--data--from'!U45</f>
        <v/>
      </c>
      <c r="X52" s="27">
        <f>'attache--data--from'!V45</f>
        <v/>
      </c>
      <c r="Y52" s="27">
        <f>'attache--data--from'!W45</f>
        <v/>
      </c>
      <c r="Z52" s="27">
        <f>'attache--data--from'!X45</f>
        <v/>
      </c>
      <c r="AA52" s="27">
        <f>'attache--data--from'!Y45</f>
        <v/>
      </c>
      <c r="AB52" s="27">
        <f>'attache--data--from'!Z45</f>
        <v/>
      </c>
      <c r="AC52" s="27">
        <f>'attache--data--from'!AA45</f>
        <v/>
      </c>
      <c r="AD52" s="27">
        <f>'attache--data--from'!AB45</f>
        <v/>
      </c>
      <c r="AE52" s="27">
        <f>'attache--data--from'!AC45</f>
        <v/>
      </c>
      <c r="AF52" s="27">
        <f>'attache--data--from'!AD45</f>
        <v/>
      </c>
      <c r="AG52" s="27">
        <f>'attache--data--from'!AE45</f>
        <v/>
      </c>
      <c r="AH52" s="27">
        <f>'attache--data--from'!AF45</f>
        <v/>
      </c>
      <c r="AI52" s="27">
        <f>'attache--data--from'!AG45</f>
        <v/>
      </c>
      <c r="AJ52" s="27">
        <f>'attache--data--from'!AH45</f>
        <v/>
      </c>
      <c r="AK52" s="27">
        <f>'attache--data--from'!AI45</f>
        <v/>
      </c>
      <c r="AL52" s="27">
        <f>'attache--data--from'!AJ45</f>
        <v/>
      </c>
      <c r="AM52" s="27">
        <f>'attache--data--from'!AK45</f>
        <v/>
      </c>
      <c r="AN52" s="27">
        <f>'attache--data--from'!AL45</f>
        <v/>
      </c>
      <c r="AO52" s="0" t="inlineStr">
        <is>
          <t>2020, 2100</t>
        </is>
      </c>
    </row>
    <row r="53">
      <c r="C53" s="27" t="inlineStr">
        <is>
          <t>MINNiRSV1</t>
        </is>
      </c>
      <c r="D53" s="27" t="inlineStr">
        <is>
          <t>COST</t>
        </is>
      </c>
      <c r="E53" s="27" t="inlineStr">
        <is>
          <t>m_nickel</t>
        </is>
      </c>
      <c r="F53" s="27">
        <f>D5</f>
        <v/>
      </c>
      <c r="G53" s="27">
        <f>F53</f>
        <v/>
      </c>
      <c r="H53" s="27">
        <f>G53</f>
        <v/>
      </c>
      <c r="I53" s="27">
        <f>H53</f>
        <v/>
      </c>
      <c r="J53" s="27">
        <f>I53</f>
        <v/>
      </c>
      <c r="K53" s="27">
        <f>J53</f>
        <v/>
      </c>
      <c r="L53" s="27">
        <f>K53</f>
        <v/>
      </c>
      <c r="M53" s="27">
        <f>L53</f>
        <v/>
      </c>
      <c r="N53" s="27">
        <f>M53</f>
        <v/>
      </c>
      <c r="O53" s="27">
        <f>N53</f>
        <v/>
      </c>
      <c r="P53" s="27">
        <f>O53</f>
        <v/>
      </c>
      <c r="Q53" s="27">
        <f>P53</f>
        <v/>
      </c>
      <c r="R53" s="27">
        <f>Q53</f>
        <v/>
      </c>
      <c r="S53" s="27">
        <f>R53</f>
        <v/>
      </c>
      <c r="T53" s="27">
        <f>S53</f>
        <v/>
      </c>
      <c r="U53" s="27">
        <f>T53</f>
        <v/>
      </c>
      <c r="V53" s="27">
        <f>U53</f>
        <v/>
      </c>
      <c r="W53" s="27">
        <f>V53</f>
        <v/>
      </c>
      <c r="X53" s="27">
        <f>W53</f>
        <v/>
      </c>
      <c r="Y53" s="27">
        <f>X53</f>
        <v/>
      </c>
      <c r="Z53" s="27">
        <f>Y53</f>
        <v/>
      </c>
      <c r="AA53" s="27">
        <f>Z53</f>
        <v/>
      </c>
      <c r="AB53" s="27">
        <f>AA53</f>
        <v/>
      </c>
      <c r="AC53" s="27">
        <f>AB53</f>
        <v/>
      </c>
      <c r="AD53" s="27">
        <f>AC53</f>
        <v/>
      </c>
      <c r="AE53" s="27">
        <f>AD53</f>
        <v/>
      </c>
      <c r="AF53" s="27">
        <f>AE53</f>
        <v/>
      </c>
      <c r="AG53" s="27">
        <f>AF53</f>
        <v/>
      </c>
      <c r="AH53" s="27">
        <f>AG53</f>
        <v/>
      </c>
      <c r="AI53" s="27">
        <f>AH53</f>
        <v/>
      </c>
      <c r="AJ53" s="27">
        <f>AI53</f>
        <v/>
      </c>
      <c r="AK53" s="27">
        <f>AJ53</f>
        <v/>
      </c>
      <c r="AL53" s="27">
        <f>AK53</f>
        <v/>
      </c>
      <c r="AM53" s="27">
        <f>AL53</f>
        <v/>
      </c>
      <c r="AN53" s="27">
        <f>AM53</f>
        <v/>
      </c>
      <c r="AO53" s="0" t="inlineStr">
        <is>
          <t>2020, 2100</t>
        </is>
      </c>
    </row>
    <row r="54">
      <c r="C54" s="27" t="inlineStr">
        <is>
          <t>MINNiRSV2</t>
        </is>
      </c>
      <c r="D54" s="27" t="inlineStr">
        <is>
          <t>BNDACT</t>
        </is>
      </c>
      <c r="E54" s="27" t="n"/>
      <c r="F54" s="27">
        <f>F119*2</f>
        <v/>
      </c>
      <c r="G54" s="27">
        <f>G119*2</f>
        <v/>
      </c>
      <c r="H54" s="27">
        <f>H119*2</f>
        <v/>
      </c>
      <c r="I54" s="27">
        <f>I119*2</f>
        <v/>
      </c>
      <c r="J54" s="27">
        <f>J119*2</f>
        <v/>
      </c>
      <c r="K54" s="27">
        <f>K119*2</f>
        <v/>
      </c>
      <c r="L54" s="27">
        <f>L119*2</f>
        <v/>
      </c>
      <c r="M54" s="27">
        <f>M119*2</f>
        <v/>
      </c>
      <c r="N54" s="27">
        <f>N119*2</f>
        <v/>
      </c>
      <c r="O54" s="27">
        <f>O119*2</f>
        <v/>
      </c>
      <c r="P54" s="27">
        <f>P119*2</f>
        <v/>
      </c>
      <c r="Q54" s="27">
        <f>Q119*2</f>
        <v/>
      </c>
      <c r="R54" s="27">
        <f>R119*2</f>
        <v/>
      </c>
      <c r="S54" s="27">
        <f>S119*2</f>
        <v/>
      </c>
      <c r="T54" s="27">
        <f>T119*2</f>
        <v/>
      </c>
      <c r="U54" s="27">
        <f>U119*2</f>
        <v/>
      </c>
      <c r="V54" s="27">
        <f>V119*2</f>
        <v/>
      </c>
      <c r="W54" s="27">
        <f>W119*2</f>
        <v/>
      </c>
      <c r="X54" s="27">
        <f>X119*2</f>
        <v/>
      </c>
      <c r="Y54" s="27">
        <f>Y119*2</f>
        <v/>
      </c>
      <c r="Z54" s="27">
        <f>Z119*2</f>
        <v/>
      </c>
      <c r="AA54" s="27">
        <f>AA119*2</f>
        <v/>
      </c>
      <c r="AB54" s="27">
        <f>AB119*2</f>
        <v/>
      </c>
      <c r="AC54" s="27">
        <f>AC119*2</f>
        <v/>
      </c>
      <c r="AD54" s="27">
        <f>AD119*2</f>
        <v/>
      </c>
      <c r="AE54" s="27">
        <f>AE119*2</f>
        <v/>
      </c>
      <c r="AF54" s="27">
        <f>AF119*2</f>
        <v/>
      </c>
      <c r="AG54" s="27">
        <f>AG119*2</f>
        <v/>
      </c>
      <c r="AH54" s="27">
        <f>AH119*2</f>
        <v/>
      </c>
      <c r="AI54" s="27">
        <f>AI119*2</f>
        <v/>
      </c>
      <c r="AJ54" s="27">
        <f>AJ119*2</f>
        <v/>
      </c>
      <c r="AK54" s="27">
        <f>AK119*2</f>
        <v/>
      </c>
      <c r="AL54" s="27">
        <f>AL119*2</f>
        <v/>
      </c>
      <c r="AM54" s="27">
        <f>AM119*2</f>
        <v/>
      </c>
      <c r="AN54" s="27">
        <f>AN119*2</f>
        <v/>
      </c>
      <c r="AO54" s="0" t="inlineStr">
        <is>
          <t>2020, 2100</t>
        </is>
      </c>
    </row>
    <row r="55">
      <c r="C55" s="27" t="inlineStr">
        <is>
          <t>MINNiRSV2</t>
        </is>
      </c>
      <c r="D55" s="27" t="inlineStr">
        <is>
          <t>CUM</t>
        </is>
      </c>
      <c r="E55" s="27" t="n"/>
      <c r="F55" s="27">
        <f>'attache--data--from'!D46</f>
        <v/>
      </c>
      <c r="G55" s="27">
        <f>'attache--data--from'!E46</f>
        <v/>
      </c>
      <c r="H55" s="27">
        <f>'attache--data--from'!F46</f>
        <v/>
      </c>
      <c r="I55" s="27">
        <f>'attache--data--from'!G46</f>
        <v/>
      </c>
      <c r="J55" s="27">
        <f>'attache--data--from'!H46</f>
        <v/>
      </c>
      <c r="K55" s="27">
        <f>'attache--data--from'!I46</f>
        <v/>
      </c>
      <c r="L55" s="27">
        <f>'attache--data--from'!J46</f>
        <v/>
      </c>
      <c r="M55" s="27">
        <f>'attache--data--from'!K46</f>
        <v/>
      </c>
      <c r="N55" s="27">
        <f>'attache--data--from'!L46</f>
        <v/>
      </c>
      <c r="O55" s="27">
        <f>'attache--data--from'!M46</f>
        <v/>
      </c>
      <c r="P55" s="27">
        <f>'attache--data--from'!N46</f>
        <v/>
      </c>
      <c r="Q55" s="27">
        <f>'attache--data--from'!O46</f>
        <v/>
      </c>
      <c r="R55" s="27">
        <f>'attache--data--from'!P46</f>
        <v/>
      </c>
      <c r="S55" s="27">
        <f>'attache--data--from'!Q46</f>
        <v/>
      </c>
      <c r="T55" s="27">
        <f>'attache--data--from'!R46</f>
        <v/>
      </c>
      <c r="U55" s="27">
        <f>'attache--data--from'!S46</f>
        <v/>
      </c>
      <c r="V55" s="27">
        <f>'attache--data--from'!T46</f>
        <v/>
      </c>
      <c r="W55" s="27">
        <f>'attache--data--from'!U46</f>
        <v/>
      </c>
      <c r="X55" s="27">
        <f>'attache--data--from'!V46</f>
        <v/>
      </c>
      <c r="Y55" s="27">
        <f>'attache--data--from'!W46</f>
        <v/>
      </c>
      <c r="Z55" s="27">
        <f>'attache--data--from'!X46</f>
        <v/>
      </c>
      <c r="AA55" s="27">
        <f>'attache--data--from'!Y46</f>
        <v/>
      </c>
      <c r="AB55" s="27">
        <f>'attache--data--from'!Z46</f>
        <v/>
      </c>
      <c r="AC55" s="27">
        <f>'attache--data--from'!AA46</f>
        <v/>
      </c>
      <c r="AD55" s="27">
        <f>'attache--data--from'!AB46</f>
        <v/>
      </c>
      <c r="AE55" s="27">
        <f>'attache--data--from'!AC46</f>
        <v/>
      </c>
      <c r="AF55" s="27">
        <f>'attache--data--from'!AD46</f>
        <v/>
      </c>
      <c r="AG55" s="27">
        <f>'attache--data--from'!AE46</f>
        <v/>
      </c>
      <c r="AH55" s="27">
        <f>'attache--data--from'!AF46</f>
        <v/>
      </c>
      <c r="AI55" s="27">
        <f>'attache--data--from'!AG46</f>
        <v/>
      </c>
      <c r="AJ55" s="27">
        <f>'attache--data--from'!AH46</f>
        <v/>
      </c>
      <c r="AK55" s="27">
        <f>'attache--data--from'!AI46</f>
        <v/>
      </c>
      <c r="AL55" s="27">
        <f>'attache--data--from'!AJ46</f>
        <v/>
      </c>
      <c r="AM55" s="27">
        <f>'attache--data--from'!AK46</f>
        <v/>
      </c>
      <c r="AN55" s="27">
        <f>'attache--data--from'!AL46</f>
        <v/>
      </c>
      <c r="AO55" s="0" t="inlineStr">
        <is>
          <t>2020, 2100</t>
        </is>
      </c>
    </row>
    <row r="56">
      <c r="C56" s="27" t="inlineStr">
        <is>
          <t>MINNiRSV2</t>
        </is>
      </c>
      <c r="D56" s="27" t="inlineStr">
        <is>
          <t>COST</t>
        </is>
      </c>
      <c r="E56" s="27" t="inlineStr">
        <is>
          <t>m_nickel</t>
        </is>
      </c>
      <c r="F56" s="27">
        <f>F53*3</f>
        <v/>
      </c>
      <c r="G56" s="27">
        <f>F56</f>
        <v/>
      </c>
      <c r="H56" s="27">
        <f>G56</f>
        <v/>
      </c>
      <c r="I56" s="27">
        <f>H56</f>
        <v/>
      </c>
      <c r="J56" s="27">
        <f>I56</f>
        <v/>
      </c>
      <c r="K56" s="27">
        <f>J56</f>
        <v/>
      </c>
      <c r="L56" s="27">
        <f>K56</f>
        <v/>
      </c>
      <c r="M56" s="27">
        <f>L56</f>
        <v/>
      </c>
      <c r="N56" s="27">
        <f>M56</f>
        <v/>
      </c>
      <c r="O56" s="27">
        <f>N56</f>
        <v/>
      </c>
      <c r="P56" s="27">
        <f>O56</f>
        <v/>
      </c>
      <c r="Q56" s="27">
        <f>P56</f>
        <v/>
      </c>
      <c r="R56" s="27">
        <f>Q56</f>
        <v/>
      </c>
      <c r="S56" s="27">
        <f>R56</f>
        <v/>
      </c>
      <c r="T56" s="27">
        <f>S56</f>
        <v/>
      </c>
      <c r="U56" s="27">
        <f>T56</f>
        <v/>
      </c>
      <c r="V56" s="27">
        <f>U56</f>
        <v/>
      </c>
      <c r="W56" s="27">
        <f>V56</f>
        <v/>
      </c>
      <c r="X56" s="27">
        <f>W56</f>
        <v/>
      </c>
      <c r="Y56" s="27">
        <f>X56</f>
        <v/>
      </c>
      <c r="Z56" s="27">
        <f>Y56</f>
        <v/>
      </c>
      <c r="AA56" s="27">
        <f>Z56</f>
        <v/>
      </c>
      <c r="AB56" s="27">
        <f>AA56</f>
        <v/>
      </c>
      <c r="AC56" s="27">
        <f>AB56</f>
        <v/>
      </c>
      <c r="AD56" s="27">
        <f>AC56</f>
        <v/>
      </c>
      <c r="AE56" s="27">
        <f>AD56</f>
        <v/>
      </c>
      <c r="AF56" s="27">
        <f>AE56</f>
        <v/>
      </c>
      <c r="AG56" s="27">
        <f>AF56</f>
        <v/>
      </c>
      <c r="AH56" s="27">
        <f>AG56</f>
        <v/>
      </c>
      <c r="AI56" s="27">
        <f>AH56</f>
        <v/>
      </c>
      <c r="AJ56" s="27">
        <f>AI56</f>
        <v/>
      </c>
      <c r="AK56" s="27">
        <f>AJ56</f>
        <v/>
      </c>
      <c r="AL56" s="27">
        <f>AK56</f>
        <v/>
      </c>
      <c r="AM56" s="27">
        <f>AL56</f>
        <v/>
      </c>
      <c r="AN56" s="27">
        <f>AM56</f>
        <v/>
      </c>
      <c r="AO56" s="0" t="inlineStr">
        <is>
          <t>2020, 2100</t>
        </is>
      </c>
    </row>
    <row r="57">
      <c r="C57" s="0" t="inlineStr">
        <is>
          <t>MINNiRSV3</t>
        </is>
      </c>
      <c r="D57" s="0" t="inlineStr">
        <is>
          <t>BNDACT</t>
        </is>
      </c>
      <c r="AO57" s="0" t="inlineStr">
        <is>
          <t>2020, 2100</t>
        </is>
      </c>
    </row>
    <row r="58">
      <c r="C58" s="0" t="inlineStr">
        <is>
          <t>MINNiRSV3</t>
        </is>
      </c>
      <c r="D58" s="0" t="inlineStr">
        <is>
          <t>CUM</t>
        </is>
      </c>
      <c r="F58" s="0">
        <f>'attache--data--from'!D47</f>
        <v/>
      </c>
      <c r="G58" s="0">
        <f>'attache--data--from'!E47</f>
        <v/>
      </c>
      <c r="H58" s="0">
        <f>'attache--data--from'!F47</f>
        <v/>
      </c>
      <c r="I58" s="0">
        <f>'attache--data--from'!G47</f>
        <v/>
      </c>
      <c r="J58" s="0">
        <f>'attache--data--from'!H47</f>
        <v/>
      </c>
      <c r="K58" s="0">
        <f>'attache--data--from'!I47</f>
        <v/>
      </c>
      <c r="L58" s="0">
        <f>'attache--data--from'!J47</f>
        <v/>
      </c>
      <c r="M58" s="0">
        <f>'attache--data--from'!K47</f>
        <v/>
      </c>
      <c r="N58" s="0">
        <f>'attache--data--from'!L47</f>
        <v/>
      </c>
      <c r="O58" s="0">
        <f>'attache--data--from'!M47</f>
        <v/>
      </c>
      <c r="P58" s="0">
        <f>'attache--data--from'!N47</f>
        <v/>
      </c>
      <c r="Q58" s="0">
        <f>'attache--data--from'!O47</f>
        <v/>
      </c>
      <c r="R58" s="0">
        <f>'attache--data--from'!P47</f>
        <v/>
      </c>
      <c r="S58" s="0">
        <f>'attache--data--from'!Q47</f>
        <v/>
      </c>
      <c r="T58" s="0">
        <f>'attache--data--from'!R47</f>
        <v/>
      </c>
      <c r="U58" s="0">
        <f>'attache--data--from'!S47</f>
        <v/>
      </c>
      <c r="V58" s="0">
        <f>'attache--data--from'!T47</f>
        <v/>
      </c>
      <c r="W58" s="0">
        <f>'attache--data--from'!U47</f>
        <v/>
      </c>
      <c r="X58" s="0">
        <f>'attache--data--from'!V47</f>
        <v/>
      </c>
      <c r="Y58" s="0">
        <f>'attache--data--from'!W47</f>
        <v/>
      </c>
      <c r="Z58" s="0">
        <f>'attache--data--from'!X47</f>
        <v/>
      </c>
      <c r="AA58" s="0">
        <f>'attache--data--from'!Y47</f>
        <v/>
      </c>
      <c r="AB58" s="0">
        <f>'attache--data--from'!Z47</f>
        <v/>
      </c>
      <c r="AC58" s="0">
        <f>'attache--data--from'!AA47</f>
        <v/>
      </c>
      <c r="AD58" s="0">
        <f>'attache--data--from'!AB47</f>
        <v/>
      </c>
      <c r="AE58" s="0">
        <f>'attache--data--from'!AC47</f>
        <v/>
      </c>
      <c r="AF58" s="0">
        <f>'attache--data--from'!AD47</f>
        <v/>
      </c>
      <c r="AG58" s="0">
        <f>'attache--data--from'!AE47</f>
        <v/>
      </c>
      <c r="AH58" s="0">
        <f>'attache--data--from'!AF47</f>
        <v/>
      </c>
      <c r="AI58" s="0">
        <f>'attache--data--from'!AG47</f>
        <v/>
      </c>
      <c r="AJ58" s="0">
        <f>'attache--data--from'!AH47</f>
        <v/>
      </c>
      <c r="AK58" s="0">
        <f>'attache--data--from'!AI47</f>
        <v/>
      </c>
      <c r="AL58" s="0">
        <f>'attache--data--from'!AJ47</f>
        <v/>
      </c>
      <c r="AM58" s="0">
        <f>'attache--data--from'!AK47</f>
        <v/>
      </c>
      <c r="AN58" s="0">
        <f>'attache--data--from'!AL47</f>
        <v/>
      </c>
      <c r="AO58" s="0" t="inlineStr">
        <is>
          <t>2020, 2100</t>
        </is>
      </c>
    </row>
    <row r="59">
      <c r="C59" s="0" t="inlineStr">
        <is>
          <t>MINNiRSV3</t>
        </is>
      </c>
      <c r="D59" s="0" t="inlineStr">
        <is>
          <t>COST</t>
        </is>
      </c>
      <c r="E59" s="0" t="inlineStr">
        <is>
          <t>m_nickel</t>
        </is>
      </c>
      <c r="F59" s="0">
        <f>F53*5</f>
        <v/>
      </c>
      <c r="G59" s="0">
        <f>F59</f>
        <v/>
      </c>
      <c r="H59" s="0">
        <f>G59</f>
        <v/>
      </c>
      <c r="I59" s="0">
        <f>H59</f>
        <v/>
      </c>
      <c r="J59" s="0">
        <f>I59</f>
        <v/>
      </c>
      <c r="K59" s="0">
        <f>J59</f>
        <v/>
      </c>
      <c r="L59" s="0">
        <f>K59</f>
        <v/>
      </c>
      <c r="M59" s="0">
        <f>L59</f>
        <v/>
      </c>
      <c r="N59" s="0">
        <f>M59</f>
        <v/>
      </c>
      <c r="O59" s="0">
        <f>N59</f>
        <v/>
      </c>
      <c r="P59" s="0">
        <f>O59</f>
        <v/>
      </c>
      <c r="Q59" s="0">
        <f>P59</f>
        <v/>
      </c>
      <c r="R59" s="0">
        <f>Q59</f>
        <v/>
      </c>
      <c r="S59" s="0">
        <f>R59</f>
        <v/>
      </c>
      <c r="T59" s="0">
        <f>S59</f>
        <v/>
      </c>
      <c r="U59" s="0">
        <f>T59</f>
        <v/>
      </c>
      <c r="V59" s="0">
        <f>U59</f>
        <v/>
      </c>
      <c r="W59" s="0">
        <f>V59</f>
        <v/>
      </c>
      <c r="X59" s="0">
        <f>W59</f>
        <v/>
      </c>
      <c r="Y59" s="0">
        <f>X59</f>
        <v/>
      </c>
      <c r="Z59" s="0">
        <f>Y59</f>
        <v/>
      </c>
      <c r="AA59" s="0">
        <f>Z59</f>
        <v/>
      </c>
      <c r="AB59" s="0">
        <f>AA59</f>
        <v/>
      </c>
      <c r="AC59" s="0">
        <f>AB59</f>
        <v/>
      </c>
      <c r="AD59" s="0">
        <f>AC59</f>
        <v/>
      </c>
      <c r="AE59" s="0">
        <f>AD59</f>
        <v/>
      </c>
      <c r="AF59" s="0">
        <f>AE59</f>
        <v/>
      </c>
      <c r="AG59" s="0">
        <f>AF59</f>
        <v/>
      </c>
      <c r="AH59" s="0">
        <f>AG59</f>
        <v/>
      </c>
      <c r="AI59" s="0">
        <f>AH59</f>
        <v/>
      </c>
      <c r="AJ59" s="0">
        <f>AI59</f>
        <v/>
      </c>
      <c r="AK59" s="0">
        <f>AJ59</f>
        <v/>
      </c>
      <c r="AL59" s="0">
        <f>AK59</f>
        <v/>
      </c>
      <c r="AM59" s="0">
        <f>AL59</f>
        <v/>
      </c>
      <c r="AN59" s="0">
        <f>AM59</f>
        <v/>
      </c>
      <c r="AO59" s="0" t="inlineStr">
        <is>
          <t>2020, 2100</t>
        </is>
      </c>
    </row>
    <row r="60">
      <c r="C60" s="0" t="inlineStr">
        <is>
          <t>*</t>
        </is>
      </c>
      <c r="AO60" s="0" t="inlineStr">
        <is>
          <t>2020, 2100</t>
        </is>
      </c>
    </row>
    <row r="61">
      <c r="C61" s="0" t="inlineStr">
        <is>
          <t>MINCoRSV1</t>
        </is>
      </c>
      <c r="D61" s="0" t="inlineStr">
        <is>
          <t>BNDACT</t>
        </is>
      </c>
      <c r="F61" s="0">
        <f>F120*1</f>
        <v/>
      </c>
      <c r="G61" s="0">
        <f>G120*1</f>
        <v/>
      </c>
      <c r="H61" s="0">
        <f>H120*1</f>
        <v/>
      </c>
      <c r="I61" s="0">
        <f>I120*1</f>
        <v/>
      </c>
      <c r="J61" s="0">
        <f>J120*1</f>
        <v/>
      </c>
      <c r="K61" s="0">
        <f>K120*1</f>
        <v/>
      </c>
      <c r="L61" s="0">
        <f>L120*1</f>
        <v/>
      </c>
      <c r="M61" s="0">
        <f>M120*1</f>
        <v/>
      </c>
      <c r="N61" s="0">
        <f>N120*1</f>
        <v/>
      </c>
      <c r="O61" s="0">
        <f>O120*1</f>
        <v/>
      </c>
      <c r="P61" s="0">
        <f>P120*1</f>
        <v/>
      </c>
      <c r="Q61" s="0">
        <f>Q120*1</f>
        <v/>
      </c>
      <c r="R61" s="0">
        <f>R120*1</f>
        <v/>
      </c>
      <c r="S61" s="0">
        <f>S120*1</f>
        <v/>
      </c>
      <c r="T61" s="0">
        <f>T120*1</f>
        <v/>
      </c>
      <c r="U61" s="0">
        <f>U120*1</f>
        <v/>
      </c>
      <c r="V61" s="0">
        <f>V120*1</f>
        <v/>
      </c>
      <c r="W61" s="0">
        <f>W120*1</f>
        <v/>
      </c>
      <c r="X61" s="0">
        <f>X120*1</f>
        <v/>
      </c>
      <c r="Y61" s="0">
        <f>Y120*1</f>
        <v/>
      </c>
      <c r="Z61" s="0">
        <f>Z120*1</f>
        <v/>
      </c>
      <c r="AA61" s="0">
        <f>AA120*1</f>
        <v/>
      </c>
      <c r="AB61" s="0">
        <f>AB120*1</f>
        <v/>
      </c>
      <c r="AC61" s="0">
        <f>AC120*1</f>
        <v/>
      </c>
      <c r="AD61" s="0">
        <f>AD120*1</f>
        <v/>
      </c>
      <c r="AE61" s="0">
        <f>AE120*1</f>
        <v/>
      </c>
      <c r="AF61" s="0">
        <f>AF120*1</f>
        <v/>
      </c>
      <c r="AG61" s="0">
        <f>AG120*1</f>
        <v/>
      </c>
      <c r="AH61" s="0">
        <f>AH120*1</f>
        <v/>
      </c>
      <c r="AI61" s="0">
        <f>AI120*1</f>
        <v/>
      </c>
      <c r="AJ61" s="0">
        <f>AJ120*1</f>
        <v/>
      </c>
      <c r="AK61" s="0">
        <f>AK120*1</f>
        <v/>
      </c>
      <c r="AL61" s="0">
        <f>AL120*1</f>
        <v/>
      </c>
      <c r="AM61" s="0">
        <f>AM120*1</f>
        <v/>
      </c>
      <c r="AN61" s="0">
        <f>AN120*1</f>
        <v/>
      </c>
      <c r="AO61" s="0" t="inlineStr">
        <is>
          <t>2020, 2100</t>
        </is>
      </c>
    </row>
    <row r="62">
      <c r="C62" s="0" t="inlineStr">
        <is>
          <t>MINCoRSV1</t>
        </is>
      </c>
      <c r="D62" s="0" t="inlineStr">
        <is>
          <t>CUM</t>
        </is>
      </c>
      <c r="F62" s="0">
        <f>'attache--data--from'!D41</f>
        <v/>
      </c>
      <c r="G62" s="0">
        <f>'attache--data--from'!E41</f>
        <v/>
      </c>
      <c r="H62" s="0">
        <f>'attache--data--from'!F41</f>
        <v/>
      </c>
      <c r="I62" s="0">
        <f>'attache--data--from'!G41</f>
        <v/>
      </c>
      <c r="J62" s="0">
        <f>'attache--data--from'!H41</f>
        <v/>
      </c>
      <c r="K62" s="0">
        <f>'attache--data--from'!I41</f>
        <v/>
      </c>
      <c r="L62" s="0">
        <f>'attache--data--from'!J41</f>
        <v/>
      </c>
      <c r="M62" s="0">
        <f>'attache--data--from'!K41</f>
        <v/>
      </c>
      <c r="N62" s="0">
        <f>'attache--data--from'!L41</f>
        <v/>
      </c>
      <c r="O62" s="0">
        <f>'attache--data--from'!M41</f>
        <v/>
      </c>
      <c r="P62" s="0">
        <f>'attache--data--from'!N41</f>
        <v/>
      </c>
      <c r="Q62" s="0">
        <f>'attache--data--from'!O41</f>
        <v/>
      </c>
      <c r="R62" s="0">
        <f>'attache--data--from'!P41</f>
        <v/>
      </c>
      <c r="S62" s="0">
        <f>'attache--data--from'!Q41</f>
        <v/>
      </c>
      <c r="T62" s="0">
        <f>'attache--data--from'!R41</f>
        <v/>
      </c>
      <c r="U62" s="0">
        <f>'attache--data--from'!S41</f>
        <v/>
      </c>
      <c r="V62" s="0">
        <f>'attache--data--from'!T41</f>
        <v/>
      </c>
      <c r="W62" s="0">
        <f>'attache--data--from'!U41</f>
        <v/>
      </c>
      <c r="X62" s="0">
        <f>'attache--data--from'!V41</f>
        <v/>
      </c>
      <c r="Y62" s="0">
        <f>'attache--data--from'!W41</f>
        <v/>
      </c>
      <c r="Z62" s="0">
        <f>'attache--data--from'!X41</f>
        <v/>
      </c>
      <c r="AA62" s="0">
        <f>'attache--data--from'!Y41</f>
        <v/>
      </c>
      <c r="AB62" s="0">
        <f>'attache--data--from'!Z41</f>
        <v/>
      </c>
      <c r="AC62" s="0">
        <f>'attache--data--from'!AA41</f>
        <v/>
      </c>
      <c r="AD62" s="0">
        <f>'attache--data--from'!AB41</f>
        <v/>
      </c>
      <c r="AE62" s="0">
        <f>'attache--data--from'!AC41</f>
        <v/>
      </c>
      <c r="AF62" s="0">
        <f>'attache--data--from'!AD41</f>
        <v/>
      </c>
      <c r="AG62" s="0">
        <f>'attache--data--from'!AE41</f>
        <v/>
      </c>
      <c r="AH62" s="0">
        <f>'attache--data--from'!AF41</f>
        <v/>
      </c>
      <c r="AI62" s="0">
        <f>'attache--data--from'!AG41</f>
        <v/>
      </c>
      <c r="AJ62" s="0">
        <f>'attache--data--from'!AH41</f>
        <v/>
      </c>
      <c r="AK62" s="0">
        <f>'attache--data--from'!AI41</f>
        <v/>
      </c>
      <c r="AL62" s="0">
        <f>'attache--data--from'!AJ41</f>
        <v/>
      </c>
      <c r="AM62" s="0">
        <f>'attache--data--from'!AK41</f>
        <v/>
      </c>
      <c r="AN62" s="0">
        <f>'attache--data--from'!AL41</f>
        <v/>
      </c>
      <c r="AO62" s="0" t="inlineStr">
        <is>
          <t>2020, 2100</t>
        </is>
      </c>
    </row>
    <row r="63">
      <c r="C63" s="0" t="inlineStr">
        <is>
          <t>MINCoRSV1</t>
        </is>
      </c>
      <c r="D63" s="0" t="inlineStr">
        <is>
          <t>COST</t>
        </is>
      </c>
      <c r="E63" s="0" t="inlineStr">
        <is>
          <t>m_cobalt</t>
        </is>
      </c>
      <c r="F63" s="0">
        <f>D6</f>
        <v/>
      </c>
      <c r="G63" s="0">
        <f>F63</f>
        <v/>
      </c>
      <c r="H63" s="0">
        <f>G63</f>
        <v/>
      </c>
      <c r="I63" s="0">
        <f>H63</f>
        <v/>
      </c>
      <c r="J63" s="0">
        <f>I63</f>
        <v/>
      </c>
      <c r="K63" s="0">
        <f>J63</f>
        <v/>
      </c>
      <c r="L63" s="0">
        <f>K63</f>
        <v/>
      </c>
      <c r="M63" s="0">
        <f>L63</f>
        <v/>
      </c>
      <c r="N63" s="0">
        <f>M63</f>
        <v/>
      </c>
      <c r="O63" s="0">
        <f>N63</f>
        <v/>
      </c>
      <c r="P63" s="0">
        <f>O63</f>
        <v/>
      </c>
      <c r="Q63" s="0">
        <f>P63</f>
        <v/>
      </c>
      <c r="R63" s="0">
        <f>Q63</f>
        <v/>
      </c>
      <c r="S63" s="0">
        <f>R63</f>
        <v/>
      </c>
      <c r="T63" s="0">
        <f>S63</f>
        <v/>
      </c>
      <c r="U63" s="0">
        <f>T63</f>
        <v/>
      </c>
      <c r="V63" s="0">
        <f>U63</f>
        <v/>
      </c>
      <c r="W63" s="0">
        <f>V63</f>
        <v/>
      </c>
      <c r="X63" s="0">
        <f>W63</f>
        <v/>
      </c>
      <c r="Y63" s="0">
        <f>X63</f>
        <v/>
      </c>
      <c r="Z63" s="0">
        <f>Y63</f>
        <v/>
      </c>
      <c r="AA63" s="0">
        <f>Z63</f>
        <v/>
      </c>
      <c r="AB63" s="0">
        <f>AA63</f>
        <v/>
      </c>
      <c r="AC63" s="0">
        <f>AB63</f>
        <v/>
      </c>
      <c r="AD63" s="0">
        <f>AC63</f>
        <v/>
      </c>
      <c r="AE63" s="0">
        <f>AD63</f>
        <v/>
      </c>
      <c r="AF63" s="0">
        <f>AE63</f>
        <v/>
      </c>
      <c r="AG63" s="0">
        <f>AF63</f>
        <v/>
      </c>
      <c r="AH63" s="0">
        <f>AG63</f>
        <v/>
      </c>
      <c r="AI63" s="0">
        <f>AH63</f>
        <v/>
      </c>
      <c r="AJ63" s="0">
        <f>AI63</f>
        <v/>
      </c>
      <c r="AK63" s="0">
        <f>AJ63</f>
        <v/>
      </c>
      <c r="AL63" s="0">
        <f>AK63</f>
        <v/>
      </c>
      <c r="AM63" s="0">
        <f>AL63</f>
        <v/>
      </c>
      <c r="AN63" s="0">
        <f>AM63</f>
        <v/>
      </c>
      <c r="AO63" s="0" t="inlineStr">
        <is>
          <t>2020, 2100</t>
        </is>
      </c>
    </row>
    <row r="64">
      <c r="C64" s="0" t="inlineStr">
        <is>
          <t>MINCoRSV2</t>
        </is>
      </c>
      <c r="D64" s="0" t="inlineStr">
        <is>
          <t>BNDACT</t>
        </is>
      </c>
      <c r="F64" s="0">
        <f>F120*2</f>
        <v/>
      </c>
      <c r="G64" s="0">
        <f>G120*2</f>
        <v/>
      </c>
      <c r="H64" s="0">
        <f>H120*2</f>
        <v/>
      </c>
      <c r="I64" s="0">
        <f>I120*2</f>
        <v/>
      </c>
      <c r="J64" s="0">
        <f>J120*2</f>
        <v/>
      </c>
      <c r="K64" s="0">
        <f>K120*2</f>
        <v/>
      </c>
      <c r="L64" s="0">
        <f>L120*2</f>
        <v/>
      </c>
      <c r="M64" s="0">
        <f>M120*2</f>
        <v/>
      </c>
      <c r="N64" s="0">
        <f>N120*2</f>
        <v/>
      </c>
      <c r="O64" s="0">
        <f>O120*2</f>
        <v/>
      </c>
      <c r="P64" s="0">
        <f>P120*2</f>
        <v/>
      </c>
      <c r="Q64" s="0">
        <f>Q120*2</f>
        <v/>
      </c>
      <c r="R64" s="0">
        <f>R120*2</f>
        <v/>
      </c>
      <c r="S64" s="0">
        <f>S120*2</f>
        <v/>
      </c>
      <c r="T64" s="0">
        <f>T120*2</f>
        <v/>
      </c>
      <c r="U64" s="0">
        <f>U120*2</f>
        <v/>
      </c>
      <c r="V64" s="0">
        <f>V120*2</f>
        <v/>
      </c>
      <c r="W64" s="0">
        <f>W120*2</f>
        <v/>
      </c>
      <c r="X64" s="0">
        <f>X120*2</f>
        <v/>
      </c>
      <c r="Y64" s="0">
        <f>Y120*2</f>
        <v/>
      </c>
      <c r="Z64" s="0">
        <f>Z120*2</f>
        <v/>
      </c>
      <c r="AA64" s="0">
        <f>AA120*2</f>
        <v/>
      </c>
      <c r="AB64" s="0">
        <f>AB120*2</f>
        <v/>
      </c>
      <c r="AC64" s="0">
        <f>AC120*2</f>
        <v/>
      </c>
      <c r="AD64" s="0">
        <f>AD120*2</f>
        <v/>
      </c>
      <c r="AE64" s="0">
        <f>AE120*2</f>
        <v/>
      </c>
      <c r="AF64" s="0">
        <f>AF120*2</f>
        <v/>
      </c>
      <c r="AG64" s="0">
        <f>AG120*2</f>
        <v/>
      </c>
      <c r="AH64" s="0">
        <f>AH120*2</f>
        <v/>
      </c>
      <c r="AI64" s="0">
        <f>AI120*2</f>
        <v/>
      </c>
      <c r="AJ64" s="0">
        <f>AJ120*2</f>
        <v/>
      </c>
      <c r="AK64" s="0">
        <f>AK120*2</f>
        <v/>
      </c>
      <c r="AL64" s="0">
        <f>AL120*2</f>
        <v/>
      </c>
      <c r="AM64" s="0">
        <f>AM120*2</f>
        <v/>
      </c>
      <c r="AN64" s="0">
        <f>AN120*2</f>
        <v/>
      </c>
      <c r="AO64" s="0" t="inlineStr">
        <is>
          <t>2020, 2100</t>
        </is>
      </c>
    </row>
    <row r="65">
      <c r="C65" s="0" t="inlineStr">
        <is>
          <t>MINCoRSV2</t>
        </is>
      </c>
      <c r="D65" s="0" t="inlineStr">
        <is>
          <t>CUM</t>
        </is>
      </c>
      <c r="F65" s="0">
        <f>'attache--data--from'!D42</f>
        <v/>
      </c>
      <c r="G65" s="0">
        <f>'attache--data--from'!E42</f>
        <v/>
      </c>
      <c r="H65" s="0">
        <f>'attache--data--from'!F42</f>
        <v/>
      </c>
      <c r="I65" s="0">
        <f>'attache--data--from'!G42</f>
        <v/>
      </c>
      <c r="J65" s="0">
        <f>'attache--data--from'!H42</f>
        <v/>
      </c>
      <c r="K65" s="0">
        <f>'attache--data--from'!I42</f>
        <v/>
      </c>
      <c r="L65" s="0">
        <f>'attache--data--from'!J42</f>
        <v/>
      </c>
      <c r="M65" s="0">
        <f>'attache--data--from'!K42</f>
        <v/>
      </c>
      <c r="N65" s="0">
        <f>'attache--data--from'!L42</f>
        <v/>
      </c>
      <c r="O65" s="0">
        <f>'attache--data--from'!M42</f>
        <v/>
      </c>
      <c r="P65" s="0">
        <f>'attache--data--from'!N42</f>
        <v/>
      </c>
      <c r="Q65" s="0">
        <f>'attache--data--from'!O42</f>
        <v/>
      </c>
      <c r="R65" s="0">
        <f>'attache--data--from'!P42</f>
        <v/>
      </c>
      <c r="S65" s="0">
        <f>'attache--data--from'!Q42</f>
        <v/>
      </c>
      <c r="T65" s="0">
        <f>'attache--data--from'!R42</f>
        <v/>
      </c>
      <c r="U65" s="0">
        <f>'attache--data--from'!S42</f>
        <v/>
      </c>
      <c r="V65" s="0">
        <f>'attache--data--from'!T42</f>
        <v/>
      </c>
      <c r="W65" s="0">
        <f>'attache--data--from'!U42</f>
        <v/>
      </c>
      <c r="X65" s="0">
        <f>'attache--data--from'!V42</f>
        <v/>
      </c>
      <c r="Y65" s="0">
        <f>'attache--data--from'!W42</f>
        <v/>
      </c>
      <c r="Z65" s="0">
        <f>'attache--data--from'!X42</f>
        <v/>
      </c>
      <c r="AA65" s="0">
        <f>'attache--data--from'!Y42</f>
        <v/>
      </c>
      <c r="AB65" s="0">
        <f>'attache--data--from'!Z42</f>
        <v/>
      </c>
      <c r="AC65" s="0">
        <f>'attache--data--from'!AA42</f>
        <v/>
      </c>
      <c r="AD65" s="0">
        <f>'attache--data--from'!AB42</f>
        <v/>
      </c>
      <c r="AE65" s="0">
        <f>'attache--data--from'!AC42</f>
        <v/>
      </c>
      <c r="AF65" s="0">
        <f>'attache--data--from'!AD42</f>
        <v/>
      </c>
      <c r="AG65" s="0">
        <f>'attache--data--from'!AE42</f>
        <v/>
      </c>
      <c r="AH65" s="0">
        <f>'attache--data--from'!AF42</f>
        <v/>
      </c>
      <c r="AI65" s="0">
        <f>'attache--data--from'!AG42</f>
        <v/>
      </c>
      <c r="AJ65" s="0">
        <f>'attache--data--from'!AH42</f>
        <v/>
      </c>
      <c r="AK65" s="0">
        <f>'attache--data--from'!AI42</f>
        <v/>
      </c>
      <c r="AL65" s="0">
        <f>'attache--data--from'!AJ42</f>
        <v/>
      </c>
      <c r="AM65" s="0">
        <f>'attache--data--from'!AK42</f>
        <v/>
      </c>
      <c r="AN65" s="0">
        <f>'attache--data--from'!AL42</f>
        <v/>
      </c>
      <c r="AO65" s="0" t="inlineStr">
        <is>
          <t>2020, 2100</t>
        </is>
      </c>
    </row>
    <row r="66">
      <c r="C66" s="0" t="inlineStr">
        <is>
          <t>MINCoRSV2</t>
        </is>
      </c>
      <c r="D66" s="0" t="inlineStr">
        <is>
          <t>COST</t>
        </is>
      </c>
      <c r="E66" s="0" t="inlineStr">
        <is>
          <t>m_cobalt</t>
        </is>
      </c>
      <c r="F66" s="0">
        <f>F63*3</f>
        <v/>
      </c>
      <c r="G66" s="0">
        <f>F66</f>
        <v/>
      </c>
      <c r="H66" s="0">
        <f>G66</f>
        <v/>
      </c>
      <c r="I66" s="0">
        <f>H66</f>
        <v/>
      </c>
      <c r="J66" s="0">
        <f>I66</f>
        <v/>
      </c>
      <c r="K66" s="0">
        <f>J66</f>
        <v/>
      </c>
      <c r="L66" s="0">
        <f>K66</f>
        <v/>
      </c>
      <c r="M66" s="0">
        <f>L66</f>
        <v/>
      </c>
      <c r="N66" s="0">
        <f>M66</f>
        <v/>
      </c>
      <c r="O66" s="0">
        <f>N66</f>
        <v/>
      </c>
      <c r="P66" s="0">
        <f>O66</f>
        <v/>
      </c>
      <c r="Q66" s="0">
        <f>P66</f>
        <v/>
      </c>
      <c r="R66" s="0">
        <f>Q66</f>
        <v/>
      </c>
      <c r="S66" s="0">
        <f>R66</f>
        <v/>
      </c>
      <c r="T66" s="0">
        <f>S66</f>
        <v/>
      </c>
      <c r="U66" s="0">
        <f>T66</f>
        <v/>
      </c>
      <c r="V66" s="0">
        <f>U66</f>
        <v/>
      </c>
      <c r="W66" s="0">
        <f>V66</f>
        <v/>
      </c>
      <c r="X66" s="0">
        <f>W66</f>
        <v/>
      </c>
      <c r="Y66" s="0">
        <f>X66</f>
        <v/>
      </c>
      <c r="Z66" s="0">
        <f>Y66</f>
        <v/>
      </c>
      <c r="AA66" s="0">
        <f>Z66</f>
        <v/>
      </c>
      <c r="AB66" s="0">
        <f>AA66</f>
        <v/>
      </c>
      <c r="AC66" s="0">
        <f>AB66</f>
        <v/>
      </c>
      <c r="AD66" s="0">
        <f>AC66</f>
        <v/>
      </c>
      <c r="AE66" s="0">
        <f>AD66</f>
        <v/>
      </c>
      <c r="AF66" s="0">
        <f>AE66</f>
        <v/>
      </c>
      <c r="AG66" s="0">
        <f>AF66</f>
        <v/>
      </c>
      <c r="AH66" s="0">
        <f>AG66</f>
        <v/>
      </c>
      <c r="AI66" s="0">
        <f>AH66</f>
        <v/>
      </c>
      <c r="AJ66" s="0">
        <f>AI66</f>
        <v/>
      </c>
      <c r="AK66" s="0">
        <f>AJ66</f>
        <v/>
      </c>
      <c r="AL66" s="0">
        <f>AK66</f>
        <v/>
      </c>
      <c r="AM66" s="0">
        <f>AL66</f>
        <v/>
      </c>
      <c r="AN66" s="0">
        <f>AM66</f>
        <v/>
      </c>
      <c r="AO66" s="0" t="inlineStr">
        <is>
          <t>2020, 2100</t>
        </is>
      </c>
    </row>
    <row r="67">
      <c r="C67" s="0" t="inlineStr">
        <is>
          <t>MINCoRSV3</t>
        </is>
      </c>
      <c r="D67" s="0" t="inlineStr">
        <is>
          <t>BNDACT</t>
        </is>
      </c>
      <c r="AO67" s="0" t="inlineStr">
        <is>
          <t>2020, 2100</t>
        </is>
      </c>
    </row>
    <row r="68">
      <c r="C68" s="0" t="inlineStr">
        <is>
          <t>MINCoRSV3</t>
        </is>
      </c>
      <c r="D68" s="0" t="inlineStr">
        <is>
          <t>CUM</t>
        </is>
      </c>
      <c r="F68" s="0">
        <f>'attache--data--from'!D43</f>
        <v/>
      </c>
      <c r="G68" s="0">
        <f>'attache--data--from'!E43</f>
        <v/>
      </c>
      <c r="H68" s="0">
        <f>'attache--data--from'!F43</f>
        <v/>
      </c>
      <c r="I68" s="0">
        <f>'attache--data--from'!G43</f>
        <v/>
      </c>
      <c r="J68" s="0">
        <f>'attache--data--from'!H43</f>
        <v/>
      </c>
      <c r="K68" s="0">
        <f>'attache--data--from'!I43</f>
        <v/>
      </c>
      <c r="L68" s="0">
        <f>'attache--data--from'!J43</f>
        <v/>
      </c>
      <c r="M68" s="0">
        <f>'attache--data--from'!K43</f>
        <v/>
      </c>
      <c r="N68" s="0">
        <f>'attache--data--from'!L43</f>
        <v/>
      </c>
      <c r="O68" s="0">
        <f>'attache--data--from'!M43</f>
        <v/>
      </c>
      <c r="P68" s="0">
        <f>'attache--data--from'!N43</f>
        <v/>
      </c>
      <c r="Q68" s="0">
        <f>'attache--data--from'!O43</f>
        <v/>
      </c>
      <c r="R68" s="0">
        <f>'attache--data--from'!P43</f>
        <v/>
      </c>
      <c r="S68" s="0">
        <f>'attache--data--from'!Q43</f>
        <v/>
      </c>
      <c r="T68" s="0">
        <f>'attache--data--from'!R43</f>
        <v/>
      </c>
      <c r="U68" s="0">
        <f>'attache--data--from'!S43</f>
        <v/>
      </c>
      <c r="V68" s="0">
        <f>'attache--data--from'!T43</f>
        <v/>
      </c>
      <c r="W68" s="0">
        <f>'attache--data--from'!U43</f>
        <v/>
      </c>
      <c r="X68" s="0">
        <f>'attache--data--from'!V43</f>
        <v/>
      </c>
      <c r="Y68" s="0">
        <f>'attache--data--from'!W43</f>
        <v/>
      </c>
      <c r="Z68" s="0">
        <f>'attache--data--from'!X43</f>
        <v/>
      </c>
      <c r="AA68" s="0">
        <f>'attache--data--from'!Y43</f>
        <v/>
      </c>
      <c r="AB68" s="0">
        <f>'attache--data--from'!Z43</f>
        <v/>
      </c>
      <c r="AC68" s="0">
        <f>'attache--data--from'!AA43</f>
        <v/>
      </c>
      <c r="AD68" s="0">
        <f>'attache--data--from'!AB43</f>
        <v/>
      </c>
      <c r="AE68" s="0">
        <f>'attache--data--from'!AC43</f>
        <v/>
      </c>
      <c r="AF68" s="0">
        <f>'attache--data--from'!AD43</f>
        <v/>
      </c>
      <c r="AG68" s="0">
        <f>'attache--data--from'!AE43</f>
        <v/>
      </c>
      <c r="AH68" s="0">
        <f>'attache--data--from'!AF43</f>
        <v/>
      </c>
      <c r="AI68" s="0">
        <f>'attache--data--from'!AG43</f>
        <v/>
      </c>
      <c r="AJ68" s="0">
        <f>'attache--data--from'!AH43</f>
        <v/>
      </c>
      <c r="AK68" s="0">
        <f>'attache--data--from'!AI43</f>
        <v/>
      </c>
      <c r="AL68" s="0">
        <f>'attache--data--from'!AJ43</f>
        <v/>
      </c>
      <c r="AM68" s="0">
        <f>'attache--data--from'!AK43</f>
        <v/>
      </c>
      <c r="AN68" s="0">
        <f>'attache--data--from'!AL43</f>
        <v/>
      </c>
      <c r="AO68" s="0" t="inlineStr">
        <is>
          <t>2020, 2100</t>
        </is>
      </c>
    </row>
    <row r="69">
      <c r="C69" s="0" t="inlineStr">
        <is>
          <t>MINCoRSV3</t>
        </is>
      </c>
      <c r="D69" s="0" t="inlineStr">
        <is>
          <t>COST</t>
        </is>
      </c>
      <c r="E69" s="0" t="inlineStr">
        <is>
          <t>m_cobalt</t>
        </is>
      </c>
      <c r="F69" s="0">
        <f>F63*5</f>
        <v/>
      </c>
      <c r="G69" s="0">
        <f>F69</f>
        <v/>
      </c>
      <c r="H69" s="0">
        <f>G69</f>
        <v/>
      </c>
      <c r="I69" s="0">
        <f>H69</f>
        <v/>
      </c>
      <c r="J69" s="0">
        <f>I69</f>
        <v/>
      </c>
      <c r="K69" s="0">
        <f>J69</f>
        <v/>
      </c>
      <c r="L69" s="0">
        <f>K69</f>
        <v/>
      </c>
      <c r="M69" s="0">
        <f>L69</f>
        <v/>
      </c>
      <c r="N69" s="0">
        <f>M69</f>
        <v/>
      </c>
      <c r="O69" s="0">
        <f>N69</f>
        <v/>
      </c>
      <c r="P69" s="0">
        <f>O69</f>
        <v/>
      </c>
      <c r="Q69" s="0">
        <f>P69</f>
        <v/>
      </c>
      <c r="R69" s="0">
        <f>Q69</f>
        <v/>
      </c>
      <c r="S69" s="0">
        <f>R69</f>
        <v/>
      </c>
      <c r="T69" s="0">
        <f>S69</f>
        <v/>
      </c>
      <c r="U69" s="0">
        <f>T69</f>
        <v/>
      </c>
      <c r="V69" s="0">
        <f>U69</f>
        <v/>
      </c>
      <c r="W69" s="0">
        <f>V69</f>
        <v/>
      </c>
      <c r="X69" s="0">
        <f>W69</f>
        <v/>
      </c>
      <c r="Y69" s="0">
        <f>X69</f>
        <v/>
      </c>
      <c r="Z69" s="0">
        <f>Y69</f>
        <v/>
      </c>
      <c r="AA69" s="0">
        <f>Z69</f>
        <v/>
      </c>
      <c r="AB69" s="0">
        <f>AA69</f>
        <v/>
      </c>
      <c r="AC69" s="0">
        <f>AB69</f>
        <v/>
      </c>
      <c r="AD69" s="0">
        <f>AC69</f>
        <v/>
      </c>
      <c r="AE69" s="0">
        <f>AD69</f>
        <v/>
      </c>
      <c r="AF69" s="0">
        <f>AE69</f>
        <v/>
      </c>
      <c r="AG69" s="0">
        <f>AF69</f>
        <v/>
      </c>
      <c r="AH69" s="0">
        <f>AG69</f>
        <v/>
      </c>
      <c r="AI69" s="0">
        <f>AH69</f>
        <v/>
      </c>
      <c r="AJ69" s="0">
        <f>AI69</f>
        <v/>
      </c>
      <c r="AK69" s="0">
        <f>AJ69</f>
        <v/>
      </c>
      <c r="AL69" s="0">
        <f>AK69</f>
        <v/>
      </c>
      <c r="AM69" s="0">
        <f>AL69</f>
        <v/>
      </c>
      <c r="AN69" s="0">
        <f>AM69</f>
        <v/>
      </c>
      <c r="AO69" s="0" t="inlineStr">
        <is>
          <t>2020, 2100</t>
        </is>
      </c>
    </row>
    <row r="70">
      <c r="C70" s="0" t="inlineStr">
        <is>
          <t>*</t>
        </is>
      </c>
      <c r="AO70" s="0" t="inlineStr">
        <is>
          <t>2020, 2100</t>
        </is>
      </c>
    </row>
    <row r="71">
      <c r="C71" s="0" t="inlineStr">
        <is>
          <t>MINMnRSV1</t>
        </is>
      </c>
      <c r="D71" s="0" t="inlineStr">
        <is>
          <t>BNDACT</t>
        </is>
      </c>
      <c r="F71" s="0">
        <f>F121*1</f>
        <v/>
      </c>
      <c r="G71" s="0">
        <f>G121*1</f>
        <v/>
      </c>
      <c r="H71" s="0">
        <f>H121*1</f>
        <v/>
      </c>
      <c r="I71" s="0">
        <f>I121*1</f>
        <v/>
      </c>
      <c r="J71" s="0">
        <f>J121*1</f>
        <v/>
      </c>
      <c r="K71" s="0">
        <f>K121*1</f>
        <v/>
      </c>
      <c r="L71" s="0">
        <f>L121*1</f>
        <v/>
      </c>
      <c r="M71" s="0">
        <f>M121*1</f>
        <v/>
      </c>
      <c r="N71" s="0">
        <f>N121*1</f>
        <v/>
      </c>
      <c r="O71" s="0">
        <f>O121*1</f>
        <v/>
      </c>
      <c r="P71" s="0">
        <f>P121*1</f>
        <v/>
      </c>
      <c r="Q71" s="0">
        <f>Q121*1</f>
        <v/>
      </c>
      <c r="R71" s="0">
        <f>R121*1</f>
        <v/>
      </c>
      <c r="S71" s="0">
        <f>S121*1</f>
        <v/>
      </c>
      <c r="T71" s="0">
        <f>T121*1</f>
        <v/>
      </c>
      <c r="U71" s="0">
        <f>U121*1</f>
        <v/>
      </c>
      <c r="V71" s="0">
        <f>V121*1</f>
        <v/>
      </c>
      <c r="W71" s="0">
        <f>W121*1</f>
        <v/>
      </c>
      <c r="X71" s="0">
        <f>X121*1</f>
        <v/>
      </c>
      <c r="Y71" s="0">
        <f>Y121*1</f>
        <v/>
      </c>
      <c r="Z71" s="0">
        <f>Z121*1</f>
        <v/>
      </c>
      <c r="AA71" s="0">
        <f>AA121*1</f>
        <v/>
      </c>
      <c r="AB71" s="0">
        <f>AB121*1</f>
        <v/>
      </c>
      <c r="AC71" s="0">
        <f>AC121*1</f>
        <v/>
      </c>
      <c r="AD71" s="0">
        <f>AD121*1</f>
        <v/>
      </c>
      <c r="AE71" s="0">
        <f>AE121*1</f>
        <v/>
      </c>
      <c r="AF71" s="0">
        <f>AF121*1</f>
        <v/>
      </c>
      <c r="AG71" s="0">
        <f>AG121*1</f>
        <v/>
      </c>
      <c r="AH71" s="0">
        <f>AH121*1</f>
        <v/>
      </c>
      <c r="AI71" s="0">
        <f>AI121*1</f>
        <v/>
      </c>
      <c r="AJ71" s="0">
        <f>AJ121*1</f>
        <v/>
      </c>
      <c r="AK71" s="0">
        <f>AK121*1</f>
        <v/>
      </c>
      <c r="AL71" s="0">
        <f>AL121*1</f>
        <v/>
      </c>
      <c r="AM71" s="0">
        <f>AM121*1</f>
        <v/>
      </c>
      <c r="AN71" s="0">
        <f>AN121*1</f>
        <v/>
      </c>
      <c r="AO71" s="0" t="inlineStr">
        <is>
          <t>2020, 2100</t>
        </is>
      </c>
    </row>
    <row r="72">
      <c r="C72" s="0" t="inlineStr">
        <is>
          <t>MINMnRSV1</t>
        </is>
      </c>
      <c r="D72" s="0" t="inlineStr">
        <is>
          <t>CUM</t>
        </is>
      </c>
      <c r="F72">
        <f>'attache--data--from'!D49</f>
        <v/>
      </c>
      <c r="G72">
        <f>'attache--data--from'!E49</f>
        <v/>
      </c>
      <c r="H72">
        <f>'attache--data--from'!F49</f>
        <v/>
      </c>
      <c r="I72">
        <f>'attache--data--from'!G49</f>
        <v/>
      </c>
      <c r="J72">
        <f>'attache--data--from'!H49</f>
        <v/>
      </c>
      <c r="K72">
        <f>'attache--data--from'!I49</f>
        <v/>
      </c>
      <c r="L72">
        <f>'attache--data--from'!J49</f>
        <v/>
      </c>
      <c r="M72">
        <f>'attache--data--from'!K49</f>
        <v/>
      </c>
      <c r="N72">
        <f>'attache--data--from'!L49</f>
        <v/>
      </c>
      <c r="O72">
        <f>'attache--data--from'!M49</f>
        <v/>
      </c>
      <c r="P72">
        <f>'attache--data--from'!N49</f>
        <v/>
      </c>
      <c r="Q72">
        <f>'attache--data--from'!O49</f>
        <v/>
      </c>
      <c r="R72">
        <f>'attache--data--from'!P49</f>
        <v/>
      </c>
      <c r="S72">
        <f>'attache--data--from'!Q49</f>
        <v/>
      </c>
      <c r="T72">
        <f>'attache--data--from'!R49</f>
        <v/>
      </c>
      <c r="U72">
        <f>'attache--data--from'!S49</f>
        <v/>
      </c>
      <c r="V72">
        <f>'attache--data--from'!T49</f>
        <v/>
      </c>
      <c r="W72">
        <f>'attache--data--from'!U49</f>
        <v/>
      </c>
      <c r="X72">
        <f>'attache--data--from'!V49</f>
        <v/>
      </c>
      <c r="Y72">
        <f>'attache--data--from'!W49</f>
        <v/>
      </c>
      <c r="Z72">
        <f>'attache--data--from'!X49</f>
        <v/>
      </c>
      <c r="AA72">
        <f>'attache--data--from'!Y49</f>
        <v/>
      </c>
      <c r="AB72">
        <f>'attache--data--from'!Z49</f>
        <v/>
      </c>
      <c r="AC72">
        <f>'attache--data--from'!AA49</f>
        <v/>
      </c>
      <c r="AD72">
        <f>'attache--data--from'!AB49</f>
        <v/>
      </c>
      <c r="AE72">
        <f>'attache--data--from'!AC49</f>
        <v/>
      </c>
      <c r="AF72">
        <f>'attache--data--from'!AD49</f>
        <v/>
      </c>
      <c r="AG72">
        <f>'attache--data--from'!AE49</f>
        <v/>
      </c>
      <c r="AH72">
        <f>'attache--data--from'!AF49</f>
        <v/>
      </c>
      <c r="AI72">
        <f>'attache--data--from'!AG49</f>
        <v/>
      </c>
      <c r="AJ72">
        <f>'attache--data--from'!AH49</f>
        <v/>
      </c>
      <c r="AK72">
        <f>'attache--data--from'!AI49</f>
        <v/>
      </c>
      <c r="AL72">
        <f>'attache--data--from'!AJ49</f>
        <v/>
      </c>
      <c r="AM72">
        <f>'attache--data--from'!AK49</f>
        <v/>
      </c>
      <c r="AN72">
        <f>'attache--data--from'!AL49</f>
        <v/>
      </c>
      <c r="AO72" s="0" t="inlineStr">
        <is>
          <t>2020, 2100</t>
        </is>
      </c>
    </row>
    <row r="73">
      <c r="C73" s="0" t="inlineStr">
        <is>
          <t>MINMnRSV1</t>
        </is>
      </c>
      <c r="D73" s="0" t="inlineStr">
        <is>
          <t>COST</t>
        </is>
      </c>
      <c r="E73" s="0" t="inlineStr">
        <is>
          <t>m_manganese</t>
        </is>
      </c>
      <c r="F73" s="0">
        <f>D7</f>
        <v/>
      </c>
      <c r="G73" s="0">
        <f>F73</f>
        <v/>
      </c>
      <c r="H73" s="0">
        <f>G73</f>
        <v/>
      </c>
      <c r="I73" s="0">
        <f>H73</f>
        <v/>
      </c>
      <c r="J73" s="0">
        <f>I73</f>
        <v/>
      </c>
      <c r="K73" s="0">
        <f>J73</f>
        <v/>
      </c>
      <c r="L73" s="0">
        <f>K73</f>
        <v/>
      </c>
      <c r="M73" s="0">
        <f>L73</f>
        <v/>
      </c>
      <c r="N73" s="0">
        <f>M73</f>
        <v/>
      </c>
      <c r="O73" s="0">
        <f>N73</f>
        <v/>
      </c>
      <c r="P73" s="0">
        <f>O73</f>
        <v/>
      </c>
      <c r="Q73" s="0">
        <f>P73</f>
        <v/>
      </c>
      <c r="R73" s="0">
        <f>Q73</f>
        <v/>
      </c>
      <c r="S73" s="0">
        <f>R73</f>
        <v/>
      </c>
      <c r="T73" s="0">
        <f>S73</f>
        <v/>
      </c>
      <c r="U73" s="0">
        <f>T73</f>
        <v/>
      </c>
      <c r="V73" s="0">
        <f>U73</f>
        <v/>
      </c>
      <c r="W73" s="0">
        <f>V73</f>
        <v/>
      </c>
      <c r="X73" s="0">
        <f>W73</f>
        <v/>
      </c>
      <c r="Y73" s="0">
        <f>X73</f>
        <v/>
      </c>
      <c r="Z73" s="0">
        <f>Y73</f>
        <v/>
      </c>
      <c r="AA73" s="0">
        <f>Z73</f>
        <v/>
      </c>
      <c r="AB73" s="0">
        <f>AA73</f>
        <v/>
      </c>
      <c r="AC73" s="0">
        <f>AB73</f>
        <v/>
      </c>
      <c r="AD73" s="0">
        <f>AC73</f>
        <v/>
      </c>
      <c r="AE73" s="0">
        <f>AD73</f>
        <v/>
      </c>
      <c r="AF73" s="0">
        <f>AE73</f>
        <v/>
      </c>
      <c r="AG73" s="0">
        <f>AF73</f>
        <v/>
      </c>
      <c r="AH73" s="0">
        <f>AG73</f>
        <v/>
      </c>
      <c r="AI73" s="0">
        <f>AH73</f>
        <v/>
      </c>
      <c r="AJ73" s="0">
        <f>AI73</f>
        <v/>
      </c>
      <c r="AK73" s="0">
        <f>AJ73</f>
        <v/>
      </c>
      <c r="AL73" s="0">
        <f>AK73</f>
        <v/>
      </c>
      <c r="AM73" s="0">
        <f>AL73</f>
        <v/>
      </c>
      <c r="AN73" s="0">
        <f>AM73</f>
        <v/>
      </c>
      <c r="AO73" s="0" t="inlineStr">
        <is>
          <t>2020, 2100</t>
        </is>
      </c>
    </row>
    <row r="74">
      <c r="C74" s="0" t="inlineStr">
        <is>
          <t>MINMnRSV2</t>
        </is>
      </c>
      <c r="D74" s="0" t="inlineStr">
        <is>
          <t>BNDACT</t>
        </is>
      </c>
      <c r="F74" s="0">
        <f>F121*2</f>
        <v/>
      </c>
      <c r="G74" s="0">
        <f>G121*2</f>
        <v/>
      </c>
      <c r="H74" s="0">
        <f>H121*2</f>
        <v/>
      </c>
      <c r="I74" s="0">
        <f>I121*2</f>
        <v/>
      </c>
      <c r="J74" s="0">
        <f>J121*2</f>
        <v/>
      </c>
      <c r="K74" s="0">
        <f>K121*2</f>
        <v/>
      </c>
      <c r="L74" s="0">
        <f>L121*2</f>
        <v/>
      </c>
      <c r="M74" s="0">
        <f>M121*2</f>
        <v/>
      </c>
      <c r="N74" s="0">
        <f>N121*2</f>
        <v/>
      </c>
      <c r="O74" s="0">
        <f>O121*2</f>
        <v/>
      </c>
      <c r="P74" s="0">
        <f>P121*2</f>
        <v/>
      </c>
      <c r="Q74" s="0">
        <f>Q121*2</f>
        <v/>
      </c>
      <c r="R74" s="0">
        <f>R121*2</f>
        <v/>
      </c>
      <c r="S74" s="0">
        <f>S121*2</f>
        <v/>
      </c>
      <c r="T74" s="0">
        <f>T121*2</f>
        <v/>
      </c>
      <c r="U74" s="0">
        <f>U121*2</f>
        <v/>
      </c>
      <c r="V74" s="0">
        <f>V121*2</f>
        <v/>
      </c>
      <c r="W74" s="0">
        <f>W121*2</f>
        <v/>
      </c>
      <c r="X74" s="0">
        <f>X121*2</f>
        <v/>
      </c>
      <c r="Y74" s="0">
        <f>Y121*2</f>
        <v/>
      </c>
      <c r="Z74" s="0">
        <f>Z121*2</f>
        <v/>
      </c>
      <c r="AA74" s="0">
        <f>AA121*2</f>
        <v/>
      </c>
      <c r="AB74" s="0">
        <f>AB121*2</f>
        <v/>
      </c>
      <c r="AC74" s="0">
        <f>AC121*2</f>
        <v/>
      </c>
      <c r="AD74" s="0">
        <f>AD121*2</f>
        <v/>
      </c>
      <c r="AE74" s="0">
        <f>AE121*2</f>
        <v/>
      </c>
      <c r="AF74" s="0">
        <f>AF121*2</f>
        <v/>
      </c>
      <c r="AG74" s="0">
        <f>AG121*2</f>
        <v/>
      </c>
      <c r="AH74" s="0">
        <f>AH121*2</f>
        <v/>
      </c>
      <c r="AI74" s="0">
        <f>AI121*2</f>
        <v/>
      </c>
      <c r="AJ74" s="0">
        <f>AJ121*2</f>
        <v/>
      </c>
      <c r="AK74" s="0">
        <f>AK121*2</f>
        <v/>
      </c>
      <c r="AL74" s="0">
        <f>AL121*2</f>
        <v/>
      </c>
      <c r="AM74" s="0">
        <f>AM121*2</f>
        <v/>
      </c>
      <c r="AN74" s="0">
        <f>AN121*2</f>
        <v/>
      </c>
      <c r="AO74" s="0" t="inlineStr">
        <is>
          <t>2020, 2100</t>
        </is>
      </c>
    </row>
    <row r="75">
      <c r="C75" s="0" t="inlineStr">
        <is>
          <t>MINMnRSV2</t>
        </is>
      </c>
      <c r="D75" s="0" t="inlineStr">
        <is>
          <t>CUM</t>
        </is>
      </c>
      <c r="F75">
        <f>'attache--data--from'!D50</f>
        <v/>
      </c>
      <c r="G75">
        <f>'attache--data--from'!E50</f>
        <v/>
      </c>
      <c r="H75">
        <f>'attache--data--from'!F50</f>
        <v/>
      </c>
      <c r="I75">
        <f>'attache--data--from'!G50</f>
        <v/>
      </c>
      <c r="J75">
        <f>'attache--data--from'!H50</f>
        <v/>
      </c>
      <c r="K75">
        <f>'attache--data--from'!I50</f>
        <v/>
      </c>
      <c r="L75">
        <f>'attache--data--from'!J50</f>
        <v/>
      </c>
      <c r="M75">
        <f>'attache--data--from'!K50</f>
        <v/>
      </c>
      <c r="N75">
        <f>'attache--data--from'!L50</f>
        <v/>
      </c>
      <c r="O75">
        <f>'attache--data--from'!M50</f>
        <v/>
      </c>
      <c r="P75">
        <f>'attache--data--from'!N50</f>
        <v/>
      </c>
      <c r="Q75">
        <f>'attache--data--from'!O50</f>
        <v/>
      </c>
      <c r="R75">
        <f>'attache--data--from'!P50</f>
        <v/>
      </c>
      <c r="S75">
        <f>'attache--data--from'!Q50</f>
        <v/>
      </c>
      <c r="T75">
        <f>'attache--data--from'!R50</f>
        <v/>
      </c>
      <c r="U75">
        <f>'attache--data--from'!S50</f>
        <v/>
      </c>
      <c r="V75">
        <f>'attache--data--from'!T50</f>
        <v/>
      </c>
      <c r="W75">
        <f>'attache--data--from'!U50</f>
        <v/>
      </c>
      <c r="X75">
        <f>'attache--data--from'!V50</f>
        <v/>
      </c>
      <c r="Y75">
        <f>'attache--data--from'!W50</f>
        <v/>
      </c>
      <c r="Z75">
        <f>'attache--data--from'!X50</f>
        <v/>
      </c>
      <c r="AA75">
        <f>'attache--data--from'!Y50</f>
        <v/>
      </c>
      <c r="AB75">
        <f>'attache--data--from'!Z50</f>
        <v/>
      </c>
      <c r="AC75">
        <f>'attache--data--from'!AA50</f>
        <v/>
      </c>
      <c r="AD75">
        <f>'attache--data--from'!AB50</f>
        <v/>
      </c>
      <c r="AE75">
        <f>'attache--data--from'!AC50</f>
        <v/>
      </c>
      <c r="AF75">
        <f>'attache--data--from'!AD50</f>
        <v/>
      </c>
      <c r="AG75">
        <f>'attache--data--from'!AE50</f>
        <v/>
      </c>
      <c r="AH75">
        <f>'attache--data--from'!AF50</f>
        <v/>
      </c>
      <c r="AI75">
        <f>'attache--data--from'!AG50</f>
        <v/>
      </c>
      <c r="AJ75">
        <f>'attache--data--from'!AH50</f>
        <v/>
      </c>
      <c r="AK75">
        <f>'attache--data--from'!AI50</f>
        <v/>
      </c>
      <c r="AL75">
        <f>'attache--data--from'!AJ50</f>
        <v/>
      </c>
      <c r="AM75">
        <f>'attache--data--from'!AK50</f>
        <v/>
      </c>
      <c r="AN75">
        <f>'attache--data--from'!AL50</f>
        <v/>
      </c>
      <c r="AO75" s="0" t="inlineStr">
        <is>
          <t>2020, 2100</t>
        </is>
      </c>
    </row>
    <row r="76">
      <c r="C76" s="0" t="inlineStr">
        <is>
          <t>MINMnRSV2</t>
        </is>
      </c>
      <c r="D76" s="0" t="inlineStr">
        <is>
          <t>COST</t>
        </is>
      </c>
      <c r="E76" s="0" t="inlineStr">
        <is>
          <t>m_manganese</t>
        </is>
      </c>
      <c r="F76" s="0">
        <f>D7*3</f>
        <v/>
      </c>
      <c r="G76" s="0">
        <f>F76</f>
        <v/>
      </c>
      <c r="H76" s="0">
        <f>G76</f>
        <v/>
      </c>
      <c r="I76" s="0">
        <f>H76</f>
        <v/>
      </c>
      <c r="J76" s="0">
        <f>I76</f>
        <v/>
      </c>
      <c r="K76" s="0">
        <f>J76</f>
        <v/>
      </c>
      <c r="L76" s="0">
        <f>K76</f>
        <v/>
      </c>
      <c r="M76" s="0">
        <f>L76</f>
        <v/>
      </c>
      <c r="N76" s="0">
        <f>M76</f>
        <v/>
      </c>
      <c r="O76" s="0">
        <f>N76</f>
        <v/>
      </c>
      <c r="P76" s="0">
        <f>O76</f>
        <v/>
      </c>
      <c r="Q76" s="0">
        <f>P76</f>
        <v/>
      </c>
      <c r="R76" s="0">
        <f>Q76</f>
        <v/>
      </c>
      <c r="S76" s="0">
        <f>R76</f>
        <v/>
      </c>
      <c r="T76" s="0">
        <f>S76</f>
        <v/>
      </c>
      <c r="U76" s="0">
        <f>T76</f>
        <v/>
      </c>
      <c r="V76" s="0">
        <f>U76</f>
        <v/>
      </c>
      <c r="W76" s="0">
        <f>V76</f>
        <v/>
      </c>
      <c r="X76" s="0">
        <f>W76</f>
        <v/>
      </c>
      <c r="Y76" s="0">
        <f>X76</f>
        <v/>
      </c>
      <c r="Z76" s="0">
        <f>Y76</f>
        <v/>
      </c>
      <c r="AA76" s="0">
        <f>Z76</f>
        <v/>
      </c>
      <c r="AB76" s="0">
        <f>AA76</f>
        <v/>
      </c>
      <c r="AC76" s="0">
        <f>AB76</f>
        <v/>
      </c>
      <c r="AD76" s="0">
        <f>AC76</f>
        <v/>
      </c>
      <c r="AE76" s="0">
        <f>AD76</f>
        <v/>
      </c>
      <c r="AF76" s="0">
        <f>AE76</f>
        <v/>
      </c>
      <c r="AG76" s="0">
        <f>AF76</f>
        <v/>
      </c>
      <c r="AH76" s="0">
        <f>AG76</f>
        <v/>
      </c>
      <c r="AI76" s="0">
        <f>AH76</f>
        <v/>
      </c>
      <c r="AJ76" s="0">
        <f>AI76</f>
        <v/>
      </c>
      <c r="AK76" s="0">
        <f>AJ76</f>
        <v/>
      </c>
      <c r="AL76" s="0">
        <f>AK76</f>
        <v/>
      </c>
      <c r="AM76" s="0">
        <f>AL76</f>
        <v/>
      </c>
      <c r="AN76" s="0">
        <f>AM76</f>
        <v/>
      </c>
      <c r="AO76" s="0" t="inlineStr">
        <is>
          <t>2020, 2100</t>
        </is>
      </c>
    </row>
    <row r="77">
      <c r="C77" s="0" t="inlineStr">
        <is>
          <t>MINMnRSV3</t>
        </is>
      </c>
      <c r="D77" s="0" t="inlineStr">
        <is>
          <t>BNDACT</t>
        </is>
      </c>
      <c r="AO77" s="0" t="inlineStr">
        <is>
          <t>2020, 2100</t>
        </is>
      </c>
    </row>
    <row r="78">
      <c r="C78" s="0" t="inlineStr">
        <is>
          <t>MINMnRSV3</t>
        </is>
      </c>
      <c r="D78" s="0" t="inlineStr">
        <is>
          <t>CUM</t>
        </is>
      </c>
      <c r="F78">
        <f>'attache--data--from'!D51</f>
        <v/>
      </c>
      <c r="G78">
        <f>'attache--data--from'!E51</f>
        <v/>
      </c>
      <c r="H78">
        <f>'attache--data--from'!F51</f>
        <v/>
      </c>
      <c r="I78">
        <f>'attache--data--from'!G51</f>
        <v/>
      </c>
      <c r="J78">
        <f>'attache--data--from'!H51</f>
        <v/>
      </c>
      <c r="K78">
        <f>'attache--data--from'!I51</f>
        <v/>
      </c>
      <c r="L78">
        <f>'attache--data--from'!J51</f>
        <v/>
      </c>
      <c r="M78">
        <f>'attache--data--from'!K51</f>
        <v/>
      </c>
      <c r="N78">
        <f>'attache--data--from'!L51</f>
        <v/>
      </c>
      <c r="O78">
        <f>'attache--data--from'!M51</f>
        <v/>
      </c>
      <c r="P78">
        <f>'attache--data--from'!N51</f>
        <v/>
      </c>
      <c r="Q78">
        <f>'attache--data--from'!O51</f>
        <v/>
      </c>
      <c r="R78">
        <f>'attache--data--from'!P51</f>
        <v/>
      </c>
      <c r="S78">
        <f>'attache--data--from'!Q51</f>
        <v/>
      </c>
      <c r="T78">
        <f>'attache--data--from'!R51</f>
        <v/>
      </c>
      <c r="U78">
        <f>'attache--data--from'!S51</f>
        <v/>
      </c>
      <c r="V78">
        <f>'attache--data--from'!T51</f>
        <v/>
      </c>
      <c r="W78">
        <f>'attache--data--from'!U51</f>
        <v/>
      </c>
      <c r="X78">
        <f>'attache--data--from'!V51</f>
        <v/>
      </c>
      <c r="Y78">
        <f>'attache--data--from'!W51</f>
        <v/>
      </c>
      <c r="Z78">
        <f>'attache--data--from'!X51</f>
        <v/>
      </c>
      <c r="AA78">
        <f>'attache--data--from'!Y51</f>
        <v/>
      </c>
      <c r="AB78">
        <f>'attache--data--from'!Z51</f>
        <v/>
      </c>
      <c r="AC78">
        <f>'attache--data--from'!AA51</f>
        <v/>
      </c>
      <c r="AD78">
        <f>'attache--data--from'!AB51</f>
        <v/>
      </c>
      <c r="AE78">
        <f>'attache--data--from'!AC51</f>
        <v/>
      </c>
      <c r="AF78">
        <f>'attache--data--from'!AD51</f>
        <v/>
      </c>
      <c r="AG78">
        <f>'attache--data--from'!AE51</f>
        <v/>
      </c>
      <c r="AH78">
        <f>'attache--data--from'!AF51</f>
        <v/>
      </c>
      <c r="AI78">
        <f>'attache--data--from'!AG51</f>
        <v/>
      </c>
      <c r="AJ78">
        <f>'attache--data--from'!AH51</f>
        <v/>
      </c>
      <c r="AK78">
        <f>'attache--data--from'!AI51</f>
        <v/>
      </c>
      <c r="AL78">
        <f>'attache--data--from'!AJ51</f>
        <v/>
      </c>
      <c r="AM78">
        <f>'attache--data--from'!AK51</f>
        <v/>
      </c>
      <c r="AN78">
        <f>'attache--data--from'!AL51</f>
        <v/>
      </c>
      <c r="AO78" s="0" t="inlineStr">
        <is>
          <t>2020, 2100</t>
        </is>
      </c>
    </row>
    <row r="79">
      <c r="C79" s="0" t="inlineStr">
        <is>
          <t>MINMnRSV3</t>
        </is>
      </c>
      <c r="D79" s="0" t="inlineStr">
        <is>
          <t>COST</t>
        </is>
      </c>
      <c r="E79" s="0" t="inlineStr">
        <is>
          <t>m_manganese</t>
        </is>
      </c>
      <c r="F79" s="0">
        <f>D7*5</f>
        <v/>
      </c>
      <c r="G79" s="0">
        <f>F79</f>
        <v/>
      </c>
      <c r="H79" s="0">
        <f>G79</f>
        <v/>
      </c>
      <c r="I79" s="0">
        <f>H79</f>
        <v/>
      </c>
      <c r="J79" s="0">
        <f>I79</f>
        <v/>
      </c>
      <c r="K79" s="0">
        <f>J79</f>
        <v/>
      </c>
      <c r="L79" s="0">
        <f>K79</f>
        <v/>
      </c>
      <c r="M79" s="0">
        <f>L79</f>
        <v/>
      </c>
      <c r="N79" s="0">
        <f>M79</f>
        <v/>
      </c>
      <c r="O79" s="0">
        <f>N79</f>
        <v/>
      </c>
      <c r="P79" s="0">
        <f>O79</f>
        <v/>
      </c>
      <c r="Q79" s="0">
        <f>P79</f>
        <v/>
      </c>
      <c r="R79" s="0">
        <f>Q79</f>
        <v/>
      </c>
      <c r="S79" s="0">
        <f>R79</f>
        <v/>
      </c>
      <c r="T79" s="0">
        <f>S79</f>
        <v/>
      </c>
      <c r="U79" s="0">
        <f>T79</f>
        <v/>
      </c>
      <c r="V79" s="0">
        <f>U79</f>
        <v/>
      </c>
      <c r="W79" s="0">
        <f>V79</f>
        <v/>
      </c>
      <c r="X79" s="0">
        <f>W79</f>
        <v/>
      </c>
      <c r="Y79" s="0">
        <f>X79</f>
        <v/>
      </c>
      <c r="Z79" s="0">
        <f>Y79</f>
        <v/>
      </c>
      <c r="AA79" s="0">
        <f>Z79</f>
        <v/>
      </c>
      <c r="AB79" s="0">
        <f>AA79</f>
        <v/>
      </c>
      <c r="AC79" s="0">
        <f>AB79</f>
        <v/>
      </c>
      <c r="AD79" s="0">
        <f>AC79</f>
        <v/>
      </c>
      <c r="AE79" s="0">
        <f>AD79</f>
        <v/>
      </c>
      <c r="AF79" s="0">
        <f>AE79</f>
        <v/>
      </c>
      <c r="AG79" s="0">
        <f>AF79</f>
        <v/>
      </c>
      <c r="AH79" s="0">
        <f>AG79</f>
        <v/>
      </c>
      <c r="AI79" s="0">
        <f>AH79</f>
        <v/>
      </c>
      <c r="AJ79" s="0">
        <f>AI79</f>
        <v/>
      </c>
      <c r="AK79" s="0">
        <f>AJ79</f>
        <v/>
      </c>
      <c r="AL79" s="0">
        <f>AK79</f>
        <v/>
      </c>
      <c r="AM79" s="0">
        <f>AL79</f>
        <v/>
      </c>
      <c r="AN79" s="0">
        <f>AM79</f>
        <v/>
      </c>
      <c r="AO79" s="0" t="inlineStr">
        <is>
          <t>2020, 2100</t>
        </is>
      </c>
    </row>
    <row r="80">
      <c r="C80" s="0" t="inlineStr">
        <is>
          <t>*</t>
        </is>
      </c>
      <c r="AO80" s="0" t="inlineStr">
        <is>
          <t>2020, 2100</t>
        </is>
      </c>
    </row>
    <row r="81">
      <c r="C81" s="0" t="inlineStr">
        <is>
          <t>MINAlRSV1</t>
        </is>
      </c>
      <c r="D81" s="0" t="inlineStr">
        <is>
          <t>BNDACT</t>
        </is>
      </c>
      <c r="F81" s="0">
        <f>F122*1</f>
        <v/>
      </c>
      <c r="G81" s="0">
        <f>G122*1</f>
        <v/>
      </c>
      <c r="H81" s="0">
        <f>H122*1</f>
        <v/>
      </c>
      <c r="I81" s="0">
        <f>I122*1</f>
        <v/>
      </c>
      <c r="J81" s="0">
        <f>J122*1</f>
        <v/>
      </c>
      <c r="K81" s="0">
        <f>K122*1</f>
        <v/>
      </c>
      <c r="L81" s="0">
        <f>L122*1</f>
        <v/>
      </c>
      <c r="M81" s="0">
        <f>M122*1</f>
        <v/>
      </c>
      <c r="N81" s="0">
        <f>N122*1</f>
        <v/>
      </c>
      <c r="O81" s="0">
        <f>O122*1</f>
        <v/>
      </c>
      <c r="P81" s="0">
        <f>P122*1</f>
        <v/>
      </c>
      <c r="Q81" s="0">
        <f>Q122*1</f>
        <v/>
      </c>
      <c r="R81" s="0">
        <f>R122*1</f>
        <v/>
      </c>
      <c r="S81" s="0">
        <f>S122*1</f>
        <v/>
      </c>
      <c r="T81" s="0">
        <f>T122*1</f>
        <v/>
      </c>
      <c r="U81" s="0">
        <f>U122*1</f>
        <v/>
      </c>
      <c r="V81" s="0">
        <f>V122*1</f>
        <v/>
      </c>
      <c r="W81" s="0">
        <f>W122*1</f>
        <v/>
      </c>
      <c r="X81" s="0">
        <f>X122*1</f>
        <v/>
      </c>
      <c r="Y81" s="0">
        <f>Y122*1</f>
        <v/>
      </c>
      <c r="Z81" s="0">
        <f>Z122*1</f>
        <v/>
      </c>
      <c r="AA81" s="0">
        <f>AA122*1</f>
        <v/>
      </c>
      <c r="AB81" s="0">
        <f>AB122*1</f>
        <v/>
      </c>
      <c r="AC81" s="0">
        <f>AC122*1</f>
        <v/>
      </c>
      <c r="AD81" s="0">
        <f>AD122*1</f>
        <v/>
      </c>
      <c r="AE81" s="0">
        <f>AE122*1</f>
        <v/>
      </c>
      <c r="AF81" s="0">
        <f>AF122*1</f>
        <v/>
      </c>
      <c r="AG81" s="0">
        <f>AG122*1</f>
        <v/>
      </c>
      <c r="AH81" s="0">
        <f>AH122*1</f>
        <v/>
      </c>
      <c r="AI81" s="0">
        <f>AI122*1</f>
        <v/>
      </c>
      <c r="AJ81" s="0">
        <f>AJ122*1</f>
        <v/>
      </c>
      <c r="AK81" s="0">
        <f>AK122*1</f>
        <v/>
      </c>
      <c r="AL81" s="0">
        <f>AL122*1</f>
        <v/>
      </c>
      <c r="AM81" s="0">
        <f>AM122*1</f>
        <v/>
      </c>
      <c r="AN81" s="0">
        <f>AN122*1</f>
        <v/>
      </c>
      <c r="AO81" s="0" t="inlineStr">
        <is>
          <t>2020, 2100</t>
        </is>
      </c>
    </row>
    <row r="82">
      <c r="C82" s="0" t="inlineStr">
        <is>
          <t>MINAlRSV1</t>
        </is>
      </c>
      <c r="D82" s="0" t="inlineStr">
        <is>
          <t>CUM</t>
        </is>
      </c>
      <c r="AO82" s="0" t="inlineStr">
        <is>
          <t>2020, 2100</t>
        </is>
      </c>
    </row>
    <row r="83">
      <c r="C83" s="0" t="inlineStr">
        <is>
          <t>MINAlRSV1</t>
        </is>
      </c>
      <c r="D83" s="0" t="inlineStr">
        <is>
          <t>COST</t>
        </is>
      </c>
      <c r="E83" s="0" t="inlineStr">
        <is>
          <t>m_aluminum</t>
        </is>
      </c>
      <c r="F83" s="0">
        <f>D8</f>
        <v/>
      </c>
      <c r="G83" s="0">
        <f>F83</f>
        <v/>
      </c>
      <c r="H83" s="0">
        <f>G83</f>
        <v/>
      </c>
      <c r="I83" s="0">
        <f>H83</f>
        <v/>
      </c>
      <c r="J83" s="0">
        <f>I83</f>
        <v/>
      </c>
      <c r="K83" s="0">
        <f>J83</f>
        <v/>
      </c>
      <c r="L83" s="0">
        <f>K83</f>
        <v/>
      </c>
      <c r="M83" s="0">
        <f>L83</f>
        <v/>
      </c>
      <c r="N83" s="0">
        <f>M83</f>
        <v/>
      </c>
      <c r="O83" s="0">
        <f>N83</f>
        <v/>
      </c>
      <c r="P83" s="0">
        <f>O83</f>
        <v/>
      </c>
      <c r="Q83" s="0">
        <f>P83</f>
        <v/>
      </c>
      <c r="R83" s="0">
        <f>Q83</f>
        <v/>
      </c>
      <c r="S83" s="0">
        <f>R83</f>
        <v/>
      </c>
      <c r="T83" s="0">
        <f>S83</f>
        <v/>
      </c>
      <c r="U83" s="0">
        <f>T83</f>
        <v/>
      </c>
      <c r="V83" s="0">
        <f>U83</f>
        <v/>
      </c>
      <c r="W83" s="0">
        <f>V83</f>
        <v/>
      </c>
      <c r="X83" s="0">
        <f>W83</f>
        <v/>
      </c>
      <c r="Y83" s="0">
        <f>X83</f>
        <v/>
      </c>
      <c r="Z83" s="0">
        <f>Y83</f>
        <v/>
      </c>
      <c r="AA83" s="0">
        <f>Z83</f>
        <v/>
      </c>
      <c r="AB83" s="0">
        <f>AA83</f>
        <v/>
      </c>
      <c r="AC83" s="0">
        <f>AB83</f>
        <v/>
      </c>
      <c r="AD83" s="0">
        <f>AC83</f>
        <v/>
      </c>
      <c r="AE83" s="0">
        <f>AD83</f>
        <v/>
      </c>
      <c r="AF83" s="0">
        <f>AE83</f>
        <v/>
      </c>
      <c r="AG83" s="0">
        <f>AF83</f>
        <v/>
      </c>
      <c r="AH83" s="0">
        <f>AG83</f>
        <v/>
      </c>
      <c r="AI83" s="0">
        <f>AH83</f>
        <v/>
      </c>
      <c r="AJ83" s="0">
        <f>AI83</f>
        <v/>
      </c>
      <c r="AK83" s="0">
        <f>AJ83</f>
        <v/>
      </c>
      <c r="AL83" s="0">
        <f>AK83</f>
        <v/>
      </c>
      <c r="AM83" s="0">
        <f>AL83</f>
        <v/>
      </c>
      <c r="AN83" s="0">
        <f>AM83</f>
        <v/>
      </c>
      <c r="AO83" s="0" t="inlineStr">
        <is>
          <t>2020, 2100</t>
        </is>
      </c>
    </row>
    <row r="84">
      <c r="C84" s="0" t="inlineStr">
        <is>
          <t>MINAlRSV2</t>
        </is>
      </c>
      <c r="D84" s="0" t="inlineStr">
        <is>
          <t>BNDACT</t>
        </is>
      </c>
      <c r="F84" s="0">
        <f>F122*2</f>
        <v/>
      </c>
      <c r="G84" s="0">
        <f>G122*2</f>
        <v/>
      </c>
      <c r="H84" s="0">
        <f>H122*2</f>
        <v/>
      </c>
      <c r="I84" s="0">
        <f>I122*2</f>
        <v/>
      </c>
      <c r="J84" s="0">
        <f>J122*2</f>
        <v/>
      </c>
      <c r="K84" s="0">
        <f>K122*2</f>
        <v/>
      </c>
      <c r="L84" s="0">
        <f>L122*2</f>
        <v/>
      </c>
      <c r="M84" s="0">
        <f>M122*2</f>
        <v/>
      </c>
      <c r="N84" s="0">
        <f>N122*2</f>
        <v/>
      </c>
      <c r="O84" s="0">
        <f>O122*2</f>
        <v/>
      </c>
      <c r="P84" s="0">
        <f>P122*2</f>
        <v/>
      </c>
      <c r="Q84" s="0">
        <f>Q122*2</f>
        <v/>
      </c>
      <c r="R84" s="0">
        <f>R122*2</f>
        <v/>
      </c>
      <c r="S84" s="0">
        <f>S122*2</f>
        <v/>
      </c>
      <c r="T84" s="0">
        <f>T122*2</f>
        <v/>
      </c>
      <c r="U84" s="0">
        <f>U122*2</f>
        <v/>
      </c>
      <c r="V84" s="0">
        <f>V122*2</f>
        <v/>
      </c>
      <c r="W84" s="0">
        <f>W122*2</f>
        <v/>
      </c>
      <c r="X84" s="0">
        <f>X122*2</f>
        <v/>
      </c>
      <c r="Y84" s="0">
        <f>Y122*2</f>
        <v/>
      </c>
      <c r="Z84" s="0">
        <f>Z122*2</f>
        <v/>
      </c>
      <c r="AA84" s="0">
        <f>AA122*2</f>
        <v/>
      </c>
      <c r="AB84" s="0">
        <f>AB122*2</f>
        <v/>
      </c>
      <c r="AC84" s="0">
        <f>AC122*2</f>
        <v/>
      </c>
      <c r="AD84" s="0">
        <f>AD122*2</f>
        <v/>
      </c>
      <c r="AE84" s="0">
        <f>AE122*2</f>
        <v/>
      </c>
      <c r="AF84" s="0">
        <f>AF122*2</f>
        <v/>
      </c>
      <c r="AG84" s="0">
        <f>AG122*2</f>
        <v/>
      </c>
      <c r="AH84" s="0">
        <f>AH122*2</f>
        <v/>
      </c>
      <c r="AI84" s="0">
        <f>AI122*2</f>
        <v/>
      </c>
      <c r="AJ84" s="0">
        <f>AJ122*2</f>
        <v/>
      </c>
      <c r="AK84" s="0">
        <f>AK122*2</f>
        <v/>
      </c>
      <c r="AL84" s="0">
        <f>AL122*2</f>
        <v/>
      </c>
      <c r="AM84" s="0">
        <f>AM122*2</f>
        <v/>
      </c>
      <c r="AN84" s="0">
        <f>AN122*2</f>
        <v/>
      </c>
      <c r="AO84" s="0" t="inlineStr">
        <is>
          <t>2020, 2100</t>
        </is>
      </c>
    </row>
    <row r="85">
      <c r="C85" s="0" t="inlineStr">
        <is>
          <t>MINAlRSV2</t>
        </is>
      </c>
      <c r="D85" s="0" t="inlineStr">
        <is>
          <t>CUM</t>
        </is>
      </c>
      <c r="AO85" s="0" t="inlineStr">
        <is>
          <t>2020, 2100</t>
        </is>
      </c>
    </row>
    <row r="86">
      <c r="C86" s="0" t="inlineStr">
        <is>
          <t>MINAlRSV2</t>
        </is>
      </c>
      <c r="D86" s="0" t="inlineStr">
        <is>
          <t>COST</t>
        </is>
      </c>
      <c r="E86" s="0" t="inlineStr">
        <is>
          <t>m_aluminum</t>
        </is>
      </c>
      <c r="F86" s="0">
        <f>F83*3</f>
        <v/>
      </c>
      <c r="G86" s="0">
        <f>F86</f>
        <v/>
      </c>
      <c r="H86" s="0">
        <f>G86</f>
        <v/>
      </c>
      <c r="I86" s="0">
        <f>H86</f>
        <v/>
      </c>
      <c r="J86" s="0">
        <f>I86</f>
        <v/>
      </c>
      <c r="K86" s="0">
        <f>J86</f>
        <v/>
      </c>
      <c r="L86" s="0">
        <f>K86</f>
        <v/>
      </c>
      <c r="M86" s="0">
        <f>L86</f>
        <v/>
      </c>
      <c r="N86" s="0">
        <f>M86</f>
        <v/>
      </c>
      <c r="O86" s="0">
        <f>N86</f>
        <v/>
      </c>
      <c r="P86" s="0">
        <f>O86</f>
        <v/>
      </c>
      <c r="Q86" s="0">
        <f>P86</f>
        <v/>
      </c>
      <c r="R86" s="0">
        <f>Q86</f>
        <v/>
      </c>
      <c r="S86" s="0">
        <f>R86</f>
        <v/>
      </c>
      <c r="T86" s="0">
        <f>S86</f>
        <v/>
      </c>
      <c r="U86" s="0">
        <f>T86</f>
        <v/>
      </c>
      <c r="V86" s="0">
        <f>U86</f>
        <v/>
      </c>
      <c r="W86" s="0">
        <f>V86</f>
        <v/>
      </c>
      <c r="X86" s="0">
        <f>W86</f>
        <v/>
      </c>
      <c r="Y86" s="0">
        <f>X86</f>
        <v/>
      </c>
      <c r="Z86" s="0">
        <f>Y86</f>
        <v/>
      </c>
      <c r="AA86" s="0">
        <f>Z86</f>
        <v/>
      </c>
      <c r="AB86" s="0">
        <f>AA86</f>
        <v/>
      </c>
      <c r="AC86" s="0">
        <f>AB86</f>
        <v/>
      </c>
      <c r="AD86" s="0">
        <f>AC86</f>
        <v/>
      </c>
      <c r="AE86" s="0">
        <f>AD86</f>
        <v/>
      </c>
      <c r="AF86" s="0">
        <f>AE86</f>
        <v/>
      </c>
      <c r="AG86" s="0">
        <f>AF86</f>
        <v/>
      </c>
      <c r="AH86" s="0">
        <f>AG86</f>
        <v/>
      </c>
      <c r="AI86" s="0">
        <f>AH86</f>
        <v/>
      </c>
      <c r="AJ86" s="0">
        <f>AI86</f>
        <v/>
      </c>
      <c r="AK86" s="0">
        <f>AJ86</f>
        <v/>
      </c>
      <c r="AL86" s="0">
        <f>AK86</f>
        <v/>
      </c>
      <c r="AM86" s="0">
        <f>AL86</f>
        <v/>
      </c>
      <c r="AN86" s="0">
        <f>AM86</f>
        <v/>
      </c>
      <c r="AO86" s="0" t="inlineStr">
        <is>
          <t>2020, 2100</t>
        </is>
      </c>
    </row>
    <row r="87">
      <c r="C87" s="0" t="inlineStr">
        <is>
          <t>MINAlRSV3</t>
        </is>
      </c>
      <c r="D87" s="0" t="inlineStr">
        <is>
          <t>BNDACT</t>
        </is>
      </c>
      <c r="AO87" s="0" t="inlineStr">
        <is>
          <t>2020, 2100</t>
        </is>
      </c>
    </row>
    <row r="88">
      <c r="C88" s="0" t="inlineStr">
        <is>
          <t>MINAlRSV3</t>
        </is>
      </c>
      <c r="D88" s="0" t="inlineStr">
        <is>
          <t>CUM</t>
        </is>
      </c>
      <c r="AO88" s="0" t="inlineStr">
        <is>
          <t>2020, 2100</t>
        </is>
      </c>
    </row>
    <row r="89">
      <c r="C89" s="0" t="inlineStr">
        <is>
          <t>MINAlRSV3</t>
        </is>
      </c>
      <c r="D89" s="0" t="inlineStr">
        <is>
          <t>COST</t>
        </is>
      </c>
      <c r="E89" s="0" t="inlineStr">
        <is>
          <t>m_aluminum</t>
        </is>
      </c>
      <c r="F89" s="0">
        <f>F83*5</f>
        <v/>
      </c>
      <c r="G89" s="0">
        <f>F89</f>
        <v/>
      </c>
      <c r="H89" s="0">
        <f>G89</f>
        <v/>
      </c>
      <c r="I89" s="0">
        <f>H89</f>
        <v/>
      </c>
      <c r="J89" s="0">
        <f>I89</f>
        <v/>
      </c>
      <c r="K89" s="0">
        <f>J89</f>
        <v/>
      </c>
      <c r="L89" s="0">
        <f>K89</f>
        <v/>
      </c>
      <c r="M89" s="0">
        <f>L89</f>
        <v/>
      </c>
      <c r="N89" s="0">
        <f>M89</f>
        <v/>
      </c>
      <c r="O89" s="0">
        <f>N89</f>
        <v/>
      </c>
      <c r="P89" s="0">
        <f>O89</f>
        <v/>
      </c>
      <c r="Q89" s="0">
        <f>P89</f>
        <v/>
      </c>
      <c r="R89" s="0">
        <f>Q89</f>
        <v/>
      </c>
      <c r="S89" s="0">
        <f>R89</f>
        <v/>
      </c>
      <c r="T89" s="0">
        <f>S89</f>
        <v/>
      </c>
      <c r="U89" s="0">
        <f>T89</f>
        <v/>
      </c>
      <c r="V89" s="0">
        <f>U89</f>
        <v/>
      </c>
      <c r="W89" s="0">
        <f>V89</f>
        <v/>
      </c>
      <c r="X89" s="0">
        <f>W89</f>
        <v/>
      </c>
      <c r="Y89" s="0">
        <f>X89</f>
        <v/>
      </c>
      <c r="Z89" s="0">
        <f>Y89</f>
        <v/>
      </c>
      <c r="AA89" s="0">
        <f>Z89</f>
        <v/>
      </c>
      <c r="AB89" s="0">
        <f>AA89</f>
        <v/>
      </c>
      <c r="AC89" s="0">
        <f>AB89</f>
        <v/>
      </c>
      <c r="AD89" s="0">
        <f>AC89</f>
        <v/>
      </c>
      <c r="AE89" s="0">
        <f>AD89</f>
        <v/>
      </c>
      <c r="AF89" s="0">
        <f>AE89</f>
        <v/>
      </c>
      <c r="AG89" s="0">
        <f>AF89</f>
        <v/>
      </c>
      <c r="AH89" s="0">
        <f>AG89</f>
        <v/>
      </c>
      <c r="AI89" s="0">
        <f>AH89</f>
        <v/>
      </c>
      <c r="AJ89" s="0">
        <f>AI89</f>
        <v/>
      </c>
      <c r="AK89" s="0">
        <f>AJ89</f>
        <v/>
      </c>
      <c r="AL89" s="0">
        <f>AK89</f>
        <v/>
      </c>
      <c r="AM89" s="0">
        <f>AL89</f>
        <v/>
      </c>
      <c r="AN89" s="0">
        <f>AM89</f>
        <v/>
      </c>
      <c r="AO89" s="0" t="inlineStr">
        <is>
          <t>2020, 2100</t>
        </is>
      </c>
    </row>
    <row r="90">
      <c r="C90" s="0" t="inlineStr">
        <is>
          <t>*</t>
        </is>
      </c>
      <c r="AO90" s="0" t="inlineStr">
        <is>
          <t>2020, 2100</t>
        </is>
      </c>
    </row>
    <row r="91">
      <c r="C91" s="0" t="inlineStr">
        <is>
          <t>MINCuRSV1</t>
        </is>
      </c>
      <c r="D91" s="0" t="inlineStr">
        <is>
          <t>BNDACT</t>
        </is>
      </c>
      <c r="F91" s="0">
        <f>F123*1</f>
        <v/>
      </c>
      <c r="G91" s="0">
        <f>G123*1</f>
        <v/>
      </c>
      <c r="H91" s="0">
        <f>H123*1</f>
        <v/>
      </c>
      <c r="I91" s="0">
        <f>I123*1</f>
        <v/>
      </c>
      <c r="J91" s="0">
        <f>J123*1</f>
        <v/>
      </c>
      <c r="K91" s="0">
        <f>K123*1</f>
        <v/>
      </c>
      <c r="L91" s="0">
        <f>L123*1</f>
        <v/>
      </c>
      <c r="M91" s="0">
        <f>M123*1</f>
        <v/>
      </c>
      <c r="N91" s="0">
        <f>N123*1</f>
        <v/>
      </c>
      <c r="O91" s="0">
        <f>O123*1</f>
        <v/>
      </c>
      <c r="P91" s="0">
        <f>P123*1</f>
        <v/>
      </c>
      <c r="Q91" s="0">
        <f>Q123*1</f>
        <v/>
      </c>
      <c r="R91" s="0">
        <f>R123*1</f>
        <v/>
      </c>
      <c r="S91" s="0">
        <f>S123*1</f>
        <v/>
      </c>
      <c r="T91" s="0">
        <f>T123*1</f>
        <v/>
      </c>
      <c r="U91" s="0">
        <f>U123*1</f>
        <v/>
      </c>
      <c r="V91" s="0">
        <f>V123*1</f>
        <v/>
      </c>
      <c r="W91" s="0">
        <f>W123*1</f>
        <v/>
      </c>
      <c r="X91" s="0">
        <f>X123*1</f>
        <v/>
      </c>
      <c r="Y91" s="0">
        <f>Y123*1</f>
        <v/>
      </c>
      <c r="Z91" s="0">
        <f>Z123*1</f>
        <v/>
      </c>
      <c r="AA91" s="0">
        <f>AA123*1</f>
        <v/>
      </c>
      <c r="AB91" s="0">
        <f>AB123*1</f>
        <v/>
      </c>
      <c r="AC91" s="0">
        <f>AC123*1</f>
        <v/>
      </c>
      <c r="AD91" s="0">
        <f>AD123*1</f>
        <v/>
      </c>
      <c r="AE91" s="0">
        <f>AE123*1</f>
        <v/>
      </c>
      <c r="AF91" s="0">
        <f>AF123*1</f>
        <v/>
      </c>
      <c r="AG91" s="0">
        <f>AG123*1</f>
        <v/>
      </c>
      <c r="AH91" s="0">
        <f>AH123*1</f>
        <v/>
      </c>
      <c r="AI91" s="0">
        <f>AI123*1</f>
        <v/>
      </c>
      <c r="AJ91" s="0">
        <f>AJ123*1</f>
        <v/>
      </c>
      <c r="AK91" s="0">
        <f>AK123*1</f>
        <v/>
      </c>
      <c r="AL91" s="0">
        <f>AL123*1</f>
        <v/>
      </c>
      <c r="AM91" s="0">
        <f>AM123*1</f>
        <v/>
      </c>
      <c r="AN91" s="0">
        <f>AN123*1</f>
        <v/>
      </c>
      <c r="AO91" s="0" t="inlineStr">
        <is>
          <t>2020, 2100</t>
        </is>
      </c>
    </row>
    <row r="92">
      <c r="C92" s="0" t="inlineStr">
        <is>
          <t>MINCuRSV1</t>
        </is>
      </c>
      <c r="D92" s="0" t="inlineStr">
        <is>
          <t>CUM</t>
        </is>
      </c>
      <c r="F92" s="0">
        <f>'attache--data--from'!D53</f>
        <v/>
      </c>
      <c r="G92" s="0">
        <f>'attache--data--from'!E53</f>
        <v/>
      </c>
      <c r="H92" s="0">
        <f>'attache--data--from'!F53</f>
        <v/>
      </c>
      <c r="I92" s="0">
        <f>'attache--data--from'!G53</f>
        <v/>
      </c>
      <c r="J92" s="0">
        <f>'attache--data--from'!H53</f>
        <v/>
      </c>
      <c r="K92" s="0">
        <f>'attache--data--from'!I53</f>
        <v/>
      </c>
      <c r="L92" s="0">
        <f>'attache--data--from'!J53</f>
        <v/>
      </c>
      <c r="M92" s="0">
        <f>'attache--data--from'!K53</f>
        <v/>
      </c>
      <c r="N92" s="0">
        <f>'attache--data--from'!L53</f>
        <v/>
      </c>
      <c r="O92" s="0">
        <f>'attache--data--from'!M53</f>
        <v/>
      </c>
      <c r="P92" s="0">
        <f>'attache--data--from'!N53</f>
        <v/>
      </c>
      <c r="Q92" s="0">
        <f>'attache--data--from'!O53</f>
        <v/>
      </c>
      <c r="R92" s="0">
        <f>'attache--data--from'!P53</f>
        <v/>
      </c>
      <c r="S92" s="0">
        <f>'attache--data--from'!Q53</f>
        <v/>
      </c>
      <c r="T92" s="0">
        <f>'attache--data--from'!R53</f>
        <v/>
      </c>
      <c r="U92" s="0">
        <f>'attache--data--from'!S53</f>
        <v/>
      </c>
      <c r="V92" s="0">
        <f>'attache--data--from'!T53</f>
        <v/>
      </c>
      <c r="W92" s="0">
        <f>'attache--data--from'!U53</f>
        <v/>
      </c>
      <c r="X92" s="0">
        <f>'attache--data--from'!V53</f>
        <v/>
      </c>
      <c r="Y92" s="0">
        <f>'attache--data--from'!W53</f>
        <v/>
      </c>
      <c r="Z92" s="0">
        <f>'attache--data--from'!X53</f>
        <v/>
      </c>
      <c r="AA92" s="0">
        <f>'attache--data--from'!Y53</f>
        <v/>
      </c>
      <c r="AB92" s="0">
        <f>'attache--data--from'!Z53</f>
        <v/>
      </c>
      <c r="AC92" s="0">
        <f>'attache--data--from'!AA53</f>
        <v/>
      </c>
      <c r="AD92" s="0">
        <f>'attache--data--from'!AB53</f>
        <v/>
      </c>
      <c r="AE92" s="0">
        <f>'attache--data--from'!AC53</f>
        <v/>
      </c>
      <c r="AF92" s="0">
        <f>'attache--data--from'!AD53</f>
        <v/>
      </c>
      <c r="AG92" s="0">
        <f>'attache--data--from'!AE53</f>
        <v/>
      </c>
      <c r="AH92" s="0">
        <f>'attache--data--from'!AF53</f>
        <v/>
      </c>
      <c r="AI92" s="0">
        <f>'attache--data--from'!AG53</f>
        <v/>
      </c>
      <c r="AJ92" s="0">
        <f>'attache--data--from'!AH53</f>
        <v/>
      </c>
      <c r="AK92" s="0">
        <f>'attache--data--from'!AI53</f>
        <v/>
      </c>
      <c r="AL92" s="0">
        <f>'attache--data--from'!AJ53</f>
        <v/>
      </c>
      <c r="AM92" s="0">
        <f>'attache--data--from'!AK53</f>
        <v/>
      </c>
      <c r="AN92" s="0">
        <f>'attache--data--from'!AL53</f>
        <v/>
      </c>
      <c r="AO92" s="0" t="inlineStr">
        <is>
          <t>2020, 2100</t>
        </is>
      </c>
    </row>
    <row r="93">
      <c r="C93" s="0" t="inlineStr">
        <is>
          <t>MINCuRSV1</t>
        </is>
      </c>
      <c r="D93" s="0" t="inlineStr">
        <is>
          <t>COST</t>
        </is>
      </c>
      <c r="E93" s="0" t="inlineStr">
        <is>
          <t>m_copper</t>
        </is>
      </c>
      <c r="F93" s="0">
        <f>D9</f>
        <v/>
      </c>
      <c r="G93" s="0">
        <f>F93</f>
        <v/>
      </c>
      <c r="H93" s="0">
        <f>G93</f>
        <v/>
      </c>
      <c r="I93" s="0">
        <f>H93</f>
        <v/>
      </c>
      <c r="J93" s="0">
        <f>I93</f>
        <v/>
      </c>
      <c r="K93" s="0">
        <f>J93</f>
        <v/>
      </c>
      <c r="L93" s="0">
        <f>K93</f>
        <v/>
      </c>
      <c r="M93" s="0">
        <f>L93</f>
        <v/>
      </c>
      <c r="N93" s="0">
        <f>M93</f>
        <v/>
      </c>
      <c r="O93" s="0">
        <f>N93</f>
        <v/>
      </c>
      <c r="P93" s="0">
        <f>O93</f>
        <v/>
      </c>
      <c r="Q93" s="0">
        <f>P93</f>
        <v/>
      </c>
      <c r="R93" s="0">
        <f>Q93</f>
        <v/>
      </c>
      <c r="S93" s="0">
        <f>R93</f>
        <v/>
      </c>
      <c r="T93" s="0">
        <f>S93</f>
        <v/>
      </c>
      <c r="U93" s="0">
        <f>T93</f>
        <v/>
      </c>
      <c r="V93" s="0">
        <f>U93</f>
        <v/>
      </c>
      <c r="W93" s="0">
        <f>V93</f>
        <v/>
      </c>
      <c r="X93" s="0">
        <f>W93</f>
        <v/>
      </c>
      <c r="Y93" s="0">
        <f>X93</f>
        <v/>
      </c>
      <c r="Z93" s="0">
        <f>Y93</f>
        <v/>
      </c>
      <c r="AA93" s="0">
        <f>Z93</f>
        <v/>
      </c>
      <c r="AB93" s="0">
        <f>AA93</f>
        <v/>
      </c>
      <c r="AC93" s="0">
        <f>AB93</f>
        <v/>
      </c>
      <c r="AD93" s="0">
        <f>AC93</f>
        <v/>
      </c>
      <c r="AE93" s="0">
        <f>AD93</f>
        <v/>
      </c>
      <c r="AF93" s="0">
        <f>AE93</f>
        <v/>
      </c>
      <c r="AG93" s="0">
        <f>AF93</f>
        <v/>
      </c>
      <c r="AH93" s="0">
        <f>AG93</f>
        <v/>
      </c>
      <c r="AI93" s="0">
        <f>AH93</f>
        <v/>
      </c>
      <c r="AJ93" s="0">
        <f>AI93</f>
        <v/>
      </c>
      <c r="AK93" s="0">
        <f>AJ93</f>
        <v/>
      </c>
      <c r="AL93" s="0">
        <f>AK93</f>
        <v/>
      </c>
      <c r="AM93" s="0">
        <f>AL93</f>
        <v/>
      </c>
      <c r="AN93" s="0">
        <f>AM93</f>
        <v/>
      </c>
      <c r="AO93" s="0" t="inlineStr">
        <is>
          <t>2020, 2100</t>
        </is>
      </c>
    </row>
    <row r="94">
      <c r="C94" s="0" t="inlineStr">
        <is>
          <t>MINCuRSV2</t>
        </is>
      </c>
      <c r="D94" s="0" t="inlineStr">
        <is>
          <t>BNDACT</t>
        </is>
      </c>
      <c r="F94" s="0">
        <f>F123*2</f>
        <v/>
      </c>
      <c r="G94" s="0">
        <f>G123*2</f>
        <v/>
      </c>
      <c r="H94" s="0">
        <f>H123*2</f>
        <v/>
      </c>
      <c r="I94" s="0">
        <f>I123*2</f>
        <v/>
      </c>
      <c r="J94" s="0">
        <f>J123*2</f>
        <v/>
      </c>
      <c r="K94" s="0">
        <f>K123*2</f>
        <v/>
      </c>
      <c r="L94" s="0">
        <f>L123*2</f>
        <v/>
      </c>
      <c r="M94" s="0">
        <f>M123*2</f>
        <v/>
      </c>
      <c r="N94" s="0">
        <f>N123*2</f>
        <v/>
      </c>
      <c r="O94" s="0">
        <f>O123*2</f>
        <v/>
      </c>
      <c r="P94" s="0">
        <f>P123*2</f>
        <v/>
      </c>
      <c r="Q94" s="0">
        <f>Q123*2</f>
        <v/>
      </c>
      <c r="R94" s="0">
        <f>R123*2</f>
        <v/>
      </c>
      <c r="S94" s="0">
        <f>S123*2</f>
        <v/>
      </c>
      <c r="T94" s="0">
        <f>T123*2</f>
        <v/>
      </c>
      <c r="U94" s="0">
        <f>U123*2</f>
        <v/>
      </c>
      <c r="V94" s="0">
        <f>V123*2</f>
        <v/>
      </c>
      <c r="W94" s="0">
        <f>W123*2</f>
        <v/>
      </c>
      <c r="X94" s="0">
        <f>X123*2</f>
        <v/>
      </c>
      <c r="Y94" s="0">
        <f>Y123*2</f>
        <v/>
      </c>
      <c r="Z94" s="0">
        <f>Z123*2</f>
        <v/>
      </c>
      <c r="AA94" s="0">
        <f>AA123*2</f>
        <v/>
      </c>
      <c r="AB94" s="0">
        <f>AB123*2</f>
        <v/>
      </c>
      <c r="AC94" s="0">
        <f>AC123*2</f>
        <v/>
      </c>
      <c r="AD94" s="0">
        <f>AD123*2</f>
        <v/>
      </c>
      <c r="AE94" s="0">
        <f>AE123*2</f>
        <v/>
      </c>
      <c r="AF94" s="0">
        <f>AF123*2</f>
        <v/>
      </c>
      <c r="AG94" s="0">
        <f>AG123*2</f>
        <v/>
      </c>
      <c r="AH94" s="0">
        <f>AH123*2</f>
        <v/>
      </c>
      <c r="AI94" s="0">
        <f>AI123*2</f>
        <v/>
      </c>
      <c r="AJ94" s="0">
        <f>AJ123*2</f>
        <v/>
      </c>
      <c r="AK94" s="0">
        <f>AK123*2</f>
        <v/>
      </c>
      <c r="AL94" s="0">
        <f>AL123*2</f>
        <v/>
      </c>
      <c r="AM94" s="0">
        <f>AM123*2</f>
        <v/>
      </c>
      <c r="AN94" s="0">
        <f>AN123*2</f>
        <v/>
      </c>
      <c r="AO94" s="0" t="inlineStr">
        <is>
          <t>2020, 2100</t>
        </is>
      </c>
    </row>
    <row r="95">
      <c r="C95" s="0" t="inlineStr">
        <is>
          <t>MINCuRSV2</t>
        </is>
      </c>
      <c r="D95" s="0" t="inlineStr">
        <is>
          <t>CUM</t>
        </is>
      </c>
      <c r="F95" s="0">
        <f>'attache--data--from'!D54</f>
        <v/>
      </c>
      <c r="G95" s="0">
        <f>'attache--data--from'!E54</f>
        <v/>
      </c>
      <c r="H95" s="0">
        <f>'attache--data--from'!F54</f>
        <v/>
      </c>
      <c r="I95" s="0">
        <f>'attache--data--from'!G54</f>
        <v/>
      </c>
      <c r="J95" s="0">
        <f>'attache--data--from'!H54</f>
        <v/>
      </c>
      <c r="K95" s="0">
        <f>'attache--data--from'!I54</f>
        <v/>
      </c>
      <c r="L95" s="0">
        <f>'attache--data--from'!J54</f>
        <v/>
      </c>
      <c r="M95" s="0">
        <f>'attache--data--from'!K54</f>
        <v/>
      </c>
      <c r="N95" s="0">
        <f>'attache--data--from'!L54</f>
        <v/>
      </c>
      <c r="O95" s="0">
        <f>'attache--data--from'!M54</f>
        <v/>
      </c>
      <c r="P95" s="0">
        <f>'attache--data--from'!N54</f>
        <v/>
      </c>
      <c r="Q95" s="0">
        <f>'attache--data--from'!O54</f>
        <v/>
      </c>
      <c r="R95" s="0">
        <f>'attache--data--from'!P54</f>
        <v/>
      </c>
      <c r="S95" s="0">
        <f>'attache--data--from'!Q54</f>
        <v/>
      </c>
      <c r="T95" s="0">
        <f>'attache--data--from'!R54</f>
        <v/>
      </c>
      <c r="U95" s="0">
        <f>'attache--data--from'!S54</f>
        <v/>
      </c>
      <c r="V95" s="0">
        <f>'attache--data--from'!T54</f>
        <v/>
      </c>
      <c r="W95" s="0">
        <f>'attache--data--from'!U54</f>
        <v/>
      </c>
      <c r="X95" s="0">
        <f>'attache--data--from'!V54</f>
        <v/>
      </c>
      <c r="Y95" s="0">
        <f>'attache--data--from'!W54</f>
        <v/>
      </c>
      <c r="Z95" s="0">
        <f>'attache--data--from'!X54</f>
        <v/>
      </c>
      <c r="AA95" s="0">
        <f>'attache--data--from'!Y54</f>
        <v/>
      </c>
      <c r="AB95" s="0">
        <f>'attache--data--from'!Z54</f>
        <v/>
      </c>
      <c r="AC95" s="0">
        <f>'attache--data--from'!AA54</f>
        <v/>
      </c>
      <c r="AD95" s="0">
        <f>'attache--data--from'!AB54</f>
        <v/>
      </c>
      <c r="AE95" s="0">
        <f>'attache--data--from'!AC54</f>
        <v/>
      </c>
      <c r="AF95" s="0">
        <f>'attache--data--from'!AD54</f>
        <v/>
      </c>
      <c r="AG95" s="0">
        <f>'attache--data--from'!AE54</f>
        <v/>
      </c>
      <c r="AH95" s="0">
        <f>'attache--data--from'!AF54</f>
        <v/>
      </c>
      <c r="AI95" s="0">
        <f>'attache--data--from'!AG54</f>
        <v/>
      </c>
      <c r="AJ95" s="0">
        <f>'attache--data--from'!AH54</f>
        <v/>
      </c>
      <c r="AK95" s="0">
        <f>'attache--data--from'!AI54</f>
        <v/>
      </c>
      <c r="AL95" s="0">
        <f>'attache--data--from'!AJ54</f>
        <v/>
      </c>
      <c r="AM95" s="0">
        <f>'attache--data--from'!AK54</f>
        <v/>
      </c>
      <c r="AN95" s="0">
        <f>'attache--data--from'!AL54</f>
        <v/>
      </c>
      <c r="AO95" s="0" t="inlineStr">
        <is>
          <t>2020, 2100</t>
        </is>
      </c>
    </row>
    <row r="96">
      <c r="C96" s="0" t="inlineStr">
        <is>
          <t>MINCuRSV2</t>
        </is>
      </c>
      <c r="D96" s="0" t="inlineStr">
        <is>
          <t>COST</t>
        </is>
      </c>
      <c r="E96" s="0" t="inlineStr">
        <is>
          <t>m_copper</t>
        </is>
      </c>
      <c r="F96" s="0">
        <f>F93*3</f>
        <v/>
      </c>
      <c r="G96" s="0">
        <f>F96</f>
        <v/>
      </c>
      <c r="H96" s="0">
        <f>G96</f>
        <v/>
      </c>
      <c r="I96" s="0">
        <f>H96</f>
        <v/>
      </c>
      <c r="J96" s="0">
        <f>I96</f>
        <v/>
      </c>
      <c r="K96" s="0">
        <f>J96</f>
        <v/>
      </c>
      <c r="L96" s="0">
        <f>K96</f>
        <v/>
      </c>
      <c r="M96" s="0">
        <f>L96</f>
        <v/>
      </c>
      <c r="N96" s="0">
        <f>M96</f>
        <v/>
      </c>
      <c r="O96" s="0">
        <f>N96</f>
        <v/>
      </c>
      <c r="P96" s="0">
        <f>O96</f>
        <v/>
      </c>
      <c r="Q96" s="0">
        <f>P96</f>
        <v/>
      </c>
      <c r="R96" s="0">
        <f>Q96</f>
        <v/>
      </c>
      <c r="S96" s="0">
        <f>R96</f>
        <v/>
      </c>
      <c r="T96" s="0">
        <f>S96</f>
        <v/>
      </c>
      <c r="U96" s="0">
        <f>T96</f>
        <v/>
      </c>
      <c r="V96" s="0">
        <f>U96</f>
        <v/>
      </c>
      <c r="W96" s="0">
        <f>V96</f>
        <v/>
      </c>
      <c r="X96" s="0">
        <f>W96</f>
        <v/>
      </c>
      <c r="Y96" s="0">
        <f>X96</f>
        <v/>
      </c>
      <c r="Z96" s="0">
        <f>Y96</f>
        <v/>
      </c>
      <c r="AA96" s="0">
        <f>Z96</f>
        <v/>
      </c>
      <c r="AB96" s="0">
        <f>AA96</f>
        <v/>
      </c>
      <c r="AC96" s="0">
        <f>AB96</f>
        <v/>
      </c>
      <c r="AD96" s="0">
        <f>AC96</f>
        <v/>
      </c>
      <c r="AE96" s="0">
        <f>AD96</f>
        <v/>
      </c>
      <c r="AF96" s="0">
        <f>AE96</f>
        <v/>
      </c>
      <c r="AG96" s="0">
        <f>AF96</f>
        <v/>
      </c>
      <c r="AH96" s="0">
        <f>AG96</f>
        <v/>
      </c>
      <c r="AI96" s="0">
        <f>AH96</f>
        <v/>
      </c>
      <c r="AJ96" s="0">
        <f>AI96</f>
        <v/>
      </c>
      <c r="AK96" s="0">
        <f>AJ96</f>
        <v/>
      </c>
      <c r="AL96" s="0">
        <f>AK96</f>
        <v/>
      </c>
      <c r="AM96" s="0">
        <f>AL96</f>
        <v/>
      </c>
      <c r="AN96" s="0">
        <f>AM96</f>
        <v/>
      </c>
      <c r="AO96" s="0" t="inlineStr">
        <is>
          <t>2020, 2100</t>
        </is>
      </c>
    </row>
    <row r="97">
      <c r="C97" s="0" t="inlineStr">
        <is>
          <t>MINCuRSV3</t>
        </is>
      </c>
      <c r="D97" s="0" t="inlineStr">
        <is>
          <t>BNDACT</t>
        </is>
      </c>
      <c r="AO97" s="0" t="inlineStr">
        <is>
          <t>2020, 2100</t>
        </is>
      </c>
    </row>
    <row r="98">
      <c r="C98" s="0" t="inlineStr">
        <is>
          <t>MINCuRSV3</t>
        </is>
      </c>
      <c r="D98" s="0" t="inlineStr">
        <is>
          <t>CUM</t>
        </is>
      </c>
      <c r="F98" s="0">
        <f>'attache--data--from'!D55</f>
        <v/>
      </c>
      <c r="G98" s="0">
        <f>'attache--data--from'!E55</f>
        <v/>
      </c>
      <c r="H98" s="0">
        <f>'attache--data--from'!F55</f>
        <v/>
      </c>
      <c r="I98" s="0">
        <f>'attache--data--from'!G55</f>
        <v/>
      </c>
      <c r="J98" s="0">
        <f>'attache--data--from'!H55</f>
        <v/>
      </c>
      <c r="K98" s="0">
        <f>'attache--data--from'!I55</f>
        <v/>
      </c>
      <c r="L98" s="0">
        <f>'attache--data--from'!J55</f>
        <v/>
      </c>
      <c r="M98" s="0">
        <f>'attache--data--from'!K55</f>
        <v/>
      </c>
      <c r="N98" s="0">
        <f>'attache--data--from'!L55</f>
        <v/>
      </c>
      <c r="O98" s="0">
        <f>'attache--data--from'!M55</f>
        <v/>
      </c>
      <c r="P98" s="0">
        <f>'attache--data--from'!N55</f>
        <v/>
      </c>
      <c r="Q98" s="0">
        <f>'attache--data--from'!O55</f>
        <v/>
      </c>
      <c r="R98" s="0">
        <f>'attache--data--from'!P55</f>
        <v/>
      </c>
      <c r="S98" s="0">
        <f>'attache--data--from'!Q55</f>
        <v/>
      </c>
      <c r="T98" s="0">
        <f>'attache--data--from'!R55</f>
        <v/>
      </c>
      <c r="U98" s="0">
        <f>'attache--data--from'!S55</f>
        <v/>
      </c>
      <c r="V98" s="0">
        <f>'attache--data--from'!T55</f>
        <v/>
      </c>
      <c r="W98" s="0">
        <f>'attache--data--from'!U55</f>
        <v/>
      </c>
      <c r="X98" s="0">
        <f>'attache--data--from'!V55</f>
        <v/>
      </c>
      <c r="Y98" s="0">
        <f>'attache--data--from'!W55</f>
        <v/>
      </c>
      <c r="Z98" s="0">
        <f>'attache--data--from'!X55</f>
        <v/>
      </c>
      <c r="AA98" s="0">
        <f>'attache--data--from'!Y55</f>
        <v/>
      </c>
      <c r="AB98" s="0">
        <f>'attache--data--from'!Z55</f>
        <v/>
      </c>
      <c r="AC98" s="0">
        <f>'attache--data--from'!AA55</f>
        <v/>
      </c>
      <c r="AD98" s="0">
        <f>'attache--data--from'!AB55</f>
        <v/>
      </c>
      <c r="AE98" s="0">
        <f>'attache--data--from'!AC55</f>
        <v/>
      </c>
      <c r="AF98" s="0">
        <f>'attache--data--from'!AD55</f>
        <v/>
      </c>
      <c r="AG98" s="0">
        <f>'attache--data--from'!AE55</f>
        <v/>
      </c>
      <c r="AH98" s="0">
        <f>'attache--data--from'!AF55</f>
        <v/>
      </c>
      <c r="AI98" s="0">
        <f>'attache--data--from'!AG55</f>
        <v/>
      </c>
      <c r="AJ98" s="0">
        <f>'attache--data--from'!AH55</f>
        <v/>
      </c>
      <c r="AK98" s="0">
        <f>'attache--data--from'!AI55</f>
        <v/>
      </c>
      <c r="AL98" s="0">
        <f>'attache--data--from'!AJ55</f>
        <v/>
      </c>
      <c r="AM98" s="0">
        <f>'attache--data--from'!AK55</f>
        <v/>
      </c>
      <c r="AN98" s="0">
        <f>'attache--data--from'!AL55</f>
        <v/>
      </c>
      <c r="AO98" s="0" t="inlineStr">
        <is>
          <t>2020, 2100</t>
        </is>
      </c>
    </row>
    <row r="99">
      <c r="C99" s="0" t="inlineStr">
        <is>
          <t>MINCuRSV3</t>
        </is>
      </c>
      <c r="D99" s="0" t="inlineStr">
        <is>
          <t>COST</t>
        </is>
      </c>
      <c r="E99" s="0" t="inlineStr">
        <is>
          <t>m_copper</t>
        </is>
      </c>
      <c r="F99" s="0">
        <f>F93*5</f>
        <v/>
      </c>
      <c r="G99" s="0">
        <f>F99</f>
        <v/>
      </c>
      <c r="H99" s="0">
        <f>G99</f>
        <v/>
      </c>
      <c r="I99" s="0">
        <f>H99</f>
        <v/>
      </c>
      <c r="J99" s="0">
        <f>I99</f>
        <v/>
      </c>
      <c r="K99" s="0">
        <f>J99</f>
        <v/>
      </c>
      <c r="L99" s="0">
        <f>K99</f>
        <v/>
      </c>
      <c r="M99" s="0">
        <f>L99</f>
        <v/>
      </c>
      <c r="N99" s="0">
        <f>M99</f>
        <v/>
      </c>
      <c r="O99" s="0">
        <f>N99</f>
        <v/>
      </c>
      <c r="P99" s="0">
        <f>O99</f>
        <v/>
      </c>
      <c r="Q99" s="0">
        <f>P99</f>
        <v/>
      </c>
      <c r="R99" s="0">
        <f>Q99</f>
        <v/>
      </c>
      <c r="S99" s="0">
        <f>R99</f>
        <v/>
      </c>
      <c r="T99" s="0">
        <f>S99</f>
        <v/>
      </c>
      <c r="U99" s="0">
        <f>T99</f>
        <v/>
      </c>
      <c r="V99" s="0">
        <f>U99</f>
        <v/>
      </c>
      <c r="W99" s="0">
        <f>V99</f>
        <v/>
      </c>
      <c r="X99" s="0">
        <f>W99</f>
        <v/>
      </c>
      <c r="Y99" s="0">
        <f>X99</f>
        <v/>
      </c>
      <c r="Z99" s="0">
        <f>Y99</f>
        <v/>
      </c>
      <c r="AA99" s="0">
        <f>Z99</f>
        <v/>
      </c>
      <c r="AB99" s="0">
        <f>AA99</f>
        <v/>
      </c>
      <c r="AC99" s="0">
        <f>AB99</f>
        <v/>
      </c>
      <c r="AD99" s="0">
        <f>AC99</f>
        <v/>
      </c>
      <c r="AE99" s="0">
        <f>AD99</f>
        <v/>
      </c>
      <c r="AF99" s="0">
        <f>AE99</f>
        <v/>
      </c>
      <c r="AG99" s="0">
        <f>AF99</f>
        <v/>
      </c>
      <c r="AH99" s="0">
        <f>AG99</f>
        <v/>
      </c>
      <c r="AI99" s="0">
        <f>AH99</f>
        <v/>
      </c>
      <c r="AJ99" s="0">
        <f>AI99</f>
        <v/>
      </c>
      <c r="AK99" s="0">
        <f>AJ99</f>
        <v/>
      </c>
      <c r="AL99" s="0">
        <f>AK99</f>
        <v/>
      </c>
      <c r="AM99" s="0">
        <f>AL99</f>
        <v/>
      </c>
      <c r="AN99" s="0">
        <f>AM99</f>
        <v/>
      </c>
      <c r="AO99" s="0" t="inlineStr">
        <is>
          <t>2020, 2100</t>
        </is>
      </c>
    </row>
    <row r="100">
      <c r="C100" s="0" t="inlineStr">
        <is>
          <t>*</t>
        </is>
      </c>
      <c r="AO100" s="0" t="inlineStr">
        <is>
          <t>2020, 2100</t>
        </is>
      </c>
    </row>
    <row r="101">
      <c r="C101" s="0" t="inlineStr">
        <is>
          <t>MINGrRSV1</t>
        </is>
      </c>
      <c r="D101" s="0" t="inlineStr">
        <is>
          <t>BNDACT</t>
        </is>
      </c>
      <c r="F101" s="0">
        <f>F124*1</f>
        <v/>
      </c>
      <c r="G101" s="0">
        <f>G124*1</f>
        <v/>
      </c>
      <c r="H101" s="0">
        <f>H124*1</f>
        <v/>
      </c>
      <c r="I101" s="0">
        <f>I124*1</f>
        <v/>
      </c>
      <c r="J101" s="0">
        <f>J124*1</f>
        <v/>
      </c>
      <c r="K101" s="0">
        <f>K124*1</f>
        <v/>
      </c>
      <c r="L101" s="0">
        <f>L124*1</f>
        <v/>
      </c>
      <c r="M101" s="0">
        <f>M124*1</f>
        <v/>
      </c>
      <c r="N101" s="0">
        <f>N124*1</f>
        <v/>
      </c>
      <c r="O101" s="0">
        <f>O124*1</f>
        <v/>
      </c>
      <c r="P101" s="0">
        <f>P124*1</f>
        <v/>
      </c>
      <c r="Q101" s="0">
        <f>Q124*1</f>
        <v/>
      </c>
      <c r="R101" s="0">
        <f>R124*1</f>
        <v/>
      </c>
      <c r="S101" s="0">
        <f>S124*1</f>
        <v/>
      </c>
      <c r="T101" s="0">
        <f>T124*1</f>
        <v/>
      </c>
      <c r="U101" s="0">
        <f>U124*1</f>
        <v/>
      </c>
      <c r="V101" s="0">
        <f>V124*1</f>
        <v/>
      </c>
      <c r="W101" s="0">
        <f>W124*1</f>
        <v/>
      </c>
      <c r="X101" s="0">
        <f>X124*1</f>
        <v/>
      </c>
      <c r="Y101" s="0">
        <f>Y124*1</f>
        <v/>
      </c>
      <c r="Z101" s="0">
        <f>Z124*1</f>
        <v/>
      </c>
      <c r="AA101" s="0">
        <f>AA124*1</f>
        <v/>
      </c>
      <c r="AB101" s="0">
        <f>AB124*1</f>
        <v/>
      </c>
      <c r="AC101" s="0">
        <f>AC124*1</f>
        <v/>
      </c>
      <c r="AD101" s="0">
        <f>AD124*1</f>
        <v/>
      </c>
      <c r="AE101" s="0">
        <f>AE124*1</f>
        <v/>
      </c>
      <c r="AF101" s="0">
        <f>AF124*1</f>
        <v/>
      </c>
      <c r="AG101" s="0">
        <f>AG124*1</f>
        <v/>
      </c>
      <c r="AH101" s="0">
        <f>AH124*1</f>
        <v/>
      </c>
      <c r="AI101" s="0">
        <f>AI124*1</f>
        <v/>
      </c>
      <c r="AJ101" s="0">
        <f>AJ124*1</f>
        <v/>
      </c>
      <c r="AK101" s="0">
        <f>AK124*1</f>
        <v/>
      </c>
      <c r="AL101" s="0">
        <f>AL124*1</f>
        <v/>
      </c>
      <c r="AM101" s="0">
        <f>AM124*1</f>
        <v/>
      </c>
      <c r="AN101" s="0">
        <f>AN124*1</f>
        <v/>
      </c>
      <c r="AO101" s="0" t="inlineStr">
        <is>
          <t>2020, 2100</t>
        </is>
      </c>
    </row>
    <row r="102">
      <c r="C102" s="0" t="inlineStr">
        <is>
          <t>MINGrRSV1</t>
        </is>
      </c>
      <c r="D102" s="0" t="inlineStr">
        <is>
          <t>CUM</t>
        </is>
      </c>
      <c r="F102" s="0">
        <f>'attache--data--from'!D57</f>
        <v/>
      </c>
      <c r="G102" s="0">
        <f>'attache--data--from'!E57</f>
        <v/>
      </c>
      <c r="H102" s="0">
        <f>'attache--data--from'!F57</f>
        <v/>
      </c>
      <c r="I102" s="0">
        <f>'attache--data--from'!G57</f>
        <v/>
      </c>
      <c r="J102" s="0">
        <f>'attache--data--from'!H57</f>
        <v/>
      </c>
      <c r="K102" s="0">
        <f>'attache--data--from'!I57</f>
        <v/>
      </c>
      <c r="L102" s="0">
        <f>'attache--data--from'!J57</f>
        <v/>
      </c>
      <c r="M102" s="0">
        <f>'attache--data--from'!K57</f>
        <v/>
      </c>
      <c r="N102" s="0">
        <f>'attache--data--from'!L57</f>
        <v/>
      </c>
      <c r="O102" s="0">
        <f>'attache--data--from'!M57</f>
        <v/>
      </c>
      <c r="P102" s="0">
        <f>'attache--data--from'!N57</f>
        <v/>
      </c>
      <c r="Q102" s="0">
        <f>'attache--data--from'!O57</f>
        <v/>
      </c>
      <c r="R102" s="0">
        <f>'attache--data--from'!P57</f>
        <v/>
      </c>
      <c r="S102" s="0">
        <f>'attache--data--from'!Q57</f>
        <v/>
      </c>
      <c r="T102" s="0">
        <f>'attache--data--from'!R57</f>
        <v/>
      </c>
      <c r="U102" s="0">
        <f>'attache--data--from'!S57</f>
        <v/>
      </c>
      <c r="V102" s="0">
        <f>'attache--data--from'!T57</f>
        <v/>
      </c>
      <c r="W102" s="0">
        <f>'attache--data--from'!U57</f>
        <v/>
      </c>
      <c r="X102" s="0">
        <f>'attache--data--from'!V57</f>
        <v/>
      </c>
      <c r="Y102" s="0">
        <f>'attache--data--from'!W57</f>
        <v/>
      </c>
      <c r="Z102" s="0">
        <f>'attache--data--from'!X57</f>
        <v/>
      </c>
      <c r="AA102" s="0">
        <f>'attache--data--from'!Y57</f>
        <v/>
      </c>
      <c r="AB102" s="0">
        <f>'attache--data--from'!Z57</f>
        <v/>
      </c>
      <c r="AC102" s="0">
        <f>'attache--data--from'!AA57</f>
        <v/>
      </c>
      <c r="AD102" s="0">
        <f>'attache--data--from'!AB57</f>
        <v/>
      </c>
      <c r="AE102" s="0">
        <f>'attache--data--from'!AC57</f>
        <v/>
      </c>
      <c r="AF102" s="0">
        <f>'attache--data--from'!AD57</f>
        <v/>
      </c>
      <c r="AG102" s="0">
        <f>'attache--data--from'!AE57</f>
        <v/>
      </c>
      <c r="AH102" s="0">
        <f>'attache--data--from'!AF57</f>
        <v/>
      </c>
      <c r="AI102" s="0">
        <f>'attache--data--from'!AG57</f>
        <v/>
      </c>
      <c r="AJ102" s="0">
        <f>'attache--data--from'!AH57</f>
        <v/>
      </c>
      <c r="AK102" s="0">
        <f>'attache--data--from'!AI57</f>
        <v/>
      </c>
      <c r="AL102" s="0">
        <f>'attache--data--from'!AJ57</f>
        <v/>
      </c>
      <c r="AM102" s="0">
        <f>'attache--data--from'!AK57</f>
        <v/>
      </c>
      <c r="AN102" s="0">
        <f>'attache--data--from'!AL57</f>
        <v/>
      </c>
      <c r="AO102" s="0" t="inlineStr">
        <is>
          <t>2020, 2100</t>
        </is>
      </c>
    </row>
    <row r="103">
      <c r="C103" s="0" t="inlineStr">
        <is>
          <t>MINGrRSV1</t>
        </is>
      </c>
      <c r="D103" s="0" t="inlineStr">
        <is>
          <t>COST</t>
        </is>
      </c>
      <c r="E103" s="0" t="inlineStr">
        <is>
          <t>m_graphite</t>
        </is>
      </c>
      <c r="F103" s="0">
        <f>D10</f>
        <v/>
      </c>
      <c r="G103" s="0">
        <f>F103</f>
        <v/>
      </c>
      <c r="H103" s="0">
        <f>G103</f>
        <v/>
      </c>
      <c r="I103" s="0">
        <f>H103</f>
        <v/>
      </c>
      <c r="J103" s="0">
        <f>I103</f>
        <v/>
      </c>
      <c r="K103" s="0">
        <f>J103</f>
        <v/>
      </c>
      <c r="L103" s="0">
        <f>K103</f>
        <v/>
      </c>
      <c r="M103" s="0">
        <f>L103</f>
        <v/>
      </c>
      <c r="N103" s="0">
        <f>M103</f>
        <v/>
      </c>
      <c r="O103" s="0">
        <f>N103</f>
        <v/>
      </c>
      <c r="P103" s="0">
        <f>O103</f>
        <v/>
      </c>
      <c r="Q103" s="0">
        <f>P103</f>
        <v/>
      </c>
      <c r="R103" s="0">
        <f>Q103</f>
        <v/>
      </c>
      <c r="S103" s="0">
        <f>R103</f>
        <v/>
      </c>
      <c r="T103" s="0">
        <f>S103</f>
        <v/>
      </c>
      <c r="U103" s="0">
        <f>T103</f>
        <v/>
      </c>
      <c r="V103" s="0">
        <f>U103</f>
        <v/>
      </c>
      <c r="W103" s="0">
        <f>V103</f>
        <v/>
      </c>
      <c r="X103" s="0">
        <f>W103</f>
        <v/>
      </c>
      <c r="Y103" s="0">
        <f>X103</f>
        <v/>
      </c>
      <c r="Z103" s="0">
        <f>Y103</f>
        <v/>
      </c>
      <c r="AA103" s="0">
        <f>Z103</f>
        <v/>
      </c>
      <c r="AB103" s="0">
        <f>AA103</f>
        <v/>
      </c>
      <c r="AC103" s="0">
        <f>AB103</f>
        <v/>
      </c>
      <c r="AD103" s="0">
        <f>AC103</f>
        <v/>
      </c>
      <c r="AE103" s="0">
        <f>AD103</f>
        <v/>
      </c>
      <c r="AF103" s="0">
        <f>AE103</f>
        <v/>
      </c>
      <c r="AG103" s="0">
        <f>AF103</f>
        <v/>
      </c>
      <c r="AH103" s="0">
        <f>AG103</f>
        <v/>
      </c>
      <c r="AI103" s="0">
        <f>AH103</f>
        <v/>
      </c>
      <c r="AJ103" s="0">
        <f>AI103</f>
        <v/>
      </c>
      <c r="AK103" s="0">
        <f>AJ103</f>
        <v/>
      </c>
      <c r="AL103" s="0">
        <f>AK103</f>
        <v/>
      </c>
      <c r="AM103" s="0">
        <f>AL103</f>
        <v/>
      </c>
      <c r="AN103" s="0">
        <f>AM103</f>
        <v/>
      </c>
      <c r="AO103" s="0" t="inlineStr">
        <is>
          <t>2020, 2100</t>
        </is>
      </c>
    </row>
    <row r="104">
      <c r="C104" s="0" t="inlineStr">
        <is>
          <t>MINGrRSV2</t>
        </is>
      </c>
      <c r="D104" s="0" t="inlineStr">
        <is>
          <t>BNDACT</t>
        </is>
      </c>
      <c r="F104" s="0">
        <f>F124*2</f>
        <v/>
      </c>
      <c r="G104" s="0">
        <f>G124*2</f>
        <v/>
      </c>
      <c r="H104" s="0">
        <f>H124*2</f>
        <v/>
      </c>
      <c r="I104" s="0">
        <f>I124*2</f>
        <v/>
      </c>
      <c r="J104" s="0">
        <f>J124*2</f>
        <v/>
      </c>
      <c r="K104" s="0">
        <f>K124*2</f>
        <v/>
      </c>
      <c r="L104" s="0">
        <f>L124*2</f>
        <v/>
      </c>
      <c r="M104" s="0">
        <f>M124*2</f>
        <v/>
      </c>
      <c r="N104" s="0">
        <f>N124*2</f>
        <v/>
      </c>
      <c r="O104" s="0">
        <f>O124*2</f>
        <v/>
      </c>
      <c r="P104" s="0">
        <f>P124*2</f>
        <v/>
      </c>
      <c r="Q104" s="0">
        <f>Q124*2</f>
        <v/>
      </c>
      <c r="R104" s="0">
        <f>R124*2</f>
        <v/>
      </c>
      <c r="S104" s="0">
        <f>S124*2</f>
        <v/>
      </c>
      <c r="T104" s="0">
        <f>T124*2</f>
        <v/>
      </c>
      <c r="U104" s="0">
        <f>U124*2</f>
        <v/>
      </c>
      <c r="V104" s="0">
        <f>V124*2</f>
        <v/>
      </c>
      <c r="W104" s="0">
        <f>W124*2</f>
        <v/>
      </c>
      <c r="X104" s="0">
        <f>X124*2</f>
        <v/>
      </c>
      <c r="Y104" s="0">
        <f>Y124*2</f>
        <v/>
      </c>
      <c r="Z104" s="0">
        <f>Z124*2</f>
        <v/>
      </c>
      <c r="AA104" s="0">
        <f>AA124*2</f>
        <v/>
      </c>
      <c r="AB104" s="0">
        <f>AB124*2</f>
        <v/>
      </c>
      <c r="AC104" s="0">
        <f>AC124*2</f>
        <v/>
      </c>
      <c r="AD104" s="0">
        <f>AD124*2</f>
        <v/>
      </c>
      <c r="AE104" s="0">
        <f>AE124*2</f>
        <v/>
      </c>
      <c r="AF104" s="0">
        <f>AF124*2</f>
        <v/>
      </c>
      <c r="AG104" s="0">
        <f>AG124*2</f>
        <v/>
      </c>
      <c r="AH104" s="0">
        <f>AH124*2</f>
        <v/>
      </c>
      <c r="AI104" s="0">
        <f>AI124*2</f>
        <v/>
      </c>
      <c r="AJ104" s="0">
        <f>AJ124*2</f>
        <v/>
      </c>
      <c r="AK104" s="0">
        <f>AK124*2</f>
        <v/>
      </c>
      <c r="AL104" s="0">
        <f>AL124*2</f>
        <v/>
      </c>
      <c r="AM104" s="0">
        <f>AM124*2</f>
        <v/>
      </c>
      <c r="AN104" s="0">
        <f>AN124*2</f>
        <v/>
      </c>
      <c r="AO104" s="0" t="inlineStr">
        <is>
          <t>2020, 2100</t>
        </is>
      </c>
    </row>
    <row r="105">
      <c r="C105" s="0" t="inlineStr">
        <is>
          <t>MINGrRSV2</t>
        </is>
      </c>
      <c r="D105" s="0" t="inlineStr">
        <is>
          <t>CUM</t>
        </is>
      </c>
      <c r="F105" s="0">
        <f>'attache--data--from'!D58</f>
        <v/>
      </c>
      <c r="G105" s="0">
        <f>'attache--data--from'!E58</f>
        <v/>
      </c>
      <c r="H105" s="0">
        <f>'attache--data--from'!F58</f>
        <v/>
      </c>
      <c r="I105" s="0">
        <f>'attache--data--from'!G58</f>
        <v/>
      </c>
      <c r="J105" s="0">
        <f>'attache--data--from'!H58</f>
        <v/>
      </c>
      <c r="K105" s="0">
        <f>'attache--data--from'!I58</f>
        <v/>
      </c>
      <c r="L105" s="0">
        <f>'attache--data--from'!J58</f>
        <v/>
      </c>
      <c r="M105" s="0">
        <f>'attache--data--from'!K58</f>
        <v/>
      </c>
      <c r="N105" s="0">
        <f>'attache--data--from'!L58</f>
        <v/>
      </c>
      <c r="O105" s="0">
        <f>'attache--data--from'!M58</f>
        <v/>
      </c>
      <c r="P105" s="0">
        <f>'attache--data--from'!N58</f>
        <v/>
      </c>
      <c r="Q105" s="0">
        <f>'attache--data--from'!O58</f>
        <v/>
      </c>
      <c r="R105" s="0">
        <f>'attache--data--from'!P58</f>
        <v/>
      </c>
      <c r="S105" s="0">
        <f>'attache--data--from'!Q58</f>
        <v/>
      </c>
      <c r="T105" s="0">
        <f>'attache--data--from'!R58</f>
        <v/>
      </c>
      <c r="U105" s="0">
        <f>'attache--data--from'!S58</f>
        <v/>
      </c>
      <c r="V105" s="0">
        <f>'attache--data--from'!T58</f>
        <v/>
      </c>
      <c r="W105" s="0">
        <f>'attache--data--from'!U58</f>
        <v/>
      </c>
      <c r="X105" s="0">
        <f>'attache--data--from'!V58</f>
        <v/>
      </c>
      <c r="Y105" s="0">
        <f>'attache--data--from'!W58</f>
        <v/>
      </c>
      <c r="Z105" s="0">
        <f>'attache--data--from'!X58</f>
        <v/>
      </c>
      <c r="AA105" s="0">
        <f>'attache--data--from'!Y58</f>
        <v/>
      </c>
      <c r="AB105" s="0">
        <f>'attache--data--from'!Z58</f>
        <v/>
      </c>
      <c r="AC105" s="0">
        <f>'attache--data--from'!AA58</f>
        <v/>
      </c>
      <c r="AD105" s="0">
        <f>'attache--data--from'!AB58</f>
        <v/>
      </c>
      <c r="AE105" s="0">
        <f>'attache--data--from'!AC58</f>
        <v/>
      </c>
      <c r="AF105" s="0">
        <f>'attache--data--from'!AD58</f>
        <v/>
      </c>
      <c r="AG105" s="0">
        <f>'attache--data--from'!AE58</f>
        <v/>
      </c>
      <c r="AH105" s="0">
        <f>'attache--data--from'!AF58</f>
        <v/>
      </c>
      <c r="AI105" s="0">
        <f>'attache--data--from'!AG58</f>
        <v/>
      </c>
      <c r="AJ105" s="0">
        <f>'attache--data--from'!AH58</f>
        <v/>
      </c>
      <c r="AK105" s="0">
        <f>'attache--data--from'!AI58</f>
        <v/>
      </c>
      <c r="AL105" s="0">
        <f>'attache--data--from'!AJ58</f>
        <v/>
      </c>
      <c r="AM105" s="0">
        <f>'attache--data--from'!AK58</f>
        <v/>
      </c>
      <c r="AN105" s="0">
        <f>'attache--data--from'!AL58</f>
        <v/>
      </c>
      <c r="AO105" s="0" t="inlineStr">
        <is>
          <t>2020, 2100</t>
        </is>
      </c>
    </row>
    <row r="106">
      <c r="C106" s="0" t="inlineStr">
        <is>
          <t>MINGrRSV2</t>
        </is>
      </c>
      <c r="D106" s="0" t="inlineStr">
        <is>
          <t>COST</t>
        </is>
      </c>
      <c r="E106" s="0" t="inlineStr">
        <is>
          <t>m_graphite</t>
        </is>
      </c>
      <c r="F106" s="0">
        <f>F103*3</f>
        <v/>
      </c>
      <c r="G106" s="0">
        <f>F106</f>
        <v/>
      </c>
      <c r="H106" s="0">
        <f>G106</f>
        <v/>
      </c>
      <c r="I106" s="0">
        <f>H106</f>
        <v/>
      </c>
      <c r="J106" s="0">
        <f>I106</f>
        <v/>
      </c>
      <c r="K106" s="0">
        <f>J106</f>
        <v/>
      </c>
      <c r="L106" s="0">
        <f>K106</f>
        <v/>
      </c>
      <c r="M106" s="0">
        <f>L106</f>
        <v/>
      </c>
      <c r="N106" s="0">
        <f>M106</f>
        <v/>
      </c>
      <c r="O106" s="0">
        <f>N106</f>
        <v/>
      </c>
      <c r="P106" s="0">
        <f>O106</f>
        <v/>
      </c>
      <c r="Q106" s="0">
        <f>P106</f>
        <v/>
      </c>
      <c r="R106" s="0">
        <f>Q106</f>
        <v/>
      </c>
      <c r="S106" s="0">
        <f>R106</f>
        <v/>
      </c>
      <c r="T106" s="0">
        <f>S106</f>
        <v/>
      </c>
      <c r="U106" s="0">
        <f>T106</f>
        <v/>
      </c>
      <c r="V106" s="0">
        <f>U106</f>
        <v/>
      </c>
      <c r="W106" s="0">
        <f>V106</f>
        <v/>
      </c>
      <c r="X106" s="0">
        <f>W106</f>
        <v/>
      </c>
      <c r="Y106" s="0">
        <f>X106</f>
        <v/>
      </c>
      <c r="Z106" s="0">
        <f>Y106</f>
        <v/>
      </c>
      <c r="AA106" s="0">
        <f>Z106</f>
        <v/>
      </c>
      <c r="AB106" s="0">
        <f>AA106</f>
        <v/>
      </c>
      <c r="AC106" s="0">
        <f>AB106</f>
        <v/>
      </c>
      <c r="AD106" s="0">
        <f>AC106</f>
        <v/>
      </c>
      <c r="AE106" s="0">
        <f>AD106</f>
        <v/>
      </c>
      <c r="AF106" s="0">
        <f>AE106</f>
        <v/>
      </c>
      <c r="AG106" s="0">
        <f>AF106</f>
        <v/>
      </c>
      <c r="AH106" s="0">
        <f>AG106</f>
        <v/>
      </c>
      <c r="AI106" s="0">
        <f>AH106</f>
        <v/>
      </c>
      <c r="AJ106" s="0">
        <f>AI106</f>
        <v/>
      </c>
      <c r="AK106" s="0">
        <f>AJ106</f>
        <v/>
      </c>
      <c r="AL106" s="0">
        <f>AK106</f>
        <v/>
      </c>
      <c r="AM106" s="0">
        <f>AL106</f>
        <v/>
      </c>
      <c r="AN106" s="0">
        <f>AM106</f>
        <v/>
      </c>
      <c r="AO106" s="0" t="inlineStr">
        <is>
          <t>2020, 2100</t>
        </is>
      </c>
    </row>
    <row r="107">
      <c r="C107" s="0" t="inlineStr">
        <is>
          <t>MINGrRSV3</t>
        </is>
      </c>
      <c r="D107" s="0" t="inlineStr">
        <is>
          <t>BNDACT</t>
        </is>
      </c>
      <c r="AO107" s="0" t="inlineStr">
        <is>
          <t>2020, 2100</t>
        </is>
      </c>
    </row>
    <row r="108">
      <c r="C108" s="0" t="inlineStr">
        <is>
          <t>MINGrRSV3</t>
        </is>
      </c>
      <c r="D108" s="0" t="inlineStr">
        <is>
          <t>CUM</t>
        </is>
      </c>
      <c r="F108" s="0">
        <f>'attache--data--from'!D59</f>
        <v/>
      </c>
      <c r="G108" s="0">
        <f>'attache--data--from'!E59</f>
        <v/>
      </c>
      <c r="H108" s="0">
        <f>'attache--data--from'!F59</f>
        <v/>
      </c>
      <c r="I108" s="0">
        <f>'attache--data--from'!G59</f>
        <v/>
      </c>
      <c r="J108" s="0">
        <f>'attache--data--from'!H59</f>
        <v/>
      </c>
      <c r="K108" s="0">
        <f>'attache--data--from'!I59</f>
        <v/>
      </c>
      <c r="L108" s="0">
        <f>'attache--data--from'!J59</f>
        <v/>
      </c>
      <c r="M108" s="0">
        <f>'attache--data--from'!K59</f>
        <v/>
      </c>
      <c r="N108" s="0">
        <f>'attache--data--from'!L59</f>
        <v/>
      </c>
      <c r="O108" s="0">
        <f>'attache--data--from'!M59</f>
        <v/>
      </c>
      <c r="P108" s="0">
        <f>'attache--data--from'!N59</f>
        <v/>
      </c>
      <c r="Q108" s="0">
        <f>'attache--data--from'!O59</f>
        <v/>
      </c>
      <c r="R108" s="0">
        <f>'attache--data--from'!P59</f>
        <v/>
      </c>
      <c r="S108" s="0">
        <f>'attache--data--from'!Q59</f>
        <v/>
      </c>
      <c r="T108" s="0">
        <f>'attache--data--from'!R59</f>
        <v/>
      </c>
      <c r="U108" s="0">
        <f>'attache--data--from'!S59</f>
        <v/>
      </c>
      <c r="V108" s="0">
        <f>'attache--data--from'!T59</f>
        <v/>
      </c>
      <c r="W108" s="0">
        <f>'attache--data--from'!U59</f>
        <v/>
      </c>
      <c r="X108" s="0">
        <f>'attache--data--from'!V59</f>
        <v/>
      </c>
      <c r="Y108" s="0">
        <f>'attache--data--from'!W59</f>
        <v/>
      </c>
      <c r="Z108" s="0">
        <f>'attache--data--from'!X59</f>
        <v/>
      </c>
      <c r="AA108" s="0">
        <f>'attache--data--from'!Y59</f>
        <v/>
      </c>
      <c r="AB108" s="0">
        <f>'attache--data--from'!Z59</f>
        <v/>
      </c>
      <c r="AC108" s="0">
        <f>'attache--data--from'!AA59</f>
        <v/>
      </c>
      <c r="AD108" s="0">
        <f>'attache--data--from'!AB59</f>
        <v/>
      </c>
      <c r="AE108" s="0">
        <f>'attache--data--from'!AC59</f>
        <v/>
      </c>
      <c r="AF108" s="0">
        <f>'attache--data--from'!AD59</f>
        <v/>
      </c>
      <c r="AG108" s="0">
        <f>'attache--data--from'!AE59</f>
        <v/>
      </c>
      <c r="AH108" s="0">
        <f>'attache--data--from'!AF59</f>
        <v/>
      </c>
      <c r="AI108" s="0">
        <f>'attache--data--from'!AG59</f>
        <v/>
      </c>
      <c r="AJ108" s="0">
        <f>'attache--data--from'!AH59</f>
        <v/>
      </c>
      <c r="AK108" s="0">
        <f>'attache--data--from'!AI59</f>
        <v/>
      </c>
      <c r="AL108" s="0">
        <f>'attache--data--from'!AJ59</f>
        <v/>
      </c>
      <c r="AM108" s="0">
        <f>'attache--data--from'!AK59</f>
        <v/>
      </c>
      <c r="AN108" s="0">
        <f>'attache--data--from'!AL59</f>
        <v/>
      </c>
      <c r="AO108" s="0" t="inlineStr">
        <is>
          <t>2020, 2100</t>
        </is>
      </c>
    </row>
    <row r="109">
      <c r="C109" s="0" t="inlineStr">
        <is>
          <t>MINGrRSV3</t>
        </is>
      </c>
      <c r="D109" s="0" t="inlineStr">
        <is>
          <t>COST</t>
        </is>
      </c>
      <c r="E109" s="0" t="inlineStr">
        <is>
          <t>m_graphite</t>
        </is>
      </c>
      <c r="F109" s="0">
        <f>F103*25</f>
        <v/>
      </c>
      <c r="G109" s="0">
        <f>F109</f>
        <v/>
      </c>
      <c r="H109" s="0">
        <f>G109</f>
        <v/>
      </c>
      <c r="I109" s="0">
        <f>H109</f>
        <v/>
      </c>
      <c r="J109" s="0">
        <f>I109</f>
        <v/>
      </c>
      <c r="K109" s="0">
        <f>J109</f>
        <v/>
      </c>
      <c r="L109" s="0">
        <f>K109</f>
        <v/>
      </c>
      <c r="M109" s="0">
        <f>L109</f>
        <v/>
      </c>
      <c r="N109" s="0">
        <f>M109</f>
        <v/>
      </c>
      <c r="O109" s="0">
        <f>N109</f>
        <v/>
      </c>
      <c r="P109" s="0">
        <f>O109</f>
        <v/>
      </c>
      <c r="Q109" s="0">
        <f>P109</f>
        <v/>
      </c>
      <c r="R109" s="0">
        <f>Q109</f>
        <v/>
      </c>
      <c r="S109" s="0">
        <f>R109</f>
        <v/>
      </c>
      <c r="T109" s="0">
        <f>S109</f>
        <v/>
      </c>
      <c r="U109" s="0">
        <f>T109</f>
        <v/>
      </c>
      <c r="V109" s="0">
        <f>U109</f>
        <v/>
      </c>
      <c r="W109" s="0">
        <f>V109</f>
        <v/>
      </c>
      <c r="X109" s="0">
        <f>W109</f>
        <v/>
      </c>
      <c r="Y109" s="0">
        <f>X109</f>
        <v/>
      </c>
      <c r="Z109" s="0">
        <f>Y109</f>
        <v/>
      </c>
      <c r="AA109" s="0">
        <f>Z109</f>
        <v/>
      </c>
      <c r="AB109" s="0">
        <f>AA109</f>
        <v/>
      </c>
      <c r="AC109" s="0">
        <f>AB109</f>
        <v/>
      </c>
      <c r="AD109" s="0">
        <f>AC109</f>
        <v/>
      </c>
      <c r="AE109" s="0">
        <f>AD109</f>
        <v/>
      </c>
      <c r="AF109" s="0">
        <f>AE109</f>
        <v/>
      </c>
      <c r="AG109" s="0">
        <f>AF109</f>
        <v/>
      </c>
      <c r="AH109" s="0">
        <f>AG109</f>
        <v/>
      </c>
      <c r="AI109" s="0">
        <f>AH109</f>
        <v/>
      </c>
      <c r="AJ109" s="0">
        <f>AI109</f>
        <v/>
      </c>
      <c r="AK109" s="0">
        <f>AJ109</f>
        <v/>
      </c>
      <c r="AL109" s="0">
        <f>AK109</f>
        <v/>
      </c>
      <c r="AM109" s="0">
        <f>AL109</f>
        <v/>
      </c>
      <c r="AN109" s="0">
        <f>AM109</f>
        <v/>
      </c>
      <c r="AO109" s="0" t="inlineStr">
        <is>
          <t>2020, 2100</t>
        </is>
      </c>
    </row>
    <row r="117">
      <c r="C117" s="0" t="inlineStr">
        <is>
          <t>Observed activity in 2024*our study scope</t>
        </is>
      </c>
      <c r="E117" s="33" t="inlineStr">
        <is>
          <t>process</t>
        </is>
      </c>
      <c r="F117" s="33" t="inlineStr">
        <is>
          <t>Africa_North</t>
        </is>
      </c>
      <c r="G117" s="33" t="inlineStr">
        <is>
          <t>Africa_Other</t>
        </is>
      </c>
      <c r="H117" s="33" t="inlineStr">
        <is>
          <t>Australia</t>
        </is>
      </c>
      <c r="I117" s="33" t="inlineStr">
        <is>
          <t>Austria</t>
        </is>
      </c>
      <c r="J117" s="33" t="inlineStr">
        <is>
          <t>Baltics</t>
        </is>
      </c>
      <c r="K117" s="33" t="inlineStr">
        <is>
          <t>BeNeLux</t>
        </is>
      </c>
      <c r="L117" s="33" t="inlineStr">
        <is>
          <t>Brazil</t>
        </is>
      </c>
      <c r="M117" s="33" t="inlineStr">
        <is>
          <t>China</t>
        </is>
      </c>
      <c r="N117" s="33" t="inlineStr">
        <is>
          <t>CroSloven</t>
        </is>
      </c>
      <c r="O117" s="33" t="inlineStr">
        <is>
          <t>CzechSlovak</t>
        </is>
      </c>
      <c r="P117" s="33" t="inlineStr">
        <is>
          <t>France</t>
        </is>
      </c>
      <c r="Q117" s="33" t="inlineStr">
        <is>
          <t>Germany</t>
        </is>
      </c>
      <c r="R117" s="33" t="inlineStr">
        <is>
          <t>GreeceCyp</t>
        </is>
      </c>
      <c r="S117" s="33" t="inlineStr">
        <is>
          <t>HunRomBul</t>
        </is>
      </c>
      <c r="T117" s="33" t="inlineStr">
        <is>
          <t>Iceland</t>
        </is>
      </c>
      <c r="U117" s="33" t="inlineStr">
        <is>
          <t>India</t>
        </is>
      </c>
      <c r="V117" s="33" t="inlineStr">
        <is>
          <t>Ireland</t>
        </is>
      </c>
      <c r="W117" s="33" t="inlineStr">
        <is>
          <t>ItalyMal</t>
        </is>
      </c>
      <c r="X117" s="33" t="inlineStr">
        <is>
          <t>Japan</t>
        </is>
      </c>
      <c r="Y117" s="33" t="inlineStr">
        <is>
          <t>LatAm</t>
        </is>
      </c>
      <c r="Z117" s="33" t="inlineStr">
        <is>
          <t>MidEast</t>
        </is>
      </c>
      <c r="AA117" s="33" t="inlineStr">
        <is>
          <t>NorthAm</t>
        </is>
      </c>
      <c r="AB117" s="33" t="inlineStr">
        <is>
          <t>Norway</t>
        </is>
      </c>
      <c r="AC117" s="33" t="inlineStr">
        <is>
          <t>Poland</t>
        </is>
      </c>
      <c r="AD117" s="33" t="inlineStr">
        <is>
          <t>ROW</t>
        </is>
      </c>
      <c r="AE117" s="33" t="inlineStr">
        <is>
          <t>Russia</t>
        </is>
      </c>
      <c r="AF117" s="33" t="inlineStr">
        <is>
          <t>SaudiArabia</t>
        </is>
      </c>
      <c r="AG117" s="33" t="inlineStr">
        <is>
          <t>SouthAfrica</t>
        </is>
      </c>
      <c r="AH117" s="33" t="inlineStr">
        <is>
          <t>SpainPor</t>
        </is>
      </c>
      <c r="AI117" s="33" t="inlineStr">
        <is>
          <t>SweFinDen</t>
        </is>
      </c>
      <c r="AJ117" s="33" t="inlineStr">
        <is>
          <t>Switzerland</t>
        </is>
      </c>
      <c r="AK117" s="33" t="inlineStr">
        <is>
          <t>Turkey</t>
        </is>
      </c>
      <c r="AL117" s="33" t="inlineStr">
        <is>
          <t>UK</t>
        </is>
      </c>
      <c r="AM117" s="33" t="inlineStr">
        <is>
          <t>Ukraine</t>
        </is>
      </c>
      <c r="AN117" s="34" t="inlineStr">
        <is>
          <t>WestBalkans</t>
        </is>
      </c>
    </row>
    <row r="118">
      <c r="E118" s="33" t="inlineStr">
        <is>
          <t>MINBatMaterials_LI</t>
        </is>
      </c>
      <c r="F118" s="33" t="n">
        <v>0</v>
      </c>
      <c r="G118" s="33" t="n">
        <v>21.489</v>
      </c>
      <c r="H118" s="33" t="n">
        <v>76.56</v>
      </c>
      <c r="I118" s="33" t="n">
        <v>0</v>
      </c>
      <c r="J118" s="33" t="n">
        <v>0</v>
      </c>
      <c r="K118" s="33" t="n">
        <v>0</v>
      </c>
      <c r="L118" s="33" t="n">
        <v>8.699999999999999</v>
      </c>
      <c r="M118" s="33" t="n">
        <v>35.67</v>
      </c>
      <c r="N118" s="33" t="n">
        <v>0</v>
      </c>
      <c r="O118" s="33" t="n">
        <v>0</v>
      </c>
      <c r="P118" s="33" t="n">
        <v>0</v>
      </c>
      <c r="Q118" s="33" t="n">
        <v>0</v>
      </c>
      <c r="R118" s="33" t="n">
        <v>0</v>
      </c>
      <c r="S118" s="33" t="n">
        <v>0</v>
      </c>
      <c r="T118" s="33" t="n">
        <v>0</v>
      </c>
      <c r="U118" s="33" t="n">
        <v>0</v>
      </c>
      <c r="V118" s="33" t="n">
        <v>0</v>
      </c>
      <c r="W118" s="33" t="n">
        <v>0</v>
      </c>
      <c r="X118" s="33" t="n">
        <v>0</v>
      </c>
      <c r="Y118" s="33" t="n">
        <v>58.29</v>
      </c>
      <c r="Z118" s="33" t="n">
        <v>0</v>
      </c>
      <c r="AA118" s="33" t="n">
        <v>3.741</v>
      </c>
      <c r="AB118" s="33" t="n">
        <v>0</v>
      </c>
      <c r="AC118" s="33" t="n">
        <v>0</v>
      </c>
      <c r="AD118" s="33" t="n">
        <v>4.002</v>
      </c>
      <c r="AE118" s="33" t="n">
        <v>0</v>
      </c>
      <c r="AF118" s="33" t="n">
        <v>0</v>
      </c>
      <c r="AG118" s="33" t="n">
        <v>0</v>
      </c>
      <c r="AH118" s="33" t="n">
        <v>0.348</v>
      </c>
      <c r="AI118" s="33" t="n">
        <v>0</v>
      </c>
      <c r="AJ118" s="33" t="n">
        <v>0</v>
      </c>
      <c r="AK118" s="33" t="n">
        <v>0</v>
      </c>
      <c r="AL118" s="33" t="n">
        <v>0</v>
      </c>
      <c r="AM118" s="33" t="n">
        <v>0</v>
      </c>
      <c r="AN118" s="33" t="n">
        <v>0</v>
      </c>
    </row>
    <row r="119">
      <c r="C119" s="0" t="inlineStr">
        <is>
          <t>From transport-trans file</t>
        </is>
      </c>
      <c r="E119" s="33" t="inlineStr">
        <is>
          <t>MINBatMaterials_NI</t>
        </is>
      </c>
      <c r="F119" s="33" t="n">
        <v>0</v>
      </c>
      <c r="G119" s="33" t="n">
        <v>0</v>
      </c>
      <c r="H119" s="33" t="n">
        <v>16.5</v>
      </c>
      <c r="I119" s="33" t="n">
        <v>0</v>
      </c>
      <c r="J119" s="33" t="n">
        <v>0</v>
      </c>
      <c r="K119" s="33" t="n">
        <v>0</v>
      </c>
      <c r="L119" s="33" t="n">
        <v>11.55</v>
      </c>
      <c r="M119" s="33" t="n">
        <v>18</v>
      </c>
      <c r="N119" s="33" t="n">
        <v>0</v>
      </c>
      <c r="O119" s="33" t="n">
        <v>0</v>
      </c>
      <c r="P119" s="33" t="n">
        <v>0</v>
      </c>
      <c r="Q119" s="33" t="n">
        <v>0</v>
      </c>
      <c r="R119" s="33" t="n">
        <v>0</v>
      </c>
      <c r="S119" s="33" t="n">
        <v>0</v>
      </c>
      <c r="T119" s="33" t="n">
        <v>0</v>
      </c>
      <c r="U119" s="33" t="n">
        <v>0</v>
      </c>
      <c r="V119" s="33" t="n">
        <v>0</v>
      </c>
      <c r="W119" s="33" t="n">
        <v>0</v>
      </c>
      <c r="X119" s="33" t="n">
        <v>0</v>
      </c>
      <c r="Y119" s="33" t="n">
        <v>0</v>
      </c>
      <c r="Z119" s="33" t="n">
        <v>0</v>
      </c>
      <c r="AA119" s="33" t="n">
        <v>29.7</v>
      </c>
      <c r="AB119" s="33" t="n">
        <v>0</v>
      </c>
      <c r="AC119" s="33" t="n">
        <v>0</v>
      </c>
      <c r="AD119" s="33" t="n">
        <v>447.75</v>
      </c>
      <c r="AE119" s="33" t="n">
        <v>31.5</v>
      </c>
      <c r="AF119" s="33" t="n">
        <v>0</v>
      </c>
      <c r="AG119" s="33" t="n">
        <v>0</v>
      </c>
      <c r="AH119" s="33" t="n">
        <v>0</v>
      </c>
      <c r="AI119" s="33" t="n">
        <v>0</v>
      </c>
      <c r="AJ119" s="33" t="n">
        <v>0</v>
      </c>
      <c r="AK119" s="33" t="n">
        <v>0</v>
      </c>
      <c r="AL119" s="33" t="n">
        <v>0</v>
      </c>
      <c r="AM119" s="33" t="n">
        <v>0</v>
      </c>
      <c r="AN119" s="33" t="n">
        <v>0</v>
      </c>
    </row>
    <row r="120">
      <c r="E120" s="33" t="inlineStr">
        <is>
          <t>MINBatMaterials_COB</t>
        </is>
      </c>
      <c r="F120" s="33" t="n">
        <v>0</v>
      </c>
      <c r="G120" s="33" t="n">
        <v>169.176</v>
      </c>
      <c r="H120" s="33" t="n">
        <v>2.736</v>
      </c>
      <c r="I120" s="33" t="n">
        <v>0</v>
      </c>
      <c r="J120" s="33" t="n">
        <v>0</v>
      </c>
      <c r="K120" s="33" t="n">
        <v>0</v>
      </c>
      <c r="L120" s="33" t="n">
        <v>0</v>
      </c>
      <c r="M120" s="33" t="n">
        <v>0</v>
      </c>
      <c r="N120" s="33" t="n">
        <v>0</v>
      </c>
      <c r="O120" s="33" t="n">
        <v>0</v>
      </c>
      <c r="P120" s="33" t="n">
        <v>0</v>
      </c>
      <c r="Q120" s="33" t="n">
        <v>0</v>
      </c>
      <c r="R120" s="33" t="n">
        <v>0</v>
      </c>
      <c r="S120" s="33" t="n">
        <v>0</v>
      </c>
      <c r="T120" s="33" t="n">
        <v>0</v>
      </c>
      <c r="U120" s="33" t="n">
        <v>0</v>
      </c>
      <c r="V120" s="33" t="n">
        <v>0</v>
      </c>
      <c r="W120" s="33" t="n">
        <v>0</v>
      </c>
      <c r="X120" s="33" t="n">
        <v>0</v>
      </c>
      <c r="Y120" s="33" t="n">
        <v>2.66</v>
      </c>
      <c r="Z120" s="33" t="n">
        <v>0</v>
      </c>
      <c r="AA120" s="33" t="n">
        <v>3.648</v>
      </c>
      <c r="AB120" s="33" t="n">
        <v>0</v>
      </c>
      <c r="AC120" s="33" t="n">
        <v>0</v>
      </c>
      <c r="AD120" s="33" t="n">
        <v>33.288</v>
      </c>
      <c r="AE120" s="33" t="n">
        <v>6.612</v>
      </c>
      <c r="AF120" s="33" t="n">
        <v>0</v>
      </c>
      <c r="AG120" s="33" t="n">
        <v>0</v>
      </c>
      <c r="AH120" s="33" t="n">
        <v>0</v>
      </c>
      <c r="AI120" s="33" t="n">
        <v>0</v>
      </c>
      <c r="AJ120" s="33" t="n">
        <v>0</v>
      </c>
      <c r="AK120" s="33" t="n">
        <v>2.052</v>
      </c>
      <c r="AL120" s="33" t="n">
        <v>0</v>
      </c>
      <c r="AM120" s="33" t="n">
        <v>0</v>
      </c>
      <c r="AN120" s="33" t="n">
        <v>0</v>
      </c>
    </row>
    <row r="121">
      <c r="C121" s="0" t="inlineStr">
        <is>
          <t>Used for BNDACT</t>
        </is>
      </c>
      <c r="E121" s="33" t="inlineStr">
        <is>
          <t>MINBatMaterials_MN</t>
        </is>
      </c>
      <c r="F121" s="33" t="n">
        <v>0</v>
      </c>
      <c r="G121" s="33" t="n">
        <v>57.8</v>
      </c>
      <c r="H121" s="33" t="n">
        <v>28</v>
      </c>
      <c r="I121" s="33" t="n">
        <v>0</v>
      </c>
      <c r="J121" s="33" t="n">
        <v>0</v>
      </c>
      <c r="K121" s="33" t="n">
        <v>0</v>
      </c>
      <c r="L121" s="33" t="n">
        <v>5.9</v>
      </c>
      <c r="M121" s="33" t="n">
        <v>7.7</v>
      </c>
      <c r="N121" s="33" t="n">
        <v>0</v>
      </c>
      <c r="O121" s="33" t="n">
        <v>0</v>
      </c>
      <c r="P121" s="33" t="n">
        <v>0</v>
      </c>
      <c r="Q121" s="33" t="n">
        <v>0</v>
      </c>
      <c r="R121" s="33" t="n">
        <v>0</v>
      </c>
      <c r="S121" s="33" t="n">
        <v>0</v>
      </c>
      <c r="T121" s="33" t="n">
        <v>0</v>
      </c>
      <c r="U121" s="33" t="n">
        <v>8</v>
      </c>
      <c r="V121" s="33" t="n">
        <v>0</v>
      </c>
      <c r="W121" s="33" t="n">
        <v>0</v>
      </c>
      <c r="X121" s="33" t="n">
        <v>0</v>
      </c>
      <c r="Y121" s="33" t="n">
        <v>0</v>
      </c>
      <c r="Z121" s="33" t="n">
        <v>0</v>
      </c>
      <c r="AA121" s="33" t="n">
        <v>0</v>
      </c>
      <c r="AB121" s="33" t="n">
        <v>0</v>
      </c>
      <c r="AC121" s="33" t="n">
        <v>0</v>
      </c>
      <c r="AD121" s="33" t="n">
        <v>20.6</v>
      </c>
      <c r="AE121" s="33" t="n">
        <v>0</v>
      </c>
      <c r="AF121" s="33" t="n">
        <v>0</v>
      </c>
      <c r="AG121" s="33" t="n">
        <v>74</v>
      </c>
      <c r="AH121" s="33" t="n">
        <v>0</v>
      </c>
      <c r="AI121" s="33" t="n">
        <v>0</v>
      </c>
      <c r="AJ121" s="33" t="n">
        <v>0</v>
      </c>
      <c r="AK121" s="33" t="n">
        <v>0</v>
      </c>
      <c r="AL121" s="33" t="n">
        <v>0</v>
      </c>
      <c r="AM121" s="33" t="n">
        <v>0</v>
      </c>
      <c r="AN121" s="33" t="n">
        <v>0</v>
      </c>
    </row>
    <row r="122">
      <c r="E122" s="33" t="inlineStr">
        <is>
          <t>MINBatMaterials_AL</t>
        </is>
      </c>
      <c r="F122" s="33" t="n">
        <v>0</v>
      </c>
      <c r="G122" s="33" t="n">
        <v>3.18</v>
      </c>
      <c r="H122" s="33" t="n">
        <v>190.44</v>
      </c>
      <c r="I122" s="33" t="n">
        <v>0</v>
      </c>
      <c r="J122" s="33" t="n">
        <v>0</v>
      </c>
      <c r="K122" s="33" t="n">
        <v>0</v>
      </c>
      <c r="L122" s="33" t="n">
        <v>116.38</v>
      </c>
      <c r="M122" s="33" t="n">
        <v>888.72</v>
      </c>
      <c r="N122" s="33" t="n">
        <v>0</v>
      </c>
      <c r="O122" s="33" t="n">
        <v>0</v>
      </c>
      <c r="P122" s="33" t="n">
        <v>0</v>
      </c>
      <c r="Q122" s="33" t="n">
        <v>10.16</v>
      </c>
      <c r="R122" s="33" t="n">
        <v>9.1</v>
      </c>
      <c r="S122" s="33" t="n">
        <v>0</v>
      </c>
      <c r="T122" s="33" t="n">
        <v>0</v>
      </c>
      <c r="U122" s="33" t="n">
        <v>80.40000000000001</v>
      </c>
      <c r="V122" s="33" t="n">
        <v>16.92</v>
      </c>
      <c r="W122" s="33" t="n">
        <v>0</v>
      </c>
      <c r="X122" s="33" t="n">
        <v>0</v>
      </c>
      <c r="Y122" s="33" t="n">
        <v>0</v>
      </c>
      <c r="Z122" s="33" t="n">
        <v>25.4</v>
      </c>
      <c r="AA122" s="33" t="n">
        <v>23.5</v>
      </c>
      <c r="AB122" s="33" t="n">
        <v>0</v>
      </c>
      <c r="AC122" s="33" t="n">
        <v>0</v>
      </c>
      <c r="AD122" s="33" t="n">
        <v>60.3</v>
      </c>
      <c r="AE122" s="33" t="n">
        <v>30.68</v>
      </c>
      <c r="AF122" s="33" t="n">
        <v>19.04</v>
      </c>
      <c r="AG122" s="33" t="n">
        <v>0</v>
      </c>
      <c r="AH122" s="33" t="n">
        <v>8.68</v>
      </c>
      <c r="AI122" s="33" t="n">
        <v>0</v>
      </c>
      <c r="AJ122" s="33" t="n">
        <v>0</v>
      </c>
      <c r="AK122" s="33" t="n">
        <v>3.38</v>
      </c>
      <c r="AL122" s="33" t="n">
        <v>0</v>
      </c>
      <c r="AM122" s="33" t="n">
        <v>0</v>
      </c>
      <c r="AN122" s="33" t="n">
        <v>0</v>
      </c>
    </row>
    <row r="123">
      <c r="E123" s="33" t="inlineStr">
        <is>
          <t>MINBatMaterials_COP</t>
        </is>
      </c>
      <c r="F123" s="33" t="n">
        <v>0</v>
      </c>
      <c r="G123" s="33" t="n">
        <v>99.5</v>
      </c>
      <c r="H123" s="33" t="n">
        <v>20</v>
      </c>
      <c r="I123" s="33" t="n">
        <v>0</v>
      </c>
      <c r="J123" s="33" t="n">
        <v>0</v>
      </c>
      <c r="K123" s="33" t="n">
        <v>0</v>
      </c>
      <c r="L123" s="33" t="n">
        <v>0</v>
      </c>
      <c r="M123" s="33" t="n">
        <v>45</v>
      </c>
      <c r="N123" s="33" t="n">
        <v>0</v>
      </c>
      <c r="O123" s="33" t="n">
        <v>0</v>
      </c>
      <c r="P123" s="33" t="n">
        <v>0</v>
      </c>
      <c r="Q123" s="33" t="n">
        <v>0</v>
      </c>
      <c r="R123" s="33" t="n">
        <v>0</v>
      </c>
      <c r="S123" s="33" t="n">
        <v>0</v>
      </c>
      <c r="T123" s="33" t="n">
        <v>0</v>
      </c>
      <c r="U123" s="33" t="n">
        <v>0.75</v>
      </c>
      <c r="V123" s="33" t="n">
        <v>0</v>
      </c>
      <c r="W123" s="33" t="n">
        <v>0</v>
      </c>
      <c r="X123" s="33" t="n">
        <v>0</v>
      </c>
      <c r="Y123" s="33" t="n">
        <v>197.5</v>
      </c>
      <c r="Z123" s="33" t="n">
        <v>0</v>
      </c>
      <c r="AA123" s="33" t="n">
        <v>56.25</v>
      </c>
      <c r="AB123" s="33" t="n">
        <v>0</v>
      </c>
      <c r="AC123" s="33" t="n">
        <v>10.25</v>
      </c>
      <c r="AD123" s="33" t="n">
        <v>117.5</v>
      </c>
      <c r="AE123" s="33" t="n">
        <v>23.25</v>
      </c>
      <c r="AF123" s="33" t="n">
        <v>0</v>
      </c>
      <c r="AG123" s="33" t="n">
        <v>0</v>
      </c>
      <c r="AH123" s="33" t="n">
        <v>0</v>
      </c>
      <c r="AI123" s="33" t="n">
        <v>0</v>
      </c>
      <c r="AJ123" s="33" t="n">
        <v>0</v>
      </c>
      <c r="AK123" s="33" t="n">
        <v>0</v>
      </c>
      <c r="AL123" s="33" t="n">
        <v>0</v>
      </c>
      <c r="AM123" s="33" t="n">
        <v>0</v>
      </c>
      <c r="AN123" s="33" t="n">
        <v>0</v>
      </c>
    </row>
    <row r="124">
      <c r="E124" s="33" t="inlineStr">
        <is>
          <t>MINBatMaterials_GR</t>
        </is>
      </c>
      <c r="F124" s="33" t="n">
        <v>0</v>
      </c>
      <c r="G124" s="33" t="n">
        <v>170.1</v>
      </c>
      <c r="H124" s="33" t="n">
        <v>0</v>
      </c>
      <c r="I124" s="33" t="n">
        <v>0.45</v>
      </c>
      <c r="J124" s="33" t="n">
        <v>0</v>
      </c>
      <c r="K124" s="33" t="n">
        <v>0</v>
      </c>
      <c r="L124" s="33" t="n">
        <v>61.2</v>
      </c>
      <c r="M124" s="33" t="n">
        <v>1143</v>
      </c>
      <c r="N124" s="33" t="n">
        <v>0</v>
      </c>
      <c r="O124" s="33" t="n">
        <v>0</v>
      </c>
      <c r="P124" s="33" t="n">
        <v>0</v>
      </c>
      <c r="Q124" s="33" t="n">
        <v>0.18</v>
      </c>
      <c r="R124" s="33" t="n">
        <v>0</v>
      </c>
      <c r="S124" s="33" t="n">
        <v>0</v>
      </c>
      <c r="T124" s="33" t="n">
        <v>0</v>
      </c>
      <c r="U124" s="33" t="n">
        <v>25.2</v>
      </c>
      <c r="V124" s="33" t="n">
        <v>0</v>
      </c>
      <c r="W124" s="33" t="n">
        <v>0</v>
      </c>
      <c r="X124" s="33" t="n">
        <v>0</v>
      </c>
      <c r="Y124" s="33" t="n">
        <v>0</v>
      </c>
      <c r="Z124" s="33" t="n">
        <v>0</v>
      </c>
      <c r="AA124" s="33" t="n">
        <v>18.81</v>
      </c>
      <c r="AB124" s="33" t="n">
        <v>6.3</v>
      </c>
      <c r="AC124" s="33" t="n">
        <v>0</v>
      </c>
      <c r="AD124" s="33" t="n">
        <v>20.61</v>
      </c>
      <c r="AE124" s="33" t="n">
        <v>18</v>
      </c>
      <c r="AF124" s="33" t="n">
        <v>0</v>
      </c>
      <c r="AG124" s="33" t="n">
        <v>0</v>
      </c>
      <c r="AH124" s="33" t="n">
        <v>0</v>
      </c>
      <c r="AI124" s="33" t="n">
        <v>0</v>
      </c>
      <c r="AJ124" s="33" t="n">
        <v>0</v>
      </c>
      <c r="AK124" s="33" t="n">
        <v>2.7</v>
      </c>
      <c r="AL124" s="33" t="n">
        <v>0</v>
      </c>
      <c r="AM124" s="33" t="n">
        <v>1.08</v>
      </c>
      <c r="AN124" s="33" t="n">
        <v>0</v>
      </c>
    </row>
    <row r="128">
      <c r="C128" s="0" t="inlineStr">
        <is>
          <t>USGS economic reserve scope tobattery data in attach..</t>
        </is>
      </c>
    </row>
    <row r="130">
      <c r="C130" s="0" t="inlineStr">
        <is>
          <t>this used for CUM</t>
        </is>
      </c>
    </row>
    <row r="141">
      <c r="C141" s="0" t="inlineStr">
        <is>
          <t>Cost is *1, *2, *4; baseline from Amit original set shadow price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80"/>
  <sheetViews>
    <sheetView topLeftCell="A11" zoomScale="51" zoomScaleNormal="51" workbookViewId="0">
      <selection activeCell="I19" sqref="I19"/>
    </sheetView>
  </sheetViews>
  <sheetFormatPr baseColWidth="8" defaultColWidth="8.72727272727273" defaultRowHeight="14.5"/>
  <cols>
    <col width="114.090909090909" customWidth="1" style="28" min="1" max="1"/>
    <col width="9.63636363636364" customWidth="1" style="28" min="5" max="6"/>
    <col width="9.63636363636364" customWidth="1" style="28" min="11" max="11"/>
    <col width="9.63636363636364" customWidth="1" style="28" min="23" max="23"/>
    <col width="9.63636363636364" customWidth="1" style="28" min="25" max="25"/>
    <col width="9.63636363636364" customWidth="1" style="28" min="28" max="28"/>
    <col width="9.63636363636364" customWidth="1" style="28" min="31" max="31"/>
  </cols>
  <sheetData>
    <row r="1" ht="18" customHeight="1" s="28">
      <c r="A1" s="1" t="inlineStr">
        <is>
          <t>Cumulative extraction limits (CUM) from USGS economically recoverable reserves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>
      <c r="A2" s="3" t="inlineStr">
        <is>
          <t>CUM = reserves x conversion to kt x battery share x step multiplier. All values kt of contained metal.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</row>
    <row r="4">
      <c r="A4" s="4" t="inlineStr">
        <is>
          <t>THREE ISSUES FOUND IN THE SUPPLIED RESERVES TABLE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</row>
    <row r="5">
      <c r="A5" s="5" t="inlineStr">
        <is>
          <t>1. UNIT INCONSISTENCY. Mn (1,700) and Cu (980) are in Mt; Li, Co, Ni and graphite are in kt. Left uncorrected these two would be 1,000x too small. A conversion factor is applied below - check it matches your source.</t>
        </is>
      </c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</row>
    <row r="6">
      <c r="A6" s="5" t="inlineStr">
        <is>
          <t>2. ROW IS MISSING and takes the residual. Regional entries sum to less than the world total for every material: Ni 57.5% short, Cu 22.8%, Co 18.8%, Li 9.2%, graphite 8.9%. For nickel this is almost entirely Indonesia, the largest holder, which sits in your ROW region. The residual is assigned to ROW below.</t>
        </is>
      </c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</row>
    <row r="7">
      <c r="A7" s="5" t="inlineStr">
        <is>
          <t>3. MANGANESE OVERSHOOTS. Listed regions sum to 1,718 Mt against a world total of 1,700 Mt (-1.1%). Small, but it means the regional and world figures come from different vintages. ROW residual is floored at zero.</t>
        </is>
      </c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</row>
    <row r="8">
      <c r="A8" s="5" t="inlineStr">
        <is>
          <t>ALSO: Brazil has no row despite holding significant graphite, manganese and nickel reserves - confirm whether it was folded into LatAm. Aluminium is absent entirely; bauxite reserves must be added separately if m_aluminum is to be constrained.</t>
        </is>
      </c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</row>
    <row r="10">
      <c r="A10" s="6" t="inlineStr">
        <is>
          <t>1.  MATERIAL PARAMETERS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  <c r="AM10" s="2" t="n"/>
      <c r="AN10" s="2" t="n"/>
    </row>
    <row r="11" ht="46" customHeight="1" s="28">
      <c r="A11" s="7" t="inlineStr">
        <is>
          <t>Material</t>
        </is>
      </c>
      <c r="B11" s="7" t="inlineStr">
        <is>
          <t>Commodity</t>
        </is>
      </c>
      <c r="C11" s="7" t="inlineStr">
        <is>
          <t>Prefix</t>
        </is>
      </c>
      <c r="D11" s="7" t="inlineStr">
        <is>
          <t>World reserves
(as supplied)</t>
        </is>
      </c>
      <c r="E11" s="7" t="inlineStr">
        <is>
          <t>Unit
supplied</t>
        </is>
      </c>
      <c r="F11" s="7" t="inlineStr">
        <is>
          <t>Factor to kt</t>
        </is>
      </c>
      <c r="G11" s="7" t="inlineStr">
        <is>
          <t>World reserves
(kt)</t>
        </is>
      </c>
      <c r="H11" s="7" t="inlineStr">
        <is>
          <t>Battery share</t>
        </is>
      </c>
      <c r="I11" s="7" t="inlineStr">
        <is>
          <t>RSV2 multiplier
(resources)</t>
        </is>
      </c>
      <c r="J11" s="7" t="inlineStr">
        <is>
          <t>RSV3 multiplier
(speculative)</t>
        </is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</row>
    <row r="12">
      <c r="A12" s="8" t="inlineStr">
        <is>
          <t>Li</t>
        </is>
      </c>
      <c r="B12" s="9" t="inlineStr">
        <is>
          <t>m_lithium</t>
        </is>
      </c>
      <c r="C12" s="9" t="inlineStr">
        <is>
          <t>MINLi</t>
        </is>
      </c>
      <c r="D12" s="36" t="n">
        <v>30000</v>
      </c>
      <c r="E12" s="9" t="inlineStr">
        <is>
          <t>kt</t>
        </is>
      </c>
      <c r="F12" s="11" t="n">
        <v>0.7</v>
      </c>
      <c r="G12" s="12">
        <f>D12*F12</f>
        <v/>
      </c>
      <c r="H12" s="37" t="n">
        <v>0.87</v>
      </c>
      <c r="I12" s="14" t="n">
        <v>1</v>
      </c>
      <c r="J12" s="14" t="n">
        <v>10</v>
      </c>
      <c r="K12" s="2" t="n"/>
      <c r="L12" s="2" t="n"/>
      <c r="M12" s="15" t="n">
        <v>2</v>
      </c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2" t="n"/>
      <c r="AM12" s="2" t="n"/>
      <c r="AN12" s="2" t="n"/>
    </row>
    <row r="13">
      <c r="A13" s="16" t="inlineStr">
        <is>
          <t>Co</t>
        </is>
      </c>
      <c r="B13" s="17" t="inlineStr">
        <is>
          <t>m_cobalt</t>
        </is>
      </c>
      <c r="C13" s="17" t="inlineStr">
        <is>
          <t>MINCo</t>
        </is>
      </c>
      <c r="D13" s="38" t="n">
        <v>11000</v>
      </c>
      <c r="E13" s="17" t="inlineStr">
        <is>
          <t>kt</t>
        </is>
      </c>
      <c r="F13" s="11" t="n">
        <v>0.7</v>
      </c>
      <c r="G13" s="19">
        <f>D13*F13</f>
        <v/>
      </c>
      <c r="H13" s="37" t="n">
        <v>0.759</v>
      </c>
      <c r="I13" s="14" t="n">
        <v>1</v>
      </c>
      <c r="J13" s="14" t="n">
        <v>10</v>
      </c>
      <c r="K13" s="2" t="n"/>
      <c r="L13" s="2" t="n"/>
      <c r="M13" s="15" t="n">
        <v>1.8</v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</row>
    <row r="14">
      <c r="A14" s="8" t="inlineStr">
        <is>
          <t>Ni</t>
        </is>
      </c>
      <c r="B14" s="9" t="inlineStr">
        <is>
          <t>m_nickel</t>
        </is>
      </c>
      <c r="C14" s="9" t="inlineStr">
        <is>
          <t>MINNi</t>
        </is>
      </c>
      <c r="D14" s="36" t="n">
        <v>130000</v>
      </c>
      <c r="E14" s="9" t="inlineStr">
        <is>
          <t>kt</t>
        </is>
      </c>
      <c r="F14" s="11" t="n">
        <v>0.7</v>
      </c>
      <c r="G14" s="12">
        <f>D14*F14</f>
        <v/>
      </c>
      <c r="H14" s="37" t="n">
        <v>0.154</v>
      </c>
      <c r="I14" s="14" t="n">
        <v>1</v>
      </c>
      <c r="J14" s="14" t="n">
        <v>10</v>
      </c>
      <c r="K14" s="2" t="n"/>
      <c r="L14" s="2" t="n"/>
      <c r="M14" s="15" t="n">
        <v>1.8</v>
      </c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</row>
    <row r="15">
      <c r="A15" s="16" t="inlineStr">
        <is>
          <t>Mn</t>
        </is>
      </c>
      <c r="B15" s="17" t="inlineStr">
        <is>
          <t>m_manganese</t>
        </is>
      </c>
      <c r="C15" s="17" t="inlineStr">
        <is>
          <t>MINMn</t>
        </is>
      </c>
      <c r="D15" s="38" t="n">
        <v>1700</v>
      </c>
      <c r="E15" s="17" t="inlineStr">
        <is>
          <t>Mt</t>
        </is>
      </c>
      <c r="F15" s="11" t="n">
        <v>0.7</v>
      </c>
      <c r="G15" s="19">
        <f>D15*F15</f>
        <v/>
      </c>
      <c r="H15" s="37" t="n">
        <v>0.01</v>
      </c>
      <c r="I15" s="14" t="n">
        <v>1</v>
      </c>
      <c r="J15" s="14" t="n">
        <v>10</v>
      </c>
      <c r="K15" s="2" t="n"/>
      <c r="L15" s="2" t="n"/>
      <c r="M15" s="15" t="n">
        <v>2</v>
      </c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</row>
    <row r="16">
      <c r="A16" s="8" t="inlineStr">
        <is>
          <t>Cu</t>
        </is>
      </c>
      <c r="B16" s="9" t="inlineStr">
        <is>
          <t>m_copper</t>
        </is>
      </c>
      <c r="C16" s="9" t="inlineStr">
        <is>
          <t>MINCu</t>
        </is>
      </c>
      <c r="D16" s="36" t="n">
        <v>980</v>
      </c>
      <c r="E16" s="9" t="inlineStr">
        <is>
          <t>Mt</t>
        </is>
      </c>
      <c r="F16" s="11" t="n">
        <v>0.7</v>
      </c>
      <c r="G16" s="12">
        <f>D16*F16</f>
        <v/>
      </c>
      <c r="H16" s="37" t="n">
        <v>0.026</v>
      </c>
      <c r="I16" s="14" t="n">
        <v>1</v>
      </c>
      <c r="J16" s="14" t="n">
        <v>10</v>
      </c>
      <c r="K16" s="2" t="n"/>
      <c r="L16" s="2" t="n"/>
      <c r="M16" s="15" t="n">
        <v>1.8</v>
      </c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  <c r="AL16" s="2" t="n"/>
      <c r="AM16" s="2" t="n"/>
      <c r="AN16" s="2" t="n"/>
    </row>
    <row r="17">
      <c r="A17" s="16" t="inlineStr">
        <is>
          <t>Gr</t>
        </is>
      </c>
      <c r="B17" s="17" t="inlineStr">
        <is>
          <t>m_graphite</t>
        </is>
      </c>
      <c r="C17" s="17" t="inlineStr">
        <is>
          <t>MINGr</t>
        </is>
      </c>
      <c r="D17" s="38" t="n">
        <v>290000</v>
      </c>
      <c r="E17" s="17" t="inlineStr">
        <is>
          <t>kt</t>
        </is>
      </c>
      <c r="F17" s="11" t="n">
        <v>0.7</v>
      </c>
      <c r="G17" s="19">
        <f>D17*F17</f>
        <v/>
      </c>
      <c r="H17" s="37" t="n">
        <v>0.917</v>
      </c>
      <c r="I17" s="14" t="n">
        <v>1</v>
      </c>
      <c r="J17" s="14" t="n">
        <v>10</v>
      </c>
      <c r="K17" s="2" t="n"/>
      <c r="L17" s="2" t="n"/>
      <c r="M17" s="15" t="n">
        <v>2</v>
      </c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n"/>
      <c r="AL17" s="2" t="n"/>
      <c r="AM17" s="2" t="n"/>
      <c r="AN17" s="2" t="n"/>
    </row>
    <row r="18">
      <c r="A18" s="3" t="inlineStr">
        <is>
          <t>Battery share is derived from your own 2024 activity data divided by world mine production, so CUM is on the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</row>
    <row r="19">
      <c r="A19" s="3" t="inlineStr">
        <is>
          <t>same scope as the model. RSV2/RSV3 multiples of reserves approximate the USGS resource hierarchy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</row>
    <row r="20">
      <c r="A20" s="3" t="inlineStr">
        <is>
          <t>(reserves -&gt; identified resources -&gt; undiscovered). These two columns are the least well sourced - verify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</row>
    <row r="21">
      <c r="A21" s="3" t="inlineStr">
        <is>
          <t>against USGS resource figures and report results across a range.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</row>
    <row r="23">
      <c r="A23" s="6" t="inlineStr">
        <is>
          <t>2.  RESERVES BY REGION (as supplied, in the unit given above)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</row>
    <row r="24" ht="23" customHeight="1" s="28">
      <c r="A24" s="7" t="inlineStr">
        <is>
          <t>Material</t>
        </is>
      </c>
      <c r="B24" s="7" t="inlineStr">
        <is>
          <t>Unit</t>
        </is>
      </c>
      <c r="C24" s="7" t="inlineStr">
        <is>
          <t>Listed sum</t>
        </is>
      </c>
      <c r="D24" s="7" t="inlineStr">
        <is>
          <t>Africa_North</t>
        </is>
      </c>
      <c r="E24" s="7" t="inlineStr">
        <is>
          <t>Africa_Other</t>
        </is>
      </c>
      <c r="F24" s="7" t="inlineStr">
        <is>
          <t>Australia</t>
        </is>
      </c>
      <c r="G24" s="7" t="inlineStr">
        <is>
          <t>Austria</t>
        </is>
      </c>
      <c r="H24" s="7" t="inlineStr">
        <is>
          <t>Baltics</t>
        </is>
      </c>
      <c r="I24" s="7" t="inlineStr">
        <is>
          <t>BeNeLux</t>
        </is>
      </c>
      <c r="J24" s="7" t="inlineStr">
        <is>
          <t>Brazil</t>
        </is>
      </c>
      <c r="K24" s="7" t="inlineStr">
        <is>
          <t>China</t>
        </is>
      </c>
      <c r="L24" s="7" t="inlineStr">
        <is>
          <t>CroSloven</t>
        </is>
      </c>
      <c r="M24" s="7" t="inlineStr">
        <is>
          <t>CzechSlovak</t>
        </is>
      </c>
      <c r="N24" s="7" t="inlineStr">
        <is>
          <t>France</t>
        </is>
      </c>
      <c r="O24" s="7" t="inlineStr">
        <is>
          <t>Germany</t>
        </is>
      </c>
      <c r="P24" s="7" t="inlineStr">
        <is>
          <t>GreeceCyp</t>
        </is>
      </c>
      <c r="Q24" s="7" t="inlineStr">
        <is>
          <t>HunRomBul</t>
        </is>
      </c>
      <c r="R24" s="7" t="inlineStr">
        <is>
          <t>Iceland</t>
        </is>
      </c>
      <c r="S24" s="7" t="inlineStr">
        <is>
          <t>India</t>
        </is>
      </c>
      <c r="T24" s="7" t="inlineStr">
        <is>
          <t>Ireland</t>
        </is>
      </c>
      <c r="U24" s="7" t="inlineStr">
        <is>
          <t>ItalyMal</t>
        </is>
      </c>
      <c r="V24" s="7" t="inlineStr">
        <is>
          <t>Japan</t>
        </is>
      </c>
      <c r="W24" s="7" t="inlineStr">
        <is>
          <t>LatAm</t>
        </is>
      </c>
      <c r="X24" s="7" t="inlineStr">
        <is>
          <t>MidEast</t>
        </is>
      </c>
      <c r="Y24" s="7" t="inlineStr">
        <is>
          <t>NorthAm</t>
        </is>
      </c>
      <c r="Z24" s="7" t="inlineStr">
        <is>
          <t>Norway</t>
        </is>
      </c>
      <c r="AA24" s="7" t="inlineStr">
        <is>
          <t>Poland</t>
        </is>
      </c>
      <c r="AB24" s="7" t="inlineStr">
        <is>
          <t>ROW</t>
        </is>
      </c>
      <c r="AC24" s="7" t="inlineStr">
        <is>
          <t>Russia</t>
        </is>
      </c>
      <c r="AD24" s="7" t="inlineStr">
        <is>
          <t>SaudiArabia</t>
        </is>
      </c>
      <c r="AE24" s="7" t="inlineStr">
        <is>
          <t>SouthAfrica</t>
        </is>
      </c>
      <c r="AF24" s="7" t="inlineStr">
        <is>
          <t>SpainPor</t>
        </is>
      </c>
      <c r="AG24" s="7" t="inlineStr">
        <is>
          <t>SweFinDen</t>
        </is>
      </c>
      <c r="AH24" s="7" t="inlineStr">
        <is>
          <t>Switzerland</t>
        </is>
      </c>
      <c r="AI24" s="7" t="inlineStr">
        <is>
          <t>Turkey</t>
        </is>
      </c>
      <c r="AJ24" s="7" t="inlineStr">
        <is>
          <t>UK</t>
        </is>
      </c>
      <c r="AK24" s="7" t="inlineStr">
        <is>
          <t>Ukraine</t>
        </is>
      </c>
      <c r="AL24" s="7" t="inlineStr">
        <is>
          <t>WestBalkans</t>
        </is>
      </c>
      <c r="AM24" s="2" t="n"/>
      <c r="AN24" s="2" t="n"/>
    </row>
    <row r="25">
      <c r="A25" s="16" t="inlineStr">
        <is>
          <t>Li</t>
        </is>
      </c>
      <c r="B25" s="16" t="inlineStr">
        <is>
          <t>kt</t>
        </is>
      </c>
      <c r="C25" s="39">
        <f>SUM(D25:AL25)</f>
        <v/>
      </c>
      <c r="D25" s="36" t="n">
        <v>0</v>
      </c>
      <c r="E25" s="36" t="n">
        <v>494</v>
      </c>
      <c r="F25" s="36" t="n">
        <v>7000</v>
      </c>
      <c r="G25" s="36" t="n">
        <v>0</v>
      </c>
      <c r="H25" s="36" t="n">
        <v>0</v>
      </c>
      <c r="I25" s="36" t="n">
        <v>0</v>
      </c>
      <c r="J25" s="36" t="n">
        <v>0</v>
      </c>
      <c r="K25" s="36" t="n">
        <v>3000</v>
      </c>
      <c r="L25" s="36" t="n">
        <v>0</v>
      </c>
      <c r="M25" s="36" t="n">
        <v>0</v>
      </c>
      <c r="N25" s="36" t="n">
        <v>0</v>
      </c>
      <c r="O25" s="36" t="n">
        <v>0</v>
      </c>
      <c r="P25" s="36" t="n">
        <v>0</v>
      </c>
      <c r="Q25" s="36" t="n">
        <v>0</v>
      </c>
      <c r="R25" s="36" t="n">
        <v>0</v>
      </c>
      <c r="S25" s="36" t="n">
        <v>0</v>
      </c>
      <c r="T25" s="36" t="n">
        <v>0</v>
      </c>
      <c r="U25" s="36" t="n">
        <v>0</v>
      </c>
      <c r="V25" s="36" t="n">
        <v>0</v>
      </c>
      <c r="W25" s="36" t="n">
        <v>13690</v>
      </c>
      <c r="X25" s="36" t="n">
        <v>0</v>
      </c>
      <c r="Y25" s="36" t="n">
        <v>3000</v>
      </c>
      <c r="Z25" s="36" t="n">
        <v>0</v>
      </c>
      <c r="AA25" s="36" t="n">
        <v>0</v>
      </c>
      <c r="AB25" s="40">
        <f>MAX(0,$D$12-(D25+E25+F25+G25+H25+I25+J25+K25+L25+M25+N25+O25+P25+Q25+R25+S25+T25+U25+V25+W25+X25+Y25+Z25+AA25+AC25+AD25+AE25+AF25+AG25+AH25+AI25+AJ25+AK25+AL25))</f>
        <v/>
      </c>
      <c r="AC25" s="36" t="n">
        <v>0</v>
      </c>
      <c r="AD25" s="36" t="n">
        <v>0</v>
      </c>
      <c r="AE25" s="36" t="n">
        <v>0</v>
      </c>
      <c r="AF25" s="36" t="n">
        <v>60</v>
      </c>
      <c r="AG25" s="36" t="n">
        <v>0</v>
      </c>
      <c r="AH25" s="36" t="n">
        <v>0</v>
      </c>
      <c r="AI25" s="36" t="n">
        <v>0</v>
      </c>
      <c r="AJ25" s="36" t="n">
        <v>0</v>
      </c>
      <c r="AK25" s="36" t="n">
        <v>0</v>
      </c>
      <c r="AL25" s="36" t="n">
        <v>0</v>
      </c>
      <c r="AM25" s="2" t="n"/>
      <c r="AN25" s="2" t="n"/>
    </row>
    <row r="26">
      <c r="A26" s="16" t="inlineStr">
        <is>
          <t>Co</t>
        </is>
      </c>
      <c r="B26" s="16" t="inlineStr">
        <is>
          <t>kt</t>
        </is>
      </c>
      <c r="C26" s="39">
        <f>SUM(D26:AL26)</f>
        <v/>
      </c>
      <c r="D26" s="38" t="n">
        <v>0</v>
      </c>
      <c r="E26" s="38" t="n">
        <v>6100</v>
      </c>
      <c r="F26" s="38" t="n">
        <v>1700</v>
      </c>
      <c r="G26" s="38" t="n">
        <v>0</v>
      </c>
      <c r="H26" s="38" t="n">
        <v>0</v>
      </c>
      <c r="I26" s="38" t="n">
        <v>0</v>
      </c>
      <c r="J26" s="38" t="n">
        <v>0</v>
      </c>
      <c r="K26" s="38" t="n">
        <v>0</v>
      </c>
      <c r="L26" s="38" t="n">
        <v>0</v>
      </c>
      <c r="M26" s="38" t="n">
        <v>0</v>
      </c>
      <c r="N26" s="38" t="n">
        <v>0</v>
      </c>
      <c r="O26" s="38" t="n">
        <v>0</v>
      </c>
      <c r="P26" s="38" t="n">
        <v>0</v>
      </c>
      <c r="Q26" s="38" t="n">
        <v>0</v>
      </c>
      <c r="R26" s="38" t="n">
        <v>0</v>
      </c>
      <c r="S26" s="38" t="n">
        <v>0</v>
      </c>
      <c r="T26" s="38" t="n">
        <v>0</v>
      </c>
      <c r="U26" s="38" t="n">
        <v>0</v>
      </c>
      <c r="V26" s="38" t="n">
        <v>0</v>
      </c>
      <c r="W26" s="38" t="n">
        <v>500</v>
      </c>
      <c r="X26" s="38" t="n">
        <v>0</v>
      </c>
      <c r="Y26" s="38" t="n">
        <v>290</v>
      </c>
      <c r="Z26" s="38" t="n">
        <v>0</v>
      </c>
      <c r="AA26" s="38" t="n">
        <v>0</v>
      </c>
      <c r="AB26" s="40">
        <f>MAX(0,$D$13-(D26+E26+F26+G26+H26+I26+J26+K26+L26+M26+N26+O26+P26+Q26+R26+S26+T26+U26+V26+W26+X26+Y26+Z26+AA26+AC26+AD26+AE26+AF26+AG26+AH26+AI26+AJ26+AK26+AL26))</f>
        <v/>
      </c>
      <c r="AC26" s="38" t="n">
        <v>250</v>
      </c>
      <c r="AD26" s="38" t="n">
        <v>0</v>
      </c>
      <c r="AE26" s="38" t="n">
        <v>0</v>
      </c>
      <c r="AF26" s="38" t="n">
        <v>0</v>
      </c>
      <c r="AG26" s="38" t="n">
        <v>0</v>
      </c>
      <c r="AH26" s="38" t="n">
        <v>0</v>
      </c>
      <c r="AI26" s="38" t="n">
        <v>91</v>
      </c>
      <c r="AJ26" s="38" t="n">
        <v>0</v>
      </c>
      <c r="AK26" s="38" t="n">
        <v>0</v>
      </c>
      <c r="AL26" s="38" t="n">
        <v>0</v>
      </c>
      <c r="AM26" s="2" t="n"/>
      <c r="AN26" s="2" t="n"/>
    </row>
    <row r="27">
      <c r="A27" s="16" t="inlineStr">
        <is>
          <t>Ni</t>
        </is>
      </c>
      <c r="B27" s="16" t="inlineStr">
        <is>
          <t>kt</t>
        </is>
      </c>
      <c r="C27" s="39">
        <f>SUM(D27:AL27)</f>
        <v/>
      </c>
      <c r="D27" s="36" t="n">
        <v>0</v>
      </c>
      <c r="E27" s="36" t="n">
        <v>0</v>
      </c>
      <c r="F27" s="36" t="n">
        <v>24000</v>
      </c>
      <c r="G27" s="36" t="n">
        <v>0</v>
      </c>
      <c r="H27" s="36" t="n">
        <v>0</v>
      </c>
      <c r="I27" s="36" t="n">
        <v>0</v>
      </c>
      <c r="J27" s="36" t="n">
        <v>0</v>
      </c>
      <c r="K27" s="36" t="n">
        <v>4400</v>
      </c>
      <c r="L27" s="36" t="n">
        <v>0</v>
      </c>
      <c r="M27" s="36" t="n">
        <v>0</v>
      </c>
      <c r="N27" s="36" t="n">
        <v>0</v>
      </c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6" t="n">
        <v>0</v>
      </c>
      <c r="V27" s="36" t="n">
        <v>0</v>
      </c>
      <c r="W27" s="36" t="n">
        <v>16000</v>
      </c>
      <c r="X27" s="36" t="n">
        <v>0</v>
      </c>
      <c r="Y27" s="36" t="n">
        <v>2510</v>
      </c>
      <c r="Z27" s="36" t="n">
        <v>0</v>
      </c>
      <c r="AA27" s="36" t="n">
        <v>0</v>
      </c>
      <c r="AB27" s="40">
        <f>MAX(0,$D$14-(D27+E27+F27+G27+H27+I27+J27+K27+L27+M27+N27+O27+P27+Q27+R27+S27+T27+U27+V27+W27+X27+Y27+Z27+AA27+AC27+AD27+AE27+AF27+AG27+AH27+AI27+AJ27+AK27+AL27))</f>
        <v/>
      </c>
      <c r="AC27" s="36" t="n">
        <v>8300</v>
      </c>
      <c r="AD27" s="36" t="n">
        <v>0</v>
      </c>
      <c r="AE27" s="36" t="n">
        <v>0</v>
      </c>
      <c r="AF27" s="36" t="n">
        <v>0</v>
      </c>
      <c r="AG27" s="36" t="n">
        <v>0</v>
      </c>
      <c r="AH27" s="36" t="n">
        <v>0</v>
      </c>
      <c r="AI27" s="36" t="n">
        <v>0</v>
      </c>
      <c r="AJ27" s="36" t="n">
        <v>0</v>
      </c>
      <c r="AK27" s="36" t="n">
        <v>0</v>
      </c>
      <c r="AL27" s="36" t="n">
        <v>0</v>
      </c>
      <c r="AM27" s="2" t="n"/>
      <c r="AN27" s="2" t="n"/>
    </row>
    <row r="28">
      <c r="A28" s="16" t="inlineStr">
        <is>
          <t>Mn</t>
        </is>
      </c>
      <c r="B28" s="16" t="inlineStr">
        <is>
          <t>kt</t>
        </is>
      </c>
      <c r="C28" s="39">
        <f>SUM(D28:AL28)</f>
        <v/>
      </c>
      <c r="D28" s="38">
        <f>D32*1000</f>
        <v/>
      </c>
      <c r="E28" s="38">
        <f>E32*1000</f>
        <v/>
      </c>
      <c r="F28" s="38">
        <f>F32*1000</f>
        <v/>
      </c>
      <c r="G28" s="38">
        <f>G32*1000</f>
        <v/>
      </c>
      <c r="H28" s="38">
        <f>H32*1000</f>
        <v/>
      </c>
      <c r="I28" s="38">
        <f>I32*1000</f>
        <v/>
      </c>
      <c r="J28" s="38">
        <f>J32*1000</f>
        <v/>
      </c>
      <c r="K28" s="38">
        <f>K32*1000</f>
        <v/>
      </c>
      <c r="L28" s="38">
        <f>L32*1000</f>
        <v/>
      </c>
      <c r="M28" s="38">
        <f>M32*1000</f>
        <v/>
      </c>
      <c r="N28" s="38">
        <f>N32*1000</f>
        <v/>
      </c>
      <c r="O28" s="38">
        <f>O32*1000</f>
        <v/>
      </c>
      <c r="P28" s="38">
        <f>P32*1000</f>
        <v/>
      </c>
      <c r="Q28" s="38">
        <f>Q32*1000</f>
        <v/>
      </c>
      <c r="R28" s="38">
        <f>R32*1000</f>
        <v/>
      </c>
      <c r="S28" s="38">
        <f>S32*1000</f>
        <v/>
      </c>
      <c r="T28" s="38">
        <f>T32*1000</f>
        <v/>
      </c>
      <c r="U28" s="38">
        <f>U32*1000</f>
        <v/>
      </c>
      <c r="V28" s="38">
        <f>V32*1000</f>
        <v/>
      </c>
      <c r="W28" s="38">
        <f>W32*1000</f>
        <v/>
      </c>
      <c r="X28" s="38">
        <f>X32*1000</f>
        <v/>
      </c>
      <c r="Y28" s="38">
        <f>Y32*1000</f>
        <v/>
      </c>
      <c r="Z28" s="38">
        <f>Z32*1000</f>
        <v/>
      </c>
      <c r="AA28" s="38">
        <f>AA32*1000</f>
        <v/>
      </c>
      <c r="AB28" s="38">
        <f>AB32*1000</f>
        <v/>
      </c>
      <c r="AC28" s="38">
        <f>AC32*1000</f>
        <v/>
      </c>
      <c r="AD28" s="38">
        <f>AD32*1000</f>
        <v/>
      </c>
      <c r="AE28" s="38">
        <f>AE32*1000</f>
        <v/>
      </c>
      <c r="AF28" s="38">
        <f>AF32*1000</f>
        <v/>
      </c>
      <c r="AG28" s="38">
        <f>AG32*1000</f>
        <v/>
      </c>
      <c r="AH28" s="38">
        <f>AH32*1000</f>
        <v/>
      </c>
      <c r="AI28" s="38">
        <f>AI32*1000</f>
        <v/>
      </c>
      <c r="AJ28" s="38">
        <f>AJ32*1000</f>
        <v/>
      </c>
      <c r="AK28" s="38">
        <f>AK32*1000</f>
        <v/>
      </c>
      <c r="AL28" s="38">
        <f>AL32*1000</f>
        <v/>
      </c>
      <c r="AM28" s="2" t="n"/>
      <c r="AN28" s="2" t="n"/>
    </row>
    <row r="29">
      <c r="A29" s="16" t="inlineStr">
        <is>
          <t>Cu</t>
        </is>
      </c>
      <c r="B29" s="16" t="inlineStr">
        <is>
          <t>kt</t>
        </is>
      </c>
      <c r="C29" s="39">
        <f>SUM(D29:AL29)</f>
        <v/>
      </c>
      <c r="D29" s="38">
        <f>D33*1000</f>
        <v/>
      </c>
      <c r="E29" s="38">
        <f>E33*1000</f>
        <v/>
      </c>
      <c r="F29" s="38">
        <f>F33*1000</f>
        <v/>
      </c>
      <c r="G29" s="38">
        <f>G33*1000</f>
        <v/>
      </c>
      <c r="H29" s="38">
        <f>H33*1000</f>
        <v/>
      </c>
      <c r="I29" s="38">
        <f>I33*1000</f>
        <v/>
      </c>
      <c r="J29" s="38">
        <f>J33*1000</f>
        <v/>
      </c>
      <c r="K29" s="38">
        <f>K33*1000</f>
        <v/>
      </c>
      <c r="L29" s="38">
        <f>L33*1000</f>
        <v/>
      </c>
      <c r="M29" s="38">
        <f>M33*1000</f>
        <v/>
      </c>
      <c r="N29" s="38">
        <f>N33*1000</f>
        <v/>
      </c>
      <c r="O29" s="38">
        <f>O33*1000</f>
        <v/>
      </c>
      <c r="P29" s="38">
        <f>P33*1000</f>
        <v/>
      </c>
      <c r="Q29" s="38">
        <f>Q33*1000</f>
        <v/>
      </c>
      <c r="R29" s="38">
        <f>R33*1000</f>
        <v/>
      </c>
      <c r="S29" s="38">
        <f>S33*1000</f>
        <v/>
      </c>
      <c r="T29" s="38">
        <f>T33*1000</f>
        <v/>
      </c>
      <c r="U29" s="38">
        <f>U33*1000</f>
        <v/>
      </c>
      <c r="V29" s="38">
        <f>V33*1000</f>
        <v/>
      </c>
      <c r="W29" s="38">
        <f>W33*1000</f>
        <v/>
      </c>
      <c r="X29" s="38">
        <f>X33*1000</f>
        <v/>
      </c>
      <c r="Y29" s="38">
        <f>Y33*1000</f>
        <v/>
      </c>
      <c r="Z29" s="38">
        <f>Z33*1000</f>
        <v/>
      </c>
      <c r="AA29" s="38">
        <f>AA33*1000</f>
        <v/>
      </c>
      <c r="AB29" s="38">
        <f>AB33*1000</f>
        <v/>
      </c>
      <c r="AC29" s="38">
        <f>AC33*1000</f>
        <v/>
      </c>
      <c r="AD29" s="38">
        <f>AD33*1000</f>
        <v/>
      </c>
      <c r="AE29" s="38">
        <f>AE33*1000</f>
        <v/>
      </c>
      <c r="AF29" s="38">
        <f>AF33*1000</f>
        <v/>
      </c>
      <c r="AG29" s="38">
        <f>AG33*1000</f>
        <v/>
      </c>
      <c r="AH29" s="38">
        <f>AH33*1000</f>
        <v/>
      </c>
      <c r="AI29" s="38">
        <f>AI33*1000</f>
        <v/>
      </c>
      <c r="AJ29" s="38">
        <f>AJ33*1000</f>
        <v/>
      </c>
      <c r="AK29" s="38">
        <f>AK33*1000</f>
        <v/>
      </c>
      <c r="AL29" s="38">
        <f>AL33*1000</f>
        <v/>
      </c>
      <c r="AM29" s="2" t="n"/>
      <c r="AN29" s="2" t="n"/>
    </row>
    <row r="30">
      <c r="A30" s="16" t="inlineStr">
        <is>
          <t>Gr</t>
        </is>
      </c>
      <c r="B30" s="16" t="inlineStr">
        <is>
          <t>kt</t>
        </is>
      </c>
      <c r="C30" s="39">
        <f>SUM(D30:AL30)</f>
        <v/>
      </c>
      <c r="D30" s="38" t="n">
        <v>0</v>
      </c>
      <c r="E30" s="38" t="n">
        <v>70000</v>
      </c>
      <c r="F30" s="38" t="n">
        <v>0</v>
      </c>
      <c r="G30" s="38" t="n">
        <v>0</v>
      </c>
      <c r="H30" s="38" t="n">
        <v>0</v>
      </c>
      <c r="I30" s="38" t="n">
        <v>0</v>
      </c>
      <c r="J30" s="38" t="n">
        <v>0</v>
      </c>
      <c r="K30" s="38" t="n">
        <v>81000</v>
      </c>
      <c r="L30" s="38" t="n">
        <v>0</v>
      </c>
      <c r="M30" s="38" t="n">
        <v>0</v>
      </c>
      <c r="N30" s="38" t="n">
        <v>0</v>
      </c>
      <c r="O30" s="38" t="n">
        <v>0</v>
      </c>
      <c r="P30" s="38" t="n">
        <v>0</v>
      </c>
      <c r="Q30" s="38" t="n">
        <v>0</v>
      </c>
      <c r="R30" s="38" t="n">
        <v>0</v>
      </c>
      <c r="S30" s="38" t="n">
        <v>8600</v>
      </c>
      <c r="T30" s="38" t="n">
        <v>0</v>
      </c>
      <c r="U30" s="38" t="n">
        <v>0</v>
      </c>
      <c r="V30" s="38" t="n">
        <v>0</v>
      </c>
      <c r="W30" s="38" t="n">
        <v>77100</v>
      </c>
      <c r="X30" s="38" t="n">
        <v>0</v>
      </c>
      <c r="Y30" s="38" t="n">
        <v>5900</v>
      </c>
      <c r="Z30" s="38" t="n">
        <v>600</v>
      </c>
      <c r="AA30" s="38" t="n">
        <v>0</v>
      </c>
      <c r="AB30" s="40">
        <f>MAX(0,$D$17-(D30+E30+F30+G30+H30+I30+J30+K30+L30+M30+N30+O30+P30+Q30+R30+S30+T30+U30+V30+W30+X30+Y30+Z30+AA30+AC30+AD30+AE30+AF30+AG30+AH30+AI30+AJ30+AK30+AL30))</f>
        <v/>
      </c>
      <c r="AC30" s="38" t="n">
        <v>14000</v>
      </c>
      <c r="AD30" s="38" t="n">
        <v>0</v>
      </c>
      <c r="AE30" s="38" t="n">
        <v>0</v>
      </c>
      <c r="AF30" s="38" t="n">
        <v>0</v>
      </c>
      <c r="AG30" s="38" t="n">
        <v>0</v>
      </c>
      <c r="AH30" s="38" t="n">
        <v>0</v>
      </c>
      <c r="AI30" s="38" t="n">
        <v>6900</v>
      </c>
      <c r="AJ30" s="38" t="n">
        <v>0</v>
      </c>
      <c r="AK30" s="38" t="n">
        <v>0</v>
      </c>
      <c r="AL30" s="38" t="n">
        <v>0</v>
      </c>
      <c r="AM30" s="2" t="n"/>
      <c r="AN30" s="2" t="n"/>
    </row>
    <row r="31">
      <c r="A31" s="3" t="inlineStr">
        <is>
          <t>ROW cell is a formula: world total minus all other regions. It is yellow because it is inferred, not sourced.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</row>
    <row r="32">
      <c r="A32" s="3" t="inlineStr">
        <is>
          <t>'Listed sum' should now equal the world reserves in section 1 for every material.</t>
        </is>
      </c>
      <c r="B32" s="2" t="n"/>
      <c r="C32" s="2" t="n"/>
      <c r="D32" s="38" t="n">
        <v>0</v>
      </c>
      <c r="E32" s="38" t="n">
        <v>74</v>
      </c>
      <c r="F32" s="38" t="n">
        <v>500</v>
      </c>
      <c r="G32" s="38" t="n">
        <v>0</v>
      </c>
      <c r="H32" s="38" t="n">
        <v>0</v>
      </c>
      <c r="I32" s="38" t="n">
        <v>0</v>
      </c>
      <c r="J32" s="38" t="n">
        <v>0</v>
      </c>
      <c r="K32" s="38" t="n">
        <v>280</v>
      </c>
      <c r="L32" s="38" t="n">
        <v>0</v>
      </c>
      <c r="M32" s="38" t="n">
        <v>0</v>
      </c>
      <c r="N32" s="38" t="n">
        <v>0</v>
      </c>
      <c r="O32" s="38" t="n">
        <v>0</v>
      </c>
      <c r="P32" s="38" t="n">
        <v>0</v>
      </c>
      <c r="Q32" s="38" t="n">
        <v>0</v>
      </c>
      <c r="R32" s="38" t="n">
        <v>0</v>
      </c>
      <c r="S32" s="38" t="n">
        <v>34</v>
      </c>
      <c r="T32" s="38" t="n">
        <v>0</v>
      </c>
      <c r="U32" s="38" t="n">
        <v>0</v>
      </c>
      <c r="V32" s="38" t="n">
        <v>0</v>
      </c>
      <c r="W32" s="38" t="n">
        <v>270</v>
      </c>
      <c r="X32" s="38" t="n">
        <v>0</v>
      </c>
      <c r="Y32" s="38" t="n">
        <v>0</v>
      </c>
      <c r="Z32" s="38" t="n">
        <v>0</v>
      </c>
      <c r="AA32" s="38" t="n">
        <v>0</v>
      </c>
      <c r="AB32" s="40">
        <f>MAX(0,$D$15-(D32+E32+F32+G32+H32+I32+J32+K32+L32+M32+N32+O32+P32+Q32+R32+S32+T32+U32+V32+W32+X32+Y32+Z32+AA32+AC32+AD32+AE32+AF32+AG32+AH32+AI32+AJ32+AK32+AL32))</f>
        <v/>
      </c>
      <c r="AC32" s="38" t="n">
        <v>0</v>
      </c>
      <c r="AD32" s="38" t="n">
        <v>0</v>
      </c>
      <c r="AE32" s="38" t="n">
        <v>560</v>
      </c>
      <c r="AF32" s="38" t="n">
        <v>0</v>
      </c>
      <c r="AG32" s="38" t="n">
        <v>0</v>
      </c>
      <c r="AH32" s="38" t="n">
        <v>0</v>
      </c>
      <c r="AI32" s="38" t="n">
        <v>0</v>
      </c>
      <c r="AJ32" s="38" t="n">
        <v>0</v>
      </c>
      <c r="AK32" s="38" t="n">
        <v>0</v>
      </c>
      <c r="AL32" s="38" t="n">
        <v>0</v>
      </c>
      <c r="AM32" s="2" t="n"/>
      <c r="AN32" s="2" t="n"/>
    </row>
    <row r="33">
      <c r="A33" s="2" t="n"/>
      <c r="B33" s="2" t="n"/>
      <c r="C33" s="2" t="n"/>
      <c r="D33" s="36" t="n">
        <v>0</v>
      </c>
      <c r="E33" s="36" t="n">
        <v>101</v>
      </c>
      <c r="F33" s="36" t="n">
        <v>100</v>
      </c>
      <c r="G33" s="36" t="n">
        <v>0</v>
      </c>
      <c r="H33" s="36" t="n">
        <v>0</v>
      </c>
      <c r="I33" s="36" t="n">
        <v>0</v>
      </c>
      <c r="J33" s="36" t="n">
        <v>0</v>
      </c>
      <c r="K33" s="36" t="n">
        <v>41</v>
      </c>
      <c r="L33" s="36" t="n">
        <v>0</v>
      </c>
      <c r="M33" s="36" t="n">
        <v>0</v>
      </c>
      <c r="N33" s="36" t="n">
        <v>0</v>
      </c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2.2</v>
      </c>
      <c r="T33" s="36" t="n">
        <v>0</v>
      </c>
      <c r="U33" s="36" t="n">
        <v>0</v>
      </c>
      <c r="V33" s="36" t="n">
        <v>0</v>
      </c>
      <c r="W33" s="36" t="n">
        <v>290</v>
      </c>
      <c r="X33" s="36" t="n">
        <v>0</v>
      </c>
      <c r="Y33" s="36" t="n">
        <v>108.3</v>
      </c>
      <c r="Z33" s="36" t="n">
        <v>0</v>
      </c>
      <c r="AA33" s="36" t="n">
        <v>34</v>
      </c>
      <c r="AB33" s="40">
        <f>MAX(0,$D$16-(D33+E33+F33+G33+H33+I33+J33+K33+L33+M33+N33+O33+P33+Q33+R33+S33+T33+U33+V33+W33+X33+Y33+Z33+AA33+AC33+AD33+AE33+AF33+AG33+AH33+AI33+AJ33+AK33+AL33))</f>
        <v/>
      </c>
      <c r="AC33" s="36" t="n">
        <v>80</v>
      </c>
      <c r="AD33" s="36" t="n">
        <v>0</v>
      </c>
      <c r="AE33" s="36" t="n">
        <v>0</v>
      </c>
      <c r="AF33" s="36" t="n">
        <v>0</v>
      </c>
      <c r="AG33" s="36" t="n">
        <v>0</v>
      </c>
      <c r="AH33" s="36" t="n">
        <v>0</v>
      </c>
      <c r="AI33" s="36" t="n">
        <v>0</v>
      </c>
      <c r="AJ33" s="36" t="n">
        <v>0</v>
      </c>
      <c r="AK33" s="36" t="n">
        <v>0</v>
      </c>
      <c r="AL33" s="36" t="n">
        <v>0</v>
      </c>
      <c r="AM33" s="2" t="n"/>
      <c r="AN33" s="2" t="n"/>
    </row>
    <row r="34">
      <c r="A34" s="6" t="inlineStr">
        <is>
          <t>3.  CUM TABLE - paste into VEDA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  <c r="AM34" s="2" t="n"/>
      <c r="AN34" s="2" t="n"/>
    </row>
    <row r="35">
      <c r="A35" s="22" t="inlineStr">
        <is>
          <t>TFM_INS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n"/>
      <c r="AL35" s="2" t="n"/>
      <c r="AM35" s="2" t="n"/>
      <c r="AN35" s="2" t="n"/>
    </row>
    <row r="36" ht="23" customHeight="1" s="28">
      <c r="A36" s="7" t="inlineStr">
        <is>
          <t>pset_pn</t>
        </is>
      </c>
      <c r="B36" s="7" t="inlineStr">
        <is>
          <t>Attribute</t>
        </is>
      </c>
      <c r="C36" s="7" t="inlineStr">
        <is>
          <t>cset_cn</t>
        </is>
      </c>
      <c r="D36" s="7" t="inlineStr">
        <is>
          <t>Africa_North</t>
        </is>
      </c>
      <c r="E36" s="7" t="inlineStr">
        <is>
          <t>Africa_Other</t>
        </is>
      </c>
      <c r="F36" s="7" t="inlineStr">
        <is>
          <t>Australia</t>
        </is>
      </c>
      <c r="G36" s="7" t="inlineStr">
        <is>
          <t>Austria</t>
        </is>
      </c>
      <c r="H36" s="7" t="inlineStr">
        <is>
          <t>Baltics</t>
        </is>
      </c>
      <c r="I36" s="7" t="inlineStr">
        <is>
          <t>BeNeLux</t>
        </is>
      </c>
      <c r="J36" s="7" t="inlineStr">
        <is>
          <t>Brazil</t>
        </is>
      </c>
      <c r="K36" s="7" t="inlineStr">
        <is>
          <t>China</t>
        </is>
      </c>
      <c r="L36" s="7" t="inlineStr">
        <is>
          <t>CroSloven</t>
        </is>
      </c>
      <c r="M36" s="7" t="inlineStr">
        <is>
          <t>CzechSlovak</t>
        </is>
      </c>
      <c r="N36" s="7" t="inlineStr">
        <is>
          <t>France</t>
        </is>
      </c>
      <c r="O36" s="7" t="inlineStr">
        <is>
          <t>Germany</t>
        </is>
      </c>
      <c r="P36" s="7" t="inlineStr">
        <is>
          <t>GreeceCyp</t>
        </is>
      </c>
      <c r="Q36" s="7" t="inlineStr">
        <is>
          <t>HunRomBul</t>
        </is>
      </c>
      <c r="R36" s="7" t="inlineStr">
        <is>
          <t>Iceland</t>
        </is>
      </c>
      <c r="S36" s="7" t="inlineStr">
        <is>
          <t>India</t>
        </is>
      </c>
      <c r="T36" s="7" t="inlineStr">
        <is>
          <t>Ireland</t>
        </is>
      </c>
      <c r="U36" s="7" t="inlineStr">
        <is>
          <t>ItalyMal</t>
        </is>
      </c>
      <c r="V36" s="7" t="inlineStr">
        <is>
          <t>Japan</t>
        </is>
      </c>
      <c r="W36" s="7" t="inlineStr">
        <is>
          <t>LatAm</t>
        </is>
      </c>
      <c r="X36" s="7" t="inlineStr">
        <is>
          <t>MidEast</t>
        </is>
      </c>
      <c r="Y36" s="7" t="inlineStr">
        <is>
          <t>NorthAm</t>
        </is>
      </c>
      <c r="Z36" s="7" t="inlineStr">
        <is>
          <t>Norway</t>
        </is>
      </c>
      <c r="AA36" s="7" t="inlineStr">
        <is>
          <t>Poland</t>
        </is>
      </c>
      <c r="AB36" s="7" t="inlineStr">
        <is>
          <t>ROW</t>
        </is>
      </c>
      <c r="AC36" s="7" t="inlineStr">
        <is>
          <t>Russia</t>
        </is>
      </c>
      <c r="AD36" s="7" t="inlineStr">
        <is>
          <t>SaudiArabia</t>
        </is>
      </c>
      <c r="AE36" s="7" t="inlineStr">
        <is>
          <t>SouthAfrica</t>
        </is>
      </c>
      <c r="AF36" s="7" t="inlineStr">
        <is>
          <t>SpainPor</t>
        </is>
      </c>
      <c r="AG36" s="7" t="inlineStr">
        <is>
          <t>SweFinDen</t>
        </is>
      </c>
      <c r="AH36" s="7" t="inlineStr">
        <is>
          <t>Switzerland</t>
        </is>
      </c>
      <c r="AI36" s="7" t="inlineStr">
        <is>
          <t>Turkey</t>
        </is>
      </c>
      <c r="AJ36" s="7" t="inlineStr">
        <is>
          <t>UK</t>
        </is>
      </c>
      <c r="AK36" s="7" t="inlineStr">
        <is>
          <t>Ukraine</t>
        </is>
      </c>
      <c r="AL36" s="7" t="inlineStr">
        <is>
          <t>WestBalkans</t>
        </is>
      </c>
      <c r="AM36" s="2" t="n"/>
      <c r="AN36" s="2" t="n"/>
    </row>
    <row r="37">
      <c r="A37" s="8" t="inlineStr">
        <is>
          <t>MINLiRSV1</t>
        </is>
      </c>
      <c r="B37" s="8" t="inlineStr">
        <is>
          <t>CUM</t>
        </is>
      </c>
      <c r="C37" s="23" t="n"/>
      <c r="D37" s="41">
        <f>D25*$F$12*$H$12</f>
        <v/>
      </c>
      <c r="E37" s="41">
        <f>E25*$F$12*$H$12</f>
        <v/>
      </c>
      <c r="F37" s="41">
        <f>F25*$F$12*$H$12</f>
        <v/>
      </c>
      <c r="G37" s="41">
        <f>G25*$F$12*$H$12</f>
        <v/>
      </c>
      <c r="H37" s="41">
        <f>H25*$F$12*$H$12</f>
        <v/>
      </c>
      <c r="I37" s="41">
        <f>I25*$F$12*$H$12</f>
        <v/>
      </c>
      <c r="J37" s="41">
        <f>J25*$F$12*$H$12</f>
        <v/>
      </c>
      <c r="K37" s="41">
        <f>K25*$F$12*$H$12</f>
        <v/>
      </c>
      <c r="L37" s="41">
        <f>L25*$F$12*$H$12</f>
        <v/>
      </c>
      <c r="M37" s="41">
        <f>M25*$F$12*$H$12</f>
        <v/>
      </c>
      <c r="N37" s="41">
        <f>N25*$F$12*$H$12</f>
        <v/>
      </c>
      <c r="O37" s="41">
        <f>O25*$F$12*$H$12</f>
        <v/>
      </c>
      <c r="P37" s="41">
        <f>P25*$F$12*$H$12</f>
        <v/>
      </c>
      <c r="Q37" s="41">
        <f>Q25*$F$12*$H$12</f>
        <v/>
      </c>
      <c r="R37" s="41">
        <f>R25*$F$12*$H$12</f>
        <v/>
      </c>
      <c r="S37" s="41">
        <f>S25*$F$12*$H$12</f>
        <v/>
      </c>
      <c r="T37" s="41">
        <f>T25*$F$12*$H$12</f>
        <v/>
      </c>
      <c r="U37" s="41">
        <f>U25*$F$12*$H$12</f>
        <v/>
      </c>
      <c r="V37" s="41">
        <f>V25*$F$12*$H$12</f>
        <v/>
      </c>
      <c r="W37" s="41">
        <f>W25*$F$12*$H$12</f>
        <v/>
      </c>
      <c r="X37" s="41">
        <f>X25*$F$12*$H$12</f>
        <v/>
      </c>
      <c r="Y37" s="41">
        <f>Y25*$F$12*$H$12</f>
        <v/>
      </c>
      <c r="Z37" s="41">
        <f>Z25*$F$12*$H$12</f>
        <v/>
      </c>
      <c r="AA37" s="41">
        <f>AA25*$F$12*$H$12</f>
        <v/>
      </c>
      <c r="AB37" s="41">
        <f>AB25*$F$12*$H$12</f>
        <v/>
      </c>
      <c r="AC37" s="41">
        <f>AC25*$F$12*$H$12</f>
        <v/>
      </c>
      <c r="AD37" s="41">
        <f>AD25*$F$12*$H$12</f>
        <v/>
      </c>
      <c r="AE37" s="41">
        <f>AE25*$F$12*$H$12</f>
        <v/>
      </c>
      <c r="AF37" s="41">
        <f>AF25*$F$12*$H$12</f>
        <v/>
      </c>
      <c r="AG37" s="41">
        <f>AG25*$F$12*$H$12</f>
        <v/>
      </c>
      <c r="AH37" s="41">
        <f>AH25*$F$12*$H$12</f>
        <v/>
      </c>
      <c r="AI37" s="41">
        <f>AI25*$F$12*$H$12</f>
        <v/>
      </c>
      <c r="AJ37" s="41">
        <f>AJ25*$F$12*$H$12</f>
        <v/>
      </c>
      <c r="AK37" s="41">
        <f>AK25*$F$12*$H$12</f>
        <v/>
      </c>
      <c r="AL37" s="41">
        <f>AL25*$F$12*$H$12</f>
        <v/>
      </c>
      <c r="AM37" s="2" t="n"/>
      <c r="AN37" s="2" t="n"/>
    </row>
    <row r="38">
      <c r="A38" s="16" t="inlineStr">
        <is>
          <t>MINLiRSV2</t>
        </is>
      </c>
      <c r="B38" s="16" t="inlineStr">
        <is>
          <t>CUM</t>
        </is>
      </c>
      <c r="C38" s="25" t="n"/>
      <c r="D38" s="39">
        <f>D25*$F$12*$H$12*$I$12</f>
        <v/>
      </c>
      <c r="E38" s="39">
        <f>E25*$F$12*$H$12*$I$12</f>
        <v/>
      </c>
      <c r="F38" s="39">
        <f>F25*$F$12*$H$12*$I$12</f>
        <v/>
      </c>
      <c r="G38" s="39">
        <f>G25*$F$12*$H$12*$I$12</f>
        <v/>
      </c>
      <c r="H38" s="39">
        <f>H25*$F$12*$H$12*$I$12</f>
        <v/>
      </c>
      <c r="I38" s="39">
        <f>I25*$F$12*$H$12*$I$12</f>
        <v/>
      </c>
      <c r="J38" s="39">
        <f>J25*$F$12*$H$12*$I$12</f>
        <v/>
      </c>
      <c r="K38" s="39">
        <f>K25*$F$12*$H$12*$I$12</f>
        <v/>
      </c>
      <c r="L38" s="39">
        <f>L25*$F$12*$H$12*$I$12</f>
        <v/>
      </c>
      <c r="M38" s="39">
        <f>M25*$F$12*$H$12*$I$12</f>
        <v/>
      </c>
      <c r="N38" s="39">
        <f>N25*$F$12*$H$12*$I$12</f>
        <v/>
      </c>
      <c r="O38" s="39">
        <f>O25*$F$12*$H$12*$I$12</f>
        <v/>
      </c>
      <c r="P38" s="39">
        <f>P25*$F$12*$H$12*$I$12</f>
        <v/>
      </c>
      <c r="Q38" s="39">
        <f>Q25*$F$12*$H$12*$I$12</f>
        <v/>
      </c>
      <c r="R38" s="39">
        <f>R25*$F$12*$H$12*$I$12</f>
        <v/>
      </c>
      <c r="S38" s="39">
        <f>S25*$F$12*$H$12*$I$12</f>
        <v/>
      </c>
      <c r="T38" s="39">
        <f>T25*$F$12*$H$12*$I$12</f>
        <v/>
      </c>
      <c r="U38" s="39">
        <f>U25*$F$12*$H$12*$I$12</f>
        <v/>
      </c>
      <c r="V38" s="39">
        <f>V25*$F$12*$H$12*$I$12</f>
        <v/>
      </c>
      <c r="W38" s="39">
        <f>W25*$F$12*$H$12*$I$12</f>
        <v/>
      </c>
      <c r="X38" s="39">
        <f>X25*$F$12*$H$12*$I$12</f>
        <v/>
      </c>
      <c r="Y38" s="39">
        <f>Y25*$F$12*$H$12*$I$12</f>
        <v/>
      </c>
      <c r="Z38" s="39">
        <f>Z25*$F$12*$H$12*$I$12</f>
        <v/>
      </c>
      <c r="AA38" s="39">
        <f>AA25*$F$12*$H$12*$I$12</f>
        <v/>
      </c>
      <c r="AB38" s="39">
        <f>AB25*$F$12*$H$12*$I$12</f>
        <v/>
      </c>
      <c r="AC38" s="39">
        <f>AC25*$F$12*$H$12*$I$12</f>
        <v/>
      </c>
      <c r="AD38" s="39">
        <f>AD25*$F$12*$H$12*$I$12</f>
        <v/>
      </c>
      <c r="AE38" s="39">
        <f>AE25*$F$12*$H$12*$I$12</f>
        <v/>
      </c>
      <c r="AF38" s="39">
        <f>AF25*$F$12*$H$12*$I$12</f>
        <v/>
      </c>
      <c r="AG38" s="39">
        <f>AG25*$F$12*$H$12*$I$12</f>
        <v/>
      </c>
      <c r="AH38" s="39">
        <f>AH25*$F$12*$H$12*$I$12</f>
        <v/>
      </c>
      <c r="AI38" s="39">
        <f>AI25*$F$12*$H$12*$I$12</f>
        <v/>
      </c>
      <c r="AJ38" s="39">
        <f>AJ25*$F$12*$H$12*$I$12</f>
        <v/>
      </c>
      <c r="AK38" s="39">
        <f>AK25*$F$12*$H$12*$I$12</f>
        <v/>
      </c>
      <c r="AL38" s="39">
        <f>AL25*$F$12*$H$12*$I$12</f>
        <v/>
      </c>
      <c r="AM38" s="2" t="n"/>
      <c r="AN38" s="2" t="n"/>
    </row>
    <row r="39">
      <c r="A39" s="8" t="inlineStr">
        <is>
          <t>MINLiRSV3</t>
        </is>
      </c>
      <c r="B39" s="8" t="inlineStr">
        <is>
          <t>CUM</t>
        </is>
      </c>
      <c r="C39" s="23" t="n"/>
      <c r="D39" s="41">
        <f>D25*$F$12*$H$12*$J$12</f>
        <v/>
      </c>
      <c r="E39" s="41">
        <f>E25*$F$12*$H$12*$J$12</f>
        <v/>
      </c>
      <c r="F39" s="41">
        <f>F25*$F$12*$H$12*$J$12</f>
        <v/>
      </c>
      <c r="G39" s="41">
        <f>G25*$F$12*$H$12*$J$12</f>
        <v/>
      </c>
      <c r="H39" s="41">
        <f>H25*$F$12*$H$12*$J$12</f>
        <v/>
      </c>
      <c r="I39" s="41">
        <f>I25*$F$12*$H$12*$J$12</f>
        <v/>
      </c>
      <c r="J39" s="41">
        <f>J25*$F$12*$H$12*$J$12</f>
        <v/>
      </c>
      <c r="K39" s="41">
        <f>K25*$F$12*$H$12*$J$12</f>
        <v/>
      </c>
      <c r="L39" s="41">
        <f>L25*$F$12*$H$12*$J$12</f>
        <v/>
      </c>
      <c r="M39" s="41">
        <f>M25*$F$12*$H$12*$J$12</f>
        <v/>
      </c>
      <c r="N39" s="41">
        <f>N25*$F$12*$H$12*$J$12</f>
        <v/>
      </c>
      <c r="O39" s="41">
        <f>O25*$F$12*$H$12*$J$12</f>
        <v/>
      </c>
      <c r="P39" s="41">
        <f>P25*$F$12*$H$12*$J$12</f>
        <v/>
      </c>
      <c r="Q39" s="41">
        <f>Q25*$F$12*$H$12*$J$12</f>
        <v/>
      </c>
      <c r="R39" s="41">
        <f>R25*$F$12*$H$12*$J$12</f>
        <v/>
      </c>
      <c r="S39" s="41">
        <f>S25*$F$12*$H$12*$J$12</f>
        <v/>
      </c>
      <c r="T39" s="41">
        <f>T25*$F$12*$H$12*$J$12</f>
        <v/>
      </c>
      <c r="U39" s="41">
        <f>U25*$F$12*$H$12*$J$12</f>
        <v/>
      </c>
      <c r="V39" s="41">
        <f>V25*$F$12*$H$12*$J$12</f>
        <v/>
      </c>
      <c r="W39" s="41">
        <f>W25*$F$12*$H$12*$J$12</f>
        <v/>
      </c>
      <c r="X39" s="41">
        <f>X25*$F$12*$H$12*$J$12</f>
        <v/>
      </c>
      <c r="Y39" s="41">
        <f>Y25*$F$12*$H$12*$J$12</f>
        <v/>
      </c>
      <c r="Z39" s="41">
        <f>Z25*$F$12*$H$12*$J$12</f>
        <v/>
      </c>
      <c r="AA39" s="41">
        <f>AA25*$F$12*$H$12*$J$12</f>
        <v/>
      </c>
      <c r="AB39" s="41">
        <f>AB25*$F$12*$H$12*$J$12</f>
        <v/>
      </c>
      <c r="AC39" s="41">
        <f>AC25*$F$12*$H$12*$J$12</f>
        <v/>
      </c>
      <c r="AD39" s="41">
        <f>AD25*$F$12*$H$12*$J$12</f>
        <v/>
      </c>
      <c r="AE39" s="41">
        <f>AE25*$F$12*$H$12*$J$12</f>
        <v/>
      </c>
      <c r="AF39" s="41">
        <f>AF25*$F$12*$H$12*$J$12</f>
        <v/>
      </c>
      <c r="AG39" s="41">
        <f>AG25*$F$12*$H$12*$J$12</f>
        <v/>
      </c>
      <c r="AH39" s="41">
        <f>AH25*$F$12*$H$12*$J$12</f>
        <v/>
      </c>
      <c r="AI39" s="41">
        <f>AI25*$F$12*$H$12*$J$12</f>
        <v/>
      </c>
      <c r="AJ39" s="41">
        <f>AJ25*$F$12*$H$12*$J$12</f>
        <v/>
      </c>
      <c r="AK39" s="41">
        <f>AK25*$F$12*$H$12*$J$12</f>
        <v/>
      </c>
      <c r="AL39" s="41">
        <f>AL25*$F$12*$H$12*$J$12</f>
        <v/>
      </c>
      <c r="AM39" s="2" t="n"/>
      <c r="A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  <c r="AL40" s="2" t="n"/>
      <c r="AM40" s="2" t="n"/>
      <c r="AN40" s="2" t="n"/>
    </row>
    <row r="41">
      <c r="A41" s="8" t="inlineStr">
        <is>
          <t>MINCoRSV1</t>
        </is>
      </c>
      <c r="B41" s="8" t="inlineStr">
        <is>
          <t>CUM</t>
        </is>
      </c>
      <c r="C41" s="23" t="n"/>
      <c r="D41" s="41">
        <f>D26*$F$13*$H$13</f>
        <v/>
      </c>
      <c r="E41" s="41">
        <f>E26*$F$13*$H$13</f>
        <v/>
      </c>
      <c r="F41" s="41">
        <f>F26*$F$13*$H$13</f>
        <v/>
      </c>
      <c r="G41" s="41">
        <f>G26*$F$13*$H$13</f>
        <v/>
      </c>
      <c r="H41" s="41">
        <f>H26*$F$13*$H$13</f>
        <v/>
      </c>
      <c r="I41" s="41">
        <f>I26*$F$13*$H$13</f>
        <v/>
      </c>
      <c r="J41" s="41">
        <f>J26*$F$13*$H$13</f>
        <v/>
      </c>
      <c r="K41" s="41">
        <f>K26*$F$13*$H$13</f>
        <v/>
      </c>
      <c r="L41" s="41">
        <f>L26*$F$13*$H$13</f>
        <v/>
      </c>
      <c r="M41" s="41">
        <f>M26*$F$13*$H$13</f>
        <v/>
      </c>
      <c r="N41" s="41">
        <f>N26*$F$13*$H$13</f>
        <v/>
      </c>
      <c r="O41" s="41">
        <f>O26*$F$13*$H$13</f>
        <v/>
      </c>
      <c r="P41" s="41">
        <f>P26*$F$13*$H$13</f>
        <v/>
      </c>
      <c r="Q41" s="41">
        <f>Q26*$F$13*$H$13</f>
        <v/>
      </c>
      <c r="R41" s="41">
        <f>R26*$F$13*$H$13</f>
        <v/>
      </c>
      <c r="S41" s="41">
        <f>S26*$F$13*$H$13</f>
        <v/>
      </c>
      <c r="T41" s="41">
        <f>T26*$F$13*$H$13</f>
        <v/>
      </c>
      <c r="U41" s="41">
        <f>U26*$F$13*$H$13</f>
        <v/>
      </c>
      <c r="V41" s="41">
        <f>V26*$F$13*$H$13</f>
        <v/>
      </c>
      <c r="W41" s="41">
        <f>W26*$F$13*$H$13</f>
        <v/>
      </c>
      <c r="X41" s="41">
        <f>X26*$F$13*$H$13</f>
        <v/>
      </c>
      <c r="Y41" s="41">
        <f>Y26*$F$13*$H$13</f>
        <v/>
      </c>
      <c r="Z41" s="41">
        <f>Z26*$F$13*$H$13</f>
        <v/>
      </c>
      <c r="AA41" s="41">
        <f>AA26*$F$13*$H$13</f>
        <v/>
      </c>
      <c r="AB41" s="41">
        <f>AB26*$F$13*$H$13</f>
        <v/>
      </c>
      <c r="AC41" s="41">
        <f>AC26*$F$13*$H$13</f>
        <v/>
      </c>
      <c r="AD41" s="41">
        <f>AD26*$F$13*$H$13</f>
        <v/>
      </c>
      <c r="AE41" s="41">
        <f>AE26*$F$13*$H$13</f>
        <v/>
      </c>
      <c r="AF41" s="41">
        <f>AF26*$F$13*$H$13</f>
        <v/>
      </c>
      <c r="AG41" s="41">
        <f>AG26*$F$13*$H$13</f>
        <v/>
      </c>
      <c r="AH41" s="41">
        <f>AH26*$F$13*$H$13</f>
        <v/>
      </c>
      <c r="AI41" s="41">
        <f>AI26*$F$13*$H$13</f>
        <v/>
      </c>
      <c r="AJ41" s="41">
        <f>AJ26*$F$13*$H$13</f>
        <v/>
      </c>
      <c r="AK41" s="41">
        <f>AK26*$F$13*$H$13</f>
        <v/>
      </c>
      <c r="AL41" s="41">
        <f>AL26*$F$13*$H$13</f>
        <v/>
      </c>
      <c r="AM41" s="2" t="n"/>
      <c r="AN41" s="2" t="n"/>
    </row>
    <row r="42">
      <c r="A42" s="16" t="inlineStr">
        <is>
          <t>MINCoRSV2</t>
        </is>
      </c>
      <c r="B42" s="16" t="inlineStr">
        <is>
          <t>CUM</t>
        </is>
      </c>
      <c r="C42" s="25" t="n"/>
      <c r="D42" s="39">
        <f>D26*$F$13*$H$13*$I$13</f>
        <v/>
      </c>
      <c r="E42" s="39">
        <f>E26*$F$13*$H$13*$I$13</f>
        <v/>
      </c>
      <c r="F42" s="39">
        <f>F26*$F$13*$H$13*$I$13</f>
        <v/>
      </c>
      <c r="G42" s="39">
        <f>G26*$F$13*$H$13*$I$13</f>
        <v/>
      </c>
      <c r="H42" s="39">
        <f>H26*$F$13*$H$13*$I$13</f>
        <v/>
      </c>
      <c r="I42" s="39">
        <f>I26*$F$13*$H$13*$I$13</f>
        <v/>
      </c>
      <c r="J42" s="39">
        <f>J26*$F$13*$H$13*$I$13</f>
        <v/>
      </c>
      <c r="K42" s="39">
        <f>K26*$F$13*$H$13*$I$13</f>
        <v/>
      </c>
      <c r="L42" s="39">
        <f>L26*$F$13*$H$13*$I$13</f>
        <v/>
      </c>
      <c r="M42" s="39">
        <f>M26*$F$13*$H$13*$I$13</f>
        <v/>
      </c>
      <c r="N42" s="39">
        <f>N26*$F$13*$H$13*$I$13</f>
        <v/>
      </c>
      <c r="O42" s="39">
        <f>O26*$F$13*$H$13*$I$13</f>
        <v/>
      </c>
      <c r="P42" s="39">
        <f>P26*$F$13*$H$13*$I$13</f>
        <v/>
      </c>
      <c r="Q42" s="39">
        <f>Q26*$F$13*$H$13*$I$13</f>
        <v/>
      </c>
      <c r="R42" s="39">
        <f>R26*$F$13*$H$13*$I$13</f>
        <v/>
      </c>
      <c r="S42" s="39">
        <f>S26*$F$13*$H$13*$I$13</f>
        <v/>
      </c>
      <c r="T42" s="39">
        <f>T26*$F$13*$H$13*$I$13</f>
        <v/>
      </c>
      <c r="U42" s="39">
        <f>U26*$F$13*$H$13*$I$13</f>
        <v/>
      </c>
      <c r="V42" s="39">
        <f>V26*$F$13*$H$13*$I$13</f>
        <v/>
      </c>
      <c r="W42" s="39">
        <f>W26*$F$13*$H$13*$I$13</f>
        <v/>
      </c>
      <c r="X42" s="39">
        <f>X26*$F$13*$H$13*$I$13</f>
        <v/>
      </c>
      <c r="Y42" s="39">
        <f>Y26*$F$13*$H$13*$I$13</f>
        <v/>
      </c>
      <c r="Z42" s="39">
        <f>Z26*$F$13*$H$13*$I$13</f>
        <v/>
      </c>
      <c r="AA42" s="39">
        <f>AA26*$F$13*$H$13*$I$13</f>
        <v/>
      </c>
      <c r="AB42" s="39">
        <f>AB26*$F$13*$H$13*$I$13</f>
        <v/>
      </c>
      <c r="AC42" s="39">
        <f>AC26*$F$13*$H$13*$I$13</f>
        <v/>
      </c>
      <c r="AD42" s="39">
        <f>AD26*$F$13*$H$13*$I$13</f>
        <v/>
      </c>
      <c r="AE42" s="39">
        <f>AE26*$F$13*$H$13*$I$13</f>
        <v/>
      </c>
      <c r="AF42" s="39">
        <f>AF26*$F$13*$H$13*$I$13</f>
        <v/>
      </c>
      <c r="AG42" s="39">
        <f>AG26*$F$13*$H$13*$I$13</f>
        <v/>
      </c>
      <c r="AH42" s="39">
        <f>AH26*$F$13*$H$13*$I$13</f>
        <v/>
      </c>
      <c r="AI42" s="39">
        <f>AI26*$F$13*$H$13*$I$13</f>
        <v/>
      </c>
      <c r="AJ42" s="39">
        <f>AJ26*$F$13*$H$13*$I$13</f>
        <v/>
      </c>
      <c r="AK42" s="39">
        <f>AK26*$F$13*$H$13*$I$13</f>
        <v/>
      </c>
      <c r="AL42" s="39">
        <f>AL26*$F$13*$H$13*$I$13</f>
        <v/>
      </c>
      <c r="AM42" s="2" t="n"/>
      <c r="AN42" s="2" t="n"/>
    </row>
    <row r="43">
      <c r="A43" s="8" t="inlineStr">
        <is>
          <t>MINCoRSV3</t>
        </is>
      </c>
      <c r="B43" s="8" t="inlineStr">
        <is>
          <t>CUM</t>
        </is>
      </c>
      <c r="C43" s="23" t="n"/>
      <c r="D43" s="41">
        <f>D26*$F$13*$H$13*$J$13</f>
        <v/>
      </c>
      <c r="E43" s="41">
        <f>E26*$F$13*$H$13*$J$13</f>
        <v/>
      </c>
      <c r="F43" s="41">
        <f>F26*$F$13*$H$13*$J$13</f>
        <v/>
      </c>
      <c r="G43" s="41">
        <f>G26*$F$13*$H$13*$J$13</f>
        <v/>
      </c>
      <c r="H43" s="41">
        <f>H26*$F$13*$H$13*$J$13</f>
        <v/>
      </c>
      <c r="I43" s="41">
        <f>I26*$F$13*$H$13*$J$13</f>
        <v/>
      </c>
      <c r="J43" s="41">
        <f>J26*$F$13*$H$13*$J$13</f>
        <v/>
      </c>
      <c r="K43" s="41">
        <f>K26*$F$13*$H$13*$J$13</f>
        <v/>
      </c>
      <c r="L43" s="41">
        <f>L26*$F$13*$H$13*$J$13</f>
        <v/>
      </c>
      <c r="M43" s="41">
        <f>M26*$F$13*$H$13*$J$13</f>
        <v/>
      </c>
      <c r="N43" s="41">
        <f>N26*$F$13*$H$13*$J$13</f>
        <v/>
      </c>
      <c r="O43" s="41">
        <f>O26*$F$13*$H$13*$J$13</f>
        <v/>
      </c>
      <c r="P43" s="41">
        <f>P26*$F$13*$H$13*$J$13</f>
        <v/>
      </c>
      <c r="Q43" s="41">
        <f>Q26*$F$13*$H$13*$J$13</f>
        <v/>
      </c>
      <c r="R43" s="41">
        <f>R26*$F$13*$H$13*$J$13</f>
        <v/>
      </c>
      <c r="S43" s="41">
        <f>S26*$F$13*$H$13*$J$13</f>
        <v/>
      </c>
      <c r="T43" s="41">
        <f>T26*$F$13*$H$13*$J$13</f>
        <v/>
      </c>
      <c r="U43" s="41">
        <f>U26*$F$13*$H$13*$J$13</f>
        <v/>
      </c>
      <c r="V43" s="41">
        <f>V26*$F$13*$H$13*$J$13</f>
        <v/>
      </c>
      <c r="W43" s="41">
        <f>W26*$F$13*$H$13*$J$13</f>
        <v/>
      </c>
      <c r="X43" s="41">
        <f>X26*$F$13*$H$13*$J$13</f>
        <v/>
      </c>
      <c r="Y43" s="41">
        <f>Y26*$F$13*$H$13*$J$13</f>
        <v/>
      </c>
      <c r="Z43" s="41">
        <f>Z26*$F$13*$H$13*$J$13</f>
        <v/>
      </c>
      <c r="AA43" s="41">
        <f>AA26*$F$13*$H$13*$J$13</f>
        <v/>
      </c>
      <c r="AB43" s="41">
        <f>AB26*$F$13*$H$13*$J$13</f>
        <v/>
      </c>
      <c r="AC43" s="41">
        <f>AC26*$F$13*$H$13*$J$13</f>
        <v/>
      </c>
      <c r="AD43" s="41">
        <f>AD26*$F$13*$H$13*$J$13</f>
        <v/>
      </c>
      <c r="AE43" s="41">
        <f>AE26*$F$13*$H$13*$J$13</f>
        <v/>
      </c>
      <c r="AF43" s="41">
        <f>AF26*$F$13*$H$13*$J$13</f>
        <v/>
      </c>
      <c r="AG43" s="41">
        <f>AG26*$F$13*$H$13*$J$13</f>
        <v/>
      </c>
      <c r="AH43" s="41">
        <f>AH26*$F$13*$H$13*$J$13</f>
        <v/>
      </c>
      <c r="AI43" s="41">
        <f>AI26*$F$13*$H$13*$J$13</f>
        <v/>
      </c>
      <c r="AJ43" s="41">
        <f>AJ26*$F$13*$H$13*$J$13</f>
        <v/>
      </c>
      <c r="AK43" s="41">
        <f>AK26*$F$13*$H$13*$J$13</f>
        <v/>
      </c>
      <c r="AL43" s="41">
        <f>AL26*$F$13*$H$13*$J$13</f>
        <v/>
      </c>
      <c r="AM43" s="2" t="n"/>
      <c r="A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2" t="n"/>
    </row>
    <row r="45">
      <c r="A45" s="8" t="inlineStr">
        <is>
          <t>MINNiRSV1</t>
        </is>
      </c>
      <c r="B45" s="8" t="inlineStr">
        <is>
          <t>CUM</t>
        </is>
      </c>
      <c r="C45" s="23" t="n"/>
      <c r="D45" s="41">
        <f>D27*$F$14*$H$14</f>
        <v/>
      </c>
      <c r="E45" s="41">
        <f>E27*$F$14*$H$14</f>
        <v/>
      </c>
      <c r="F45" s="41">
        <f>F27*$F$14*$H$14</f>
        <v/>
      </c>
      <c r="G45" s="41">
        <f>G27*$F$14*$H$14</f>
        <v/>
      </c>
      <c r="H45" s="41">
        <f>H27*$F$14*$H$14</f>
        <v/>
      </c>
      <c r="I45" s="41">
        <f>I27*$F$14*$H$14</f>
        <v/>
      </c>
      <c r="J45" s="41">
        <f>J27*$F$14*$H$14</f>
        <v/>
      </c>
      <c r="K45" s="41">
        <f>K27*$F$14*$H$14</f>
        <v/>
      </c>
      <c r="L45" s="41">
        <f>L27*$F$14*$H$14</f>
        <v/>
      </c>
      <c r="M45" s="41">
        <f>M27*$F$14*$H$14</f>
        <v/>
      </c>
      <c r="N45" s="41">
        <f>N27*$F$14*$H$14</f>
        <v/>
      </c>
      <c r="O45" s="41">
        <f>O27*$F$14*$H$14</f>
        <v/>
      </c>
      <c r="P45" s="41">
        <f>P27*$F$14*$H$14</f>
        <v/>
      </c>
      <c r="Q45" s="41">
        <f>Q27*$F$14*$H$14</f>
        <v/>
      </c>
      <c r="R45" s="41">
        <f>R27*$F$14*$H$14</f>
        <v/>
      </c>
      <c r="S45" s="41">
        <f>S27*$F$14*$H$14</f>
        <v/>
      </c>
      <c r="T45" s="41">
        <f>T27*$F$14*$H$14</f>
        <v/>
      </c>
      <c r="U45" s="41">
        <f>U27*$F$14*$H$14</f>
        <v/>
      </c>
      <c r="V45" s="41">
        <f>V27*$F$14*$H$14</f>
        <v/>
      </c>
      <c r="W45" s="41">
        <f>W27*$F$14*$H$14</f>
        <v/>
      </c>
      <c r="X45" s="41">
        <f>X27*$F$14*$H$14</f>
        <v/>
      </c>
      <c r="Y45" s="41">
        <f>Y27*$F$14*$H$14</f>
        <v/>
      </c>
      <c r="Z45" s="41">
        <f>Z27*$F$14*$H$14</f>
        <v/>
      </c>
      <c r="AA45" s="41">
        <f>AA27*$F$14*$H$14</f>
        <v/>
      </c>
      <c r="AB45" s="41">
        <f>AB27*$F$14*$H$14</f>
        <v/>
      </c>
      <c r="AC45" s="41">
        <f>AC27*$F$14*$H$14</f>
        <v/>
      </c>
      <c r="AD45" s="41">
        <f>AD27*$F$14*$H$14</f>
        <v/>
      </c>
      <c r="AE45" s="41">
        <f>AE27*$F$14*$H$14</f>
        <v/>
      </c>
      <c r="AF45" s="41">
        <f>AF27*$F$14*$H$14</f>
        <v/>
      </c>
      <c r="AG45" s="41">
        <f>AG27*$F$14*$H$14</f>
        <v/>
      </c>
      <c r="AH45" s="41">
        <f>AH27*$F$14*$H$14</f>
        <v/>
      </c>
      <c r="AI45" s="41">
        <f>AI27*$F$14*$H$14</f>
        <v/>
      </c>
      <c r="AJ45" s="41">
        <f>AJ27*$F$14*$H$14</f>
        <v/>
      </c>
      <c r="AK45" s="41">
        <f>AK27*$F$14*$H$14</f>
        <v/>
      </c>
      <c r="AL45" s="41">
        <f>AL27*$F$14*$H$14</f>
        <v/>
      </c>
      <c r="AM45" s="2" t="n"/>
      <c r="AN45" s="2" t="n"/>
    </row>
    <row r="46">
      <c r="A46" s="16" t="inlineStr">
        <is>
          <t>MINNiRSV2</t>
        </is>
      </c>
      <c r="B46" s="16" t="inlineStr">
        <is>
          <t>CUM</t>
        </is>
      </c>
      <c r="C46" s="25" t="n"/>
      <c r="D46" s="39">
        <f>D27*$F$14*$H$14*$I$14</f>
        <v/>
      </c>
      <c r="E46" s="39">
        <f>E27*$F$14*$H$14*$I$14</f>
        <v/>
      </c>
      <c r="F46" s="39">
        <f>F27*$F$14*$H$14*$I$14</f>
        <v/>
      </c>
      <c r="G46" s="39">
        <f>G27*$F$14*$H$14*$I$14</f>
        <v/>
      </c>
      <c r="H46" s="39">
        <f>H27*$F$14*$H$14*$I$14</f>
        <v/>
      </c>
      <c r="I46" s="39">
        <f>I27*$F$14*$H$14*$I$14</f>
        <v/>
      </c>
      <c r="J46" s="39">
        <f>J27*$F$14*$H$14*$I$14</f>
        <v/>
      </c>
      <c r="K46" s="39">
        <f>K27*$F$14*$H$14*$I$14</f>
        <v/>
      </c>
      <c r="L46" s="39">
        <f>L27*$F$14*$H$14*$I$14</f>
        <v/>
      </c>
      <c r="M46" s="39">
        <f>M27*$F$14*$H$14*$I$14</f>
        <v/>
      </c>
      <c r="N46" s="39">
        <f>N27*$F$14*$H$14*$I$14</f>
        <v/>
      </c>
      <c r="O46" s="39">
        <f>O27*$F$14*$H$14*$I$14</f>
        <v/>
      </c>
      <c r="P46" s="39">
        <f>P27*$F$14*$H$14*$I$14</f>
        <v/>
      </c>
      <c r="Q46" s="39">
        <f>Q27*$F$14*$H$14*$I$14</f>
        <v/>
      </c>
      <c r="R46" s="39">
        <f>R27*$F$14*$H$14*$I$14</f>
        <v/>
      </c>
      <c r="S46" s="39">
        <f>S27*$F$14*$H$14*$I$14</f>
        <v/>
      </c>
      <c r="T46" s="39">
        <f>T27*$F$14*$H$14*$I$14</f>
        <v/>
      </c>
      <c r="U46" s="39">
        <f>U27*$F$14*$H$14*$I$14</f>
        <v/>
      </c>
      <c r="V46" s="39">
        <f>V27*$F$14*$H$14*$I$14</f>
        <v/>
      </c>
      <c r="W46" s="39">
        <f>W27*$F$14*$H$14*$I$14</f>
        <v/>
      </c>
      <c r="X46" s="39">
        <f>X27*$F$14*$H$14*$I$14</f>
        <v/>
      </c>
      <c r="Y46" s="39">
        <f>Y27*$F$14*$H$14*$I$14</f>
        <v/>
      </c>
      <c r="Z46" s="39">
        <f>Z27*$F$14*$H$14*$I$14</f>
        <v/>
      </c>
      <c r="AA46" s="39">
        <f>AA27*$F$14*$H$14*$I$14</f>
        <v/>
      </c>
      <c r="AB46" s="39">
        <f>AB27*$F$14*$H$14*$I$14</f>
        <v/>
      </c>
      <c r="AC46" s="39">
        <f>AC27*$F$14*$H$14*$I$14</f>
        <v/>
      </c>
      <c r="AD46" s="39">
        <f>AD27*$F$14*$H$14*$I$14</f>
        <v/>
      </c>
      <c r="AE46" s="39">
        <f>AE27*$F$14*$H$14*$I$14</f>
        <v/>
      </c>
      <c r="AF46" s="39">
        <f>AF27*$F$14*$H$14*$I$14</f>
        <v/>
      </c>
      <c r="AG46" s="39">
        <f>AG27*$F$14*$H$14*$I$14</f>
        <v/>
      </c>
      <c r="AH46" s="39">
        <f>AH27*$F$14*$H$14*$I$14</f>
        <v/>
      </c>
      <c r="AI46" s="39">
        <f>AI27*$F$14*$H$14*$I$14</f>
        <v/>
      </c>
      <c r="AJ46" s="39">
        <f>AJ27*$F$14*$H$14*$I$14</f>
        <v/>
      </c>
      <c r="AK46" s="39">
        <f>AK27*$F$14*$H$14*$I$14</f>
        <v/>
      </c>
      <c r="AL46" s="39">
        <f>AL27*$F$14*$H$14*$I$14</f>
        <v/>
      </c>
      <c r="AM46" s="2" t="n"/>
      <c r="AN46" s="2" t="n"/>
    </row>
    <row r="47">
      <c r="A47" s="8" t="inlineStr">
        <is>
          <t>MINNiRSV3</t>
        </is>
      </c>
      <c r="B47" s="8" t="inlineStr">
        <is>
          <t>CUM</t>
        </is>
      </c>
      <c r="C47" s="23" t="n"/>
      <c r="D47" s="41">
        <f>D27*$F$14*$H$14*$J$14</f>
        <v/>
      </c>
      <c r="E47" s="41">
        <f>E27*$F$14*$H$14*$J$14</f>
        <v/>
      </c>
      <c r="F47" s="41">
        <f>F27*$F$14*$H$14*$J$14</f>
        <v/>
      </c>
      <c r="G47" s="41">
        <f>G27*$F$14*$H$14*$J$14</f>
        <v/>
      </c>
      <c r="H47" s="41">
        <f>H27*$F$14*$H$14*$J$14</f>
        <v/>
      </c>
      <c r="I47" s="41">
        <f>I27*$F$14*$H$14*$J$14</f>
        <v/>
      </c>
      <c r="J47" s="41">
        <f>J27*$F$14*$H$14*$J$14</f>
        <v/>
      </c>
      <c r="K47" s="41">
        <f>K27*$F$14*$H$14*$J$14</f>
        <v/>
      </c>
      <c r="L47" s="41">
        <f>L27*$F$14*$H$14*$J$14</f>
        <v/>
      </c>
      <c r="M47" s="41">
        <f>M27*$F$14*$H$14*$J$14</f>
        <v/>
      </c>
      <c r="N47" s="41">
        <f>N27*$F$14*$H$14*$J$14</f>
        <v/>
      </c>
      <c r="O47" s="41">
        <f>O27*$F$14*$H$14*$J$14</f>
        <v/>
      </c>
      <c r="P47" s="41">
        <f>P27*$F$14*$H$14*$J$14</f>
        <v/>
      </c>
      <c r="Q47" s="41">
        <f>Q27*$F$14*$H$14*$J$14</f>
        <v/>
      </c>
      <c r="R47" s="41">
        <f>R27*$F$14*$H$14*$J$14</f>
        <v/>
      </c>
      <c r="S47" s="41">
        <f>S27*$F$14*$H$14*$J$14</f>
        <v/>
      </c>
      <c r="T47" s="41">
        <f>T27*$F$14*$H$14*$J$14</f>
        <v/>
      </c>
      <c r="U47" s="41">
        <f>U27*$F$14*$H$14*$J$14</f>
        <v/>
      </c>
      <c r="V47" s="41">
        <f>V27*$F$14*$H$14*$J$14</f>
        <v/>
      </c>
      <c r="W47" s="41">
        <f>W27*$F$14*$H$14*$J$14</f>
        <v/>
      </c>
      <c r="X47" s="41">
        <f>X27*$F$14*$H$14*$J$14</f>
        <v/>
      </c>
      <c r="Y47" s="41">
        <f>Y27*$F$14*$H$14*$J$14</f>
        <v/>
      </c>
      <c r="Z47" s="41">
        <f>Z27*$F$14*$H$14*$J$14</f>
        <v/>
      </c>
      <c r="AA47" s="41">
        <f>AA27*$F$14*$H$14*$J$14</f>
        <v/>
      </c>
      <c r="AB47" s="41">
        <f>AB27*$F$14*$H$14*$J$14</f>
        <v/>
      </c>
      <c r="AC47" s="41">
        <f>AC27*$F$14*$H$14*$J$14</f>
        <v/>
      </c>
      <c r="AD47" s="41">
        <f>AD27*$F$14*$H$14*$J$14</f>
        <v/>
      </c>
      <c r="AE47" s="41">
        <f>AE27*$F$14*$H$14*$J$14</f>
        <v/>
      </c>
      <c r="AF47" s="41">
        <f>AF27*$F$14*$H$14*$J$14</f>
        <v/>
      </c>
      <c r="AG47" s="41">
        <f>AG27*$F$14*$H$14*$J$14</f>
        <v/>
      </c>
      <c r="AH47" s="41">
        <f>AH27*$F$14*$H$14*$J$14</f>
        <v/>
      </c>
      <c r="AI47" s="41">
        <f>AI27*$F$14*$H$14*$J$14</f>
        <v/>
      </c>
      <c r="AJ47" s="41">
        <f>AJ27*$F$14*$H$14*$J$14</f>
        <v/>
      </c>
      <c r="AK47" s="41">
        <f>AK27*$F$14*$H$14*$J$14</f>
        <v/>
      </c>
      <c r="AL47" s="41">
        <f>AL27*$F$14*$H$14*$J$14</f>
        <v/>
      </c>
      <c r="AM47" s="2" t="n"/>
      <c r="A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  <c r="AM48" s="2" t="n"/>
      <c r="AN48" s="2" t="n"/>
    </row>
    <row r="49">
      <c r="A49" s="8" t="inlineStr">
        <is>
          <t>MINMnRSV1</t>
        </is>
      </c>
      <c r="B49" s="8" t="inlineStr">
        <is>
          <t>CUM</t>
        </is>
      </c>
      <c r="C49" s="23" t="n"/>
      <c r="D49" s="41">
        <f>D28*$F$15*$H$15</f>
        <v/>
      </c>
      <c r="E49" s="41">
        <f>E28*$F$15*$H$15</f>
        <v/>
      </c>
      <c r="F49" s="41">
        <f>F28*$F$15*$H$15</f>
        <v/>
      </c>
      <c r="G49" s="41">
        <f>G28*$F$15*$H$15</f>
        <v/>
      </c>
      <c r="H49" s="41">
        <f>H28*$F$15*$H$15</f>
        <v/>
      </c>
      <c r="I49" s="41">
        <f>I28*$F$15*$H$15</f>
        <v/>
      </c>
      <c r="J49" s="41">
        <f>J28*$F$15*$H$15</f>
        <v/>
      </c>
      <c r="K49" s="41">
        <f>K28*$F$15*$H$15</f>
        <v/>
      </c>
      <c r="L49" s="41">
        <f>L28*$F$15*$H$15</f>
        <v/>
      </c>
      <c r="M49" s="41">
        <f>M28*$F$15*$H$15</f>
        <v/>
      </c>
      <c r="N49" s="41">
        <f>N28*$F$15*$H$15</f>
        <v/>
      </c>
      <c r="O49" s="41">
        <f>O28*$F$15*$H$15</f>
        <v/>
      </c>
      <c r="P49" s="41">
        <f>P28*$F$15*$H$15</f>
        <v/>
      </c>
      <c r="Q49" s="41">
        <f>Q28*$F$15*$H$15</f>
        <v/>
      </c>
      <c r="R49" s="41">
        <f>R28*$F$15*$H$15</f>
        <v/>
      </c>
      <c r="S49" s="41">
        <f>S28*$F$15*$H$15</f>
        <v/>
      </c>
      <c r="T49" s="41">
        <f>T28*$F$15*$H$15</f>
        <v/>
      </c>
      <c r="U49" s="41">
        <f>U28*$F$15*$H$15</f>
        <v/>
      </c>
      <c r="V49" s="41">
        <f>V28*$F$15*$H$15</f>
        <v/>
      </c>
      <c r="W49" s="41">
        <f>W28*$F$15*$H$15</f>
        <v/>
      </c>
      <c r="X49" s="41">
        <f>X28*$F$15*$H$15</f>
        <v/>
      </c>
      <c r="Y49" s="41">
        <f>Y28*$F$15*$H$15</f>
        <v/>
      </c>
      <c r="Z49" s="41">
        <f>Z28*$F$15*$H$15</f>
        <v/>
      </c>
      <c r="AA49" s="41">
        <f>AA28*$F$15*$H$15</f>
        <v/>
      </c>
      <c r="AB49" s="41">
        <f>AB28*$F$15*$H$15</f>
        <v/>
      </c>
      <c r="AC49" s="41">
        <f>AC28*$F$15*$H$15</f>
        <v/>
      </c>
      <c r="AD49" s="41">
        <f>AD28*$F$15*$H$15</f>
        <v/>
      </c>
      <c r="AE49" s="41">
        <f>AE28*$F$15*$H$15</f>
        <v/>
      </c>
      <c r="AF49" s="41">
        <f>AF28*$F$15*$H$15</f>
        <v/>
      </c>
      <c r="AG49" s="41">
        <f>AG28*$F$15*$H$15</f>
        <v/>
      </c>
      <c r="AH49" s="41">
        <f>AH28*$F$15*$H$15</f>
        <v/>
      </c>
      <c r="AI49" s="41">
        <f>AI28*$F$15*$H$15</f>
        <v/>
      </c>
      <c r="AJ49" s="41">
        <f>AJ28*$F$15*$H$15</f>
        <v/>
      </c>
      <c r="AK49" s="41">
        <f>AK28*$F$15*$H$15</f>
        <v/>
      </c>
      <c r="AL49" s="41">
        <f>AL28*$F$15*$H$15</f>
        <v/>
      </c>
      <c r="AM49" s="2" t="n"/>
      <c r="AN49" s="2" t="n"/>
    </row>
    <row r="50">
      <c r="A50" s="16" t="inlineStr">
        <is>
          <t>MINMnRSV2</t>
        </is>
      </c>
      <c r="B50" s="16" t="inlineStr">
        <is>
          <t>CUM</t>
        </is>
      </c>
      <c r="C50" s="25" t="n"/>
      <c r="D50" s="39">
        <f>D28*$F$15*$H$15*$I$15</f>
        <v/>
      </c>
      <c r="E50" s="39">
        <f>E28*$F$15*$H$15*$I$15</f>
        <v/>
      </c>
      <c r="F50" s="39">
        <f>F28*$F$15*$H$15*$I$15</f>
        <v/>
      </c>
      <c r="G50" s="39">
        <f>G28*$F$15*$H$15*$I$15</f>
        <v/>
      </c>
      <c r="H50" s="39">
        <f>H28*$F$15*$H$15*$I$15</f>
        <v/>
      </c>
      <c r="I50" s="39">
        <f>I28*$F$15*$H$15*$I$15</f>
        <v/>
      </c>
      <c r="J50" s="39">
        <f>J28*$F$15*$H$15*$I$15</f>
        <v/>
      </c>
      <c r="K50" s="39">
        <f>K28*$F$15*$H$15*$I$15</f>
        <v/>
      </c>
      <c r="L50" s="39">
        <f>L28*$F$15*$H$15*$I$15</f>
        <v/>
      </c>
      <c r="M50" s="39">
        <f>M28*$F$15*$H$15*$I$15</f>
        <v/>
      </c>
      <c r="N50" s="39">
        <f>N28*$F$15*$H$15*$I$15</f>
        <v/>
      </c>
      <c r="O50" s="39">
        <f>O28*$F$15*$H$15*$I$15</f>
        <v/>
      </c>
      <c r="P50" s="39">
        <f>P28*$F$15*$H$15*$I$15</f>
        <v/>
      </c>
      <c r="Q50" s="39">
        <f>Q28*$F$15*$H$15*$I$15</f>
        <v/>
      </c>
      <c r="R50" s="39">
        <f>R28*$F$15*$H$15*$I$15</f>
        <v/>
      </c>
      <c r="S50" s="39">
        <f>S28*$F$15*$H$15*$I$15</f>
        <v/>
      </c>
      <c r="T50" s="39">
        <f>T28*$F$15*$H$15*$I$15</f>
        <v/>
      </c>
      <c r="U50" s="39">
        <f>U28*$F$15*$H$15*$I$15</f>
        <v/>
      </c>
      <c r="V50" s="39">
        <f>V28*$F$15*$H$15*$I$15</f>
        <v/>
      </c>
      <c r="W50" s="39">
        <f>W28*$F$15*$H$15*$I$15</f>
        <v/>
      </c>
      <c r="X50" s="39">
        <f>X28*$F$15*$H$15*$I$15</f>
        <v/>
      </c>
      <c r="Y50" s="39">
        <f>Y28*$F$15*$H$15*$I$15</f>
        <v/>
      </c>
      <c r="Z50" s="39">
        <f>Z28*$F$15*$H$15*$I$15</f>
        <v/>
      </c>
      <c r="AA50" s="39">
        <f>AA28*$F$15*$H$15*$I$15</f>
        <v/>
      </c>
      <c r="AB50" s="39">
        <f>AB28*$F$15*$H$15*$I$15</f>
        <v/>
      </c>
      <c r="AC50" s="39">
        <f>AC28*$F$15*$H$15*$I$15</f>
        <v/>
      </c>
      <c r="AD50" s="39">
        <f>AD28*$F$15*$H$15*$I$15</f>
        <v/>
      </c>
      <c r="AE50" s="39">
        <f>AE28*$F$15*$H$15*$I$15</f>
        <v/>
      </c>
      <c r="AF50" s="39">
        <f>AF28*$F$15*$H$15*$I$15</f>
        <v/>
      </c>
      <c r="AG50" s="39">
        <f>AG28*$F$15*$H$15*$I$15</f>
        <v/>
      </c>
      <c r="AH50" s="39">
        <f>AH28*$F$15*$H$15*$I$15</f>
        <v/>
      </c>
      <c r="AI50" s="39">
        <f>AI28*$F$15*$H$15*$I$15</f>
        <v/>
      </c>
      <c r="AJ50" s="39">
        <f>AJ28*$F$15*$H$15*$I$15</f>
        <v/>
      </c>
      <c r="AK50" s="39">
        <f>AK28*$F$15*$H$15*$I$15</f>
        <v/>
      </c>
      <c r="AL50" s="39">
        <f>AL28*$F$15*$H$15*$I$15</f>
        <v/>
      </c>
      <c r="AM50" s="2" t="n"/>
      <c r="AN50" s="2" t="n"/>
    </row>
    <row r="51">
      <c r="A51" s="8" t="inlineStr">
        <is>
          <t>MINMnRSV3</t>
        </is>
      </c>
      <c r="B51" s="8" t="inlineStr">
        <is>
          <t>CUM</t>
        </is>
      </c>
      <c r="C51" s="23" t="n"/>
      <c r="D51" s="41">
        <f>D28*$F$15*$H$15*$J$15</f>
        <v/>
      </c>
      <c r="E51" s="41">
        <f>E28*$F$15*$H$15*$J$15</f>
        <v/>
      </c>
      <c r="F51" s="41">
        <f>F28*$F$15*$H$15*$J$15</f>
        <v/>
      </c>
      <c r="G51" s="41">
        <f>G28*$F$15*$H$15*$J$15</f>
        <v/>
      </c>
      <c r="H51" s="41">
        <f>H28*$F$15*$H$15*$J$15</f>
        <v/>
      </c>
      <c r="I51" s="41">
        <f>I28*$F$15*$H$15*$J$15</f>
        <v/>
      </c>
      <c r="J51" s="41">
        <f>J28*$F$15*$H$15*$J$15</f>
        <v/>
      </c>
      <c r="K51" s="41">
        <f>K28*$F$15*$H$15*$J$15</f>
        <v/>
      </c>
      <c r="L51" s="41">
        <f>L28*$F$15*$H$15*$J$15</f>
        <v/>
      </c>
      <c r="M51" s="41">
        <f>M28*$F$15*$H$15*$J$15</f>
        <v/>
      </c>
      <c r="N51" s="41">
        <f>N28*$F$15*$H$15*$J$15</f>
        <v/>
      </c>
      <c r="O51" s="41">
        <f>O28*$F$15*$H$15*$J$15</f>
        <v/>
      </c>
      <c r="P51" s="41">
        <f>P28*$F$15*$H$15*$J$15</f>
        <v/>
      </c>
      <c r="Q51" s="41">
        <f>Q28*$F$15*$H$15*$J$15</f>
        <v/>
      </c>
      <c r="R51" s="41">
        <f>R28*$F$15*$H$15*$J$15</f>
        <v/>
      </c>
      <c r="S51" s="41">
        <f>S28*$F$15*$H$15*$J$15</f>
        <v/>
      </c>
      <c r="T51" s="41">
        <f>T28*$F$15*$H$15*$J$15</f>
        <v/>
      </c>
      <c r="U51" s="41">
        <f>U28*$F$15*$H$15*$J$15</f>
        <v/>
      </c>
      <c r="V51" s="41">
        <f>V28*$F$15*$H$15*$J$15</f>
        <v/>
      </c>
      <c r="W51" s="41">
        <f>W28*$F$15*$H$15*$J$15</f>
        <v/>
      </c>
      <c r="X51" s="41">
        <f>X28*$F$15*$H$15*$J$15</f>
        <v/>
      </c>
      <c r="Y51" s="41">
        <f>Y28*$F$15*$H$15*$J$15</f>
        <v/>
      </c>
      <c r="Z51" s="41">
        <f>Z28*$F$15*$H$15*$J$15</f>
        <v/>
      </c>
      <c r="AA51" s="41">
        <f>AA28*$F$15*$H$15*$J$15</f>
        <v/>
      </c>
      <c r="AB51" s="41">
        <f>AB28*$F$15*$H$15*$J$15</f>
        <v/>
      </c>
      <c r="AC51" s="41">
        <f>AC28*$F$15*$H$15*$J$15</f>
        <v/>
      </c>
      <c r="AD51" s="41">
        <f>AD28*$F$15*$H$15*$J$15</f>
        <v/>
      </c>
      <c r="AE51" s="41">
        <f>AE28*$F$15*$H$15*$J$15</f>
        <v/>
      </c>
      <c r="AF51" s="41">
        <f>AF28*$F$15*$H$15*$J$15</f>
        <v/>
      </c>
      <c r="AG51" s="41">
        <f>AG28*$F$15*$H$15*$J$15</f>
        <v/>
      </c>
      <c r="AH51" s="41">
        <f>AH28*$F$15*$H$15*$J$15</f>
        <v/>
      </c>
      <c r="AI51" s="41">
        <f>AI28*$F$15*$H$15*$J$15</f>
        <v/>
      </c>
      <c r="AJ51" s="41">
        <f>AJ28*$F$15*$H$15*$J$15</f>
        <v/>
      </c>
      <c r="AK51" s="41">
        <f>AK28*$F$15*$H$15*$J$15</f>
        <v/>
      </c>
      <c r="AL51" s="41">
        <f>AL28*$F$15*$H$15*$J$15</f>
        <v/>
      </c>
      <c r="AM51" s="2" t="n"/>
      <c r="A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  <c r="AL52" s="2" t="n"/>
      <c r="AM52" s="2" t="n"/>
      <c r="AN52" s="2" t="n"/>
    </row>
    <row r="53">
      <c r="A53" s="8" t="inlineStr">
        <is>
          <t>MINCuRSV1</t>
        </is>
      </c>
      <c r="B53" s="8" t="inlineStr">
        <is>
          <t>CUM</t>
        </is>
      </c>
      <c r="C53" s="23" t="n"/>
      <c r="D53" s="41">
        <f>D29*$F$16*$H$16</f>
        <v/>
      </c>
      <c r="E53" s="41">
        <f>E29*$F$16*$H$16</f>
        <v/>
      </c>
      <c r="F53" s="41">
        <f>F29*$F$16*$H$16</f>
        <v/>
      </c>
      <c r="G53" s="41">
        <f>G29*$F$16*$H$16</f>
        <v/>
      </c>
      <c r="H53" s="41">
        <f>H29*$F$16*$H$16</f>
        <v/>
      </c>
      <c r="I53" s="41">
        <f>I29*$F$16*$H$16</f>
        <v/>
      </c>
      <c r="J53" s="41">
        <f>J29*$F$16*$H$16</f>
        <v/>
      </c>
      <c r="K53" s="41">
        <f>K29*$F$16*$H$16</f>
        <v/>
      </c>
      <c r="L53" s="41">
        <f>L29*$F$16*$H$16</f>
        <v/>
      </c>
      <c r="M53" s="41">
        <f>M29*$F$16*$H$16</f>
        <v/>
      </c>
      <c r="N53" s="41">
        <f>N29*$F$16*$H$16</f>
        <v/>
      </c>
      <c r="O53" s="41">
        <f>O29*$F$16*$H$16</f>
        <v/>
      </c>
      <c r="P53" s="41">
        <f>P29*$F$16*$H$16</f>
        <v/>
      </c>
      <c r="Q53" s="41">
        <f>Q29*$F$16*$H$16</f>
        <v/>
      </c>
      <c r="R53" s="41">
        <f>R29*$F$16*$H$16</f>
        <v/>
      </c>
      <c r="S53" s="41">
        <f>S29*$F$16*$H$16</f>
        <v/>
      </c>
      <c r="T53" s="41">
        <f>T29*$F$16*$H$16</f>
        <v/>
      </c>
      <c r="U53" s="41">
        <f>U29*$F$16*$H$16</f>
        <v/>
      </c>
      <c r="V53" s="41">
        <f>V29*$F$16*$H$16</f>
        <v/>
      </c>
      <c r="W53" s="41">
        <f>W29*$F$16*$H$16</f>
        <v/>
      </c>
      <c r="X53" s="41">
        <f>X29*$F$16*$H$16</f>
        <v/>
      </c>
      <c r="Y53" s="41">
        <f>Y29*$F$16*$H$16</f>
        <v/>
      </c>
      <c r="Z53" s="41">
        <f>Z29*$F$16*$H$16</f>
        <v/>
      </c>
      <c r="AA53" s="41">
        <f>AA29*$F$16*$H$16</f>
        <v/>
      </c>
      <c r="AB53" s="41">
        <f>AB29*$F$16*$H$16</f>
        <v/>
      </c>
      <c r="AC53" s="41">
        <f>AC29*$F$16*$H$16</f>
        <v/>
      </c>
      <c r="AD53" s="41">
        <f>AD29*$F$16*$H$16</f>
        <v/>
      </c>
      <c r="AE53" s="41">
        <f>AE29*$F$16*$H$16</f>
        <v/>
      </c>
      <c r="AF53" s="41">
        <f>AF29*$F$16*$H$16</f>
        <v/>
      </c>
      <c r="AG53" s="41">
        <f>AG29*$F$16*$H$16</f>
        <v/>
      </c>
      <c r="AH53" s="41">
        <f>AH29*$F$16*$H$16</f>
        <v/>
      </c>
      <c r="AI53" s="41">
        <f>AI29*$F$16*$H$16</f>
        <v/>
      </c>
      <c r="AJ53" s="41">
        <f>AJ29*$F$16*$H$16</f>
        <v/>
      </c>
      <c r="AK53" s="41">
        <f>AK29*$F$16*$H$16</f>
        <v/>
      </c>
      <c r="AL53" s="41">
        <f>AL29*$F$16*$H$16</f>
        <v/>
      </c>
      <c r="AM53" s="2" t="n"/>
      <c r="AN53" s="2" t="n"/>
    </row>
    <row r="54">
      <c r="A54" s="16" t="inlineStr">
        <is>
          <t>MINCuRSV2</t>
        </is>
      </c>
      <c r="B54" s="16" t="inlineStr">
        <is>
          <t>CUM</t>
        </is>
      </c>
      <c r="C54" s="25" t="n"/>
      <c r="D54" s="39">
        <f>D29*$F$16*$H$16*$I$16</f>
        <v/>
      </c>
      <c r="E54" s="39">
        <f>E29*$F$16*$H$16*$I$16</f>
        <v/>
      </c>
      <c r="F54" s="39">
        <f>F29*$F$16*$H$16*$I$16</f>
        <v/>
      </c>
      <c r="G54" s="39">
        <f>G29*$F$16*$H$16*$I$16</f>
        <v/>
      </c>
      <c r="H54" s="39">
        <f>H29*$F$16*$H$16*$I$16</f>
        <v/>
      </c>
      <c r="I54" s="39">
        <f>I29*$F$16*$H$16*$I$16</f>
        <v/>
      </c>
      <c r="J54" s="39">
        <f>J29*$F$16*$H$16*$I$16</f>
        <v/>
      </c>
      <c r="K54" s="39">
        <f>K29*$F$16*$H$16*$I$16</f>
        <v/>
      </c>
      <c r="L54" s="39">
        <f>L29*$F$16*$H$16*$I$16</f>
        <v/>
      </c>
      <c r="M54" s="39">
        <f>M29*$F$16*$H$16*$I$16</f>
        <v/>
      </c>
      <c r="N54" s="39">
        <f>N29*$F$16*$H$16*$I$16</f>
        <v/>
      </c>
      <c r="O54" s="39">
        <f>O29*$F$16*$H$16*$I$16</f>
        <v/>
      </c>
      <c r="P54" s="39">
        <f>P29*$F$16*$H$16*$I$16</f>
        <v/>
      </c>
      <c r="Q54" s="39">
        <f>Q29*$F$16*$H$16*$I$16</f>
        <v/>
      </c>
      <c r="R54" s="39">
        <f>R29*$F$16*$H$16*$I$16</f>
        <v/>
      </c>
      <c r="S54" s="39">
        <f>S29*$F$16*$H$16*$I$16</f>
        <v/>
      </c>
      <c r="T54" s="39">
        <f>T29*$F$16*$H$16*$I$16</f>
        <v/>
      </c>
      <c r="U54" s="39">
        <f>U29*$F$16*$H$16*$I$16</f>
        <v/>
      </c>
      <c r="V54" s="39">
        <f>V29*$F$16*$H$16*$I$16</f>
        <v/>
      </c>
      <c r="W54" s="39">
        <f>W29*$F$16*$H$16*$I$16</f>
        <v/>
      </c>
      <c r="X54" s="39">
        <f>X29*$F$16*$H$16*$I$16</f>
        <v/>
      </c>
      <c r="Y54" s="39">
        <f>Y29*$F$16*$H$16*$I$16</f>
        <v/>
      </c>
      <c r="Z54" s="39">
        <f>Z29*$F$16*$H$16*$I$16</f>
        <v/>
      </c>
      <c r="AA54" s="39">
        <f>AA29*$F$16*$H$16*$I$16</f>
        <v/>
      </c>
      <c r="AB54" s="39">
        <f>AB29*$F$16*$H$16*$I$16</f>
        <v/>
      </c>
      <c r="AC54" s="39">
        <f>AC29*$F$16*$H$16*$I$16</f>
        <v/>
      </c>
      <c r="AD54" s="39">
        <f>AD29*$F$16*$H$16*$I$16</f>
        <v/>
      </c>
      <c r="AE54" s="39">
        <f>AE29*$F$16*$H$16*$I$16</f>
        <v/>
      </c>
      <c r="AF54" s="39">
        <f>AF29*$F$16*$H$16*$I$16</f>
        <v/>
      </c>
      <c r="AG54" s="39">
        <f>AG29*$F$16*$H$16*$I$16</f>
        <v/>
      </c>
      <c r="AH54" s="39">
        <f>AH29*$F$16*$H$16*$I$16</f>
        <v/>
      </c>
      <c r="AI54" s="39">
        <f>AI29*$F$16*$H$16*$I$16</f>
        <v/>
      </c>
      <c r="AJ54" s="39">
        <f>AJ29*$F$16*$H$16*$I$16</f>
        <v/>
      </c>
      <c r="AK54" s="39">
        <f>AK29*$F$16*$H$16*$I$16</f>
        <v/>
      </c>
      <c r="AL54" s="39">
        <f>AL29*$F$16*$H$16*$I$16</f>
        <v/>
      </c>
      <c r="AM54" s="2" t="n"/>
      <c r="AN54" s="2" t="n"/>
    </row>
    <row r="55">
      <c r="A55" s="8" t="inlineStr">
        <is>
          <t>MINCuRSV3</t>
        </is>
      </c>
      <c r="B55" s="8" t="inlineStr">
        <is>
          <t>CUM</t>
        </is>
      </c>
      <c r="C55" s="23" t="n"/>
      <c r="D55" s="41">
        <f>D29*$F$16*$H$16*$J$16</f>
        <v/>
      </c>
      <c r="E55" s="41">
        <f>E29*$F$16*$H$16*$J$16</f>
        <v/>
      </c>
      <c r="F55" s="41">
        <f>F29*$F$16*$H$16*$J$16</f>
        <v/>
      </c>
      <c r="G55" s="41">
        <f>G29*$F$16*$H$16*$J$16</f>
        <v/>
      </c>
      <c r="H55" s="41">
        <f>H29*$F$16*$H$16*$J$16</f>
        <v/>
      </c>
      <c r="I55" s="41">
        <f>I29*$F$16*$H$16*$J$16</f>
        <v/>
      </c>
      <c r="J55" s="41">
        <f>J29*$F$16*$H$16*$J$16</f>
        <v/>
      </c>
      <c r="K55" s="41">
        <f>K29*$F$16*$H$16*$J$16</f>
        <v/>
      </c>
      <c r="L55" s="41">
        <f>L29*$F$16*$H$16*$J$16</f>
        <v/>
      </c>
      <c r="M55" s="41">
        <f>M29*$F$16*$H$16*$J$16</f>
        <v/>
      </c>
      <c r="N55" s="41">
        <f>N29*$F$16*$H$16*$J$16</f>
        <v/>
      </c>
      <c r="O55" s="41">
        <f>O29*$F$16*$H$16*$J$16</f>
        <v/>
      </c>
      <c r="P55" s="41">
        <f>P29*$F$16*$H$16*$J$16</f>
        <v/>
      </c>
      <c r="Q55" s="41">
        <f>Q29*$F$16*$H$16*$J$16</f>
        <v/>
      </c>
      <c r="R55" s="41">
        <f>R29*$F$16*$H$16*$J$16</f>
        <v/>
      </c>
      <c r="S55" s="41">
        <f>S29*$F$16*$H$16*$J$16</f>
        <v/>
      </c>
      <c r="T55" s="41">
        <f>T29*$F$16*$H$16*$J$16</f>
        <v/>
      </c>
      <c r="U55" s="41">
        <f>U29*$F$16*$H$16*$J$16</f>
        <v/>
      </c>
      <c r="V55" s="41">
        <f>V29*$F$16*$H$16*$J$16</f>
        <v/>
      </c>
      <c r="W55" s="41">
        <f>W29*$F$16*$H$16*$J$16</f>
        <v/>
      </c>
      <c r="X55" s="41">
        <f>X29*$F$16*$H$16*$J$16</f>
        <v/>
      </c>
      <c r="Y55" s="41">
        <f>Y29*$F$16*$H$16*$J$16</f>
        <v/>
      </c>
      <c r="Z55" s="41">
        <f>Z29*$F$16*$H$16*$J$16</f>
        <v/>
      </c>
      <c r="AA55" s="41">
        <f>AA29*$F$16*$H$16*$J$16</f>
        <v/>
      </c>
      <c r="AB55" s="41">
        <f>AB29*$F$16*$H$16*$J$16</f>
        <v/>
      </c>
      <c r="AC55" s="41">
        <f>AC29*$F$16*$H$16*$J$16</f>
        <v/>
      </c>
      <c r="AD55" s="41">
        <f>AD29*$F$16*$H$16*$J$16</f>
        <v/>
      </c>
      <c r="AE55" s="41">
        <f>AE29*$F$16*$H$16*$J$16</f>
        <v/>
      </c>
      <c r="AF55" s="41">
        <f>AF29*$F$16*$H$16*$J$16</f>
        <v/>
      </c>
      <c r="AG55" s="41">
        <f>AG29*$F$16*$H$16*$J$16</f>
        <v/>
      </c>
      <c r="AH55" s="41">
        <f>AH29*$F$16*$H$16*$J$16</f>
        <v/>
      </c>
      <c r="AI55" s="41">
        <f>AI29*$F$16*$H$16*$J$16</f>
        <v/>
      </c>
      <c r="AJ55" s="41">
        <f>AJ29*$F$16*$H$16*$J$16</f>
        <v/>
      </c>
      <c r="AK55" s="41">
        <f>AK29*$F$16*$H$16*$J$16</f>
        <v/>
      </c>
      <c r="AL55" s="41">
        <f>AL29*$F$16*$H$16*$J$16</f>
        <v/>
      </c>
      <c r="AM55" s="2" t="n"/>
      <c r="A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 t="n"/>
      <c r="AM56" s="2" t="n"/>
      <c r="AN56" s="2" t="n"/>
    </row>
    <row r="57">
      <c r="A57" s="8" t="inlineStr">
        <is>
          <t>MINGrRSV1</t>
        </is>
      </c>
      <c r="B57" s="8" t="inlineStr">
        <is>
          <t>CUM</t>
        </is>
      </c>
      <c r="C57" s="23" t="n"/>
      <c r="D57" s="41">
        <f>D30*$F$17*$H$17</f>
        <v/>
      </c>
      <c r="E57" s="41">
        <f>E30*$F$17*$H$17</f>
        <v/>
      </c>
      <c r="F57" s="41">
        <f>F30*$F$17*$H$17</f>
        <v/>
      </c>
      <c r="G57" s="41">
        <f>G30*$F$17*$H$17</f>
        <v/>
      </c>
      <c r="H57" s="41">
        <f>H30*$F$17*$H$17</f>
        <v/>
      </c>
      <c r="I57" s="41">
        <f>I30*$F$17*$H$17</f>
        <v/>
      </c>
      <c r="J57" s="41">
        <f>J30*$F$17*$H$17</f>
        <v/>
      </c>
      <c r="K57" s="41">
        <f>K30*$F$17*$H$17</f>
        <v/>
      </c>
      <c r="L57" s="41">
        <f>L30*$F$17*$H$17</f>
        <v/>
      </c>
      <c r="M57" s="41">
        <f>M30*$F$17*$H$17</f>
        <v/>
      </c>
      <c r="N57" s="41">
        <f>N30*$F$17*$H$17</f>
        <v/>
      </c>
      <c r="O57" s="41">
        <f>O30*$F$17*$H$17</f>
        <v/>
      </c>
      <c r="P57" s="41">
        <f>P30*$F$17*$H$17</f>
        <v/>
      </c>
      <c r="Q57" s="41">
        <f>Q30*$F$17*$H$17</f>
        <v/>
      </c>
      <c r="R57" s="41">
        <f>R30*$F$17*$H$17</f>
        <v/>
      </c>
      <c r="S57" s="41">
        <f>S30*$F$17*$H$17</f>
        <v/>
      </c>
      <c r="T57" s="41">
        <f>T30*$F$17*$H$17</f>
        <v/>
      </c>
      <c r="U57" s="41">
        <f>U30*$F$17*$H$17</f>
        <v/>
      </c>
      <c r="V57" s="41">
        <f>V30*$F$17*$H$17</f>
        <v/>
      </c>
      <c r="W57" s="41">
        <f>W30*$F$17*$H$17</f>
        <v/>
      </c>
      <c r="X57" s="41">
        <f>X30*$F$17*$H$17</f>
        <v/>
      </c>
      <c r="Y57" s="41">
        <f>Y30*$F$17*$H$17</f>
        <v/>
      </c>
      <c r="Z57" s="41">
        <f>Z30*$F$17*$H$17</f>
        <v/>
      </c>
      <c r="AA57" s="41">
        <f>AA30*$F$17*$H$17</f>
        <v/>
      </c>
      <c r="AB57" s="41">
        <f>AB30*$F$17*$H$17</f>
        <v/>
      </c>
      <c r="AC57" s="41">
        <f>AC30*$F$17*$H$17</f>
        <v/>
      </c>
      <c r="AD57" s="41">
        <f>AD30*$F$17*$H$17</f>
        <v/>
      </c>
      <c r="AE57" s="41">
        <f>AE30*$F$17*$H$17</f>
        <v/>
      </c>
      <c r="AF57" s="41">
        <f>AF30*$F$17*$H$17</f>
        <v/>
      </c>
      <c r="AG57" s="41">
        <f>AG30*$F$17*$H$17</f>
        <v/>
      </c>
      <c r="AH57" s="41">
        <f>AH30*$F$17*$H$17</f>
        <v/>
      </c>
      <c r="AI57" s="41">
        <f>AI30*$F$17*$H$17</f>
        <v/>
      </c>
      <c r="AJ57" s="41">
        <f>AJ30*$F$17*$H$17</f>
        <v/>
      </c>
      <c r="AK57" s="41">
        <f>AK30*$F$17*$H$17</f>
        <v/>
      </c>
      <c r="AL57" s="41">
        <f>AL30*$F$17*$H$17</f>
        <v/>
      </c>
      <c r="AM57" s="2" t="n"/>
      <c r="AN57" s="2" t="n"/>
    </row>
    <row r="58">
      <c r="A58" s="16" t="inlineStr">
        <is>
          <t>MINGrRSV2</t>
        </is>
      </c>
      <c r="B58" s="16" t="inlineStr">
        <is>
          <t>CUM</t>
        </is>
      </c>
      <c r="C58" s="25" t="n"/>
      <c r="D58" s="39">
        <f>D30*$F$17*$H$17*$I$17</f>
        <v/>
      </c>
      <c r="E58" s="39">
        <f>E30*$F$17*$H$17*$I$17</f>
        <v/>
      </c>
      <c r="F58" s="39">
        <f>F30*$F$17*$H$17*$I$17</f>
        <v/>
      </c>
      <c r="G58" s="39">
        <f>G30*$F$17*$H$17*$I$17</f>
        <v/>
      </c>
      <c r="H58" s="39">
        <f>H30*$F$17*$H$17*$I$17</f>
        <v/>
      </c>
      <c r="I58" s="39">
        <f>I30*$F$17*$H$17*$I$17</f>
        <v/>
      </c>
      <c r="J58" s="39">
        <f>J30*$F$17*$H$17*$I$17</f>
        <v/>
      </c>
      <c r="K58" s="39">
        <f>K30*$F$17*$H$17*$I$17</f>
        <v/>
      </c>
      <c r="L58" s="39">
        <f>L30*$F$17*$H$17*$I$17</f>
        <v/>
      </c>
      <c r="M58" s="39">
        <f>M30*$F$17*$H$17*$I$17</f>
        <v/>
      </c>
      <c r="N58" s="39">
        <f>N30*$F$17*$H$17*$I$17</f>
        <v/>
      </c>
      <c r="O58" s="39">
        <f>O30*$F$17*$H$17*$I$17</f>
        <v/>
      </c>
      <c r="P58" s="39">
        <f>P30*$F$17*$H$17*$I$17</f>
        <v/>
      </c>
      <c r="Q58" s="39">
        <f>Q30*$F$17*$H$17*$I$17</f>
        <v/>
      </c>
      <c r="R58" s="39">
        <f>R30*$F$17*$H$17*$I$17</f>
        <v/>
      </c>
      <c r="S58" s="39">
        <f>S30*$F$17*$H$17*$I$17</f>
        <v/>
      </c>
      <c r="T58" s="39">
        <f>T30*$F$17*$H$17*$I$17</f>
        <v/>
      </c>
      <c r="U58" s="39">
        <f>U30*$F$17*$H$17*$I$17</f>
        <v/>
      </c>
      <c r="V58" s="39">
        <f>V30*$F$17*$H$17*$I$17</f>
        <v/>
      </c>
      <c r="W58" s="39">
        <f>W30*$F$17*$H$17*$I$17</f>
        <v/>
      </c>
      <c r="X58" s="39">
        <f>X30*$F$17*$H$17*$I$17</f>
        <v/>
      </c>
      <c r="Y58" s="39">
        <f>Y30*$F$17*$H$17*$I$17</f>
        <v/>
      </c>
      <c r="Z58" s="39">
        <f>Z30*$F$17*$H$17*$I$17</f>
        <v/>
      </c>
      <c r="AA58" s="39">
        <f>AA30*$F$17*$H$17*$I$17</f>
        <v/>
      </c>
      <c r="AB58" s="39">
        <f>AB30*$F$17*$H$17*$I$17</f>
        <v/>
      </c>
      <c r="AC58" s="39">
        <f>AC30*$F$17*$H$17*$I$17</f>
        <v/>
      </c>
      <c r="AD58" s="39">
        <f>AD30*$F$17*$H$17*$I$17</f>
        <v/>
      </c>
      <c r="AE58" s="39">
        <f>AE30*$F$17*$H$17*$I$17</f>
        <v/>
      </c>
      <c r="AF58" s="39">
        <f>AF30*$F$17*$H$17*$I$17</f>
        <v/>
      </c>
      <c r="AG58" s="39">
        <f>AG30*$F$17*$H$17*$I$17</f>
        <v/>
      </c>
      <c r="AH58" s="39">
        <f>AH30*$F$17*$H$17*$I$17</f>
        <v/>
      </c>
      <c r="AI58" s="39">
        <f>AI30*$F$17*$H$17*$I$17</f>
        <v/>
      </c>
      <c r="AJ58" s="39">
        <f>AJ30*$F$17*$H$17*$I$17</f>
        <v/>
      </c>
      <c r="AK58" s="39">
        <f>AK30*$F$17*$H$17*$I$17</f>
        <v/>
      </c>
      <c r="AL58" s="39">
        <f>AL30*$F$17*$H$17*$I$17</f>
        <v/>
      </c>
      <c r="AM58" s="2" t="n"/>
      <c r="AN58" s="2" t="n"/>
    </row>
    <row r="59">
      <c r="A59" s="8" t="inlineStr">
        <is>
          <t>MINGrRSV3</t>
        </is>
      </c>
      <c r="B59" s="8" t="inlineStr">
        <is>
          <t>CUM</t>
        </is>
      </c>
      <c r="C59" s="23" t="n"/>
      <c r="D59" s="41">
        <f>D30*$F$17*$H$17*$J$17</f>
        <v/>
      </c>
      <c r="E59" s="41">
        <f>E30*$F$17*$H$17*$J$17</f>
        <v/>
      </c>
      <c r="F59" s="41">
        <f>F30*$F$17*$H$17*$J$17</f>
        <v/>
      </c>
      <c r="G59" s="41">
        <f>G30*$F$17*$H$17*$J$17</f>
        <v/>
      </c>
      <c r="H59" s="41">
        <f>H30*$F$17*$H$17*$J$17</f>
        <v/>
      </c>
      <c r="I59" s="41">
        <f>I30*$F$17*$H$17*$J$17</f>
        <v/>
      </c>
      <c r="J59" s="41">
        <f>J30*$F$17*$H$17*$J$17</f>
        <v/>
      </c>
      <c r="K59" s="41">
        <f>K30*$F$17*$H$17*$J$17</f>
        <v/>
      </c>
      <c r="L59" s="41">
        <f>L30*$F$17*$H$17*$J$17</f>
        <v/>
      </c>
      <c r="M59" s="41">
        <f>M30*$F$17*$H$17*$J$17</f>
        <v/>
      </c>
      <c r="N59" s="41">
        <f>N30*$F$17*$H$17*$J$17</f>
        <v/>
      </c>
      <c r="O59" s="41">
        <f>O30*$F$17*$H$17*$J$17</f>
        <v/>
      </c>
      <c r="P59" s="41">
        <f>P30*$F$17*$H$17*$J$17</f>
        <v/>
      </c>
      <c r="Q59" s="41">
        <f>Q30*$F$17*$H$17*$J$17</f>
        <v/>
      </c>
      <c r="R59" s="41">
        <f>R30*$F$17*$H$17*$J$17</f>
        <v/>
      </c>
      <c r="S59" s="41">
        <f>S30*$F$17*$H$17*$J$17</f>
        <v/>
      </c>
      <c r="T59" s="41">
        <f>T30*$F$17*$H$17*$J$17</f>
        <v/>
      </c>
      <c r="U59" s="41">
        <f>U30*$F$17*$H$17*$J$17</f>
        <v/>
      </c>
      <c r="V59" s="41">
        <f>V30*$F$17*$H$17*$J$17</f>
        <v/>
      </c>
      <c r="W59" s="41">
        <f>W30*$F$17*$H$17*$J$17</f>
        <v/>
      </c>
      <c r="X59" s="41">
        <f>X30*$F$17*$H$17*$J$17</f>
        <v/>
      </c>
      <c r="Y59" s="41">
        <f>Y30*$F$17*$H$17*$J$17</f>
        <v/>
      </c>
      <c r="Z59" s="41">
        <f>Z30*$F$17*$H$17*$J$17</f>
        <v/>
      </c>
      <c r="AA59" s="41">
        <f>AA30*$F$17*$H$17*$J$17</f>
        <v/>
      </c>
      <c r="AB59" s="41">
        <f>AB30*$F$17*$H$17*$J$17</f>
        <v/>
      </c>
      <c r="AC59" s="41">
        <f>AC30*$F$17*$H$17*$J$17</f>
        <v/>
      </c>
      <c r="AD59" s="41">
        <f>AD30*$F$17*$H$17*$J$17</f>
        <v/>
      </c>
      <c r="AE59" s="41">
        <f>AE30*$F$17*$H$17*$J$17</f>
        <v/>
      </c>
      <c r="AF59" s="41">
        <f>AF30*$F$17*$H$17*$J$17</f>
        <v/>
      </c>
      <c r="AG59" s="41">
        <f>AG30*$F$17*$H$17*$J$17</f>
        <v/>
      </c>
      <c r="AH59" s="41">
        <f>AH30*$F$17*$H$17*$J$17</f>
        <v/>
      </c>
      <c r="AI59" s="41">
        <f>AI30*$F$17*$H$17*$J$17</f>
        <v/>
      </c>
      <c r="AJ59" s="41">
        <f>AJ30*$F$17*$H$17*$J$17</f>
        <v/>
      </c>
      <c r="AK59" s="41">
        <f>AK30*$F$17*$H$17*$J$17</f>
        <v/>
      </c>
      <c r="AL59" s="41">
        <f>AL30*$F$17*$H$17*$J$17</f>
        <v/>
      </c>
      <c r="AM59" s="2" t="n"/>
      <c r="A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  <c r="AL60" s="2" t="n"/>
      <c r="AM60" s="2" t="n"/>
      <c r="A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2" t="n"/>
      <c r="AI61" s="2" t="n"/>
      <c r="AJ61" s="2" t="n"/>
      <c r="AK61" s="2" t="n"/>
      <c r="AL61" s="2" t="n"/>
      <c r="AM61" s="2" t="n"/>
      <c r="AN61" s="2" t="n"/>
    </row>
    <row r="62">
      <c r="A62" s="6" t="inlineStr">
        <is>
          <t>4.  NOTES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  <c r="AL62" s="2" t="n"/>
      <c r="AM62" s="2" t="n"/>
      <c r="AN62" s="2" t="n"/>
    </row>
    <row r="63">
      <c r="A63" s="3" t="inlineStr">
        <is>
          <t>CUM maps to ACT_CUM in TIMES and needs a period range - enter year '0' for the whole horizon in VEDA, or the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2" t="n"/>
      <c r="AI63" s="2" t="n"/>
      <c r="AJ63" s="2" t="n"/>
      <c r="AK63" s="2" t="n"/>
      <c r="AL63" s="2" t="n"/>
      <c r="AM63" s="2" t="n"/>
      <c r="AN63" s="2" t="n"/>
    </row>
    <row r="64">
      <c r="A64" s="3" t="inlineStr">
        <is>
          <t>limit will not bind.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  <c r="AL64" s="2" t="n"/>
      <c r="AM64" s="2" t="n"/>
      <c r="AN64" s="2" t="n"/>
    </row>
    <row r="65">
      <c r="A65" s="3" t="inlineStr">
        <is>
          <t>Aluminium (m_aluminum) has no row here because the supplied table contains no bauxite reserves. Either add them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2" t="n"/>
      <c r="AI65" s="2" t="n"/>
      <c r="AJ65" s="2" t="n"/>
      <c r="AK65" s="2" t="n"/>
      <c r="AL65" s="2" t="n"/>
      <c r="AM65" s="2" t="n"/>
      <c r="AN65" s="2" t="n"/>
    </row>
    <row r="66">
      <c r="A66" s="3" t="inlineStr">
        <is>
          <t>or leave m_aluminum without a cumulative limit and say so in the SI.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  <c r="AL66" s="2" t="n"/>
      <c r="AM66" s="2" t="n"/>
      <c r="AN66" s="2" t="n"/>
    </row>
    <row r="67">
      <c r="A67" s="3" t="inlineStr">
        <is>
          <t>Regions showing zero hold no economically recoverable reserves in the supplied table. Zero CUM means the process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2" t="n"/>
      <c r="AI67" s="2" t="n"/>
      <c r="AJ67" s="2" t="n"/>
      <c r="AK67" s="2" t="n"/>
      <c r="AL67" s="2" t="n"/>
      <c r="AM67" s="2" t="n"/>
      <c r="AN67" s="2" t="n"/>
    </row>
    <row r="68">
      <c r="A68" s="3" t="inlineStr">
        <is>
          <t>exists but can never produce - this is intended, and is not the same as leaving the cell blank.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  <c r="AL68" s="2" t="n"/>
      <c r="AM68" s="2" t="n"/>
      <c r="AN68" s="2" t="n"/>
    </row>
    <row r="69">
      <c r="A69" s="3" t="inlineStr">
        <is>
          <t>Pair CUM with BNDACT (annual capacity, anchored to observed 2024 output) and a GROWTH constraint; a cumulative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2" t="n"/>
      <c r="AI69" s="2" t="n"/>
      <c r="AJ69" s="2" t="n"/>
      <c r="AK69" s="2" t="n"/>
      <c r="AL69" s="2" t="n"/>
      <c r="AM69" s="2" t="n"/>
      <c r="AN69" s="2" t="n"/>
    </row>
    <row r="70">
      <c r="A70" s="3" t="inlineStr">
        <is>
          <t>limit alone still permits an unrealistic production spike in a single period.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  <c r="AL70" s="2" t="n"/>
      <c r="AM70" s="2" t="n"/>
      <c r="A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2" t="n"/>
      <c r="AI71" s="2" t="n"/>
      <c r="AJ71" s="2" t="n"/>
      <c r="AK71" s="2" t="n"/>
      <c r="AL71" s="2" t="n"/>
      <c r="AM71" s="2" t="n"/>
      <c r="A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2" t="n"/>
      <c r="AI73" s="2" t="n"/>
      <c r="AJ73" s="2" t="n"/>
      <c r="AK73" s="2" t="n"/>
      <c r="AL73" s="2" t="n"/>
      <c r="AM73" s="2" t="n"/>
      <c r="A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  <c r="AL74" s="2" t="n"/>
      <c r="AM74" s="2" t="n"/>
      <c r="A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2" t="n"/>
      <c r="AI75" s="2" t="n"/>
      <c r="AJ75" s="2" t="n"/>
      <c r="AK75" s="2" t="n"/>
      <c r="AL75" s="2" t="n"/>
      <c r="AM75" s="2" t="n"/>
      <c r="A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  <c r="AL76" s="2" t="n"/>
      <c r="AM76" s="2" t="n"/>
      <c r="A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2" t="n"/>
      <c r="AI77" s="2" t="n"/>
      <c r="AJ77" s="2" t="n"/>
      <c r="AK77" s="2" t="n"/>
      <c r="AL77" s="2" t="n"/>
      <c r="AM77" s="2" t="n"/>
      <c r="A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  <c r="AL78" s="2" t="n"/>
      <c r="AM78" s="2" t="n"/>
      <c r="A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2" t="n"/>
      <c r="AI79" s="2" t="n"/>
      <c r="AJ79" s="2" t="n"/>
      <c r="AK79" s="2" t="n"/>
      <c r="AL79" s="2" t="n"/>
      <c r="AM79" s="2" t="n"/>
      <c r="A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  <c r="AL80" s="2" t="n"/>
      <c r="AM80" s="2" t="n"/>
      <c r="AN80" s="2" t="n"/>
    </row>
  </sheetData>
  <mergeCells count="4">
    <mergeCell ref="A5:N5"/>
    <mergeCell ref="A8:N8"/>
    <mergeCell ref="A6:N6"/>
    <mergeCell ref="A7:N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Updated</t>
        </is>
      </c>
      <c r="B1" t="inlineStr">
        <is>
          <t>2026-08-29T07:32:43</t>
        </is>
      </c>
    </row>
    <row r="2">
      <c r="A2" t="inlineStr">
        <is>
          <t>Backup created</t>
        </is>
      </c>
      <c r="B2" t="inlineStr">
        <is>
          <t>not needed; updated copy was written</t>
        </is>
      </c>
    </row>
    <row r="3">
      <c r="A3" t="inlineStr">
        <is>
          <t>Workbook edited</t>
        </is>
      </c>
      <c r="B3" t="inlineStr">
        <is>
          <t>C:\Users\xli9\OneDrive - McGill University\Desktop\manu11_Battery_ISIE\KiNESYS_BattCircularity-main\KiNESYS_BattCircularity-main-AK_July\SuppXLS\Scen_usingStepMining_n_mute_original_Min2_CodexUpdated.xlsx</t>
        </is>
      </c>
    </row>
    <row r="4">
      <c r="A4" t="inlineStr">
        <is>
          <t>Main change</t>
        </is>
      </c>
      <c r="B4" t="inlineStr">
        <is>
          <t>Lithium MINLiRSV1/2/3 BNDACT, CUM, and COST revised using Busch et al. 2025 Nature Sustainability Supplementary Data S2.</t>
        </is>
      </c>
    </row>
    <row r="5">
      <c r="A5" t="inlineStr">
        <is>
          <t>Lithium CUM stage</t>
        </is>
      </c>
      <c r="B5" t="inlineStr">
        <is>
          <t>RSV1=known reserves; RSV2=demonstrated resources; RSV3=inferred/remaining known resources; all in kt Li.</t>
        </is>
      </c>
    </row>
    <row r="6">
      <c r="A6" t="inlineStr">
        <is>
          <t>Lithium BNDACT</t>
        </is>
      </c>
      <c r="B6" t="inlineStr">
        <is>
          <t>RSV1 and RSV2 split total reported 2030 deposit capacity 1:2 to preserve original global annual capacity magnitude; RSV3 annual bound left blank as in the original table.</t>
        </is>
      </c>
    </row>
    <row r="7">
      <c r="A7" t="inlineStr">
        <is>
          <t>Lithium COST</t>
        </is>
      </c>
      <c r="B7" t="inlineStr">
        <is>
          <t>Observed extraction costs converted to million USD/kt Li; selected approx Q1, Q3, max values: 13.86, 22.45, 38.31.</t>
        </is>
      </c>
    </row>
    <row r="8">
      <c r="A8" t="inlineStr">
        <is>
          <t>Horizon</t>
        </is>
      </c>
      <c r="B8" t="inlineStr">
        <is>
          <t>Year column changed from 2019, 2130 to 2020, 2100 for supply-curve rows.</t>
        </is>
      </c>
    </row>
    <row r="9">
      <c r="A9" t="inlineStr">
        <is>
          <t>Formula fix</t>
        </is>
      </c>
      <c r="B9" t="inlineStr">
        <is>
          <t>MINCuRSV1 BNDACT now references copper observed activity row 123, not manganese row 121.</t>
        </is>
      </c>
    </row>
    <row r="10">
      <c r="A10" t="inlineStr">
        <is>
          <t>Formula fix</t>
        </is>
      </c>
      <c r="B10" t="inlineStr">
        <is>
          <t>MINGrRSV2 BNDACT now references graphite observed activity row 124, not aluminum row 122.</t>
        </is>
      </c>
    </row>
    <row r="11">
      <c r="A11" t="inlineStr">
        <is>
          <t>Formula fill</t>
        </is>
      </c>
      <c r="B11" t="inlineStr">
        <is>
          <t>MINMnRSV1/2/3 CUM now link to attache--data--from rows 49-51.</t>
        </is>
      </c>
    </row>
    <row r="12">
      <c r="A12" t="inlineStr">
        <is>
          <t>Remaining caveat</t>
        </is>
      </c>
      <c r="B12" t="inlineStr">
        <is>
          <t>Non-lithium CUM values still use the workbook's USGS-reserve/battery-share logic; aluminum CUM remains blank because the workbook did not contain a bauxite-to-aluminum reserve basis.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2026-08-21T23:04:00Z</dcterms:created>
  <dcterms:modified xmlns:dcterms="http://purl.org/dc/terms/" xmlns:xsi="http://www.w3.org/2001/XMLSchema-instance" xsi:type="dcterms:W3CDTF">2026-08-29T11:32:43Z</dcterms:modified>
  <cp:lastModifiedBy>李潇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DC95FD9CA6244BBBAA8F357CCB54B2EC_13</vt:lpwstr>
  </property>
  <property name="KSOProductBuildVer" fmtid="{D5CDD505-2E9C-101B-9397-08002B2CF9AE}" pid="3">
    <vt:lpwstr xmlns:vt="http://schemas.openxmlformats.org/officeDocument/2006/docPropsVTypes">1033-12.1.0.28032</vt:lpwstr>
  </property>
  <property name="CalculationRule" fmtid="{D5CDD505-2E9C-101B-9397-08002B2CF9AE}" pid="4">
    <vt:i4 xmlns:vt="http://schemas.openxmlformats.org/officeDocument/2006/docPropsVTypes">0</vt:i4>
  </property>
</Properties>
</file>