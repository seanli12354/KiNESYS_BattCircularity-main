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  <sheet name="attache--data--from" sheetId="2" r:id="rId2"/>
  </sheets>
  <definedNames>
    <definedName name="_xlnm._FilterDatabase" localSheetId="0" hidden="1">Scen_usingStepMining_n_mute_ori!$C$39:$AN$109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<sst xmlns="http://schemas.openxmlformats.org/spreadsheetml/2006/main" count="461" uniqueCount="146">
  <si>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</si>
  <si>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</si>
  <si>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</si>
  <si>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</si>
  <si>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</si>
  <si>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</si>
  <si>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</si>
  <si>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</si>
  <si>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</si>
  <si>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</si>
  <si>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</si>
  <si>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</si>
  <si>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</si>
  <si>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</si>
  <si>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</si>
  <si>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</si>
  <si>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</si>
  <si>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</si>
  <si>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</si>
  <si>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</si>
  <si>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</si>
  <si>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</si>
  <si>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</si>
  <si>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</si>
  <si>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</si>
  <si>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</si>
  <si>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</si>
  <si>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</si>
  <si>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</si>
  <si>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</si>
  <si>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</si>
  <si>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</si>
  <si>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</si>
  <si>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</si>
  <si>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</si>
  <si>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</si>
  <si>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</si>
  <si>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</si>
  <si>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</si>
  <si>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</si>
  <si>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</si>
  <si>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</si>
  <si>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</si>
  <si>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</si>
  <si>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</si>
  <si>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</si>
  <si>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</si>
  <si>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</si>
  <si>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</si>
  <si>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</si>
  <si>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</si>
  <si>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</si>
  <si>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</si>
  <si>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</si>
  <si>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</si>
  <si>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</si>
  <si>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</si>
  <si>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</si>
  <si>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</si>
  <si>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</si>
  <si>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</si>
  <si>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</si>
  <si>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MINLiRSV1</t>
  </si>
  <si>
    <t>BNDACT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</si>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</sst>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1">
    <font>
      <sz val="11"/>
      <color theme="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6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10" borderId="6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10" fillId="0" borderId="0"/>
  </cellStyleXfs>
  <cellXfs count="34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/>
    <xf numFmtId="0" fontId="5" fillId="3" borderId="0" xfId="0" applyFont="1" applyFill="1" applyBorder="1" applyAlignment="1">
      <alignment vertical="top" wrapText="1"/>
    </xf>
    <xf numFmtId="0" fontId="4" fillId="0" borderId="0" xfId="0" applyFont="1" applyFill="1" applyAlignment="1"/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/>
    <xf numFmtId="0" fontId="8" fillId="5" borderId="1" xfId="0" applyFont="1" applyFill="1" applyBorder="1" applyAlignment="1"/>
    <xf numFmtId="178" fontId="8" fillId="5" borderId="1" xfId="0" applyNumberFormat="1" applyFont="1" applyFill="1" applyBorder="1" applyAlignment="1"/>
    <xf numFmtId="3" fontId="8" fillId="2" borderId="1" xfId="0" applyNumberFormat="1" applyFont="1" applyFill="1" applyBorder="1" applyAlignment="1"/>
    <xf numFmtId="3" fontId="7" fillId="5" borderId="1" xfId="0" applyNumberFormat="1" applyFont="1" applyFill="1" applyBorder="1" applyAlignment="1"/>
    <xf numFmtId="179" fontId="8" fillId="2" borderId="1" xfId="0" applyNumberFormat="1" applyFont="1" applyFill="1" applyBorder="1" applyAlignment="1"/>
    <xf numFmtId="2" fontId="8" fillId="2" borderId="1" xfId="0" applyNumberFormat="1" applyFont="1" applyFill="1" applyBorder="1" applyAlignment="1"/>
    <xf numFmtId="0" fontId="7" fillId="0" borderId="1" xfId="0" applyFont="1" applyFill="1" applyBorder="1" applyAlignment="1"/>
    <xf numFmtId="0" fontId="8" fillId="0" borderId="1" xfId="0" applyFont="1" applyFill="1" applyBorder="1" applyAlignment="1"/>
    <xf numFmtId="178" fontId="8" fillId="0" borderId="1" xfId="0" applyNumberFormat="1" applyFont="1" applyFill="1" applyBorder="1" applyAlignment="1"/>
    <xf numFmtId="3" fontId="7" fillId="0" borderId="1" xfId="0" applyNumberFormat="1" applyFont="1" applyFill="1" applyBorder="1" applyAlignment="1"/>
    <xf numFmtId="178" fontId="7" fillId="0" borderId="1" xfId="0" applyNumberFormat="1" applyFont="1" applyFill="1" applyBorder="1" applyAlignment="1"/>
    <xf numFmtId="178" fontId="7" fillId="2" borderId="1" xfId="0" applyNumberFormat="1" applyFont="1" applyFill="1" applyBorder="1" applyAlignment="1"/>
    <xf numFmtId="0" fontId="9" fillId="0" borderId="0" xfId="0" applyFont="1" applyFill="1" applyAlignment="1"/>
    <xf numFmtId="0" fontId="2" fillId="5" borderId="1" xfId="0" applyFont="1" applyFill="1" applyBorder="1" applyAlignment="1"/>
    <xf numFmtId="178" fontId="7" fillId="5" borderId="1" xfId="0" applyNumberFormat="1" applyFont="1" applyFill="1" applyBorder="1" applyAlignment="1"/>
    <xf numFmtId="0" fontId="2" fillId="0" borderId="1" xfId="0" applyFont="1" applyFill="1" applyBorder="1" applyAlignment="1"/>
    <xf numFmtId="0" fontId="10" fillId="6" borderId="0" xfId="49" applyFill="1" applyAlignment="1">
      <alignment horizontal="center"/>
    </xf>
    <xf numFmtId="0" fontId="10" fillId="0" borderId="0" xfId="0" applyFont="1" applyFill="1" applyAlignment="1"/>
    <xf numFmtId="0" fontId="0" fillId="0" borderId="0" xfId="0" applyFont="1" applyFill="1" applyAlignment="1"/>
    <xf numFmtId="0" fontId="11" fillId="0" borderId="0" xfId="0" applyFont="1">
      <alignment vertical="center"/>
    </xf>
    <xf numFmtId="180" fontId="10" fillId="0" borderId="2" xfId="49" applyNumberFormat="1" applyBorder="1"/>
    <xf numFmtId="0" fontId="10" fillId="0" borderId="0" xfId="49" applyFont="1" applyFill="1" applyAlignment="1">
      <alignment horizontal="center"/>
    </xf>
    <xf numFmtId="0" fontId="10" fillId="0" borderId="0" xfId="49" applyFill="1" applyAlignment="1">
      <alignment horizontal="center"/>
    </xf>
    <xf numFmtId="0" fontId="0" fillId="7" borderId="0" xfId="0" applyFont="1" applyFill="1" applyAlignment="1"/>
    <xf numFmtId="0" fontId="10" fillId="7" borderId="0" xfId="0" applyFont="1" applyFill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41"/>
  <sheetViews>
    <sheetView tabSelected="1" zoomScale="58" zoomScaleNormal="58" zoomScaleSheetLayoutView="60" topLeftCell="A3" workbookViewId="0">
      <selection activeCell="AQ62" sqref="AQ62"/>
    </sheetView>
  </sheetViews>
  <sheetFormatPr defaultColWidth="9.81818181818182" defaultRowHeight="14.5"/>
  <cols>
    <col min="3" max="3" width="30.3636363636364" customWidth="1"/>
    <col min="5" max="5" width="21.4545454545455" customWidth="1"/>
    <col min="6" max="6" width="12.8181818181818" customWidth="1"/>
    <col min="7" max="8" width="12.8181818181818"/>
    <col min="11" max="11" width="33.1818181818182" customWidth="1"/>
    <col min="12" max="12" width="11.2727272727273" customWidth="1"/>
    <col min="13" max="13" width="12.8181818181818"/>
    <col min="16" max="16" width="12.8181818181818"/>
    <col min="18" max="18" width="12.8181818181818"/>
    <col min="20" max="21" width="12.8181818181818"/>
    <col min="25" max="35" width="12.8181818181818"/>
    <col min="37" max="37" width="12.8181818181818"/>
    <col min="39" max="39" width="12.8181818181818"/>
  </cols>
  <sheetData>
    <row r="4" spans="3:41">
      <c r="C4" s="25" t="s">
        <v>0</v>
      </c>
      <c r="D4" s="25">
        <v>12.85</v>
      </c>
      <c r="K4" s="26"/>
      <c r="L4" s="26" t="s">
        <v>1</v>
      </c>
      <c r="M4" s="26"/>
    </row>
    <row r="5" spans="3:41">
      <c r="C5" s="25" t="s">
        <v>2</v>
      </c>
      <c r="D5" s="25">
        <v>20</v>
      </c>
      <c r="K5" s="26" t="s">
        <v>3</v>
      </c>
      <c r="L5" s="26" t="s">
        <v>4</v>
      </c>
      <c r="M5" s="27" t="s">
        <v>5</v>
      </c>
    </row>
    <row r="6" ht="16" spans="3:41">
      <c r="C6" s="25" t="s">
        <v>6</v>
      </c>
      <c r="D6" s="25">
        <v>29.3</v>
      </c>
      <c r="K6" s="28" t="s">
        <v>7</v>
      </c>
      <c r="L6" s="29" t="s">
        <v>8</v>
      </c>
      <c r="M6">
        <v>99999</v>
      </c>
    </row>
    <row r="7" spans="3:41">
      <c r="C7" s="25" t="s">
        <v>9</v>
      </c>
      <c r="D7" s="30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25" t="s">
        <v>11</v>
      </c>
      <c r="D8" s="25">
        <v>2.5</v>
      </c>
      <c r="K8" t="s">
        <v>12</v>
      </c>
      <c r="L8" t="str">
        <f t="shared" ref="L8:L16" si="0">L7</f>
        <v>ACT_COST</v>
      </c>
      <c r="M8">
        <f t="shared" ref="M8:M17" si="1">M7</f>
        <v>99999</v>
      </c>
    </row>
    <row r="9" spans="3:41">
      <c r="C9" s="25" t="s">
        <v>13</v>
      </c>
      <c r="D9" s="25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5" t="s">
        <v>15</v>
      </c>
      <c r="D10" s="25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6"/>
      <c r="D13" s="26"/>
      <c r="E13" s="26"/>
      <c r="F13" s="26"/>
      <c r="G13" s="26"/>
      <c r="H13" s="26"/>
      <c r="I13" s="26"/>
      <c r="J13" s="26"/>
      <c r="K13" s="26" t="s">
        <v>19</v>
      </c>
      <c r="L13" t="str">
        <f t="shared" si="0"/>
        <v>ACT_COST</v>
      </c>
      <c r="M13">
        <f t="shared" si="1"/>
        <v>99999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</row>
    <row r="14" spans="3:41">
      <c r="C14" s="26"/>
      <c r="D14" s="26"/>
      <c r="E14" s="26"/>
      <c r="F14" s="26"/>
      <c r="G14" s="26"/>
      <c r="H14" s="26"/>
      <c r="I14" s="26"/>
      <c r="J14" s="26"/>
      <c r="K14" s="26" t="s">
        <v>20</v>
      </c>
      <c r="L14" t="str">
        <f t="shared" si="0"/>
        <v>ACT_COST</v>
      </c>
      <c r="M14">
        <f t="shared" si="1"/>
        <v>99999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</row>
    <row r="15" spans="3:41">
      <c r="C15" s="26"/>
      <c r="D15" s="26"/>
      <c r="E15" s="26"/>
      <c r="F15" s="26"/>
      <c r="G15" s="26"/>
      <c r="H15" s="26"/>
      <c r="I15" s="26"/>
      <c r="J15" s="26"/>
      <c r="K15" s="26" t="s">
        <v>21</v>
      </c>
      <c r="L15" t="str">
        <f t="shared" si="0"/>
        <v>ACT_COST</v>
      </c>
      <c r="M15">
        <f t="shared" si="1"/>
        <v>99999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</row>
    <row r="16" spans="3:41">
      <c r="C16" s="26"/>
      <c r="D16" s="26"/>
      <c r="E16" s="26"/>
      <c r="F16" s="27"/>
      <c r="G16" s="27"/>
      <c r="H16" s="27"/>
      <c r="I16" s="27"/>
      <c r="J16" s="27"/>
      <c r="K16" s="27" t="s">
        <v>22</v>
      </c>
      <c r="L16" t="str">
        <f t="shared" si="0"/>
        <v>ACT_COST</v>
      </c>
      <c r="M16">
        <f t="shared" si="1"/>
        <v>99999</v>
      </c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6"/>
    </row>
    <row r="17" ht="16" spans="3:41">
      <c r="C17" s="26"/>
      <c r="D17" s="26"/>
      <c r="E17" s="26"/>
      <c r="F17" s="26"/>
      <c r="G17" s="26"/>
      <c r="H17" s="26"/>
      <c r="I17" s="26"/>
      <c r="J17" s="26"/>
      <c r="K17" s="28" t="s">
        <v>7</v>
      </c>
      <c r="L17" s="26" t="s">
        <v>23</v>
      </c>
      <c r="M17" s="26">
        <f t="shared" si="1"/>
        <v>99999</v>
      </c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</row>
    <row r="18" spans="3:41">
      <c r="C18" s="26"/>
      <c r="D18" s="26"/>
      <c r="E18" s="26"/>
      <c r="F18" s="26"/>
      <c r="G18" s="26"/>
      <c r="H18" s="26"/>
      <c r="I18" s="26"/>
      <c r="J18" s="26"/>
      <c r="K18" t="s">
        <v>10</v>
      </c>
      <c r="L18" s="26" t="str">
        <f>L17</f>
        <v>NCAP_FOM</v>
      </c>
      <c r="M18" s="26">
        <f t="shared" ref="M18:M27" si="2">M17</f>
        <v>99999</v>
      </c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</row>
    <row r="19" spans="3:41">
      <c r="C19" s="26"/>
      <c r="D19" s="26"/>
      <c r="E19" s="31"/>
      <c r="F19" s="26"/>
      <c r="G19" s="26"/>
      <c r="H19" s="26"/>
      <c r="I19" s="26"/>
      <c r="J19" s="26"/>
      <c r="K19" t="s">
        <v>12</v>
      </c>
      <c r="L19" s="26" t="str">
        <f t="shared" ref="L19:L27" si="3">L18</f>
        <v>NCAP_FOM</v>
      </c>
      <c r="M19" s="26">
        <f t="shared" si="2"/>
        <v>99999</v>
      </c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</row>
    <row r="20" spans="3:41">
      <c r="C20" s="26"/>
      <c r="D20" s="26"/>
      <c r="E20" s="26"/>
      <c r="F20" s="26"/>
      <c r="G20" s="26"/>
      <c r="H20" s="26"/>
      <c r="I20" s="26"/>
      <c r="J20" s="26"/>
      <c r="K20" t="s">
        <v>14</v>
      </c>
      <c r="L20" s="26" t="str">
        <f t="shared" si="3"/>
        <v>NCAP_FOM</v>
      </c>
      <c r="M20" s="26">
        <f t="shared" si="2"/>
        <v>99999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</row>
    <row r="21" spans="3:41">
      <c r="C21" s="26"/>
      <c r="D21" s="26"/>
      <c r="E21" s="26"/>
      <c r="F21" s="26"/>
      <c r="G21" s="26"/>
      <c r="H21" s="26"/>
      <c r="I21" s="26"/>
      <c r="J21" s="26"/>
      <c r="K21" t="s">
        <v>16</v>
      </c>
      <c r="L21" s="26" t="str">
        <f t="shared" si="3"/>
        <v>NCAP_FOM</v>
      </c>
      <c r="M21" s="26">
        <f t="shared" si="2"/>
        <v>99999</v>
      </c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</row>
    <row r="22" spans="3:41">
      <c r="C22" s="26"/>
      <c r="D22" s="26"/>
      <c r="E22" s="31"/>
      <c r="F22" s="26"/>
      <c r="G22" s="26"/>
      <c r="H22" s="26"/>
      <c r="I22" s="26"/>
      <c r="J22" s="26"/>
      <c r="K22" t="s">
        <v>17</v>
      </c>
      <c r="L22" s="26" t="str">
        <f t="shared" si="3"/>
        <v>NCAP_FOM</v>
      </c>
      <c r="M22" s="26">
        <f t="shared" si="2"/>
        <v>99999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</row>
    <row r="23" spans="3:41">
      <c r="C23" s="26"/>
      <c r="D23" s="26"/>
      <c r="E23" s="26"/>
      <c r="F23" s="26"/>
      <c r="G23" s="26"/>
      <c r="H23" s="26"/>
      <c r="I23" s="26"/>
      <c r="J23" s="26"/>
      <c r="K23" t="s">
        <v>18</v>
      </c>
      <c r="L23" s="26" t="str">
        <f t="shared" si="3"/>
        <v>NCAP_FOM</v>
      </c>
      <c r="M23" s="26">
        <f t="shared" si="2"/>
        <v>99999</v>
      </c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</row>
    <row r="24" spans="3:41">
      <c r="C24" s="26"/>
      <c r="D24" s="26"/>
      <c r="E24" s="26"/>
      <c r="F24" s="26"/>
      <c r="G24" s="26"/>
      <c r="H24" s="26"/>
      <c r="I24" s="26"/>
      <c r="J24" s="26"/>
      <c r="K24" s="26" t="s">
        <v>19</v>
      </c>
      <c r="L24" s="26" t="str">
        <f t="shared" si="3"/>
        <v>NCAP_FOM</v>
      </c>
      <c r="M24" s="26">
        <f t="shared" si="2"/>
        <v>99999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</row>
    <row r="25" spans="3:41">
      <c r="C25" s="26"/>
      <c r="D25" s="26"/>
      <c r="E25" s="31"/>
      <c r="F25" s="26"/>
      <c r="G25" s="26"/>
      <c r="H25" s="26"/>
      <c r="I25" s="26"/>
      <c r="J25" s="26"/>
      <c r="K25" s="26" t="s">
        <v>20</v>
      </c>
      <c r="L25" s="26" t="str">
        <f t="shared" si="3"/>
        <v>NCAP_FOM</v>
      </c>
      <c r="M25" s="26">
        <f t="shared" si="2"/>
        <v>99999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</row>
    <row r="26" spans="3:41">
      <c r="C26" s="26"/>
      <c r="D26" s="26"/>
      <c r="E26" s="26"/>
      <c r="F26" s="26"/>
      <c r="G26" s="26"/>
      <c r="H26" s="26"/>
      <c r="I26" s="26"/>
      <c r="J26" s="26"/>
      <c r="K26" s="26" t="s">
        <v>21</v>
      </c>
      <c r="L26" s="26" t="str">
        <f t="shared" si="3"/>
        <v>NCAP_FOM</v>
      </c>
      <c r="M26" s="26">
        <f t="shared" si="2"/>
        <v>99999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</row>
    <row r="27" spans="3:41">
      <c r="C27" s="26"/>
      <c r="D27" s="26"/>
      <c r="E27" s="26"/>
      <c r="F27" s="26"/>
      <c r="G27" s="26"/>
      <c r="H27" s="26"/>
      <c r="I27" s="26"/>
      <c r="J27" s="26"/>
      <c r="K27" s="27" t="s">
        <v>22</v>
      </c>
      <c r="L27" s="26" t="str">
        <f t="shared" si="3"/>
        <v>NCAP_FOM</v>
      </c>
      <c r="M27" s="26">
        <f t="shared" si="2"/>
        <v>99999</v>
      </c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</row>
    <row r="28" spans="3:41"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</row>
    <row r="29" spans="3:41"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</row>
    <row r="30" spans="3:41"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</row>
    <row r="31" spans="3:41"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</row>
    <row r="32" spans="3:41"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</row>
    <row r="33" spans="3:41"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</row>
    <row r="34" spans="3:41"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</row>
    <row r="35" spans="3:41"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</row>
    <row r="36" spans="3:41"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</row>
    <row r="37" spans="3:41"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</row>
    <row r="38" spans="3:41">
      <c r="C38" s="26"/>
      <c r="D38" s="26"/>
      <c r="E38" s="26"/>
      <c r="F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</row>
    <row r="39" spans="3:41">
      <c r="C39" s="26" t="s">
        <v>24</v>
      </c>
      <c r="D39" s="26"/>
      <c r="E39" s="26"/>
      <c r="F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</row>
    <row r="40" spans="3:41">
      <c r="C40" s="26" t="s">
        <v>3</v>
      </c>
      <c r="D40" s="26" t="s">
        <v>4</v>
      </c>
      <c r="E40" s="26" t="s">
        <v>25</v>
      </c>
      <c r="F40" s="26" t="s">
        <v>26</v>
      </c>
      <c r="G40" t="s">
        <v>27</v>
      </c>
      <c r="H40" t="s">
        <v>28</v>
      </c>
      <c r="I40" s="26" t="s">
        <v>29</v>
      </c>
      <c r="J40" s="26" t="s">
        <v>30</v>
      </c>
      <c r="K40" s="26" t="s">
        <v>31</v>
      </c>
      <c r="L40" s="26" t="s">
        <v>32</v>
      </c>
      <c r="M40" s="26" t="s">
        <v>33</v>
      </c>
      <c r="N40" s="26" t="s">
        <v>34</v>
      </c>
      <c r="O40" s="26" t="s">
        <v>35</v>
      </c>
      <c r="P40" s="26" t="s">
        <v>36</v>
      </c>
      <c r="Q40" s="26" t="s">
        <v>37</v>
      </c>
      <c r="R40" s="26" t="s">
        <v>38</v>
      </c>
      <c r="S40" s="26" t="s">
        <v>39</v>
      </c>
      <c r="T40" s="26" t="s">
        <v>40</v>
      </c>
      <c r="U40" s="26" t="s">
        <v>41</v>
      </c>
      <c r="V40" s="26" t="s">
        <v>42</v>
      </c>
      <c r="W40" s="26" t="s">
        <v>43</v>
      </c>
      <c r="X40" s="26" t="s">
        <v>44</v>
      </c>
      <c r="Y40" s="26" t="s">
        <v>45</v>
      </c>
      <c r="Z40" s="26" t="s">
        <v>46</v>
      </c>
      <c r="AA40" s="26" t="s">
        <v>47</v>
      </c>
      <c r="AB40" s="26" t="s">
        <v>48</v>
      </c>
      <c r="AC40" s="26" t="s">
        <v>49</v>
      </c>
      <c r="AD40" s="26" t="s">
        <v>50</v>
      </c>
      <c r="AE40" s="26" t="s">
        <v>51</v>
      </c>
      <c r="AF40" s="26" t="s">
        <v>52</v>
      </c>
      <c r="AG40" s="26" t="s">
        <v>53</v>
      </c>
      <c r="AH40" s="26" t="s">
        <v>54</v>
      </c>
      <c r="AI40" s="26" t="s">
        <v>55</v>
      </c>
      <c r="AJ40" s="26" t="s">
        <v>56</v>
      </c>
      <c r="AK40" s="26" t="s">
        <v>57</v>
      </c>
      <c r="AL40" s="26" t="s">
        <v>58</v>
      </c>
      <c r="AM40" s="26" t="s">
        <v>59</v>
      </c>
      <c r="AN40" s="26" t="s">
        <v>60</v>
      </c>
      <c r="AO40" t="s">
        <v>61</v>
      </c>
    </row>
    <row r="41" spans="3:41">
      <c r="C41" s="26" t="s">
        <v>62</v>
      </c>
      <c r="D41" s="26" t="s">
        <v>63</v>
      </c>
      <c r="E41" s="26"/>
      <c r="F41" s="26">
        <f t="shared" ref="F41:AN41" si="4">F118*1</f>
        <v>0</v>
      </c>
      <c r="G41" s="26">
        <f t="shared" si="4"/>
        <v>21.489</v>
      </c>
      <c r="H41" s="26">
        <f t="shared" si="4"/>
        <v>76.56</v>
      </c>
      <c r="I41" s="26">
        <f t="shared" si="4"/>
        <v>0</v>
      </c>
      <c r="J41" s="26">
        <f t="shared" si="4"/>
        <v>0</v>
      </c>
      <c r="K41" s="26">
        <f t="shared" si="4"/>
        <v>0</v>
      </c>
      <c r="L41" s="26">
        <f t="shared" si="4"/>
        <v>8.7</v>
      </c>
      <c r="M41" s="26">
        <f t="shared" si="4"/>
        <v>35.67</v>
      </c>
      <c r="N41" s="26">
        <f t="shared" si="4"/>
        <v>0</v>
      </c>
      <c r="O41" s="26">
        <f t="shared" si="4"/>
        <v>0</v>
      </c>
      <c r="P41" s="26">
        <f t="shared" si="4"/>
        <v>0</v>
      </c>
      <c r="Q41" s="26">
        <f t="shared" si="4"/>
        <v>0</v>
      </c>
      <c r="R41" s="26">
        <f t="shared" si="4"/>
        <v>0</v>
      </c>
      <c r="S41" s="26">
        <f t="shared" si="4"/>
        <v>0</v>
      </c>
      <c r="T41" s="26">
        <f t="shared" si="4"/>
        <v>0</v>
      </c>
      <c r="U41" s="26">
        <f t="shared" si="4"/>
        <v>0</v>
      </c>
      <c r="V41" s="26">
        <f t="shared" si="4"/>
        <v>0</v>
      </c>
      <c r="W41" s="26">
        <f t="shared" si="4"/>
        <v>0</v>
      </c>
      <c r="X41" s="26">
        <f t="shared" si="4"/>
        <v>0</v>
      </c>
      <c r="Y41" s="26">
        <f t="shared" si="4"/>
        <v>58.29</v>
      </c>
      <c r="Z41" s="26">
        <f t="shared" si="4"/>
        <v>0</v>
      </c>
      <c r="AA41" s="26">
        <f t="shared" si="4"/>
        <v>3.741</v>
      </c>
      <c r="AB41" s="26">
        <f t="shared" si="4"/>
        <v>0</v>
      </c>
      <c r="AC41" s="26">
        <f t="shared" si="4"/>
        <v>0</v>
      </c>
      <c r="AD41" s="26">
        <f t="shared" si="4"/>
        <v>4.002</v>
      </c>
      <c r="AE41" s="26">
        <f t="shared" si="4"/>
        <v>0</v>
      </c>
      <c r="AF41" s="26">
        <f t="shared" si="4"/>
        <v>0</v>
      </c>
      <c r="AG41" s="26">
        <f t="shared" si="4"/>
        <v>0</v>
      </c>
      <c r="AH41" s="26">
        <f t="shared" si="4"/>
        <v>0.348</v>
      </c>
      <c r="AI41" s="26">
        <f t="shared" si="4"/>
        <v>0</v>
      </c>
      <c r="AJ41" s="26">
        <f t="shared" si="4"/>
        <v>0</v>
      </c>
      <c r="AK41" s="26">
        <f t="shared" si="4"/>
        <v>0</v>
      </c>
      <c r="AL41" s="26">
        <f t="shared" si="4"/>
        <v>0</v>
      </c>
      <c r="AM41" s="26">
        <f t="shared" si="4"/>
        <v>0</v>
      </c>
      <c r="AN41" s="26">
        <f t="shared" si="4"/>
        <v>0</v>
      </c>
      <c r="AO41">
        <v>2019</v>
      </c>
    </row>
    <row r="42" spans="3:41">
      <c r="C42" s="26" t="s">
        <v>62</v>
      </c>
      <c r="D42" s="26" t="s">
        <v>64</v>
      </c>
      <c r="E42" s="26"/>
      <c r="F42" s="26">
        <f>'attache--data--from'!D37</f>
        <v>0</v>
      </c>
      <c r="G42" s="26">
        <f>'attache--data--from'!E37</f>
        <v>171.912</v>
      </c>
      <c r="H42" s="26">
        <f>'attache--data--from'!F37</f>
        <v>2436</v>
      </c>
      <c r="I42" s="26">
        <f>'attache--data--from'!G37</f>
        <v>0</v>
      </c>
      <c r="J42" s="26">
        <f>'attache--data--from'!H37</f>
        <v>0</v>
      </c>
      <c r="K42" s="26">
        <f>'attache--data--from'!I37</f>
        <v>0</v>
      </c>
      <c r="L42" s="26">
        <f>'attache--data--from'!J37</f>
        <v>0</v>
      </c>
      <c r="M42" s="26">
        <f>'attache--data--from'!K37</f>
        <v>1044</v>
      </c>
      <c r="N42" s="26">
        <f>'attache--data--from'!L37</f>
        <v>0</v>
      </c>
      <c r="O42" s="26">
        <f>'attache--data--from'!M37</f>
        <v>0</v>
      </c>
      <c r="P42" s="26">
        <f>'attache--data--from'!N37</f>
        <v>0</v>
      </c>
      <c r="Q42" s="26">
        <f>'attache--data--from'!O37</f>
        <v>0</v>
      </c>
      <c r="R42" s="26">
        <f>'attache--data--from'!P37</f>
        <v>0</v>
      </c>
      <c r="S42" s="26">
        <f>'attache--data--from'!Q37</f>
        <v>0</v>
      </c>
      <c r="T42" s="26">
        <f>'attache--data--from'!R37</f>
        <v>0</v>
      </c>
      <c r="U42" s="26">
        <f>'attache--data--from'!S37</f>
        <v>0</v>
      </c>
      <c r="V42" s="26">
        <f>'attache--data--from'!T37</f>
        <v>0</v>
      </c>
      <c r="W42" s="26">
        <f>'attache--data--from'!U37</f>
        <v>0</v>
      </c>
      <c r="X42" s="26">
        <f>'attache--data--from'!V37</f>
        <v>0</v>
      </c>
      <c r="Y42" s="26">
        <f>'attache--data--from'!W37</f>
        <v>4764.12</v>
      </c>
      <c r="Z42" s="26">
        <f>'attache--data--from'!X37</f>
        <v>0</v>
      </c>
      <c r="AA42" s="26">
        <f>'attache--data--from'!Y37</f>
        <v>1044</v>
      </c>
      <c r="AB42" s="26">
        <f>'attache--data--from'!Z37</f>
        <v>0</v>
      </c>
      <c r="AC42" s="26">
        <f>'attache--data--from'!AA37</f>
        <v>0</v>
      </c>
      <c r="AD42" s="26">
        <f>'attache--data--from'!AB37</f>
        <v>959.088</v>
      </c>
      <c r="AE42" s="26">
        <f>'attache--data--from'!AC37</f>
        <v>0</v>
      </c>
      <c r="AF42" s="26">
        <f>'attache--data--from'!AD37</f>
        <v>0</v>
      </c>
      <c r="AG42" s="26">
        <f>'attache--data--from'!AE37</f>
        <v>0</v>
      </c>
      <c r="AH42" s="26">
        <f>'attache--data--from'!AF37</f>
        <v>20.88</v>
      </c>
      <c r="AI42" s="26">
        <f>'attache--data--from'!AG37</f>
        <v>0</v>
      </c>
      <c r="AJ42" s="26">
        <f>'attache--data--from'!AH37</f>
        <v>0</v>
      </c>
      <c r="AK42" s="26">
        <f>'attache--data--from'!AI37</f>
        <v>0</v>
      </c>
      <c r="AL42" s="26">
        <f>'attache--data--from'!AJ37</f>
        <v>0</v>
      </c>
      <c r="AM42" s="26">
        <f>'attache--data--from'!AK37</f>
        <v>0</v>
      </c>
      <c r="AN42" s="26">
        <f>'attache--data--from'!AL37</f>
        <v>0</v>
      </c>
      <c r="AO42">
        <v>2019</v>
      </c>
    </row>
    <row r="43" spans="3:41">
      <c r="C43" s="26" t="s">
        <v>62</v>
      </c>
      <c r="D43" s="26" t="s">
        <v>65</v>
      </c>
      <c r="E43" s="26" t="s">
        <v>0</v>
      </c>
      <c r="F43" s="26">
        <f>D4</f>
        <v>12.85</v>
      </c>
      <c r="G43" s="26">
        <f>F43</f>
        <v>12.85</v>
      </c>
      <c r="H43" s="26">
        <f t="shared" ref="H43:AN43" si="5">G43</f>
        <v>12.85</v>
      </c>
      <c r="I43" s="26">
        <f t="shared" si="5"/>
        <v>12.85</v>
      </c>
      <c r="J43" s="26">
        <f t="shared" si="5"/>
        <v>12.85</v>
      </c>
      <c r="K43" s="26">
        <f t="shared" si="5"/>
        <v>12.85</v>
      </c>
      <c r="L43" s="26">
        <f t="shared" si="5"/>
        <v>12.85</v>
      </c>
      <c r="M43" s="26">
        <f t="shared" si="5"/>
        <v>12.85</v>
      </c>
      <c r="N43" s="26">
        <f t="shared" si="5"/>
        <v>12.85</v>
      </c>
      <c r="O43" s="26">
        <f t="shared" si="5"/>
        <v>12.85</v>
      </c>
      <c r="P43" s="26">
        <f t="shared" si="5"/>
        <v>12.85</v>
      </c>
      <c r="Q43" s="26">
        <f t="shared" si="5"/>
        <v>12.85</v>
      </c>
      <c r="R43" s="26">
        <f t="shared" si="5"/>
        <v>12.85</v>
      </c>
      <c r="S43" s="26">
        <f t="shared" si="5"/>
        <v>12.85</v>
      </c>
      <c r="T43" s="26">
        <f t="shared" si="5"/>
        <v>12.85</v>
      </c>
      <c r="U43" s="26">
        <f t="shared" si="5"/>
        <v>12.85</v>
      </c>
      <c r="V43" s="26">
        <f t="shared" si="5"/>
        <v>12.85</v>
      </c>
      <c r="W43" s="26">
        <f t="shared" si="5"/>
        <v>12.85</v>
      </c>
      <c r="X43" s="26">
        <f t="shared" si="5"/>
        <v>12.85</v>
      </c>
      <c r="Y43" s="26">
        <f t="shared" si="5"/>
        <v>12.85</v>
      </c>
      <c r="Z43" s="26">
        <f t="shared" si="5"/>
        <v>12.85</v>
      </c>
      <c r="AA43" s="26">
        <f t="shared" si="5"/>
        <v>12.85</v>
      </c>
      <c r="AB43" s="26">
        <f t="shared" si="5"/>
        <v>12.85</v>
      </c>
      <c r="AC43" s="26">
        <f t="shared" si="5"/>
        <v>12.85</v>
      </c>
      <c r="AD43" s="26">
        <f t="shared" si="5"/>
        <v>12.85</v>
      </c>
      <c r="AE43" s="26">
        <f t="shared" si="5"/>
        <v>12.85</v>
      </c>
      <c r="AF43" s="26">
        <f t="shared" si="5"/>
        <v>12.85</v>
      </c>
      <c r="AG43" s="26">
        <f t="shared" si="5"/>
        <v>12.85</v>
      </c>
      <c r="AH43" s="26">
        <f t="shared" si="5"/>
        <v>12.85</v>
      </c>
      <c r="AI43" s="26">
        <f t="shared" si="5"/>
        <v>12.85</v>
      </c>
      <c r="AJ43" s="26">
        <f t="shared" si="5"/>
        <v>12.85</v>
      </c>
      <c r="AK43" s="26">
        <f t="shared" si="5"/>
        <v>12.85</v>
      </c>
      <c r="AL43" s="26">
        <f t="shared" si="5"/>
        <v>12.85</v>
      </c>
      <c r="AM43" s="26">
        <f t="shared" si="5"/>
        <v>12.85</v>
      </c>
      <c r="AN43" s="26">
        <f t="shared" si="5"/>
        <v>12.85</v>
      </c>
      <c r="AO43">
        <v>2019</v>
      </c>
    </row>
    <row r="44" spans="3:41">
      <c r="C44" s="26" t="s">
        <v>66</v>
      </c>
      <c r="D44" s="26" t="s">
        <v>63</v>
      </c>
      <c r="E44" s="26"/>
      <c r="F44" s="26">
        <f>F118*4</f>
        <v>0</v>
      </c>
      <c r="G44" s="26">
        <f t="shared" ref="G44:AN44" si="6">G118*4</f>
        <v>85.956</v>
      </c>
      <c r="H44" s="26">
        <f t="shared" si="6"/>
        <v>306.24</v>
      </c>
      <c r="I44" s="26">
        <f t="shared" si="6"/>
        <v>0</v>
      </c>
      <c r="J44" s="26">
        <f t="shared" si="6"/>
        <v>0</v>
      </c>
      <c r="K44" s="26">
        <f t="shared" si="6"/>
        <v>0</v>
      </c>
      <c r="L44" s="26">
        <f t="shared" si="6"/>
        <v>34.8</v>
      </c>
      <c r="M44" s="26">
        <f t="shared" si="6"/>
        <v>142.68</v>
      </c>
      <c r="N44" s="26">
        <f t="shared" si="6"/>
        <v>0</v>
      </c>
      <c r="O44" s="26">
        <f t="shared" si="6"/>
        <v>0</v>
      </c>
      <c r="P44" s="26">
        <f t="shared" si="6"/>
        <v>0</v>
      </c>
      <c r="Q44" s="26">
        <f t="shared" si="6"/>
        <v>0</v>
      </c>
      <c r="R44" s="26">
        <f t="shared" si="6"/>
        <v>0</v>
      </c>
      <c r="S44" s="26">
        <f t="shared" si="6"/>
        <v>0</v>
      </c>
      <c r="T44" s="26">
        <f t="shared" si="6"/>
        <v>0</v>
      </c>
      <c r="U44" s="26">
        <f t="shared" si="6"/>
        <v>0</v>
      </c>
      <c r="V44" s="26">
        <f t="shared" si="6"/>
        <v>0</v>
      </c>
      <c r="W44" s="26">
        <f t="shared" si="6"/>
        <v>0</v>
      </c>
      <c r="X44" s="26">
        <f t="shared" si="6"/>
        <v>0</v>
      </c>
      <c r="Y44" s="26">
        <f t="shared" si="6"/>
        <v>233.16</v>
      </c>
      <c r="Z44" s="26">
        <f t="shared" si="6"/>
        <v>0</v>
      </c>
      <c r="AA44" s="26">
        <f t="shared" si="6"/>
        <v>14.964</v>
      </c>
      <c r="AB44" s="26">
        <f t="shared" si="6"/>
        <v>0</v>
      </c>
      <c r="AC44" s="26">
        <f t="shared" si="6"/>
        <v>0</v>
      </c>
      <c r="AD44" s="26">
        <f t="shared" si="6"/>
        <v>16.008</v>
      </c>
      <c r="AE44" s="26">
        <f t="shared" si="6"/>
        <v>0</v>
      </c>
      <c r="AF44" s="26">
        <f t="shared" si="6"/>
        <v>0</v>
      </c>
      <c r="AG44" s="26">
        <f t="shared" si="6"/>
        <v>0</v>
      </c>
      <c r="AH44" s="26">
        <f t="shared" si="6"/>
        <v>1.392</v>
      </c>
      <c r="AI44" s="26">
        <f t="shared" si="6"/>
        <v>0</v>
      </c>
      <c r="AJ44" s="26">
        <f t="shared" si="6"/>
        <v>0</v>
      </c>
      <c r="AK44" s="26">
        <f t="shared" si="6"/>
        <v>0</v>
      </c>
      <c r="AL44" s="26">
        <f t="shared" si="6"/>
        <v>0</v>
      </c>
      <c r="AM44" s="26">
        <f t="shared" si="6"/>
        <v>0</v>
      </c>
      <c r="AN44" s="26">
        <f t="shared" si="6"/>
        <v>0</v>
      </c>
      <c r="AO44">
        <v>2019</v>
      </c>
    </row>
    <row r="45" spans="3:41">
      <c r="C45" s="26" t="s">
        <v>66</v>
      </c>
      <c r="D45" s="26" t="s">
        <v>64</v>
      </c>
      <c r="E45" s="26"/>
      <c r="F45" s="26">
        <f>'attache--data--from'!D38</f>
        <v>0</v>
      </c>
      <c r="G45" s="26">
        <f>'attache--data--from'!E38</f>
        <v>257.868</v>
      </c>
      <c r="H45" s="26">
        <f>'attache--data--from'!F38</f>
        <v>3654</v>
      </c>
      <c r="I45" s="26">
        <f>'attache--data--from'!G38</f>
        <v>0</v>
      </c>
      <c r="J45" s="26">
        <f>'attache--data--from'!H38</f>
        <v>0</v>
      </c>
      <c r="K45" s="26">
        <f>'attache--data--from'!I38</f>
        <v>0</v>
      </c>
      <c r="L45" s="26">
        <f>'attache--data--from'!J38</f>
        <v>0</v>
      </c>
      <c r="M45" s="26">
        <f>'attache--data--from'!K38</f>
        <v>1566</v>
      </c>
      <c r="N45" s="26">
        <f>'attache--data--from'!L38</f>
        <v>0</v>
      </c>
      <c r="O45" s="26">
        <f>'attache--data--from'!M38</f>
        <v>0</v>
      </c>
      <c r="P45" s="26">
        <f>'attache--data--from'!N38</f>
        <v>0</v>
      </c>
      <c r="Q45" s="26">
        <f>'attache--data--from'!O38</f>
        <v>0</v>
      </c>
      <c r="R45" s="26">
        <f>'attache--data--from'!P38</f>
        <v>0</v>
      </c>
      <c r="S45" s="26">
        <f>'attache--data--from'!Q38</f>
        <v>0</v>
      </c>
      <c r="T45" s="26">
        <f>'attache--data--from'!R38</f>
        <v>0</v>
      </c>
      <c r="U45" s="26">
        <f>'attache--data--from'!S38</f>
        <v>0</v>
      </c>
      <c r="V45" s="26">
        <f>'attache--data--from'!T38</f>
        <v>0</v>
      </c>
      <c r="W45" s="26">
        <f>'attache--data--from'!U38</f>
        <v>0</v>
      </c>
      <c r="X45" s="26">
        <f>'attache--data--from'!V38</f>
        <v>0</v>
      </c>
      <c r="Y45" s="26">
        <f>'attache--data--from'!W38</f>
        <v>7146.18</v>
      </c>
      <c r="Z45" s="26">
        <f>'attache--data--from'!X38</f>
        <v>0</v>
      </c>
      <c r="AA45" s="26">
        <f>'attache--data--from'!Y38</f>
        <v>1566</v>
      </c>
      <c r="AB45" s="26">
        <f>'attache--data--from'!Z38</f>
        <v>0</v>
      </c>
      <c r="AC45" s="26">
        <f>'attache--data--from'!AA38</f>
        <v>0</v>
      </c>
      <c r="AD45" s="26">
        <f>'attache--data--from'!AB38</f>
        <v>1438.632</v>
      </c>
      <c r="AE45" s="26">
        <f>'attache--data--from'!AC38</f>
        <v>0</v>
      </c>
      <c r="AF45" s="26">
        <f>'attache--data--from'!AD38</f>
        <v>0</v>
      </c>
      <c r="AG45" s="26">
        <f>'attache--data--from'!AE38</f>
        <v>0</v>
      </c>
      <c r="AH45" s="26">
        <f>'attache--data--from'!AF38</f>
        <v>31.32</v>
      </c>
      <c r="AI45" s="26">
        <f>'attache--data--from'!AG38</f>
        <v>0</v>
      </c>
      <c r="AJ45" s="26">
        <f>'attache--data--from'!AH38</f>
        <v>0</v>
      </c>
      <c r="AK45" s="26">
        <f>'attache--data--from'!AI38</f>
        <v>0</v>
      </c>
      <c r="AL45" s="26">
        <f>'attache--data--from'!AJ38</f>
        <v>0</v>
      </c>
      <c r="AM45" s="26">
        <f>'attache--data--from'!AK38</f>
        <v>0</v>
      </c>
      <c r="AN45" s="26">
        <f>'attache--data--from'!AL38</f>
        <v>0</v>
      </c>
      <c r="AO45">
        <v>2019</v>
      </c>
    </row>
    <row r="46" spans="3:41">
      <c r="C46" s="26" t="s">
        <v>66</v>
      </c>
      <c r="D46" s="26" t="s">
        <v>65</v>
      </c>
      <c r="E46" s="26" t="s">
        <v>0</v>
      </c>
      <c r="F46" s="26">
        <f>F43*2</f>
        <v>25.7</v>
      </c>
      <c r="G46" s="26">
        <f>F46</f>
        <v>25.7</v>
      </c>
      <c r="H46" s="26">
        <f t="shared" ref="H46:AN46" si="7">G46</f>
        <v>25.7</v>
      </c>
      <c r="I46" s="26">
        <f t="shared" si="7"/>
        <v>25.7</v>
      </c>
      <c r="J46" s="26">
        <f t="shared" si="7"/>
        <v>25.7</v>
      </c>
      <c r="K46" s="26">
        <f t="shared" si="7"/>
        <v>25.7</v>
      </c>
      <c r="L46" s="26">
        <f t="shared" si="7"/>
        <v>25.7</v>
      </c>
      <c r="M46" s="26">
        <f t="shared" si="7"/>
        <v>25.7</v>
      </c>
      <c r="N46" s="26">
        <f t="shared" si="7"/>
        <v>25.7</v>
      </c>
      <c r="O46" s="26">
        <f t="shared" si="7"/>
        <v>25.7</v>
      </c>
      <c r="P46" s="26">
        <f t="shared" si="7"/>
        <v>25.7</v>
      </c>
      <c r="Q46" s="26">
        <f t="shared" si="7"/>
        <v>25.7</v>
      </c>
      <c r="R46" s="26">
        <f t="shared" si="7"/>
        <v>25.7</v>
      </c>
      <c r="S46" s="26">
        <f t="shared" si="7"/>
        <v>25.7</v>
      </c>
      <c r="T46" s="26">
        <f t="shared" si="7"/>
        <v>25.7</v>
      </c>
      <c r="U46" s="26">
        <f t="shared" si="7"/>
        <v>25.7</v>
      </c>
      <c r="V46" s="26">
        <f t="shared" si="7"/>
        <v>25.7</v>
      </c>
      <c r="W46" s="26">
        <f t="shared" si="7"/>
        <v>25.7</v>
      </c>
      <c r="X46" s="26">
        <f t="shared" si="7"/>
        <v>25.7</v>
      </c>
      <c r="Y46" s="26">
        <f t="shared" si="7"/>
        <v>25.7</v>
      </c>
      <c r="Z46" s="26">
        <f t="shared" si="7"/>
        <v>25.7</v>
      </c>
      <c r="AA46" s="26">
        <f t="shared" si="7"/>
        <v>25.7</v>
      </c>
      <c r="AB46" s="26">
        <f t="shared" si="7"/>
        <v>25.7</v>
      </c>
      <c r="AC46" s="26">
        <f t="shared" si="7"/>
        <v>25.7</v>
      </c>
      <c r="AD46" s="26">
        <f t="shared" si="7"/>
        <v>25.7</v>
      </c>
      <c r="AE46" s="26">
        <f t="shared" si="7"/>
        <v>25.7</v>
      </c>
      <c r="AF46" s="26">
        <f t="shared" si="7"/>
        <v>25.7</v>
      </c>
      <c r="AG46" s="26">
        <f t="shared" si="7"/>
        <v>25.7</v>
      </c>
      <c r="AH46" s="26">
        <f t="shared" si="7"/>
        <v>25.7</v>
      </c>
      <c r="AI46" s="26">
        <f t="shared" si="7"/>
        <v>25.7</v>
      </c>
      <c r="AJ46" s="26">
        <f t="shared" si="7"/>
        <v>25.7</v>
      </c>
      <c r="AK46" s="26">
        <f t="shared" si="7"/>
        <v>25.7</v>
      </c>
      <c r="AL46" s="26">
        <f t="shared" si="7"/>
        <v>25.7</v>
      </c>
      <c r="AM46" s="26">
        <f t="shared" si="7"/>
        <v>25.7</v>
      </c>
      <c r="AN46" s="26">
        <f t="shared" si="7"/>
        <v>25.7</v>
      </c>
      <c r="AO46">
        <v>2019</v>
      </c>
    </row>
    <row r="47" spans="3:41">
      <c r="C47" s="26" t="s">
        <v>67</v>
      </c>
      <c r="D47" s="26" t="s">
        <v>63</v>
      </c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>
        <v>2019</v>
      </c>
    </row>
    <row r="48" spans="3:41">
      <c r="C48" s="26" t="s">
        <v>67</v>
      </c>
      <c r="D48" s="26" t="s">
        <v>64</v>
      </c>
      <c r="E48" s="26"/>
      <c r="F48" s="26">
        <f>'attache--data--from'!D39</f>
        <v>0</v>
      </c>
      <c r="G48" s="26">
        <f>'attache--data--from'!E39</f>
        <v>343.824</v>
      </c>
      <c r="H48" s="26">
        <f>'attache--data--from'!F39</f>
        <v>4872</v>
      </c>
      <c r="I48" s="26">
        <f>'attache--data--from'!G39</f>
        <v>0</v>
      </c>
      <c r="J48" s="26">
        <f>'attache--data--from'!H39</f>
        <v>0</v>
      </c>
      <c r="K48" s="26">
        <f>'attache--data--from'!I39</f>
        <v>0</v>
      </c>
      <c r="L48" s="26">
        <f>'attache--data--from'!J39</f>
        <v>0</v>
      </c>
      <c r="M48" s="26">
        <f>'attache--data--from'!K39</f>
        <v>2088</v>
      </c>
      <c r="N48" s="26">
        <f>'attache--data--from'!L39</f>
        <v>0</v>
      </c>
      <c r="O48" s="26">
        <f>'attache--data--from'!M39</f>
        <v>0</v>
      </c>
      <c r="P48" s="26">
        <f>'attache--data--from'!N39</f>
        <v>0</v>
      </c>
      <c r="Q48" s="26">
        <f>'attache--data--from'!O39</f>
        <v>0</v>
      </c>
      <c r="R48" s="26">
        <f>'attache--data--from'!P39</f>
        <v>0</v>
      </c>
      <c r="S48" s="26">
        <f>'attache--data--from'!Q39</f>
        <v>0</v>
      </c>
      <c r="T48" s="26">
        <f>'attache--data--from'!R39</f>
        <v>0</v>
      </c>
      <c r="U48" s="26">
        <f>'attache--data--from'!S39</f>
        <v>0</v>
      </c>
      <c r="V48" s="26">
        <f>'attache--data--from'!T39</f>
        <v>0</v>
      </c>
      <c r="W48" s="26">
        <f>'attache--data--from'!U39</f>
        <v>0</v>
      </c>
      <c r="X48" s="26">
        <f>'attache--data--from'!V39</f>
        <v>0</v>
      </c>
      <c r="Y48" s="26">
        <f>'attache--data--from'!W39</f>
        <v>9528.24</v>
      </c>
      <c r="Z48" s="26">
        <f>'attache--data--from'!X39</f>
        <v>0</v>
      </c>
      <c r="AA48" s="26">
        <f>'attache--data--from'!Y39</f>
        <v>2088</v>
      </c>
      <c r="AB48" s="26">
        <f>'attache--data--from'!Z39</f>
        <v>0</v>
      </c>
      <c r="AC48" s="26">
        <f>'attache--data--from'!AA39</f>
        <v>0</v>
      </c>
      <c r="AD48" s="26">
        <f>'attache--data--from'!AB39</f>
        <v>1918.176</v>
      </c>
      <c r="AE48" s="26">
        <f>'attache--data--from'!AC39</f>
        <v>0</v>
      </c>
      <c r="AF48" s="26">
        <f>'attache--data--from'!AD39</f>
        <v>0</v>
      </c>
      <c r="AG48" s="26">
        <f>'attache--data--from'!AE39</f>
        <v>0</v>
      </c>
      <c r="AH48" s="26">
        <f>'attache--data--from'!AF39</f>
        <v>41.76</v>
      </c>
      <c r="AI48" s="26">
        <f>'attache--data--from'!AG39</f>
        <v>0</v>
      </c>
      <c r="AJ48" s="26">
        <f>'attache--data--from'!AH39</f>
        <v>0</v>
      </c>
      <c r="AK48" s="26">
        <f>'attache--data--from'!AI39</f>
        <v>0</v>
      </c>
      <c r="AL48" s="26">
        <f>'attache--data--from'!AJ39</f>
        <v>0</v>
      </c>
      <c r="AM48" s="26">
        <f>'attache--data--from'!AK39</f>
        <v>0</v>
      </c>
      <c r="AN48" s="26">
        <f>'attache--data--from'!AL39</f>
        <v>0</v>
      </c>
      <c r="AO48">
        <v>2019</v>
      </c>
    </row>
    <row r="49" spans="3:41">
      <c r="C49" s="26" t="s">
        <v>67</v>
      </c>
      <c r="D49" s="26" t="s">
        <v>65</v>
      </c>
      <c r="E49" s="26" t="s">
        <v>0</v>
      </c>
      <c r="F49" s="26">
        <f>F43*4</f>
        <v>51.4</v>
      </c>
      <c r="G49" s="26">
        <f>F49</f>
        <v>51.4</v>
      </c>
      <c r="H49" s="26">
        <f t="shared" ref="H49:AN49" si="8">G49</f>
        <v>51.4</v>
      </c>
      <c r="I49" s="26">
        <f t="shared" si="8"/>
        <v>51.4</v>
      </c>
      <c r="J49" s="26">
        <f t="shared" si="8"/>
        <v>51.4</v>
      </c>
      <c r="K49" s="26">
        <f t="shared" si="8"/>
        <v>51.4</v>
      </c>
      <c r="L49" s="26">
        <f t="shared" si="8"/>
        <v>51.4</v>
      </c>
      <c r="M49" s="26">
        <f t="shared" si="8"/>
        <v>51.4</v>
      </c>
      <c r="N49" s="26">
        <f t="shared" si="8"/>
        <v>51.4</v>
      </c>
      <c r="O49" s="26">
        <f t="shared" si="8"/>
        <v>51.4</v>
      </c>
      <c r="P49" s="26">
        <f t="shared" si="8"/>
        <v>51.4</v>
      </c>
      <c r="Q49" s="26">
        <f t="shared" si="8"/>
        <v>51.4</v>
      </c>
      <c r="R49" s="26">
        <f t="shared" si="8"/>
        <v>51.4</v>
      </c>
      <c r="S49" s="26">
        <f t="shared" si="8"/>
        <v>51.4</v>
      </c>
      <c r="T49" s="26">
        <f t="shared" si="8"/>
        <v>51.4</v>
      </c>
      <c r="U49" s="26">
        <f t="shared" si="8"/>
        <v>51.4</v>
      </c>
      <c r="V49" s="26">
        <f t="shared" si="8"/>
        <v>51.4</v>
      </c>
      <c r="W49" s="26">
        <f t="shared" si="8"/>
        <v>51.4</v>
      </c>
      <c r="X49" s="26">
        <f t="shared" si="8"/>
        <v>51.4</v>
      </c>
      <c r="Y49" s="26">
        <f t="shared" si="8"/>
        <v>51.4</v>
      </c>
      <c r="Z49" s="26">
        <f t="shared" si="8"/>
        <v>51.4</v>
      </c>
      <c r="AA49" s="26">
        <f t="shared" si="8"/>
        <v>51.4</v>
      </c>
      <c r="AB49" s="26">
        <f t="shared" si="8"/>
        <v>51.4</v>
      </c>
      <c r="AC49" s="26">
        <f t="shared" si="8"/>
        <v>51.4</v>
      </c>
      <c r="AD49" s="26">
        <f t="shared" si="8"/>
        <v>51.4</v>
      </c>
      <c r="AE49" s="26">
        <f t="shared" si="8"/>
        <v>51.4</v>
      </c>
      <c r="AF49" s="26">
        <f t="shared" si="8"/>
        <v>51.4</v>
      </c>
      <c r="AG49" s="26">
        <f t="shared" si="8"/>
        <v>51.4</v>
      </c>
      <c r="AH49" s="26">
        <f t="shared" si="8"/>
        <v>51.4</v>
      </c>
      <c r="AI49" s="26">
        <f t="shared" si="8"/>
        <v>51.4</v>
      </c>
      <c r="AJ49" s="26">
        <f t="shared" si="8"/>
        <v>51.4</v>
      </c>
      <c r="AK49" s="26">
        <f t="shared" si="8"/>
        <v>51.4</v>
      </c>
      <c r="AL49" s="26">
        <f t="shared" si="8"/>
        <v>51.4</v>
      </c>
      <c r="AM49" s="26">
        <f t="shared" si="8"/>
        <v>51.4</v>
      </c>
      <c r="AN49" s="26">
        <f t="shared" si="8"/>
        <v>51.4</v>
      </c>
      <c r="AO49">
        <v>2019</v>
      </c>
    </row>
    <row r="50" spans="3:41">
      <c r="C50" s="26" t="s">
        <v>68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>
        <v>2019</v>
      </c>
    </row>
    <row r="51" spans="3:41">
      <c r="C51" s="26" t="s">
        <v>69</v>
      </c>
      <c r="D51" s="26" t="s">
        <v>63</v>
      </c>
      <c r="E51" s="26"/>
      <c r="F51" s="26">
        <f t="shared" ref="F51:AN51" si="9">F119*1</f>
        <v>0</v>
      </c>
      <c r="G51" s="26">
        <f t="shared" si="9"/>
        <v>0</v>
      </c>
      <c r="H51" s="26">
        <f t="shared" si="9"/>
        <v>16.5</v>
      </c>
      <c r="I51" s="26">
        <f t="shared" si="9"/>
        <v>0</v>
      </c>
      <c r="J51" s="26">
        <f t="shared" si="9"/>
        <v>0</v>
      </c>
      <c r="K51" s="26">
        <f t="shared" si="9"/>
        <v>0</v>
      </c>
      <c r="L51" s="26">
        <f t="shared" si="9"/>
        <v>11.55</v>
      </c>
      <c r="M51" s="26">
        <f t="shared" si="9"/>
        <v>18</v>
      </c>
      <c r="N51" s="26">
        <f t="shared" si="9"/>
        <v>0</v>
      </c>
      <c r="O51" s="26">
        <f t="shared" si="9"/>
        <v>0</v>
      </c>
      <c r="P51" s="26">
        <f t="shared" si="9"/>
        <v>0</v>
      </c>
      <c r="Q51" s="26">
        <f t="shared" si="9"/>
        <v>0</v>
      </c>
      <c r="R51" s="26">
        <f t="shared" si="9"/>
        <v>0</v>
      </c>
      <c r="S51" s="26">
        <f t="shared" si="9"/>
        <v>0</v>
      </c>
      <c r="T51" s="26">
        <f t="shared" si="9"/>
        <v>0</v>
      </c>
      <c r="U51" s="26">
        <f t="shared" si="9"/>
        <v>0</v>
      </c>
      <c r="V51" s="26">
        <f t="shared" si="9"/>
        <v>0</v>
      </c>
      <c r="W51" s="26">
        <f t="shared" si="9"/>
        <v>0</v>
      </c>
      <c r="X51" s="26">
        <f t="shared" si="9"/>
        <v>0</v>
      </c>
      <c r="Y51" s="26">
        <f t="shared" si="9"/>
        <v>0</v>
      </c>
      <c r="Z51" s="26">
        <f t="shared" si="9"/>
        <v>0</v>
      </c>
      <c r="AA51" s="26">
        <f t="shared" si="9"/>
        <v>29.7</v>
      </c>
      <c r="AB51" s="26">
        <f t="shared" si="9"/>
        <v>0</v>
      </c>
      <c r="AC51" s="26">
        <f t="shared" si="9"/>
        <v>0</v>
      </c>
      <c r="AD51" s="26">
        <f t="shared" si="9"/>
        <v>447.75</v>
      </c>
      <c r="AE51" s="26">
        <f t="shared" si="9"/>
        <v>31.5</v>
      </c>
      <c r="AF51" s="26">
        <f t="shared" si="9"/>
        <v>0</v>
      </c>
      <c r="AG51" s="26">
        <f t="shared" si="9"/>
        <v>0</v>
      </c>
      <c r="AH51" s="26">
        <f t="shared" si="9"/>
        <v>0</v>
      </c>
      <c r="AI51" s="26">
        <f t="shared" si="9"/>
        <v>0</v>
      </c>
      <c r="AJ51" s="26">
        <f t="shared" si="9"/>
        <v>0</v>
      </c>
      <c r="AK51" s="26">
        <f t="shared" si="9"/>
        <v>0</v>
      </c>
      <c r="AL51" s="26">
        <f t="shared" si="9"/>
        <v>0</v>
      </c>
      <c r="AM51" s="26">
        <f t="shared" si="9"/>
        <v>0</v>
      </c>
      <c r="AN51" s="26">
        <f t="shared" si="9"/>
        <v>0</v>
      </c>
      <c r="AO51">
        <v>2019</v>
      </c>
    </row>
    <row r="52" spans="3:41">
      <c r="C52" s="26" t="s">
        <v>69</v>
      </c>
      <c r="D52" s="26" t="s">
        <v>64</v>
      </c>
      <c r="E52" s="26"/>
      <c r="F52" s="26">
        <f>'attache--data--from'!D45</f>
        <v>0</v>
      </c>
      <c r="G52" s="26">
        <f>'attache--data--from'!E45</f>
        <v>0</v>
      </c>
      <c r="H52" s="26">
        <f>'attache--data--from'!F45</f>
        <v>1478.4</v>
      </c>
      <c r="I52" s="26">
        <f>'attache--data--from'!G45</f>
        <v>0</v>
      </c>
      <c r="J52" s="26">
        <f>'attache--data--from'!H45</f>
        <v>0</v>
      </c>
      <c r="K52" s="26">
        <f>'attache--data--from'!I45</f>
        <v>0</v>
      </c>
      <c r="L52" s="26">
        <f>'attache--data--from'!J45</f>
        <v>0</v>
      </c>
      <c r="M52" s="26">
        <f>'attache--data--from'!K45</f>
        <v>271.04</v>
      </c>
      <c r="N52" s="26">
        <f>'attache--data--from'!L45</f>
        <v>0</v>
      </c>
      <c r="O52" s="26">
        <f>'attache--data--from'!M45</f>
        <v>0</v>
      </c>
      <c r="P52" s="26">
        <f>'attache--data--from'!N45</f>
        <v>0</v>
      </c>
      <c r="Q52" s="26">
        <f>'attache--data--from'!O45</f>
        <v>0</v>
      </c>
      <c r="R52" s="26">
        <f>'attache--data--from'!P45</f>
        <v>0</v>
      </c>
      <c r="S52" s="26">
        <f>'attache--data--from'!Q45</f>
        <v>0</v>
      </c>
      <c r="T52" s="26">
        <f>'attache--data--from'!R45</f>
        <v>0</v>
      </c>
      <c r="U52" s="26">
        <f>'attache--data--from'!S45</f>
        <v>0</v>
      </c>
      <c r="V52" s="26">
        <f>'attache--data--from'!T45</f>
        <v>0</v>
      </c>
      <c r="W52" s="26">
        <f>'attache--data--from'!U45</f>
        <v>0</v>
      </c>
      <c r="X52" s="26">
        <f>'attache--data--from'!V45</f>
        <v>0</v>
      </c>
      <c r="Y52" s="26">
        <f>'attache--data--from'!W45</f>
        <v>985.6</v>
      </c>
      <c r="Z52" s="26">
        <f>'attache--data--from'!X45</f>
        <v>0</v>
      </c>
      <c r="AA52" s="26">
        <f>'attache--data--from'!Y45</f>
        <v>154.616</v>
      </c>
      <c r="AB52" s="26">
        <f>'attache--data--from'!Z45</f>
        <v>0</v>
      </c>
      <c r="AC52" s="26">
        <f>'attache--data--from'!AA45</f>
        <v>0</v>
      </c>
      <c r="AD52" s="26">
        <f>'attache--data--from'!AB45</f>
        <v>4607.064</v>
      </c>
      <c r="AE52" s="26">
        <f>'attache--data--from'!AC45</f>
        <v>511.28</v>
      </c>
      <c r="AF52" s="26">
        <f>'attache--data--from'!AD45</f>
        <v>0</v>
      </c>
      <c r="AG52" s="26">
        <f>'attache--data--from'!AE45</f>
        <v>0</v>
      </c>
      <c r="AH52" s="26">
        <f>'attache--data--from'!AF45</f>
        <v>0</v>
      </c>
      <c r="AI52" s="26">
        <f>'attache--data--from'!AG45</f>
        <v>0</v>
      </c>
      <c r="AJ52" s="26">
        <f>'attache--data--from'!AH45</f>
        <v>0</v>
      </c>
      <c r="AK52" s="26">
        <f>'attache--data--from'!AI45</f>
        <v>0</v>
      </c>
      <c r="AL52" s="26">
        <f>'attache--data--from'!AJ45</f>
        <v>0</v>
      </c>
      <c r="AM52" s="26">
        <f>'attache--data--from'!AK45</f>
        <v>0</v>
      </c>
      <c r="AN52" s="26">
        <f>'attache--data--from'!AL45</f>
        <v>0</v>
      </c>
      <c r="AO52">
        <v>2019</v>
      </c>
    </row>
    <row r="53" spans="3:41">
      <c r="C53" s="26" t="s">
        <v>69</v>
      </c>
      <c r="D53" s="26" t="s">
        <v>65</v>
      </c>
      <c r="E53" s="26" t="s">
        <v>2</v>
      </c>
      <c r="F53" s="26">
        <f>D5</f>
        <v>20</v>
      </c>
      <c r="G53" s="26">
        <f>F53</f>
        <v>20</v>
      </c>
      <c r="H53" s="26">
        <f t="shared" ref="H53:AN53" si="10">G53</f>
        <v>20</v>
      </c>
      <c r="I53" s="26">
        <f t="shared" si="10"/>
        <v>20</v>
      </c>
      <c r="J53" s="26">
        <f t="shared" si="10"/>
        <v>20</v>
      </c>
      <c r="K53" s="26">
        <f t="shared" si="10"/>
        <v>20</v>
      </c>
      <c r="L53" s="26">
        <f t="shared" si="10"/>
        <v>20</v>
      </c>
      <c r="M53" s="26">
        <f t="shared" si="10"/>
        <v>20</v>
      </c>
      <c r="N53" s="26">
        <f t="shared" si="10"/>
        <v>20</v>
      </c>
      <c r="O53" s="26">
        <f t="shared" si="10"/>
        <v>20</v>
      </c>
      <c r="P53" s="26">
        <f t="shared" si="10"/>
        <v>20</v>
      </c>
      <c r="Q53" s="26">
        <f t="shared" si="10"/>
        <v>20</v>
      </c>
      <c r="R53" s="26">
        <f t="shared" si="10"/>
        <v>20</v>
      </c>
      <c r="S53" s="26">
        <f t="shared" si="10"/>
        <v>20</v>
      </c>
      <c r="T53" s="26">
        <f t="shared" si="10"/>
        <v>20</v>
      </c>
      <c r="U53" s="26">
        <f t="shared" si="10"/>
        <v>20</v>
      </c>
      <c r="V53" s="26">
        <f t="shared" si="10"/>
        <v>20</v>
      </c>
      <c r="W53" s="26">
        <f t="shared" si="10"/>
        <v>20</v>
      </c>
      <c r="X53" s="26">
        <f t="shared" si="10"/>
        <v>20</v>
      </c>
      <c r="Y53" s="26">
        <f t="shared" si="10"/>
        <v>20</v>
      </c>
      <c r="Z53" s="26">
        <f t="shared" si="10"/>
        <v>20</v>
      </c>
      <c r="AA53" s="26">
        <f t="shared" si="10"/>
        <v>20</v>
      </c>
      <c r="AB53" s="26">
        <f t="shared" si="10"/>
        <v>20</v>
      </c>
      <c r="AC53" s="26">
        <f t="shared" si="10"/>
        <v>20</v>
      </c>
      <c r="AD53" s="26">
        <f t="shared" si="10"/>
        <v>20</v>
      </c>
      <c r="AE53" s="26">
        <f t="shared" si="10"/>
        <v>20</v>
      </c>
      <c r="AF53" s="26">
        <f t="shared" si="10"/>
        <v>20</v>
      </c>
      <c r="AG53" s="26">
        <f t="shared" si="10"/>
        <v>20</v>
      </c>
      <c r="AH53" s="26">
        <f t="shared" si="10"/>
        <v>20</v>
      </c>
      <c r="AI53" s="26">
        <f t="shared" si="10"/>
        <v>20</v>
      </c>
      <c r="AJ53" s="26">
        <f t="shared" si="10"/>
        <v>20</v>
      </c>
      <c r="AK53" s="26">
        <f t="shared" si="10"/>
        <v>20</v>
      </c>
      <c r="AL53" s="26">
        <f t="shared" si="10"/>
        <v>20</v>
      </c>
      <c r="AM53" s="26">
        <f t="shared" si="10"/>
        <v>20</v>
      </c>
      <c r="AN53" s="26">
        <f t="shared" si="10"/>
        <v>20</v>
      </c>
      <c r="AO53">
        <v>2019</v>
      </c>
    </row>
    <row r="54" spans="3:41">
      <c r="C54" s="26" t="s">
        <v>70</v>
      </c>
      <c r="D54" s="26" t="s">
        <v>63</v>
      </c>
      <c r="E54" s="26"/>
      <c r="F54" s="26">
        <f>F119*4</f>
        <v>0</v>
      </c>
      <c r="G54" s="26">
        <f t="shared" ref="G54:AN54" si="11">G119*4</f>
        <v>0</v>
      </c>
      <c r="H54" s="26">
        <f t="shared" si="11"/>
        <v>66</v>
      </c>
      <c r="I54" s="26">
        <f t="shared" si="11"/>
        <v>0</v>
      </c>
      <c r="J54" s="26">
        <f t="shared" si="11"/>
        <v>0</v>
      </c>
      <c r="K54" s="26">
        <f t="shared" si="11"/>
        <v>0</v>
      </c>
      <c r="L54" s="26">
        <f t="shared" si="11"/>
        <v>46.2</v>
      </c>
      <c r="M54" s="26">
        <f t="shared" si="11"/>
        <v>72</v>
      </c>
      <c r="N54" s="26">
        <f t="shared" si="11"/>
        <v>0</v>
      </c>
      <c r="O54" s="26">
        <f t="shared" si="11"/>
        <v>0</v>
      </c>
      <c r="P54" s="26">
        <f t="shared" si="11"/>
        <v>0</v>
      </c>
      <c r="Q54" s="26">
        <f t="shared" si="11"/>
        <v>0</v>
      </c>
      <c r="R54" s="26">
        <f t="shared" si="11"/>
        <v>0</v>
      </c>
      <c r="S54" s="26">
        <f t="shared" si="11"/>
        <v>0</v>
      </c>
      <c r="T54" s="26">
        <f t="shared" si="11"/>
        <v>0</v>
      </c>
      <c r="U54" s="26">
        <f t="shared" si="11"/>
        <v>0</v>
      </c>
      <c r="V54" s="26">
        <f t="shared" si="11"/>
        <v>0</v>
      </c>
      <c r="W54" s="26">
        <f t="shared" si="11"/>
        <v>0</v>
      </c>
      <c r="X54" s="26">
        <f t="shared" si="11"/>
        <v>0</v>
      </c>
      <c r="Y54" s="26">
        <f t="shared" si="11"/>
        <v>0</v>
      </c>
      <c r="Z54" s="26">
        <f t="shared" si="11"/>
        <v>0</v>
      </c>
      <c r="AA54" s="26">
        <f t="shared" si="11"/>
        <v>118.8</v>
      </c>
      <c r="AB54" s="26">
        <f t="shared" si="11"/>
        <v>0</v>
      </c>
      <c r="AC54" s="26">
        <f t="shared" si="11"/>
        <v>0</v>
      </c>
      <c r="AD54" s="26">
        <f t="shared" si="11"/>
        <v>1791</v>
      </c>
      <c r="AE54" s="26">
        <f t="shared" si="11"/>
        <v>126</v>
      </c>
      <c r="AF54" s="26">
        <f t="shared" si="11"/>
        <v>0</v>
      </c>
      <c r="AG54" s="26">
        <f t="shared" si="11"/>
        <v>0</v>
      </c>
      <c r="AH54" s="26">
        <f t="shared" si="11"/>
        <v>0</v>
      </c>
      <c r="AI54" s="26">
        <f t="shared" si="11"/>
        <v>0</v>
      </c>
      <c r="AJ54" s="26">
        <f t="shared" si="11"/>
        <v>0</v>
      </c>
      <c r="AK54" s="26">
        <f t="shared" si="11"/>
        <v>0</v>
      </c>
      <c r="AL54" s="26">
        <f t="shared" si="11"/>
        <v>0</v>
      </c>
      <c r="AM54" s="26">
        <f t="shared" si="11"/>
        <v>0</v>
      </c>
      <c r="AN54" s="26">
        <f t="shared" si="11"/>
        <v>0</v>
      </c>
      <c r="AO54">
        <v>2019</v>
      </c>
    </row>
    <row r="55" spans="3:41">
      <c r="C55" s="26" t="s">
        <v>70</v>
      </c>
      <c r="D55" s="26" t="s">
        <v>64</v>
      </c>
      <c r="E55" s="26"/>
      <c r="F55" s="26">
        <f>'attache--data--from'!D46</f>
        <v>0</v>
      </c>
      <c r="G55" s="26">
        <f>'attache--data--from'!E46</f>
        <v>0</v>
      </c>
      <c r="H55" s="26">
        <f>'attache--data--from'!F46</f>
        <v>1478.4</v>
      </c>
      <c r="I55" s="26">
        <f>'attache--data--from'!G46</f>
        <v>0</v>
      </c>
      <c r="J55" s="26">
        <f>'attache--data--from'!H46</f>
        <v>0</v>
      </c>
      <c r="K55" s="26">
        <f>'attache--data--from'!I46</f>
        <v>0</v>
      </c>
      <c r="L55" s="26">
        <f>'attache--data--from'!J46</f>
        <v>0</v>
      </c>
      <c r="M55" s="26">
        <f>'attache--data--from'!K46</f>
        <v>271.04</v>
      </c>
      <c r="N55" s="26">
        <f>'attache--data--from'!L46</f>
        <v>0</v>
      </c>
      <c r="O55" s="26">
        <f>'attache--data--from'!M46</f>
        <v>0</v>
      </c>
      <c r="P55" s="26">
        <f>'attache--data--from'!N46</f>
        <v>0</v>
      </c>
      <c r="Q55" s="26">
        <f>'attache--data--from'!O46</f>
        <v>0</v>
      </c>
      <c r="R55" s="26">
        <f>'attache--data--from'!P46</f>
        <v>0</v>
      </c>
      <c r="S55" s="26">
        <f>'attache--data--from'!Q46</f>
        <v>0</v>
      </c>
      <c r="T55" s="26">
        <f>'attache--data--from'!R46</f>
        <v>0</v>
      </c>
      <c r="U55" s="26">
        <f>'attache--data--from'!S46</f>
        <v>0</v>
      </c>
      <c r="V55" s="26">
        <f>'attache--data--from'!T46</f>
        <v>0</v>
      </c>
      <c r="W55" s="26">
        <f>'attache--data--from'!U46</f>
        <v>0</v>
      </c>
      <c r="X55" s="26">
        <f>'attache--data--from'!V46</f>
        <v>0</v>
      </c>
      <c r="Y55" s="26">
        <f>'attache--data--from'!W46</f>
        <v>985.6</v>
      </c>
      <c r="Z55" s="26">
        <f>'attache--data--from'!X46</f>
        <v>0</v>
      </c>
      <c r="AA55" s="26">
        <f>'attache--data--from'!Y46</f>
        <v>154.616</v>
      </c>
      <c r="AB55" s="26">
        <f>'attache--data--from'!Z46</f>
        <v>0</v>
      </c>
      <c r="AC55" s="26">
        <f>'attache--data--from'!AA46</f>
        <v>0</v>
      </c>
      <c r="AD55" s="26">
        <f>'attache--data--from'!AB46</f>
        <v>4607.064</v>
      </c>
      <c r="AE55" s="26">
        <f>'attache--data--from'!AC46</f>
        <v>511.28</v>
      </c>
      <c r="AF55" s="26">
        <f>'attache--data--from'!AD46</f>
        <v>0</v>
      </c>
      <c r="AG55" s="26">
        <f>'attache--data--from'!AE46</f>
        <v>0</v>
      </c>
      <c r="AH55" s="26">
        <f>'attache--data--from'!AF46</f>
        <v>0</v>
      </c>
      <c r="AI55" s="26">
        <f>'attache--data--from'!AG46</f>
        <v>0</v>
      </c>
      <c r="AJ55" s="26">
        <f>'attache--data--from'!AH46</f>
        <v>0</v>
      </c>
      <c r="AK55" s="26">
        <f>'attache--data--from'!AI46</f>
        <v>0</v>
      </c>
      <c r="AL55" s="26">
        <f>'attache--data--from'!AJ46</f>
        <v>0</v>
      </c>
      <c r="AM55" s="26">
        <f>'attache--data--from'!AK46</f>
        <v>0</v>
      </c>
      <c r="AN55" s="26">
        <f>'attache--data--from'!AL46</f>
        <v>0</v>
      </c>
      <c r="AO55">
        <v>2019</v>
      </c>
    </row>
    <row r="56" spans="3:41">
      <c r="C56" s="26" t="s">
        <v>70</v>
      </c>
      <c r="D56" s="26" t="s">
        <v>65</v>
      </c>
      <c r="E56" s="26" t="s">
        <v>2</v>
      </c>
      <c r="F56" s="26">
        <f>F53*2</f>
        <v>40</v>
      </c>
      <c r="G56" s="26">
        <f>F56</f>
        <v>40</v>
      </c>
      <c r="H56" s="26">
        <f t="shared" ref="H56:AN56" si="12">G56</f>
        <v>40</v>
      </c>
      <c r="I56" s="26">
        <f t="shared" si="12"/>
        <v>40</v>
      </c>
      <c r="J56" s="26">
        <f t="shared" si="12"/>
        <v>40</v>
      </c>
      <c r="K56" s="26">
        <f t="shared" si="12"/>
        <v>40</v>
      </c>
      <c r="L56" s="26">
        <f t="shared" si="12"/>
        <v>40</v>
      </c>
      <c r="M56" s="26">
        <f t="shared" si="12"/>
        <v>40</v>
      </c>
      <c r="N56" s="26">
        <f t="shared" si="12"/>
        <v>40</v>
      </c>
      <c r="O56" s="26">
        <f t="shared" si="12"/>
        <v>40</v>
      </c>
      <c r="P56" s="26">
        <f t="shared" si="12"/>
        <v>40</v>
      </c>
      <c r="Q56" s="26">
        <f t="shared" si="12"/>
        <v>40</v>
      </c>
      <c r="R56" s="26">
        <f t="shared" si="12"/>
        <v>40</v>
      </c>
      <c r="S56" s="26">
        <f t="shared" si="12"/>
        <v>40</v>
      </c>
      <c r="T56" s="26">
        <f t="shared" si="12"/>
        <v>40</v>
      </c>
      <c r="U56" s="26">
        <f t="shared" si="12"/>
        <v>40</v>
      </c>
      <c r="V56" s="26">
        <f t="shared" si="12"/>
        <v>40</v>
      </c>
      <c r="W56" s="26">
        <f t="shared" si="12"/>
        <v>40</v>
      </c>
      <c r="X56" s="26">
        <f t="shared" si="12"/>
        <v>40</v>
      </c>
      <c r="Y56" s="26">
        <f t="shared" si="12"/>
        <v>40</v>
      </c>
      <c r="Z56" s="26">
        <f t="shared" si="12"/>
        <v>40</v>
      </c>
      <c r="AA56" s="26">
        <f t="shared" si="12"/>
        <v>40</v>
      </c>
      <c r="AB56" s="26">
        <f t="shared" si="12"/>
        <v>40</v>
      </c>
      <c r="AC56" s="26">
        <f t="shared" si="12"/>
        <v>40</v>
      </c>
      <c r="AD56" s="26">
        <f t="shared" si="12"/>
        <v>40</v>
      </c>
      <c r="AE56" s="26">
        <f t="shared" si="12"/>
        <v>40</v>
      </c>
      <c r="AF56" s="26">
        <f t="shared" si="12"/>
        <v>40</v>
      </c>
      <c r="AG56" s="26">
        <f t="shared" si="12"/>
        <v>40</v>
      </c>
      <c r="AH56" s="26">
        <f t="shared" si="12"/>
        <v>40</v>
      </c>
      <c r="AI56" s="26">
        <f t="shared" si="12"/>
        <v>40</v>
      </c>
      <c r="AJ56" s="26">
        <f t="shared" si="12"/>
        <v>40</v>
      </c>
      <c r="AK56" s="26">
        <f t="shared" si="12"/>
        <v>40</v>
      </c>
      <c r="AL56" s="26">
        <f t="shared" si="12"/>
        <v>40</v>
      </c>
      <c r="AM56" s="26">
        <f t="shared" si="12"/>
        <v>40</v>
      </c>
      <c r="AN56" s="26">
        <f t="shared" si="12"/>
        <v>40</v>
      </c>
      <c r="AO56">
        <v>2019</v>
      </c>
    </row>
    <row r="57" spans="3:41">
      <c r="C57" t="s">
        <v>71</v>
      </c>
      <c r="D57" t="s">
        <v>63</v>
      </c>
      <c r="AO57">
        <v>2019</v>
      </c>
    </row>
    <row r="58" spans="3:41">
      <c r="C58" t="s">
        <v>71</v>
      </c>
      <c r="D58" t="s">
        <v>64</v>
      </c>
      <c r="F58">
        <f>'attache--data--from'!D47</f>
        <v>0</v>
      </c>
      <c r="G58">
        <f>'attache--data--from'!E47</f>
        <v>0</v>
      </c>
      <c r="H58">
        <f>'attache--data--from'!F47</f>
        <v>2217.6</v>
      </c>
      <c r="I58">
        <f>'attache--data--from'!G47</f>
        <v>0</v>
      </c>
      <c r="J58">
        <f>'attache--data--from'!H47</f>
        <v>0</v>
      </c>
      <c r="K58">
        <f>'attache--data--from'!I47</f>
        <v>0</v>
      </c>
      <c r="L58">
        <f>'attache--data--from'!J47</f>
        <v>0</v>
      </c>
      <c r="M58">
        <f>'attache--data--from'!K47</f>
        <v>406.56</v>
      </c>
      <c r="N58">
        <f>'attache--data--from'!L47</f>
        <v>0</v>
      </c>
      <c r="O58">
        <f>'attache--data--from'!M47</f>
        <v>0</v>
      </c>
      <c r="P58">
        <f>'attache--data--from'!N47</f>
        <v>0</v>
      </c>
      <c r="Q58">
        <f>'attache--data--from'!O47</f>
        <v>0</v>
      </c>
      <c r="R58">
        <f>'attache--data--from'!P47</f>
        <v>0</v>
      </c>
      <c r="S58">
        <f>'attache--data--from'!Q47</f>
        <v>0</v>
      </c>
      <c r="T58">
        <f>'attache--data--from'!R47</f>
        <v>0</v>
      </c>
      <c r="U58">
        <f>'attache--data--from'!S47</f>
        <v>0</v>
      </c>
      <c r="V58">
        <f>'attache--data--from'!T47</f>
        <v>0</v>
      </c>
      <c r="W58">
        <f>'attache--data--from'!U47</f>
        <v>0</v>
      </c>
      <c r="X58">
        <f>'attache--data--from'!V47</f>
        <v>0</v>
      </c>
      <c r="Y58">
        <f>'attache--data--from'!W47</f>
        <v>1478.4</v>
      </c>
      <c r="Z58">
        <f>'attache--data--from'!X47</f>
        <v>0</v>
      </c>
      <c r="AA58">
        <f>'attache--data--from'!Y47</f>
        <v>231.924</v>
      </c>
      <c r="AB58">
        <f>'attache--data--from'!Z47</f>
        <v>0</v>
      </c>
      <c r="AC58">
        <f>'attache--data--from'!AA47</f>
        <v>0</v>
      </c>
      <c r="AD58">
        <f>'attache--data--from'!AB47</f>
        <v>6910.596</v>
      </c>
      <c r="AE58">
        <f>'attache--data--from'!AC47</f>
        <v>766.92</v>
      </c>
      <c r="AF58">
        <f>'attache--data--from'!AD47</f>
        <v>0</v>
      </c>
      <c r="AG58">
        <f>'attache--data--from'!AE47</f>
        <v>0</v>
      </c>
      <c r="AH58">
        <f>'attache--data--from'!AF47</f>
        <v>0</v>
      </c>
      <c r="AI58">
        <f>'attache--data--from'!AG47</f>
        <v>0</v>
      </c>
      <c r="AJ58">
        <f>'attache--data--from'!AH47</f>
        <v>0</v>
      </c>
      <c r="AK58">
        <f>'attache--data--from'!AI47</f>
        <v>0</v>
      </c>
      <c r="AL58">
        <f>'attache--data--from'!AJ47</f>
        <v>0</v>
      </c>
      <c r="AM58">
        <f>'attache--data--from'!AK47</f>
        <v>0</v>
      </c>
      <c r="AN58">
        <f>'attache--data--from'!AL47</f>
        <v>0</v>
      </c>
      <c r="AO58">
        <v>2019</v>
      </c>
    </row>
    <row r="59" spans="3:41">
      <c r="C59" t="s">
        <v>71</v>
      </c>
      <c r="D59" t="s">
        <v>65</v>
      </c>
      <c r="E59" t="s">
        <v>2</v>
      </c>
      <c r="F59">
        <f>F53*4</f>
        <v>80</v>
      </c>
      <c r="G59">
        <f>F59</f>
        <v>80</v>
      </c>
      <c r="H59">
        <f t="shared" ref="H59:AN59" si="13">G59</f>
        <v>80</v>
      </c>
      <c r="I59">
        <f t="shared" si="13"/>
        <v>80</v>
      </c>
      <c r="J59">
        <f t="shared" si="13"/>
        <v>80</v>
      </c>
      <c r="K59">
        <f t="shared" si="13"/>
        <v>80</v>
      </c>
      <c r="L59">
        <f t="shared" si="13"/>
        <v>80</v>
      </c>
      <c r="M59">
        <f t="shared" si="13"/>
        <v>80</v>
      </c>
      <c r="N59">
        <f t="shared" si="13"/>
        <v>80</v>
      </c>
      <c r="O59">
        <f t="shared" si="13"/>
        <v>80</v>
      </c>
      <c r="P59">
        <f t="shared" si="13"/>
        <v>80</v>
      </c>
      <c r="Q59">
        <f t="shared" si="13"/>
        <v>80</v>
      </c>
      <c r="R59">
        <f t="shared" si="13"/>
        <v>80</v>
      </c>
      <c r="S59">
        <f t="shared" si="13"/>
        <v>80</v>
      </c>
      <c r="T59">
        <f t="shared" si="13"/>
        <v>80</v>
      </c>
      <c r="U59">
        <f t="shared" si="13"/>
        <v>80</v>
      </c>
      <c r="V59">
        <f t="shared" si="13"/>
        <v>80</v>
      </c>
      <c r="W59">
        <f t="shared" si="13"/>
        <v>80</v>
      </c>
      <c r="X59">
        <f t="shared" si="13"/>
        <v>80</v>
      </c>
      <c r="Y59">
        <f t="shared" si="13"/>
        <v>80</v>
      </c>
      <c r="Z59">
        <f t="shared" si="13"/>
        <v>80</v>
      </c>
      <c r="AA59">
        <f t="shared" si="13"/>
        <v>80</v>
      </c>
      <c r="AB59">
        <f t="shared" si="13"/>
        <v>80</v>
      </c>
      <c r="AC59">
        <f t="shared" si="13"/>
        <v>80</v>
      </c>
      <c r="AD59">
        <f t="shared" si="13"/>
        <v>80</v>
      </c>
      <c r="AE59">
        <f t="shared" si="13"/>
        <v>80</v>
      </c>
      <c r="AF59">
        <f t="shared" si="13"/>
        <v>80</v>
      </c>
      <c r="AG59">
        <f t="shared" si="13"/>
        <v>80</v>
      </c>
      <c r="AH59">
        <f t="shared" si="13"/>
        <v>80</v>
      </c>
      <c r="AI59">
        <f t="shared" si="13"/>
        <v>80</v>
      </c>
      <c r="AJ59">
        <f t="shared" si="13"/>
        <v>80</v>
      </c>
      <c r="AK59">
        <f t="shared" si="13"/>
        <v>80</v>
      </c>
      <c r="AL59">
        <f t="shared" si="13"/>
        <v>80</v>
      </c>
      <c r="AM59">
        <f t="shared" si="13"/>
        <v>80</v>
      </c>
      <c r="AN59">
        <f t="shared" si="13"/>
        <v>80</v>
      </c>
      <c r="AO59">
        <v>2019</v>
      </c>
    </row>
    <row r="60" spans="3:41">
      <c r="C60" t="s">
        <v>68</v>
      </c>
      <c r="AO60">
        <v>2019</v>
      </c>
    </row>
    <row r="61" spans="3:41">
      <c r="C61" t="s">
        <v>72</v>
      </c>
      <c r="D61" t="s">
        <v>63</v>
      </c>
      <c r="F61">
        <f t="shared" ref="F61:AN61" si="14">F120*1</f>
        <v>0</v>
      </c>
      <c r="G61">
        <f t="shared" si="14"/>
        <v>169.176</v>
      </c>
      <c r="H61">
        <f t="shared" si="14"/>
        <v>2.736</v>
      </c>
      <c r="I61">
        <f t="shared" si="14"/>
        <v>0</v>
      </c>
      <c r="J61">
        <f t="shared" si="14"/>
        <v>0</v>
      </c>
      <c r="K61">
        <f t="shared" si="14"/>
        <v>0</v>
      </c>
      <c r="L61">
        <f t="shared" si="14"/>
        <v>0</v>
      </c>
      <c r="M61">
        <f t="shared" si="14"/>
        <v>0</v>
      </c>
      <c r="N61">
        <f t="shared" si="14"/>
        <v>0</v>
      </c>
      <c r="O61">
        <f t="shared" si="14"/>
        <v>0</v>
      </c>
      <c r="P61">
        <f t="shared" si="14"/>
        <v>0</v>
      </c>
      <c r="Q61">
        <f t="shared" si="14"/>
        <v>0</v>
      </c>
      <c r="R61">
        <f t="shared" si="14"/>
        <v>0</v>
      </c>
      <c r="S61">
        <f t="shared" si="14"/>
        <v>0</v>
      </c>
      <c r="T61">
        <f t="shared" si="14"/>
        <v>0</v>
      </c>
      <c r="U61">
        <f t="shared" si="14"/>
        <v>0</v>
      </c>
      <c r="V61">
        <f t="shared" si="14"/>
        <v>0</v>
      </c>
      <c r="W61">
        <f t="shared" si="14"/>
        <v>0</v>
      </c>
      <c r="X61">
        <f t="shared" si="14"/>
        <v>0</v>
      </c>
      <c r="Y61">
        <f t="shared" si="14"/>
        <v>2.66</v>
      </c>
      <c r="Z61">
        <f t="shared" si="14"/>
        <v>0</v>
      </c>
      <c r="AA61">
        <f t="shared" si="14"/>
        <v>3.648</v>
      </c>
      <c r="AB61">
        <f t="shared" si="14"/>
        <v>0</v>
      </c>
      <c r="AC61">
        <f t="shared" si="14"/>
        <v>0</v>
      </c>
      <c r="AD61">
        <f t="shared" si="14"/>
        <v>33.288</v>
      </c>
      <c r="AE61">
        <f t="shared" si="14"/>
        <v>6.612</v>
      </c>
      <c r="AF61">
        <f t="shared" si="14"/>
        <v>0</v>
      </c>
      <c r="AG61">
        <f t="shared" si="14"/>
        <v>0</v>
      </c>
      <c r="AH61">
        <f t="shared" si="14"/>
        <v>0</v>
      </c>
      <c r="AI61">
        <f t="shared" si="14"/>
        <v>0</v>
      </c>
      <c r="AJ61">
        <f t="shared" si="14"/>
        <v>0</v>
      </c>
      <c r="AK61">
        <f t="shared" si="14"/>
        <v>2.052</v>
      </c>
      <c r="AL61">
        <f t="shared" si="14"/>
        <v>0</v>
      </c>
      <c r="AM61">
        <f t="shared" si="14"/>
        <v>0</v>
      </c>
      <c r="AN61">
        <f t="shared" si="14"/>
        <v>0</v>
      </c>
      <c r="AO61">
        <v>2019</v>
      </c>
    </row>
    <row r="62" spans="3:41">
      <c r="C62" t="s">
        <v>72</v>
      </c>
      <c r="D62" t="s">
        <v>64</v>
      </c>
      <c r="F62">
        <f>'attache--data--from'!D41</f>
        <v>0</v>
      </c>
      <c r="G62">
        <f>'attache--data--from'!E41</f>
        <v>1851.96</v>
      </c>
      <c r="H62">
        <f>'attache--data--from'!F41</f>
        <v>516.12</v>
      </c>
      <c r="I62">
        <f>'attache--data--from'!G41</f>
        <v>0</v>
      </c>
      <c r="J62">
        <f>'attache--data--from'!H41</f>
        <v>0</v>
      </c>
      <c r="K62">
        <f>'attache--data--from'!I41</f>
        <v>0</v>
      </c>
      <c r="L62">
        <f>'attache--data--from'!J41</f>
        <v>0</v>
      </c>
      <c r="M62">
        <f>'attache--data--from'!K41</f>
        <v>0</v>
      </c>
      <c r="N62">
        <f>'attache--data--from'!L41</f>
        <v>0</v>
      </c>
      <c r="O62">
        <f>'attache--data--from'!M41</f>
        <v>0</v>
      </c>
      <c r="P62">
        <f>'attache--data--from'!N41</f>
        <v>0</v>
      </c>
      <c r="Q62">
        <f>'attache--data--from'!O41</f>
        <v>0</v>
      </c>
      <c r="R62">
        <f>'attache--data--from'!P41</f>
        <v>0</v>
      </c>
      <c r="S62">
        <f>'attache--data--from'!Q41</f>
        <v>0</v>
      </c>
      <c r="T62">
        <f>'attache--data--from'!R41</f>
        <v>0</v>
      </c>
      <c r="U62">
        <f>'attache--data--from'!S41</f>
        <v>0</v>
      </c>
      <c r="V62">
        <f>'attache--data--from'!T41</f>
        <v>0</v>
      </c>
      <c r="W62">
        <f>'attache--data--from'!U41</f>
        <v>0</v>
      </c>
      <c r="X62">
        <f>'attache--data--from'!V41</f>
        <v>0</v>
      </c>
      <c r="Y62">
        <f>'attache--data--from'!W41</f>
        <v>151.8</v>
      </c>
      <c r="Z62">
        <f>'attache--data--from'!X41</f>
        <v>0</v>
      </c>
      <c r="AA62">
        <f>'attache--data--from'!Y41</f>
        <v>88.044</v>
      </c>
      <c r="AB62">
        <f>'attache--data--from'!Z41</f>
        <v>0</v>
      </c>
      <c r="AC62">
        <f>'attache--data--from'!AA41</f>
        <v>0</v>
      </c>
      <c r="AD62">
        <f>'attache--data--from'!AB41</f>
        <v>628.1484</v>
      </c>
      <c r="AE62">
        <f>'attache--data--from'!AC41</f>
        <v>75.9</v>
      </c>
      <c r="AF62">
        <f>'attache--data--from'!AD41</f>
        <v>0</v>
      </c>
      <c r="AG62">
        <f>'attache--data--from'!AE41</f>
        <v>0</v>
      </c>
      <c r="AH62">
        <f>'attache--data--from'!AF41</f>
        <v>0</v>
      </c>
      <c r="AI62">
        <f>'attache--data--from'!AG41</f>
        <v>0</v>
      </c>
      <c r="AJ62">
        <f>'attache--data--from'!AH41</f>
        <v>0</v>
      </c>
      <c r="AK62">
        <f>'attache--data--from'!AI41</f>
        <v>27.6276</v>
      </c>
      <c r="AL62">
        <f>'attache--data--from'!AJ41</f>
        <v>0</v>
      </c>
      <c r="AM62">
        <f>'attache--data--from'!AK41</f>
        <v>0</v>
      </c>
      <c r="AN62">
        <f>'attache--data--from'!AL41</f>
        <v>0</v>
      </c>
      <c r="AO62">
        <v>2019</v>
      </c>
    </row>
    <row r="63" spans="3:41">
      <c r="C63" t="s">
        <v>72</v>
      </c>
      <c r="D63" t="s">
        <v>65</v>
      </c>
      <c r="E63" t="s">
        <v>6</v>
      </c>
      <c r="F63">
        <f>D6</f>
        <v>29.3</v>
      </c>
      <c r="G63">
        <f>F63</f>
        <v>29.3</v>
      </c>
      <c r="H63">
        <f t="shared" ref="H63:AN63" si="15">G63</f>
        <v>29.3</v>
      </c>
      <c r="I63">
        <f t="shared" si="15"/>
        <v>29.3</v>
      </c>
      <c r="J63">
        <f t="shared" si="15"/>
        <v>29.3</v>
      </c>
      <c r="K63">
        <f t="shared" si="15"/>
        <v>29.3</v>
      </c>
      <c r="L63">
        <f t="shared" si="15"/>
        <v>29.3</v>
      </c>
      <c r="M63">
        <f t="shared" si="15"/>
        <v>29.3</v>
      </c>
      <c r="N63">
        <f t="shared" si="15"/>
        <v>29.3</v>
      </c>
      <c r="O63">
        <f t="shared" si="15"/>
        <v>29.3</v>
      </c>
      <c r="P63">
        <f t="shared" si="15"/>
        <v>29.3</v>
      </c>
      <c r="Q63">
        <f t="shared" si="15"/>
        <v>29.3</v>
      </c>
      <c r="R63">
        <f t="shared" si="15"/>
        <v>29.3</v>
      </c>
      <c r="S63">
        <f t="shared" si="15"/>
        <v>29.3</v>
      </c>
      <c r="T63">
        <f t="shared" si="15"/>
        <v>29.3</v>
      </c>
      <c r="U63">
        <f t="shared" si="15"/>
        <v>29.3</v>
      </c>
      <c r="V63">
        <f t="shared" si="15"/>
        <v>29.3</v>
      </c>
      <c r="W63">
        <f t="shared" si="15"/>
        <v>29.3</v>
      </c>
      <c r="X63">
        <f t="shared" si="15"/>
        <v>29.3</v>
      </c>
      <c r="Y63">
        <f t="shared" si="15"/>
        <v>29.3</v>
      </c>
      <c r="Z63">
        <f t="shared" si="15"/>
        <v>29.3</v>
      </c>
      <c r="AA63">
        <f t="shared" si="15"/>
        <v>29.3</v>
      </c>
      <c r="AB63">
        <f t="shared" si="15"/>
        <v>29.3</v>
      </c>
      <c r="AC63">
        <f t="shared" si="15"/>
        <v>29.3</v>
      </c>
      <c r="AD63">
        <f t="shared" si="15"/>
        <v>29.3</v>
      </c>
      <c r="AE63">
        <f t="shared" si="15"/>
        <v>29.3</v>
      </c>
      <c r="AF63">
        <f t="shared" si="15"/>
        <v>29.3</v>
      </c>
      <c r="AG63">
        <f t="shared" si="15"/>
        <v>29.3</v>
      </c>
      <c r="AH63">
        <f t="shared" si="15"/>
        <v>29.3</v>
      </c>
      <c r="AI63">
        <f t="shared" si="15"/>
        <v>29.3</v>
      </c>
      <c r="AJ63">
        <f t="shared" si="15"/>
        <v>29.3</v>
      </c>
      <c r="AK63">
        <f t="shared" si="15"/>
        <v>29.3</v>
      </c>
      <c r="AL63">
        <f t="shared" si="15"/>
        <v>29.3</v>
      </c>
      <c r="AM63">
        <f t="shared" si="15"/>
        <v>29.3</v>
      </c>
      <c r="AN63">
        <f t="shared" si="15"/>
        <v>29.3</v>
      </c>
      <c r="AO63">
        <v>2019</v>
      </c>
    </row>
    <row r="64" spans="3:41">
      <c r="C64" t="s">
        <v>73</v>
      </c>
      <c r="D64" t="s">
        <v>63</v>
      </c>
      <c r="F64">
        <f>F120*4</f>
        <v>0</v>
      </c>
      <c r="G64">
        <f t="shared" ref="G64:AN64" si="16">G120*4</f>
        <v>676.704</v>
      </c>
      <c r="H64">
        <f t="shared" si="16"/>
        <v>10.944</v>
      </c>
      <c r="I64">
        <f t="shared" si="16"/>
        <v>0</v>
      </c>
      <c r="J64">
        <f t="shared" si="16"/>
        <v>0</v>
      </c>
      <c r="K64">
        <f t="shared" si="16"/>
        <v>0</v>
      </c>
      <c r="L64">
        <f t="shared" si="16"/>
        <v>0</v>
      </c>
      <c r="M64">
        <f t="shared" si="16"/>
        <v>0</v>
      </c>
      <c r="N64">
        <f t="shared" si="16"/>
        <v>0</v>
      </c>
      <c r="O64">
        <f t="shared" si="16"/>
        <v>0</v>
      </c>
      <c r="P64">
        <f t="shared" si="16"/>
        <v>0</v>
      </c>
      <c r="Q64">
        <f t="shared" si="16"/>
        <v>0</v>
      </c>
      <c r="R64">
        <f t="shared" si="16"/>
        <v>0</v>
      </c>
      <c r="S64">
        <f t="shared" si="16"/>
        <v>0</v>
      </c>
      <c r="T64">
        <f t="shared" si="16"/>
        <v>0</v>
      </c>
      <c r="U64">
        <f t="shared" si="16"/>
        <v>0</v>
      </c>
      <c r="V64">
        <f t="shared" si="16"/>
        <v>0</v>
      </c>
      <c r="W64">
        <f t="shared" si="16"/>
        <v>0</v>
      </c>
      <c r="X64">
        <f t="shared" si="16"/>
        <v>0</v>
      </c>
      <c r="Y64">
        <f t="shared" si="16"/>
        <v>10.64</v>
      </c>
      <c r="Z64">
        <f t="shared" si="16"/>
        <v>0</v>
      </c>
      <c r="AA64">
        <f t="shared" si="16"/>
        <v>14.592</v>
      </c>
      <c r="AB64">
        <f t="shared" si="16"/>
        <v>0</v>
      </c>
      <c r="AC64">
        <f t="shared" si="16"/>
        <v>0</v>
      </c>
      <c r="AD64">
        <f t="shared" si="16"/>
        <v>133.152</v>
      </c>
      <c r="AE64">
        <f t="shared" si="16"/>
        <v>26.448</v>
      </c>
      <c r="AF64">
        <f t="shared" si="16"/>
        <v>0</v>
      </c>
      <c r="AG64">
        <f t="shared" si="16"/>
        <v>0</v>
      </c>
      <c r="AH64">
        <f t="shared" si="16"/>
        <v>0</v>
      </c>
      <c r="AI64">
        <f t="shared" si="16"/>
        <v>0</v>
      </c>
      <c r="AJ64">
        <f t="shared" si="16"/>
        <v>0</v>
      </c>
      <c r="AK64">
        <f t="shared" si="16"/>
        <v>8.208</v>
      </c>
      <c r="AL64">
        <f t="shared" si="16"/>
        <v>0</v>
      </c>
      <c r="AM64">
        <f t="shared" si="16"/>
        <v>0</v>
      </c>
      <c r="AN64">
        <f t="shared" si="16"/>
        <v>0</v>
      </c>
      <c r="AO64">
        <v>2019</v>
      </c>
    </row>
    <row r="65" spans="3:41">
      <c r="C65" t="s">
        <v>73</v>
      </c>
      <c r="D65" t="s">
        <v>64</v>
      </c>
      <c r="F65">
        <f>'attache--data--from'!D42</f>
        <v>0</v>
      </c>
      <c r="G65">
        <f>'attache--data--from'!E42</f>
        <v>1851.96</v>
      </c>
      <c r="H65">
        <f>'attache--data--from'!F42</f>
        <v>516.12</v>
      </c>
      <c r="I65">
        <f>'attache--data--from'!G42</f>
        <v>0</v>
      </c>
      <c r="J65">
        <f>'attache--data--from'!H42</f>
        <v>0</v>
      </c>
      <c r="K65">
        <f>'attache--data--from'!I42</f>
        <v>0</v>
      </c>
      <c r="L65">
        <f>'attache--data--from'!J42</f>
        <v>0</v>
      </c>
      <c r="M65">
        <f>'attache--data--from'!K42</f>
        <v>0</v>
      </c>
      <c r="N65">
        <f>'attache--data--from'!L42</f>
        <v>0</v>
      </c>
      <c r="O65">
        <f>'attache--data--from'!M42</f>
        <v>0</v>
      </c>
      <c r="P65">
        <f>'attache--data--from'!N42</f>
        <v>0</v>
      </c>
      <c r="Q65">
        <f>'attache--data--from'!O42</f>
        <v>0</v>
      </c>
      <c r="R65">
        <f>'attache--data--from'!P42</f>
        <v>0</v>
      </c>
      <c r="S65">
        <f>'attache--data--from'!Q42</f>
        <v>0</v>
      </c>
      <c r="T65">
        <f>'attache--data--from'!R42</f>
        <v>0</v>
      </c>
      <c r="U65">
        <f>'attache--data--from'!S42</f>
        <v>0</v>
      </c>
      <c r="V65">
        <f>'attache--data--from'!T42</f>
        <v>0</v>
      </c>
      <c r="W65">
        <f>'attache--data--from'!U42</f>
        <v>0</v>
      </c>
      <c r="X65">
        <f>'attache--data--from'!V42</f>
        <v>0</v>
      </c>
      <c r="Y65">
        <f>'attache--data--from'!W42</f>
        <v>151.8</v>
      </c>
      <c r="Z65">
        <f>'attache--data--from'!X42</f>
        <v>0</v>
      </c>
      <c r="AA65">
        <f>'attache--data--from'!Y42</f>
        <v>88.044</v>
      </c>
      <c r="AB65">
        <f>'attache--data--from'!Z42</f>
        <v>0</v>
      </c>
      <c r="AC65">
        <f>'attache--data--from'!AA42</f>
        <v>0</v>
      </c>
      <c r="AD65">
        <f>'attache--data--from'!AB42</f>
        <v>628.1484</v>
      </c>
      <c r="AE65">
        <f>'attache--data--from'!AC42</f>
        <v>75.9</v>
      </c>
      <c r="AF65">
        <f>'attache--data--from'!AD42</f>
        <v>0</v>
      </c>
      <c r="AG65">
        <f>'attache--data--from'!AE42</f>
        <v>0</v>
      </c>
      <c r="AH65">
        <f>'attache--data--from'!AF42</f>
        <v>0</v>
      </c>
      <c r="AI65">
        <f>'attache--data--from'!AG42</f>
        <v>0</v>
      </c>
      <c r="AJ65">
        <f>'attache--data--from'!AH42</f>
        <v>0</v>
      </c>
      <c r="AK65">
        <f>'attache--data--from'!AI42</f>
        <v>27.6276</v>
      </c>
      <c r="AL65">
        <f>'attache--data--from'!AJ42</f>
        <v>0</v>
      </c>
      <c r="AM65">
        <f>'attache--data--from'!AK42</f>
        <v>0</v>
      </c>
      <c r="AN65">
        <f>'attache--data--from'!AL42</f>
        <v>0</v>
      </c>
      <c r="AO65">
        <v>2019</v>
      </c>
    </row>
    <row r="66" spans="3:41">
      <c r="C66" t="s">
        <v>73</v>
      </c>
      <c r="D66" t="s">
        <v>65</v>
      </c>
      <c r="E66" t="s">
        <v>6</v>
      </c>
      <c r="F66">
        <f>F63*2</f>
        <v>58.6</v>
      </c>
      <c r="G66">
        <f>F66</f>
        <v>58.6</v>
      </c>
      <c r="H66">
        <f t="shared" ref="H66:AN66" si="17">G66</f>
        <v>58.6</v>
      </c>
      <c r="I66">
        <f t="shared" si="17"/>
        <v>58.6</v>
      </c>
      <c r="J66">
        <f t="shared" si="17"/>
        <v>58.6</v>
      </c>
      <c r="K66">
        <f t="shared" si="17"/>
        <v>58.6</v>
      </c>
      <c r="L66">
        <f t="shared" si="17"/>
        <v>58.6</v>
      </c>
      <c r="M66">
        <f t="shared" si="17"/>
        <v>58.6</v>
      </c>
      <c r="N66">
        <f t="shared" si="17"/>
        <v>58.6</v>
      </c>
      <c r="O66">
        <f t="shared" si="17"/>
        <v>58.6</v>
      </c>
      <c r="P66">
        <f t="shared" si="17"/>
        <v>58.6</v>
      </c>
      <c r="Q66">
        <f t="shared" si="17"/>
        <v>58.6</v>
      </c>
      <c r="R66">
        <f t="shared" si="17"/>
        <v>58.6</v>
      </c>
      <c r="S66">
        <f t="shared" si="17"/>
        <v>58.6</v>
      </c>
      <c r="T66">
        <f t="shared" si="17"/>
        <v>58.6</v>
      </c>
      <c r="U66">
        <f t="shared" si="17"/>
        <v>58.6</v>
      </c>
      <c r="V66">
        <f t="shared" si="17"/>
        <v>58.6</v>
      </c>
      <c r="W66">
        <f t="shared" si="17"/>
        <v>58.6</v>
      </c>
      <c r="X66">
        <f t="shared" si="17"/>
        <v>58.6</v>
      </c>
      <c r="Y66">
        <f t="shared" si="17"/>
        <v>58.6</v>
      </c>
      <c r="Z66">
        <f t="shared" si="17"/>
        <v>58.6</v>
      </c>
      <c r="AA66">
        <f t="shared" si="17"/>
        <v>58.6</v>
      </c>
      <c r="AB66">
        <f t="shared" si="17"/>
        <v>58.6</v>
      </c>
      <c r="AC66">
        <f t="shared" si="17"/>
        <v>58.6</v>
      </c>
      <c r="AD66">
        <f t="shared" si="17"/>
        <v>58.6</v>
      </c>
      <c r="AE66">
        <f t="shared" si="17"/>
        <v>58.6</v>
      </c>
      <c r="AF66">
        <f t="shared" si="17"/>
        <v>58.6</v>
      </c>
      <c r="AG66">
        <f t="shared" si="17"/>
        <v>58.6</v>
      </c>
      <c r="AH66">
        <f t="shared" si="17"/>
        <v>58.6</v>
      </c>
      <c r="AI66">
        <f t="shared" si="17"/>
        <v>58.6</v>
      </c>
      <c r="AJ66">
        <f t="shared" si="17"/>
        <v>58.6</v>
      </c>
      <c r="AK66">
        <f t="shared" si="17"/>
        <v>58.6</v>
      </c>
      <c r="AL66">
        <f t="shared" si="17"/>
        <v>58.6</v>
      </c>
      <c r="AM66">
        <f t="shared" si="17"/>
        <v>58.6</v>
      </c>
      <c r="AN66">
        <f t="shared" si="17"/>
        <v>58.6</v>
      </c>
      <c r="AO66">
        <v>2019</v>
      </c>
    </row>
    <row r="67" spans="3:41">
      <c r="C67" t="s">
        <v>74</v>
      </c>
      <c r="D67" t="s">
        <v>63</v>
      </c>
      <c r="AO67">
        <v>2019</v>
      </c>
    </row>
    <row r="68" spans="3:41">
      <c r="C68" t="s">
        <v>74</v>
      </c>
      <c r="D68" t="s">
        <v>64</v>
      </c>
      <c r="F68">
        <f>'attache--data--from'!D43</f>
        <v>0</v>
      </c>
      <c r="G68">
        <f>'attache--data--from'!E43</f>
        <v>1851.96</v>
      </c>
      <c r="H68">
        <f>'attache--data--from'!F43</f>
        <v>516.12</v>
      </c>
      <c r="I68">
        <f>'attache--data--from'!G43</f>
        <v>0</v>
      </c>
      <c r="J68">
        <f>'attache--data--from'!H43</f>
        <v>0</v>
      </c>
      <c r="K68">
        <f>'attache--data--from'!I43</f>
        <v>0</v>
      </c>
      <c r="L68">
        <f>'attache--data--from'!J43</f>
        <v>0</v>
      </c>
      <c r="M68">
        <f>'attache--data--from'!K43</f>
        <v>0</v>
      </c>
      <c r="N68">
        <f>'attache--data--from'!L43</f>
        <v>0</v>
      </c>
      <c r="O68">
        <f>'attache--data--from'!M43</f>
        <v>0</v>
      </c>
      <c r="P68">
        <f>'attache--data--from'!N43</f>
        <v>0</v>
      </c>
      <c r="Q68">
        <f>'attache--data--from'!O43</f>
        <v>0</v>
      </c>
      <c r="R68">
        <f>'attache--data--from'!P43</f>
        <v>0</v>
      </c>
      <c r="S68">
        <f>'attache--data--from'!Q43</f>
        <v>0</v>
      </c>
      <c r="T68">
        <f>'attache--data--from'!R43</f>
        <v>0</v>
      </c>
      <c r="U68">
        <f>'attache--data--from'!S43</f>
        <v>0</v>
      </c>
      <c r="V68">
        <f>'attache--data--from'!T43</f>
        <v>0</v>
      </c>
      <c r="W68">
        <f>'attache--data--from'!U43</f>
        <v>0</v>
      </c>
      <c r="X68">
        <f>'attache--data--from'!V43</f>
        <v>0</v>
      </c>
      <c r="Y68">
        <f>'attache--data--from'!W43</f>
        <v>151.8</v>
      </c>
      <c r="Z68">
        <f>'attache--data--from'!X43</f>
        <v>0</v>
      </c>
      <c r="AA68">
        <f>'attache--data--from'!Y43</f>
        <v>88.044</v>
      </c>
      <c r="AB68">
        <f>'attache--data--from'!Z43</f>
        <v>0</v>
      </c>
      <c r="AC68">
        <f>'attache--data--from'!AA43</f>
        <v>0</v>
      </c>
      <c r="AD68">
        <f>'attache--data--from'!AB43</f>
        <v>628.1484</v>
      </c>
      <c r="AE68">
        <f>'attache--data--from'!AC43</f>
        <v>75.9</v>
      </c>
      <c r="AF68">
        <f>'attache--data--from'!AD43</f>
        <v>0</v>
      </c>
      <c r="AG68">
        <f>'attache--data--from'!AE43</f>
        <v>0</v>
      </c>
      <c r="AH68">
        <f>'attache--data--from'!AF43</f>
        <v>0</v>
      </c>
      <c r="AI68">
        <f>'attache--data--from'!AG43</f>
        <v>0</v>
      </c>
      <c r="AJ68">
        <f>'attache--data--from'!AH43</f>
        <v>0</v>
      </c>
      <c r="AK68">
        <f>'attache--data--from'!AI43</f>
        <v>27.6276</v>
      </c>
      <c r="AL68">
        <f>'attache--data--from'!AJ43</f>
        <v>0</v>
      </c>
      <c r="AM68">
        <f>'attache--data--from'!AK43</f>
        <v>0</v>
      </c>
      <c r="AN68">
        <f>'attache--data--from'!AL43</f>
        <v>0</v>
      </c>
      <c r="AO68">
        <v>2019</v>
      </c>
    </row>
    <row r="69" spans="3:41">
      <c r="C69" t="s">
        <v>74</v>
      </c>
      <c r="D69" t="s">
        <v>65</v>
      </c>
      <c r="E69" t="s">
        <v>6</v>
      </c>
      <c r="F69">
        <f>F63*4</f>
        <v>117.2</v>
      </c>
      <c r="G69">
        <f>F69</f>
        <v>117.2</v>
      </c>
      <c r="H69">
        <f t="shared" ref="H69:AN69" si="18">G69</f>
        <v>117.2</v>
      </c>
      <c r="I69">
        <f t="shared" si="18"/>
        <v>117.2</v>
      </c>
      <c r="J69">
        <f t="shared" si="18"/>
        <v>117.2</v>
      </c>
      <c r="K69">
        <f t="shared" si="18"/>
        <v>117.2</v>
      </c>
      <c r="L69">
        <f t="shared" si="18"/>
        <v>117.2</v>
      </c>
      <c r="M69">
        <f t="shared" si="18"/>
        <v>117.2</v>
      </c>
      <c r="N69">
        <f t="shared" si="18"/>
        <v>117.2</v>
      </c>
      <c r="O69">
        <f t="shared" si="18"/>
        <v>117.2</v>
      </c>
      <c r="P69">
        <f t="shared" si="18"/>
        <v>117.2</v>
      </c>
      <c r="Q69">
        <f t="shared" si="18"/>
        <v>117.2</v>
      </c>
      <c r="R69">
        <f t="shared" si="18"/>
        <v>117.2</v>
      </c>
      <c r="S69">
        <f t="shared" si="18"/>
        <v>117.2</v>
      </c>
      <c r="T69">
        <f t="shared" si="18"/>
        <v>117.2</v>
      </c>
      <c r="U69">
        <f t="shared" si="18"/>
        <v>117.2</v>
      </c>
      <c r="V69">
        <f t="shared" si="18"/>
        <v>117.2</v>
      </c>
      <c r="W69">
        <f t="shared" si="18"/>
        <v>117.2</v>
      </c>
      <c r="X69">
        <f t="shared" si="18"/>
        <v>117.2</v>
      </c>
      <c r="Y69">
        <f t="shared" si="18"/>
        <v>117.2</v>
      </c>
      <c r="Z69">
        <f t="shared" si="18"/>
        <v>117.2</v>
      </c>
      <c r="AA69">
        <f t="shared" si="18"/>
        <v>117.2</v>
      </c>
      <c r="AB69">
        <f t="shared" si="18"/>
        <v>117.2</v>
      </c>
      <c r="AC69">
        <f t="shared" si="18"/>
        <v>117.2</v>
      </c>
      <c r="AD69">
        <f t="shared" si="18"/>
        <v>117.2</v>
      </c>
      <c r="AE69">
        <f t="shared" si="18"/>
        <v>117.2</v>
      </c>
      <c r="AF69">
        <f t="shared" si="18"/>
        <v>117.2</v>
      </c>
      <c r="AG69">
        <f t="shared" si="18"/>
        <v>117.2</v>
      </c>
      <c r="AH69">
        <f t="shared" si="18"/>
        <v>117.2</v>
      </c>
      <c r="AI69">
        <f t="shared" si="18"/>
        <v>117.2</v>
      </c>
      <c r="AJ69">
        <f t="shared" si="18"/>
        <v>117.2</v>
      </c>
      <c r="AK69">
        <f t="shared" si="18"/>
        <v>117.2</v>
      </c>
      <c r="AL69">
        <f t="shared" si="18"/>
        <v>117.2</v>
      </c>
      <c r="AM69">
        <f t="shared" si="18"/>
        <v>117.2</v>
      </c>
      <c r="AN69">
        <f t="shared" si="18"/>
        <v>117.2</v>
      </c>
      <c r="AO69">
        <v>2019</v>
      </c>
    </row>
    <row r="70" spans="3:41">
      <c r="C70" t="s">
        <v>68</v>
      </c>
      <c r="AO70">
        <v>2019</v>
      </c>
    </row>
    <row r="71" spans="3:41">
      <c r="C71" t="s">
        <v>75</v>
      </c>
      <c r="D71" t="s">
        <v>63</v>
      </c>
      <c r="F71">
        <f t="shared" ref="F71:AN71" si="19">F121*1</f>
        <v>0</v>
      </c>
      <c r="G71">
        <f t="shared" si="19"/>
        <v>57.8</v>
      </c>
      <c r="H71">
        <f t="shared" si="19"/>
        <v>28</v>
      </c>
      <c r="I71">
        <f t="shared" si="19"/>
        <v>0</v>
      </c>
      <c r="J71">
        <f t="shared" si="19"/>
        <v>0</v>
      </c>
      <c r="K71">
        <f t="shared" si="19"/>
        <v>0</v>
      </c>
      <c r="L71">
        <f t="shared" si="19"/>
        <v>5.9</v>
      </c>
      <c r="M71">
        <f t="shared" si="19"/>
        <v>7.7</v>
      </c>
      <c r="N71">
        <f t="shared" si="19"/>
        <v>0</v>
      </c>
      <c r="O71">
        <f t="shared" si="19"/>
        <v>0</v>
      </c>
      <c r="P71">
        <f t="shared" si="19"/>
        <v>0</v>
      </c>
      <c r="Q71">
        <f t="shared" si="19"/>
        <v>0</v>
      </c>
      <c r="R71">
        <f t="shared" si="19"/>
        <v>0</v>
      </c>
      <c r="S71">
        <f t="shared" si="19"/>
        <v>0</v>
      </c>
      <c r="T71">
        <f t="shared" si="19"/>
        <v>0</v>
      </c>
      <c r="U71">
        <f t="shared" si="19"/>
        <v>8</v>
      </c>
      <c r="V71">
        <f t="shared" si="19"/>
        <v>0</v>
      </c>
      <c r="W71">
        <f t="shared" si="19"/>
        <v>0</v>
      </c>
      <c r="X71">
        <f t="shared" si="19"/>
        <v>0</v>
      </c>
      <c r="Y71">
        <f t="shared" si="19"/>
        <v>0</v>
      </c>
      <c r="Z71">
        <f t="shared" si="19"/>
        <v>0</v>
      </c>
      <c r="AA71">
        <f t="shared" si="19"/>
        <v>0</v>
      </c>
      <c r="AB71">
        <f t="shared" si="19"/>
        <v>0</v>
      </c>
      <c r="AC71">
        <f t="shared" si="19"/>
        <v>0</v>
      </c>
      <c r="AD71">
        <f t="shared" si="19"/>
        <v>20.6</v>
      </c>
      <c r="AE71">
        <f t="shared" si="19"/>
        <v>0</v>
      </c>
      <c r="AF71">
        <f t="shared" si="19"/>
        <v>0</v>
      </c>
      <c r="AG71">
        <f t="shared" si="19"/>
        <v>74</v>
      </c>
      <c r="AH71">
        <f t="shared" si="19"/>
        <v>0</v>
      </c>
      <c r="AI71">
        <f t="shared" si="19"/>
        <v>0</v>
      </c>
      <c r="AJ71">
        <f t="shared" si="19"/>
        <v>0</v>
      </c>
      <c r="AK71">
        <f t="shared" si="19"/>
        <v>0</v>
      </c>
      <c r="AL71">
        <f t="shared" si="19"/>
        <v>0</v>
      </c>
      <c r="AM71">
        <f t="shared" si="19"/>
        <v>0</v>
      </c>
      <c r="AN71">
        <f t="shared" si="19"/>
        <v>0</v>
      </c>
      <c r="AO71">
        <v>2019</v>
      </c>
    </row>
    <row r="72" spans="3:41">
      <c r="C72" t="s">
        <v>75</v>
      </c>
      <c r="D72" t="s">
        <v>64</v>
      </c>
      <c r="AO72">
        <v>2019</v>
      </c>
    </row>
    <row r="73" spans="3:41">
      <c r="C73" t="s">
        <v>75</v>
      </c>
      <c r="D73" t="s">
        <v>65</v>
      </c>
      <c r="E73" t="s">
        <v>9</v>
      </c>
      <c r="F73">
        <f>D7</f>
        <v>2</v>
      </c>
      <c r="G73">
        <f>F73</f>
        <v>2</v>
      </c>
      <c r="H73">
        <f t="shared" ref="H73:AN73" si="20">G73</f>
        <v>2</v>
      </c>
      <c r="I73">
        <f t="shared" si="20"/>
        <v>2</v>
      </c>
      <c r="J73">
        <f t="shared" si="20"/>
        <v>2</v>
      </c>
      <c r="K73">
        <f t="shared" si="20"/>
        <v>2</v>
      </c>
      <c r="L73">
        <f t="shared" si="20"/>
        <v>2</v>
      </c>
      <c r="M73">
        <f t="shared" si="20"/>
        <v>2</v>
      </c>
      <c r="N73">
        <f t="shared" si="20"/>
        <v>2</v>
      </c>
      <c r="O73">
        <f t="shared" si="20"/>
        <v>2</v>
      </c>
      <c r="P73">
        <f t="shared" si="20"/>
        <v>2</v>
      </c>
      <c r="Q73">
        <f t="shared" si="20"/>
        <v>2</v>
      </c>
      <c r="R73">
        <f t="shared" si="20"/>
        <v>2</v>
      </c>
      <c r="S73">
        <f t="shared" si="20"/>
        <v>2</v>
      </c>
      <c r="T73">
        <f t="shared" si="20"/>
        <v>2</v>
      </c>
      <c r="U73">
        <f t="shared" si="20"/>
        <v>2</v>
      </c>
      <c r="V73">
        <f t="shared" si="20"/>
        <v>2</v>
      </c>
      <c r="W73">
        <f t="shared" si="20"/>
        <v>2</v>
      </c>
      <c r="X73">
        <f t="shared" si="20"/>
        <v>2</v>
      </c>
      <c r="Y73">
        <f t="shared" si="20"/>
        <v>2</v>
      </c>
      <c r="Z73">
        <f t="shared" si="20"/>
        <v>2</v>
      </c>
      <c r="AA73">
        <f t="shared" si="20"/>
        <v>2</v>
      </c>
      <c r="AB73">
        <f t="shared" si="20"/>
        <v>2</v>
      </c>
      <c r="AC73">
        <f t="shared" si="20"/>
        <v>2</v>
      </c>
      <c r="AD73">
        <f t="shared" si="20"/>
        <v>2</v>
      </c>
      <c r="AE73">
        <f t="shared" si="20"/>
        <v>2</v>
      </c>
      <c r="AF73">
        <f t="shared" si="20"/>
        <v>2</v>
      </c>
      <c r="AG73">
        <f t="shared" si="20"/>
        <v>2</v>
      </c>
      <c r="AH73">
        <f t="shared" si="20"/>
        <v>2</v>
      </c>
      <c r="AI73">
        <f t="shared" si="20"/>
        <v>2</v>
      </c>
      <c r="AJ73">
        <f t="shared" si="20"/>
        <v>2</v>
      </c>
      <c r="AK73">
        <f t="shared" si="20"/>
        <v>2</v>
      </c>
      <c r="AL73">
        <f t="shared" si="20"/>
        <v>2</v>
      </c>
      <c r="AM73">
        <f t="shared" si="20"/>
        <v>2</v>
      </c>
      <c r="AN73">
        <f t="shared" si="20"/>
        <v>2</v>
      </c>
      <c r="AO73">
        <v>2019</v>
      </c>
    </row>
    <row r="74" spans="3:41">
      <c r="C74" t="s">
        <v>76</v>
      </c>
      <c r="D74" t="s">
        <v>63</v>
      </c>
      <c r="F74">
        <f>F121*4</f>
        <v>0</v>
      </c>
      <c r="G74">
        <f t="shared" ref="G74:AN74" si="21">G121*4</f>
        <v>231.2</v>
      </c>
      <c r="H74">
        <f t="shared" si="21"/>
        <v>112</v>
      </c>
      <c r="I74">
        <f t="shared" si="21"/>
        <v>0</v>
      </c>
      <c r="J74">
        <f t="shared" si="21"/>
        <v>0</v>
      </c>
      <c r="K74">
        <f t="shared" si="21"/>
        <v>0</v>
      </c>
      <c r="L74">
        <f t="shared" si="21"/>
        <v>23.6</v>
      </c>
      <c r="M74">
        <f t="shared" si="21"/>
        <v>30.8</v>
      </c>
      <c r="N74">
        <f t="shared" si="21"/>
        <v>0</v>
      </c>
      <c r="O74">
        <f t="shared" si="21"/>
        <v>0</v>
      </c>
      <c r="P74">
        <f t="shared" si="21"/>
        <v>0</v>
      </c>
      <c r="Q74">
        <f t="shared" si="21"/>
        <v>0</v>
      </c>
      <c r="R74">
        <f t="shared" si="21"/>
        <v>0</v>
      </c>
      <c r="S74">
        <f t="shared" si="21"/>
        <v>0</v>
      </c>
      <c r="T74">
        <f t="shared" si="21"/>
        <v>0</v>
      </c>
      <c r="U74">
        <f t="shared" si="21"/>
        <v>32</v>
      </c>
      <c r="V74">
        <f t="shared" si="21"/>
        <v>0</v>
      </c>
      <c r="W74">
        <f t="shared" si="21"/>
        <v>0</v>
      </c>
      <c r="X74">
        <f t="shared" si="21"/>
        <v>0</v>
      </c>
      <c r="Y74">
        <f t="shared" si="21"/>
        <v>0</v>
      </c>
      <c r="Z74">
        <f t="shared" si="21"/>
        <v>0</v>
      </c>
      <c r="AA74">
        <f t="shared" si="21"/>
        <v>0</v>
      </c>
      <c r="AB74">
        <f t="shared" si="21"/>
        <v>0</v>
      </c>
      <c r="AC74">
        <f t="shared" si="21"/>
        <v>0</v>
      </c>
      <c r="AD74">
        <f t="shared" si="21"/>
        <v>82.4</v>
      </c>
      <c r="AE74">
        <f t="shared" si="21"/>
        <v>0</v>
      </c>
      <c r="AF74">
        <f t="shared" si="21"/>
        <v>0</v>
      </c>
      <c r="AG74">
        <f t="shared" si="21"/>
        <v>296</v>
      </c>
      <c r="AH74">
        <f t="shared" si="21"/>
        <v>0</v>
      </c>
      <c r="AI74">
        <f t="shared" si="21"/>
        <v>0</v>
      </c>
      <c r="AJ74">
        <f t="shared" si="21"/>
        <v>0</v>
      </c>
      <c r="AK74">
        <f t="shared" si="21"/>
        <v>0</v>
      </c>
      <c r="AL74">
        <f t="shared" si="21"/>
        <v>0</v>
      </c>
      <c r="AM74">
        <f t="shared" si="21"/>
        <v>0</v>
      </c>
      <c r="AN74">
        <f t="shared" si="21"/>
        <v>0</v>
      </c>
      <c r="AO74">
        <v>2019</v>
      </c>
    </row>
    <row r="75" spans="3:41">
      <c r="C75" t="s">
        <v>76</v>
      </c>
      <c r="D75" t="s">
        <v>64</v>
      </c>
      <c r="AO75">
        <v>2019</v>
      </c>
    </row>
    <row r="76" spans="3:41">
      <c r="C76" t="s">
        <v>76</v>
      </c>
      <c r="D76" t="s">
        <v>65</v>
      </c>
      <c r="E76" t="s">
        <v>9</v>
      </c>
      <c r="F76">
        <f>D7*2</f>
        <v>4</v>
      </c>
      <c r="G76">
        <f>F76</f>
        <v>4</v>
      </c>
      <c r="H76">
        <f t="shared" ref="H76:AN76" si="22">G76</f>
        <v>4</v>
      </c>
      <c r="I76">
        <f t="shared" si="22"/>
        <v>4</v>
      </c>
      <c r="J76">
        <f t="shared" si="22"/>
        <v>4</v>
      </c>
      <c r="K76">
        <f t="shared" si="22"/>
        <v>4</v>
      </c>
      <c r="L76">
        <f t="shared" si="22"/>
        <v>4</v>
      </c>
      <c r="M76">
        <f t="shared" si="22"/>
        <v>4</v>
      </c>
      <c r="N76">
        <f t="shared" si="22"/>
        <v>4</v>
      </c>
      <c r="O76">
        <f t="shared" si="22"/>
        <v>4</v>
      </c>
      <c r="P76">
        <f t="shared" si="22"/>
        <v>4</v>
      </c>
      <c r="Q76">
        <f t="shared" si="22"/>
        <v>4</v>
      </c>
      <c r="R76">
        <f t="shared" si="22"/>
        <v>4</v>
      </c>
      <c r="S76">
        <f t="shared" si="22"/>
        <v>4</v>
      </c>
      <c r="T76">
        <f t="shared" si="22"/>
        <v>4</v>
      </c>
      <c r="U76">
        <f t="shared" si="22"/>
        <v>4</v>
      </c>
      <c r="V76">
        <f t="shared" si="22"/>
        <v>4</v>
      </c>
      <c r="W76">
        <f t="shared" si="22"/>
        <v>4</v>
      </c>
      <c r="X76">
        <f t="shared" si="22"/>
        <v>4</v>
      </c>
      <c r="Y76">
        <f t="shared" si="22"/>
        <v>4</v>
      </c>
      <c r="Z76">
        <f t="shared" si="22"/>
        <v>4</v>
      </c>
      <c r="AA76">
        <f t="shared" si="22"/>
        <v>4</v>
      </c>
      <c r="AB76">
        <f t="shared" si="22"/>
        <v>4</v>
      </c>
      <c r="AC76">
        <f t="shared" si="22"/>
        <v>4</v>
      </c>
      <c r="AD76">
        <f t="shared" si="22"/>
        <v>4</v>
      </c>
      <c r="AE76">
        <f t="shared" si="22"/>
        <v>4</v>
      </c>
      <c r="AF76">
        <f t="shared" si="22"/>
        <v>4</v>
      </c>
      <c r="AG76">
        <f t="shared" si="22"/>
        <v>4</v>
      </c>
      <c r="AH76">
        <f t="shared" si="22"/>
        <v>4</v>
      </c>
      <c r="AI76">
        <f t="shared" si="22"/>
        <v>4</v>
      </c>
      <c r="AJ76">
        <f t="shared" si="22"/>
        <v>4</v>
      </c>
      <c r="AK76">
        <f t="shared" si="22"/>
        <v>4</v>
      </c>
      <c r="AL76">
        <f t="shared" si="22"/>
        <v>4</v>
      </c>
      <c r="AM76">
        <f t="shared" si="22"/>
        <v>4</v>
      </c>
      <c r="AN76">
        <f t="shared" si="22"/>
        <v>4</v>
      </c>
      <c r="AO76">
        <v>2019</v>
      </c>
    </row>
    <row r="77" spans="3:41">
      <c r="C77" t="s">
        <v>77</v>
      </c>
      <c r="D77" t="s">
        <v>63</v>
      </c>
      <c r="AO77">
        <v>2019</v>
      </c>
    </row>
    <row r="78" spans="3:41">
      <c r="C78" t="s">
        <v>77</v>
      </c>
      <c r="D78" t="s">
        <v>64</v>
      </c>
      <c r="AO78">
        <v>2019</v>
      </c>
    </row>
    <row r="79" spans="3:41">
      <c r="C79" t="s">
        <v>77</v>
      </c>
      <c r="D79" t="s">
        <v>65</v>
      </c>
      <c r="E79" t="s">
        <v>9</v>
      </c>
      <c r="F79">
        <f>D7*4</f>
        <v>8</v>
      </c>
      <c r="G79">
        <f>F79</f>
        <v>8</v>
      </c>
      <c r="H79">
        <f t="shared" ref="H79:AN79" si="23">G79</f>
        <v>8</v>
      </c>
      <c r="I79">
        <f t="shared" si="23"/>
        <v>8</v>
      </c>
      <c r="J79">
        <f t="shared" si="23"/>
        <v>8</v>
      </c>
      <c r="K79">
        <f t="shared" si="23"/>
        <v>8</v>
      </c>
      <c r="L79">
        <f t="shared" si="23"/>
        <v>8</v>
      </c>
      <c r="M79">
        <f t="shared" si="23"/>
        <v>8</v>
      </c>
      <c r="N79">
        <f t="shared" si="23"/>
        <v>8</v>
      </c>
      <c r="O79">
        <f t="shared" si="23"/>
        <v>8</v>
      </c>
      <c r="P79">
        <f t="shared" si="23"/>
        <v>8</v>
      </c>
      <c r="Q79">
        <f t="shared" si="23"/>
        <v>8</v>
      </c>
      <c r="R79">
        <f t="shared" si="23"/>
        <v>8</v>
      </c>
      <c r="S79">
        <f t="shared" si="23"/>
        <v>8</v>
      </c>
      <c r="T79">
        <f t="shared" si="23"/>
        <v>8</v>
      </c>
      <c r="U79">
        <f t="shared" si="23"/>
        <v>8</v>
      </c>
      <c r="V79">
        <f t="shared" si="23"/>
        <v>8</v>
      </c>
      <c r="W79">
        <f t="shared" si="23"/>
        <v>8</v>
      </c>
      <c r="X79">
        <f t="shared" si="23"/>
        <v>8</v>
      </c>
      <c r="Y79">
        <f t="shared" si="23"/>
        <v>8</v>
      </c>
      <c r="Z79">
        <f t="shared" si="23"/>
        <v>8</v>
      </c>
      <c r="AA79">
        <f t="shared" si="23"/>
        <v>8</v>
      </c>
      <c r="AB79">
        <f t="shared" si="23"/>
        <v>8</v>
      </c>
      <c r="AC79">
        <f t="shared" si="23"/>
        <v>8</v>
      </c>
      <c r="AD79">
        <f t="shared" si="23"/>
        <v>8</v>
      </c>
      <c r="AE79">
        <f t="shared" si="23"/>
        <v>8</v>
      </c>
      <c r="AF79">
        <f t="shared" si="23"/>
        <v>8</v>
      </c>
      <c r="AG79">
        <f t="shared" si="23"/>
        <v>8</v>
      </c>
      <c r="AH79">
        <f t="shared" si="23"/>
        <v>8</v>
      </c>
      <c r="AI79">
        <f t="shared" si="23"/>
        <v>8</v>
      </c>
      <c r="AJ79">
        <f t="shared" si="23"/>
        <v>8</v>
      </c>
      <c r="AK79">
        <f t="shared" si="23"/>
        <v>8</v>
      </c>
      <c r="AL79">
        <f t="shared" si="23"/>
        <v>8</v>
      </c>
      <c r="AM79">
        <f t="shared" si="23"/>
        <v>8</v>
      </c>
      <c r="AN79">
        <f t="shared" si="23"/>
        <v>8</v>
      </c>
      <c r="AO79">
        <v>2019</v>
      </c>
    </row>
    <row r="80" spans="3:41">
      <c r="C80" t="s">
        <v>68</v>
      </c>
      <c r="AO80">
        <v>2019</v>
      </c>
    </row>
    <row r="81" spans="3:41">
      <c r="C81" t="s">
        <v>78</v>
      </c>
      <c r="D81" t="s">
        <v>63</v>
      </c>
      <c r="F81">
        <f t="shared" ref="F81:AN81" si="24">F122*1</f>
        <v>0</v>
      </c>
      <c r="G81">
        <f t="shared" si="24"/>
        <v>3.18</v>
      </c>
      <c r="H81">
        <f t="shared" si="24"/>
        <v>190.44</v>
      </c>
      <c r="I81">
        <f t="shared" si="24"/>
        <v>0</v>
      </c>
      <c r="J81">
        <f t="shared" si="24"/>
        <v>0</v>
      </c>
      <c r="K81">
        <f t="shared" si="24"/>
        <v>0</v>
      </c>
      <c r="L81">
        <f t="shared" si="24"/>
        <v>116.38</v>
      </c>
      <c r="M81">
        <f t="shared" si="24"/>
        <v>888.72</v>
      </c>
      <c r="N81">
        <f t="shared" si="24"/>
        <v>0</v>
      </c>
      <c r="O81">
        <f t="shared" si="24"/>
        <v>0</v>
      </c>
      <c r="P81">
        <f t="shared" si="24"/>
        <v>0</v>
      </c>
      <c r="Q81">
        <f t="shared" si="24"/>
        <v>10.16</v>
      </c>
      <c r="R81">
        <f t="shared" si="24"/>
        <v>9.1</v>
      </c>
      <c r="S81">
        <f t="shared" si="24"/>
        <v>0</v>
      </c>
      <c r="T81">
        <f t="shared" si="24"/>
        <v>0</v>
      </c>
      <c r="U81">
        <f t="shared" si="24"/>
        <v>80.4</v>
      </c>
      <c r="V81">
        <f t="shared" si="24"/>
        <v>16.92</v>
      </c>
      <c r="W81">
        <f t="shared" si="24"/>
        <v>0</v>
      </c>
      <c r="X81">
        <f t="shared" si="24"/>
        <v>0</v>
      </c>
      <c r="Y81">
        <f t="shared" si="24"/>
        <v>0</v>
      </c>
      <c r="Z81">
        <f t="shared" si="24"/>
        <v>25.4</v>
      </c>
      <c r="AA81">
        <f t="shared" si="24"/>
        <v>23.5</v>
      </c>
      <c r="AB81">
        <f t="shared" si="24"/>
        <v>0</v>
      </c>
      <c r="AC81">
        <f t="shared" si="24"/>
        <v>0</v>
      </c>
      <c r="AD81">
        <f t="shared" si="24"/>
        <v>60.3</v>
      </c>
      <c r="AE81">
        <f t="shared" si="24"/>
        <v>30.68</v>
      </c>
      <c r="AF81">
        <f t="shared" si="24"/>
        <v>19.04</v>
      </c>
      <c r="AG81">
        <f t="shared" si="24"/>
        <v>0</v>
      </c>
      <c r="AH81">
        <f t="shared" si="24"/>
        <v>8.68</v>
      </c>
      <c r="AI81">
        <f t="shared" si="24"/>
        <v>0</v>
      </c>
      <c r="AJ81">
        <f t="shared" si="24"/>
        <v>0</v>
      </c>
      <c r="AK81">
        <f t="shared" si="24"/>
        <v>3.38</v>
      </c>
      <c r="AL81">
        <f t="shared" si="24"/>
        <v>0</v>
      </c>
      <c r="AM81">
        <f t="shared" si="24"/>
        <v>0</v>
      </c>
      <c r="AN81">
        <f t="shared" si="24"/>
        <v>0</v>
      </c>
      <c r="AO81">
        <v>2019</v>
      </c>
    </row>
    <row r="82" spans="3:41">
      <c r="C82" t="s">
        <v>78</v>
      </c>
      <c r="D82" t="s">
        <v>64</v>
      </c>
      <c r="AO82">
        <v>2019</v>
      </c>
    </row>
    <row r="83" spans="3:41">
      <c r="C83" t="s">
        <v>78</v>
      </c>
      <c r="D83" t="s">
        <v>65</v>
      </c>
      <c r="E83" t="s">
        <v>11</v>
      </c>
      <c r="F83">
        <f>D8</f>
        <v>2.5</v>
      </c>
      <c r="G83">
        <f>F83</f>
        <v>2.5</v>
      </c>
      <c r="H83">
        <f t="shared" ref="H83:AN83" si="25">G83</f>
        <v>2.5</v>
      </c>
      <c r="I83">
        <f t="shared" si="25"/>
        <v>2.5</v>
      </c>
      <c r="J83">
        <f t="shared" si="25"/>
        <v>2.5</v>
      </c>
      <c r="K83">
        <f t="shared" si="25"/>
        <v>2.5</v>
      </c>
      <c r="L83">
        <f t="shared" si="25"/>
        <v>2.5</v>
      </c>
      <c r="M83">
        <f t="shared" si="25"/>
        <v>2.5</v>
      </c>
      <c r="N83">
        <f t="shared" si="25"/>
        <v>2.5</v>
      </c>
      <c r="O83">
        <f t="shared" si="25"/>
        <v>2.5</v>
      </c>
      <c r="P83">
        <f t="shared" si="25"/>
        <v>2.5</v>
      </c>
      <c r="Q83">
        <f t="shared" si="25"/>
        <v>2.5</v>
      </c>
      <c r="R83">
        <f t="shared" si="25"/>
        <v>2.5</v>
      </c>
      <c r="S83">
        <f t="shared" si="25"/>
        <v>2.5</v>
      </c>
      <c r="T83">
        <f t="shared" si="25"/>
        <v>2.5</v>
      </c>
      <c r="U83">
        <f t="shared" si="25"/>
        <v>2.5</v>
      </c>
      <c r="V83">
        <f t="shared" si="25"/>
        <v>2.5</v>
      </c>
      <c r="W83">
        <f t="shared" si="25"/>
        <v>2.5</v>
      </c>
      <c r="X83">
        <f t="shared" si="25"/>
        <v>2.5</v>
      </c>
      <c r="Y83">
        <f t="shared" si="25"/>
        <v>2.5</v>
      </c>
      <c r="Z83">
        <f t="shared" si="25"/>
        <v>2.5</v>
      </c>
      <c r="AA83">
        <f t="shared" si="25"/>
        <v>2.5</v>
      </c>
      <c r="AB83">
        <f t="shared" si="25"/>
        <v>2.5</v>
      </c>
      <c r="AC83">
        <f t="shared" si="25"/>
        <v>2.5</v>
      </c>
      <c r="AD83">
        <f t="shared" si="25"/>
        <v>2.5</v>
      </c>
      <c r="AE83">
        <f t="shared" si="25"/>
        <v>2.5</v>
      </c>
      <c r="AF83">
        <f t="shared" si="25"/>
        <v>2.5</v>
      </c>
      <c r="AG83">
        <f t="shared" si="25"/>
        <v>2.5</v>
      </c>
      <c r="AH83">
        <f t="shared" si="25"/>
        <v>2.5</v>
      </c>
      <c r="AI83">
        <f t="shared" si="25"/>
        <v>2.5</v>
      </c>
      <c r="AJ83">
        <f t="shared" si="25"/>
        <v>2.5</v>
      </c>
      <c r="AK83">
        <f t="shared" si="25"/>
        <v>2.5</v>
      </c>
      <c r="AL83">
        <f t="shared" si="25"/>
        <v>2.5</v>
      </c>
      <c r="AM83">
        <f t="shared" si="25"/>
        <v>2.5</v>
      </c>
      <c r="AN83">
        <f t="shared" si="25"/>
        <v>2.5</v>
      </c>
      <c r="AO83">
        <v>2019</v>
      </c>
    </row>
    <row r="84" spans="3:41">
      <c r="C84" t="s">
        <v>79</v>
      </c>
      <c r="D84" t="s">
        <v>63</v>
      </c>
      <c r="F84">
        <f>F122*4</f>
        <v>0</v>
      </c>
      <c r="G84">
        <f t="shared" ref="G84:AN84" si="26">G122*4</f>
        <v>12.72</v>
      </c>
      <c r="H84">
        <f t="shared" si="26"/>
        <v>761.76</v>
      </c>
      <c r="I84">
        <f t="shared" si="26"/>
        <v>0</v>
      </c>
      <c r="J84">
        <f t="shared" si="26"/>
        <v>0</v>
      </c>
      <c r="K84">
        <f t="shared" si="26"/>
        <v>0</v>
      </c>
      <c r="L84">
        <f t="shared" si="26"/>
        <v>465.52</v>
      </c>
      <c r="M84">
        <f t="shared" si="26"/>
        <v>3554.88</v>
      </c>
      <c r="N84">
        <f t="shared" si="26"/>
        <v>0</v>
      </c>
      <c r="O84">
        <f t="shared" si="26"/>
        <v>0</v>
      </c>
      <c r="P84">
        <f t="shared" si="26"/>
        <v>0</v>
      </c>
      <c r="Q84">
        <f t="shared" si="26"/>
        <v>40.64</v>
      </c>
      <c r="R84">
        <f t="shared" si="26"/>
        <v>36.4</v>
      </c>
      <c r="S84">
        <f t="shared" si="26"/>
        <v>0</v>
      </c>
      <c r="T84">
        <f t="shared" si="26"/>
        <v>0</v>
      </c>
      <c r="U84">
        <f t="shared" si="26"/>
        <v>321.6</v>
      </c>
      <c r="V84">
        <f t="shared" si="26"/>
        <v>67.68</v>
      </c>
      <c r="W84">
        <f t="shared" si="26"/>
        <v>0</v>
      </c>
      <c r="X84">
        <f t="shared" si="26"/>
        <v>0</v>
      </c>
      <c r="Y84">
        <f t="shared" si="26"/>
        <v>0</v>
      </c>
      <c r="Z84">
        <f t="shared" si="26"/>
        <v>101.6</v>
      </c>
      <c r="AA84">
        <f t="shared" si="26"/>
        <v>94</v>
      </c>
      <c r="AB84">
        <f t="shared" si="26"/>
        <v>0</v>
      </c>
      <c r="AC84">
        <f t="shared" si="26"/>
        <v>0</v>
      </c>
      <c r="AD84">
        <f t="shared" si="26"/>
        <v>241.2</v>
      </c>
      <c r="AE84">
        <f t="shared" si="26"/>
        <v>122.72</v>
      </c>
      <c r="AF84">
        <f t="shared" si="26"/>
        <v>76.16</v>
      </c>
      <c r="AG84">
        <f t="shared" si="26"/>
        <v>0</v>
      </c>
      <c r="AH84">
        <f t="shared" si="26"/>
        <v>34.72</v>
      </c>
      <c r="AI84">
        <f t="shared" si="26"/>
        <v>0</v>
      </c>
      <c r="AJ84">
        <f t="shared" si="26"/>
        <v>0</v>
      </c>
      <c r="AK84">
        <f t="shared" si="26"/>
        <v>13.52</v>
      </c>
      <c r="AL84">
        <f t="shared" si="26"/>
        <v>0</v>
      </c>
      <c r="AM84">
        <f t="shared" si="26"/>
        <v>0</v>
      </c>
      <c r="AN84">
        <f t="shared" si="26"/>
        <v>0</v>
      </c>
      <c r="AO84">
        <v>2019</v>
      </c>
    </row>
    <row r="85" spans="3:41">
      <c r="C85" t="s">
        <v>79</v>
      </c>
      <c r="D85" t="s">
        <v>64</v>
      </c>
      <c r="AO85">
        <v>2019</v>
      </c>
    </row>
    <row r="86" spans="3:41">
      <c r="C86" t="s">
        <v>79</v>
      </c>
      <c r="D86" t="s">
        <v>65</v>
      </c>
      <c r="E86" t="s">
        <v>11</v>
      </c>
      <c r="F86">
        <f>F83*2</f>
        <v>5</v>
      </c>
      <c r="G86">
        <f>F86</f>
        <v>5</v>
      </c>
      <c r="H86">
        <f t="shared" ref="H86:AN86" si="27">G86</f>
        <v>5</v>
      </c>
      <c r="I86">
        <f t="shared" si="27"/>
        <v>5</v>
      </c>
      <c r="J86">
        <f t="shared" si="27"/>
        <v>5</v>
      </c>
      <c r="K86">
        <f t="shared" si="27"/>
        <v>5</v>
      </c>
      <c r="L86">
        <f t="shared" si="27"/>
        <v>5</v>
      </c>
      <c r="M86">
        <f t="shared" si="27"/>
        <v>5</v>
      </c>
      <c r="N86">
        <f t="shared" si="27"/>
        <v>5</v>
      </c>
      <c r="O86">
        <f t="shared" si="27"/>
        <v>5</v>
      </c>
      <c r="P86">
        <f t="shared" si="27"/>
        <v>5</v>
      </c>
      <c r="Q86">
        <f t="shared" si="27"/>
        <v>5</v>
      </c>
      <c r="R86">
        <f t="shared" si="27"/>
        <v>5</v>
      </c>
      <c r="S86">
        <f t="shared" si="27"/>
        <v>5</v>
      </c>
      <c r="T86">
        <f t="shared" si="27"/>
        <v>5</v>
      </c>
      <c r="U86">
        <f t="shared" si="27"/>
        <v>5</v>
      </c>
      <c r="V86">
        <f t="shared" si="27"/>
        <v>5</v>
      </c>
      <c r="W86">
        <f t="shared" si="27"/>
        <v>5</v>
      </c>
      <c r="X86">
        <f t="shared" si="27"/>
        <v>5</v>
      </c>
      <c r="Y86">
        <f t="shared" si="27"/>
        <v>5</v>
      </c>
      <c r="Z86">
        <f t="shared" si="27"/>
        <v>5</v>
      </c>
      <c r="AA86">
        <f t="shared" si="27"/>
        <v>5</v>
      </c>
      <c r="AB86">
        <f t="shared" si="27"/>
        <v>5</v>
      </c>
      <c r="AC86">
        <f t="shared" si="27"/>
        <v>5</v>
      </c>
      <c r="AD86">
        <f t="shared" si="27"/>
        <v>5</v>
      </c>
      <c r="AE86">
        <f t="shared" si="27"/>
        <v>5</v>
      </c>
      <c r="AF86">
        <f t="shared" si="27"/>
        <v>5</v>
      </c>
      <c r="AG86">
        <f t="shared" si="27"/>
        <v>5</v>
      </c>
      <c r="AH86">
        <f t="shared" si="27"/>
        <v>5</v>
      </c>
      <c r="AI86">
        <f t="shared" si="27"/>
        <v>5</v>
      </c>
      <c r="AJ86">
        <f t="shared" si="27"/>
        <v>5</v>
      </c>
      <c r="AK86">
        <f t="shared" si="27"/>
        <v>5</v>
      </c>
      <c r="AL86">
        <f t="shared" si="27"/>
        <v>5</v>
      </c>
      <c r="AM86">
        <f t="shared" si="27"/>
        <v>5</v>
      </c>
      <c r="AN86">
        <f t="shared" si="27"/>
        <v>5</v>
      </c>
      <c r="AO86">
        <v>2019</v>
      </c>
    </row>
    <row r="87" spans="3:41">
      <c r="C87" t="s">
        <v>80</v>
      </c>
      <c r="D87" t="s">
        <v>63</v>
      </c>
      <c r="AO87">
        <v>2019</v>
      </c>
    </row>
    <row r="88" spans="3:41">
      <c r="C88" t="s">
        <v>80</v>
      </c>
      <c r="D88" t="s">
        <v>64</v>
      </c>
      <c r="AO88">
        <v>2019</v>
      </c>
    </row>
    <row r="89" spans="3:41">
      <c r="C89" t="s">
        <v>80</v>
      </c>
      <c r="D89" t="s">
        <v>65</v>
      </c>
      <c r="E89" t="s">
        <v>11</v>
      </c>
      <c r="F89">
        <f>F83*4</f>
        <v>10</v>
      </c>
      <c r="G89">
        <f>F89</f>
        <v>10</v>
      </c>
      <c r="H89">
        <f t="shared" ref="H89:AN89" si="28">G89</f>
        <v>10</v>
      </c>
      <c r="I89">
        <f t="shared" si="28"/>
        <v>10</v>
      </c>
      <c r="J89">
        <f t="shared" si="28"/>
        <v>10</v>
      </c>
      <c r="K89">
        <f t="shared" si="28"/>
        <v>10</v>
      </c>
      <c r="L89">
        <f t="shared" si="28"/>
        <v>10</v>
      </c>
      <c r="M89">
        <f t="shared" si="28"/>
        <v>10</v>
      </c>
      <c r="N89">
        <f t="shared" si="28"/>
        <v>10</v>
      </c>
      <c r="O89">
        <f t="shared" si="28"/>
        <v>10</v>
      </c>
      <c r="P89">
        <f t="shared" si="28"/>
        <v>10</v>
      </c>
      <c r="Q89">
        <f t="shared" si="28"/>
        <v>10</v>
      </c>
      <c r="R89">
        <f t="shared" si="28"/>
        <v>10</v>
      </c>
      <c r="S89">
        <f t="shared" si="28"/>
        <v>10</v>
      </c>
      <c r="T89">
        <f t="shared" si="28"/>
        <v>10</v>
      </c>
      <c r="U89">
        <f t="shared" si="28"/>
        <v>10</v>
      </c>
      <c r="V89">
        <f t="shared" si="28"/>
        <v>10</v>
      </c>
      <c r="W89">
        <f t="shared" si="28"/>
        <v>10</v>
      </c>
      <c r="X89">
        <f t="shared" si="28"/>
        <v>10</v>
      </c>
      <c r="Y89">
        <f t="shared" si="28"/>
        <v>10</v>
      </c>
      <c r="Z89">
        <f t="shared" si="28"/>
        <v>10</v>
      </c>
      <c r="AA89">
        <f t="shared" si="28"/>
        <v>10</v>
      </c>
      <c r="AB89">
        <f t="shared" si="28"/>
        <v>10</v>
      </c>
      <c r="AC89">
        <f t="shared" si="28"/>
        <v>10</v>
      </c>
      <c r="AD89">
        <f t="shared" si="28"/>
        <v>10</v>
      </c>
      <c r="AE89">
        <f t="shared" si="28"/>
        <v>10</v>
      </c>
      <c r="AF89">
        <f t="shared" si="28"/>
        <v>10</v>
      </c>
      <c r="AG89">
        <f t="shared" si="28"/>
        <v>10</v>
      </c>
      <c r="AH89">
        <f t="shared" si="28"/>
        <v>10</v>
      </c>
      <c r="AI89">
        <f t="shared" si="28"/>
        <v>10</v>
      </c>
      <c r="AJ89">
        <f t="shared" si="28"/>
        <v>10</v>
      </c>
      <c r="AK89">
        <f t="shared" si="28"/>
        <v>10</v>
      </c>
      <c r="AL89">
        <f t="shared" si="28"/>
        <v>10</v>
      </c>
      <c r="AM89">
        <f t="shared" si="28"/>
        <v>10</v>
      </c>
      <c r="AN89">
        <f t="shared" si="28"/>
        <v>10</v>
      </c>
      <c r="AO89">
        <v>2019</v>
      </c>
    </row>
    <row r="90" spans="3:41">
      <c r="C90" t="s">
        <v>68</v>
      </c>
      <c r="AO90">
        <v>2019</v>
      </c>
    </row>
    <row r="91" spans="3:41">
      <c r="C91" t="s">
        <v>81</v>
      </c>
      <c r="D91" t="s">
        <v>63</v>
      </c>
      <c r="F91">
        <f t="shared" ref="F91:AN91" si="29">F121*1</f>
        <v>0</v>
      </c>
      <c r="G91">
        <f t="shared" si="29"/>
        <v>57.8</v>
      </c>
      <c r="H91">
        <f t="shared" si="29"/>
        <v>28</v>
      </c>
      <c r="I91">
        <f t="shared" si="29"/>
        <v>0</v>
      </c>
      <c r="J91">
        <f t="shared" si="29"/>
        <v>0</v>
      </c>
      <c r="K91">
        <f t="shared" si="29"/>
        <v>0</v>
      </c>
      <c r="L91">
        <f t="shared" si="29"/>
        <v>5.9</v>
      </c>
      <c r="M91">
        <f t="shared" si="29"/>
        <v>7.7</v>
      </c>
      <c r="N91">
        <f t="shared" si="29"/>
        <v>0</v>
      </c>
      <c r="O91">
        <f t="shared" si="29"/>
        <v>0</v>
      </c>
      <c r="P91">
        <f t="shared" si="29"/>
        <v>0</v>
      </c>
      <c r="Q91">
        <f t="shared" si="29"/>
        <v>0</v>
      </c>
      <c r="R91">
        <f t="shared" si="29"/>
        <v>0</v>
      </c>
      <c r="S91">
        <f t="shared" si="29"/>
        <v>0</v>
      </c>
      <c r="T91">
        <f t="shared" si="29"/>
        <v>0</v>
      </c>
      <c r="U91">
        <f t="shared" si="29"/>
        <v>8</v>
      </c>
      <c r="V91">
        <f t="shared" si="29"/>
        <v>0</v>
      </c>
      <c r="W91">
        <f t="shared" si="29"/>
        <v>0</v>
      </c>
      <c r="X91">
        <f t="shared" si="29"/>
        <v>0</v>
      </c>
      <c r="Y91">
        <f t="shared" si="29"/>
        <v>0</v>
      </c>
      <c r="Z91">
        <f t="shared" si="29"/>
        <v>0</v>
      </c>
      <c r="AA91">
        <f t="shared" si="29"/>
        <v>0</v>
      </c>
      <c r="AB91">
        <f t="shared" si="29"/>
        <v>0</v>
      </c>
      <c r="AC91">
        <f t="shared" si="29"/>
        <v>0</v>
      </c>
      <c r="AD91">
        <f t="shared" si="29"/>
        <v>20.6</v>
      </c>
      <c r="AE91">
        <f t="shared" si="29"/>
        <v>0</v>
      </c>
      <c r="AF91">
        <f t="shared" si="29"/>
        <v>0</v>
      </c>
      <c r="AG91">
        <f t="shared" si="29"/>
        <v>74</v>
      </c>
      <c r="AH91">
        <f t="shared" si="29"/>
        <v>0</v>
      </c>
      <c r="AI91">
        <f t="shared" si="29"/>
        <v>0</v>
      </c>
      <c r="AJ91">
        <f t="shared" si="29"/>
        <v>0</v>
      </c>
      <c r="AK91">
        <f t="shared" si="29"/>
        <v>0</v>
      </c>
      <c r="AL91">
        <f t="shared" si="29"/>
        <v>0</v>
      </c>
      <c r="AM91">
        <f t="shared" si="29"/>
        <v>0</v>
      </c>
      <c r="AN91">
        <f t="shared" si="29"/>
        <v>0</v>
      </c>
      <c r="AO91">
        <v>2019</v>
      </c>
    </row>
    <row r="92" spans="3:41">
      <c r="C92" t="s">
        <v>81</v>
      </c>
      <c r="D92" t="s">
        <v>64</v>
      </c>
      <c r="F92">
        <f>'attache--data--from'!D53</f>
        <v>0</v>
      </c>
      <c r="G92">
        <f>'attache--data--from'!E53</f>
        <v>1.0504</v>
      </c>
      <c r="H92">
        <f>'attache--data--from'!F53</f>
        <v>1.04</v>
      </c>
      <c r="I92">
        <f>'attache--data--from'!G53</f>
        <v>0</v>
      </c>
      <c r="J92">
        <f>'attache--data--from'!H53</f>
        <v>0</v>
      </c>
      <c r="K92">
        <f>'attache--data--from'!I53</f>
        <v>0</v>
      </c>
      <c r="L92">
        <f>'attache--data--from'!J53</f>
        <v>0</v>
      </c>
      <c r="M92">
        <f>'attache--data--from'!K53</f>
        <v>0.4264</v>
      </c>
      <c r="N92">
        <f>'attache--data--from'!L53</f>
        <v>0</v>
      </c>
      <c r="O92">
        <f>'attache--data--from'!M53</f>
        <v>0</v>
      </c>
      <c r="P92">
        <f>'attache--data--from'!N53</f>
        <v>0</v>
      </c>
      <c r="Q92">
        <f>'attache--data--from'!O53</f>
        <v>0</v>
      </c>
      <c r="R92">
        <f>'attache--data--from'!P53</f>
        <v>0</v>
      </c>
      <c r="S92">
        <f>'attache--data--from'!Q53</f>
        <v>0</v>
      </c>
      <c r="T92">
        <f>'attache--data--from'!R53</f>
        <v>0</v>
      </c>
      <c r="U92">
        <f>'attache--data--from'!S53</f>
        <v>0.02288</v>
      </c>
      <c r="V92">
        <f>'attache--data--from'!T53</f>
        <v>0</v>
      </c>
      <c r="W92">
        <f>'attache--data--from'!U53</f>
        <v>0</v>
      </c>
      <c r="X92">
        <f>'attache--data--from'!V53</f>
        <v>0</v>
      </c>
      <c r="Y92">
        <f>'attache--data--from'!W53</f>
        <v>3.016</v>
      </c>
      <c r="Z92">
        <f>'attache--data--from'!X53</f>
        <v>0</v>
      </c>
      <c r="AA92">
        <f>'attache--data--from'!Y53</f>
        <v>1.12632</v>
      </c>
      <c r="AB92">
        <f>'attache--data--from'!Z53</f>
        <v>0</v>
      </c>
      <c r="AC92">
        <f>'attache--data--from'!AA53</f>
        <v>0.3536</v>
      </c>
      <c r="AD92">
        <f>'attache--data--from'!AB53</f>
        <v>2.3244</v>
      </c>
      <c r="AE92">
        <f>'attache--data--from'!AC53</f>
        <v>0.832</v>
      </c>
      <c r="AF92">
        <f>'attache--data--from'!AD53</f>
        <v>0</v>
      </c>
      <c r="AG92">
        <f>'attache--data--from'!AE53</f>
        <v>0</v>
      </c>
      <c r="AH92">
        <f>'attache--data--from'!AF53</f>
        <v>0</v>
      </c>
      <c r="AI92">
        <f>'attache--data--from'!AG53</f>
        <v>0</v>
      </c>
      <c r="AJ92">
        <f>'attache--data--from'!AH53</f>
        <v>0</v>
      </c>
      <c r="AK92">
        <f>'attache--data--from'!AI53</f>
        <v>0</v>
      </c>
      <c r="AL92">
        <f>'attache--data--from'!AJ53</f>
        <v>0</v>
      </c>
      <c r="AM92">
        <f>'attache--data--from'!AK53</f>
        <v>0</v>
      </c>
      <c r="AN92">
        <f>'attache--data--from'!AL53</f>
        <v>0</v>
      </c>
      <c r="AO92">
        <v>2019</v>
      </c>
    </row>
    <row r="93" spans="3:41">
      <c r="C93" t="s">
        <v>81</v>
      </c>
      <c r="D93" t="s">
        <v>65</v>
      </c>
      <c r="E93" t="s">
        <v>13</v>
      </c>
      <c r="F93">
        <f>D9</f>
        <v>8</v>
      </c>
      <c r="G93">
        <f>F93</f>
        <v>8</v>
      </c>
      <c r="H93">
        <f t="shared" ref="H93:AN93" si="30">G93</f>
        <v>8</v>
      </c>
      <c r="I93">
        <f t="shared" si="30"/>
        <v>8</v>
      </c>
      <c r="J93">
        <f t="shared" si="30"/>
        <v>8</v>
      </c>
      <c r="K93">
        <f t="shared" si="30"/>
        <v>8</v>
      </c>
      <c r="L93">
        <f t="shared" si="30"/>
        <v>8</v>
      </c>
      <c r="M93">
        <f t="shared" si="30"/>
        <v>8</v>
      </c>
      <c r="N93">
        <f t="shared" si="30"/>
        <v>8</v>
      </c>
      <c r="O93">
        <f t="shared" si="30"/>
        <v>8</v>
      </c>
      <c r="P93">
        <f t="shared" si="30"/>
        <v>8</v>
      </c>
      <c r="Q93">
        <f t="shared" si="30"/>
        <v>8</v>
      </c>
      <c r="R93">
        <f t="shared" si="30"/>
        <v>8</v>
      </c>
      <c r="S93">
        <f t="shared" si="30"/>
        <v>8</v>
      </c>
      <c r="T93">
        <f t="shared" si="30"/>
        <v>8</v>
      </c>
      <c r="U93">
        <f t="shared" si="30"/>
        <v>8</v>
      </c>
      <c r="V93">
        <f t="shared" si="30"/>
        <v>8</v>
      </c>
      <c r="W93">
        <f t="shared" si="30"/>
        <v>8</v>
      </c>
      <c r="X93">
        <f t="shared" si="30"/>
        <v>8</v>
      </c>
      <c r="Y93">
        <f t="shared" si="30"/>
        <v>8</v>
      </c>
      <c r="Z93">
        <f t="shared" si="30"/>
        <v>8</v>
      </c>
      <c r="AA93">
        <f t="shared" si="30"/>
        <v>8</v>
      </c>
      <c r="AB93">
        <f t="shared" si="30"/>
        <v>8</v>
      </c>
      <c r="AC93">
        <f t="shared" si="30"/>
        <v>8</v>
      </c>
      <c r="AD93">
        <f t="shared" si="30"/>
        <v>8</v>
      </c>
      <c r="AE93">
        <f t="shared" si="30"/>
        <v>8</v>
      </c>
      <c r="AF93">
        <f t="shared" si="30"/>
        <v>8</v>
      </c>
      <c r="AG93">
        <f t="shared" si="30"/>
        <v>8</v>
      </c>
      <c r="AH93">
        <f t="shared" si="30"/>
        <v>8</v>
      </c>
      <c r="AI93">
        <f t="shared" si="30"/>
        <v>8</v>
      </c>
      <c r="AJ93">
        <f t="shared" si="30"/>
        <v>8</v>
      </c>
      <c r="AK93">
        <f t="shared" si="30"/>
        <v>8</v>
      </c>
      <c r="AL93">
        <f t="shared" si="30"/>
        <v>8</v>
      </c>
      <c r="AM93">
        <f t="shared" si="30"/>
        <v>8</v>
      </c>
      <c r="AN93">
        <f t="shared" si="30"/>
        <v>8</v>
      </c>
      <c r="AO93">
        <v>2019</v>
      </c>
    </row>
    <row r="94" spans="3:41">
      <c r="C94" t="s">
        <v>82</v>
      </c>
      <c r="D94" t="s">
        <v>63</v>
      </c>
      <c r="F94">
        <f>F123*4</f>
        <v>0</v>
      </c>
      <c r="G94">
        <f t="shared" ref="G94:AN94" si="31">G123*4</f>
        <v>398</v>
      </c>
      <c r="H94">
        <f t="shared" si="31"/>
        <v>80</v>
      </c>
      <c r="I94">
        <f t="shared" si="31"/>
        <v>0</v>
      </c>
      <c r="J94">
        <f t="shared" si="31"/>
        <v>0</v>
      </c>
      <c r="K94">
        <f t="shared" si="31"/>
        <v>0</v>
      </c>
      <c r="L94">
        <f t="shared" si="31"/>
        <v>0</v>
      </c>
      <c r="M94">
        <f t="shared" si="31"/>
        <v>180</v>
      </c>
      <c r="N94">
        <f t="shared" si="31"/>
        <v>0</v>
      </c>
      <c r="O94">
        <f t="shared" si="31"/>
        <v>0</v>
      </c>
      <c r="P94">
        <f t="shared" si="31"/>
        <v>0</v>
      </c>
      <c r="Q94">
        <f t="shared" si="31"/>
        <v>0</v>
      </c>
      <c r="R94">
        <f t="shared" si="31"/>
        <v>0</v>
      </c>
      <c r="S94">
        <f t="shared" si="31"/>
        <v>0</v>
      </c>
      <c r="T94">
        <f t="shared" si="31"/>
        <v>0</v>
      </c>
      <c r="U94">
        <f t="shared" si="31"/>
        <v>3</v>
      </c>
      <c r="V94">
        <f t="shared" si="31"/>
        <v>0</v>
      </c>
      <c r="W94">
        <f t="shared" si="31"/>
        <v>0</v>
      </c>
      <c r="X94">
        <f t="shared" si="31"/>
        <v>0</v>
      </c>
      <c r="Y94">
        <f t="shared" si="31"/>
        <v>790</v>
      </c>
      <c r="Z94">
        <f t="shared" si="31"/>
        <v>0</v>
      </c>
      <c r="AA94">
        <f t="shared" si="31"/>
        <v>225</v>
      </c>
      <c r="AB94">
        <f t="shared" si="31"/>
        <v>0</v>
      </c>
      <c r="AC94">
        <f t="shared" si="31"/>
        <v>41</v>
      </c>
      <c r="AD94">
        <f t="shared" si="31"/>
        <v>470</v>
      </c>
      <c r="AE94">
        <f t="shared" si="31"/>
        <v>93</v>
      </c>
      <c r="AF94">
        <f t="shared" si="31"/>
        <v>0</v>
      </c>
      <c r="AG94">
        <f t="shared" si="31"/>
        <v>0</v>
      </c>
      <c r="AH94">
        <f t="shared" si="31"/>
        <v>0</v>
      </c>
      <c r="AI94">
        <f t="shared" si="31"/>
        <v>0</v>
      </c>
      <c r="AJ94">
        <f t="shared" si="31"/>
        <v>0</v>
      </c>
      <c r="AK94">
        <f t="shared" si="31"/>
        <v>0</v>
      </c>
      <c r="AL94">
        <f t="shared" si="31"/>
        <v>0</v>
      </c>
      <c r="AM94">
        <f t="shared" si="31"/>
        <v>0</v>
      </c>
      <c r="AN94">
        <f t="shared" si="31"/>
        <v>0</v>
      </c>
      <c r="AO94">
        <v>2019</v>
      </c>
    </row>
    <row r="95" spans="3:41">
      <c r="C95" t="s">
        <v>82</v>
      </c>
      <c r="D95" t="s">
        <v>64</v>
      </c>
      <c r="F95">
        <f>'attache--data--from'!D54</f>
        <v>0</v>
      </c>
      <c r="G95">
        <f>'attache--data--from'!E54</f>
        <v>1.0504</v>
      </c>
      <c r="H95">
        <f>'attache--data--from'!F54</f>
        <v>1.04</v>
      </c>
      <c r="I95">
        <f>'attache--data--from'!G54</f>
        <v>0</v>
      </c>
      <c r="J95">
        <f>'attache--data--from'!H54</f>
        <v>0</v>
      </c>
      <c r="K95">
        <f>'attache--data--from'!I54</f>
        <v>0</v>
      </c>
      <c r="L95">
        <f>'attache--data--from'!J54</f>
        <v>0</v>
      </c>
      <c r="M95">
        <f>'attache--data--from'!K54</f>
        <v>0.4264</v>
      </c>
      <c r="N95">
        <f>'attache--data--from'!L54</f>
        <v>0</v>
      </c>
      <c r="O95">
        <f>'attache--data--from'!M54</f>
        <v>0</v>
      </c>
      <c r="P95">
        <f>'attache--data--from'!N54</f>
        <v>0</v>
      </c>
      <c r="Q95">
        <f>'attache--data--from'!O54</f>
        <v>0</v>
      </c>
      <c r="R95">
        <f>'attache--data--from'!P54</f>
        <v>0</v>
      </c>
      <c r="S95">
        <f>'attache--data--from'!Q54</f>
        <v>0</v>
      </c>
      <c r="T95">
        <f>'attache--data--from'!R54</f>
        <v>0</v>
      </c>
      <c r="U95">
        <f>'attache--data--from'!S54</f>
        <v>0.02288</v>
      </c>
      <c r="V95">
        <f>'attache--data--from'!T54</f>
        <v>0</v>
      </c>
      <c r="W95">
        <f>'attache--data--from'!U54</f>
        <v>0</v>
      </c>
      <c r="X95">
        <f>'attache--data--from'!V54</f>
        <v>0</v>
      </c>
      <c r="Y95">
        <f>'attache--data--from'!W54</f>
        <v>3.016</v>
      </c>
      <c r="Z95">
        <f>'attache--data--from'!X54</f>
        <v>0</v>
      </c>
      <c r="AA95">
        <f>'attache--data--from'!Y54</f>
        <v>1.12632</v>
      </c>
      <c r="AB95">
        <f>'attache--data--from'!Z54</f>
        <v>0</v>
      </c>
      <c r="AC95">
        <f>'attache--data--from'!AA54</f>
        <v>0.3536</v>
      </c>
      <c r="AD95">
        <f>'attache--data--from'!AB54</f>
        <v>2.3244</v>
      </c>
      <c r="AE95">
        <f>'attache--data--from'!AC54</f>
        <v>0.832</v>
      </c>
      <c r="AF95">
        <f>'attache--data--from'!AD54</f>
        <v>0</v>
      </c>
      <c r="AG95">
        <f>'attache--data--from'!AE54</f>
        <v>0</v>
      </c>
      <c r="AH95">
        <f>'attache--data--from'!AF54</f>
        <v>0</v>
      </c>
      <c r="AI95">
        <f>'attache--data--from'!AG54</f>
        <v>0</v>
      </c>
      <c r="AJ95">
        <f>'attache--data--from'!AH54</f>
        <v>0</v>
      </c>
      <c r="AK95">
        <f>'attache--data--from'!AI54</f>
        <v>0</v>
      </c>
      <c r="AL95">
        <f>'attache--data--from'!AJ54</f>
        <v>0</v>
      </c>
      <c r="AM95">
        <f>'attache--data--from'!AK54</f>
        <v>0</v>
      </c>
      <c r="AN95">
        <f>'attache--data--from'!AL54</f>
        <v>0</v>
      </c>
      <c r="AO95">
        <v>2019</v>
      </c>
    </row>
    <row r="96" spans="3:41">
      <c r="C96" t="s">
        <v>82</v>
      </c>
      <c r="D96" t="s">
        <v>65</v>
      </c>
      <c r="E96" t="s">
        <v>13</v>
      </c>
      <c r="F96">
        <f>F93*2</f>
        <v>16</v>
      </c>
      <c r="G96">
        <f>F96</f>
        <v>16</v>
      </c>
      <c r="H96">
        <f t="shared" ref="H96:AN96" si="32">G96</f>
        <v>16</v>
      </c>
      <c r="I96">
        <f t="shared" si="32"/>
        <v>16</v>
      </c>
      <c r="J96">
        <f t="shared" si="32"/>
        <v>16</v>
      </c>
      <c r="K96">
        <f t="shared" si="32"/>
        <v>16</v>
      </c>
      <c r="L96">
        <f t="shared" si="32"/>
        <v>16</v>
      </c>
      <c r="M96">
        <f t="shared" si="32"/>
        <v>16</v>
      </c>
      <c r="N96">
        <f t="shared" si="32"/>
        <v>16</v>
      </c>
      <c r="O96">
        <f t="shared" si="32"/>
        <v>16</v>
      </c>
      <c r="P96">
        <f t="shared" si="32"/>
        <v>16</v>
      </c>
      <c r="Q96">
        <f t="shared" si="32"/>
        <v>16</v>
      </c>
      <c r="R96">
        <f t="shared" si="32"/>
        <v>16</v>
      </c>
      <c r="S96">
        <f t="shared" si="32"/>
        <v>16</v>
      </c>
      <c r="T96">
        <f t="shared" si="32"/>
        <v>16</v>
      </c>
      <c r="U96">
        <f t="shared" si="32"/>
        <v>16</v>
      </c>
      <c r="V96">
        <f t="shared" si="32"/>
        <v>16</v>
      </c>
      <c r="W96">
        <f t="shared" si="32"/>
        <v>16</v>
      </c>
      <c r="X96">
        <f t="shared" si="32"/>
        <v>16</v>
      </c>
      <c r="Y96">
        <f t="shared" si="32"/>
        <v>16</v>
      </c>
      <c r="Z96">
        <f t="shared" si="32"/>
        <v>16</v>
      </c>
      <c r="AA96">
        <f t="shared" si="32"/>
        <v>16</v>
      </c>
      <c r="AB96">
        <f t="shared" si="32"/>
        <v>16</v>
      </c>
      <c r="AC96">
        <f t="shared" si="32"/>
        <v>16</v>
      </c>
      <c r="AD96">
        <f t="shared" si="32"/>
        <v>16</v>
      </c>
      <c r="AE96">
        <f t="shared" si="32"/>
        <v>16</v>
      </c>
      <c r="AF96">
        <f t="shared" si="32"/>
        <v>16</v>
      </c>
      <c r="AG96">
        <f t="shared" si="32"/>
        <v>16</v>
      </c>
      <c r="AH96">
        <f t="shared" si="32"/>
        <v>16</v>
      </c>
      <c r="AI96">
        <f t="shared" si="32"/>
        <v>16</v>
      </c>
      <c r="AJ96">
        <f t="shared" si="32"/>
        <v>16</v>
      </c>
      <c r="AK96">
        <f t="shared" si="32"/>
        <v>16</v>
      </c>
      <c r="AL96">
        <f t="shared" si="32"/>
        <v>16</v>
      </c>
      <c r="AM96">
        <f t="shared" si="32"/>
        <v>16</v>
      </c>
      <c r="AN96">
        <f t="shared" si="32"/>
        <v>16</v>
      </c>
      <c r="AO96">
        <v>2019</v>
      </c>
    </row>
    <row r="97" spans="3:41">
      <c r="C97" t="s">
        <v>83</v>
      </c>
      <c r="D97" t="s">
        <v>63</v>
      </c>
      <c r="AO97">
        <v>2019</v>
      </c>
    </row>
    <row r="98" spans="3:41">
      <c r="C98" t="s">
        <v>83</v>
      </c>
      <c r="D98" t="s">
        <v>64</v>
      </c>
      <c r="F98">
        <f>'attache--data--from'!D55</f>
        <v>0</v>
      </c>
      <c r="G98">
        <f>'attache--data--from'!E55</f>
        <v>3.6764</v>
      </c>
      <c r="H98">
        <f>'attache--data--from'!F55</f>
        <v>3.64</v>
      </c>
      <c r="I98">
        <f>'attache--data--from'!G55</f>
        <v>0</v>
      </c>
      <c r="J98">
        <f>'attache--data--from'!H55</f>
        <v>0</v>
      </c>
      <c r="K98">
        <f>'attache--data--from'!I55</f>
        <v>0</v>
      </c>
      <c r="L98">
        <f>'attache--data--from'!J55</f>
        <v>0</v>
      </c>
      <c r="M98">
        <f>'attache--data--from'!K55</f>
        <v>1.4924</v>
      </c>
      <c r="N98">
        <f>'attache--data--from'!L55</f>
        <v>0</v>
      </c>
      <c r="O98">
        <f>'attache--data--from'!M55</f>
        <v>0</v>
      </c>
      <c r="P98">
        <f>'attache--data--from'!N55</f>
        <v>0</v>
      </c>
      <c r="Q98">
        <f>'attache--data--from'!O55</f>
        <v>0</v>
      </c>
      <c r="R98">
        <f>'attache--data--from'!P55</f>
        <v>0</v>
      </c>
      <c r="S98">
        <f>'attache--data--from'!Q55</f>
        <v>0</v>
      </c>
      <c r="T98">
        <f>'attache--data--from'!R55</f>
        <v>0</v>
      </c>
      <c r="U98">
        <f>'attache--data--from'!S55</f>
        <v>0.08008</v>
      </c>
      <c r="V98">
        <f>'attache--data--from'!T55</f>
        <v>0</v>
      </c>
      <c r="W98">
        <f>'attache--data--from'!U55</f>
        <v>0</v>
      </c>
      <c r="X98">
        <f>'attache--data--from'!V55</f>
        <v>0</v>
      </c>
      <c r="Y98">
        <f>'attache--data--from'!W55</f>
        <v>10.556</v>
      </c>
      <c r="Z98">
        <f>'attache--data--from'!X55</f>
        <v>0</v>
      </c>
      <c r="AA98">
        <f>'attache--data--from'!Y55</f>
        <v>3.94212</v>
      </c>
      <c r="AB98">
        <f>'attache--data--from'!Z55</f>
        <v>0</v>
      </c>
      <c r="AC98">
        <f>'attache--data--from'!AA55</f>
        <v>1.2376</v>
      </c>
      <c r="AD98">
        <f>'attache--data--from'!AB55</f>
        <v>8.1354</v>
      </c>
      <c r="AE98">
        <f>'attache--data--from'!AC55</f>
        <v>2.912</v>
      </c>
      <c r="AF98">
        <f>'attache--data--from'!AD55</f>
        <v>0</v>
      </c>
      <c r="AG98">
        <f>'attache--data--from'!AE55</f>
        <v>0</v>
      </c>
      <c r="AH98">
        <f>'attache--data--from'!AF55</f>
        <v>0</v>
      </c>
      <c r="AI98">
        <f>'attache--data--from'!AG55</f>
        <v>0</v>
      </c>
      <c r="AJ98">
        <f>'attache--data--from'!AH55</f>
        <v>0</v>
      </c>
      <c r="AK98">
        <f>'attache--data--from'!AI55</f>
        <v>0</v>
      </c>
      <c r="AL98">
        <f>'attache--data--from'!AJ55</f>
        <v>0</v>
      </c>
      <c r="AM98">
        <f>'attache--data--from'!AK55</f>
        <v>0</v>
      </c>
      <c r="AN98">
        <f>'attache--data--from'!AL55</f>
        <v>0</v>
      </c>
      <c r="AO98">
        <v>2019</v>
      </c>
    </row>
    <row r="99" spans="3:41">
      <c r="C99" t="s">
        <v>83</v>
      </c>
      <c r="D99" t="s">
        <v>65</v>
      </c>
      <c r="E99" t="s">
        <v>13</v>
      </c>
      <c r="F99">
        <f>F93*4</f>
        <v>32</v>
      </c>
      <c r="G99">
        <f>F99</f>
        <v>32</v>
      </c>
      <c r="H99">
        <f t="shared" ref="H99:AN99" si="33">G99</f>
        <v>32</v>
      </c>
      <c r="I99">
        <f t="shared" si="33"/>
        <v>32</v>
      </c>
      <c r="J99">
        <f t="shared" si="33"/>
        <v>32</v>
      </c>
      <c r="K99">
        <f t="shared" si="33"/>
        <v>32</v>
      </c>
      <c r="L99">
        <f t="shared" si="33"/>
        <v>32</v>
      </c>
      <c r="M99">
        <f t="shared" si="33"/>
        <v>32</v>
      </c>
      <c r="N99">
        <f t="shared" si="33"/>
        <v>32</v>
      </c>
      <c r="O99">
        <f t="shared" si="33"/>
        <v>32</v>
      </c>
      <c r="P99">
        <f t="shared" si="33"/>
        <v>32</v>
      </c>
      <c r="Q99">
        <f t="shared" si="33"/>
        <v>32</v>
      </c>
      <c r="R99">
        <f t="shared" si="33"/>
        <v>32</v>
      </c>
      <c r="S99">
        <f t="shared" si="33"/>
        <v>32</v>
      </c>
      <c r="T99">
        <f t="shared" si="33"/>
        <v>32</v>
      </c>
      <c r="U99">
        <f t="shared" si="33"/>
        <v>32</v>
      </c>
      <c r="V99">
        <f t="shared" si="33"/>
        <v>32</v>
      </c>
      <c r="W99">
        <f t="shared" si="33"/>
        <v>32</v>
      </c>
      <c r="X99">
        <f t="shared" si="33"/>
        <v>32</v>
      </c>
      <c r="Y99">
        <f t="shared" si="33"/>
        <v>32</v>
      </c>
      <c r="Z99">
        <f t="shared" si="33"/>
        <v>32</v>
      </c>
      <c r="AA99">
        <f t="shared" si="33"/>
        <v>32</v>
      </c>
      <c r="AB99">
        <f t="shared" si="33"/>
        <v>32</v>
      </c>
      <c r="AC99">
        <f t="shared" si="33"/>
        <v>32</v>
      </c>
      <c r="AD99">
        <f t="shared" si="33"/>
        <v>32</v>
      </c>
      <c r="AE99">
        <f t="shared" si="33"/>
        <v>32</v>
      </c>
      <c r="AF99">
        <f t="shared" si="33"/>
        <v>32</v>
      </c>
      <c r="AG99">
        <f t="shared" si="33"/>
        <v>32</v>
      </c>
      <c r="AH99">
        <f t="shared" si="33"/>
        <v>32</v>
      </c>
      <c r="AI99">
        <f t="shared" si="33"/>
        <v>32</v>
      </c>
      <c r="AJ99">
        <f t="shared" si="33"/>
        <v>32</v>
      </c>
      <c r="AK99">
        <f t="shared" si="33"/>
        <v>32</v>
      </c>
      <c r="AL99">
        <f t="shared" si="33"/>
        <v>32</v>
      </c>
      <c r="AM99">
        <f t="shared" si="33"/>
        <v>32</v>
      </c>
      <c r="AN99">
        <f t="shared" si="33"/>
        <v>32</v>
      </c>
      <c r="AO99">
        <v>2019</v>
      </c>
    </row>
    <row r="100" spans="3:41">
      <c r="C100" t="s">
        <v>68</v>
      </c>
      <c r="AO100">
        <v>2019</v>
      </c>
    </row>
    <row r="101" spans="3:41">
      <c r="C101" t="s">
        <v>84</v>
      </c>
      <c r="D101" t="s">
        <v>63</v>
      </c>
      <c r="F101">
        <f t="shared" ref="F101:AN101" si="34">F124*1</f>
        <v>0</v>
      </c>
      <c r="G101">
        <f t="shared" si="34"/>
        <v>170.1</v>
      </c>
      <c r="H101">
        <f t="shared" si="34"/>
        <v>0</v>
      </c>
      <c r="I101">
        <f t="shared" si="34"/>
        <v>0.45</v>
      </c>
      <c r="J101">
        <f t="shared" si="34"/>
        <v>0</v>
      </c>
      <c r="K101">
        <f t="shared" si="34"/>
        <v>0</v>
      </c>
      <c r="L101">
        <f t="shared" si="34"/>
        <v>61.2</v>
      </c>
      <c r="M101">
        <f t="shared" si="34"/>
        <v>1143</v>
      </c>
      <c r="N101">
        <f t="shared" si="34"/>
        <v>0</v>
      </c>
      <c r="O101">
        <f t="shared" si="34"/>
        <v>0</v>
      </c>
      <c r="P101">
        <f t="shared" si="34"/>
        <v>0</v>
      </c>
      <c r="Q101">
        <f t="shared" si="34"/>
        <v>0.18</v>
      </c>
      <c r="R101">
        <f t="shared" si="34"/>
        <v>0</v>
      </c>
      <c r="S101">
        <f t="shared" si="34"/>
        <v>0</v>
      </c>
      <c r="T101">
        <f t="shared" si="34"/>
        <v>0</v>
      </c>
      <c r="U101">
        <f t="shared" si="34"/>
        <v>25.2</v>
      </c>
      <c r="V101">
        <f t="shared" si="34"/>
        <v>0</v>
      </c>
      <c r="W101">
        <f t="shared" si="34"/>
        <v>0</v>
      </c>
      <c r="X101">
        <f t="shared" si="34"/>
        <v>0</v>
      </c>
      <c r="Y101">
        <f t="shared" si="34"/>
        <v>0</v>
      </c>
      <c r="Z101">
        <f t="shared" si="34"/>
        <v>0</v>
      </c>
      <c r="AA101">
        <f t="shared" si="34"/>
        <v>18.81</v>
      </c>
      <c r="AB101">
        <f t="shared" si="34"/>
        <v>6.3</v>
      </c>
      <c r="AC101">
        <f t="shared" si="34"/>
        <v>0</v>
      </c>
      <c r="AD101">
        <f t="shared" si="34"/>
        <v>20.61</v>
      </c>
      <c r="AE101">
        <f t="shared" si="34"/>
        <v>18</v>
      </c>
      <c r="AF101">
        <f t="shared" si="34"/>
        <v>0</v>
      </c>
      <c r="AG101">
        <f t="shared" si="34"/>
        <v>0</v>
      </c>
      <c r="AH101">
        <f t="shared" si="34"/>
        <v>0</v>
      </c>
      <c r="AI101">
        <f t="shared" si="34"/>
        <v>0</v>
      </c>
      <c r="AJ101">
        <f t="shared" si="34"/>
        <v>0</v>
      </c>
      <c r="AK101">
        <f t="shared" si="34"/>
        <v>2.7</v>
      </c>
      <c r="AL101">
        <f t="shared" si="34"/>
        <v>0</v>
      </c>
      <c r="AM101">
        <f t="shared" si="34"/>
        <v>1.08</v>
      </c>
      <c r="AN101">
        <f t="shared" si="34"/>
        <v>0</v>
      </c>
      <c r="AO101">
        <v>2019</v>
      </c>
    </row>
    <row r="102" spans="3:41">
      <c r="C102" t="s">
        <v>84</v>
      </c>
      <c r="D102" t="s">
        <v>64</v>
      </c>
      <c r="F102">
        <f>'attache--data--from'!D57</f>
        <v>0</v>
      </c>
      <c r="G102">
        <f>'attache--data--from'!E57</f>
        <v>25676</v>
      </c>
      <c r="H102">
        <f>'attache--data--from'!F57</f>
        <v>0</v>
      </c>
      <c r="I102">
        <f>'attache--data--from'!G57</f>
        <v>0</v>
      </c>
      <c r="J102">
        <f>'attache--data--from'!H57</f>
        <v>0</v>
      </c>
      <c r="K102">
        <f>'attache--data--from'!I57</f>
        <v>0</v>
      </c>
      <c r="L102">
        <f>'attache--data--from'!J57</f>
        <v>0</v>
      </c>
      <c r="M102">
        <f>'attache--data--from'!K57</f>
        <v>29710.8</v>
      </c>
      <c r="N102">
        <f>'attache--data--from'!L57</f>
        <v>0</v>
      </c>
      <c r="O102">
        <f>'attache--data--from'!M57</f>
        <v>0</v>
      </c>
      <c r="P102">
        <f>'attache--data--from'!N57</f>
        <v>0</v>
      </c>
      <c r="Q102">
        <f>'attache--data--from'!O57</f>
        <v>0</v>
      </c>
      <c r="R102">
        <f>'attache--data--from'!P57</f>
        <v>0</v>
      </c>
      <c r="S102">
        <f>'attache--data--from'!Q57</f>
        <v>0</v>
      </c>
      <c r="T102">
        <f>'attache--data--from'!R57</f>
        <v>0</v>
      </c>
      <c r="U102">
        <f>'attache--data--from'!S57</f>
        <v>3154.48</v>
      </c>
      <c r="V102">
        <f>'attache--data--from'!T57</f>
        <v>0</v>
      </c>
      <c r="W102">
        <f>'attache--data--from'!U57</f>
        <v>0</v>
      </c>
      <c r="X102">
        <f>'attache--data--from'!V57</f>
        <v>0</v>
      </c>
      <c r="Y102">
        <f>'attache--data--from'!W57</f>
        <v>28280.28</v>
      </c>
      <c r="Z102">
        <f>'attache--data--from'!X57</f>
        <v>0</v>
      </c>
      <c r="AA102">
        <f>'attache--data--from'!Y57</f>
        <v>2164.12</v>
      </c>
      <c r="AB102">
        <f>'attache--data--from'!Z57</f>
        <v>220.08</v>
      </c>
      <c r="AC102">
        <f>'attache--data--from'!AA57</f>
        <v>0</v>
      </c>
      <c r="AD102">
        <f>'attache--data--from'!AB57</f>
        <v>9500.12</v>
      </c>
      <c r="AE102">
        <f>'attache--data--from'!AC57</f>
        <v>5135.2</v>
      </c>
      <c r="AF102">
        <f>'attache--data--from'!AD57</f>
        <v>0</v>
      </c>
      <c r="AG102">
        <f>'attache--data--from'!AE57</f>
        <v>0</v>
      </c>
      <c r="AH102">
        <f>'attache--data--from'!AF57</f>
        <v>0</v>
      </c>
      <c r="AI102">
        <f>'attache--data--from'!AG57</f>
        <v>0</v>
      </c>
      <c r="AJ102">
        <f>'attache--data--from'!AH57</f>
        <v>0</v>
      </c>
      <c r="AK102">
        <f>'attache--data--from'!AI57</f>
        <v>2530.92</v>
      </c>
      <c r="AL102">
        <f>'attache--data--from'!AJ57</f>
        <v>0</v>
      </c>
      <c r="AM102">
        <f>'attache--data--from'!AK57</f>
        <v>0</v>
      </c>
      <c r="AN102">
        <f>'attache--data--from'!AL57</f>
        <v>0</v>
      </c>
      <c r="AO102">
        <v>2019</v>
      </c>
    </row>
    <row r="103" spans="3:41">
      <c r="C103" t="s">
        <v>84</v>
      </c>
      <c r="D103" t="s">
        <v>65</v>
      </c>
      <c r="E103" t="s">
        <v>15</v>
      </c>
      <c r="F103">
        <f>D10</f>
        <v>1</v>
      </c>
      <c r="G103">
        <f>F103</f>
        <v>1</v>
      </c>
      <c r="H103">
        <f t="shared" ref="H103:AN103" si="35">G103</f>
        <v>1</v>
      </c>
      <c r="I103">
        <f t="shared" si="35"/>
        <v>1</v>
      </c>
      <c r="J103">
        <f t="shared" si="35"/>
        <v>1</v>
      </c>
      <c r="K103">
        <f t="shared" si="35"/>
        <v>1</v>
      </c>
      <c r="L103">
        <f t="shared" si="35"/>
        <v>1</v>
      </c>
      <c r="M103">
        <f t="shared" si="35"/>
        <v>1</v>
      </c>
      <c r="N103">
        <f t="shared" si="35"/>
        <v>1</v>
      </c>
      <c r="O103">
        <f t="shared" si="35"/>
        <v>1</v>
      </c>
      <c r="P103">
        <f t="shared" si="35"/>
        <v>1</v>
      </c>
      <c r="Q103">
        <f t="shared" si="35"/>
        <v>1</v>
      </c>
      <c r="R103">
        <f t="shared" si="35"/>
        <v>1</v>
      </c>
      <c r="S103">
        <f t="shared" si="35"/>
        <v>1</v>
      </c>
      <c r="T103">
        <f t="shared" si="35"/>
        <v>1</v>
      </c>
      <c r="U103">
        <f t="shared" si="35"/>
        <v>1</v>
      </c>
      <c r="V103">
        <f t="shared" si="35"/>
        <v>1</v>
      </c>
      <c r="W103">
        <f t="shared" si="35"/>
        <v>1</v>
      </c>
      <c r="X103">
        <f t="shared" si="35"/>
        <v>1</v>
      </c>
      <c r="Y103">
        <f t="shared" si="35"/>
        <v>1</v>
      </c>
      <c r="Z103">
        <f t="shared" si="35"/>
        <v>1</v>
      </c>
      <c r="AA103">
        <f t="shared" si="35"/>
        <v>1</v>
      </c>
      <c r="AB103">
        <f t="shared" si="35"/>
        <v>1</v>
      </c>
      <c r="AC103">
        <f t="shared" si="35"/>
        <v>1</v>
      </c>
      <c r="AD103">
        <f t="shared" si="35"/>
        <v>1</v>
      </c>
      <c r="AE103">
        <f t="shared" si="35"/>
        <v>1</v>
      </c>
      <c r="AF103">
        <f t="shared" si="35"/>
        <v>1</v>
      </c>
      <c r="AG103">
        <f t="shared" si="35"/>
        <v>1</v>
      </c>
      <c r="AH103">
        <f t="shared" si="35"/>
        <v>1</v>
      </c>
      <c r="AI103">
        <f t="shared" si="35"/>
        <v>1</v>
      </c>
      <c r="AJ103">
        <f t="shared" si="35"/>
        <v>1</v>
      </c>
      <c r="AK103">
        <f t="shared" si="35"/>
        <v>1</v>
      </c>
      <c r="AL103">
        <f t="shared" si="35"/>
        <v>1</v>
      </c>
      <c r="AM103">
        <f t="shared" si="35"/>
        <v>1</v>
      </c>
      <c r="AN103">
        <f t="shared" si="35"/>
        <v>1</v>
      </c>
      <c r="AO103">
        <v>2019</v>
      </c>
    </row>
    <row r="104" spans="3:41">
      <c r="C104" t="s">
        <v>85</v>
      </c>
      <c r="D104" t="s">
        <v>63</v>
      </c>
      <c r="F104">
        <f>F124*4</f>
        <v>0</v>
      </c>
      <c r="G104">
        <f t="shared" ref="G104:AN104" si="36">G124*4</f>
        <v>680.4</v>
      </c>
      <c r="H104">
        <f t="shared" si="36"/>
        <v>0</v>
      </c>
      <c r="I104">
        <f t="shared" si="36"/>
        <v>1.8</v>
      </c>
      <c r="J104">
        <f t="shared" si="36"/>
        <v>0</v>
      </c>
      <c r="K104">
        <f t="shared" si="36"/>
        <v>0</v>
      </c>
      <c r="L104">
        <f t="shared" si="36"/>
        <v>244.8</v>
      </c>
      <c r="M104">
        <f t="shared" si="36"/>
        <v>4572</v>
      </c>
      <c r="N104">
        <f t="shared" si="36"/>
        <v>0</v>
      </c>
      <c r="O104">
        <f t="shared" si="36"/>
        <v>0</v>
      </c>
      <c r="P104">
        <f t="shared" si="36"/>
        <v>0</v>
      </c>
      <c r="Q104">
        <f t="shared" si="36"/>
        <v>0.72</v>
      </c>
      <c r="R104">
        <f t="shared" si="36"/>
        <v>0</v>
      </c>
      <c r="S104">
        <f t="shared" si="36"/>
        <v>0</v>
      </c>
      <c r="T104">
        <f t="shared" si="36"/>
        <v>0</v>
      </c>
      <c r="U104">
        <f t="shared" si="36"/>
        <v>100.8</v>
      </c>
      <c r="V104">
        <f t="shared" si="36"/>
        <v>0</v>
      </c>
      <c r="W104">
        <f t="shared" si="36"/>
        <v>0</v>
      </c>
      <c r="X104">
        <f t="shared" si="36"/>
        <v>0</v>
      </c>
      <c r="Y104">
        <f t="shared" si="36"/>
        <v>0</v>
      </c>
      <c r="Z104">
        <f t="shared" si="36"/>
        <v>0</v>
      </c>
      <c r="AA104">
        <f t="shared" si="36"/>
        <v>75.24</v>
      </c>
      <c r="AB104">
        <f t="shared" si="36"/>
        <v>25.2</v>
      </c>
      <c r="AC104">
        <f t="shared" si="36"/>
        <v>0</v>
      </c>
      <c r="AD104">
        <f t="shared" si="36"/>
        <v>82.44</v>
      </c>
      <c r="AE104">
        <f t="shared" si="36"/>
        <v>72</v>
      </c>
      <c r="AF104">
        <f t="shared" si="36"/>
        <v>0</v>
      </c>
      <c r="AG104">
        <f t="shared" si="36"/>
        <v>0</v>
      </c>
      <c r="AH104">
        <f t="shared" si="36"/>
        <v>0</v>
      </c>
      <c r="AI104">
        <f t="shared" si="36"/>
        <v>0</v>
      </c>
      <c r="AJ104">
        <f t="shared" si="36"/>
        <v>0</v>
      </c>
      <c r="AK104">
        <f t="shared" si="36"/>
        <v>10.8</v>
      </c>
      <c r="AL104">
        <f t="shared" si="36"/>
        <v>0</v>
      </c>
      <c r="AM104">
        <f t="shared" si="36"/>
        <v>4.32</v>
      </c>
      <c r="AN104">
        <f t="shared" si="36"/>
        <v>0</v>
      </c>
      <c r="AO104">
        <v>2019</v>
      </c>
    </row>
    <row r="105" spans="3:41">
      <c r="C105" t="s">
        <v>85</v>
      </c>
      <c r="D105" t="s">
        <v>64</v>
      </c>
      <c r="F105">
        <f>'attache--data--from'!D58</f>
        <v>0</v>
      </c>
      <c r="G105">
        <f>'attache--data--from'!E58</f>
        <v>30811.2</v>
      </c>
      <c r="H105">
        <f>'attache--data--from'!F58</f>
        <v>0</v>
      </c>
      <c r="I105">
        <f>'attache--data--from'!G58</f>
        <v>0</v>
      </c>
      <c r="J105">
        <f>'attache--data--from'!H58</f>
        <v>0</v>
      </c>
      <c r="K105">
        <f>'attache--data--from'!I58</f>
        <v>0</v>
      </c>
      <c r="L105">
        <f>'attache--data--from'!J58</f>
        <v>0</v>
      </c>
      <c r="M105">
        <f>'attache--data--from'!K58</f>
        <v>35652.96</v>
      </c>
      <c r="N105">
        <f>'attache--data--from'!L58</f>
        <v>0</v>
      </c>
      <c r="O105">
        <f>'attache--data--from'!M58</f>
        <v>0</v>
      </c>
      <c r="P105">
        <f>'attache--data--from'!N58</f>
        <v>0</v>
      </c>
      <c r="Q105">
        <f>'attache--data--from'!O58</f>
        <v>0</v>
      </c>
      <c r="R105">
        <f>'attache--data--from'!P58</f>
        <v>0</v>
      </c>
      <c r="S105">
        <f>'attache--data--from'!Q58</f>
        <v>0</v>
      </c>
      <c r="T105">
        <f>'attache--data--from'!R58</f>
        <v>0</v>
      </c>
      <c r="U105">
        <f>'attache--data--from'!S58</f>
        <v>3785.376</v>
      </c>
      <c r="V105">
        <f>'attache--data--from'!T58</f>
        <v>0</v>
      </c>
      <c r="W105">
        <f>'attache--data--from'!U58</f>
        <v>0</v>
      </c>
      <c r="X105">
        <f>'attache--data--from'!V58</f>
        <v>0</v>
      </c>
      <c r="Y105">
        <f>'attache--data--from'!W58</f>
        <v>33936.336</v>
      </c>
      <c r="Z105">
        <f>'attache--data--from'!X58</f>
        <v>0</v>
      </c>
      <c r="AA105">
        <f>'attache--data--from'!Y58</f>
        <v>2596.944</v>
      </c>
      <c r="AB105">
        <f>'attache--data--from'!Z58</f>
        <v>264.096</v>
      </c>
      <c r="AC105">
        <f>'attache--data--from'!AA58</f>
        <v>0</v>
      </c>
      <c r="AD105">
        <f>'attache--data--from'!AB58</f>
        <v>11400.144</v>
      </c>
      <c r="AE105">
        <f>'attache--data--from'!AC58</f>
        <v>6162.24</v>
      </c>
      <c r="AF105">
        <f>'attache--data--from'!AD58</f>
        <v>0</v>
      </c>
      <c r="AG105">
        <f>'attache--data--from'!AE58</f>
        <v>0</v>
      </c>
      <c r="AH105">
        <f>'attache--data--from'!AF58</f>
        <v>0</v>
      </c>
      <c r="AI105">
        <f>'attache--data--from'!AG58</f>
        <v>0</v>
      </c>
      <c r="AJ105">
        <f>'attache--data--from'!AH58</f>
        <v>0</v>
      </c>
      <c r="AK105">
        <f>'attache--data--from'!AI58</f>
        <v>3037.104</v>
      </c>
      <c r="AL105">
        <f>'attache--data--from'!AJ58</f>
        <v>0</v>
      </c>
      <c r="AM105">
        <f>'attache--data--from'!AK58</f>
        <v>0</v>
      </c>
      <c r="AN105">
        <f>'attache--data--from'!AL58</f>
        <v>0</v>
      </c>
      <c r="AO105">
        <v>2019</v>
      </c>
    </row>
    <row r="106" spans="3:41">
      <c r="C106" t="s">
        <v>85</v>
      </c>
      <c r="D106" t="s">
        <v>65</v>
      </c>
      <c r="E106" t="s">
        <v>15</v>
      </c>
      <c r="F106">
        <f>F103*2</f>
        <v>2</v>
      </c>
      <c r="G106">
        <f>F106</f>
        <v>2</v>
      </c>
      <c r="H106">
        <f t="shared" ref="H106:AN106" si="37">G106</f>
        <v>2</v>
      </c>
      <c r="I106">
        <f t="shared" si="37"/>
        <v>2</v>
      </c>
      <c r="J106">
        <f t="shared" si="37"/>
        <v>2</v>
      </c>
      <c r="K106">
        <f t="shared" si="37"/>
        <v>2</v>
      </c>
      <c r="L106">
        <f t="shared" si="37"/>
        <v>2</v>
      </c>
      <c r="M106">
        <f t="shared" si="37"/>
        <v>2</v>
      </c>
      <c r="N106">
        <f t="shared" si="37"/>
        <v>2</v>
      </c>
      <c r="O106">
        <f t="shared" si="37"/>
        <v>2</v>
      </c>
      <c r="P106">
        <f t="shared" si="37"/>
        <v>2</v>
      </c>
      <c r="Q106">
        <f t="shared" si="37"/>
        <v>2</v>
      </c>
      <c r="R106">
        <f t="shared" si="37"/>
        <v>2</v>
      </c>
      <c r="S106">
        <f t="shared" si="37"/>
        <v>2</v>
      </c>
      <c r="T106">
        <f t="shared" si="37"/>
        <v>2</v>
      </c>
      <c r="U106">
        <f t="shared" si="37"/>
        <v>2</v>
      </c>
      <c r="V106">
        <f t="shared" si="37"/>
        <v>2</v>
      </c>
      <c r="W106">
        <f t="shared" si="37"/>
        <v>2</v>
      </c>
      <c r="X106">
        <f t="shared" si="37"/>
        <v>2</v>
      </c>
      <c r="Y106">
        <f t="shared" si="37"/>
        <v>2</v>
      </c>
      <c r="Z106">
        <f t="shared" si="37"/>
        <v>2</v>
      </c>
      <c r="AA106">
        <f t="shared" si="37"/>
        <v>2</v>
      </c>
      <c r="AB106">
        <f t="shared" si="37"/>
        <v>2</v>
      </c>
      <c r="AC106">
        <f t="shared" si="37"/>
        <v>2</v>
      </c>
      <c r="AD106">
        <f t="shared" si="37"/>
        <v>2</v>
      </c>
      <c r="AE106">
        <f t="shared" si="37"/>
        <v>2</v>
      </c>
      <c r="AF106">
        <f t="shared" si="37"/>
        <v>2</v>
      </c>
      <c r="AG106">
        <f t="shared" si="37"/>
        <v>2</v>
      </c>
      <c r="AH106">
        <f t="shared" si="37"/>
        <v>2</v>
      </c>
      <c r="AI106">
        <f t="shared" si="37"/>
        <v>2</v>
      </c>
      <c r="AJ106">
        <f t="shared" si="37"/>
        <v>2</v>
      </c>
      <c r="AK106">
        <f t="shared" si="37"/>
        <v>2</v>
      </c>
      <c r="AL106">
        <f t="shared" si="37"/>
        <v>2</v>
      </c>
      <c r="AM106">
        <f t="shared" si="37"/>
        <v>2</v>
      </c>
      <c r="AN106">
        <f t="shared" si="37"/>
        <v>2</v>
      </c>
      <c r="AO106">
        <v>2019</v>
      </c>
    </row>
    <row r="107" spans="3:41">
      <c r="C107" t="s">
        <v>86</v>
      </c>
      <c r="D107" t="s">
        <v>63</v>
      </c>
      <c r="AO107">
        <v>2019</v>
      </c>
    </row>
    <row r="108" spans="3:41">
      <c r="C108" t="s">
        <v>86</v>
      </c>
      <c r="D108" t="s">
        <v>64</v>
      </c>
      <c r="F108">
        <f>'attache--data--from'!D59</f>
        <v>0</v>
      </c>
      <c r="G108">
        <f>'attache--data--from'!E59</f>
        <v>38514</v>
      </c>
      <c r="H108">
        <f>'attache--data--from'!F59</f>
        <v>0</v>
      </c>
      <c r="I108">
        <f>'attache--data--from'!G59</f>
        <v>0</v>
      </c>
      <c r="J108">
        <f>'attache--data--from'!H59</f>
        <v>0</v>
      </c>
      <c r="K108">
        <f>'attache--data--from'!I59</f>
        <v>0</v>
      </c>
      <c r="L108">
        <f>'attache--data--from'!J59</f>
        <v>0</v>
      </c>
      <c r="M108">
        <f>'attache--data--from'!K59</f>
        <v>44566.2</v>
      </c>
      <c r="N108">
        <f>'attache--data--from'!L59</f>
        <v>0</v>
      </c>
      <c r="O108">
        <f>'attache--data--from'!M59</f>
        <v>0</v>
      </c>
      <c r="P108">
        <f>'attache--data--from'!N59</f>
        <v>0</v>
      </c>
      <c r="Q108">
        <f>'attache--data--from'!O59</f>
        <v>0</v>
      </c>
      <c r="R108">
        <f>'attache--data--from'!P59</f>
        <v>0</v>
      </c>
      <c r="S108">
        <f>'attache--data--from'!Q59</f>
        <v>0</v>
      </c>
      <c r="T108">
        <f>'attache--data--from'!R59</f>
        <v>0</v>
      </c>
      <c r="U108">
        <f>'attache--data--from'!S59</f>
        <v>4731.72</v>
      </c>
      <c r="V108">
        <f>'attache--data--from'!T59</f>
        <v>0</v>
      </c>
      <c r="W108">
        <f>'attache--data--from'!U59</f>
        <v>0</v>
      </c>
      <c r="X108">
        <f>'attache--data--from'!V59</f>
        <v>0</v>
      </c>
      <c r="Y108">
        <f>'attache--data--from'!W59</f>
        <v>42420.42</v>
      </c>
      <c r="Z108">
        <f>'attache--data--from'!X59</f>
        <v>0</v>
      </c>
      <c r="AA108">
        <f>'attache--data--from'!Y59</f>
        <v>3246.18</v>
      </c>
      <c r="AB108">
        <f>'attache--data--from'!Z59</f>
        <v>330.12</v>
      </c>
      <c r="AC108">
        <f>'attache--data--from'!AA59</f>
        <v>0</v>
      </c>
      <c r="AD108">
        <f>'attache--data--from'!AB59</f>
        <v>14250.18</v>
      </c>
      <c r="AE108">
        <f>'attache--data--from'!AC59</f>
        <v>7702.8</v>
      </c>
      <c r="AF108">
        <f>'attache--data--from'!AD59</f>
        <v>0</v>
      </c>
      <c r="AG108">
        <f>'attache--data--from'!AE59</f>
        <v>0</v>
      </c>
      <c r="AH108">
        <f>'attache--data--from'!AF59</f>
        <v>0</v>
      </c>
      <c r="AI108">
        <f>'attache--data--from'!AG59</f>
        <v>0</v>
      </c>
      <c r="AJ108">
        <f>'attache--data--from'!AH59</f>
        <v>0</v>
      </c>
      <c r="AK108">
        <f>'attache--data--from'!AI59</f>
        <v>3796.38</v>
      </c>
      <c r="AL108">
        <f>'attache--data--from'!AJ59</f>
        <v>0</v>
      </c>
      <c r="AM108">
        <f>'attache--data--from'!AK59</f>
        <v>0</v>
      </c>
      <c r="AN108">
        <f>'attache--data--from'!AL59</f>
        <v>0</v>
      </c>
      <c r="AO108">
        <v>2019</v>
      </c>
    </row>
    <row r="109" spans="3:41">
      <c r="C109" t="s">
        <v>86</v>
      </c>
      <c r="D109" t="s">
        <v>65</v>
      </c>
      <c r="E109" t="s">
        <v>15</v>
      </c>
      <c r="F109">
        <f>F103*4</f>
        <v>4</v>
      </c>
      <c r="G109">
        <f>F109</f>
        <v>4</v>
      </c>
      <c r="H109">
        <f t="shared" ref="H109:AN109" si="38">G109</f>
        <v>4</v>
      </c>
      <c r="I109">
        <f t="shared" si="38"/>
        <v>4</v>
      </c>
      <c r="J109">
        <f t="shared" si="38"/>
        <v>4</v>
      </c>
      <c r="K109">
        <f t="shared" si="38"/>
        <v>4</v>
      </c>
      <c r="L109">
        <f t="shared" si="38"/>
        <v>4</v>
      </c>
      <c r="M109">
        <f t="shared" si="38"/>
        <v>4</v>
      </c>
      <c r="N109">
        <f t="shared" si="38"/>
        <v>4</v>
      </c>
      <c r="O109">
        <f t="shared" si="38"/>
        <v>4</v>
      </c>
      <c r="P109">
        <f t="shared" si="38"/>
        <v>4</v>
      </c>
      <c r="Q109">
        <f t="shared" si="38"/>
        <v>4</v>
      </c>
      <c r="R109">
        <f t="shared" si="38"/>
        <v>4</v>
      </c>
      <c r="S109">
        <f t="shared" si="38"/>
        <v>4</v>
      </c>
      <c r="T109">
        <f t="shared" si="38"/>
        <v>4</v>
      </c>
      <c r="U109">
        <f t="shared" si="38"/>
        <v>4</v>
      </c>
      <c r="V109">
        <f t="shared" si="38"/>
        <v>4</v>
      </c>
      <c r="W109">
        <f t="shared" si="38"/>
        <v>4</v>
      </c>
      <c r="X109">
        <f t="shared" si="38"/>
        <v>4</v>
      </c>
      <c r="Y109">
        <f t="shared" si="38"/>
        <v>4</v>
      </c>
      <c r="Z109">
        <f t="shared" si="38"/>
        <v>4</v>
      </c>
      <c r="AA109">
        <f t="shared" si="38"/>
        <v>4</v>
      </c>
      <c r="AB109">
        <f t="shared" si="38"/>
        <v>4</v>
      </c>
      <c r="AC109">
        <f t="shared" si="38"/>
        <v>4</v>
      </c>
      <c r="AD109">
        <f t="shared" si="38"/>
        <v>4</v>
      </c>
      <c r="AE109">
        <f t="shared" si="38"/>
        <v>4</v>
      </c>
      <c r="AF109">
        <f t="shared" si="38"/>
        <v>4</v>
      </c>
      <c r="AG109">
        <f t="shared" si="38"/>
        <v>4</v>
      </c>
      <c r="AH109">
        <f t="shared" si="38"/>
        <v>4</v>
      </c>
      <c r="AI109">
        <f t="shared" si="38"/>
        <v>4</v>
      </c>
      <c r="AJ109">
        <f t="shared" si="38"/>
        <v>4</v>
      </c>
      <c r="AK109">
        <f t="shared" si="38"/>
        <v>4</v>
      </c>
      <c r="AL109">
        <f t="shared" si="38"/>
        <v>4</v>
      </c>
      <c r="AM109">
        <f t="shared" si="38"/>
        <v>4</v>
      </c>
      <c r="AN109">
        <f t="shared" si="38"/>
        <v>4</v>
      </c>
      <c r="AO109">
        <v>2019</v>
      </c>
    </row>
    <row r="117" spans="3:40">
      <c r="C117" t="s">
        <v>87</v>
      </c>
      <c r="E117" s="32" t="s">
        <v>88</v>
      </c>
      <c r="F117" s="32" t="s">
        <v>26</v>
      </c>
      <c r="G117" s="32" t="s">
        <v>27</v>
      </c>
      <c r="H117" s="32" t="s">
        <v>28</v>
      </c>
      <c r="I117" s="32" t="s">
        <v>29</v>
      </c>
      <c r="J117" s="32" t="s">
        <v>30</v>
      </c>
      <c r="K117" s="32" t="s">
        <v>31</v>
      </c>
      <c r="L117" s="32" t="s">
        <v>32</v>
      </c>
      <c r="M117" s="32" t="s">
        <v>33</v>
      </c>
      <c r="N117" s="32" t="s">
        <v>34</v>
      </c>
      <c r="O117" s="32" t="s">
        <v>35</v>
      </c>
      <c r="P117" s="32" t="s">
        <v>36</v>
      </c>
      <c r="Q117" s="32" t="s">
        <v>37</v>
      </c>
      <c r="R117" s="32" t="s">
        <v>38</v>
      </c>
      <c r="S117" s="32" t="s">
        <v>39</v>
      </c>
      <c r="T117" s="32" t="s">
        <v>40</v>
      </c>
      <c r="U117" s="32" t="s">
        <v>41</v>
      </c>
      <c r="V117" s="32" t="s">
        <v>42</v>
      </c>
      <c r="W117" s="32" t="s">
        <v>43</v>
      </c>
      <c r="X117" s="32" t="s">
        <v>44</v>
      </c>
      <c r="Y117" s="32" t="s">
        <v>45</v>
      </c>
      <c r="Z117" s="32" t="s">
        <v>46</v>
      </c>
      <c r="AA117" s="32" t="s">
        <v>47</v>
      </c>
      <c r="AB117" s="32" t="s">
        <v>48</v>
      </c>
      <c r="AC117" s="32" t="s">
        <v>49</v>
      </c>
      <c r="AD117" s="32" t="s">
        <v>50</v>
      </c>
      <c r="AE117" s="32" t="s">
        <v>51</v>
      </c>
      <c r="AF117" s="32" t="s">
        <v>52</v>
      </c>
      <c r="AG117" s="32" t="s">
        <v>53</v>
      </c>
      <c r="AH117" s="32" t="s">
        <v>54</v>
      </c>
      <c r="AI117" s="32" t="s">
        <v>55</v>
      </c>
      <c r="AJ117" s="32" t="s">
        <v>56</v>
      </c>
      <c r="AK117" s="32" t="s">
        <v>57</v>
      </c>
      <c r="AL117" s="32" t="s">
        <v>58</v>
      </c>
      <c r="AM117" s="32" t="s">
        <v>59</v>
      </c>
      <c r="AN117" s="33" t="s">
        <v>60</v>
      </c>
    </row>
    <row r="118" spans="3:40">
      <c r="E118" s="32" t="s">
        <v>7</v>
      </c>
      <c r="F118" s="32">
        <v>0</v>
      </c>
      <c r="G118" s="32">
        <v>21.489</v>
      </c>
      <c r="H118" s="32">
        <v>76.56</v>
      </c>
      <c r="I118" s="32">
        <v>0</v>
      </c>
      <c r="J118" s="32">
        <v>0</v>
      </c>
      <c r="K118" s="32">
        <v>0</v>
      </c>
      <c r="L118" s="32">
        <v>8.7</v>
      </c>
      <c r="M118" s="32">
        <v>35.67</v>
      </c>
      <c r="N118" s="32">
        <v>0</v>
      </c>
      <c r="O118" s="32">
        <v>0</v>
      </c>
      <c r="P118" s="32">
        <v>0</v>
      </c>
      <c r="Q118" s="32">
        <v>0</v>
      </c>
      <c r="R118" s="32">
        <v>0</v>
      </c>
      <c r="S118" s="32">
        <v>0</v>
      </c>
      <c r="T118" s="32">
        <v>0</v>
      </c>
      <c r="U118" s="32">
        <v>0</v>
      </c>
      <c r="V118" s="32">
        <v>0</v>
      </c>
      <c r="W118" s="32">
        <v>0</v>
      </c>
      <c r="X118" s="32">
        <v>0</v>
      </c>
      <c r="Y118" s="32">
        <v>58.29</v>
      </c>
      <c r="Z118" s="32">
        <v>0</v>
      </c>
      <c r="AA118" s="32">
        <v>3.741</v>
      </c>
      <c r="AB118" s="32">
        <v>0</v>
      </c>
      <c r="AC118" s="32">
        <v>0</v>
      </c>
      <c r="AD118" s="32">
        <v>4.002</v>
      </c>
      <c r="AE118" s="32">
        <v>0</v>
      </c>
      <c r="AF118" s="32">
        <v>0</v>
      </c>
      <c r="AG118" s="32">
        <v>0</v>
      </c>
      <c r="AH118" s="32">
        <v>0.348</v>
      </c>
      <c r="AI118" s="32">
        <v>0</v>
      </c>
      <c r="AJ118" s="32">
        <v>0</v>
      </c>
      <c r="AK118" s="32">
        <v>0</v>
      </c>
      <c r="AL118" s="32">
        <v>0</v>
      </c>
      <c r="AM118" s="32">
        <v>0</v>
      </c>
      <c r="AN118" s="32">
        <v>0</v>
      </c>
    </row>
    <row r="119" spans="3:40">
      <c r="C119" t="s">
        <v>89</v>
      </c>
      <c r="E119" s="32" t="s">
        <v>10</v>
      </c>
      <c r="F119" s="32">
        <v>0</v>
      </c>
      <c r="G119" s="32">
        <v>0</v>
      </c>
      <c r="H119" s="32">
        <v>16.5</v>
      </c>
      <c r="I119" s="32">
        <v>0</v>
      </c>
      <c r="J119" s="32">
        <v>0</v>
      </c>
      <c r="K119" s="32">
        <v>0</v>
      </c>
      <c r="L119" s="32">
        <v>11.55</v>
      </c>
      <c r="M119" s="32">
        <v>18</v>
      </c>
      <c r="N119" s="32">
        <v>0</v>
      </c>
      <c r="O119" s="32">
        <v>0</v>
      </c>
      <c r="P119" s="32">
        <v>0</v>
      </c>
      <c r="Q119" s="32">
        <v>0</v>
      </c>
      <c r="R119" s="32">
        <v>0</v>
      </c>
      <c r="S119" s="32">
        <v>0</v>
      </c>
      <c r="T119" s="32">
        <v>0</v>
      </c>
      <c r="U119" s="32">
        <v>0</v>
      </c>
      <c r="V119" s="32">
        <v>0</v>
      </c>
      <c r="W119" s="32">
        <v>0</v>
      </c>
      <c r="X119" s="32">
        <v>0</v>
      </c>
      <c r="Y119" s="32">
        <v>0</v>
      </c>
      <c r="Z119" s="32">
        <v>0</v>
      </c>
      <c r="AA119" s="32">
        <v>29.7</v>
      </c>
      <c r="AB119" s="32">
        <v>0</v>
      </c>
      <c r="AC119" s="32">
        <v>0</v>
      </c>
      <c r="AD119" s="32">
        <v>447.75</v>
      </c>
      <c r="AE119" s="32">
        <v>31.5</v>
      </c>
      <c r="AF119" s="32">
        <v>0</v>
      </c>
      <c r="AG119" s="32">
        <v>0</v>
      </c>
      <c r="AH119" s="32">
        <v>0</v>
      </c>
      <c r="AI119" s="32">
        <v>0</v>
      </c>
      <c r="AJ119" s="32">
        <v>0</v>
      </c>
      <c r="AK119" s="32">
        <v>0</v>
      </c>
      <c r="AL119" s="32">
        <v>0</v>
      </c>
      <c r="AM119" s="32">
        <v>0</v>
      </c>
      <c r="AN119" s="32">
        <v>0</v>
      </c>
    </row>
    <row r="120" spans="3:40">
      <c r="E120" s="32" t="s">
        <v>12</v>
      </c>
      <c r="F120" s="32">
        <v>0</v>
      </c>
      <c r="G120" s="32">
        <v>169.176</v>
      </c>
      <c r="H120" s="32">
        <v>2.736</v>
      </c>
      <c r="I120" s="32">
        <v>0</v>
      </c>
      <c r="J120" s="32">
        <v>0</v>
      </c>
      <c r="K120" s="32">
        <v>0</v>
      </c>
      <c r="L120" s="32">
        <v>0</v>
      </c>
      <c r="M120" s="32">
        <v>0</v>
      </c>
      <c r="N120" s="32">
        <v>0</v>
      </c>
      <c r="O120" s="32">
        <v>0</v>
      </c>
      <c r="P120" s="32">
        <v>0</v>
      </c>
      <c r="Q120" s="32">
        <v>0</v>
      </c>
      <c r="R120" s="32">
        <v>0</v>
      </c>
      <c r="S120" s="32">
        <v>0</v>
      </c>
      <c r="T120" s="32">
        <v>0</v>
      </c>
      <c r="U120" s="32">
        <v>0</v>
      </c>
      <c r="V120" s="32">
        <v>0</v>
      </c>
      <c r="W120" s="32">
        <v>0</v>
      </c>
      <c r="X120" s="32">
        <v>0</v>
      </c>
      <c r="Y120" s="32">
        <v>2.66</v>
      </c>
      <c r="Z120" s="32">
        <v>0</v>
      </c>
      <c r="AA120" s="32">
        <v>3.648</v>
      </c>
      <c r="AB120" s="32">
        <v>0</v>
      </c>
      <c r="AC120" s="32">
        <v>0</v>
      </c>
      <c r="AD120" s="32">
        <v>33.288</v>
      </c>
      <c r="AE120" s="32">
        <v>6.612</v>
      </c>
      <c r="AF120" s="32">
        <v>0</v>
      </c>
      <c r="AG120" s="32">
        <v>0</v>
      </c>
      <c r="AH120" s="32">
        <v>0</v>
      </c>
      <c r="AI120" s="32">
        <v>0</v>
      </c>
      <c r="AJ120" s="32">
        <v>0</v>
      </c>
      <c r="AK120" s="32">
        <v>2.052</v>
      </c>
      <c r="AL120" s="32">
        <v>0</v>
      </c>
      <c r="AM120" s="32">
        <v>0</v>
      </c>
      <c r="AN120" s="32">
        <v>0</v>
      </c>
    </row>
    <row r="121" spans="3:40">
      <c r="C121" t="s">
        <v>90</v>
      </c>
      <c r="E121" s="32" t="s">
        <v>14</v>
      </c>
      <c r="F121" s="32">
        <v>0</v>
      </c>
      <c r="G121" s="32">
        <v>57.8</v>
      </c>
      <c r="H121" s="32">
        <v>28</v>
      </c>
      <c r="I121" s="32">
        <v>0</v>
      </c>
      <c r="J121" s="32">
        <v>0</v>
      </c>
      <c r="K121" s="32">
        <v>0</v>
      </c>
      <c r="L121" s="32">
        <v>5.9</v>
      </c>
      <c r="M121" s="32">
        <v>7.7</v>
      </c>
      <c r="N121" s="32">
        <v>0</v>
      </c>
      <c r="O121" s="32">
        <v>0</v>
      </c>
      <c r="P121" s="32">
        <v>0</v>
      </c>
      <c r="Q121" s="32">
        <v>0</v>
      </c>
      <c r="R121" s="32">
        <v>0</v>
      </c>
      <c r="S121" s="32">
        <v>0</v>
      </c>
      <c r="T121" s="32">
        <v>0</v>
      </c>
      <c r="U121" s="32">
        <v>8</v>
      </c>
      <c r="V121" s="32">
        <v>0</v>
      </c>
      <c r="W121" s="32">
        <v>0</v>
      </c>
      <c r="X121" s="32">
        <v>0</v>
      </c>
      <c r="Y121" s="32">
        <v>0</v>
      </c>
      <c r="Z121" s="32">
        <v>0</v>
      </c>
      <c r="AA121" s="32">
        <v>0</v>
      </c>
      <c r="AB121" s="32">
        <v>0</v>
      </c>
      <c r="AC121" s="32">
        <v>0</v>
      </c>
      <c r="AD121" s="32">
        <v>20.6</v>
      </c>
      <c r="AE121" s="32">
        <v>0</v>
      </c>
      <c r="AF121" s="32">
        <v>0</v>
      </c>
      <c r="AG121" s="32">
        <v>74</v>
      </c>
      <c r="AH121" s="32">
        <v>0</v>
      </c>
      <c r="AI121" s="32">
        <v>0</v>
      </c>
      <c r="AJ121" s="32">
        <v>0</v>
      </c>
      <c r="AK121" s="32">
        <v>0</v>
      </c>
      <c r="AL121" s="32">
        <v>0</v>
      </c>
      <c r="AM121" s="32">
        <v>0</v>
      </c>
      <c r="AN121" s="32">
        <v>0</v>
      </c>
    </row>
    <row r="122" spans="3:40">
      <c r="E122" s="32" t="s">
        <v>16</v>
      </c>
      <c r="F122" s="32">
        <v>0</v>
      </c>
      <c r="G122" s="32">
        <v>3.18</v>
      </c>
      <c r="H122" s="32">
        <v>190.44</v>
      </c>
      <c r="I122" s="32">
        <v>0</v>
      </c>
      <c r="J122" s="32">
        <v>0</v>
      </c>
      <c r="K122" s="32">
        <v>0</v>
      </c>
      <c r="L122" s="32">
        <v>116.38</v>
      </c>
      <c r="M122" s="32">
        <v>888.72</v>
      </c>
      <c r="N122" s="32">
        <v>0</v>
      </c>
      <c r="O122" s="32">
        <v>0</v>
      </c>
      <c r="P122" s="32">
        <v>0</v>
      </c>
      <c r="Q122" s="32">
        <v>10.16</v>
      </c>
      <c r="R122" s="32">
        <v>9.1</v>
      </c>
      <c r="S122" s="32">
        <v>0</v>
      </c>
      <c r="T122" s="32">
        <v>0</v>
      </c>
      <c r="U122" s="32">
        <v>80.4</v>
      </c>
      <c r="V122" s="32">
        <v>16.92</v>
      </c>
      <c r="W122" s="32">
        <v>0</v>
      </c>
      <c r="X122" s="32">
        <v>0</v>
      </c>
      <c r="Y122" s="32">
        <v>0</v>
      </c>
      <c r="Z122" s="32">
        <v>25.4</v>
      </c>
      <c r="AA122" s="32">
        <v>23.5</v>
      </c>
      <c r="AB122" s="32">
        <v>0</v>
      </c>
      <c r="AC122" s="32">
        <v>0</v>
      </c>
      <c r="AD122" s="32">
        <v>60.3</v>
      </c>
      <c r="AE122" s="32">
        <v>30.68</v>
      </c>
      <c r="AF122" s="32">
        <v>19.04</v>
      </c>
      <c r="AG122" s="32">
        <v>0</v>
      </c>
      <c r="AH122" s="32">
        <v>8.68</v>
      </c>
      <c r="AI122" s="32">
        <v>0</v>
      </c>
      <c r="AJ122" s="32">
        <v>0</v>
      </c>
      <c r="AK122" s="32">
        <v>3.38</v>
      </c>
      <c r="AL122" s="32">
        <v>0</v>
      </c>
      <c r="AM122" s="32">
        <v>0</v>
      </c>
      <c r="AN122" s="32">
        <v>0</v>
      </c>
    </row>
    <row r="123" spans="3:40">
      <c r="E123" s="32" t="s">
        <v>17</v>
      </c>
      <c r="F123" s="32">
        <v>0</v>
      </c>
      <c r="G123" s="32">
        <v>99.5</v>
      </c>
      <c r="H123" s="32">
        <v>20</v>
      </c>
      <c r="I123" s="32">
        <v>0</v>
      </c>
      <c r="J123" s="32">
        <v>0</v>
      </c>
      <c r="K123" s="32">
        <v>0</v>
      </c>
      <c r="L123" s="32">
        <v>0</v>
      </c>
      <c r="M123" s="32">
        <v>45</v>
      </c>
      <c r="N123" s="32">
        <v>0</v>
      </c>
      <c r="O123" s="32">
        <v>0</v>
      </c>
      <c r="P123" s="32">
        <v>0</v>
      </c>
      <c r="Q123" s="32">
        <v>0</v>
      </c>
      <c r="R123" s="32">
        <v>0</v>
      </c>
      <c r="S123" s="32">
        <v>0</v>
      </c>
      <c r="T123" s="32">
        <v>0</v>
      </c>
      <c r="U123" s="32">
        <v>0.75</v>
      </c>
      <c r="V123" s="32">
        <v>0</v>
      </c>
      <c r="W123" s="32">
        <v>0</v>
      </c>
      <c r="X123" s="32">
        <v>0</v>
      </c>
      <c r="Y123" s="32">
        <v>197.5</v>
      </c>
      <c r="Z123" s="32">
        <v>0</v>
      </c>
      <c r="AA123" s="32">
        <v>56.25</v>
      </c>
      <c r="AB123" s="32">
        <v>0</v>
      </c>
      <c r="AC123" s="32">
        <v>10.25</v>
      </c>
      <c r="AD123" s="32">
        <v>117.5</v>
      </c>
      <c r="AE123" s="32">
        <v>23.25</v>
      </c>
      <c r="AF123" s="32">
        <v>0</v>
      </c>
      <c r="AG123" s="32">
        <v>0</v>
      </c>
      <c r="AH123" s="32">
        <v>0</v>
      </c>
      <c r="AI123" s="32">
        <v>0</v>
      </c>
      <c r="AJ123" s="32">
        <v>0</v>
      </c>
      <c r="AK123" s="32">
        <v>0</v>
      </c>
      <c r="AL123" s="32">
        <v>0</v>
      </c>
      <c r="AM123" s="32">
        <v>0</v>
      </c>
      <c r="AN123" s="32">
        <v>0</v>
      </c>
    </row>
    <row r="124" spans="3:40">
      <c r="E124" s="32" t="s">
        <v>18</v>
      </c>
      <c r="F124" s="32">
        <v>0</v>
      </c>
      <c r="G124" s="32">
        <v>170.1</v>
      </c>
      <c r="H124" s="32">
        <v>0</v>
      </c>
      <c r="I124" s="32">
        <v>0.45</v>
      </c>
      <c r="J124" s="32">
        <v>0</v>
      </c>
      <c r="K124" s="32">
        <v>0</v>
      </c>
      <c r="L124" s="32">
        <v>61.2</v>
      </c>
      <c r="M124" s="32">
        <v>1143</v>
      </c>
      <c r="N124" s="32">
        <v>0</v>
      </c>
      <c r="O124" s="32">
        <v>0</v>
      </c>
      <c r="P124" s="32">
        <v>0</v>
      </c>
      <c r="Q124" s="32">
        <v>0.18</v>
      </c>
      <c r="R124" s="32">
        <v>0</v>
      </c>
      <c r="S124" s="32">
        <v>0</v>
      </c>
      <c r="T124" s="32">
        <v>0</v>
      </c>
      <c r="U124" s="32">
        <v>25.2</v>
      </c>
      <c r="V124" s="32">
        <v>0</v>
      </c>
      <c r="W124" s="32">
        <v>0</v>
      </c>
      <c r="X124" s="32">
        <v>0</v>
      </c>
      <c r="Y124" s="32">
        <v>0</v>
      </c>
      <c r="Z124" s="32">
        <v>0</v>
      </c>
      <c r="AA124" s="32">
        <v>18.81</v>
      </c>
      <c r="AB124" s="32">
        <v>6.3</v>
      </c>
      <c r="AC124" s="32">
        <v>0</v>
      </c>
      <c r="AD124" s="32">
        <v>20.61</v>
      </c>
      <c r="AE124" s="32">
        <v>18</v>
      </c>
      <c r="AF124" s="32">
        <v>0</v>
      </c>
      <c r="AG124" s="32">
        <v>0</v>
      </c>
      <c r="AH124" s="32">
        <v>0</v>
      </c>
      <c r="AI124" s="32">
        <v>0</v>
      </c>
      <c r="AJ124" s="32">
        <v>0</v>
      </c>
      <c r="AK124" s="32">
        <v>2.7</v>
      </c>
      <c r="AL124" s="32">
        <v>0</v>
      </c>
      <c r="AM124" s="32">
        <v>1.08</v>
      </c>
      <c r="AN124" s="32">
        <v>0</v>
      </c>
    </row>
    <row r="128" spans="3:40">
      <c r="C128" t="s">
        <v>91</v>
      </c>
    </row>
    <row r="130" spans="3:3">
      <c r="C130" t="s">
        <v>92</v>
      </c>
    </row>
    <row r="141" spans="3:3">
      <c r="C141" t="s">
        <v>93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119" zoomScaleNormal="119" topLeftCell="A8" workbookViewId="0">
      <selection activeCell="I17" sqref="I17"/>
    </sheetView>
  </sheetViews>
  <sheetFormatPr defaultColWidth="8.72727272727273" defaultRowHeight="14.5"/>
  <cols>
    <col min="1" max="1" width="114.090909090909" customWidth="1"/>
  </cols>
  <sheetData>
    <row r="1" ht="18" spans="1:40">
      <c r="A1" s="1" t="s">
        <v>94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3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>
      <c r="A4" s="4" t="s">
        <v>96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>
      <c r="A5" s="5" t="s">
        <v>97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>
      <c r="A6" s="5" t="s">
        <v>98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>
      <c r="A7" s="5" t="s">
        <v>99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>
      <c r="A8" s="5" t="s">
        <v>100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>
      <c r="A10" s="6" t="s">
        <v>101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46" spans="1:40">
      <c r="A11" s="7" t="s">
        <v>102</v>
      </c>
      <c r="B11" s="7" t="s">
        <v>103</v>
      </c>
      <c r="C11" s="7" t="s">
        <v>104</v>
      </c>
      <c r="D11" s="7" t="s">
        <v>105</v>
      </c>
      <c r="E11" s="7" t="s">
        <v>106</v>
      </c>
      <c r="F11" s="7" t="s">
        <v>107</v>
      </c>
      <c r="G11" s="7" t="s">
        <v>108</v>
      </c>
      <c r="H11" s="7" t="s">
        <v>109</v>
      </c>
      <c r="I11" s="7" t="s">
        <v>110</v>
      </c>
      <c r="J11" s="7" t="s">
        <v>111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>
      <c r="A12" s="8" t="s">
        <v>112</v>
      </c>
      <c r="B12" s="9" t="s">
        <v>0</v>
      </c>
      <c r="C12" s="9" t="s">
        <v>113</v>
      </c>
      <c r="D12" s="10">
        <v>30000</v>
      </c>
      <c r="E12" s="9" t="s">
        <v>114</v>
      </c>
      <c r="F12" s="11">
        <v>0.4</v>
      </c>
      <c r="G12" s="12">
        <f t="shared" ref="G12:G17" si="0">D12*F12</f>
        <v>12000</v>
      </c>
      <c r="H12" s="13">
        <v>0.87</v>
      </c>
      <c r="I12" s="14">
        <v>1.5</v>
      </c>
      <c r="J12" s="14">
        <v>2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>
      <c r="A13" s="15" t="s">
        <v>115</v>
      </c>
      <c r="B13" s="16" t="s">
        <v>6</v>
      </c>
      <c r="C13" s="16" t="s">
        <v>116</v>
      </c>
      <c r="D13" s="17">
        <v>11000</v>
      </c>
      <c r="E13" s="16" t="s">
        <v>114</v>
      </c>
      <c r="F13" s="11">
        <v>0.4</v>
      </c>
      <c r="G13" s="18">
        <f t="shared" si="0"/>
        <v>4400</v>
      </c>
      <c r="H13" s="13">
        <v>0.759</v>
      </c>
      <c r="I13" s="14">
        <v>1</v>
      </c>
      <c r="J13" s="14">
        <v>1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>
      <c r="A14" s="8" t="s">
        <v>117</v>
      </c>
      <c r="B14" s="9" t="s">
        <v>2</v>
      </c>
      <c r="C14" s="9" t="s">
        <v>118</v>
      </c>
      <c r="D14" s="10">
        <v>130000</v>
      </c>
      <c r="E14" s="9" t="s">
        <v>114</v>
      </c>
      <c r="F14" s="11">
        <v>0.4</v>
      </c>
      <c r="G14" s="12">
        <f t="shared" si="0"/>
        <v>52000</v>
      </c>
      <c r="H14" s="13">
        <v>0.154</v>
      </c>
      <c r="I14" s="14">
        <v>1</v>
      </c>
      <c r="J14" s="14">
        <v>1.5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>
      <c r="A15" s="15" t="s">
        <v>119</v>
      </c>
      <c r="B15" s="16" t="s">
        <v>9</v>
      </c>
      <c r="C15" s="16" t="s">
        <v>120</v>
      </c>
      <c r="D15" s="17">
        <v>1700</v>
      </c>
      <c r="E15" s="16" t="s">
        <v>121</v>
      </c>
      <c r="F15" s="11">
        <v>0.4</v>
      </c>
      <c r="G15" s="18">
        <f t="shared" si="0"/>
        <v>680</v>
      </c>
      <c r="H15" s="13">
        <v>0.01</v>
      </c>
      <c r="I15" s="14">
        <v>1.3</v>
      </c>
      <c r="J15" s="14">
        <v>2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>
      <c r="A16" s="8" t="s">
        <v>122</v>
      </c>
      <c r="B16" s="9" t="s">
        <v>13</v>
      </c>
      <c r="C16" s="9" t="s">
        <v>123</v>
      </c>
      <c r="D16" s="10">
        <v>980</v>
      </c>
      <c r="E16" s="9" t="s">
        <v>121</v>
      </c>
      <c r="F16" s="11">
        <v>0.4</v>
      </c>
      <c r="G16" s="12">
        <f t="shared" si="0"/>
        <v>392</v>
      </c>
      <c r="H16" s="13">
        <v>0.026</v>
      </c>
      <c r="I16" s="14">
        <v>1</v>
      </c>
      <c r="J16" s="14">
        <v>3.5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>
      <c r="A17" s="15" t="s">
        <v>124</v>
      </c>
      <c r="B17" s="16" t="s">
        <v>15</v>
      </c>
      <c r="C17" s="16" t="s">
        <v>125</v>
      </c>
      <c r="D17" s="17">
        <v>290000</v>
      </c>
      <c r="E17" s="16" t="s">
        <v>114</v>
      </c>
      <c r="F17" s="11">
        <v>0.4</v>
      </c>
      <c r="G17" s="18">
        <f t="shared" si="0"/>
        <v>116000</v>
      </c>
      <c r="H17" s="13">
        <v>0.917</v>
      </c>
      <c r="I17" s="14">
        <v>1.2</v>
      </c>
      <c r="J17" s="14">
        <v>1.5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>
      <c r="A18" s="3" t="s">
        <v>126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>
      <c r="A19" s="3" t="s">
        <v>127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>
      <c r="A20" s="3" t="s">
        <v>128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>
      <c r="A21" s="3" t="s">
        <v>129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>
      <c r="A23" s="6" t="s">
        <v>130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3" spans="1:40">
      <c r="A24" s="7" t="s">
        <v>102</v>
      </c>
      <c r="B24" s="7" t="s">
        <v>131</v>
      </c>
      <c r="C24" s="7" t="s">
        <v>132</v>
      </c>
      <c r="D24" s="7" t="s">
        <v>26</v>
      </c>
      <c r="E24" s="7" t="s">
        <v>27</v>
      </c>
      <c r="F24" s="7" t="s">
        <v>28</v>
      </c>
      <c r="G24" s="7" t="s">
        <v>29</v>
      </c>
      <c r="H24" s="7" t="s">
        <v>30</v>
      </c>
      <c r="I24" s="7" t="s">
        <v>31</v>
      </c>
      <c r="J24" s="7" t="s">
        <v>32</v>
      </c>
      <c r="K24" s="7" t="s">
        <v>33</v>
      </c>
      <c r="L24" s="7" t="s">
        <v>34</v>
      </c>
      <c r="M24" s="7" t="s">
        <v>35</v>
      </c>
      <c r="N24" s="7" t="s">
        <v>36</v>
      </c>
      <c r="O24" s="7" t="s">
        <v>37</v>
      </c>
      <c r="P24" s="7" t="s">
        <v>38</v>
      </c>
      <c r="Q24" s="7" t="s">
        <v>39</v>
      </c>
      <c r="R24" s="7" t="s">
        <v>40</v>
      </c>
      <c r="S24" s="7" t="s">
        <v>41</v>
      </c>
      <c r="T24" s="7" t="s">
        <v>42</v>
      </c>
      <c r="U24" s="7" t="s">
        <v>43</v>
      </c>
      <c r="V24" s="7" t="s">
        <v>44</v>
      </c>
      <c r="W24" s="7" t="s">
        <v>45</v>
      </c>
      <c r="X24" s="7" t="s">
        <v>46</v>
      </c>
      <c r="Y24" s="7" t="s">
        <v>47</v>
      </c>
      <c r="Z24" s="7" t="s">
        <v>48</v>
      </c>
      <c r="AA24" s="7" t="s">
        <v>49</v>
      </c>
      <c r="AB24" s="7" t="s">
        <v>50</v>
      </c>
      <c r="AC24" s="7" t="s">
        <v>51</v>
      </c>
      <c r="AD24" s="7" t="s">
        <v>52</v>
      </c>
      <c r="AE24" s="7" t="s">
        <v>53</v>
      </c>
      <c r="AF24" s="7" t="s">
        <v>54</v>
      </c>
      <c r="AG24" s="7" t="s">
        <v>55</v>
      </c>
      <c r="AH24" s="7" t="s">
        <v>56</v>
      </c>
      <c r="AI24" s="7" t="s">
        <v>57</v>
      </c>
      <c r="AJ24" s="7" t="s">
        <v>58</v>
      </c>
      <c r="AK24" s="7" t="s">
        <v>59</v>
      </c>
      <c r="AL24" s="7" t="s">
        <v>60</v>
      </c>
      <c r="AM24" s="2"/>
      <c r="AN24" s="2"/>
    </row>
    <row r="25" spans="1:40">
      <c r="A25" s="15" t="s">
        <v>112</v>
      </c>
      <c r="B25" s="15" t="s">
        <v>114</v>
      </c>
      <c r="C25" s="19">
        <f t="shared" ref="C25:C30" si="1">SUM(D25:AL25)</f>
        <v>30000</v>
      </c>
      <c r="D25" s="10">
        <v>0</v>
      </c>
      <c r="E25" s="10">
        <v>494</v>
      </c>
      <c r="F25" s="10">
        <v>7000</v>
      </c>
      <c r="G25" s="10">
        <v>0</v>
      </c>
      <c r="H25" s="10">
        <v>0</v>
      </c>
      <c r="I25" s="10">
        <v>0</v>
      </c>
      <c r="J25" s="10">
        <v>0</v>
      </c>
      <c r="K25" s="10">
        <v>3000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13690</v>
      </c>
      <c r="X25" s="10">
        <v>0</v>
      </c>
      <c r="Y25" s="10">
        <v>3000</v>
      </c>
      <c r="Z25" s="10">
        <v>0</v>
      </c>
      <c r="AA25" s="10">
        <v>0</v>
      </c>
      <c r="AB25" s="20">
        <f>MAX(0,$D$12-(D25+E25+F25+G25+H25+I25+J25+K25+L25+M25+N25+O25+P25+Q25+R25+S25+T25+U25+V25+W25+X25+Y25+Z25+AA25+AC25+AD25+AE25+AF25+AG25+AH25+AI25+AJ25+AK25+AL25))</f>
        <v>2756</v>
      </c>
      <c r="AC25" s="10">
        <v>0</v>
      </c>
      <c r="AD25" s="10">
        <v>0</v>
      </c>
      <c r="AE25" s="10">
        <v>0</v>
      </c>
      <c r="AF25" s="10">
        <v>60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2"/>
      <c r="AN25" s="2"/>
    </row>
    <row r="26" spans="1:40">
      <c r="A26" s="15" t="s">
        <v>115</v>
      </c>
      <c r="B26" s="15" t="s">
        <v>114</v>
      </c>
      <c r="C26" s="19">
        <f t="shared" si="1"/>
        <v>11000</v>
      </c>
      <c r="D26" s="17">
        <v>0</v>
      </c>
      <c r="E26" s="17">
        <v>6100</v>
      </c>
      <c r="F26" s="17">
        <v>1700</v>
      </c>
      <c r="G26" s="17">
        <v>0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Q26" s="17">
        <v>0</v>
      </c>
      <c r="R26" s="17">
        <v>0</v>
      </c>
      <c r="S26" s="17">
        <v>0</v>
      </c>
      <c r="T26" s="17">
        <v>0</v>
      </c>
      <c r="U26" s="17">
        <v>0</v>
      </c>
      <c r="V26" s="17">
        <v>0</v>
      </c>
      <c r="W26" s="17">
        <v>500</v>
      </c>
      <c r="X26" s="17">
        <v>0</v>
      </c>
      <c r="Y26" s="17">
        <v>290</v>
      </c>
      <c r="Z26" s="17">
        <v>0</v>
      </c>
      <c r="AA26" s="17">
        <v>0</v>
      </c>
      <c r="AB26" s="20">
        <f>MAX(0,$D$13-(D26+E26+F26+G26+H26+I26+J26+K26+L26+M26+N26+O26+P26+Q26+R26+S26+T26+U26+V26+W26+X26+Y26+Z26+AA26+AC26+AD26+AE26+AF26+AG26+AH26+AI26+AJ26+AK26+AL26))</f>
        <v>2069</v>
      </c>
      <c r="AC26" s="17">
        <v>250</v>
      </c>
      <c r="AD26" s="17">
        <v>0</v>
      </c>
      <c r="AE26" s="17">
        <v>0</v>
      </c>
      <c r="AF26" s="17">
        <v>0</v>
      </c>
      <c r="AG26" s="17">
        <v>0</v>
      </c>
      <c r="AH26" s="17">
        <v>0</v>
      </c>
      <c r="AI26" s="17">
        <v>91</v>
      </c>
      <c r="AJ26" s="17">
        <v>0</v>
      </c>
      <c r="AK26" s="17">
        <v>0</v>
      </c>
      <c r="AL26" s="17">
        <v>0</v>
      </c>
      <c r="AM26" s="2"/>
      <c r="AN26" s="2"/>
    </row>
    <row r="27" spans="1:40">
      <c r="A27" s="15" t="s">
        <v>117</v>
      </c>
      <c r="B27" s="15" t="s">
        <v>114</v>
      </c>
      <c r="C27" s="19">
        <f t="shared" si="1"/>
        <v>130000</v>
      </c>
      <c r="D27" s="10">
        <v>0</v>
      </c>
      <c r="E27" s="10">
        <v>0</v>
      </c>
      <c r="F27" s="10">
        <v>24000</v>
      </c>
      <c r="G27" s="10">
        <v>0</v>
      </c>
      <c r="H27" s="10">
        <v>0</v>
      </c>
      <c r="I27" s="10">
        <v>0</v>
      </c>
      <c r="J27" s="10">
        <v>0</v>
      </c>
      <c r="K27" s="10">
        <v>4400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16000</v>
      </c>
      <c r="X27" s="10">
        <v>0</v>
      </c>
      <c r="Y27" s="10">
        <v>2510</v>
      </c>
      <c r="Z27" s="10">
        <v>0</v>
      </c>
      <c r="AA27" s="10">
        <v>0</v>
      </c>
      <c r="AB27" s="20">
        <f>MAX(0,$D$14-(D27+E27+F27+G27+H27+I27+J27+K27+L27+M27+N27+O27+P27+Q27+R27+S27+T27+U27+V27+W27+X27+Y27+Z27+AA27+AC27+AD27+AE27+AF27+AG27+AH27+AI27+AJ27+AK27+AL27))</f>
        <v>74790</v>
      </c>
      <c r="AC27" s="10">
        <v>8300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2"/>
      <c r="AN27" s="2"/>
    </row>
    <row r="28" spans="1:40">
      <c r="A28" s="15" t="s">
        <v>119</v>
      </c>
      <c r="B28" s="15" t="s">
        <v>121</v>
      </c>
      <c r="C28" s="19">
        <f t="shared" si="1"/>
        <v>1718</v>
      </c>
      <c r="D28" s="17">
        <v>0</v>
      </c>
      <c r="E28" s="17">
        <v>74</v>
      </c>
      <c r="F28" s="17">
        <v>500</v>
      </c>
      <c r="G28" s="17">
        <v>0</v>
      </c>
      <c r="H28" s="17">
        <v>0</v>
      </c>
      <c r="I28" s="17">
        <v>0</v>
      </c>
      <c r="J28" s="17">
        <v>0</v>
      </c>
      <c r="K28" s="17">
        <v>280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0</v>
      </c>
      <c r="S28" s="17">
        <v>34</v>
      </c>
      <c r="T28" s="17">
        <v>0</v>
      </c>
      <c r="U28" s="17">
        <v>0</v>
      </c>
      <c r="V28" s="17">
        <v>0</v>
      </c>
      <c r="W28" s="17">
        <v>270</v>
      </c>
      <c r="X28" s="17">
        <v>0</v>
      </c>
      <c r="Y28" s="17">
        <v>0</v>
      </c>
      <c r="Z28" s="17">
        <v>0</v>
      </c>
      <c r="AA28" s="17">
        <v>0</v>
      </c>
      <c r="AB28" s="20">
        <f>MAX(0,$D$15-(D28+E28+F28+G28+H28+I28+J28+K28+L28+M28+N28+O28+P28+Q28+R28+S28+T28+U28+V28+W28+X28+Y28+Z28+AA28+AC28+AD28+AE28+AF28+AG28+AH28+AI28+AJ28+AK28+AL28))</f>
        <v>0</v>
      </c>
      <c r="AC28" s="17">
        <v>0</v>
      </c>
      <c r="AD28" s="17">
        <v>0</v>
      </c>
      <c r="AE28" s="17">
        <v>560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2"/>
      <c r="AN28" s="2"/>
    </row>
    <row r="29" spans="1:40">
      <c r="A29" s="15" t="s">
        <v>122</v>
      </c>
      <c r="B29" s="15" t="s">
        <v>121</v>
      </c>
      <c r="C29" s="19">
        <f t="shared" si="1"/>
        <v>980</v>
      </c>
      <c r="D29" s="10">
        <v>0</v>
      </c>
      <c r="E29" s="10">
        <v>101</v>
      </c>
      <c r="F29" s="10">
        <v>100</v>
      </c>
      <c r="G29" s="10">
        <v>0</v>
      </c>
      <c r="H29" s="10">
        <v>0</v>
      </c>
      <c r="I29" s="10">
        <v>0</v>
      </c>
      <c r="J29" s="10">
        <v>0</v>
      </c>
      <c r="K29" s="10">
        <v>41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2.2</v>
      </c>
      <c r="T29" s="10">
        <v>0</v>
      </c>
      <c r="U29" s="10">
        <v>0</v>
      </c>
      <c r="V29" s="10">
        <v>0</v>
      </c>
      <c r="W29" s="10">
        <v>290</v>
      </c>
      <c r="X29" s="10">
        <v>0</v>
      </c>
      <c r="Y29" s="10">
        <v>108.3</v>
      </c>
      <c r="Z29" s="10">
        <v>0</v>
      </c>
      <c r="AA29" s="10">
        <v>34</v>
      </c>
      <c r="AB29" s="20">
        <f>MAX(0,$D$16-(D29+E29+F29+G29+H29+I29+J29+K29+L29+M29+N29+O29+P29+Q29+R29+S29+T29+U29+V29+W29+X29+Y29+Z29+AA29+AC29+AD29+AE29+AF29+AG29+AH29+AI29+AJ29+AK29+AL29))</f>
        <v>223.5</v>
      </c>
      <c r="AC29" s="10">
        <v>80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2"/>
      <c r="AN29" s="2"/>
    </row>
    <row r="30" spans="1:40">
      <c r="A30" s="15" t="s">
        <v>124</v>
      </c>
      <c r="B30" s="15" t="s">
        <v>114</v>
      </c>
      <c r="C30" s="19">
        <f t="shared" si="1"/>
        <v>290000</v>
      </c>
      <c r="D30" s="17">
        <v>0</v>
      </c>
      <c r="E30" s="17">
        <v>70000</v>
      </c>
      <c r="F30" s="17">
        <v>0</v>
      </c>
      <c r="G30" s="17">
        <v>0</v>
      </c>
      <c r="H30" s="17">
        <v>0</v>
      </c>
      <c r="I30" s="17">
        <v>0</v>
      </c>
      <c r="J30" s="17">
        <v>0</v>
      </c>
      <c r="K30" s="17">
        <v>81000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8600</v>
      </c>
      <c r="T30" s="17">
        <v>0</v>
      </c>
      <c r="U30" s="17">
        <v>0</v>
      </c>
      <c r="V30" s="17">
        <v>0</v>
      </c>
      <c r="W30" s="17">
        <v>77100</v>
      </c>
      <c r="X30" s="17">
        <v>0</v>
      </c>
      <c r="Y30" s="17">
        <v>5900</v>
      </c>
      <c r="Z30" s="17">
        <v>600</v>
      </c>
      <c r="AA30" s="17">
        <v>0</v>
      </c>
      <c r="AB30" s="20">
        <f>MAX(0,$D$17-(D30+E30+F30+G30+H30+I30+J30+K30+L30+M30+N30+O30+P30+Q30+R30+S30+T30+U30+V30+W30+X30+Y30+Z30+AA30+AC30+AD30+AE30+AF30+AG30+AH30+AI30+AJ30+AK30+AL30))</f>
        <v>25900</v>
      </c>
      <c r="AC30" s="17">
        <v>14000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6900</v>
      </c>
      <c r="AJ30" s="17">
        <v>0</v>
      </c>
      <c r="AK30" s="17">
        <v>0</v>
      </c>
      <c r="AL30" s="17">
        <v>0</v>
      </c>
      <c r="AM30" s="2"/>
      <c r="AN30" s="2"/>
    </row>
    <row r="31" spans="1:40">
      <c r="A31" s="3" t="s">
        <v>133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>
      <c r="A32" s="3" t="s">
        <v>134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spans="1:4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>
      <c r="A34" s="6" t="s">
        <v>135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>
      <c r="A35" s="21" t="s">
        <v>136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3" spans="1:40">
      <c r="A36" s="7" t="s">
        <v>3</v>
      </c>
      <c r="B36" s="7" t="s">
        <v>4</v>
      </c>
      <c r="C36" s="7" t="s">
        <v>25</v>
      </c>
      <c r="D36" s="7" t="s">
        <v>26</v>
      </c>
      <c r="E36" s="7" t="s">
        <v>27</v>
      </c>
      <c r="F36" s="7" t="s">
        <v>28</v>
      </c>
      <c r="G36" s="7" t="s">
        <v>29</v>
      </c>
      <c r="H36" s="7" t="s">
        <v>30</v>
      </c>
      <c r="I36" s="7" t="s">
        <v>31</v>
      </c>
      <c r="J36" s="7" t="s">
        <v>32</v>
      </c>
      <c r="K36" s="7" t="s">
        <v>33</v>
      </c>
      <c r="L36" s="7" t="s">
        <v>34</v>
      </c>
      <c r="M36" s="7" t="s">
        <v>35</v>
      </c>
      <c r="N36" s="7" t="s">
        <v>36</v>
      </c>
      <c r="O36" s="7" t="s">
        <v>37</v>
      </c>
      <c r="P36" s="7" t="s">
        <v>38</v>
      </c>
      <c r="Q36" s="7" t="s">
        <v>39</v>
      </c>
      <c r="R36" s="7" t="s">
        <v>40</v>
      </c>
      <c r="S36" s="7" t="s">
        <v>41</v>
      </c>
      <c r="T36" s="7" t="s">
        <v>42</v>
      </c>
      <c r="U36" s="7" t="s">
        <v>43</v>
      </c>
      <c r="V36" s="7" t="s">
        <v>44</v>
      </c>
      <c r="W36" s="7" t="s">
        <v>45</v>
      </c>
      <c r="X36" s="7" t="s">
        <v>46</v>
      </c>
      <c r="Y36" s="7" t="s">
        <v>47</v>
      </c>
      <c r="Z36" s="7" t="s">
        <v>48</v>
      </c>
      <c r="AA36" s="7" t="s">
        <v>49</v>
      </c>
      <c r="AB36" s="7" t="s">
        <v>50</v>
      </c>
      <c r="AC36" s="7" t="s">
        <v>51</v>
      </c>
      <c r="AD36" s="7" t="s">
        <v>52</v>
      </c>
      <c r="AE36" s="7" t="s">
        <v>53</v>
      </c>
      <c r="AF36" s="7" t="s">
        <v>54</v>
      </c>
      <c r="AG36" s="7" t="s">
        <v>55</v>
      </c>
      <c r="AH36" s="7" t="s">
        <v>56</v>
      </c>
      <c r="AI36" s="7" t="s">
        <v>57</v>
      </c>
      <c r="AJ36" s="7" t="s">
        <v>58</v>
      </c>
      <c r="AK36" s="7" t="s">
        <v>59</v>
      </c>
      <c r="AL36" s="7" t="s">
        <v>60</v>
      </c>
      <c r="AM36" s="2"/>
      <c r="AN36" s="2"/>
    </row>
    <row r="37" spans="1:40">
      <c r="A37" s="8" t="s">
        <v>62</v>
      </c>
      <c r="B37" s="8" t="s">
        <v>64</v>
      </c>
      <c r="C37" s="22"/>
      <c r="D37" s="23">
        <f>D25*$F$12*$H$12</f>
        <v>0</v>
      </c>
      <c r="E37" s="23">
        <f t="shared" ref="D37:AL37" si="2">E25*$F$12*$H$12</f>
        <v>171.912</v>
      </c>
      <c r="F37" s="23">
        <f t="shared" si="2"/>
        <v>2436</v>
      </c>
      <c r="G37" s="23">
        <f t="shared" si="2"/>
        <v>0</v>
      </c>
      <c r="H37" s="23">
        <f t="shared" si="2"/>
        <v>0</v>
      </c>
      <c r="I37" s="23">
        <f t="shared" si="2"/>
        <v>0</v>
      </c>
      <c r="J37" s="23">
        <f t="shared" si="2"/>
        <v>0</v>
      </c>
      <c r="K37" s="23">
        <f t="shared" si="2"/>
        <v>1044</v>
      </c>
      <c r="L37" s="23">
        <f t="shared" si="2"/>
        <v>0</v>
      </c>
      <c r="M37" s="23">
        <f t="shared" si="2"/>
        <v>0</v>
      </c>
      <c r="N37" s="23">
        <f t="shared" si="2"/>
        <v>0</v>
      </c>
      <c r="O37" s="23">
        <f t="shared" si="2"/>
        <v>0</v>
      </c>
      <c r="P37" s="23">
        <f t="shared" si="2"/>
        <v>0</v>
      </c>
      <c r="Q37" s="23">
        <f t="shared" si="2"/>
        <v>0</v>
      </c>
      <c r="R37" s="23">
        <f t="shared" si="2"/>
        <v>0</v>
      </c>
      <c r="S37" s="23">
        <f t="shared" si="2"/>
        <v>0</v>
      </c>
      <c r="T37" s="23">
        <f t="shared" si="2"/>
        <v>0</v>
      </c>
      <c r="U37" s="23">
        <f t="shared" si="2"/>
        <v>0</v>
      </c>
      <c r="V37" s="23">
        <f t="shared" si="2"/>
        <v>0</v>
      </c>
      <c r="W37" s="23">
        <f t="shared" si="2"/>
        <v>4764.12</v>
      </c>
      <c r="X37" s="23">
        <f t="shared" si="2"/>
        <v>0</v>
      </c>
      <c r="Y37" s="23">
        <f t="shared" si="2"/>
        <v>1044</v>
      </c>
      <c r="Z37" s="23">
        <f t="shared" si="2"/>
        <v>0</v>
      </c>
      <c r="AA37" s="23">
        <f t="shared" si="2"/>
        <v>0</v>
      </c>
      <c r="AB37" s="23">
        <f t="shared" si="2"/>
        <v>959.088</v>
      </c>
      <c r="AC37" s="23">
        <f t="shared" si="2"/>
        <v>0</v>
      </c>
      <c r="AD37" s="23">
        <f t="shared" si="2"/>
        <v>0</v>
      </c>
      <c r="AE37" s="23">
        <f t="shared" si="2"/>
        <v>0</v>
      </c>
      <c r="AF37" s="23">
        <f t="shared" si="2"/>
        <v>20.88</v>
      </c>
      <c r="AG37" s="23">
        <f t="shared" si="2"/>
        <v>0</v>
      </c>
      <c r="AH37" s="23">
        <f t="shared" si="2"/>
        <v>0</v>
      </c>
      <c r="AI37" s="23">
        <f t="shared" si="2"/>
        <v>0</v>
      </c>
      <c r="AJ37" s="23">
        <f t="shared" si="2"/>
        <v>0</v>
      </c>
      <c r="AK37" s="23">
        <f t="shared" si="2"/>
        <v>0</v>
      </c>
      <c r="AL37" s="23">
        <f t="shared" si="2"/>
        <v>0</v>
      </c>
      <c r="AM37" s="2"/>
      <c r="AN37" s="2"/>
    </row>
    <row r="38" spans="1:40">
      <c r="A38" s="15" t="s">
        <v>66</v>
      </c>
      <c r="B38" s="15" t="s">
        <v>64</v>
      </c>
      <c r="C38" s="24"/>
      <c r="D38" s="19">
        <f t="shared" ref="D38:AL38" si="3">D25*$F$12*$H$12*$I$12</f>
        <v>0</v>
      </c>
      <c r="E38" s="19">
        <f t="shared" si="3"/>
        <v>257.868</v>
      </c>
      <c r="F38" s="19">
        <f t="shared" si="3"/>
        <v>3654</v>
      </c>
      <c r="G38" s="19">
        <f t="shared" si="3"/>
        <v>0</v>
      </c>
      <c r="H38" s="19">
        <f t="shared" si="3"/>
        <v>0</v>
      </c>
      <c r="I38" s="19">
        <f t="shared" si="3"/>
        <v>0</v>
      </c>
      <c r="J38" s="19">
        <f t="shared" si="3"/>
        <v>0</v>
      </c>
      <c r="K38" s="19">
        <f t="shared" si="3"/>
        <v>1566</v>
      </c>
      <c r="L38" s="19">
        <f t="shared" si="3"/>
        <v>0</v>
      </c>
      <c r="M38" s="19">
        <f t="shared" si="3"/>
        <v>0</v>
      </c>
      <c r="N38" s="19">
        <f t="shared" si="3"/>
        <v>0</v>
      </c>
      <c r="O38" s="19">
        <f t="shared" si="3"/>
        <v>0</v>
      </c>
      <c r="P38" s="19">
        <f t="shared" si="3"/>
        <v>0</v>
      </c>
      <c r="Q38" s="19">
        <f t="shared" si="3"/>
        <v>0</v>
      </c>
      <c r="R38" s="19">
        <f t="shared" si="3"/>
        <v>0</v>
      </c>
      <c r="S38" s="19">
        <f t="shared" si="3"/>
        <v>0</v>
      </c>
      <c r="T38" s="19">
        <f t="shared" si="3"/>
        <v>0</v>
      </c>
      <c r="U38" s="19">
        <f t="shared" si="3"/>
        <v>0</v>
      </c>
      <c r="V38" s="19">
        <f t="shared" si="3"/>
        <v>0</v>
      </c>
      <c r="W38" s="19">
        <f t="shared" si="3"/>
        <v>7146.18</v>
      </c>
      <c r="X38" s="19">
        <f t="shared" si="3"/>
        <v>0</v>
      </c>
      <c r="Y38" s="19">
        <f t="shared" si="3"/>
        <v>1566</v>
      </c>
      <c r="Z38" s="19">
        <f t="shared" si="3"/>
        <v>0</v>
      </c>
      <c r="AA38" s="19">
        <f t="shared" si="3"/>
        <v>0</v>
      </c>
      <c r="AB38" s="19">
        <f t="shared" si="3"/>
        <v>1438.632</v>
      </c>
      <c r="AC38" s="19">
        <f t="shared" si="3"/>
        <v>0</v>
      </c>
      <c r="AD38" s="19">
        <f t="shared" si="3"/>
        <v>0</v>
      </c>
      <c r="AE38" s="19">
        <f t="shared" si="3"/>
        <v>0</v>
      </c>
      <c r="AF38" s="19">
        <f t="shared" si="3"/>
        <v>31.32</v>
      </c>
      <c r="AG38" s="19">
        <f t="shared" si="3"/>
        <v>0</v>
      </c>
      <c r="AH38" s="19">
        <f t="shared" si="3"/>
        <v>0</v>
      </c>
      <c r="AI38" s="19">
        <f t="shared" si="3"/>
        <v>0</v>
      </c>
      <c r="AJ38" s="19">
        <f t="shared" si="3"/>
        <v>0</v>
      </c>
      <c r="AK38" s="19">
        <f t="shared" si="3"/>
        <v>0</v>
      </c>
      <c r="AL38" s="19">
        <f t="shared" si="3"/>
        <v>0</v>
      </c>
      <c r="AM38" s="2"/>
      <c r="AN38" s="2"/>
    </row>
    <row r="39" spans="1:40">
      <c r="A39" s="8" t="s">
        <v>67</v>
      </c>
      <c r="B39" s="8" t="s">
        <v>64</v>
      </c>
      <c r="C39" s="22"/>
      <c r="D39" s="23">
        <f t="shared" ref="D39:AL39" si="4">D25*$F$12*$H$12*$J$12</f>
        <v>0</v>
      </c>
      <c r="E39" s="23">
        <f t="shared" si="4"/>
        <v>343.824</v>
      </c>
      <c r="F39" s="23">
        <f t="shared" si="4"/>
        <v>4872</v>
      </c>
      <c r="G39" s="23">
        <f t="shared" si="4"/>
        <v>0</v>
      </c>
      <c r="H39" s="23">
        <f t="shared" si="4"/>
        <v>0</v>
      </c>
      <c r="I39" s="23">
        <f t="shared" si="4"/>
        <v>0</v>
      </c>
      <c r="J39" s="23">
        <f t="shared" si="4"/>
        <v>0</v>
      </c>
      <c r="K39" s="23">
        <f t="shared" si="4"/>
        <v>2088</v>
      </c>
      <c r="L39" s="23">
        <f t="shared" si="4"/>
        <v>0</v>
      </c>
      <c r="M39" s="23">
        <f t="shared" si="4"/>
        <v>0</v>
      </c>
      <c r="N39" s="23">
        <f t="shared" si="4"/>
        <v>0</v>
      </c>
      <c r="O39" s="23">
        <f t="shared" si="4"/>
        <v>0</v>
      </c>
      <c r="P39" s="23">
        <f t="shared" si="4"/>
        <v>0</v>
      </c>
      <c r="Q39" s="23">
        <f t="shared" si="4"/>
        <v>0</v>
      </c>
      <c r="R39" s="23">
        <f t="shared" si="4"/>
        <v>0</v>
      </c>
      <c r="S39" s="23">
        <f t="shared" si="4"/>
        <v>0</v>
      </c>
      <c r="T39" s="23">
        <f t="shared" si="4"/>
        <v>0</v>
      </c>
      <c r="U39" s="23">
        <f t="shared" si="4"/>
        <v>0</v>
      </c>
      <c r="V39" s="23">
        <f t="shared" si="4"/>
        <v>0</v>
      </c>
      <c r="W39" s="23">
        <f t="shared" si="4"/>
        <v>9528.24</v>
      </c>
      <c r="X39" s="23">
        <f t="shared" si="4"/>
        <v>0</v>
      </c>
      <c r="Y39" s="23">
        <f t="shared" si="4"/>
        <v>2088</v>
      </c>
      <c r="Z39" s="23">
        <f t="shared" si="4"/>
        <v>0</v>
      </c>
      <c r="AA39" s="23">
        <f t="shared" si="4"/>
        <v>0</v>
      </c>
      <c r="AB39" s="23">
        <f t="shared" si="4"/>
        <v>1918.176</v>
      </c>
      <c r="AC39" s="23">
        <f t="shared" si="4"/>
        <v>0</v>
      </c>
      <c r="AD39" s="23">
        <f t="shared" si="4"/>
        <v>0</v>
      </c>
      <c r="AE39" s="23">
        <f t="shared" si="4"/>
        <v>0</v>
      </c>
      <c r="AF39" s="23">
        <f t="shared" si="4"/>
        <v>41.76</v>
      </c>
      <c r="AG39" s="23">
        <f t="shared" si="4"/>
        <v>0</v>
      </c>
      <c r="AH39" s="23">
        <f t="shared" si="4"/>
        <v>0</v>
      </c>
      <c r="AI39" s="23">
        <f t="shared" si="4"/>
        <v>0</v>
      </c>
      <c r="AJ39" s="23">
        <f t="shared" si="4"/>
        <v>0</v>
      </c>
      <c r="AK39" s="23">
        <f t="shared" si="4"/>
        <v>0</v>
      </c>
      <c r="AL39" s="23">
        <f t="shared" si="4"/>
        <v>0</v>
      </c>
      <c r="AM39" s="2"/>
      <c r="AN39" s="2"/>
    </row>
    <row r="40" spans="1: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>
      <c r="A41" s="8" t="s">
        <v>72</v>
      </c>
      <c r="B41" s="8" t="s">
        <v>64</v>
      </c>
      <c r="C41" s="22"/>
      <c r="D41" s="23">
        <f t="shared" ref="D41:AL41" si="5">D26*$F$13*$H$13</f>
        <v>0</v>
      </c>
      <c r="E41" s="23">
        <f t="shared" si="5"/>
        <v>1851.96</v>
      </c>
      <c r="F41" s="23">
        <f t="shared" si="5"/>
        <v>516.12</v>
      </c>
      <c r="G41" s="23">
        <f t="shared" si="5"/>
        <v>0</v>
      </c>
      <c r="H41" s="23">
        <f t="shared" si="5"/>
        <v>0</v>
      </c>
      <c r="I41" s="23">
        <f t="shared" si="5"/>
        <v>0</v>
      </c>
      <c r="J41" s="23">
        <f t="shared" si="5"/>
        <v>0</v>
      </c>
      <c r="K41" s="23">
        <f t="shared" si="5"/>
        <v>0</v>
      </c>
      <c r="L41" s="23">
        <f t="shared" si="5"/>
        <v>0</v>
      </c>
      <c r="M41" s="23">
        <f t="shared" si="5"/>
        <v>0</v>
      </c>
      <c r="N41" s="23">
        <f t="shared" si="5"/>
        <v>0</v>
      </c>
      <c r="O41" s="23">
        <f t="shared" si="5"/>
        <v>0</v>
      </c>
      <c r="P41" s="23">
        <f t="shared" si="5"/>
        <v>0</v>
      </c>
      <c r="Q41" s="23">
        <f t="shared" si="5"/>
        <v>0</v>
      </c>
      <c r="R41" s="23">
        <f t="shared" si="5"/>
        <v>0</v>
      </c>
      <c r="S41" s="23">
        <f t="shared" si="5"/>
        <v>0</v>
      </c>
      <c r="T41" s="23">
        <f t="shared" si="5"/>
        <v>0</v>
      </c>
      <c r="U41" s="23">
        <f t="shared" si="5"/>
        <v>0</v>
      </c>
      <c r="V41" s="23">
        <f t="shared" si="5"/>
        <v>0</v>
      </c>
      <c r="W41" s="23">
        <f t="shared" si="5"/>
        <v>151.8</v>
      </c>
      <c r="X41" s="23">
        <f t="shared" si="5"/>
        <v>0</v>
      </c>
      <c r="Y41" s="23">
        <f t="shared" si="5"/>
        <v>88.044</v>
      </c>
      <c r="Z41" s="23">
        <f t="shared" si="5"/>
        <v>0</v>
      </c>
      <c r="AA41" s="23">
        <f t="shared" si="5"/>
        <v>0</v>
      </c>
      <c r="AB41" s="23">
        <f t="shared" si="5"/>
        <v>628.1484</v>
      </c>
      <c r="AC41" s="23">
        <f t="shared" si="5"/>
        <v>75.9</v>
      </c>
      <c r="AD41" s="23">
        <f t="shared" si="5"/>
        <v>0</v>
      </c>
      <c r="AE41" s="23">
        <f t="shared" si="5"/>
        <v>0</v>
      </c>
      <c r="AF41" s="23">
        <f t="shared" si="5"/>
        <v>0</v>
      </c>
      <c r="AG41" s="23">
        <f t="shared" si="5"/>
        <v>0</v>
      </c>
      <c r="AH41" s="23">
        <f t="shared" si="5"/>
        <v>0</v>
      </c>
      <c r="AI41" s="23">
        <f t="shared" si="5"/>
        <v>27.6276</v>
      </c>
      <c r="AJ41" s="23">
        <f t="shared" si="5"/>
        <v>0</v>
      </c>
      <c r="AK41" s="23">
        <f t="shared" si="5"/>
        <v>0</v>
      </c>
      <c r="AL41" s="23">
        <f t="shared" si="5"/>
        <v>0</v>
      </c>
      <c r="AM41" s="2"/>
      <c r="AN41" s="2"/>
    </row>
    <row r="42" spans="1:40">
      <c r="A42" s="15" t="s">
        <v>73</v>
      </c>
      <c r="B42" s="15" t="s">
        <v>64</v>
      </c>
      <c r="C42" s="24"/>
      <c r="D42" s="19">
        <f t="shared" ref="D42:AL42" si="6">D26*$F$13*$H$13*$I$13</f>
        <v>0</v>
      </c>
      <c r="E42" s="19">
        <f t="shared" si="6"/>
        <v>1851.96</v>
      </c>
      <c r="F42" s="19">
        <f t="shared" si="6"/>
        <v>516.12</v>
      </c>
      <c r="G42" s="19">
        <f t="shared" si="6"/>
        <v>0</v>
      </c>
      <c r="H42" s="19">
        <f t="shared" si="6"/>
        <v>0</v>
      </c>
      <c r="I42" s="19">
        <f t="shared" si="6"/>
        <v>0</v>
      </c>
      <c r="J42" s="19">
        <f t="shared" si="6"/>
        <v>0</v>
      </c>
      <c r="K42" s="19">
        <f t="shared" si="6"/>
        <v>0</v>
      </c>
      <c r="L42" s="19">
        <f t="shared" si="6"/>
        <v>0</v>
      </c>
      <c r="M42" s="19">
        <f t="shared" si="6"/>
        <v>0</v>
      </c>
      <c r="N42" s="19">
        <f t="shared" si="6"/>
        <v>0</v>
      </c>
      <c r="O42" s="19">
        <f t="shared" si="6"/>
        <v>0</v>
      </c>
      <c r="P42" s="19">
        <f t="shared" si="6"/>
        <v>0</v>
      </c>
      <c r="Q42" s="19">
        <f t="shared" si="6"/>
        <v>0</v>
      </c>
      <c r="R42" s="19">
        <f t="shared" si="6"/>
        <v>0</v>
      </c>
      <c r="S42" s="19">
        <f t="shared" si="6"/>
        <v>0</v>
      </c>
      <c r="T42" s="19">
        <f t="shared" si="6"/>
        <v>0</v>
      </c>
      <c r="U42" s="19">
        <f t="shared" si="6"/>
        <v>0</v>
      </c>
      <c r="V42" s="19">
        <f t="shared" si="6"/>
        <v>0</v>
      </c>
      <c r="W42" s="19">
        <f t="shared" si="6"/>
        <v>151.8</v>
      </c>
      <c r="X42" s="19">
        <f t="shared" si="6"/>
        <v>0</v>
      </c>
      <c r="Y42" s="19">
        <f t="shared" si="6"/>
        <v>88.044</v>
      </c>
      <c r="Z42" s="19">
        <f t="shared" si="6"/>
        <v>0</v>
      </c>
      <c r="AA42" s="19">
        <f t="shared" si="6"/>
        <v>0</v>
      </c>
      <c r="AB42" s="19">
        <f t="shared" si="6"/>
        <v>628.1484</v>
      </c>
      <c r="AC42" s="19">
        <f t="shared" si="6"/>
        <v>75.9</v>
      </c>
      <c r="AD42" s="19">
        <f t="shared" si="6"/>
        <v>0</v>
      </c>
      <c r="AE42" s="19">
        <f t="shared" si="6"/>
        <v>0</v>
      </c>
      <c r="AF42" s="19">
        <f t="shared" si="6"/>
        <v>0</v>
      </c>
      <c r="AG42" s="19">
        <f t="shared" si="6"/>
        <v>0</v>
      </c>
      <c r="AH42" s="19">
        <f t="shared" si="6"/>
        <v>0</v>
      </c>
      <c r="AI42" s="19">
        <f t="shared" si="6"/>
        <v>27.6276</v>
      </c>
      <c r="AJ42" s="19">
        <f t="shared" si="6"/>
        <v>0</v>
      </c>
      <c r="AK42" s="19">
        <f t="shared" si="6"/>
        <v>0</v>
      </c>
      <c r="AL42" s="19">
        <f t="shared" si="6"/>
        <v>0</v>
      </c>
      <c r="AM42" s="2"/>
      <c r="AN42" s="2"/>
    </row>
    <row r="43" spans="1:40">
      <c r="A43" s="8" t="s">
        <v>74</v>
      </c>
      <c r="B43" s="8" t="s">
        <v>64</v>
      </c>
      <c r="C43" s="22"/>
      <c r="D43" s="23">
        <f t="shared" ref="D43:AL43" si="7">D26*$F$13*$H$13*$J$13</f>
        <v>0</v>
      </c>
      <c r="E43" s="23">
        <f t="shared" si="7"/>
        <v>1851.96</v>
      </c>
      <c r="F43" s="23">
        <f t="shared" si="7"/>
        <v>516.12</v>
      </c>
      <c r="G43" s="23">
        <f t="shared" si="7"/>
        <v>0</v>
      </c>
      <c r="H43" s="23">
        <f t="shared" si="7"/>
        <v>0</v>
      </c>
      <c r="I43" s="23">
        <f t="shared" si="7"/>
        <v>0</v>
      </c>
      <c r="J43" s="23">
        <f t="shared" si="7"/>
        <v>0</v>
      </c>
      <c r="K43" s="23">
        <f t="shared" si="7"/>
        <v>0</v>
      </c>
      <c r="L43" s="23">
        <f t="shared" si="7"/>
        <v>0</v>
      </c>
      <c r="M43" s="23">
        <f t="shared" si="7"/>
        <v>0</v>
      </c>
      <c r="N43" s="23">
        <f t="shared" si="7"/>
        <v>0</v>
      </c>
      <c r="O43" s="23">
        <f t="shared" si="7"/>
        <v>0</v>
      </c>
      <c r="P43" s="23">
        <f t="shared" si="7"/>
        <v>0</v>
      </c>
      <c r="Q43" s="23">
        <f t="shared" si="7"/>
        <v>0</v>
      </c>
      <c r="R43" s="23">
        <f t="shared" si="7"/>
        <v>0</v>
      </c>
      <c r="S43" s="23">
        <f t="shared" si="7"/>
        <v>0</v>
      </c>
      <c r="T43" s="23">
        <f t="shared" si="7"/>
        <v>0</v>
      </c>
      <c r="U43" s="23">
        <f t="shared" si="7"/>
        <v>0</v>
      </c>
      <c r="V43" s="23">
        <f t="shared" si="7"/>
        <v>0</v>
      </c>
      <c r="W43" s="23">
        <f t="shared" si="7"/>
        <v>151.8</v>
      </c>
      <c r="X43" s="23">
        <f t="shared" si="7"/>
        <v>0</v>
      </c>
      <c r="Y43" s="23">
        <f t="shared" si="7"/>
        <v>88.044</v>
      </c>
      <c r="Z43" s="23">
        <f t="shared" si="7"/>
        <v>0</v>
      </c>
      <c r="AA43" s="23">
        <f t="shared" si="7"/>
        <v>0</v>
      </c>
      <c r="AB43" s="23">
        <f t="shared" si="7"/>
        <v>628.1484</v>
      </c>
      <c r="AC43" s="23">
        <f t="shared" si="7"/>
        <v>75.9</v>
      </c>
      <c r="AD43" s="23">
        <f t="shared" si="7"/>
        <v>0</v>
      </c>
      <c r="AE43" s="23">
        <f t="shared" si="7"/>
        <v>0</v>
      </c>
      <c r="AF43" s="23">
        <f t="shared" si="7"/>
        <v>0</v>
      </c>
      <c r="AG43" s="23">
        <f t="shared" si="7"/>
        <v>0</v>
      </c>
      <c r="AH43" s="23">
        <f t="shared" si="7"/>
        <v>0</v>
      </c>
      <c r="AI43" s="23">
        <f t="shared" si="7"/>
        <v>27.6276</v>
      </c>
      <c r="AJ43" s="23">
        <f t="shared" si="7"/>
        <v>0</v>
      </c>
      <c r="AK43" s="23">
        <f t="shared" si="7"/>
        <v>0</v>
      </c>
      <c r="AL43" s="23">
        <f t="shared" si="7"/>
        <v>0</v>
      </c>
      <c r="AM43" s="2"/>
      <c r="AN43" s="2"/>
    </row>
    <row r="44" spans="1:4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>
      <c r="A45" s="8" t="s">
        <v>69</v>
      </c>
      <c r="B45" s="8" t="s">
        <v>64</v>
      </c>
      <c r="C45" s="22"/>
      <c r="D45" s="23">
        <f t="shared" ref="D45:AL45" si="8">D27*$F$14*$H$14</f>
        <v>0</v>
      </c>
      <c r="E45" s="23">
        <f t="shared" si="8"/>
        <v>0</v>
      </c>
      <c r="F45" s="23">
        <f t="shared" si="8"/>
        <v>1478.4</v>
      </c>
      <c r="G45" s="23">
        <f t="shared" si="8"/>
        <v>0</v>
      </c>
      <c r="H45" s="23">
        <f t="shared" si="8"/>
        <v>0</v>
      </c>
      <c r="I45" s="23">
        <f t="shared" si="8"/>
        <v>0</v>
      </c>
      <c r="J45" s="23">
        <f t="shared" si="8"/>
        <v>0</v>
      </c>
      <c r="K45" s="23">
        <f t="shared" si="8"/>
        <v>271.04</v>
      </c>
      <c r="L45" s="23">
        <f t="shared" si="8"/>
        <v>0</v>
      </c>
      <c r="M45" s="23">
        <f t="shared" si="8"/>
        <v>0</v>
      </c>
      <c r="N45" s="23">
        <f t="shared" si="8"/>
        <v>0</v>
      </c>
      <c r="O45" s="23">
        <f t="shared" si="8"/>
        <v>0</v>
      </c>
      <c r="P45" s="23">
        <f t="shared" si="8"/>
        <v>0</v>
      </c>
      <c r="Q45" s="23">
        <f t="shared" si="8"/>
        <v>0</v>
      </c>
      <c r="R45" s="23">
        <f t="shared" si="8"/>
        <v>0</v>
      </c>
      <c r="S45" s="23">
        <f t="shared" si="8"/>
        <v>0</v>
      </c>
      <c r="T45" s="23">
        <f t="shared" si="8"/>
        <v>0</v>
      </c>
      <c r="U45" s="23">
        <f t="shared" si="8"/>
        <v>0</v>
      </c>
      <c r="V45" s="23">
        <f t="shared" si="8"/>
        <v>0</v>
      </c>
      <c r="W45" s="23">
        <f t="shared" si="8"/>
        <v>985.6</v>
      </c>
      <c r="X45" s="23">
        <f t="shared" si="8"/>
        <v>0</v>
      </c>
      <c r="Y45" s="23">
        <f t="shared" si="8"/>
        <v>154.616</v>
      </c>
      <c r="Z45" s="23">
        <f t="shared" si="8"/>
        <v>0</v>
      </c>
      <c r="AA45" s="23">
        <f t="shared" si="8"/>
        <v>0</v>
      </c>
      <c r="AB45" s="23">
        <f t="shared" si="8"/>
        <v>4607.064</v>
      </c>
      <c r="AC45" s="23">
        <f t="shared" si="8"/>
        <v>511.28</v>
      </c>
      <c r="AD45" s="23">
        <f t="shared" si="8"/>
        <v>0</v>
      </c>
      <c r="AE45" s="23">
        <f t="shared" si="8"/>
        <v>0</v>
      </c>
      <c r="AF45" s="23">
        <f t="shared" si="8"/>
        <v>0</v>
      </c>
      <c r="AG45" s="23">
        <f t="shared" si="8"/>
        <v>0</v>
      </c>
      <c r="AH45" s="23">
        <f t="shared" si="8"/>
        <v>0</v>
      </c>
      <c r="AI45" s="23">
        <f t="shared" si="8"/>
        <v>0</v>
      </c>
      <c r="AJ45" s="23">
        <f t="shared" si="8"/>
        <v>0</v>
      </c>
      <c r="AK45" s="23">
        <f t="shared" si="8"/>
        <v>0</v>
      </c>
      <c r="AL45" s="23">
        <f t="shared" si="8"/>
        <v>0</v>
      </c>
      <c r="AM45" s="2"/>
      <c r="AN45" s="2"/>
    </row>
    <row r="46" spans="1:40">
      <c r="A46" s="15" t="s">
        <v>70</v>
      </c>
      <c r="B46" s="15" t="s">
        <v>64</v>
      </c>
      <c r="C46" s="24"/>
      <c r="D46" s="19">
        <f t="shared" ref="D46:AL46" si="9">D27*$F$14*$H$14*$I$14</f>
        <v>0</v>
      </c>
      <c r="E46" s="19">
        <f t="shared" si="9"/>
        <v>0</v>
      </c>
      <c r="F46" s="19">
        <f t="shared" si="9"/>
        <v>1478.4</v>
      </c>
      <c r="G46" s="19">
        <f t="shared" si="9"/>
        <v>0</v>
      </c>
      <c r="H46" s="19">
        <f t="shared" si="9"/>
        <v>0</v>
      </c>
      <c r="I46" s="19">
        <f t="shared" si="9"/>
        <v>0</v>
      </c>
      <c r="J46" s="19">
        <f t="shared" si="9"/>
        <v>0</v>
      </c>
      <c r="K46" s="19">
        <f t="shared" si="9"/>
        <v>271.04</v>
      </c>
      <c r="L46" s="19">
        <f t="shared" si="9"/>
        <v>0</v>
      </c>
      <c r="M46" s="19">
        <f t="shared" si="9"/>
        <v>0</v>
      </c>
      <c r="N46" s="19">
        <f t="shared" si="9"/>
        <v>0</v>
      </c>
      <c r="O46" s="19">
        <f t="shared" si="9"/>
        <v>0</v>
      </c>
      <c r="P46" s="19">
        <f t="shared" si="9"/>
        <v>0</v>
      </c>
      <c r="Q46" s="19">
        <f t="shared" si="9"/>
        <v>0</v>
      </c>
      <c r="R46" s="19">
        <f t="shared" si="9"/>
        <v>0</v>
      </c>
      <c r="S46" s="19">
        <f t="shared" si="9"/>
        <v>0</v>
      </c>
      <c r="T46" s="19">
        <f t="shared" si="9"/>
        <v>0</v>
      </c>
      <c r="U46" s="19">
        <f t="shared" si="9"/>
        <v>0</v>
      </c>
      <c r="V46" s="19">
        <f t="shared" si="9"/>
        <v>0</v>
      </c>
      <c r="W46" s="19">
        <f t="shared" si="9"/>
        <v>985.6</v>
      </c>
      <c r="X46" s="19">
        <f t="shared" si="9"/>
        <v>0</v>
      </c>
      <c r="Y46" s="19">
        <f t="shared" si="9"/>
        <v>154.616</v>
      </c>
      <c r="Z46" s="19">
        <f t="shared" si="9"/>
        <v>0</v>
      </c>
      <c r="AA46" s="19">
        <f t="shared" si="9"/>
        <v>0</v>
      </c>
      <c r="AB46" s="19">
        <f t="shared" si="9"/>
        <v>4607.064</v>
      </c>
      <c r="AC46" s="19">
        <f t="shared" si="9"/>
        <v>511.28</v>
      </c>
      <c r="AD46" s="19">
        <f t="shared" si="9"/>
        <v>0</v>
      </c>
      <c r="AE46" s="19">
        <f t="shared" si="9"/>
        <v>0</v>
      </c>
      <c r="AF46" s="19">
        <f t="shared" si="9"/>
        <v>0</v>
      </c>
      <c r="AG46" s="19">
        <f t="shared" si="9"/>
        <v>0</v>
      </c>
      <c r="AH46" s="19">
        <f t="shared" si="9"/>
        <v>0</v>
      </c>
      <c r="AI46" s="19">
        <f t="shared" si="9"/>
        <v>0</v>
      </c>
      <c r="AJ46" s="19">
        <f t="shared" si="9"/>
        <v>0</v>
      </c>
      <c r="AK46" s="19">
        <f t="shared" si="9"/>
        <v>0</v>
      </c>
      <c r="AL46" s="19">
        <f t="shared" si="9"/>
        <v>0</v>
      </c>
      <c r="AM46" s="2"/>
      <c r="AN46" s="2"/>
    </row>
    <row r="47" spans="1:40">
      <c r="A47" s="8" t="s">
        <v>71</v>
      </c>
      <c r="B47" s="8" t="s">
        <v>64</v>
      </c>
      <c r="C47" s="22"/>
      <c r="D47" s="23">
        <f t="shared" ref="D47:AL47" si="10">D27*$F$14*$H$14*$J$14</f>
        <v>0</v>
      </c>
      <c r="E47" s="23">
        <f t="shared" si="10"/>
        <v>0</v>
      </c>
      <c r="F47" s="23">
        <f t="shared" si="10"/>
        <v>2217.6</v>
      </c>
      <c r="G47" s="23">
        <f t="shared" si="10"/>
        <v>0</v>
      </c>
      <c r="H47" s="23">
        <f t="shared" si="10"/>
        <v>0</v>
      </c>
      <c r="I47" s="23">
        <f t="shared" si="10"/>
        <v>0</v>
      </c>
      <c r="J47" s="23">
        <f t="shared" si="10"/>
        <v>0</v>
      </c>
      <c r="K47" s="23">
        <f t="shared" si="10"/>
        <v>406.56</v>
      </c>
      <c r="L47" s="23">
        <f t="shared" si="10"/>
        <v>0</v>
      </c>
      <c r="M47" s="23">
        <f t="shared" si="10"/>
        <v>0</v>
      </c>
      <c r="N47" s="23">
        <f t="shared" si="10"/>
        <v>0</v>
      </c>
      <c r="O47" s="23">
        <f t="shared" si="10"/>
        <v>0</v>
      </c>
      <c r="P47" s="23">
        <f t="shared" si="10"/>
        <v>0</v>
      </c>
      <c r="Q47" s="23">
        <f t="shared" si="10"/>
        <v>0</v>
      </c>
      <c r="R47" s="23">
        <f t="shared" si="10"/>
        <v>0</v>
      </c>
      <c r="S47" s="23">
        <f t="shared" si="10"/>
        <v>0</v>
      </c>
      <c r="T47" s="23">
        <f t="shared" si="10"/>
        <v>0</v>
      </c>
      <c r="U47" s="23">
        <f t="shared" si="10"/>
        <v>0</v>
      </c>
      <c r="V47" s="23">
        <f t="shared" si="10"/>
        <v>0</v>
      </c>
      <c r="W47" s="23">
        <f t="shared" si="10"/>
        <v>1478.4</v>
      </c>
      <c r="X47" s="23">
        <f t="shared" si="10"/>
        <v>0</v>
      </c>
      <c r="Y47" s="23">
        <f t="shared" si="10"/>
        <v>231.924</v>
      </c>
      <c r="Z47" s="23">
        <f t="shared" si="10"/>
        <v>0</v>
      </c>
      <c r="AA47" s="23">
        <f t="shared" si="10"/>
        <v>0</v>
      </c>
      <c r="AB47" s="23">
        <f t="shared" si="10"/>
        <v>6910.596</v>
      </c>
      <c r="AC47" s="23">
        <f t="shared" si="10"/>
        <v>766.92</v>
      </c>
      <c r="AD47" s="23">
        <f t="shared" si="10"/>
        <v>0</v>
      </c>
      <c r="AE47" s="23">
        <f t="shared" si="10"/>
        <v>0</v>
      </c>
      <c r="AF47" s="23">
        <f t="shared" si="10"/>
        <v>0</v>
      </c>
      <c r="AG47" s="23">
        <f t="shared" si="10"/>
        <v>0</v>
      </c>
      <c r="AH47" s="23">
        <f t="shared" si="10"/>
        <v>0</v>
      </c>
      <c r="AI47" s="23">
        <f t="shared" si="10"/>
        <v>0</v>
      </c>
      <c r="AJ47" s="23">
        <f t="shared" si="10"/>
        <v>0</v>
      </c>
      <c r="AK47" s="23">
        <f t="shared" si="10"/>
        <v>0</v>
      </c>
      <c r="AL47" s="23">
        <f t="shared" si="10"/>
        <v>0</v>
      </c>
      <c r="AM47" s="2"/>
      <c r="AN47" s="2"/>
    </row>
    <row r="48" spans="1:4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>
      <c r="A49" s="8" t="s">
        <v>75</v>
      </c>
      <c r="B49" s="8" t="s">
        <v>64</v>
      </c>
      <c r="C49" s="22"/>
      <c r="D49" s="23">
        <f t="shared" ref="D49:AL49" si="11">D28*$F$15*$H$15</f>
        <v>0</v>
      </c>
      <c r="E49" s="23">
        <f t="shared" si="11"/>
        <v>0.296</v>
      </c>
      <c r="F49" s="23">
        <f t="shared" si="11"/>
        <v>2</v>
      </c>
      <c r="G49" s="23">
        <f t="shared" si="11"/>
        <v>0</v>
      </c>
      <c r="H49" s="23">
        <f t="shared" si="11"/>
        <v>0</v>
      </c>
      <c r="I49" s="23">
        <f t="shared" si="11"/>
        <v>0</v>
      </c>
      <c r="J49" s="23">
        <f t="shared" si="11"/>
        <v>0</v>
      </c>
      <c r="K49" s="23">
        <f t="shared" si="11"/>
        <v>1.12</v>
      </c>
      <c r="L49" s="23">
        <f t="shared" si="11"/>
        <v>0</v>
      </c>
      <c r="M49" s="23">
        <f t="shared" si="11"/>
        <v>0</v>
      </c>
      <c r="N49" s="23">
        <f t="shared" si="11"/>
        <v>0</v>
      </c>
      <c r="O49" s="23">
        <f t="shared" si="11"/>
        <v>0</v>
      </c>
      <c r="P49" s="23">
        <f t="shared" si="11"/>
        <v>0</v>
      </c>
      <c r="Q49" s="23">
        <f t="shared" si="11"/>
        <v>0</v>
      </c>
      <c r="R49" s="23">
        <f t="shared" si="11"/>
        <v>0</v>
      </c>
      <c r="S49" s="23">
        <f t="shared" si="11"/>
        <v>0.136</v>
      </c>
      <c r="T49" s="23">
        <f t="shared" si="11"/>
        <v>0</v>
      </c>
      <c r="U49" s="23">
        <f t="shared" si="11"/>
        <v>0</v>
      </c>
      <c r="V49" s="23">
        <f t="shared" si="11"/>
        <v>0</v>
      </c>
      <c r="W49" s="23">
        <f t="shared" si="11"/>
        <v>1.08</v>
      </c>
      <c r="X49" s="23">
        <f t="shared" si="11"/>
        <v>0</v>
      </c>
      <c r="Y49" s="23">
        <f t="shared" si="11"/>
        <v>0</v>
      </c>
      <c r="Z49" s="23">
        <f t="shared" si="11"/>
        <v>0</v>
      </c>
      <c r="AA49" s="23">
        <f t="shared" si="11"/>
        <v>0</v>
      </c>
      <c r="AB49" s="23">
        <f t="shared" si="11"/>
        <v>0</v>
      </c>
      <c r="AC49" s="23">
        <f t="shared" si="11"/>
        <v>0</v>
      </c>
      <c r="AD49" s="23">
        <f t="shared" si="11"/>
        <v>0</v>
      </c>
      <c r="AE49" s="23">
        <f t="shared" si="11"/>
        <v>2.24</v>
      </c>
      <c r="AF49" s="23">
        <f t="shared" si="11"/>
        <v>0</v>
      </c>
      <c r="AG49" s="23">
        <f t="shared" si="11"/>
        <v>0</v>
      </c>
      <c r="AH49" s="23">
        <f t="shared" si="11"/>
        <v>0</v>
      </c>
      <c r="AI49" s="23">
        <f t="shared" si="11"/>
        <v>0</v>
      </c>
      <c r="AJ49" s="23">
        <f t="shared" si="11"/>
        <v>0</v>
      </c>
      <c r="AK49" s="23">
        <f t="shared" si="11"/>
        <v>0</v>
      </c>
      <c r="AL49" s="23">
        <f t="shared" si="11"/>
        <v>0</v>
      </c>
      <c r="AM49" s="2"/>
      <c r="AN49" s="2"/>
    </row>
    <row r="50" spans="1:40">
      <c r="A50" s="15" t="s">
        <v>76</v>
      </c>
      <c r="B50" s="15" t="s">
        <v>64</v>
      </c>
      <c r="C50" s="24"/>
      <c r="D50" s="19">
        <f t="shared" ref="D50:AL50" si="12">D28*$F$15*$H$15*$I$15</f>
        <v>0</v>
      </c>
      <c r="E50" s="19">
        <f t="shared" si="12"/>
        <v>0.3848</v>
      </c>
      <c r="F50" s="19">
        <f t="shared" si="12"/>
        <v>2.6</v>
      </c>
      <c r="G50" s="19">
        <f t="shared" si="12"/>
        <v>0</v>
      </c>
      <c r="H50" s="19">
        <f t="shared" si="12"/>
        <v>0</v>
      </c>
      <c r="I50" s="19">
        <f t="shared" si="12"/>
        <v>0</v>
      </c>
      <c r="J50" s="19">
        <f t="shared" si="12"/>
        <v>0</v>
      </c>
      <c r="K50" s="19">
        <f t="shared" si="12"/>
        <v>1.456</v>
      </c>
      <c r="L50" s="19">
        <f t="shared" si="12"/>
        <v>0</v>
      </c>
      <c r="M50" s="19">
        <f t="shared" si="12"/>
        <v>0</v>
      </c>
      <c r="N50" s="19">
        <f t="shared" si="12"/>
        <v>0</v>
      </c>
      <c r="O50" s="19">
        <f t="shared" si="12"/>
        <v>0</v>
      </c>
      <c r="P50" s="19">
        <f t="shared" si="12"/>
        <v>0</v>
      </c>
      <c r="Q50" s="19">
        <f t="shared" si="12"/>
        <v>0</v>
      </c>
      <c r="R50" s="19">
        <f t="shared" si="12"/>
        <v>0</v>
      </c>
      <c r="S50" s="19">
        <f t="shared" si="12"/>
        <v>0.1768</v>
      </c>
      <c r="T50" s="19">
        <f t="shared" si="12"/>
        <v>0</v>
      </c>
      <c r="U50" s="19">
        <f t="shared" si="12"/>
        <v>0</v>
      </c>
      <c r="V50" s="19">
        <f t="shared" si="12"/>
        <v>0</v>
      </c>
      <c r="W50" s="19">
        <f t="shared" si="12"/>
        <v>1.404</v>
      </c>
      <c r="X50" s="19">
        <f t="shared" si="12"/>
        <v>0</v>
      </c>
      <c r="Y50" s="19">
        <f t="shared" si="12"/>
        <v>0</v>
      </c>
      <c r="Z50" s="19">
        <f t="shared" si="12"/>
        <v>0</v>
      </c>
      <c r="AA50" s="19">
        <f t="shared" si="12"/>
        <v>0</v>
      </c>
      <c r="AB50" s="19">
        <f t="shared" si="12"/>
        <v>0</v>
      </c>
      <c r="AC50" s="19">
        <f t="shared" si="12"/>
        <v>0</v>
      </c>
      <c r="AD50" s="19">
        <f t="shared" si="12"/>
        <v>0</v>
      </c>
      <c r="AE50" s="19">
        <f t="shared" si="12"/>
        <v>2.912</v>
      </c>
      <c r="AF50" s="19">
        <f t="shared" si="12"/>
        <v>0</v>
      </c>
      <c r="AG50" s="19">
        <f t="shared" si="12"/>
        <v>0</v>
      </c>
      <c r="AH50" s="19">
        <f t="shared" si="12"/>
        <v>0</v>
      </c>
      <c r="AI50" s="19">
        <f t="shared" si="12"/>
        <v>0</v>
      </c>
      <c r="AJ50" s="19">
        <f t="shared" si="12"/>
        <v>0</v>
      </c>
      <c r="AK50" s="19">
        <f t="shared" si="12"/>
        <v>0</v>
      </c>
      <c r="AL50" s="19">
        <f t="shared" si="12"/>
        <v>0</v>
      </c>
      <c r="AM50" s="2"/>
      <c r="AN50" s="2"/>
    </row>
    <row r="51" spans="1:40">
      <c r="A51" s="8" t="s">
        <v>77</v>
      </c>
      <c r="B51" s="8" t="s">
        <v>64</v>
      </c>
      <c r="C51" s="22"/>
      <c r="D51" s="23">
        <f t="shared" ref="D51:AL51" si="13">D28*$F$15*$H$15*$J$15</f>
        <v>0</v>
      </c>
      <c r="E51" s="23">
        <f t="shared" si="13"/>
        <v>0.592</v>
      </c>
      <c r="F51" s="23">
        <f t="shared" si="13"/>
        <v>4</v>
      </c>
      <c r="G51" s="23">
        <f t="shared" si="13"/>
        <v>0</v>
      </c>
      <c r="H51" s="23">
        <f t="shared" si="13"/>
        <v>0</v>
      </c>
      <c r="I51" s="23">
        <f t="shared" si="13"/>
        <v>0</v>
      </c>
      <c r="J51" s="23">
        <f t="shared" si="13"/>
        <v>0</v>
      </c>
      <c r="K51" s="23">
        <f t="shared" si="13"/>
        <v>2.24</v>
      </c>
      <c r="L51" s="23">
        <f t="shared" si="13"/>
        <v>0</v>
      </c>
      <c r="M51" s="23">
        <f t="shared" si="13"/>
        <v>0</v>
      </c>
      <c r="N51" s="23">
        <f t="shared" si="13"/>
        <v>0</v>
      </c>
      <c r="O51" s="23">
        <f t="shared" si="13"/>
        <v>0</v>
      </c>
      <c r="P51" s="23">
        <f t="shared" si="13"/>
        <v>0</v>
      </c>
      <c r="Q51" s="23">
        <f t="shared" si="13"/>
        <v>0</v>
      </c>
      <c r="R51" s="23">
        <f t="shared" si="13"/>
        <v>0</v>
      </c>
      <c r="S51" s="23">
        <f t="shared" si="13"/>
        <v>0.272</v>
      </c>
      <c r="T51" s="23">
        <f t="shared" si="13"/>
        <v>0</v>
      </c>
      <c r="U51" s="23">
        <f t="shared" si="13"/>
        <v>0</v>
      </c>
      <c r="V51" s="23">
        <f t="shared" si="13"/>
        <v>0</v>
      </c>
      <c r="W51" s="23">
        <f t="shared" si="13"/>
        <v>2.16</v>
      </c>
      <c r="X51" s="23">
        <f t="shared" si="13"/>
        <v>0</v>
      </c>
      <c r="Y51" s="23">
        <f t="shared" si="13"/>
        <v>0</v>
      </c>
      <c r="Z51" s="23">
        <f t="shared" si="13"/>
        <v>0</v>
      </c>
      <c r="AA51" s="23">
        <f t="shared" si="13"/>
        <v>0</v>
      </c>
      <c r="AB51" s="23">
        <f t="shared" si="13"/>
        <v>0</v>
      </c>
      <c r="AC51" s="23">
        <f t="shared" si="13"/>
        <v>0</v>
      </c>
      <c r="AD51" s="23">
        <f t="shared" si="13"/>
        <v>0</v>
      </c>
      <c r="AE51" s="23">
        <f t="shared" si="13"/>
        <v>4.48</v>
      </c>
      <c r="AF51" s="23">
        <f t="shared" si="13"/>
        <v>0</v>
      </c>
      <c r="AG51" s="23">
        <f t="shared" si="13"/>
        <v>0</v>
      </c>
      <c r="AH51" s="23">
        <f t="shared" si="13"/>
        <v>0</v>
      </c>
      <c r="AI51" s="23">
        <f t="shared" si="13"/>
        <v>0</v>
      </c>
      <c r="AJ51" s="23">
        <f t="shared" si="13"/>
        <v>0</v>
      </c>
      <c r="AK51" s="23">
        <f t="shared" si="13"/>
        <v>0</v>
      </c>
      <c r="AL51" s="23">
        <f t="shared" si="13"/>
        <v>0</v>
      </c>
      <c r="AM51" s="2"/>
      <c r="AN51" s="2"/>
    </row>
    <row r="52" spans="1:4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>
      <c r="A53" s="8" t="s">
        <v>81</v>
      </c>
      <c r="B53" s="8" t="s">
        <v>64</v>
      </c>
      <c r="C53" s="22"/>
      <c r="D53" s="23">
        <f t="shared" ref="D53:AL53" si="14">D29*$F$16*$H$16</f>
        <v>0</v>
      </c>
      <c r="E53" s="23">
        <f t="shared" si="14"/>
        <v>1.0504</v>
      </c>
      <c r="F53" s="23">
        <f t="shared" si="14"/>
        <v>1.04</v>
      </c>
      <c r="G53" s="23">
        <f t="shared" si="14"/>
        <v>0</v>
      </c>
      <c r="H53" s="23">
        <f t="shared" si="14"/>
        <v>0</v>
      </c>
      <c r="I53" s="23">
        <f t="shared" si="14"/>
        <v>0</v>
      </c>
      <c r="J53" s="23">
        <f t="shared" si="14"/>
        <v>0</v>
      </c>
      <c r="K53" s="23">
        <f t="shared" si="14"/>
        <v>0.4264</v>
      </c>
      <c r="L53" s="23">
        <f t="shared" si="14"/>
        <v>0</v>
      </c>
      <c r="M53" s="23">
        <f t="shared" si="14"/>
        <v>0</v>
      </c>
      <c r="N53" s="23">
        <f t="shared" si="14"/>
        <v>0</v>
      </c>
      <c r="O53" s="23">
        <f t="shared" si="14"/>
        <v>0</v>
      </c>
      <c r="P53" s="23">
        <f t="shared" si="14"/>
        <v>0</v>
      </c>
      <c r="Q53" s="23">
        <f t="shared" si="14"/>
        <v>0</v>
      </c>
      <c r="R53" s="23">
        <f t="shared" si="14"/>
        <v>0</v>
      </c>
      <c r="S53" s="23">
        <f t="shared" si="14"/>
        <v>0.02288</v>
      </c>
      <c r="T53" s="23">
        <f t="shared" si="14"/>
        <v>0</v>
      </c>
      <c r="U53" s="23">
        <f t="shared" si="14"/>
        <v>0</v>
      </c>
      <c r="V53" s="23">
        <f t="shared" si="14"/>
        <v>0</v>
      </c>
      <c r="W53" s="23">
        <f t="shared" si="14"/>
        <v>3.016</v>
      </c>
      <c r="X53" s="23">
        <f t="shared" si="14"/>
        <v>0</v>
      </c>
      <c r="Y53" s="23">
        <f t="shared" si="14"/>
        <v>1.12632</v>
      </c>
      <c r="Z53" s="23">
        <f t="shared" si="14"/>
        <v>0</v>
      </c>
      <c r="AA53" s="23">
        <f t="shared" si="14"/>
        <v>0.3536</v>
      </c>
      <c r="AB53" s="23">
        <f t="shared" si="14"/>
        <v>2.3244</v>
      </c>
      <c r="AC53" s="23">
        <f t="shared" si="14"/>
        <v>0.832</v>
      </c>
      <c r="AD53" s="23">
        <f t="shared" si="14"/>
        <v>0</v>
      </c>
      <c r="AE53" s="23">
        <f t="shared" si="14"/>
        <v>0</v>
      </c>
      <c r="AF53" s="23">
        <f t="shared" si="14"/>
        <v>0</v>
      </c>
      <c r="AG53" s="23">
        <f t="shared" si="14"/>
        <v>0</v>
      </c>
      <c r="AH53" s="23">
        <f t="shared" si="14"/>
        <v>0</v>
      </c>
      <c r="AI53" s="23">
        <f t="shared" si="14"/>
        <v>0</v>
      </c>
      <c r="AJ53" s="23">
        <f t="shared" si="14"/>
        <v>0</v>
      </c>
      <c r="AK53" s="23">
        <f t="shared" si="14"/>
        <v>0</v>
      </c>
      <c r="AL53" s="23">
        <f t="shared" si="14"/>
        <v>0</v>
      </c>
      <c r="AM53" s="2"/>
      <c r="AN53" s="2"/>
    </row>
    <row r="54" spans="1:40">
      <c r="A54" s="15" t="s">
        <v>82</v>
      </c>
      <c r="B54" s="15" t="s">
        <v>64</v>
      </c>
      <c r="C54" s="24"/>
      <c r="D54" s="19">
        <f t="shared" ref="D54:AL54" si="15">D29*$F$16*$H$16*$I$16</f>
        <v>0</v>
      </c>
      <c r="E54" s="19">
        <f t="shared" si="15"/>
        <v>1.0504</v>
      </c>
      <c r="F54" s="19">
        <f t="shared" si="15"/>
        <v>1.04</v>
      </c>
      <c r="G54" s="19">
        <f t="shared" si="15"/>
        <v>0</v>
      </c>
      <c r="H54" s="19">
        <f t="shared" si="15"/>
        <v>0</v>
      </c>
      <c r="I54" s="19">
        <f t="shared" si="15"/>
        <v>0</v>
      </c>
      <c r="J54" s="19">
        <f t="shared" si="15"/>
        <v>0</v>
      </c>
      <c r="K54" s="19">
        <f t="shared" si="15"/>
        <v>0.4264</v>
      </c>
      <c r="L54" s="19">
        <f t="shared" si="15"/>
        <v>0</v>
      </c>
      <c r="M54" s="19">
        <f t="shared" si="15"/>
        <v>0</v>
      </c>
      <c r="N54" s="19">
        <f t="shared" si="15"/>
        <v>0</v>
      </c>
      <c r="O54" s="19">
        <f t="shared" si="15"/>
        <v>0</v>
      </c>
      <c r="P54" s="19">
        <f t="shared" si="15"/>
        <v>0</v>
      </c>
      <c r="Q54" s="19">
        <f t="shared" si="15"/>
        <v>0</v>
      </c>
      <c r="R54" s="19">
        <f t="shared" si="15"/>
        <v>0</v>
      </c>
      <c r="S54" s="19">
        <f t="shared" si="15"/>
        <v>0.02288</v>
      </c>
      <c r="T54" s="19">
        <f t="shared" si="15"/>
        <v>0</v>
      </c>
      <c r="U54" s="19">
        <f t="shared" si="15"/>
        <v>0</v>
      </c>
      <c r="V54" s="19">
        <f t="shared" si="15"/>
        <v>0</v>
      </c>
      <c r="W54" s="19">
        <f t="shared" si="15"/>
        <v>3.016</v>
      </c>
      <c r="X54" s="19">
        <f t="shared" si="15"/>
        <v>0</v>
      </c>
      <c r="Y54" s="19">
        <f t="shared" si="15"/>
        <v>1.12632</v>
      </c>
      <c r="Z54" s="19">
        <f t="shared" si="15"/>
        <v>0</v>
      </c>
      <c r="AA54" s="19">
        <f t="shared" si="15"/>
        <v>0.3536</v>
      </c>
      <c r="AB54" s="19">
        <f t="shared" si="15"/>
        <v>2.3244</v>
      </c>
      <c r="AC54" s="19">
        <f t="shared" si="15"/>
        <v>0.832</v>
      </c>
      <c r="AD54" s="19">
        <f t="shared" si="15"/>
        <v>0</v>
      </c>
      <c r="AE54" s="19">
        <f t="shared" si="15"/>
        <v>0</v>
      </c>
      <c r="AF54" s="19">
        <f t="shared" si="15"/>
        <v>0</v>
      </c>
      <c r="AG54" s="19">
        <f t="shared" si="15"/>
        <v>0</v>
      </c>
      <c r="AH54" s="19">
        <f t="shared" si="15"/>
        <v>0</v>
      </c>
      <c r="AI54" s="19">
        <f t="shared" si="15"/>
        <v>0</v>
      </c>
      <c r="AJ54" s="19">
        <f t="shared" si="15"/>
        <v>0</v>
      </c>
      <c r="AK54" s="19">
        <f t="shared" si="15"/>
        <v>0</v>
      </c>
      <c r="AL54" s="19">
        <f t="shared" si="15"/>
        <v>0</v>
      </c>
      <c r="AM54" s="2"/>
      <c r="AN54" s="2"/>
    </row>
    <row r="55" spans="1:40">
      <c r="A55" s="8" t="s">
        <v>83</v>
      </c>
      <c r="B55" s="8" t="s">
        <v>64</v>
      </c>
      <c r="C55" s="22"/>
      <c r="D55" s="23">
        <f t="shared" ref="D55:AL55" si="16">D29*$F$16*$H$16*$J$16</f>
        <v>0</v>
      </c>
      <c r="E55" s="23">
        <f t="shared" si="16"/>
        <v>3.6764</v>
      </c>
      <c r="F55" s="23">
        <f t="shared" si="16"/>
        <v>3.64</v>
      </c>
      <c r="G55" s="23">
        <f t="shared" si="16"/>
        <v>0</v>
      </c>
      <c r="H55" s="23">
        <f t="shared" si="16"/>
        <v>0</v>
      </c>
      <c r="I55" s="23">
        <f t="shared" si="16"/>
        <v>0</v>
      </c>
      <c r="J55" s="23">
        <f t="shared" si="16"/>
        <v>0</v>
      </c>
      <c r="K55" s="23">
        <f t="shared" si="16"/>
        <v>1.4924</v>
      </c>
      <c r="L55" s="23">
        <f t="shared" si="16"/>
        <v>0</v>
      </c>
      <c r="M55" s="23">
        <f t="shared" si="16"/>
        <v>0</v>
      </c>
      <c r="N55" s="23">
        <f t="shared" si="16"/>
        <v>0</v>
      </c>
      <c r="O55" s="23">
        <f t="shared" si="16"/>
        <v>0</v>
      </c>
      <c r="P55" s="23">
        <f t="shared" si="16"/>
        <v>0</v>
      </c>
      <c r="Q55" s="23">
        <f t="shared" si="16"/>
        <v>0</v>
      </c>
      <c r="R55" s="23">
        <f t="shared" si="16"/>
        <v>0</v>
      </c>
      <c r="S55" s="23">
        <f t="shared" si="16"/>
        <v>0.08008</v>
      </c>
      <c r="T55" s="23">
        <f t="shared" si="16"/>
        <v>0</v>
      </c>
      <c r="U55" s="23">
        <f t="shared" si="16"/>
        <v>0</v>
      </c>
      <c r="V55" s="23">
        <f t="shared" si="16"/>
        <v>0</v>
      </c>
      <c r="W55" s="23">
        <f t="shared" si="16"/>
        <v>10.556</v>
      </c>
      <c r="X55" s="23">
        <f t="shared" si="16"/>
        <v>0</v>
      </c>
      <c r="Y55" s="23">
        <f t="shared" si="16"/>
        <v>3.94212</v>
      </c>
      <c r="Z55" s="23">
        <f t="shared" si="16"/>
        <v>0</v>
      </c>
      <c r="AA55" s="23">
        <f t="shared" si="16"/>
        <v>1.2376</v>
      </c>
      <c r="AB55" s="23">
        <f t="shared" si="16"/>
        <v>8.1354</v>
      </c>
      <c r="AC55" s="23">
        <f t="shared" si="16"/>
        <v>2.912</v>
      </c>
      <c r="AD55" s="23">
        <f t="shared" si="16"/>
        <v>0</v>
      </c>
      <c r="AE55" s="23">
        <f t="shared" si="16"/>
        <v>0</v>
      </c>
      <c r="AF55" s="23">
        <f t="shared" si="16"/>
        <v>0</v>
      </c>
      <c r="AG55" s="23">
        <f t="shared" si="16"/>
        <v>0</v>
      </c>
      <c r="AH55" s="23">
        <f t="shared" si="16"/>
        <v>0</v>
      </c>
      <c r="AI55" s="23">
        <f t="shared" si="16"/>
        <v>0</v>
      </c>
      <c r="AJ55" s="23">
        <f t="shared" si="16"/>
        <v>0</v>
      </c>
      <c r="AK55" s="23">
        <f t="shared" si="16"/>
        <v>0</v>
      </c>
      <c r="AL55" s="23">
        <f t="shared" si="16"/>
        <v>0</v>
      </c>
      <c r="AM55" s="2"/>
      <c r="AN55" s="2"/>
    </row>
    <row r="56" spans="1:4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>
      <c r="A57" s="8" t="s">
        <v>84</v>
      </c>
      <c r="B57" s="8" t="s">
        <v>64</v>
      </c>
      <c r="C57" s="22"/>
      <c r="D57" s="23">
        <f t="shared" ref="D57:AL57" si="17">D30*$F$17*$H$17</f>
        <v>0</v>
      </c>
      <c r="E57" s="23">
        <f t="shared" si="17"/>
        <v>25676</v>
      </c>
      <c r="F57" s="23">
        <f t="shared" si="17"/>
        <v>0</v>
      </c>
      <c r="G57" s="23">
        <f t="shared" si="17"/>
        <v>0</v>
      </c>
      <c r="H57" s="23">
        <f t="shared" si="17"/>
        <v>0</v>
      </c>
      <c r="I57" s="23">
        <f t="shared" si="17"/>
        <v>0</v>
      </c>
      <c r="J57" s="23">
        <f t="shared" si="17"/>
        <v>0</v>
      </c>
      <c r="K57" s="23">
        <f t="shared" si="17"/>
        <v>29710.8</v>
      </c>
      <c r="L57" s="23">
        <f t="shared" si="17"/>
        <v>0</v>
      </c>
      <c r="M57" s="23">
        <f t="shared" si="17"/>
        <v>0</v>
      </c>
      <c r="N57" s="23">
        <f t="shared" si="17"/>
        <v>0</v>
      </c>
      <c r="O57" s="23">
        <f t="shared" si="17"/>
        <v>0</v>
      </c>
      <c r="P57" s="23">
        <f t="shared" si="17"/>
        <v>0</v>
      </c>
      <c r="Q57" s="23">
        <f t="shared" si="17"/>
        <v>0</v>
      </c>
      <c r="R57" s="23">
        <f t="shared" si="17"/>
        <v>0</v>
      </c>
      <c r="S57" s="23">
        <f t="shared" si="17"/>
        <v>3154.48</v>
      </c>
      <c r="T57" s="23">
        <f t="shared" si="17"/>
        <v>0</v>
      </c>
      <c r="U57" s="23">
        <f t="shared" si="17"/>
        <v>0</v>
      </c>
      <c r="V57" s="23">
        <f t="shared" si="17"/>
        <v>0</v>
      </c>
      <c r="W57" s="23">
        <f t="shared" si="17"/>
        <v>28280.28</v>
      </c>
      <c r="X57" s="23">
        <f t="shared" si="17"/>
        <v>0</v>
      </c>
      <c r="Y57" s="23">
        <f t="shared" si="17"/>
        <v>2164.12</v>
      </c>
      <c r="Z57" s="23">
        <f t="shared" si="17"/>
        <v>220.08</v>
      </c>
      <c r="AA57" s="23">
        <f t="shared" si="17"/>
        <v>0</v>
      </c>
      <c r="AB57" s="23">
        <f t="shared" si="17"/>
        <v>9500.12</v>
      </c>
      <c r="AC57" s="23">
        <f t="shared" si="17"/>
        <v>5135.2</v>
      </c>
      <c r="AD57" s="23">
        <f t="shared" si="17"/>
        <v>0</v>
      </c>
      <c r="AE57" s="23">
        <f t="shared" si="17"/>
        <v>0</v>
      </c>
      <c r="AF57" s="23">
        <f t="shared" si="17"/>
        <v>0</v>
      </c>
      <c r="AG57" s="23">
        <f t="shared" si="17"/>
        <v>0</v>
      </c>
      <c r="AH57" s="23">
        <f t="shared" si="17"/>
        <v>0</v>
      </c>
      <c r="AI57" s="23">
        <f t="shared" si="17"/>
        <v>2530.92</v>
      </c>
      <c r="AJ57" s="23">
        <f t="shared" si="17"/>
        <v>0</v>
      </c>
      <c r="AK57" s="23">
        <f t="shared" si="17"/>
        <v>0</v>
      </c>
      <c r="AL57" s="23">
        <f t="shared" si="17"/>
        <v>0</v>
      </c>
      <c r="AM57" s="2"/>
      <c r="AN57" s="2"/>
    </row>
    <row r="58" spans="1:40">
      <c r="A58" s="15" t="s">
        <v>85</v>
      </c>
      <c r="B58" s="15" t="s">
        <v>64</v>
      </c>
      <c r="C58" s="24"/>
      <c r="D58" s="19">
        <f t="shared" ref="D58:AL58" si="18">D30*$F$17*$H$17*$I$17</f>
        <v>0</v>
      </c>
      <c r="E58" s="19">
        <f t="shared" si="18"/>
        <v>30811.2</v>
      </c>
      <c r="F58" s="19">
        <f t="shared" si="18"/>
        <v>0</v>
      </c>
      <c r="G58" s="19">
        <f t="shared" si="18"/>
        <v>0</v>
      </c>
      <c r="H58" s="19">
        <f t="shared" si="18"/>
        <v>0</v>
      </c>
      <c r="I58" s="19">
        <f t="shared" si="18"/>
        <v>0</v>
      </c>
      <c r="J58" s="19">
        <f t="shared" si="18"/>
        <v>0</v>
      </c>
      <c r="K58" s="19">
        <f t="shared" si="18"/>
        <v>35652.96</v>
      </c>
      <c r="L58" s="19">
        <f t="shared" si="18"/>
        <v>0</v>
      </c>
      <c r="M58" s="19">
        <f t="shared" si="18"/>
        <v>0</v>
      </c>
      <c r="N58" s="19">
        <f t="shared" si="18"/>
        <v>0</v>
      </c>
      <c r="O58" s="19">
        <f t="shared" si="18"/>
        <v>0</v>
      </c>
      <c r="P58" s="19">
        <f t="shared" si="18"/>
        <v>0</v>
      </c>
      <c r="Q58" s="19">
        <f t="shared" si="18"/>
        <v>0</v>
      </c>
      <c r="R58" s="19">
        <f t="shared" si="18"/>
        <v>0</v>
      </c>
      <c r="S58" s="19">
        <f t="shared" si="18"/>
        <v>3785.376</v>
      </c>
      <c r="T58" s="19">
        <f t="shared" si="18"/>
        <v>0</v>
      </c>
      <c r="U58" s="19">
        <f t="shared" si="18"/>
        <v>0</v>
      </c>
      <c r="V58" s="19">
        <f t="shared" si="18"/>
        <v>0</v>
      </c>
      <c r="W58" s="19">
        <f t="shared" si="18"/>
        <v>33936.336</v>
      </c>
      <c r="X58" s="19">
        <f t="shared" si="18"/>
        <v>0</v>
      </c>
      <c r="Y58" s="19">
        <f t="shared" si="18"/>
        <v>2596.944</v>
      </c>
      <c r="Z58" s="19">
        <f t="shared" si="18"/>
        <v>264.096</v>
      </c>
      <c r="AA58" s="19">
        <f t="shared" si="18"/>
        <v>0</v>
      </c>
      <c r="AB58" s="19">
        <f t="shared" si="18"/>
        <v>11400.144</v>
      </c>
      <c r="AC58" s="19">
        <f t="shared" si="18"/>
        <v>6162.24</v>
      </c>
      <c r="AD58" s="19">
        <f t="shared" si="18"/>
        <v>0</v>
      </c>
      <c r="AE58" s="19">
        <f t="shared" si="18"/>
        <v>0</v>
      </c>
      <c r="AF58" s="19">
        <f t="shared" si="18"/>
        <v>0</v>
      </c>
      <c r="AG58" s="19">
        <f t="shared" si="18"/>
        <v>0</v>
      </c>
      <c r="AH58" s="19">
        <f t="shared" si="18"/>
        <v>0</v>
      </c>
      <c r="AI58" s="19">
        <f t="shared" si="18"/>
        <v>3037.104</v>
      </c>
      <c r="AJ58" s="19">
        <f t="shared" si="18"/>
        <v>0</v>
      </c>
      <c r="AK58" s="19">
        <f t="shared" si="18"/>
        <v>0</v>
      </c>
      <c r="AL58" s="19">
        <f t="shared" si="18"/>
        <v>0</v>
      </c>
      <c r="AM58" s="2"/>
      <c r="AN58" s="2"/>
    </row>
    <row r="59" spans="1:40">
      <c r="A59" s="8" t="s">
        <v>86</v>
      </c>
      <c r="B59" s="8" t="s">
        <v>64</v>
      </c>
      <c r="C59" s="22"/>
      <c r="D59" s="23">
        <f t="shared" ref="D59:AL59" si="19">D30*$F$17*$H$17*$J$17</f>
        <v>0</v>
      </c>
      <c r="E59" s="23">
        <f t="shared" si="19"/>
        <v>38514</v>
      </c>
      <c r="F59" s="23">
        <f t="shared" si="19"/>
        <v>0</v>
      </c>
      <c r="G59" s="23">
        <f t="shared" si="19"/>
        <v>0</v>
      </c>
      <c r="H59" s="23">
        <f t="shared" si="19"/>
        <v>0</v>
      </c>
      <c r="I59" s="23">
        <f t="shared" si="19"/>
        <v>0</v>
      </c>
      <c r="J59" s="23">
        <f t="shared" si="19"/>
        <v>0</v>
      </c>
      <c r="K59" s="23">
        <f t="shared" si="19"/>
        <v>44566.2</v>
      </c>
      <c r="L59" s="23">
        <f t="shared" si="19"/>
        <v>0</v>
      </c>
      <c r="M59" s="23">
        <f t="shared" si="19"/>
        <v>0</v>
      </c>
      <c r="N59" s="23">
        <f t="shared" si="19"/>
        <v>0</v>
      </c>
      <c r="O59" s="23">
        <f t="shared" si="19"/>
        <v>0</v>
      </c>
      <c r="P59" s="23">
        <f t="shared" si="19"/>
        <v>0</v>
      </c>
      <c r="Q59" s="23">
        <f t="shared" si="19"/>
        <v>0</v>
      </c>
      <c r="R59" s="23">
        <f t="shared" si="19"/>
        <v>0</v>
      </c>
      <c r="S59" s="23">
        <f t="shared" si="19"/>
        <v>4731.72</v>
      </c>
      <c r="T59" s="23">
        <f t="shared" si="19"/>
        <v>0</v>
      </c>
      <c r="U59" s="23">
        <f t="shared" si="19"/>
        <v>0</v>
      </c>
      <c r="V59" s="23">
        <f t="shared" si="19"/>
        <v>0</v>
      </c>
      <c r="W59" s="23">
        <f t="shared" si="19"/>
        <v>42420.42</v>
      </c>
      <c r="X59" s="23">
        <f t="shared" si="19"/>
        <v>0</v>
      </c>
      <c r="Y59" s="23">
        <f t="shared" si="19"/>
        <v>3246.18</v>
      </c>
      <c r="Z59" s="23">
        <f t="shared" si="19"/>
        <v>330.12</v>
      </c>
      <c r="AA59" s="23">
        <f t="shared" si="19"/>
        <v>0</v>
      </c>
      <c r="AB59" s="23">
        <f t="shared" si="19"/>
        <v>14250.18</v>
      </c>
      <c r="AC59" s="23">
        <f t="shared" si="19"/>
        <v>7702.8</v>
      </c>
      <c r="AD59" s="23">
        <f t="shared" si="19"/>
        <v>0</v>
      </c>
      <c r="AE59" s="23">
        <f t="shared" si="19"/>
        <v>0</v>
      </c>
      <c r="AF59" s="23">
        <f t="shared" si="19"/>
        <v>0</v>
      </c>
      <c r="AG59" s="23">
        <f t="shared" si="19"/>
        <v>0</v>
      </c>
      <c r="AH59" s="23">
        <f t="shared" si="19"/>
        <v>0</v>
      </c>
      <c r="AI59" s="23">
        <f t="shared" si="19"/>
        <v>3796.38</v>
      </c>
      <c r="AJ59" s="23">
        <f t="shared" si="19"/>
        <v>0</v>
      </c>
      <c r="AK59" s="23">
        <f t="shared" si="19"/>
        <v>0</v>
      </c>
      <c r="AL59" s="23">
        <f t="shared" si="19"/>
        <v>0</v>
      </c>
      <c r="AM59" s="2"/>
      <c r="AN59" s="2"/>
    </row>
    <row r="60" spans="1:4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>
      <c r="A62" s="6" t="s">
        <v>137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>
      <c r="A63" s="3" t="s">
        <v>138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>
      <c r="A64" s="3" t="s">
        <v>139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>
      <c r="A65" s="3" t="s">
        <v>140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>
      <c r="A66" s="3" t="s">
        <v>141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>
      <c r="A67" s="3" t="s">
        <v>142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>
      <c r="A68" s="3" t="s">
        <v>143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>
      <c r="A69" s="3" t="s">
        <v>144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>
      <c r="A70" s="3" t="s">
        <v>145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spans="1:4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Scen_usingStepMining_n_mute_ori</vt:lpstr>
      <vt:lpstr>attache--data--from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2026-08-21T23:04:00Z</dcterms:created>
  <dcterms:modified xsi:type="dcterms:W3CDTF">2026-08-22T21:42:25Z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