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</sheets>
  <definedNames>
    <definedName name="_xlnm._FilterDatabase" localSheetId="0" hidden="1">Scen_usingStepMining_n_mute_ori!$C$39:$AN$109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<sst xmlns="http://schemas.openxmlformats.org/spreadsheetml/2006/main" count="227" uniqueCount="86">
  <si>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</si>
  <si>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</si>
  <si>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</si>
  <si>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</si>
  <si>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</si>
  <si>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</si>
  <si>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</si>
  <si>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</si>
  <si>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</si>
  <si>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</si>
  <si>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</si>
  <si>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</si>
  <si>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</si>
  <si>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</si>
  <si>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</si>
  <si>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</si>
  <si>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</si>
  <si>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</si>
  <si>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</si>
  <si>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</si>
  <si>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</si>
  <si>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</si>
  <si>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</si>
  <si>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</si>
  <si>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</si>
  <si>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</si>
  <si>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</si>
  <si>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</si>
  <si>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</si>
  <si>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</si>
  <si>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</si>
  <si>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</si>
  <si>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</si>
  <si>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</si>
  <si>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</si>
  <si>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</si>
  <si>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</si>
  <si>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</si>
  <si>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</si>
  <si>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</si>
  <si>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</si>
  <si>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</si>
  <si>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</si>
  <si>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</si>
  <si>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</si>
  <si>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</si>
  <si>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</si>
  <si>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</si>
  <si>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</si>
  <si>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</si>
  <si>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</si>
  <si>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</si>
  <si>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</si>
  <si>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</si>
  <si>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</si>
  <si>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</si>
  <si>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</si>
  <si>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</si>
  <si>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</si>
  <si>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</si>
  <si>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</si>
  <si>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MINLiRSV1</t>
  </si>
  <si>
    <t>BNDACT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</si>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</sst>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_ "/>
  </numFmts>
  <fonts count="22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/>
  </cellStyleXfs>
  <cellXfs count="8">
    <xf numFmtId="0" fontId="0" fillId="0" borderId="0" xfId="0">
      <alignment vertical="center"/>
    </xf>
    <xf numFmtId="0" fontId="1" fillId="2" borderId="0" xfId="49" applyFill="1" applyAlignment="1">
      <alignment horizontal="center"/>
    </xf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>
      <alignment vertical="center"/>
    </xf>
    <xf numFmtId="178" fontId="1" fillId="0" borderId="1" xfId="49" applyNumberFormat="1" applyBorder="1"/>
    <xf numFmtId="0" fontId="1" fillId="0" borderId="0" xfId="49" applyFont="1" applyFill="1" applyAlignment="1">
      <alignment horizontal="center"/>
    </xf>
    <xf numFmtId="0" fontId="1" fillId="0" borderId="0" xfId="49" applyFill="1" applyAlignment="1">
      <alignment horizont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09"/>
  <sheetViews>
    <sheetView tabSelected="1" zoomScale="74" zoomScaleNormal="74" zoomScaleSheetLayoutView="60" workbookViewId="0">
      <selection activeCell="G27" sqref="G27"/>
    </sheetView>
  </sheetViews>
  <sheetFormatPr defaultColWidth="9.81818181818182" defaultRowHeight="14.5"/>
  <cols>
    <col min="3" max="3" width="13.6363636363636" customWidth="1"/>
    <col min="6" max="6" width="12.8181818181818" customWidth="1"/>
    <col min="7" max="8" width="12.8181818181818"/>
    <col min="11" max="11" width="33.1818181818182" customWidth="1"/>
    <col min="12" max="12" width="11.2727272727273" customWidth="1"/>
    <col min="13" max="13" width="12.8181818181818"/>
    <col min="18" max="18" width="12.8181818181818"/>
    <col min="21" max="21" width="12.8181818181818"/>
    <col min="25" max="27" width="12.8181818181818"/>
    <col min="30" max="31" width="12.8181818181818"/>
    <col min="33" max="35" width="12.8181818181818"/>
    <col min="37" max="37" width="12.8181818181818"/>
    <col min="39" max="39" width="12.8181818181818"/>
  </cols>
  <sheetData>
    <row r="4" spans="3:41">
      <c r="C4" s="1" t="s">
        <v>0</v>
      </c>
      <c r="D4" s="1">
        <v>12.85</v>
      </c>
      <c r="K4" s="2"/>
      <c r="L4" s="2" t="s">
        <v>1</v>
      </c>
      <c r="M4" s="2"/>
    </row>
    <row r="5" spans="3:41">
      <c r="C5" s="1" t="s">
        <v>2</v>
      </c>
      <c r="D5" s="1">
        <v>20</v>
      </c>
      <c r="K5" s="2" t="s">
        <v>3</v>
      </c>
      <c r="L5" s="2" t="s">
        <v>4</v>
      </c>
      <c r="M5" s="3" t="s">
        <v>5</v>
      </c>
    </row>
    <row r="6" ht="16" spans="3:41">
      <c r="C6" s="1" t="s">
        <v>6</v>
      </c>
      <c r="D6" s="1">
        <v>29.3</v>
      </c>
      <c r="K6" s="4" t="s">
        <v>7</v>
      </c>
      <c r="L6" s="5" t="s">
        <v>8</v>
      </c>
      <c r="M6">
        <v>99999</v>
      </c>
    </row>
    <row r="7" spans="3:41">
      <c r="C7" s="1" t="s">
        <v>9</v>
      </c>
      <c r="D7" s="6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1" t="s">
        <v>11</v>
      </c>
      <c r="D8" s="1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1" t="s">
        <v>13</v>
      </c>
      <c r="D9" s="1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1" t="s">
        <v>15</v>
      </c>
      <c r="D10" s="1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"/>
      <c r="D13" s="2"/>
      <c r="E13" s="2"/>
      <c r="F13" s="2"/>
      <c r="G13" s="2"/>
      <c r="H13" s="2"/>
      <c r="I13" s="2"/>
      <c r="J13" s="2"/>
      <c r="K13" s="2" t="s">
        <v>19</v>
      </c>
      <c r="L13" t="str">
        <f t="shared" si="0"/>
        <v>ACT_COST</v>
      </c>
      <c r="M13">
        <f t="shared" si="1"/>
        <v>99999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3:41">
      <c r="C14" s="2"/>
      <c r="D14" s="2"/>
      <c r="E14" s="2"/>
      <c r="F14" s="2"/>
      <c r="G14" s="2"/>
      <c r="H14" s="2"/>
      <c r="I14" s="2"/>
      <c r="J14" s="2"/>
      <c r="K14" s="2" t="s">
        <v>20</v>
      </c>
      <c r="L14" t="str">
        <f t="shared" si="0"/>
        <v>ACT_COST</v>
      </c>
      <c r="M14">
        <f t="shared" si="1"/>
        <v>99999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3:41">
      <c r="C15" s="2"/>
      <c r="D15" s="2"/>
      <c r="E15" s="2"/>
      <c r="F15" s="2"/>
      <c r="G15" s="2"/>
      <c r="H15" s="2"/>
      <c r="I15" s="2"/>
      <c r="J15" s="2"/>
      <c r="K15" s="2" t="s">
        <v>21</v>
      </c>
      <c r="L15" t="str">
        <f t="shared" si="0"/>
        <v>ACT_COST</v>
      </c>
      <c r="M15">
        <f t="shared" si="1"/>
        <v>99999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3:41">
      <c r="C16" s="2"/>
      <c r="D16" s="2"/>
      <c r="E16" s="2"/>
      <c r="F16" s="3"/>
      <c r="G16" s="3"/>
      <c r="H16" s="3"/>
      <c r="I16" s="3"/>
      <c r="J16" s="3"/>
      <c r="K16" s="3" t="s">
        <v>22</v>
      </c>
      <c r="L16" t="str">
        <f t="shared" si="0"/>
        <v>ACT_COST</v>
      </c>
      <c r="M16">
        <f t="shared" si="1"/>
        <v>99999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2"/>
    </row>
    <row r="17" ht="16" spans="3:41">
      <c r="C17" s="2"/>
      <c r="D17" s="2"/>
      <c r="E17" s="2"/>
      <c r="F17" s="2"/>
      <c r="G17" s="2"/>
      <c r="H17" s="2"/>
      <c r="I17" s="2"/>
      <c r="J17" s="2"/>
      <c r="K17" s="4" t="s">
        <v>7</v>
      </c>
      <c r="L17" s="2" t="s">
        <v>23</v>
      </c>
      <c r="M17" s="2">
        <f t="shared" si="1"/>
        <v>99999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3:41">
      <c r="C18" s="2"/>
      <c r="D18" s="2"/>
      <c r="E18" s="2"/>
      <c r="F18" s="2"/>
      <c r="G18" s="2"/>
      <c r="H18" s="2"/>
      <c r="I18" s="2"/>
      <c r="J18" s="2"/>
      <c r="K18" t="s">
        <v>10</v>
      </c>
      <c r="L18" s="2" t="str">
        <f>L17</f>
        <v>NCAP_FOM</v>
      </c>
      <c r="M18" s="2">
        <f t="shared" ref="M18:M27" si="2">M17</f>
        <v>99999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3:41">
      <c r="C19" s="2"/>
      <c r="D19" s="2"/>
      <c r="E19" s="7"/>
      <c r="F19" s="2"/>
      <c r="G19" s="2"/>
      <c r="H19" s="2"/>
      <c r="I19" s="2"/>
      <c r="J19" s="2"/>
      <c r="K19" t="s">
        <v>12</v>
      </c>
      <c r="L19" s="2" t="str">
        <f t="shared" ref="L19:L27" si="3">L18</f>
        <v>NCAP_FOM</v>
      </c>
      <c r="M19" s="2">
        <f t="shared" si="2"/>
        <v>99999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3:41">
      <c r="C20" s="2"/>
      <c r="D20" s="2"/>
      <c r="E20" s="2"/>
      <c r="F20" s="2"/>
      <c r="G20" s="2"/>
      <c r="H20" s="2"/>
      <c r="I20" s="2"/>
      <c r="J20" s="2"/>
      <c r="K20" t="s">
        <v>14</v>
      </c>
      <c r="L20" s="2" t="str">
        <f t="shared" si="3"/>
        <v>NCAP_FOM</v>
      </c>
      <c r="M20" s="2">
        <f t="shared" si="2"/>
        <v>99999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3:41">
      <c r="C21" s="2"/>
      <c r="D21" s="2"/>
      <c r="E21" s="2"/>
      <c r="F21" s="2"/>
      <c r="G21" s="2"/>
      <c r="H21" s="2"/>
      <c r="I21" s="2"/>
      <c r="J21" s="2"/>
      <c r="K21" t="s">
        <v>16</v>
      </c>
      <c r="L21" s="2" t="str">
        <f t="shared" si="3"/>
        <v>NCAP_FOM</v>
      </c>
      <c r="M21" s="2">
        <f t="shared" si="2"/>
        <v>99999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3:41">
      <c r="C22" s="2"/>
      <c r="D22" s="2"/>
      <c r="E22" s="7"/>
      <c r="F22" s="2"/>
      <c r="G22" s="2"/>
      <c r="H22" s="2"/>
      <c r="I22" s="2"/>
      <c r="J22" s="2"/>
      <c r="K22" t="s">
        <v>17</v>
      </c>
      <c r="L22" s="2" t="str">
        <f t="shared" si="3"/>
        <v>NCAP_FOM</v>
      </c>
      <c r="M22" s="2">
        <f t="shared" si="2"/>
        <v>99999</v>
      </c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3:41">
      <c r="C23" s="2"/>
      <c r="D23" s="2"/>
      <c r="E23" s="2"/>
      <c r="F23" s="2"/>
      <c r="G23" s="2"/>
      <c r="H23" s="2"/>
      <c r="I23" s="2"/>
      <c r="J23" s="2"/>
      <c r="K23" t="s">
        <v>18</v>
      </c>
      <c r="L23" s="2" t="str">
        <f t="shared" si="3"/>
        <v>NCAP_FOM</v>
      </c>
      <c r="M23" s="2">
        <f t="shared" si="2"/>
        <v>99999</v>
      </c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3:41">
      <c r="C24" s="2"/>
      <c r="D24" s="2"/>
      <c r="E24" s="2"/>
      <c r="F24" s="2"/>
      <c r="G24" s="2"/>
      <c r="H24" s="2"/>
      <c r="I24" s="2"/>
      <c r="J24" s="2"/>
      <c r="K24" s="2" t="s">
        <v>19</v>
      </c>
      <c r="L24" s="2" t="str">
        <f t="shared" si="3"/>
        <v>NCAP_FOM</v>
      </c>
      <c r="M24" s="2">
        <f t="shared" si="2"/>
        <v>99999</v>
      </c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3:41">
      <c r="C25" s="2"/>
      <c r="D25" s="2"/>
      <c r="E25" s="7"/>
      <c r="F25" s="2"/>
      <c r="G25" s="2"/>
      <c r="H25" s="2"/>
      <c r="I25" s="2"/>
      <c r="J25" s="2"/>
      <c r="K25" s="2" t="s">
        <v>20</v>
      </c>
      <c r="L25" s="2" t="str">
        <f t="shared" si="3"/>
        <v>NCAP_FOM</v>
      </c>
      <c r="M25" s="2">
        <f t="shared" si="2"/>
        <v>99999</v>
      </c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3:41">
      <c r="C26" s="2"/>
      <c r="D26" s="2"/>
      <c r="E26" s="2"/>
      <c r="F26" s="2"/>
      <c r="G26" s="2"/>
      <c r="H26" s="2"/>
      <c r="I26" s="2"/>
      <c r="J26" s="2"/>
      <c r="K26" s="2" t="s">
        <v>21</v>
      </c>
      <c r="L26" s="2" t="str">
        <f t="shared" si="3"/>
        <v>NCAP_FOM</v>
      </c>
      <c r="M26" s="2">
        <f t="shared" si="2"/>
        <v>99999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3:41">
      <c r="C27" s="2"/>
      <c r="D27" s="2"/>
      <c r="E27" s="2"/>
      <c r="F27" s="2"/>
      <c r="G27" s="2"/>
      <c r="H27" s="2"/>
      <c r="I27" s="2"/>
      <c r="J27" s="2"/>
      <c r="K27" s="3" t="s">
        <v>22</v>
      </c>
      <c r="L27" s="2" t="str">
        <f t="shared" si="3"/>
        <v>NCAP_FOM</v>
      </c>
      <c r="M27" s="2">
        <f t="shared" si="2"/>
        <v>99999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3:41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3:41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3:41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3:41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3:41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3:41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3:41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3:41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3:41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3:41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3:41">
      <c r="C38" s="2"/>
      <c r="D38" s="2"/>
      <c r="E38" s="2"/>
      <c r="F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3:41">
      <c r="C39" s="2" t="s">
        <v>24</v>
      </c>
      <c r="D39" s="2"/>
      <c r="E39" s="2"/>
      <c r="F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3:41">
      <c r="C40" s="2" t="s">
        <v>3</v>
      </c>
      <c r="D40" s="2" t="s">
        <v>4</v>
      </c>
      <c r="E40" s="2" t="s">
        <v>25</v>
      </c>
      <c r="F40" s="2" t="s">
        <v>26</v>
      </c>
      <c r="G40" t="s">
        <v>27</v>
      </c>
      <c r="H40" t="s">
        <v>28</v>
      </c>
      <c r="I40" s="2" t="s">
        <v>29</v>
      </c>
      <c r="J40" s="2" t="s">
        <v>30</v>
      </c>
      <c r="K40" s="2" t="s">
        <v>31</v>
      </c>
      <c r="L40" s="2" t="s">
        <v>32</v>
      </c>
      <c r="M40" s="2" t="s">
        <v>33</v>
      </c>
      <c r="N40" s="2" t="s">
        <v>34</v>
      </c>
      <c r="O40" s="2" t="s">
        <v>35</v>
      </c>
      <c r="P40" s="2" t="s">
        <v>36</v>
      </c>
      <c r="Q40" s="2" t="s">
        <v>37</v>
      </c>
      <c r="R40" s="2" t="s">
        <v>38</v>
      </c>
      <c r="S40" s="2" t="s">
        <v>39</v>
      </c>
      <c r="T40" s="2" t="s">
        <v>40</v>
      </c>
      <c r="U40" s="2" t="s">
        <v>41</v>
      </c>
      <c r="V40" s="2" t="s">
        <v>42</v>
      </c>
      <c r="W40" s="2" t="s">
        <v>43</v>
      </c>
      <c r="X40" s="2" t="s">
        <v>44</v>
      </c>
      <c r="Y40" s="2" t="s">
        <v>45</v>
      </c>
      <c r="Z40" s="2" t="s">
        <v>46</v>
      </c>
      <c r="AA40" s="2" t="s">
        <v>47</v>
      </c>
      <c r="AB40" s="2" t="s">
        <v>48</v>
      </c>
      <c r="AC40" s="2" t="s">
        <v>49</v>
      </c>
      <c r="AD40" s="2" t="s">
        <v>50</v>
      </c>
      <c r="AE40" s="2" t="s">
        <v>51</v>
      </c>
      <c r="AF40" s="2" t="s">
        <v>52</v>
      </c>
      <c r="AG40" s="2" t="s">
        <v>53</v>
      </c>
      <c r="AH40" s="2" t="s">
        <v>54</v>
      </c>
      <c r="AI40" s="2" t="s">
        <v>55</v>
      </c>
      <c r="AJ40" s="2" t="s">
        <v>56</v>
      </c>
      <c r="AK40" s="2" t="s">
        <v>57</v>
      </c>
      <c r="AL40" s="2" t="s">
        <v>58</v>
      </c>
      <c r="AM40" s="2" t="s">
        <v>59</v>
      </c>
      <c r="AN40" s="2" t="s">
        <v>60</v>
      </c>
      <c r="AO40" s="2"/>
    </row>
    <row r="41" spans="3:41">
      <c r="C41" s="2" t="s">
        <v>61</v>
      </c>
      <c r="D41" s="2" t="s">
        <v>62</v>
      </c>
      <c r="E41" s="2"/>
      <c r="F41" s="2">
        <v>0</v>
      </c>
      <c r="G41">
        <v>25</v>
      </c>
      <c r="H41">
        <v>110</v>
      </c>
      <c r="I41" s="2">
        <v>0</v>
      </c>
      <c r="J41" s="2">
        <v>0</v>
      </c>
      <c r="K41" s="2">
        <v>0</v>
      </c>
      <c r="L41" s="2">
        <v>10</v>
      </c>
      <c r="M41" s="2">
        <v>40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5</v>
      </c>
      <c r="V41" s="2">
        <v>0</v>
      </c>
      <c r="W41" s="2">
        <v>0</v>
      </c>
      <c r="X41" s="2">
        <v>0</v>
      </c>
      <c r="Y41" s="2">
        <v>225</v>
      </c>
      <c r="Z41" s="2">
        <v>10</v>
      </c>
      <c r="AA41" s="2">
        <v>25</v>
      </c>
      <c r="AB41" s="2">
        <v>0</v>
      </c>
      <c r="AC41" s="2">
        <v>0</v>
      </c>
      <c r="AD41" s="2">
        <v>40</v>
      </c>
      <c r="AE41" s="2">
        <v>5</v>
      </c>
      <c r="AF41" s="2">
        <v>0</v>
      </c>
      <c r="AG41" s="2">
        <v>0</v>
      </c>
      <c r="AH41" s="2">
        <v>5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/>
    </row>
    <row r="42" spans="3:41">
      <c r="C42" s="2" t="s">
        <v>61</v>
      </c>
      <c r="D42" s="2" t="s">
        <v>63</v>
      </c>
      <c r="E42" s="2"/>
      <c r="F42" s="2">
        <v>0</v>
      </c>
      <c r="G42">
        <v>1500</v>
      </c>
      <c r="H42">
        <v>6600</v>
      </c>
      <c r="I42" s="2">
        <v>0</v>
      </c>
      <c r="J42" s="2">
        <v>0</v>
      </c>
      <c r="K42" s="2">
        <v>0</v>
      </c>
      <c r="L42" s="2">
        <v>600</v>
      </c>
      <c r="M42" s="2">
        <v>2400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300</v>
      </c>
      <c r="V42" s="2">
        <v>0</v>
      </c>
      <c r="W42" s="2">
        <v>0</v>
      </c>
      <c r="X42" s="2">
        <v>0</v>
      </c>
      <c r="Y42" s="2">
        <v>13500</v>
      </c>
      <c r="Z42" s="2">
        <v>600</v>
      </c>
      <c r="AA42" s="2">
        <v>1500</v>
      </c>
      <c r="AB42" s="2">
        <v>0</v>
      </c>
      <c r="AC42" s="2">
        <v>0</v>
      </c>
      <c r="AD42" s="2">
        <v>2400</v>
      </c>
      <c r="AE42" s="2">
        <v>300</v>
      </c>
      <c r="AF42" s="2">
        <v>0</v>
      </c>
      <c r="AG42" s="2">
        <v>0</v>
      </c>
      <c r="AH42" s="2">
        <v>300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/>
    </row>
    <row r="43" spans="3:41">
      <c r="C43" s="2" t="s">
        <v>61</v>
      </c>
      <c r="D43" s="2" t="s">
        <v>64</v>
      </c>
      <c r="E43" s="2" t="s">
        <v>0</v>
      </c>
      <c r="F43" s="2">
        <f>9</f>
        <v>9</v>
      </c>
      <c r="G43">
        <f>F43</f>
        <v>9</v>
      </c>
      <c r="H43">
        <f t="shared" ref="H43:AN43" si="4">G43</f>
        <v>9</v>
      </c>
      <c r="I43">
        <f t="shared" si="4"/>
        <v>9</v>
      </c>
      <c r="J43">
        <f t="shared" si="4"/>
        <v>9</v>
      </c>
      <c r="K43">
        <f t="shared" si="4"/>
        <v>9</v>
      </c>
      <c r="L43">
        <f t="shared" si="4"/>
        <v>9</v>
      </c>
      <c r="M43">
        <f t="shared" si="4"/>
        <v>9</v>
      </c>
      <c r="N43">
        <f t="shared" si="4"/>
        <v>9</v>
      </c>
      <c r="O43">
        <f t="shared" si="4"/>
        <v>9</v>
      </c>
      <c r="P43">
        <f t="shared" si="4"/>
        <v>9</v>
      </c>
      <c r="Q43">
        <f t="shared" si="4"/>
        <v>9</v>
      </c>
      <c r="R43">
        <f t="shared" si="4"/>
        <v>9</v>
      </c>
      <c r="S43">
        <f t="shared" si="4"/>
        <v>9</v>
      </c>
      <c r="T43">
        <f t="shared" si="4"/>
        <v>9</v>
      </c>
      <c r="U43">
        <f t="shared" si="4"/>
        <v>9</v>
      </c>
      <c r="V43">
        <f t="shared" si="4"/>
        <v>9</v>
      </c>
      <c r="W43">
        <f t="shared" si="4"/>
        <v>9</v>
      </c>
      <c r="X43">
        <f t="shared" si="4"/>
        <v>9</v>
      </c>
      <c r="Y43">
        <f t="shared" si="4"/>
        <v>9</v>
      </c>
      <c r="Z43">
        <f t="shared" si="4"/>
        <v>9</v>
      </c>
      <c r="AA43">
        <f t="shared" si="4"/>
        <v>9</v>
      </c>
      <c r="AB43">
        <f t="shared" si="4"/>
        <v>9</v>
      </c>
      <c r="AC43">
        <f t="shared" si="4"/>
        <v>9</v>
      </c>
      <c r="AD43">
        <f t="shared" si="4"/>
        <v>9</v>
      </c>
      <c r="AE43">
        <f t="shared" si="4"/>
        <v>9</v>
      </c>
      <c r="AF43">
        <f t="shared" si="4"/>
        <v>9</v>
      </c>
      <c r="AG43">
        <f t="shared" si="4"/>
        <v>9</v>
      </c>
      <c r="AH43">
        <f t="shared" si="4"/>
        <v>9</v>
      </c>
      <c r="AI43">
        <f t="shared" si="4"/>
        <v>9</v>
      </c>
      <c r="AJ43">
        <f t="shared" si="4"/>
        <v>9</v>
      </c>
      <c r="AK43">
        <f t="shared" si="4"/>
        <v>9</v>
      </c>
      <c r="AL43">
        <f t="shared" si="4"/>
        <v>9</v>
      </c>
      <c r="AM43">
        <f t="shared" si="4"/>
        <v>9</v>
      </c>
      <c r="AN43">
        <f t="shared" si="4"/>
        <v>9</v>
      </c>
      <c r="AO43" s="2"/>
    </row>
    <row r="44" spans="3:41">
      <c r="C44" s="2" t="s">
        <v>65</v>
      </c>
      <c r="D44" s="2" t="s">
        <v>62</v>
      </c>
      <c r="E44" s="2"/>
      <c r="F44" s="2">
        <v>0</v>
      </c>
      <c r="G44">
        <v>37.5</v>
      </c>
      <c r="H44">
        <v>165</v>
      </c>
      <c r="I44">
        <v>0</v>
      </c>
      <c r="J44">
        <v>0</v>
      </c>
      <c r="K44">
        <v>0</v>
      </c>
      <c r="L44">
        <v>15</v>
      </c>
      <c r="M44">
        <v>60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7.5</v>
      </c>
      <c r="V44">
        <v>0</v>
      </c>
      <c r="W44">
        <v>0</v>
      </c>
      <c r="X44">
        <v>0</v>
      </c>
      <c r="Y44">
        <v>337.5</v>
      </c>
      <c r="Z44">
        <v>15</v>
      </c>
      <c r="AA44">
        <v>37.5</v>
      </c>
      <c r="AB44">
        <v>0</v>
      </c>
      <c r="AC44">
        <v>0</v>
      </c>
      <c r="AD44">
        <v>60</v>
      </c>
      <c r="AE44">
        <v>7.5</v>
      </c>
      <c r="AF44">
        <v>0</v>
      </c>
      <c r="AG44">
        <v>0</v>
      </c>
      <c r="AH44">
        <v>7.5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 s="2"/>
    </row>
    <row r="45" spans="3:41">
      <c r="C45" s="2" t="s">
        <v>65</v>
      </c>
      <c r="D45" s="2" t="s">
        <v>63</v>
      </c>
      <c r="E45" s="2"/>
      <c r="F45" s="2">
        <v>0</v>
      </c>
      <c r="G45" s="2">
        <v>3000</v>
      </c>
      <c r="H45" s="2">
        <v>13200</v>
      </c>
      <c r="I45" s="2">
        <v>0</v>
      </c>
      <c r="J45" s="2">
        <v>0</v>
      </c>
      <c r="K45" s="2">
        <v>0</v>
      </c>
      <c r="L45" s="2">
        <v>1200</v>
      </c>
      <c r="M45" s="2">
        <v>4800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600</v>
      </c>
      <c r="V45" s="2">
        <v>0</v>
      </c>
      <c r="W45" s="2">
        <v>0</v>
      </c>
      <c r="X45" s="2">
        <v>0</v>
      </c>
      <c r="Y45" s="2">
        <v>27000</v>
      </c>
      <c r="Z45" s="2">
        <v>1200</v>
      </c>
      <c r="AA45" s="2">
        <v>3000</v>
      </c>
      <c r="AB45" s="2">
        <v>0</v>
      </c>
      <c r="AC45" s="2">
        <v>0</v>
      </c>
      <c r="AD45" s="2">
        <v>4800</v>
      </c>
      <c r="AE45" s="2">
        <v>600</v>
      </c>
      <c r="AF45" s="2">
        <v>0</v>
      </c>
      <c r="AG45" s="2">
        <v>0</v>
      </c>
      <c r="AH45" s="2">
        <v>600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/>
    </row>
    <row r="46" spans="3:41">
      <c r="C46" s="2" t="s">
        <v>65</v>
      </c>
      <c r="D46" s="2" t="s">
        <v>64</v>
      </c>
      <c r="E46" s="2" t="s">
        <v>0</v>
      </c>
      <c r="F46" s="2">
        <f>16</f>
        <v>16</v>
      </c>
      <c r="G46">
        <f>F46</f>
        <v>16</v>
      </c>
      <c r="H46">
        <f t="shared" ref="H46:AN46" si="5">G46</f>
        <v>16</v>
      </c>
      <c r="I46">
        <f t="shared" si="5"/>
        <v>16</v>
      </c>
      <c r="J46">
        <f t="shared" si="5"/>
        <v>16</v>
      </c>
      <c r="K46">
        <f t="shared" si="5"/>
        <v>16</v>
      </c>
      <c r="L46">
        <f t="shared" si="5"/>
        <v>16</v>
      </c>
      <c r="M46">
        <f t="shared" si="5"/>
        <v>16</v>
      </c>
      <c r="N46">
        <f t="shared" si="5"/>
        <v>16</v>
      </c>
      <c r="O46">
        <f t="shared" si="5"/>
        <v>16</v>
      </c>
      <c r="P46">
        <f t="shared" si="5"/>
        <v>16</v>
      </c>
      <c r="Q46">
        <f t="shared" si="5"/>
        <v>16</v>
      </c>
      <c r="R46">
        <f t="shared" si="5"/>
        <v>16</v>
      </c>
      <c r="S46">
        <f t="shared" si="5"/>
        <v>16</v>
      </c>
      <c r="T46">
        <f t="shared" si="5"/>
        <v>16</v>
      </c>
      <c r="U46">
        <f t="shared" si="5"/>
        <v>16</v>
      </c>
      <c r="V46">
        <f t="shared" si="5"/>
        <v>16</v>
      </c>
      <c r="W46">
        <f t="shared" si="5"/>
        <v>16</v>
      </c>
      <c r="X46">
        <f t="shared" si="5"/>
        <v>16</v>
      </c>
      <c r="Y46">
        <f t="shared" si="5"/>
        <v>16</v>
      </c>
      <c r="Z46">
        <f t="shared" si="5"/>
        <v>16</v>
      </c>
      <c r="AA46">
        <f t="shared" si="5"/>
        <v>16</v>
      </c>
      <c r="AB46">
        <f t="shared" si="5"/>
        <v>16</v>
      </c>
      <c r="AC46">
        <f t="shared" si="5"/>
        <v>16</v>
      </c>
      <c r="AD46">
        <f t="shared" si="5"/>
        <v>16</v>
      </c>
      <c r="AE46">
        <f t="shared" si="5"/>
        <v>16</v>
      </c>
      <c r="AF46">
        <f t="shared" si="5"/>
        <v>16</v>
      </c>
      <c r="AG46">
        <f t="shared" si="5"/>
        <v>16</v>
      </c>
      <c r="AH46">
        <f t="shared" si="5"/>
        <v>16</v>
      </c>
      <c r="AI46">
        <f t="shared" si="5"/>
        <v>16</v>
      </c>
      <c r="AJ46">
        <f t="shared" si="5"/>
        <v>16</v>
      </c>
      <c r="AK46">
        <f t="shared" si="5"/>
        <v>16</v>
      </c>
      <c r="AL46">
        <f t="shared" si="5"/>
        <v>16</v>
      </c>
      <c r="AM46">
        <f t="shared" si="5"/>
        <v>16</v>
      </c>
      <c r="AN46">
        <f t="shared" si="5"/>
        <v>16</v>
      </c>
      <c r="AO46" s="2"/>
    </row>
    <row r="47" spans="3:41">
      <c r="C47" s="2" t="s">
        <v>66</v>
      </c>
      <c r="D47" s="2" t="s">
        <v>62</v>
      </c>
      <c r="E47" s="2"/>
      <c r="F47" s="2">
        <v>0</v>
      </c>
      <c r="G47" s="2">
        <v>60</v>
      </c>
      <c r="H47" s="2">
        <v>264</v>
      </c>
      <c r="I47" s="2">
        <v>0</v>
      </c>
      <c r="J47" s="2">
        <v>0</v>
      </c>
      <c r="K47" s="2">
        <v>0</v>
      </c>
      <c r="L47" s="2">
        <v>24</v>
      </c>
      <c r="M47" s="2">
        <v>96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12</v>
      </c>
      <c r="V47" s="2">
        <v>0</v>
      </c>
      <c r="W47" s="2">
        <v>0</v>
      </c>
      <c r="X47" s="2">
        <v>0</v>
      </c>
      <c r="Y47" s="2">
        <v>540</v>
      </c>
      <c r="Z47" s="2">
        <v>24</v>
      </c>
      <c r="AA47" s="2">
        <v>60</v>
      </c>
      <c r="AB47" s="2">
        <v>0</v>
      </c>
      <c r="AC47" s="2">
        <v>0</v>
      </c>
      <c r="AD47" s="2">
        <v>96</v>
      </c>
      <c r="AE47" s="2">
        <v>12</v>
      </c>
      <c r="AF47" s="2">
        <v>0</v>
      </c>
      <c r="AG47" s="2">
        <v>0</v>
      </c>
      <c r="AH47" s="2">
        <v>12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/>
    </row>
    <row r="48" spans="3:41">
      <c r="C48" s="2" t="s">
        <v>66</v>
      </c>
      <c r="D48" s="2" t="s">
        <v>63</v>
      </c>
      <c r="E48" s="2"/>
      <c r="F48" s="2">
        <v>0</v>
      </c>
      <c r="G48" s="2">
        <v>6000</v>
      </c>
      <c r="H48" s="2">
        <v>26400</v>
      </c>
      <c r="I48" s="2">
        <v>0</v>
      </c>
      <c r="J48" s="2">
        <v>0</v>
      </c>
      <c r="K48" s="2">
        <v>0</v>
      </c>
      <c r="L48" s="2">
        <v>2400</v>
      </c>
      <c r="M48" s="2">
        <v>9600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1200</v>
      </c>
      <c r="V48" s="2">
        <v>0</v>
      </c>
      <c r="W48" s="2">
        <v>0</v>
      </c>
      <c r="X48" s="2">
        <v>0</v>
      </c>
      <c r="Y48" s="2">
        <v>54000</v>
      </c>
      <c r="Z48" s="2">
        <v>2400</v>
      </c>
      <c r="AA48" s="2">
        <v>6000</v>
      </c>
      <c r="AB48" s="2">
        <v>0</v>
      </c>
      <c r="AC48" s="2">
        <v>0</v>
      </c>
      <c r="AD48" s="2">
        <v>9600</v>
      </c>
      <c r="AE48" s="2">
        <v>1200</v>
      </c>
      <c r="AF48" s="2">
        <v>0</v>
      </c>
      <c r="AG48" s="2">
        <v>0</v>
      </c>
      <c r="AH48" s="2">
        <v>1200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/>
    </row>
    <row r="49" spans="3:41">
      <c r="C49" s="2" t="s">
        <v>66</v>
      </c>
      <c r="D49" s="2" t="s">
        <v>64</v>
      </c>
      <c r="E49" s="2" t="s">
        <v>0</v>
      </c>
      <c r="F49" s="2">
        <v>32</v>
      </c>
      <c r="G49">
        <f>F49</f>
        <v>32</v>
      </c>
      <c r="H49">
        <f t="shared" ref="H49:AN49" si="6">G49</f>
        <v>32</v>
      </c>
      <c r="I49">
        <f t="shared" si="6"/>
        <v>32</v>
      </c>
      <c r="J49">
        <f t="shared" si="6"/>
        <v>32</v>
      </c>
      <c r="K49">
        <f t="shared" si="6"/>
        <v>32</v>
      </c>
      <c r="L49">
        <f t="shared" si="6"/>
        <v>32</v>
      </c>
      <c r="M49">
        <f t="shared" si="6"/>
        <v>32</v>
      </c>
      <c r="N49">
        <f t="shared" si="6"/>
        <v>32</v>
      </c>
      <c r="O49">
        <f t="shared" si="6"/>
        <v>32</v>
      </c>
      <c r="P49">
        <f t="shared" si="6"/>
        <v>32</v>
      </c>
      <c r="Q49">
        <f t="shared" si="6"/>
        <v>32</v>
      </c>
      <c r="R49">
        <f t="shared" si="6"/>
        <v>32</v>
      </c>
      <c r="S49">
        <f t="shared" si="6"/>
        <v>32</v>
      </c>
      <c r="T49">
        <f t="shared" si="6"/>
        <v>32</v>
      </c>
      <c r="U49">
        <f t="shared" si="6"/>
        <v>32</v>
      </c>
      <c r="V49">
        <f t="shared" si="6"/>
        <v>32</v>
      </c>
      <c r="W49">
        <f t="shared" si="6"/>
        <v>32</v>
      </c>
      <c r="X49">
        <f t="shared" si="6"/>
        <v>32</v>
      </c>
      <c r="Y49">
        <f t="shared" si="6"/>
        <v>32</v>
      </c>
      <c r="Z49">
        <f t="shared" si="6"/>
        <v>32</v>
      </c>
      <c r="AA49">
        <f t="shared" si="6"/>
        <v>32</v>
      </c>
      <c r="AB49">
        <f t="shared" si="6"/>
        <v>32</v>
      </c>
      <c r="AC49">
        <f t="shared" si="6"/>
        <v>32</v>
      </c>
      <c r="AD49">
        <f t="shared" si="6"/>
        <v>32</v>
      </c>
      <c r="AE49">
        <f t="shared" si="6"/>
        <v>32</v>
      </c>
      <c r="AF49">
        <f t="shared" si="6"/>
        <v>32</v>
      </c>
      <c r="AG49">
        <f t="shared" si="6"/>
        <v>32</v>
      </c>
      <c r="AH49">
        <f t="shared" si="6"/>
        <v>32</v>
      </c>
      <c r="AI49">
        <f t="shared" si="6"/>
        <v>32</v>
      </c>
      <c r="AJ49">
        <f t="shared" si="6"/>
        <v>32</v>
      </c>
      <c r="AK49">
        <f t="shared" si="6"/>
        <v>32</v>
      </c>
      <c r="AL49">
        <f t="shared" si="6"/>
        <v>32</v>
      </c>
      <c r="AM49">
        <f t="shared" si="6"/>
        <v>32</v>
      </c>
      <c r="AN49">
        <f t="shared" si="6"/>
        <v>32</v>
      </c>
      <c r="AO49" s="2"/>
    </row>
    <row r="50" spans="3:41">
      <c r="C50" s="2" t="s">
        <v>67</v>
      </c>
      <c r="D50" s="2"/>
      <c r="E50" s="2"/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/>
    </row>
    <row r="51" spans="3:41">
      <c r="C51" s="2" t="s">
        <v>68</v>
      </c>
      <c r="D51" s="2" t="s">
        <v>62</v>
      </c>
      <c r="E51" s="2"/>
      <c r="F51" s="2">
        <v>21.6666666666667</v>
      </c>
      <c r="G51" s="2">
        <v>86.6666666666667</v>
      </c>
      <c r="H51" s="2">
        <v>346.666666666667</v>
      </c>
      <c r="I51" s="2">
        <v>0</v>
      </c>
      <c r="J51" s="2">
        <v>0</v>
      </c>
      <c r="K51" s="2">
        <v>0</v>
      </c>
      <c r="L51" s="2">
        <v>260</v>
      </c>
      <c r="M51" s="2">
        <v>65</v>
      </c>
      <c r="N51" s="2">
        <v>0</v>
      </c>
      <c r="O51" s="2">
        <v>0</v>
      </c>
      <c r="P51" s="2">
        <v>0</v>
      </c>
      <c r="Q51" s="2">
        <v>0</v>
      </c>
      <c r="R51" s="2">
        <v>21.6666666666667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108.333333333333</v>
      </c>
      <c r="Z51" s="2">
        <v>0</v>
      </c>
      <c r="AA51" s="2">
        <v>43.3333333333333</v>
      </c>
      <c r="AB51" s="2">
        <v>0</v>
      </c>
      <c r="AC51" s="2">
        <v>0</v>
      </c>
      <c r="AD51" s="2">
        <v>953.333333333333</v>
      </c>
      <c r="AE51" s="2">
        <v>130</v>
      </c>
      <c r="AF51" s="2">
        <v>0</v>
      </c>
      <c r="AG51" s="2">
        <v>65</v>
      </c>
      <c r="AH51" s="2">
        <v>0</v>
      </c>
      <c r="AI51" s="2">
        <v>21.6666666666667</v>
      </c>
      <c r="AJ51" s="2">
        <v>0</v>
      </c>
      <c r="AK51" s="2">
        <v>43.3333333333333</v>
      </c>
      <c r="AL51" s="2">
        <v>0</v>
      </c>
      <c r="AM51" s="2">
        <v>0</v>
      </c>
      <c r="AN51" s="2">
        <v>0</v>
      </c>
      <c r="AO51" s="2"/>
    </row>
    <row r="52" spans="3:41">
      <c r="C52" s="2" t="s">
        <v>68</v>
      </c>
      <c r="D52" s="2" t="s">
        <v>63</v>
      </c>
      <c r="E52" s="2"/>
      <c r="F52" s="2">
        <v>1300</v>
      </c>
      <c r="G52" s="2">
        <v>5200</v>
      </c>
      <c r="H52" s="2">
        <v>20800</v>
      </c>
      <c r="I52" s="2">
        <v>0</v>
      </c>
      <c r="J52" s="2">
        <v>0</v>
      </c>
      <c r="K52" s="2">
        <v>0</v>
      </c>
      <c r="L52" s="2">
        <v>15600</v>
      </c>
      <c r="M52" s="2">
        <v>3900</v>
      </c>
      <c r="N52" s="2">
        <v>0</v>
      </c>
      <c r="O52" s="2">
        <v>0</v>
      </c>
      <c r="P52" s="2">
        <v>0</v>
      </c>
      <c r="Q52" s="2">
        <v>0</v>
      </c>
      <c r="R52" s="2">
        <v>1300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6500</v>
      </c>
      <c r="Z52" s="2">
        <v>0</v>
      </c>
      <c r="AA52" s="2">
        <v>2600</v>
      </c>
      <c r="AB52" s="2">
        <v>0</v>
      </c>
      <c r="AC52" s="2">
        <v>0</v>
      </c>
      <c r="AD52" s="2">
        <v>57200</v>
      </c>
      <c r="AE52" s="2">
        <v>7800</v>
      </c>
      <c r="AF52" s="2">
        <v>0</v>
      </c>
      <c r="AG52" s="2">
        <v>3900</v>
      </c>
      <c r="AH52" s="2">
        <v>0</v>
      </c>
      <c r="AI52" s="2">
        <v>1300</v>
      </c>
      <c r="AJ52" s="2">
        <v>0</v>
      </c>
      <c r="AK52" s="2">
        <v>2600</v>
      </c>
      <c r="AL52" s="2">
        <v>0</v>
      </c>
      <c r="AM52" s="2">
        <v>0</v>
      </c>
      <c r="AN52" s="2">
        <v>0</v>
      </c>
      <c r="AO52" s="2"/>
    </row>
    <row r="53" spans="3:41">
      <c r="C53" s="2" t="s">
        <v>68</v>
      </c>
      <c r="D53" s="2" t="s">
        <v>64</v>
      </c>
      <c r="E53" s="2" t="s">
        <v>2</v>
      </c>
      <c r="F53" s="2">
        <v>14</v>
      </c>
      <c r="G53">
        <f>F53</f>
        <v>14</v>
      </c>
      <c r="H53">
        <f t="shared" ref="H53:AN53" si="7">G53</f>
        <v>14</v>
      </c>
      <c r="I53">
        <f t="shared" si="7"/>
        <v>14</v>
      </c>
      <c r="J53">
        <f t="shared" si="7"/>
        <v>14</v>
      </c>
      <c r="K53">
        <f t="shared" si="7"/>
        <v>14</v>
      </c>
      <c r="L53">
        <f t="shared" si="7"/>
        <v>14</v>
      </c>
      <c r="M53">
        <f t="shared" si="7"/>
        <v>14</v>
      </c>
      <c r="N53">
        <f t="shared" si="7"/>
        <v>14</v>
      </c>
      <c r="O53">
        <f t="shared" si="7"/>
        <v>14</v>
      </c>
      <c r="P53">
        <f t="shared" si="7"/>
        <v>14</v>
      </c>
      <c r="Q53">
        <f t="shared" si="7"/>
        <v>14</v>
      </c>
      <c r="R53">
        <f t="shared" si="7"/>
        <v>14</v>
      </c>
      <c r="S53">
        <f t="shared" si="7"/>
        <v>14</v>
      </c>
      <c r="T53">
        <f t="shared" si="7"/>
        <v>14</v>
      </c>
      <c r="U53">
        <f t="shared" si="7"/>
        <v>14</v>
      </c>
      <c r="V53">
        <f t="shared" si="7"/>
        <v>14</v>
      </c>
      <c r="W53">
        <f t="shared" si="7"/>
        <v>14</v>
      </c>
      <c r="X53">
        <f t="shared" si="7"/>
        <v>14</v>
      </c>
      <c r="Y53">
        <f t="shared" si="7"/>
        <v>14</v>
      </c>
      <c r="Z53">
        <f t="shared" si="7"/>
        <v>14</v>
      </c>
      <c r="AA53">
        <f t="shared" si="7"/>
        <v>14</v>
      </c>
      <c r="AB53">
        <f t="shared" si="7"/>
        <v>14</v>
      </c>
      <c r="AC53">
        <f t="shared" si="7"/>
        <v>14</v>
      </c>
      <c r="AD53">
        <f t="shared" si="7"/>
        <v>14</v>
      </c>
      <c r="AE53">
        <f t="shared" si="7"/>
        <v>14</v>
      </c>
      <c r="AF53">
        <f t="shared" si="7"/>
        <v>14</v>
      </c>
      <c r="AG53">
        <f t="shared" si="7"/>
        <v>14</v>
      </c>
      <c r="AH53">
        <f t="shared" si="7"/>
        <v>14</v>
      </c>
      <c r="AI53">
        <f t="shared" si="7"/>
        <v>14</v>
      </c>
      <c r="AJ53">
        <f t="shared" si="7"/>
        <v>14</v>
      </c>
      <c r="AK53">
        <f t="shared" si="7"/>
        <v>14</v>
      </c>
      <c r="AL53">
        <f t="shared" si="7"/>
        <v>14</v>
      </c>
      <c r="AM53">
        <f t="shared" si="7"/>
        <v>14</v>
      </c>
      <c r="AN53">
        <f t="shared" si="7"/>
        <v>14</v>
      </c>
      <c r="AO53" s="2"/>
    </row>
    <row r="54" spans="3:41">
      <c r="C54" s="2" t="s">
        <v>69</v>
      </c>
      <c r="D54" s="2" t="s">
        <v>62</v>
      </c>
      <c r="E54" s="2"/>
      <c r="F54" s="2">
        <v>32.5</v>
      </c>
      <c r="G54" s="2">
        <v>130</v>
      </c>
      <c r="H54" s="2">
        <v>520</v>
      </c>
      <c r="I54" s="2">
        <v>0</v>
      </c>
      <c r="J54" s="2">
        <v>0</v>
      </c>
      <c r="K54" s="2">
        <v>0</v>
      </c>
      <c r="L54" s="2">
        <v>390</v>
      </c>
      <c r="M54" s="2">
        <v>97.5</v>
      </c>
      <c r="N54" s="2">
        <v>0</v>
      </c>
      <c r="O54" s="2">
        <v>0</v>
      </c>
      <c r="P54" s="2">
        <v>0</v>
      </c>
      <c r="Q54" s="2">
        <v>0</v>
      </c>
      <c r="R54" s="2">
        <v>32.5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162.5</v>
      </c>
      <c r="Z54" s="2">
        <v>0</v>
      </c>
      <c r="AA54" s="2">
        <v>65</v>
      </c>
      <c r="AB54" s="2">
        <v>0</v>
      </c>
      <c r="AC54" s="2">
        <v>0</v>
      </c>
      <c r="AD54" s="2">
        <v>1430</v>
      </c>
      <c r="AE54" s="2">
        <v>195</v>
      </c>
      <c r="AF54" s="2">
        <v>0</v>
      </c>
      <c r="AG54" s="2">
        <v>97.5</v>
      </c>
      <c r="AH54" s="2">
        <v>0</v>
      </c>
      <c r="AI54" s="2">
        <v>32.5</v>
      </c>
      <c r="AJ54" s="2">
        <v>0</v>
      </c>
      <c r="AK54" s="2">
        <v>65</v>
      </c>
      <c r="AL54" s="2">
        <v>0</v>
      </c>
      <c r="AM54" s="2">
        <v>0</v>
      </c>
      <c r="AN54" s="2">
        <v>0</v>
      </c>
      <c r="AO54" s="2"/>
    </row>
    <row r="55" spans="3:41">
      <c r="C55" s="2" t="s">
        <v>69</v>
      </c>
      <c r="D55" s="2" t="s">
        <v>63</v>
      </c>
      <c r="E55" s="2"/>
      <c r="F55" s="2">
        <v>2600</v>
      </c>
      <c r="G55" s="2">
        <v>10400</v>
      </c>
      <c r="H55" s="2">
        <v>41600</v>
      </c>
      <c r="I55" s="2">
        <v>0</v>
      </c>
      <c r="J55" s="2">
        <v>0</v>
      </c>
      <c r="K55" s="2">
        <v>0</v>
      </c>
      <c r="L55" s="2">
        <v>31200</v>
      </c>
      <c r="M55" s="2">
        <v>7800</v>
      </c>
      <c r="N55" s="2">
        <v>0</v>
      </c>
      <c r="O55" s="2">
        <v>0</v>
      </c>
      <c r="P55" s="2">
        <v>0</v>
      </c>
      <c r="Q55" s="2">
        <v>0</v>
      </c>
      <c r="R55" s="2">
        <v>2600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13000</v>
      </c>
      <c r="Z55" s="2">
        <v>0</v>
      </c>
      <c r="AA55" s="2">
        <v>5200</v>
      </c>
      <c r="AB55" s="2">
        <v>0</v>
      </c>
      <c r="AC55" s="2">
        <v>0</v>
      </c>
      <c r="AD55" s="2">
        <v>114400</v>
      </c>
      <c r="AE55" s="2">
        <v>15600</v>
      </c>
      <c r="AF55" s="2">
        <v>0</v>
      </c>
      <c r="AG55" s="2">
        <v>7800</v>
      </c>
      <c r="AH55" s="2">
        <v>0</v>
      </c>
      <c r="AI55" s="2">
        <v>2600</v>
      </c>
      <c r="AJ55" s="2">
        <v>0</v>
      </c>
      <c r="AK55" s="2">
        <v>5200</v>
      </c>
      <c r="AL55" s="2">
        <v>0</v>
      </c>
      <c r="AM55" s="2">
        <v>0</v>
      </c>
      <c r="AN55" s="2">
        <v>0</v>
      </c>
      <c r="AO55" s="2"/>
    </row>
    <row r="56" spans="3:41">
      <c r="C56" s="2" t="s">
        <v>69</v>
      </c>
      <c r="D56" s="2" t="s">
        <v>64</v>
      </c>
      <c r="E56" s="2" t="s">
        <v>2</v>
      </c>
      <c r="F56" s="2">
        <v>26</v>
      </c>
      <c r="G56">
        <f>F56</f>
        <v>26</v>
      </c>
      <c r="H56">
        <f t="shared" ref="H56:AN56" si="8">G56</f>
        <v>26</v>
      </c>
      <c r="I56">
        <f t="shared" si="8"/>
        <v>26</v>
      </c>
      <c r="J56">
        <f t="shared" si="8"/>
        <v>26</v>
      </c>
      <c r="K56">
        <f t="shared" si="8"/>
        <v>26</v>
      </c>
      <c r="L56">
        <f t="shared" si="8"/>
        <v>26</v>
      </c>
      <c r="M56">
        <f t="shared" si="8"/>
        <v>26</v>
      </c>
      <c r="N56">
        <f t="shared" si="8"/>
        <v>26</v>
      </c>
      <c r="O56">
        <f t="shared" si="8"/>
        <v>26</v>
      </c>
      <c r="P56">
        <f t="shared" si="8"/>
        <v>26</v>
      </c>
      <c r="Q56">
        <f t="shared" si="8"/>
        <v>26</v>
      </c>
      <c r="R56">
        <f t="shared" si="8"/>
        <v>26</v>
      </c>
      <c r="S56">
        <f t="shared" si="8"/>
        <v>26</v>
      </c>
      <c r="T56">
        <f t="shared" si="8"/>
        <v>26</v>
      </c>
      <c r="U56">
        <f t="shared" si="8"/>
        <v>26</v>
      </c>
      <c r="V56">
        <f t="shared" si="8"/>
        <v>26</v>
      </c>
      <c r="W56">
        <f t="shared" si="8"/>
        <v>26</v>
      </c>
      <c r="X56">
        <f t="shared" si="8"/>
        <v>26</v>
      </c>
      <c r="Y56">
        <f t="shared" si="8"/>
        <v>26</v>
      </c>
      <c r="Z56">
        <f t="shared" si="8"/>
        <v>26</v>
      </c>
      <c r="AA56">
        <f t="shared" si="8"/>
        <v>26</v>
      </c>
      <c r="AB56">
        <f t="shared" si="8"/>
        <v>26</v>
      </c>
      <c r="AC56">
        <f t="shared" si="8"/>
        <v>26</v>
      </c>
      <c r="AD56">
        <f t="shared" si="8"/>
        <v>26</v>
      </c>
      <c r="AE56">
        <f t="shared" si="8"/>
        <v>26</v>
      </c>
      <c r="AF56">
        <f t="shared" si="8"/>
        <v>26</v>
      </c>
      <c r="AG56">
        <f t="shared" si="8"/>
        <v>26</v>
      </c>
      <c r="AH56">
        <f t="shared" si="8"/>
        <v>26</v>
      </c>
      <c r="AI56">
        <f t="shared" si="8"/>
        <v>26</v>
      </c>
      <c r="AJ56">
        <f t="shared" si="8"/>
        <v>26</v>
      </c>
      <c r="AK56">
        <f t="shared" si="8"/>
        <v>26</v>
      </c>
      <c r="AL56">
        <f t="shared" si="8"/>
        <v>26</v>
      </c>
      <c r="AM56">
        <f t="shared" si="8"/>
        <v>26</v>
      </c>
      <c r="AN56">
        <f t="shared" si="8"/>
        <v>26</v>
      </c>
      <c r="AO56" s="2"/>
    </row>
    <row r="57" spans="3:41">
      <c r="C57" t="s">
        <v>70</v>
      </c>
      <c r="D57" t="s">
        <v>62</v>
      </c>
      <c r="F57">
        <v>52</v>
      </c>
      <c r="G57">
        <v>208</v>
      </c>
      <c r="H57">
        <v>832</v>
      </c>
      <c r="I57">
        <v>0</v>
      </c>
      <c r="J57">
        <v>0</v>
      </c>
      <c r="K57">
        <v>0</v>
      </c>
      <c r="L57">
        <v>624</v>
      </c>
      <c r="M57">
        <v>156</v>
      </c>
      <c r="N57">
        <v>0</v>
      </c>
      <c r="O57">
        <v>0</v>
      </c>
      <c r="P57">
        <v>0</v>
      </c>
      <c r="Q57">
        <v>0</v>
      </c>
      <c r="R57">
        <v>52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260</v>
      </c>
      <c r="Z57">
        <v>0</v>
      </c>
      <c r="AA57">
        <v>104</v>
      </c>
      <c r="AB57">
        <v>0</v>
      </c>
      <c r="AC57">
        <v>0</v>
      </c>
      <c r="AD57">
        <v>2288</v>
      </c>
      <c r="AE57">
        <v>312</v>
      </c>
      <c r="AF57">
        <v>0</v>
      </c>
      <c r="AG57">
        <v>156</v>
      </c>
      <c r="AH57">
        <v>0</v>
      </c>
      <c r="AI57">
        <v>52</v>
      </c>
      <c r="AJ57">
        <v>0</v>
      </c>
      <c r="AK57">
        <v>104</v>
      </c>
      <c r="AL57">
        <v>0</v>
      </c>
      <c r="AM57">
        <v>0</v>
      </c>
      <c r="AN57">
        <v>0</v>
      </c>
    </row>
    <row r="58" spans="3:41">
      <c r="C58" t="s">
        <v>70</v>
      </c>
      <c r="D58" t="s">
        <v>63</v>
      </c>
      <c r="F58">
        <v>5200</v>
      </c>
      <c r="G58">
        <v>20800</v>
      </c>
      <c r="H58">
        <v>83200</v>
      </c>
      <c r="I58">
        <v>0</v>
      </c>
      <c r="J58">
        <v>0</v>
      </c>
      <c r="K58">
        <v>0</v>
      </c>
      <c r="L58">
        <v>62400</v>
      </c>
      <c r="M58">
        <v>15600</v>
      </c>
      <c r="N58">
        <v>0</v>
      </c>
      <c r="O58">
        <v>0</v>
      </c>
      <c r="P58">
        <v>0</v>
      </c>
      <c r="Q58">
        <v>0</v>
      </c>
      <c r="R58">
        <v>5200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26000</v>
      </c>
      <c r="Z58">
        <v>0</v>
      </c>
      <c r="AA58">
        <v>10400</v>
      </c>
      <c r="AB58">
        <v>0</v>
      </c>
      <c r="AC58">
        <v>0</v>
      </c>
      <c r="AD58">
        <v>228800</v>
      </c>
      <c r="AE58">
        <v>31200</v>
      </c>
      <c r="AF58">
        <v>0</v>
      </c>
      <c r="AG58">
        <v>15600</v>
      </c>
      <c r="AH58">
        <v>0</v>
      </c>
      <c r="AI58">
        <v>5200</v>
      </c>
      <c r="AJ58">
        <v>0</v>
      </c>
      <c r="AK58">
        <v>10400</v>
      </c>
      <c r="AL58">
        <v>0</v>
      </c>
      <c r="AM58">
        <v>0</v>
      </c>
      <c r="AN58">
        <v>0</v>
      </c>
    </row>
    <row r="59" spans="3:41">
      <c r="C59" t="s">
        <v>70</v>
      </c>
      <c r="D59" t="s">
        <v>64</v>
      </c>
      <c r="E59" t="s">
        <v>2</v>
      </c>
      <c r="F59">
        <v>50</v>
      </c>
      <c r="G59">
        <f>F59</f>
        <v>50</v>
      </c>
      <c r="H59">
        <f t="shared" ref="H59:AN59" si="9">G59</f>
        <v>50</v>
      </c>
      <c r="I59">
        <f t="shared" si="9"/>
        <v>50</v>
      </c>
      <c r="J59">
        <f t="shared" si="9"/>
        <v>50</v>
      </c>
      <c r="K59">
        <f t="shared" si="9"/>
        <v>50</v>
      </c>
      <c r="L59">
        <f t="shared" si="9"/>
        <v>50</v>
      </c>
      <c r="M59">
        <f t="shared" si="9"/>
        <v>50</v>
      </c>
      <c r="N59">
        <f t="shared" si="9"/>
        <v>50</v>
      </c>
      <c r="O59">
        <f t="shared" si="9"/>
        <v>50</v>
      </c>
      <c r="P59">
        <f t="shared" si="9"/>
        <v>50</v>
      </c>
      <c r="Q59">
        <f t="shared" si="9"/>
        <v>50</v>
      </c>
      <c r="R59">
        <f t="shared" si="9"/>
        <v>50</v>
      </c>
      <c r="S59">
        <f t="shared" si="9"/>
        <v>50</v>
      </c>
      <c r="T59">
        <f t="shared" si="9"/>
        <v>50</v>
      </c>
      <c r="U59">
        <f t="shared" si="9"/>
        <v>50</v>
      </c>
      <c r="V59">
        <f t="shared" si="9"/>
        <v>50</v>
      </c>
      <c r="W59">
        <f t="shared" si="9"/>
        <v>50</v>
      </c>
      <c r="X59">
        <f t="shared" si="9"/>
        <v>50</v>
      </c>
      <c r="Y59">
        <f t="shared" si="9"/>
        <v>50</v>
      </c>
      <c r="Z59">
        <f t="shared" si="9"/>
        <v>50</v>
      </c>
      <c r="AA59">
        <f t="shared" si="9"/>
        <v>50</v>
      </c>
      <c r="AB59">
        <f t="shared" si="9"/>
        <v>50</v>
      </c>
      <c r="AC59">
        <f t="shared" si="9"/>
        <v>50</v>
      </c>
      <c r="AD59">
        <f t="shared" si="9"/>
        <v>50</v>
      </c>
      <c r="AE59">
        <f t="shared" si="9"/>
        <v>50</v>
      </c>
      <c r="AF59">
        <f t="shared" si="9"/>
        <v>50</v>
      </c>
      <c r="AG59">
        <f t="shared" si="9"/>
        <v>50</v>
      </c>
      <c r="AH59">
        <f t="shared" si="9"/>
        <v>50</v>
      </c>
      <c r="AI59">
        <f t="shared" si="9"/>
        <v>50</v>
      </c>
      <c r="AJ59">
        <f t="shared" si="9"/>
        <v>50</v>
      </c>
      <c r="AK59">
        <f t="shared" si="9"/>
        <v>50</v>
      </c>
      <c r="AL59">
        <f t="shared" si="9"/>
        <v>50</v>
      </c>
      <c r="AM59">
        <f t="shared" si="9"/>
        <v>50</v>
      </c>
      <c r="AN59">
        <f t="shared" si="9"/>
        <v>50</v>
      </c>
    </row>
    <row r="60" spans="3:41">
      <c r="C60" t="s">
        <v>67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</row>
    <row r="61" spans="3:41">
      <c r="C61" t="s">
        <v>71</v>
      </c>
      <c r="D61" t="s">
        <v>62</v>
      </c>
      <c r="F61">
        <v>1.83333333333333</v>
      </c>
      <c r="G61">
        <v>99</v>
      </c>
      <c r="H61">
        <v>25.6666666666667</v>
      </c>
      <c r="I61">
        <v>0</v>
      </c>
      <c r="J61">
        <v>0</v>
      </c>
      <c r="K61">
        <v>0</v>
      </c>
      <c r="L61">
        <v>0</v>
      </c>
      <c r="M61">
        <v>1.83333333333333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7.33333333333333</v>
      </c>
      <c r="Z61">
        <v>1.83333333333333</v>
      </c>
      <c r="AA61">
        <v>5.5</v>
      </c>
      <c r="AB61">
        <v>0</v>
      </c>
      <c r="AC61">
        <v>0</v>
      </c>
      <c r="AD61">
        <v>33</v>
      </c>
      <c r="AE61">
        <v>3.66666666666667</v>
      </c>
      <c r="AF61">
        <v>0</v>
      </c>
      <c r="AG61">
        <v>1.83333333333333</v>
      </c>
      <c r="AH61">
        <v>0</v>
      </c>
      <c r="AI61">
        <v>0</v>
      </c>
      <c r="AJ61">
        <v>0</v>
      </c>
      <c r="AK61">
        <v>1.83333333333333</v>
      </c>
      <c r="AL61">
        <v>0</v>
      </c>
      <c r="AM61">
        <v>0</v>
      </c>
      <c r="AN61">
        <v>0</v>
      </c>
    </row>
    <row r="62" spans="3:41">
      <c r="C62" t="s">
        <v>71</v>
      </c>
      <c r="D62" t="s">
        <v>63</v>
      </c>
      <c r="F62">
        <v>110</v>
      </c>
      <c r="G62">
        <v>5940</v>
      </c>
      <c r="H62">
        <v>1540</v>
      </c>
      <c r="I62">
        <v>0</v>
      </c>
      <c r="J62">
        <v>0</v>
      </c>
      <c r="K62">
        <v>0</v>
      </c>
      <c r="L62">
        <v>0</v>
      </c>
      <c r="M62">
        <v>110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440</v>
      </c>
      <c r="Z62">
        <v>110</v>
      </c>
      <c r="AA62">
        <v>330</v>
      </c>
      <c r="AB62">
        <v>0</v>
      </c>
      <c r="AC62">
        <v>0</v>
      </c>
      <c r="AD62">
        <v>1980</v>
      </c>
      <c r="AE62">
        <v>220</v>
      </c>
      <c r="AF62">
        <v>0</v>
      </c>
      <c r="AG62">
        <v>110</v>
      </c>
      <c r="AH62">
        <v>0</v>
      </c>
      <c r="AI62">
        <v>0</v>
      </c>
      <c r="AJ62">
        <v>0</v>
      </c>
      <c r="AK62">
        <v>110</v>
      </c>
      <c r="AL62">
        <v>0</v>
      </c>
      <c r="AM62">
        <v>0</v>
      </c>
      <c r="AN62">
        <v>0</v>
      </c>
    </row>
    <row r="63" spans="3:41">
      <c r="C63" t="s">
        <v>71</v>
      </c>
      <c r="D63" t="s">
        <v>64</v>
      </c>
      <c r="E63" t="s">
        <v>6</v>
      </c>
      <c r="F63">
        <v>20.51</v>
      </c>
      <c r="G63">
        <f>F63</f>
        <v>20.51</v>
      </c>
      <c r="H63">
        <f t="shared" ref="H63:AN63" si="10">G63</f>
        <v>20.51</v>
      </c>
      <c r="I63">
        <f t="shared" si="10"/>
        <v>20.51</v>
      </c>
      <c r="J63">
        <f t="shared" si="10"/>
        <v>20.51</v>
      </c>
      <c r="K63">
        <f t="shared" si="10"/>
        <v>20.51</v>
      </c>
      <c r="L63">
        <f t="shared" si="10"/>
        <v>20.51</v>
      </c>
      <c r="M63">
        <f t="shared" si="10"/>
        <v>20.51</v>
      </c>
      <c r="N63">
        <f t="shared" si="10"/>
        <v>20.51</v>
      </c>
      <c r="O63">
        <f t="shared" si="10"/>
        <v>20.51</v>
      </c>
      <c r="P63">
        <f t="shared" si="10"/>
        <v>20.51</v>
      </c>
      <c r="Q63">
        <f t="shared" si="10"/>
        <v>20.51</v>
      </c>
      <c r="R63">
        <f t="shared" si="10"/>
        <v>20.51</v>
      </c>
      <c r="S63">
        <f t="shared" si="10"/>
        <v>20.51</v>
      </c>
      <c r="T63">
        <f t="shared" si="10"/>
        <v>20.51</v>
      </c>
      <c r="U63">
        <f t="shared" si="10"/>
        <v>20.51</v>
      </c>
      <c r="V63">
        <f t="shared" si="10"/>
        <v>20.51</v>
      </c>
      <c r="W63">
        <f t="shared" si="10"/>
        <v>20.51</v>
      </c>
      <c r="X63">
        <f t="shared" si="10"/>
        <v>20.51</v>
      </c>
      <c r="Y63">
        <f t="shared" si="10"/>
        <v>20.51</v>
      </c>
      <c r="Z63">
        <f t="shared" si="10"/>
        <v>20.51</v>
      </c>
      <c r="AA63">
        <f t="shared" si="10"/>
        <v>20.51</v>
      </c>
      <c r="AB63">
        <f t="shared" si="10"/>
        <v>20.51</v>
      </c>
      <c r="AC63">
        <f t="shared" si="10"/>
        <v>20.51</v>
      </c>
      <c r="AD63">
        <f t="shared" si="10"/>
        <v>20.51</v>
      </c>
      <c r="AE63">
        <f t="shared" si="10"/>
        <v>20.51</v>
      </c>
      <c r="AF63">
        <f t="shared" si="10"/>
        <v>20.51</v>
      </c>
      <c r="AG63">
        <f t="shared" si="10"/>
        <v>20.51</v>
      </c>
      <c r="AH63">
        <f t="shared" si="10"/>
        <v>20.51</v>
      </c>
      <c r="AI63">
        <f t="shared" si="10"/>
        <v>20.51</v>
      </c>
      <c r="AJ63">
        <f t="shared" si="10"/>
        <v>20.51</v>
      </c>
      <c r="AK63">
        <f t="shared" si="10"/>
        <v>20.51</v>
      </c>
      <c r="AL63">
        <f t="shared" si="10"/>
        <v>20.51</v>
      </c>
      <c r="AM63">
        <f t="shared" si="10"/>
        <v>20.51</v>
      </c>
      <c r="AN63">
        <f t="shared" si="10"/>
        <v>20.51</v>
      </c>
    </row>
    <row r="64" spans="3:41">
      <c r="C64" t="s">
        <v>72</v>
      </c>
      <c r="D64" t="s">
        <v>62</v>
      </c>
      <c r="F64">
        <v>2.75</v>
      </c>
      <c r="G64">
        <v>148.5</v>
      </c>
      <c r="H64">
        <v>38.5</v>
      </c>
      <c r="I64">
        <v>0</v>
      </c>
      <c r="J64">
        <v>0</v>
      </c>
      <c r="K64">
        <v>0</v>
      </c>
      <c r="L64">
        <v>0</v>
      </c>
      <c r="M64">
        <v>2.75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11</v>
      </c>
      <c r="Z64">
        <v>2.75</v>
      </c>
      <c r="AA64">
        <v>8.25</v>
      </c>
      <c r="AB64">
        <v>0</v>
      </c>
      <c r="AC64">
        <v>0</v>
      </c>
      <c r="AD64">
        <v>49.5</v>
      </c>
      <c r="AE64">
        <v>5.5</v>
      </c>
      <c r="AF64">
        <v>0</v>
      </c>
      <c r="AG64">
        <v>2.75</v>
      </c>
      <c r="AH64">
        <v>0</v>
      </c>
      <c r="AI64">
        <v>0</v>
      </c>
      <c r="AJ64">
        <v>0</v>
      </c>
      <c r="AK64">
        <v>2.75</v>
      </c>
      <c r="AL64">
        <v>0</v>
      </c>
      <c r="AM64">
        <v>0</v>
      </c>
      <c r="AN64">
        <v>0</v>
      </c>
    </row>
    <row r="65" spans="3:40">
      <c r="C65" t="s">
        <v>72</v>
      </c>
      <c r="D65" t="s">
        <v>63</v>
      </c>
      <c r="F65">
        <v>220</v>
      </c>
      <c r="G65">
        <v>11880</v>
      </c>
      <c r="H65">
        <v>3080</v>
      </c>
      <c r="I65">
        <v>0</v>
      </c>
      <c r="J65">
        <v>0</v>
      </c>
      <c r="K65">
        <v>0</v>
      </c>
      <c r="L65">
        <v>0</v>
      </c>
      <c r="M65">
        <v>220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880</v>
      </c>
      <c r="Z65">
        <v>220</v>
      </c>
      <c r="AA65">
        <v>660</v>
      </c>
      <c r="AB65">
        <v>0</v>
      </c>
      <c r="AC65">
        <v>0</v>
      </c>
      <c r="AD65">
        <v>3960</v>
      </c>
      <c r="AE65">
        <v>440</v>
      </c>
      <c r="AF65">
        <v>0</v>
      </c>
      <c r="AG65">
        <v>220</v>
      </c>
      <c r="AH65">
        <v>0</v>
      </c>
      <c r="AI65">
        <v>0</v>
      </c>
      <c r="AJ65">
        <v>0</v>
      </c>
      <c r="AK65">
        <v>220</v>
      </c>
      <c r="AL65">
        <v>0</v>
      </c>
      <c r="AM65">
        <v>0</v>
      </c>
      <c r="AN65">
        <v>0</v>
      </c>
    </row>
    <row r="66" spans="3:40">
      <c r="C66" t="s">
        <v>72</v>
      </c>
      <c r="D66" t="s">
        <v>64</v>
      </c>
      <c r="E66" t="s">
        <v>6</v>
      </c>
      <c r="F66">
        <v>38.09</v>
      </c>
      <c r="G66">
        <f>F66</f>
        <v>38.09</v>
      </c>
      <c r="H66">
        <f t="shared" ref="H66:AN66" si="11">G66</f>
        <v>38.09</v>
      </c>
      <c r="I66">
        <f t="shared" si="11"/>
        <v>38.09</v>
      </c>
      <c r="J66">
        <f t="shared" si="11"/>
        <v>38.09</v>
      </c>
      <c r="K66">
        <f t="shared" si="11"/>
        <v>38.09</v>
      </c>
      <c r="L66">
        <f t="shared" si="11"/>
        <v>38.09</v>
      </c>
      <c r="M66">
        <f t="shared" si="11"/>
        <v>38.09</v>
      </c>
      <c r="N66">
        <f t="shared" si="11"/>
        <v>38.09</v>
      </c>
      <c r="O66">
        <f t="shared" si="11"/>
        <v>38.09</v>
      </c>
      <c r="P66">
        <f t="shared" si="11"/>
        <v>38.09</v>
      </c>
      <c r="Q66">
        <f t="shared" si="11"/>
        <v>38.09</v>
      </c>
      <c r="R66">
        <f t="shared" si="11"/>
        <v>38.09</v>
      </c>
      <c r="S66">
        <f t="shared" si="11"/>
        <v>38.09</v>
      </c>
      <c r="T66">
        <f t="shared" si="11"/>
        <v>38.09</v>
      </c>
      <c r="U66">
        <f t="shared" si="11"/>
        <v>38.09</v>
      </c>
      <c r="V66">
        <f t="shared" si="11"/>
        <v>38.09</v>
      </c>
      <c r="W66">
        <f t="shared" si="11"/>
        <v>38.09</v>
      </c>
      <c r="X66">
        <f t="shared" si="11"/>
        <v>38.09</v>
      </c>
      <c r="Y66">
        <f t="shared" si="11"/>
        <v>38.09</v>
      </c>
      <c r="Z66">
        <f t="shared" si="11"/>
        <v>38.09</v>
      </c>
      <c r="AA66">
        <f t="shared" si="11"/>
        <v>38.09</v>
      </c>
      <c r="AB66">
        <f t="shared" si="11"/>
        <v>38.09</v>
      </c>
      <c r="AC66">
        <f t="shared" si="11"/>
        <v>38.09</v>
      </c>
      <c r="AD66">
        <f t="shared" si="11"/>
        <v>38.09</v>
      </c>
      <c r="AE66">
        <f t="shared" si="11"/>
        <v>38.09</v>
      </c>
      <c r="AF66">
        <f t="shared" si="11"/>
        <v>38.09</v>
      </c>
      <c r="AG66">
        <f t="shared" si="11"/>
        <v>38.09</v>
      </c>
      <c r="AH66">
        <f t="shared" si="11"/>
        <v>38.09</v>
      </c>
      <c r="AI66">
        <f t="shared" si="11"/>
        <v>38.09</v>
      </c>
      <c r="AJ66">
        <f t="shared" si="11"/>
        <v>38.09</v>
      </c>
      <c r="AK66">
        <f t="shared" si="11"/>
        <v>38.09</v>
      </c>
      <c r="AL66">
        <f t="shared" si="11"/>
        <v>38.09</v>
      </c>
      <c r="AM66">
        <f t="shared" si="11"/>
        <v>38.09</v>
      </c>
      <c r="AN66">
        <f t="shared" si="11"/>
        <v>38.09</v>
      </c>
    </row>
    <row r="67" spans="3:40">
      <c r="C67" t="s">
        <v>73</v>
      </c>
      <c r="D67" t="s">
        <v>62</v>
      </c>
      <c r="F67">
        <v>4.4</v>
      </c>
      <c r="G67">
        <v>237.6</v>
      </c>
      <c r="H67">
        <v>61.6</v>
      </c>
      <c r="I67">
        <v>0</v>
      </c>
      <c r="J67">
        <v>0</v>
      </c>
      <c r="K67">
        <v>0</v>
      </c>
      <c r="L67">
        <v>0</v>
      </c>
      <c r="M67">
        <v>4.4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17.6</v>
      </c>
      <c r="Z67">
        <v>4.4</v>
      </c>
      <c r="AA67">
        <v>13.2</v>
      </c>
      <c r="AB67">
        <v>0</v>
      </c>
      <c r="AC67">
        <v>0</v>
      </c>
      <c r="AD67">
        <v>79.2</v>
      </c>
      <c r="AE67">
        <v>8.8</v>
      </c>
      <c r="AF67">
        <v>0</v>
      </c>
      <c r="AG67">
        <v>4.4</v>
      </c>
      <c r="AH67">
        <v>0</v>
      </c>
      <c r="AI67">
        <v>0</v>
      </c>
      <c r="AJ67">
        <v>0</v>
      </c>
      <c r="AK67">
        <v>4.4</v>
      </c>
      <c r="AL67">
        <v>0</v>
      </c>
      <c r="AM67">
        <v>0</v>
      </c>
      <c r="AN67">
        <v>0</v>
      </c>
    </row>
    <row r="68" spans="3:40">
      <c r="C68" t="s">
        <v>73</v>
      </c>
      <c r="D68" t="s">
        <v>63</v>
      </c>
      <c r="F68">
        <v>440</v>
      </c>
      <c r="G68">
        <v>23760</v>
      </c>
      <c r="H68">
        <v>6160</v>
      </c>
      <c r="I68">
        <v>0</v>
      </c>
      <c r="J68">
        <v>0</v>
      </c>
      <c r="K68">
        <v>0</v>
      </c>
      <c r="L68">
        <v>0</v>
      </c>
      <c r="M68">
        <v>440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1760</v>
      </c>
      <c r="Z68">
        <v>440</v>
      </c>
      <c r="AA68">
        <v>1320</v>
      </c>
      <c r="AB68">
        <v>0</v>
      </c>
      <c r="AC68">
        <v>0</v>
      </c>
      <c r="AD68">
        <v>7920</v>
      </c>
      <c r="AE68">
        <v>880</v>
      </c>
      <c r="AF68">
        <v>0</v>
      </c>
      <c r="AG68">
        <v>440</v>
      </c>
      <c r="AH68">
        <v>0</v>
      </c>
      <c r="AI68">
        <v>0</v>
      </c>
      <c r="AJ68">
        <v>0</v>
      </c>
      <c r="AK68">
        <v>440</v>
      </c>
      <c r="AL68">
        <v>0</v>
      </c>
      <c r="AM68">
        <v>0</v>
      </c>
      <c r="AN68">
        <v>0</v>
      </c>
    </row>
    <row r="69" spans="3:40">
      <c r="C69" t="s">
        <v>73</v>
      </c>
      <c r="D69" t="s">
        <v>64</v>
      </c>
      <c r="E69" t="s">
        <v>6</v>
      </c>
      <c r="F69">
        <v>73.25</v>
      </c>
      <c r="G69">
        <f>F69</f>
        <v>73.25</v>
      </c>
      <c r="H69">
        <f t="shared" ref="H69:AN69" si="12">G69</f>
        <v>73.25</v>
      </c>
      <c r="I69">
        <f t="shared" si="12"/>
        <v>73.25</v>
      </c>
      <c r="J69">
        <f t="shared" si="12"/>
        <v>73.25</v>
      </c>
      <c r="K69">
        <f t="shared" si="12"/>
        <v>73.25</v>
      </c>
      <c r="L69">
        <f t="shared" si="12"/>
        <v>73.25</v>
      </c>
      <c r="M69">
        <f t="shared" si="12"/>
        <v>73.25</v>
      </c>
      <c r="N69">
        <f t="shared" si="12"/>
        <v>73.25</v>
      </c>
      <c r="O69">
        <f t="shared" si="12"/>
        <v>73.25</v>
      </c>
      <c r="P69">
        <f t="shared" si="12"/>
        <v>73.25</v>
      </c>
      <c r="Q69">
        <f t="shared" si="12"/>
        <v>73.25</v>
      </c>
      <c r="R69">
        <f t="shared" si="12"/>
        <v>73.25</v>
      </c>
      <c r="S69">
        <f t="shared" si="12"/>
        <v>73.25</v>
      </c>
      <c r="T69">
        <f t="shared" si="12"/>
        <v>73.25</v>
      </c>
      <c r="U69">
        <f t="shared" si="12"/>
        <v>73.25</v>
      </c>
      <c r="V69">
        <f t="shared" si="12"/>
        <v>73.25</v>
      </c>
      <c r="W69">
        <f t="shared" si="12"/>
        <v>73.25</v>
      </c>
      <c r="X69">
        <f t="shared" si="12"/>
        <v>73.25</v>
      </c>
      <c r="Y69">
        <f t="shared" si="12"/>
        <v>73.25</v>
      </c>
      <c r="Z69">
        <f t="shared" si="12"/>
        <v>73.25</v>
      </c>
      <c r="AA69">
        <f t="shared" si="12"/>
        <v>73.25</v>
      </c>
      <c r="AB69">
        <f t="shared" si="12"/>
        <v>73.25</v>
      </c>
      <c r="AC69">
        <f t="shared" si="12"/>
        <v>73.25</v>
      </c>
      <c r="AD69">
        <f t="shared" si="12"/>
        <v>73.25</v>
      </c>
      <c r="AE69">
        <f t="shared" si="12"/>
        <v>73.25</v>
      </c>
      <c r="AF69">
        <f t="shared" si="12"/>
        <v>73.25</v>
      </c>
      <c r="AG69">
        <f t="shared" si="12"/>
        <v>73.25</v>
      </c>
      <c r="AH69">
        <f t="shared" si="12"/>
        <v>73.25</v>
      </c>
      <c r="AI69">
        <f t="shared" si="12"/>
        <v>73.25</v>
      </c>
      <c r="AJ69">
        <f t="shared" si="12"/>
        <v>73.25</v>
      </c>
      <c r="AK69">
        <f t="shared" si="12"/>
        <v>73.25</v>
      </c>
      <c r="AL69">
        <f t="shared" si="12"/>
        <v>73.25</v>
      </c>
      <c r="AM69">
        <f t="shared" si="12"/>
        <v>73.25</v>
      </c>
      <c r="AN69">
        <f t="shared" si="12"/>
        <v>73.25</v>
      </c>
    </row>
    <row r="70" spans="3:40">
      <c r="C70" t="s">
        <v>67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</row>
    <row r="71" spans="3:40">
      <c r="C71" t="s">
        <v>74</v>
      </c>
      <c r="D71" t="s">
        <v>62</v>
      </c>
      <c r="F71">
        <v>0</v>
      </c>
      <c r="G71">
        <v>1900</v>
      </c>
      <c r="H71">
        <v>4433.33333333333</v>
      </c>
      <c r="I71">
        <v>0</v>
      </c>
      <c r="J71">
        <v>0</v>
      </c>
      <c r="K71">
        <v>0</v>
      </c>
      <c r="L71">
        <v>4750</v>
      </c>
      <c r="M71">
        <v>4433.33333333333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950</v>
      </c>
      <c r="V71">
        <v>0</v>
      </c>
      <c r="W71">
        <v>0</v>
      </c>
      <c r="X71">
        <v>0</v>
      </c>
      <c r="Y71">
        <v>633.333333333333</v>
      </c>
      <c r="Z71">
        <v>0</v>
      </c>
      <c r="AA71">
        <v>0</v>
      </c>
      <c r="AB71">
        <v>0</v>
      </c>
      <c r="AC71">
        <v>0</v>
      </c>
      <c r="AD71">
        <v>950</v>
      </c>
      <c r="AE71">
        <v>0</v>
      </c>
      <c r="AF71">
        <v>0</v>
      </c>
      <c r="AG71">
        <v>11400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2216.66666666667</v>
      </c>
      <c r="AN71">
        <v>0</v>
      </c>
    </row>
    <row r="72" spans="3:40">
      <c r="C72" t="s">
        <v>74</v>
      </c>
      <c r="D72" t="s">
        <v>63</v>
      </c>
      <c r="F72">
        <v>0</v>
      </c>
      <c r="G72">
        <v>114000</v>
      </c>
      <c r="H72">
        <v>266000</v>
      </c>
      <c r="I72">
        <v>0</v>
      </c>
      <c r="J72">
        <v>0</v>
      </c>
      <c r="K72">
        <v>0</v>
      </c>
      <c r="L72">
        <v>285000</v>
      </c>
      <c r="M72">
        <v>266000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57000</v>
      </c>
      <c r="V72">
        <v>0</v>
      </c>
      <c r="W72">
        <v>0</v>
      </c>
      <c r="X72">
        <v>0</v>
      </c>
      <c r="Y72">
        <v>38000</v>
      </c>
      <c r="Z72">
        <v>0</v>
      </c>
      <c r="AA72">
        <v>0</v>
      </c>
      <c r="AB72">
        <v>0</v>
      </c>
      <c r="AC72">
        <v>0</v>
      </c>
      <c r="AD72">
        <v>57000</v>
      </c>
      <c r="AE72">
        <v>0</v>
      </c>
      <c r="AF72">
        <v>0</v>
      </c>
      <c r="AG72">
        <v>684000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133000</v>
      </c>
      <c r="AN72">
        <v>0</v>
      </c>
    </row>
    <row r="73" spans="3:40">
      <c r="C73" t="s">
        <v>74</v>
      </c>
      <c r="D73" t="s">
        <v>64</v>
      </c>
      <c r="E73" t="s">
        <v>9</v>
      </c>
      <c r="F73">
        <v>1.4</v>
      </c>
      <c r="G73">
        <f>F73</f>
        <v>1.4</v>
      </c>
      <c r="H73">
        <f t="shared" ref="H73:AN73" si="13">G73</f>
        <v>1.4</v>
      </c>
      <c r="I73">
        <f t="shared" si="13"/>
        <v>1.4</v>
      </c>
      <c r="J73">
        <f t="shared" si="13"/>
        <v>1.4</v>
      </c>
      <c r="K73">
        <f t="shared" si="13"/>
        <v>1.4</v>
      </c>
      <c r="L73">
        <f t="shared" si="13"/>
        <v>1.4</v>
      </c>
      <c r="M73">
        <f t="shared" si="13"/>
        <v>1.4</v>
      </c>
      <c r="N73">
        <f t="shared" si="13"/>
        <v>1.4</v>
      </c>
      <c r="O73">
        <f t="shared" si="13"/>
        <v>1.4</v>
      </c>
      <c r="P73">
        <f t="shared" si="13"/>
        <v>1.4</v>
      </c>
      <c r="Q73">
        <f t="shared" si="13"/>
        <v>1.4</v>
      </c>
      <c r="R73">
        <f t="shared" si="13"/>
        <v>1.4</v>
      </c>
      <c r="S73">
        <f t="shared" si="13"/>
        <v>1.4</v>
      </c>
      <c r="T73">
        <f t="shared" si="13"/>
        <v>1.4</v>
      </c>
      <c r="U73">
        <f t="shared" si="13"/>
        <v>1.4</v>
      </c>
      <c r="V73">
        <f t="shared" si="13"/>
        <v>1.4</v>
      </c>
      <c r="W73">
        <f t="shared" si="13"/>
        <v>1.4</v>
      </c>
      <c r="X73">
        <f t="shared" si="13"/>
        <v>1.4</v>
      </c>
      <c r="Y73">
        <f t="shared" si="13"/>
        <v>1.4</v>
      </c>
      <c r="Z73">
        <f t="shared" si="13"/>
        <v>1.4</v>
      </c>
      <c r="AA73">
        <f t="shared" si="13"/>
        <v>1.4</v>
      </c>
      <c r="AB73">
        <f t="shared" si="13"/>
        <v>1.4</v>
      </c>
      <c r="AC73">
        <f t="shared" si="13"/>
        <v>1.4</v>
      </c>
      <c r="AD73">
        <f t="shared" si="13"/>
        <v>1.4</v>
      </c>
      <c r="AE73">
        <f t="shared" si="13"/>
        <v>1.4</v>
      </c>
      <c r="AF73">
        <f t="shared" si="13"/>
        <v>1.4</v>
      </c>
      <c r="AG73">
        <f t="shared" si="13"/>
        <v>1.4</v>
      </c>
      <c r="AH73">
        <f t="shared" si="13"/>
        <v>1.4</v>
      </c>
      <c r="AI73">
        <f t="shared" si="13"/>
        <v>1.4</v>
      </c>
      <c r="AJ73">
        <f t="shared" si="13"/>
        <v>1.4</v>
      </c>
      <c r="AK73">
        <f t="shared" si="13"/>
        <v>1.4</v>
      </c>
      <c r="AL73">
        <f t="shared" si="13"/>
        <v>1.4</v>
      </c>
      <c r="AM73">
        <f t="shared" si="13"/>
        <v>1.4</v>
      </c>
      <c r="AN73">
        <f t="shared" si="13"/>
        <v>1.4</v>
      </c>
    </row>
    <row r="74" spans="3:40">
      <c r="C74" t="s">
        <v>75</v>
      </c>
      <c r="D74" t="s">
        <v>62</v>
      </c>
      <c r="F74">
        <v>0</v>
      </c>
      <c r="G74">
        <v>2850</v>
      </c>
      <c r="H74">
        <v>6650</v>
      </c>
      <c r="I74">
        <v>0</v>
      </c>
      <c r="J74">
        <v>0</v>
      </c>
      <c r="K74">
        <v>0</v>
      </c>
      <c r="L74">
        <v>7125</v>
      </c>
      <c r="M74">
        <v>6650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1425</v>
      </c>
      <c r="V74">
        <v>0</v>
      </c>
      <c r="W74">
        <v>0</v>
      </c>
      <c r="X74">
        <v>0</v>
      </c>
      <c r="Y74">
        <v>950</v>
      </c>
      <c r="Z74">
        <v>0</v>
      </c>
      <c r="AA74">
        <v>0</v>
      </c>
      <c r="AB74">
        <v>0</v>
      </c>
      <c r="AC74">
        <v>0</v>
      </c>
      <c r="AD74">
        <v>1425</v>
      </c>
      <c r="AE74">
        <v>0</v>
      </c>
      <c r="AF74">
        <v>0</v>
      </c>
      <c r="AG74">
        <v>17100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3325</v>
      </c>
      <c r="AN74">
        <v>0</v>
      </c>
    </row>
    <row r="75" spans="3:40">
      <c r="C75" t="s">
        <v>75</v>
      </c>
      <c r="D75" t="s">
        <v>63</v>
      </c>
      <c r="F75">
        <v>0</v>
      </c>
      <c r="G75">
        <v>228000</v>
      </c>
      <c r="H75">
        <v>532000</v>
      </c>
      <c r="I75">
        <v>0</v>
      </c>
      <c r="J75">
        <v>0</v>
      </c>
      <c r="K75">
        <v>0</v>
      </c>
      <c r="L75">
        <v>570000</v>
      </c>
      <c r="M75">
        <v>532000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114000</v>
      </c>
      <c r="V75">
        <v>0</v>
      </c>
      <c r="W75">
        <v>0</v>
      </c>
      <c r="X75">
        <v>0</v>
      </c>
      <c r="Y75">
        <v>76000</v>
      </c>
      <c r="Z75">
        <v>0</v>
      </c>
      <c r="AA75">
        <v>0</v>
      </c>
      <c r="AB75">
        <v>0</v>
      </c>
      <c r="AC75">
        <v>0</v>
      </c>
      <c r="AD75">
        <v>114000</v>
      </c>
      <c r="AE75">
        <v>0</v>
      </c>
      <c r="AF75">
        <v>0</v>
      </c>
      <c r="AG75">
        <v>1368000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266000</v>
      </c>
      <c r="AN75">
        <v>0</v>
      </c>
    </row>
    <row r="76" spans="3:40">
      <c r="C76" t="s">
        <v>75</v>
      </c>
      <c r="D76" t="s">
        <v>64</v>
      </c>
      <c r="E76" t="s">
        <v>9</v>
      </c>
      <c r="F76">
        <v>2.6</v>
      </c>
      <c r="G76">
        <f>F76</f>
        <v>2.6</v>
      </c>
      <c r="H76">
        <f t="shared" ref="H76:AN76" si="14">G76</f>
        <v>2.6</v>
      </c>
      <c r="I76">
        <f t="shared" si="14"/>
        <v>2.6</v>
      </c>
      <c r="J76">
        <f t="shared" si="14"/>
        <v>2.6</v>
      </c>
      <c r="K76">
        <f t="shared" si="14"/>
        <v>2.6</v>
      </c>
      <c r="L76">
        <f t="shared" si="14"/>
        <v>2.6</v>
      </c>
      <c r="M76">
        <f t="shared" si="14"/>
        <v>2.6</v>
      </c>
      <c r="N76">
        <f t="shared" si="14"/>
        <v>2.6</v>
      </c>
      <c r="O76">
        <f t="shared" si="14"/>
        <v>2.6</v>
      </c>
      <c r="P76">
        <f t="shared" si="14"/>
        <v>2.6</v>
      </c>
      <c r="Q76">
        <f t="shared" si="14"/>
        <v>2.6</v>
      </c>
      <c r="R76">
        <f t="shared" si="14"/>
        <v>2.6</v>
      </c>
      <c r="S76">
        <f t="shared" si="14"/>
        <v>2.6</v>
      </c>
      <c r="T76">
        <f t="shared" si="14"/>
        <v>2.6</v>
      </c>
      <c r="U76">
        <f t="shared" si="14"/>
        <v>2.6</v>
      </c>
      <c r="V76">
        <f t="shared" si="14"/>
        <v>2.6</v>
      </c>
      <c r="W76">
        <f t="shared" si="14"/>
        <v>2.6</v>
      </c>
      <c r="X76">
        <f t="shared" si="14"/>
        <v>2.6</v>
      </c>
      <c r="Y76">
        <f t="shared" si="14"/>
        <v>2.6</v>
      </c>
      <c r="Z76">
        <f t="shared" si="14"/>
        <v>2.6</v>
      </c>
      <c r="AA76">
        <f t="shared" si="14"/>
        <v>2.6</v>
      </c>
      <c r="AB76">
        <f t="shared" si="14"/>
        <v>2.6</v>
      </c>
      <c r="AC76">
        <f t="shared" si="14"/>
        <v>2.6</v>
      </c>
      <c r="AD76">
        <f t="shared" si="14"/>
        <v>2.6</v>
      </c>
      <c r="AE76">
        <f t="shared" si="14"/>
        <v>2.6</v>
      </c>
      <c r="AF76">
        <f t="shared" si="14"/>
        <v>2.6</v>
      </c>
      <c r="AG76">
        <f t="shared" si="14"/>
        <v>2.6</v>
      </c>
      <c r="AH76">
        <f t="shared" si="14"/>
        <v>2.6</v>
      </c>
      <c r="AI76">
        <f t="shared" si="14"/>
        <v>2.6</v>
      </c>
      <c r="AJ76">
        <f t="shared" si="14"/>
        <v>2.6</v>
      </c>
      <c r="AK76">
        <f t="shared" si="14"/>
        <v>2.6</v>
      </c>
      <c r="AL76">
        <f t="shared" si="14"/>
        <v>2.6</v>
      </c>
      <c r="AM76">
        <f t="shared" si="14"/>
        <v>2.6</v>
      </c>
      <c r="AN76">
        <f t="shared" si="14"/>
        <v>2.6</v>
      </c>
    </row>
    <row r="77" spans="3:40">
      <c r="C77" t="s">
        <v>76</v>
      </c>
      <c r="D77" t="s">
        <v>62</v>
      </c>
      <c r="F77">
        <v>0</v>
      </c>
      <c r="G77">
        <v>4560</v>
      </c>
      <c r="H77">
        <v>10640</v>
      </c>
      <c r="I77">
        <v>0</v>
      </c>
      <c r="J77">
        <v>0</v>
      </c>
      <c r="K77">
        <v>0</v>
      </c>
      <c r="L77">
        <v>11400</v>
      </c>
      <c r="M77">
        <v>10640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2280</v>
      </c>
      <c r="V77">
        <v>0</v>
      </c>
      <c r="W77">
        <v>0</v>
      </c>
      <c r="X77">
        <v>0</v>
      </c>
      <c r="Y77">
        <v>1520</v>
      </c>
      <c r="Z77">
        <v>0</v>
      </c>
      <c r="AA77">
        <v>0</v>
      </c>
      <c r="AB77">
        <v>0</v>
      </c>
      <c r="AC77">
        <v>0</v>
      </c>
      <c r="AD77">
        <v>2280</v>
      </c>
      <c r="AE77">
        <v>0</v>
      </c>
      <c r="AF77">
        <v>0</v>
      </c>
      <c r="AG77">
        <v>27360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5320</v>
      </c>
      <c r="AN77">
        <v>0</v>
      </c>
    </row>
    <row r="78" spans="3:40">
      <c r="C78" t="s">
        <v>76</v>
      </c>
      <c r="D78" t="s">
        <v>63</v>
      </c>
      <c r="F78">
        <v>0</v>
      </c>
      <c r="G78">
        <v>456000</v>
      </c>
      <c r="H78">
        <v>1064000</v>
      </c>
      <c r="I78">
        <v>0</v>
      </c>
      <c r="J78">
        <v>0</v>
      </c>
      <c r="K78">
        <v>0</v>
      </c>
      <c r="L78">
        <v>1140000</v>
      </c>
      <c r="M78">
        <v>1064000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228000</v>
      </c>
      <c r="V78">
        <v>0</v>
      </c>
      <c r="W78">
        <v>0</v>
      </c>
      <c r="X78">
        <v>0</v>
      </c>
      <c r="Y78">
        <v>152000</v>
      </c>
      <c r="Z78">
        <v>0</v>
      </c>
      <c r="AA78">
        <v>0</v>
      </c>
      <c r="AB78">
        <v>0</v>
      </c>
      <c r="AC78">
        <v>0</v>
      </c>
      <c r="AD78">
        <v>228000</v>
      </c>
      <c r="AE78">
        <v>0</v>
      </c>
      <c r="AF78">
        <v>0</v>
      </c>
      <c r="AG78">
        <v>2736000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532000</v>
      </c>
      <c r="AN78">
        <v>0</v>
      </c>
    </row>
    <row r="79" spans="3:40">
      <c r="C79" t="s">
        <v>76</v>
      </c>
      <c r="D79" t="s">
        <v>64</v>
      </c>
      <c r="E79" t="s">
        <v>9</v>
      </c>
      <c r="F79">
        <v>5</v>
      </c>
      <c r="G79">
        <f>F79</f>
        <v>5</v>
      </c>
      <c r="H79">
        <f t="shared" ref="H79:AN79" si="15">G79</f>
        <v>5</v>
      </c>
      <c r="I79">
        <f t="shared" si="15"/>
        <v>5</v>
      </c>
      <c r="J79">
        <f t="shared" si="15"/>
        <v>5</v>
      </c>
      <c r="K79">
        <f t="shared" si="15"/>
        <v>5</v>
      </c>
      <c r="L79">
        <f t="shared" si="15"/>
        <v>5</v>
      </c>
      <c r="M79">
        <f t="shared" si="15"/>
        <v>5</v>
      </c>
      <c r="N79">
        <f t="shared" si="15"/>
        <v>5</v>
      </c>
      <c r="O79">
        <f t="shared" si="15"/>
        <v>5</v>
      </c>
      <c r="P79">
        <f t="shared" si="15"/>
        <v>5</v>
      </c>
      <c r="Q79">
        <f t="shared" si="15"/>
        <v>5</v>
      </c>
      <c r="R79">
        <f t="shared" si="15"/>
        <v>5</v>
      </c>
      <c r="S79">
        <f t="shared" si="15"/>
        <v>5</v>
      </c>
      <c r="T79">
        <f t="shared" si="15"/>
        <v>5</v>
      </c>
      <c r="U79">
        <f t="shared" si="15"/>
        <v>5</v>
      </c>
      <c r="V79">
        <f t="shared" si="15"/>
        <v>5</v>
      </c>
      <c r="W79">
        <f t="shared" si="15"/>
        <v>5</v>
      </c>
      <c r="X79">
        <f t="shared" si="15"/>
        <v>5</v>
      </c>
      <c r="Y79">
        <f t="shared" si="15"/>
        <v>5</v>
      </c>
      <c r="Z79">
        <f t="shared" si="15"/>
        <v>5</v>
      </c>
      <c r="AA79">
        <f t="shared" si="15"/>
        <v>5</v>
      </c>
      <c r="AB79">
        <f t="shared" si="15"/>
        <v>5</v>
      </c>
      <c r="AC79">
        <f t="shared" si="15"/>
        <v>5</v>
      </c>
      <c r="AD79">
        <f t="shared" si="15"/>
        <v>5</v>
      </c>
      <c r="AE79">
        <f t="shared" si="15"/>
        <v>5</v>
      </c>
      <c r="AF79">
        <f t="shared" si="15"/>
        <v>5</v>
      </c>
      <c r="AG79">
        <f t="shared" si="15"/>
        <v>5</v>
      </c>
      <c r="AH79">
        <f t="shared" si="15"/>
        <v>5</v>
      </c>
      <c r="AI79">
        <f t="shared" si="15"/>
        <v>5</v>
      </c>
      <c r="AJ79">
        <f t="shared" si="15"/>
        <v>5</v>
      </c>
      <c r="AK79">
        <f t="shared" si="15"/>
        <v>5</v>
      </c>
      <c r="AL79">
        <f t="shared" si="15"/>
        <v>5</v>
      </c>
      <c r="AM79">
        <f t="shared" si="15"/>
        <v>5</v>
      </c>
      <c r="AN79">
        <f t="shared" si="15"/>
        <v>5</v>
      </c>
    </row>
    <row r="80" spans="3:40">
      <c r="C80" t="s">
        <v>67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</row>
    <row r="81" spans="3:40">
      <c r="C81" t="s">
        <v>77</v>
      </c>
      <c r="D81" t="s">
        <v>62</v>
      </c>
      <c r="F81">
        <v>2500</v>
      </c>
      <c r="G81">
        <v>32500</v>
      </c>
      <c r="H81">
        <v>21250</v>
      </c>
      <c r="I81">
        <v>0</v>
      </c>
      <c r="J81">
        <v>0</v>
      </c>
      <c r="K81">
        <v>0</v>
      </c>
      <c r="L81">
        <v>11250</v>
      </c>
      <c r="M81">
        <v>3750</v>
      </c>
      <c r="N81">
        <v>0</v>
      </c>
      <c r="O81">
        <v>0</v>
      </c>
      <c r="P81">
        <v>0</v>
      </c>
      <c r="Q81">
        <v>0</v>
      </c>
      <c r="R81">
        <v>2500</v>
      </c>
      <c r="S81">
        <v>1250</v>
      </c>
      <c r="T81">
        <v>0</v>
      </c>
      <c r="U81">
        <v>3750</v>
      </c>
      <c r="V81">
        <v>0</v>
      </c>
      <c r="W81">
        <v>0</v>
      </c>
      <c r="X81">
        <v>0</v>
      </c>
      <c r="Y81">
        <v>6250</v>
      </c>
      <c r="Z81">
        <v>1250</v>
      </c>
      <c r="AA81">
        <v>0</v>
      </c>
      <c r="AB81">
        <v>0</v>
      </c>
      <c r="AC81">
        <v>0</v>
      </c>
      <c r="AD81">
        <v>30000</v>
      </c>
      <c r="AE81">
        <v>2500</v>
      </c>
      <c r="AF81">
        <v>2500</v>
      </c>
      <c r="AG81">
        <v>0</v>
      </c>
      <c r="AH81">
        <v>0</v>
      </c>
      <c r="AI81">
        <v>0</v>
      </c>
      <c r="AJ81">
        <v>0</v>
      </c>
      <c r="AK81">
        <v>2500</v>
      </c>
      <c r="AL81">
        <v>0</v>
      </c>
      <c r="AM81">
        <v>0</v>
      </c>
      <c r="AN81">
        <v>1250</v>
      </c>
    </row>
    <row r="82" spans="3:40">
      <c r="C82" t="s">
        <v>77</v>
      </c>
      <c r="D82" t="s">
        <v>63</v>
      </c>
      <c r="F82">
        <v>150000</v>
      </c>
      <c r="G82">
        <v>1950000</v>
      </c>
      <c r="H82">
        <v>1275000</v>
      </c>
      <c r="I82">
        <v>0</v>
      </c>
      <c r="J82">
        <v>0</v>
      </c>
      <c r="K82">
        <v>0</v>
      </c>
      <c r="L82">
        <v>675000</v>
      </c>
      <c r="M82">
        <v>225000</v>
      </c>
      <c r="N82">
        <v>0</v>
      </c>
      <c r="O82">
        <v>0</v>
      </c>
      <c r="P82">
        <v>0</v>
      </c>
      <c r="Q82">
        <v>0</v>
      </c>
      <c r="R82">
        <v>150000</v>
      </c>
      <c r="S82">
        <v>75000</v>
      </c>
      <c r="T82">
        <v>0</v>
      </c>
      <c r="U82">
        <v>225000</v>
      </c>
      <c r="V82">
        <v>0</v>
      </c>
      <c r="W82">
        <v>0</v>
      </c>
      <c r="X82">
        <v>0</v>
      </c>
      <c r="Y82">
        <v>375000</v>
      </c>
      <c r="Z82">
        <v>75000</v>
      </c>
      <c r="AA82">
        <v>0</v>
      </c>
      <c r="AB82">
        <v>0</v>
      </c>
      <c r="AC82">
        <v>0</v>
      </c>
      <c r="AD82">
        <v>1800000</v>
      </c>
      <c r="AE82">
        <v>150000</v>
      </c>
      <c r="AF82">
        <v>150000</v>
      </c>
      <c r="AG82">
        <v>0</v>
      </c>
      <c r="AH82">
        <v>0</v>
      </c>
      <c r="AI82">
        <v>0</v>
      </c>
      <c r="AJ82">
        <v>0</v>
      </c>
      <c r="AK82">
        <v>150000</v>
      </c>
      <c r="AL82">
        <v>0</v>
      </c>
      <c r="AM82">
        <v>0</v>
      </c>
      <c r="AN82">
        <v>75000</v>
      </c>
    </row>
    <row r="83" spans="3:40">
      <c r="C83" t="s">
        <v>77</v>
      </c>
      <c r="D83" t="s">
        <v>64</v>
      </c>
      <c r="E83" t="s">
        <v>11</v>
      </c>
      <c r="F83">
        <v>1.75</v>
      </c>
      <c r="G83">
        <f>F83</f>
        <v>1.75</v>
      </c>
      <c r="H83">
        <f t="shared" ref="H83:AN83" si="16">G83</f>
        <v>1.75</v>
      </c>
      <c r="I83">
        <f t="shared" si="16"/>
        <v>1.75</v>
      </c>
      <c r="J83">
        <f t="shared" si="16"/>
        <v>1.75</v>
      </c>
      <c r="K83">
        <f t="shared" si="16"/>
        <v>1.75</v>
      </c>
      <c r="L83">
        <f t="shared" si="16"/>
        <v>1.75</v>
      </c>
      <c r="M83">
        <f t="shared" si="16"/>
        <v>1.75</v>
      </c>
      <c r="N83">
        <f t="shared" si="16"/>
        <v>1.75</v>
      </c>
      <c r="O83">
        <f t="shared" si="16"/>
        <v>1.75</v>
      </c>
      <c r="P83">
        <f t="shared" si="16"/>
        <v>1.75</v>
      </c>
      <c r="Q83">
        <f t="shared" si="16"/>
        <v>1.75</v>
      </c>
      <c r="R83">
        <f t="shared" si="16"/>
        <v>1.75</v>
      </c>
      <c r="S83">
        <f t="shared" si="16"/>
        <v>1.75</v>
      </c>
      <c r="T83">
        <f t="shared" si="16"/>
        <v>1.75</v>
      </c>
      <c r="U83">
        <f t="shared" si="16"/>
        <v>1.75</v>
      </c>
      <c r="V83">
        <f t="shared" si="16"/>
        <v>1.75</v>
      </c>
      <c r="W83">
        <f t="shared" si="16"/>
        <v>1.75</v>
      </c>
      <c r="X83">
        <f t="shared" si="16"/>
        <v>1.75</v>
      </c>
      <c r="Y83">
        <f t="shared" si="16"/>
        <v>1.75</v>
      </c>
      <c r="Z83">
        <f t="shared" si="16"/>
        <v>1.75</v>
      </c>
      <c r="AA83">
        <f t="shared" si="16"/>
        <v>1.75</v>
      </c>
      <c r="AB83">
        <f t="shared" si="16"/>
        <v>1.75</v>
      </c>
      <c r="AC83">
        <f t="shared" si="16"/>
        <v>1.75</v>
      </c>
      <c r="AD83">
        <f t="shared" si="16"/>
        <v>1.75</v>
      </c>
      <c r="AE83">
        <f t="shared" si="16"/>
        <v>1.75</v>
      </c>
      <c r="AF83">
        <f t="shared" si="16"/>
        <v>1.75</v>
      </c>
      <c r="AG83">
        <f t="shared" si="16"/>
        <v>1.75</v>
      </c>
      <c r="AH83">
        <f t="shared" si="16"/>
        <v>1.75</v>
      </c>
      <c r="AI83">
        <f t="shared" si="16"/>
        <v>1.75</v>
      </c>
      <c r="AJ83">
        <f t="shared" si="16"/>
        <v>1.75</v>
      </c>
      <c r="AK83">
        <f t="shared" si="16"/>
        <v>1.75</v>
      </c>
      <c r="AL83">
        <f t="shared" si="16"/>
        <v>1.75</v>
      </c>
      <c r="AM83">
        <f t="shared" si="16"/>
        <v>1.75</v>
      </c>
      <c r="AN83">
        <f t="shared" si="16"/>
        <v>1.75</v>
      </c>
    </row>
    <row r="84" spans="3:40">
      <c r="C84" t="s">
        <v>78</v>
      </c>
      <c r="D84" t="s">
        <v>62</v>
      </c>
      <c r="F84">
        <v>3750</v>
      </c>
      <c r="G84">
        <v>48750</v>
      </c>
      <c r="H84">
        <v>31875</v>
      </c>
      <c r="I84">
        <v>0</v>
      </c>
      <c r="J84">
        <v>0</v>
      </c>
      <c r="K84">
        <v>0</v>
      </c>
      <c r="L84">
        <v>16875</v>
      </c>
      <c r="M84">
        <v>5625</v>
      </c>
      <c r="N84">
        <v>0</v>
      </c>
      <c r="O84">
        <v>0</v>
      </c>
      <c r="P84">
        <v>0</v>
      </c>
      <c r="Q84">
        <v>0</v>
      </c>
      <c r="R84">
        <v>3750</v>
      </c>
      <c r="S84">
        <v>1875</v>
      </c>
      <c r="T84">
        <v>0</v>
      </c>
      <c r="U84">
        <v>5625</v>
      </c>
      <c r="V84">
        <v>0</v>
      </c>
      <c r="W84">
        <v>0</v>
      </c>
      <c r="X84">
        <v>0</v>
      </c>
      <c r="Y84">
        <v>9375</v>
      </c>
      <c r="Z84">
        <v>1875</v>
      </c>
      <c r="AA84">
        <v>0</v>
      </c>
      <c r="AB84">
        <v>0</v>
      </c>
      <c r="AC84">
        <v>0</v>
      </c>
      <c r="AD84">
        <v>45000</v>
      </c>
      <c r="AE84">
        <v>3750</v>
      </c>
      <c r="AF84">
        <v>3750</v>
      </c>
      <c r="AG84">
        <v>0</v>
      </c>
      <c r="AH84">
        <v>0</v>
      </c>
      <c r="AI84">
        <v>0</v>
      </c>
      <c r="AJ84">
        <v>0</v>
      </c>
      <c r="AK84">
        <v>3750</v>
      </c>
      <c r="AL84">
        <v>0</v>
      </c>
      <c r="AM84">
        <v>0</v>
      </c>
      <c r="AN84">
        <v>1875</v>
      </c>
    </row>
    <row r="85" spans="3:40">
      <c r="C85" t="s">
        <v>78</v>
      </c>
      <c r="D85" t="s">
        <v>63</v>
      </c>
      <c r="F85">
        <v>300000</v>
      </c>
      <c r="G85">
        <v>3900000</v>
      </c>
      <c r="H85">
        <v>2550000</v>
      </c>
      <c r="I85">
        <v>0</v>
      </c>
      <c r="J85">
        <v>0</v>
      </c>
      <c r="K85">
        <v>0</v>
      </c>
      <c r="L85">
        <v>1350000</v>
      </c>
      <c r="M85">
        <v>450000</v>
      </c>
      <c r="N85">
        <v>0</v>
      </c>
      <c r="O85">
        <v>0</v>
      </c>
      <c r="P85">
        <v>0</v>
      </c>
      <c r="Q85">
        <v>0</v>
      </c>
      <c r="R85">
        <v>300000</v>
      </c>
      <c r="S85">
        <v>150000</v>
      </c>
      <c r="T85">
        <v>0</v>
      </c>
      <c r="U85">
        <v>450000</v>
      </c>
      <c r="V85">
        <v>0</v>
      </c>
      <c r="W85">
        <v>0</v>
      </c>
      <c r="X85">
        <v>0</v>
      </c>
      <c r="Y85">
        <v>750000</v>
      </c>
      <c r="Z85">
        <v>150000</v>
      </c>
      <c r="AA85">
        <v>0</v>
      </c>
      <c r="AB85">
        <v>0</v>
      </c>
      <c r="AC85">
        <v>0</v>
      </c>
      <c r="AD85">
        <v>3600000</v>
      </c>
      <c r="AE85">
        <v>300000</v>
      </c>
      <c r="AF85">
        <v>300000</v>
      </c>
      <c r="AG85">
        <v>0</v>
      </c>
      <c r="AH85">
        <v>0</v>
      </c>
      <c r="AI85">
        <v>0</v>
      </c>
      <c r="AJ85">
        <v>0</v>
      </c>
      <c r="AK85">
        <v>300000</v>
      </c>
      <c r="AL85">
        <v>0</v>
      </c>
      <c r="AM85">
        <v>0</v>
      </c>
      <c r="AN85">
        <v>150000</v>
      </c>
    </row>
    <row r="86" spans="3:40">
      <c r="C86" t="s">
        <v>78</v>
      </c>
      <c r="D86" t="s">
        <v>64</v>
      </c>
      <c r="E86" t="s">
        <v>11</v>
      </c>
      <c r="F86">
        <v>3.25</v>
      </c>
      <c r="G86">
        <f>F86</f>
        <v>3.25</v>
      </c>
      <c r="H86">
        <f t="shared" ref="H86:AN86" si="17">G86</f>
        <v>3.25</v>
      </c>
      <c r="I86">
        <f t="shared" si="17"/>
        <v>3.25</v>
      </c>
      <c r="J86">
        <f t="shared" si="17"/>
        <v>3.25</v>
      </c>
      <c r="K86">
        <f t="shared" si="17"/>
        <v>3.25</v>
      </c>
      <c r="L86">
        <f t="shared" si="17"/>
        <v>3.25</v>
      </c>
      <c r="M86">
        <f t="shared" si="17"/>
        <v>3.25</v>
      </c>
      <c r="N86">
        <f t="shared" si="17"/>
        <v>3.25</v>
      </c>
      <c r="O86">
        <f t="shared" si="17"/>
        <v>3.25</v>
      </c>
      <c r="P86">
        <f t="shared" si="17"/>
        <v>3.25</v>
      </c>
      <c r="Q86">
        <f t="shared" si="17"/>
        <v>3.25</v>
      </c>
      <c r="R86">
        <f t="shared" si="17"/>
        <v>3.25</v>
      </c>
      <c r="S86">
        <f t="shared" si="17"/>
        <v>3.25</v>
      </c>
      <c r="T86">
        <f t="shared" si="17"/>
        <v>3.25</v>
      </c>
      <c r="U86">
        <f t="shared" si="17"/>
        <v>3.25</v>
      </c>
      <c r="V86">
        <f t="shared" si="17"/>
        <v>3.25</v>
      </c>
      <c r="W86">
        <f t="shared" si="17"/>
        <v>3.25</v>
      </c>
      <c r="X86">
        <f t="shared" si="17"/>
        <v>3.25</v>
      </c>
      <c r="Y86">
        <f t="shared" si="17"/>
        <v>3.25</v>
      </c>
      <c r="Z86">
        <f t="shared" si="17"/>
        <v>3.25</v>
      </c>
      <c r="AA86">
        <f t="shared" si="17"/>
        <v>3.25</v>
      </c>
      <c r="AB86">
        <f t="shared" si="17"/>
        <v>3.25</v>
      </c>
      <c r="AC86">
        <f t="shared" si="17"/>
        <v>3.25</v>
      </c>
      <c r="AD86">
        <f t="shared" si="17"/>
        <v>3.25</v>
      </c>
      <c r="AE86">
        <f t="shared" si="17"/>
        <v>3.25</v>
      </c>
      <c r="AF86">
        <f t="shared" si="17"/>
        <v>3.25</v>
      </c>
      <c r="AG86">
        <f t="shared" si="17"/>
        <v>3.25</v>
      </c>
      <c r="AH86">
        <f t="shared" si="17"/>
        <v>3.25</v>
      </c>
      <c r="AI86">
        <f t="shared" si="17"/>
        <v>3.25</v>
      </c>
      <c r="AJ86">
        <f t="shared" si="17"/>
        <v>3.25</v>
      </c>
      <c r="AK86">
        <f t="shared" si="17"/>
        <v>3.25</v>
      </c>
      <c r="AL86">
        <f t="shared" si="17"/>
        <v>3.25</v>
      </c>
      <c r="AM86">
        <f t="shared" si="17"/>
        <v>3.25</v>
      </c>
      <c r="AN86">
        <f t="shared" si="17"/>
        <v>3.25</v>
      </c>
    </row>
    <row r="87" spans="3:40">
      <c r="C87" t="s">
        <v>79</v>
      </c>
      <c r="D87" t="s">
        <v>62</v>
      </c>
      <c r="F87">
        <v>6000</v>
      </c>
      <c r="G87">
        <v>78000</v>
      </c>
      <c r="H87">
        <v>51000</v>
      </c>
      <c r="I87">
        <v>0</v>
      </c>
      <c r="J87">
        <v>0</v>
      </c>
      <c r="K87">
        <v>0</v>
      </c>
      <c r="L87">
        <v>27000</v>
      </c>
      <c r="M87">
        <v>9000</v>
      </c>
      <c r="N87">
        <v>0</v>
      </c>
      <c r="O87">
        <v>0</v>
      </c>
      <c r="P87">
        <v>0</v>
      </c>
      <c r="Q87">
        <v>0</v>
      </c>
      <c r="R87">
        <v>6000</v>
      </c>
      <c r="S87">
        <v>3000</v>
      </c>
      <c r="T87">
        <v>0</v>
      </c>
      <c r="U87">
        <v>9000</v>
      </c>
      <c r="V87">
        <v>0</v>
      </c>
      <c r="W87">
        <v>0</v>
      </c>
      <c r="X87">
        <v>0</v>
      </c>
      <c r="Y87">
        <v>15000</v>
      </c>
      <c r="Z87">
        <v>3000</v>
      </c>
      <c r="AA87">
        <v>0</v>
      </c>
      <c r="AB87">
        <v>0</v>
      </c>
      <c r="AC87">
        <v>0</v>
      </c>
      <c r="AD87">
        <v>72000</v>
      </c>
      <c r="AE87">
        <v>6000</v>
      </c>
      <c r="AF87">
        <v>6000</v>
      </c>
      <c r="AG87">
        <v>0</v>
      </c>
      <c r="AH87">
        <v>0</v>
      </c>
      <c r="AI87">
        <v>0</v>
      </c>
      <c r="AJ87">
        <v>0</v>
      </c>
      <c r="AK87">
        <v>6000</v>
      </c>
      <c r="AL87">
        <v>0</v>
      </c>
      <c r="AM87">
        <v>0</v>
      </c>
      <c r="AN87">
        <v>3000</v>
      </c>
    </row>
    <row r="88" spans="3:40">
      <c r="C88" t="s">
        <v>79</v>
      </c>
      <c r="D88" t="s">
        <v>63</v>
      </c>
      <c r="F88">
        <v>600000</v>
      </c>
      <c r="G88">
        <v>7800000</v>
      </c>
      <c r="H88">
        <v>5100000</v>
      </c>
      <c r="I88">
        <v>0</v>
      </c>
      <c r="J88">
        <v>0</v>
      </c>
      <c r="K88">
        <v>0</v>
      </c>
      <c r="L88">
        <v>2700000</v>
      </c>
      <c r="M88">
        <v>900000</v>
      </c>
      <c r="N88">
        <v>0</v>
      </c>
      <c r="O88">
        <v>0</v>
      </c>
      <c r="P88">
        <v>0</v>
      </c>
      <c r="Q88">
        <v>0</v>
      </c>
      <c r="R88">
        <v>600000</v>
      </c>
      <c r="S88">
        <v>300000</v>
      </c>
      <c r="T88">
        <v>0</v>
      </c>
      <c r="U88">
        <v>900000</v>
      </c>
      <c r="V88">
        <v>0</v>
      </c>
      <c r="W88">
        <v>0</v>
      </c>
      <c r="X88">
        <v>0</v>
      </c>
      <c r="Y88">
        <v>1500000</v>
      </c>
      <c r="Z88">
        <v>300000</v>
      </c>
      <c r="AA88">
        <v>0</v>
      </c>
      <c r="AB88">
        <v>0</v>
      </c>
      <c r="AC88">
        <v>0</v>
      </c>
      <c r="AD88">
        <v>7200000</v>
      </c>
      <c r="AE88">
        <v>600000</v>
      </c>
      <c r="AF88">
        <v>600000</v>
      </c>
      <c r="AG88">
        <v>0</v>
      </c>
      <c r="AH88">
        <v>0</v>
      </c>
      <c r="AI88">
        <v>0</v>
      </c>
      <c r="AJ88">
        <v>0</v>
      </c>
      <c r="AK88">
        <v>600000</v>
      </c>
      <c r="AL88">
        <v>0</v>
      </c>
      <c r="AM88">
        <v>0</v>
      </c>
      <c r="AN88">
        <v>300000</v>
      </c>
    </row>
    <row r="89" spans="3:40">
      <c r="C89" t="s">
        <v>79</v>
      </c>
      <c r="D89" t="s">
        <v>64</v>
      </c>
      <c r="E89" t="s">
        <v>11</v>
      </c>
      <c r="F89">
        <v>6.25</v>
      </c>
      <c r="G89">
        <f>F89</f>
        <v>6.25</v>
      </c>
      <c r="H89">
        <f t="shared" ref="H89:AN89" si="18">G89</f>
        <v>6.25</v>
      </c>
      <c r="I89">
        <f t="shared" si="18"/>
        <v>6.25</v>
      </c>
      <c r="J89">
        <f t="shared" si="18"/>
        <v>6.25</v>
      </c>
      <c r="K89">
        <f t="shared" si="18"/>
        <v>6.25</v>
      </c>
      <c r="L89">
        <f t="shared" si="18"/>
        <v>6.25</v>
      </c>
      <c r="M89">
        <f t="shared" si="18"/>
        <v>6.25</v>
      </c>
      <c r="N89">
        <f t="shared" si="18"/>
        <v>6.25</v>
      </c>
      <c r="O89">
        <f t="shared" si="18"/>
        <v>6.25</v>
      </c>
      <c r="P89">
        <f t="shared" si="18"/>
        <v>6.25</v>
      </c>
      <c r="Q89">
        <f t="shared" si="18"/>
        <v>6.25</v>
      </c>
      <c r="R89">
        <f t="shared" si="18"/>
        <v>6.25</v>
      </c>
      <c r="S89">
        <f t="shared" si="18"/>
        <v>6.25</v>
      </c>
      <c r="T89">
        <f t="shared" si="18"/>
        <v>6.25</v>
      </c>
      <c r="U89">
        <f t="shared" si="18"/>
        <v>6.25</v>
      </c>
      <c r="V89">
        <f t="shared" si="18"/>
        <v>6.25</v>
      </c>
      <c r="W89">
        <f t="shared" si="18"/>
        <v>6.25</v>
      </c>
      <c r="X89">
        <f t="shared" si="18"/>
        <v>6.25</v>
      </c>
      <c r="Y89">
        <f t="shared" si="18"/>
        <v>6.25</v>
      </c>
      <c r="Z89">
        <f t="shared" si="18"/>
        <v>6.25</v>
      </c>
      <c r="AA89">
        <f t="shared" si="18"/>
        <v>6.25</v>
      </c>
      <c r="AB89">
        <f t="shared" si="18"/>
        <v>6.25</v>
      </c>
      <c r="AC89">
        <f t="shared" si="18"/>
        <v>6.25</v>
      </c>
      <c r="AD89">
        <f t="shared" si="18"/>
        <v>6.25</v>
      </c>
      <c r="AE89">
        <f t="shared" si="18"/>
        <v>6.25</v>
      </c>
      <c r="AF89">
        <f t="shared" si="18"/>
        <v>6.25</v>
      </c>
      <c r="AG89">
        <f t="shared" si="18"/>
        <v>6.25</v>
      </c>
      <c r="AH89">
        <f t="shared" si="18"/>
        <v>6.25</v>
      </c>
      <c r="AI89">
        <f t="shared" si="18"/>
        <v>6.25</v>
      </c>
      <c r="AJ89">
        <f t="shared" si="18"/>
        <v>6.25</v>
      </c>
      <c r="AK89">
        <f t="shared" si="18"/>
        <v>6.25</v>
      </c>
      <c r="AL89">
        <f t="shared" si="18"/>
        <v>6.25</v>
      </c>
      <c r="AM89">
        <f t="shared" si="18"/>
        <v>6.25</v>
      </c>
      <c r="AN89">
        <f t="shared" si="18"/>
        <v>6.25</v>
      </c>
    </row>
    <row r="90" spans="3:40">
      <c r="C90" t="s">
        <v>67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</row>
    <row r="91" spans="3:40">
      <c r="C91" t="s">
        <v>80</v>
      </c>
      <c r="D91" t="s">
        <v>62</v>
      </c>
      <c r="F91">
        <v>333.333333333333</v>
      </c>
      <c r="G91">
        <v>1500</v>
      </c>
      <c r="H91">
        <v>1833.33333333333</v>
      </c>
      <c r="I91">
        <v>0</v>
      </c>
      <c r="J91">
        <v>0</v>
      </c>
      <c r="K91">
        <v>0</v>
      </c>
      <c r="L91">
        <v>500</v>
      </c>
      <c r="M91">
        <v>666.666666666667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333.333333333333</v>
      </c>
      <c r="V91">
        <v>0</v>
      </c>
      <c r="W91">
        <v>0</v>
      </c>
      <c r="X91">
        <v>0</v>
      </c>
      <c r="Y91">
        <v>5666.66666666667</v>
      </c>
      <c r="Z91">
        <v>500</v>
      </c>
      <c r="AA91">
        <v>1000</v>
      </c>
      <c r="AB91">
        <v>0</v>
      </c>
      <c r="AC91">
        <v>500</v>
      </c>
      <c r="AD91">
        <v>1666.66666666667</v>
      </c>
      <c r="AE91">
        <v>1000</v>
      </c>
      <c r="AF91">
        <v>0</v>
      </c>
      <c r="AG91">
        <v>166.666666666667</v>
      </c>
      <c r="AH91">
        <v>333.333333333333</v>
      </c>
      <c r="AI91">
        <v>333.333333333333</v>
      </c>
      <c r="AJ91">
        <v>0</v>
      </c>
      <c r="AK91">
        <v>333.333333333333</v>
      </c>
      <c r="AL91">
        <v>0</v>
      </c>
      <c r="AM91">
        <v>0</v>
      </c>
      <c r="AN91">
        <v>0</v>
      </c>
    </row>
    <row r="92" spans="3:40">
      <c r="C92" t="s">
        <v>80</v>
      </c>
      <c r="D92" t="s">
        <v>63</v>
      </c>
      <c r="F92">
        <v>20000</v>
      </c>
      <c r="G92">
        <v>90000</v>
      </c>
      <c r="H92">
        <v>110000</v>
      </c>
      <c r="I92">
        <v>0</v>
      </c>
      <c r="J92">
        <v>0</v>
      </c>
      <c r="K92">
        <v>0</v>
      </c>
      <c r="L92">
        <v>30000</v>
      </c>
      <c r="M92">
        <v>40000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20000</v>
      </c>
      <c r="V92">
        <v>0</v>
      </c>
      <c r="W92">
        <v>0</v>
      </c>
      <c r="X92">
        <v>0</v>
      </c>
      <c r="Y92">
        <v>340000</v>
      </c>
      <c r="Z92">
        <v>30000</v>
      </c>
      <c r="AA92">
        <v>60000</v>
      </c>
      <c r="AB92">
        <v>0</v>
      </c>
      <c r="AC92">
        <v>30000</v>
      </c>
      <c r="AD92">
        <v>100000</v>
      </c>
      <c r="AE92">
        <v>60000</v>
      </c>
      <c r="AF92">
        <v>0</v>
      </c>
      <c r="AG92">
        <v>10000</v>
      </c>
      <c r="AH92">
        <v>20000</v>
      </c>
      <c r="AI92">
        <v>20000</v>
      </c>
      <c r="AJ92">
        <v>0</v>
      </c>
      <c r="AK92">
        <v>20000</v>
      </c>
      <c r="AL92">
        <v>0</v>
      </c>
      <c r="AM92">
        <v>0</v>
      </c>
      <c r="AN92">
        <v>0</v>
      </c>
    </row>
    <row r="93" spans="3:40">
      <c r="C93" t="s">
        <v>80</v>
      </c>
      <c r="D93" t="s">
        <v>64</v>
      </c>
      <c r="E93" t="s">
        <v>13</v>
      </c>
      <c r="F93">
        <v>5.6</v>
      </c>
      <c r="G93">
        <f>F93</f>
        <v>5.6</v>
      </c>
      <c r="H93">
        <f t="shared" ref="H93:AN93" si="19">G93</f>
        <v>5.6</v>
      </c>
      <c r="I93">
        <f t="shared" si="19"/>
        <v>5.6</v>
      </c>
      <c r="J93">
        <f t="shared" si="19"/>
        <v>5.6</v>
      </c>
      <c r="K93">
        <f t="shared" si="19"/>
        <v>5.6</v>
      </c>
      <c r="L93">
        <f t="shared" si="19"/>
        <v>5.6</v>
      </c>
      <c r="M93">
        <f t="shared" si="19"/>
        <v>5.6</v>
      </c>
      <c r="N93">
        <f t="shared" si="19"/>
        <v>5.6</v>
      </c>
      <c r="O93">
        <f t="shared" si="19"/>
        <v>5.6</v>
      </c>
      <c r="P93">
        <f t="shared" si="19"/>
        <v>5.6</v>
      </c>
      <c r="Q93">
        <f t="shared" si="19"/>
        <v>5.6</v>
      </c>
      <c r="R93">
        <f t="shared" si="19"/>
        <v>5.6</v>
      </c>
      <c r="S93">
        <f t="shared" si="19"/>
        <v>5.6</v>
      </c>
      <c r="T93">
        <f t="shared" si="19"/>
        <v>5.6</v>
      </c>
      <c r="U93">
        <f t="shared" si="19"/>
        <v>5.6</v>
      </c>
      <c r="V93">
        <f t="shared" si="19"/>
        <v>5.6</v>
      </c>
      <c r="W93">
        <f t="shared" si="19"/>
        <v>5.6</v>
      </c>
      <c r="X93">
        <f t="shared" si="19"/>
        <v>5.6</v>
      </c>
      <c r="Y93">
        <f t="shared" si="19"/>
        <v>5.6</v>
      </c>
      <c r="Z93">
        <f t="shared" si="19"/>
        <v>5.6</v>
      </c>
      <c r="AA93">
        <f t="shared" si="19"/>
        <v>5.6</v>
      </c>
      <c r="AB93">
        <f t="shared" si="19"/>
        <v>5.6</v>
      </c>
      <c r="AC93">
        <f t="shared" si="19"/>
        <v>5.6</v>
      </c>
      <c r="AD93">
        <f t="shared" si="19"/>
        <v>5.6</v>
      </c>
      <c r="AE93">
        <f t="shared" si="19"/>
        <v>5.6</v>
      </c>
      <c r="AF93">
        <f t="shared" si="19"/>
        <v>5.6</v>
      </c>
      <c r="AG93">
        <f t="shared" si="19"/>
        <v>5.6</v>
      </c>
      <c r="AH93">
        <f t="shared" si="19"/>
        <v>5.6</v>
      </c>
      <c r="AI93">
        <f t="shared" si="19"/>
        <v>5.6</v>
      </c>
      <c r="AJ93">
        <f t="shared" si="19"/>
        <v>5.6</v>
      </c>
      <c r="AK93">
        <f t="shared" si="19"/>
        <v>5.6</v>
      </c>
      <c r="AL93">
        <f t="shared" si="19"/>
        <v>5.6</v>
      </c>
      <c r="AM93">
        <f t="shared" si="19"/>
        <v>5.6</v>
      </c>
      <c r="AN93">
        <f t="shared" si="19"/>
        <v>5.6</v>
      </c>
    </row>
    <row r="94" spans="3:40">
      <c r="C94" t="s">
        <v>81</v>
      </c>
      <c r="D94" t="s">
        <v>62</v>
      </c>
      <c r="F94">
        <v>500</v>
      </c>
      <c r="G94">
        <v>2250</v>
      </c>
      <c r="H94">
        <v>2750</v>
      </c>
      <c r="I94">
        <v>0</v>
      </c>
      <c r="J94">
        <v>0</v>
      </c>
      <c r="K94">
        <v>0</v>
      </c>
      <c r="L94">
        <v>750</v>
      </c>
      <c r="M94">
        <v>1000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500</v>
      </c>
      <c r="V94">
        <v>0</v>
      </c>
      <c r="W94">
        <v>0</v>
      </c>
      <c r="X94">
        <v>0</v>
      </c>
      <c r="Y94">
        <v>8500</v>
      </c>
      <c r="Z94">
        <v>750</v>
      </c>
      <c r="AA94">
        <v>1500</v>
      </c>
      <c r="AB94">
        <v>0</v>
      </c>
      <c r="AC94">
        <v>750</v>
      </c>
      <c r="AD94">
        <v>2500</v>
      </c>
      <c r="AE94">
        <v>1500</v>
      </c>
      <c r="AF94">
        <v>0</v>
      </c>
      <c r="AG94">
        <v>250</v>
      </c>
      <c r="AH94">
        <v>500</v>
      </c>
      <c r="AI94">
        <v>500</v>
      </c>
      <c r="AJ94">
        <v>0</v>
      </c>
      <c r="AK94">
        <v>500</v>
      </c>
      <c r="AL94">
        <v>0</v>
      </c>
      <c r="AM94">
        <v>0</v>
      </c>
      <c r="AN94">
        <v>0</v>
      </c>
    </row>
    <row r="95" spans="3:40">
      <c r="C95" t="s">
        <v>81</v>
      </c>
      <c r="D95" t="s">
        <v>63</v>
      </c>
      <c r="F95">
        <v>40000</v>
      </c>
      <c r="G95">
        <v>180000</v>
      </c>
      <c r="H95">
        <v>220000</v>
      </c>
      <c r="I95">
        <v>0</v>
      </c>
      <c r="J95">
        <v>0</v>
      </c>
      <c r="K95">
        <v>0</v>
      </c>
      <c r="L95">
        <v>60000</v>
      </c>
      <c r="M95">
        <v>80000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40000</v>
      </c>
      <c r="V95">
        <v>0</v>
      </c>
      <c r="W95">
        <v>0</v>
      </c>
      <c r="X95">
        <v>0</v>
      </c>
      <c r="Y95">
        <v>680000</v>
      </c>
      <c r="Z95">
        <v>60000</v>
      </c>
      <c r="AA95">
        <v>120000</v>
      </c>
      <c r="AB95">
        <v>0</v>
      </c>
      <c r="AC95">
        <v>60000</v>
      </c>
      <c r="AD95">
        <v>200000</v>
      </c>
      <c r="AE95">
        <v>120000</v>
      </c>
      <c r="AF95">
        <v>0</v>
      </c>
      <c r="AG95">
        <v>20000</v>
      </c>
      <c r="AH95">
        <v>40000</v>
      </c>
      <c r="AI95">
        <v>40000</v>
      </c>
      <c r="AJ95">
        <v>0</v>
      </c>
      <c r="AK95">
        <v>40000</v>
      </c>
      <c r="AL95">
        <v>0</v>
      </c>
      <c r="AM95">
        <v>0</v>
      </c>
      <c r="AN95">
        <v>0</v>
      </c>
    </row>
    <row r="96" spans="3:40">
      <c r="C96" t="s">
        <v>81</v>
      </c>
      <c r="D96" t="s">
        <v>64</v>
      </c>
      <c r="E96" t="s">
        <v>13</v>
      </c>
      <c r="F96">
        <v>10.4</v>
      </c>
      <c r="G96">
        <f>F96</f>
        <v>10.4</v>
      </c>
      <c r="H96">
        <f t="shared" ref="H96:AN96" si="20">G96</f>
        <v>10.4</v>
      </c>
      <c r="I96">
        <f t="shared" si="20"/>
        <v>10.4</v>
      </c>
      <c r="J96">
        <f t="shared" si="20"/>
        <v>10.4</v>
      </c>
      <c r="K96">
        <f t="shared" si="20"/>
        <v>10.4</v>
      </c>
      <c r="L96">
        <f t="shared" si="20"/>
        <v>10.4</v>
      </c>
      <c r="M96">
        <f t="shared" si="20"/>
        <v>10.4</v>
      </c>
      <c r="N96">
        <f t="shared" si="20"/>
        <v>10.4</v>
      </c>
      <c r="O96">
        <f t="shared" si="20"/>
        <v>10.4</v>
      </c>
      <c r="P96">
        <f t="shared" si="20"/>
        <v>10.4</v>
      </c>
      <c r="Q96">
        <f t="shared" si="20"/>
        <v>10.4</v>
      </c>
      <c r="R96">
        <f t="shared" si="20"/>
        <v>10.4</v>
      </c>
      <c r="S96">
        <f t="shared" si="20"/>
        <v>10.4</v>
      </c>
      <c r="T96">
        <f t="shared" si="20"/>
        <v>10.4</v>
      </c>
      <c r="U96">
        <f t="shared" si="20"/>
        <v>10.4</v>
      </c>
      <c r="V96">
        <f t="shared" si="20"/>
        <v>10.4</v>
      </c>
      <c r="W96">
        <f t="shared" si="20"/>
        <v>10.4</v>
      </c>
      <c r="X96">
        <f t="shared" si="20"/>
        <v>10.4</v>
      </c>
      <c r="Y96">
        <f t="shared" si="20"/>
        <v>10.4</v>
      </c>
      <c r="Z96">
        <f t="shared" si="20"/>
        <v>10.4</v>
      </c>
      <c r="AA96">
        <f t="shared" si="20"/>
        <v>10.4</v>
      </c>
      <c r="AB96">
        <f t="shared" si="20"/>
        <v>10.4</v>
      </c>
      <c r="AC96">
        <f t="shared" si="20"/>
        <v>10.4</v>
      </c>
      <c r="AD96">
        <f t="shared" si="20"/>
        <v>10.4</v>
      </c>
      <c r="AE96">
        <f t="shared" si="20"/>
        <v>10.4</v>
      </c>
      <c r="AF96">
        <f t="shared" si="20"/>
        <v>10.4</v>
      </c>
      <c r="AG96">
        <f t="shared" si="20"/>
        <v>10.4</v>
      </c>
      <c r="AH96">
        <f t="shared" si="20"/>
        <v>10.4</v>
      </c>
      <c r="AI96">
        <f t="shared" si="20"/>
        <v>10.4</v>
      </c>
      <c r="AJ96">
        <f t="shared" si="20"/>
        <v>10.4</v>
      </c>
      <c r="AK96">
        <f t="shared" si="20"/>
        <v>10.4</v>
      </c>
      <c r="AL96">
        <f t="shared" si="20"/>
        <v>10.4</v>
      </c>
      <c r="AM96">
        <f t="shared" si="20"/>
        <v>10.4</v>
      </c>
      <c r="AN96">
        <f t="shared" si="20"/>
        <v>10.4</v>
      </c>
    </row>
    <row r="97" spans="3:40">
      <c r="C97" t="s">
        <v>82</v>
      </c>
      <c r="D97" t="s">
        <v>62</v>
      </c>
      <c r="F97">
        <v>800</v>
      </c>
      <c r="G97">
        <v>3600</v>
      </c>
      <c r="H97">
        <v>4400</v>
      </c>
      <c r="I97">
        <v>0</v>
      </c>
      <c r="J97">
        <v>0</v>
      </c>
      <c r="K97">
        <v>0</v>
      </c>
      <c r="L97">
        <v>1200</v>
      </c>
      <c r="M97">
        <v>1600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800</v>
      </c>
      <c r="V97">
        <v>0</v>
      </c>
      <c r="W97">
        <v>0</v>
      </c>
      <c r="X97">
        <v>0</v>
      </c>
      <c r="Y97">
        <v>13600</v>
      </c>
      <c r="Z97">
        <v>1200</v>
      </c>
      <c r="AA97">
        <v>2400</v>
      </c>
      <c r="AB97">
        <v>0</v>
      </c>
      <c r="AC97">
        <v>1200</v>
      </c>
      <c r="AD97">
        <v>4000</v>
      </c>
      <c r="AE97">
        <v>2400</v>
      </c>
      <c r="AF97">
        <v>0</v>
      </c>
      <c r="AG97">
        <v>400</v>
      </c>
      <c r="AH97">
        <v>800</v>
      </c>
      <c r="AI97">
        <v>800</v>
      </c>
      <c r="AJ97">
        <v>0</v>
      </c>
      <c r="AK97">
        <v>800</v>
      </c>
      <c r="AL97">
        <v>0</v>
      </c>
      <c r="AM97">
        <v>0</v>
      </c>
      <c r="AN97">
        <v>0</v>
      </c>
    </row>
    <row r="98" spans="3:40">
      <c r="C98" t="s">
        <v>82</v>
      </c>
      <c r="D98" t="s">
        <v>63</v>
      </c>
      <c r="F98">
        <v>80000</v>
      </c>
      <c r="G98">
        <v>360000</v>
      </c>
      <c r="H98">
        <v>440000</v>
      </c>
      <c r="I98">
        <v>0</v>
      </c>
      <c r="J98">
        <v>0</v>
      </c>
      <c r="K98">
        <v>0</v>
      </c>
      <c r="L98">
        <v>120000</v>
      </c>
      <c r="M98">
        <v>160000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80000</v>
      </c>
      <c r="V98">
        <v>0</v>
      </c>
      <c r="W98">
        <v>0</v>
      </c>
      <c r="X98">
        <v>0</v>
      </c>
      <c r="Y98">
        <v>1360000</v>
      </c>
      <c r="Z98">
        <v>120000</v>
      </c>
      <c r="AA98">
        <v>240000</v>
      </c>
      <c r="AB98">
        <v>0</v>
      </c>
      <c r="AC98">
        <v>120000</v>
      </c>
      <c r="AD98">
        <v>400000</v>
      </c>
      <c r="AE98">
        <v>240000</v>
      </c>
      <c r="AF98">
        <v>0</v>
      </c>
      <c r="AG98">
        <v>40000</v>
      </c>
      <c r="AH98">
        <v>80000</v>
      </c>
      <c r="AI98">
        <v>80000</v>
      </c>
      <c r="AJ98">
        <v>0</v>
      </c>
      <c r="AK98">
        <v>80000</v>
      </c>
      <c r="AL98">
        <v>0</v>
      </c>
      <c r="AM98">
        <v>0</v>
      </c>
      <c r="AN98">
        <v>0</v>
      </c>
    </row>
    <row r="99" spans="3:40">
      <c r="C99" t="s">
        <v>82</v>
      </c>
      <c r="D99" t="s">
        <v>64</v>
      </c>
      <c r="E99" t="s">
        <v>13</v>
      </c>
      <c r="F99">
        <v>20</v>
      </c>
      <c r="G99">
        <f>F99</f>
        <v>20</v>
      </c>
      <c r="H99">
        <f t="shared" ref="H99:AN99" si="21">G99</f>
        <v>20</v>
      </c>
      <c r="I99">
        <f t="shared" si="21"/>
        <v>20</v>
      </c>
      <c r="J99">
        <f t="shared" si="21"/>
        <v>20</v>
      </c>
      <c r="K99">
        <f t="shared" si="21"/>
        <v>20</v>
      </c>
      <c r="L99">
        <f t="shared" si="21"/>
        <v>20</v>
      </c>
      <c r="M99">
        <f t="shared" si="21"/>
        <v>20</v>
      </c>
      <c r="N99">
        <f t="shared" si="21"/>
        <v>20</v>
      </c>
      <c r="O99">
        <f t="shared" si="21"/>
        <v>20</v>
      </c>
      <c r="P99">
        <f t="shared" si="21"/>
        <v>20</v>
      </c>
      <c r="Q99">
        <f t="shared" si="21"/>
        <v>20</v>
      </c>
      <c r="R99">
        <f t="shared" si="21"/>
        <v>20</v>
      </c>
      <c r="S99">
        <f t="shared" si="21"/>
        <v>20</v>
      </c>
      <c r="T99">
        <f t="shared" si="21"/>
        <v>20</v>
      </c>
      <c r="U99">
        <f t="shared" si="21"/>
        <v>20</v>
      </c>
      <c r="V99">
        <f t="shared" si="21"/>
        <v>20</v>
      </c>
      <c r="W99">
        <f t="shared" si="21"/>
        <v>20</v>
      </c>
      <c r="X99">
        <f t="shared" si="21"/>
        <v>20</v>
      </c>
      <c r="Y99">
        <f t="shared" si="21"/>
        <v>20</v>
      </c>
      <c r="Z99">
        <f t="shared" si="21"/>
        <v>20</v>
      </c>
      <c r="AA99">
        <f t="shared" si="21"/>
        <v>20</v>
      </c>
      <c r="AB99">
        <f t="shared" si="21"/>
        <v>20</v>
      </c>
      <c r="AC99">
        <f t="shared" si="21"/>
        <v>20</v>
      </c>
      <c r="AD99">
        <f t="shared" si="21"/>
        <v>20</v>
      </c>
      <c r="AE99">
        <f t="shared" si="21"/>
        <v>20</v>
      </c>
      <c r="AF99">
        <f t="shared" si="21"/>
        <v>20</v>
      </c>
      <c r="AG99">
        <f t="shared" si="21"/>
        <v>20</v>
      </c>
      <c r="AH99">
        <f t="shared" si="21"/>
        <v>20</v>
      </c>
      <c r="AI99">
        <f t="shared" si="21"/>
        <v>20</v>
      </c>
      <c r="AJ99">
        <f t="shared" si="21"/>
        <v>20</v>
      </c>
      <c r="AK99">
        <f t="shared" si="21"/>
        <v>20</v>
      </c>
      <c r="AL99">
        <f t="shared" si="21"/>
        <v>20</v>
      </c>
      <c r="AM99">
        <f t="shared" si="21"/>
        <v>20</v>
      </c>
      <c r="AN99">
        <f t="shared" si="21"/>
        <v>20</v>
      </c>
    </row>
    <row r="100" spans="3:40">
      <c r="C100" t="s">
        <v>67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</row>
    <row r="101" spans="3:40">
      <c r="C101" t="s">
        <v>83</v>
      </c>
      <c r="D101" t="s">
        <v>62</v>
      </c>
      <c r="F101">
        <v>0</v>
      </c>
      <c r="G101">
        <v>1120</v>
      </c>
      <c r="H101">
        <v>0</v>
      </c>
      <c r="I101">
        <v>0</v>
      </c>
      <c r="J101">
        <v>0</v>
      </c>
      <c r="K101">
        <v>0</v>
      </c>
      <c r="L101">
        <v>1120</v>
      </c>
      <c r="M101">
        <v>1306.66666666667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186.666666666667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93.3333333333333</v>
      </c>
      <c r="AB101">
        <v>0</v>
      </c>
      <c r="AC101">
        <v>0</v>
      </c>
      <c r="AD101">
        <v>186.666666666667</v>
      </c>
      <c r="AE101">
        <v>140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466.666666666667</v>
      </c>
      <c r="AL101">
        <v>0</v>
      </c>
      <c r="AM101">
        <v>46.6666666666667</v>
      </c>
      <c r="AN101">
        <v>0</v>
      </c>
    </row>
    <row r="102" spans="3:40">
      <c r="C102" t="s">
        <v>83</v>
      </c>
      <c r="D102" t="s">
        <v>63</v>
      </c>
      <c r="F102">
        <v>0</v>
      </c>
      <c r="G102">
        <v>67200</v>
      </c>
      <c r="H102">
        <v>0</v>
      </c>
      <c r="I102">
        <v>0</v>
      </c>
      <c r="J102">
        <v>0</v>
      </c>
      <c r="K102">
        <v>0</v>
      </c>
      <c r="L102">
        <v>67200</v>
      </c>
      <c r="M102">
        <v>78400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11200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5600</v>
      </c>
      <c r="AB102">
        <v>0</v>
      </c>
      <c r="AC102">
        <v>0</v>
      </c>
      <c r="AD102">
        <v>11200</v>
      </c>
      <c r="AE102">
        <v>8400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28000</v>
      </c>
      <c r="AL102">
        <v>0</v>
      </c>
      <c r="AM102">
        <v>2800</v>
      </c>
      <c r="AN102">
        <v>0</v>
      </c>
    </row>
    <row r="103" spans="3:40">
      <c r="C103" t="s">
        <v>83</v>
      </c>
      <c r="D103" t="s">
        <v>64</v>
      </c>
      <c r="E103" t="s">
        <v>15</v>
      </c>
      <c r="F103">
        <v>0.7</v>
      </c>
      <c r="G103">
        <f>F103</f>
        <v>0.7</v>
      </c>
      <c r="H103">
        <f t="shared" ref="H103:AN103" si="22">G103</f>
        <v>0.7</v>
      </c>
      <c r="I103">
        <f t="shared" si="22"/>
        <v>0.7</v>
      </c>
      <c r="J103">
        <f t="shared" si="22"/>
        <v>0.7</v>
      </c>
      <c r="K103">
        <f t="shared" si="22"/>
        <v>0.7</v>
      </c>
      <c r="L103">
        <f t="shared" si="22"/>
        <v>0.7</v>
      </c>
      <c r="M103">
        <f t="shared" si="22"/>
        <v>0.7</v>
      </c>
      <c r="N103">
        <f t="shared" si="22"/>
        <v>0.7</v>
      </c>
      <c r="O103">
        <f t="shared" si="22"/>
        <v>0.7</v>
      </c>
      <c r="P103">
        <f t="shared" si="22"/>
        <v>0.7</v>
      </c>
      <c r="Q103">
        <f t="shared" si="22"/>
        <v>0.7</v>
      </c>
      <c r="R103">
        <f t="shared" si="22"/>
        <v>0.7</v>
      </c>
      <c r="S103">
        <f t="shared" si="22"/>
        <v>0.7</v>
      </c>
      <c r="T103">
        <f t="shared" si="22"/>
        <v>0.7</v>
      </c>
      <c r="U103">
        <f t="shared" si="22"/>
        <v>0.7</v>
      </c>
      <c r="V103">
        <f t="shared" si="22"/>
        <v>0.7</v>
      </c>
      <c r="W103">
        <f t="shared" si="22"/>
        <v>0.7</v>
      </c>
      <c r="X103">
        <f t="shared" si="22"/>
        <v>0.7</v>
      </c>
      <c r="Y103">
        <f t="shared" si="22"/>
        <v>0.7</v>
      </c>
      <c r="Z103">
        <f t="shared" si="22"/>
        <v>0.7</v>
      </c>
      <c r="AA103">
        <f t="shared" si="22"/>
        <v>0.7</v>
      </c>
      <c r="AB103">
        <f t="shared" si="22"/>
        <v>0.7</v>
      </c>
      <c r="AC103">
        <f t="shared" si="22"/>
        <v>0.7</v>
      </c>
      <c r="AD103">
        <f t="shared" si="22"/>
        <v>0.7</v>
      </c>
      <c r="AE103">
        <f t="shared" si="22"/>
        <v>0.7</v>
      </c>
      <c r="AF103">
        <f t="shared" si="22"/>
        <v>0.7</v>
      </c>
      <c r="AG103">
        <f t="shared" si="22"/>
        <v>0.7</v>
      </c>
      <c r="AH103">
        <f t="shared" si="22"/>
        <v>0.7</v>
      </c>
      <c r="AI103">
        <f t="shared" si="22"/>
        <v>0.7</v>
      </c>
      <c r="AJ103">
        <f t="shared" si="22"/>
        <v>0.7</v>
      </c>
      <c r="AK103">
        <f t="shared" si="22"/>
        <v>0.7</v>
      </c>
      <c r="AL103">
        <f t="shared" si="22"/>
        <v>0.7</v>
      </c>
      <c r="AM103">
        <f t="shared" si="22"/>
        <v>0.7</v>
      </c>
      <c r="AN103">
        <f t="shared" si="22"/>
        <v>0.7</v>
      </c>
    </row>
    <row r="104" spans="3:40">
      <c r="C104" t="s">
        <v>84</v>
      </c>
      <c r="D104" t="s">
        <v>62</v>
      </c>
      <c r="F104">
        <v>0</v>
      </c>
      <c r="G104">
        <v>1680</v>
      </c>
      <c r="H104">
        <v>0</v>
      </c>
      <c r="I104">
        <v>0</v>
      </c>
      <c r="J104">
        <v>0</v>
      </c>
      <c r="K104">
        <v>0</v>
      </c>
      <c r="L104">
        <v>1680</v>
      </c>
      <c r="M104">
        <v>1960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280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140</v>
      </c>
      <c r="AB104">
        <v>0</v>
      </c>
      <c r="AC104">
        <v>0</v>
      </c>
      <c r="AD104">
        <v>280</v>
      </c>
      <c r="AE104">
        <v>210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700</v>
      </c>
      <c r="AL104">
        <v>0</v>
      </c>
      <c r="AM104">
        <v>70</v>
      </c>
      <c r="AN104">
        <v>0</v>
      </c>
    </row>
    <row r="105" spans="3:40">
      <c r="C105" t="s">
        <v>84</v>
      </c>
      <c r="D105" t="s">
        <v>63</v>
      </c>
      <c r="F105">
        <v>0</v>
      </c>
      <c r="G105">
        <v>134400</v>
      </c>
      <c r="H105">
        <v>0</v>
      </c>
      <c r="I105">
        <v>0</v>
      </c>
      <c r="J105">
        <v>0</v>
      </c>
      <c r="K105">
        <v>0</v>
      </c>
      <c r="L105">
        <v>134400</v>
      </c>
      <c r="M105">
        <v>156800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22400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11200</v>
      </c>
      <c r="AB105">
        <v>0</v>
      </c>
      <c r="AC105">
        <v>0</v>
      </c>
      <c r="AD105">
        <v>22400</v>
      </c>
      <c r="AE105">
        <v>16800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56000</v>
      </c>
      <c r="AL105">
        <v>0</v>
      </c>
      <c r="AM105">
        <v>5600</v>
      </c>
      <c r="AN105">
        <v>0</v>
      </c>
    </row>
    <row r="106" spans="3:40">
      <c r="C106" t="s">
        <v>84</v>
      </c>
      <c r="D106" t="s">
        <v>64</v>
      </c>
      <c r="E106" t="s">
        <v>15</v>
      </c>
      <c r="F106">
        <v>1.3</v>
      </c>
      <c r="G106">
        <f>F106</f>
        <v>1.3</v>
      </c>
      <c r="H106">
        <f t="shared" ref="H106:AN106" si="23">G106</f>
        <v>1.3</v>
      </c>
      <c r="I106">
        <f t="shared" si="23"/>
        <v>1.3</v>
      </c>
      <c r="J106">
        <f t="shared" si="23"/>
        <v>1.3</v>
      </c>
      <c r="K106">
        <f t="shared" si="23"/>
        <v>1.3</v>
      </c>
      <c r="L106">
        <f t="shared" si="23"/>
        <v>1.3</v>
      </c>
      <c r="M106">
        <f t="shared" si="23"/>
        <v>1.3</v>
      </c>
      <c r="N106">
        <f t="shared" si="23"/>
        <v>1.3</v>
      </c>
      <c r="O106">
        <f t="shared" si="23"/>
        <v>1.3</v>
      </c>
      <c r="P106">
        <f t="shared" si="23"/>
        <v>1.3</v>
      </c>
      <c r="Q106">
        <f t="shared" si="23"/>
        <v>1.3</v>
      </c>
      <c r="R106">
        <f t="shared" si="23"/>
        <v>1.3</v>
      </c>
      <c r="S106">
        <f t="shared" si="23"/>
        <v>1.3</v>
      </c>
      <c r="T106">
        <f t="shared" si="23"/>
        <v>1.3</v>
      </c>
      <c r="U106">
        <f t="shared" si="23"/>
        <v>1.3</v>
      </c>
      <c r="V106">
        <f t="shared" si="23"/>
        <v>1.3</v>
      </c>
      <c r="W106">
        <f t="shared" si="23"/>
        <v>1.3</v>
      </c>
      <c r="X106">
        <f t="shared" si="23"/>
        <v>1.3</v>
      </c>
      <c r="Y106">
        <f t="shared" si="23"/>
        <v>1.3</v>
      </c>
      <c r="Z106">
        <f t="shared" si="23"/>
        <v>1.3</v>
      </c>
      <c r="AA106">
        <f t="shared" si="23"/>
        <v>1.3</v>
      </c>
      <c r="AB106">
        <f t="shared" si="23"/>
        <v>1.3</v>
      </c>
      <c r="AC106">
        <f t="shared" si="23"/>
        <v>1.3</v>
      </c>
      <c r="AD106">
        <f t="shared" si="23"/>
        <v>1.3</v>
      </c>
      <c r="AE106">
        <f t="shared" si="23"/>
        <v>1.3</v>
      </c>
      <c r="AF106">
        <f t="shared" si="23"/>
        <v>1.3</v>
      </c>
      <c r="AG106">
        <f t="shared" si="23"/>
        <v>1.3</v>
      </c>
      <c r="AH106">
        <f t="shared" si="23"/>
        <v>1.3</v>
      </c>
      <c r="AI106">
        <f t="shared" si="23"/>
        <v>1.3</v>
      </c>
      <c r="AJ106">
        <f t="shared" si="23"/>
        <v>1.3</v>
      </c>
      <c r="AK106">
        <f t="shared" si="23"/>
        <v>1.3</v>
      </c>
      <c r="AL106">
        <f t="shared" si="23"/>
        <v>1.3</v>
      </c>
      <c r="AM106">
        <f t="shared" si="23"/>
        <v>1.3</v>
      </c>
      <c r="AN106">
        <f t="shared" si="23"/>
        <v>1.3</v>
      </c>
    </row>
    <row r="107" spans="3:40">
      <c r="C107" t="s">
        <v>85</v>
      </c>
      <c r="D107" t="s">
        <v>62</v>
      </c>
      <c r="F107">
        <v>0</v>
      </c>
      <c r="G107">
        <v>2688</v>
      </c>
      <c r="H107">
        <v>0</v>
      </c>
      <c r="I107">
        <v>0</v>
      </c>
      <c r="J107">
        <v>0</v>
      </c>
      <c r="K107">
        <v>0</v>
      </c>
      <c r="L107">
        <v>2688</v>
      </c>
      <c r="M107">
        <v>3136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448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224</v>
      </c>
      <c r="AB107">
        <v>0</v>
      </c>
      <c r="AC107">
        <v>0</v>
      </c>
      <c r="AD107">
        <v>448</v>
      </c>
      <c r="AE107">
        <v>336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1120</v>
      </c>
      <c r="AL107">
        <v>0</v>
      </c>
      <c r="AM107">
        <v>112</v>
      </c>
      <c r="AN107">
        <v>0</v>
      </c>
    </row>
    <row r="108" spans="3:40">
      <c r="C108" t="s">
        <v>85</v>
      </c>
      <c r="D108" t="s">
        <v>63</v>
      </c>
      <c r="F108">
        <v>0</v>
      </c>
      <c r="G108">
        <v>268800</v>
      </c>
      <c r="H108">
        <v>0</v>
      </c>
      <c r="I108">
        <v>0</v>
      </c>
      <c r="J108">
        <v>0</v>
      </c>
      <c r="K108">
        <v>0</v>
      </c>
      <c r="L108">
        <v>268800</v>
      </c>
      <c r="M108">
        <v>313600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44800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22400</v>
      </c>
      <c r="AB108">
        <v>0</v>
      </c>
      <c r="AC108">
        <v>0</v>
      </c>
      <c r="AD108">
        <v>44800</v>
      </c>
      <c r="AE108">
        <v>33600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112000</v>
      </c>
      <c r="AL108">
        <v>0</v>
      </c>
      <c r="AM108">
        <v>11200</v>
      </c>
      <c r="AN108">
        <v>0</v>
      </c>
    </row>
    <row r="109" spans="3:40">
      <c r="C109" t="s">
        <v>85</v>
      </c>
      <c r="D109" t="s">
        <v>64</v>
      </c>
      <c r="E109" t="s">
        <v>15</v>
      </c>
      <c r="F109">
        <v>2.5</v>
      </c>
      <c r="G109">
        <f>F109</f>
        <v>2.5</v>
      </c>
      <c r="H109">
        <f t="shared" ref="H109:AN109" si="24">G109</f>
        <v>2.5</v>
      </c>
      <c r="I109">
        <f t="shared" si="24"/>
        <v>2.5</v>
      </c>
      <c r="J109">
        <f t="shared" si="24"/>
        <v>2.5</v>
      </c>
      <c r="K109">
        <f t="shared" si="24"/>
        <v>2.5</v>
      </c>
      <c r="L109">
        <f t="shared" si="24"/>
        <v>2.5</v>
      </c>
      <c r="M109">
        <f t="shared" si="24"/>
        <v>2.5</v>
      </c>
      <c r="N109">
        <f t="shared" si="24"/>
        <v>2.5</v>
      </c>
      <c r="O109">
        <f t="shared" si="24"/>
        <v>2.5</v>
      </c>
      <c r="P109">
        <f t="shared" si="24"/>
        <v>2.5</v>
      </c>
      <c r="Q109">
        <f t="shared" si="24"/>
        <v>2.5</v>
      </c>
      <c r="R109">
        <f t="shared" si="24"/>
        <v>2.5</v>
      </c>
      <c r="S109">
        <f t="shared" si="24"/>
        <v>2.5</v>
      </c>
      <c r="T109">
        <f t="shared" si="24"/>
        <v>2.5</v>
      </c>
      <c r="U109">
        <f t="shared" si="24"/>
        <v>2.5</v>
      </c>
      <c r="V109">
        <f t="shared" si="24"/>
        <v>2.5</v>
      </c>
      <c r="W109">
        <f t="shared" si="24"/>
        <v>2.5</v>
      </c>
      <c r="X109">
        <f t="shared" si="24"/>
        <v>2.5</v>
      </c>
      <c r="Y109">
        <f t="shared" si="24"/>
        <v>2.5</v>
      </c>
      <c r="Z109">
        <f t="shared" si="24"/>
        <v>2.5</v>
      </c>
      <c r="AA109">
        <f t="shared" si="24"/>
        <v>2.5</v>
      </c>
      <c r="AB109">
        <f t="shared" si="24"/>
        <v>2.5</v>
      </c>
      <c r="AC109">
        <f t="shared" si="24"/>
        <v>2.5</v>
      </c>
      <c r="AD109">
        <f t="shared" si="24"/>
        <v>2.5</v>
      </c>
      <c r="AE109">
        <f t="shared" si="24"/>
        <v>2.5</v>
      </c>
      <c r="AF109">
        <f t="shared" si="24"/>
        <v>2.5</v>
      </c>
      <c r="AG109">
        <f t="shared" si="24"/>
        <v>2.5</v>
      </c>
      <c r="AH109">
        <f t="shared" si="24"/>
        <v>2.5</v>
      </c>
      <c r="AI109">
        <f t="shared" si="24"/>
        <v>2.5</v>
      </c>
      <c r="AJ109">
        <f t="shared" si="24"/>
        <v>2.5</v>
      </c>
      <c r="AK109">
        <f t="shared" si="24"/>
        <v>2.5</v>
      </c>
      <c r="AL109">
        <f t="shared" si="24"/>
        <v>2.5</v>
      </c>
      <c r="AM109">
        <f t="shared" si="24"/>
        <v>2.5</v>
      </c>
      <c r="AN109">
        <f t="shared" si="24"/>
        <v>2.5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Scen_usingStepMining_n_mute_ori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2026-08-22T01:06:34Z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