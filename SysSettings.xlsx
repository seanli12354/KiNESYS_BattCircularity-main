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18350" windowHeight="8710" tabRatio="853" activeTab="1"/>
  </bookViews>
  <sheets>
    <sheet name="RTT" sheetId="16" r:id="rId1"/>
    <sheet name="TimePeriods" sheetId="20" r:id="rId2"/>
    <sheet name="System Settings" sheetId="14" r:id="rId3"/>
    <sheet name="Constants" sheetId="17" r:id="rId4"/>
    <sheet name="reporting options" sheetId="24" r:id="rId5"/>
    <sheet name="CommGrp" sheetId="21" r:id="rId6"/>
    <sheet name="Comm" sheetId="23" r:id="rId7"/>
    <sheet name="Comm+" sheetId="25"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N26" authorId="0">
      <text>
        <r>
          <rPr>
            <b/>
            <sz val="9"/>
            <rFont val="Times New Roman"/>
            <charset val="0"/>
          </rPr>
          <t>xli9:</t>
        </r>
        <r>
          <rPr>
            <sz val="9"/>
            <rFont val="Times New Roman"/>
            <charset val="0"/>
          </rPr>
          <t xml:space="preserve">
2130 already provides the buffer. It's the length and symmetry of the 2100 period itself. TIMES places each period boundary at roughly the midpoint between consecutive milestones, so the milestone immediately after 2100 sets where the 2100 period ends:
Next milestone	2100 period spans	Length
2101	~2096–2100	~5 yr (degenerate)
2105	~2096–2102	~7 yr (short/asymmetric)
2110	~2096–2105	~10 yr (clean)
Your pre-2100 cadence is already decade-based (…2080, 2090, 2100), where each period is a symmetric ~10 years (e.g. 2090 → 2085–2095). Only 2110 keeps 2100 the same shape. That matters because TIMES weights costs, emissions, and activity by period duration — if 2100's period is only ~5 years (the 2101 case), your reported 2100 numbers get scaled by half the duration of every earlier decade and stop being comparable to them.</t>
        </r>
      </text>
    </comment>
  </commentList>
</comments>
</file>

<file path=xl/comments2.xml><?xml version="1.0" encoding="utf-8"?>
<comments xmlns="http://schemas.openxmlformats.org/spreadsheetml/2006/main">
  <authors>
    <author>xli9</author>
  </authors>
  <commentList>
    <comment ref="E26" authorId="0">
      <text>
        <r>
          <rPr>
            <b/>
            <sz val="9"/>
            <rFont val="Times New Roman"/>
            <charset val="134"/>
          </rPr>
          <t>xli9:</t>
        </r>
        <r>
          <rPr>
            <sz val="9"/>
            <rFont val="Times New Roman"/>
            <charset val="134"/>
          </rPr>
          <t xml:space="preserve">
Xiao enlarged it to avoid IMPNRGZ in 2019</t>
        </r>
      </text>
    </comment>
  </commentList>
</comments>
</file>

<file path=xl/sharedStrings.xml><?xml version="1.0" encoding="utf-8"?>
<sst xmlns="http://schemas.openxmlformats.org/spreadsheetml/2006/main" count="3820" uniqueCount="1574">
  <si>
    <t>~BookRegions_Map</t>
  </si>
  <si>
    <t>~TimeSlices</t>
  </si>
  <si>
    <t>BookName</t>
  </si>
  <si>
    <t>Region</t>
  </si>
  <si>
    <t>Season</t>
  </si>
  <si>
    <t>Weekly</t>
  </si>
  <si>
    <t>DayNite</t>
  </si>
  <si>
    <t>KiNESYS</t>
  </si>
  <si>
    <t>Africa_North</t>
  </si>
  <si>
    <t>S</t>
  </si>
  <si>
    <t>h01</t>
  </si>
  <si>
    <t>Africa_Other</t>
  </si>
  <si>
    <t>W</t>
  </si>
  <si>
    <t>h02</t>
  </si>
  <si>
    <t>Australia</t>
  </si>
  <si>
    <t>h03</t>
  </si>
  <si>
    <t>Austria</t>
  </si>
  <si>
    <t>h04</t>
  </si>
  <si>
    <t>Baltics</t>
  </si>
  <si>
    <t>h05</t>
  </si>
  <si>
    <t>BeNeLux</t>
  </si>
  <si>
    <t>h06</t>
  </si>
  <si>
    <t>Brazil</t>
  </si>
  <si>
    <t>h07</t>
  </si>
  <si>
    <t>China</t>
  </si>
  <si>
    <t>h08</t>
  </si>
  <si>
    <t>CroSloven</t>
  </si>
  <si>
    <t>h09</t>
  </si>
  <si>
    <t>CzechSlovak</t>
  </si>
  <si>
    <t>h10</t>
  </si>
  <si>
    <t>France</t>
  </si>
  <si>
    <t>h11</t>
  </si>
  <si>
    <t>Germany</t>
  </si>
  <si>
    <t>h12</t>
  </si>
  <si>
    <t>GreeceCyp</t>
  </si>
  <si>
    <t>h13</t>
  </si>
  <si>
    <t>HunRomBul</t>
  </si>
  <si>
    <t>h14</t>
  </si>
  <si>
    <t>Iceland</t>
  </si>
  <si>
    <t>h15</t>
  </si>
  <si>
    <t>~regiongroup_map</t>
  </si>
  <si>
    <t>India</t>
  </si>
  <si>
    <t>h16</t>
  </si>
  <si>
    <t>regiongroup</t>
  </si>
  <si>
    <t>Ireland</t>
  </si>
  <si>
    <t>h17</t>
  </si>
  <si>
    <t>ieapg_africa</t>
  </si>
  <si>
    <t>ItalyMal</t>
  </si>
  <si>
    <t>h18</t>
  </si>
  <si>
    <t>Japan</t>
  </si>
  <si>
    <t>h19</t>
  </si>
  <si>
    <t>ieapg_united_states</t>
  </si>
  <si>
    <t>LatAm</t>
  </si>
  <si>
    <t>h20</t>
  </si>
  <si>
    <t>ieapg_european_union</t>
  </si>
  <si>
    <t>MidEast</t>
  </si>
  <si>
    <t>h21</t>
  </si>
  <si>
    <t>NorthAm</t>
  </si>
  <si>
    <t>h22</t>
  </si>
  <si>
    <t>Norway</t>
  </si>
  <si>
    <t>h23</t>
  </si>
  <si>
    <t>ieapg_brazil</t>
  </si>
  <si>
    <t>Poland</t>
  </si>
  <si>
    <t>h24</t>
  </si>
  <si>
    <t>ieapg_china</t>
  </si>
  <si>
    <t>ROW</t>
  </si>
  <si>
    <t>Russia</t>
  </si>
  <si>
    <t>SaudiArabia</t>
  </si>
  <si>
    <t>SouthAfrica</t>
  </si>
  <si>
    <t>SpainPor</t>
  </si>
  <si>
    <t>SweFinDen</t>
  </si>
  <si>
    <t>Switzerland</t>
  </si>
  <si>
    <t>Turkey</t>
  </si>
  <si>
    <t>ieapg_india</t>
  </si>
  <si>
    <t>UK</t>
  </si>
  <si>
    <t>Ukraine</t>
  </si>
  <si>
    <t>WestBalkans</t>
  </si>
  <si>
    <t>ieapg_japan</t>
  </si>
  <si>
    <t>ieapg_middle_east</t>
  </si>
  <si>
    <t>ieapg_russia</t>
  </si>
  <si>
    <t>*Ground year is 2020, base year is 2019 no problem</t>
  </si>
  <si>
    <t>~StartYear</t>
  </si>
  <si>
    <t>~ActivePDef</t>
  </si>
  <si>
    <t>~TimePeriods</t>
  </si>
  <si>
    <t>~Milestoneyears</t>
  </si>
  <si>
    <t>Pdef_9p-2100</t>
  </si>
  <si>
    <t>type</t>
  </si>
  <si>
    <t>msy14_2080</t>
  </si>
  <si>
    <t>msy18_2100</t>
  </si>
  <si>
    <t>endyear</t>
  </si>
  <si>
    <t>milestoneyear</t>
  </si>
  <si>
    <t>~TFM_MIG</t>
  </si>
  <si>
    <t>TimeSlice</t>
  </si>
  <si>
    <t>LimType</t>
  </si>
  <si>
    <t>Attribute</t>
  </si>
  <si>
    <t>Year2</t>
  </si>
  <si>
    <t>AllRegions</t>
  </si>
  <si>
    <t>Pset_CI</t>
  </si>
  <si>
    <t>Pset_PD</t>
  </si>
  <si>
    <t>Cset_CN</t>
  </si>
  <si>
    <t>Cset_Set</t>
  </si>
  <si>
    <t>Pset_set</t>
  </si>
  <si>
    <t>~NOPCOL</t>
  </si>
  <si>
    <t>Share</t>
  </si>
  <si>
    <t>Name</t>
  </si>
  <si>
    <t>FX</t>
  </si>
  <si>
    <t>Con_Eff</t>
  </si>
  <si>
    <t>UP,LO</t>
  </si>
  <si>
    <t>CAP_BND</t>
  </si>
  <si>
    <t>Env_inv</t>
  </si>
  <si>
    <t>NCAP_BND</t>
  </si>
  <si>
    <t>TechDesc</t>
  </si>
  <si>
    <t>ACT_BND</t>
  </si>
  <si>
    <t>ISO</t>
  </si>
  <si>
    <t>COM_ELAST</t>
  </si>
  <si>
    <t>DEM</t>
  </si>
  <si>
    <t>Country</t>
  </si>
  <si>
    <t>COM_AGG</t>
  </si>
  <si>
    <t>Sets</t>
  </si>
  <si>
    <t>FLO_MARK</t>
  </si>
  <si>
    <t>FLO_FR</t>
  </si>
  <si>
    <t>LO</t>
  </si>
  <si>
    <t>AFA</t>
  </si>
  <si>
    <t>ELE,CHP</t>
  </si>
  <si>
    <t>AF</t>
  </si>
  <si>
    <t>ELCSPV,ELCWIN</t>
  </si>
  <si>
    <t>ACT_MINLD</t>
  </si>
  <si>
    <t>ACT_TIME</t>
  </si>
  <si>
    <t>ACT_UPS</t>
  </si>
  <si>
    <t>~TFM_INS</t>
  </si>
  <si>
    <t>Year</t>
  </si>
  <si>
    <t>Pset_PN</t>
  </si>
  <si>
    <t>ACTCOST</t>
  </si>
  <si>
    <t>IMP*Z</t>
  </si>
  <si>
    <t>IMPDEMZ</t>
  </si>
  <si>
    <t>~TFM_INS-txt</t>
  </si>
  <si>
    <t>attribute</t>
  </si>
  <si>
    <t>pset_set</t>
  </si>
  <si>
    <t>pset_ci</t>
  </si>
  <si>
    <t>pset_co</t>
  </si>
  <si>
    <t>cset_cn</t>
  </si>
  <si>
    <t>value</t>
  </si>
  <si>
    <t>t_neg_andor</t>
  </si>
  <si>
    <t>PRC_TSL</t>
  </si>
  <si>
    <t>IRE</t>
  </si>
  <si>
    <t>*HH2*</t>
  </si>
  <si>
    <t>ANNUAL</t>
  </si>
  <si>
    <t>pset_pn</t>
  </si>
  <si>
    <t>timeslice</t>
  </si>
  <si>
    <t>-*Z,-*blend*</t>
  </si>
  <si>
    <t>GASNGA,ELCNGA,RESNGA,COMNGA,SUPNGA,GAS[_]???,GASLNG</t>
  </si>
  <si>
    <t>SEASON</t>
  </si>
  <si>
    <t>COM_TSL</t>
  </si>
  <si>
    <t>ELCNGA,RESNGA,COMNGA,GASNGA,SUPNGA,GAS[_]???,GASLNG</t>
  </si>
  <si>
    <t>COM_PKTS</t>
  </si>
  <si>
    <t>ELC</t>
  </si>
  <si>
    <t>~Currencies</t>
  </si>
  <si>
    <t>Tech_Comm_Info</t>
  </si>
  <si>
    <t>CURR</t>
  </si>
  <si>
    <t>Other_Indexes</t>
  </si>
  <si>
    <t>Currency</t>
  </si>
  <si>
    <t>G_DYEAR</t>
  </si>
  <si>
    <t>USD00</t>
  </si>
  <si>
    <t>EUR15</t>
  </si>
  <si>
    <t>EUR20</t>
  </si>
  <si>
    <t>USD01</t>
  </si>
  <si>
    <t>USD02</t>
  </si>
  <si>
    <t>USD03</t>
  </si>
  <si>
    <t>~UnitConversion</t>
  </si>
  <si>
    <t>USD04</t>
  </si>
  <si>
    <t>from_unit</t>
  </si>
  <si>
    <t>to_unit</t>
  </si>
  <si>
    <t>multiplier</t>
  </si>
  <si>
    <t>USD05</t>
  </si>
  <si>
    <t>QBtu</t>
  </si>
  <si>
    <t>PJ</t>
  </si>
  <si>
    <t>USD06</t>
  </si>
  <si>
    <t>Billion Kwh</t>
  </si>
  <si>
    <t>USD07</t>
  </si>
  <si>
    <t>Mt</t>
  </si>
  <si>
    <t>Kt</t>
  </si>
  <si>
    <t>USD08</t>
  </si>
  <si>
    <t>B$</t>
  </si>
  <si>
    <t>m$</t>
  </si>
  <si>
    <t>USD09</t>
  </si>
  <si>
    <t>TBtu</t>
  </si>
  <si>
    <t>USD10</t>
  </si>
  <si>
    <t>ktoe</t>
  </si>
  <si>
    <t>USD11</t>
  </si>
  <si>
    <t>mtoe</t>
  </si>
  <si>
    <t>USD12</t>
  </si>
  <si>
    <t>Gwh</t>
  </si>
  <si>
    <t>USD13</t>
  </si>
  <si>
    <t>Gt</t>
  </si>
  <si>
    <t>USD14</t>
  </si>
  <si>
    <t>bEur</t>
  </si>
  <si>
    <t>mEur</t>
  </si>
  <si>
    <t>USD15</t>
  </si>
  <si>
    <t>$/GJ</t>
  </si>
  <si>
    <t>$/bbl</t>
  </si>
  <si>
    <t>USD16</t>
  </si>
  <si>
    <t>$/ton</t>
  </si>
  <si>
    <t>m$/kt</t>
  </si>
  <si>
    <t>USD17</t>
  </si>
  <si>
    <t>EJ</t>
  </si>
  <si>
    <t>USD18</t>
  </si>
  <si>
    <t>bcm</t>
  </si>
  <si>
    <t>USD19</t>
  </si>
  <si>
    <t>mbpd</t>
  </si>
  <si>
    <t>USD20</t>
  </si>
  <si>
    <t>Cents per Kwh</t>
  </si>
  <si>
    <t>$ per GJ</t>
  </si>
  <si>
    <t>USD21</t>
  </si>
  <si>
    <t>Twh</t>
  </si>
  <si>
    <t>USD22</t>
  </si>
  <si>
    <t>USD23</t>
  </si>
  <si>
    <t>GWp</t>
  </si>
  <si>
    <t>USD24</t>
  </si>
  <si>
    <t>mt H2</t>
  </si>
  <si>
    <t>USD25</t>
  </si>
  <si>
    <t>mboe</t>
  </si>
  <si>
    <t>USD83</t>
  </si>
  <si>
    <t>USD84</t>
  </si>
  <si>
    <t>USD85</t>
  </si>
  <si>
    <t>USD86</t>
  </si>
  <si>
    <t>USD87</t>
  </si>
  <si>
    <t>USD88</t>
  </si>
  <si>
    <t>USD89</t>
  </si>
  <si>
    <t>USD90</t>
  </si>
  <si>
    <t>USD91</t>
  </si>
  <si>
    <t>USD92</t>
  </si>
  <si>
    <t>USD93</t>
  </si>
  <si>
    <t>USD94</t>
  </si>
  <si>
    <t>USD95</t>
  </si>
  <si>
    <t>USD96</t>
  </si>
  <si>
    <t>USD97</t>
  </si>
  <si>
    <t>USD98</t>
  </si>
  <si>
    <t>USD99</t>
  </si>
  <si>
    <t>USD21_alt</t>
  </si>
  <si>
    <t>RPT_OPT</t>
  </si>
  <si>
    <t>ACT~2</t>
  </si>
  <si>
    <t>NCAP~1</t>
  </si>
  <si>
    <t>FLO~3</t>
  </si>
  <si>
    <t>FLO~5</t>
  </si>
  <si>
    <t>FLO~1</t>
  </si>
  <si>
    <t>COMPRD~1</t>
  </si>
  <si>
    <t>OBJ~1</t>
  </si>
  <si>
    <t>ELC~1</t>
  </si>
  <si>
    <t>ELC~3</t>
  </si>
  <si>
    <t>COMPRD~4</t>
  </si>
  <si>
    <t>ACT~9</t>
  </si>
  <si>
    <t>CAP~9</t>
  </si>
  <si>
    <t>FLO~9</t>
  </si>
  <si>
    <t>NCAP~9</t>
  </si>
  <si>
    <t>~md_dimensions</t>
  </si>
  <si>
    <t>dimension</t>
  </si>
  <si>
    <t>overwrite</t>
  </si>
  <si>
    <t>date</t>
  </si>
  <si>
    <t>Y</t>
  </si>
  <si>
    <t>version</t>
  </si>
  <si>
    <t>source</t>
  </si>
  <si>
    <t>year</t>
  </si>
  <si>
    <t>URL</t>
  </si>
  <si>
    <t>comment</t>
  </si>
  <si>
    <t>author</t>
  </si>
  <si>
    <t>~TFM_COMGRP</t>
  </si>
  <si>
    <t>Description</t>
  </si>
  <si>
    <t>Cset_CD</t>
  </si>
  <si>
    <t>IIS_Gases</t>
  </si>
  <si>
    <t>IIS CommGrp for gases</t>
  </si>
  <si>
    <t>y</t>
  </si>
  <si>
    <t>INDNGA, INDIIS, INDCOG, INCOP</t>
  </si>
  <si>
    <t>ELC_gc</t>
  </si>
  <si>
    <t>Electricity - grid + curtailed</t>
  </si>
  <si>
    <t>ELC,ELCCurt</t>
  </si>
  <si>
    <t>cg_NGAHH2</t>
  </si>
  <si>
    <t>Nat gas + Hydrogen - primary</t>
  </si>
  <si>
    <t>GASNGA,HH2</t>
  </si>
  <si>
    <t>cg_NAPBIO</t>
  </si>
  <si>
    <t>Naphtha + biofuels - primary</t>
  </si>
  <si>
    <t>OILNAP,BIOGSL,BIODST</t>
  </si>
  <si>
    <t>cg_OIL</t>
  </si>
  <si>
    <t>Oil commodities for WEO demand</t>
  </si>
  <si>
    <t>OILASP,OILDST,OILGSL,OILHFO,OILJTK,OILKER,OILLPG,OILLUB,OILNAP,OILNGL,OILNSP,OILPTC</t>
  </si>
  <si>
    <t>cg_Other solid fuels</t>
  </si>
  <si>
    <t>Other solid fuels for WEO demand</t>
  </si>
  <si>
    <t>BIOBIN,BIOBMU,BIOCHR,BIOBSL,COABCO,COACOK</t>
  </si>
  <si>
    <t>cg_Other gases</t>
  </si>
  <si>
    <t>Other gaseous fuels for WEO demand</t>
  </si>
  <si>
    <t>GASRFG,BIOGAS,BIOSNG</t>
  </si>
  <si>
    <t>cg_Oil_synthetic</t>
  </si>
  <si>
    <t>Synthetic oil for WEO demand</t>
  </si>
  <si>
    <t>OILDSTs,OILGSLs,OILLPGs,OILHFOs,OILJTKs</t>
  </si>
  <si>
    <t>cg_Bioliq</t>
  </si>
  <si>
    <t>Bio liquids for WEO demand</t>
  </si>
  <si>
    <t>BIOGSL,BIODST,BIOJTK</t>
  </si>
  <si>
    <t>cg_COA</t>
  </si>
  <si>
    <t>COA*,-Coalbio*</t>
  </si>
  <si>
    <t>cg_Other liquids</t>
  </si>
  <si>
    <t>Other liquid fuels for WEO demand</t>
  </si>
  <si>
    <t>OILASP,OILKER,OILLUB,OILNAP,OILNGL,OILNSP,OILPTC</t>
  </si>
  <si>
    <t>coalbio</t>
  </si>
  <si>
    <t>coal plus biomass - for cofiring</t>
  </si>
  <si>
    <t>NRG</t>
  </si>
  <si>
    <t>INDCOA,INDBIO</t>
  </si>
  <si>
    <t>CoalBioH2Oil</t>
  </si>
  <si>
    <t>Blast furnace input</t>
  </si>
  <si>
    <t>INDCOA,INDBIO,INDHH2,INDOIL</t>
  </si>
  <si>
    <t>CoalBioOil</t>
  </si>
  <si>
    <t>INDCOA,INDBIO,INDOIL</t>
  </si>
  <si>
    <t>~FI_Comm</t>
  </si>
  <si>
    <t>Csets</t>
  </si>
  <si>
    <t>CommName</t>
  </si>
  <si>
    <t>CommDesc</t>
  </si>
  <si>
    <t>Unit</t>
  </si>
  <si>
    <t>CTSLvl</t>
  </si>
  <si>
    <t>PeakTS</t>
  </si>
  <si>
    <t>Ctype</t>
  </si>
  <si>
    <t>CSet</t>
  </si>
  <si>
    <t>\I: Emissions commodities</t>
  </si>
  <si>
    <t>OILFEE</t>
  </si>
  <si>
    <t>Refinery feeds</t>
  </si>
  <si>
    <t>ENV</t>
  </si>
  <si>
    <t>TRACH4N</t>
  </si>
  <si>
    <t>Transport Methan Emissions</t>
  </si>
  <si>
    <t>t</t>
  </si>
  <si>
    <t>OILNCR</t>
  </si>
  <si>
    <t>Non-crude</t>
  </si>
  <si>
    <t>AGRCH4N</t>
  </si>
  <si>
    <t>Agriculture Methan Emissions</t>
  </si>
  <si>
    <t>TRAN2ON</t>
  </si>
  <si>
    <t>Transport N2O Emissions</t>
  </si>
  <si>
    <t>kt</t>
  </si>
  <si>
    <t>CO2Captured</t>
  </si>
  <si>
    <t>CO2 Captured from fossil fuels combustion</t>
  </si>
  <si>
    <t>AGRN2ON</t>
  </si>
  <si>
    <t>Agriculture N2O Emissions</t>
  </si>
  <si>
    <t>*</t>
  </si>
  <si>
    <t>TRACO2N</t>
  </si>
  <si>
    <t>Transport Carbon Dioxide Combustion Emissions</t>
  </si>
  <si>
    <t>CO2Captured_bio</t>
  </si>
  <si>
    <t>CO2 Captured from bioenergy combustion</t>
  </si>
  <si>
    <t>AGRCO2P</t>
  </si>
  <si>
    <t>Agriculture Carbon Dioxide Process Emissions</t>
  </si>
  <si>
    <t>TRACH4I</t>
  </si>
  <si>
    <t>Transport Methan Emissions International Avi-Nav</t>
  </si>
  <si>
    <t>CO2ForStorage</t>
  </si>
  <si>
    <t>CO2 after transportation - for storage</t>
  </si>
  <si>
    <t>COMCH4N</t>
  </si>
  <si>
    <t>Commercial Methan Emissions</t>
  </si>
  <si>
    <t>TRAN2OI</t>
  </si>
  <si>
    <t>Transport N2O Emissions International Avi-Nav</t>
  </si>
  <si>
    <t>ELCCO2-Seq</t>
  </si>
  <si>
    <t>CO2 sequestered from electricity generation (for accounting)</t>
  </si>
  <si>
    <t>COMN2ON</t>
  </si>
  <si>
    <t>Commercial N2O Emissions</t>
  </si>
  <si>
    <t>TRACO2I</t>
  </si>
  <si>
    <t>Transport Carbon Dioxide Combustion Emissions International Avi-Nav</t>
  </si>
  <si>
    <t>ELCCO2Net</t>
  </si>
  <si>
    <t>Net CO2 from electricity generation</t>
  </si>
  <si>
    <t>mt</t>
  </si>
  <si>
    <t>RESCH4N</t>
  </si>
  <si>
    <t>Residential Methan Emissions</t>
  </si>
  <si>
    <t>AGRCO2Nc</t>
  </si>
  <si>
    <t>CO2 emission from COAL use in AGR sector</t>
  </si>
  <si>
    <t>DumGrid</t>
  </si>
  <si>
    <t>dummy commodity</t>
  </si>
  <si>
    <t>RESN2ON</t>
  </si>
  <si>
    <t>Residential N2O Emissions</t>
  </si>
  <si>
    <t>AGRCO2No</t>
  </si>
  <si>
    <t>CO2 emission from OIL use in AGR sector</t>
  </si>
  <si>
    <t>ELCCurt</t>
  </si>
  <si>
    <t>curtailed electricity</t>
  </si>
  <si>
    <t>DAYNITE</t>
  </si>
  <si>
    <t>RESCO2P</t>
  </si>
  <si>
    <t>Residential Carbon Dioxide Process Emissions</t>
  </si>
  <si>
    <t>AGRCO2Ng</t>
  </si>
  <si>
    <t>CO2 emission from GAS use in AGR sector</t>
  </si>
  <si>
    <t>HH2</t>
  </si>
  <si>
    <t>Hydrogen</t>
  </si>
  <si>
    <t>CO2_DAC</t>
  </si>
  <si>
    <t>CO2 from direct air capture</t>
  </si>
  <si>
    <t>COMCO2Nc</t>
  </si>
  <si>
    <t>CO2 emission from COAL use in COM sector</t>
  </si>
  <si>
    <t>LH2</t>
  </si>
  <si>
    <t>Liquid Hydrogen (for trading)</t>
  </si>
  <si>
    <t>COMCO2No</t>
  </si>
  <si>
    <t>CO2 emission from OIL use in COM sector</t>
  </si>
  <si>
    <t>NetCO2_ELC</t>
  </si>
  <si>
    <t>COMCO2Ng</t>
  </si>
  <si>
    <t>CO2 emission from GAS use in COM sector</t>
  </si>
  <si>
    <t>NetCO2_SUP</t>
  </si>
  <si>
    <t>Net CO2 from energy sector</t>
  </si>
  <si>
    <t>ELCCO2Nc</t>
  </si>
  <si>
    <t>CO2 emission from COAL use in ELC sector</t>
  </si>
  <si>
    <t>NetCO2_TRA</t>
  </si>
  <si>
    <t>Net CO2 from transport</t>
  </si>
  <si>
    <t>ELCCO2Ng</t>
  </si>
  <si>
    <t>CO2 emission from GAS use in ELC sector</t>
  </si>
  <si>
    <t>NetCO2_Bldg</t>
  </si>
  <si>
    <t>Net CO2 from Residential and Commercial</t>
  </si>
  <si>
    <t>ELCCO2No</t>
  </si>
  <si>
    <t>CO2 emission from OIL use in ELC sector</t>
  </si>
  <si>
    <t>NetCO2_IND</t>
  </si>
  <si>
    <t>Net CO2 from Industry</t>
  </si>
  <si>
    <t>ELCCO2Nw</t>
  </si>
  <si>
    <t>CO2 emission from WASTE use in ELC sector</t>
  </si>
  <si>
    <t>CO2Captured_elc</t>
  </si>
  <si>
    <t>CO2 Captured in the Power sector</t>
  </si>
  <si>
    <t>INDCO2Nc</t>
  </si>
  <si>
    <t>CO2 emission from COAL use in IND sector</t>
  </si>
  <si>
    <t>CO2Captured_sup</t>
  </si>
  <si>
    <t>CO2 Captured in Energy sector (bioref and H2 production)</t>
  </si>
  <si>
    <t>ELCCO2Nb</t>
  </si>
  <si>
    <t>CO2 emission from BIOMASS use in ELC sector</t>
  </si>
  <si>
    <t>CO2Captured_ind</t>
  </si>
  <si>
    <t>CO2 Captured in Industry</t>
  </si>
  <si>
    <t>INDCO2Nb</t>
  </si>
  <si>
    <t>CO2 emission from BIOMASS use in IND sector</t>
  </si>
  <si>
    <t>CO2Captured_ccu</t>
  </si>
  <si>
    <t>CO2 Captured from bioenergy combustion and DAC (which CAN be used for power to liq)</t>
  </si>
  <si>
    <t>INDCO2No</t>
  </si>
  <si>
    <t>CO2 emission from OIL use in IND sector</t>
  </si>
  <si>
    <t>CO2Used_ccu</t>
  </si>
  <si>
    <t>Captured CO2 used for liquid fuels etc - to be emitted eventually</t>
  </si>
  <si>
    <t>INDCO2Ng</t>
  </si>
  <si>
    <t>CO2 emission from GAS use in IND sector</t>
  </si>
  <si>
    <t>ELCDem</t>
  </si>
  <si>
    <t>Non-Transport electricity demand</t>
  </si>
  <si>
    <t>RESCO2Nc</t>
  </si>
  <si>
    <t>CO2 emission from COAL use in RES sector</t>
  </si>
  <si>
    <t>RESCO2No</t>
  </si>
  <si>
    <t>CO2 emission from OIL use in RES sector</t>
  </si>
  <si>
    <t>RESCO2Ng</t>
  </si>
  <si>
    <t>CO2 emission from GAS use in RES sector</t>
  </si>
  <si>
    <t>SUPCO2Nc</t>
  </si>
  <si>
    <t>CO2 emission from COAL use in SUP sector</t>
  </si>
  <si>
    <t>~fi_comm</t>
  </si>
  <si>
    <t>SUPCO2Nb</t>
  </si>
  <si>
    <t>CO2 emission from BIOMASS use in SUP sector</t>
  </si>
  <si>
    <t>set</t>
  </si>
  <si>
    <t>commodity</t>
  </si>
  <si>
    <t>description</t>
  </si>
  <si>
    <t>timeslicelevel</t>
  </si>
  <si>
    <t>unit</t>
  </si>
  <si>
    <t>ctype</t>
  </si>
  <si>
    <t>SUPCO2Ng</t>
  </si>
  <si>
    <t>CO2 emission from GAS use in SUP sector</t>
  </si>
  <si>
    <t>ELC4H</t>
  </si>
  <si>
    <t>First 5 hours of surplus electricity from VRE generation</t>
  </si>
  <si>
    <t>SUPCO2No</t>
  </si>
  <si>
    <t>CO2 emission from OIL use in SUP sector</t>
  </si>
  <si>
    <t>ELC8H</t>
  </si>
  <si>
    <t>6-10 hours of surplus electricity from VRE generation</t>
  </si>
  <si>
    <t>HH2CO2Nc</t>
  </si>
  <si>
    <t>CO2 emission from COAL use in HH2 sector</t>
  </si>
  <si>
    <t>DEF_E</t>
  </si>
  <si>
    <t>Electricity that was missing at the hourly level</t>
  </si>
  <si>
    <t>HH2CO2Nb</t>
  </si>
  <si>
    <t>CO2 emission from BIOMASS use in HH2 sector</t>
  </si>
  <si>
    <t>DEF_C</t>
  </si>
  <si>
    <t>VRE Capacity deficit to be covered by dispatchable techs</t>
  </si>
  <si>
    <t>GW</t>
  </si>
  <si>
    <t>HH2CO2Ng</t>
  </si>
  <si>
    <t>CO2 emission from GAS use in HH2 sector</t>
  </si>
  <si>
    <t>HH2CO2No</t>
  </si>
  <si>
    <t>CO2 emission from OIL use in HH2 sector</t>
  </si>
  <si>
    <t>TRACO2Nc</t>
  </si>
  <si>
    <t>CO2 emission from COAL use in TRA sector</t>
  </si>
  <si>
    <t>TRACO2No</t>
  </si>
  <si>
    <t>CO2 emission from OIL use in TRA sector</t>
  </si>
  <si>
    <t>TRACO2Ng</t>
  </si>
  <si>
    <t>CO2 emission from GAS use in TRA sector</t>
  </si>
  <si>
    <t>TOTCO2</t>
  </si>
  <si>
    <t>Total NET energy sector CO2</t>
  </si>
  <si>
    <t>INDNUC</t>
  </si>
  <si>
    <t>GASLNG</t>
  </si>
  <si>
    <t>Liquid Natural Gas</t>
  </si>
  <si>
    <t>repuc_unity</t>
  </si>
  <si>
    <t>dummy to create unit flow - for reporting Ucs</t>
  </si>
  <si>
    <t>misc</t>
  </si>
  <si>
    <t>N</t>
  </si>
  <si>
    <t>Set</t>
  </si>
  <si>
    <t>Commodity</t>
  </si>
  <si>
    <t>TSlvl</t>
  </si>
  <si>
    <t>Type</t>
  </si>
  <si>
    <t>*Commodity</t>
  </si>
  <si>
    <t>BIOBIN</t>
  </si>
  <si>
    <t>IEA Product: INDWASTE</t>
  </si>
  <si>
    <t>AGRBIO</t>
  </si>
  <si>
    <t>Agriculture sector use of: BIODIESEL,BIOGASOL,BIOJETKERO,CHARCOAL,INDWASTE,MUNWASTEN,MUNWASTER,OBIOLIQ,PRIMSBIO,RENEWNS</t>
  </si>
  <si>
    <t>TRAGH2</t>
  </si>
  <si>
    <t>Gaseous H2 for transport</t>
  </si>
  <si>
    <t>BIOBMU</t>
  </si>
  <si>
    <t>IEA Product: MUNWASTEN,MUNWASTER</t>
  </si>
  <si>
    <t>AGRCOA</t>
  </si>
  <si>
    <t>Agriculture sector use of: ANTCOAL,BITCOAL,BKB,BROWN,COALTAR,COKCOAL,GASCOKE,HARDCOAL,LIGNITE,OILSHALE,OTHER,OVENCOKE,PATFUEL,PEAT,PEATPROD,SUBCOAL</t>
  </si>
  <si>
    <t>TRALH2</t>
  </si>
  <si>
    <t>Liquid H2 for transport</t>
  </si>
  <si>
    <t>BIOBSL</t>
  </si>
  <si>
    <t>IEA Product: PRIMSBIO</t>
  </si>
  <si>
    <t>AGRCRD</t>
  </si>
  <si>
    <t>Agriculture sector use of: ADDITIVE</t>
  </si>
  <si>
    <t>\I:</t>
  </si>
  <si>
    <t>COMHH2</t>
  </si>
  <si>
    <t>Hydrogen - to blend with gas - COM</t>
  </si>
  <si>
    <t>BIOCHR</t>
  </si>
  <si>
    <t>IEA Product: CHARCOAL</t>
  </si>
  <si>
    <t>AGRELC</t>
  </si>
  <si>
    <t>Agriculture sector use of: ELECTR</t>
  </si>
  <si>
    <t>RESHH2</t>
  </si>
  <si>
    <t>Hydrogen - to blend with gas - RES</t>
  </si>
  <si>
    <t>BIODST</t>
  </si>
  <si>
    <t>IEA Product: BIODIESEL,OBIOLIQ</t>
  </si>
  <si>
    <t>AGRGEO</t>
  </si>
  <si>
    <t>Agriculture sector use of: GEOTHERM</t>
  </si>
  <si>
    <t>INDHH2</t>
  </si>
  <si>
    <t>Hydrogen - to blend with gas - IND</t>
  </si>
  <si>
    <t>BIOGAS</t>
  </si>
  <si>
    <t>IEA Product: BIOGASES</t>
  </si>
  <si>
    <t>AGRHET</t>
  </si>
  <si>
    <t>Agriculture sector use of: HEAT,HEATNS</t>
  </si>
  <si>
    <t>LTHEAT</t>
  </si>
  <si>
    <t>ELCHH2</t>
  </si>
  <si>
    <t>Hydrogen - to blend with gas - ELC</t>
  </si>
  <si>
    <t>BIOGSL</t>
  </si>
  <si>
    <t>IEA Product: BIOGASOL</t>
  </si>
  <si>
    <t>AGRHYD</t>
  </si>
  <si>
    <t>Agriculture sector use of: HYDRO</t>
  </si>
  <si>
    <t>BIOKER</t>
  </si>
  <si>
    <t>IEA Product: BIOJETKERO</t>
  </si>
  <si>
    <t>AGRKER</t>
  </si>
  <si>
    <t>Agriculture sector use of: AVGAS,JETGAS,NONBIOJETK,OTHKERO</t>
  </si>
  <si>
    <t>BIOREN</t>
  </si>
  <si>
    <t>IEA Product: RENEWNS</t>
  </si>
  <si>
    <t>AGRLPG</t>
  </si>
  <si>
    <t>Agriculture sector use of: LPG</t>
  </si>
  <si>
    <t>COABCO</t>
  </si>
  <si>
    <t>IEA Product: BKB,BROWN,LIGNITE,OTHER,PEAT,PEATPROD,SUBCOAL</t>
  </si>
  <si>
    <t>AGRNAP</t>
  </si>
  <si>
    <t>Agriculture sector use of: NAPHTHA</t>
  </si>
  <si>
    <t>COACOK</t>
  </si>
  <si>
    <t>IEA Product: COKCOAL,GASCOKE</t>
  </si>
  <si>
    <t>AGRNGA</t>
  </si>
  <si>
    <t>Agriculture sector use of: BIOGASES,BLFURGS,COKEOVGS,ETHANE,GASWKSGS,NATGAS,OGASES,REFINGAS</t>
  </si>
  <si>
    <t>tslvl</t>
  </si>
  <si>
    <t>COAHCO</t>
  </si>
  <si>
    <t>IEA Product: ANTCOAL,BITCOAL,HARDCOAL,OILSHALE,PATFUEL</t>
  </si>
  <si>
    <t>AGRNGL</t>
  </si>
  <si>
    <t>Agriculture sector use of: NGL</t>
  </si>
  <si>
    <t>ELC_Sol-DZA</t>
  </si>
  <si>
    <t>Solar electricity produced in - Algeria</t>
  </si>
  <si>
    <t>COAOVC</t>
  </si>
  <si>
    <t>IEA Product: OVENCOKE</t>
  </si>
  <si>
    <t>AGRNUC</t>
  </si>
  <si>
    <t>Agriculture sector use of: NUCLEAR</t>
  </si>
  <si>
    <t>ELC_Sol-EGY</t>
  </si>
  <si>
    <t>Solar electricity produced in - Egypt</t>
  </si>
  <si>
    <t>COATAR</t>
  </si>
  <si>
    <t>IEA Product: COALTAR</t>
  </si>
  <si>
    <t>AGROIL</t>
  </si>
  <si>
    <t>Agriculture sector use of: BITUMEN,CRNGFEED,CRUDEOIL,LUBRIC,NONBIODIES,NONBIOGASO,NONCRUDE,ONONSPEC,PARWAX,PETCOKE,REFFEEDS,RESFUEL,WHITESP</t>
  </si>
  <si>
    <t>ELC_Sol-LBY</t>
  </si>
  <si>
    <t>Solar electricity produced in - Libya</t>
  </si>
  <si>
    <t>IEA Product: ELECTR</t>
  </si>
  <si>
    <t>AGRSPV</t>
  </si>
  <si>
    <t>Agriculture sector use of: SOLARPV</t>
  </si>
  <si>
    <t>ELC_Sol-MAR</t>
  </si>
  <si>
    <t>Solar electricity produced in - Morocco</t>
  </si>
  <si>
    <t>GASBFG</t>
  </si>
  <si>
    <t>IEA Product: BLFURGS,OGASES</t>
  </si>
  <si>
    <t>AGRSTH</t>
  </si>
  <si>
    <t>Agriculture sector use of: SOLARTH</t>
  </si>
  <si>
    <t>ELC_Sol-TUN</t>
  </si>
  <si>
    <t>Solar electricity produced in - Tunisia</t>
  </si>
  <si>
    <t>GASCOG</t>
  </si>
  <si>
    <t>IEA Product: COKEOVGS</t>
  </si>
  <si>
    <t>AGRTDL</t>
  </si>
  <si>
    <t>Agriculture sector use of: TIDE</t>
  </si>
  <si>
    <t>ELC_Win-DZA</t>
  </si>
  <si>
    <t>Wind electricity produced in - Algeria</t>
  </si>
  <si>
    <t>GASETH</t>
  </si>
  <si>
    <t>IEA Product: ETHANE</t>
  </si>
  <si>
    <t>AGRWIN</t>
  </si>
  <si>
    <t>Agriculture sector use of: WIND</t>
  </si>
  <si>
    <t>ELC_Win-EGY</t>
  </si>
  <si>
    <t>Wind electricity produced in - Egypt</t>
  </si>
  <si>
    <t>GASGWG</t>
  </si>
  <si>
    <t>IEA Product: GASWKSGS</t>
  </si>
  <si>
    <t>COMASP</t>
  </si>
  <si>
    <t>Commercial sector use of: BITUMEN</t>
  </si>
  <si>
    <t>ELC_Win-LBY</t>
  </si>
  <si>
    <t>Wind electricity produced in - Libya</t>
  </si>
  <si>
    <t>GASNGA</t>
  </si>
  <si>
    <t>IEA Product: NATGAS</t>
  </si>
  <si>
    <t>COMBIO</t>
  </si>
  <si>
    <t>Commercial sector use of: BIODIESEL,BIOGASOL,BIOJETKERO,CHARCOAL,INDWASTE,MUNWASTEN,MUNWASTER,OBIOLIQ,PRIMSBIO,RENEWNS</t>
  </si>
  <si>
    <t>ELC_Win-MAR</t>
  </si>
  <si>
    <t>Wind electricity produced in - Morocco</t>
  </si>
  <si>
    <t>GASRFG</t>
  </si>
  <si>
    <t>IEA Product: REFINGAS</t>
  </si>
  <si>
    <t>COMCOA</t>
  </si>
  <si>
    <t>Commercial sector use of: ANTCOAL,BITCOAL,BKB,BROWN,COALTAR,COKCOAL,GASCOKE,HARDCOAL,LIGNITE,OILSHALE,OTHER,OVENCOKE,PATFUEL,PEAT,PEATPROD,SUBCOAL</t>
  </si>
  <si>
    <t>ELC_Win-TUN</t>
  </si>
  <si>
    <t>Wind electricity produced in - Tunisia</t>
  </si>
  <si>
    <t>GEO</t>
  </si>
  <si>
    <t>IEA Product: GEOTHERM</t>
  </si>
  <si>
    <t>COMCRD</t>
  </si>
  <si>
    <t>Commercial sector use of: ADDITIVE</t>
  </si>
  <si>
    <t>ELC_Sol-AGO</t>
  </si>
  <si>
    <t>Solar electricity produced in - Angola</t>
  </si>
  <si>
    <t>HET</t>
  </si>
  <si>
    <t>IEA Product: HEAT,HEATNS</t>
  </si>
  <si>
    <t>COMELC</t>
  </si>
  <si>
    <t>Commercial sector use of: ELECTR</t>
  </si>
  <si>
    <t>ELC_Sol-BDI</t>
  </si>
  <si>
    <t>Solar electricity produced in - Burundi</t>
  </si>
  <si>
    <t>HYD</t>
  </si>
  <si>
    <t>IEA Product: HYDRO</t>
  </si>
  <si>
    <t>COMGEO</t>
  </si>
  <si>
    <t>Commercial sector use of: GEOTHERM</t>
  </si>
  <si>
    <t>ELC_Sol-BEN</t>
  </si>
  <si>
    <t>Solar electricity produced in - Benin</t>
  </si>
  <si>
    <t>NUC</t>
  </si>
  <si>
    <t>IEA Product: NUCLEAR</t>
  </si>
  <si>
    <t>COMHET</t>
  </si>
  <si>
    <t>Commercial sector use of: HEAT,HEATNS</t>
  </si>
  <si>
    <t>ELC_Sol-BFA</t>
  </si>
  <si>
    <t>Solar electricity produced in - Burkina Faso</t>
  </si>
  <si>
    <t>OILASP</t>
  </si>
  <si>
    <t>IEA Product: BITUMEN</t>
  </si>
  <si>
    <t>COMHYD</t>
  </si>
  <si>
    <t>Commercial sector use of: HYDRO</t>
  </si>
  <si>
    <t>ELC_Sol-BWA</t>
  </si>
  <si>
    <t>Solar electricity produced in - Botswana</t>
  </si>
  <si>
    <t>OILCRD</t>
  </si>
  <si>
    <t>IEA Product: ADDITIVE,CRNGFEED,CRUDEOIL</t>
  </si>
  <si>
    <t>COMKER</t>
  </si>
  <si>
    <t>Commercial sector use of: AVGAS,JETGAS,NONBIOJETK,OTHKERO</t>
  </si>
  <si>
    <t>ELC_Sol-CAF</t>
  </si>
  <si>
    <t>Solar electricity produced in - Central African Republic</t>
  </si>
  <si>
    <t>OILDST</t>
  </si>
  <si>
    <t>IEA Product: NONBIODIES</t>
  </si>
  <si>
    <t>COMLPG</t>
  </si>
  <si>
    <t>Commercial sector use of: LPG</t>
  </si>
  <si>
    <t>ELC_Sol-CIV</t>
  </si>
  <si>
    <t>Solar electricity produced in - Ivory Coast</t>
  </si>
  <si>
    <t>IEA Product: REFFEEDS</t>
  </si>
  <si>
    <t>COMNAP</t>
  </si>
  <si>
    <t>Commercial sector use of: NAPHTHA</t>
  </si>
  <si>
    <t>ELC_Sol-CMR</t>
  </si>
  <si>
    <t>Solar electricity produced in - Cameroon</t>
  </si>
  <si>
    <t>OILGSL</t>
  </si>
  <si>
    <t>IEA Product: NONBIOGASO</t>
  </si>
  <si>
    <t>COMNGA</t>
  </si>
  <si>
    <t>Commercial sector use of: BIOGASES,BLFURGS,COKEOVGS,ETHANE,GASWKSGS,NATGAS,OGASES,REFINGAS</t>
  </si>
  <si>
    <t>ELC_Sol-COD</t>
  </si>
  <si>
    <t>Solar electricity produced in - Democratic Republic of Congo</t>
  </si>
  <si>
    <t>OILHFO</t>
  </si>
  <si>
    <t>IEA Product: RESFUEL</t>
  </si>
  <si>
    <t>COMNGL</t>
  </si>
  <si>
    <t>Commercial sector use of: NGL</t>
  </si>
  <si>
    <t>ELC_Sol-COG</t>
  </si>
  <si>
    <t>Solar electricity produced in - Republic of Congo</t>
  </si>
  <si>
    <t>OILJTK</t>
  </si>
  <si>
    <t>IEA Product: AVGAS,JETGAS,NONBIOJETK</t>
  </si>
  <si>
    <t>COMNUC</t>
  </si>
  <si>
    <t>Commercial sector use of: NUCLEAR</t>
  </si>
  <si>
    <t>ELC_Sol-COM</t>
  </si>
  <si>
    <t>Solar electricity produced in - Comoros</t>
  </si>
  <si>
    <t>OILKER</t>
  </si>
  <si>
    <t>IEA Product: OTHKERO</t>
  </si>
  <si>
    <t>COMOIL</t>
  </si>
  <si>
    <t>Commercial sector use of: CRNGFEED,CRUDEOIL,LUBRIC,NONBIODIES,NONBIOGASO,NONCRUDE,ONONSPEC,PARWAX,PETCOKE,REFFEEDS,RESFUEL,WHITESP</t>
  </si>
  <si>
    <t>ELC_Sol-CPV</t>
  </si>
  <si>
    <t>Solar electricity produced in - Cape Verde</t>
  </si>
  <si>
    <t>OILLPG</t>
  </si>
  <si>
    <t>IEA Product: LPG</t>
  </si>
  <si>
    <t>COMSPV</t>
  </si>
  <si>
    <t>Commercial sector use of: SOLARPV</t>
  </si>
  <si>
    <t>ELC_Sol-DJI</t>
  </si>
  <si>
    <t>Solar electricity produced in - Djibouti</t>
  </si>
  <si>
    <t>OILLUB</t>
  </si>
  <si>
    <t>IEA Product: LUBRIC,PARWAX,WHITESP</t>
  </si>
  <si>
    <t>COMSTH</t>
  </si>
  <si>
    <t>Commercial sector use of: SOLARTH</t>
  </si>
  <si>
    <t>ELC_Sol-ERI</t>
  </si>
  <si>
    <t>Solar electricity produced in - Eritrea</t>
  </si>
  <si>
    <t>OILNAP</t>
  </si>
  <si>
    <t>IEA Product: NAPHTHA</t>
  </si>
  <si>
    <t>COMTDL</t>
  </si>
  <si>
    <t>Commercial sector use of: TIDE</t>
  </si>
  <si>
    <t>ELC_Sol-ETH</t>
  </si>
  <si>
    <t>Solar electricity produced in - Ethiopia</t>
  </si>
  <si>
    <t>IEA Product: NONCRUDE</t>
  </si>
  <si>
    <t>COMWIN</t>
  </si>
  <si>
    <t>Commercial sector use of: WIND</t>
  </si>
  <si>
    <t>ELC_Sol-GAB</t>
  </si>
  <si>
    <t>Solar electricity produced in - Gabon</t>
  </si>
  <si>
    <t>OILNGL</t>
  </si>
  <si>
    <t>IEA Product: NGL</t>
  </si>
  <si>
    <t>INDBFG</t>
  </si>
  <si>
    <t>Industry sector use of: OGASES</t>
  </si>
  <si>
    <t>ELC_Sol-GHA</t>
  </si>
  <si>
    <t>Solar electricity produced in - Ghana</t>
  </si>
  <si>
    <t>OILNSP</t>
  </si>
  <si>
    <t>IEA Product: ONONSPEC</t>
  </si>
  <si>
    <t>INDBIO</t>
  </si>
  <si>
    <t>Industry sector use of: BIODIESEL,BIOGASES,BIOGASOL,BIOJETKERO,CHARCOAL,INDWASTE,MUNWASTEN,MUNWASTER,OBIOLIQ,PRIMSBIO,RENEWNS</t>
  </si>
  <si>
    <t>ELC_Sol-GIN</t>
  </si>
  <si>
    <t>Solar electricity produced in - Guinea</t>
  </si>
  <si>
    <t>OILPTC</t>
  </si>
  <si>
    <t>IEA Product: PETCOKE</t>
  </si>
  <si>
    <t>INDCOA</t>
  </si>
  <si>
    <t>Industry sector use of: ANTCOAL,BITCOAL,BKB,BROWN,COALTAR,COKCOAL,GASCOKE,HARDCOAL,LIGNITE,OILSHALE,OTHER,OVENCOKE,PATFUEL,PEAT,PEATPROD,SUBCOAL</t>
  </si>
  <si>
    <t>ELC_Sol-GMB</t>
  </si>
  <si>
    <t>Solar electricity produced in - The Gambia</t>
  </si>
  <si>
    <t>SPV</t>
  </si>
  <si>
    <t>IEA Product: SOLARPV</t>
  </si>
  <si>
    <t>INDELC</t>
  </si>
  <si>
    <t>Industry sector use of: ELECTR</t>
  </si>
  <si>
    <t>ELC_Sol-GNB</t>
  </si>
  <si>
    <t>Solar electricity produced in - Guinea-Bissau</t>
  </si>
  <si>
    <t>STH</t>
  </si>
  <si>
    <t>IEA Product: SOLARTH</t>
  </si>
  <si>
    <t>INDGEO</t>
  </si>
  <si>
    <t>Industry sector use of: GEOTHERM</t>
  </si>
  <si>
    <t>ELC_Sol-GNQ</t>
  </si>
  <si>
    <t>Solar electricity produced in - Equatorial Guinea</t>
  </si>
  <si>
    <t>TID</t>
  </si>
  <si>
    <t>IEA Product: TIDE</t>
  </si>
  <si>
    <t>INDHET</t>
  </si>
  <si>
    <t>Industry sector use of: HEAT,HEATNS</t>
  </si>
  <si>
    <t>ELC_Sol-KEN</t>
  </si>
  <si>
    <t>Solar electricity produced in - Kenya</t>
  </si>
  <si>
    <t>WIN</t>
  </si>
  <si>
    <t>IEA Product: WIND</t>
  </si>
  <si>
    <t>INDHYD</t>
  </si>
  <si>
    <t>Industry sector use of: HYDRO</t>
  </si>
  <si>
    <t>ELC_Sol-LBR</t>
  </si>
  <si>
    <t>Solar electricity produced in - Liberia</t>
  </si>
  <si>
    <t>INDNGA</t>
  </si>
  <si>
    <t>Industry sector use of: BLFURGS,COKEOVGS,ETHANE,GASWKSGS,NATGAS,REFINGAS</t>
  </si>
  <si>
    <t>ELC_Sol-LSO</t>
  </si>
  <si>
    <t>Solar electricity produced in - Lesotho</t>
  </si>
  <si>
    <t>Industry sector use of: NUCLEAR</t>
  </si>
  <si>
    <t>ELC_Sol-MDG</t>
  </si>
  <si>
    <t>Solar electricity produced in - Madagascar</t>
  </si>
  <si>
    <t>INDOIL</t>
  </si>
  <si>
    <t>Industry sector use of: ADDITIVE,AVGAS,BITUMEN,CRNGFEED,CRUDEOIL,JETGAS,LPG,LUBRIC,NAPHTHA,NGL,NONBIODIES,NONBIOGASO,NONBIOJETK,NONCRUDE,ONONSPEC,OTHKERO,PARWAX,PETCOKE,REFFEEDS,RESFUEL,WHITESP</t>
  </si>
  <si>
    <t>ELC_Sol-MLI</t>
  </si>
  <si>
    <t>Solar electricity produced in - Mali</t>
  </si>
  <si>
    <t>INDSPV</t>
  </si>
  <si>
    <t>Industry sector use of: SOLARPV</t>
  </si>
  <si>
    <t>ELC_Sol-MOZ</t>
  </si>
  <si>
    <t>Solar electricity produced in - Mozambique</t>
  </si>
  <si>
    <t>INDSTH</t>
  </si>
  <si>
    <t>Industry sector use of: SOLARTH</t>
  </si>
  <si>
    <t>ELC_Sol-MRT</t>
  </si>
  <si>
    <t>Solar electricity produced in - Mauritania</t>
  </si>
  <si>
    <t>INDTID</t>
  </si>
  <si>
    <t>Industry sector use of: TIDE</t>
  </si>
  <si>
    <t>ELC_Sol-MUS</t>
  </si>
  <si>
    <t>Solar electricity produced in - Mauritius</t>
  </si>
  <si>
    <t>INDWIN</t>
  </si>
  <si>
    <t>Industry sector use of: WIND</t>
  </si>
  <si>
    <t>ELC_Sol-MWI</t>
  </si>
  <si>
    <t>Solar electricity produced in - Malawi</t>
  </si>
  <si>
    <t>RESASP</t>
  </si>
  <si>
    <t>Residential sector use of: BITUMEN</t>
  </si>
  <si>
    <t>ELC_Sol-MYT</t>
  </si>
  <si>
    <t>Solar electricity produced in - Mayotte</t>
  </si>
  <si>
    <t>RESBIO</t>
  </si>
  <si>
    <t>Residential sector use of: BIODIESEL,BIOGASOL,BIOJETKERO,CHARCOAL,INDWASTE,MUNWASTEN,MUNWASTER,OBIOLIQ,PRIMSBIO,RENEWNS</t>
  </si>
  <si>
    <t>ELC_Sol-NAM</t>
  </si>
  <si>
    <t>Solar electricity produced in - Namibia</t>
  </si>
  <si>
    <t>RESCOA</t>
  </si>
  <si>
    <t>Residential sector use of: ANTCOAL,BITCOAL,BKB,BROWN,COALTAR,COKCOAL,GASCOKE,HARDCOAL,LIGNITE,OILSHALE,OTHER,OVENCOKE,PATFUEL,PEAT,PEATPROD,SUBCOAL</t>
  </si>
  <si>
    <t>ELC_Sol-NER</t>
  </si>
  <si>
    <t>Solar electricity produced in - Niger</t>
  </si>
  <si>
    <t>RESCRD</t>
  </si>
  <si>
    <t>Residential sector use of: ADDITIVE</t>
  </si>
  <si>
    <t>ELC_Sol-NGA</t>
  </si>
  <si>
    <t>Solar electricity produced in - Nigeria</t>
  </si>
  <si>
    <t>RESELC</t>
  </si>
  <si>
    <t>Residential sector use of: ELECTR</t>
  </si>
  <si>
    <t>ELC_Sol-RWA</t>
  </si>
  <si>
    <t>Solar electricity produced in - Rwanda</t>
  </si>
  <si>
    <t>RESGEO</t>
  </si>
  <si>
    <t>Residential sector use of: GEOTHERM</t>
  </si>
  <si>
    <t>ELC_Sol-SDN</t>
  </si>
  <si>
    <t>Solar electricity produced in - Sudan</t>
  </si>
  <si>
    <t>RESHET</t>
  </si>
  <si>
    <t>Residential sector use of: HEAT,HEATNS</t>
  </si>
  <si>
    <t>ELC_Sol-SEN</t>
  </si>
  <si>
    <t>Solar electricity produced in - Senegal</t>
  </si>
  <si>
    <t>RESHYD</t>
  </si>
  <si>
    <t>Residential sector use of: HYDRO</t>
  </si>
  <si>
    <t>ELC_Sol-SLE</t>
  </si>
  <si>
    <t>Solar electricity produced in - Sierra Leone</t>
  </si>
  <si>
    <t>RESKER</t>
  </si>
  <si>
    <t>Residential sector use of: AVGAS,JETGAS,NONBIOJETK,OTHKERO</t>
  </si>
  <si>
    <t>ELC_Sol-SOM</t>
  </si>
  <si>
    <t>Solar electricity produced in - Somalia</t>
  </si>
  <si>
    <t>RESLPG</t>
  </si>
  <si>
    <t>Residential sector use of: LPG</t>
  </si>
  <si>
    <t>ELC_Sol-SSD</t>
  </si>
  <si>
    <t>Solar electricity produced in - South Sudan</t>
  </si>
  <si>
    <t>RESNAP</t>
  </si>
  <si>
    <t>Residential sector use of: NAPHTHA</t>
  </si>
  <si>
    <t>ELC_Sol-STP</t>
  </si>
  <si>
    <t>Solar electricity produced in - Sao Tome and Principe</t>
  </si>
  <si>
    <t>RESNGA</t>
  </si>
  <si>
    <t>Residential sector use of: BIOGASES,BLFURGS,COKEOVGS,ETHANE,GASWKSGS,NATGAS,OGASES,REFINGAS</t>
  </si>
  <si>
    <t>ELC_Sol-SWZ</t>
  </si>
  <si>
    <t>Solar electricity produced in - Swaziland</t>
  </si>
  <si>
    <t>RESNGL</t>
  </si>
  <si>
    <t>Residential sector use of: NGL</t>
  </si>
  <si>
    <t>ELC_Sol-SYC</t>
  </si>
  <si>
    <t>Solar electricity produced in - Seychelles</t>
  </si>
  <si>
    <t>RESNUC</t>
  </si>
  <si>
    <t>Residential sector use of: NUCLEAR</t>
  </si>
  <si>
    <t>ELC_Sol-TCD</t>
  </si>
  <si>
    <t>Solar electricity produced in - Chad</t>
  </si>
  <si>
    <t>RESOIL</t>
  </si>
  <si>
    <t>Residential sector use of: CRNGFEED,CRUDEOIL,LUBRIC,NONBIODIES,NONBIOGASO,NONCRUDE,ONONSPEC,PARWAX,PETCOKE,REFFEEDS,RESFUEL,WHITESP</t>
  </si>
  <si>
    <t>ELC_Sol-TGO</t>
  </si>
  <si>
    <t>Solar electricity produced in - Togo</t>
  </si>
  <si>
    <t>RESSPV</t>
  </si>
  <si>
    <t>Residential sector use of: SOLARPV</t>
  </si>
  <si>
    <t>ELC_Sol-TZA</t>
  </si>
  <si>
    <t>Solar electricity produced in - Tanzania</t>
  </si>
  <si>
    <t>RESSTH</t>
  </si>
  <si>
    <t>Residential sector use of: SOLARTH</t>
  </si>
  <si>
    <t>ELC_Sol-UGA</t>
  </si>
  <si>
    <t>Solar electricity produced in - Uganda</t>
  </si>
  <si>
    <t>RESTDL</t>
  </si>
  <si>
    <t>Residential sector use of: TIDE</t>
  </si>
  <si>
    <t>ELC_Sol-ZMB</t>
  </si>
  <si>
    <t>Solar electricity produced in - Zambia</t>
  </si>
  <si>
    <t>RESWIN</t>
  </si>
  <si>
    <t>Residential sector use of: WIND</t>
  </si>
  <si>
    <t>ELC_Sol-ZWE</t>
  </si>
  <si>
    <t>Solar electricity produced in - Zimbabwe</t>
  </si>
  <si>
    <t>TRABDS</t>
  </si>
  <si>
    <t>Transport sector use of: BIODIESEL,OBIOLIQ</t>
  </si>
  <si>
    <t>ELC_Win-AGO</t>
  </si>
  <si>
    <t>Wind electricity produced in - Angola</t>
  </si>
  <si>
    <t>TRABGS</t>
  </si>
  <si>
    <t>Transport sector use of: BIOGASOL,RENEWNS</t>
  </si>
  <si>
    <t>ELC_Win-BDI</t>
  </si>
  <si>
    <t>Wind electricity produced in - Burundi</t>
  </si>
  <si>
    <t>TRABJK</t>
  </si>
  <si>
    <t>Transport sector use of: BIOJETKERO</t>
  </si>
  <si>
    <t>ELC_Win-BEN</t>
  </si>
  <si>
    <t>Wind electricity produced in - Benin</t>
  </si>
  <si>
    <t>TRABSL</t>
  </si>
  <si>
    <t>Transport sector use of: CHARCOAL,PRIMSBIO</t>
  </si>
  <si>
    <t>ELC_Win-BFA</t>
  </si>
  <si>
    <t>Wind electricity produced in - Burkina Faso</t>
  </si>
  <si>
    <t>TRACOA</t>
  </si>
  <si>
    <t>Transport sector use of: ANTCOAL,BITCOAL,BKB,BROWN,COALTAR,COKCOAL,GASCOKE,HARDCOAL,LIGNITE,OTHER,OVENCOKE,PATFUEL,PEAT,PEATPROD,SUBCOAL</t>
  </si>
  <si>
    <t>ELC_Win-BWA</t>
  </si>
  <si>
    <t>Wind electricity produced in - Botswana</t>
  </si>
  <si>
    <t>TRADST</t>
  </si>
  <si>
    <t>Transport sector use of: NONBIODIES</t>
  </si>
  <si>
    <t>ELC_Win-CAF</t>
  </si>
  <si>
    <t>Wind electricity produced in - Central African Republic</t>
  </si>
  <si>
    <t>TRAELC</t>
  </si>
  <si>
    <t>Transport sector use of: ELECTR,SOLARPV,SOLARTH,TIDE,WIND</t>
  </si>
  <si>
    <t>ELC_Win-CIV</t>
  </si>
  <si>
    <t>Wind electricity produced in - Ivory Coast</t>
  </si>
  <si>
    <t>TRAGSL</t>
  </si>
  <si>
    <t>Transport sector use of: ADDITIVE,BITUMEN,CRNGFEED,CRUDEOIL,NAPHTHA,NONBIOGASO,PARWAX,PETCOKE,REFFEEDS,WHITESP</t>
  </si>
  <si>
    <t>ELC_Win-CMR</t>
  </si>
  <si>
    <t>Wind electricity produced in - Cameroon</t>
  </si>
  <si>
    <t>TRAHFO</t>
  </si>
  <si>
    <t>Transport sector use of: LUBRIC,NGL,ONONSPEC,RESFUEL</t>
  </si>
  <si>
    <t>ELC_Win-COD</t>
  </si>
  <si>
    <t>Wind electricity produced in - Democratic Republic of Congo</t>
  </si>
  <si>
    <t>TRAJTK</t>
  </si>
  <si>
    <t>Transport sector use of: AVGAS,JETGAS,NONBIOJETK,OTHKERO</t>
  </si>
  <si>
    <t>ELC_Win-COG</t>
  </si>
  <si>
    <t>Wind electricity produced in - Republic of Congo</t>
  </si>
  <si>
    <t>TRALPG</t>
  </si>
  <si>
    <t>Transport sector use of: LPG</t>
  </si>
  <si>
    <t>ELC_Win-COM</t>
  </si>
  <si>
    <t>Wind electricity produced in - Comoros</t>
  </si>
  <si>
    <t>TRANGA</t>
  </si>
  <si>
    <t>Transport sector use of: BIOGASES,BLFURGS,COKEOVGS,ETHANE,GASWKSGS,NATGAS,REFINGAS</t>
  </si>
  <si>
    <t>ELC_Win-CPV</t>
  </si>
  <si>
    <t>Wind electricity produced in - Cape Verde</t>
  </si>
  <si>
    <t>Electricity from Vehicle batteries</t>
  </si>
  <si>
    <t>TRDELC</t>
  </si>
  <si>
    <t>ELC_Win-DJI</t>
  </si>
  <si>
    <t>Wind electricity produced in - Djibouti</t>
  </si>
  <si>
    <t>ELC_Win-ERI</t>
  </si>
  <si>
    <t>Wind electricity produced in - Eritrea</t>
  </si>
  <si>
    <t>ELC_Win-ETH</t>
  </si>
  <si>
    <t>Wind electricity produced in - Ethiopia</t>
  </si>
  <si>
    <t>ELC_Win-GAB</t>
  </si>
  <si>
    <t>Wind electricity produced in - Gabon</t>
  </si>
  <si>
    <t>ELC_Win-GHA</t>
  </si>
  <si>
    <t>Wind electricity produced in - Ghana</t>
  </si>
  <si>
    <t>ELC_Win-GIN</t>
  </si>
  <si>
    <t>Wind electricity produced in - Guinea</t>
  </si>
  <si>
    <t>ELC_Win-GMB</t>
  </si>
  <si>
    <t>Wind electricity produced in - The Gambia</t>
  </si>
  <si>
    <t>ELC_Win-GNB</t>
  </si>
  <si>
    <t>Wind electricity produced in - Guinea-Bissau</t>
  </si>
  <si>
    <t>ELCBSL</t>
  </si>
  <si>
    <t>Power sector use of: CHARCOAL,INDWASTE,MUNWASTEN,MUNWASTER,PRIMSBIO,RENEWNS</t>
  </si>
  <si>
    <t>ELC_Win-GNQ</t>
  </si>
  <si>
    <t>Wind electricity produced in - Equatorial Guinea</t>
  </si>
  <si>
    <t>ELCCOA</t>
  </si>
  <si>
    <t>Power sector use of: ANTCOAL,BITCOAL,COALTAR,COKCOAL,GASCOKE,HARDCOAL,OILSHALE,OVENCOKE,PATFUEL</t>
  </si>
  <si>
    <t>ELC_Win-KEN</t>
  </si>
  <si>
    <t>Wind electricity produced in - Kenya</t>
  </si>
  <si>
    <t>ELCCOB</t>
  </si>
  <si>
    <t>Power sector use of: BKB,BROWN,LIGNITE,OTHER,PEAT,PEATPROD,SUBCOAL</t>
  </si>
  <si>
    <t>ELC_Win-LBR</t>
  </si>
  <si>
    <t>Wind electricity produced in - Liberia</t>
  </si>
  <si>
    <t>ELCGEO</t>
  </si>
  <si>
    <t>Power sector use of: GEOTHERM</t>
  </si>
  <si>
    <t>ELC_Win-LSO</t>
  </si>
  <si>
    <t>Wind electricity produced in - Lesotho</t>
  </si>
  <si>
    <t>ELCHYD</t>
  </si>
  <si>
    <t>Power sector use of: HYDRO</t>
  </si>
  <si>
    <t>ELC_Win-MDG</t>
  </si>
  <si>
    <t>Wind electricity produced in - Madagascar</t>
  </si>
  <si>
    <t>ELCNGA</t>
  </si>
  <si>
    <t>Power sector use of: BIOGASES,BLFURGS,COKEOVGS,ETHANE,GASWKSGS,NATGAS,OGASES,REFINGAS</t>
  </si>
  <si>
    <t>ELC_Win-MLI</t>
  </si>
  <si>
    <t>Wind electricity produced in - Mali</t>
  </si>
  <si>
    <t>ELCNUC</t>
  </si>
  <si>
    <t>Power sector use of: NUCLEAR</t>
  </si>
  <si>
    <t>ELC_Win-MOZ</t>
  </si>
  <si>
    <t>Wind electricity produced in - Mozambique</t>
  </si>
  <si>
    <t>ELCOIL</t>
  </si>
  <si>
    <t>Power sector use of: ADDITIVE,AVGAS,BIODIESEL,BIOGASOL,BIOJETKERO,BITUMEN,JETGAS,LPG,LUBRIC,NAPHTHA,NGL,NONBIOGASO,NONBIOJETK,NONCRUDE,OBIOLIQ,ONONSPEC,OTHKERO,PARWAX,PETCOKE,RESFUEL,WHITESP</t>
  </si>
  <si>
    <t>ELC_Win-MRT</t>
  </si>
  <si>
    <t>Wind electricity produced in - Mauritania</t>
  </si>
  <si>
    <t>ELCOIL_CRD</t>
  </si>
  <si>
    <t>Power sector use of: CRNGFEED,CRUDEOIL,REFFEEDS</t>
  </si>
  <si>
    <t>ELC_Win-MUS</t>
  </si>
  <si>
    <t>Wind electricity produced in - Mauritius</t>
  </si>
  <si>
    <t>ELCOIL_DST</t>
  </si>
  <si>
    <t>Power sector use of: NONBIODIES</t>
  </si>
  <si>
    <t>ELC_Win-MWI</t>
  </si>
  <si>
    <t>Wind electricity produced in - Malawi</t>
  </si>
  <si>
    <t>ELCSPV</t>
  </si>
  <si>
    <t>Power sector use of: SOLARPV</t>
  </si>
  <si>
    <t>ELC_Win-MYT</t>
  </si>
  <si>
    <t>Wind electricity produced in - Mayotte</t>
  </si>
  <si>
    <t>ELCSTH</t>
  </si>
  <si>
    <t>Power sector use of: SOLARTH</t>
  </si>
  <si>
    <t>ELC_Win-NAM</t>
  </si>
  <si>
    <t>Wind electricity produced in - Namibia</t>
  </si>
  <si>
    <t>ELCTDL</t>
  </si>
  <si>
    <t>Power sector use of: TIDE</t>
  </si>
  <si>
    <t>ELC_Win-NER</t>
  </si>
  <si>
    <t>Wind electricity produced in - Niger</t>
  </si>
  <si>
    <t>ELCWIN</t>
  </si>
  <si>
    <t>Power sector use of: WIND</t>
  </si>
  <si>
    <t>ELC_Win-NGA</t>
  </si>
  <si>
    <t>Wind electricity produced in - Nigeria</t>
  </si>
  <si>
    <t>ELC_Win-RWA</t>
  </si>
  <si>
    <t>Wind electricity produced in - Rwanda</t>
  </si>
  <si>
    <t>ELC_Win-SDN</t>
  </si>
  <si>
    <t>Wind electricity produced in - Sudan</t>
  </si>
  <si>
    <t>ELC_Win-SEN</t>
  </si>
  <si>
    <t>Wind electricity produced in - Senegal</t>
  </si>
  <si>
    <t>ELC_Win-SLE</t>
  </si>
  <si>
    <t>Wind electricity produced in - Sierra Leone</t>
  </si>
  <si>
    <t>ELC_Win-SOM</t>
  </si>
  <si>
    <t>Wind electricity produced in - Somalia</t>
  </si>
  <si>
    <t>ELC_Win-SSD</t>
  </si>
  <si>
    <t>Wind electricity produced in - South Sudan</t>
  </si>
  <si>
    <t>ELC_Win-STP</t>
  </si>
  <si>
    <t>Wind electricity produced in - Sao Tome and Principe</t>
  </si>
  <si>
    <t>ELC_Win-SWZ</t>
  </si>
  <si>
    <t>Wind electricity produced in - Swaziland</t>
  </si>
  <si>
    <t>ELC_Win-SYC</t>
  </si>
  <si>
    <t>Wind electricity produced in - Seychelles</t>
  </si>
  <si>
    <t>ELC_Win-TCD</t>
  </si>
  <si>
    <t>Wind electricity produced in - Chad</t>
  </si>
  <si>
    <t>ELC_Win-TGO</t>
  </si>
  <si>
    <t>Wind electricity produced in - Togo</t>
  </si>
  <si>
    <t>ELC_Win-TZA</t>
  </si>
  <si>
    <t>Wind electricity produced in - Tanzania</t>
  </si>
  <si>
    <t>ELC_Win-UGA</t>
  </si>
  <si>
    <t>Wind electricity produced in - Uganda</t>
  </si>
  <si>
    <t>ELC_Win-ZMB</t>
  </si>
  <si>
    <t>Wind electricity produced in - Zambia</t>
  </si>
  <si>
    <t>ELC_Win-ZWE</t>
  </si>
  <si>
    <t>Wind electricity produced in - Zimbabwe</t>
  </si>
  <si>
    <t>ELC_Sol-AUS</t>
  </si>
  <si>
    <t>Solar electricity produced in - Australia</t>
  </si>
  <si>
    <t>ELC_Win-AUS</t>
  </si>
  <si>
    <t>Wind electricity produced in - Australia</t>
  </si>
  <si>
    <t>ELC_Sol-AUT</t>
  </si>
  <si>
    <t>Solar electricity produced in - Austria</t>
  </si>
  <si>
    <t>ELC_Win-AUT</t>
  </si>
  <si>
    <t>Wind electricity produced in - Austria</t>
  </si>
  <si>
    <t>ELC_Sol-EST</t>
  </si>
  <si>
    <t>Solar electricity produced in - Estonia</t>
  </si>
  <si>
    <t>ELC_Sol-LTU</t>
  </si>
  <si>
    <t>Solar electricity produced in - Lithuania</t>
  </si>
  <si>
    <t>ELC_Sol-LVA</t>
  </si>
  <si>
    <t>Solar electricity produced in - Latvia</t>
  </si>
  <si>
    <t>ELC_Win-EST</t>
  </si>
  <si>
    <t>Wind electricity produced in - Estonia</t>
  </si>
  <si>
    <t>ELC_Win-LTU</t>
  </si>
  <si>
    <t>Wind electricity produced in - Lithuania</t>
  </si>
  <si>
    <t>ELC_Win-LVA</t>
  </si>
  <si>
    <t>Wind electricity produced in - Latvia</t>
  </si>
  <si>
    <t>ELC_Sol-BEL</t>
  </si>
  <si>
    <t>Solar electricity produced in - Belgium</t>
  </si>
  <si>
    <t>ELC_Sol-LUX</t>
  </si>
  <si>
    <t>Solar electricity produced in - Luxembourg</t>
  </si>
  <si>
    <t>ELC_Sol-NLD</t>
  </si>
  <si>
    <t>Solar electricity produced in - Netherlands</t>
  </si>
  <si>
    <t>ELC_Win-BEL</t>
  </si>
  <si>
    <t>Wind electricity produced in - Belgium</t>
  </si>
  <si>
    <t>ELC_Win-LUX</t>
  </si>
  <si>
    <t>Wind electricity produced in - Luxembourg</t>
  </si>
  <si>
    <t>ELC_Win-NLD</t>
  </si>
  <si>
    <t>Wind electricity produced in - Netherlands</t>
  </si>
  <si>
    <t>ELC_Sol-BRA</t>
  </si>
  <si>
    <t>Solar electricity produced in - Brazil</t>
  </si>
  <si>
    <t>ELC_Win-BRA</t>
  </si>
  <si>
    <t>Wind electricity produced in - Brazil</t>
  </si>
  <si>
    <t>ELC_Sol-CHN</t>
  </si>
  <si>
    <t>Solar electricity produced in - China</t>
  </si>
  <si>
    <t>ELC_Win-CHN</t>
  </si>
  <si>
    <t>Wind electricity produced in - China</t>
  </si>
  <si>
    <t>ELC_Sol-HRV</t>
  </si>
  <si>
    <t>Solar electricity produced in - Croatia</t>
  </si>
  <si>
    <t>ELC_Sol-SVN</t>
  </si>
  <si>
    <t>Solar electricity produced in - Slovenia</t>
  </si>
  <si>
    <t>ELC_Win-HRV</t>
  </si>
  <si>
    <t>Wind electricity produced in - Croatia</t>
  </si>
  <si>
    <t>ELC_Win-SVN</t>
  </si>
  <si>
    <t>Wind electricity produced in - Slovenia</t>
  </si>
  <si>
    <t>ELC_Sol-CZE</t>
  </si>
  <si>
    <t>Solar electricity produced in - Czech Republic</t>
  </si>
  <si>
    <t>ELC_Sol-SVK</t>
  </si>
  <si>
    <t>Solar electricity produced in - Slovak Republic</t>
  </si>
  <si>
    <t>ELC_Win-CZE</t>
  </si>
  <si>
    <t>Wind electricity produced in - Czech Republic</t>
  </si>
  <si>
    <t>ELC_Win-SVK</t>
  </si>
  <si>
    <t>Wind electricity produced in - Slovak Republic</t>
  </si>
  <si>
    <t>ELC_Sol-FRA</t>
  </si>
  <si>
    <t>Solar electricity produced in - France</t>
  </si>
  <si>
    <t>ELC_Win-FRA</t>
  </si>
  <si>
    <t>Wind electricity produced in - France</t>
  </si>
  <si>
    <t>ELC_Sol-DEU</t>
  </si>
  <si>
    <t>Solar electricity produced in - Germany</t>
  </si>
  <si>
    <t>ELC_Win-DEU</t>
  </si>
  <si>
    <t>Wind electricity produced in - Germany</t>
  </si>
  <si>
    <t>ELC_Sol-CYP</t>
  </si>
  <si>
    <t>Solar electricity produced in - Cyprus</t>
  </si>
  <si>
    <t>ELC_Sol-GRC</t>
  </si>
  <si>
    <t>Solar electricity produced in - Greece</t>
  </si>
  <si>
    <t>ELC_Win-CYP</t>
  </si>
  <si>
    <t>Wind electricity produced in - Cyprus</t>
  </si>
  <si>
    <t>ELC_Win-GRC</t>
  </si>
  <si>
    <t>Wind electricity produced in - Greece</t>
  </si>
  <si>
    <t>ELC_Sol-BGR</t>
  </si>
  <si>
    <t>Solar electricity produced in - Bulgaria</t>
  </si>
  <si>
    <t>ELC_Sol-HUN</t>
  </si>
  <si>
    <t>Solar electricity produced in - Hungary</t>
  </si>
  <si>
    <t>ELC_Sol-ROU</t>
  </si>
  <si>
    <t>Solar electricity produced in - Romania</t>
  </si>
  <si>
    <t>ELC_Win-BGR</t>
  </si>
  <si>
    <t>Wind electricity produced in - Bulgaria</t>
  </si>
  <si>
    <t>ELC_Win-HUN</t>
  </si>
  <si>
    <t>Wind electricity produced in - Hungary</t>
  </si>
  <si>
    <t>ELC_Win-ROU</t>
  </si>
  <si>
    <t>Wind electricity produced in - Romania</t>
  </si>
  <si>
    <t>ELC_Sol-ISL</t>
  </si>
  <si>
    <t>Solar electricity produced in - Iceland</t>
  </si>
  <si>
    <t>ELC_Win-ISL</t>
  </si>
  <si>
    <t>Wind electricity produced in - Iceland</t>
  </si>
  <si>
    <t>ELC_Sol-IND</t>
  </si>
  <si>
    <t>Solar electricity produced in - India</t>
  </si>
  <si>
    <t>ELC_Win-IND</t>
  </si>
  <si>
    <t>Wind electricity produced in - India</t>
  </si>
  <si>
    <t>ELC_Sol-IRL</t>
  </si>
  <si>
    <t>Solar electricity produced in - Ireland</t>
  </si>
  <si>
    <t>ELC_Win-IRL</t>
  </si>
  <si>
    <t>Wind electricity produced in - Ireland</t>
  </si>
  <si>
    <t>ELC_Sol-ITA</t>
  </si>
  <si>
    <t>Solar electricity produced in - Italy</t>
  </si>
  <si>
    <t>ELC_Sol-MLT</t>
  </si>
  <si>
    <t>Solar electricity produced in - Malta</t>
  </si>
  <si>
    <t>ELC_Win-ITA</t>
  </si>
  <si>
    <t>Wind electricity produced in - Italy</t>
  </si>
  <si>
    <t>ELC_Win-MLT</t>
  </si>
  <si>
    <t>Wind electricity produced in - Malta</t>
  </si>
  <si>
    <t>ELC_Sol-JPN</t>
  </si>
  <si>
    <t>Solar electricity produced in - Japan</t>
  </si>
  <si>
    <t>ELC_Win-JPN</t>
  </si>
  <si>
    <t>Wind electricity produced in - Japan</t>
  </si>
  <si>
    <t>ELC_Sol-ABW</t>
  </si>
  <si>
    <t>Solar electricity produced in - Aruba</t>
  </si>
  <si>
    <t>ELC_Sol-ARG</t>
  </si>
  <si>
    <t>Solar electricity produced in - Argentina</t>
  </si>
  <si>
    <t>ELC_Sol-ATG</t>
  </si>
  <si>
    <t>Solar electricity produced in - Antigua and Barbuda</t>
  </si>
  <si>
    <t>ELC_Sol-BHS</t>
  </si>
  <si>
    <t>Solar electricity produced in - The Bahamas</t>
  </si>
  <si>
    <t>ELC_Sol-BLZ</t>
  </si>
  <si>
    <t>Solar electricity produced in - Belize</t>
  </si>
  <si>
    <t>ELC_Sol-BOL</t>
  </si>
  <si>
    <t>Solar electricity produced in - Bolivia</t>
  </si>
  <si>
    <t>ELC_Sol-BRB</t>
  </si>
  <si>
    <t>Solar electricity produced in - Barbados</t>
  </si>
  <si>
    <t>ELC_Sol-CHL</t>
  </si>
  <si>
    <t>Solar electricity produced in - Chile</t>
  </si>
  <si>
    <t>ELC_Sol-COL</t>
  </si>
  <si>
    <t>Solar electricity produced in - Colombia</t>
  </si>
  <si>
    <t>ELC_Sol-CRI</t>
  </si>
  <si>
    <t>Solar electricity produced in - Costa Rica</t>
  </si>
  <si>
    <t>ELC_Sol-CUB</t>
  </si>
  <si>
    <t>Solar electricity produced in - Cuba</t>
  </si>
  <si>
    <t>ELC_Sol-CYM</t>
  </si>
  <si>
    <t>Solar electricity produced in - Cayman Islands</t>
  </si>
  <si>
    <t>ELC_Sol-DMA</t>
  </si>
  <si>
    <t>Solar electricity produced in - Dominica</t>
  </si>
  <si>
    <t>ELC_Sol-DOM</t>
  </si>
  <si>
    <t>Solar electricity produced in - Dominican Republic</t>
  </si>
  <si>
    <t>ELC_Sol-ECU</t>
  </si>
  <si>
    <t>Solar electricity produced in - Ecuador</t>
  </si>
  <si>
    <t>ELC_Sol-GRD</t>
  </si>
  <si>
    <t>Solar electricity produced in - Grenada</t>
  </si>
  <si>
    <t>ELC_Sol-GTM</t>
  </si>
  <si>
    <t>Solar electricity produced in - Guatemala</t>
  </si>
  <si>
    <t>ELC_Sol-GUF</t>
  </si>
  <si>
    <t>Solar electricity produced in - French Guiana</t>
  </si>
  <si>
    <t>ELC_Sol-GUY</t>
  </si>
  <si>
    <t>Solar electricity produced in - Guyana</t>
  </si>
  <si>
    <t>ELC_Sol-HND</t>
  </si>
  <si>
    <t>Solar electricity produced in - Honduras</t>
  </si>
  <si>
    <t>ELC_Sol-HTI</t>
  </si>
  <si>
    <t>Solar electricity produced in - Haiti</t>
  </si>
  <si>
    <t>ELC_Sol-JAM</t>
  </si>
  <si>
    <t>Solar electricity produced in - Jamaica</t>
  </si>
  <si>
    <t>ELC_Sol-KNA</t>
  </si>
  <si>
    <t>Solar electricity produced in - St. Kitts and Nevis</t>
  </si>
  <si>
    <t>ELC_Sol-LCA</t>
  </si>
  <si>
    <t>Solar electricity produced in - St. Lucia</t>
  </si>
  <si>
    <t>ELC_Sol-MSR</t>
  </si>
  <si>
    <t>Solar electricity produced in - Montserrat</t>
  </si>
  <si>
    <t>ELC_Sol-NIC</t>
  </si>
  <si>
    <t>Solar electricity produced in - Nicaragua</t>
  </si>
  <si>
    <t>ELC_Sol-PAN</t>
  </si>
  <si>
    <t>Solar electricity produced in - Panama</t>
  </si>
  <si>
    <t>ELC_Sol-PER</t>
  </si>
  <si>
    <t>Solar electricity produced in - Peru</t>
  </si>
  <si>
    <t>ELC_Sol-PRI</t>
  </si>
  <si>
    <t>Solar electricity produced in - Puerto Rico</t>
  </si>
  <si>
    <t>ELC_Sol-PRY</t>
  </si>
  <si>
    <t>Solar electricity produced in - Paraguay</t>
  </si>
  <si>
    <t>ELC_Sol-SLV</t>
  </si>
  <si>
    <t>Solar electricity produced in - El Salvador</t>
  </si>
  <si>
    <t>ELC_Sol-SUR</t>
  </si>
  <si>
    <t>Solar electricity produced in - Suriname</t>
  </si>
  <si>
    <t>ELC_Sol-TCA</t>
  </si>
  <si>
    <t>Solar electricity produced in - Turks and Caicos Islands</t>
  </si>
  <si>
    <t>ELC_Sol-TTO</t>
  </si>
  <si>
    <t>Solar electricity produced in - Trinidad and Tobago</t>
  </si>
  <si>
    <t>ELC_Sol-URY</t>
  </si>
  <si>
    <t>Solar electricity produced in - Uruguay</t>
  </si>
  <si>
    <t>ELC_Sol-VCT</t>
  </si>
  <si>
    <t>Solar electricity produced in - St. Vincent and the Grenadines</t>
  </si>
  <si>
    <t>ELC_Sol-VEN</t>
  </si>
  <si>
    <t>Solar electricity produced in - Venezuela</t>
  </si>
  <si>
    <t>ELC_Sol-VIR</t>
  </si>
  <si>
    <t>Solar electricity produced in - Virgin Islands</t>
  </si>
  <si>
    <t>ELC_Win-ABW</t>
  </si>
  <si>
    <t>Wind electricity produced in - Aruba</t>
  </si>
  <si>
    <t>ELC_Win-ARG</t>
  </si>
  <si>
    <t>Wind electricity produced in - Argentina</t>
  </si>
  <si>
    <t>ELC_Win-ATG</t>
  </si>
  <si>
    <t>Wind electricity produced in - Antigua and Barbuda</t>
  </si>
  <si>
    <t>ELC_Win-BHS</t>
  </si>
  <si>
    <t>Wind electricity produced in - The Bahamas</t>
  </si>
  <si>
    <t>ELC_Win-BLZ</t>
  </si>
  <si>
    <t>Wind electricity produced in - Belize</t>
  </si>
  <si>
    <t>ELC_Win-BOL</t>
  </si>
  <si>
    <t>Wind electricity produced in - Bolivia</t>
  </si>
  <si>
    <t>ELC_Win-BRB</t>
  </si>
  <si>
    <t>Wind electricity produced in - Barbados</t>
  </si>
  <si>
    <t>ELC_Win-CHL</t>
  </si>
  <si>
    <t>Wind electricity produced in - Chile</t>
  </si>
  <si>
    <t>ELC_Win-COL</t>
  </si>
  <si>
    <t>Wind electricity produced in - Colombia</t>
  </si>
  <si>
    <t>ELC_Win-CRI</t>
  </si>
  <si>
    <t>Wind electricity produced in - Costa Rica</t>
  </si>
  <si>
    <t>ELC_Win-CUB</t>
  </si>
  <si>
    <t>Wind electricity produced in - Cuba</t>
  </si>
  <si>
    <t>ELC_Win-CYM</t>
  </si>
  <si>
    <t>Wind electricity produced in - Cayman Islands</t>
  </si>
  <si>
    <t>ELC_Win-DMA</t>
  </si>
  <si>
    <t>Wind electricity produced in - Dominica</t>
  </si>
  <si>
    <t>ELC_Win-DOM</t>
  </si>
  <si>
    <t>Wind electricity produced in - Dominican Republic</t>
  </si>
  <si>
    <t>ELC_Win-ECU</t>
  </si>
  <si>
    <t>Wind electricity produced in - Ecuador</t>
  </si>
  <si>
    <t>ELC_Win-GRD</t>
  </si>
  <si>
    <t>Wind electricity produced in - Grenada</t>
  </si>
  <si>
    <t>ELC_Win-GTM</t>
  </si>
  <si>
    <t>Wind electricity produced in - Guatemala</t>
  </si>
  <si>
    <t>ELC_Win-GUF</t>
  </si>
  <si>
    <t>Wind electricity produced in - French Guiana</t>
  </si>
  <si>
    <t>ELC_Win-GUY</t>
  </si>
  <si>
    <t>Wind electricity produced in - Guyana</t>
  </si>
  <si>
    <t>ELC_Win-HND</t>
  </si>
  <si>
    <t>Wind electricity produced in - Honduras</t>
  </si>
  <si>
    <t>ELC_Win-HTI</t>
  </si>
  <si>
    <t>Wind electricity produced in - Haiti</t>
  </si>
  <si>
    <t>ELC_Win-JAM</t>
  </si>
  <si>
    <t>Wind electricity produced in - Jamaica</t>
  </si>
  <si>
    <t>ELC_Win-KNA</t>
  </si>
  <si>
    <t>Wind electricity produced in - St. Kitts and Nevis</t>
  </si>
  <si>
    <t>ELC_Win-LCA</t>
  </si>
  <si>
    <t>Wind electricity produced in - St. Lucia</t>
  </si>
  <si>
    <t>ELC_Win-MSR</t>
  </si>
  <si>
    <t>Wind electricity produced in - Montserrat</t>
  </si>
  <si>
    <t>ELC_Win-NIC</t>
  </si>
  <si>
    <t>Wind electricity produced in - Nicaragua</t>
  </si>
  <si>
    <t>ELC_Win-PAN</t>
  </si>
  <si>
    <t>Wind electricity produced in - Panama</t>
  </si>
  <si>
    <t>ELC_Win-PER</t>
  </si>
  <si>
    <t>Wind electricity produced in - Peru</t>
  </si>
  <si>
    <t>ELC_Win-PRI</t>
  </si>
  <si>
    <t>Wind electricity produced in - Puerto Rico</t>
  </si>
  <si>
    <t>ELC_Win-PRY</t>
  </si>
  <si>
    <t>Wind electricity produced in - Paraguay</t>
  </si>
  <si>
    <t>ELC_Win-SLV</t>
  </si>
  <si>
    <t>Wind electricity produced in - El Salvador</t>
  </si>
  <si>
    <t>ELC_Win-SUR</t>
  </si>
  <si>
    <t>Wind electricity produced in - Suriname</t>
  </si>
  <si>
    <t>ELC_Win-TCA</t>
  </si>
  <si>
    <t>Wind electricity produced in - Turks and Caicos Islands</t>
  </si>
  <si>
    <t>ELC_Win-TTO</t>
  </si>
  <si>
    <t>Wind electricity produced in - Trinidad and Tobago</t>
  </si>
  <si>
    <t>ELC_Win-URY</t>
  </si>
  <si>
    <t>Wind electricity produced in - Uruguay</t>
  </si>
  <si>
    <t>ELC_Win-VCT</t>
  </si>
  <si>
    <t>Wind electricity produced in - St. Vincent and the Grenadines</t>
  </si>
  <si>
    <t>ELC_Win-VEN</t>
  </si>
  <si>
    <t>Wind electricity produced in - Venezuela</t>
  </si>
  <si>
    <t>ELC_Win-VIR</t>
  </si>
  <si>
    <t>Wind electricity produced in - Virgin Islands</t>
  </si>
  <si>
    <t>ELC_Sol-ARE</t>
  </si>
  <si>
    <t>Solar electricity produced in - United Arab Emirates</t>
  </si>
  <si>
    <t>ELC_Sol-BHR</t>
  </si>
  <si>
    <t>Solar electricity produced in - Bahrain</t>
  </si>
  <si>
    <t>ELC_Sol-IRN</t>
  </si>
  <si>
    <t>Solar electricity produced in - Iran</t>
  </si>
  <si>
    <t>ELC_Sol-IRQ</t>
  </si>
  <si>
    <t>Solar electricity produced in - Iraq</t>
  </si>
  <si>
    <t>ELC_Sol-ISR</t>
  </si>
  <si>
    <t>Solar electricity produced in - Israel</t>
  </si>
  <si>
    <t>ELC_Sol-JOR</t>
  </si>
  <si>
    <t>Solar electricity produced in - Jordan</t>
  </si>
  <si>
    <t>ELC_Sol-KWT</t>
  </si>
  <si>
    <t>Solar electricity produced in - Kuwait</t>
  </si>
  <si>
    <t>ELC_Sol-LBN</t>
  </si>
  <si>
    <t>Solar electricity produced in - Lebanon</t>
  </si>
  <si>
    <t>ELC_Sol-OMN</t>
  </si>
  <si>
    <t>Solar electricity produced in - Oman</t>
  </si>
  <si>
    <t>ELC_Sol-PSE</t>
  </si>
  <si>
    <t>Solar electricity produced in - Palestine</t>
  </si>
  <si>
    <t>ELC_Sol-QAT</t>
  </si>
  <si>
    <t>Solar electricity produced in - Qatar</t>
  </si>
  <si>
    <t>ELC_Sol-SYR</t>
  </si>
  <si>
    <t>Solar electricity produced in - Syrian Arab Republic</t>
  </si>
  <si>
    <t>ELC_Sol-YEM</t>
  </si>
  <si>
    <t>Solar electricity produced in - Yemen</t>
  </si>
  <si>
    <t>ELC_Win-ARE</t>
  </si>
  <si>
    <t>Wind electricity produced in - United Arab Emirates</t>
  </si>
  <si>
    <t>ELC_Win-BHR</t>
  </si>
  <si>
    <t>Wind electricity produced in - Bahrain</t>
  </si>
  <si>
    <t>ELC_Win-IRN</t>
  </si>
  <si>
    <t>Wind electricity produced in - Iran</t>
  </si>
  <si>
    <t>ELC_Win-IRQ</t>
  </si>
  <si>
    <t>Wind electricity produced in - Iraq</t>
  </si>
  <si>
    <t>ELC_Win-ISR</t>
  </si>
  <si>
    <t>Wind electricity produced in - Israel</t>
  </si>
  <si>
    <t>ELC_Win-JOR</t>
  </si>
  <si>
    <t>Wind electricity produced in - Jordan</t>
  </si>
  <si>
    <t>ELC_Win-KWT</t>
  </si>
  <si>
    <t>Wind electricity produced in - Kuwait</t>
  </si>
  <si>
    <t>ELC_Win-LBN</t>
  </si>
  <si>
    <t>Wind electricity produced in - Lebanon</t>
  </si>
  <si>
    <t>ELC_Win-OMN</t>
  </si>
  <si>
    <t>Wind electricity produced in - Oman</t>
  </si>
  <si>
    <t>ELC_Win-PSE</t>
  </si>
  <si>
    <t>Wind electricity produced in - Palestine</t>
  </si>
  <si>
    <t>ELC_Win-QAT</t>
  </si>
  <si>
    <t>Wind electricity produced in - Qatar</t>
  </si>
  <si>
    <t>ELC_Win-SYR</t>
  </si>
  <si>
    <t>Wind electricity produced in - Syrian Arab Republic</t>
  </si>
  <si>
    <t>ELC_Win-YEM</t>
  </si>
  <si>
    <t>Wind electricity produced in - Yemen</t>
  </si>
  <si>
    <t>ELC_Sol-CAN</t>
  </si>
  <si>
    <t>Solar electricity produced in - Canada</t>
  </si>
  <si>
    <t>ELC_Sol-MEX</t>
  </si>
  <si>
    <t>Solar electricity produced in - Mexico</t>
  </si>
  <si>
    <t>ELC_Sol-USA</t>
  </si>
  <si>
    <t>Solar electricity produced in - United States</t>
  </si>
  <si>
    <t>ELC_Win-CAN</t>
  </si>
  <si>
    <t>Wind electricity produced in - Canada</t>
  </si>
  <si>
    <t>ELC_Win-MEX</t>
  </si>
  <si>
    <t>Wind electricity produced in - Mexico</t>
  </si>
  <si>
    <t>ELC_Win-USA</t>
  </si>
  <si>
    <t>Wind electricity produced in - United States</t>
  </si>
  <si>
    <t>ELC_Sol-NOR</t>
  </si>
  <si>
    <t>Solar electricity produced in - Norway</t>
  </si>
  <si>
    <t>ELC_Win-NOR</t>
  </si>
  <si>
    <t>Wind electricity produced in - Norway</t>
  </si>
  <si>
    <t>ELC_Sol-POL</t>
  </si>
  <si>
    <t>Solar electricity produced in - Poland</t>
  </si>
  <si>
    <t>ELC_Win-POL</t>
  </si>
  <si>
    <t>Wind electricity produced in - Poland</t>
  </si>
  <si>
    <t>ELC_Sol-AFG</t>
  </si>
  <si>
    <t>Solar electricity produced in - Afghanistan</t>
  </si>
  <si>
    <t>ELC_Sol-ARM</t>
  </si>
  <si>
    <t>Solar electricity produced in - Armenia</t>
  </si>
  <si>
    <t>ELC_Sol-ASM</t>
  </si>
  <si>
    <t>Solar electricity produced in - American Samoa</t>
  </si>
  <si>
    <t>ELC_Sol-AZE</t>
  </si>
  <si>
    <t>Solar electricity produced in - Azerbaijan</t>
  </si>
  <si>
    <t>ELC_Sol-BGD</t>
  </si>
  <si>
    <t>Solar electricity produced in - Bangladesh</t>
  </si>
  <si>
    <t>ELC_Sol-BRN</t>
  </si>
  <si>
    <t>Solar electricity produced in - Brunei</t>
  </si>
  <si>
    <t>ELC_Sol-BTN</t>
  </si>
  <si>
    <t>Solar electricity produced in - Bhutan</t>
  </si>
  <si>
    <t>ELC_Sol-COK</t>
  </si>
  <si>
    <t>Solar electricity produced in - Cook Islands</t>
  </si>
  <si>
    <t>ELC_Sol-FJI</t>
  </si>
  <si>
    <t>Solar electricity produced in - Fiji</t>
  </si>
  <si>
    <t>ELC_Sol-GEO</t>
  </si>
  <si>
    <t>Solar electricity produced in - Georgia</t>
  </si>
  <si>
    <t>ELC_Sol-HKG</t>
  </si>
  <si>
    <t>Solar electricity produced in - Hong Kong SAR, China</t>
  </si>
  <si>
    <t>ELC_Sol-IDN</t>
  </si>
  <si>
    <t>Solar electricity produced in - Indonesia</t>
  </si>
  <si>
    <t>ELC_Sol-KAZ</t>
  </si>
  <si>
    <t>Solar electricity produced in - Kazakhstan</t>
  </si>
  <si>
    <t>ELC_Sol-KGZ</t>
  </si>
  <si>
    <t>Solar electricity produced in - Kyrgyz Republic</t>
  </si>
  <si>
    <t>ELC_Sol-KHM</t>
  </si>
  <si>
    <t>Solar electricity produced in - Cambodia</t>
  </si>
  <si>
    <t>ELC_Sol-KIR</t>
  </si>
  <si>
    <t>Solar electricity produced in - Kiribati</t>
  </si>
  <si>
    <t>ELC_Sol-KOR</t>
  </si>
  <si>
    <t>Solar electricity produced in - South Korea</t>
  </si>
  <si>
    <t>ELC_Sol-LAO</t>
  </si>
  <si>
    <t>Solar electricity produced in - Laos</t>
  </si>
  <si>
    <t>ELC_Sol-LKA</t>
  </si>
  <si>
    <t>Solar electricity produced in - Sri Lanka</t>
  </si>
  <si>
    <t>ELC_Sol-MDV</t>
  </si>
  <si>
    <t>Solar electricity produced in - Maldives</t>
  </si>
  <si>
    <t>ELC_Sol-MMR</t>
  </si>
  <si>
    <t>Solar electricity produced in - Myanmar</t>
  </si>
  <si>
    <t>ELC_Sol-MNG</t>
  </si>
  <si>
    <t>Solar electricity produced in - Mongolia</t>
  </si>
  <si>
    <t>ELC_Sol-MYS</t>
  </si>
  <si>
    <t>Solar electricity produced in - Malaysia</t>
  </si>
  <si>
    <t>ELC_Sol-NCL</t>
  </si>
  <si>
    <t>Solar electricity produced in - New Caledonia</t>
  </si>
  <si>
    <t>ELC_Sol-NPL</t>
  </si>
  <si>
    <t>Solar electricity produced in - Nepal</t>
  </si>
  <si>
    <t>ELC_Sol-NZL</t>
  </si>
  <si>
    <t>Solar electricity produced in - New Zealand</t>
  </si>
  <si>
    <t>ELC_Sol-PAK</t>
  </si>
  <si>
    <t>Solar electricity produced in - Pakistan</t>
  </si>
  <si>
    <t>ELC_Sol-PHL</t>
  </si>
  <si>
    <t>Solar electricity produced in - Philippines</t>
  </si>
  <si>
    <t>ELC_Sol-PLW</t>
  </si>
  <si>
    <t>Solar electricity produced in - Palau</t>
  </si>
  <si>
    <t>ELC_Sol-PNG</t>
  </si>
  <si>
    <t>Solar electricity produced in - Papua New Guinea</t>
  </si>
  <si>
    <t>ELC_Sol-PRK</t>
  </si>
  <si>
    <t>Solar electricity produced in - Dem. People^s Rep. Korea</t>
  </si>
  <si>
    <t>ELC_Sol-PYF</t>
  </si>
  <si>
    <t>Solar electricity produced in - French Polynesia</t>
  </si>
  <si>
    <t>ELC_Sol-SGP</t>
  </si>
  <si>
    <t>Solar electricity produced in - Singapore</t>
  </si>
  <si>
    <t>ELC_Sol-SLB</t>
  </si>
  <si>
    <t>Solar electricity produced in - Solomon Islands</t>
  </si>
  <si>
    <t>ELC_Sol-THA</t>
  </si>
  <si>
    <t>Solar electricity produced in - Thailand</t>
  </si>
  <si>
    <t>ELC_Sol-TJK</t>
  </si>
  <si>
    <t>Solar electricity produced in - Tajikistan</t>
  </si>
  <si>
    <t>ELC_Sol-TON</t>
  </si>
  <si>
    <t>Solar electricity produced in - Tonga</t>
  </si>
  <si>
    <t>ELC_Sol-TWN</t>
  </si>
  <si>
    <t>Solar electricity produced in - Taiwan</t>
  </si>
  <si>
    <t>ELC_Sol-UZB</t>
  </si>
  <si>
    <t>Solar electricity produced in - Uzbekistan</t>
  </si>
  <si>
    <t>ELC_Sol-VNM</t>
  </si>
  <si>
    <t>Solar electricity produced in - Vietnam</t>
  </si>
  <si>
    <t>ELC_Sol-VUT</t>
  </si>
  <si>
    <t>Solar electricity produced in - Vanuatu</t>
  </si>
  <si>
    <t>ELC_Win-AFG</t>
  </si>
  <si>
    <t>Wind electricity produced in - Afghanistan</t>
  </si>
  <si>
    <t>ELC_Win-ARM</t>
  </si>
  <si>
    <t>Wind electricity produced in - Armenia</t>
  </si>
  <si>
    <t>ELC_Win-ASM</t>
  </si>
  <si>
    <t>Wind electricity produced in - American Samoa</t>
  </si>
  <si>
    <t>ELC_Win-AZE</t>
  </si>
  <si>
    <t>Wind electricity produced in - Azerbaijan</t>
  </si>
  <si>
    <t>ELC_Win-BGD</t>
  </si>
  <si>
    <t>Wind electricity produced in - Bangladesh</t>
  </si>
  <si>
    <t>ELC_Win-BRN</t>
  </si>
  <si>
    <t>Wind electricity produced in - Brunei</t>
  </si>
  <si>
    <t>ELC_Win-BTN</t>
  </si>
  <si>
    <t>Wind electricity produced in - Bhutan</t>
  </si>
  <si>
    <t>ELC_Win-COK</t>
  </si>
  <si>
    <t>Wind electricity produced in - Cook Islands</t>
  </si>
  <si>
    <t>ELC_Win-FJI</t>
  </si>
  <si>
    <t>Wind electricity produced in - Fiji</t>
  </si>
  <si>
    <t>ELC_Win-GEO</t>
  </si>
  <si>
    <t>Wind electricity produced in - Georgia</t>
  </si>
  <si>
    <t>ELC_Win-HKG</t>
  </si>
  <si>
    <t>Wind electricity produced in - Hong Kong SAR, China</t>
  </si>
  <si>
    <t>ELC_Win-IDN</t>
  </si>
  <si>
    <t>Wind electricity produced in - Indonesia</t>
  </si>
  <si>
    <t>ELC_Win-KAZ</t>
  </si>
  <si>
    <t>Wind electricity produced in - Kazakhstan</t>
  </si>
  <si>
    <t>ELC_Win-KGZ</t>
  </si>
  <si>
    <t>Wind electricity produced in - Kyrgyz Republic</t>
  </si>
  <si>
    <t>ELC_Win-KHM</t>
  </si>
  <si>
    <t>Wind electricity produced in - Cambodia</t>
  </si>
  <si>
    <t>ELC_Win-KIR</t>
  </si>
  <si>
    <t>Wind electricity produced in - Kiribati</t>
  </si>
  <si>
    <t>ELC_Win-KOR</t>
  </si>
  <si>
    <t>Wind electricity produced in - South Korea</t>
  </si>
  <si>
    <t>ELC_Win-LAO</t>
  </si>
  <si>
    <t>Wind electricity produced in - Laos</t>
  </si>
  <si>
    <t>ELC_Win-LKA</t>
  </si>
  <si>
    <t>Wind electricity produced in - Sri Lanka</t>
  </si>
  <si>
    <t>ELC_Win-MDV</t>
  </si>
  <si>
    <t>Wind electricity produced in - Maldives</t>
  </si>
  <si>
    <t>ELC_Win-MMR</t>
  </si>
  <si>
    <t>Wind electricity produced in - Myanmar</t>
  </si>
  <si>
    <t>ELC_Win-MNG</t>
  </si>
  <si>
    <t>Wind electricity produced in - Mongolia</t>
  </si>
  <si>
    <t>ELC_Win-MYS</t>
  </si>
  <si>
    <t>Wind electricity produced in - Malaysia</t>
  </si>
  <si>
    <t>ELC_Win-NCL</t>
  </si>
  <si>
    <t>Wind electricity produced in - New Caledonia</t>
  </si>
  <si>
    <t>ELC_Win-NPL</t>
  </si>
  <si>
    <t>Wind electricity produced in - Nepal</t>
  </si>
  <si>
    <t>ELC_Win-NZL</t>
  </si>
  <si>
    <t>Wind electricity produced in - New Zealand</t>
  </si>
  <si>
    <t>ELC_Win-PAK</t>
  </si>
  <si>
    <t>Wind electricity produced in - Pakistan</t>
  </si>
  <si>
    <t>ELC_Win-PHL</t>
  </si>
  <si>
    <t>Wind electricity produced in - Philippines</t>
  </si>
  <si>
    <t>ELC_Win-PLW</t>
  </si>
  <si>
    <t>Wind electricity produced in - Palau</t>
  </si>
  <si>
    <t>ELC_Win-PNG</t>
  </si>
  <si>
    <t>Wind electricity produced in - Papua New Guinea</t>
  </si>
  <si>
    <t>ELC_Win-PRK</t>
  </si>
  <si>
    <t>Wind electricity produced in - Dem. People^s Rep. Korea</t>
  </si>
  <si>
    <t>ELC_Win-PYF</t>
  </si>
  <si>
    <t>Wind electricity produced in - French Polynesia</t>
  </si>
  <si>
    <t>ELC_Win-SGP</t>
  </si>
  <si>
    <t>Wind electricity produced in - Singapore</t>
  </si>
  <si>
    <t>ELC_Win-SLB</t>
  </si>
  <si>
    <t>Wind electricity produced in - Solomon Islands</t>
  </si>
  <si>
    <t>ELC_Win-THA</t>
  </si>
  <si>
    <t>Wind electricity produced in - Thailand</t>
  </si>
  <si>
    <t>ELC_Win-TJK</t>
  </si>
  <si>
    <t>Wind electricity produced in - Tajikistan</t>
  </si>
  <si>
    <t>ELC_Win-TKM</t>
  </si>
  <si>
    <t>Wind electricity produced in - Turkmenistan</t>
  </si>
  <si>
    <t>ELC_Win-TON</t>
  </si>
  <si>
    <t>Wind electricity produced in - Tonga</t>
  </si>
  <si>
    <t>ELC_Win-TWN</t>
  </si>
  <si>
    <t>Wind electricity produced in - Taiwan</t>
  </si>
  <si>
    <t>ELC_Win-UZB</t>
  </si>
  <si>
    <t>Wind electricity produced in - Uzbekistan</t>
  </si>
  <si>
    <t>ELC_Win-VNM</t>
  </si>
  <si>
    <t>Wind electricity produced in - Vietnam</t>
  </si>
  <si>
    <t>ELC_Win-VUT</t>
  </si>
  <si>
    <t>Wind electricity produced in - Vanuatu</t>
  </si>
  <si>
    <t>ELC_Sol-BLR</t>
  </si>
  <si>
    <t>Solar electricity produced in - Belarus</t>
  </si>
  <si>
    <t>ELC_Sol-RUS</t>
  </si>
  <si>
    <t>Solar electricity produced in - Russia</t>
  </si>
  <si>
    <t>ELC_Win-BLR</t>
  </si>
  <si>
    <t>Wind electricity produced in - Belarus</t>
  </si>
  <si>
    <t>ELC_Win-RUS</t>
  </si>
  <si>
    <t>Wind electricity produced in - Russia</t>
  </si>
  <si>
    <t>ELC_Sol-SAU</t>
  </si>
  <si>
    <t>Solar electricity produced in - Saudi Arabia</t>
  </si>
  <si>
    <t>ELC_Win-SAU</t>
  </si>
  <si>
    <t>Wind electricity produced in - Saudi Arabia</t>
  </si>
  <si>
    <t>ELC_Sol-ZAF</t>
  </si>
  <si>
    <t>Solar electricity produced in - South Africa</t>
  </si>
  <si>
    <t>ELC_Win-ZAF</t>
  </si>
  <si>
    <t>Wind electricity produced in - South Africa</t>
  </si>
  <si>
    <t>ELC_Sol-ESP</t>
  </si>
  <si>
    <t>Solar electricity produced in - Spain</t>
  </si>
  <si>
    <t>ELC_Sol-PRT</t>
  </si>
  <si>
    <t>Solar electricity produced in - Portugal</t>
  </si>
  <si>
    <t>ELC_Win-ESP</t>
  </si>
  <si>
    <t>Wind electricity produced in - Spain</t>
  </si>
  <si>
    <t>ELC_Win-PRT</t>
  </si>
  <si>
    <t>Wind electricity produced in - Portugal</t>
  </si>
  <si>
    <t>ELC_Sol-DNK</t>
  </si>
  <si>
    <t>Solar electricity produced in - Denmark</t>
  </si>
  <si>
    <t>ELC_Sol-FIN</t>
  </si>
  <si>
    <t>Solar electricity produced in - Finland</t>
  </si>
  <si>
    <t>ELC_Sol-SWE</t>
  </si>
  <si>
    <t>Solar electricity produced in - Sweden</t>
  </si>
  <si>
    <t>ELC_Win-DNK</t>
  </si>
  <si>
    <t>Wind electricity produced in - Denmark</t>
  </si>
  <si>
    <t>ELC_Win-FIN</t>
  </si>
  <si>
    <t>Wind electricity produced in - Finland</t>
  </si>
  <si>
    <t>ELC_Win-SWE</t>
  </si>
  <si>
    <t>Wind electricity produced in - Sweden</t>
  </si>
  <si>
    <t>ELC_Sol-CHE</t>
  </si>
  <si>
    <t>Solar electricity produced in - Switzerland</t>
  </si>
  <si>
    <t>ELC_Win-CHE</t>
  </si>
  <si>
    <t>Wind electricity produced in - Switzerland</t>
  </si>
  <si>
    <t>ELC_Sol-TUR</t>
  </si>
  <si>
    <t>Solar electricity produced in - Turkey</t>
  </si>
  <si>
    <t>ELC_Win-TUR</t>
  </si>
  <si>
    <t>Wind electricity produced in - Turkey</t>
  </si>
  <si>
    <t>ELC_Sol-GBR</t>
  </si>
  <si>
    <t>Solar electricity produced in - United Kingdom</t>
  </si>
  <si>
    <t>ELC_Win-GBR</t>
  </si>
  <si>
    <t>Wind electricity produced in - United Kingdom</t>
  </si>
  <si>
    <t>ELC_Sol-MDA</t>
  </si>
  <si>
    <t>Solar electricity produced in - Moldova</t>
  </si>
  <si>
    <t>ELC_Sol-UKR</t>
  </si>
  <si>
    <t>Solar electricity produced in - Ukraine</t>
  </si>
  <si>
    <t>ELC_Win-MDA</t>
  </si>
  <si>
    <t>Wind electricity produced in - Moldova</t>
  </si>
  <si>
    <t>ELC_Win-UKR</t>
  </si>
  <si>
    <t>Wind electricity produced in - Ukraine</t>
  </si>
  <si>
    <t>ELC_Sol-ALB</t>
  </si>
  <si>
    <t>Solar electricity produced in - Albania</t>
  </si>
  <si>
    <t>ELC_Sol-BIH</t>
  </si>
  <si>
    <t>Solar electricity produced in - Bosnia and Herzegovina</t>
  </si>
  <si>
    <t>ELC_Sol-MKD</t>
  </si>
  <si>
    <t>Solar electricity produced in - Macedonia</t>
  </si>
  <si>
    <t>ELC_Sol-MNE</t>
  </si>
  <si>
    <t>Solar electricity produced in - Montenegro</t>
  </si>
  <si>
    <t>ELC_Sol-SRB</t>
  </si>
  <si>
    <t>Solar electricity produced in - Serbia</t>
  </si>
  <si>
    <t>ELC_Sol-XXK</t>
  </si>
  <si>
    <t>Solar electricity produced in - Kosovo</t>
  </si>
  <si>
    <t>ELC_Win-ALB</t>
  </si>
  <si>
    <t>Wind electricity produced in - Albania</t>
  </si>
  <si>
    <t>ELC_Win-BIH</t>
  </si>
  <si>
    <t>Wind electricity produced in - Bosnia and Herzegovina</t>
  </si>
  <si>
    <t>ELC_Win-MKD</t>
  </si>
  <si>
    <t>Wind electricity produced in - Macedonia</t>
  </si>
  <si>
    <t>ELC_Win-MNE</t>
  </si>
  <si>
    <t>Wind electricity produced in - Montenegro</t>
  </si>
  <si>
    <t>ELC_Win-SRB</t>
  </si>
  <si>
    <t>Wind electricity produced in - Serbia</t>
  </si>
  <si>
    <t>ELC_Win-XXK</t>
  </si>
  <si>
    <t>Wind electricity produced in - Kosovo</t>
  </si>
</sst>
</file>

<file path=xl/styles.xml><?xml version="1.0" encoding="utf-8"?>
<styleSheet xmlns="http://schemas.openxmlformats.org/spreadsheetml/2006/main" xmlns:mc="http://schemas.openxmlformats.org/markup-compatibility/2006" xmlns:xr9="http://schemas.microsoft.com/office/spreadsheetml/2016/revision9" mc:Ignorable="xr9">
  <numFmts count="27">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_ * #,##0.00_ ;_ * \-#,##0.00_ ;_ * &quot;-&quot;??_ ;_ @_ "/>
    <numFmt numFmtId="180" formatCode="_-&quot;$&quot;* #,##0.00_-;\-&quot;$&quot;* #,##0.00_-;_-&quot;$&quot;* &quot;-&quot;??_-;_-@_-"/>
    <numFmt numFmtId="181" formatCode="m\o\n\th\ d\,\ yyyy"/>
    <numFmt numFmtId="182" formatCode="_([$€]* #,##0.00_);_([$€]* \(#,##0.00\);_([$€]* &quot;-&quot;??_);_(@_)"/>
    <numFmt numFmtId="183" formatCode="_([$€-2]* #,##0.00_);_([$€-2]* \(#,##0.00\);_([$€-2]* &quot;-&quot;??_)"/>
    <numFmt numFmtId="184" formatCode="_-[$€-2]\ * #,##0.00_-;\-[$€-2]\ * #,##0.00_-;_-[$€-2]\ * &quot;-&quot;??_-"/>
    <numFmt numFmtId="185" formatCode="_-[$€]* #,##0.00_-;\-[$€]* #,##0.00_-;_-[$€]* &quot;-&quot;??_-;_-@_-"/>
    <numFmt numFmtId="186" formatCode="_-&quot;€&quot;\ * #,##0.00_-;\-&quot;€&quot;\ * #,##0.00_-;_-&quot;€&quot;\ * &quot;-&quot;??_-;_-@_-"/>
    <numFmt numFmtId="187" formatCode="#.00"/>
    <numFmt numFmtId="188" formatCode="#."/>
    <numFmt numFmtId="189" formatCode="_-* #,##0.00\ _€_-;\-* #,##0.00\ _€_-;_-* &quot;-&quot;??\ _€_-;_-@_-"/>
    <numFmt numFmtId="190" formatCode="&quot;$&quot;#,##0_);\(&quot;$&quot;#,##0\)"/>
    <numFmt numFmtId="191" formatCode="General_)"/>
    <numFmt numFmtId="192" formatCode="\(##\);\(##\)"/>
    <numFmt numFmtId="193" formatCode="#,##0;\-\ #,##0;_-\ &quot;- &quot;"/>
    <numFmt numFmtId="194" formatCode="_(* #,##0.00_);_(* \(#,##0.00\);_(* &quot;-&quot;??_);_(@_)"/>
    <numFmt numFmtId="195" formatCode="_(* #,##0_);_(* \(#,##0\);_(* &quot;-&quot;_);_(@_)"/>
    <numFmt numFmtId="196" formatCode="_ &quot;kr&quot;\ * #,##0_ ;_ &quot;kr&quot;\ * \-#,##0_ ;_ &quot;kr&quot;\ * &quot;-&quot;_ ;_ @_ "/>
    <numFmt numFmtId="197" formatCode="yyyy"/>
    <numFmt numFmtId="198" formatCode="#,##0.0"/>
    <numFmt numFmtId="199" formatCode="_ &quot;kr&quot;\ * #,##0.00_ ;_ &quot;kr&quot;\ * \-#,##0.00_ ;_ &quot;kr&quot;\ * &quot;-&quot;??_ ;_ @_ "/>
    <numFmt numFmtId="200" formatCode="\Te\x\t"/>
  </numFmts>
  <fonts count="87">
    <font>
      <sz val="10"/>
      <name val="Arial"/>
      <charset val="134"/>
    </font>
    <font>
      <sz val="11"/>
      <color rgb="FF000000"/>
      <name val="Calibri"/>
      <charset val="134"/>
    </font>
    <font>
      <b/>
      <sz val="11"/>
      <color rgb="FF44546A"/>
      <name val="Calibri"/>
      <charset val="134"/>
    </font>
    <font>
      <sz val="11"/>
      <color theme="1"/>
      <name val="Calibri"/>
      <charset val="134"/>
      <scheme val="minor"/>
    </font>
    <font>
      <b/>
      <sz val="11"/>
      <color rgb="FF000000"/>
      <name val="Calibri"/>
      <charset val="134"/>
    </font>
    <font>
      <b/>
      <sz val="11"/>
      <color theme="3"/>
      <name val="Calibri"/>
      <charset val="134"/>
      <scheme val="minor"/>
    </font>
    <font>
      <sz val="10"/>
      <color rgb="FFFF0000"/>
      <name val="Arial"/>
      <charset val="134"/>
    </font>
    <font>
      <b/>
      <sz val="11"/>
      <color theme="1"/>
      <name val="Calibri"/>
      <charset val="134"/>
      <scheme val="minor"/>
    </font>
    <font>
      <sz val="9"/>
      <name val="Arial"/>
      <charset val="134"/>
    </font>
    <font>
      <sz val="10"/>
      <name val="Calibri"/>
      <charset val="134"/>
      <scheme val="minor"/>
    </font>
    <font>
      <sz val="9"/>
      <name val="Calibri"/>
      <charset val="134"/>
      <scheme val="minor"/>
    </font>
    <font>
      <sz val="10"/>
      <color indexed="8"/>
      <name val="Calibri"/>
      <charset val="134"/>
      <scheme val="minor"/>
    </font>
    <font>
      <sz val="11"/>
      <name val="Calibri"/>
      <charset val="134"/>
      <scheme val="minor"/>
    </font>
    <font>
      <b/>
      <sz val="11"/>
      <color rgb="FF5F6368"/>
      <name val="Calibri"/>
      <charset val="134"/>
      <scheme val="minor"/>
    </font>
    <font>
      <sz val="9"/>
      <color indexed="53"/>
      <name val="Arial"/>
      <charset val="134"/>
    </font>
    <font>
      <sz val="10"/>
      <color indexed="12"/>
      <name val="Arial"/>
      <charset val="134"/>
    </font>
    <font>
      <sz val="10"/>
      <color indexed="8"/>
      <name val="Calibri"/>
      <charset val="134"/>
    </font>
    <font>
      <b/>
      <sz val="10"/>
      <name val="Arial"/>
      <charset val="134"/>
    </font>
    <font>
      <b/>
      <i/>
      <sz val="10"/>
      <name val="Arial"/>
      <charset val="134"/>
    </font>
    <font>
      <sz val="11"/>
      <color indexed="8"/>
      <name val="Calibri"/>
      <charset val="134"/>
    </font>
    <font>
      <b/>
      <sz val="10"/>
      <color indexed="12"/>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indexed="9"/>
      <name val="Calibri"/>
      <charset val="134"/>
    </font>
    <font>
      <sz val="9"/>
      <color indexed="8"/>
      <name val="Times New Roman"/>
      <charset val="134"/>
    </font>
    <font>
      <sz val="11"/>
      <color indexed="20"/>
      <name val="Calibri"/>
      <charset val="134"/>
    </font>
    <font>
      <b/>
      <sz val="11"/>
      <color indexed="52"/>
      <name val="Calibri"/>
      <charset val="134"/>
    </font>
    <font>
      <b/>
      <sz val="11"/>
      <color indexed="10"/>
      <name val="Calibri"/>
      <charset val="134"/>
    </font>
    <font>
      <b/>
      <sz val="11"/>
      <color indexed="9"/>
      <name val="Calibri"/>
      <charset val="134"/>
    </font>
    <font>
      <sz val="10"/>
      <name val="MS Sans Serif"/>
      <charset val="134"/>
    </font>
    <font>
      <sz val="9"/>
      <name val="Times New Roman"/>
      <charset val="134"/>
    </font>
    <font>
      <sz val="1"/>
      <color indexed="8"/>
      <name val="Courier"/>
      <charset val="134"/>
    </font>
    <font>
      <sz val="10"/>
      <color indexed="56"/>
      <name val="Arial"/>
      <charset val="134"/>
    </font>
    <font>
      <i/>
      <sz val="8"/>
      <color indexed="38"/>
      <name val="Arial"/>
      <charset val="134"/>
    </font>
    <font>
      <i/>
      <sz val="11"/>
      <color indexed="23"/>
      <name val="Calibri"/>
      <charset val="134"/>
    </font>
    <font>
      <sz val="11"/>
      <color indexed="17"/>
      <name val="Calibri"/>
      <charset val="134"/>
    </font>
    <font>
      <b/>
      <sz val="15"/>
      <color indexed="56"/>
      <name val="Calibri"/>
      <charset val="134"/>
    </font>
    <font>
      <b/>
      <sz val="15"/>
      <color indexed="62"/>
      <name val="Calibri"/>
      <charset val="134"/>
    </font>
    <font>
      <b/>
      <sz val="13"/>
      <color indexed="56"/>
      <name val="Calibri"/>
      <charset val="134"/>
    </font>
    <font>
      <b/>
      <sz val="13"/>
      <color indexed="62"/>
      <name val="Calibri"/>
      <charset val="134"/>
    </font>
    <font>
      <b/>
      <sz val="11"/>
      <color indexed="56"/>
      <name val="Calibri"/>
      <charset val="134"/>
    </font>
    <font>
      <b/>
      <sz val="11"/>
      <color indexed="62"/>
      <name val="Calibri"/>
      <charset val="134"/>
    </font>
    <font>
      <b/>
      <sz val="1"/>
      <color indexed="8"/>
      <name val="Courier"/>
      <charset val="134"/>
    </font>
    <font>
      <u/>
      <sz val="10"/>
      <color indexed="12"/>
      <name val="Arial"/>
      <charset val="134"/>
    </font>
    <font>
      <sz val="11"/>
      <color indexed="62"/>
      <name val="Calibri"/>
      <charset val="134"/>
    </font>
    <font>
      <b/>
      <sz val="12"/>
      <name val="Times New Roman"/>
      <charset val="134"/>
    </font>
    <font>
      <sz val="11"/>
      <color indexed="52"/>
      <name val="Calibri"/>
      <charset val="134"/>
    </font>
    <font>
      <sz val="11"/>
      <color indexed="10"/>
      <name val="Calibri"/>
      <charset val="134"/>
    </font>
    <font>
      <sz val="11"/>
      <color indexed="60"/>
      <name val="Calibri"/>
      <charset val="134"/>
    </font>
    <font>
      <sz val="11"/>
      <color indexed="19"/>
      <name val="Calibri"/>
      <charset val="134"/>
    </font>
    <font>
      <sz val="11"/>
      <color indexed="60"/>
      <name val="Calibri"/>
      <charset val="161"/>
    </font>
    <font>
      <sz val="8"/>
      <name val="Helv"/>
      <charset val="134"/>
    </font>
    <font>
      <b/>
      <sz val="9"/>
      <name val="Times New Roman"/>
      <charset val="134"/>
    </font>
    <font>
      <sz val="10"/>
      <name val="Courier"/>
      <charset val="134"/>
    </font>
    <font>
      <b/>
      <vertAlign val="superscript"/>
      <sz val="12"/>
      <color indexed="54"/>
      <name val="Arial"/>
      <charset val="134"/>
    </font>
    <font>
      <b/>
      <sz val="11"/>
      <color indexed="63"/>
      <name val="Calibri"/>
      <charset val="134"/>
    </font>
    <font>
      <sz val="10"/>
      <name val="Helvetica"/>
      <charset val="134"/>
    </font>
    <font>
      <b/>
      <sz val="12"/>
      <name val="Arial"/>
      <charset val="134"/>
    </font>
    <font>
      <sz val="8"/>
      <color indexed="9"/>
      <name val="Arial"/>
      <charset val="134"/>
    </font>
    <font>
      <sz val="9"/>
      <name val="Verdana"/>
      <charset val="134"/>
    </font>
    <font>
      <i/>
      <sz val="9"/>
      <color indexed="60"/>
      <name val="Verdana"/>
      <charset val="134"/>
    </font>
    <font>
      <b/>
      <sz val="9"/>
      <name val="Verdana"/>
      <charset val="134"/>
    </font>
    <font>
      <b/>
      <sz val="9"/>
      <name val="Arial"/>
      <charset val="134"/>
    </font>
    <font>
      <b/>
      <sz val="18"/>
      <color indexed="56"/>
      <name val="Cambria"/>
      <charset val="134"/>
    </font>
    <font>
      <b/>
      <sz val="18"/>
      <color indexed="62"/>
      <name val="Cambria"/>
      <charset val="134"/>
    </font>
    <font>
      <b/>
      <sz val="11"/>
      <color indexed="8"/>
      <name val="Calibri"/>
      <charset val="134"/>
    </font>
    <font>
      <u/>
      <sz val="12"/>
      <color indexed="20"/>
      <name val="宋体"/>
      <charset val="134"/>
    </font>
    <font>
      <sz val="9"/>
      <name val="Times New Roman"/>
      <charset val="134"/>
    </font>
    <font>
      <b/>
      <sz val="9"/>
      <name val="Times New Roman"/>
      <charset val="0"/>
    </font>
    <font>
      <sz val="9"/>
      <name val="Times New Roman"/>
      <charset val="0"/>
    </font>
    <font>
      <b/>
      <sz val="9"/>
      <name val="Times New Roman"/>
      <charset val="134"/>
    </font>
  </fonts>
  <fills count="69">
    <fill>
      <patternFill patternType="none"/>
    </fill>
    <fill>
      <patternFill patternType="gray125"/>
    </fill>
    <fill>
      <patternFill patternType="solid">
        <fgColor rgb="FFFFFF00"/>
        <bgColor indexed="64"/>
      </patternFill>
    </fill>
    <fill>
      <patternFill patternType="solid">
        <fgColor indexed="29"/>
        <bgColor indexed="64"/>
      </patternFill>
    </fill>
    <fill>
      <patternFill patternType="solid">
        <fgColor indexed="51"/>
        <bgColor indexed="64"/>
      </patternFill>
    </fill>
    <fill>
      <patternFill patternType="solid">
        <fgColor indexed="13"/>
        <bgColor indexed="64"/>
      </patternFill>
    </fill>
    <fill>
      <patternFill patternType="solid">
        <fgColor rgb="FFFFC000"/>
        <bgColor indexed="64"/>
      </patternFill>
    </fill>
    <fill>
      <patternFill patternType="solid">
        <fgColor indexed="43"/>
        <bgColor indexed="64"/>
      </patternFill>
    </fill>
    <fill>
      <patternFill patternType="solid">
        <fgColor indexed="26"/>
        <bgColor indexed="64"/>
      </patternFill>
    </fill>
    <fill>
      <patternFill patternType="solid">
        <fgColor theme="4"/>
        <bgColor indexed="64"/>
      </patternFill>
    </fill>
    <fill>
      <patternFill patternType="solid">
        <fgColor indexed="22"/>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31"/>
        <bgColor indexed="64"/>
      </patternFill>
    </fill>
    <fill>
      <patternFill patternType="solid">
        <fgColor indexed="44"/>
        <bgColor indexed="64"/>
      </patternFill>
    </fill>
    <fill>
      <patternFill patternType="solid">
        <fgColor indexed="45"/>
        <bgColor indexed="64"/>
      </patternFill>
    </fill>
    <fill>
      <patternFill patternType="solid">
        <fgColor indexed="42"/>
        <bgColor indexed="64"/>
      </patternFill>
    </fill>
    <fill>
      <patternFill patternType="solid">
        <fgColor indexed="46"/>
        <bgColor indexed="64"/>
      </patternFill>
    </fill>
    <fill>
      <patternFill patternType="solid">
        <fgColor indexed="47"/>
        <bgColor indexed="64"/>
      </patternFill>
    </fill>
    <fill>
      <patternFill patternType="solid">
        <fgColor indexed="27"/>
        <bgColor indexed="64"/>
      </patternFill>
    </fill>
    <fill>
      <patternFill patternType="solid">
        <fgColor indexed="11"/>
        <bgColor indexed="64"/>
      </patternFill>
    </fill>
    <fill>
      <patternFill patternType="solid">
        <fgColor indexed="30"/>
        <bgColor indexed="64"/>
      </patternFill>
    </fill>
    <fill>
      <patternFill patternType="solid">
        <fgColor indexed="53"/>
        <bgColor indexed="64"/>
      </patternFill>
    </fill>
    <fill>
      <patternFill patternType="solid">
        <fgColor indexed="36"/>
        <bgColor indexed="64"/>
      </patternFill>
    </fill>
    <fill>
      <patternFill patternType="solid">
        <fgColor indexed="49"/>
        <bgColor indexed="64"/>
      </patternFill>
    </fill>
    <fill>
      <patternFill patternType="solid">
        <fgColor indexed="52"/>
        <bgColor indexed="64"/>
      </patternFill>
    </fill>
    <fill>
      <patternFill patternType="solid">
        <fgColor indexed="62"/>
        <bgColor indexed="64"/>
      </patternFill>
    </fill>
    <fill>
      <patternFill patternType="solid">
        <fgColor indexed="56"/>
        <bgColor indexed="64"/>
      </patternFill>
    </fill>
    <fill>
      <patternFill patternType="solid">
        <fgColor indexed="10"/>
        <bgColor indexed="64"/>
      </patternFill>
    </fill>
    <fill>
      <patternFill patternType="solid">
        <fgColor indexed="57"/>
        <bgColor indexed="64"/>
      </patternFill>
    </fill>
    <fill>
      <patternFill patternType="solid">
        <fgColor indexed="54"/>
        <bgColor indexed="64"/>
      </patternFill>
    </fill>
    <fill>
      <patternFill patternType="solid">
        <fgColor indexed="9"/>
        <bgColor indexed="64"/>
      </patternFill>
    </fill>
    <fill>
      <patternFill patternType="solid">
        <fgColor indexed="55"/>
        <bgColor indexed="64"/>
      </patternFill>
    </fill>
    <fill>
      <patternFill patternType="solid">
        <fgColor indexed="63"/>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mediumGray">
        <fgColor indexed="9"/>
        <bgColor indexed="52"/>
      </patternFill>
    </fill>
  </fills>
  <borders count="32">
    <border>
      <left/>
      <right/>
      <top/>
      <bottom/>
      <diagonal/>
    </border>
    <border>
      <left/>
      <right/>
      <top/>
      <bottom style="medium">
        <color rgb="FF8EA9DB"/>
      </bottom>
      <diagonal/>
    </border>
    <border>
      <left/>
      <right/>
      <top/>
      <bottom style="medium">
        <color theme="4" tint="0.399914548173467"/>
      </bottom>
      <diagonal/>
    </border>
    <border>
      <left/>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auto="1"/>
      </left>
      <right/>
      <top style="thin">
        <color auto="1"/>
      </top>
      <bottom style="thin">
        <color auto="1"/>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auto="1"/>
      </left>
      <right style="thin">
        <color auto="1"/>
      </right>
      <top style="thin">
        <color auto="1"/>
      </top>
      <bottom/>
      <diagonal/>
    </border>
    <border>
      <left/>
      <right/>
      <top style="thin">
        <color indexed="62"/>
      </top>
      <bottom style="double">
        <color indexed="62"/>
      </bottom>
      <diagonal/>
    </border>
    <border>
      <left/>
      <right/>
      <top style="thin">
        <color indexed="56"/>
      </top>
      <bottom style="double">
        <color indexed="56"/>
      </bottom>
      <diagonal/>
    </border>
  </borders>
  <cellStyleXfs count="3659">
    <xf numFmtId="0" fontId="0" fillId="0" borderId="0"/>
    <xf numFmtId="43" fontId="3" fillId="0" borderId="0" applyFont="0" applyFill="0" applyBorder="0" applyAlignment="0" applyProtection="0">
      <alignment vertical="center"/>
    </xf>
    <xf numFmtId="176" fontId="3" fillId="0" borderId="0" applyFont="0" applyFill="0" applyBorder="0" applyAlignment="0" applyProtection="0">
      <alignment vertical="center"/>
    </xf>
    <xf numFmtId="9" fontId="3" fillId="0" borderId="0" applyFont="0" applyFill="0" applyBorder="0" applyAlignment="0" applyProtection="0">
      <alignment vertical="center"/>
    </xf>
    <xf numFmtId="41" fontId="3" fillId="0" borderId="0" applyFont="0" applyFill="0" applyBorder="0" applyAlignment="0" applyProtection="0">
      <alignment vertical="center"/>
    </xf>
    <xf numFmtId="177" fontId="3" fillId="0" borderId="0" applyFont="0" applyFill="0" applyBorder="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3" fillId="11" borderId="6" applyNumberFormat="0" applyFont="0" applyAlignment="0" applyProtection="0">
      <alignment vertical="center"/>
    </xf>
    <xf numFmtId="0" fontId="23" fillId="0" borderId="0" applyNumberFormat="0" applyFill="0" applyBorder="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26" fillId="0" borderId="7" applyNumberFormat="0" applyFill="0" applyAlignment="0" applyProtection="0">
      <alignment vertical="center"/>
    </xf>
    <xf numFmtId="0" fontId="27" fillId="0" borderId="7" applyNumberFormat="0" applyFill="0" applyAlignment="0" applyProtection="0">
      <alignment vertical="center"/>
    </xf>
    <xf numFmtId="0" fontId="5" fillId="0" borderId="2" applyNumberFormat="0" applyFill="0" applyAlignment="0" applyProtection="0"/>
    <xf numFmtId="0" fontId="5" fillId="0" borderId="0" applyNumberFormat="0" applyFill="0" applyBorder="0" applyAlignment="0" applyProtection="0">
      <alignment vertical="center"/>
    </xf>
    <xf numFmtId="0" fontId="28" fillId="12" borderId="8" applyNumberFormat="0" applyAlignment="0" applyProtection="0">
      <alignment vertical="center"/>
    </xf>
    <xf numFmtId="0" fontId="29" fillId="13" borderId="9" applyNumberFormat="0" applyAlignment="0" applyProtection="0">
      <alignment vertical="center"/>
    </xf>
    <xf numFmtId="0" fontId="30" fillId="13" borderId="8" applyNumberFormat="0" applyAlignment="0" applyProtection="0">
      <alignment vertical="center"/>
    </xf>
    <xf numFmtId="0" fontId="31" fillId="14" borderId="10" applyNumberFormat="0" applyAlignment="0" applyProtection="0">
      <alignment vertical="center"/>
    </xf>
    <xf numFmtId="0" fontId="32" fillId="0" borderId="11" applyNumberFormat="0" applyFill="0" applyAlignment="0" applyProtection="0">
      <alignment vertical="center"/>
    </xf>
    <xf numFmtId="0" fontId="33" fillId="0" borderId="12" applyNumberFormat="0" applyFill="0" applyAlignment="0" applyProtection="0">
      <alignment vertical="center"/>
    </xf>
    <xf numFmtId="0" fontId="34" fillId="15" borderId="0" applyNumberFormat="0" applyBorder="0" applyAlignment="0" applyProtection="0">
      <alignment vertical="center"/>
    </xf>
    <xf numFmtId="0" fontId="35" fillId="16" borderId="0" applyNumberFormat="0" applyBorder="0" applyAlignment="0" applyProtection="0">
      <alignment vertical="center"/>
    </xf>
    <xf numFmtId="0" fontId="36" fillId="17" borderId="0" applyNumberFormat="0" applyBorder="0" applyAlignment="0" applyProtection="0">
      <alignment vertical="center"/>
    </xf>
    <xf numFmtId="0" fontId="37" fillId="9" borderId="0" applyNumberFormat="0" applyBorder="0" applyAlignment="0" applyProtection="0">
      <alignment vertical="center"/>
    </xf>
    <xf numFmtId="0" fontId="38" fillId="18" borderId="0" applyNumberFormat="0" applyBorder="0" applyAlignment="0" applyProtection="0">
      <alignment vertical="center"/>
    </xf>
    <xf numFmtId="0" fontId="38" fillId="19" borderId="0" applyNumberFormat="0" applyBorder="0" applyAlignment="0" applyProtection="0">
      <alignment vertical="center"/>
    </xf>
    <xf numFmtId="0" fontId="37" fillId="20" borderId="0" applyNumberFormat="0" applyBorder="0" applyAlignment="0" applyProtection="0">
      <alignment vertical="center"/>
    </xf>
    <xf numFmtId="0" fontId="37" fillId="21" borderId="0" applyNumberFormat="0" applyBorder="0" applyAlignment="0" applyProtection="0">
      <alignment vertical="center"/>
    </xf>
    <xf numFmtId="0" fontId="38" fillId="22" borderId="0" applyNumberFormat="0" applyBorder="0" applyAlignment="0" applyProtection="0">
      <alignment vertical="center"/>
    </xf>
    <xf numFmtId="0" fontId="38" fillId="23" borderId="0" applyNumberFormat="0" applyBorder="0" applyAlignment="0" applyProtection="0">
      <alignment vertical="center"/>
    </xf>
    <xf numFmtId="0" fontId="37" fillId="24" borderId="0" applyNumberFormat="0" applyBorder="0" applyAlignment="0" applyProtection="0">
      <alignment vertical="center"/>
    </xf>
    <xf numFmtId="0" fontId="37" fillId="25" borderId="0" applyNumberFormat="0" applyBorder="0" applyAlignment="0" applyProtection="0">
      <alignment vertical="center"/>
    </xf>
    <xf numFmtId="0" fontId="38" fillId="26" borderId="0" applyNumberFormat="0" applyBorder="0" applyAlignment="0" applyProtection="0">
      <alignment vertical="center"/>
    </xf>
    <xf numFmtId="0" fontId="38" fillId="27" borderId="0" applyNumberFormat="0" applyBorder="0" applyAlignment="0" applyProtection="0">
      <alignment vertical="center"/>
    </xf>
    <xf numFmtId="0" fontId="37" fillId="28" borderId="0" applyNumberFormat="0" applyBorder="0" applyAlignment="0" applyProtection="0">
      <alignment vertical="center"/>
    </xf>
    <xf numFmtId="0" fontId="37" fillId="29" borderId="0" applyNumberFormat="0" applyBorder="0" applyAlignment="0" applyProtection="0">
      <alignment vertical="center"/>
    </xf>
    <xf numFmtId="0" fontId="38" fillId="30" borderId="0" applyNumberFormat="0" applyBorder="0" applyAlignment="0" applyProtection="0">
      <alignment vertical="center"/>
    </xf>
    <xf numFmtId="0" fontId="38" fillId="31" borderId="0" applyNumberFormat="0" applyBorder="0" applyAlignment="0" applyProtection="0">
      <alignment vertical="center"/>
    </xf>
    <xf numFmtId="0" fontId="37" fillId="32" borderId="0" applyNumberFormat="0" applyBorder="0" applyAlignment="0" applyProtection="0">
      <alignment vertical="center"/>
    </xf>
    <xf numFmtId="0" fontId="37" fillId="33" borderId="0" applyNumberFormat="0" applyBorder="0" applyAlignment="0" applyProtection="0">
      <alignment vertical="center"/>
    </xf>
    <xf numFmtId="0" fontId="38" fillId="34" borderId="0" applyNumberFormat="0" applyBorder="0" applyAlignment="0" applyProtection="0">
      <alignment vertical="center"/>
    </xf>
    <xf numFmtId="0" fontId="38" fillId="35" borderId="0" applyNumberFormat="0" applyBorder="0" applyAlignment="0" applyProtection="0">
      <alignment vertical="center"/>
    </xf>
    <xf numFmtId="0" fontId="37" fillId="36" borderId="0" applyNumberFormat="0" applyBorder="0" applyAlignment="0" applyProtection="0">
      <alignment vertical="center"/>
    </xf>
    <xf numFmtId="0" fontId="37" fillId="37" borderId="0" applyNumberFormat="0" applyBorder="0" applyAlignment="0" applyProtection="0">
      <alignment vertical="center"/>
    </xf>
    <xf numFmtId="0" fontId="38" fillId="38" borderId="0" applyNumberFormat="0" applyBorder="0" applyAlignment="0" applyProtection="0">
      <alignment vertical="center"/>
    </xf>
    <xf numFmtId="0" fontId="38" fillId="39" borderId="0" applyNumberFormat="0" applyBorder="0" applyAlignment="0" applyProtection="0">
      <alignment vertical="center"/>
    </xf>
    <xf numFmtId="0" fontId="37" fillId="40" borderId="0" applyNumberFormat="0" applyBorder="0" applyAlignment="0" applyProtection="0">
      <alignment vertical="center"/>
    </xf>
    <xf numFmtId="0" fontId="19" fillId="41"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1"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5"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5"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6"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3" borderId="0" applyNumberFormat="0" applyBorder="0" applyAlignment="0" applyProtection="0"/>
    <xf numFmtId="0" fontId="19" fillId="4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48"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7" borderId="0" applyNumberFormat="0" applyBorder="0" applyAlignment="0" applyProtection="0"/>
    <xf numFmtId="0" fontId="19" fillId="45"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5"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3"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2"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7"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4"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19" fillId="8" borderId="0" applyNumberFormat="0" applyBorder="0" applyAlignment="0" applyProtection="0"/>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0" fillId="0" borderId="0" applyNumberFormat="0" applyFont="0" applyFill="0" applyBorder="0" applyProtection="0">
      <alignment horizontal="left" vertical="center" indent="5"/>
    </xf>
    <xf numFmtId="0" fontId="39" fillId="49"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9" borderId="0" applyNumberFormat="0" applyBorder="0" applyAlignment="0" applyProtection="0"/>
    <xf numFmtId="0" fontId="39" fillId="47" borderId="0" applyNumberFormat="0" applyBorder="0" applyAlignment="0" applyProtection="0"/>
    <xf numFmtId="0" fontId="39" fillId="3"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3" borderId="0" applyNumberFormat="0" applyBorder="0" applyAlignment="0" applyProtection="0"/>
    <xf numFmtId="0" fontId="39" fillId="50" borderId="0" applyNumberFormat="0" applyBorder="0" applyAlignment="0" applyProtection="0"/>
    <xf numFmtId="0" fontId="39" fillId="48"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8" borderId="0" applyNumberFormat="0" applyBorder="0" applyAlignment="0" applyProtection="0"/>
    <xf numFmtId="0" fontId="39" fillId="4" borderId="0" applyNumberFormat="0" applyBorder="0" applyAlignment="0" applyProtection="0"/>
    <xf numFmtId="0" fontId="39" fillId="51"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43" borderId="0" applyNumberFormat="0" applyBorder="0" applyAlignment="0" applyProtection="0"/>
    <xf numFmtId="0" fontId="39" fillId="51" borderId="0" applyNumberFormat="0" applyBorder="0" applyAlignment="0" applyProtection="0"/>
    <xf numFmtId="0" fontId="39" fillId="43" borderId="0" applyNumberFormat="0" applyBorder="0" applyAlignment="0" applyProtection="0"/>
    <xf numFmtId="0" fontId="39" fillId="52"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47" borderId="0" applyNumberFormat="0" applyBorder="0" applyAlignment="0" applyProtection="0"/>
    <xf numFmtId="0" fontId="39" fillId="52" borderId="0" applyNumberFormat="0" applyBorder="0" applyAlignment="0" applyProtection="0"/>
    <xf numFmtId="0" fontId="39" fillId="47" borderId="0" applyNumberFormat="0" applyBorder="0" applyAlignment="0" applyProtection="0"/>
    <xf numFmtId="0" fontId="39" fillId="5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3" borderId="0" applyNumberFormat="0" applyBorder="0" applyAlignment="0" applyProtection="0"/>
    <xf numFmtId="0" fontId="39" fillId="53" borderId="0" applyNumberFormat="0" applyBorder="0" applyAlignment="0" applyProtection="0"/>
    <xf numFmtId="0" fontId="39" fillId="3" borderId="0" applyNumberFormat="0" applyBorder="0" applyAlignment="0" applyProtection="0"/>
    <xf numFmtId="0" fontId="39" fillId="54"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5" borderId="0" applyNumberFormat="0" applyBorder="0" applyAlignment="0" applyProtection="0"/>
    <xf numFmtId="0" fontId="39" fillId="54" borderId="0" applyNumberFormat="0" applyBorder="0" applyAlignment="0" applyProtection="0"/>
    <xf numFmtId="0" fontId="39" fillId="55"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7"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4" borderId="0" applyNumberFormat="0" applyBorder="0" applyAlignment="0" applyProtection="0"/>
    <xf numFmtId="0" fontId="39" fillId="57" borderId="0" applyNumberFormat="0" applyBorder="0" applyAlignment="0" applyProtection="0"/>
    <xf numFmtId="0" fontId="39" fillId="4" borderId="0" applyNumberFormat="0" applyBorder="0" applyAlignment="0" applyProtection="0"/>
    <xf numFmtId="0" fontId="39" fillId="51"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8" borderId="0" applyNumberFormat="0" applyBorder="0" applyAlignment="0" applyProtection="0"/>
    <xf numFmtId="0" fontId="39" fillId="51" borderId="0" applyNumberFormat="0" applyBorder="0" applyAlignment="0" applyProtection="0"/>
    <xf numFmtId="0" fontId="39" fillId="58"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2"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6" borderId="0" applyNumberFormat="0" applyBorder="0" applyAlignment="0" applyProtection="0"/>
    <xf numFmtId="0" fontId="39" fillId="50" borderId="0" applyNumberFormat="0" applyBorder="0" applyAlignment="0" applyProtection="0"/>
    <xf numFmtId="0" fontId="39" fillId="56" borderId="0" applyNumberFormat="0" applyBorder="0" applyAlignment="0" applyProtection="0"/>
    <xf numFmtId="4" fontId="40" fillId="46" borderId="13">
      <alignment horizontal="right" vertical="center"/>
    </xf>
    <xf numFmtId="4" fontId="40" fillId="46" borderId="13">
      <alignment horizontal="right" vertical="center"/>
    </xf>
    <xf numFmtId="0" fontId="41" fillId="43"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5" borderId="0" applyNumberFormat="0" applyBorder="0" applyAlignment="0" applyProtection="0"/>
    <xf numFmtId="0" fontId="41" fillId="43" borderId="0" applyNumberFormat="0" applyBorder="0" applyAlignment="0" applyProtection="0"/>
    <xf numFmtId="0" fontId="41" fillId="45" borderId="0" applyNumberFormat="0" applyBorder="0" applyAlignment="0" applyProtection="0"/>
    <xf numFmtId="0" fontId="42" fillId="10"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3" fillId="59" borderId="14" applyNumberFormat="0" applyAlignment="0" applyProtection="0"/>
    <xf numFmtId="0" fontId="42" fillId="10" borderId="14" applyNumberFormat="0" applyAlignment="0" applyProtection="0"/>
    <xf numFmtId="0" fontId="43" fillId="59" borderId="14"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0" fontId="44" fillId="60" borderId="15" applyNumberFormat="0" applyAlignment="0" applyProtection="0"/>
    <xf numFmtId="49" fontId="0" fillId="47" borderId="16">
      <alignment vertical="top" wrapText="1"/>
    </xf>
    <xf numFmtId="49" fontId="0" fillId="47" borderId="16">
      <alignment vertical="top" wrapText="1"/>
    </xf>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1"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178"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5"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0" fontId="45"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179" fontId="0" fillId="0" borderId="0" applyFont="0" applyFill="0" applyBorder="0" applyAlignment="0" applyProtection="0"/>
    <xf numFmtId="43" fontId="0" fillId="0" borderId="0" applyFont="0" applyFill="0" applyBorder="0" applyAlignment="0" applyProtection="0"/>
    <xf numFmtId="43" fontId="0"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80" fontId="0" fillId="0" borderId="0" applyFont="0" applyFill="0" applyBorder="0" applyAlignment="0" applyProtection="0"/>
    <xf numFmtId="180" fontId="0" fillId="0" borderId="0" applyFont="0" applyFill="0" applyBorder="0" applyAlignment="0" applyProtection="0"/>
    <xf numFmtId="0" fontId="46" fillId="0" borderId="17">
      <alignment horizontal="left" vertical="center" wrapText="1" indent="2"/>
    </xf>
    <xf numFmtId="181" fontId="47" fillId="0" borderId="0">
      <protection locked="0"/>
    </xf>
    <xf numFmtId="181" fontId="47" fillId="0" borderId="0">
      <protection locked="0"/>
    </xf>
    <xf numFmtId="3" fontId="48" fillId="0" borderId="16">
      <alignment horizontal="right" vertical="top"/>
    </xf>
    <xf numFmtId="0" fontId="17" fillId="52" borderId="13">
      <alignment horizontal="centerContinuous" vertical="top" wrapText="1"/>
    </xf>
    <xf numFmtId="0" fontId="49" fillId="0" borderId="0">
      <alignment vertical="top" wrapText="1"/>
    </xf>
    <xf numFmtId="182" fontId="0" fillId="0" borderId="0" applyFont="0" applyFill="0" applyBorder="0" applyAlignment="0" applyProtection="0"/>
    <xf numFmtId="182"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3" fontId="0" fillId="0" borderId="0" applyFont="0" applyFill="0" applyBorder="0" applyAlignment="0" applyProtection="0"/>
    <xf numFmtId="184" fontId="0" fillId="0" borderId="0" applyFont="0" applyFill="0" applyBorder="0" applyAlignment="0" applyProtection="0"/>
    <xf numFmtId="184" fontId="0" fillId="0" borderId="0" applyFont="0" applyFill="0" applyBorder="0" applyAlignment="0" applyProtection="0"/>
    <xf numFmtId="183" fontId="0" fillId="0" borderId="0" applyFont="0" applyFill="0" applyBorder="0" applyAlignment="0" applyProtection="0"/>
    <xf numFmtId="182" fontId="0" fillId="0" borderId="0" applyFont="0" applyFill="0" applyBorder="0" applyAlignment="0" applyProtection="0"/>
    <xf numFmtId="182" fontId="0" fillId="0" borderId="0" applyFont="0" applyFill="0" applyBorder="0" applyAlignment="0" applyProtection="0"/>
    <xf numFmtId="185" fontId="0" fillId="0" borderId="0" applyFont="0" applyFill="0" applyBorder="0" applyAlignment="0" applyProtection="0"/>
    <xf numFmtId="186" fontId="0" fillId="0" borderId="0" applyFont="0" applyFill="0" applyBorder="0" applyAlignment="0" applyProtection="0"/>
    <xf numFmtId="186" fontId="0" fillId="0" borderId="0" applyFont="0" applyFill="0" applyBorder="0" applyAlignment="0" applyProtection="0"/>
    <xf numFmtId="182" fontId="0" fillId="0" borderId="0" applyFon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187" fontId="47" fillId="0" borderId="0">
      <protection locked="0"/>
    </xf>
    <xf numFmtId="187" fontId="47" fillId="0" borderId="0">
      <protection locked="0"/>
    </xf>
    <xf numFmtId="11" fontId="0" fillId="0" borderId="0" applyFont="0" applyFill="0" applyBorder="0" applyAlignment="0" applyProtection="0"/>
    <xf numFmtId="11" fontId="0" fillId="0" borderId="0" applyFont="0" applyFill="0" applyBorder="0" applyAlignment="0" applyProtection="0"/>
    <xf numFmtId="0" fontId="51" fillId="44"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7" borderId="0" applyNumberFormat="0" applyBorder="0" applyAlignment="0" applyProtection="0"/>
    <xf numFmtId="0" fontId="51" fillId="44" borderId="0" applyNumberFormat="0" applyBorder="0" applyAlignment="0" applyProtection="0"/>
    <xf numFmtId="0" fontId="51" fillId="47" borderId="0" applyNumberFormat="0" applyBorder="0" applyAlignment="0" applyProtection="0"/>
    <xf numFmtId="0" fontId="52" fillId="0" borderId="18"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3" fillId="0" borderId="19" applyNumberFormat="0" applyFill="0" applyAlignment="0" applyProtection="0"/>
    <xf numFmtId="0" fontId="52" fillId="0" borderId="18" applyNumberFormat="0" applyFill="0" applyAlignment="0" applyProtection="0"/>
    <xf numFmtId="0" fontId="53" fillId="0" borderId="19" applyNumberFormat="0" applyFill="0" applyAlignment="0" applyProtection="0"/>
    <xf numFmtId="0" fontId="54" fillId="0" borderId="20"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5" fillId="0" borderId="21" applyNumberFormat="0" applyFill="0" applyAlignment="0" applyProtection="0"/>
    <xf numFmtId="0" fontId="54" fillId="0" borderId="20" applyNumberFormat="0" applyFill="0" applyAlignment="0" applyProtection="0"/>
    <xf numFmtId="0" fontId="55" fillId="0" borderId="21"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7" fillId="0" borderId="23" applyNumberFormat="0" applyFill="0" applyAlignment="0" applyProtection="0"/>
    <xf numFmtId="0" fontId="56" fillId="0" borderId="22" applyNumberFormat="0" applyFill="0" applyAlignment="0" applyProtection="0"/>
    <xf numFmtId="0" fontId="57" fillId="0" borderId="23" applyNumberFormat="0" applyFill="0" applyAlignment="0" applyProtection="0"/>
    <xf numFmtId="0" fontId="56"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7" fillId="0" borderId="0" applyNumberFormat="0" applyFill="0" applyBorder="0" applyAlignment="0" applyProtection="0"/>
    <xf numFmtId="0" fontId="56" fillId="0" borderId="0" applyNumberFormat="0" applyFill="0" applyBorder="0" applyAlignment="0" applyProtection="0"/>
    <xf numFmtId="0" fontId="57" fillId="0" borderId="0" applyNumberFormat="0" applyFill="0" applyBorder="0" applyAlignment="0" applyProtection="0"/>
    <xf numFmtId="188" fontId="58" fillId="0" borderId="0">
      <protection locked="0"/>
    </xf>
    <xf numFmtId="188" fontId="58" fillId="0" borderId="0">
      <protection locked="0"/>
    </xf>
    <xf numFmtId="188" fontId="58" fillId="0" borderId="0">
      <protection locked="0"/>
    </xf>
    <xf numFmtId="188" fontId="58" fillId="0" borderId="0">
      <protection locked="0"/>
    </xf>
    <xf numFmtId="0" fontId="59" fillId="0" borderId="0" applyNumberFormat="0" applyFill="0" applyBorder="0" applyAlignment="0" applyProtection="0">
      <alignment vertical="top"/>
      <protection locked="0"/>
    </xf>
    <xf numFmtId="0" fontId="60" fillId="46"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7" borderId="14" applyNumberFormat="0" applyAlignment="0" applyProtection="0"/>
    <xf numFmtId="0" fontId="60" fillId="46" borderId="14" applyNumberFormat="0" applyAlignment="0" applyProtection="0"/>
    <xf numFmtId="0" fontId="60" fillId="7" borderId="14" applyNumberFormat="0" applyAlignment="0" applyProtection="0"/>
    <xf numFmtId="4" fontId="46" fillId="0" borderId="0" applyBorder="0">
      <alignment horizontal="right" vertical="center"/>
    </xf>
    <xf numFmtId="0" fontId="61" fillId="0" borderId="0"/>
    <xf numFmtId="0" fontId="62" fillId="0" borderId="24"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3" fillId="0" borderId="25" applyNumberFormat="0" applyFill="0" applyAlignment="0" applyProtection="0"/>
    <xf numFmtId="0" fontId="62" fillId="0" borderId="24" applyNumberFormat="0" applyFill="0" applyAlignment="0" applyProtection="0"/>
    <xf numFmtId="0" fontId="63" fillId="0" borderId="25" applyNumberFormat="0" applyFill="0" applyAlignment="0" applyProtection="0"/>
    <xf numFmtId="189" fontId="0" fillId="0" borderId="0" applyFont="0" applyFill="0" applyBorder="0" applyAlignment="0" applyProtection="0"/>
    <xf numFmtId="0" fontId="64"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5" fillId="7" borderId="0" applyNumberFormat="0" applyBorder="0" applyAlignment="0" applyProtection="0"/>
    <xf numFmtId="0" fontId="66" fillId="7" borderId="0" applyNumberFormat="0" applyBorder="0" applyAlignment="0" applyProtection="0"/>
    <xf numFmtId="0" fontId="65" fillId="7" borderId="0" applyNumberFormat="0" applyBorder="0" applyAlignment="0" applyProtection="0"/>
    <xf numFmtId="0" fontId="64" fillId="7" borderId="0" applyNumberFormat="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90" fontId="67" fillId="0" borderId="0">
      <alignment vertical="center"/>
    </xf>
    <xf numFmtId="190" fontId="67" fillId="0" borderId="0">
      <alignment vertical="center"/>
    </xf>
    <xf numFmtId="190" fontId="67" fillId="0" borderId="0">
      <alignment vertical="center"/>
    </xf>
    <xf numFmtId="190"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8" fontId="67" fillId="0" borderId="0">
      <alignment vertical="center"/>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78"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191" fontId="67" fillId="0" borderId="0">
      <alignment vertical="center"/>
    </xf>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19"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9"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applyNumberFormat="0" applyFont="0" applyFill="0" applyBorder="0" applyAlignment="0" applyProtection="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4" fontId="46" fillId="0" borderId="13" applyFill="0" applyBorder="0" applyProtection="0">
      <alignment horizontal="right" vertical="center"/>
    </xf>
    <xf numFmtId="0" fontId="68" fillId="0" borderId="0" applyNumberFormat="0" applyFill="0" applyBorder="0" applyProtection="0">
      <alignment horizontal="left" vertical="center"/>
    </xf>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0" fillId="60" borderId="0" applyNumberFormat="0" applyFont="0" applyBorder="0" applyAlignment="0" applyProtection="0"/>
    <xf numFmtId="0" fontId="69" fillId="0" borderId="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19"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0" fontId="0" fillId="8" borderId="26" applyNumberFormat="0" applyFont="0" applyAlignment="0" applyProtection="0"/>
    <xf numFmtId="192" fontId="70" fillId="0" borderId="0">
      <alignment horizontal="right"/>
    </xf>
    <xf numFmtId="193" fontId="0" fillId="0" borderId="0" applyFont="0" applyFill="0" applyBorder="0" applyAlignment="0" applyProtection="0"/>
    <xf numFmtId="193" fontId="0" fillId="0" borderId="0" applyFont="0" applyFill="0" applyBorder="0" applyAlignment="0" applyProtection="0"/>
    <xf numFmtId="0" fontId="71" fillId="10"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59" borderId="27" applyNumberFormat="0" applyAlignment="0" applyProtection="0"/>
    <xf numFmtId="0" fontId="71" fillId="10" borderId="27" applyNumberFormat="0" applyAlignment="0" applyProtection="0"/>
    <xf numFmtId="0" fontId="71" fillId="59" borderId="27" applyNumberFormat="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5"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45"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19"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9" fontId="0" fillId="0" borderId="0" applyFont="0" applyFill="0" applyBorder="0" applyAlignment="0" applyProtection="0"/>
    <xf numFmtId="194" fontId="72" fillId="0" borderId="0" applyFont="0" applyFill="0" applyBorder="0" applyAlignment="0" applyProtection="0"/>
    <xf numFmtId="195" fontId="72" fillId="0" borderId="0" applyFont="0" applyFill="0" applyBorder="0" applyAlignment="0" applyProtection="0"/>
    <xf numFmtId="196" fontId="72" fillId="0" borderId="0" applyFont="0" applyFill="0" applyBorder="0" applyAlignment="0" applyProtection="0"/>
    <xf numFmtId="0" fontId="49" fillId="0" borderId="0">
      <alignment vertical="top" wrapText="1"/>
    </xf>
    <xf numFmtId="0" fontId="0" fillId="0" borderId="0"/>
    <xf numFmtId="0" fontId="0" fillId="0" borderId="13" applyNumberFormat="0" applyFill="0" applyProtection="0">
      <alignment horizontal="right"/>
    </xf>
    <xf numFmtId="0" fontId="0" fillId="0" borderId="13" applyNumberFormat="0" applyFill="0" applyProtection="0">
      <alignment horizontal="right"/>
    </xf>
    <xf numFmtId="0" fontId="17" fillId="61" borderId="13" applyNumberFormat="0" applyProtection="0">
      <alignment horizontal="right"/>
    </xf>
    <xf numFmtId="0" fontId="73" fillId="61" borderId="0" applyNumberFormat="0" applyBorder="0" applyProtection="0">
      <alignment horizontal="left"/>
    </xf>
    <xf numFmtId="0" fontId="17" fillId="61" borderId="13" applyNumberFormat="0" applyProtection="0">
      <alignment horizontal="left"/>
    </xf>
    <xf numFmtId="0" fontId="0" fillId="0" borderId="13" applyNumberFormat="0" applyFill="0" applyProtection="0">
      <alignment horizontal="right"/>
    </xf>
    <xf numFmtId="0" fontId="0" fillId="0" borderId="13" applyNumberFormat="0" applyFill="0" applyProtection="0">
      <alignment horizontal="right"/>
    </xf>
    <xf numFmtId="0" fontId="74" fillId="54" borderId="0" applyNumberFormat="0" applyBorder="0" applyProtection="0">
      <alignment horizontal="left"/>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197" fontId="0" fillId="0" borderId="0" applyFill="0" applyBorder="0" applyAlignment="0" applyProtection="0">
      <alignment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0" fontId="17" fillId="0" borderId="0" applyNumberFormat="0" applyFill="0" applyBorder="0">
      <alignment horizontal="center" wrapText="1"/>
    </xf>
    <xf numFmtId="198" fontId="75" fillId="62" borderId="28">
      <alignment vertical="center"/>
    </xf>
    <xf numFmtId="178" fontId="76" fillId="62" borderId="28">
      <alignment vertical="center"/>
    </xf>
    <xf numFmtId="198" fontId="77" fillId="63" borderId="28">
      <alignment vertical="center"/>
    </xf>
    <xf numFmtId="0" fontId="0" fillId="64" borderId="29" applyBorder="0">
      <alignment horizontal="left" vertical="center"/>
    </xf>
    <xf numFmtId="0" fontId="0" fillId="64" borderId="29" applyBorder="0">
      <alignment horizontal="left" vertical="center"/>
    </xf>
    <xf numFmtId="49" fontId="0" fillId="65" borderId="13">
      <alignment vertical="center" wrapText="1"/>
    </xf>
    <xf numFmtId="49" fontId="0" fillId="65" borderId="13">
      <alignment vertical="center" wrapText="1"/>
    </xf>
    <xf numFmtId="0" fontId="0" fillId="66" borderId="5">
      <alignment horizontal="left" vertical="center" wrapText="1"/>
    </xf>
    <xf numFmtId="0" fontId="0" fillId="66" borderId="5">
      <alignment horizontal="left" vertical="center" wrapText="1"/>
    </xf>
    <xf numFmtId="0" fontId="78" fillId="67" borderId="13">
      <alignment horizontal="left" vertical="center" wrapText="1"/>
    </xf>
    <xf numFmtId="0" fontId="0" fillId="53" borderId="13">
      <alignment horizontal="left" vertical="center" wrapText="1"/>
    </xf>
    <xf numFmtId="0" fontId="0" fillId="53" borderId="13">
      <alignment horizontal="left" vertical="center" wrapText="1"/>
    </xf>
    <xf numFmtId="0" fontId="0" fillId="68" borderId="13">
      <alignment horizontal="left" vertical="center" wrapText="1"/>
    </xf>
    <xf numFmtId="0" fontId="0" fillId="68" borderId="13">
      <alignment horizontal="left" vertical="center" wrapText="1"/>
    </xf>
    <xf numFmtId="0" fontId="79"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80" fillId="0" borderId="0" applyNumberFormat="0" applyFill="0" applyBorder="0" applyAlignment="0" applyProtection="0"/>
    <xf numFmtId="0" fontId="79" fillId="0" borderId="0" applyNumberFormat="0" applyFill="0" applyBorder="0" applyAlignment="0" applyProtection="0"/>
    <xf numFmtId="0" fontId="80" fillId="0" borderId="0" applyNumberFormat="0" applyFill="0" applyBorder="0" applyAlignment="0" applyProtection="0"/>
    <xf numFmtId="0" fontId="81" fillId="0" borderId="30"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1" applyNumberFormat="0" applyFill="0" applyAlignment="0" applyProtection="0"/>
    <xf numFmtId="0" fontId="81" fillId="0" borderId="30" applyNumberFormat="0" applyFill="0" applyAlignment="0" applyProtection="0"/>
    <xf numFmtId="0" fontId="81" fillId="0" borderId="31" applyNumberFormat="0" applyFill="0" applyAlignment="0" applyProtection="0"/>
    <xf numFmtId="199" fontId="72" fillId="0" borderId="0" applyFon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0" fontId="63" fillId="0" borderId="0" applyNumberFormat="0" applyFill="0" applyBorder="0" applyAlignment="0" applyProtection="0"/>
    <xf numFmtId="4" fontId="46" fillId="0" borderId="0"/>
    <xf numFmtId="0" fontId="82" fillId="0" borderId="0" applyNumberFormat="0" applyFill="0" applyBorder="0" applyAlignment="0" applyProtection="0">
      <alignment vertical="center"/>
    </xf>
  </cellStyleXfs>
  <cellXfs count="40">
    <xf numFmtId="0" fontId="0" fillId="0" borderId="0" xfId="0"/>
    <xf numFmtId="0" fontId="1" fillId="0" borderId="0" xfId="0" applyFont="1"/>
    <xf numFmtId="0" fontId="2" fillId="0" borderId="1" xfId="14" applyFont="1" applyFill="1" applyBorder="1"/>
    <xf numFmtId="0" fontId="3" fillId="0" borderId="0" xfId="1528"/>
    <xf numFmtId="0" fontId="4" fillId="0" borderId="0" xfId="0" applyFont="1"/>
    <xf numFmtId="0" fontId="5" fillId="0" borderId="2" xfId="14"/>
    <xf numFmtId="200" fontId="0" fillId="0" borderId="0" xfId="0" applyNumberFormat="1"/>
    <xf numFmtId="0" fontId="6" fillId="2" borderId="0" xfId="0" applyFont="1" applyFill="1"/>
    <xf numFmtId="0" fontId="3" fillId="0" borderId="0" xfId="2195"/>
    <xf numFmtId="0" fontId="7" fillId="0" borderId="0" xfId="2195" applyFont="1"/>
    <xf numFmtId="0" fontId="0" fillId="2" borderId="0" xfId="0" applyFill="1"/>
    <xf numFmtId="0" fontId="0" fillId="0" borderId="0" xfId="1140"/>
    <xf numFmtId="0" fontId="3" fillId="0" borderId="0" xfId="2179"/>
    <xf numFmtId="11" fontId="0" fillId="0" borderId="0" xfId="0" applyNumberFormat="1"/>
    <xf numFmtId="0" fontId="8" fillId="0" borderId="0" xfId="0" applyFont="1"/>
    <xf numFmtId="0" fontId="9" fillId="0" borderId="0" xfId="0" applyFont="1"/>
    <xf numFmtId="0" fontId="9" fillId="3" borderId="0" xfId="0" applyFont="1" applyFill="1"/>
    <xf numFmtId="0" fontId="10" fillId="0" borderId="0" xfId="0" applyFont="1"/>
    <xf numFmtId="0" fontId="11" fillId="4" borderId="0" xfId="0" applyFont="1" applyFill="1"/>
    <xf numFmtId="0" fontId="11" fillId="5" borderId="0" xfId="0" applyFont="1" applyFill="1"/>
    <xf numFmtId="0" fontId="9" fillId="6" borderId="0" xfId="0" applyFont="1" applyFill="1"/>
    <xf numFmtId="0" fontId="9" fillId="7" borderId="3" xfId="0" applyFont="1" applyFill="1" applyBorder="1" applyAlignment="1">
      <alignment horizontal="left" vertical="center" wrapText="1"/>
    </xf>
    <xf numFmtId="0" fontId="9" fillId="0" borderId="4" xfId="0" applyFont="1" applyBorder="1"/>
    <xf numFmtId="0" fontId="12" fillId="0" borderId="0" xfId="0" applyFont="1"/>
    <xf numFmtId="11" fontId="13" fillId="0" borderId="0" xfId="0" applyNumberFormat="1" applyFont="1"/>
    <xf numFmtId="11" fontId="10" fillId="0" borderId="0" xfId="0" applyNumberFormat="1" applyFont="1"/>
    <xf numFmtId="0" fontId="14" fillId="0" borderId="0" xfId="0" applyFont="1"/>
    <xf numFmtId="0" fontId="15" fillId="0" borderId="0" xfId="0" applyFont="1" applyAlignment="1">
      <alignment horizontal="left"/>
    </xf>
    <xf numFmtId="0" fontId="15" fillId="0" borderId="0" xfId="0" applyFont="1"/>
    <xf numFmtId="0" fontId="16" fillId="8" borderId="0" xfId="170" applyFont="1" applyBorder="1"/>
    <xf numFmtId="0" fontId="17" fillId="0" borderId="0" xfId="0" applyFont="1"/>
    <xf numFmtId="0" fontId="18" fillId="0" borderId="0" xfId="0" applyFont="1"/>
    <xf numFmtId="0" fontId="0" fillId="9" borderId="0" xfId="0" applyFill="1"/>
    <xf numFmtId="0" fontId="19" fillId="8" borderId="5" xfId="97" applyBorder="1"/>
    <xf numFmtId="0" fontId="19" fillId="8" borderId="0" xfId="97" applyBorder="1"/>
    <xf numFmtId="0" fontId="19" fillId="2" borderId="0" xfId="97" applyFill="1" applyBorder="1"/>
    <xf numFmtId="0" fontId="19" fillId="8" borderId="0" xfId="94"/>
    <xf numFmtId="0" fontId="20" fillId="0" borderId="0" xfId="0" applyFont="1"/>
    <xf numFmtId="0" fontId="17" fillId="5" borderId="0" xfId="0" applyFont="1" applyFill="1"/>
    <xf numFmtId="0" fontId="17" fillId="10" borderId="0" xfId="0" applyFont="1" applyFill="1"/>
    <xf numFmtId="0" fontId="0" fillId="0" borderId="0" xfId="0" quotePrefix="1"/>
  </cellXfs>
  <cellStyles count="365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20% - Accent1 2" xfId="49"/>
    <cellStyle name="20% - Accent1 2 10" xfId="50"/>
    <cellStyle name="20% - Accent1 2 11" xfId="51"/>
    <cellStyle name="20% - Accent1 2 12" xfId="52"/>
    <cellStyle name="20% - Accent1 2 13" xfId="53"/>
    <cellStyle name="20% - Accent1 2 14" xfId="54"/>
    <cellStyle name="20% - Accent1 2 15" xfId="55"/>
    <cellStyle name="20% - Accent1 2 2" xfId="56"/>
    <cellStyle name="20% - Accent1 2 3" xfId="57"/>
    <cellStyle name="20% - Accent1 2 4" xfId="58"/>
    <cellStyle name="20% - Accent1 2 5" xfId="59"/>
    <cellStyle name="20% - Accent1 2 6" xfId="60"/>
    <cellStyle name="20% - Accent1 2 7" xfId="61"/>
    <cellStyle name="20% - Accent1 2 8" xfId="62"/>
    <cellStyle name="20% - Accent1 2 9" xfId="63"/>
    <cellStyle name="20% - Accent1 3" xfId="64"/>
    <cellStyle name="20% - Accent1 3 2" xfId="65"/>
    <cellStyle name="20% - Accent1 4" xfId="66"/>
    <cellStyle name="20% - Accent1 5" xfId="67"/>
    <cellStyle name="20% - Accent1 6" xfId="68"/>
    <cellStyle name="20% - Accent1 7" xfId="69"/>
    <cellStyle name="20% - Accent1 8" xfId="70"/>
    <cellStyle name="20% - Accent2 2" xfId="71"/>
    <cellStyle name="20% - Accent2 2 10" xfId="72"/>
    <cellStyle name="20% - Accent2 2 11" xfId="73"/>
    <cellStyle name="20% - Accent2 2 12" xfId="74"/>
    <cellStyle name="20% - Accent2 2 13" xfId="75"/>
    <cellStyle name="20% - Accent2 2 14" xfId="76"/>
    <cellStyle name="20% - Accent2 2 15" xfId="77"/>
    <cellStyle name="20% - Accent2 2 2" xfId="78"/>
    <cellStyle name="20% - Accent2 2 3" xfId="79"/>
    <cellStyle name="20% - Accent2 2 4" xfId="80"/>
    <cellStyle name="20% - Accent2 2 5" xfId="81"/>
    <cellStyle name="20% - Accent2 2 6" xfId="82"/>
    <cellStyle name="20% - Accent2 2 7" xfId="83"/>
    <cellStyle name="20% - Accent2 2 8" xfId="84"/>
    <cellStyle name="20% - Accent2 2 9" xfId="85"/>
    <cellStyle name="20% - Accent2 3" xfId="86"/>
    <cellStyle name="20% - Accent2 3 2" xfId="87"/>
    <cellStyle name="20% - Accent2 4" xfId="88"/>
    <cellStyle name="20% - Accent2 5" xfId="89"/>
    <cellStyle name="20% - Accent2 6" xfId="90"/>
    <cellStyle name="20% - Accent2 7" xfId="91"/>
    <cellStyle name="20% - Accent2 8" xfId="92"/>
    <cellStyle name="20% - Accent3 2" xfId="93"/>
    <cellStyle name="20% - Accent3 2 10" xfId="94"/>
    <cellStyle name="20% - Accent3 2 11" xfId="95"/>
    <cellStyle name="20% - Accent3 2 12" xfId="96"/>
    <cellStyle name="20% - Accent3 2 13" xfId="97"/>
    <cellStyle name="20% - Accent3 2 14" xfId="98"/>
    <cellStyle name="20% - Accent3 2 15" xfId="99"/>
    <cellStyle name="20% - Accent3 2 2" xfId="100"/>
    <cellStyle name="20% - Accent3 2 3" xfId="101"/>
    <cellStyle name="20% - Accent3 2 4" xfId="102"/>
    <cellStyle name="20% - Accent3 2 5" xfId="103"/>
    <cellStyle name="20% - Accent3 2 6" xfId="104"/>
    <cellStyle name="20% - Accent3 2 7" xfId="105"/>
    <cellStyle name="20% - Accent3 2 8" xfId="106"/>
    <cellStyle name="20% - Accent3 2 9" xfId="107"/>
    <cellStyle name="20% - Accent3 3" xfId="108"/>
    <cellStyle name="20% - Accent3 3 2" xfId="109"/>
    <cellStyle name="20% - Accent3 4" xfId="110"/>
    <cellStyle name="20% - Accent3 5" xfId="111"/>
    <cellStyle name="20% - Accent3 6" xfId="112"/>
    <cellStyle name="20% - Accent3 7" xfId="113"/>
    <cellStyle name="20% - Accent3 8" xfId="114"/>
    <cellStyle name="20% - Accent4 2" xfId="115"/>
    <cellStyle name="20% - Accent4 2 10" xfId="116"/>
    <cellStyle name="20% - Accent4 2 11" xfId="117"/>
    <cellStyle name="20% - Accent4 2 12" xfId="118"/>
    <cellStyle name="20% - Accent4 2 13" xfId="119"/>
    <cellStyle name="20% - Accent4 2 14" xfId="120"/>
    <cellStyle name="20% - Accent4 2 15" xfId="121"/>
    <cellStyle name="20% - Accent4 2 2" xfId="122"/>
    <cellStyle name="20% - Accent4 2 3" xfId="123"/>
    <cellStyle name="20% - Accent4 2 4" xfId="124"/>
    <cellStyle name="20% - Accent4 2 5" xfId="125"/>
    <cellStyle name="20% - Accent4 2 6" xfId="126"/>
    <cellStyle name="20% - Accent4 2 7" xfId="127"/>
    <cellStyle name="20% - Accent4 2 8" xfId="128"/>
    <cellStyle name="20% - Accent4 2 9" xfId="129"/>
    <cellStyle name="20% - Accent4 3" xfId="130"/>
    <cellStyle name="20% - Accent4 3 2" xfId="131"/>
    <cellStyle name="20% - Accent4 4" xfId="132"/>
    <cellStyle name="20% - Accent4 5" xfId="133"/>
    <cellStyle name="20% - Accent4 6" xfId="134"/>
    <cellStyle name="20% - Accent4 7" xfId="135"/>
    <cellStyle name="20% - Accent4 8" xfId="136"/>
    <cellStyle name="20% - Accent5 2" xfId="137"/>
    <cellStyle name="20% - Accent5 2 10" xfId="138"/>
    <cellStyle name="20% - Accent5 2 11" xfId="139"/>
    <cellStyle name="20% - Accent5 2 12" xfId="140"/>
    <cellStyle name="20% - Accent5 2 13" xfId="141"/>
    <cellStyle name="20% - Accent5 2 14" xfId="142"/>
    <cellStyle name="20% - Accent5 2 15" xfId="143"/>
    <cellStyle name="20% - Accent5 2 2" xfId="144"/>
    <cellStyle name="20% - Accent5 2 3" xfId="145"/>
    <cellStyle name="20% - Accent5 2 4" xfId="146"/>
    <cellStyle name="20% - Accent5 2 5" xfId="147"/>
    <cellStyle name="20% - Accent5 2 6" xfId="148"/>
    <cellStyle name="20% - Accent5 2 7" xfId="149"/>
    <cellStyle name="20% - Accent5 2 8" xfId="150"/>
    <cellStyle name="20% - Accent5 2 9" xfId="151"/>
    <cellStyle name="20% - Accent5 3" xfId="152"/>
    <cellStyle name="20% - Accent5 4" xfId="153"/>
    <cellStyle name="20% - Accent5 5" xfId="154"/>
    <cellStyle name="20% - Accent5 6" xfId="155"/>
    <cellStyle name="20% - Accent5 7" xfId="156"/>
    <cellStyle name="20% - Accent5 8" xfId="157"/>
    <cellStyle name="20% - Accent6 2" xfId="158"/>
    <cellStyle name="20% - Accent6 2 10" xfId="159"/>
    <cellStyle name="20% - Accent6 2 11" xfId="160"/>
    <cellStyle name="20% - Accent6 2 12" xfId="161"/>
    <cellStyle name="20% - Accent6 2 13" xfId="162"/>
    <cellStyle name="20% - Accent6 2 14" xfId="163"/>
    <cellStyle name="20% - Accent6 2 15" xfId="164"/>
    <cellStyle name="20% - Accent6 2 2" xfId="165"/>
    <cellStyle name="20% - Accent6 2 3" xfId="166"/>
    <cellStyle name="20% - Accent6 2 4" xfId="167"/>
    <cellStyle name="20% - Accent6 2 5" xfId="168"/>
    <cellStyle name="20% - Accent6 2 6" xfId="169"/>
    <cellStyle name="20% - Accent6 2 7" xfId="170"/>
    <cellStyle name="20% - Accent6 2 8" xfId="171"/>
    <cellStyle name="20% - Accent6 2 9" xfId="172"/>
    <cellStyle name="20% - Accent6 3" xfId="173"/>
    <cellStyle name="20% - Accent6 3 2" xfId="174"/>
    <cellStyle name="20% - Accent6 4" xfId="175"/>
    <cellStyle name="20% - Accent6 5" xfId="176"/>
    <cellStyle name="20% - Accent6 6" xfId="177"/>
    <cellStyle name="20% - Accent6 7" xfId="178"/>
    <cellStyle name="20% - Accent6 8" xfId="179"/>
    <cellStyle name="40% - Accent1 2" xfId="180"/>
    <cellStyle name="40% - Accent1 2 10" xfId="181"/>
    <cellStyle name="40% - Accent1 2 11" xfId="182"/>
    <cellStyle name="40% - Accent1 2 12" xfId="183"/>
    <cellStyle name="40% - Accent1 2 13" xfId="184"/>
    <cellStyle name="40% - Accent1 2 14" xfId="185"/>
    <cellStyle name="40% - Accent1 2 15" xfId="186"/>
    <cellStyle name="40% - Accent1 2 2" xfId="187"/>
    <cellStyle name="40% - Accent1 2 3" xfId="188"/>
    <cellStyle name="40% - Accent1 2 4" xfId="189"/>
    <cellStyle name="40% - Accent1 2 5" xfId="190"/>
    <cellStyle name="40% - Accent1 2 6" xfId="191"/>
    <cellStyle name="40% - Accent1 2 7" xfId="192"/>
    <cellStyle name="40% - Accent1 2 8" xfId="193"/>
    <cellStyle name="40% - Accent1 2 9" xfId="194"/>
    <cellStyle name="40% - Accent1 3" xfId="195"/>
    <cellStyle name="40% - Accent1 3 2" xfId="196"/>
    <cellStyle name="40% - Accent1 4" xfId="197"/>
    <cellStyle name="40% - Accent1 5" xfId="198"/>
    <cellStyle name="40% - Accent1 6" xfId="199"/>
    <cellStyle name="40% - Accent1 7" xfId="200"/>
    <cellStyle name="40% - Accent1 8" xfId="201"/>
    <cellStyle name="40% - Accent2 2" xfId="202"/>
    <cellStyle name="40% - Accent2 2 10" xfId="203"/>
    <cellStyle name="40% - Accent2 2 11" xfId="204"/>
    <cellStyle name="40% - Accent2 2 12" xfId="205"/>
    <cellStyle name="40% - Accent2 2 13" xfId="206"/>
    <cellStyle name="40% - Accent2 2 14" xfId="207"/>
    <cellStyle name="40% - Accent2 2 15" xfId="208"/>
    <cellStyle name="40% - Accent2 2 2" xfId="209"/>
    <cellStyle name="40% - Accent2 2 3" xfId="210"/>
    <cellStyle name="40% - Accent2 2 4" xfId="211"/>
    <cellStyle name="40% - Accent2 2 5" xfId="212"/>
    <cellStyle name="40% - Accent2 2 6" xfId="213"/>
    <cellStyle name="40% - Accent2 2 7" xfId="214"/>
    <cellStyle name="40% - Accent2 2 8" xfId="215"/>
    <cellStyle name="40% - Accent2 2 9" xfId="216"/>
    <cellStyle name="40% - Accent2 3" xfId="217"/>
    <cellStyle name="40% - Accent2 4" xfId="218"/>
    <cellStyle name="40% - Accent2 5" xfId="219"/>
    <cellStyle name="40% - Accent2 6" xfId="220"/>
    <cellStyle name="40% - Accent2 7" xfId="221"/>
    <cellStyle name="40% - Accent2 8" xfId="222"/>
    <cellStyle name="40% - Accent3 2" xfId="223"/>
    <cellStyle name="40% - Accent3 2 10" xfId="224"/>
    <cellStyle name="40% - Accent3 2 11" xfId="225"/>
    <cellStyle name="40% - Accent3 2 12" xfId="226"/>
    <cellStyle name="40% - Accent3 2 13" xfId="227"/>
    <cellStyle name="40% - Accent3 2 14" xfId="228"/>
    <cellStyle name="40% - Accent3 2 15" xfId="229"/>
    <cellStyle name="40% - Accent3 2 2" xfId="230"/>
    <cellStyle name="40% - Accent3 2 3" xfId="231"/>
    <cellStyle name="40% - Accent3 2 4" xfId="232"/>
    <cellStyle name="40% - Accent3 2 5" xfId="233"/>
    <cellStyle name="40% - Accent3 2 6" xfId="234"/>
    <cellStyle name="40% - Accent3 2 7" xfId="235"/>
    <cellStyle name="40% - Accent3 2 8" xfId="236"/>
    <cellStyle name="40% - Accent3 2 9" xfId="237"/>
    <cellStyle name="40% - Accent3 3" xfId="238"/>
    <cellStyle name="40% - Accent3 3 2" xfId="239"/>
    <cellStyle name="40% - Accent3 4" xfId="240"/>
    <cellStyle name="40% - Accent3 5" xfId="241"/>
    <cellStyle name="40% - Accent3 6" xfId="242"/>
    <cellStyle name="40% - Accent3 7" xfId="243"/>
    <cellStyle name="40% - Accent3 8" xfId="244"/>
    <cellStyle name="40% - Accent4 2" xfId="245"/>
    <cellStyle name="40% - Accent4 2 10" xfId="246"/>
    <cellStyle name="40% - Accent4 2 11" xfId="247"/>
    <cellStyle name="40% - Accent4 2 12" xfId="248"/>
    <cellStyle name="40% - Accent4 2 13" xfId="249"/>
    <cellStyle name="40% - Accent4 2 14" xfId="250"/>
    <cellStyle name="40% - Accent4 2 15" xfId="251"/>
    <cellStyle name="40% - Accent4 2 2" xfId="252"/>
    <cellStyle name="40% - Accent4 2 3" xfId="253"/>
    <cellStyle name="40% - Accent4 2 4" xfId="254"/>
    <cellStyle name="40% - Accent4 2 5" xfId="255"/>
    <cellStyle name="40% - Accent4 2 6" xfId="256"/>
    <cellStyle name="40% - Accent4 2 7" xfId="257"/>
    <cellStyle name="40% - Accent4 2 8" xfId="258"/>
    <cellStyle name="40% - Accent4 2 9" xfId="259"/>
    <cellStyle name="40% - Accent4 3" xfId="260"/>
    <cellStyle name="40% - Accent4 3 2" xfId="261"/>
    <cellStyle name="40% - Accent4 4" xfId="262"/>
    <cellStyle name="40% - Accent4 5" xfId="263"/>
    <cellStyle name="40% - Accent4 6" xfId="264"/>
    <cellStyle name="40% - Accent4 7" xfId="265"/>
    <cellStyle name="40% - Accent4 8" xfId="266"/>
    <cellStyle name="40% - Accent5 2" xfId="267"/>
    <cellStyle name="40% - Accent5 2 10" xfId="268"/>
    <cellStyle name="40% - Accent5 2 11" xfId="269"/>
    <cellStyle name="40% - Accent5 2 12" xfId="270"/>
    <cellStyle name="40% - Accent5 2 13" xfId="271"/>
    <cellStyle name="40% - Accent5 2 14" xfId="272"/>
    <cellStyle name="40% - Accent5 2 15" xfId="273"/>
    <cellStyle name="40% - Accent5 2 2" xfId="274"/>
    <cellStyle name="40% - Accent5 2 3" xfId="275"/>
    <cellStyle name="40% - Accent5 2 4" xfId="276"/>
    <cellStyle name="40% - Accent5 2 5" xfId="277"/>
    <cellStyle name="40% - Accent5 2 6" xfId="278"/>
    <cellStyle name="40% - Accent5 2 7" xfId="279"/>
    <cellStyle name="40% - Accent5 2 8" xfId="280"/>
    <cellStyle name="40% - Accent5 2 9" xfId="281"/>
    <cellStyle name="40% - Accent5 3" xfId="282"/>
    <cellStyle name="40% - Accent5 3 2" xfId="283"/>
    <cellStyle name="40% - Accent5 4" xfId="284"/>
    <cellStyle name="40% - Accent5 5" xfId="285"/>
    <cellStyle name="40% - Accent5 6" xfId="286"/>
    <cellStyle name="40% - Accent5 7" xfId="287"/>
    <cellStyle name="40% - Accent5 8" xfId="288"/>
    <cellStyle name="40% - Accent6 2" xfId="289"/>
    <cellStyle name="40% - Accent6 2 10" xfId="290"/>
    <cellStyle name="40% - Accent6 2 11" xfId="291"/>
    <cellStyle name="40% - Accent6 2 12" xfId="292"/>
    <cellStyle name="40% - Accent6 2 13" xfId="293"/>
    <cellStyle name="40% - Accent6 2 14" xfId="294"/>
    <cellStyle name="40% - Accent6 2 15" xfId="295"/>
    <cellStyle name="40% - Accent6 2 2" xfId="296"/>
    <cellStyle name="40% - Accent6 2 3" xfId="297"/>
    <cellStyle name="40% - Accent6 2 4" xfId="298"/>
    <cellStyle name="40% - Accent6 2 5" xfId="299"/>
    <cellStyle name="40% - Accent6 2 6" xfId="300"/>
    <cellStyle name="40% - Accent6 2 7" xfId="301"/>
    <cellStyle name="40% - Accent6 2 8" xfId="302"/>
    <cellStyle name="40% - Accent6 2 9" xfId="303"/>
    <cellStyle name="40% - Accent6 3" xfId="304"/>
    <cellStyle name="40% - Accent6 3 2" xfId="305"/>
    <cellStyle name="40% - Accent6 4" xfId="306"/>
    <cellStyle name="40% - Accent6 5" xfId="307"/>
    <cellStyle name="40% - Accent6 6" xfId="308"/>
    <cellStyle name="40% - Accent6 7" xfId="309"/>
    <cellStyle name="40% - Accent6 8" xfId="310"/>
    <cellStyle name="5x indented GHG Textfiels" xfId="311"/>
    <cellStyle name="5x indented GHG Textfiels 2" xfId="312"/>
    <cellStyle name="5x indented GHG Textfiels 2 2" xfId="313"/>
    <cellStyle name="5x indented GHG Textfiels 3" xfId="314"/>
    <cellStyle name="60% - Accent1 2" xfId="315"/>
    <cellStyle name="60% - Accent1 2 10" xfId="316"/>
    <cellStyle name="60% - Accent1 2 2" xfId="317"/>
    <cellStyle name="60% - Accent1 2 3" xfId="318"/>
    <cellStyle name="60% - Accent1 2 4" xfId="319"/>
    <cellStyle name="60% - Accent1 2 5" xfId="320"/>
    <cellStyle name="60% - Accent1 2 6" xfId="321"/>
    <cellStyle name="60% - Accent1 2 7" xfId="322"/>
    <cellStyle name="60% - Accent1 2 8" xfId="323"/>
    <cellStyle name="60% - Accent1 2 9" xfId="324"/>
    <cellStyle name="60% - Accent1 3" xfId="325"/>
    <cellStyle name="60% - Accent1 3 2" xfId="326"/>
    <cellStyle name="60% - Accent2 2" xfId="327"/>
    <cellStyle name="60% - Accent2 2 10" xfId="328"/>
    <cellStyle name="60% - Accent2 2 2" xfId="329"/>
    <cellStyle name="60% - Accent2 2 3" xfId="330"/>
    <cellStyle name="60% - Accent2 2 4" xfId="331"/>
    <cellStyle name="60% - Accent2 2 5" xfId="332"/>
    <cellStyle name="60% - Accent2 2 6" xfId="333"/>
    <cellStyle name="60% - Accent2 2 7" xfId="334"/>
    <cellStyle name="60% - Accent2 2 8" xfId="335"/>
    <cellStyle name="60% - Accent2 2 9" xfId="336"/>
    <cellStyle name="60% - Accent2 3" xfId="337"/>
    <cellStyle name="60% - Accent2 3 2" xfId="338"/>
    <cellStyle name="60% - Accent3 2" xfId="339"/>
    <cellStyle name="60% - Accent3 2 10" xfId="340"/>
    <cellStyle name="60% - Accent3 2 2" xfId="341"/>
    <cellStyle name="60% - Accent3 2 3" xfId="342"/>
    <cellStyle name="60% - Accent3 2 4" xfId="343"/>
    <cellStyle name="60% - Accent3 2 5" xfId="344"/>
    <cellStyle name="60% - Accent3 2 6" xfId="345"/>
    <cellStyle name="60% - Accent3 2 7" xfId="346"/>
    <cellStyle name="60% - Accent3 2 8" xfId="347"/>
    <cellStyle name="60% - Accent3 2 9" xfId="348"/>
    <cellStyle name="60% - Accent3 3" xfId="349"/>
    <cellStyle name="60% - Accent3 3 2" xfId="350"/>
    <cellStyle name="60% - Accent4 2" xfId="351"/>
    <cellStyle name="60% - Accent4 2 10" xfId="352"/>
    <cellStyle name="60% - Accent4 2 2" xfId="353"/>
    <cellStyle name="60% - Accent4 2 3" xfId="354"/>
    <cellStyle name="60% - Accent4 2 4" xfId="355"/>
    <cellStyle name="60% - Accent4 2 5" xfId="356"/>
    <cellStyle name="60% - Accent4 2 6" xfId="357"/>
    <cellStyle name="60% - Accent4 2 7" xfId="358"/>
    <cellStyle name="60% - Accent4 2 8" xfId="359"/>
    <cellStyle name="60% - Accent4 2 9" xfId="360"/>
    <cellStyle name="60% - Accent4 3" xfId="361"/>
    <cellStyle name="60% - Accent4 3 2" xfId="362"/>
    <cellStyle name="60% - Accent5 2" xfId="363"/>
    <cellStyle name="60% - Accent5 2 10" xfId="364"/>
    <cellStyle name="60% - Accent5 2 2" xfId="365"/>
    <cellStyle name="60% - Accent5 2 3" xfId="366"/>
    <cellStyle name="60% - Accent5 2 4" xfId="367"/>
    <cellStyle name="60% - Accent5 2 5" xfId="368"/>
    <cellStyle name="60% - Accent5 2 6" xfId="369"/>
    <cellStyle name="60% - Accent5 2 7" xfId="370"/>
    <cellStyle name="60% - Accent5 2 8" xfId="371"/>
    <cellStyle name="60% - Accent5 2 9" xfId="372"/>
    <cellStyle name="60% - Accent5 3" xfId="373"/>
    <cellStyle name="60% - Accent5 3 2" xfId="374"/>
    <cellStyle name="60% - Accent6 2" xfId="375"/>
    <cellStyle name="60% - Accent6 2 10" xfId="376"/>
    <cellStyle name="60% - Accent6 2 2" xfId="377"/>
    <cellStyle name="60% - Accent6 2 3" xfId="378"/>
    <cellStyle name="60% - Accent6 2 4" xfId="379"/>
    <cellStyle name="60% - Accent6 2 5" xfId="380"/>
    <cellStyle name="60% - Accent6 2 6" xfId="381"/>
    <cellStyle name="60% - Accent6 2 7" xfId="382"/>
    <cellStyle name="60% - Accent6 2 8" xfId="383"/>
    <cellStyle name="60% - Accent6 2 9" xfId="384"/>
    <cellStyle name="60% - Accent6 3" xfId="385"/>
    <cellStyle name="60% - Accent6 3 2" xfId="386"/>
    <cellStyle name="Accent1 2" xfId="387"/>
    <cellStyle name="Accent1 2 10" xfId="388"/>
    <cellStyle name="Accent1 2 2" xfId="389"/>
    <cellStyle name="Accent1 2 3" xfId="390"/>
    <cellStyle name="Accent1 2 4" xfId="391"/>
    <cellStyle name="Accent1 2 5" xfId="392"/>
    <cellStyle name="Accent1 2 6" xfId="393"/>
    <cellStyle name="Accent1 2 7" xfId="394"/>
    <cellStyle name="Accent1 2 8" xfId="395"/>
    <cellStyle name="Accent1 2 9" xfId="396"/>
    <cellStyle name="Accent1 3" xfId="397"/>
    <cellStyle name="Accent1 3 2" xfId="398"/>
    <cellStyle name="Accent2 2" xfId="399"/>
    <cellStyle name="Accent2 2 10" xfId="400"/>
    <cellStyle name="Accent2 2 2" xfId="401"/>
    <cellStyle name="Accent2 2 3" xfId="402"/>
    <cellStyle name="Accent2 2 4" xfId="403"/>
    <cellStyle name="Accent2 2 5" xfId="404"/>
    <cellStyle name="Accent2 2 6" xfId="405"/>
    <cellStyle name="Accent2 2 7" xfId="406"/>
    <cellStyle name="Accent2 2 8" xfId="407"/>
    <cellStyle name="Accent2 2 9" xfId="408"/>
    <cellStyle name="Accent2 3" xfId="409"/>
    <cellStyle name="Accent2 3 2" xfId="410"/>
    <cellStyle name="Accent3 2" xfId="411"/>
    <cellStyle name="Accent3 2 10" xfId="412"/>
    <cellStyle name="Accent3 2 2" xfId="413"/>
    <cellStyle name="Accent3 2 3" xfId="414"/>
    <cellStyle name="Accent3 2 4" xfId="415"/>
    <cellStyle name="Accent3 2 5" xfId="416"/>
    <cellStyle name="Accent3 2 6" xfId="417"/>
    <cellStyle name="Accent3 2 7" xfId="418"/>
    <cellStyle name="Accent3 2 8" xfId="419"/>
    <cellStyle name="Accent3 2 9" xfId="420"/>
    <cellStyle name="Accent3 3" xfId="421"/>
    <cellStyle name="Accent3 3 2" xfId="422"/>
    <cellStyle name="Accent4 2" xfId="423"/>
    <cellStyle name="Accent4 2 10" xfId="424"/>
    <cellStyle name="Accent4 2 2" xfId="425"/>
    <cellStyle name="Accent4 2 3" xfId="426"/>
    <cellStyle name="Accent4 2 4" xfId="427"/>
    <cellStyle name="Accent4 2 5" xfId="428"/>
    <cellStyle name="Accent4 2 6" xfId="429"/>
    <cellStyle name="Accent4 2 7" xfId="430"/>
    <cellStyle name="Accent4 2 8" xfId="431"/>
    <cellStyle name="Accent4 2 9" xfId="432"/>
    <cellStyle name="Accent4 3" xfId="433"/>
    <cellStyle name="Accent4 3 2" xfId="434"/>
    <cellStyle name="Accent5 2" xfId="435"/>
    <cellStyle name="Accent5 2 10" xfId="436"/>
    <cellStyle name="Accent5 2 2" xfId="437"/>
    <cellStyle name="Accent5 2 3" xfId="438"/>
    <cellStyle name="Accent5 2 4" xfId="439"/>
    <cellStyle name="Accent5 2 5" xfId="440"/>
    <cellStyle name="Accent5 2 6" xfId="441"/>
    <cellStyle name="Accent5 2 7" xfId="442"/>
    <cellStyle name="Accent5 2 8" xfId="443"/>
    <cellStyle name="Accent5 2 9" xfId="444"/>
    <cellStyle name="Accent5 3" xfId="445"/>
    <cellStyle name="Accent6 2" xfId="446"/>
    <cellStyle name="Accent6 2 10" xfId="447"/>
    <cellStyle name="Accent6 2 2" xfId="448"/>
    <cellStyle name="Accent6 2 3" xfId="449"/>
    <cellStyle name="Accent6 2 4" xfId="450"/>
    <cellStyle name="Accent6 2 5" xfId="451"/>
    <cellStyle name="Accent6 2 6" xfId="452"/>
    <cellStyle name="Accent6 2 7" xfId="453"/>
    <cellStyle name="Accent6 2 8" xfId="454"/>
    <cellStyle name="Accent6 2 9" xfId="455"/>
    <cellStyle name="Accent6 3" xfId="456"/>
    <cellStyle name="Accent6 3 2" xfId="457"/>
    <cellStyle name="AggOrange_CRFReport-template" xfId="458"/>
    <cellStyle name="AggOrange9_CRFReport-template" xfId="459"/>
    <cellStyle name="Bad 2" xfId="460"/>
    <cellStyle name="Bad 2 10" xfId="461"/>
    <cellStyle name="Bad 2 2" xfId="462"/>
    <cellStyle name="Bad 2 3" xfId="463"/>
    <cellStyle name="Bad 2 4" xfId="464"/>
    <cellStyle name="Bad 2 5" xfId="465"/>
    <cellStyle name="Bad 2 6" xfId="466"/>
    <cellStyle name="Bad 2 7" xfId="467"/>
    <cellStyle name="Bad 2 8" xfId="468"/>
    <cellStyle name="Bad 2 9" xfId="469"/>
    <cellStyle name="Bad 3" xfId="470"/>
    <cellStyle name="Bad 3 2" xfId="471"/>
    <cellStyle name="Calculation 2" xfId="472"/>
    <cellStyle name="Calculation 2 10" xfId="473"/>
    <cellStyle name="Calculation 2 2" xfId="474"/>
    <cellStyle name="Calculation 2 3" xfId="475"/>
    <cellStyle name="Calculation 2 4" xfId="476"/>
    <cellStyle name="Calculation 2 5" xfId="477"/>
    <cellStyle name="Calculation 2 6" xfId="478"/>
    <cellStyle name="Calculation 2 7" xfId="479"/>
    <cellStyle name="Calculation 2 8" xfId="480"/>
    <cellStyle name="Calculation 2 9" xfId="481"/>
    <cellStyle name="Calculation 3" xfId="482"/>
    <cellStyle name="Calculation 3 2" xfId="483"/>
    <cellStyle name="Check Cell 2" xfId="484"/>
    <cellStyle name="Check Cell 2 10" xfId="485"/>
    <cellStyle name="Check Cell 2 2" xfId="486"/>
    <cellStyle name="Check Cell 2 3" xfId="487"/>
    <cellStyle name="Check Cell 2 4" xfId="488"/>
    <cellStyle name="Check Cell 2 5" xfId="489"/>
    <cellStyle name="Check Cell 2 6" xfId="490"/>
    <cellStyle name="Check Cell 2 7" xfId="491"/>
    <cellStyle name="Check Cell 2 8" xfId="492"/>
    <cellStyle name="Check Cell 2 9" xfId="493"/>
    <cellStyle name="Check Cell 3" xfId="494"/>
    <cellStyle name="coin" xfId="495"/>
    <cellStyle name="coin 2" xfId="496"/>
    <cellStyle name="Comma [0] 2 10" xfId="497"/>
    <cellStyle name="Comma [0] 2 10 2" xfId="498"/>
    <cellStyle name="Comma [0] 2 2" xfId="499"/>
    <cellStyle name="Comma [0] 2 2 2" xfId="500"/>
    <cellStyle name="Comma [0] 2 3" xfId="501"/>
    <cellStyle name="Comma [0] 2 3 2" xfId="502"/>
    <cellStyle name="Comma [0] 2 4" xfId="503"/>
    <cellStyle name="Comma [0] 2 4 2" xfId="504"/>
    <cellStyle name="Comma [0] 2 5" xfId="505"/>
    <cellStyle name="Comma [0] 2 5 2" xfId="506"/>
    <cellStyle name="Comma [0] 2 6" xfId="507"/>
    <cellStyle name="Comma [0] 2 6 2" xfId="508"/>
    <cellStyle name="Comma [0] 2 7" xfId="509"/>
    <cellStyle name="Comma [0] 2 7 2" xfId="510"/>
    <cellStyle name="Comma [0] 2 8" xfId="511"/>
    <cellStyle name="Comma [0] 2 8 2" xfId="512"/>
    <cellStyle name="Comma [0] 2 9" xfId="513"/>
    <cellStyle name="Comma [0] 2 9 2" xfId="514"/>
    <cellStyle name="Comma 10 2" xfId="515"/>
    <cellStyle name="Comma 10 2 10" xfId="516"/>
    <cellStyle name="Comma 10 2 10 2" xfId="517"/>
    <cellStyle name="Comma 10 2 11" xfId="518"/>
    <cellStyle name="Comma 10 2 11 2" xfId="519"/>
    <cellStyle name="Comma 10 2 12" xfId="520"/>
    <cellStyle name="Comma 10 2 12 2" xfId="521"/>
    <cellStyle name="Comma 10 2 13" xfId="522"/>
    <cellStyle name="Comma 10 2 13 2" xfId="523"/>
    <cellStyle name="Comma 10 2 14" xfId="524"/>
    <cellStyle name="Comma 10 2 14 2" xfId="525"/>
    <cellStyle name="Comma 10 2 15" xfId="526"/>
    <cellStyle name="Comma 10 2 15 2" xfId="527"/>
    <cellStyle name="Comma 10 2 16" xfId="528"/>
    <cellStyle name="Comma 10 2 16 2" xfId="529"/>
    <cellStyle name="Comma 10 2 17" xfId="530"/>
    <cellStyle name="Comma 10 2 17 2" xfId="531"/>
    <cellStyle name="Comma 10 2 18" xfId="532"/>
    <cellStyle name="Comma 10 2 2" xfId="533"/>
    <cellStyle name="Comma 10 2 2 2" xfId="534"/>
    <cellStyle name="Comma 10 2 3" xfId="535"/>
    <cellStyle name="Comma 10 2 3 2" xfId="536"/>
    <cellStyle name="Comma 10 2 4" xfId="537"/>
    <cellStyle name="Comma 10 2 4 2" xfId="538"/>
    <cellStyle name="Comma 10 2 5" xfId="539"/>
    <cellStyle name="Comma 10 2 5 2" xfId="540"/>
    <cellStyle name="Comma 10 2 6" xfId="541"/>
    <cellStyle name="Comma 10 2 6 2" xfId="542"/>
    <cellStyle name="Comma 10 2 7" xfId="543"/>
    <cellStyle name="Comma 10 2 7 2" xfId="544"/>
    <cellStyle name="Comma 10 2 8" xfId="545"/>
    <cellStyle name="Comma 10 2 8 2" xfId="546"/>
    <cellStyle name="Comma 10 2 9" xfId="547"/>
    <cellStyle name="Comma 10 2 9 2" xfId="548"/>
    <cellStyle name="Comma 10 3" xfId="549"/>
    <cellStyle name="Comma 10 3 10" xfId="550"/>
    <cellStyle name="Comma 10 3 10 2" xfId="551"/>
    <cellStyle name="Comma 10 3 11" xfId="552"/>
    <cellStyle name="Comma 10 3 11 2" xfId="553"/>
    <cellStyle name="Comma 10 3 12" xfId="554"/>
    <cellStyle name="Comma 10 3 12 2" xfId="555"/>
    <cellStyle name="Comma 10 3 13" xfId="556"/>
    <cellStyle name="Comma 10 3 13 2" xfId="557"/>
    <cellStyle name="Comma 10 3 14" xfId="558"/>
    <cellStyle name="Comma 10 3 14 2" xfId="559"/>
    <cellStyle name="Comma 10 3 15" xfId="560"/>
    <cellStyle name="Comma 10 3 15 2" xfId="561"/>
    <cellStyle name="Comma 10 3 16" xfId="562"/>
    <cellStyle name="Comma 10 3 16 2" xfId="563"/>
    <cellStyle name="Comma 10 3 17" xfId="564"/>
    <cellStyle name="Comma 10 3 17 2" xfId="565"/>
    <cellStyle name="Comma 10 3 18" xfId="566"/>
    <cellStyle name="Comma 10 3 2" xfId="567"/>
    <cellStyle name="Comma 10 3 2 2" xfId="568"/>
    <cellStyle name="Comma 10 3 3" xfId="569"/>
    <cellStyle name="Comma 10 3 3 2" xfId="570"/>
    <cellStyle name="Comma 10 3 4" xfId="571"/>
    <cellStyle name="Comma 10 3 4 2" xfId="572"/>
    <cellStyle name="Comma 10 3 5" xfId="573"/>
    <cellStyle name="Comma 10 3 5 2" xfId="574"/>
    <cellStyle name="Comma 10 3 6" xfId="575"/>
    <cellStyle name="Comma 10 3 6 2" xfId="576"/>
    <cellStyle name="Comma 10 3 7" xfId="577"/>
    <cellStyle name="Comma 10 3 7 2" xfId="578"/>
    <cellStyle name="Comma 10 3 8" xfId="579"/>
    <cellStyle name="Comma 10 3 8 2" xfId="580"/>
    <cellStyle name="Comma 10 3 9" xfId="581"/>
    <cellStyle name="Comma 10 3 9 2" xfId="582"/>
    <cellStyle name="Comma 10 4" xfId="583"/>
    <cellStyle name="Comma 10 4 10" xfId="584"/>
    <cellStyle name="Comma 10 4 10 2" xfId="585"/>
    <cellStyle name="Comma 10 4 11" xfId="586"/>
    <cellStyle name="Comma 10 4 11 2" xfId="587"/>
    <cellStyle name="Comma 10 4 12" xfId="588"/>
    <cellStyle name="Comma 10 4 12 2" xfId="589"/>
    <cellStyle name="Comma 10 4 13" xfId="590"/>
    <cellStyle name="Comma 10 4 13 2" xfId="591"/>
    <cellStyle name="Comma 10 4 14" xfId="592"/>
    <cellStyle name="Comma 10 4 14 2" xfId="593"/>
    <cellStyle name="Comma 10 4 15" xfId="594"/>
    <cellStyle name="Comma 10 4 15 2" xfId="595"/>
    <cellStyle name="Comma 10 4 16" xfId="596"/>
    <cellStyle name="Comma 10 4 16 2" xfId="597"/>
    <cellStyle name="Comma 10 4 17" xfId="598"/>
    <cellStyle name="Comma 10 4 17 2" xfId="599"/>
    <cellStyle name="Comma 10 4 18" xfId="600"/>
    <cellStyle name="Comma 10 4 2" xfId="601"/>
    <cellStyle name="Comma 10 4 2 2" xfId="602"/>
    <cellStyle name="Comma 10 4 3" xfId="603"/>
    <cellStyle name="Comma 10 4 3 2" xfId="604"/>
    <cellStyle name="Comma 10 4 4" xfId="605"/>
    <cellStyle name="Comma 10 4 4 2" xfId="606"/>
    <cellStyle name="Comma 10 4 5" xfId="607"/>
    <cellStyle name="Comma 10 4 5 2" xfId="608"/>
    <cellStyle name="Comma 10 4 6" xfId="609"/>
    <cellStyle name="Comma 10 4 6 2" xfId="610"/>
    <cellStyle name="Comma 10 4 7" xfId="611"/>
    <cellStyle name="Comma 10 4 7 2" xfId="612"/>
    <cellStyle name="Comma 10 4 8" xfId="613"/>
    <cellStyle name="Comma 10 4 8 2" xfId="614"/>
    <cellStyle name="Comma 10 4 9" xfId="615"/>
    <cellStyle name="Comma 10 4 9 2" xfId="616"/>
    <cellStyle name="Comma 10 5" xfId="617"/>
    <cellStyle name="Comma 10 5 10" xfId="618"/>
    <cellStyle name="Comma 10 5 10 2" xfId="619"/>
    <cellStyle name="Comma 10 5 11" xfId="620"/>
    <cellStyle name="Comma 10 5 11 2" xfId="621"/>
    <cellStyle name="Comma 10 5 12" xfId="622"/>
    <cellStyle name="Comma 10 5 12 2" xfId="623"/>
    <cellStyle name="Comma 10 5 13" xfId="624"/>
    <cellStyle name="Comma 10 5 13 2" xfId="625"/>
    <cellStyle name="Comma 10 5 14" xfId="626"/>
    <cellStyle name="Comma 10 5 14 2" xfId="627"/>
    <cellStyle name="Comma 10 5 15" xfId="628"/>
    <cellStyle name="Comma 10 5 15 2" xfId="629"/>
    <cellStyle name="Comma 10 5 16" xfId="630"/>
    <cellStyle name="Comma 10 5 16 2" xfId="631"/>
    <cellStyle name="Comma 10 5 17" xfId="632"/>
    <cellStyle name="Comma 10 5 17 2" xfId="633"/>
    <cellStyle name="Comma 10 5 18" xfId="634"/>
    <cellStyle name="Comma 10 5 2" xfId="635"/>
    <cellStyle name="Comma 10 5 2 2" xfId="636"/>
    <cellStyle name="Comma 10 5 3" xfId="637"/>
    <cellStyle name="Comma 10 5 3 2" xfId="638"/>
    <cellStyle name="Comma 10 5 4" xfId="639"/>
    <cellStyle name="Comma 10 5 4 2" xfId="640"/>
    <cellStyle name="Comma 10 5 5" xfId="641"/>
    <cellStyle name="Comma 10 5 5 2" xfId="642"/>
    <cellStyle name="Comma 10 5 6" xfId="643"/>
    <cellStyle name="Comma 10 5 6 2" xfId="644"/>
    <cellStyle name="Comma 10 5 7" xfId="645"/>
    <cellStyle name="Comma 10 5 7 2" xfId="646"/>
    <cellStyle name="Comma 10 5 8" xfId="647"/>
    <cellStyle name="Comma 10 5 8 2" xfId="648"/>
    <cellStyle name="Comma 10 5 9" xfId="649"/>
    <cellStyle name="Comma 10 5 9 2" xfId="650"/>
    <cellStyle name="Comma 10 6" xfId="651"/>
    <cellStyle name="Comma 10 6 10" xfId="652"/>
    <cellStyle name="Comma 10 6 10 2" xfId="653"/>
    <cellStyle name="Comma 10 6 11" xfId="654"/>
    <cellStyle name="Comma 10 6 11 2" xfId="655"/>
    <cellStyle name="Comma 10 6 12" xfId="656"/>
    <cellStyle name="Comma 10 6 12 2" xfId="657"/>
    <cellStyle name="Comma 10 6 13" xfId="658"/>
    <cellStyle name="Comma 10 6 13 2" xfId="659"/>
    <cellStyle name="Comma 10 6 14" xfId="660"/>
    <cellStyle name="Comma 10 6 14 2" xfId="661"/>
    <cellStyle name="Comma 10 6 15" xfId="662"/>
    <cellStyle name="Comma 10 6 15 2" xfId="663"/>
    <cellStyle name="Comma 10 6 16" xfId="664"/>
    <cellStyle name="Comma 10 6 16 2" xfId="665"/>
    <cellStyle name="Comma 10 6 17" xfId="666"/>
    <cellStyle name="Comma 10 6 17 2" xfId="667"/>
    <cellStyle name="Comma 10 6 18" xfId="668"/>
    <cellStyle name="Comma 10 6 2" xfId="669"/>
    <cellStyle name="Comma 10 6 2 2" xfId="670"/>
    <cellStyle name="Comma 10 6 3" xfId="671"/>
    <cellStyle name="Comma 10 6 3 2" xfId="672"/>
    <cellStyle name="Comma 10 6 4" xfId="673"/>
    <cellStyle name="Comma 10 6 4 2" xfId="674"/>
    <cellStyle name="Comma 10 6 5" xfId="675"/>
    <cellStyle name="Comma 10 6 5 2" xfId="676"/>
    <cellStyle name="Comma 10 6 6" xfId="677"/>
    <cellStyle name="Comma 10 6 6 2" xfId="678"/>
    <cellStyle name="Comma 10 6 7" xfId="679"/>
    <cellStyle name="Comma 10 6 7 2" xfId="680"/>
    <cellStyle name="Comma 10 6 8" xfId="681"/>
    <cellStyle name="Comma 10 6 8 2" xfId="682"/>
    <cellStyle name="Comma 10 6 9" xfId="683"/>
    <cellStyle name="Comma 10 6 9 2" xfId="684"/>
    <cellStyle name="Comma 10 7" xfId="685"/>
    <cellStyle name="Comma 10 7 10" xfId="686"/>
    <cellStyle name="Comma 10 7 10 2" xfId="687"/>
    <cellStyle name="Comma 10 7 11" xfId="688"/>
    <cellStyle name="Comma 10 7 11 2" xfId="689"/>
    <cellStyle name="Comma 10 7 12" xfId="690"/>
    <cellStyle name="Comma 10 7 12 2" xfId="691"/>
    <cellStyle name="Comma 10 7 13" xfId="692"/>
    <cellStyle name="Comma 10 7 13 2" xfId="693"/>
    <cellStyle name="Comma 10 7 14" xfId="694"/>
    <cellStyle name="Comma 10 7 14 2" xfId="695"/>
    <cellStyle name="Comma 10 7 15" xfId="696"/>
    <cellStyle name="Comma 10 7 15 2" xfId="697"/>
    <cellStyle name="Comma 10 7 16" xfId="698"/>
    <cellStyle name="Comma 10 7 16 2" xfId="699"/>
    <cellStyle name="Comma 10 7 17" xfId="700"/>
    <cellStyle name="Comma 10 7 17 2" xfId="701"/>
    <cellStyle name="Comma 10 7 18" xfId="702"/>
    <cellStyle name="Comma 10 7 2" xfId="703"/>
    <cellStyle name="Comma 10 7 2 2" xfId="704"/>
    <cellStyle name="Comma 10 7 3" xfId="705"/>
    <cellStyle name="Comma 10 7 3 2" xfId="706"/>
    <cellStyle name="Comma 10 7 4" xfId="707"/>
    <cellStyle name="Comma 10 7 4 2" xfId="708"/>
    <cellStyle name="Comma 10 7 5" xfId="709"/>
    <cellStyle name="Comma 10 7 5 2" xfId="710"/>
    <cellStyle name="Comma 10 7 6" xfId="711"/>
    <cellStyle name="Comma 10 7 6 2" xfId="712"/>
    <cellStyle name="Comma 10 7 7" xfId="713"/>
    <cellStyle name="Comma 10 7 7 2" xfId="714"/>
    <cellStyle name="Comma 10 7 8" xfId="715"/>
    <cellStyle name="Comma 10 7 8 2" xfId="716"/>
    <cellStyle name="Comma 10 7 9" xfId="717"/>
    <cellStyle name="Comma 10 7 9 2" xfId="718"/>
    <cellStyle name="Comma 10 8" xfId="719"/>
    <cellStyle name="Comma 10 8 10" xfId="720"/>
    <cellStyle name="Comma 10 8 10 2" xfId="721"/>
    <cellStyle name="Comma 10 8 11" xfId="722"/>
    <cellStyle name="Comma 10 8 11 2" xfId="723"/>
    <cellStyle name="Comma 10 8 12" xfId="724"/>
    <cellStyle name="Comma 10 8 12 2" xfId="725"/>
    <cellStyle name="Comma 10 8 13" xfId="726"/>
    <cellStyle name="Comma 10 8 13 2" xfId="727"/>
    <cellStyle name="Comma 10 8 14" xfId="728"/>
    <cellStyle name="Comma 10 8 14 2" xfId="729"/>
    <cellStyle name="Comma 10 8 15" xfId="730"/>
    <cellStyle name="Comma 10 8 15 2" xfId="731"/>
    <cellStyle name="Comma 10 8 16" xfId="732"/>
    <cellStyle name="Comma 10 8 16 2" xfId="733"/>
    <cellStyle name="Comma 10 8 17" xfId="734"/>
    <cellStyle name="Comma 10 8 17 2" xfId="735"/>
    <cellStyle name="Comma 10 8 18" xfId="736"/>
    <cellStyle name="Comma 10 8 2" xfId="737"/>
    <cellStyle name="Comma 10 8 2 2" xfId="738"/>
    <cellStyle name="Comma 10 8 3" xfId="739"/>
    <cellStyle name="Comma 10 8 3 2" xfId="740"/>
    <cellStyle name="Comma 10 8 4" xfId="741"/>
    <cellStyle name="Comma 10 8 4 2" xfId="742"/>
    <cellStyle name="Comma 10 8 5" xfId="743"/>
    <cellStyle name="Comma 10 8 5 2" xfId="744"/>
    <cellStyle name="Comma 10 8 6" xfId="745"/>
    <cellStyle name="Comma 10 8 6 2" xfId="746"/>
    <cellStyle name="Comma 10 8 7" xfId="747"/>
    <cellStyle name="Comma 10 8 7 2" xfId="748"/>
    <cellStyle name="Comma 10 8 8" xfId="749"/>
    <cellStyle name="Comma 10 8 8 2" xfId="750"/>
    <cellStyle name="Comma 10 8 9" xfId="751"/>
    <cellStyle name="Comma 10 8 9 2" xfId="752"/>
    <cellStyle name="Comma 2" xfId="753"/>
    <cellStyle name="Comma 2 10" xfId="754"/>
    <cellStyle name="Comma 2 10 2" xfId="755"/>
    <cellStyle name="Comma 2 11" xfId="756"/>
    <cellStyle name="Comma 2 11 2" xfId="757"/>
    <cellStyle name="Comma 2 12" xfId="758"/>
    <cellStyle name="Comma 2 12 2" xfId="759"/>
    <cellStyle name="Comma 2 13" xfId="760"/>
    <cellStyle name="Comma 2 13 2" xfId="761"/>
    <cellStyle name="Comma 2 14" xfId="762"/>
    <cellStyle name="Comma 2 14 2" xfId="763"/>
    <cellStyle name="Comma 2 15" xfId="764"/>
    <cellStyle name="Comma 2 15 2" xfId="765"/>
    <cellStyle name="Comma 2 16" xfId="766"/>
    <cellStyle name="Comma 2 16 2" xfId="767"/>
    <cellStyle name="Comma 2 17" xfId="768"/>
    <cellStyle name="Comma 2 17 2" xfId="769"/>
    <cellStyle name="Comma 2 17 3" xfId="770"/>
    <cellStyle name="Comma 2 17 4" xfId="771"/>
    <cellStyle name="Comma 2 18" xfId="772"/>
    <cellStyle name="Comma 2 2" xfId="773"/>
    <cellStyle name="Comma 2 2 2" xfId="774"/>
    <cellStyle name="Comma 2 2 3" xfId="775"/>
    <cellStyle name="Comma 2 3" xfId="776"/>
    <cellStyle name="Comma 2 3 2" xfId="777"/>
    <cellStyle name="Comma 2 4" xfId="778"/>
    <cellStyle name="Comma 2 4 2" xfId="779"/>
    <cellStyle name="Comma 2 5" xfId="780"/>
    <cellStyle name="Comma 2 5 2" xfId="781"/>
    <cellStyle name="Comma 2 6" xfId="782"/>
    <cellStyle name="Comma 2 6 2" xfId="783"/>
    <cellStyle name="Comma 2 7" xfId="784"/>
    <cellStyle name="Comma 2 7 2" xfId="785"/>
    <cellStyle name="Comma 2 8" xfId="786"/>
    <cellStyle name="Comma 2 8 2" xfId="787"/>
    <cellStyle name="Comma 2 9" xfId="788"/>
    <cellStyle name="Comma 2 9 2" xfId="789"/>
    <cellStyle name="Comma 3" xfId="790"/>
    <cellStyle name="Comma 3 2" xfId="791"/>
    <cellStyle name="Comma 3 2 2" xfId="792"/>
    <cellStyle name="Comma 3 3" xfId="793"/>
    <cellStyle name="Comma 3 3 2" xfId="794"/>
    <cellStyle name="Comma 3 4" xfId="795"/>
    <cellStyle name="Comma 3 4 2" xfId="796"/>
    <cellStyle name="Comma 3 5" xfId="797"/>
    <cellStyle name="Comma 3 5 2" xfId="798"/>
    <cellStyle name="Comma 3 6" xfId="799"/>
    <cellStyle name="Comma 3 6 2" xfId="800"/>
    <cellStyle name="Comma 3 7" xfId="801"/>
    <cellStyle name="Comma 3 7 2" xfId="802"/>
    <cellStyle name="Comma 3 8" xfId="803"/>
    <cellStyle name="Comma 3 8 2" xfId="804"/>
    <cellStyle name="Comma 3 9" xfId="805"/>
    <cellStyle name="Comma 4" xfId="806"/>
    <cellStyle name="Comma 4 2" xfId="807"/>
    <cellStyle name="Comma 4 2 2" xfId="808"/>
    <cellStyle name="Comma 4 3" xfId="809"/>
    <cellStyle name="Comma 4 3 2" xfId="810"/>
    <cellStyle name="Comma 4 4" xfId="811"/>
    <cellStyle name="Comma 4 4 2" xfId="812"/>
    <cellStyle name="Comma 4 5" xfId="813"/>
    <cellStyle name="Comma 4 5 2" xfId="814"/>
    <cellStyle name="Comma 4 6" xfId="815"/>
    <cellStyle name="Comma 4 6 2" xfId="816"/>
    <cellStyle name="Comma 4 7" xfId="817"/>
    <cellStyle name="Comma 4 7 2" xfId="818"/>
    <cellStyle name="Comma 4 8" xfId="819"/>
    <cellStyle name="Comma 4 8 2" xfId="820"/>
    <cellStyle name="Comma 4 9" xfId="821"/>
    <cellStyle name="Comma 5" xfId="822"/>
    <cellStyle name="Comma 5 2" xfId="823"/>
    <cellStyle name="Comma 5 2 2" xfId="824"/>
    <cellStyle name="Comma 5 3" xfId="825"/>
    <cellStyle name="Comma 5 3 2" xfId="826"/>
    <cellStyle name="Comma 5 4" xfId="827"/>
    <cellStyle name="Comma 5 4 2" xfId="828"/>
    <cellStyle name="Comma 5 5" xfId="829"/>
    <cellStyle name="Comma 5 5 2" xfId="830"/>
    <cellStyle name="Comma 5 6" xfId="831"/>
    <cellStyle name="Comma 5 6 2" xfId="832"/>
    <cellStyle name="Comma 5 7" xfId="833"/>
    <cellStyle name="Comma 5 7 2" xfId="834"/>
    <cellStyle name="Comma 5 8" xfId="835"/>
    <cellStyle name="Comma 5 8 2" xfId="836"/>
    <cellStyle name="Comma 5 9" xfId="837"/>
    <cellStyle name="Comma 6" xfId="838"/>
    <cellStyle name="Comma 6 2" xfId="839"/>
    <cellStyle name="Comma 6 2 2" xfId="840"/>
    <cellStyle name="Comma 6 3" xfId="841"/>
    <cellStyle name="Comma 6 3 2" xfId="842"/>
    <cellStyle name="Comma 6 4" xfId="843"/>
    <cellStyle name="Comma 6 4 2" xfId="844"/>
    <cellStyle name="Comma 6 5" xfId="845"/>
    <cellStyle name="Comma 6 5 2" xfId="846"/>
    <cellStyle name="Comma 6 6" xfId="847"/>
    <cellStyle name="Comma 6 6 2" xfId="848"/>
    <cellStyle name="Comma 6 7" xfId="849"/>
    <cellStyle name="Comma 6 7 2" xfId="850"/>
    <cellStyle name="Comma 6 8" xfId="851"/>
    <cellStyle name="Comma 6 8 2" xfId="852"/>
    <cellStyle name="Comma 6 9" xfId="853"/>
    <cellStyle name="Comma 7" xfId="854"/>
    <cellStyle name="Comma 7 10" xfId="855"/>
    <cellStyle name="Comma 7 10 2" xfId="856"/>
    <cellStyle name="Comma 7 11" xfId="857"/>
    <cellStyle name="Comma 7 11 2" xfId="858"/>
    <cellStyle name="Comma 7 11 2 2" xfId="859"/>
    <cellStyle name="Comma 7 11 2 3" xfId="860"/>
    <cellStyle name="Comma 7 11 2 4" xfId="861"/>
    <cellStyle name="Comma 7 12" xfId="862"/>
    <cellStyle name="Comma 7 12 2" xfId="863"/>
    <cellStyle name="Comma 7 13" xfId="864"/>
    <cellStyle name="Comma 7 13 2" xfId="865"/>
    <cellStyle name="Comma 7 14" xfId="866"/>
    <cellStyle name="Comma 7 14 2" xfId="867"/>
    <cellStyle name="Comma 7 15" xfId="868"/>
    <cellStyle name="Comma 7 15 2" xfId="869"/>
    <cellStyle name="Comma 7 16" xfId="870"/>
    <cellStyle name="Comma 7 16 2" xfId="871"/>
    <cellStyle name="Comma 7 16 2 2" xfId="872"/>
    <cellStyle name="Comma 7 16 2 3" xfId="873"/>
    <cellStyle name="Comma 7 16 2 4" xfId="874"/>
    <cellStyle name="Comma 7 17" xfId="875"/>
    <cellStyle name="Comma 7 17 2" xfId="876"/>
    <cellStyle name="Comma 7 17 2 2" xfId="877"/>
    <cellStyle name="Comma 7 17 2 3" xfId="878"/>
    <cellStyle name="Comma 7 17 2 4" xfId="879"/>
    <cellStyle name="Comma 7 18" xfId="880"/>
    <cellStyle name="Comma 7 18 2" xfId="881"/>
    <cellStyle name="Comma 7 18 2 2" xfId="882"/>
    <cellStyle name="Comma 7 18 2 3" xfId="883"/>
    <cellStyle name="Comma 7 18 2 4" xfId="884"/>
    <cellStyle name="Comma 7 19" xfId="885"/>
    <cellStyle name="Comma 7 19 2" xfId="886"/>
    <cellStyle name="Comma 7 19 2 2" xfId="887"/>
    <cellStyle name="Comma 7 19 2 3" xfId="888"/>
    <cellStyle name="Comma 7 19 2 4" xfId="889"/>
    <cellStyle name="Comma 7 2" xfId="890"/>
    <cellStyle name="Comma 7 2 2" xfId="891"/>
    <cellStyle name="Comma 7 20" xfId="892"/>
    <cellStyle name="Comma 7 20 2" xfId="893"/>
    <cellStyle name="Comma 7 20 2 2" xfId="894"/>
    <cellStyle name="Comma 7 20 2 3" xfId="895"/>
    <cellStyle name="Comma 7 20 2 4" xfId="896"/>
    <cellStyle name="Comma 7 21" xfId="897"/>
    <cellStyle name="Comma 7 21 2" xfId="898"/>
    <cellStyle name="Comma 7 21 2 2" xfId="899"/>
    <cellStyle name="Comma 7 21 2 3" xfId="900"/>
    <cellStyle name="Comma 7 21 2 4" xfId="901"/>
    <cellStyle name="Comma 7 3" xfId="902"/>
    <cellStyle name="Comma 7 3 10" xfId="903"/>
    <cellStyle name="Comma 7 3 10 2" xfId="904"/>
    <cellStyle name="Comma 7 3 11" xfId="905"/>
    <cellStyle name="Comma 7 3 11 2" xfId="906"/>
    <cellStyle name="Comma 7 3 12" xfId="907"/>
    <cellStyle name="Comma 7 3 12 2" xfId="908"/>
    <cellStyle name="Comma 7 3 13" xfId="909"/>
    <cellStyle name="Comma 7 3 13 2" xfId="910"/>
    <cellStyle name="Comma 7 3 14" xfId="911"/>
    <cellStyle name="Comma 7 3 14 2" xfId="912"/>
    <cellStyle name="Comma 7 3 15" xfId="913"/>
    <cellStyle name="Comma 7 3 15 2" xfId="914"/>
    <cellStyle name="Comma 7 3 16" xfId="915"/>
    <cellStyle name="Comma 7 3 16 2" xfId="916"/>
    <cellStyle name="Comma 7 3 16 3" xfId="917"/>
    <cellStyle name="Comma 7 3 16 4" xfId="918"/>
    <cellStyle name="Comma 7 3 2" xfId="919"/>
    <cellStyle name="Comma 7 3 2 2" xfId="920"/>
    <cellStyle name="Comma 7 3 3" xfId="921"/>
    <cellStyle name="Comma 7 3 3 2" xfId="922"/>
    <cellStyle name="Comma 7 3 4" xfId="923"/>
    <cellStyle name="Comma 7 3 4 2" xfId="924"/>
    <cellStyle name="Comma 7 3 5" xfId="925"/>
    <cellStyle name="Comma 7 3 5 2" xfId="926"/>
    <cellStyle name="Comma 7 3 6" xfId="927"/>
    <cellStyle name="Comma 7 3 6 2" xfId="928"/>
    <cellStyle name="Comma 7 3 7" xfId="929"/>
    <cellStyle name="Comma 7 3 7 2" xfId="930"/>
    <cellStyle name="Comma 7 3 8" xfId="931"/>
    <cellStyle name="Comma 7 3 8 2" xfId="932"/>
    <cellStyle name="Comma 7 3 9" xfId="933"/>
    <cellStyle name="Comma 7 3 9 2" xfId="934"/>
    <cellStyle name="Comma 7 4" xfId="935"/>
    <cellStyle name="Comma 7 4 2" xfId="936"/>
    <cellStyle name="Comma 7 5" xfId="937"/>
    <cellStyle name="Comma 7 5 2" xfId="938"/>
    <cellStyle name="Comma 7 6" xfId="939"/>
    <cellStyle name="Comma 7 6 2" xfId="940"/>
    <cellStyle name="Comma 7 7" xfId="941"/>
    <cellStyle name="Comma 7 7 2" xfId="942"/>
    <cellStyle name="Comma 7 8" xfId="943"/>
    <cellStyle name="Comma 7 8 2" xfId="944"/>
    <cellStyle name="Comma 7 9" xfId="945"/>
    <cellStyle name="Comma 7 9 2" xfId="946"/>
    <cellStyle name="Comma 8" xfId="947"/>
    <cellStyle name="Comma 8 2" xfId="948"/>
    <cellStyle name="Comma 8 2 2" xfId="949"/>
    <cellStyle name="Comma 8 2 2 2" xfId="950"/>
    <cellStyle name="Comma 8 2 2 3" xfId="951"/>
    <cellStyle name="Comma 8 2 2 4" xfId="952"/>
    <cellStyle name="Comma 8 3" xfId="953"/>
    <cellStyle name="Comma 8 3 2" xfId="954"/>
    <cellStyle name="Comma 8 3 2 2" xfId="955"/>
    <cellStyle name="Comma 8 3 2 3" xfId="956"/>
    <cellStyle name="Comma 8 3 2 4" xfId="957"/>
    <cellStyle name="Comma 8 4" xfId="958"/>
    <cellStyle name="Comma 8 4 2" xfId="959"/>
    <cellStyle name="Comma 8 4 2 2" xfId="960"/>
    <cellStyle name="Comma 8 4 2 3" xfId="961"/>
    <cellStyle name="Comma 8 4 2 4" xfId="962"/>
    <cellStyle name="Comma 8 5" xfId="963"/>
    <cellStyle name="Comma 8 5 2" xfId="964"/>
    <cellStyle name="Comma 8 5 2 2" xfId="965"/>
    <cellStyle name="Comma 8 5 2 3" xfId="966"/>
    <cellStyle name="Comma 8 5 2 4" xfId="967"/>
    <cellStyle name="Comma 8 6" xfId="968"/>
    <cellStyle name="Comma 8 6 2" xfId="969"/>
    <cellStyle name="Comma 8 6 2 2" xfId="970"/>
    <cellStyle name="Comma 8 6 2 3" xfId="971"/>
    <cellStyle name="Comma 8 6 2 4" xfId="972"/>
    <cellStyle name="Comma 8 7" xfId="973"/>
    <cellStyle name="Comma 8 7 2" xfId="974"/>
    <cellStyle name="Comma 8 7 2 2" xfId="975"/>
    <cellStyle name="Comma 8 7 2 3" xfId="976"/>
    <cellStyle name="Comma 8 7 2 4" xfId="977"/>
    <cellStyle name="Comma 8 8" xfId="978"/>
    <cellStyle name="Comma 8 8 2" xfId="979"/>
    <cellStyle name="Comma 8 8 2 2" xfId="980"/>
    <cellStyle name="Comma 8 8 2 3" xfId="981"/>
    <cellStyle name="Comma 8 8 2 4" xfId="982"/>
    <cellStyle name="Comma 9" xfId="983"/>
    <cellStyle name="Comma 9 2" xfId="984"/>
    <cellStyle name="Comma 9 2 2" xfId="985"/>
    <cellStyle name="Comma 9 3" xfId="986"/>
    <cellStyle name="Comma 9 4" xfId="987"/>
    <cellStyle name="Comma 9 5" xfId="988"/>
    <cellStyle name="Comma 9 6" xfId="989"/>
    <cellStyle name="Comma 9 7" xfId="990"/>
    <cellStyle name="Comma 9 8" xfId="991"/>
    <cellStyle name="Comma 9 9" xfId="992"/>
    <cellStyle name="Currency 2 2" xfId="993"/>
    <cellStyle name="Currency 2 2 2" xfId="994"/>
    <cellStyle name="CustomizationCells" xfId="995"/>
    <cellStyle name="Date" xfId="996"/>
    <cellStyle name="Date 2" xfId="997"/>
    <cellStyle name="donn_normal" xfId="998"/>
    <cellStyle name="ent_col_ser" xfId="999"/>
    <cellStyle name="entete_source" xfId="1000"/>
    <cellStyle name="Euro" xfId="1001"/>
    <cellStyle name="Euro 2" xfId="1002"/>
    <cellStyle name="Euro 2 2" xfId="1003"/>
    <cellStyle name="Euro 2 2 2" xfId="1004"/>
    <cellStyle name="Euro 2 2 2 2" xfId="1005"/>
    <cellStyle name="Euro 2 2 2 3" xfId="1006"/>
    <cellStyle name="Euro 2 2 3" xfId="1007"/>
    <cellStyle name="Euro 2 2 4" xfId="1008"/>
    <cellStyle name="Euro 2 3" xfId="1009"/>
    <cellStyle name="Euro 2 3 2" xfId="1010"/>
    <cellStyle name="Euro 2 4" xfId="1011"/>
    <cellStyle name="Euro 2 5" xfId="1012"/>
    <cellStyle name="Euro 3" xfId="1013"/>
    <cellStyle name="Euro 3 2" xfId="1014"/>
    <cellStyle name="Euro 3 3" xfId="1015"/>
    <cellStyle name="Euro 4" xfId="1016"/>
    <cellStyle name="Euro 4 2" xfId="1017"/>
    <cellStyle name="Euro 4 3" xfId="1018"/>
    <cellStyle name="Euro 5" xfId="1019"/>
    <cellStyle name="Explanatory Text 2" xfId="1020"/>
    <cellStyle name="Explanatory Text 2 10" xfId="1021"/>
    <cellStyle name="Explanatory Text 2 2" xfId="1022"/>
    <cellStyle name="Explanatory Text 2 3" xfId="1023"/>
    <cellStyle name="Explanatory Text 2 4" xfId="1024"/>
    <cellStyle name="Explanatory Text 2 5" xfId="1025"/>
    <cellStyle name="Explanatory Text 2 6" xfId="1026"/>
    <cellStyle name="Explanatory Text 2 7" xfId="1027"/>
    <cellStyle name="Explanatory Text 2 8" xfId="1028"/>
    <cellStyle name="Explanatory Text 2 9" xfId="1029"/>
    <cellStyle name="Explanatory Text 3" xfId="1030"/>
    <cellStyle name="Fixed" xfId="1031"/>
    <cellStyle name="Fixed 2" xfId="1032"/>
    <cellStyle name="Float" xfId="1033"/>
    <cellStyle name="Float 2" xfId="1034"/>
    <cellStyle name="Good 2" xfId="1035"/>
    <cellStyle name="Good 2 10" xfId="1036"/>
    <cellStyle name="Good 2 2" xfId="1037"/>
    <cellStyle name="Good 2 3" xfId="1038"/>
    <cellStyle name="Good 2 4" xfId="1039"/>
    <cellStyle name="Good 2 5" xfId="1040"/>
    <cellStyle name="Good 2 6" xfId="1041"/>
    <cellStyle name="Good 2 7" xfId="1042"/>
    <cellStyle name="Good 2 8" xfId="1043"/>
    <cellStyle name="Good 2 9" xfId="1044"/>
    <cellStyle name="Good 3" xfId="1045"/>
    <cellStyle name="Good 3 2" xfId="1046"/>
    <cellStyle name="Heading 1 2" xfId="1047"/>
    <cellStyle name="Heading 1 2 10" xfId="1048"/>
    <cellStyle name="Heading 1 2 2" xfId="1049"/>
    <cellStyle name="Heading 1 2 3" xfId="1050"/>
    <cellStyle name="Heading 1 2 4" xfId="1051"/>
    <cellStyle name="Heading 1 2 5" xfId="1052"/>
    <cellStyle name="Heading 1 2 6" xfId="1053"/>
    <cellStyle name="Heading 1 2 7" xfId="1054"/>
    <cellStyle name="Heading 1 2 8" xfId="1055"/>
    <cellStyle name="Heading 1 2 9" xfId="1056"/>
    <cellStyle name="Heading 1 3" xfId="1057"/>
    <cellStyle name="Heading 1 3 2" xfId="1058"/>
    <cellStyle name="Heading 2 2" xfId="1059"/>
    <cellStyle name="Heading 2 2 10" xfId="1060"/>
    <cellStyle name="Heading 2 2 2" xfId="1061"/>
    <cellStyle name="Heading 2 2 3" xfId="1062"/>
    <cellStyle name="Heading 2 2 4" xfId="1063"/>
    <cellStyle name="Heading 2 2 5" xfId="1064"/>
    <cellStyle name="Heading 2 2 6" xfId="1065"/>
    <cellStyle name="Heading 2 2 7" xfId="1066"/>
    <cellStyle name="Heading 2 2 8" xfId="1067"/>
    <cellStyle name="Heading 2 2 9" xfId="1068"/>
    <cellStyle name="Heading 2 3" xfId="1069"/>
    <cellStyle name="Heading 2 3 2" xfId="1070"/>
    <cellStyle name="Heading 3 2" xfId="1071"/>
    <cellStyle name="Heading 3 2 10" xfId="1072"/>
    <cellStyle name="Heading 3 2 2" xfId="1073"/>
    <cellStyle name="Heading 3 2 3" xfId="1074"/>
    <cellStyle name="Heading 3 2 4" xfId="1075"/>
    <cellStyle name="Heading 3 2 5" xfId="1076"/>
    <cellStyle name="Heading 3 2 6" xfId="1077"/>
    <cellStyle name="Heading 3 2 7" xfId="1078"/>
    <cellStyle name="Heading 3 2 8" xfId="1079"/>
    <cellStyle name="Heading 3 2 9" xfId="1080"/>
    <cellStyle name="Heading 3 3" xfId="1081"/>
    <cellStyle name="Heading 3 3 2" xfId="1082"/>
    <cellStyle name="Heading 4 2" xfId="1083"/>
    <cellStyle name="Heading 4 2 10" xfId="1084"/>
    <cellStyle name="Heading 4 2 2" xfId="1085"/>
    <cellStyle name="Heading 4 2 3" xfId="1086"/>
    <cellStyle name="Heading 4 2 4" xfId="1087"/>
    <cellStyle name="Heading 4 2 5" xfId="1088"/>
    <cellStyle name="Heading 4 2 6" xfId="1089"/>
    <cellStyle name="Heading 4 2 7" xfId="1090"/>
    <cellStyle name="Heading 4 2 8" xfId="1091"/>
    <cellStyle name="Heading 4 2 9" xfId="1092"/>
    <cellStyle name="Heading 4 3" xfId="1093"/>
    <cellStyle name="Heading 4 3 2" xfId="1094"/>
    <cellStyle name="Heading1" xfId="1095"/>
    <cellStyle name="Heading1 2" xfId="1096"/>
    <cellStyle name="Heading2" xfId="1097"/>
    <cellStyle name="Heading2 2" xfId="1098"/>
    <cellStyle name="Hyperlink 2" xfId="1099"/>
    <cellStyle name="Input 2" xfId="1100"/>
    <cellStyle name="Input 2 10" xfId="1101"/>
    <cellStyle name="Input 2 2" xfId="1102"/>
    <cellStyle name="Input 2 3" xfId="1103"/>
    <cellStyle name="Input 2 4" xfId="1104"/>
    <cellStyle name="Input 2 5" xfId="1105"/>
    <cellStyle name="Input 2 6" xfId="1106"/>
    <cellStyle name="Input 2 7" xfId="1107"/>
    <cellStyle name="Input 2 8" xfId="1108"/>
    <cellStyle name="Input 2 9" xfId="1109"/>
    <cellStyle name="Input 3" xfId="1110"/>
    <cellStyle name="Input 3 2" xfId="1111"/>
    <cellStyle name="InputCells" xfId="1112"/>
    <cellStyle name="ligne_titre_0" xfId="1113"/>
    <cellStyle name="Linked Cell 2" xfId="1114"/>
    <cellStyle name="Linked Cell 2 10" xfId="1115"/>
    <cellStyle name="Linked Cell 2 2" xfId="1116"/>
    <cellStyle name="Linked Cell 2 3" xfId="1117"/>
    <cellStyle name="Linked Cell 2 4" xfId="1118"/>
    <cellStyle name="Linked Cell 2 5" xfId="1119"/>
    <cellStyle name="Linked Cell 2 6" xfId="1120"/>
    <cellStyle name="Linked Cell 2 7" xfId="1121"/>
    <cellStyle name="Linked Cell 2 8" xfId="1122"/>
    <cellStyle name="Linked Cell 2 9" xfId="1123"/>
    <cellStyle name="Linked Cell 3" xfId="1124"/>
    <cellStyle name="Linked Cell 3 2" xfId="1125"/>
    <cellStyle name="Migliaia_Oil&amp;Gas IFE ARC POLITO" xfId="1126"/>
    <cellStyle name="Neutral 2" xfId="1127"/>
    <cellStyle name="Neutral 2 10" xfId="1128"/>
    <cellStyle name="Neutral 2 2" xfId="1129"/>
    <cellStyle name="Neutral 2 3" xfId="1130"/>
    <cellStyle name="Neutral 2 4" xfId="1131"/>
    <cellStyle name="Neutral 2 5" xfId="1132"/>
    <cellStyle name="Neutral 2 6" xfId="1133"/>
    <cellStyle name="Neutral 2 7" xfId="1134"/>
    <cellStyle name="Neutral 2 8" xfId="1135"/>
    <cellStyle name="Neutral 2 9" xfId="1136"/>
    <cellStyle name="Neutral 3" xfId="1137"/>
    <cellStyle name="Neutral 3 2" xfId="1138"/>
    <cellStyle name="Neutral 3 3" xfId="1139"/>
    <cellStyle name="Normal 10" xfId="1140"/>
    <cellStyle name="Normal 10 2" xfId="1141"/>
    <cellStyle name="Normal 10 2 2" xfId="1142"/>
    <cellStyle name="Normal 10 3" xfId="1143"/>
    <cellStyle name="Normal 10 3 2" xfId="1144"/>
    <cellStyle name="Normal 10 4" xfId="1145"/>
    <cellStyle name="Normal 10 4 2" xfId="1146"/>
    <cellStyle name="Normal 10 5" xfId="1147"/>
    <cellStyle name="Normal 10 5 2" xfId="1148"/>
    <cellStyle name="Normal 10 6" xfId="1149"/>
    <cellStyle name="Normal 10 6 2" xfId="1150"/>
    <cellStyle name="Normal 10 7" xfId="1151"/>
    <cellStyle name="Normal 10 7 2" xfId="1152"/>
    <cellStyle name="Normal 10 8" xfId="1153"/>
    <cellStyle name="Normal 10 8 2" xfId="1154"/>
    <cellStyle name="Normal 10 9" xfId="1155"/>
    <cellStyle name="Normal 11" xfId="1156"/>
    <cellStyle name="Normal 11 10" xfId="1157"/>
    <cellStyle name="Normal 11 2" xfId="1158"/>
    <cellStyle name="Normal 11 2 2" xfId="1159"/>
    <cellStyle name="Normal 11 3" xfId="1160"/>
    <cellStyle name="Normal 11 3 2" xfId="1161"/>
    <cellStyle name="Normal 11 4" xfId="1162"/>
    <cellStyle name="Normal 11 4 2" xfId="1163"/>
    <cellStyle name="Normal 11 5" xfId="1164"/>
    <cellStyle name="Normal 11 5 2" xfId="1165"/>
    <cellStyle name="Normal 11 6" xfId="1166"/>
    <cellStyle name="Normal 11 6 2" xfId="1167"/>
    <cellStyle name="Normal 11 7" xfId="1168"/>
    <cellStyle name="Normal 11 7 2" xfId="1169"/>
    <cellStyle name="Normal 11 8" xfId="1170"/>
    <cellStyle name="Normal 11 8 2" xfId="1171"/>
    <cellStyle name="Normal 11 9" xfId="1172"/>
    <cellStyle name="Normal 12" xfId="1173"/>
    <cellStyle name="Normal 12 10" xfId="1174"/>
    <cellStyle name="Normal 12 2" xfId="1175"/>
    <cellStyle name="Normal 12 2 2" xfId="1176"/>
    <cellStyle name="Normal 12 3" xfId="1177"/>
    <cellStyle name="Normal 12 3 2" xfId="1178"/>
    <cellStyle name="Normal 12 4" xfId="1179"/>
    <cellStyle name="Normal 12 4 2" xfId="1180"/>
    <cellStyle name="Normal 12 5" xfId="1181"/>
    <cellStyle name="Normal 12 5 2" xfId="1182"/>
    <cellStyle name="Normal 12 6" xfId="1183"/>
    <cellStyle name="Normal 12 6 2" xfId="1184"/>
    <cellStyle name="Normal 12 7" xfId="1185"/>
    <cellStyle name="Normal 12 7 2" xfId="1186"/>
    <cellStyle name="Normal 12 8" xfId="1187"/>
    <cellStyle name="Normal 12 8 2" xfId="1188"/>
    <cellStyle name="Normal 12 9" xfId="1189"/>
    <cellStyle name="Normal 13" xfId="1190"/>
    <cellStyle name="Normal 13 10" xfId="1191"/>
    <cellStyle name="Normal 13 10 2" xfId="1192"/>
    <cellStyle name="Normal 13 10 2 2" xfId="1193"/>
    <cellStyle name="Normal 13 10 2 3" xfId="1194"/>
    <cellStyle name="Normal 13 10 2 4" xfId="1195"/>
    <cellStyle name="Normal 13 10 3" xfId="1196"/>
    <cellStyle name="Normal 13 10 4" xfId="1197"/>
    <cellStyle name="Normal 13 10 5" xfId="1198"/>
    <cellStyle name="Normal 13 11" xfId="1199"/>
    <cellStyle name="Normal 13 11 2" xfId="1200"/>
    <cellStyle name="Normal 13 11 2 2" xfId="1201"/>
    <cellStyle name="Normal 13 11 2 3" xfId="1202"/>
    <cellStyle name="Normal 13 11 2 4" xfId="1203"/>
    <cellStyle name="Normal 13 11 3" xfId="1204"/>
    <cellStyle name="Normal 13 11 4" xfId="1205"/>
    <cellStyle name="Normal 13 11 5" xfId="1206"/>
    <cellStyle name="Normal 13 12" xfId="1207"/>
    <cellStyle name="Normal 13 13" xfId="1208"/>
    <cellStyle name="Normal 13 13 2" xfId="1209"/>
    <cellStyle name="Normal 13 13 2 2" xfId="1210"/>
    <cellStyle name="Normal 13 13 2 3" xfId="1211"/>
    <cellStyle name="Normal 13 13 2 4" xfId="1212"/>
    <cellStyle name="Normal 13 13 3" xfId="1213"/>
    <cellStyle name="Normal 13 13 4" xfId="1214"/>
    <cellStyle name="Normal 13 13 5" xfId="1215"/>
    <cellStyle name="Normal 13 14" xfId="1216"/>
    <cellStyle name="Normal 13 14 2" xfId="1217"/>
    <cellStyle name="Normal 13 14 2 2" xfId="1218"/>
    <cellStyle name="Normal 13 14 2 3" xfId="1219"/>
    <cellStyle name="Normal 13 14 2 4" xfId="1220"/>
    <cellStyle name="Normal 13 14 3" xfId="1221"/>
    <cellStyle name="Normal 13 14 4" xfId="1222"/>
    <cellStyle name="Normal 13 14 5" xfId="1223"/>
    <cellStyle name="Normal 13 15" xfId="1224"/>
    <cellStyle name="Normal 13 15 2" xfId="1225"/>
    <cellStyle name="Normal 13 15 2 2" xfId="1226"/>
    <cellStyle name="Normal 13 15 2 3" xfId="1227"/>
    <cellStyle name="Normal 13 15 2 4" xfId="1228"/>
    <cellStyle name="Normal 13 15 3" xfId="1229"/>
    <cellStyle name="Normal 13 15 4" xfId="1230"/>
    <cellStyle name="Normal 13 15 5" xfId="1231"/>
    <cellStyle name="Normal 13 16" xfId="1232"/>
    <cellStyle name="Normal 13 16 2" xfId="1233"/>
    <cellStyle name="Normal 13 16 2 2" xfId="1234"/>
    <cellStyle name="Normal 13 16 2 3" xfId="1235"/>
    <cellStyle name="Normal 13 16 2 4" xfId="1236"/>
    <cellStyle name="Normal 13 16 3" xfId="1237"/>
    <cellStyle name="Normal 13 16 4" xfId="1238"/>
    <cellStyle name="Normal 13 16 5" xfId="1239"/>
    <cellStyle name="Normal 13 17" xfId="1240"/>
    <cellStyle name="Normal 13 18" xfId="1241"/>
    <cellStyle name="Normal 13 19" xfId="1242"/>
    <cellStyle name="Normal 13 2" xfId="1243"/>
    <cellStyle name="Normal 13 2 2" xfId="1244"/>
    <cellStyle name="Normal 13 2 2 2" xfId="1245"/>
    <cellStyle name="Normal 13 2 2 2 2" xfId="1246"/>
    <cellStyle name="Normal 13 2 2 2 3" xfId="1247"/>
    <cellStyle name="Normal 13 2 2 2 4" xfId="1248"/>
    <cellStyle name="Normal 13 2 2 3" xfId="1249"/>
    <cellStyle name="Normal 13 2 2 4" xfId="1250"/>
    <cellStyle name="Normal 13 2 2 5" xfId="1251"/>
    <cellStyle name="Normal 13 2 3" xfId="1252"/>
    <cellStyle name="Normal 13 2 3 2" xfId="1253"/>
    <cellStyle name="Normal 13 2 3 2 2" xfId="1254"/>
    <cellStyle name="Normal 13 2 3 2 3" xfId="1255"/>
    <cellStyle name="Normal 13 2 3 2 4" xfId="1256"/>
    <cellStyle name="Normal 13 2 3 3" xfId="1257"/>
    <cellStyle name="Normal 13 2 3 4" xfId="1258"/>
    <cellStyle name="Normal 13 2 3 5" xfId="1259"/>
    <cellStyle name="Normal 13 2 4" xfId="1260"/>
    <cellStyle name="Normal 13 2 4 2" xfId="1261"/>
    <cellStyle name="Normal 13 2 4 2 2" xfId="1262"/>
    <cellStyle name="Normal 13 2 4 2 3" xfId="1263"/>
    <cellStyle name="Normal 13 2 4 2 4" xfId="1264"/>
    <cellStyle name="Normal 13 2 4 3" xfId="1265"/>
    <cellStyle name="Normal 13 2 4 4" xfId="1266"/>
    <cellStyle name="Normal 13 2 4 5" xfId="1267"/>
    <cellStyle name="Normal 13 2 5" xfId="1268"/>
    <cellStyle name="Normal 13 2 5 2" xfId="1269"/>
    <cellStyle name="Normal 13 2 5 2 2" xfId="1270"/>
    <cellStyle name="Normal 13 2 5 2 3" xfId="1271"/>
    <cellStyle name="Normal 13 2 5 2 4" xfId="1272"/>
    <cellStyle name="Normal 13 2 5 3" xfId="1273"/>
    <cellStyle name="Normal 13 2 5 4" xfId="1274"/>
    <cellStyle name="Normal 13 2 5 5" xfId="1275"/>
    <cellStyle name="Normal 13 2 6" xfId="1276"/>
    <cellStyle name="Normal 13 2 6 2" xfId="1277"/>
    <cellStyle name="Normal 13 2 6 2 2" xfId="1278"/>
    <cellStyle name="Normal 13 2 6 2 3" xfId="1279"/>
    <cellStyle name="Normal 13 2 6 2 4" xfId="1280"/>
    <cellStyle name="Normal 13 2 6 3" xfId="1281"/>
    <cellStyle name="Normal 13 2 6 4" xfId="1282"/>
    <cellStyle name="Normal 13 2 6 5" xfId="1283"/>
    <cellStyle name="Normal 13 2 7" xfId="1284"/>
    <cellStyle name="Normal 13 2 7 2" xfId="1285"/>
    <cellStyle name="Normal 13 2 7 2 2" xfId="1286"/>
    <cellStyle name="Normal 13 2 7 2 3" xfId="1287"/>
    <cellStyle name="Normal 13 2 7 2 4" xfId="1288"/>
    <cellStyle name="Normal 13 2 7 3" xfId="1289"/>
    <cellStyle name="Normal 13 2 7 4" xfId="1290"/>
    <cellStyle name="Normal 13 2 7 5" xfId="1291"/>
    <cellStyle name="Normal 13 2 8" xfId="1292"/>
    <cellStyle name="Normal 13 2 8 2" xfId="1293"/>
    <cellStyle name="Normal 13 2 8 2 2" xfId="1294"/>
    <cellStyle name="Normal 13 2 8 2 3" xfId="1295"/>
    <cellStyle name="Normal 13 2 8 2 4" xfId="1296"/>
    <cellStyle name="Normal 13 2 8 3" xfId="1297"/>
    <cellStyle name="Normal 13 2 8 4" xfId="1298"/>
    <cellStyle name="Normal 13 2 8 5" xfId="1299"/>
    <cellStyle name="Normal 13 20" xfId="1300"/>
    <cellStyle name="Normal 13 21" xfId="1301"/>
    <cellStyle name="Normal 13 22" xfId="1302"/>
    <cellStyle name="Normal 13 23" xfId="1303"/>
    <cellStyle name="Normal 13 23 2" xfId="1304"/>
    <cellStyle name="Normal 13 24" xfId="1305"/>
    <cellStyle name="Normal 13 24 2" xfId="1306"/>
    <cellStyle name="Normal 13 25" xfId="1307"/>
    <cellStyle name="Normal 13 25 2" xfId="1308"/>
    <cellStyle name="Normal 13 26" xfId="1309"/>
    <cellStyle name="Normal 13 26 2" xfId="1310"/>
    <cellStyle name="Normal 13 27" xfId="1311"/>
    <cellStyle name="Normal 13 27 2" xfId="1312"/>
    <cellStyle name="Normal 13 28" xfId="1313"/>
    <cellStyle name="Normal 13 28 2" xfId="1314"/>
    <cellStyle name="Normal 13 29" xfId="1315"/>
    <cellStyle name="Normal 13 29 2" xfId="1316"/>
    <cellStyle name="Normal 13 3" xfId="1317"/>
    <cellStyle name="Normal 13 3 2" xfId="1318"/>
    <cellStyle name="Normal 13 3 2 2" xfId="1319"/>
    <cellStyle name="Normal 13 3 2 3" xfId="1320"/>
    <cellStyle name="Normal 13 3 2 4" xfId="1321"/>
    <cellStyle name="Normal 13 3 3" xfId="1322"/>
    <cellStyle name="Normal 13 3 4" xfId="1323"/>
    <cellStyle name="Normal 13 3 5" xfId="1324"/>
    <cellStyle name="Normal 13 30" xfId="1325"/>
    <cellStyle name="Normal 13 30 2" xfId="1326"/>
    <cellStyle name="Normal 13 31" xfId="1327"/>
    <cellStyle name="Normal 13 31 2" xfId="1328"/>
    <cellStyle name="Normal 13 32" xfId="1329"/>
    <cellStyle name="Normal 13 32 2" xfId="1330"/>
    <cellStyle name="Normal 13 33" xfId="1331"/>
    <cellStyle name="Normal 13 33 2" xfId="1332"/>
    <cellStyle name="Normal 13 34" xfId="1333"/>
    <cellStyle name="Normal 13 34 2" xfId="1334"/>
    <cellStyle name="Normal 13 35" xfId="1335"/>
    <cellStyle name="Normal 13 35 2" xfId="1336"/>
    <cellStyle name="Normal 13 36" xfId="1337"/>
    <cellStyle name="Normal 13 36 2" xfId="1338"/>
    <cellStyle name="Normal 13 37" xfId="1339"/>
    <cellStyle name="Normal 13 37 2" xfId="1340"/>
    <cellStyle name="Normal 13 38" xfId="1341"/>
    <cellStyle name="Normal 13 38 2" xfId="1342"/>
    <cellStyle name="Normal 13 39" xfId="1343"/>
    <cellStyle name="Normal 13 4" xfId="1344"/>
    <cellStyle name="Normal 13 4 2" xfId="1345"/>
    <cellStyle name="Normal 13 4 2 2" xfId="1346"/>
    <cellStyle name="Normal 13 4 2 3" xfId="1347"/>
    <cellStyle name="Normal 13 4 2 4" xfId="1348"/>
    <cellStyle name="Normal 13 4 3" xfId="1349"/>
    <cellStyle name="Normal 13 4 4" xfId="1350"/>
    <cellStyle name="Normal 13 4 5" xfId="1351"/>
    <cellStyle name="Normal 13 5" xfId="1352"/>
    <cellStyle name="Normal 13 6" xfId="1353"/>
    <cellStyle name="Normal 13 7" xfId="1354"/>
    <cellStyle name="Normal 13 8" xfId="1355"/>
    <cellStyle name="Normal 13 9" xfId="1356"/>
    <cellStyle name="Normal 13 9 2" xfId="1357"/>
    <cellStyle name="Normal 13 9 2 2" xfId="1358"/>
    <cellStyle name="Normal 13 9 2 3" xfId="1359"/>
    <cellStyle name="Normal 13 9 2 4" xfId="1360"/>
    <cellStyle name="Normal 13 9 3" xfId="1361"/>
    <cellStyle name="Normal 13 9 4" xfId="1362"/>
    <cellStyle name="Normal 13 9 5" xfId="1363"/>
    <cellStyle name="Normal 14" xfId="1364"/>
    <cellStyle name="Normal 14 10" xfId="1365"/>
    <cellStyle name="Normal 14 10 2" xfId="1366"/>
    <cellStyle name="Normal 14 10 2 2" xfId="1367"/>
    <cellStyle name="Normal 14 10 2 3" xfId="1368"/>
    <cellStyle name="Normal 14 10 2 4" xfId="1369"/>
    <cellStyle name="Normal 14 10 3" xfId="1370"/>
    <cellStyle name="Normal 14 10 4" xfId="1371"/>
    <cellStyle name="Normal 14 10 5" xfId="1372"/>
    <cellStyle name="Normal 14 11" xfId="1373"/>
    <cellStyle name="Normal 14 11 2" xfId="1374"/>
    <cellStyle name="Normal 14 11 2 2" xfId="1375"/>
    <cellStyle name="Normal 14 11 2 3" xfId="1376"/>
    <cellStyle name="Normal 14 11 2 4" xfId="1377"/>
    <cellStyle name="Normal 14 11 3" xfId="1378"/>
    <cellStyle name="Normal 14 11 4" xfId="1379"/>
    <cellStyle name="Normal 14 11 5" xfId="1380"/>
    <cellStyle name="Normal 14 12" xfId="1381"/>
    <cellStyle name="Normal 14 12 2" xfId="1382"/>
    <cellStyle name="Normal 14 12 2 2" xfId="1383"/>
    <cellStyle name="Normal 14 12 2 3" xfId="1384"/>
    <cellStyle name="Normal 14 12 2 4" xfId="1385"/>
    <cellStyle name="Normal 14 12 3" xfId="1386"/>
    <cellStyle name="Normal 14 12 4" xfId="1387"/>
    <cellStyle name="Normal 14 12 5" xfId="1388"/>
    <cellStyle name="Normal 14 13" xfId="1389"/>
    <cellStyle name="Normal 14 13 2" xfId="1390"/>
    <cellStyle name="Normal 14 13 2 2" xfId="1391"/>
    <cellStyle name="Normal 14 13 2 3" xfId="1392"/>
    <cellStyle name="Normal 14 13 2 4" xfId="1393"/>
    <cellStyle name="Normal 14 13 3" xfId="1394"/>
    <cellStyle name="Normal 14 13 4" xfId="1395"/>
    <cellStyle name="Normal 14 13 5" xfId="1396"/>
    <cellStyle name="Normal 14 14" xfId="1397"/>
    <cellStyle name="Normal 14 14 2" xfId="1398"/>
    <cellStyle name="Normal 14 14 2 2" xfId="1399"/>
    <cellStyle name="Normal 14 14 2 3" xfId="1400"/>
    <cellStyle name="Normal 14 14 2 4" xfId="1401"/>
    <cellStyle name="Normal 14 14 3" xfId="1402"/>
    <cellStyle name="Normal 14 14 4" xfId="1403"/>
    <cellStyle name="Normal 14 14 5" xfId="1404"/>
    <cellStyle name="Normal 14 15" xfId="1405"/>
    <cellStyle name="Normal 14 15 2" xfId="1406"/>
    <cellStyle name="Normal 14 15 2 2" xfId="1407"/>
    <cellStyle name="Normal 14 15 2 3" xfId="1408"/>
    <cellStyle name="Normal 14 15 2 4" xfId="1409"/>
    <cellStyle name="Normal 14 15 3" xfId="1410"/>
    <cellStyle name="Normal 14 15 4" xfId="1411"/>
    <cellStyle name="Normal 14 15 5" xfId="1412"/>
    <cellStyle name="Normal 14 2" xfId="1413"/>
    <cellStyle name="Normal 14 2 10" xfId="1414"/>
    <cellStyle name="Normal 14 2 11" xfId="1415"/>
    <cellStyle name="Normal 14 2 2" xfId="1416"/>
    <cellStyle name="Normal 14 2 2 2" xfId="1417"/>
    <cellStyle name="Normal 14 2 3" xfId="1418"/>
    <cellStyle name="Normal 14 2 3 2" xfId="1419"/>
    <cellStyle name="Normal 14 2 4" xfId="1420"/>
    <cellStyle name="Normal 14 2 4 2" xfId="1421"/>
    <cellStyle name="Normal 14 2 5" xfId="1422"/>
    <cellStyle name="Normal 14 2 5 2" xfId="1423"/>
    <cellStyle name="Normal 14 2 6" xfId="1424"/>
    <cellStyle name="Normal 14 2 6 2" xfId="1425"/>
    <cellStyle name="Normal 14 2 7" xfId="1426"/>
    <cellStyle name="Normal 14 2 7 2" xfId="1427"/>
    <cellStyle name="Normal 14 2 8" xfId="1428"/>
    <cellStyle name="Normal 14 2 8 2" xfId="1429"/>
    <cellStyle name="Normal 14 2 8 3" xfId="1430"/>
    <cellStyle name="Normal 14 2 8 4" xfId="1431"/>
    <cellStyle name="Normal 14 2 9" xfId="1432"/>
    <cellStyle name="Normal 14 3" xfId="1433"/>
    <cellStyle name="Normal 14 3 2" xfId="1434"/>
    <cellStyle name="Normal 14 4" xfId="1435"/>
    <cellStyle name="Normal 14 4 2" xfId="1436"/>
    <cellStyle name="Normal 14 4 2 2" xfId="1437"/>
    <cellStyle name="Normal 14 4 2 3" xfId="1438"/>
    <cellStyle name="Normal 14 4 2 4" xfId="1439"/>
    <cellStyle name="Normal 14 4 3" xfId="1440"/>
    <cellStyle name="Normal 14 4 4" xfId="1441"/>
    <cellStyle name="Normal 14 4 5" xfId="1442"/>
    <cellStyle name="Normal 14 5" xfId="1443"/>
    <cellStyle name="Normal 14 5 2" xfId="1444"/>
    <cellStyle name="Normal 14 5 2 2" xfId="1445"/>
    <cellStyle name="Normal 14 5 2 3" xfId="1446"/>
    <cellStyle name="Normal 14 5 2 4" xfId="1447"/>
    <cellStyle name="Normal 14 5 3" xfId="1448"/>
    <cellStyle name="Normal 14 5 4" xfId="1449"/>
    <cellStyle name="Normal 14 5 5" xfId="1450"/>
    <cellStyle name="Normal 14 6" xfId="1451"/>
    <cellStyle name="Normal 14 6 2" xfId="1452"/>
    <cellStyle name="Normal 14 7" xfId="1453"/>
    <cellStyle name="Normal 14 7 2" xfId="1454"/>
    <cellStyle name="Normal 14 8" xfId="1455"/>
    <cellStyle name="Normal 14 8 2" xfId="1456"/>
    <cellStyle name="Normal 14 9" xfId="1457"/>
    <cellStyle name="Normal 14 9 2" xfId="1458"/>
    <cellStyle name="Normal 15" xfId="1459"/>
    <cellStyle name="Normal 15 2" xfId="1460"/>
    <cellStyle name="Normal 15 2 2" xfId="1461"/>
    <cellStyle name="Normal 15 3" xfId="1462"/>
    <cellStyle name="Normal 15 3 2" xfId="1463"/>
    <cellStyle name="Normal 15 4" xfId="1464"/>
    <cellStyle name="Normal 15 4 2" xfId="1465"/>
    <cellStyle name="Normal 15 5" xfId="1466"/>
    <cellStyle name="Normal 15 5 2" xfId="1467"/>
    <cellStyle name="Normal 15 6" xfId="1468"/>
    <cellStyle name="Normal 15 6 2" xfId="1469"/>
    <cellStyle name="Normal 16" xfId="1470"/>
    <cellStyle name="Normal 16 10" xfId="1471"/>
    <cellStyle name="Normal 16 2" xfId="1472"/>
    <cellStyle name="Normal 16 2 2" xfId="1473"/>
    <cellStyle name="Normal 16 3" xfId="1474"/>
    <cellStyle name="Normal 16 3 2" xfId="1475"/>
    <cellStyle name="Normal 16 4" xfId="1476"/>
    <cellStyle name="Normal 16 4 2" xfId="1477"/>
    <cellStyle name="Normal 16 5" xfId="1478"/>
    <cellStyle name="Normal 16 5 2" xfId="1479"/>
    <cellStyle name="Normal 16 6" xfId="1480"/>
    <cellStyle name="Normal 16 6 2" xfId="1481"/>
    <cellStyle name="Normal 16 7" xfId="1482"/>
    <cellStyle name="Normal 16 7 2" xfId="1483"/>
    <cellStyle name="Normal 16 7 3" xfId="1484"/>
    <cellStyle name="Normal 16 7 4" xfId="1485"/>
    <cellStyle name="Normal 16 8" xfId="1486"/>
    <cellStyle name="Normal 16 9" xfId="1487"/>
    <cellStyle name="Normal 17" xfId="1488"/>
    <cellStyle name="Normal 17 10" xfId="1489"/>
    <cellStyle name="Normal 17 10 2" xfId="1490"/>
    <cellStyle name="Normal 17 11" xfId="1491"/>
    <cellStyle name="Normal 17 11 2" xfId="1492"/>
    <cellStyle name="Normal 17 12" xfId="1493"/>
    <cellStyle name="Normal 17 12 2" xfId="1494"/>
    <cellStyle name="Normal 17 13" xfId="1495"/>
    <cellStyle name="Normal 17 13 2" xfId="1496"/>
    <cellStyle name="Normal 17 14" xfId="1497"/>
    <cellStyle name="Normal 17 14 2" xfId="1498"/>
    <cellStyle name="Normal 17 14 3" xfId="1499"/>
    <cellStyle name="Normal 17 14 4" xfId="1500"/>
    <cellStyle name="Normal 17 15" xfId="1501"/>
    <cellStyle name="Normal 17 16" xfId="1502"/>
    <cellStyle name="Normal 17 17" xfId="1503"/>
    <cellStyle name="Normal 17 2" xfId="1504"/>
    <cellStyle name="Normal 17 2 2" xfId="1505"/>
    <cellStyle name="Normal 17 3" xfId="1506"/>
    <cellStyle name="Normal 17 3 2" xfId="1507"/>
    <cellStyle name="Normal 17 4" xfId="1508"/>
    <cellStyle name="Normal 17 4 2" xfId="1509"/>
    <cellStyle name="Normal 17 5" xfId="1510"/>
    <cellStyle name="Normal 17 5 2" xfId="1511"/>
    <cellStyle name="Normal 17 6" xfId="1512"/>
    <cellStyle name="Normal 17 6 2" xfId="1513"/>
    <cellStyle name="Normal 17 7" xfId="1514"/>
    <cellStyle name="Normal 17 7 2" xfId="1515"/>
    <cellStyle name="Normal 17 8" xfId="1516"/>
    <cellStyle name="Normal 17 8 2" xfId="1517"/>
    <cellStyle name="Normal 17 9" xfId="1518"/>
    <cellStyle name="Normal 17 9 2" xfId="1519"/>
    <cellStyle name="Normal 18" xfId="1520"/>
    <cellStyle name="Normal 18 2" xfId="1521"/>
    <cellStyle name="Normal 18 2 2" xfId="1522"/>
    <cellStyle name="Normal 18 2 3" xfId="1523"/>
    <cellStyle name="Normal 18 2 4" xfId="1524"/>
    <cellStyle name="Normal 18 3" xfId="1525"/>
    <cellStyle name="Normal 18 4" xfId="1526"/>
    <cellStyle name="Normal 18 5" xfId="1527"/>
    <cellStyle name="Normal 19" xfId="1528"/>
    <cellStyle name="Normal 2" xfId="1529"/>
    <cellStyle name="Normal 2 10" xfId="1530"/>
    <cellStyle name="Normal 2 10 2" xfId="1531"/>
    <cellStyle name="Normal 2 11" xfId="1532"/>
    <cellStyle name="Normal 2 11 2" xfId="1533"/>
    <cellStyle name="Normal 2 12" xfId="1534"/>
    <cellStyle name="Normal 2 12 2" xfId="1535"/>
    <cellStyle name="Normal 2 13" xfId="1536"/>
    <cellStyle name="Normal 2 13 2" xfId="1537"/>
    <cellStyle name="Normal 2 14" xfId="1538"/>
    <cellStyle name="Normal 2 14 2" xfId="1539"/>
    <cellStyle name="Normal 2 15" xfId="1540"/>
    <cellStyle name="Normal 2 15 2" xfId="1541"/>
    <cellStyle name="Normal 2 16" xfId="1542"/>
    <cellStyle name="Normal 2 16 2" xfId="1543"/>
    <cellStyle name="Normal 2 17" xfId="1544"/>
    <cellStyle name="Normal 2 17 2" xfId="1545"/>
    <cellStyle name="Normal 2 18" xfId="1546"/>
    <cellStyle name="Normal 2 18 2" xfId="1547"/>
    <cellStyle name="Normal 2 18 3" xfId="1548"/>
    <cellStyle name="Normal 2 18 4" xfId="1549"/>
    <cellStyle name="Normal 2 19" xfId="1550"/>
    <cellStyle name="Normal 2 2" xfId="1551"/>
    <cellStyle name="Normal 2 2 10" xfId="1552"/>
    <cellStyle name="Normal 2 2 10 2" xfId="1553"/>
    <cellStyle name="Normal 2 2 10 2 2" xfId="1554"/>
    <cellStyle name="Normal 2 2 10 2 3" xfId="1555"/>
    <cellStyle name="Normal 2 2 10 2 4" xfId="1556"/>
    <cellStyle name="Normal 2 2 10 3" xfId="1557"/>
    <cellStyle name="Normal 2 2 10 4" xfId="1558"/>
    <cellStyle name="Normal 2 2 10 5" xfId="1559"/>
    <cellStyle name="Normal 2 2 11" xfId="1560"/>
    <cellStyle name="Normal 2 2 11 2" xfId="1561"/>
    <cellStyle name="Normal 2 2 11 2 2" xfId="1562"/>
    <cellStyle name="Normal 2 2 11 2 3" xfId="1563"/>
    <cellStyle name="Normal 2 2 11 2 4" xfId="1564"/>
    <cellStyle name="Normal 2 2 11 3" xfId="1565"/>
    <cellStyle name="Normal 2 2 11 4" xfId="1566"/>
    <cellStyle name="Normal 2 2 11 5" xfId="1567"/>
    <cellStyle name="Normal 2 2 12" xfId="1568"/>
    <cellStyle name="Normal 2 2 12 2" xfId="1569"/>
    <cellStyle name="Normal 2 2 12 2 2" xfId="1570"/>
    <cellStyle name="Normal 2 2 12 2 3" xfId="1571"/>
    <cellStyle name="Normal 2 2 12 2 4" xfId="1572"/>
    <cellStyle name="Normal 2 2 12 3" xfId="1573"/>
    <cellStyle name="Normal 2 2 12 4" xfId="1574"/>
    <cellStyle name="Normal 2 2 12 5" xfId="1575"/>
    <cellStyle name="Normal 2 2 13" xfId="1576"/>
    <cellStyle name="Normal 2 2 13 2" xfId="1577"/>
    <cellStyle name="Normal 2 2 13 2 2" xfId="1578"/>
    <cellStyle name="Normal 2 2 13 2 3" xfId="1579"/>
    <cellStyle name="Normal 2 2 13 2 4" xfId="1580"/>
    <cellStyle name="Normal 2 2 13 3" xfId="1581"/>
    <cellStyle name="Normal 2 2 13 4" xfId="1582"/>
    <cellStyle name="Normal 2 2 13 5" xfId="1583"/>
    <cellStyle name="Normal 2 2 14" xfId="1584"/>
    <cellStyle name="Normal 2 2 14 2" xfId="1585"/>
    <cellStyle name="Normal 2 2 15" xfId="1586"/>
    <cellStyle name="Normal 2 2 16" xfId="1587"/>
    <cellStyle name="Normal 2 2 2" xfId="1588"/>
    <cellStyle name="Normal 2 2 2 2" xfId="1589"/>
    <cellStyle name="Normal 2 2 2 2 2" xfId="1590"/>
    <cellStyle name="Normal 2 2 2 2 3" xfId="1591"/>
    <cellStyle name="Normal 2 2 2 2 4" xfId="1592"/>
    <cellStyle name="Normal 2 2 2 3" xfId="1593"/>
    <cellStyle name="Normal 2 2 2 4" xfId="1594"/>
    <cellStyle name="Normal 2 2 2 5" xfId="1595"/>
    <cellStyle name="Normal 2 2 2 6" xfId="1596"/>
    <cellStyle name="Normal 2 2 3" xfId="1597"/>
    <cellStyle name="Normal 2 2 3 2" xfId="1598"/>
    <cellStyle name="Normal 2 2 3 2 2" xfId="1599"/>
    <cellStyle name="Normal 2 2 3 2 3" xfId="1600"/>
    <cellStyle name="Normal 2 2 3 2 4" xfId="1601"/>
    <cellStyle name="Normal 2 2 3 3" xfId="1602"/>
    <cellStyle name="Normal 2 2 3 4" xfId="1603"/>
    <cellStyle name="Normal 2 2 3 5" xfId="1604"/>
    <cellStyle name="Normal 2 2 3 6" xfId="1605"/>
    <cellStyle name="Normal 2 2 4" xfId="1606"/>
    <cellStyle name="Normal 2 2 4 2" xfId="1607"/>
    <cellStyle name="Normal 2 2 4 2 2" xfId="1608"/>
    <cellStyle name="Normal 2 2 4 2 3" xfId="1609"/>
    <cellStyle name="Normal 2 2 4 2 4" xfId="1610"/>
    <cellStyle name="Normal 2 2 4 3" xfId="1611"/>
    <cellStyle name="Normal 2 2 4 4" xfId="1612"/>
    <cellStyle name="Normal 2 2 4 5" xfId="1613"/>
    <cellStyle name="Normal 2 2 5" xfId="1614"/>
    <cellStyle name="Normal 2 2 5 2" xfId="1615"/>
    <cellStyle name="Normal 2 2 5 2 2" xfId="1616"/>
    <cellStyle name="Normal 2 2 5 2 3" xfId="1617"/>
    <cellStyle name="Normal 2 2 5 2 4" xfId="1618"/>
    <cellStyle name="Normal 2 2 5 3" xfId="1619"/>
    <cellStyle name="Normal 2 2 5 4" xfId="1620"/>
    <cellStyle name="Normal 2 2 5 5" xfId="1621"/>
    <cellStyle name="Normal 2 2 6" xfId="1622"/>
    <cellStyle name="Normal 2 2 6 2" xfId="1623"/>
    <cellStyle name="Normal 2 2 6 2 2" xfId="1624"/>
    <cellStyle name="Normal 2 2 6 2 3" xfId="1625"/>
    <cellStyle name="Normal 2 2 6 2 4" xfId="1626"/>
    <cellStyle name="Normal 2 2 6 3" xfId="1627"/>
    <cellStyle name="Normal 2 2 6 4" xfId="1628"/>
    <cellStyle name="Normal 2 2 6 5" xfId="1629"/>
    <cellStyle name="Normal 2 2 7" xfId="1630"/>
    <cellStyle name="Normal 2 2 7 2" xfId="1631"/>
    <cellStyle name="Normal 2 2 7 2 2" xfId="1632"/>
    <cellStyle name="Normal 2 2 7 2 3" xfId="1633"/>
    <cellStyle name="Normal 2 2 7 2 4" xfId="1634"/>
    <cellStyle name="Normal 2 2 7 3" xfId="1635"/>
    <cellStyle name="Normal 2 2 7 4" xfId="1636"/>
    <cellStyle name="Normal 2 2 7 5" xfId="1637"/>
    <cellStyle name="Normal 2 2 8" xfId="1638"/>
    <cellStyle name="Normal 2 2 8 2" xfId="1639"/>
    <cellStyle name="Normal 2 2 8 2 2" xfId="1640"/>
    <cellStyle name="Normal 2 2 8 2 3" xfId="1641"/>
    <cellStyle name="Normal 2 2 8 2 4" xfId="1642"/>
    <cellStyle name="Normal 2 2 8 3" xfId="1643"/>
    <cellStyle name="Normal 2 2 8 4" xfId="1644"/>
    <cellStyle name="Normal 2 2 8 5" xfId="1645"/>
    <cellStyle name="Normal 2 2 9" xfId="1646"/>
    <cellStyle name="Normal 2 2 9 2" xfId="1647"/>
    <cellStyle name="Normal 2 2 9 2 2" xfId="1648"/>
    <cellStyle name="Normal 2 2 9 2 3" xfId="1649"/>
    <cellStyle name="Normal 2 2 9 2 4" xfId="1650"/>
    <cellStyle name="Normal 2 2 9 3" xfId="1651"/>
    <cellStyle name="Normal 2 2 9 4" xfId="1652"/>
    <cellStyle name="Normal 2 2 9 5" xfId="1653"/>
    <cellStyle name="Normal 2 20" xfId="1654"/>
    <cellStyle name="Normal 2 21" xfId="1655"/>
    <cellStyle name="Normal 2 22" xfId="1656"/>
    <cellStyle name="Normal 2 23" xfId="1657"/>
    <cellStyle name="Normal 2 3" xfId="1658"/>
    <cellStyle name="Normal 2 3 10" xfId="1659"/>
    <cellStyle name="Normal 2 3 10 2" xfId="1660"/>
    <cellStyle name="Normal 2 3 10 2 2" xfId="1661"/>
    <cellStyle name="Normal 2 3 10 2 3" xfId="1662"/>
    <cellStyle name="Normal 2 3 10 2 4" xfId="1663"/>
    <cellStyle name="Normal 2 3 10 3" xfId="1664"/>
    <cellStyle name="Normal 2 3 10 4" xfId="1665"/>
    <cellStyle name="Normal 2 3 10 5" xfId="1666"/>
    <cellStyle name="Normal 2 3 11" xfId="1667"/>
    <cellStyle name="Normal 2 3 11 2" xfId="1668"/>
    <cellStyle name="Normal 2 3 11 2 2" xfId="1669"/>
    <cellStyle name="Normal 2 3 11 2 3" xfId="1670"/>
    <cellStyle name="Normal 2 3 11 2 4" xfId="1671"/>
    <cellStyle name="Normal 2 3 11 3" xfId="1672"/>
    <cellStyle name="Normal 2 3 11 4" xfId="1673"/>
    <cellStyle name="Normal 2 3 11 5" xfId="1674"/>
    <cellStyle name="Normal 2 3 12" xfId="1675"/>
    <cellStyle name="Normal 2 3 12 2" xfId="1676"/>
    <cellStyle name="Normal 2 3 12 2 2" xfId="1677"/>
    <cellStyle name="Normal 2 3 12 2 3" xfId="1678"/>
    <cellStyle name="Normal 2 3 12 2 4" xfId="1679"/>
    <cellStyle name="Normal 2 3 12 3" xfId="1680"/>
    <cellStyle name="Normal 2 3 12 4" xfId="1681"/>
    <cellStyle name="Normal 2 3 12 5" xfId="1682"/>
    <cellStyle name="Normal 2 3 13" xfId="1683"/>
    <cellStyle name="Normal 2 3 13 2" xfId="1684"/>
    <cellStyle name="Normal 2 3 13 2 2" xfId="1685"/>
    <cellStyle name="Normal 2 3 13 2 3" xfId="1686"/>
    <cellStyle name="Normal 2 3 13 2 4" xfId="1687"/>
    <cellStyle name="Normal 2 3 13 3" xfId="1688"/>
    <cellStyle name="Normal 2 3 13 4" xfId="1689"/>
    <cellStyle name="Normal 2 3 13 5" xfId="1690"/>
    <cellStyle name="Normal 2 3 14" xfId="1691"/>
    <cellStyle name="Normal 2 3 15" xfId="1692"/>
    <cellStyle name="Normal 2 3 2" xfId="1693"/>
    <cellStyle name="Normal 2 3 2 2" xfId="1694"/>
    <cellStyle name="Normal 2 3 2 2 2" xfId="1695"/>
    <cellStyle name="Normal 2 3 2 2 3" xfId="1696"/>
    <cellStyle name="Normal 2 3 2 2 4" xfId="1697"/>
    <cellStyle name="Normal 2 3 2 3" xfId="1698"/>
    <cellStyle name="Normal 2 3 2 4" xfId="1699"/>
    <cellStyle name="Normal 2 3 2 5" xfId="1700"/>
    <cellStyle name="Normal 2 3 2 6" xfId="1701"/>
    <cellStyle name="Normal 2 3 3" xfId="1702"/>
    <cellStyle name="Normal 2 3 3 2" xfId="1703"/>
    <cellStyle name="Normal 2 3 3 2 2" xfId="1704"/>
    <cellStyle name="Normal 2 3 3 2 3" xfId="1705"/>
    <cellStyle name="Normal 2 3 3 2 4" xfId="1706"/>
    <cellStyle name="Normal 2 3 3 3" xfId="1707"/>
    <cellStyle name="Normal 2 3 3 4" xfId="1708"/>
    <cellStyle name="Normal 2 3 3 5" xfId="1709"/>
    <cellStyle name="Normal 2 3 3 6" xfId="1710"/>
    <cellStyle name="Normal 2 3 4" xfId="1711"/>
    <cellStyle name="Normal 2 3 4 2" xfId="1712"/>
    <cellStyle name="Normal 2 3 4 2 2" xfId="1713"/>
    <cellStyle name="Normal 2 3 4 2 3" xfId="1714"/>
    <cellStyle name="Normal 2 3 4 2 4" xfId="1715"/>
    <cellStyle name="Normal 2 3 4 3" xfId="1716"/>
    <cellStyle name="Normal 2 3 4 4" xfId="1717"/>
    <cellStyle name="Normal 2 3 4 5" xfId="1718"/>
    <cellStyle name="Normal 2 3 5" xfId="1719"/>
    <cellStyle name="Normal 2 3 5 2" xfId="1720"/>
    <cellStyle name="Normal 2 3 5 2 2" xfId="1721"/>
    <cellStyle name="Normal 2 3 5 2 3" xfId="1722"/>
    <cellStyle name="Normal 2 3 5 2 4" xfId="1723"/>
    <cellStyle name="Normal 2 3 5 3" xfId="1724"/>
    <cellStyle name="Normal 2 3 5 4" xfId="1725"/>
    <cellStyle name="Normal 2 3 5 5" xfId="1726"/>
    <cellStyle name="Normal 2 3 6" xfId="1727"/>
    <cellStyle name="Normal 2 3 6 2" xfId="1728"/>
    <cellStyle name="Normal 2 3 6 2 2" xfId="1729"/>
    <cellStyle name="Normal 2 3 6 2 3" xfId="1730"/>
    <cellStyle name="Normal 2 3 6 2 4" xfId="1731"/>
    <cellStyle name="Normal 2 3 6 3" xfId="1732"/>
    <cellStyle name="Normal 2 3 6 4" xfId="1733"/>
    <cellStyle name="Normal 2 3 6 5" xfId="1734"/>
    <cellStyle name="Normal 2 3 7" xfId="1735"/>
    <cellStyle name="Normal 2 3 7 2" xfId="1736"/>
    <cellStyle name="Normal 2 3 7 2 2" xfId="1737"/>
    <cellStyle name="Normal 2 3 7 2 3" xfId="1738"/>
    <cellStyle name="Normal 2 3 7 2 4" xfId="1739"/>
    <cellStyle name="Normal 2 3 7 3" xfId="1740"/>
    <cellStyle name="Normal 2 3 7 4" xfId="1741"/>
    <cellStyle name="Normal 2 3 7 5" xfId="1742"/>
    <cellStyle name="Normal 2 3 8" xfId="1743"/>
    <cellStyle name="Normal 2 3 8 2" xfId="1744"/>
    <cellStyle name="Normal 2 3 8 2 2" xfId="1745"/>
    <cellStyle name="Normal 2 3 8 2 3" xfId="1746"/>
    <cellStyle name="Normal 2 3 8 2 4" xfId="1747"/>
    <cellStyle name="Normal 2 3 8 3" xfId="1748"/>
    <cellStyle name="Normal 2 3 8 4" xfId="1749"/>
    <cellStyle name="Normal 2 3 8 5" xfId="1750"/>
    <cellStyle name="Normal 2 3 9" xfId="1751"/>
    <cellStyle name="Normal 2 3 9 2" xfId="1752"/>
    <cellStyle name="Normal 2 3 9 2 2" xfId="1753"/>
    <cellStyle name="Normal 2 3 9 2 3" xfId="1754"/>
    <cellStyle name="Normal 2 3 9 2 4" xfId="1755"/>
    <cellStyle name="Normal 2 3 9 3" xfId="1756"/>
    <cellStyle name="Normal 2 3 9 4" xfId="1757"/>
    <cellStyle name="Normal 2 3 9 5" xfId="1758"/>
    <cellStyle name="Normal 2 4" xfId="1759"/>
    <cellStyle name="Normal 2 4 10" xfId="1760"/>
    <cellStyle name="Normal 2 4 10 2" xfId="1761"/>
    <cellStyle name="Normal 2 4 10 2 2" xfId="1762"/>
    <cellStyle name="Normal 2 4 10 2 3" xfId="1763"/>
    <cellStyle name="Normal 2 4 10 2 4" xfId="1764"/>
    <cellStyle name="Normal 2 4 10 3" xfId="1765"/>
    <cellStyle name="Normal 2 4 10 4" xfId="1766"/>
    <cellStyle name="Normal 2 4 10 5" xfId="1767"/>
    <cellStyle name="Normal 2 4 11" xfId="1768"/>
    <cellStyle name="Normal 2 4 11 2" xfId="1769"/>
    <cellStyle name="Normal 2 4 11 2 2" xfId="1770"/>
    <cellStyle name="Normal 2 4 11 2 3" xfId="1771"/>
    <cellStyle name="Normal 2 4 11 2 4" xfId="1772"/>
    <cellStyle name="Normal 2 4 11 3" xfId="1773"/>
    <cellStyle name="Normal 2 4 11 4" xfId="1774"/>
    <cellStyle name="Normal 2 4 11 5" xfId="1775"/>
    <cellStyle name="Normal 2 4 12" xfId="1776"/>
    <cellStyle name="Normal 2 4 12 2" xfId="1777"/>
    <cellStyle name="Normal 2 4 12 2 2" xfId="1778"/>
    <cellStyle name="Normal 2 4 12 2 3" xfId="1779"/>
    <cellStyle name="Normal 2 4 12 2 4" xfId="1780"/>
    <cellStyle name="Normal 2 4 12 3" xfId="1781"/>
    <cellStyle name="Normal 2 4 12 4" xfId="1782"/>
    <cellStyle name="Normal 2 4 12 5" xfId="1783"/>
    <cellStyle name="Normal 2 4 13" xfId="1784"/>
    <cellStyle name="Normal 2 4 13 2" xfId="1785"/>
    <cellStyle name="Normal 2 4 13 2 2" xfId="1786"/>
    <cellStyle name="Normal 2 4 13 2 3" xfId="1787"/>
    <cellStyle name="Normal 2 4 13 2 4" xfId="1788"/>
    <cellStyle name="Normal 2 4 13 3" xfId="1789"/>
    <cellStyle name="Normal 2 4 13 4" xfId="1790"/>
    <cellStyle name="Normal 2 4 13 5" xfId="1791"/>
    <cellStyle name="Normal 2 4 14" xfId="1792"/>
    <cellStyle name="Normal 2 4 15" xfId="1793"/>
    <cellStyle name="Normal 2 4 2" xfId="1794"/>
    <cellStyle name="Normal 2 4 2 2" xfId="1795"/>
    <cellStyle name="Normal 2 4 2 2 2" xfId="1796"/>
    <cellStyle name="Normal 2 4 2 2 3" xfId="1797"/>
    <cellStyle name="Normal 2 4 2 2 4" xfId="1798"/>
    <cellStyle name="Normal 2 4 2 3" xfId="1799"/>
    <cellStyle name="Normal 2 4 2 4" xfId="1800"/>
    <cellStyle name="Normal 2 4 2 5" xfId="1801"/>
    <cellStyle name="Normal 2 4 3" xfId="1802"/>
    <cellStyle name="Normal 2 4 3 2" xfId="1803"/>
    <cellStyle name="Normal 2 4 3 2 2" xfId="1804"/>
    <cellStyle name="Normal 2 4 3 2 3" xfId="1805"/>
    <cellStyle name="Normal 2 4 3 2 4" xfId="1806"/>
    <cellStyle name="Normal 2 4 3 3" xfId="1807"/>
    <cellStyle name="Normal 2 4 3 4" xfId="1808"/>
    <cellStyle name="Normal 2 4 3 5" xfId="1809"/>
    <cellStyle name="Normal 2 4 4" xfId="1810"/>
    <cellStyle name="Normal 2 4 4 2" xfId="1811"/>
    <cellStyle name="Normal 2 4 4 2 2" xfId="1812"/>
    <cellStyle name="Normal 2 4 4 2 3" xfId="1813"/>
    <cellStyle name="Normal 2 4 4 2 4" xfId="1814"/>
    <cellStyle name="Normal 2 4 4 3" xfId="1815"/>
    <cellStyle name="Normal 2 4 4 4" xfId="1816"/>
    <cellStyle name="Normal 2 4 4 5" xfId="1817"/>
    <cellStyle name="Normal 2 4 5" xfId="1818"/>
    <cellStyle name="Normal 2 4 5 2" xfId="1819"/>
    <cellStyle name="Normal 2 4 5 2 2" xfId="1820"/>
    <cellStyle name="Normal 2 4 5 2 3" xfId="1821"/>
    <cellStyle name="Normal 2 4 5 2 4" xfId="1822"/>
    <cellStyle name="Normal 2 4 5 3" xfId="1823"/>
    <cellStyle name="Normal 2 4 5 4" xfId="1824"/>
    <cellStyle name="Normal 2 4 5 5" xfId="1825"/>
    <cellStyle name="Normal 2 4 6" xfId="1826"/>
    <cellStyle name="Normal 2 4 6 2" xfId="1827"/>
    <cellStyle name="Normal 2 4 6 2 2" xfId="1828"/>
    <cellStyle name="Normal 2 4 6 2 3" xfId="1829"/>
    <cellStyle name="Normal 2 4 6 2 4" xfId="1830"/>
    <cellStyle name="Normal 2 4 6 3" xfId="1831"/>
    <cellStyle name="Normal 2 4 6 4" xfId="1832"/>
    <cellStyle name="Normal 2 4 6 5" xfId="1833"/>
    <cellStyle name="Normal 2 4 7" xfId="1834"/>
    <cellStyle name="Normal 2 4 7 2" xfId="1835"/>
    <cellStyle name="Normal 2 4 7 2 2" xfId="1836"/>
    <cellStyle name="Normal 2 4 7 2 3" xfId="1837"/>
    <cellStyle name="Normal 2 4 7 2 4" xfId="1838"/>
    <cellStyle name="Normal 2 4 7 3" xfId="1839"/>
    <cellStyle name="Normal 2 4 7 4" xfId="1840"/>
    <cellStyle name="Normal 2 4 7 5" xfId="1841"/>
    <cellStyle name="Normal 2 4 8" xfId="1842"/>
    <cellStyle name="Normal 2 4 8 2" xfId="1843"/>
    <cellStyle name="Normal 2 4 8 2 2" xfId="1844"/>
    <cellStyle name="Normal 2 4 8 2 3" xfId="1845"/>
    <cellStyle name="Normal 2 4 8 2 4" xfId="1846"/>
    <cellStyle name="Normal 2 4 8 3" xfId="1847"/>
    <cellStyle name="Normal 2 4 8 4" xfId="1848"/>
    <cellStyle name="Normal 2 4 8 5" xfId="1849"/>
    <cellStyle name="Normal 2 4 9" xfId="1850"/>
    <cellStyle name="Normal 2 4 9 2" xfId="1851"/>
    <cellStyle name="Normal 2 4 9 2 2" xfId="1852"/>
    <cellStyle name="Normal 2 4 9 2 3" xfId="1853"/>
    <cellStyle name="Normal 2 4 9 2 4" xfId="1854"/>
    <cellStyle name="Normal 2 4 9 3" xfId="1855"/>
    <cellStyle name="Normal 2 4 9 4" xfId="1856"/>
    <cellStyle name="Normal 2 4 9 5" xfId="1857"/>
    <cellStyle name="Normal 2 5" xfId="1858"/>
    <cellStyle name="Normal 2 5 2" xfId="1859"/>
    <cellStyle name="Normal 2 5 3" xfId="1860"/>
    <cellStyle name="Normal 2 6" xfId="1861"/>
    <cellStyle name="Normal 2 6 2" xfId="1862"/>
    <cellStyle name="Normal 2 6 3" xfId="1863"/>
    <cellStyle name="Normal 2 7" xfId="1864"/>
    <cellStyle name="Normal 2 7 2" xfId="1865"/>
    <cellStyle name="Normal 2 7 3" xfId="1866"/>
    <cellStyle name="Normal 2 8" xfId="1867"/>
    <cellStyle name="Normal 2 8 2" xfId="1868"/>
    <cellStyle name="Normal 2 8 3" xfId="1869"/>
    <cellStyle name="Normal 2 9" xfId="1870"/>
    <cellStyle name="Normal 2 9 2" xfId="1871"/>
    <cellStyle name="Normal 2_OTHsectors" xfId="1872"/>
    <cellStyle name="Normal 20" xfId="1873"/>
    <cellStyle name="Normal 21" xfId="1874"/>
    <cellStyle name="Normal 21 2" xfId="1875"/>
    <cellStyle name="Normal 26" xfId="1876"/>
    <cellStyle name="Normal 26 2" xfId="1877"/>
    <cellStyle name="Normal 3" xfId="1878"/>
    <cellStyle name="Normal 3 10" xfId="1879"/>
    <cellStyle name="Normal 3 10 2" xfId="1880"/>
    <cellStyle name="Normal 3 11" xfId="1881"/>
    <cellStyle name="Normal 3 11 2" xfId="1882"/>
    <cellStyle name="Normal 3 12" xfId="1883"/>
    <cellStyle name="Normal 3 12 2" xfId="1884"/>
    <cellStyle name="Normal 3 13" xfId="1885"/>
    <cellStyle name="Normal 3 13 2" xfId="1886"/>
    <cellStyle name="Normal 3 14" xfId="1887"/>
    <cellStyle name="Normal 3 14 2" xfId="1888"/>
    <cellStyle name="Normal 3 14 3" xfId="1889"/>
    <cellStyle name="Normal 3 14 4" xfId="1890"/>
    <cellStyle name="Normal 3 15" xfId="1891"/>
    <cellStyle name="Normal 3 16" xfId="1892"/>
    <cellStyle name="Normal 3 17" xfId="1893"/>
    <cellStyle name="Normal 3 18" xfId="1894"/>
    <cellStyle name="Normal 3 2" xfId="1895"/>
    <cellStyle name="Normal 3 2 10" xfId="1896"/>
    <cellStyle name="Normal 3 2 2" xfId="1897"/>
    <cellStyle name="Normal 3 2 2 2" xfId="1898"/>
    <cellStyle name="Normal 3 2 2 3" xfId="1899"/>
    <cellStyle name="Normal 3 2 3" xfId="1900"/>
    <cellStyle name="Normal 3 2 3 2" xfId="1901"/>
    <cellStyle name="Normal 3 2 4" xfId="1902"/>
    <cellStyle name="Normal 3 2 4 2" xfId="1903"/>
    <cellStyle name="Normal 3 2 5" xfId="1904"/>
    <cellStyle name="Normal 3 2 5 2" xfId="1905"/>
    <cellStyle name="Normal 3 2 6" xfId="1906"/>
    <cellStyle name="Normal 3 2 6 2" xfId="1907"/>
    <cellStyle name="Normal 3 2 7" xfId="1908"/>
    <cellStyle name="Normal 3 2 7 2" xfId="1909"/>
    <cellStyle name="Normal 3 2 8" xfId="1910"/>
    <cellStyle name="Normal 3 2 8 2" xfId="1911"/>
    <cellStyle name="Normal 3 2 9" xfId="1912"/>
    <cellStyle name="Normal 3 3" xfId="1913"/>
    <cellStyle name="Normal 3 3 10" xfId="1914"/>
    <cellStyle name="Normal 3 3 2" xfId="1915"/>
    <cellStyle name="Normal 3 3 2 2" xfId="1916"/>
    <cellStyle name="Normal 3 3 3" xfId="1917"/>
    <cellStyle name="Normal 3 3 3 2" xfId="1918"/>
    <cellStyle name="Normal 3 3 4" xfId="1919"/>
    <cellStyle name="Normal 3 3 4 2" xfId="1920"/>
    <cellStyle name="Normal 3 3 5" xfId="1921"/>
    <cellStyle name="Normal 3 3 5 2" xfId="1922"/>
    <cellStyle name="Normal 3 3 6" xfId="1923"/>
    <cellStyle name="Normal 3 3 6 2" xfId="1924"/>
    <cellStyle name="Normal 3 3 7" xfId="1925"/>
    <cellStyle name="Normal 3 3 7 2" xfId="1926"/>
    <cellStyle name="Normal 3 3 8" xfId="1927"/>
    <cellStyle name="Normal 3 3 8 2" xfId="1928"/>
    <cellStyle name="Normal 3 3 9" xfId="1929"/>
    <cellStyle name="Normal 3 4" xfId="1930"/>
    <cellStyle name="Normal 3 4 10" xfId="1931"/>
    <cellStyle name="Normal 3 4 2" xfId="1932"/>
    <cellStyle name="Normal 3 4 2 2" xfId="1933"/>
    <cellStyle name="Normal 3 4 2 3" xfId="1934"/>
    <cellStyle name="Normal 3 4 3" xfId="1935"/>
    <cellStyle name="Normal 3 4 3 2" xfId="1936"/>
    <cellStyle name="Normal 3 4 4" xfId="1937"/>
    <cellStyle name="Normal 3 4 4 2" xfId="1938"/>
    <cellStyle name="Normal 3 4 5" xfId="1939"/>
    <cellStyle name="Normal 3 4 5 2" xfId="1940"/>
    <cellStyle name="Normal 3 4 6" xfId="1941"/>
    <cellStyle name="Normal 3 4 6 2" xfId="1942"/>
    <cellStyle name="Normal 3 4 7" xfId="1943"/>
    <cellStyle name="Normal 3 4 7 2" xfId="1944"/>
    <cellStyle name="Normal 3 4 8" xfId="1945"/>
    <cellStyle name="Normal 3 4 8 2" xfId="1946"/>
    <cellStyle name="Normal 3 4 9" xfId="1947"/>
    <cellStyle name="Normal 3 5" xfId="1948"/>
    <cellStyle name="Normal 3 5 10" xfId="1949"/>
    <cellStyle name="Normal 3 5 2" xfId="1950"/>
    <cellStyle name="Normal 3 5 2 2" xfId="1951"/>
    <cellStyle name="Normal 3 5 3" xfId="1952"/>
    <cellStyle name="Normal 3 5 3 2" xfId="1953"/>
    <cellStyle name="Normal 3 5 4" xfId="1954"/>
    <cellStyle name="Normal 3 5 4 2" xfId="1955"/>
    <cellStyle name="Normal 3 5 5" xfId="1956"/>
    <cellStyle name="Normal 3 5 5 2" xfId="1957"/>
    <cellStyle name="Normal 3 5 6" xfId="1958"/>
    <cellStyle name="Normal 3 5 6 2" xfId="1959"/>
    <cellStyle name="Normal 3 5 7" xfId="1960"/>
    <cellStyle name="Normal 3 5 7 2" xfId="1961"/>
    <cellStyle name="Normal 3 5 8" xfId="1962"/>
    <cellStyle name="Normal 3 5 8 2" xfId="1963"/>
    <cellStyle name="Normal 3 5 9" xfId="1964"/>
    <cellStyle name="Normal 3 6" xfId="1965"/>
    <cellStyle name="Normal 3 6 2" xfId="1966"/>
    <cellStyle name="Normal 3 6 3" xfId="1967"/>
    <cellStyle name="Normal 3 7" xfId="1968"/>
    <cellStyle name="Normal 3 7 2" xfId="1969"/>
    <cellStyle name="Normal 3 8" xfId="1970"/>
    <cellStyle name="Normal 3 8 2" xfId="1971"/>
    <cellStyle name="Normal 3 9" xfId="1972"/>
    <cellStyle name="Normal 3 9 2" xfId="1973"/>
    <cellStyle name="Normal 4" xfId="1974"/>
    <cellStyle name="Normal 4 10" xfId="1975"/>
    <cellStyle name="Normal 4 10 2" xfId="1976"/>
    <cellStyle name="Normal 4 11" xfId="1977"/>
    <cellStyle name="Normal 4 11 2" xfId="1978"/>
    <cellStyle name="Normal 4 12" xfId="1979"/>
    <cellStyle name="Normal 4 12 2" xfId="1980"/>
    <cellStyle name="Normal 4 13" xfId="1981"/>
    <cellStyle name="Normal 4 14" xfId="1982"/>
    <cellStyle name="Normal 4 15" xfId="1983"/>
    <cellStyle name="Normal 4 2" xfId="1984"/>
    <cellStyle name="Normal 4 2 10" xfId="1985"/>
    <cellStyle name="Normal 4 2 2" xfId="1986"/>
    <cellStyle name="Normal 4 2 2 10" xfId="1987"/>
    <cellStyle name="Normal 4 2 2 10 2" xfId="1988"/>
    <cellStyle name="Normal 4 2 2 10 2 2" xfId="1989"/>
    <cellStyle name="Normal 4 2 2 10 2 3" xfId="1990"/>
    <cellStyle name="Normal 4 2 2 10 2 4" xfId="1991"/>
    <cellStyle name="Normal 4 2 2 10 3" xfId="1992"/>
    <cellStyle name="Normal 4 2 2 10 4" xfId="1993"/>
    <cellStyle name="Normal 4 2 2 10 5" xfId="1994"/>
    <cellStyle name="Normal 4 2 2 11" xfId="1995"/>
    <cellStyle name="Normal 4 2 2 11 2" xfId="1996"/>
    <cellStyle name="Normal 4 2 2 11 2 2" xfId="1997"/>
    <cellStyle name="Normal 4 2 2 11 2 3" xfId="1998"/>
    <cellStyle name="Normal 4 2 2 11 2 4" xfId="1999"/>
    <cellStyle name="Normal 4 2 2 11 3" xfId="2000"/>
    <cellStyle name="Normal 4 2 2 11 4" xfId="2001"/>
    <cellStyle name="Normal 4 2 2 11 5" xfId="2002"/>
    <cellStyle name="Normal 4 2 2 12" xfId="2003"/>
    <cellStyle name="Normal 4 2 2 12 2" xfId="2004"/>
    <cellStyle name="Normal 4 2 2 12 2 2" xfId="2005"/>
    <cellStyle name="Normal 4 2 2 12 2 3" xfId="2006"/>
    <cellStyle name="Normal 4 2 2 12 2 4" xfId="2007"/>
    <cellStyle name="Normal 4 2 2 12 3" xfId="2008"/>
    <cellStyle name="Normal 4 2 2 12 4" xfId="2009"/>
    <cellStyle name="Normal 4 2 2 12 5" xfId="2010"/>
    <cellStyle name="Normal 4 2 2 13" xfId="2011"/>
    <cellStyle name="Normal 4 2 2 13 2" xfId="2012"/>
    <cellStyle name="Normal 4 2 2 13 2 2" xfId="2013"/>
    <cellStyle name="Normal 4 2 2 13 2 3" xfId="2014"/>
    <cellStyle name="Normal 4 2 2 13 2 4" xfId="2015"/>
    <cellStyle name="Normal 4 2 2 13 3" xfId="2016"/>
    <cellStyle name="Normal 4 2 2 13 4" xfId="2017"/>
    <cellStyle name="Normal 4 2 2 13 5" xfId="2018"/>
    <cellStyle name="Normal 4 2 2 14" xfId="2019"/>
    <cellStyle name="Normal 4 2 2 2" xfId="2020"/>
    <cellStyle name="Normal 4 2 2 2 10" xfId="2021"/>
    <cellStyle name="Normal 4 2 2 2 10 2" xfId="2022"/>
    <cellStyle name="Normal 4 2 2 2 11" xfId="2023"/>
    <cellStyle name="Normal 4 2 2 2 11 2" xfId="2024"/>
    <cellStyle name="Normal 4 2 2 2 12" xfId="2025"/>
    <cellStyle name="Normal 4 2 2 2 12 2" xfId="2026"/>
    <cellStyle name="Normal 4 2 2 2 13" xfId="2027"/>
    <cellStyle name="Normal 4 2 2 2 13 2" xfId="2028"/>
    <cellStyle name="Normal 4 2 2 2 14" xfId="2029"/>
    <cellStyle name="Normal 4 2 2 2 14 2" xfId="2030"/>
    <cellStyle name="Normal 4 2 2 2 14 3" xfId="2031"/>
    <cellStyle name="Normal 4 2 2 2 14 4" xfId="2032"/>
    <cellStyle name="Normal 4 2 2 2 15" xfId="2033"/>
    <cellStyle name="Normal 4 2 2 2 16" xfId="2034"/>
    <cellStyle name="Normal 4 2 2 2 17" xfId="2035"/>
    <cellStyle name="Normal 4 2 2 2 2" xfId="2036"/>
    <cellStyle name="Normal 4 2 2 2 2 2" xfId="2037"/>
    <cellStyle name="Normal 4 2 2 2 3" xfId="2038"/>
    <cellStyle name="Normal 4 2 2 2 3 2" xfId="2039"/>
    <cellStyle name="Normal 4 2 2 2 4" xfId="2040"/>
    <cellStyle name="Normal 4 2 2 2 4 2" xfId="2041"/>
    <cellStyle name="Normal 4 2 2 2 5" xfId="2042"/>
    <cellStyle name="Normal 4 2 2 2 5 2" xfId="2043"/>
    <cellStyle name="Normal 4 2 2 2 6" xfId="2044"/>
    <cellStyle name="Normal 4 2 2 2 6 2" xfId="2045"/>
    <cellStyle name="Normal 4 2 2 2 7" xfId="2046"/>
    <cellStyle name="Normal 4 2 2 2 7 2" xfId="2047"/>
    <cellStyle name="Normal 4 2 2 2 8" xfId="2048"/>
    <cellStyle name="Normal 4 2 2 2 8 2" xfId="2049"/>
    <cellStyle name="Normal 4 2 2 2 9" xfId="2050"/>
    <cellStyle name="Normal 4 2 2 2 9 2" xfId="2051"/>
    <cellStyle name="Normal 4 2 2 3" xfId="2052"/>
    <cellStyle name="Normal 4 2 2 3 2" xfId="2053"/>
    <cellStyle name="Normal 4 2 2 3 2 2" xfId="2054"/>
    <cellStyle name="Normal 4 2 2 3 2 3" xfId="2055"/>
    <cellStyle name="Normal 4 2 2 3 2 4" xfId="2056"/>
    <cellStyle name="Normal 4 2 2 3 3" xfId="2057"/>
    <cellStyle name="Normal 4 2 2 3 4" xfId="2058"/>
    <cellStyle name="Normal 4 2 2 3 5" xfId="2059"/>
    <cellStyle name="Normal 4 2 2 4" xfId="2060"/>
    <cellStyle name="Normal 4 2 2 4 2" xfId="2061"/>
    <cellStyle name="Normal 4 2 2 4 2 2" xfId="2062"/>
    <cellStyle name="Normal 4 2 2 4 2 3" xfId="2063"/>
    <cellStyle name="Normal 4 2 2 4 2 4" xfId="2064"/>
    <cellStyle name="Normal 4 2 2 4 3" xfId="2065"/>
    <cellStyle name="Normal 4 2 2 4 4" xfId="2066"/>
    <cellStyle name="Normal 4 2 2 4 5" xfId="2067"/>
    <cellStyle name="Normal 4 2 2 5" xfId="2068"/>
    <cellStyle name="Normal 4 2 2 5 2" xfId="2069"/>
    <cellStyle name="Normal 4 2 2 5 2 2" xfId="2070"/>
    <cellStyle name="Normal 4 2 2 5 2 3" xfId="2071"/>
    <cellStyle name="Normal 4 2 2 5 2 4" xfId="2072"/>
    <cellStyle name="Normal 4 2 2 5 3" xfId="2073"/>
    <cellStyle name="Normal 4 2 2 5 4" xfId="2074"/>
    <cellStyle name="Normal 4 2 2 5 5" xfId="2075"/>
    <cellStyle name="Normal 4 2 2 6" xfId="2076"/>
    <cellStyle name="Normal 4 2 2 6 2" xfId="2077"/>
    <cellStyle name="Normal 4 2 2 6 2 2" xfId="2078"/>
    <cellStyle name="Normal 4 2 2 6 2 3" xfId="2079"/>
    <cellStyle name="Normal 4 2 2 6 2 4" xfId="2080"/>
    <cellStyle name="Normal 4 2 2 6 3" xfId="2081"/>
    <cellStyle name="Normal 4 2 2 6 4" xfId="2082"/>
    <cellStyle name="Normal 4 2 2 6 5" xfId="2083"/>
    <cellStyle name="Normal 4 2 2 7" xfId="2084"/>
    <cellStyle name="Normal 4 2 2 7 2" xfId="2085"/>
    <cellStyle name="Normal 4 2 2 7 2 2" xfId="2086"/>
    <cellStyle name="Normal 4 2 2 7 2 3" xfId="2087"/>
    <cellStyle name="Normal 4 2 2 7 2 4" xfId="2088"/>
    <cellStyle name="Normal 4 2 2 7 3" xfId="2089"/>
    <cellStyle name="Normal 4 2 2 7 4" xfId="2090"/>
    <cellStyle name="Normal 4 2 2 7 5" xfId="2091"/>
    <cellStyle name="Normal 4 2 2 8" xfId="2092"/>
    <cellStyle name="Normal 4 2 2 8 2" xfId="2093"/>
    <cellStyle name="Normal 4 2 2 8 2 2" xfId="2094"/>
    <cellStyle name="Normal 4 2 2 8 2 3" xfId="2095"/>
    <cellStyle name="Normal 4 2 2 8 2 4" xfId="2096"/>
    <cellStyle name="Normal 4 2 2 8 3" xfId="2097"/>
    <cellStyle name="Normal 4 2 2 8 4" xfId="2098"/>
    <cellStyle name="Normal 4 2 2 8 5" xfId="2099"/>
    <cellStyle name="Normal 4 2 2 9" xfId="2100"/>
    <cellStyle name="Normal 4 2 2 9 2" xfId="2101"/>
    <cellStyle name="Normal 4 2 2 9 2 2" xfId="2102"/>
    <cellStyle name="Normal 4 2 2 9 2 3" xfId="2103"/>
    <cellStyle name="Normal 4 2 2 9 2 4" xfId="2104"/>
    <cellStyle name="Normal 4 2 2 9 3" xfId="2105"/>
    <cellStyle name="Normal 4 2 2 9 4" xfId="2106"/>
    <cellStyle name="Normal 4 2 2 9 5" xfId="2107"/>
    <cellStyle name="Normal 4 2 3" xfId="2108"/>
    <cellStyle name="Normal 4 2 3 2" xfId="2109"/>
    <cellStyle name="Normal 4 2 4" xfId="2110"/>
    <cellStyle name="Normal 4 2 4 2" xfId="2111"/>
    <cellStyle name="Normal 4 2 5" xfId="2112"/>
    <cellStyle name="Normal 4 2 5 2" xfId="2113"/>
    <cellStyle name="Normal 4 2 6" xfId="2114"/>
    <cellStyle name="Normal 4 2 6 2" xfId="2115"/>
    <cellStyle name="Normal 4 2 7" xfId="2116"/>
    <cellStyle name="Normal 4 2 7 2" xfId="2117"/>
    <cellStyle name="Normal 4 2 8" xfId="2118"/>
    <cellStyle name="Normal 4 2 8 2" xfId="2119"/>
    <cellStyle name="Normal 4 2 9" xfId="2120"/>
    <cellStyle name="Normal 4 3" xfId="2121"/>
    <cellStyle name="Normal 4 3 10" xfId="2122"/>
    <cellStyle name="Normal 4 3 2" xfId="2123"/>
    <cellStyle name="Normal 4 3 2 2" xfId="2124"/>
    <cellStyle name="Normal 4 3 3" xfId="2125"/>
    <cellStyle name="Normal 4 3 3 2" xfId="2126"/>
    <cellStyle name="Normal 4 3 4" xfId="2127"/>
    <cellStyle name="Normal 4 3 4 2" xfId="2128"/>
    <cellStyle name="Normal 4 3 5" xfId="2129"/>
    <cellStyle name="Normal 4 3 5 2" xfId="2130"/>
    <cellStyle name="Normal 4 3 6" xfId="2131"/>
    <cellStyle name="Normal 4 3 6 2" xfId="2132"/>
    <cellStyle name="Normal 4 3 7" xfId="2133"/>
    <cellStyle name="Normal 4 3 7 2" xfId="2134"/>
    <cellStyle name="Normal 4 3 8" xfId="2135"/>
    <cellStyle name="Normal 4 3 8 2" xfId="2136"/>
    <cellStyle name="Normal 4 3 9" xfId="2137"/>
    <cellStyle name="Normal 4 4" xfId="2138"/>
    <cellStyle name="Normal 4 4 10" xfId="2139"/>
    <cellStyle name="Normal 4 4 2" xfId="2140"/>
    <cellStyle name="Normal 4 4 2 2" xfId="2141"/>
    <cellStyle name="Normal 4 4 3" xfId="2142"/>
    <cellStyle name="Normal 4 4 3 2" xfId="2143"/>
    <cellStyle name="Normal 4 4 4" xfId="2144"/>
    <cellStyle name="Normal 4 4 4 2" xfId="2145"/>
    <cellStyle name="Normal 4 4 5" xfId="2146"/>
    <cellStyle name="Normal 4 4 5 2" xfId="2147"/>
    <cellStyle name="Normal 4 4 6" xfId="2148"/>
    <cellStyle name="Normal 4 4 6 2" xfId="2149"/>
    <cellStyle name="Normal 4 4 7" xfId="2150"/>
    <cellStyle name="Normal 4 4 7 2" xfId="2151"/>
    <cellStyle name="Normal 4 4 8" xfId="2152"/>
    <cellStyle name="Normal 4 4 8 2" xfId="2153"/>
    <cellStyle name="Normal 4 4 9" xfId="2154"/>
    <cellStyle name="Normal 4 5" xfId="2155"/>
    <cellStyle name="Normal 4 5 2" xfId="2156"/>
    <cellStyle name="Normal 4 5 2 2" xfId="2157"/>
    <cellStyle name="Normal 4 5 3" xfId="2158"/>
    <cellStyle name="Normal 4 5 3 2" xfId="2159"/>
    <cellStyle name="Normal 4 5 4" xfId="2160"/>
    <cellStyle name="Normal 4 5 4 2" xfId="2161"/>
    <cellStyle name="Normal 4 5 5" xfId="2162"/>
    <cellStyle name="Normal 4 5 5 2" xfId="2163"/>
    <cellStyle name="Normal 4 5 6" xfId="2164"/>
    <cellStyle name="Normal 4 5 6 2" xfId="2165"/>
    <cellStyle name="Normal 4 5 7" xfId="2166"/>
    <cellStyle name="Normal 4 5 7 2" xfId="2167"/>
    <cellStyle name="Normal 4 5 8" xfId="2168"/>
    <cellStyle name="Normal 4 5 8 2" xfId="2169"/>
    <cellStyle name="Normal 4 5 9" xfId="2170"/>
    <cellStyle name="Normal 4 6" xfId="2171"/>
    <cellStyle name="Normal 4 6 2" xfId="2172"/>
    <cellStyle name="Normal 4 7" xfId="2173"/>
    <cellStyle name="Normal 4 7 2" xfId="2174"/>
    <cellStyle name="Normal 4 8" xfId="2175"/>
    <cellStyle name="Normal 4 8 2" xfId="2176"/>
    <cellStyle name="Normal 4 9" xfId="2177"/>
    <cellStyle name="Normal 4 9 2" xfId="2178"/>
    <cellStyle name="Normal 5" xfId="2179"/>
    <cellStyle name="Normal 5 10" xfId="2180"/>
    <cellStyle name="Normal 5 10 2" xfId="2181"/>
    <cellStyle name="Normal 5 11" xfId="2182"/>
    <cellStyle name="Normal 5 11 2" xfId="2183"/>
    <cellStyle name="Normal 5 12" xfId="2184"/>
    <cellStyle name="Normal 5 12 2" xfId="2185"/>
    <cellStyle name="Normal 5 13" xfId="2186"/>
    <cellStyle name="Normal 5 13 2" xfId="2187"/>
    <cellStyle name="Normal 5 14" xfId="2188"/>
    <cellStyle name="Normal 5 14 2" xfId="2189"/>
    <cellStyle name="Normal 5 14 3" xfId="2190"/>
    <cellStyle name="Normal 5 14 4" xfId="2191"/>
    <cellStyle name="Normal 5 15" xfId="2192"/>
    <cellStyle name="Normal 5 16" xfId="2193"/>
    <cellStyle name="Normal 5 17" xfId="2194"/>
    <cellStyle name="Normal 5 18" xfId="2195"/>
    <cellStyle name="Normal 5 19" xfId="2196"/>
    <cellStyle name="Normal 5 2" xfId="2197"/>
    <cellStyle name="Normal 5 2 10" xfId="2198"/>
    <cellStyle name="Normal 5 2 10 2" xfId="2199"/>
    <cellStyle name="Normal 5 2 10 3" xfId="2200"/>
    <cellStyle name="Normal 5 2 10 4" xfId="2201"/>
    <cellStyle name="Normal 5 2 11" xfId="2202"/>
    <cellStyle name="Normal 5 2 12" xfId="2203"/>
    <cellStyle name="Normal 5 2 13" xfId="2204"/>
    <cellStyle name="Normal 5 2 14" xfId="2205"/>
    <cellStyle name="Normal 5 2 15" xfId="2206"/>
    <cellStyle name="Normal 5 2 2" xfId="2207"/>
    <cellStyle name="Normal 5 2 2 10" xfId="2208"/>
    <cellStyle name="Normal 5 2 2 10 2" xfId="2209"/>
    <cellStyle name="Normal 5 2 2 10 2 2" xfId="2210"/>
    <cellStyle name="Normal 5 2 2 10 2 3" xfId="2211"/>
    <cellStyle name="Normal 5 2 2 10 2 4" xfId="2212"/>
    <cellStyle name="Normal 5 2 2 10 3" xfId="2213"/>
    <cellStyle name="Normal 5 2 2 10 4" xfId="2214"/>
    <cellStyle name="Normal 5 2 2 10 5" xfId="2215"/>
    <cellStyle name="Normal 5 2 2 11" xfId="2216"/>
    <cellStyle name="Normal 5 2 2 11 2" xfId="2217"/>
    <cellStyle name="Normal 5 2 2 11 2 2" xfId="2218"/>
    <cellStyle name="Normal 5 2 2 11 2 3" xfId="2219"/>
    <cellStyle name="Normal 5 2 2 11 2 4" xfId="2220"/>
    <cellStyle name="Normal 5 2 2 11 3" xfId="2221"/>
    <cellStyle name="Normal 5 2 2 11 4" xfId="2222"/>
    <cellStyle name="Normal 5 2 2 11 5" xfId="2223"/>
    <cellStyle name="Normal 5 2 2 12" xfId="2224"/>
    <cellStyle name="Normal 5 2 2 12 2" xfId="2225"/>
    <cellStyle name="Normal 5 2 2 12 2 2" xfId="2226"/>
    <cellStyle name="Normal 5 2 2 12 2 3" xfId="2227"/>
    <cellStyle name="Normal 5 2 2 12 2 4" xfId="2228"/>
    <cellStyle name="Normal 5 2 2 12 3" xfId="2229"/>
    <cellStyle name="Normal 5 2 2 12 4" xfId="2230"/>
    <cellStyle name="Normal 5 2 2 12 5" xfId="2231"/>
    <cellStyle name="Normal 5 2 2 13" xfId="2232"/>
    <cellStyle name="Normal 5 2 2 13 2" xfId="2233"/>
    <cellStyle name="Normal 5 2 2 13 2 2" xfId="2234"/>
    <cellStyle name="Normal 5 2 2 13 2 3" xfId="2235"/>
    <cellStyle name="Normal 5 2 2 13 2 4" xfId="2236"/>
    <cellStyle name="Normal 5 2 2 13 3" xfId="2237"/>
    <cellStyle name="Normal 5 2 2 13 4" xfId="2238"/>
    <cellStyle name="Normal 5 2 2 13 5" xfId="2239"/>
    <cellStyle name="Normal 5 2 2 14" xfId="2240"/>
    <cellStyle name="Normal 5 2 2 2" xfId="2241"/>
    <cellStyle name="Normal 5 2 2 2 10" xfId="2242"/>
    <cellStyle name="Normal 5 2 2 2 10 2" xfId="2243"/>
    <cellStyle name="Normal 5 2 2 2 11" xfId="2244"/>
    <cellStyle name="Normal 5 2 2 2 11 2" xfId="2245"/>
    <cellStyle name="Normal 5 2 2 2 12" xfId="2246"/>
    <cellStyle name="Normal 5 2 2 2 12 2" xfId="2247"/>
    <cellStyle name="Normal 5 2 2 2 13" xfId="2248"/>
    <cellStyle name="Normal 5 2 2 2 13 2" xfId="2249"/>
    <cellStyle name="Normal 5 2 2 2 14" xfId="2250"/>
    <cellStyle name="Normal 5 2 2 2 14 2" xfId="2251"/>
    <cellStyle name="Normal 5 2 2 2 14 3" xfId="2252"/>
    <cellStyle name="Normal 5 2 2 2 14 4" xfId="2253"/>
    <cellStyle name="Normal 5 2 2 2 15" xfId="2254"/>
    <cellStyle name="Normal 5 2 2 2 16" xfId="2255"/>
    <cellStyle name="Normal 5 2 2 2 17" xfId="2256"/>
    <cellStyle name="Normal 5 2 2 2 2" xfId="2257"/>
    <cellStyle name="Normal 5 2 2 2 2 2" xfId="2258"/>
    <cellStyle name="Normal 5 2 2 2 3" xfId="2259"/>
    <cellStyle name="Normal 5 2 2 2 3 2" xfId="2260"/>
    <cellStyle name="Normal 5 2 2 2 4" xfId="2261"/>
    <cellStyle name="Normal 5 2 2 2 4 2" xfId="2262"/>
    <cellStyle name="Normal 5 2 2 2 5" xfId="2263"/>
    <cellStyle name="Normal 5 2 2 2 5 2" xfId="2264"/>
    <cellStyle name="Normal 5 2 2 2 6" xfId="2265"/>
    <cellStyle name="Normal 5 2 2 2 6 2" xfId="2266"/>
    <cellStyle name="Normal 5 2 2 2 7" xfId="2267"/>
    <cellStyle name="Normal 5 2 2 2 7 2" xfId="2268"/>
    <cellStyle name="Normal 5 2 2 2 8" xfId="2269"/>
    <cellStyle name="Normal 5 2 2 2 8 2" xfId="2270"/>
    <cellStyle name="Normal 5 2 2 2 9" xfId="2271"/>
    <cellStyle name="Normal 5 2 2 2 9 2" xfId="2272"/>
    <cellStyle name="Normal 5 2 2 3" xfId="2273"/>
    <cellStyle name="Normal 5 2 2 3 2" xfId="2274"/>
    <cellStyle name="Normal 5 2 2 3 2 2" xfId="2275"/>
    <cellStyle name="Normal 5 2 2 3 2 3" xfId="2276"/>
    <cellStyle name="Normal 5 2 2 3 2 4" xfId="2277"/>
    <cellStyle name="Normal 5 2 2 3 3" xfId="2278"/>
    <cellStyle name="Normal 5 2 2 3 4" xfId="2279"/>
    <cellStyle name="Normal 5 2 2 3 5" xfId="2280"/>
    <cellStyle name="Normal 5 2 2 4" xfId="2281"/>
    <cellStyle name="Normal 5 2 2 4 2" xfId="2282"/>
    <cellStyle name="Normal 5 2 2 4 2 2" xfId="2283"/>
    <cellStyle name="Normal 5 2 2 4 2 3" xfId="2284"/>
    <cellStyle name="Normal 5 2 2 4 2 4" xfId="2285"/>
    <cellStyle name="Normal 5 2 2 4 3" xfId="2286"/>
    <cellStyle name="Normal 5 2 2 4 4" xfId="2287"/>
    <cellStyle name="Normal 5 2 2 4 5" xfId="2288"/>
    <cellStyle name="Normal 5 2 2 5" xfId="2289"/>
    <cellStyle name="Normal 5 2 2 5 2" xfId="2290"/>
    <cellStyle name="Normal 5 2 2 5 2 2" xfId="2291"/>
    <cellStyle name="Normal 5 2 2 5 2 3" xfId="2292"/>
    <cellStyle name="Normal 5 2 2 5 2 4" xfId="2293"/>
    <cellStyle name="Normal 5 2 2 5 3" xfId="2294"/>
    <cellStyle name="Normal 5 2 2 5 4" xfId="2295"/>
    <cellStyle name="Normal 5 2 2 5 5" xfId="2296"/>
    <cellStyle name="Normal 5 2 2 6" xfId="2297"/>
    <cellStyle name="Normal 5 2 2 6 2" xfId="2298"/>
    <cellStyle name="Normal 5 2 2 6 2 2" xfId="2299"/>
    <cellStyle name="Normal 5 2 2 6 2 3" xfId="2300"/>
    <cellStyle name="Normal 5 2 2 6 2 4" xfId="2301"/>
    <cellStyle name="Normal 5 2 2 6 3" xfId="2302"/>
    <cellStyle name="Normal 5 2 2 6 4" xfId="2303"/>
    <cellStyle name="Normal 5 2 2 6 5" xfId="2304"/>
    <cellStyle name="Normal 5 2 2 7" xfId="2305"/>
    <cellStyle name="Normal 5 2 2 7 2" xfId="2306"/>
    <cellStyle name="Normal 5 2 2 7 2 2" xfId="2307"/>
    <cellStyle name="Normal 5 2 2 7 2 3" xfId="2308"/>
    <cellStyle name="Normal 5 2 2 7 2 4" xfId="2309"/>
    <cellStyle name="Normal 5 2 2 7 3" xfId="2310"/>
    <cellStyle name="Normal 5 2 2 7 4" xfId="2311"/>
    <cellStyle name="Normal 5 2 2 7 5" xfId="2312"/>
    <cellStyle name="Normal 5 2 2 8" xfId="2313"/>
    <cellStyle name="Normal 5 2 2 8 2" xfId="2314"/>
    <cellStyle name="Normal 5 2 2 8 2 2" xfId="2315"/>
    <cellStyle name="Normal 5 2 2 8 2 3" xfId="2316"/>
    <cellStyle name="Normal 5 2 2 8 2 4" xfId="2317"/>
    <cellStyle name="Normal 5 2 2 8 3" xfId="2318"/>
    <cellStyle name="Normal 5 2 2 8 4" xfId="2319"/>
    <cellStyle name="Normal 5 2 2 8 5" xfId="2320"/>
    <cellStyle name="Normal 5 2 2 9" xfId="2321"/>
    <cellStyle name="Normal 5 2 2 9 2" xfId="2322"/>
    <cellStyle name="Normal 5 2 2 9 2 2" xfId="2323"/>
    <cellStyle name="Normal 5 2 2 9 2 3" xfId="2324"/>
    <cellStyle name="Normal 5 2 2 9 2 4" xfId="2325"/>
    <cellStyle name="Normal 5 2 2 9 3" xfId="2326"/>
    <cellStyle name="Normal 5 2 2 9 4" xfId="2327"/>
    <cellStyle name="Normal 5 2 2 9 5" xfId="2328"/>
    <cellStyle name="Normal 5 2 3" xfId="2329"/>
    <cellStyle name="Normal 5 2 3 2" xfId="2330"/>
    <cellStyle name="Normal 5 2 4" xfId="2331"/>
    <cellStyle name="Normal 5 2 4 2" xfId="2332"/>
    <cellStyle name="Normal 5 2 5" xfId="2333"/>
    <cellStyle name="Normal 5 2 5 2" xfId="2334"/>
    <cellStyle name="Normal 5 2 6" xfId="2335"/>
    <cellStyle name="Normal 5 2 6 2" xfId="2336"/>
    <cellStyle name="Normal 5 2 7" xfId="2337"/>
    <cellStyle name="Normal 5 2 7 2" xfId="2338"/>
    <cellStyle name="Normal 5 2 8" xfId="2339"/>
    <cellStyle name="Normal 5 2 8 2" xfId="2340"/>
    <cellStyle name="Normal 5 2 9" xfId="2341"/>
    <cellStyle name="Normal 5 2 9 2" xfId="2342"/>
    <cellStyle name="Normal 5 3" xfId="2343"/>
    <cellStyle name="Normal 5 3 10" xfId="2344"/>
    <cellStyle name="Normal 5 3 2" xfId="2345"/>
    <cellStyle name="Normal 5 3 2 2" xfId="2346"/>
    <cellStyle name="Normal 5 3 3" xfId="2347"/>
    <cellStyle name="Normal 5 3 3 2" xfId="2348"/>
    <cellStyle name="Normal 5 3 4" xfId="2349"/>
    <cellStyle name="Normal 5 3 4 2" xfId="2350"/>
    <cellStyle name="Normal 5 3 5" xfId="2351"/>
    <cellStyle name="Normal 5 3 5 2" xfId="2352"/>
    <cellStyle name="Normal 5 3 6" xfId="2353"/>
    <cellStyle name="Normal 5 3 6 2" xfId="2354"/>
    <cellStyle name="Normal 5 3 7" xfId="2355"/>
    <cellStyle name="Normal 5 3 7 2" xfId="2356"/>
    <cellStyle name="Normal 5 3 8" xfId="2357"/>
    <cellStyle name="Normal 5 3 8 2" xfId="2358"/>
    <cellStyle name="Normal 5 3 9" xfId="2359"/>
    <cellStyle name="Normal 5 4" xfId="2360"/>
    <cellStyle name="Normal 5 4 10" xfId="2361"/>
    <cellStyle name="Normal 5 4 2" xfId="2362"/>
    <cellStyle name="Normal 5 4 2 2" xfId="2363"/>
    <cellStyle name="Normal 5 4 3" xfId="2364"/>
    <cellStyle name="Normal 5 4 3 2" xfId="2365"/>
    <cellStyle name="Normal 5 4 4" xfId="2366"/>
    <cellStyle name="Normal 5 4 4 2" xfId="2367"/>
    <cellStyle name="Normal 5 4 5" xfId="2368"/>
    <cellStyle name="Normal 5 4 5 2" xfId="2369"/>
    <cellStyle name="Normal 5 4 6" xfId="2370"/>
    <cellStyle name="Normal 5 4 6 2" xfId="2371"/>
    <cellStyle name="Normal 5 4 7" xfId="2372"/>
    <cellStyle name="Normal 5 4 7 2" xfId="2373"/>
    <cellStyle name="Normal 5 4 8" xfId="2374"/>
    <cellStyle name="Normal 5 4 8 2" xfId="2375"/>
    <cellStyle name="Normal 5 4 9" xfId="2376"/>
    <cellStyle name="Normal 5 5" xfId="2377"/>
    <cellStyle name="Normal 5 5 2" xfId="2378"/>
    <cellStyle name="Normal 5 5 2 2" xfId="2379"/>
    <cellStyle name="Normal 5 5 3" xfId="2380"/>
    <cellStyle name="Normal 5 5 3 2" xfId="2381"/>
    <cellStyle name="Normal 5 5 4" xfId="2382"/>
    <cellStyle name="Normal 5 5 4 2" xfId="2383"/>
    <cellStyle name="Normal 5 5 5" xfId="2384"/>
    <cellStyle name="Normal 5 5 5 2" xfId="2385"/>
    <cellStyle name="Normal 5 5 6" xfId="2386"/>
    <cellStyle name="Normal 5 5 6 2" xfId="2387"/>
    <cellStyle name="Normal 5 5 7" xfId="2388"/>
    <cellStyle name="Normal 5 5 7 2" xfId="2389"/>
    <cellStyle name="Normal 5 5 8" xfId="2390"/>
    <cellStyle name="Normal 5 5 8 2" xfId="2391"/>
    <cellStyle name="Normal 5 5 9" xfId="2392"/>
    <cellStyle name="Normal 5 6" xfId="2393"/>
    <cellStyle name="Normal 5 6 2" xfId="2394"/>
    <cellStyle name="Normal 5 7" xfId="2395"/>
    <cellStyle name="Normal 5 7 2" xfId="2396"/>
    <cellStyle name="Normal 5 8" xfId="2397"/>
    <cellStyle name="Normal 5 8 2" xfId="2398"/>
    <cellStyle name="Normal 5 9" xfId="2399"/>
    <cellStyle name="Normal 5 9 2" xfId="2400"/>
    <cellStyle name="Normal 6" xfId="2401"/>
    <cellStyle name="Normal 6 10" xfId="2402"/>
    <cellStyle name="Normal 6 10 2" xfId="2403"/>
    <cellStyle name="Normal 6 11" xfId="2404"/>
    <cellStyle name="Normal 6 11 2" xfId="2405"/>
    <cellStyle name="Normal 6 12" xfId="2406"/>
    <cellStyle name="Normal 6 12 2" xfId="2407"/>
    <cellStyle name="Normal 6 13" xfId="2408"/>
    <cellStyle name="Normal 6 13 2" xfId="2409"/>
    <cellStyle name="Normal 6 14" xfId="2410"/>
    <cellStyle name="Normal 6 15" xfId="2411"/>
    <cellStyle name="Normal 6 2" xfId="2412"/>
    <cellStyle name="Normal 6 2 10" xfId="2413"/>
    <cellStyle name="Normal 6 2 2" xfId="2414"/>
    <cellStyle name="Normal 6 2 2 10" xfId="2415"/>
    <cellStyle name="Normal 6 2 2 10 2" xfId="2416"/>
    <cellStyle name="Normal 6 2 2 10 2 2" xfId="2417"/>
    <cellStyle name="Normal 6 2 2 10 2 3" xfId="2418"/>
    <cellStyle name="Normal 6 2 2 10 2 4" xfId="2419"/>
    <cellStyle name="Normal 6 2 2 10 3" xfId="2420"/>
    <cellStyle name="Normal 6 2 2 10 4" xfId="2421"/>
    <cellStyle name="Normal 6 2 2 10 5" xfId="2422"/>
    <cellStyle name="Normal 6 2 2 11" xfId="2423"/>
    <cellStyle name="Normal 6 2 2 11 2" xfId="2424"/>
    <cellStyle name="Normal 6 2 2 11 2 2" xfId="2425"/>
    <cellStyle name="Normal 6 2 2 11 2 3" xfId="2426"/>
    <cellStyle name="Normal 6 2 2 11 2 4" xfId="2427"/>
    <cellStyle name="Normal 6 2 2 11 3" xfId="2428"/>
    <cellStyle name="Normal 6 2 2 11 4" xfId="2429"/>
    <cellStyle name="Normal 6 2 2 11 5" xfId="2430"/>
    <cellStyle name="Normal 6 2 2 12" xfId="2431"/>
    <cellStyle name="Normal 6 2 2 12 2" xfId="2432"/>
    <cellStyle name="Normal 6 2 2 12 2 2" xfId="2433"/>
    <cellStyle name="Normal 6 2 2 12 2 3" xfId="2434"/>
    <cellStyle name="Normal 6 2 2 12 2 4" xfId="2435"/>
    <cellStyle name="Normal 6 2 2 12 3" xfId="2436"/>
    <cellStyle name="Normal 6 2 2 12 4" xfId="2437"/>
    <cellStyle name="Normal 6 2 2 12 5" xfId="2438"/>
    <cellStyle name="Normal 6 2 2 13" xfId="2439"/>
    <cellStyle name="Normal 6 2 2 13 2" xfId="2440"/>
    <cellStyle name="Normal 6 2 2 13 2 2" xfId="2441"/>
    <cellStyle name="Normal 6 2 2 13 2 3" xfId="2442"/>
    <cellStyle name="Normal 6 2 2 13 2 4" xfId="2443"/>
    <cellStyle name="Normal 6 2 2 13 3" xfId="2444"/>
    <cellStyle name="Normal 6 2 2 13 4" xfId="2445"/>
    <cellStyle name="Normal 6 2 2 13 5" xfId="2446"/>
    <cellStyle name="Normal 6 2 2 14" xfId="2447"/>
    <cellStyle name="Normal 6 2 2 15" xfId="2448"/>
    <cellStyle name="Normal 6 2 2 2" xfId="2449"/>
    <cellStyle name="Normal 6 2 2 2 2" xfId="2450"/>
    <cellStyle name="Normal 6 2 2 2 2 2" xfId="2451"/>
    <cellStyle name="Normal 6 2 2 2 2 3" xfId="2452"/>
    <cellStyle name="Normal 6 2 2 2 2 4" xfId="2453"/>
    <cellStyle name="Normal 6 2 2 2 3" xfId="2454"/>
    <cellStyle name="Normal 6 2 2 2 4" xfId="2455"/>
    <cellStyle name="Normal 6 2 2 2 5" xfId="2456"/>
    <cellStyle name="Normal 6 2 2 3" xfId="2457"/>
    <cellStyle name="Normal 6 2 2 3 2" xfId="2458"/>
    <cellStyle name="Normal 6 2 2 3 2 2" xfId="2459"/>
    <cellStyle name="Normal 6 2 2 3 2 3" xfId="2460"/>
    <cellStyle name="Normal 6 2 2 3 2 4" xfId="2461"/>
    <cellStyle name="Normal 6 2 2 3 3" xfId="2462"/>
    <cellStyle name="Normal 6 2 2 3 4" xfId="2463"/>
    <cellStyle name="Normal 6 2 2 3 5" xfId="2464"/>
    <cellStyle name="Normal 6 2 2 4" xfId="2465"/>
    <cellStyle name="Normal 6 2 2 4 2" xfId="2466"/>
    <cellStyle name="Normal 6 2 2 4 2 2" xfId="2467"/>
    <cellStyle name="Normal 6 2 2 4 2 3" xfId="2468"/>
    <cellStyle name="Normal 6 2 2 4 2 4" xfId="2469"/>
    <cellStyle name="Normal 6 2 2 4 3" xfId="2470"/>
    <cellStyle name="Normal 6 2 2 4 4" xfId="2471"/>
    <cellStyle name="Normal 6 2 2 4 5" xfId="2472"/>
    <cellStyle name="Normal 6 2 2 5" xfId="2473"/>
    <cellStyle name="Normal 6 2 2 5 2" xfId="2474"/>
    <cellStyle name="Normal 6 2 2 5 2 2" xfId="2475"/>
    <cellStyle name="Normal 6 2 2 5 2 3" xfId="2476"/>
    <cellStyle name="Normal 6 2 2 5 2 4" xfId="2477"/>
    <cellStyle name="Normal 6 2 2 5 3" xfId="2478"/>
    <cellStyle name="Normal 6 2 2 5 4" xfId="2479"/>
    <cellStyle name="Normal 6 2 2 5 5" xfId="2480"/>
    <cellStyle name="Normal 6 2 2 6" xfId="2481"/>
    <cellStyle name="Normal 6 2 2 6 2" xfId="2482"/>
    <cellStyle name="Normal 6 2 2 6 2 2" xfId="2483"/>
    <cellStyle name="Normal 6 2 2 6 2 3" xfId="2484"/>
    <cellStyle name="Normal 6 2 2 6 2 4" xfId="2485"/>
    <cellStyle name="Normal 6 2 2 6 3" xfId="2486"/>
    <cellStyle name="Normal 6 2 2 6 4" xfId="2487"/>
    <cellStyle name="Normal 6 2 2 6 5" xfId="2488"/>
    <cellStyle name="Normal 6 2 2 7" xfId="2489"/>
    <cellStyle name="Normal 6 2 2 7 2" xfId="2490"/>
    <cellStyle name="Normal 6 2 2 7 2 2" xfId="2491"/>
    <cellStyle name="Normal 6 2 2 7 2 3" xfId="2492"/>
    <cellStyle name="Normal 6 2 2 7 2 4" xfId="2493"/>
    <cellStyle name="Normal 6 2 2 7 3" xfId="2494"/>
    <cellStyle name="Normal 6 2 2 7 4" xfId="2495"/>
    <cellStyle name="Normal 6 2 2 7 5" xfId="2496"/>
    <cellStyle name="Normal 6 2 2 8" xfId="2497"/>
    <cellStyle name="Normal 6 2 2 8 2" xfId="2498"/>
    <cellStyle name="Normal 6 2 2 8 2 2" xfId="2499"/>
    <cellStyle name="Normal 6 2 2 8 2 3" xfId="2500"/>
    <cellStyle name="Normal 6 2 2 8 2 4" xfId="2501"/>
    <cellStyle name="Normal 6 2 2 8 3" xfId="2502"/>
    <cellStyle name="Normal 6 2 2 8 4" xfId="2503"/>
    <cellStyle name="Normal 6 2 2 8 5" xfId="2504"/>
    <cellStyle name="Normal 6 2 2 9" xfId="2505"/>
    <cellStyle name="Normal 6 2 2 9 2" xfId="2506"/>
    <cellStyle name="Normal 6 2 2 9 2 2" xfId="2507"/>
    <cellStyle name="Normal 6 2 2 9 2 3" xfId="2508"/>
    <cellStyle name="Normal 6 2 2 9 2 4" xfId="2509"/>
    <cellStyle name="Normal 6 2 2 9 3" xfId="2510"/>
    <cellStyle name="Normal 6 2 2 9 4" xfId="2511"/>
    <cellStyle name="Normal 6 2 2 9 5" xfId="2512"/>
    <cellStyle name="Normal 6 2 3" xfId="2513"/>
    <cellStyle name="Normal 6 2 3 2" xfId="2514"/>
    <cellStyle name="Normal 6 2 4" xfId="2515"/>
    <cellStyle name="Normal 6 2 4 2" xfId="2516"/>
    <cellStyle name="Normal 6 2 5" xfId="2517"/>
    <cellStyle name="Normal 6 2 5 2" xfId="2518"/>
    <cellStyle name="Normal 6 2 6" xfId="2519"/>
    <cellStyle name="Normal 6 2 6 2" xfId="2520"/>
    <cellStyle name="Normal 6 2 7" xfId="2521"/>
    <cellStyle name="Normal 6 2 7 2" xfId="2522"/>
    <cellStyle name="Normal 6 2 8" xfId="2523"/>
    <cellStyle name="Normal 6 2 8 2" xfId="2524"/>
    <cellStyle name="Normal 6 2 9" xfId="2525"/>
    <cellStyle name="Normal 6 3" xfId="2526"/>
    <cellStyle name="Normal 6 3 10" xfId="2527"/>
    <cellStyle name="Normal 6 3 2" xfId="2528"/>
    <cellStyle name="Normal 6 3 2 2" xfId="2529"/>
    <cellStyle name="Normal 6 3 3" xfId="2530"/>
    <cellStyle name="Normal 6 3 3 2" xfId="2531"/>
    <cellStyle name="Normal 6 3 4" xfId="2532"/>
    <cellStyle name="Normal 6 3 4 2" xfId="2533"/>
    <cellStyle name="Normal 6 3 5" xfId="2534"/>
    <cellStyle name="Normal 6 3 5 2" xfId="2535"/>
    <cellStyle name="Normal 6 3 6" xfId="2536"/>
    <cellStyle name="Normal 6 3 6 2" xfId="2537"/>
    <cellStyle name="Normal 6 3 7" xfId="2538"/>
    <cellStyle name="Normal 6 3 7 2" xfId="2539"/>
    <cellStyle name="Normal 6 3 8" xfId="2540"/>
    <cellStyle name="Normal 6 3 8 2" xfId="2541"/>
    <cellStyle name="Normal 6 3 9" xfId="2542"/>
    <cellStyle name="Normal 6 4" xfId="2543"/>
    <cellStyle name="Normal 6 4 10" xfId="2544"/>
    <cellStyle name="Normal 6 4 2" xfId="2545"/>
    <cellStyle name="Normal 6 4 2 2" xfId="2546"/>
    <cellStyle name="Normal 6 4 3" xfId="2547"/>
    <cellStyle name="Normal 6 4 3 2" xfId="2548"/>
    <cellStyle name="Normal 6 4 4" xfId="2549"/>
    <cellStyle name="Normal 6 4 4 2" xfId="2550"/>
    <cellStyle name="Normal 6 4 5" xfId="2551"/>
    <cellStyle name="Normal 6 4 5 2" xfId="2552"/>
    <cellStyle name="Normal 6 4 6" xfId="2553"/>
    <cellStyle name="Normal 6 4 6 2" xfId="2554"/>
    <cellStyle name="Normal 6 4 7" xfId="2555"/>
    <cellStyle name="Normal 6 4 7 2" xfId="2556"/>
    <cellStyle name="Normal 6 4 8" xfId="2557"/>
    <cellStyle name="Normal 6 4 8 2" xfId="2558"/>
    <cellStyle name="Normal 6 4 9" xfId="2559"/>
    <cellStyle name="Normal 6 5" xfId="2560"/>
    <cellStyle name="Normal 6 5 2" xfId="2561"/>
    <cellStyle name="Normal 6 5 2 2" xfId="2562"/>
    <cellStyle name="Normal 6 5 3" xfId="2563"/>
    <cellStyle name="Normal 6 5 3 2" xfId="2564"/>
    <cellStyle name="Normal 6 5 4" xfId="2565"/>
    <cellStyle name="Normal 6 5 4 2" xfId="2566"/>
    <cellStyle name="Normal 6 5 5" xfId="2567"/>
    <cellStyle name="Normal 6 5 5 2" xfId="2568"/>
    <cellStyle name="Normal 6 5 6" xfId="2569"/>
    <cellStyle name="Normal 6 5 6 2" xfId="2570"/>
    <cellStyle name="Normal 6 5 7" xfId="2571"/>
    <cellStyle name="Normal 6 5 7 2" xfId="2572"/>
    <cellStyle name="Normal 6 5 8" xfId="2573"/>
    <cellStyle name="Normal 6 5 8 2" xfId="2574"/>
    <cellStyle name="Normal 6 5 9" xfId="2575"/>
    <cellStyle name="Normal 6 6" xfId="2576"/>
    <cellStyle name="Normal 6 6 2" xfId="2577"/>
    <cellStyle name="Normal 6 7" xfId="2578"/>
    <cellStyle name="Normal 6 7 2" xfId="2579"/>
    <cellStyle name="Normal 6 8" xfId="2580"/>
    <cellStyle name="Normal 6 8 2" xfId="2581"/>
    <cellStyle name="Normal 6 9" xfId="2582"/>
    <cellStyle name="Normal 6 9 2" xfId="2583"/>
    <cellStyle name="Normal 7" xfId="2584"/>
    <cellStyle name="Normal 7 10" xfId="2585"/>
    <cellStyle name="Normal 7 10 2" xfId="2586"/>
    <cellStyle name="Normal 7 11" xfId="2587"/>
    <cellStyle name="Normal 7 11 2" xfId="2588"/>
    <cellStyle name="Normal 7 12" xfId="2589"/>
    <cellStyle name="Normal 7 12 2" xfId="2590"/>
    <cellStyle name="Normal 7 13" xfId="2591"/>
    <cellStyle name="Normal 7 14" xfId="2592"/>
    <cellStyle name="Normal 7 2" xfId="2593"/>
    <cellStyle name="Normal 7 2 10" xfId="2594"/>
    <cellStyle name="Normal 7 2 2" xfId="2595"/>
    <cellStyle name="Normal 7 2 2 2" xfId="2596"/>
    <cellStyle name="Normal 7 2 3" xfId="2597"/>
    <cellStyle name="Normal 7 2 3 2" xfId="2598"/>
    <cellStyle name="Normal 7 2 4" xfId="2599"/>
    <cellStyle name="Normal 7 2 4 2" xfId="2600"/>
    <cellStyle name="Normal 7 2 5" xfId="2601"/>
    <cellStyle name="Normal 7 2 5 2" xfId="2602"/>
    <cellStyle name="Normal 7 2 6" xfId="2603"/>
    <cellStyle name="Normal 7 2 6 2" xfId="2604"/>
    <cellStyle name="Normal 7 2 7" xfId="2605"/>
    <cellStyle name="Normal 7 2 7 2" xfId="2606"/>
    <cellStyle name="Normal 7 2 8" xfId="2607"/>
    <cellStyle name="Normal 7 2 8 2" xfId="2608"/>
    <cellStyle name="Normal 7 2 9" xfId="2609"/>
    <cellStyle name="Normal 7 3" xfId="2610"/>
    <cellStyle name="Normal 7 3 2" xfId="2611"/>
    <cellStyle name="Normal 7 3 2 2" xfId="2612"/>
    <cellStyle name="Normal 7 3 3" xfId="2613"/>
    <cellStyle name="Normal 7 3 3 2" xfId="2614"/>
    <cellStyle name="Normal 7 3 4" xfId="2615"/>
    <cellStyle name="Normal 7 3 4 2" xfId="2616"/>
    <cellStyle name="Normal 7 3 5" xfId="2617"/>
    <cellStyle name="Normal 7 3 5 2" xfId="2618"/>
    <cellStyle name="Normal 7 3 6" xfId="2619"/>
    <cellStyle name="Normal 7 3 6 2" xfId="2620"/>
    <cellStyle name="Normal 7 3 7" xfId="2621"/>
    <cellStyle name="Normal 7 3 7 2" xfId="2622"/>
    <cellStyle name="Normal 7 3 8" xfId="2623"/>
    <cellStyle name="Normal 7 3 8 2" xfId="2624"/>
    <cellStyle name="Normal 7 3 9" xfId="2625"/>
    <cellStyle name="Normal 7 4" xfId="2626"/>
    <cellStyle name="Normal 7 4 2" xfId="2627"/>
    <cellStyle name="Normal 7 4 2 2" xfId="2628"/>
    <cellStyle name="Normal 7 4 3" xfId="2629"/>
    <cellStyle name="Normal 7 4 3 2" xfId="2630"/>
    <cellStyle name="Normal 7 4 4" xfId="2631"/>
    <cellStyle name="Normal 7 4 4 2" xfId="2632"/>
    <cellStyle name="Normal 7 4 5" xfId="2633"/>
    <cellStyle name="Normal 7 4 5 2" xfId="2634"/>
    <cellStyle name="Normal 7 4 6" xfId="2635"/>
    <cellStyle name="Normal 7 4 6 2" xfId="2636"/>
    <cellStyle name="Normal 7 4 7" xfId="2637"/>
    <cellStyle name="Normal 7 4 7 2" xfId="2638"/>
    <cellStyle name="Normal 7 4 8" xfId="2639"/>
    <cellStyle name="Normal 7 4 8 2" xfId="2640"/>
    <cellStyle name="Normal 7 4 9" xfId="2641"/>
    <cellStyle name="Normal 7 5" xfId="2642"/>
    <cellStyle name="Normal 7 5 2" xfId="2643"/>
    <cellStyle name="Normal 7 5 2 2" xfId="2644"/>
    <cellStyle name="Normal 7 5 3" xfId="2645"/>
    <cellStyle name="Normal 7 5 3 2" xfId="2646"/>
    <cellStyle name="Normal 7 5 4" xfId="2647"/>
    <cellStyle name="Normal 7 5 4 2" xfId="2648"/>
    <cellStyle name="Normal 7 5 5" xfId="2649"/>
    <cellStyle name="Normal 7 5 5 2" xfId="2650"/>
    <cellStyle name="Normal 7 5 6" xfId="2651"/>
    <cellStyle name="Normal 7 5 6 2" xfId="2652"/>
    <cellStyle name="Normal 7 5 7" xfId="2653"/>
    <cellStyle name="Normal 7 5 7 2" xfId="2654"/>
    <cellStyle name="Normal 7 5 8" xfId="2655"/>
    <cellStyle name="Normal 7 5 8 2" xfId="2656"/>
    <cellStyle name="Normal 7 5 9" xfId="2657"/>
    <cellStyle name="Normal 7 6" xfId="2658"/>
    <cellStyle name="Normal 7 6 2" xfId="2659"/>
    <cellStyle name="Normal 7 7" xfId="2660"/>
    <cellStyle name="Normal 7 7 2" xfId="2661"/>
    <cellStyle name="Normal 7 8" xfId="2662"/>
    <cellStyle name="Normal 7 8 2" xfId="2663"/>
    <cellStyle name="Normal 7 9" xfId="2664"/>
    <cellStyle name="Normal 7 9 2" xfId="2665"/>
    <cellStyle name="Normal 8" xfId="2666"/>
    <cellStyle name="Normal 8 10" xfId="2667"/>
    <cellStyle name="Normal 8 10 2" xfId="2668"/>
    <cellStyle name="Normal 8 11" xfId="2669"/>
    <cellStyle name="Normal 8 11 2" xfId="2670"/>
    <cellStyle name="Normal 8 12" xfId="2671"/>
    <cellStyle name="Normal 8 12 2" xfId="2672"/>
    <cellStyle name="Normal 8 13" xfId="2673"/>
    <cellStyle name="Normal 8 14" xfId="2674"/>
    <cellStyle name="Normal 8 2" xfId="2675"/>
    <cellStyle name="Normal 8 2 10" xfId="2676"/>
    <cellStyle name="Normal 8 2 2" xfId="2677"/>
    <cellStyle name="Normal 8 2 2 2" xfId="2678"/>
    <cellStyle name="Normal 8 2 3" xfId="2679"/>
    <cellStyle name="Normal 8 2 3 2" xfId="2680"/>
    <cellStyle name="Normal 8 2 4" xfId="2681"/>
    <cellStyle name="Normal 8 2 4 2" xfId="2682"/>
    <cellStyle name="Normal 8 2 5" xfId="2683"/>
    <cellStyle name="Normal 8 2 5 2" xfId="2684"/>
    <cellStyle name="Normal 8 2 6" xfId="2685"/>
    <cellStyle name="Normal 8 2 6 2" xfId="2686"/>
    <cellStyle name="Normal 8 2 7" xfId="2687"/>
    <cellStyle name="Normal 8 2 7 2" xfId="2688"/>
    <cellStyle name="Normal 8 2 8" xfId="2689"/>
    <cellStyle name="Normal 8 2 8 2" xfId="2690"/>
    <cellStyle name="Normal 8 2 9" xfId="2691"/>
    <cellStyle name="Normal 8 3" xfId="2692"/>
    <cellStyle name="Normal 8 3 2" xfId="2693"/>
    <cellStyle name="Normal 8 3 2 2" xfId="2694"/>
    <cellStyle name="Normal 8 3 3" xfId="2695"/>
    <cellStyle name="Normal 8 3 3 2" xfId="2696"/>
    <cellStyle name="Normal 8 3 4" xfId="2697"/>
    <cellStyle name="Normal 8 3 4 2" xfId="2698"/>
    <cellStyle name="Normal 8 3 5" xfId="2699"/>
    <cellStyle name="Normal 8 3 5 2" xfId="2700"/>
    <cellStyle name="Normal 8 3 6" xfId="2701"/>
    <cellStyle name="Normal 8 3 6 2" xfId="2702"/>
    <cellStyle name="Normal 8 3 7" xfId="2703"/>
    <cellStyle name="Normal 8 3 7 2" xfId="2704"/>
    <cellStyle name="Normal 8 3 8" xfId="2705"/>
    <cellStyle name="Normal 8 3 8 2" xfId="2706"/>
    <cellStyle name="Normal 8 3 9" xfId="2707"/>
    <cellStyle name="Normal 8 4" xfId="2708"/>
    <cellStyle name="Normal 8 4 2" xfId="2709"/>
    <cellStyle name="Normal 8 4 2 2" xfId="2710"/>
    <cellStyle name="Normal 8 4 3" xfId="2711"/>
    <cellStyle name="Normal 8 4 3 2" xfId="2712"/>
    <cellStyle name="Normal 8 4 4" xfId="2713"/>
    <cellStyle name="Normal 8 4 4 2" xfId="2714"/>
    <cellStyle name="Normal 8 4 5" xfId="2715"/>
    <cellStyle name="Normal 8 4 5 2" xfId="2716"/>
    <cellStyle name="Normal 8 4 6" xfId="2717"/>
    <cellStyle name="Normal 8 4 6 2" xfId="2718"/>
    <cellStyle name="Normal 8 4 7" xfId="2719"/>
    <cellStyle name="Normal 8 4 7 2" xfId="2720"/>
    <cellStyle name="Normal 8 4 8" xfId="2721"/>
    <cellStyle name="Normal 8 4 8 2" xfId="2722"/>
    <cellStyle name="Normal 8 4 9" xfId="2723"/>
    <cellStyle name="Normal 8 5" xfId="2724"/>
    <cellStyle name="Normal 8 5 2" xfId="2725"/>
    <cellStyle name="Normal 8 5 2 2" xfId="2726"/>
    <cellStyle name="Normal 8 5 3" xfId="2727"/>
    <cellStyle name="Normal 8 5 3 2" xfId="2728"/>
    <cellStyle name="Normal 8 5 4" xfId="2729"/>
    <cellStyle name="Normal 8 5 4 2" xfId="2730"/>
    <cellStyle name="Normal 8 5 5" xfId="2731"/>
    <cellStyle name="Normal 8 5 5 2" xfId="2732"/>
    <cellStyle name="Normal 8 5 6" xfId="2733"/>
    <cellStyle name="Normal 8 5 6 2" xfId="2734"/>
    <cellStyle name="Normal 8 5 7" xfId="2735"/>
    <cellStyle name="Normal 8 5 7 2" xfId="2736"/>
    <cellStyle name="Normal 8 5 8" xfId="2737"/>
    <cellStyle name="Normal 8 5 8 2" xfId="2738"/>
    <cellStyle name="Normal 8 5 9" xfId="2739"/>
    <cellStyle name="Normal 8 6" xfId="2740"/>
    <cellStyle name="Normal 8 6 2" xfId="2741"/>
    <cellStyle name="Normal 8 7" xfId="2742"/>
    <cellStyle name="Normal 8 7 2" xfId="2743"/>
    <cellStyle name="Normal 8 8" xfId="2744"/>
    <cellStyle name="Normal 8 8 2" xfId="2745"/>
    <cellStyle name="Normal 8 9" xfId="2746"/>
    <cellStyle name="Normal 8 9 2" xfId="2747"/>
    <cellStyle name="Normal 9" xfId="2748"/>
    <cellStyle name="Normal 9 10" xfId="2749"/>
    <cellStyle name="Normal 9 2" xfId="2750"/>
    <cellStyle name="Normal 9 2 2" xfId="2751"/>
    <cellStyle name="Normal 9 3" xfId="2752"/>
    <cellStyle name="Normal 9 3 2" xfId="2753"/>
    <cellStyle name="Normal 9 4" xfId="2754"/>
    <cellStyle name="Normal 9 4 2" xfId="2755"/>
    <cellStyle name="Normal 9 5" xfId="2756"/>
    <cellStyle name="Normal 9 5 2" xfId="2757"/>
    <cellStyle name="Normal 9 6" xfId="2758"/>
    <cellStyle name="Normal 9 6 2" xfId="2759"/>
    <cellStyle name="Normal 9 7" xfId="2760"/>
    <cellStyle name="Normal 9 7 2" xfId="2761"/>
    <cellStyle name="Normal 9 8" xfId="2762"/>
    <cellStyle name="Normal 9 8 2" xfId="2763"/>
    <cellStyle name="Normal 9 9" xfId="2764"/>
    <cellStyle name="Normal GHG Numbers (0.00)" xfId="2765"/>
    <cellStyle name="Normal GHG Textfiels Bold" xfId="2766"/>
    <cellStyle name="Normal GHG-Shade" xfId="2767"/>
    <cellStyle name="Normal GHG-Shade 2" xfId="2768"/>
    <cellStyle name="Normal GHG-Shade 2 2" xfId="2769"/>
    <cellStyle name="Normal GHG-Shade 3" xfId="2770"/>
    <cellStyle name="Normale_B2020" xfId="2771"/>
    <cellStyle name="Note 2" xfId="2772"/>
    <cellStyle name="Note 2 10" xfId="2773"/>
    <cellStyle name="Note 2 10 2" xfId="2774"/>
    <cellStyle name="Note 2 11" xfId="2775"/>
    <cellStyle name="Note 2 11 2" xfId="2776"/>
    <cellStyle name="Note 2 12" xfId="2777"/>
    <cellStyle name="Note 2 12 2" xfId="2778"/>
    <cellStyle name="Note 2 13" xfId="2779"/>
    <cellStyle name="Note 2 13 2" xfId="2780"/>
    <cellStyle name="Note 2 14" xfId="2781"/>
    <cellStyle name="Note 2 14 2" xfId="2782"/>
    <cellStyle name="Note 2 15" xfId="2783"/>
    <cellStyle name="Note 2 15 2" xfId="2784"/>
    <cellStyle name="Note 2 16" xfId="2785"/>
    <cellStyle name="Note 2 17" xfId="2786"/>
    <cellStyle name="Note 2 2" xfId="2787"/>
    <cellStyle name="Note 2 2 2" xfId="2788"/>
    <cellStyle name="Note 2 2 2 2" xfId="2789"/>
    <cellStyle name="Note 2 3" xfId="2790"/>
    <cellStyle name="Note 2 3 2" xfId="2791"/>
    <cellStyle name="Note 2 4" xfId="2792"/>
    <cellStyle name="Note 2 4 2" xfId="2793"/>
    <cellStyle name="Note 2 5" xfId="2794"/>
    <cellStyle name="Note 2 5 2" xfId="2795"/>
    <cellStyle name="Note 2 6" xfId="2796"/>
    <cellStyle name="Note 2 6 2" xfId="2797"/>
    <cellStyle name="Note 2 7" xfId="2798"/>
    <cellStyle name="Note 2 7 2" xfId="2799"/>
    <cellStyle name="Note 2 8" xfId="2800"/>
    <cellStyle name="Note 2 8 2" xfId="2801"/>
    <cellStyle name="Note 2 9" xfId="2802"/>
    <cellStyle name="Note 2 9 2" xfId="2803"/>
    <cellStyle name="Note 3" xfId="2804"/>
    <cellStyle name="Note 3 2" xfId="2805"/>
    <cellStyle name="Note 3 2 2" xfId="2806"/>
    <cellStyle name="Note 3 2 3" xfId="2807"/>
    <cellStyle name="Note 3 3" xfId="2808"/>
    <cellStyle name="Note 4" xfId="2809"/>
    <cellStyle name="Note 4 2" xfId="2810"/>
    <cellStyle name="Note 5" xfId="2811"/>
    <cellStyle name="Note 5 2" xfId="2812"/>
    <cellStyle name="Note 6" xfId="2813"/>
    <cellStyle name="Note 6 2" xfId="2814"/>
    <cellStyle name="Note 7" xfId="2815"/>
    <cellStyle name="Note 7 2" xfId="2816"/>
    <cellStyle name="Note 8" xfId="2817"/>
    <cellStyle name="Note 8 2" xfId="2818"/>
    <cellStyle name="num_note" xfId="2819"/>
    <cellStyle name="Nuovo" xfId="2820"/>
    <cellStyle name="Nuovo 2" xfId="2821"/>
    <cellStyle name="Output 2" xfId="2822"/>
    <cellStyle name="Output 2 10" xfId="2823"/>
    <cellStyle name="Output 2 2" xfId="2824"/>
    <cellStyle name="Output 2 3" xfId="2825"/>
    <cellStyle name="Output 2 4" xfId="2826"/>
    <cellStyle name="Output 2 5" xfId="2827"/>
    <cellStyle name="Output 2 6" xfId="2828"/>
    <cellStyle name="Output 2 7" xfId="2829"/>
    <cellStyle name="Output 2 8" xfId="2830"/>
    <cellStyle name="Output 2 9" xfId="2831"/>
    <cellStyle name="Output 3" xfId="2832"/>
    <cellStyle name="Output 3 2" xfId="2833"/>
    <cellStyle name="Percent 10" xfId="2834"/>
    <cellStyle name="Percent 10 2" xfId="2835"/>
    <cellStyle name="Percent 10 2 2" xfId="2836"/>
    <cellStyle name="Percent 10 3" xfId="2837"/>
    <cellStyle name="Percent 10 3 2" xfId="2838"/>
    <cellStyle name="Percent 10 4" xfId="2839"/>
    <cellStyle name="Percent 10 4 2" xfId="2840"/>
    <cellStyle name="Percent 10 5" xfId="2841"/>
    <cellStyle name="Percent 10 5 2" xfId="2842"/>
    <cellStyle name="Percent 10 6" xfId="2843"/>
    <cellStyle name="Percent 10 6 2" xfId="2844"/>
    <cellStyle name="Percent 10 7" xfId="2845"/>
    <cellStyle name="Percent 10 7 2" xfId="2846"/>
    <cellStyle name="Percent 10 8" xfId="2847"/>
    <cellStyle name="Percent 10 8 2" xfId="2848"/>
    <cellStyle name="Percent 10 9" xfId="2849"/>
    <cellStyle name="Percent 11" xfId="2850"/>
    <cellStyle name="Percent 11 2" xfId="2851"/>
    <cellStyle name="Percent 11 2 2" xfId="2852"/>
    <cellStyle name="Percent 11 3" xfId="2853"/>
    <cellStyle name="Percent 11 3 2" xfId="2854"/>
    <cellStyle name="Percent 11 4" xfId="2855"/>
    <cellStyle name="Percent 11 4 2" xfId="2856"/>
    <cellStyle name="Percent 11 5" xfId="2857"/>
    <cellStyle name="Percent 11 5 2" xfId="2858"/>
    <cellStyle name="Percent 11 6" xfId="2859"/>
    <cellStyle name="Percent 11 6 2" xfId="2860"/>
    <cellStyle name="Percent 11 7" xfId="2861"/>
    <cellStyle name="Percent 11 7 2" xfId="2862"/>
    <cellStyle name="Percent 11 8" xfId="2863"/>
    <cellStyle name="Percent 11 8 2" xfId="2864"/>
    <cellStyle name="Percent 11 9" xfId="2865"/>
    <cellStyle name="Percent 12" xfId="2866"/>
    <cellStyle name="Percent 12 2" xfId="2867"/>
    <cellStyle name="Percent 12 2 2" xfId="2868"/>
    <cellStyle name="Percent 12 3" xfId="2869"/>
    <cellStyle name="Percent 12 3 2" xfId="2870"/>
    <cellStyle name="Percent 12 4" xfId="2871"/>
    <cellStyle name="Percent 12 4 2" xfId="2872"/>
    <cellStyle name="Percent 12 5" xfId="2873"/>
    <cellStyle name="Percent 12 5 2" xfId="2874"/>
    <cellStyle name="Percent 12 6" xfId="2875"/>
    <cellStyle name="Percent 12 6 2" xfId="2876"/>
    <cellStyle name="Percent 12 7" xfId="2877"/>
    <cellStyle name="Percent 12 7 2" xfId="2878"/>
    <cellStyle name="Percent 12 8" xfId="2879"/>
    <cellStyle name="Percent 12 8 2" xfId="2880"/>
    <cellStyle name="Percent 12 9" xfId="2881"/>
    <cellStyle name="Percent 13" xfId="2882"/>
    <cellStyle name="Percent 13 2" xfId="2883"/>
    <cellStyle name="Percent 13 2 2" xfId="2884"/>
    <cellStyle name="Percent 13 3" xfId="2885"/>
    <cellStyle name="Percent 13 3 2" xfId="2886"/>
    <cellStyle name="Percent 13 4" xfId="2887"/>
    <cellStyle name="Percent 13 4 2" xfId="2888"/>
    <cellStyle name="Percent 13 5" xfId="2889"/>
    <cellStyle name="Percent 13 5 2" xfId="2890"/>
    <cellStyle name="Percent 13 6" xfId="2891"/>
    <cellStyle name="Percent 13 6 2" xfId="2892"/>
    <cellStyle name="Percent 13 7" xfId="2893"/>
    <cellStyle name="Percent 13 7 2" xfId="2894"/>
    <cellStyle name="Percent 13 8" xfId="2895"/>
    <cellStyle name="Percent 13 8 2" xfId="2896"/>
    <cellStyle name="Percent 13 9" xfId="2897"/>
    <cellStyle name="Percent 14" xfId="2898"/>
    <cellStyle name="Percent 14 2" xfId="2899"/>
    <cellStyle name="Percent 14 2 2" xfId="2900"/>
    <cellStyle name="Percent 14 3" xfId="2901"/>
    <cellStyle name="Percent 14 3 2" xfId="2902"/>
    <cellStyle name="Percent 14 4" xfId="2903"/>
    <cellStyle name="Percent 14 4 2" xfId="2904"/>
    <cellStyle name="Percent 14 5" xfId="2905"/>
    <cellStyle name="Percent 14 5 2" xfId="2906"/>
    <cellStyle name="Percent 14 6" xfId="2907"/>
    <cellStyle name="Percent 14 6 2" xfId="2908"/>
    <cellStyle name="Percent 14 7" xfId="2909"/>
    <cellStyle name="Percent 14 7 2" xfId="2910"/>
    <cellStyle name="Percent 14 8" xfId="2911"/>
    <cellStyle name="Percent 14 8 2" xfId="2912"/>
    <cellStyle name="Percent 14 9" xfId="2913"/>
    <cellStyle name="Percent 15" xfId="2914"/>
    <cellStyle name="Percent 15 10" xfId="2915"/>
    <cellStyle name="Percent 15 10 2" xfId="2916"/>
    <cellStyle name="Percent 15 11" xfId="2917"/>
    <cellStyle name="Percent 15 11 2" xfId="2918"/>
    <cellStyle name="Percent 15 12" xfId="2919"/>
    <cellStyle name="Percent 15 12 2" xfId="2920"/>
    <cellStyle name="Percent 15 13" xfId="2921"/>
    <cellStyle name="Percent 15 13 2" xfId="2922"/>
    <cellStyle name="Percent 15 14" xfId="2923"/>
    <cellStyle name="Percent 15 14 2" xfId="2924"/>
    <cellStyle name="Percent 15 2" xfId="2925"/>
    <cellStyle name="Percent 15 2 2" xfId="2926"/>
    <cellStyle name="Percent 15 2 3" xfId="2927"/>
    <cellStyle name="Percent 15 2 4" xfId="2928"/>
    <cellStyle name="Percent 15 2 5" xfId="2929"/>
    <cellStyle name="Percent 15 2 6" xfId="2930"/>
    <cellStyle name="Percent 15 2 7" xfId="2931"/>
    <cellStyle name="Percent 15 2 8" xfId="2932"/>
    <cellStyle name="Percent 15 3" xfId="2933"/>
    <cellStyle name="Percent 15 4" xfId="2934"/>
    <cellStyle name="Percent 15 4 2" xfId="2935"/>
    <cellStyle name="Percent 15 5" xfId="2936"/>
    <cellStyle name="Percent 15 6" xfId="2937"/>
    <cellStyle name="Percent 15 7" xfId="2938"/>
    <cellStyle name="Percent 15 8" xfId="2939"/>
    <cellStyle name="Percent 15 9" xfId="2940"/>
    <cellStyle name="Percent 15 9 2" xfId="2941"/>
    <cellStyle name="Percent 16 2" xfId="2942"/>
    <cellStyle name="Percent 16 3" xfId="2943"/>
    <cellStyle name="Percent 16 3 10" xfId="2944"/>
    <cellStyle name="Percent 16 3 10 2" xfId="2945"/>
    <cellStyle name="Percent 16 3 11" xfId="2946"/>
    <cellStyle name="Percent 16 3 11 2" xfId="2947"/>
    <cellStyle name="Percent 16 3 12" xfId="2948"/>
    <cellStyle name="Percent 16 3 12 2" xfId="2949"/>
    <cellStyle name="Percent 16 3 13" xfId="2950"/>
    <cellStyle name="Percent 16 3 13 2" xfId="2951"/>
    <cellStyle name="Percent 16 3 14" xfId="2952"/>
    <cellStyle name="Percent 16 3 14 2" xfId="2953"/>
    <cellStyle name="Percent 16 3 15" xfId="2954"/>
    <cellStyle name="Percent 16 3 15 2" xfId="2955"/>
    <cellStyle name="Percent 16 3 16" xfId="2956"/>
    <cellStyle name="Percent 16 3 16 2" xfId="2957"/>
    <cellStyle name="Percent 16 3 17" xfId="2958"/>
    <cellStyle name="Percent 16 3 17 2" xfId="2959"/>
    <cellStyle name="Percent 16 3 18" xfId="2960"/>
    <cellStyle name="Percent 16 3 2" xfId="2961"/>
    <cellStyle name="Percent 16 3 2 2" xfId="2962"/>
    <cellStyle name="Percent 16 3 3" xfId="2963"/>
    <cellStyle name="Percent 16 3 3 2" xfId="2964"/>
    <cellStyle name="Percent 16 3 4" xfId="2965"/>
    <cellStyle name="Percent 16 3 4 2" xfId="2966"/>
    <cellStyle name="Percent 16 3 5" xfId="2967"/>
    <cellStyle name="Percent 16 3 5 2" xfId="2968"/>
    <cellStyle name="Percent 16 3 6" xfId="2969"/>
    <cellStyle name="Percent 16 3 6 2" xfId="2970"/>
    <cellStyle name="Percent 16 3 7" xfId="2971"/>
    <cellStyle name="Percent 16 3 7 2" xfId="2972"/>
    <cellStyle name="Percent 16 3 8" xfId="2973"/>
    <cellStyle name="Percent 16 3 8 2" xfId="2974"/>
    <cellStyle name="Percent 16 3 9" xfId="2975"/>
    <cellStyle name="Percent 16 3 9 2" xfId="2976"/>
    <cellStyle name="Percent 16 4" xfId="2977"/>
    <cellStyle name="Percent 16 4 10" xfId="2978"/>
    <cellStyle name="Percent 16 4 10 2" xfId="2979"/>
    <cellStyle name="Percent 16 4 11" xfId="2980"/>
    <cellStyle name="Percent 16 4 11 2" xfId="2981"/>
    <cellStyle name="Percent 16 4 12" xfId="2982"/>
    <cellStyle name="Percent 16 4 12 2" xfId="2983"/>
    <cellStyle name="Percent 16 4 13" xfId="2984"/>
    <cellStyle name="Percent 16 4 13 2" xfId="2985"/>
    <cellStyle name="Percent 16 4 14" xfId="2986"/>
    <cellStyle name="Percent 16 4 14 2" xfId="2987"/>
    <cellStyle name="Percent 16 4 15" xfId="2988"/>
    <cellStyle name="Percent 16 4 15 2" xfId="2989"/>
    <cellStyle name="Percent 16 4 16" xfId="2990"/>
    <cellStyle name="Percent 16 4 16 2" xfId="2991"/>
    <cellStyle name="Percent 16 4 17" xfId="2992"/>
    <cellStyle name="Percent 16 4 17 2" xfId="2993"/>
    <cellStyle name="Percent 16 4 18" xfId="2994"/>
    <cellStyle name="Percent 16 4 2" xfId="2995"/>
    <cellStyle name="Percent 16 4 2 2" xfId="2996"/>
    <cellStyle name="Percent 16 4 3" xfId="2997"/>
    <cellStyle name="Percent 16 4 3 2" xfId="2998"/>
    <cellStyle name="Percent 16 4 4" xfId="2999"/>
    <cellStyle name="Percent 16 4 4 2" xfId="3000"/>
    <cellStyle name="Percent 16 4 5" xfId="3001"/>
    <cellStyle name="Percent 16 4 5 2" xfId="3002"/>
    <cellStyle name="Percent 16 4 6" xfId="3003"/>
    <cellStyle name="Percent 16 4 6 2" xfId="3004"/>
    <cellStyle name="Percent 16 4 7" xfId="3005"/>
    <cellStyle name="Percent 16 4 7 2" xfId="3006"/>
    <cellStyle name="Percent 16 4 8" xfId="3007"/>
    <cellStyle name="Percent 16 4 8 2" xfId="3008"/>
    <cellStyle name="Percent 16 4 9" xfId="3009"/>
    <cellStyle name="Percent 16 4 9 2" xfId="3010"/>
    <cellStyle name="Percent 16 5" xfId="3011"/>
    <cellStyle name="Percent 16 5 10" xfId="3012"/>
    <cellStyle name="Percent 16 5 10 2" xfId="3013"/>
    <cellStyle name="Percent 16 5 11" xfId="3014"/>
    <cellStyle name="Percent 16 5 11 2" xfId="3015"/>
    <cellStyle name="Percent 16 5 12" xfId="3016"/>
    <cellStyle name="Percent 16 5 12 2" xfId="3017"/>
    <cellStyle name="Percent 16 5 13" xfId="3018"/>
    <cellStyle name="Percent 16 5 13 2" xfId="3019"/>
    <cellStyle name="Percent 16 5 14" xfId="3020"/>
    <cellStyle name="Percent 16 5 14 2" xfId="3021"/>
    <cellStyle name="Percent 16 5 15" xfId="3022"/>
    <cellStyle name="Percent 16 5 15 2" xfId="3023"/>
    <cellStyle name="Percent 16 5 16" xfId="3024"/>
    <cellStyle name="Percent 16 5 16 2" xfId="3025"/>
    <cellStyle name="Percent 16 5 17" xfId="3026"/>
    <cellStyle name="Percent 16 5 17 2" xfId="3027"/>
    <cellStyle name="Percent 16 5 18" xfId="3028"/>
    <cellStyle name="Percent 16 5 2" xfId="3029"/>
    <cellStyle name="Percent 16 5 2 2" xfId="3030"/>
    <cellStyle name="Percent 16 5 3" xfId="3031"/>
    <cellStyle name="Percent 16 5 3 2" xfId="3032"/>
    <cellStyle name="Percent 16 5 4" xfId="3033"/>
    <cellStyle name="Percent 16 5 4 2" xfId="3034"/>
    <cellStyle name="Percent 16 5 5" xfId="3035"/>
    <cellStyle name="Percent 16 5 5 2" xfId="3036"/>
    <cellStyle name="Percent 16 5 6" xfId="3037"/>
    <cellStyle name="Percent 16 5 6 2" xfId="3038"/>
    <cellStyle name="Percent 16 5 7" xfId="3039"/>
    <cellStyle name="Percent 16 5 7 2" xfId="3040"/>
    <cellStyle name="Percent 16 5 8" xfId="3041"/>
    <cellStyle name="Percent 16 5 8 2" xfId="3042"/>
    <cellStyle name="Percent 16 5 9" xfId="3043"/>
    <cellStyle name="Percent 16 5 9 2" xfId="3044"/>
    <cellStyle name="Percent 16 6" xfId="3045"/>
    <cellStyle name="Percent 16 6 10" xfId="3046"/>
    <cellStyle name="Percent 16 6 10 2" xfId="3047"/>
    <cellStyle name="Percent 16 6 11" xfId="3048"/>
    <cellStyle name="Percent 16 6 11 2" xfId="3049"/>
    <cellStyle name="Percent 16 6 12" xfId="3050"/>
    <cellStyle name="Percent 16 6 12 2" xfId="3051"/>
    <cellStyle name="Percent 16 6 13" xfId="3052"/>
    <cellStyle name="Percent 16 6 13 2" xfId="3053"/>
    <cellStyle name="Percent 16 6 14" xfId="3054"/>
    <cellStyle name="Percent 16 6 14 2" xfId="3055"/>
    <cellStyle name="Percent 16 6 15" xfId="3056"/>
    <cellStyle name="Percent 16 6 15 2" xfId="3057"/>
    <cellStyle name="Percent 16 6 16" xfId="3058"/>
    <cellStyle name="Percent 16 6 16 2" xfId="3059"/>
    <cellStyle name="Percent 16 6 17" xfId="3060"/>
    <cellStyle name="Percent 16 6 17 2" xfId="3061"/>
    <cellStyle name="Percent 16 6 18" xfId="3062"/>
    <cellStyle name="Percent 16 6 2" xfId="3063"/>
    <cellStyle name="Percent 16 6 2 2" xfId="3064"/>
    <cellStyle name="Percent 16 6 3" xfId="3065"/>
    <cellStyle name="Percent 16 6 3 2" xfId="3066"/>
    <cellStyle name="Percent 16 6 4" xfId="3067"/>
    <cellStyle name="Percent 16 6 4 2" xfId="3068"/>
    <cellStyle name="Percent 16 6 5" xfId="3069"/>
    <cellStyle name="Percent 16 6 5 2" xfId="3070"/>
    <cellStyle name="Percent 16 6 6" xfId="3071"/>
    <cellStyle name="Percent 16 6 6 2" xfId="3072"/>
    <cellStyle name="Percent 16 6 7" xfId="3073"/>
    <cellStyle name="Percent 16 6 7 2" xfId="3074"/>
    <cellStyle name="Percent 16 6 8" xfId="3075"/>
    <cellStyle name="Percent 16 6 8 2" xfId="3076"/>
    <cellStyle name="Percent 16 6 9" xfId="3077"/>
    <cellStyle name="Percent 16 6 9 2" xfId="3078"/>
    <cellStyle name="Percent 16 7" xfId="3079"/>
    <cellStyle name="Percent 16 7 10" xfId="3080"/>
    <cellStyle name="Percent 16 7 10 2" xfId="3081"/>
    <cellStyle name="Percent 16 7 11" xfId="3082"/>
    <cellStyle name="Percent 16 7 11 2" xfId="3083"/>
    <cellStyle name="Percent 16 7 12" xfId="3084"/>
    <cellStyle name="Percent 16 7 12 2" xfId="3085"/>
    <cellStyle name="Percent 16 7 13" xfId="3086"/>
    <cellStyle name="Percent 16 7 13 2" xfId="3087"/>
    <cellStyle name="Percent 16 7 14" xfId="3088"/>
    <cellStyle name="Percent 16 7 14 2" xfId="3089"/>
    <cellStyle name="Percent 16 7 15" xfId="3090"/>
    <cellStyle name="Percent 16 7 15 2" xfId="3091"/>
    <cellStyle name="Percent 16 7 16" xfId="3092"/>
    <cellStyle name="Percent 16 7 16 2" xfId="3093"/>
    <cellStyle name="Percent 16 7 17" xfId="3094"/>
    <cellStyle name="Percent 16 7 17 2" xfId="3095"/>
    <cellStyle name="Percent 16 7 18" xfId="3096"/>
    <cellStyle name="Percent 16 7 2" xfId="3097"/>
    <cellStyle name="Percent 16 7 2 2" xfId="3098"/>
    <cellStyle name="Percent 16 7 3" xfId="3099"/>
    <cellStyle name="Percent 16 7 3 2" xfId="3100"/>
    <cellStyle name="Percent 16 7 4" xfId="3101"/>
    <cellStyle name="Percent 16 7 4 2" xfId="3102"/>
    <cellStyle name="Percent 16 7 5" xfId="3103"/>
    <cellStyle name="Percent 16 7 5 2" xfId="3104"/>
    <cellStyle name="Percent 16 7 6" xfId="3105"/>
    <cellStyle name="Percent 16 7 6 2" xfId="3106"/>
    <cellStyle name="Percent 16 7 7" xfId="3107"/>
    <cellStyle name="Percent 16 7 7 2" xfId="3108"/>
    <cellStyle name="Percent 16 7 8" xfId="3109"/>
    <cellStyle name="Percent 16 7 8 2" xfId="3110"/>
    <cellStyle name="Percent 16 7 9" xfId="3111"/>
    <cellStyle name="Percent 16 7 9 2" xfId="3112"/>
    <cellStyle name="Percent 16 8" xfId="3113"/>
    <cellStyle name="Percent 16 8 10" xfId="3114"/>
    <cellStyle name="Percent 16 8 10 2" xfId="3115"/>
    <cellStyle name="Percent 16 8 11" xfId="3116"/>
    <cellStyle name="Percent 16 8 11 2" xfId="3117"/>
    <cellStyle name="Percent 16 8 12" xfId="3118"/>
    <cellStyle name="Percent 16 8 12 2" xfId="3119"/>
    <cellStyle name="Percent 16 8 13" xfId="3120"/>
    <cellStyle name="Percent 16 8 13 2" xfId="3121"/>
    <cellStyle name="Percent 16 8 14" xfId="3122"/>
    <cellStyle name="Percent 16 8 14 2" xfId="3123"/>
    <cellStyle name="Percent 16 8 15" xfId="3124"/>
    <cellStyle name="Percent 16 8 15 2" xfId="3125"/>
    <cellStyle name="Percent 16 8 16" xfId="3126"/>
    <cellStyle name="Percent 16 8 16 2" xfId="3127"/>
    <cellStyle name="Percent 16 8 17" xfId="3128"/>
    <cellStyle name="Percent 16 8 17 2" xfId="3129"/>
    <cellStyle name="Percent 16 8 18" xfId="3130"/>
    <cellStyle name="Percent 16 8 2" xfId="3131"/>
    <cellStyle name="Percent 16 8 2 2" xfId="3132"/>
    <cellStyle name="Percent 16 8 3" xfId="3133"/>
    <cellStyle name="Percent 16 8 3 2" xfId="3134"/>
    <cellStyle name="Percent 16 8 4" xfId="3135"/>
    <cellStyle name="Percent 16 8 4 2" xfId="3136"/>
    <cellStyle name="Percent 16 8 5" xfId="3137"/>
    <cellStyle name="Percent 16 8 5 2" xfId="3138"/>
    <cellStyle name="Percent 16 8 6" xfId="3139"/>
    <cellStyle name="Percent 16 8 6 2" xfId="3140"/>
    <cellStyle name="Percent 16 8 7" xfId="3141"/>
    <cellStyle name="Percent 16 8 7 2" xfId="3142"/>
    <cellStyle name="Percent 16 8 8" xfId="3143"/>
    <cellStyle name="Percent 16 8 8 2" xfId="3144"/>
    <cellStyle name="Percent 16 8 9" xfId="3145"/>
    <cellStyle name="Percent 16 8 9 2" xfId="3146"/>
    <cellStyle name="Percent 16 9" xfId="3147"/>
    <cellStyle name="Percent 16 9 10" xfId="3148"/>
    <cellStyle name="Percent 16 9 10 2" xfId="3149"/>
    <cellStyle name="Percent 16 9 11" xfId="3150"/>
    <cellStyle name="Percent 16 9 11 2" xfId="3151"/>
    <cellStyle name="Percent 16 9 12" xfId="3152"/>
    <cellStyle name="Percent 16 9 12 2" xfId="3153"/>
    <cellStyle name="Percent 16 9 13" xfId="3154"/>
    <cellStyle name="Percent 16 9 13 2" xfId="3155"/>
    <cellStyle name="Percent 16 9 14" xfId="3156"/>
    <cellStyle name="Percent 16 9 14 2" xfId="3157"/>
    <cellStyle name="Percent 16 9 15" xfId="3158"/>
    <cellStyle name="Percent 16 9 15 2" xfId="3159"/>
    <cellStyle name="Percent 16 9 16" xfId="3160"/>
    <cellStyle name="Percent 16 9 16 2" xfId="3161"/>
    <cellStyle name="Percent 16 9 17" xfId="3162"/>
    <cellStyle name="Percent 16 9 17 2" xfId="3163"/>
    <cellStyle name="Percent 16 9 18" xfId="3164"/>
    <cellStyle name="Percent 16 9 2" xfId="3165"/>
    <cellStyle name="Percent 16 9 2 2" xfId="3166"/>
    <cellStyle name="Percent 16 9 3" xfId="3167"/>
    <cellStyle name="Percent 16 9 3 2" xfId="3168"/>
    <cellStyle name="Percent 16 9 4" xfId="3169"/>
    <cellStyle name="Percent 16 9 4 2" xfId="3170"/>
    <cellStyle name="Percent 16 9 5" xfId="3171"/>
    <cellStyle name="Percent 16 9 5 2" xfId="3172"/>
    <cellStyle name="Percent 16 9 6" xfId="3173"/>
    <cellStyle name="Percent 16 9 6 2" xfId="3174"/>
    <cellStyle name="Percent 16 9 7" xfId="3175"/>
    <cellStyle name="Percent 16 9 7 2" xfId="3176"/>
    <cellStyle name="Percent 16 9 8" xfId="3177"/>
    <cellStyle name="Percent 16 9 8 2" xfId="3178"/>
    <cellStyle name="Percent 16 9 9" xfId="3179"/>
    <cellStyle name="Percent 16 9 9 2" xfId="3180"/>
    <cellStyle name="Percent 17" xfId="3181"/>
    <cellStyle name="Percent 17 2" xfId="3182"/>
    <cellStyle name="Percent 2" xfId="3183"/>
    <cellStyle name="Percent 2 10" xfId="3184"/>
    <cellStyle name="Percent 2 10 2" xfId="3185"/>
    <cellStyle name="Percent 2 10 2 2" xfId="3186"/>
    <cellStyle name="Percent 2 10 3" xfId="3187"/>
    <cellStyle name="Percent 2 10 3 2" xfId="3188"/>
    <cellStyle name="Percent 2 10 4" xfId="3189"/>
    <cellStyle name="Percent 2 10 4 2" xfId="3190"/>
    <cellStyle name="Percent 2 10 5" xfId="3191"/>
    <cellStyle name="Percent 2 10 5 2" xfId="3192"/>
    <cellStyle name="Percent 2 10 6" xfId="3193"/>
    <cellStyle name="Percent 2 10 6 2" xfId="3194"/>
    <cellStyle name="Percent 2 10 7" xfId="3195"/>
    <cellStyle name="Percent 2 10 7 2" xfId="3196"/>
    <cellStyle name="Percent 2 10 8" xfId="3197"/>
    <cellStyle name="Percent 2 10 8 2" xfId="3198"/>
    <cellStyle name="Percent 2 10 9" xfId="3199"/>
    <cellStyle name="Percent 2 11" xfId="3200"/>
    <cellStyle name="Percent 2 11 2" xfId="3201"/>
    <cellStyle name="Percent 2 11 2 2" xfId="3202"/>
    <cellStyle name="Percent 2 11 3" xfId="3203"/>
    <cellStyle name="Percent 2 11 3 2" xfId="3204"/>
    <cellStyle name="Percent 2 11 4" xfId="3205"/>
    <cellStyle name="Percent 2 11 4 2" xfId="3206"/>
    <cellStyle name="Percent 2 11 5" xfId="3207"/>
    <cellStyle name="Percent 2 11 5 2" xfId="3208"/>
    <cellStyle name="Percent 2 11 6" xfId="3209"/>
    <cellStyle name="Percent 2 11 6 2" xfId="3210"/>
    <cellStyle name="Percent 2 11 7" xfId="3211"/>
    <cellStyle name="Percent 2 11 7 2" xfId="3212"/>
    <cellStyle name="Percent 2 11 8" xfId="3213"/>
    <cellStyle name="Percent 2 11 8 2" xfId="3214"/>
    <cellStyle name="Percent 2 11 9" xfId="3215"/>
    <cellStyle name="Percent 2 12" xfId="3216"/>
    <cellStyle name="Percent 2 12 2" xfId="3217"/>
    <cellStyle name="Percent 2 13" xfId="3218"/>
    <cellStyle name="Percent 2 13 2" xfId="3219"/>
    <cellStyle name="Percent 2 14" xfId="3220"/>
    <cellStyle name="Percent 2 14 2" xfId="3221"/>
    <cellStyle name="Percent 2 15" xfId="3222"/>
    <cellStyle name="Percent 2 15 2" xfId="3223"/>
    <cellStyle name="Percent 2 16" xfId="3224"/>
    <cellStyle name="Percent 2 16 2" xfId="3225"/>
    <cellStyle name="Percent 2 17" xfId="3226"/>
    <cellStyle name="Percent 2 17 2" xfId="3227"/>
    <cellStyle name="Percent 2 18" xfId="3228"/>
    <cellStyle name="Percent 2 18 2" xfId="3229"/>
    <cellStyle name="Percent 2 19" xfId="3230"/>
    <cellStyle name="Percent 2 2" xfId="3231"/>
    <cellStyle name="Percent 2 2 10" xfId="3232"/>
    <cellStyle name="Percent 2 2 2" xfId="3233"/>
    <cellStyle name="Percent 2 2 2 2" xfId="3234"/>
    <cellStyle name="Percent 2 2 2 3" xfId="3235"/>
    <cellStyle name="Percent 2 2 3" xfId="3236"/>
    <cellStyle name="Percent 2 2 3 2" xfId="3237"/>
    <cellStyle name="Percent 2 2 3 2 2" xfId="3238"/>
    <cellStyle name="Percent 2 2 3 3" xfId="3239"/>
    <cellStyle name="Percent 2 2 4" xfId="3240"/>
    <cellStyle name="Percent 2 2 4 2" xfId="3241"/>
    <cellStyle name="Percent 2 2 5" xfId="3242"/>
    <cellStyle name="Percent 2 2 5 2" xfId="3243"/>
    <cellStyle name="Percent 2 2 6" xfId="3244"/>
    <cellStyle name="Percent 2 2 6 2" xfId="3245"/>
    <cellStyle name="Percent 2 2 7" xfId="3246"/>
    <cellStyle name="Percent 2 2 7 2" xfId="3247"/>
    <cellStyle name="Percent 2 2 8" xfId="3248"/>
    <cellStyle name="Percent 2 2 8 2" xfId="3249"/>
    <cellStyle name="Percent 2 2 9" xfId="3250"/>
    <cellStyle name="Percent 2 20" xfId="3251"/>
    <cellStyle name="Percent 2 3" xfId="3252"/>
    <cellStyle name="Percent 2 3 10" xfId="3253"/>
    <cellStyle name="Percent 2 3 2" xfId="3254"/>
    <cellStyle name="Percent 2 3 2 2" xfId="3255"/>
    <cellStyle name="Percent 2 3 2 3" xfId="3256"/>
    <cellStyle name="Percent 2 3 3" xfId="3257"/>
    <cellStyle name="Percent 2 3 3 2" xfId="3258"/>
    <cellStyle name="Percent 2 3 3 2 2" xfId="3259"/>
    <cellStyle name="Percent 2 3 3 3" xfId="3260"/>
    <cellStyle name="Percent 2 3 4" xfId="3261"/>
    <cellStyle name="Percent 2 3 4 2" xfId="3262"/>
    <cellStyle name="Percent 2 3 5" xfId="3263"/>
    <cellStyle name="Percent 2 3 5 2" xfId="3264"/>
    <cellStyle name="Percent 2 3 6" xfId="3265"/>
    <cellStyle name="Percent 2 3 6 2" xfId="3266"/>
    <cellStyle name="Percent 2 3 7" xfId="3267"/>
    <cellStyle name="Percent 2 3 7 2" xfId="3268"/>
    <cellStyle name="Percent 2 3 8" xfId="3269"/>
    <cellStyle name="Percent 2 3 8 2" xfId="3270"/>
    <cellStyle name="Percent 2 3 9" xfId="3271"/>
    <cellStyle name="Percent 2 4" xfId="3272"/>
    <cellStyle name="Percent 2 4 10" xfId="3273"/>
    <cellStyle name="Percent 2 4 2" xfId="3274"/>
    <cellStyle name="Percent 2 4 2 2" xfId="3275"/>
    <cellStyle name="Percent 2 4 3" xfId="3276"/>
    <cellStyle name="Percent 2 4 3 2" xfId="3277"/>
    <cellStyle name="Percent 2 4 4" xfId="3278"/>
    <cellStyle name="Percent 2 4 4 2" xfId="3279"/>
    <cellStyle name="Percent 2 4 5" xfId="3280"/>
    <cellStyle name="Percent 2 4 5 2" xfId="3281"/>
    <cellStyle name="Percent 2 4 6" xfId="3282"/>
    <cellStyle name="Percent 2 4 6 2" xfId="3283"/>
    <cellStyle name="Percent 2 4 7" xfId="3284"/>
    <cellStyle name="Percent 2 4 7 2" xfId="3285"/>
    <cellStyle name="Percent 2 4 8" xfId="3286"/>
    <cellStyle name="Percent 2 4 8 2" xfId="3287"/>
    <cellStyle name="Percent 2 4 9" xfId="3288"/>
    <cellStyle name="Percent 2 5" xfId="3289"/>
    <cellStyle name="Percent 2 5 2" xfId="3290"/>
    <cellStyle name="Percent 2 5 2 2" xfId="3291"/>
    <cellStyle name="Percent 2 5 3" xfId="3292"/>
    <cellStyle name="Percent 2 5 3 2" xfId="3293"/>
    <cellStyle name="Percent 2 5 4" xfId="3294"/>
    <cellStyle name="Percent 2 5 4 2" xfId="3295"/>
    <cellStyle name="Percent 2 5 5" xfId="3296"/>
    <cellStyle name="Percent 2 5 5 2" xfId="3297"/>
    <cellStyle name="Percent 2 5 6" xfId="3298"/>
    <cellStyle name="Percent 2 5 6 2" xfId="3299"/>
    <cellStyle name="Percent 2 5 7" xfId="3300"/>
    <cellStyle name="Percent 2 5 7 2" xfId="3301"/>
    <cellStyle name="Percent 2 5 8" xfId="3302"/>
    <cellStyle name="Percent 2 5 8 2" xfId="3303"/>
    <cellStyle name="Percent 2 5 9" xfId="3304"/>
    <cellStyle name="Percent 2 6" xfId="3305"/>
    <cellStyle name="Percent 2 6 2" xfId="3306"/>
    <cellStyle name="Percent 2 6 2 2" xfId="3307"/>
    <cellStyle name="Percent 2 6 3" xfId="3308"/>
    <cellStyle name="Percent 2 6 3 2" xfId="3309"/>
    <cellStyle name="Percent 2 6 4" xfId="3310"/>
    <cellStyle name="Percent 2 6 4 2" xfId="3311"/>
    <cellStyle name="Percent 2 6 5" xfId="3312"/>
    <cellStyle name="Percent 2 6 5 2" xfId="3313"/>
    <cellStyle name="Percent 2 6 6" xfId="3314"/>
    <cellStyle name="Percent 2 6 6 2" xfId="3315"/>
    <cellStyle name="Percent 2 6 7" xfId="3316"/>
    <cellStyle name="Percent 2 6 7 2" xfId="3317"/>
    <cellStyle name="Percent 2 6 8" xfId="3318"/>
    <cellStyle name="Percent 2 6 8 2" xfId="3319"/>
    <cellStyle name="Percent 2 6 9" xfId="3320"/>
    <cellStyle name="Percent 2 7" xfId="3321"/>
    <cellStyle name="Percent 2 7 2" xfId="3322"/>
    <cellStyle name="Percent 2 7 2 2" xfId="3323"/>
    <cellStyle name="Percent 2 7 3" xfId="3324"/>
    <cellStyle name="Percent 2 7 3 2" xfId="3325"/>
    <cellStyle name="Percent 2 7 4" xfId="3326"/>
    <cellStyle name="Percent 2 7 4 2" xfId="3327"/>
    <cellStyle name="Percent 2 7 5" xfId="3328"/>
    <cellStyle name="Percent 2 7 5 2" xfId="3329"/>
    <cellStyle name="Percent 2 7 6" xfId="3330"/>
    <cellStyle name="Percent 2 7 6 2" xfId="3331"/>
    <cellStyle name="Percent 2 7 7" xfId="3332"/>
    <cellStyle name="Percent 2 7 7 2" xfId="3333"/>
    <cellStyle name="Percent 2 7 8" xfId="3334"/>
    <cellStyle name="Percent 2 7 8 2" xfId="3335"/>
    <cellStyle name="Percent 2 7 9" xfId="3336"/>
    <cellStyle name="Percent 2 8" xfId="3337"/>
    <cellStyle name="Percent 2 8 2" xfId="3338"/>
    <cellStyle name="Percent 2 8 2 2" xfId="3339"/>
    <cellStyle name="Percent 2 8 3" xfId="3340"/>
    <cellStyle name="Percent 2 8 3 2" xfId="3341"/>
    <cellStyle name="Percent 2 8 4" xfId="3342"/>
    <cellStyle name="Percent 2 8 4 2" xfId="3343"/>
    <cellStyle name="Percent 2 8 5" xfId="3344"/>
    <cellStyle name="Percent 2 8 5 2" xfId="3345"/>
    <cellStyle name="Percent 2 8 6" xfId="3346"/>
    <cellStyle name="Percent 2 8 6 2" xfId="3347"/>
    <cellStyle name="Percent 2 8 7" xfId="3348"/>
    <cellStyle name="Percent 2 8 7 2" xfId="3349"/>
    <cellStyle name="Percent 2 8 8" xfId="3350"/>
    <cellStyle name="Percent 2 8 8 2" xfId="3351"/>
    <cellStyle name="Percent 2 8 9" xfId="3352"/>
    <cellStyle name="Percent 2 9" xfId="3353"/>
    <cellStyle name="Percent 2 9 2" xfId="3354"/>
    <cellStyle name="Percent 2 9 2 2" xfId="3355"/>
    <cellStyle name="Percent 2 9 3" xfId="3356"/>
    <cellStyle name="Percent 2 9 3 2" xfId="3357"/>
    <cellStyle name="Percent 2 9 4" xfId="3358"/>
    <cellStyle name="Percent 2 9 4 2" xfId="3359"/>
    <cellStyle name="Percent 2 9 5" xfId="3360"/>
    <cellStyle name="Percent 2 9 5 2" xfId="3361"/>
    <cellStyle name="Percent 2 9 6" xfId="3362"/>
    <cellStyle name="Percent 2 9 6 2" xfId="3363"/>
    <cellStyle name="Percent 2 9 7" xfId="3364"/>
    <cellStyle name="Percent 2 9 7 2" xfId="3365"/>
    <cellStyle name="Percent 2 9 8" xfId="3366"/>
    <cellStyle name="Percent 2 9 8 2" xfId="3367"/>
    <cellStyle name="Percent 2 9 9" xfId="3368"/>
    <cellStyle name="Percent 3" xfId="3369"/>
    <cellStyle name="Percent 3 10" xfId="3370"/>
    <cellStyle name="Percent 3 11" xfId="3371"/>
    <cellStyle name="Percent 3 12" xfId="3372"/>
    <cellStyle name="Percent 3 13" xfId="3373"/>
    <cellStyle name="Percent 3 2" xfId="3374"/>
    <cellStyle name="Percent 3 2 2" xfId="3375"/>
    <cellStyle name="Percent 3 2 2 2" xfId="3376"/>
    <cellStyle name="Percent 3 2 3" xfId="3377"/>
    <cellStyle name="Percent 3 2 4" xfId="3378"/>
    <cellStyle name="Percent 3 3" xfId="3379"/>
    <cellStyle name="Percent 3 3 2" xfId="3380"/>
    <cellStyle name="Percent 3 3 2 2" xfId="3381"/>
    <cellStyle name="Percent 3 3 3" xfId="3382"/>
    <cellStyle name="Percent 3 3 3 2" xfId="3383"/>
    <cellStyle name="Percent 3 3 4" xfId="3384"/>
    <cellStyle name="Percent 3 4" xfId="3385"/>
    <cellStyle name="Percent 3 4 2" xfId="3386"/>
    <cellStyle name="Percent 3 4 2 2" xfId="3387"/>
    <cellStyle name="Percent 3 4 3" xfId="3388"/>
    <cellStyle name="Percent 3 5" xfId="3389"/>
    <cellStyle name="Percent 3 5 2" xfId="3390"/>
    <cellStyle name="Percent 3 5 3" xfId="3391"/>
    <cellStyle name="Percent 3 6" xfId="3392"/>
    <cellStyle name="Percent 3 6 2" xfId="3393"/>
    <cellStyle name="Percent 3 7" xfId="3394"/>
    <cellStyle name="Percent 3 7 2" xfId="3395"/>
    <cellStyle name="Percent 3 8" xfId="3396"/>
    <cellStyle name="Percent 3 8 2" xfId="3397"/>
    <cellStyle name="Percent 3 9" xfId="3398"/>
    <cellStyle name="Percent 3 9 2" xfId="3399"/>
    <cellStyle name="Percent 3 9 3" xfId="3400"/>
    <cellStyle name="Percent 3 9 4" xfId="3401"/>
    <cellStyle name="Percent 4" xfId="3402"/>
    <cellStyle name="Percent 4 10" xfId="3403"/>
    <cellStyle name="Percent 4 10 2" xfId="3404"/>
    <cellStyle name="Percent 4 11" xfId="3405"/>
    <cellStyle name="Percent 4 11 2" xfId="3406"/>
    <cellStyle name="Percent 4 12" xfId="3407"/>
    <cellStyle name="Percent 4 12 2" xfId="3408"/>
    <cellStyle name="Percent 4 13" xfId="3409"/>
    <cellStyle name="Percent 4 13 2" xfId="3410"/>
    <cellStyle name="Percent 4 14" xfId="3411"/>
    <cellStyle name="Percent 4 15" xfId="3412"/>
    <cellStyle name="Percent 4 2" xfId="3413"/>
    <cellStyle name="Percent 4 2 10" xfId="3414"/>
    <cellStyle name="Percent 4 2 2" xfId="3415"/>
    <cellStyle name="Percent 4 2 2 2" xfId="3416"/>
    <cellStyle name="Percent 4 2 2 3" xfId="3417"/>
    <cellStyle name="Percent 4 2 3" xfId="3418"/>
    <cellStyle name="Percent 4 2 3 2" xfId="3419"/>
    <cellStyle name="Percent 4 2 4" xfId="3420"/>
    <cellStyle name="Percent 4 2 4 2" xfId="3421"/>
    <cellStyle name="Percent 4 2 5" xfId="3422"/>
    <cellStyle name="Percent 4 2 5 2" xfId="3423"/>
    <cellStyle name="Percent 4 2 6" xfId="3424"/>
    <cellStyle name="Percent 4 2 6 2" xfId="3425"/>
    <cellStyle name="Percent 4 2 7" xfId="3426"/>
    <cellStyle name="Percent 4 2 7 2" xfId="3427"/>
    <cellStyle name="Percent 4 2 8" xfId="3428"/>
    <cellStyle name="Percent 4 2 8 2" xfId="3429"/>
    <cellStyle name="Percent 4 2 9" xfId="3430"/>
    <cellStyle name="Percent 4 3" xfId="3431"/>
    <cellStyle name="Percent 4 3 10" xfId="3432"/>
    <cellStyle name="Percent 4 3 2" xfId="3433"/>
    <cellStyle name="Percent 4 3 2 2" xfId="3434"/>
    <cellStyle name="Percent 4 3 3" xfId="3435"/>
    <cellStyle name="Percent 4 3 3 2" xfId="3436"/>
    <cellStyle name="Percent 4 3 4" xfId="3437"/>
    <cellStyle name="Percent 4 3 4 2" xfId="3438"/>
    <cellStyle name="Percent 4 3 5" xfId="3439"/>
    <cellStyle name="Percent 4 3 5 2" xfId="3440"/>
    <cellStyle name="Percent 4 3 6" xfId="3441"/>
    <cellStyle name="Percent 4 3 6 2" xfId="3442"/>
    <cellStyle name="Percent 4 3 7" xfId="3443"/>
    <cellStyle name="Percent 4 3 7 2" xfId="3444"/>
    <cellStyle name="Percent 4 3 8" xfId="3445"/>
    <cellStyle name="Percent 4 3 8 2" xfId="3446"/>
    <cellStyle name="Percent 4 3 9" xfId="3447"/>
    <cellStyle name="Percent 4 4" xfId="3448"/>
    <cellStyle name="Percent 4 4 10" xfId="3449"/>
    <cellStyle name="Percent 4 4 2" xfId="3450"/>
    <cellStyle name="Percent 4 4 2 2" xfId="3451"/>
    <cellStyle name="Percent 4 4 3" xfId="3452"/>
    <cellStyle name="Percent 4 4 3 2" xfId="3453"/>
    <cellStyle name="Percent 4 4 4" xfId="3454"/>
    <cellStyle name="Percent 4 4 4 2" xfId="3455"/>
    <cellStyle name="Percent 4 4 5" xfId="3456"/>
    <cellStyle name="Percent 4 4 5 2" xfId="3457"/>
    <cellStyle name="Percent 4 4 6" xfId="3458"/>
    <cellStyle name="Percent 4 4 6 2" xfId="3459"/>
    <cellStyle name="Percent 4 4 7" xfId="3460"/>
    <cellStyle name="Percent 4 4 7 2" xfId="3461"/>
    <cellStyle name="Percent 4 4 8" xfId="3462"/>
    <cellStyle name="Percent 4 4 8 2" xfId="3463"/>
    <cellStyle name="Percent 4 4 9" xfId="3464"/>
    <cellStyle name="Percent 4 5" xfId="3465"/>
    <cellStyle name="Percent 4 5 2" xfId="3466"/>
    <cellStyle name="Percent 4 5 2 2" xfId="3467"/>
    <cellStyle name="Percent 4 5 3" xfId="3468"/>
    <cellStyle name="Percent 4 5 3 2" xfId="3469"/>
    <cellStyle name="Percent 4 5 4" xfId="3470"/>
    <cellStyle name="Percent 4 5 4 2" xfId="3471"/>
    <cellStyle name="Percent 4 5 5" xfId="3472"/>
    <cellStyle name="Percent 4 5 5 2" xfId="3473"/>
    <cellStyle name="Percent 4 5 6" xfId="3474"/>
    <cellStyle name="Percent 4 5 6 2" xfId="3475"/>
    <cellStyle name="Percent 4 5 7" xfId="3476"/>
    <cellStyle name="Percent 4 5 7 2" xfId="3477"/>
    <cellStyle name="Percent 4 5 8" xfId="3478"/>
    <cellStyle name="Percent 4 5 8 2" xfId="3479"/>
    <cellStyle name="Percent 4 5 9" xfId="3480"/>
    <cellStyle name="Percent 4 6" xfId="3481"/>
    <cellStyle name="Percent 4 6 2" xfId="3482"/>
    <cellStyle name="Percent 4 6 2 2" xfId="3483"/>
    <cellStyle name="Percent 4 6 3" xfId="3484"/>
    <cellStyle name="Percent 4 6 3 2" xfId="3485"/>
    <cellStyle name="Percent 4 6 4" xfId="3486"/>
    <cellStyle name="Percent 4 6 4 2" xfId="3487"/>
    <cellStyle name="Percent 4 6 5" xfId="3488"/>
    <cellStyle name="Percent 4 6 5 2" xfId="3489"/>
    <cellStyle name="Percent 4 6 6" xfId="3490"/>
    <cellStyle name="Percent 4 6 6 2" xfId="3491"/>
    <cellStyle name="Percent 4 6 7" xfId="3492"/>
    <cellStyle name="Percent 4 6 7 2" xfId="3493"/>
    <cellStyle name="Percent 4 6 8" xfId="3494"/>
    <cellStyle name="Percent 4 6 8 2" xfId="3495"/>
    <cellStyle name="Percent 4 6 9" xfId="3496"/>
    <cellStyle name="Percent 4 7" xfId="3497"/>
    <cellStyle name="Percent 4 7 2" xfId="3498"/>
    <cellStyle name="Percent 4 8" xfId="3499"/>
    <cellStyle name="Percent 4 8 2" xfId="3500"/>
    <cellStyle name="Percent 4 9" xfId="3501"/>
    <cellStyle name="Percent 4 9 2" xfId="3502"/>
    <cellStyle name="Percent 5" xfId="3503"/>
    <cellStyle name="Percent 5 10" xfId="3504"/>
    <cellStyle name="Percent 5 2" xfId="3505"/>
    <cellStyle name="Percent 5 2 2" xfId="3506"/>
    <cellStyle name="Percent 5 2 3" xfId="3507"/>
    <cellStyle name="Percent 5 3" xfId="3508"/>
    <cellStyle name="Percent 5 3 2" xfId="3509"/>
    <cellStyle name="Percent 5 4" xfId="3510"/>
    <cellStyle name="Percent 5 4 2" xfId="3511"/>
    <cellStyle name="Percent 5 5" xfId="3512"/>
    <cellStyle name="Percent 5 5 2" xfId="3513"/>
    <cellStyle name="Percent 5 6" xfId="3514"/>
    <cellStyle name="Percent 5 6 2" xfId="3515"/>
    <cellStyle name="Percent 5 7" xfId="3516"/>
    <cellStyle name="Percent 5 7 2" xfId="3517"/>
    <cellStyle name="Percent 5 8" xfId="3518"/>
    <cellStyle name="Percent 5 8 2" xfId="3519"/>
    <cellStyle name="Percent 5 9" xfId="3520"/>
    <cellStyle name="Percent 6" xfId="3521"/>
    <cellStyle name="Percent 6 10" xfId="3522"/>
    <cellStyle name="Percent 6 2" xfId="3523"/>
    <cellStyle name="Percent 6 2 2" xfId="3524"/>
    <cellStyle name="Percent 6 3" xfId="3525"/>
    <cellStyle name="Percent 6 3 2" xfId="3526"/>
    <cellStyle name="Percent 6 4" xfId="3527"/>
    <cellStyle name="Percent 6 4 2" xfId="3528"/>
    <cellStyle name="Percent 6 5" xfId="3529"/>
    <cellStyle name="Percent 6 5 2" xfId="3530"/>
    <cellStyle name="Percent 6 6" xfId="3531"/>
    <cellStyle name="Percent 6 6 2" xfId="3532"/>
    <cellStyle name="Percent 6 7" xfId="3533"/>
    <cellStyle name="Percent 6 7 2" xfId="3534"/>
    <cellStyle name="Percent 6 8" xfId="3535"/>
    <cellStyle name="Percent 6 8 2" xfId="3536"/>
    <cellStyle name="Percent 6 9" xfId="3537"/>
    <cellStyle name="Percent 7" xfId="3538"/>
    <cellStyle name="Percent 7 2" xfId="3539"/>
    <cellStyle name="Percent 7 2 2" xfId="3540"/>
    <cellStyle name="Percent 7 3" xfId="3541"/>
    <cellStyle name="Percent 7 3 2" xfId="3542"/>
    <cellStyle name="Percent 7 4" xfId="3543"/>
    <cellStyle name="Percent 7 4 2" xfId="3544"/>
    <cellStyle name="Percent 7 5" xfId="3545"/>
    <cellStyle name="Percent 7 5 2" xfId="3546"/>
    <cellStyle name="Percent 7 6" xfId="3547"/>
    <cellStyle name="Percent 7 6 2" xfId="3548"/>
    <cellStyle name="Percent 7 7" xfId="3549"/>
    <cellStyle name="Percent 7 7 2" xfId="3550"/>
    <cellStyle name="Percent 7 8" xfId="3551"/>
    <cellStyle name="Percent 7 8 2" xfId="3552"/>
    <cellStyle name="Percent 7 9" xfId="3553"/>
    <cellStyle name="Percent 8" xfId="3554"/>
    <cellStyle name="Percent 8 2" xfId="3555"/>
    <cellStyle name="Percent 8 2 2" xfId="3556"/>
    <cellStyle name="Percent 8 3" xfId="3557"/>
    <cellStyle name="Percent 8 3 2" xfId="3558"/>
    <cellStyle name="Percent 8 4" xfId="3559"/>
    <cellStyle name="Percent 8 4 2" xfId="3560"/>
    <cellStyle name="Percent 8 5" xfId="3561"/>
    <cellStyle name="Percent 8 5 2" xfId="3562"/>
    <cellStyle name="Percent 8 6" xfId="3563"/>
    <cellStyle name="Percent 8 6 2" xfId="3564"/>
    <cellStyle name="Percent 8 7" xfId="3565"/>
    <cellStyle name="Percent 8 7 2" xfId="3566"/>
    <cellStyle name="Percent 8 8" xfId="3567"/>
    <cellStyle name="Percent 8 8 2" xfId="3568"/>
    <cellStyle name="Percent 8 9" xfId="3569"/>
    <cellStyle name="Percent 9" xfId="3570"/>
    <cellStyle name="Percent 9 2" xfId="3571"/>
    <cellStyle name="Percent 9 2 2" xfId="3572"/>
    <cellStyle name="Percent 9 3" xfId="3573"/>
    <cellStyle name="Percent 9 3 2" xfId="3574"/>
    <cellStyle name="Percent 9 4" xfId="3575"/>
    <cellStyle name="Percent 9 4 2" xfId="3576"/>
    <cellStyle name="Percent 9 5" xfId="3577"/>
    <cellStyle name="Percent 9 5 2" xfId="3578"/>
    <cellStyle name="Percent 9 6" xfId="3579"/>
    <cellStyle name="Percent 9 6 2" xfId="3580"/>
    <cellStyle name="Percent 9 7" xfId="3581"/>
    <cellStyle name="Percent 9 7 2" xfId="3582"/>
    <cellStyle name="Percent 9 8" xfId="3583"/>
    <cellStyle name="Percent 9 8 2" xfId="3584"/>
    <cellStyle name="Percent 9 9" xfId="3585"/>
    <cellStyle name="Pilkku_Layo9704" xfId="3586"/>
    <cellStyle name="Pyör. luku_Layo9704" xfId="3587"/>
    <cellStyle name="Pyör. valuutta_Layo9704" xfId="3588"/>
    <cellStyle name="source" xfId="3589"/>
    <cellStyle name="Standard_Sce_D_Extraction" xfId="3590"/>
    <cellStyle name="Style 21" xfId="3591"/>
    <cellStyle name="Style 21 2" xfId="3592"/>
    <cellStyle name="Style 22" xfId="3593"/>
    <cellStyle name="Style 23" xfId="3594"/>
    <cellStyle name="Style 24" xfId="3595"/>
    <cellStyle name="Style 25" xfId="3596"/>
    <cellStyle name="Style 25 2" xfId="3597"/>
    <cellStyle name="Style 26" xfId="3598"/>
    <cellStyle name="Style 29" xfId="3599"/>
    <cellStyle name="Style 29 2" xfId="3600"/>
    <cellStyle name="Style 29 2 2" xfId="3601"/>
    <cellStyle name="Style 29 3" xfId="3602"/>
    <cellStyle name="Style 35" xfId="3603"/>
    <cellStyle name="Style 35 2" xfId="3604"/>
    <cellStyle name="Style 36" xfId="3605"/>
    <cellStyle name="Style 36 2" xfId="3606"/>
    <cellStyle name="tableau | cellule | normal | decimal 1" xfId="3607"/>
    <cellStyle name="tableau | cellule | normal | pourcentage | decimal 1" xfId="3608"/>
    <cellStyle name="tableau | cellule | total | decimal 1" xfId="3609"/>
    <cellStyle name="tableau | coin superieur gauche" xfId="3610"/>
    <cellStyle name="tableau | coin superieur gauche 2" xfId="3611"/>
    <cellStyle name="tableau | entete-colonne | series" xfId="3612"/>
    <cellStyle name="tableau | entete-colonne | series 2" xfId="3613"/>
    <cellStyle name="tableau | entete-ligne | normal" xfId="3614"/>
    <cellStyle name="tableau | entete-ligne | normal 2" xfId="3615"/>
    <cellStyle name="tableau | entete-ligne | total" xfId="3616"/>
    <cellStyle name="tableau | ligne-titre | niveau1" xfId="3617"/>
    <cellStyle name="tableau | ligne-titre | niveau1 2" xfId="3618"/>
    <cellStyle name="tableau | ligne-titre | niveau2" xfId="3619"/>
    <cellStyle name="tableau | ligne-titre | niveau2 2" xfId="3620"/>
    <cellStyle name="Title 2" xfId="3621"/>
    <cellStyle name="Title 2 10" xfId="3622"/>
    <cellStyle name="Title 2 2" xfId="3623"/>
    <cellStyle name="Title 2 3" xfId="3624"/>
    <cellStyle name="Title 2 4" xfId="3625"/>
    <cellStyle name="Title 2 5" xfId="3626"/>
    <cellStyle name="Title 2 6" xfId="3627"/>
    <cellStyle name="Title 2 7" xfId="3628"/>
    <cellStyle name="Title 2 8" xfId="3629"/>
    <cellStyle name="Title 2 9" xfId="3630"/>
    <cellStyle name="Title 3" xfId="3631"/>
    <cellStyle name="Title 3 2" xfId="3632"/>
    <cellStyle name="Total 2" xfId="3633"/>
    <cellStyle name="Total 2 10" xfId="3634"/>
    <cellStyle name="Total 2 2" xfId="3635"/>
    <cellStyle name="Total 2 3" xfId="3636"/>
    <cellStyle name="Total 2 4" xfId="3637"/>
    <cellStyle name="Total 2 5" xfId="3638"/>
    <cellStyle name="Total 2 6" xfId="3639"/>
    <cellStyle name="Total 2 7" xfId="3640"/>
    <cellStyle name="Total 2 8" xfId="3641"/>
    <cellStyle name="Total 2 9" xfId="3642"/>
    <cellStyle name="Total 3" xfId="3643"/>
    <cellStyle name="Total 3 2" xfId="3644"/>
    <cellStyle name="Valuutta_Layo9704" xfId="3645"/>
    <cellStyle name="Warning Text 2" xfId="3646"/>
    <cellStyle name="Warning Text 2 10" xfId="3647"/>
    <cellStyle name="Warning Text 2 2" xfId="3648"/>
    <cellStyle name="Warning Text 2 3" xfId="3649"/>
    <cellStyle name="Warning Text 2 4" xfId="3650"/>
    <cellStyle name="Warning Text 2 5" xfId="3651"/>
    <cellStyle name="Warning Text 2 6" xfId="3652"/>
    <cellStyle name="Warning Text 2 7" xfId="3653"/>
    <cellStyle name="Warning Text 2 8" xfId="3654"/>
    <cellStyle name="Warning Text 2 9" xfId="3655"/>
    <cellStyle name="Warning Text 3" xfId="3656"/>
    <cellStyle name="Обычный_CRF2002 (1)" xfId="3657"/>
    <cellStyle name="已访问的超链接" xfId="3658"/>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152400</xdr:colOff>
      <xdr:row>1</xdr:row>
      <xdr:rowOff>9525</xdr:rowOff>
    </xdr:from>
    <xdr:to>
      <xdr:col>16</xdr:col>
      <xdr:colOff>0</xdr:colOff>
      <xdr:row>32</xdr:row>
      <xdr:rowOff>123962</xdr:rowOff>
    </xdr:to>
    <xdr:pic>
      <xdr:nvPicPr>
        <xdr:cNvPr id="2" name="Picture 1"/>
        <xdr:cNvPicPr>
          <a:picLocks noChangeAspect="1" noChangeArrowheads="1"/>
        </xdr:cNvPicPr>
      </xdr:nvPicPr>
      <xdr:blipFill>
        <a:blip r:embed="rId1">
          <a:extLst>
            <a:ext uri="{28A0092B-C50C-407E-A947-70E740481C1C}">
              <a14:useLocalDpi xmlns:a14="http://schemas.microsoft.com/office/drawing/2010/main" val="0"/>
            </a:ext>
          </a:extLst>
        </a:blip>
        <a:srcRect/>
        <a:stretch>
          <a:fillRect/>
        </a:stretch>
      </xdr:blipFill>
      <xdr:spPr>
        <a:xfrm>
          <a:off x="5465445" y="168275"/>
          <a:ext cx="4876800" cy="50355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53"/>
  <sheetViews>
    <sheetView zoomScale="73" zoomScaleNormal="73" workbookViewId="0">
      <selection activeCell="F42" sqref="F42"/>
    </sheetView>
  </sheetViews>
  <sheetFormatPr defaultColWidth="11.4636363636364" defaultRowHeight="12.5"/>
  <cols>
    <col min="1" max="1" width="19.0636363636364" customWidth="1"/>
    <col min="2" max="2" width="12.2636363636364" customWidth="1"/>
    <col min="3" max="3" width="9.06363636363636" customWidth="1"/>
    <col min="4" max="4" width="13.7272727272727" customWidth="1"/>
    <col min="5" max="5" width="9.06363636363636" customWidth="1"/>
    <col min="6" max="6" width="20.0636363636364" customWidth="1"/>
    <col min="7" max="7" width="13" customWidth="1"/>
    <col min="9" max="10" width="7.72727272727273" customWidth="1"/>
  </cols>
  <sheetData>
    <row r="1" ht="13" spans="1:10">
      <c r="A1" s="37" t="s">
        <v>0</v>
      </c>
      <c r="H1" s="37" t="s">
        <v>1</v>
      </c>
      <c r="I1" s="30"/>
      <c r="J1" s="30"/>
    </row>
    <row r="2" ht="13" spans="1:10">
      <c r="A2" s="38" t="s">
        <v>2</v>
      </c>
      <c r="B2" s="38" t="s">
        <v>3</v>
      </c>
      <c r="H2" s="38" t="s">
        <v>4</v>
      </c>
      <c r="I2" s="38" t="s">
        <v>5</v>
      </c>
      <c r="J2" s="38" t="s">
        <v>6</v>
      </c>
    </row>
    <row r="3" ht="13" spans="1:10">
      <c r="A3" s="39" t="s">
        <v>7</v>
      </c>
      <c r="B3" t="s">
        <v>8</v>
      </c>
      <c r="H3" t="s">
        <v>9</v>
      </c>
      <c r="J3" t="s">
        <v>10</v>
      </c>
    </row>
    <row r="4" spans="1:10">
      <c r="B4" t="s">
        <v>11</v>
      </c>
      <c r="H4" t="s">
        <v>12</v>
      </c>
      <c r="J4" t="s">
        <v>13</v>
      </c>
    </row>
    <row r="5" spans="1:10">
      <c r="B5" t="s">
        <v>14</v>
      </c>
      <c r="J5" t="s">
        <v>15</v>
      </c>
    </row>
    <row r="6" spans="1:10">
      <c r="B6" t="s">
        <v>16</v>
      </c>
      <c r="J6" t="s">
        <v>17</v>
      </c>
    </row>
    <row r="7" spans="1:10">
      <c r="B7" t="s">
        <v>18</v>
      </c>
      <c r="J7" t="s">
        <v>19</v>
      </c>
    </row>
    <row r="8" spans="1:10">
      <c r="B8" t="s">
        <v>20</v>
      </c>
      <c r="J8" t="s">
        <v>21</v>
      </c>
    </row>
    <row r="9" spans="1:10">
      <c r="B9" t="s">
        <v>22</v>
      </c>
      <c r="J9" t="s">
        <v>23</v>
      </c>
    </row>
    <row r="10" spans="1:10">
      <c r="B10" t="s">
        <v>24</v>
      </c>
      <c r="J10" t="s">
        <v>25</v>
      </c>
    </row>
    <row r="11" spans="1:10">
      <c r="B11" t="s">
        <v>26</v>
      </c>
      <c r="J11" t="s">
        <v>27</v>
      </c>
    </row>
    <row r="12" spans="1:10">
      <c r="B12" t="s">
        <v>28</v>
      </c>
      <c r="J12" t="s">
        <v>29</v>
      </c>
    </row>
    <row r="13" spans="1:10">
      <c r="B13" t="s">
        <v>30</v>
      </c>
      <c r="J13" t="s">
        <v>31</v>
      </c>
    </row>
    <row r="14" spans="1:10">
      <c r="B14" t="s">
        <v>32</v>
      </c>
      <c r="J14" t="s">
        <v>33</v>
      </c>
    </row>
    <row r="15" spans="1:10">
      <c r="B15" t="s">
        <v>34</v>
      </c>
      <c r="J15" t="s">
        <v>35</v>
      </c>
    </row>
    <row r="16" spans="1:10">
      <c r="B16" t="s">
        <v>36</v>
      </c>
      <c r="J16" t="s">
        <v>37</v>
      </c>
    </row>
    <row r="17" spans="2:16">
      <c r="B17" t="s">
        <v>38</v>
      </c>
      <c r="J17" t="s">
        <v>39</v>
      </c>
      <c r="O17" t="s">
        <v>40</v>
      </c>
    </row>
    <row r="18" spans="2:16">
      <c r="B18" t="s">
        <v>41</v>
      </c>
      <c r="J18" t="s">
        <v>42</v>
      </c>
      <c r="O18" t="s">
        <v>3</v>
      </c>
      <c r="P18" t="s">
        <v>43</v>
      </c>
    </row>
    <row r="19" spans="2:16">
      <c r="B19" t="s">
        <v>44</v>
      </c>
      <c r="J19" t="s">
        <v>45</v>
      </c>
      <c r="O19" t="s">
        <v>8</v>
      </c>
      <c r="P19" t="s">
        <v>46</v>
      </c>
    </row>
    <row r="20" spans="2:16">
      <c r="B20" t="s">
        <v>47</v>
      </c>
      <c r="J20" t="s">
        <v>48</v>
      </c>
      <c r="O20" t="s">
        <v>11</v>
      </c>
      <c r="P20" t="s">
        <v>46</v>
      </c>
    </row>
    <row r="21" spans="2:16">
      <c r="B21" t="s">
        <v>49</v>
      </c>
      <c r="J21" t="s">
        <v>50</v>
      </c>
      <c r="O21" t="s">
        <v>14</v>
      </c>
      <c r="P21" t="s">
        <v>51</v>
      </c>
    </row>
    <row r="22" spans="2:16">
      <c r="B22" t="s">
        <v>52</v>
      </c>
      <c r="J22" t="s">
        <v>53</v>
      </c>
      <c r="O22" t="s">
        <v>16</v>
      </c>
      <c r="P22" t="s">
        <v>54</v>
      </c>
    </row>
    <row r="23" spans="2:16">
      <c r="B23" t="s">
        <v>55</v>
      </c>
      <c r="J23" t="s">
        <v>56</v>
      </c>
      <c r="O23" t="s">
        <v>18</v>
      </c>
      <c r="P23" t="s">
        <v>54</v>
      </c>
    </row>
    <row r="24" spans="2:16">
      <c r="B24" t="s">
        <v>57</v>
      </c>
      <c r="J24" t="s">
        <v>58</v>
      </c>
      <c r="O24" t="s">
        <v>20</v>
      </c>
      <c r="P24" t="s">
        <v>54</v>
      </c>
    </row>
    <row r="25" spans="2:16">
      <c r="B25" t="s">
        <v>59</v>
      </c>
      <c r="J25" t="s">
        <v>60</v>
      </c>
      <c r="O25" t="s">
        <v>22</v>
      </c>
      <c r="P25" t="s">
        <v>61</v>
      </c>
    </row>
    <row r="26" spans="2:16">
      <c r="B26" t="s">
        <v>62</v>
      </c>
      <c r="J26" t="s">
        <v>63</v>
      </c>
      <c r="O26" t="s">
        <v>24</v>
      </c>
      <c r="P26" t="s">
        <v>64</v>
      </c>
    </row>
    <row r="27" spans="2:16">
      <c r="B27" t="s">
        <v>65</v>
      </c>
      <c r="O27" t="s">
        <v>26</v>
      </c>
      <c r="P27" t="s">
        <v>54</v>
      </c>
    </row>
    <row r="28" spans="2:16">
      <c r="B28" t="s">
        <v>66</v>
      </c>
      <c r="O28" t="s">
        <v>28</v>
      </c>
      <c r="P28" t="s">
        <v>54</v>
      </c>
    </row>
    <row r="29" spans="2:16">
      <c r="B29" t="s">
        <v>67</v>
      </c>
      <c r="O29" t="s">
        <v>30</v>
      </c>
      <c r="P29" t="s">
        <v>54</v>
      </c>
    </row>
    <row r="30" spans="2:16">
      <c r="B30" t="s">
        <v>68</v>
      </c>
      <c r="O30" t="s">
        <v>32</v>
      </c>
      <c r="P30" t="s">
        <v>54</v>
      </c>
    </row>
    <row r="31" spans="2:16">
      <c r="B31" t="s">
        <v>69</v>
      </c>
      <c r="O31" t="s">
        <v>34</v>
      </c>
      <c r="P31" t="s">
        <v>54</v>
      </c>
    </row>
    <row r="32" spans="2:16">
      <c r="B32" t="s">
        <v>70</v>
      </c>
      <c r="O32" t="s">
        <v>36</v>
      </c>
      <c r="P32" t="s">
        <v>54</v>
      </c>
    </row>
    <row r="33" spans="2:16">
      <c r="B33" t="s">
        <v>71</v>
      </c>
      <c r="O33" t="s">
        <v>38</v>
      </c>
      <c r="P33" t="s">
        <v>54</v>
      </c>
    </row>
    <row r="34" spans="2:16">
      <c r="B34" t="s">
        <v>72</v>
      </c>
      <c r="O34" t="s">
        <v>41</v>
      </c>
      <c r="P34" t="s">
        <v>73</v>
      </c>
    </row>
    <row r="35" spans="2:16">
      <c r="B35" t="s">
        <v>74</v>
      </c>
      <c r="O35" t="s">
        <v>44</v>
      </c>
      <c r="P35" t="s">
        <v>54</v>
      </c>
    </row>
    <row r="36" spans="2:16">
      <c r="B36" t="s">
        <v>75</v>
      </c>
      <c r="O36" t="s">
        <v>47</v>
      </c>
      <c r="P36" t="s">
        <v>54</v>
      </c>
    </row>
    <row r="37" spans="2:16">
      <c r="B37" t="s">
        <v>76</v>
      </c>
      <c r="O37" t="s">
        <v>49</v>
      </c>
      <c r="P37" t="s">
        <v>77</v>
      </c>
    </row>
    <row r="38" spans="2:16">
      <c r="O38" t="s">
        <v>52</v>
      </c>
      <c r="P38" t="s">
        <v>61</v>
      </c>
    </row>
    <row r="39" spans="2:16">
      <c r="O39" t="s">
        <v>55</v>
      </c>
      <c r="P39" t="s">
        <v>78</v>
      </c>
    </row>
    <row r="40" spans="2:16">
      <c r="O40" t="s">
        <v>57</v>
      </c>
      <c r="P40" t="s">
        <v>51</v>
      </c>
    </row>
    <row r="41" spans="2:16">
      <c r="O41" t="s">
        <v>59</v>
      </c>
      <c r="P41" t="s">
        <v>54</v>
      </c>
    </row>
    <row r="42" spans="2:16">
      <c r="O42" t="s">
        <v>62</v>
      </c>
      <c r="P42" t="s">
        <v>54</v>
      </c>
    </row>
    <row r="43" spans="2:16">
      <c r="O43" t="s">
        <v>65</v>
      </c>
      <c r="P43" t="s">
        <v>73</v>
      </c>
    </row>
    <row r="44" spans="2:16">
      <c r="O44" t="s">
        <v>66</v>
      </c>
      <c r="P44" t="s">
        <v>79</v>
      </c>
    </row>
    <row r="45" spans="2:16">
      <c r="O45" t="s">
        <v>67</v>
      </c>
      <c r="P45" t="s">
        <v>78</v>
      </c>
    </row>
    <row r="46" spans="2:16">
      <c r="O46" t="s">
        <v>68</v>
      </c>
      <c r="P46" t="s">
        <v>46</v>
      </c>
    </row>
    <row r="47" spans="2:16">
      <c r="O47" t="s">
        <v>69</v>
      </c>
      <c r="P47" t="s">
        <v>54</v>
      </c>
    </row>
    <row r="48" spans="2:16">
      <c r="O48" t="s">
        <v>70</v>
      </c>
      <c r="P48" t="s">
        <v>54</v>
      </c>
    </row>
    <row r="49" spans="15:16">
      <c r="O49" t="s">
        <v>71</v>
      </c>
      <c r="P49" t="s">
        <v>54</v>
      </c>
    </row>
    <row r="50" spans="15:16">
      <c r="O50" t="s">
        <v>72</v>
      </c>
      <c r="P50" t="s">
        <v>54</v>
      </c>
    </row>
    <row r="51" spans="15:16">
      <c r="O51" t="s">
        <v>74</v>
      </c>
      <c r="P51" t="s">
        <v>54</v>
      </c>
    </row>
    <row r="52" spans="15:16">
      <c r="O52" t="s">
        <v>75</v>
      </c>
      <c r="P52" t="s">
        <v>54</v>
      </c>
    </row>
    <row r="53" spans="15:16">
      <c r="O53" t="s">
        <v>76</v>
      </c>
      <c r="P53" t="s">
        <v>54</v>
      </c>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R33"/>
  <sheetViews>
    <sheetView tabSelected="1" zoomScale="93" zoomScaleNormal="93" topLeftCell="F1" workbookViewId="0">
      <selection activeCell="Q29" sqref="Q29"/>
    </sheetView>
  </sheetViews>
  <sheetFormatPr defaultColWidth="11.4636363636364" defaultRowHeight="12.5"/>
  <cols>
    <col min="1" max="1" width="9.06363636363636" customWidth="1"/>
    <col min="2" max="2" width="13.7272727272727" customWidth="1"/>
    <col min="4" max="4" width="14.0636363636364" customWidth="1"/>
    <col min="5" max="7" width="9.8" customWidth="1"/>
    <col min="8" max="8" width="10.8" customWidth="1"/>
    <col min="9" max="10" width="9.8" customWidth="1"/>
    <col min="14" max="14" width="11.4636363636364" style="10"/>
  </cols>
  <sheetData>
    <row r="1" spans="2:18">
      <c r="D1" t="s">
        <v>80</v>
      </c>
    </row>
    <row r="3" spans="2:18">
      <c r="B3" t="s">
        <v>81</v>
      </c>
    </row>
    <row r="4" spans="2:18">
      <c r="B4" s="32">
        <v>2019</v>
      </c>
    </row>
    <row r="7" spans="2:18">
      <c r="B7" t="s">
        <v>82</v>
      </c>
    </row>
    <row r="8" spans="2:18">
      <c r="B8" t="str">
        <f>B12</f>
        <v>Pdef_9p-2100</v>
      </c>
    </row>
    <row r="11" spans="2:18">
      <c r="B11" t="s">
        <v>83</v>
      </c>
      <c r="D11" t="s">
        <v>84</v>
      </c>
    </row>
    <row r="12" ht="14.5" spans="2:18">
      <c r="B12" s="33" t="s">
        <v>85</v>
      </c>
      <c r="D12" s="34" t="s">
        <v>86</v>
      </c>
      <c r="E12" s="34" t="str">
        <f t="shared" ref="E12:J12" si="0">"msy"&amp;COUNT(E14:E46)&amp;"_"&amp;MAX(E14:E46)</f>
        <v>msy4_2050</v>
      </c>
      <c r="F12" s="34" t="str">
        <f t="shared" si="0"/>
        <v>msy6_2050</v>
      </c>
      <c r="G12" s="34" t="str">
        <f t="shared" si="0"/>
        <v>msy9_2050</v>
      </c>
      <c r="H12" s="34" t="str">
        <f t="shared" si="0"/>
        <v>msy14_2050</v>
      </c>
      <c r="I12" s="34" t="str">
        <f t="shared" si="0"/>
        <v>msy1_2050</v>
      </c>
      <c r="J12" s="34" t="str">
        <f t="shared" si="0"/>
        <v>msy1_2040</v>
      </c>
      <c r="K12" s="34" t="str">
        <f t="shared" ref="K12" si="1">"msy"&amp;COUNT(K14:K46)&amp;"_"&amp;MAX(K14:K46)</f>
        <v>msy10_2099</v>
      </c>
      <c r="L12" t="s">
        <v>87</v>
      </c>
      <c r="M12" t="s">
        <v>88</v>
      </c>
      <c r="N12" s="35" t="str">
        <f>"msy"&amp;COUNT(N14:N46)&amp;"_"&amp;MAX(N14:N46)</f>
        <v>msy14_2130</v>
      </c>
      <c r="O12" s="35" t="str">
        <f>"msy"&amp;COUNT(O14:O46)&amp;"_"&amp;MAX(O14:O46)</f>
        <v>msy5_2100</v>
      </c>
      <c r="P12" s="35" t="str">
        <f>"msy"&amp;COUNT(P14:P46)&amp;"_"&amp;MAX(P14:P46)</f>
        <v>msy3_2100</v>
      </c>
      <c r="Q12" s="35" t="str">
        <f>"msy"&amp;COUNT(Q14:Q46)&amp;"_"&amp;MAX(Q14:Q46)</f>
        <v>msy7_2130</v>
      </c>
      <c r="R12" s="35" t="str">
        <f>"msy"&amp;COUNT(R14:R46)&amp;"_"&amp;MAX(R14:R46)</f>
        <v>msy5_2130</v>
      </c>
    </row>
    <row r="13" ht="14.5" spans="2:18">
      <c r="B13" s="36">
        <v>1</v>
      </c>
      <c r="D13" t="s">
        <v>89</v>
      </c>
      <c r="O13" s="10"/>
    </row>
    <row r="14" ht="14.5" spans="2:18">
      <c r="B14" s="36">
        <v>2</v>
      </c>
      <c r="D14" t="s">
        <v>90</v>
      </c>
      <c r="E14">
        <f t="shared" ref="E14:H14" si="2">$B$4</f>
        <v>2019</v>
      </c>
      <c r="F14">
        <f t="shared" si="2"/>
        <v>2019</v>
      </c>
      <c r="G14">
        <f t="shared" si="2"/>
        <v>2019</v>
      </c>
      <c r="H14">
        <f t="shared" si="2"/>
        <v>2019</v>
      </c>
      <c r="I14">
        <v>2050</v>
      </c>
      <c r="J14">
        <v>2040</v>
      </c>
      <c r="K14">
        <f t="shared" ref="K14" si="3">$B$4</f>
        <v>2019</v>
      </c>
      <c r="L14">
        <f>K14</f>
        <v>2019</v>
      </c>
      <c r="M14">
        <f>L14</f>
        <v>2019</v>
      </c>
      <c r="N14" s="10">
        <f>$B$4</f>
        <v>2019</v>
      </c>
      <c r="O14" s="10">
        <f>$B$4</f>
        <v>2019</v>
      </c>
      <c r="P14">
        <f>O14</f>
        <v>2019</v>
      </c>
      <c r="Q14">
        <v>2019</v>
      </c>
      <c r="R14">
        <v>2019</v>
      </c>
    </row>
    <row r="15" ht="14.5" spans="2:18">
      <c r="B15" s="36">
        <v>7</v>
      </c>
      <c r="D15" t="s">
        <v>90</v>
      </c>
      <c r="E15">
        <v>2030</v>
      </c>
      <c r="F15">
        <v>2020</v>
      </c>
      <c r="G15">
        <v>2020</v>
      </c>
      <c r="H15">
        <v>2020</v>
      </c>
      <c r="K15">
        <v>2020</v>
      </c>
      <c r="L15">
        <v>2020</v>
      </c>
      <c r="M15">
        <v>2020</v>
      </c>
      <c r="N15" s="10">
        <v>2020</v>
      </c>
      <c r="O15" s="10">
        <v>2020</v>
      </c>
      <c r="P15">
        <v>2050</v>
      </c>
      <c r="Q15">
        <v>2020</v>
      </c>
      <c r="R15">
        <v>2020</v>
      </c>
    </row>
    <row r="16" ht="14.5" spans="2:18">
      <c r="B16" s="36">
        <v>7</v>
      </c>
      <c r="D16" t="s">
        <v>90</v>
      </c>
      <c r="E16">
        <v>2040</v>
      </c>
      <c r="F16">
        <v>2025</v>
      </c>
      <c r="G16">
        <v>2023</v>
      </c>
      <c r="H16">
        <v>2023</v>
      </c>
      <c r="K16">
        <f>K15-1+10</f>
        <v>2029</v>
      </c>
      <c r="L16">
        <v>2025</v>
      </c>
      <c r="M16">
        <v>2025</v>
      </c>
      <c r="N16" s="10">
        <v>2025</v>
      </c>
      <c r="O16" s="10">
        <v>2050</v>
      </c>
      <c r="P16">
        <v>2100</v>
      </c>
      <c r="Q16">
        <v>2040</v>
      </c>
      <c r="R16">
        <v>2050</v>
      </c>
    </row>
    <row r="17" ht="14.5" spans="2:18">
      <c r="B17" s="36">
        <v>9</v>
      </c>
      <c r="D17" t="s">
        <v>90</v>
      </c>
      <c r="E17">
        <v>2050</v>
      </c>
      <c r="F17">
        <v>2030</v>
      </c>
      <c r="G17">
        <v>2025</v>
      </c>
      <c r="H17">
        <v>2025</v>
      </c>
      <c r="K17">
        <f t="shared" ref="K17:K23" si="4">K16+10</f>
        <v>2039</v>
      </c>
      <c r="L17">
        <v>2030</v>
      </c>
      <c r="M17">
        <v>2030</v>
      </c>
      <c r="N17" s="10">
        <f>N15+10</f>
        <v>2030</v>
      </c>
      <c r="O17" s="10">
        <v>2080</v>
      </c>
      <c r="Q17">
        <v>2060</v>
      </c>
      <c r="R17">
        <v>2100</v>
      </c>
    </row>
    <row r="18" ht="14.5" spans="2:18">
      <c r="B18" s="36">
        <v>12</v>
      </c>
      <c r="D18" t="s">
        <v>90</v>
      </c>
      <c r="F18">
        <v>2040</v>
      </c>
      <c r="G18">
        <f t="shared" ref="G18:G22" si="5">G17+5</f>
        <v>2030</v>
      </c>
      <c r="H18">
        <f>H17+3</f>
        <v>2028</v>
      </c>
      <c r="K18">
        <f t="shared" si="4"/>
        <v>2049</v>
      </c>
      <c r="L18">
        <v>2035</v>
      </c>
      <c r="M18">
        <v>2035</v>
      </c>
      <c r="N18" s="10">
        <v>2035</v>
      </c>
      <c r="O18" s="10">
        <v>2100</v>
      </c>
      <c r="Q18">
        <v>2080</v>
      </c>
      <c r="R18">
        <v>2130</v>
      </c>
    </row>
    <row r="19" ht="14.5" spans="2:18">
      <c r="B19" s="36">
        <v>18</v>
      </c>
      <c r="D19" t="s">
        <v>90</v>
      </c>
      <c r="F19">
        <v>2050</v>
      </c>
      <c r="G19">
        <f t="shared" si="5"/>
        <v>2035</v>
      </c>
      <c r="H19">
        <f>H18+2</f>
        <v>2030</v>
      </c>
      <c r="K19">
        <f t="shared" si="4"/>
        <v>2059</v>
      </c>
      <c r="L19">
        <v>2040</v>
      </c>
      <c r="M19">
        <v>2040</v>
      </c>
      <c r="N19" s="10">
        <f>N17+10</f>
        <v>2040</v>
      </c>
      <c r="O19" s="10"/>
      <c r="Q19">
        <v>2100</v>
      </c>
    </row>
    <row r="20" ht="14.5" spans="2:18">
      <c r="B20" s="36">
        <v>20</v>
      </c>
      <c r="D20" t="s">
        <v>90</v>
      </c>
      <c r="G20">
        <f t="shared" si="5"/>
        <v>2040</v>
      </c>
      <c r="H20">
        <f>H19+3</f>
        <v>2033</v>
      </c>
      <c r="K20">
        <f t="shared" si="4"/>
        <v>2069</v>
      </c>
      <c r="L20">
        <v>2045</v>
      </c>
      <c r="M20">
        <v>2045</v>
      </c>
      <c r="N20" s="10">
        <f t="shared" ref="N19:N25" si="6">N19+10</f>
        <v>2050</v>
      </c>
      <c r="O20" s="10"/>
      <c r="Q20">
        <v>2130</v>
      </c>
    </row>
    <row r="21" ht="14.5" spans="2:18">
      <c r="B21" s="36">
        <v>12</v>
      </c>
      <c r="D21" t="s">
        <v>90</v>
      </c>
      <c r="G21">
        <f t="shared" si="5"/>
        <v>2045</v>
      </c>
      <c r="H21">
        <f>H20+2</f>
        <v>2035</v>
      </c>
      <c r="K21">
        <f t="shared" si="4"/>
        <v>2079</v>
      </c>
      <c r="L21">
        <v>2050</v>
      </c>
      <c r="M21">
        <v>2050</v>
      </c>
      <c r="N21" s="10">
        <f t="shared" si="6"/>
        <v>2060</v>
      </c>
      <c r="O21" s="10"/>
    </row>
    <row r="22" ht="14.5" spans="2:18">
      <c r="B22" s="36"/>
      <c r="D22" t="s">
        <v>90</v>
      </c>
      <c r="G22">
        <f t="shared" si="5"/>
        <v>2050</v>
      </c>
      <c r="H22">
        <f>H21+3</f>
        <v>2038</v>
      </c>
      <c r="K22">
        <f t="shared" si="4"/>
        <v>2089</v>
      </c>
      <c r="L22">
        <v>2055</v>
      </c>
      <c r="M22">
        <v>2055</v>
      </c>
      <c r="N22" s="10">
        <f t="shared" si="6"/>
        <v>2070</v>
      </c>
      <c r="O22" s="10"/>
    </row>
    <row r="23" ht="14.5" spans="2:18">
      <c r="B23" s="36"/>
      <c r="D23" t="s">
        <v>90</v>
      </c>
      <c r="H23">
        <f>H22+2</f>
        <v>2040</v>
      </c>
      <c r="K23">
        <f t="shared" si="4"/>
        <v>2099</v>
      </c>
      <c r="L23">
        <v>2060</v>
      </c>
      <c r="M23">
        <v>2060</v>
      </c>
      <c r="N23" s="10">
        <f t="shared" si="6"/>
        <v>2080</v>
      </c>
      <c r="O23" s="10"/>
    </row>
    <row r="24" ht="14.5" spans="2:18">
      <c r="B24" s="36"/>
      <c r="D24" t="s">
        <v>90</v>
      </c>
      <c r="H24">
        <f>H23+3</f>
        <v>2043</v>
      </c>
      <c r="L24">
        <v>2065</v>
      </c>
      <c r="M24">
        <v>2065</v>
      </c>
      <c r="N24" s="10">
        <f t="shared" si="6"/>
        <v>2090</v>
      </c>
      <c r="O24" s="10"/>
    </row>
    <row r="25" ht="14.5" spans="2:18">
      <c r="B25" s="36"/>
      <c r="D25" t="s">
        <v>90</v>
      </c>
      <c r="H25">
        <f>H24+2</f>
        <v>2045</v>
      </c>
      <c r="L25">
        <v>2070</v>
      </c>
      <c r="M25">
        <v>2070</v>
      </c>
      <c r="N25" s="10">
        <f t="shared" si="6"/>
        <v>2100</v>
      </c>
    </row>
    <row r="26" ht="14.5" spans="2:18">
      <c r="B26" s="36"/>
      <c r="D26" t="s">
        <v>90</v>
      </c>
      <c r="H26">
        <f>H25+3</f>
        <v>2048</v>
      </c>
      <c r="L26">
        <v>2075</v>
      </c>
      <c r="M26">
        <v>2075</v>
      </c>
      <c r="N26" s="10">
        <v>2110</v>
      </c>
    </row>
    <row r="27" ht="14.5" spans="2:18">
      <c r="B27" s="36"/>
      <c r="D27" t="s">
        <v>90</v>
      </c>
      <c r="H27">
        <f>H26+2</f>
        <v>2050</v>
      </c>
      <c r="L27">
        <v>2080</v>
      </c>
      <c r="M27">
        <v>2080</v>
      </c>
      <c r="N27" s="10">
        <v>2130</v>
      </c>
    </row>
    <row r="28" ht="14.5" spans="2:18">
      <c r="B28" s="36"/>
      <c r="D28" t="s">
        <v>90</v>
      </c>
      <c r="M28">
        <v>2085</v>
      </c>
    </row>
    <row r="29" ht="14.5" spans="2:18">
      <c r="B29" s="36"/>
      <c r="D29" t="s">
        <v>90</v>
      </c>
      <c r="M29">
        <v>2090</v>
      </c>
    </row>
    <row r="30" ht="14.5" spans="2:18">
      <c r="B30" s="36"/>
      <c r="D30" t="s">
        <v>90</v>
      </c>
      <c r="M30">
        <v>2095</v>
      </c>
    </row>
    <row r="31" ht="14.5" spans="2:18">
      <c r="B31" s="36"/>
      <c r="D31" t="s">
        <v>90</v>
      </c>
      <c r="M31">
        <v>2100</v>
      </c>
    </row>
    <row r="32" ht="14.5" spans="2:18">
      <c r="B32" s="36"/>
    </row>
    <row r="33" ht="14.5" spans="2:2">
      <c r="B33" s="36"/>
    </row>
  </sheetData>
  <pageMargins left="0.7" right="0.7" top="0.75" bottom="0.75" header="0.3" footer="0.3"/>
  <pageSetup paperSize="1" orientation="portrait"/>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45"/>
  <sheetViews>
    <sheetView zoomScale="73" zoomScaleNormal="73" workbookViewId="0">
      <selection activeCell="G41" sqref="G41"/>
    </sheetView>
  </sheetViews>
  <sheetFormatPr defaultColWidth="11.4636363636364" defaultRowHeight="11.5"/>
  <cols>
    <col min="1" max="1" width="9.06363636363636" style="14" customWidth="1"/>
    <col min="2" max="2" width="8.46363636363636" style="14" customWidth="1"/>
    <col min="3" max="4" width="14.7272727272727" style="14" customWidth="1"/>
    <col min="5" max="5" width="10.4636363636364" style="14" customWidth="1"/>
    <col min="6" max="6" width="16.0636363636364" style="14" customWidth="1"/>
    <col min="7" max="7" width="8.26363636363636" style="14" customWidth="1"/>
    <col min="8" max="8" width="8.46363636363636" style="14" customWidth="1"/>
    <col min="9" max="9" width="8.72727272727273" style="14" customWidth="1"/>
    <col min="10" max="16384" width="11.4636363636364" style="14"/>
  </cols>
  <sheetData>
    <row r="1" ht="12.5" spans="1:13">
      <c r="A1"/>
      <c r="B1" s="26"/>
    </row>
    <row r="2" ht="12.5" spans="1:13">
      <c r="A2" s="27"/>
      <c r="B2"/>
      <c r="C2"/>
      <c r="D2"/>
      <c r="E2"/>
      <c r="F2"/>
      <c r="G2"/>
      <c r="H2"/>
      <c r="I2"/>
    </row>
    <row r="3" ht="12.5" spans="1:13">
      <c r="A3"/>
      <c r="B3"/>
      <c r="C3"/>
      <c r="D3"/>
      <c r="E3"/>
      <c r="F3"/>
      <c r="G3"/>
      <c r="H3"/>
      <c r="I3"/>
    </row>
    <row r="4" ht="12.5" spans="1:13">
      <c r="A4" s="28" t="s">
        <v>91</v>
      </c>
      <c r="B4"/>
      <c r="C4"/>
      <c r="D4"/>
      <c r="E4"/>
      <c r="F4" s="28"/>
      <c r="G4" s="28"/>
      <c r="H4" s="28"/>
      <c r="I4"/>
      <c r="M4"/>
    </row>
    <row r="5" ht="13" spans="1:13">
      <c r="A5" s="29" t="s">
        <v>92</v>
      </c>
      <c r="B5" s="29" t="s">
        <v>93</v>
      </c>
      <c r="C5" s="29" t="s">
        <v>94</v>
      </c>
      <c r="D5" s="29" t="s">
        <v>95</v>
      </c>
      <c r="E5" s="29" t="s">
        <v>96</v>
      </c>
      <c r="F5" s="29" t="s">
        <v>97</v>
      </c>
      <c r="G5" s="29" t="s">
        <v>98</v>
      </c>
      <c r="H5" s="29" t="s">
        <v>99</v>
      </c>
      <c r="I5" s="29" t="s">
        <v>100</v>
      </c>
      <c r="J5" s="29" t="s">
        <v>101</v>
      </c>
      <c r="M5" s="30" t="s">
        <v>102</v>
      </c>
    </row>
    <row r="6" ht="13" spans="1:13">
      <c r="A6"/>
      <c r="B6"/>
      <c r="C6" t="s">
        <v>103</v>
      </c>
      <c r="D6">
        <v>0</v>
      </c>
      <c r="E6">
        <v>3</v>
      </c>
      <c r="F6"/>
      <c r="G6"/>
      <c r="H6"/>
      <c r="I6"/>
      <c r="J6"/>
      <c r="M6" s="31" t="s">
        <v>104</v>
      </c>
    </row>
    <row r="7" ht="12.5" spans="1:13">
      <c r="A7"/>
      <c r="B7" t="s">
        <v>105</v>
      </c>
      <c r="C7" t="s">
        <v>103</v>
      </c>
      <c r="D7">
        <v>0</v>
      </c>
      <c r="E7">
        <v>0</v>
      </c>
      <c r="F7"/>
      <c r="G7"/>
      <c r="H7"/>
      <c r="I7"/>
      <c r="J7"/>
      <c r="M7" t="s">
        <v>106</v>
      </c>
    </row>
    <row r="8" ht="12.5" spans="1:13">
      <c r="A8"/>
      <c r="B8" t="s">
        <v>107</v>
      </c>
      <c r="C8" t="s">
        <v>108</v>
      </c>
      <c r="D8">
        <v>0</v>
      </c>
      <c r="E8">
        <v>3</v>
      </c>
      <c r="F8"/>
      <c r="G8"/>
      <c r="H8"/>
      <c r="I8"/>
      <c r="J8"/>
      <c r="M8" t="s">
        <v>109</v>
      </c>
    </row>
    <row r="9" ht="12.5" spans="1:13">
      <c r="A9"/>
      <c r="B9" t="s">
        <v>107</v>
      </c>
      <c r="C9" t="s">
        <v>110</v>
      </c>
      <c r="D9">
        <v>0</v>
      </c>
      <c r="E9">
        <v>1</v>
      </c>
      <c r="F9"/>
      <c r="G9"/>
      <c r="H9"/>
      <c r="I9"/>
      <c r="J9"/>
      <c r="M9" t="s">
        <v>111</v>
      </c>
    </row>
    <row r="10" ht="12.5" spans="1:13">
      <c r="A10"/>
      <c r="B10" t="s">
        <v>107</v>
      </c>
      <c r="C10" t="s">
        <v>112</v>
      </c>
      <c r="D10">
        <v>0</v>
      </c>
      <c r="E10">
        <v>3</v>
      </c>
      <c r="F10"/>
      <c r="G10"/>
      <c r="H10"/>
      <c r="I10"/>
      <c r="J10"/>
      <c r="M10" t="s">
        <v>113</v>
      </c>
    </row>
    <row r="11" ht="12.5" spans="1:13">
      <c r="A11"/>
      <c r="B11"/>
      <c r="C11" t="s">
        <v>114</v>
      </c>
      <c r="D11">
        <v>0</v>
      </c>
      <c r="E11">
        <v>15</v>
      </c>
      <c r="F11"/>
      <c r="G11"/>
      <c r="H11"/>
      <c r="I11" t="s">
        <v>115</v>
      </c>
      <c r="J11"/>
      <c r="M11" t="s">
        <v>116</v>
      </c>
    </row>
    <row r="12" ht="12.5" spans="1:13">
      <c r="A12"/>
      <c r="B12"/>
      <c r="C12" t="s">
        <v>117</v>
      </c>
      <c r="D12">
        <v>0</v>
      </c>
      <c r="E12">
        <v>3</v>
      </c>
      <c r="F12"/>
      <c r="G12"/>
      <c r="H12"/>
      <c r="I12"/>
      <c r="J12"/>
      <c r="M12" t="s">
        <v>118</v>
      </c>
    </row>
    <row r="13" ht="12.5" spans="1:13">
      <c r="A13"/>
      <c r="B13"/>
      <c r="C13" t="s">
        <v>119</v>
      </c>
      <c r="D13">
        <v>0</v>
      </c>
      <c r="E13">
        <v>3</v>
      </c>
      <c r="F13"/>
      <c r="G13"/>
      <c r="H13"/>
      <c r="I13"/>
      <c r="J13"/>
      <c r="M13"/>
    </row>
    <row r="14" ht="12.5" spans="1:13">
      <c r="A14"/>
      <c r="B14"/>
      <c r="C14" t="s">
        <v>120</v>
      </c>
      <c r="D14">
        <v>0</v>
      </c>
      <c r="E14">
        <v>3</v>
      </c>
      <c r="F14"/>
      <c r="G14"/>
      <c r="H14"/>
      <c r="I14"/>
      <c r="J14"/>
    </row>
    <row r="15" ht="12.5" spans="1:13">
      <c r="A15"/>
      <c r="B15" t="s">
        <v>121</v>
      </c>
      <c r="C15" t="s">
        <v>122</v>
      </c>
      <c r="D15">
        <v>0</v>
      </c>
      <c r="E15">
        <v>3</v>
      </c>
      <c r="F15"/>
      <c r="G15"/>
      <c r="H15"/>
      <c r="I15"/>
      <c r="J15" t="s">
        <v>123</v>
      </c>
    </row>
    <row r="16" ht="12.5" spans="1:13">
      <c r="A16"/>
      <c r="B16" t="s">
        <v>105</v>
      </c>
      <c r="C16" t="s">
        <v>124</v>
      </c>
      <c r="D16">
        <v>0</v>
      </c>
      <c r="E16">
        <v>3</v>
      </c>
      <c r="F16" t="s">
        <v>125</v>
      </c>
      <c r="G16"/>
      <c r="H16"/>
      <c r="I16"/>
      <c r="J16"/>
    </row>
    <row r="17" ht="12.5" spans="1:10">
      <c r="A17"/>
      <c r="B17"/>
      <c r="C17" s="10"/>
      <c r="D17" s="10"/>
      <c r="E17" s="10"/>
      <c r="F17"/>
      <c r="G17"/>
      <c r="H17"/>
      <c r="I17"/>
      <c r="J17"/>
    </row>
    <row r="19" ht="12.5" spans="1:10">
      <c r="A19"/>
      <c r="B19"/>
      <c r="C19" t="s">
        <v>126</v>
      </c>
      <c r="D19">
        <v>0</v>
      </c>
      <c r="E19">
        <v>3</v>
      </c>
      <c r="F19"/>
      <c r="G19"/>
      <c r="H19"/>
      <c r="I19"/>
      <c r="J19"/>
    </row>
    <row r="20" ht="12.5" spans="1:10">
      <c r="A20"/>
      <c r="B20"/>
      <c r="C20" t="s">
        <v>127</v>
      </c>
      <c r="D20">
        <v>0</v>
      </c>
      <c r="E20">
        <v>3</v>
      </c>
      <c r="F20"/>
      <c r="G20"/>
      <c r="H20"/>
      <c r="I20"/>
      <c r="J20"/>
    </row>
    <row r="21" ht="12.5" spans="1:10">
      <c r="A21"/>
      <c r="B21"/>
      <c r="C21" t="s">
        <v>128</v>
      </c>
      <c r="D21">
        <v>0</v>
      </c>
      <c r="E21">
        <v>3</v>
      </c>
      <c r="F21"/>
      <c r="G21"/>
      <c r="H21"/>
      <c r="I21"/>
      <c r="J21"/>
    </row>
    <row r="22" ht="12.5" spans="1:10">
      <c r="A22"/>
      <c r="B22"/>
      <c r="F22"/>
      <c r="G22"/>
      <c r="H22"/>
      <c r="I22"/>
    </row>
    <row r="23" ht="12.5" spans="1:10">
      <c r="A23"/>
      <c r="B23"/>
      <c r="C23"/>
      <c r="D23"/>
      <c r="E23"/>
      <c r="F23"/>
      <c r="G23"/>
      <c r="H23"/>
      <c r="I23"/>
    </row>
    <row r="24" ht="12.5" spans="1:10">
      <c r="A24" s="28" t="s">
        <v>129</v>
      </c>
      <c r="B24"/>
      <c r="C24"/>
      <c r="D24"/>
      <c r="E24"/>
      <c r="F24" s="28"/>
      <c r="G24" s="28"/>
      <c r="H24" s="28"/>
      <c r="I24"/>
    </row>
    <row r="25" ht="13" spans="1:10">
      <c r="A25" s="29" t="s">
        <v>92</v>
      </c>
      <c r="B25" s="29" t="s">
        <v>93</v>
      </c>
      <c r="C25" s="29" t="s">
        <v>94</v>
      </c>
      <c r="D25" s="29" t="s">
        <v>130</v>
      </c>
      <c r="E25" s="29" t="s">
        <v>96</v>
      </c>
      <c r="F25" s="29" t="s">
        <v>131</v>
      </c>
      <c r="G25" s="29" t="s">
        <v>98</v>
      </c>
      <c r="H25" s="29" t="s">
        <v>99</v>
      </c>
      <c r="I25"/>
    </row>
    <row r="26" ht="12.5" spans="1:10">
      <c r="A26"/>
      <c r="B26"/>
      <c r="C26" t="s">
        <v>132</v>
      </c>
      <c r="D26"/>
      <c r="E26">
        <v>8888</v>
      </c>
      <c r="F26" t="s">
        <v>133</v>
      </c>
      <c r="G26"/>
      <c r="H26"/>
      <c r="I26"/>
    </row>
    <row r="27" ht="12.5" spans="1:10">
      <c r="A27"/>
      <c r="B27"/>
      <c r="C27" t="s">
        <v>132</v>
      </c>
      <c r="D27"/>
      <c r="E27">
        <f>E26*2</f>
        <v>17776</v>
      </c>
      <c r="F27" t="s">
        <v>134</v>
      </c>
      <c r="G27"/>
      <c r="H27"/>
      <c r="I27"/>
    </row>
    <row r="28" ht="12.5" spans="1:10">
      <c r="A28"/>
      <c r="B28"/>
      <c r="C28"/>
      <c r="D28"/>
      <c r="E28"/>
      <c r="F28"/>
      <c r="G28"/>
      <c r="H28"/>
      <c r="I28"/>
    </row>
    <row r="29" ht="12.5" spans="1:10">
      <c r="A29"/>
      <c r="B29"/>
      <c r="C29"/>
      <c r="D29"/>
      <c r="E29"/>
      <c r="F29"/>
      <c r="G29"/>
      <c r="H29"/>
      <c r="I29"/>
    </row>
    <row r="30" ht="12.5" spans="1:10">
      <c r="A30"/>
      <c r="B30"/>
      <c r="C30"/>
      <c r="D30"/>
      <c r="E30"/>
      <c r="F30"/>
      <c r="G30"/>
      <c r="H30"/>
      <c r="I30"/>
    </row>
    <row r="31" ht="12.5" spans="1:10">
      <c r="A31" t="s">
        <v>135</v>
      </c>
      <c r="B31"/>
      <c r="C31"/>
      <c r="D31"/>
      <c r="E31"/>
      <c r="F31"/>
      <c r="G31"/>
      <c r="H31"/>
      <c r="I31"/>
    </row>
    <row r="32" ht="12.5" spans="1:10">
      <c r="A32" t="s">
        <v>136</v>
      </c>
      <c r="B32" t="s">
        <v>137</v>
      </c>
      <c r="C32" t="s">
        <v>138</v>
      </c>
      <c r="D32" t="s">
        <v>139</v>
      </c>
      <c r="E32" t="s">
        <v>140</v>
      </c>
      <c r="F32" t="s">
        <v>141</v>
      </c>
      <c r="G32" t="s">
        <v>142</v>
      </c>
      <c r="H32"/>
      <c r="I32"/>
    </row>
    <row r="33" ht="12.5" spans="1:9">
      <c r="A33" t="s">
        <v>143</v>
      </c>
      <c r="B33" t="s">
        <v>144</v>
      </c>
      <c r="C33" t="s">
        <v>145</v>
      </c>
      <c r="D33" t="s">
        <v>145</v>
      </c>
      <c r="E33"/>
      <c r="F33" t="s">
        <v>146</v>
      </c>
      <c r="G33"/>
      <c r="H33"/>
      <c r="I33"/>
    </row>
    <row r="34" ht="12.5" spans="1:9">
      <c r="A34"/>
      <c r="B34"/>
      <c r="C34"/>
      <c r="D34"/>
      <c r="E34"/>
      <c r="F34"/>
      <c r="G34"/>
      <c r="H34"/>
      <c r="I34"/>
    </row>
    <row r="35" ht="12.5" spans="1:9">
      <c r="A35"/>
      <c r="B35"/>
      <c r="C35"/>
      <c r="D35"/>
      <c r="E35"/>
      <c r="F35"/>
      <c r="G35"/>
      <c r="H35"/>
      <c r="I35"/>
    </row>
    <row r="36" ht="12.5" spans="1:9">
      <c r="A36"/>
      <c r="B36"/>
      <c r="C36"/>
      <c r="D36"/>
      <c r="E36"/>
      <c r="F36"/>
      <c r="G36"/>
      <c r="H36"/>
      <c r="I36"/>
    </row>
    <row r="37" ht="12.5" spans="1:9">
      <c r="A37" t="s">
        <v>135</v>
      </c>
      <c r="B37"/>
      <c r="C37"/>
      <c r="D37"/>
      <c r="E37"/>
      <c r="F37"/>
      <c r="G37"/>
      <c r="H37"/>
      <c r="I37"/>
    </row>
    <row r="38" ht="12.5" spans="1:9">
      <c r="A38" t="s">
        <v>136</v>
      </c>
      <c r="B38" t="s">
        <v>137</v>
      </c>
      <c r="C38" t="s">
        <v>147</v>
      </c>
      <c r="D38" t="s">
        <v>140</v>
      </c>
      <c r="E38" t="s">
        <v>139</v>
      </c>
      <c r="F38" t="s">
        <v>138</v>
      </c>
      <c r="G38" t="s">
        <v>141</v>
      </c>
      <c r="H38" t="s">
        <v>148</v>
      </c>
      <c r="I38"/>
    </row>
    <row r="39" ht="12.5" spans="1:9">
      <c r="A39" t="s">
        <v>143</v>
      </c>
      <c r="B39"/>
      <c r="C39" s="40" t="s">
        <v>149</v>
      </c>
      <c r="D39"/>
      <c r="E39" t="s">
        <v>150</v>
      </c>
      <c r="F39"/>
      <c r="G39" t="s">
        <v>151</v>
      </c>
      <c r="H39"/>
      <c r="I39"/>
    </row>
    <row r="40" ht="12.5" spans="1:9">
      <c r="A40" t="s">
        <v>152</v>
      </c>
      <c r="B40"/>
      <c r="C40"/>
      <c r="D40" t="s">
        <v>153</v>
      </c>
      <c r="E40"/>
      <c r="F40"/>
      <c r="G40" t="s">
        <v>151</v>
      </c>
      <c r="H40"/>
      <c r="I40"/>
    </row>
    <row r="41" ht="12.5" spans="1:9">
      <c r="A41" t="s">
        <v>154</v>
      </c>
      <c r="B41"/>
      <c r="C41"/>
      <c r="D41" t="s">
        <v>155</v>
      </c>
      <c r="E41"/>
      <c r="F41"/>
      <c r="G41" s="14">
        <v>1</v>
      </c>
      <c r="H41" t="s">
        <v>146</v>
      </c>
      <c r="I41"/>
    </row>
    <row r="42" ht="12.5" spans="1:9">
      <c r="A42"/>
      <c r="B42"/>
      <c r="C42"/>
      <c r="D42"/>
      <c r="E42"/>
      <c r="F42"/>
      <c r="G42"/>
      <c r="H42"/>
      <c r="I42"/>
    </row>
    <row r="43" ht="12.5" spans="1:9">
      <c r="A43"/>
      <c r="B43"/>
      <c r="C43"/>
      <c r="D43"/>
      <c r="E43"/>
      <c r="F43"/>
      <c r="G43"/>
      <c r="H43"/>
      <c r="I43"/>
    </row>
    <row r="44" ht="12.5" spans="1:9">
      <c r="A44"/>
      <c r="B44"/>
      <c r="C44"/>
      <c r="D44"/>
      <c r="E44"/>
      <c r="F44"/>
      <c r="G44"/>
      <c r="H44"/>
      <c r="I44"/>
    </row>
    <row r="45" ht="12.5" spans="1:9">
      <c r="A45"/>
      <c r="B45"/>
      <c r="C45"/>
      <c r="D45"/>
      <c r="E45"/>
      <c r="F45"/>
      <c r="G45"/>
      <c r="H45"/>
      <c r="I45"/>
    </row>
  </sheetData>
  <pageMargins left="0.75" right="0.75" top="1" bottom="1" header="0.5" footer="0.5"/>
  <pageSetup paperSize="9" orientation="portrait"/>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N49"/>
  <sheetViews>
    <sheetView zoomScale="73" zoomScaleNormal="73" workbookViewId="0">
      <selection activeCell="I26" sqref="I26"/>
    </sheetView>
  </sheetViews>
  <sheetFormatPr defaultColWidth="11.4636363636364" defaultRowHeight="11.5"/>
  <cols>
    <col min="1" max="1" width="9.06363636363636" style="14" customWidth="1"/>
    <col min="2" max="2" width="11" style="14" customWidth="1"/>
    <col min="3" max="3" width="7.26363636363636" style="14" customWidth="1"/>
    <col min="4" max="4" width="14.2636363636364" style="14" customWidth="1"/>
    <col min="5" max="5" width="8.52727272727273" style="14" customWidth="1"/>
    <col min="6" max="6" width="9.06363636363636" style="14" customWidth="1"/>
    <col min="7" max="7" width="9.46363636363636" style="14" customWidth="1"/>
    <col min="8" max="8" width="7.06363636363636" style="14" customWidth="1"/>
    <col min="9" max="9" width="10.4636363636364" style="14" customWidth="1"/>
    <col min="10" max="10" width="12.2636363636364" style="14" customWidth="1"/>
    <col min="11" max="16384" width="11.4636363636364" style="14"/>
  </cols>
  <sheetData>
    <row r="2" ht="13" spans="2:14">
      <c r="B2" s="15" t="s">
        <v>129</v>
      </c>
      <c r="C2" s="15"/>
      <c r="D2" s="15"/>
      <c r="E2" s="15"/>
      <c r="F2" s="15"/>
      <c r="G2" s="15"/>
      <c r="H2" s="15"/>
      <c r="I2" s="15"/>
      <c r="J2" s="15"/>
      <c r="K2" s="15"/>
      <c r="L2" s="16" t="s">
        <v>156</v>
      </c>
      <c r="M2" s="17"/>
      <c r="N2" s="17"/>
    </row>
    <row r="3" ht="13" spans="2:14">
      <c r="B3" s="18" t="s">
        <v>92</v>
      </c>
      <c r="C3" s="18" t="s">
        <v>93</v>
      </c>
      <c r="D3" s="18" t="s">
        <v>94</v>
      </c>
      <c r="E3" s="18" t="s">
        <v>130</v>
      </c>
      <c r="F3" s="19" t="s">
        <v>157</v>
      </c>
      <c r="G3" s="19" t="s">
        <v>96</v>
      </c>
      <c r="H3" s="18" t="s">
        <v>99</v>
      </c>
      <c r="I3" s="20" t="s">
        <v>158</v>
      </c>
      <c r="J3" s="18" t="s">
        <v>159</v>
      </c>
      <c r="K3" s="15"/>
      <c r="L3" s="21" t="s">
        <v>160</v>
      </c>
      <c r="M3" s="17"/>
      <c r="N3" s="17"/>
    </row>
    <row r="4" ht="14.5" spans="2:14">
      <c r="B4" s="22"/>
      <c r="C4" s="22"/>
      <c r="D4" s="22" t="s">
        <v>161</v>
      </c>
      <c r="E4" s="22"/>
      <c r="F4" s="22"/>
      <c r="G4" s="22">
        <v>2020</v>
      </c>
      <c r="H4" s="22"/>
      <c r="I4" s="22"/>
      <c r="J4" s="22"/>
      <c r="K4" s="15"/>
      <c r="L4" s="23" t="s">
        <v>162</v>
      </c>
      <c r="M4" s="15"/>
      <c r="N4" s="17"/>
    </row>
    <row r="5" ht="14.5" spans="2:14">
      <c r="B5" s="15"/>
      <c r="C5" s="15"/>
      <c r="D5" s="15"/>
      <c r="E5" s="15"/>
      <c r="F5" s="15"/>
      <c r="G5" s="15"/>
      <c r="H5" s="15"/>
      <c r="I5" s="15"/>
      <c r="J5" s="15"/>
      <c r="K5" s="15"/>
      <c r="L5" s="23" t="s">
        <v>163</v>
      </c>
      <c r="M5" s="17"/>
      <c r="N5" s="17"/>
    </row>
    <row r="6" ht="14.5" spans="2:14">
      <c r="B6" s="17"/>
      <c r="C6" s="17"/>
      <c r="D6" s="15"/>
      <c r="E6" s="15"/>
      <c r="F6" s="15"/>
      <c r="G6" s="15"/>
      <c r="H6" s="15"/>
      <c r="I6" s="15"/>
      <c r="J6" s="15"/>
      <c r="K6" s="15"/>
      <c r="L6" s="23" t="s">
        <v>164</v>
      </c>
      <c r="M6" s="17"/>
      <c r="N6" s="17"/>
    </row>
    <row r="7" ht="14.5" spans="2:14">
      <c r="B7" s="17"/>
      <c r="C7" s="17"/>
      <c r="D7" s="17"/>
      <c r="E7" s="17"/>
      <c r="F7" s="17"/>
      <c r="G7" s="17"/>
      <c r="H7" s="17"/>
      <c r="I7" s="17"/>
      <c r="J7" s="15"/>
      <c r="K7" s="15"/>
      <c r="L7" s="23" t="s">
        <v>165</v>
      </c>
      <c r="M7" s="17"/>
      <c r="N7" s="17"/>
    </row>
    <row r="8" ht="14.5" spans="2:14">
      <c r="B8" s="17"/>
      <c r="C8" s="17"/>
      <c r="D8" s="17"/>
      <c r="E8" s="17"/>
      <c r="F8" s="17"/>
      <c r="G8" s="17"/>
      <c r="H8" s="17"/>
      <c r="I8" s="17"/>
      <c r="J8" s="15"/>
      <c r="K8" s="15"/>
      <c r="L8" s="23" t="s">
        <v>166</v>
      </c>
      <c r="M8" s="17"/>
      <c r="N8" s="17"/>
    </row>
    <row r="9" ht="14.5" spans="2:14">
      <c r="B9" s="17"/>
      <c r="C9" s="17"/>
      <c r="D9" s="17"/>
      <c r="E9" s="17"/>
      <c r="F9" s="17"/>
      <c r="G9" s="17"/>
      <c r="H9" s="17"/>
      <c r="I9" s="17"/>
      <c r="J9" s="15"/>
      <c r="K9" s="15"/>
      <c r="L9" s="23" t="s">
        <v>167</v>
      </c>
      <c r="M9" s="17"/>
      <c r="N9" s="17"/>
    </row>
    <row r="10" ht="14.5" spans="2:14">
      <c r="B10" s="17"/>
      <c r="C10" s="17"/>
      <c r="D10" s="23" t="s">
        <v>168</v>
      </c>
      <c r="E10" s="23"/>
      <c r="F10" s="23"/>
      <c r="G10" s="17"/>
      <c r="H10" s="17"/>
      <c r="I10" s="17"/>
      <c r="J10" s="15"/>
      <c r="K10" s="15"/>
      <c r="L10" s="23" t="s">
        <v>169</v>
      </c>
      <c r="M10" s="17"/>
      <c r="N10" s="17"/>
    </row>
    <row r="11" ht="14.5" spans="2:14">
      <c r="B11" s="17"/>
      <c r="C11" s="17"/>
      <c r="D11" s="23" t="s">
        <v>170</v>
      </c>
      <c r="E11" s="23" t="s">
        <v>171</v>
      </c>
      <c r="F11" s="23" t="s">
        <v>172</v>
      </c>
      <c r="G11" s="17"/>
      <c r="H11" s="17"/>
      <c r="I11" s="17"/>
      <c r="J11" s="15"/>
      <c r="K11" s="15"/>
      <c r="L11" s="23" t="s">
        <v>173</v>
      </c>
      <c r="M11" s="17"/>
      <c r="N11" s="17"/>
    </row>
    <row r="12" ht="14.5" spans="2:14">
      <c r="B12" s="17"/>
      <c r="C12" s="17"/>
      <c r="D12" s="23" t="s">
        <v>174</v>
      </c>
      <c r="E12" s="23" t="s">
        <v>175</v>
      </c>
      <c r="F12" s="23">
        <v>1055.55</v>
      </c>
      <c r="G12" s="17"/>
      <c r="H12" s="17"/>
      <c r="I12" s="17"/>
      <c r="J12" s="17"/>
      <c r="K12" s="15"/>
      <c r="L12" s="23" t="s">
        <v>176</v>
      </c>
      <c r="M12" s="17"/>
      <c r="N12" s="17"/>
    </row>
    <row r="13" ht="14.5" spans="2:14">
      <c r="B13" s="17"/>
      <c r="C13" s="17"/>
      <c r="D13" s="23" t="s">
        <v>177</v>
      </c>
      <c r="E13" s="23" t="s">
        <v>175</v>
      </c>
      <c r="F13" s="23">
        <v>3.6</v>
      </c>
      <c r="G13" s="17"/>
      <c r="H13" s="17"/>
      <c r="I13" s="17"/>
      <c r="J13" s="17"/>
      <c r="K13" s="15"/>
      <c r="L13" s="23" t="s">
        <v>178</v>
      </c>
      <c r="M13" s="17"/>
      <c r="N13" s="17"/>
    </row>
    <row r="14" ht="14.5" spans="2:14">
      <c r="B14" s="15"/>
      <c r="C14" s="17"/>
      <c r="D14" s="23" t="s">
        <v>179</v>
      </c>
      <c r="E14" s="23" t="s">
        <v>180</v>
      </c>
      <c r="F14" s="23">
        <v>1000</v>
      </c>
      <c r="G14" s="17"/>
      <c r="H14" s="17"/>
      <c r="I14" s="17"/>
      <c r="J14" s="17"/>
      <c r="K14" s="15"/>
      <c r="L14" s="23" t="s">
        <v>181</v>
      </c>
      <c r="M14" s="17"/>
      <c r="N14" s="17"/>
    </row>
    <row r="15" ht="14.5" spans="2:14">
      <c r="B15" s="15"/>
      <c r="C15" s="17"/>
      <c r="D15" s="23" t="s">
        <v>182</v>
      </c>
      <c r="E15" s="23" t="s">
        <v>183</v>
      </c>
      <c r="F15" s="23">
        <v>1000</v>
      </c>
      <c r="G15" s="17"/>
      <c r="H15" s="17"/>
      <c r="I15" s="17"/>
      <c r="J15" s="17"/>
      <c r="K15" s="15"/>
      <c r="L15" s="23" t="s">
        <v>184</v>
      </c>
      <c r="M15" s="17"/>
      <c r="N15" s="17"/>
    </row>
    <row r="16" ht="14.5" spans="2:14">
      <c r="B16" s="15"/>
      <c r="C16" s="17"/>
      <c r="D16" s="23" t="s">
        <v>185</v>
      </c>
      <c r="E16" s="23" t="s">
        <v>175</v>
      </c>
      <c r="F16" s="23">
        <v>1.05555</v>
      </c>
      <c r="G16" s="17"/>
      <c r="H16" s="17"/>
      <c r="I16" s="17"/>
      <c r="J16" s="17"/>
      <c r="K16" s="15"/>
      <c r="L16" s="23" t="s">
        <v>186</v>
      </c>
      <c r="M16" s="17"/>
      <c r="N16" s="17"/>
    </row>
    <row r="17" ht="14.5" spans="2:14">
      <c r="B17" s="17"/>
      <c r="C17" s="17"/>
      <c r="D17" s="23" t="s">
        <v>187</v>
      </c>
      <c r="E17" s="23" t="s">
        <v>175</v>
      </c>
      <c r="F17" s="23">
        <v>0.041868</v>
      </c>
      <c r="G17" s="17"/>
      <c r="H17" s="17"/>
      <c r="I17" s="17"/>
      <c r="J17" s="17"/>
      <c r="K17" s="15"/>
      <c r="L17" s="23" t="s">
        <v>188</v>
      </c>
      <c r="M17" s="17"/>
      <c r="N17" s="17"/>
    </row>
    <row r="18" ht="14.5" spans="2:14">
      <c r="B18" s="17"/>
      <c r="C18" s="17"/>
      <c r="D18" s="23" t="s">
        <v>189</v>
      </c>
      <c r="E18" s="23" t="s">
        <v>175</v>
      </c>
      <c r="F18" s="23">
        <v>41.868</v>
      </c>
      <c r="G18" s="17"/>
      <c r="H18" s="17"/>
      <c r="I18" s="17"/>
      <c r="J18" s="17"/>
      <c r="K18" s="17"/>
      <c r="L18" s="23" t="s">
        <v>190</v>
      </c>
      <c r="M18" s="17"/>
      <c r="N18" s="17"/>
    </row>
    <row r="19" ht="14.5" spans="2:14">
      <c r="B19" s="17"/>
      <c r="C19" s="17"/>
      <c r="D19" s="23" t="s">
        <v>191</v>
      </c>
      <c r="E19" s="23" t="s">
        <v>175</v>
      </c>
      <c r="F19" s="23">
        <v>0.0036</v>
      </c>
      <c r="G19" s="17"/>
      <c r="H19" s="17"/>
      <c r="I19" s="17"/>
      <c r="J19" s="17"/>
      <c r="K19" s="17"/>
      <c r="L19" s="23" t="s">
        <v>192</v>
      </c>
      <c r="M19" s="17"/>
      <c r="N19" s="17"/>
    </row>
    <row r="20" ht="14.5" spans="2:14">
      <c r="B20" s="17"/>
      <c r="C20" s="17"/>
      <c r="D20" s="23" t="s">
        <v>193</v>
      </c>
      <c r="E20" s="23" t="s">
        <v>180</v>
      </c>
      <c r="F20" s="23">
        <v>1000000</v>
      </c>
      <c r="G20" s="17"/>
      <c r="H20" s="17"/>
      <c r="I20" s="17"/>
      <c r="J20" s="17"/>
      <c r="K20" s="17"/>
      <c r="L20" s="23" t="s">
        <v>194</v>
      </c>
      <c r="M20" s="17"/>
      <c r="N20" s="17"/>
    </row>
    <row r="21" ht="14.5" spans="2:14">
      <c r="B21" s="17"/>
      <c r="C21" s="17"/>
      <c r="D21" s="23" t="s">
        <v>195</v>
      </c>
      <c r="E21" s="23" t="s">
        <v>196</v>
      </c>
      <c r="F21" s="23">
        <v>1000</v>
      </c>
      <c r="G21" s="17"/>
      <c r="H21" s="17"/>
      <c r="I21" s="17"/>
      <c r="J21" s="17"/>
      <c r="K21" s="17"/>
      <c r="L21" s="23" t="s">
        <v>197</v>
      </c>
      <c r="M21" s="17"/>
      <c r="N21" s="17"/>
    </row>
    <row r="22" ht="14.5" spans="2:14">
      <c r="B22" s="17"/>
      <c r="C22" s="17"/>
      <c r="D22" s="23" t="s">
        <v>198</v>
      </c>
      <c r="E22" s="23" t="s">
        <v>199</v>
      </c>
      <c r="F22" s="23">
        <v>5.86152</v>
      </c>
      <c r="G22" s="17"/>
      <c r="H22" s="17"/>
      <c r="I22" s="17"/>
      <c r="J22" s="17"/>
      <c r="K22" s="17"/>
      <c r="L22" s="23" t="s">
        <v>200</v>
      </c>
      <c r="M22" s="17"/>
      <c r="N22" s="17"/>
    </row>
    <row r="23" ht="14.5" spans="2:14">
      <c r="B23" s="17"/>
      <c r="C23" s="17"/>
      <c r="D23" s="23" t="s">
        <v>201</v>
      </c>
      <c r="E23" s="23" t="s">
        <v>202</v>
      </c>
      <c r="F23" s="23">
        <v>0.001</v>
      </c>
      <c r="G23" s="17"/>
      <c r="H23" s="17"/>
      <c r="I23" s="17"/>
      <c r="J23" s="17"/>
      <c r="K23" s="17"/>
      <c r="L23" s="23" t="s">
        <v>203</v>
      </c>
      <c r="M23" s="17"/>
      <c r="N23" s="17"/>
    </row>
    <row r="24" ht="14.5" spans="2:14">
      <c r="B24" s="17"/>
      <c r="C24" s="17"/>
      <c r="D24" s="23" t="s">
        <v>204</v>
      </c>
      <c r="E24" s="23" t="s">
        <v>175</v>
      </c>
      <c r="F24" s="23">
        <v>1000</v>
      </c>
      <c r="G24" s="17"/>
      <c r="H24" s="17"/>
      <c r="I24" s="17"/>
      <c r="J24" s="17"/>
      <c r="K24" s="17"/>
      <c r="L24" s="23" t="s">
        <v>205</v>
      </c>
      <c r="M24" s="17"/>
      <c r="N24" s="17"/>
    </row>
    <row r="25" ht="14.5" spans="2:14">
      <c r="B25" s="17"/>
      <c r="C25" s="17"/>
      <c r="D25" s="23" t="s">
        <v>206</v>
      </c>
      <c r="E25" s="23" t="s">
        <v>175</v>
      </c>
      <c r="F25" s="23">
        <v>37.68</v>
      </c>
      <c r="G25" s="17"/>
      <c r="H25" s="17"/>
      <c r="I25" s="17"/>
      <c r="J25" s="17"/>
      <c r="K25" s="17"/>
      <c r="L25" s="23" t="s">
        <v>207</v>
      </c>
      <c r="M25" s="17"/>
      <c r="N25" s="17"/>
    </row>
    <row r="26" ht="14.5" spans="2:14">
      <c r="B26" s="17"/>
      <c r="C26" s="17"/>
      <c r="D26" s="23" t="s">
        <v>208</v>
      </c>
      <c r="E26" s="23" t="s">
        <v>175</v>
      </c>
      <c r="F26" s="23">
        <v>2139.4548</v>
      </c>
      <c r="G26" s="17"/>
      <c r="H26" s="17"/>
      <c r="I26" s="17"/>
      <c r="J26" s="17"/>
      <c r="K26" s="17"/>
      <c r="L26" s="23" t="s">
        <v>209</v>
      </c>
      <c r="M26" s="17"/>
      <c r="N26" s="17"/>
    </row>
    <row r="27" ht="14.5" spans="2:14">
      <c r="B27" s="17"/>
      <c r="C27" s="17"/>
      <c r="D27" s="23" t="s">
        <v>210</v>
      </c>
      <c r="E27" s="23" t="s">
        <v>211</v>
      </c>
      <c r="F27" s="23">
        <v>2.78</v>
      </c>
      <c r="G27" s="17"/>
      <c r="H27" s="17"/>
      <c r="I27" s="17"/>
      <c r="J27" s="17"/>
      <c r="K27" s="17"/>
      <c r="L27" s="23" t="s">
        <v>212</v>
      </c>
      <c r="M27" s="17"/>
      <c r="N27" s="17"/>
    </row>
    <row r="28" ht="14.5" spans="2:14">
      <c r="B28" s="17"/>
      <c r="C28" s="17"/>
      <c r="D28" s="23" t="s">
        <v>213</v>
      </c>
      <c r="E28" s="23" t="s">
        <v>175</v>
      </c>
      <c r="F28" s="23">
        <v>3.6</v>
      </c>
      <c r="G28" s="17"/>
      <c r="H28" s="17"/>
      <c r="I28" s="17"/>
      <c r="J28" s="17"/>
      <c r="K28" s="17"/>
      <c r="L28" s="23" t="s">
        <v>214</v>
      </c>
      <c r="M28" s="17"/>
      <c r="N28" s="17"/>
    </row>
    <row r="29" ht="14.5" spans="2:14">
      <c r="B29" s="17"/>
      <c r="C29" s="17"/>
      <c r="D29" s="23" t="s">
        <v>175</v>
      </c>
      <c r="E29" s="23" t="s">
        <v>175</v>
      </c>
      <c r="F29" s="23">
        <v>1</v>
      </c>
      <c r="G29" s="17"/>
      <c r="H29" s="17"/>
      <c r="I29" s="17"/>
      <c r="J29" s="17"/>
      <c r="K29" s="17"/>
      <c r="L29" s="23" t="s">
        <v>215</v>
      </c>
      <c r="M29" s="17"/>
      <c r="N29" s="17"/>
    </row>
    <row r="30" ht="14.5" spans="2:14">
      <c r="B30" s="17"/>
      <c r="C30" s="17"/>
      <c r="D30" s="23" t="s">
        <v>216</v>
      </c>
      <c r="E30" s="23" t="s">
        <v>175</v>
      </c>
      <c r="F30" s="23">
        <v>31.536</v>
      </c>
      <c r="G30" s="17"/>
      <c r="H30" s="17"/>
      <c r="I30" s="17"/>
      <c r="J30" s="17"/>
      <c r="K30" s="17"/>
      <c r="L30" s="23" t="s">
        <v>217</v>
      </c>
      <c r="M30" s="17"/>
      <c r="N30" s="17"/>
    </row>
    <row r="31" ht="14.5" spans="2:14">
      <c r="B31" s="17"/>
      <c r="C31" s="17"/>
      <c r="D31" s="23" t="s">
        <v>218</v>
      </c>
      <c r="E31" s="23" t="s">
        <v>175</v>
      </c>
      <c r="F31" s="23">
        <v>120</v>
      </c>
      <c r="G31" s="17"/>
      <c r="H31" s="17"/>
      <c r="I31" s="17"/>
      <c r="J31" s="17"/>
      <c r="K31" s="17"/>
      <c r="L31" s="23" t="s">
        <v>219</v>
      </c>
      <c r="M31" s="17"/>
      <c r="N31" s="17"/>
    </row>
    <row r="32" ht="14.5" spans="2:14">
      <c r="B32" s="17"/>
      <c r="C32" s="17"/>
      <c r="D32" s="23" t="s">
        <v>220</v>
      </c>
      <c r="E32" s="23" t="s">
        <v>175</v>
      </c>
      <c r="F32" s="23">
        <v>5.86152</v>
      </c>
      <c r="G32" s="17"/>
      <c r="H32" s="17"/>
      <c r="I32" s="17"/>
      <c r="J32" s="17"/>
      <c r="K32" s="17"/>
      <c r="L32" s="23" t="s">
        <v>221</v>
      </c>
      <c r="M32" s="17"/>
      <c r="N32" s="17"/>
    </row>
    <row r="33" ht="14.5" spans="2:14">
      <c r="B33" s="17"/>
      <c r="C33" s="17"/>
      <c r="D33" s="17"/>
      <c r="E33" s="17"/>
      <c r="F33" s="17"/>
      <c r="G33" s="17"/>
      <c r="H33" s="17"/>
      <c r="I33" s="17"/>
      <c r="J33" s="17"/>
      <c r="K33" s="17"/>
      <c r="L33" s="23" t="s">
        <v>222</v>
      </c>
      <c r="M33" s="17"/>
      <c r="N33" s="17"/>
    </row>
    <row r="34" ht="14.5" spans="2:14">
      <c r="B34" s="17"/>
      <c r="C34" s="17"/>
      <c r="D34" s="17"/>
      <c r="E34" s="17"/>
      <c r="F34" s="17"/>
      <c r="G34" s="17"/>
      <c r="H34" s="17"/>
      <c r="I34" s="17"/>
      <c r="J34" s="17"/>
      <c r="K34" s="17"/>
      <c r="L34" s="23" t="s">
        <v>223</v>
      </c>
      <c r="M34" s="17"/>
      <c r="N34" s="17"/>
    </row>
    <row r="35" ht="14.5" spans="2:14">
      <c r="B35" s="17"/>
      <c r="C35" s="17"/>
      <c r="D35" s="17"/>
      <c r="E35" s="17"/>
      <c r="F35" s="17"/>
      <c r="G35" s="17"/>
      <c r="H35" s="17"/>
      <c r="I35" s="17"/>
      <c r="J35" s="17"/>
      <c r="K35" s="17"/>
      <c r="L35" s="23" t="s">
        <v>224</v>
      </c>
      <c r="M35" s="17"/>
      <c r="N35" s="17"/>
    </row>
    <row r="36" ht="14.5" spans="2:14">
      <c r="B36" s="17"/>
      <c r="C36" s="17"/>
      <c r="D36" s="17"/>
      <c r="E36" s="17"/>
      <c r="F36" s="17"/>
      <c r="G36" s="17"/>
      <c r="H36" s="17"/>
      <c r="I36" s="17"/>
      <c r="J36" s="17"/>
      <c r="K36" s="17"/>
      <c r="L36" s="23" t="s">
        <v>225</v>
      </c>
      <c r="M36" s="17"/>
      <c r="N36" s="17"/>
    </row>
    <row r="37" ht="14.5" spans="2:14">
      <c r="B37" s="17"/>
      <c r="C37" s="17"/>
      <c r="D37" s="24"/>
      <c r="E37" s="25"/>
      <c r="F37" s="17"/>
      <c r="G37" s="17"/>
      <c r="H37" s="17"/>
      <c r="I37" s="17"/>
      <c r="J37" s="17"/>
      <c r="K37" s="17"/>
      <c r="L37" s="23" t="s">
        <v>226</v>
      </c>
      <c r="M37" s="17"/>
      <c r="N37" s="17"/>
    </row>
    <row r="38" ht="14.5" spans="2:14">
      <c r="B38" s="17"/>
      <c r="C38" s="17"/>
      <c r="D38" s="17"/>
      <c r="E38" s="17"/>
      <c r="F38" s="17"/>
      <c r="G38" s="17"/>
      <c r="H38" s="17"/>
      <c r="I38" s="17"/>
      <c r="J38" s="17"/>
      <c r="K38" s="17"/>
      <c r="L38" s="23" t="s">
        <v>227</v>
      </c>
      <c r="M38" s="17"/>
      <c r="N38" s="17"/>
    </row>
    <row r="39" ht="14.5" spans="2:14">
      <c r="B39" s="17"/>
      <c r="C39" s="17"/>
      <c r="D39" s="17"/>
      <c r="E39" s="17"/>
      <c r="F39" s="17"/>
      <c r="G39" s="17"/>
      <c r="H39" s="17"/>
      <c r="I39" s="17"/>
      <c r="J39" s="17"/>
      <c r="K39" s="17"/>
      <c r="L39" s="23" t="s">
        <v>228</v>
      </c>
      <c r="M39" s="17"/>
      <c r="N39" s="17"/>
    </row>
    <row r="40" ht="14.5" spans="2:14">
      <c r="B40" s="17"/>
      <c r="C40" s="17"/>
      <c r="D40" s="17"/>
      <c r="E40" s="17"/>
      <c r="F40" s="17"/>
      <c r="G40" s="17"/>
      <c r="H40" s="17"/>
      <c r="I40" s="17"/>
      <c r="J40" s="17"/>
      <c r="K40" s="17"/>
      <c r="L40" s="23" t="s">
        <v>229</v>
      </c>
      <c r="M40" s="17"/>
      <c r="N40" s="17"/>
    </row>
    <row r="41" ht="14.5" spans="2:14">
      <c r="B41" s="17"/>
      <c r="C41" s="17"/>
      <c r="D41" s="17"/>
      <c r="E41" s="17"/>
      <c r="F41" s="17"/>
      <c r="G41" s="17"/>
      <c r="H41" s="17"/>
      <c r="I41" s="17"/>
      <c r="J41" s="17"/>
      <c r="K41" s="17"/>
      <c r="L41" s="23" t="s">
        <v>230</v>
      </c>
      <c r="M41" s="17"/>
      <c r="N41" s="17"/>
    </row>
    <row r="42" ht="14.5" spans="2:14">
      <c r="B42" s="17"/>
      <c r="C42" s="17"/>
      <c r="D42" s="17"/>
      <c r="E42" s="17"/>
      <c r="F42" s="17"/>
      <c r="G42" s="17"/>
      <c r="H42" s="17"/>
      <c r="I42" s="17"/>
      <c r="J42" s="17"/>
      <c r="K42" s="17"/>
      <c r="L42" s="23" t="s">
        <v>231</v>
      </c>
      <c r="M42" s="17"/>
      <c r="N42" s="17"/>
    </row>
    <row r="43" ht="14.5" spans="2:14">
      <c r="B43" s="17"/>
      <c r="C43" s="17"/>
      <c r="D43" s="17"/>
      <c r="E43" s="17"/>
      <c r="F43" s="17"/>
      <c r="G43" s="17"/>
      <c r="H43" s="17"/>
      <c r="I43" s="17"/>
      <c r="J43" s="17"/>
      <c r="K43" s="17"/>
      <c r="L43" s="23" t="s">
        <v>232</v>
      </c>
      <c r="M43" s="17"/>
      <c r="N43" s="17"/>
    </row>
    <row r="44" ht="14.5" spans="2:14">
      <c r="B44" s="17"/>
      <c r="C44" s="17"/>
      <c r="D44" s="17"/>
      <c r="E44" s="17"/>
      <c r="F44" s="17"/>
      <c r="G44" s="17"/>
      <c r="H44" s="17"/>
      <c r="I44" s="17"/>
      <c r="J44" s="17"/>
      <c r="K44" s="17"/>
      <c r="L44" s="23" t="s">
        <v>233</v>
      </c>
      <c r="M44" s="17"/>
      <c r="N44" s="17"/>
    </row>
    <row r="45" ht="14.5" spans="2:14">
      <c r="B45" s="17"/>
      <c r="C45" s="17"/>
      <c r="D45" s="17"/>
      <c r="E45" s="17"/>
      <c r="F45" s="17"/>
      <c r="G45" s="17"/>
      <c r="H45" s="17"/>
      <c r="I45" s="17"/>
      <c r="J45" s="17"/>
      <c r="K45" s="17"/>
      <c r="L45" s="23" t="s">
        <v>234</v>
      </c>
      <c r="M45" s="17"/>
      <c r="N45" s="17"/>
    </row>
    <row r="46" ht="14.5" spans="2:14">
      <c r="B46" s="17"/>
      <c r="C46" s="17"/>
      <c r="D46" s="17"/>
      <c r="E46" s="17"/>
      <c r="F46" s="17"/>
      <c r="G46" s="17"/>
      <c r="H46" s="17"/>
      <c r="I46" s="17"/>
      <c r="J46" s="17"/>
      <c r="K46" s="17"/>
      <c r="L46" s="23" t="s">
        <v>235</v>
      </c>
      <c r="M46" s="17"/>
      <c r="N46" s="17"/>
    </row>
    <row r="47" ht="14.5" spans="2:14">
      <c r="B47" s="17"/>
      <c r="C47" s="17"/>
      <c r="D47" s="17"/>
      <c r="E47" s="17"/>
      <c r="F47" s="17"/>
      <c r="G47" s="17"/>
      <c r="H47" s="17"/>
      <c r="I47" s="17"/>
      <c r="J47" s="17"/>
      <c r="K47" s="17"/>
      <c r="L47" s="23" t="s">
        <v>236</v>
      </c>
      <c r="M47" s="17"/>
      <c r="N47" s="17"/>
    </row>
    <row r="48" ht="14.5" spans="2:14">
      <c r="B48" s="17"/>
      <c r="C48" s="17"/>
      <c r="D48" s="17"/>
      <c r="E48" s="17"/>
      <c r="F48" s="17"/>
      <c r="G48" s="17"/>
      <c r="H48" s="17"/>
      <c r="I48" s="17"/>
      <c r="J48" s="17"/>
      <c r="K48" s="17"/>
      <c r="L48" s="23" t="s">
        <v>237</v>
      </c>
      <c r="M48" s="17"/>
      <c r="N48" s="17"/>
    </row>
    <row r="49" spans="12:12">
      <c r="L49" s="14" t="s">
        <v>238</v>
      </c>
    </row>
  </sheetData>
  <sortState ref="L5:L47">
    <sortCondition ref="L5:L47"/>
  </sortState>
  <pageMargins left="0.7" right="0.7" top="0.75" bottom="0.75" header="0.3" footer="0.3"/>
  <pageSetup paperSize="9"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D33"/>
  <sheetViews>
    <sheetView zoomScale="50" zoomScaleNormal="50" workbookViewId="0">
      <selection activeCell="A1" sqref="A1"/>
    </sheetView>
  </sheetViews>
  <sheetFormatPr defaultColWidth="9" defaultRowHeight="12.5" outlineLevelCol="3"/>
  <cols>
    <col min="3" max="3" width="13.0636363636364" customWidth="1"/>
  </cols>
  <sheetData>
    <row r="3" spans="2:4">
      <c r="B3" t="s">
        <v>129</v>
      </c>
    </row>
    <row r="4" spans="2:4">
      <c r="B4" t="s">
        <v>94</v>
      </c>
      <c r="C4" t="s">
        <v>159</v>
      </c>
      <c r="D4" t="s">
        <v>96</v>
      </c>
    </row>
    <row r="5" spans="2:4">
      <c r="B5" t="s">
        <v>239</v>
      </c>
      <c r="C5" t="s">
        <v>240</v>
      </c>
      <c r="D5">
        <v>-1</v>
      </c>
    </row>
    <row r="6" spans="2:4">
      <c r="B6" t="s">
        <v>239</v>
      </c>
      <c r="C6" t="s">
        <v>241</v>
      </c>
      <c r="D6">
        <v>1</v>
      </c>
    </row>
    <row r="7" spans="2:4">
      <c r="B7" t="s">
        <v>239</v>
      </c>
      <c r="C7" t="s">
        <v>242</v>
      </c>
      <c r="D7">
        <v>1</v>
      </c>
    </row>
    <row r="8" spans="2:4">
      <c r="B8" t="s">
        <v>239</v>
      </c>
      <c r="C8" t="s">
        <v>243</v>
      </c>
      <c r="D8">
        <v>1</v>
      </c>
    </row>
    <row r="9" spans="2:4">
      <c r="B9" t="s">
        <v>239</v>
      </c>
      <c r="C9" t="s">
        <v>244</v>
      </c>
      <c r="D9">
        <v>1</v>
      </c>
    </row>
    <row r="10" spans="2:4">
      <c r="B10" t="s">
        <v>239</v>
      </c>
      <c r="C10" t="s">
        <v>245</v>
      </c>
      <c r="D10">
        <v>1</v>
      </c>
    </row>
    <row r="11" spans="2:4">
      <c r="B11" t="s">
        <v>239</v>
      </c>
      <c r="C11" t="s">
        <v>246</v>
      </c>
      <c r="D11">
        <v>1</v>
      </c>
    </row>
    <row r="12" spans="2:4">
      <c r="B12" t="s">
        <v>239</v>
      </c>
      <c r="C12" t="s">
        <v>241</v>
      </c>
      <c r="D12">
        <v>1</v>
      </c>
    </row>
    <row r="13" spans="2:4">
      <c r="B13" t="s">
        <v>239</v>
      </c>
      <c r="C13" t="s">
        <v>247</v>
      </c>
      <c r="D13">
        <v>1</v>
      </c>
    </row>
    <row r="14" spans="2:4">
      <c r="B14" t="s">
        <v>239</v>
      </c>
      <c r="C14" t="s">
        <v>248</v>
      </c>
      <c r="D14">
        <v>2</v>
      </c>
    </row>
    <row r="15" spans="2:4">
      <c r="B15" t="s">
        <v>239</v>
      </c>
      <c r="C15" t="s">
        <v>249</v>
      </c>
      <c r="D15">
        <v>1</v>
      </c>
    </row>
    <row r="16" spans="2:4">
      <c r="B16" t="s">
        <v>239</v>
      </c>
      <c r="C16" t="s">
        <v>250</v>
      </c>
      <c r="D16" s="13">
        <v>1e-6</v>
      </c>
    </row>
    <row r="17" spans="2:4">
      <c r="B17" t="s">
        <v>239</v>
      </c>
      <c r="C17" t="s">
        <v>251</v>
      </c>
      <c r="D17" s="13">
        <v>1e-6</v>
      </c>
    </row>
    <row r="18" spans="2:4">
      <c r="B18" t="s">
        <v>239</v>
      </c>
      <c r="C18" t="s">
        <v>252</v>
      </c>
      <c r="D18" s="13">
        <v>1e-6</v>
      </c>
    </row>
    <row r="19" spans="2:4">
      <c r="B19" t="s">
        <v>239</v>
      </c>
      <c r="C19" t="s">
        <v>253</v>
      </c>
      <c r="D19" s="13">
        <v>1e-6</v>
      </c>
    </row>
    <row r="25" spans="2:4">
      <c r="B25" t="s">
        <v>254</v>
      </c>
    </row>
    <row r="26" spans="2:4">
      <c r="B26" t="s">
        <v>255</v>
      </c>
      <c r="C26" t="s">
        <v>256</v>
      </c>
    </row>
    <row r="27" spans="2:4">
      <c r="B27" t="s">
        <v>257</v>
      </c>
      <c r="C27" t="s">
        <v>258</v>
      </c>
    </row>
    <row r="28" spans="2:4">
      <c r="B28" t="s">
        <v>259</v>
      </c>
      <c r="C28" t="s">
        <v>258</v>
      </c>
    </row>
    <row r="29" spans="2:4">
      <c r="B29" t="s">
        <v>260</v>
      </c>
      <c r="C29" t="s">
        <v>258</v>
      </c>
    </row>
    <row r="30" spans="2:4">
      <c r="B30" t="s">
        <v>261</v>
      </c>
      <c r="C30" t="s">
        <v>258</v>
      </c>
    </row>
    <row r="31" spans="2:4">
      <c r="B31" t="s">
        <v>262</v>
      </c>
      <c r="C31" t="s">
        <v>258</v>
      </c>
    </row>
    <row r="32" spans="2:4">
      <c r="B32" t="s">
        <v>263</v>
      </c>
    </row>
    <row r="33" spans="2:3">
      <c r="B33" t="s">
        <v>264</v>
      </c>
      <c r="C33" t="s">
        <v>258</v>
      </c>
    </row>
  </sheetData>
  <pageMargins left="0.7" right="0.7" top="0.75" bottom="0.75" header="0.3" footer="0.3"/>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G25"/>
  <sheetViews>
    <sheetView zoomScale="52" zoomScaleNormal="52" workbookViewId="0">
      <selection activeCell="L28" sqref="L28"/>
    </sheetView>
  </sheetViews>
  <sheetFormatPr defaultColWidth="11.4636363636364" defaultRowHeight="12.5" outlineLevelCol="6"/>
  <cols>
    <col min="1" max="1" width="9.06363636363636" customWidth="1"/>
    <col min="2" max="2" width="15.2636363636364" customWidth="1"/>
    <col min="3" max="3" width="30.2636363636364" customWidth="1"/>
    <col min="4" max="5" width="9.06363636363636" customWidth="1"/>
    <col min="6" max="6" width="15.4636363636364" customWidth="1"/>
  </cols>
  <sheetData>
    <row r="2" spans="2:7">
      <c r="B2" t="s">
        <v>265</v>
      </c>
    </row>
    <row r="3" spans="2:7">
      <c r="B3" s="10" t="s">
        <v>104</v>
      </c>
      <c r="C3" s="10" t="s">
        <v>266</v>
      </c>
      <c r="D3" s="10" t="s">
        <v>96</v>
      </c>
      <c r="E3" s="10" t="s">
        <v>100</v>
      </c>
      <c r="F3" s="10" t="s">
        <v>99</v>
      </c>
      <c r="G3" s="10" t="s">
        <v>267</v>
      </c>
    </row>
    <row r="4" ht="14.5" spans="2:7">
      <c r="B4" s="11" t="s">
        <v>268</v>
      </c>
      <c r="C4" s="11" t="s">
        <v>269</v>
      </c>
      <c r="D4" s="12" t="s">
        <v>270</v>
      </c>
      <c r="F4" s="11" t="s">
        <v>271</v>
      </c>
    </row>
    <row r="5" spans="2:7">
      <c r="B5" s="11" t="s">
        <v>272</v>
      </c>
      <c r="C5" t="s">
        <v>273</v>
      </c>
      <c r="D5" t="s">
        <v>270</v>
      </c>
      <c r="F5" t="s">
        <v>274</v>
      </c>
    </row>
    <row r="6" spans="2:7">
      <c r="B6" t="s">
        <v>275</v>
      </c>
      <c r="C6" t="s">
        <v>276</v>
      </c>
      <c r="D6" t="s">
        <v>270</v>
      </c>
      <c r="F6" t="s">
        <v>277</v>
      </c>
    </row>
    <row r="7" spans="2:7">
      <c r="B7" t="s">
        <v>278</v>
      </c>
      <c r="C7" t="s">
        <v>279</v>
      </c>
      <c r="D7" t="s">
        <v>270</v>
      </c>
      <c r="F7" t="s">
        <v>280</v>
      </c>
    </row>
    <row r="8" spans="2:7">
      <c r="B8" t="s">
        <v>281</v>
      </c>
      <c r="C8" t="s">
        <v>282</v>
      </c>
      <c r="D8" t="s">
        <v>270</v>
      </c>
      <c r="F8" t="s">
        <v>283</v>
      </c>
    </row>
    <row r="9" spans="2:7">
      <c r="B9" t="s">
        <v>284</v>
      </c>
      <c r="C9" t="s">
        <v>285</v>
      </c>
      <c r="D9" t="s">
        <v>270</v>
      </c>
      <c r="F9" t="s">
        <v>286</v>
      </c>
    </row>
    <row r="10" spans="2:7">
      <c r="B10" t="s">
        <v>287</v>
      </c>
      <c r="C10" t="s">
        <v>288</v>
      </c>
      <c r="D10" t="s">
        <v>270</v>
      </c>
      <c r="F10" t="s">
        <v>289</v>
      </c>
    </row>
    <row r="11" spans="2:7">
      <c r="B11" t="s">
        <v>290</v>
      </c>
      <c r="C11" t="s">
        <v>291</v>
      </c>
      <c r="D11" t="s">
        <v>270</v>
      </c>
      <c r="F11" t="s">
        <v>292</v>
      </c>
    </row>
    <row r="12" spans="2:7">
      <c r="B12" t="s">
        <v>293</v>
      </c>
      <c r="C12" t="s">
        <v>294</v>
      </c>
      <c r="D12" t="s">
        <v>270</v>
      </c>
      <c r="F12" t="s">
        <v>295</v>
      </c>
    </row>
    <row r="13" spans="2:7">
      <c r="B13" t="s">
        <v>296</v>
      </c>
      <c r="D13" t="s">
        <v>270</v>
      </c>
      <c r="F13" t="s">
        <v>297</v>
      </c>
    </row>
    <row r="16" spans="2:7">
      <c r="B16" t="s">
        <v>298</v>
      </c>
      <c r="C16" t="s">
        <v>299</v>
      </c>
      <c r="D16" t="s">
        <v>270</v>
      </c>
      <c r="F16" t="s">
        <v>300</v>
      </c>
    </row>
    <row r="21" spans="2:7">
      <c r="B21" t="s">
        <v>265</v>
      </c>
    </row>
    <row r="22" spans="2:7">
      <c r="B22" t="s">
        <v>104</v>
      </c>
      <c r="C22" t="s">
        <v>266</v>
      </c>
      <c r="D22" t="s">
        <v>96</v>
      </c>
      <c r="E22" t="s">
        <v>100</v>
      </c>
      <c r="F22" t="s">
        <v>99</v>
      </c>
      <c r="G22" t="s">
        <v>267</v>
      </c>
    </row>
    <row r="23" spans="2:7">
      <c r="B23" t="s">
        <v>301</v>
      </c>
      <c r="C23" t="s">
        <v>302</v>
      </c>
      <c r="D23" t="s">
        <v>258</v>
      </c>
      <c r="E23" t="s">
        <v>303</v>
      </c>
      <c r="F23" t="s">
        <v>304</v>
      </c>
    </row>
    <row r="24" spans="2:7">
      <c r="B24" t="s">
        <v>305</v>
      </c>
      <c r="C24" t="s">
        <v>306</v>
      </c>
      <c r="D24" t="s">
        <v>258</v>
      </c>
      <c r="E24" t="s">
        <v>303</v>
      </c>
      <c r="F24" t="s">
        <v>307</v>
      </c>
    </row>
    <row r="25" spans="2:7">
      <c r="B25" t="s">
        <v>308</v>
      </c>
      <c r="C25" t="s">
        <v>302</v>
      </c>
      <c r="D25" t="s">
        <v>258</v>
      </c>
      <c r="E25" t="s">
        <v>303</v>
      </c>
      <c r="F25" t="s">
        <v>309</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AA48"/>
  <sheetViews>
    <sheetView zoomScale="66" zoomScaleNormal="66" topLeftCell="L1" workbookViewId="0">
      <selection activeCell="A1" sqref="A1"/>
    </sheetView>
  </sheetViews>
  <sheetFormatPr defaultColWidth="9" defaultRowHeight="12.5"/>
  <cols>
    <col min="2" max="2" width="10.0636363636364" customWidth="1"/>
    <col min="3" max="3" width="11.2636363636364" customWidth="1"/>
    <col min="4" max="4" width="30" customWidth="1"/>
    <col min="5" max="5" width="6.06363636363636" customWidth="1"/>
    <col min="6" max="7" width="8.8" customWidth="1"/>
    <col min="8" max="8" width="7.52727272727273" customWidth="1"/>
    <col min="9" max="9" width="5.8" customWidth="1"/>
    <col min="11" max="11" width="7" customWidth="1"/>
    <col min="12" max="12" width="16" customWidth="1"/>
    <col min="13" max="13" width="52" customWidth="1"/>
    <col min="20" max="20" width="9.06363636363636" customWidth="1"/>
    <col min="21" max="21" width="15.7272727272727" customWidth="1"/>
    <col min="22" max="22" width="44.8" customWidth="1"/>
    <col min="23" max="23" width="4.26363636363636" customWidth="1"/>
    <col min="24" max="24" width="8" customWidth="1"/>
    <col min="25" max="25" width="8.8" customWidth="1"/>
    <col min="26" max="26" width="7.52727272727273" customWidth="1"/>
    <col min="27" max="27" width="7.8" customWidth="1"/>
  </cols>
  <sheetData>
    <row r="3" spans="2:27">
      <c r="B3" t="s">
        <v>310</v>
      </c>
      <c r="K3" s="6" t="s">
        <v>310</v>
      </c>
      <c r="L3" s="6"/>
      <c r="M3" s="6"/>
      <c r="N3" s="6"/>
      <c r="O3" s="6"/>
      <c r="P3" s="6"/>
      <c r="Q3" s="6"/>
      <c r="R3" s="6"/>
      <c r="T3" t="s">
        <v>310</v>
      </c>
    </row>
    <row r="4" spans="2:27">
      <c r="B4" t="s">
        <v>311</v>
      </c>
      <c r="C4" t="s">
        <v>312</v>
      </c>
      <c r="D4" t="s">
        <v>313</v>
      </c>
      <c r="E4" t="s">
        <v>314</v>
      </c>
      <c r="F4" t="s">
        <v>93</v>
      </c>
      <c r="G4" t="s">
        <v>315</v>
      </c>
      <c r="H4" t="s">
        <v>316</v>
      </c>
      <c r="I4" t="s">
        <v>317</v>
      </c>
      <c r="K4" s="6" t="s">
        <v>318</v>
      </c>
      <c r="L4" s="6" t="s">
        <v>312</v>
      </c>
      <c r="M4" s="6" t="s">
        <v>313</v>
      </c>
      <c r="N4" s="6" t="s">
        <v>314</v>
      </c>
      <c r="O4" s="6" t="s">
        <v>93</v>
      </c>
      <c r="P4" s="6" t="s">
        <v>315</v>
      </c>
      <c r="Q4" s="6" t="s">
        <v>316</v>
      </c>
      <c r="R4" s="6" t="s">
        <v>317</v>
      </c>
      <c r="T4" t="s">
        <v>311</v>
      </c>
      <c r="U4" t="s">
        <v>312</v>
      </c>
      <c r="V4" t="s">
        <v>313</v>
      </c>
      <c r="W4" t="s">
        <v>314</v>
      </c>
      <c r="X4" t="s">
        <v>93</v>
      </c>
      <c r="Y4" t="s">
        <v>315</v>
      </c>
      <c r="Z4" t="s">
        <v>316</v>
      </c>
      <c r="AA4" t="s">
        <v>317</v>
      </c>
    </row>
    <row r="5" spans="2:27">
      <c r="B5" t="s">
        <v>319</v>
      </c>
      <c r="K5" t="s">
        <v>303</v>
      </c>
      <c r="L5" s="6" t="s">
        <v>320</v>
      </c>
      <c r="M5" s="6" t="s">
        <v>321</v>
      </c>
      <c r="N5" s="6" t="s">
        <v>175</v>
      </c>
      <c r="O5" s="6"/>
      <c r="P5" s="6"/>
      <c r="Q5" s="6"/>
      <c r="R5" s="6"/>
      <c r="T5" t="s">
        <v>319</v>
      </c>
    </row>
    <row r="6" spans="2:27">
      <c r="B6" t="s">
        <v>322</v>
      </c>
      <c r="C6" t="s">
        <v>323</v>
      </c>
      <c r="D6" t="s">
        <v>324</v>
      </c>
      <c r="E6" t="s">
        <v>325</v>
      </c>
      <c r="K6" s="6"/>
      <c r="L6" s="6" t="s">
        <v>326</v>
      </c>
      <c r="M6" s="6" t="s">
        <v>327</v>
      </c>
      <c r="N6" s="6" t="s">
        <v>175</v>
      </c>
      <c r="O6" s="6"/>
      <c r="P6" s="6"/>
      <c r="Q6" s="6"/>
      <c r="T6" t="s">
        <v>322</v>
      </c>
      <c r="U6" t="s">
        <v>328</v>
      </c>
      <c r="V6" t="s">
        <v>329</v>
      </c>
      <c r="W6" t="s">
        <v>325</v>
      </c>
    </row>
    <row r="7" spans="2:27">
      <c r="B7" t="s">
        <v>322</v>
      </c>
      <c r="C7" t="s">
        <v>330</v>
      </c>
      <c r="D7" t="s">
        <v>331</v>
      </c>
      <c r="E7" t="s">
        <v>332</v>
      </c>
      <c r="K7" t="s">
        <v>322</v>
      </c>
      <c r="L7" t="s">
        <v>333</v>
      </c>
      <c r="M7" s="6" t="s">
        <v>334</v>
      </c>
      <c r="N7" s="6" t="s">
        <v>332</v>
      </c>
      <c r="O7" t="s">
        <v>105</v>
      </c>
      <c r="T7" t="s">
        <v>322</v>
      </c>
      <c r="U7" t="s">
        <v>335</v>
      </c>
      <c r="V7" t="s">
        <v>336</v>
      </c>
      <c r="W7" t="s">
        <v>332</v>
      </c>
    </row>
    <row r="8" spans="2:27">
      <c r="B8" t="s">
        <v>337</v>
      </c>
      <c r="C8" t="s">
        <v>338</v>
      </c>
      <c r="D8" t="s">
        <v>339</v>
      </c>
      <c r="E8" t="s">
        <v>332</v>
      </c>
      <c r="L8" t="s">
        <v>340</v>
      </c>
      <c r="M8" s="6" t="s">
        <v>341</v>
      </c>
      <c r="N8" s="6" t="s">
        <v>332</v>
      </c>
      <c r="O8" t="s">
        <v>105</v>
      </c>
      <c r="T8" t="s">
        <v>322</v>
      </c>
      <c r="U8" t="s">
        <v>342</v>
      </c>
      <c r="V8" t="s">
        <v>343</v>
      </c>
      <c r="W8" t="s">
        <v>332</v>
      </c>
    </row>
    <row r="9" spans="2:27">
      <c r="B9" t="s">
        <v>322</v>
      </c>
      <c r="C9" t="s">
        <v>344</v>
      </c>
      <c r="D9" t="s">
        <v>345</v>
      </c>
      <c r="E9" t="s">
        <v>325</v>
      </c>
      <c r="L9" t="s">
        <v>346</v>
      </c>
      <c r="M9" s="6" t="s">
        <v>347</v>
      </c>
      <c r="N9" s="6" t="s">
        <v>332</v>
      </c>
      <c r="O9" t="s">
        <v>105</v>
      </c>
      <c r="T9" t="s">
        <v>322</v>
      </c>
      <c r="U9" t="s">
        <v>348</v>
      </c>
      <c r="V9" t="s">
        <v>349</v>
      </c>
      <c r="W9" t="s">
        <v>325</v>
      </c>
    </row>
    <row r="10" spans="2:27">
      <c r="B10" t="s">
        <v>322</v>
      </c>
      <c r="C10" t="s">
        <v>350</v>
      </c>
      <c r="D10" t="s">
        <v>351</v>
      </c>
      <c r="E10" t="s">
        <v>332</v>
      </c>
      <c r="L10" t="s">
        <v>352</v>
      </c>
      <c r="M10" s="6" t="s">
        <v>353</v>
      </c>
      <c r="N10" s="6" t="s">
        <v>332</v>
      </c>
      <c r="T10" t="s">
        <v>322</v>
      </c>
      <c r="U10" t="s">
        <v>354</v>
      </c>
      <c r="V10" t="s">
        <v>355</v>
      </c>
      <c r="W10" t="s">
        <v>332</v>
      </c>
    </row>
    <row r="11" spans="2:27">
      <c r="B11" t="s">
        <v>322</v>
      </c>
      <c r="C11" t="s">
        <v>356</v>
      </c>
      <c r="D11" t="s">
        <v>357</v>
      </c>
      <c r="E11" t="s">
        <v>325</v>
      </c>
      <c r="L11" t="s">
        <v>358</v>
      </c>
      <c r="M11" s="6" t="s">
        <v>359</v>
      </c>
      <c r="N11" s="6" t="s">
        <v>360</v>
      </c>
      <c r="T11" t="s">
        <v>322</v>
      </c>
      <c r="U11" t="s">
        <v>361</v>
      </c>
      <c r="V11" t="s">
        <v>362</v>
      </c>
      <c r="W11" t="s">
        <v>325</v>
      </c>
    </row>
    <row r="12" spans="2:27">
      <c r="C12" t="s">
        <v>363</v>
      </c>
      <c r="D12" t="s">
        <v>364</v>
      </c>
      <c r="E12" t="s">
        <v>332</v>
      </c>
      <c r="K12" t="s">
        <v>303</v>
      </c>
      <c r="L12" t="s">
        <v>365</v>
      </c>
      <c r="M12" t="s">
        <v>366</v>
      </c>
      <c r="N12" t="s">
        <v>175</v>
      </c>
      <c r="T12" t="s">
        <v>322</v>
      </c>
      <c r="U12" t="s">
        <v>367</v>
      </c>
      <c r="V12" t="s">
        <v>368</v>
      </c>
      <c r="W12" t="s">
        <v>332</v>
      </c>
    </row>
    <row r="13" spans="2:27">
      <c r="C13" t="s">
        <v>369</v>
      </c>
      <c r="D13" t="s">
        <v>370</v>
      </c>
      <c r="E13" t="s">
        <v>332</v>
      </c>
      <c r="K13" t="s">
        <v>303</v>
      </c>
      <c r="L13" t="s">
        <v>371</v>
      </c>
      <c r="M13" t="s">
        <v>372</v>
      </c>
      <c r="N13" t="s">
        <v>175</v>
      </c>
      <c r="P13" t="s">
        <v>373</v>
      </c>
      <c r="R13" t="s">
        <v>155</v>
      </c>
      <c r="T13" t="s">
        <v>322</v>
      </c>
      <c r="U13" t="s">
        <v>374</v>
      </c>
      <c r="V13" t="s">
        <v>375</v>
      </c>
      <c r="W13" t="s">
        <v>332</v>
      </c>
    </row>
    <row r="14" spans="2:27">
      <c r="C14" t="s">
        <v>376</v>
      </c>
      <c r="D14" t="s">
        <v>377</v>
      </c>
      <c r="E14" t="s">
        <v>332</v>
      </c>
      <c r="K14" t="s">
        <v>303</v>
      </c>
      <c r="L14" t="s">
        <v>378</v>
      </c>
      <c r="M14" t="s">
        <v>379</v>
      </c>
      <c r="N14" t="s">
        <v>175</v>
      </c>
      <c r="P14" t="s">
        <v>373</v>
      </c>
      <c r="U14" t="s">
        <v>380</v>
      </c>
      <c r="V14" t="s">
        <v>381</v>
      </c>
      <c r="W14" t="s">
        <v>332</v>
      </c>
      <c r="X14" t="s">
        <v>105</v>
      </c>
    </row>
    <row r="15" spans="2:27">
      <c r="C15" t="s">
        <v>382</v>
      </c>
      <c r="D15" t="s">
        <v>383</v>
      </c>
      <c r="E15" t="s">
        <v>332</v>
      </c>
      <c r="L15" t="s">
        <v>384</v>
      </c>
      <c r="M15" t="s">
        <v>385</v>
      </c>
      <c r="N15" t="s">
        <v>175</v>
      </c>
    </row>
    <row r="16" spans="2:27">
      <c r="C16" t="s">
        <v>386</v>
      </c>
      <c r="D16" t="s">
        <v>387</v>
      </c>
      <c r="E16" t="s">
        <v>332</v>
      </c>
      <c r="K16" t="s">
        <v>322</v>
      </c>
      <c r="L16" t="s">
        <v>388</v>
      </c>
      <c r="M16" t="s">
        <v>359</v>
      </c>
      <c r="N16" t="s">
        <v>360</v>
      </c>
    </row>
    <row r="17" spans="3:16">
      <c r="C17" t="s">
        <v>389</v>
      </c>
      <c r="D17" t="s">
        <v>390</v>
      </c>
      <c r="E17" t="s">
        <v>332</v>
      </c>
      <c r="L17" t="s">
        <v>391</v>
      </c>
      <c r="M17" t="s">
        <v>392</v>
      </c>
      <c r="N17" t="s">
        <v>360</v>
      </c>
    </row>
    <row r="18" spans="3:16">
      <c r="C18" t="s">
        <v>393</v>
      </c>
      <c r="D18" t="s">
        <v>394</v>
      </c>
      <c r="E18" t="s">
        <v>332</v>
      </c>
      <c r="L18" t="s">
        <v>395</v>
      </c>
      <c r="M18" t="s">
        <v>396</v>
      </c>
      <c r="N18" t="s">
        <v>360</v>
      </c>
    </row>
    <row r="19" spans="3:16">
      <c r="C19" t="s">
        <v>397</v>
      </c>
      <c r="D19" t="s">
        <v>398</v>
      </c>
      <c r="E19" t="s">
        <v>332</v>
      </c>
      <c r="L19" t="s">
        <v>399</v>
      </c>
      <c r="M19" t="s">
        <v>400</v>
      </c>
      <c r="N19" t="s">
        <v>360</v>
      </c>
    </row>
    <row r="20" spans="3:16">
      <c r="C20" t="s">
        <v>401</v>
      </c>
      <c r="D20" t="s">
        <v>402</v>
      </c>
      <c r="E20" t="s">
        <v>332</v>
      </c>
      <c r="L20" t="s">
        <v>403</v>
      </c>
      <c r="M20" t="s">
        <v>404</v>
      </c>
      <c r="N20" t="s">
        <v>360</v>
      </c>
    </row>
    <row r="21" spans="3:16">
      <c r="C21" t="s">
        <v>405</v>
      </c>
      <c r="D21" t="s">
        <v>406</v>
      </c>
      <c r="E21" t="s">
        <v>332</v>
      </c>
      <c r="L21" t="s">
        <v>407</v>
      </c>
      <c r="M21" t="s">
        <v>408</v>
      </c>
      <c r="N21" t="s">
        <v>332</v>
      </c>
      <c r="O21" t="s">
        <v>105</v>
      </c>
    </row>
    <row r="22" spans="3:16">
      <c r="C22" t="s">
        <v>409</v>
      </c>
      <c r="D22" t="s">
        <v>410</v>
      </c>
      <c r="E22" t="s">
        <v>332</v>
      </c>
      <c r="L22" t="s">
        <v>411</v>
      </c>
      <c r="M22" t="s">
        <v>412</v>
      </c>
      <c r="N22" t="s">
        <v>332</v>
      </c>
      <c r="O22" t="s">
        <v>105</v>
      </c>
    </row>
    <row r="23" spans="3:16">
      <c r="C23" t="s">
        <v>413</v>
      </c>
      <c r="D23" t="s">
        <v>414</v>
      </c>
      <c r="E23" t="s">
        <v>332</v>
      </c>
      <c r="L23" t="s">
        <v>415</v>
      </c>
      <c r="M23" t="s">
        <v>416</v>
      </c>
      <c r="N23" t="s">
        <v>332</v>
      </c>
      <c r="O23" t="s">
        <v>105</v>
      </c>
    </row>
    <row r="24" spans="3:16">
      <c r="C24" t="s">
        <v>417</v>
      </c>
      <c r="D24" t="s">
        <v>418</v>
      </c>
      <c r="E24" t="s">
        <v>332</v>
      </c>
      <c r="L24" t="s">
        <v>419</v>
      </c>
      <c r="M24" t="s">
        <v>420</v>
      </c>
      <c r="N24" t="s">
        <v>332</v>
      </c>
      <c r="O24" t="s">
        <v>105</v>
      </c>
    </row>
    <row r="25" spans="3:16">
      <c r="C25" t="s">
        <v>421</v>
      </c>
      <c r="D25" t="s">
        <v>422</v>
      </c>
      <c r="E25" t="s">
        <v>332</v>
      </c>
      <c r="L25" t="s">
        <v>423</v>
      </c>
      <c r="M25" t="s">
        <v>424</v>
      </c>
      <c r="N25" t="s">
        <v>332</v>
      </c>
    </row>
    <row r="26" spans="3:16">
      <c r="C26" t="s">
        <v>425</v>
      </c>
      <c r="D26" t="s">
        <v>426</v>
      </c>
      <c r="E26" t="s">
        <v>332</v>
      </c>
      <c r="K26" t="s">
        <v>115</v>
      </c>
      <c r="L26" t="s">
        <v>427</v>
      </c>
      <c r="M26" t="s">
        <v>428</v>
      </c>
      <c r="N26" t="s">
        <v>175</v>
      </c>
      <c r="P26" s="7" t="str">
        <f>P14</f>
        <v>DAYNITE</v>
      </c>
    </row>
    <row r="27" spans="3:16">
      <c r="C27" t="s">
        <v>429</v>
      </c>
      <c r="D27" t="s">
        <v>430</v>
      </c>
      <c r="E27" t="s">
        <v>332</v>
      </c>
    </row>
    <row r="28" spans="3:16">
      <c r="C28" t="s">
        <v>431</v>
      </c>
      <c r="D28" t="s">
        <v>432</v>
      </c>
      <c r="E28" t="s">
        <v>332</v>
      </c>
    </row>
    <row r="29" spans="3:16">
      <c r="C29" t="s">
        <v>433</v>
      </c>
      <c r="D29" t="s">
        <v>434</v>
      </c>
      <c r="E29" t="s">
        <v>332</v>
      </c>
    </row>
    <row r="30" spans="3:16">
      <c r="C30" t="s">
        <v>435</v>
      </c>
      <c r="D30" t="s">
        <v>436</v>
      </c>
      <c r="E30" t="s">
        <v>332</v>
      </c>
      <c r="K30" t="s">
        <v>437</v>
      </c>
    </row>
    <row r="31" spans="3:16">
      <c r="C31" t="s">
        <v>438</v>
      </c>
      <c r="D31" t="s">
        <v>439</v>
      </c>
      <c r="E31" t="s">
        <v>332</v>
      </c>
      <c r="K31" t="s">
        <v>440</v>
      </c>
      <c r="L31" t="s">
        <v>441</v>
      </c>
      <c r="M31" t="s">
        <v>442</v>
      </c>
      <c r="N31" t="s">
        <v>443</v>
      </c>
      <c r="O31" t="s">
        <v>444</v>
      </c>
      <c r="P31" t="s">
        <v>445</v>
      </c>
    </row>
    <row r="32" spans="3:16">
      <c r="C32" t="s">
        <v>446</v>
      </c>
      <c r="D32" t="s">
        <v>447</v>
      </c>
      <c r="E32" t="s">
        <v>332</v>
      </c>
      <c r="K32" t="s">
        <v>303</v>
      </c>
      <c r="L32" t="s">
        <v>448</v>
      </c>
      <c r="M32" t="s">
        <v>449</v>
      </c>
      <c r="N32" t="s">
        <v>373</v>
      </c>
      <c r="O32" t="s">
        <v>175</v>
      </c>
      <c r="P32" t="s">
        <v>155</v>
      </c>
    </row>
    <row r="33" spans="2:16">
      <c r="C33" t="s">
        <v>450</v>
      </c>
      <c r="D33" t="s">
        <v>451</v>
      </c>
      <c r="E33" t="s">
        <v>332</v>
      </c>
      <c r="L33" t="s">
        <v>452</v>
      </c>
      <c r="M33" t="s">
        <v>453</v>
      </c>
      <c r="N33" t="s">
        <v>373</v>
      </c>
      <c r="O33" t="s">
        <v>175</v>
      </c>
      <c r="P33" t="s">
        <v>155</v>
      </c>
    </row>
    <row r="34" spans="2:16">
      <c r="C34" t="s">
        <v>454</v>
      </c>
      <c r="D34" t="s">
        <v>455</v>
      </c>
      <c r="E34" t="s">
        <v>332</v>
      </c>
      <c r="K34" t="s">
        <v>322</v>
      </c>
      <c r="L34" t="s">
        <v>456</v>
      </c>
      <c r="M34" t="s">
        <v>457</v>
      </c>
      <c r="N34" t="s">
        <v>373</v>
      </c>
      <c r="O34" t="s">
        <v>175</v>
      </c>
    </row>
    <row r="35" spans="2:16">
      <c r="C35" t="s">
        <v>458</v>
      </c>
      <c r="D35" t="s">
        <v>459</v>
      </c>
      <c r="E35" t="s">
        <v>332</v>
      </c>
      <c r="L35" t="s">
        <v>460</v>
      </c>
      <c r="M35" t="s">
        <v>461</v>
      </c>
      <c r="N35" t="s">
        <v>146</v>
      </c>
      <c r="O35" t="s">
        <v>462</v>
      </c>
    </row>
    <row r="36" spans="2:16">
      <c r="C36" t="s">
        <v>463</v>
      </c>
      <c r="D36" t="s">
        <v>464</v>
      </c>
      <c r="E36" t="s">
        <v>332</v>
      </c>
    </row>
    <row r="37" spans="2:16">
      <c r="C37" t="s">
        <v>465</v>
      </c>
      <c r="D37" t="s">
        <v>466</v>
      </c>
      <c r="E37" t="s">
        <v>332</v>
      </c>
    </row>
    <row r="38" spans="2:16">
      <c r="C38" t="s">
        <v>467</v>
      </c>
      <c r="D38" t="s">
        <v>468</v>
      </c>
      <c r="E38" t="s">
        <v>332</v>
      </c>
    </row>
    <row r="39" spans="2:16">
      <c r="C39" t="s">
        <v>469</v>
      </c>
      <c r="D39" t="s">
        <v>470</v>
      </c>
      <c r="E39" t="s">
        <v>332</v>
      </c>
    </row>
    <row r="40" spans="2:16">
      <c r="C40" t="s">
        <v>471</v>
      </c>
      <c r="D40" t="s">
        <v>472</v>
      </c>
      <c r="E40" t="s">
        <v>332</v>
      </c>
    </row>
    <row r="41" spans="2:16">
      <c r="C41" t="s">
        <v>473</v>
      </c>
      <c r="D41" t="s">
        <v>474</v>
      </c>
      <c r="E41" t="s">
        <v>360</v>
      </c>
    </row>
    <row r="42" spans="2:16">
      <c r="B42" t="s">
        <v>303</v>
      </c>
      <c r="C42" t="s">
        <v>475</v>
      </c>
      <c r="E42" t="s">
        <v>175</v>
      </c>
    </row>
    <row r="45" ht="14.5" spans="2:16">
      <c r="B45" s="8" t="s">
        <v>310</v>
      </c>
    </row>
    <row r="46" ht="14.5" spans="2:16">
      <c r="B46" s="8" t="s">
        <v>318</v>
      </c>
      <c r="C46" s="8" t="s">
        <v>312</v>
      </c>
      <c r="D46" s="8" t="s">
        <v>313</v>
      </c>
      <c r="E46" s="8" t="s">
        <v>314</v>
      </c>
      <c r="F46" t="s">
        <v>315</v>
      </c>
      <c r="G46" s="8" t="s">
        <v>93</v>
      </c>
    </row>
    <row r="47" ht="14.5" spans="2:16">
      <c r="C47" s="8" t="s">
        <v>476</v>
      </c>
      <c r="D47" t="s">
        <v>477</v>
      </c>
      <c r="E47" s="8" t="s">
        <v>175</v>
      </c>
    </row>
    <row r="48" ht="14.5" spans="2:16">
      <c r="B48" t="s">
        <v>322</v>
      </c>
      <c r="C48" s="8" t="s">
        <v>478</v>
      </c>
      <c r="D48" t="s">
        <v>479</v>
      </c>
      <c r="E48" s="8" t="s">
        <v>480</v>
      </c>
      <c r="F48" t="s">
        <v>373</v>
      </c>
      <c r="G48" s="9" t="s">
        <v>481</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W3465"/>
  <sheetViews>
    <sheetView zoomScale="44" zoomScaleNormal="44" topLeftCell="T1" workbookViewId="0">
      <selection activeCell="C18" sqref="C18"/>
    </sheetView>
  </sheetViews>
  <sheetFormatPr defaultColWidth="9" defaultRowHeight="12.5"/>
  <cols>
    <col min="2" max="2" width="10.2636363636364" customWidth="1"/>
    <col min="3" max="3" width="11.2636363636364" customWidth="1"/>
    <col min="4" max="4" width="62.2636363636364" customWidth="1"/>
    <col min="5" max="5" width="4.8" customWidth="1"/>
    <col min="6" max="6" width="8.52727272727273" customWidth="1"/>
    <col min="7" max="7" width="7.46363636363636" customWidth="1"/>
    <col min="9" max="9" width="10.2636363636364" customWidth="1"/>
    <col min="10" max="10" width="11.4636363636364" customWidth="1"/>
    <col min="11" max="11" width="57.0636363636364" customWidth="1"/>
    <col min="12" max="12" width="4.8" customWidth="1"/>
    <col min="13" max="13" width="8.52727272727273" customWidth="1"/>
    <col min="14" max="14" width="7.46363636363636" customWidth="1"/>
    <col min="19" max="19" width="12.4636363636364" customWidth="1"/>
    <col min="20" max="20" width="20.5272727272727" customWidth="1"/>
  </cols>
  <sheetData>
    <row r="2" ht="14.5" spans="2:23">
      <c r="B2" s="1" t="s">
        <v>310</v>
      </c>
      <c r="C2" s="1"/>
      <c r="D2" s="1"/>
      <c r="E2" s="1"/>
      <c r="F2" s="1"/>
      <c r="G2" s="1"/>
      <c r="H2" s="1"/>
      <c r="I2" s="1" t="s">
        <v>310</v>
      </c>
      <c r="J2" s="1"/>
      <c r="K2" s="1"/>
      <c r="L2" s="1"/>
      <c r="M2" s="1"/>
      <c r="N2" s="1"/>
      <c r="R2" t="s">
        <v>310</v>
      </c>
    </row>
    <row r="3" ht="15.25" spans="2:23">
      <c r="B3" s="2" t="s">
        <v>482</v>
      </c>
      <c r="C3" s="2" t="s">
        <v>483</v>
      </c>
      <c r="D3" s="2" t="s">
        <v>266</v>
      </c>
      <c r="E3" s="2" t="s">
        <v>314</v>
      </c>
      <c r="F3" s="2" t="s">
        <v>484</v>
      </c>
      <c r="G3" s="2" t="s">
        <v>485</v>
      </c>
      <c r="H3" s="1"/>
      <c r="I3" s="2" t="s">
        <v>482</v>
      </c>
      <c r="J3" s="2" t="s">
        <v>486</v>
      </c>
      <c r="K3" s="2" t="s">
        <v>266</v>
      </c>
      <c r="L3" s="2" t="s">
        <v>314</v>
      </c>
      <c r="M3" s="2" t="s">
        <v>484</v>
      </c>
      <c r="N3" s="2" t="s">
        <v>485</v>
      </c>
      <c r="O3" t="s">
        <v>483</v>
      </c>
      <c r="R3" t="s">
        <v>318</v>
      </c>
      <c r="S3" t="s">
        <v>312</v>
      </c>
      <c r="T3" t="s">
        <v>313</v>
      </c>
      <c r="U3" t="s">
        <v>314</v>
      </c>
      <c r="V3" t="s">
        <v>315</v>
      </c>
    </row>
    <row r="4" ht="14.5" spans="2:23">
      <c r="B4" s="1" t="s">
        <v>303</v>
      </c>
      <c r="C4" s="1" t="s">
        <v>487</v>
      </c>
      <c r="D4" s="1" t="s">
        <v>488</v>
      </c>
      <c r="E4" s="1" t="s">
        <v>175</v>
      </c>
      <c r="F4" s="1"/>
      <c r="G4" s="1"/>
      <c r="H4" s="1"/>
      <c r="I4" s="1" t="s">
        <v>303</v>
      </c>
      <c r="J4" s="1" t="s">
        <v>489</v>
      </c>
      <c r="K4" s="1" t="s">
        <v>490</v>
      </c>
      <c r="L4" s="1" t="s">
        <v>175</v>
      </c>
      <c r="M4" s="1"/>
      <c r="N4" s="1"/>
      <c r="O4" t="s">
        <v>489</v>
      </c>
      <c r="R4" t="s">
        <v>303</v>
      </c>
      <c r="S4" t="s">
        <v>491</v>
      </c>
      <c r="T4" t="s">
        <v>492</v>
      </c>
      <c r="U4" t="s">
        <v>175</v>
      </c>
      <c r="V4" t="s">
        <v>373</v>
      </c>
    </row>
    <row r="5" ht="14.5" spans="2:23">
      <c r="B5" s="1" t="s">
        <v>303</v>
      </c>
      <c r="C5" s="1" t="s">
        <v>493</v>
      </c>
      <c r="D5" s="1" t="s">
        <v>494</v>
      </c>
      <c r="E5" s="1" t="s">
        <v>175</v>
      </c>
      <c r="F5" s="1"/>
      <c r="G5" s="1"/>
      <c r="H5" s="1"/>
      <c r="I5" s="1"/>
      <c r="J5" s="1" t="s">
        <v>495</v>
      </c>
      <c r="K5" s="1" t="s">
        <v>496</v>
      </c>
      <c r="L5" s="1" t="s">
        <v>175</v>
      </c>
      <c r="M5" s="1"/>
      <c r="N5" s="1"/>
      <c r="O5" t="s">
        <v>495</v>
      </c>
      <c r="S5" t="s">
        <v>497</v>
      </c>
      <c r="T5" t="s">
        <v>498</v>
      </c>
      <c r="U5" t="s">
        <v>175</v>
      </c>
    </row>
    <row r="6" ht="14.5" spans="2:23">
      <c r="B6" s="1" t="s">
        <v>303</v>
      </c>
      <c r="C6" s="1" t="s">
        <v>499</v>
      </c>
      <c r="D6" s="1" t="s">
        <v>500</v>
      </c>
      <c r="E6" s="1" t="s">
        <v>175</v>
      </c>
      <c r="F6" s="1"/>
      <c r="G6" s="1"/>
      <c r="H6" s="1"/>
      <c r="I6" s="1"/>
      <c r="J6" s="1" t="s">
        <v>501</v>
      </c>
      <c r="K6" s="1" t="s">
        <v>502</v>
      </c>
      <c r="L6" s="1" t="s">
        <v>175</v>
      </c>
      <c r="M6" s="1"/>
      <c r="N6" s="1"/>
      <c r="O6" t="s">
        <v>503</v>
      </c>
      <c r="S6" t="s">
        <v>504</v>
      </c>
      <c r="T6" t="s">
        <v>505</v>
      </c>
      <c r="U6" t="s">
        <v>175</v>
      </c>
      <c r="V6" t="s">
        <v>373</v>
      </c>
    </row>
    <row r="7" ht="14.5" spans="2:23">
      <c r="B7" s="1" t="s">
        <v>303</v>
      </c>
      <c r="C7" s="1" t="s">
        <v>506</v>
      </c>
      <c r="D7" s="1" t="s">
        <v>507</v>
      </c>
      <c r="E7" s="1" t="s">
        <v>175</v>
      </c>
      <c r="F7" s="1"/>
      <c r="G7" s="1"/>
      <c r="H7" s="1"/>
      <c r="I7" s="1"/>
      <c r="J7" s="1" t="s">
        <v>508</v>
      </c>
      <c r="K7" s="1" t="s">
        <v>509</v>
      </c>
      <c r="L7" s="1" t="s">
        <v>175</v>
      </c>
      <c r="M7" s="1" t="s">
        <v>373</v>
      </c>
      <c r="N7" s="1" t="s">
        <v>155</v>
      </c>
      <c r="O7" t="s">
        <v>508</v>
      </c>
      <c r="S7" t="s">
        <v>510</v>
      </c>
      <c r="T7" t="s">
        <v>511</v>
      </c>
      <c r="U7" t="s">
        <v>175</v>
      </c>
      <c r="V7" t="s">
        <v>373</v>
      </c>
    </row>
    <row r="8" ht="14.5" spans="2:23">
      <c r="B8" s="1" t="s">
        <v>303</v>
      </c>
      <c r="C8" s="1" t="s">
        <v>512</v>
      </c>
      <c r="D8" s="1" t="s">
        <v>513</v>
      </c>
      <c r="E8" s="1" t="s">
        <v>175</v>
      </c>
      <c r="F8" s="1"/>
      <c r="G8" s="1"/>
      <c r="H8" s="1"/>
      <c r="I8" s="1"/>
      <c r="J8" s="1" t="s">
        <v>514</v>
      </c>
      <c r="K8" s="1" t="s">
        <v>515</v>
      </c>
      <c r="L8" s="1" t="s">
        <v>175</v>
      </c>
      <c r="M8" s="1"/>
      <c r="N8" s="1"/>
      <c r="O8" t="s">
        <v>514</v>
      </c>
      <c r="S8" t="s">
        <v>516</v>
      </c>
      <c r="T8" t="s">
        <v>517</v>
      </c>
      <c r="U8" t="s">
        <v>175</v>
      </c>
      <c r="V8" t="s">
        <v>373</v>
      </c>
    </row>
    <row r="9" ht="14.5" spans="2:23">
      <c r="B9" s="1" t="s">
        <v>303</v>
      </c>
      <c r="C9" s="1" t="s">
        <v>518</v>
      </c>
      <c r="D9" s="1" t="s">
        <v>519</v>
      </c>
      <c r="E9" s="1" t="s">
        <v>175</v>
      </c>
      <c r="F9" s="1"/>
      <c r="G9" s="1"/>
      <c r="H9" s="1"/>
      <c r="I9" s="1"/>
      <c r="J9" s="1" t="s">
        <v>520</v>
      </c>
      <c r="K9" s="1" t="s">
        <v>521</v>
      </c>
      <c r="L9" s="1" t="s">
        <v>175</v>
      </c>
      <c r="M9" s="1" t="s">
        <v>151</v>
      </c>
      <c r="N9" s="1" t="s">
        <v>522</v>
      </c>
      <c r="O9" t="s">
        <v>520</v>
      </c>
      <c r="S9" t="s">
        <v>523</v>
      </c>
      <c r="T9" t="s">
        <v>524</v>
      </c>
      <c r="U9" t="s">
        <v>175</v>
      </c>
      <c r="V9" t="s">
        <v>373</v>
      </c>
    </row>
    <row r="10" ht="14.5" spans="2:23">
      <c r="B10" s="1" t="s">
        <v>303</v>
      </c>
      <c r="C10" s="1" t="s">
        <v>525</v>
      </c>
      <c r="D10" s="1" t="s">
        <v>526</v>
      </c>
      <c r="E10" s="1" t="s">
        <v>175</v>
      </c>
      <c r="F10" s="1"/>
      <c r="G10" s="1"/>
      <c r="H10" s="1"/>
      <c r="I10" s="1"/>
      <c r="J10" s="1" t="s">
        <v>527</v>
      </c>
      <c r="K10" s="1" t="s">
        <v>528</v>
      </c>
      <c r="L10" s="1" t="s">
        <v>175</v>
      </c>
      <c r="M10" s="1"/>
      <c r="N10" s="1"/>
      <c r="O10" t="s">
        <v>503</v>
      </c>
    </row>
    <row r="11" ht="14.5" spans="2:23">
      <c r="B11" s="1" t="s">
        <v>303</v>
      </c>
      <c r="C11" s="1" t="s">
        <v>529</v>
      </c>
      <c r="D11" s="1" t="s">
        <v>530</v>
      </c>
      <c r="E11" s="1" t="s">
        <v>175</v>
      </c>
      <c r="F11" s="1"/>
      <c r="G11" s="1"/>
      <c r="H11" s="1"/>
      <c r="I11" s="1"/>
      <c r="J11" s="1" t="s">
        <v>531</v>
      </c>
      <c r="K11" s="1" t="s">
        <v>532</v>
      </c>
      <c r="L11" s="1" t="s">
        <v>175</v>
      </c>
      <c r="M11" s="1"/>
      <c r="N11" s="1"/>
      <c r="O11" t="s">
        <v>531</v>
      </c>
    </row>
    <row r="12" ht="14.5" spans="2:23">
      <c r="B12" s="1" t="s">
        <v>303</v>
      </c>
      <c r="C12" s="1" t="s">
        <v>533</v>
      </c>
      <c r="D12" s="1" t="s">
        <v>534</v>
      </c>
      <c r="E12" s="1" t="s">
        <v>175</v>
      </c>
      <c r="F12" s="1"/>
      <c r="G12" s="1"/>
      <c r="H12" s="1"/>
      <c r="I12" s="1"/>
      <c r="J12" s="1" t="s">
        <v>535</v>
      </c>
      <c r="K12" s="1" t="s">
        <v>536</v>
      </c>
      <c r="L12" s="1" t="s">
        <v>175</v>
      </c>
      <c r="M12" s="1"/>
      <c r="N12" s="1"/>
      <c r="O12" t="s">
        <v>535</v>
      </c>
    </row>
    <row r="13" ht="14.5" spans="2:23">
      <c r="B13" s="1" t="s">
        <v>303</v>
      </c>
      <c r="C13" s="1" t="s">
        <v>537</v>
      </c>
      <c r="D13" s="1" t="s">
        <v>538</v>
      </c>
      <c r="E13" s="1" t="s">
        <v>175</v>
      </c>
      <c r="F13" s="1"/>
      <c r="G13" s="1"/>
      <c r="H13" s="1"/>
      <c r="I13" s="1"/>
      <c r="J13" s="1" t="s">
        <v>539</v>
      </c>
      <c r="K13" s="1" t="s">
        <v>540</v>
      </c>
      <c r="L13" s="1" t="s">
        <v>175</v>
      </c>
      <c r="M13" s="1"/>
      <c r="N13" s="1"/>
      <c r="O13" t="s">
        <v>503</v>
      </c>
      <c r="R13" s="3"/>
      <c r="S13" s="3"/>
      <c r="T13" s="3"/>
      <c r="U13" s="3"/>
      <c r="V13" s="3"/>
      <c r="W13" s="3"/>
    </row>
    <row r="14" ht="14.5" spans="2:23">
      <c r="B14" s="1" t="s">
        <v>303</v>
      </c>
      <c r="C14" s="1" t="s">
        <v>541</v>
      </c>
      <c r="D14" s="1" t="s">
        <v>542</v>
      </c>
      <c r="E14" s="1" t="s">
        <v>175</v>
      </c>
      <c r="F14" s="1"/>
      <c r="G14" s="1"/>
      <c r="H14" s="1"/>
      <c r="I14" s="1"/>
      <c r="J14" s="1" t="s">
        <v>543</v>
      </c>
      <c r="K14" s="1" t="s">
        <v>544</v>
      </c>
      <c r="L14" s="1" t="s">
        <v>175</v>
      </c>
      <c r="M14" s="1"/>
      <c r="N14" s="1"/>
      <c r="O14" t="s">
        <v>543</v>
      </c>
      <c r="R14" s="3" t="s">
        <v>482</v>
      </c>
      <c r="S14" s="3" t="s">
        <v>3</v>
      </c>
      <c r="T14" s="3" t="s">
        <v>483</v>
      </c>
      <c r="U14" s="3" t="s">
        <v>545</v>
      </c>
      <c r="V14" s="3" t="s">
        <v>314</v>
      </c>
      <c r="W14" s="3" t="s">
        <v>266</v>
      </c>
    </row>
    <row r="15" ht="14.5" spans="2:23">
      <c r="B15" s="1" t="s">
        <v>303</v>
      </c>
      <c r="C15" s="1" t="s">
        <v>546</v>
      </c>
      <c r="D15" s="1" t="s">
        <v>547</v>
      </c>
      <c r="E15" s="1" t="s">
        <v>175</v>
      </c>
      <c r="F15" s="1"/>
      <c r="G15" s="1"/>
      <c r="H15" s="1"/>
      <c r="I15" s="1"/>
      <c r="J15" s="1" t="s">
        <v>548</v>
      </c>
      <c r="K15" s="1" t="s">
        <v>549</v>
      </c>
      <c r="L15" s="1" t="s">
        <v>175</v>
      </c>
      <c r="M15" s="1"/>
      <c r="N15" s="1"/>
      <c r="O15" t="s">
        <v>503</v>
      </c>
      <c r="R15" s="3" t="s">
        <v>303</v>
      </c>
      <c r="S15" s="3" t="s">
        <v>8</v>
      </c>
      <c r="T15" s="3" t="s">
        <v>550</v>
      </c>
      <c r="U15" s="3" t="s">
        <v>373</v>
      </c>
      <c r="V15" s="3" t="s">
        <v>175</v>
      </c>
      <c r="W15" s="3" t="s">
        <v>551</v>
      </c>
    </row>
    <row r="16" ht="14.5" spans="2:23">
      <c r="B16" s="1" t="s">
        <v>303</v>
      </c>
      <c r="C16" s="1" t="s">
        <v>552</v>
      </c>
      <c r="D16" s="1" t="s">
        <v>553</v>
      </c>
      <c r="E16" s="1" t="s">
        <v>175</v>
      </c>
      <c r="F16" s="1"/>
      <c r="G16" s="1"/>
      <c r="H16" s="1"/>
      <c r="I16" s="1"/>
      <c r="J16" s="1" t="s">
        <v>554</v>
      </c>
      <c r="K16" s="1" t="s">
        <v>555</v>
      </c>
      <c r="L16" s="1" t="s">
        <v>175</v>
      </c>
      <c r="M16" s="1"/>
      <c r="N16" s="1"/>
      <c r="O16" t="s">
        <v>503</v>
      </c>
      <c r="R16" s="3" t="s">
        <v>303</v>
      </c>
      <c r="S16" s="3" t="s">
        <v>8</v>
      </c>
      <c r="T16" s="3" t="s">
        <v>556</v>
      </c>
      <c r="U16" s="3" t="s">
        <v>373</v>
      </c>
      <c r="V16" s="3" t="s">
        <v>175</v>
      </c>
      <c r="W16" s="3" t="s">
        <v>557</v>
      </c>
    </row>
    <row r="17" ht="14.5" spans="2:23">
      <c r="B17" s="1" t="s">
        <v>303</v>
      </c>
      <c r="C17" s="1" t="s">
        <v>558</v>
      </c>
      <c r="D17" s="1" t="s">
        <v>559</v>
      </c>
      <c r="E17" s="1" t="s">
        <v>175</v>
      </c>
      <c r="F17" s="1"/>
      <c r="G17" s="1"/>
      <c r="H17" s="1"/>
      <c r="I17" s="1"/>
      <c r="J17" s="1" t="s">
        <v>560</v>
      </c>
      <c r="K17" s="1" t="s">
        <v>561</v>
      </c>
      <c r="L17" s="1" t="s">
        <v>175</v>
      </c>
      <c r="M17" s="1"/>
      <c r="N17" s="1"/>
      <c r="O17" t="s">
        <v>560</v>
      </c>
      <c r="R17" s="3" t="s">
        <v>303</v>
      </c>
      <c r="S17" s="3" t="s">
        <v>8</v>
      </c>
      <c r="T17" s="3" t="s">
        <v>562</v>
      </c>
      <c r="U17" s="3" t="s">
        <v>373</v>
      </c>
      <c r="V17" s="3" t="s">
        <v>175</v>
      </c>
      <c r="W17" s="3" t="s">
        <v>563</v>
      </c>
    </row>
    <row r="18" ht="14.5" spans="2:23">
      <c r="B18" s="1" t="s">
        <v>303</v>
      </c>
      <c r="C18" s="1" t="s">
        <v>155</v>
      </c>
      <c r="D18" s="1" t="s">
        <v>564</v>
      </c>
      <c r="E18" s="1" t="s">
        <v>175</v>
      </c>
      <c r="F18" s="1" t="s">
        <v>373</v>
      </c>
      <c r="G18" s="1" t="s">
        <v>155</v>
      </c>
      <c r="H18" s="1"/>
      <c r="I18" s="1"/>
      <c r="J18" s="1" t="s">
        <v>565</v>
      </c>
      <c r="K18" s="1" t="s">
        <v>566</v>
      </c>
      <c r="L18" s="1" t="s">
        <v>175</v>
      </c>
      <c r="M18" s="1"/>
      <c r="N18" s="1"/>
      <c r="O18" t="s">
        <v>503</v>
      </c>
      <c r="R18" s="3" t="s">
        <v>303</v>
      </c>
      <c r="S18" s="3" t="s">
        <v>8</v>
      </c>
      <c r="T18" s="3" t="s">
        <v>567</v>
      </c>
      <c r="U18" s="3" t="s">
        <v>373</v>
      </c>
      <c r="V18" s="3" t="s">
        <v>175</v>
      </c>
      <c r="W18" s="3" t="s">
        <v>568</v>
      </c>
    </row>
    <row r="19" ht="14.5" spans="2:23">
      <c r="B19" s="1" t="s">
        <v>303</v>
      </c>
      <c r="C19" s="1" t="s">
        <v>569</v>
      </c>
      <c r="D19" s="1" t="s">
        <v>570</v>
      </c>
      <c r="E19" s="1" t="s">
        <v>175</v>
      </c>
      <c r="F19" s="1"/>
      <c r="G19" s="1"/>
      <c r="H19" s="1"/>
      <c r="I19" s="1"/>
      <c r="J19" s="1" t="s">
        <v>571</v>
      </c>
      <c r="K19" s="1" t="s">
        <v>572</v>
      </c>
      <c r="L19" s="1" t="s">
        <v>175</v>
      </c>
      <c r="M19" s="1"/>
      <c r="N19" s="1"/>
      <c r="O19" t="s">
        <v>571</v>
      </c>
      <c r="R19" s="3" t="s">
        <v>303</v>
      </c>
      <c r="S19" s="3" t="s">
        <v>8</v>
      </c>
      <c r="T19" s="3" t="s">
        <v>573</v>
      </c>
      <c r="U19" s="3" t="s">
        <v>373</v>
      </c>
      <c r="V19" s="3" t="s">
        <v>175</v>
      </c>
      <c r="W19" s="3" t="s">
        <v>574</v>
      </c>
    </row>
    <row r="20" ht="14.5" spans="2:23">
      <c r="B20" s="1" t="s">
        <v>303</v>
      </c>
      <c r="C20" s="1" t="s">
        <v>575</v>
      </c>
      <c r="D20" s="1" t="s">
        <v>576</v>
      </c>
      <c r="E20" s="1" t="s">
        <v>175</v>
      </c>
      <c r="F20" s="1"/>
      <c r="G20" s="1"/>
      <c r="H20" s="1"/>
      <c r="I20" s="1"/>
      <c r="J20" s="1" t="s">
        <v>577</v>
      </c>
      <c r="K20" s="1" t="s">
        <v>578</v>
      </c>
      <c r="L20" s="1" t="s">
        <v>175</v>
      </c>
      <c r="M20" s="1"/>
      <c r="N20" s="1"/>
      <c r="O20" t="s">
        <v>503</v>
      </c>
      <c r="R20" s="3" t="s">
        <v>303</v>
      </c>
      <c r="S20" s="3" t="s">
        <v>8</v>
      </c>
      <c r="T20" s="3" t="s">
        <v>579</v>
      </c>
      <c r="U20" s="3" t="s">
        <v>373</v>
      </c>
      <c r="V20" s="3" t="s">
        <v>175</v>
      </c>
      <c r="W20" s="3" t="s">
        <v>580</v>
      </c>
    </row>
    <row r="21" ht="14.5" spans="2:23">
      <c r="B21" s="1" t="s">
        <v>303</v>
      </c>
      <c r="C21" s="1" t="s">
        <v>581</v>
      </c>
      <c r="D21" s="1" t="s">
        <v>582</v>
      </c>
      <c r="E21" s="1" t="s">
        <v>175</v>
      </c>
      <c r="F21" s="1"/>
      <c r="G21" s="1"/>
      <c r="H21" s="1"/>
      <c r="I21" s="1"/>
      <c r="J21" s="1" t="s">
        <v>583</v>
      </c>
      <c r="K21" s="1" t="s">
        <v>584</v>
      </c>
      <c r="L21" s="1" t="s">
        <v>175</v>
      </c>
      <c r="M21" s="1"/>
      <c r="N21" s="1"/>
      <c r="O21" t="s">
        <v>503</v>
      </c>
      <c r="R21" s="3" t="s">
        <v>303</v>
      </c>
      <c r="S21" s="3" t="s">
        <v>8</v>
      </c>
      <c r="T21" s="3" t="s">
        <v>585</v>
      </c>
      <c r="U21" s="3" t="s">
        <v>373</v>
      </c>
      <c r="V21" s="3" t="s">
        <v>175</v>
      </c>
      <c r="W21" s="3" t="s">
        <v>586</v>
      </c>
    </row>
    <row r="22" ht="14.5" spans="2:23">
      <c r="B22" s="1" t="s">
        <v>303</v>
      </c>
      <c r="C22" s="1" t="s">
        <v>587</v>
      </c>
      <c r="D22" s="1" t="s">
        <v>588</v>
      </c>
      <c r="E22" s="1" t="s">
        <v>175</v>
      </c>
      <c r="F22" s="1"/>
      <c r="G22" s="1"/>
      <c r="H22" s="1"/>
      <c r="I22" s="1"/>
      <c r="J22" s="1" t="s">
        <v>589</v>
      </c>
      <c r="K22" s="1" t="s">
        <v>590</v>
      </c>
      <c r="L22" s="1" t="s">
        <v>175</v>
      </c>
      <c r="M22" s="1"/>
      <c r="N22" s="1"/>
      <c r="O22" t="s">
        <v>503</v>
      </c>
      <c r="R22" s="3" t="s">
        <v>303</v>
      </c>
      <c r="S22" s="3" t="s">
        <v>8</v>
      </c>
      <c r="T22" s="3" t="s">
        <v>591</v>
      </c>
      <c r="U22" s="3" t="s">
        <v>373</v>
      </c>
      <c r="V22" s="3" t="s">
        <v>175</v>
      </c>
      <c r="W22" s="3" t="s">
        <v>592</v>
      </c>
    </row>
    <row r="23" ht="14.5" spans="2:23">
      <c r="B23" s="1" t="s">
        <v>303</v>
      </c>
      <c r="C23" s="1" t="s">
        <v>593</v>
      </c>
      <c r="D23" s="1" t="s">
        <v>594</v>
      </c>
      <c r="E23" s="1" t="s">
        <v>175</v>
      </c>
      <c r="F23" s="1"/>
      <c r="G23" s="1"/>
      <c r="H23" s="1"/>
      <c r="I23" s="1"/>
      <c r="J23" s="1" t="s">
        <v>595</v>
      </c>
      <c r="K23" s="1" t="s">
        <v>596</v>
      </c>
      <c r="L23" s="1" t="s">
        <v>175</v>
      </c>
      <c r="M23" s="1"/>
      <c r="N23" s="1"/>
      <c r="O23" t="s">
        <v>595</v>
      </c>
      <c r="R23" s="3" t="s">
        <v>303</v>
      </c>
      <c r="S23" s="3" t="s">
        <v>8</v>
      </c>
      <c r="T23" s="3" t="s">
        <v>597</v>
      </c>
      <c r="U23" s="3" t="s">
        <v>373</v>
      </c>
      <c r="V23" s="3" t="s">
        <v>175</v>
      </c>
      <c r="W23" s="3" t="s">
        <v>598</v>
      </c>
    </row>
    <row r="24" ht="14.5" spans="2:23">
      <c r="B24" s="1" t="s">
        <v>303</v>
      </c>
      <c r="C24" s="1" t="s">
        <v>599</v>
      </c>
      <c r="D24" s="1" t="s">
        <v>600</v>
      </c>
      <c r="E24" s="1" t="s">
        <v>175</v>
      </c>
      <c r="F24" s="1"/>
      <c r="G24" s="1"/>
      <c r="H24" s="1"/>
      <c r="I24" s="1"/>
      <c r="J24" s="1" t="s">
        <v>601</v>
      </c>
      <c r="K24" s="1" t="s">
        <v>602</v>
      </c>
      <c r="L24" s="1" t="s">
        <v>175</v>
      </c>
      <c r="M24" s="1"/>
      <c r="N24" s="1"/>
      <c r="O24" t="s">
        <v>601</v>
      </c>
      <c r="R24" s="3" t="s">
        <v>303</v>
      </c>
      <c r="S24" s="3" t="s">
        <v>8</v>
      </c>
      <c r="T24" s="3" t="s">
        <v>603</v>
      </c>
      <c r="U24" s="3" t="s">
        <v>373</v>
      </c>
      <c r="V24" s="3" t="s">
        <v>175</v>
      </c>
      <c r="W24" s="3" t="s">
        <v>604</v>
      </c>
    </row>
    <row r="25" ht="14.5" spans="2:23">
      <c r="B25" s="1" t="s">
        <v>303</v>
      </c>
      <c r="C25" s="1" t="s">
        <v>605</v>
      </c>
      <c r="D25" s="1" t="s">
        <v>606</v>
      </c>
      <c r="E25" s="1" t="s">
        <v>175</v>
      </c>
      <c r="F25" s="1"/>
      <c r="G25" s="1"/>
      <c r="H25" s="1"/>
      <c r="I25" s="1"/>
      <c r="J25" s="1" t="s">
        <v>607</v>
      </c>
      <c r="K25" s="1" t="s">
        <v>608</v>
      </c>
      <c r="L25" s="1" t="s">
        <v>175</v>
      </c>
      <c r="M25" s="1"/>
      <c r="N25" s="1"/>
      <c r="O25" t="s">
        <v>503</v>
      </c>
      <c r="R25" s="3" t="s">
        <v>303</v>
      </c>
      <c r="S25" s="3" t="s">
        <v>11</v>
      </c>
      <c r="T25" s="3" t="s">
        <v>609</v>
      </c>
      <c r="U25" s="3" t="s">
        <v>373</v>
      </c>
      <c r="V25" s="3" t="s">
        <v>175</v>
      </c>
      <c r="W25" s="3" t="s">
        <v>610</v>
      </c>
    </row>
    <row r="26" ht="14.5" spans="2:23">
      <c r="B26" s="1" t="s">
        <v>303</v>
      </c>
      <c r="C26" s="1" t="s">
        <v>611</v>
      </c>
      <c r="D26" s="1" t="s">
        <v>612</v>
      </c>
      <c r="E26" s="1" t="s">
        <v>175</v>
      </c>
      <c r="F26" s="1" t="s">
        <v>151</v>
      </c>
      <c r="G26" s="1" t="s">
        <v>522</v>
      </c>
      <c r="H26" s="1"/>
      <c r="I26" s="1"/>
      <c r="J26" s="1" t="s">
        <v>613</v>
      </c>
      <c r="K26" s="1" t="s">
        <v>614</v>
      </c>
      <c r="L26" s="1" t="s">
        <v>175</v>
      </c>
      <c r="M26" s="1" t="s">
        <v>373</v>
      </c>
      <c r="N26" s="1" t="s">
        <v>155</v>
      </c>
      <c r="O26" t="s">
        <v>613</v>
      </c>
      <c r="R26" s="3" t="s">
        <v>303</v>
      </c>
      <c r="S26" s="3" t="s">
        <v>11</v>
      </c>
      <c r="T26" s="3" t="s">
        <v>615</v>
      </c>
      <c r="U26" s="3" t="s">
        <v>373</v>
      </c>
      <c r="V26" s="3" t="s">
        <v>175</v>
      </c>
      <c r="W26" s="3" t="s">
        <v>616</v>
      </c>
    </row>
    <row r="27" ht="14.5" spans="2:23">
      <c r="B27" s="1" t="s">
        <v>303</v>
      </c>
      <c r="C27" s="1" t="s">
        <v>617</v>
      </c>
      <c r="D27" s="1" t="s">
        <v>618</v>
      </c>
      <c r="E27" s="1" t="s">
        <v>175</v>
      </c>
      <c r="F27" s="1"/>
      <c r="G27" s="1"/>
      <c r="H27" s="1"/>
      <c r="I27" s="1"/>
      <c r="J27" s="1" t="s">
        <v>619</v>
      </c>
      <c r="K27" s="1" t="s">
        <v>620</v>
      </c>
      <c r="L27" s="1" t="s">
        <v>175</v>
      </c>
      <c r="M27" s="1"/>
      <c r="N27" s="1"/>
      <c r="O27" t="s">
        <v>619</v>
      </c>
      <c r="R27" s="3" t="s">
        <v>303</v>
      </c>
      <c r="S27" s="3" t="s">
        <v>11</v>
      </c>
      <c r="T27" s="3" t="s">
        <v>621</v>
      </c>
      <c r="U27" s="3" t="s">
        <v>373</v>
      </c>
      <c r="V27" s="3" t="s">
        <v>175</v>
      </c>
      <c r="W27" s="3" t="s">
        <v>622</v>
      </c>
    </row>
    <row r="28" ht="14.5" spans="2:23">
      <c r="B28" s="1" t="s">
        <v>303</v>
      </c>
      <c r="C28" s="1" t="s">
        <v>623</v>
      </c>
      <c r="D28" s="1" t="s">
        <v>624</v>
      </c>
      <c r="E28" s="1" t="s">
        <v>175</v>
      </c>
      <c r="F28" s="1"/>
      <c r="G28" s="1"/>
      <c r="H28" s="1"/>
      <c r="I28" s="1"/>
      <c r="J28" s="1" t="s">
        <v>625</v>
      </c>
      <c r="K28" s="1" t="s">
        <v>626</v>
      </c>
      <c r="L28" s="1" t="s">
        <v>175</v>
      </c>
      <c r="M28" s="1" t="s">
        <v>151</v>
      </c>
      <c r="N28" s="1" t="s">
        <v>522</v>
      </c>
      <c r="O28" t="s">
        <v>625</v>
      </c>
      <c r="R28" s="3" t="s">
        <v>303</v>
      </c>
      <c r="S28" s="3" t="s">
        <v>11</v>
      </c>
      <c r="T28" s="3" t="s">
        <v>627</v>
      </c>
      <c r="U28" s="3" t="s">
        <v>373</v>
      </c>
      <c r="V28" s="3" t="s">
        <v>175</v>
      </c>
      <c r="W28" s="3" t="s">
        <v>628</v>
      </c>
    </row>
    <row r="29" ht="14.5" spans="2:23">
      <c r="B29" s="1" t="s">
        <v>303</v>
      </c>
      <c r="C29" s="1" t="s">
        <v>629</v>
      </c>
      <c r="D29" s="1" t="s">
        <v>630</v>
      </c>
      <c r="E29" s="1" t="s">
        <v>175</v>
      </c>
      <c r="F29" s="1"/>
      <c r="G29" s="1"/>
      <c r="H29" s="1"/>
      <c r="I29" s="1"/>
      <c r="J29" s="1" t="s">
        <v>631</v>
      </c>
      <c r="K29" s="1" t="s">
        <v>632</v>
      </c>
      <c r="L29" s="1" t="s">
        <v>175</v>
      </c>
      <c r="M29" s="1"/>
      <c r="N29" s="1"/>
      <c r="O29" t="s">
        <v>503</v>
      </c>
      <c r="R29" s="3" t="s">
        <v>303</v>
      </c>
      <c r="S29" s="3" t="s">
        <v>11</v>
      </c>
      <c r="T29" s="3" t="s">
        <v>633</v>
      </c>
      <c r="U29" s="3" t="s">
        <v>373</v>
      </c>
      <c r="V29" s="3" t="s">
        <v>175</v>
      </c>
      <c r="W29" s="3" t="s">
        <v>634</v>
      </c>
    </row>
    <row r="30" ht="14.5" spans="2:23">
      <c r="B30" s="1" t="s">
        <v>303</v>
      </c>
      <c r="C30" s="1" t="s">
        <v>635</v>
      </c>
      <c r="D30" s="1" t="s">
        <v>636</v>
      </c>
      <c r="E30" s="1" t="s">
        <v>175</v>
      </c>
      <c r="F30" s="1"/>
      <c r="G30" s="1"/>
      <c r="H30" s="1"/>
      <c r="I30" s="1"/>
      <c r="J30" s="1" t="s">
        <v>637</v>
      </c>
      <c r="K30" s="1" t="s">
        <v>638</v>
      </c>
      <c r="L30" s="1" t="s">
        <v>175</v>
      </c>
      <c r="M30" s="1"/>
      <c r="N30" s="1"/>
      <c r="O30" t="s">
        <v>637</v>
      </c>
      <c r="R30" s="3" t="s">
        <v>303</v>
      </c>
      <c r="S30" s="3" t="s">
        <v>11</v>
      </c>
      <c r="T30" s="3" t="s">
        <v>639</v>
      </c>
      <c r="U30" s="3" t="s">
        <v>373</v>
      </c>
      <c r="V30" s="3" t="s">
        <v>175</v>
      </c>
      <c r="W30" s="3" t="s">
        <v>640</v>
      </c>
    </row>
    <row r="31" ht="14.5" spans="2:23">
      <c r="B31" s="1" t="s">
        <v>303</v>
      </c>
      <c r="C31" s="1" t="s">
        <v>641</v>
      </c>
      <c r="D31" s="1" t="s">
        <v>642</v>
      </c>
      <c r="E31" s="1" t="s">
        <v>175</v>
      </c>
      <c r="F31" s="1"/>
      <c r="G31" s="1"/>
      <c r="H31" s="1"/>
      <c r="I31" s="1"/>
      <c r="J31" s="1" t="s">
        <v>643</v>
      </c>
      <c r="K31" s="1" t="s">
        <v>644</v>
      </c>
      <c r="L31" s="1" t="s">
        <v>175</v>
      </c>
      <c r="M31" s="1"/>
      <c r="N31" s="1"/>
      <c r="O31" t="s">
        <v>643</v>
      </c>
      <c r="R31" s="3" t="s">
        <v>303</v>
      </c>
      <c r="S31" s="3" t="s">
        <v>11</v>
      </c>
      <c r="T31" s="3" t="s">
        <v>645</v>
      </c>
      <c r="U31" s="3" t="s">
        <v>373</v>
      </c>
      <c r="V31" s="3" t="s">
        <v>175</v>
      </c>
      <c r="W31" s="3" t="s">
        <v>646</v>
      </c>
    </row>
    <row r="32" ht="14.5" spans="2:23">
      <c r="B32" s="1" t="s">
        <v>303</v>
      </c>
      <c r="C32" s="1" t="s">
        <v>320</v>
      </c>
      <c r="D32" s="1" t="s">
        <v>647</v>
      </c>
      <c r="E32" s="1" t="s">
        <v>175</v>
      </c>
      <c r="F32" s="1"/>
      <c r="G32" s="1"/>
      <c r="H32" s="1"/>
      <c r="I32" s="1"/>
      <c r="J32" s="1" t="s">
        <v>648</v>
      </c>
      <c r="K32" s="1" t="s">
        <v>649</v>
      </c>
      <c r="L32" s="1" t="s">
        <v>175</v>
      </c>
      <c r="M32" s="1"/>
      <c r="N32" s="1"/>
      <c r="O32" t="s">
        <v>503</v>
      </c>
      <c r="R32" s="3" t="s">
        <v>303</v>
      </c>
      <c r="S32" s="3" t="s">
        <v>11</v>
      </c>
      <c r="T32" s="3" t="s">
        <v>650</v>
      </c>
      <c r="U32" s="3" t="s">
        <v>373</v>
      </c>
      <c r="V32" s="3" t="s">
        <v>175</v>
      </c>
      <c r="W32" s="3" t="s">
        <v>651</v>
      </c>
    </row>
    <row r="33" ht="14.5" spans="2:23">
      <c r="B33" s="1" t="s">
        <v>303</v>
      </c>
      <c r="C33" s="1" t="s">
        <v>652</v>
      </c>
      <c r="D33" s="1" t="s">
        <v>653</v>
      </c>
      <c r="E33" s="1" t="s">
        <v>175</v>
      </c>
      <c r="F33" s="1"/>
      <c r="G33" s="1"/>
      <c r="H33" s="1"/>
      <c r="I33" s="1"/>
      <c r="J33" s="1" t="s">
        <v>654</v>
      </c>
      <c r="K33" s="1" t="s">
        <v>655</v>
      </c>
      <c r="L33" s="1" t="s">
        <v>175</v>
      </c>
      <c r="M33" s="1"/>
      <c r="N33" s="1"/>
      <c r="O33" t="s">
        <v>654</v>
      </c>
      <c r="R33" s="3" t="s">
        <v>303</v>
      </c>
      <c r="S33" s="3" t="s">
        <v>11</v>
      </c>
      <c r="T33" s="3" t="s">
        <v>656</v>
      </c>
      <c r="U33" s="3" t="s">
        <v>373</v>
      </c>
      <c r="V33" s="3" t="s">
        <v>175</v>
      </c>
      <c r="W33" s="3" t="s">
        <v>657</v>
      </c>
    </row>
    <row r="34" ht="14.5" spans="2:23">
      <c r="B34" s="1" t="s">
        <v>303</v>
      </c>
      <c r="C34" s="1" t="s">
        <v>658</v>
      </c>
      <c r="D34" s="1" t="s">
        <v>659</v>
      </c>
      <c r="E34" s="1" t="s">
        <v>175</v>
      </c>
      <c r="F34" s="1"/>
      <c r="G34" s="1"/>
      <c r="H34" s="1"/>
      <c r="I34" s="1"/>
      <c r="J34" s="1" t="s">
        <v>660</v>
      </c>
      <c r="K34" s="1" t="s">
        <v>661</v>
      </c>
      <c r="L34" s="1" t="s">
        <v>175</v>
      </c>
      <c r="M34" s="1"/>
      <c r="N34" s="1"/>
      <c r="O34" t="s">
        <v>503</v>
      </c>
      <c r="R34" s="3" t="s">
        <v>303</v>
      </c>
      <c r="S34" s="3" t="s">
        <v>11</v>
      </c>
      <c r="T34" s="3" t="s">
        <v>662</v>
      </c>
      <c r="U34" s="3" t="s">
        <v>373</v>
      </c>
      <c r="V34" s="3" t="s">
        <v>175</v>
      </c>
      <c r="W34" s="3" t="s">
        <v>663</v>
      </c>
    </row>
    <row r="35" ht="14.5" spans="2:23">
      <c r="B35" s="1" t="s">
        <v>303</v>
      </c>
      <c r="C35" s="1" t="s">
        <v>664</v>
      </c>
      <c r="D35" s="1" t="s">
        <v>665</v>
      </c>
      <c r="E35" s="1" t="s">
        <v>175</v>
      </c>
      <c r="F35" s="1"/>
      <c r="G35" s="1"/>
      <c r="H35" s="1"/>
      <c r="I35" s="1"/>
      <c r="J35" s="1" t="s">
        <v>666</v>
      </c>
      <c r="K35" s="1" t="s">
        <v>667</v>
      </c>
      <c r="L35" s="1" t="s">
        <v>175</v>
      </c>
      <c r="M35" s="1"/>
      <c r="N35" s="1"/>
      <c r="O35" t="s">
        <v>503</v>
      </c>
      <c r="R35" s="3" t="s">
        <v>303</v>
      </c>
      <c r="S35" s="3" t="s">
        <v>11</v>
      </c>
      <c r="T35" s="3" t="s">
        <v>668</v>
      </c>
      <c r="U35" s="3" t="s">
        <v>373</v>
      </c>
      <c r="V35" s="3" t="s">
        <v>175</v>
      </c>
      <c r="W35" s="3" t="s">
        <v>669</v>
      </c>
    </row>
    <row r="36" ht="14.5" spans="2:23">
      <c r="B36" s="1" t="s">
        <v>303</v>
      </c>
      <c r="C36" s="1" t="s">
        <v>670</v>
      </c>
      <c r="D36" s="1" t="s">
        <v>671</v>
      </c>
      <c r="E36" s="1" t="s">
        <v>175</v>
      </c>
      <c r="F36" s="1"/>
      <c r="G36" s="1"/>
      <c r="H36" s="1"/>
      <c r="I36" s="1"/>
      <c r="J36" s="4" t="s">
        <v>672</v>
      </c>
      <c r="K36" s="1" t="s">
        <v>673</v>
      </c>
      <c r="L36" s="1" t="s">
        <v>175</v>
      </c>
      <c r="M36" s="1"/>
      <c r="N36" s="1"/>
      <c r="O36" t="s">
        <v>672</v>
      </c>
      <c r="R36" s="3" t="s">
        <v>303</v>
      </c>
      <c r="S36" s="3" t="s">
        <v>11</v>
      </c>
      <c r="T36" s="3" t="s">
        <v>674</v>
      </c>
      <c r="U36" s="3" t="s">
        <v>373</v>
      </c>
      <c r="V36" s="3" t="s">
        <v>175</v>
      </c>
      <c r="W36" s="3" t="s">
        <v>675</v>
      </c>
    </row>
    <row r="37" ht="14.5" spans="2:23">
      <c r="B37" s="1" t="s">
        <v>303</v>
      </c>
      <c r="C37" s="1" t="s">
        <v>676</v>
      </c>
      <c r="D37" s="1" t="s">
        <v>677</v>
      </c>
      <c r="E37" s="1" t="s">
        <v>175</v>
      </c>
      <c r="F37" s="1"/>
      <c r="G37" s="1"/>
      <c r="H37" s="1"/>
      <c r="I37" s="1"/>
      <c r="J37" s="1" t="s">
        <v>678</v>
      </c>
      <c r="K37" s="1" t="s">
        <v>679</v>
      </c>
      <c r="L37" s="1" t="s">
        <v>175</v>
      </c>
      <c r="M37" s="1"/>
      <c r="N37" s="1"/>
      <c r="O37" t="s">
        <v>503</v>
      </c>
      <c r="R37" s="3" t="s">
        <v>303</v>
      </c>
      <c r="S37" s="3" t="s">
        <v>11</v>
      </c>
      <c r="T37" s="3" t="s">
        <v>680</v>
      </c>
      <c r="U37" s="3" t="s">
        <v>373</v>
      </c>
      <c r="V37" s="3" t="s">
        <v>175</v>
      </c>
      <c r="W37" s="3" t="s">
        <v>681</v>
      </c>
    </row>
    <row r="38" ht="14.5" spans="2:23">
      <c r="B38" s="1" t="s">
        <v>303</v>
      </c>
      <c r="C38" s="1" t="s">
        <v>682</v>
      </c>
      <c r="D38" s="1" t="s">
        <v>683</v>
      </c>
      <c r="E38" s="1" t="s">
        <v>175</v>
      </c>
      <c r="F38" s="1"/>
      <c r="G38" s="1"/>
      <c r="H38" s="1"/>
      <c r="I38" s="1"/>
      <c r="J38" s="1" t="s">
        <v>684</v>
      </c>
      <c r="K38" s="1" t="s">
        <v>685</v>
      </c>
      <c r="L38" s="1" t="s">
        <v>175</v>
      </c>
      <c r="M38" s="1"/>
      <c r="N38" s="1"/>
      <c r="O38" t="s">
        <v>684</v>
      </c>
      <c r="R38" s="3" t="s">
        <v>303</v>
      </c>
      <c r="S38" s="3" t="s">
        <v>11</v>
      </c>
      <c r="T38" s="3" t="s">
        <v>686</v>
      </c>
      <c r="U38" s="3" t="s">
        <v>373</v>
      </c>
      <c r="V38" s="3" t="s">
        <v>175</v>
      </c>
      <c r="W38" s="3" t="s">
        <v>687</v>
      </c>
    </row>
    <row r="39" ht="14.5" spans="2:23">
      <c r="B39" s="1" t="s">
        <v>303</v>
      </c>
      <c r="C39" s="1" t="s">
        <v>688</v>
      </c>
      <c r="D39" s="1" t="s">
        <v>689</v>
      </c>
      <c r="E39" s="1" t="s">
        <v>175</v>
      </c>
      <c r="F39" s="1"/>
      <c r="G39" s="1"/>
      <c r="H39" s="1"/>
      <c r="I39" s="1"/>
      <c r="J39" s="1" t="s">
        <v>690</v>
      </c>
      <c r="K39" s="1" t="s">
        <v>691</v>
      </c>
      <c r="L39" s="1" t="s">
        <v>175</v>
      </c>
      <c r="M39" s="1"/>
      <c r="N39" s="1"/>
      <c r="O39" t="s">
        <v>503</v>
      </c>
      <c r="R39" s="3" t="s">
        <v>303</v>
      </c>
      <c r="S39" s="3" t="s">
        <v>11</v>
      </c>
      <c r="T39" s="3" t="s">
        <v>692</v>
      </c>
      <c r="U39" s="3" t="s">
        <v>373</v>
      </c>
      <c r="V39" s="3" t="s">
        <v>175</v>
      </c>
      <c r="W39" s="3" t="s">
        <v>693</v>
      </c>
    </row>
    <row r="40" ht="14.5" spans="2:23">
      <c r="B40" s="1" t="s">
        <v>303</v>
      </c>
      <c r="C40" s="1" t="s">
        <v>326</v>
      </c>
      <c r="D40" s="1" t="s">
        <v>694</v>
      </c>
      <c r="E40" s="1" t="s">
        <v>175</v>
      </c>
      <c r="F40" s="1"/>
      <c r="G40" s="1"/>
      <c r="H40" s="1"/>
      <c r="I40" s="1"/>
      <c r="J40" s="1" t="s">
        <v>695</v>
      </c>
      <c r="K40" s="1" t="s">
        <v>696</v>
      </c>
      <c r="L40" s="1" t="s">
        <v>175</v>
      </c>
      <c r="M40" s="1"/>
      <c r="N40" s="1"/>
      <c r="O40" t="s">
        <v>503</v>
      </c>
      <c r="R40" s="3" t="s">
        <v>303</v>
      </c>
      <c r="S40" s="3" t="s">
        <v>11</v>
      </c>
      <c r="T40" s="3" t="s">
        <v>697</v>
      </c>
      <c r="U40" s="3" t="s">
        <v>373</v>
      </c>
      <c r="V40" s="3" t="s">
        <v>175</v>
      </c>
      <c r="W40" s="3" t="s">
        <v>698</v>
      </c>
    </row>
    <row r="41" ht="14.5" spans="2:23">
      <c r="B41" s="1" t="s">
        <v>303</v>
      </c>
      <c r="C41" s="1" t="s">
        <v>699</v>
      </c>
      <c r="D41" s="1" t="s">
        <v>700</v>
      </c>
      <c r="E41" s="1" t="s">
        <v>175</v>
      </c>
      <c r="F41" s="1"/>
      <c r="G41" s="1"/>
      <c r="H41" s="1"/>
      <c r="I41" s="1"/>
      <c r="J41" s="1" t="s">
        <v>701</v>
      </c>
      <c r="K41" s="1" t="s">
        <v>702</v>
      </c>
      <c r="L41" s="1" t="s">
        <v>175</v>
      </c>
      <c r="M41" s="1"/>
      <c r="N41" s="1"/>
      <c r="O41" t="s">
        <v>503</v>
      </c>
      <c r="R41" s="3" t="s">
        <v>303</v>
      </c>
      <c r="S41" s="3" t="s">
        <v>11</v>
      </c>
      <c r="T41" s="3" t="s">
        <v>703</v>
      </c>
      <c r="U41" s="3" t="s">
        <v>373</v>
      </c>
      <c r="V41" s="3" t="s">
        <v>175</v>
      </c>
      <c r="W41" s="3" t="s">
        <v>704</v>
      </c>
    </row>
    <row r="42" ht="14.5" spans="2:23">
      <c r="B42" s="1" t="s">
        <v>303</v>
      </c>
      <c r="C42" s="1" t="s">
        <v>705</v>
      </c>
      <c r="D42" s="1" t="s">
        <v>706</v>
      </c>
      <c r="E42" s="1" t="s">
        <v>175</v>
      </c>
      <c r="F42" s="1"/>
      <c r="G42" s="1"/>
      <c r="H42" s="1"/>
      <c r="I42" s="1"/>
      <c r="J42" s="1" t="s">
        <v>707</v>
      </c>
      <c r="K42" s="1" t="s">
        <v>708</v>
      </c>
      <c r="L42" s="1" t="s">
        <v>175</v>
      </c>
      <c r="M42" s="1"/>
      <c r="N42" s="1"/>
      <c r="O42" t="s">
        <v>707</v>
      </c>
      <c r="R42" s="3" t="s">
        <v>303</v>
      </c>
      <c r="S42" s="3" t="s">
        <v>11</v>
      </c>
      <c r="T42" s="3" t="s">
        <v>709</v>
      </c>
      <c r="U42" s="3" t="s">
        <v>373</v>
      </c>
      <c r="V42" s="3" t="s">
        <v>175</v>
      </c>
      <c r="W42" s="3" t="s">
        <v>710</v>
      </c>
    </row>
    <row r="43" ht="14.5" spans="2:23">
      <c r="B43" s="1" t="s">
        <v>303</v>
      </c>
      <c r="C43" s="1" t="s">
        <v>711</v>
      </c>
      <c r="D43" s="1" t="s">
        <v>712</v>
      </c>
      <c r="E43" s="1" t="s">
        <v>175</v>
      </c>
      <c r="F43" s="1"/>
      <c r="G43" s="1"/>
      <c r="H43" s="1"/>
      <c r="I43" s="1"/>
      <c r="J43" s="1" t="s">
        <v>713</v>
      </c>
      <c r="K43" s="1" t="s">
        <v>714</v>
      </c>
      <c r="L43" s="1" t="s">
        <v>175</v>
      </c>
      <c r="M43" s="1"/>
      <c r="N43" s="1"/>
      <c r="O43" t="s">
        <v>713</v>
      </c>
      <c r="R43" s="3" t="s">
        <v>303</v>
      </c>
      <c r="S43" s="3" t="s">
        <v>11</v>
      </c>
      <c r="T43" s="3" t="s">
        <v>715</v>
      </c>
      <c r="U43" s="3" t="s">
        <v>373</v>
      </c>
      <c r="V43" s="3" t="s">
        <v>175</v>
      </c>
      <c r="W43" s="3" t="s">
        <v>716</v>
      </c>
    </row>
    <row r="44" ht="14.5" spans="2:23">
      <c r="B44" s="1" t="s">
        <v>303</v>
      </c>
      <c r="C44" s="1" t="s">
        <v>717</v>
      </c>
      <c r="D44" s="1" t="s">
        <v>718</v>
      </c>
      <c r="E44" s="1" t="s">
        <v>175</v>
      </c>
      <c r="F44" s="1"/>
      <c r="G44" s="1"/>
      <c r="H44" s="1"/>
      <c r="I44" s="1"/>
      <c r="J44" s="1" t="s">
        <v>719</v>
      </c>
      <c r="K44" s="1" t="s">
        <v>720</v>
      </c>
      <c r="L44" s="1" t="s">
        <v>175</v>
      </c>
      <c r="M44" s="1" t="s">
        <v>373</v>
      </c>
      <c r="N44" s="1" t="s">
        <v>155</v>
      </c>
      <c r="O44" t="s">
        <v>719</v>
      </c>
      <c r="R44" s="3" t="s">
        <v>303</v>
      </c>
      <c r="S44" s="3" t="s">
        <v>11</v>
      </c>
      <c r="T44" s="3" t="s">
        <v>721</v>
      </c>
      <c r="U44" s="3" t="s">
        <v>373</v>
      </c>
      <c r="V44" s="3" t="s">
        <v>175</v>
      </c>
      <c r="W44" s="3" t="s">
        <v>722</v>
      </c>
    </row>
    <row r="45" ht="14.5" spans="2:23">
      <c r="B45" s="1" t="s">
        <v>303</v>
      </c>
      <c r="C45" s="1" t="s">
        <v>723</v>
      </c>
      <c r="D45" s="1" t="s">
        <v>724</v>
      </c>
      <c r="E45" s="1" t="s">
        <v>175</v>
      </c>
      <c r="F45" s="1"/>
      <c r="G45" s="1"/>
      <c r="H45" s="1"/>
      <c r="I45" s="1"/>
      <c r="J45" s="1" t="s">
        <v>725</v>
      </c>
      <c r="K45" s="1" t="s">
        <v>726</v>
      </c>
      <c r="L45" s="1" t="s">
        <v>175</v>
      </c>
      <c r="M45" s="1"/>
      <c r="N45" s="1"/>
      <c r="O45" t="s">
        <v>725</v>
      </c>
      <c r="R45" s="3" t="s">
        <v>303</v>
      </c>
      <c r="S45" s="3" t="s">
        <v>11</v>
      </c>
      <c r="T45" s="3" t="s">
        <v>727</v>
      </c>
      <c r="U45" s="3" t="s">
        <v>373</v>
      </c>
      <c r="V45" s="3" t="s">
        <v>175</v>
      </c>
      <c r="W45" s="3" t="s">
        <v>728</v>
      </c>
    </row>
    <row r="46" ht="14.5" spans="2:23">
      <c r="B46" s="1" t="s">
        <v>303</v>
      </c>
      <c r="C46" s="1" t="s">
        <v>729</v>
      </c>
      <c r="D46" s="1" t="s">
        <v>730</v>
      </c>
      <c r="E46" s="1" t="s">
        <v>175</v>
      </c>
      <c r="F46" s="1"/>
      <c r="G46" s="1"/>
      <c r="H46" s="1"/>
      <c r="I46" s="1"/>
      <c r="J46" s="1" t="s">
        <v>731</v>
      </c>
      <c r="K46" s="1" t="s">
        <v>732</v>
      </c>
      <c r="L46" s="1" t="s">
        <v>175</v>
      </c>
      <c r="M46" s="1" t="s">
        <v>151</v>
      </c>
      <c r="N46" s="1" t="s">
        <v>522</v>
      </c>
      <c r="O46" t="s">
        <v>731</v>
      </c>
      <c r="R46" s="3" t="s">
        <v>303</v>
      </c>
      <c r="S46" s="3" t="s">
        <v>11</v>
      </c>
      <c r="T46" s="3" t="s">
        <v>733</v>
      </c>
      <c r="U46" s="3" t="s">
        <v>373</v>
      </c>
      <c r="V46" s="3" t="s">
        <v>175</v>
      </c>
      <c r="W46" s="3" t="s">
        <v>734</v>
      </c>
    </row>
    <row r="47" ht="14.5" spans="2:23">
      <c r="B47" s="1" t="s">
        <v>303</v>
      </c>
      <c r="C47" s="1" t="s">
        <v>735</v>
      </c>
      <c r="D47" s="1" t="s">
        <v>736</v>
      </c>
      <c r="E47" s="1" t="s">
        <v>175</v>
      </c>
      <c r="F47" s="1"/>
      <c r="G47" s="1"/>
      <c r="H47" s="1"/>
      <c r="I47" s="1"/>
      <c r="J47" s="1" t="s">
        <v>737</v>
      </c>
      <c r="K47" s="1" t="s">
        <v>738</v>
      </c>
      <c r="L47" s="1" t="s">
        <v>175</v>
      </c>
      <c r="M47" s="1"/>
      <c r="N47" s="1"/>
      <c r="O47" t="s">
        <v>737</v>
      </c>
      <c r="R47" s="3" t="s">
        <v>303</v>
      </c>
      <c r="S47" s="3" t="s">
        <v>11</v>
      </c>
      <c r="T47" s="3" t="s">
        <v>739</v>
      </c>
      <c r="U47" s="3" t="s">
        <v>373</v>
      </c>
      <c r="V47" s="3" t="s">
        <v>175</v>
      </c>
      <c r="W47" s="3" t="s">
        <v>740</v>
      </c>
    </row>
    <row r="48" ht="14.5" spans="2:23">
      <c r="B48" s="1"/>
      <c r="C48" s="1"/>
      <c r="D48" s="1"/>
      <c r="E48" s="1"/>
      <c r="F48" s="1"/>
      <c r="G48" s="1"/>
      <c r="H48" s="1"/>
      <c r="I48" s="1"/>
      <c r="J48" s="1" t="s">
        <v>741</v>
      </c>
      <c r="K48" s="1" t="s">
        <v>742</v>
      </c>
      <c r="L48" s="1" t="s">
        <v>175</v>
      </c>
      <c r="M48" s="1"/>
      <c r="N48" s="1"/>
      <c r="O48" t="s">
        <v>741</v>
      </c>
      <c r="R48" s="3" t="s">
        <v>303</v>
      </c>
      <c r="S48" s="3" t="s">
        <v>11</v>
      </c>
      <c r="T48" s="3" t="s">
        <v>743</v>
      </c>
      <c r="U48" s="3" t="s">
        <v>373</v>
      </c>
      <c r="V48" s="3" t="s">
        <v>175</v>
      </c>
      <c r="W48" s="3" t="s">
        <v>744</v>
      </c>
    </row>
    <row r="49" ht="14.5" spans="2:23">
      <c r="B49" s="1"/>
      <c r="C49" s="1"/>
      <c r="D49" s="1"/>
      <c r="E49" s="1"/>
      <c r="F49" s="1"/>
      <c r="G49" s="1"/>
      <c r="H49" s="1"/>
      <c r="I49" s="1"/>
      <c r="J49" s="1" t="s">
        <v>475</v>
      </c>
      <c r="K49" s="1" t="s">
        <v>745</v>
      </c>
      <c r="L49" s="1" t="s">
        <v>175</v>
      </c>
      <c r="M49" s="1"/>
      <c r="N49" s="1"/>
      <c r="O49" t="s">
        <v>503</v>
      </c>
      <c r="R49" s="3" t="s">
        <v>303</v>
      </c>
      <c r="S49" s="3" t="s">
        <v>11</v>
      </c>
      <c r="T49" s="3" t="s">
        <v>746</v>
      </c>
      <c r="U49" s="3" t="s">
        <v>373</v>
      </c>
      <c r="V49" s="3" t="s">
        <v>175</v>
      </c>
      <c r="W49" s="3" t="s">
        <v>747</v>
      </c>
    </row>
    <row r="50" ht="14.5" spans="2:23">
      <c r="B50" s="1"/>
      <c r="C50" s="1"/>
      <c r="D50" s="1"/>
      <c r="E50" s="1"/>
      <c r="F50" s="1"/>
      <c r="G50" s="1"/>
      <c r="H50" s="1"/>
      <c r="I50" s="1"/>
      <c r="J50" s="1" t="s">
        <v>748</v>
      </c>
      <c r="K50" s="1" t="s">
        <v>749</v>
      </c>
      <c r="L50" s="1" t="s">
        <v>175</v>
      </c>
      <c r="M50" s="1"/>
      <c r="N50" s="1"/>
      <c r="O50" t="s">
        <v>748</v>
      </c>
      <c r="R50" s="3" t="s">
        <v>303</v>
      </c>
      <c r="S50" s="3" t="s">
        <v>11</v>
      </c>
      <c r="T50" s="3" t="s">
        <v>750</v>
      </c>
      <c r="U50" s="3" t="s">
        <v>373</v>
      </c>
      <c r="V50" s="3" t="s">
        <v>175</v>
      </c>
      <c r="W50" s="3" t="s">
        <v>751</v>
      </c>
    </row>
    <row r="51" ht="14.5" spans="2:23">
      <c r="B51" s="1"/>
      <c r="C51" s="1"/>
      <c r="D51" s="1"/>
      <c r="E51" s="1"/>
      <c r="F51" s="1"/>
      <c r="G51" s="1"/>
      <c r="H51" s="1"/>
      <c r="I51" s="1"/>
      <c r="J51" s="1" t="s">
        <v>752</v>
      </c>
      <c r="K51" s="1" t="s">
        <v>753</v>
      </c>
      <c r="L51" s="1" t="s">
        <v>175</v>
      </c>
      <c r="M51" s="1"/>
      <c r="N51" s="1"/>
      <c r="O51" t="s">
        <v>752</v>
      </c>
      <c r="R51" s="3" t="s">
        <v>303</v>
      </c>
      <c r="S51" s="3" t="s">
        <v>11</v>
      </c>
      <c r="T51" s="3" t="s">
        <v>754</v>
      </c>
      <c r="U51" s="3" t="s">
        <v>373</v>
      </c>
      <c r="V51" s="3" t="s">
        <v>175</v>
      </c>
      <c r="W51" s="3" t="s">
        <v>755</v>
      </c>
    </row>
    <row r="52" ht="14.5" spans="2:23">
      <c r="B52" s="1"/>
      <c r="C52" s="1"/>
      <c r="D52" s="1"/>
      <c r="E52" s="1"/>
      <c r="F52" s="1"/>
      <c r="G52" s="1"/>
      <c r="H52" s="1"/>
      <c r="I52" s="1"/>
      <c r="J52" s="1" t="s">
        <v>756</v>
      </c>
      <c r="K52" s="1" t="s">
        <v>757</v>
      </c>
      <c r="L52" s="1" t="s">
        <v>175</v>
      </c>
      <c r="M52" s="1"/>
      <c r="N52" s="1"/>
      <c r="O52" t="s">
        <v>756</v>
      </c>
      <c r="R52" s="3" t="s">
        <v>303</v>
      </c>
      <c r="S52" s="3" t="s">
        <v>11</v>
      </c>
      <c r="T52" s="3" t="s">
        <v>758</v>
      </c>
      <c r="U52" s="3" t="s">
        <v>373</v>
      </c>
      <c r="V52" s="3" t="s">
        <v>175</v>
      </c>
      <c r="W52" s="3" t="s">
        <v>759</v>
      </c>
    </row>
    <row r="53" ht="14.5" spans="2:23">
      <c r="B53" s="1"/>
      <c r="C53" s="1"/>
      <c r="D53" s="1"/>
      <c r="E53" s="1"/>
      <c r="F53" s="1"/>
      <c r="G53" s="1"/>
      <c r="H53" s="1"/>
      <c r="I53" s="1"/>
      <c r="J53" s="1" t="s">
        <v>760</v>
      </c>
      <c r="K53" s="1" t="s">
        <v>761</v>
      </c>
      <c r="L53" s="1" t="s">
        <v>175</v>
      </c>
      <c r="M53" s="1"/>
      <c r="N53" s="1"/>
      <c r="O53" t="s">
        <v>760</v>
      </c>
      <c r="R53" s="3" t="s">
        <v>303</v>
      </c>
      <c r="S53" s="3" t="s">
        <v>11</v>
      </c>
      <c r="T53" s="3" t="s">
        <v>762</v>
      </c>
      <c r="U53" s="3" t="s">
        <v>373</v>
      </c>
      <c r="V53" s="3" t="s">
        <v>175</v>
      </c>
      <c r="W53" s="3" t="s">
        <v>763</v>
      </c>
    </row>
    <row r="54" ht="14.5" spans="2:23">
      <c r="B54" s="1"/>
      <c r="C54" s="1"/>
      <c r="D54" s="1"/>
      <c r="E54" s="1"/>
      <c r="F54" s="1"/>
      <c r="G54" s="1"/>
      <c r="H54" s="1"/>
      <c r="I54" s="1"/>
      <c r="J54" s="1" t="s">
        <v>764</v>
      </c>
      <c r="K54" s="1" t="s">
        <v>765</v>
      </c>
      <c r="L54" s="1" t="s">
        <v>175</v>
      </c>
      <c r="M54" s="1"/>
      <c r="N54" s="1"/>
      <c r="O54" t="s">
        <v>764</v>
      </c>
      <c r="R54" s="3" t="s">
        <v>303</v>
      </c>
      <c r="S54" s="3" t="s">
        <v>11</v>
      </c>
      <c r="T54" s="3" t="s">
        <v>766</v>
      </c>
      <c r="U54" s="3" t="s">
        <v>373</v>
      </c>
      <c r="V54" s="3" t="s">
        <v>175</v>
      </c>
      <c r="W54" s="3" t="s">
        <v>767</v>
      </c>
    </row>
    <row r="55" ht="14.5" spans="2:23">
      <c r="B55" s="1"/>
      <c r="C55" s="1"/>
      <c r="D55" s="1"/>
      <c r="E55" s="1"/>
      <c r="F55" s="1"/>
      <c r="G55" s="1"/>
      <c r="H55" s="1"/>
      <c r="I55" s="1"/>
      <c r="J55" s="1" t="s">
        <v>768</v>
      </c>
      <c r="K55" s="1" t="s">
        <v>769</v>
      </c>
      <c r="L55" s="1" t="s">
        <v>175</v>
      </c>
      <c r="M55" s="1"/>
      <c r="N55" s="1"/>
      <c r="O55" t="s">
        <v>503</v>
      </c>
      <c r="R55" s="3" t="s">
        <v>303</v>
      </c>
      <c r="S55" s="3" t="s">
        <v>11</v>
      </c>
      <c r="T55" s="3" t="s">
        <v>770</v>
      </c>
      <c r="U55" s="3" t="s">
        <v>373</v>
      </c>
      <c r="V55" s="3" t="s">
        <v>175</v>
      </c>
      <c r="W55" s="3" t="s">
        <v>771</v>
      </c>
    </row>
    <row r="56" ht="14.5" spans="2:23">
      <c r="B56" s="1"/>
      <c r="C56" s="1"/>
      <c r="D56" s="1"/>
      <c r="E56" s="1"/>
      <c r="F56" s="1"/>
      <c r="G56" s="1"/>
      <c r="H56" s="1"/>
      <c r="I56" s="1"/>
      <c r="J56" s="1" t="s">
        <v>772</v>
      </c>
      <c r="K56" s="1" t="s">
        <v>773</v>
      </c>
      <c r="L56" s="1" t="s">
        <v>175</v>
      </c>
      <c r="M56" s="1"/>
      <c r="N56" s="1"/>
      <c r="O56" t="s">
        <v>772</v>
      </c>
      <c r="R56" s="3" t="s">
        <v>303</v>
      </c>
      <c r="S56" s="3" t="s">
        <v>11</v>
      </c>
      <c r="T56" s="3" t="s">
        <v>774</v>
      </c>
      <c r="U56" s="3" t="s">
        <v>373</v>
      </c>
      <c r="V56" s="3" t="s">
        <v>175</v>
      </c>
      <c r="W56" s="3" t="s">
        <v>775</v>
      </c>
    </row>
    <row r="57" ht="14.5" spans="2:23">
      <c r="B57" s="1"/>
      <c r="C57" s="1"/>
      <c r="D57" s="1"/>
      <c r="E57" s="1"/>
      <c r="F57" s="1"/>
      <c r="G57" s="1"/>
      <c r="H57" s="1"/>
      <c r="I57" s="1"/>
      <c r="J57" s="1" t="s">
        <v>776</v>
      </c>
      <c r="K57" s="1" t="s">
        <v>777</v>
      </c>
      <c r="L57" s="1" t="s">
        <v>175</v>
      </c>
      <c r="M57" s="1"/>
      <c r="N57" s="1"/>
      <c r="O57" t="s">
        <v>776</v>
      </c>
      <c r="R57" s="3" t="s">
        <v>303</v>
      </c>
      <c r="S57" s="3" t="s">
        <v>11</v>
      </c>
      <c r="T57" s="3" t="s">
        <v>778</v>
      </c>
      <c r="U57" s="3" t="s">
        <v>373</v>
      </c>
      <c r="V57" s="3" t="s">
        <v>175</v>
      </c>
      <c r="W57" s="3" t="s">
        <v>779</v>
      </c>
    </row>
    <row r="58" ht="14.5" spans="2:23">
      <c r="B58" s="1"/>
      <c r="C58" s="1"/>
      <c r="D58" s="1"/>
      <c r="E58" s="1"/>
      <c r="F58" s="1"/>
      <c r="G58" s="1"/>
      <c r="H58" s="1"/>
      <c r="I58" s="1"/>
      <c r="J58" s="1" t="s">
        <v>780</v>
      </c>
      <c r="K58" s="1" t="s">
        <v>781</v>
      </c>
      <c r="L58" s="1" t="s">
        <v>175</v>
      </c>
      <c r="M58" s="1"/>
      <c r="N58" s="1"/>
      <c r="O58" t="s">
        <v>503</v>
      </c>
      <c r="R58" s="3" t="s">
        <v>303</v>
      </c>
      <c r="S58" s="3" t="s">
        <v>11</v>
      </c>
      <c r="T58" s="3" t="s">
        <v>782</v>
      </c>
      <c r="U58" s="3" t="s">
        <v>373</v>
      </c>
      <c r="V58" s="3" t="s">
        <v>175</v>
      </c>
      <c r="W58" s="3" t="s">
        <v>783</v>
      </c>
    </row>
    <row r="59" ht="14.5" spans="2:23">
      <c r="B59" s="1"/>
      <c r="C59" s="1"/>
      <c r="D59" s="1"/>
      <c r="E59" s="1"/>
      <c r="F59" s="1"/>
      <c r="G59" s="1"/>
      <c r="H59" s="1"/>
      <c r="I59" s="1"/>
      <c r="J59" s="1" t="s">
        <v>784</v>
      </c>
      <c r="K59" s="1" t="s">
        <v>785</v>
      </c>
      <c r="L59" s="1" t="s">
        <v>175</v>
      </c>
      <c r="M59" s="1" t="s">
        <v>373</v>
      </c>
      <c r="N59" s="1" t="s">
        <v>155</v>
      </c>
      <c r="O59" t="s">
        <v>784</v>
      </c>
      <c r="R59" s="3" t="s">
        <v>303</v>
      </c>
      <c r="S59" s="3" t="s">
        <v>11</v>
      </c>
      <c r="T59" s="3" t="s">
        <v>786</v>
      </c>
      <c r="U59" s="3" t="s">
        <v>373</v>
      </c>
      <c r="V59" s="3" t="s">
        <v>175</v>
      </c>
      <c r="W59" s="3" t="s">
        <v>787</v>
      </c>
    </row>
    <row r="60" ht="14.5" spans="2:23">
      <c r="B60" s="1"/>
      <c r="C60" s="1"/>
      <c r="D60" s="1"/>
      <c r="E60" s="1"/>
      <c r="F60" s="1"/>
      <c r="G60" s="1"/>
      <c r="H60" s="1"/>
      <c r="I60" s="1"/>
      <c r="J60" s="1" t="s">
        <v>788</v>
      </c>
      <c r="K60" s="1" t="s">
        <v>789</v>
      </c>
      <c r="L60" s="1" t="s">
        <v>175</v>
      </c>
      <c r="M60" s="1"/>
      <c r="N60" s="1"/>
      <c r="O60" t="s">
        <v>788</v>
      </c>
      <c r="R60" s="3" t="s">
        <v>303</v>
      </c>
      <c r="S60" s="3" t="s">
        <v>11</v>
      </c>
      <c r="T60" s="3" t="s">
        <v>790</v>
      </c>
      <c r="U60" s="3" t="s">
        <v>373</v>
      </c>
      <c r="V60" s="3" t="s">
        <v>175</v>
      </c>
      <c r="W60" s="3" t="s">
        <v>791</v>
      </c>
    </row>
    <row r="61" ht="14.5" spans="2:23">
      <c r="B61" s="1"/>
      <c r="C61" s="1"/>
      <c r="D61" s="1"/>
      <c r="E61" s="1"/>
      <c r="F61" s="1"/>
      <c r="G61" s="1"/>
      <c r="H61" s="1"/>
      <c r="I61" s="1"/>
      <c r="J61" s="1" t="s">
        <v>792</v>
      </c>
      <c r="K61" s="1" t="s">
        <v>793</v>
      </c>
      <c r="L61" s="1" t="s">
        <v>175</v>
      </c>
      <c r="M61" s="1" t="s">
        <v>151</v>
      </c>
      <c r="N61" s="1" t="s">
        <v>522</v>
      </c>
      <c r="O61" t="s">
        <v>792</v>
      </c>
      <c r="R61" s="3" t="s">
        <v>303</v>
      </c>
      <c r="S61" s="3" t="s">
        <v>11</v>
      </c>
      <c r="T61" s="3" t="s">
        <v>794</v>
      </c>
      <c r="U61" s="3" t="s">
        <v>373</v>
      </c>
      <c r="V61" s="3" t="s">
        <v>175</v>
      </c>
      <c r="W61" s="3" t="s">
        <v>795</v>
      </c>
    </row>
    <row r="62" ht="14.5" spans="2:23">
      <c r="B62" s="1"/>
      <c r="C62" s="1"/>
      <c r="D62" s="1"/>
      <c r="E62" s="1"/>
      <c r="F62" s="1"/>
      <c r="G62" s="1"/>
      <c r="H62" s="1"/>
      <c r="I62" s="1"/>
      <c r="J62" s="1" t="s">
        <v>796</v>
      </c>
      <c r="K62" s="1" t="s">
        <v>797</v>
      </c>
      <c r="L62" s="1" t="s">
        <v>175</v>
      </c>
      <c r="M62" s="1"/>
      <c r="N62" s="1"/>
      <c r="O62" t="s">
        <v>503</v>
      </c>
      <c r="R62" s="3" t="s">
        <v>303</v>
      </c>
      <c r="S62" s="3" t="s">
        <v>11</v>
      </c>
      <c r="T62" s="3" t="s">
        <v>798</v>
      </c>
      <c r="U62" s="3" t="s">
        <v>373</v>
      </c>
      <c r="V62" s="3" t="s">
        <v>175</v>
      </c>
      <c r="W62" s="3" t="s">
        <v>799</v>
      </c>
    </row>
    <row r="63" ht="14.5" spans="2:23">
      <c r="B63" s="1"/>
      <c r="C63" s="1"/>
      <c r="D63" s="1"/>
      <c r="E63" s="1"/>
      <c r="F63" s="1"/>
      <c r="G63" s="1"/>
      <c r="H63" s="1"/>
      <c r="I63" s="1"/>
      <c r="J63" s="1" t="s">
        <v>800</v>
      </c>
      <c r="K63" s="1" t="s">
        <v>801</v>
      </c>
      <c r="L63" s="1" t="s">
        <v>175</v>
      </c>
      <c r="M63" s="1"/>
      <c r="N63" s="1"/>
      <c r="O63" t="s">
        <v>800</v>
      </c>
      <c r="R63" s="3" t="s">
        <v>303</v>
      </c>
      <c r="S63" s="3" t="s">
        <v>11</v>
      </c>
      <c r="T63" s="3" t="s">
        <v>802</v>
      </c>
      <c r="U63" s="3" t="s">
        <v>373</v>
      </c>
      <c r="V63" s="3" t="s">
        <v>175</v>
      </c>
      <c r="W63" s="3" t="s">
        <v>803</v>
      </c>
    </row>
    <row r="64" ht="14.5" spans="2:23">
      <c r="B64" s="1"/>
      <c r="C64" s="1"/>
      <c r="D64" s="1"/>
      <c r="E64" s="1"/>
      <c r="F64" s="1"/>
      <c r="G64" s="1"/>
      <c r="H64" s="1"/>
      <c r="I64" s="1"/>
      <c r="J64" s="1" t="s">
        <v>804</v>
      </c>
      <c r="K64" s="1" t="s">
        <v>805</v>
      </c>
      <c r="L64" s="1" t="s">
        <v>175</v>
      </c>
      <c r="M64" s="1"/>
      <c r="N64" s="1"/>
      <c r="O64" t="s">
        <v>804</v>
      </c>
      <c r="R64" s="3" t="s">
        <v>303</v>
      </c>
      <c r="S64" s="3" t="s">
        <v>11</v>
      </c>
      <c r="T64" s="3" t="s">
        <v>806</v>
      </c>
      <c r="U64" s="3" t="s">
        <v>373</v>
      </c>
      <c r="V64" s="3" t="s">
        <v>175</v>
      </c>
      <c r="W64" s="3" t="s">
        <v>807</v>
      </c>
    </row>
    <row r="65" ht="14.5" spans="2:23">
      <c r="B65" s="1"/>
      <c r="C65" s="1"/>
      <c r="D65" s="1"/>
      <c r="E65" s="1"/>
      <c r="F65" s="1"/>
      <c r="G65" s="1"/>
      <c r="H65" s="1"/>
      <c r="I65" s="1"/>
      <c r="J65" s="1" t="s">
        <v>808</v>
      </c>
      <c r="K65" s="1" t="s">
        <v>809</v>
      </c>
      <c r="L65" s="1" t="s">
        <v>175</v>
      </c>
      <c r="M65" s="1"/>
      <c r="N65" s="1"/>
      <c r="O65" t="s">
        <v>503</v>
      </c>
      <c r="R65" s="3" t="s">
        <v>303</v>
      </c>
      <c r="S65" s="3" t="s">
        <v>11</v>
      </c>
      <c r="T65" s="3" t="s">
        <v>810</v>
      </c>
      <c r="U65" s="3" t="s">
        <v>373</v>
      </c>
      <c r="V65" s="3" t="s">
        <v>175</v>
      </c>
      <c r="W65" s="3" t="s">
        <v>811</v>
      </c>
    </row>
    <row r="66" ht="14.5" spans="2:23">
      <c r="B66" s="1"/>
      <c r="C66" s="1"/>
      <c r="D66" s="1"/>
      <c r="E66" s="1"/>
      <c r="F66" s="1"/>
      <c r="G66" s="1"/>
      <c r="H66" s="1"/>
      <c r="I66" s="1"/>
      <c r="J66" s="1" t="s">
        <v>812</v>
      </c>
      <c r="K66" s="1" t="s">
        <v>813</v>
      </c>
      <c r="L66" s="1" t="s">
        <v>175</v>
      </c>
      <c r="M66" s="1"/>
      <c r="N66" s="1"/>
      <c r="O66" t="s">
        <v>812</v>
      </c>
      <c r="R66" s="3" t="s">
        <v>303</v>
      </c>
      <c r="S66" s="3" t="s">
        <v>11</v>
      </c>
      <c r="T66" s="3" t="s">
        <v>814</v>
      </c>
      <c r="U66" s="3" t="s">
        <v>373</v>
      </c>
      <c r="V66" s="3" t="s">
        <v>175</v>
      </c>
      <c r="W66" s="3" t="s">
        <v>815</v>
      </c>
    </row>
    <row r="67" ht="14.5" spans="2:23">
      <c r="B67" s="1"/>
      <c r="C67" s="1"/>
      <c r="D67" s="1"/>
      <c r="E67" s="1"/>
      <c r="F67" s="1"/>
      <c r="G67" s="1"/>
      <c r="H67" s="1"/>
      <c r="I67" s="1"/>
      <c r="J67" s="1" t="s">
        <v>816</v>
      </c>
      <c r="K67" s="1" t="s">
        <v>817</v>
      </c>
      <c r="L67" s="1" t="s">
        <v>175</v>
      </c>
      <c r="M67" s="1"/>
      <c r="N67" s="1"/>
      <c r="O67" t="s">
        <v>503</v>
      </c>
      <c r="R67" s="3" t="s">
        <v>303</v>
      </c>
      <c r="S67" s="3" t="s">
        <v>11</v>
      </c>
      <c r="T67" s="3" t="s">
        <v>818</v>
      </c>
      <c r="U67" s="3" t="s">
        <v>373</v>
      </c>
      <c r="V67" s="3" t="s">
        <v>175</v>
      </c>
      <c r="W67" s="3" t="s">
        <v>819</v>
      </c>
    </row>
    <row r="68" ht="14.5" spans="2:23">
      <c r="B68" s="1"/>
      <c r="C68" s="1"/>
      <c r="D68" s="1"/>
      <c r="E68" s="1"/>
      <c r="F68" s="1"/>
      <c r="G68" s="1"/>
      <c r="H68" s="1"/>
      <c r="I68" s="1"/>
      <c r="J68" s="1" t="s">
        <v>820</v>
      </c>
      <c r="K68" s="1" t="s">
        <v>821</v>
      </c>
      <c r="L68" s="1" t="s">
        <v>175</v>
      </c>
      <c r="M68" s="1"/>
      <c r="N68" s="1"/>
      <c r="O68" t="s">
        <v>503</v>
      </c>
      <c r="R68" s="3" t="s">
        <v>303</v>
      </c>
      <c r="S68" s="3" t="s">
        <v>11</v>
      </c>
      <c r="T68" s="3" t="s">
        <v>822</v>
      </c>
      <c r="U68" s="3" t="s">
        <v>373</v>
      </c>
      <c r="V68" s="3" t="s">
        <v>175</v>
      </c>
      <c r="W68" s="3" t="s">
        <v>823</v>
      </c>
    </row>
    <row r="69" ht="14.5" spans="2:23">
      <c r="B69" s="1"/>
      <c r="C69" s="1"/>
      <c r="D69" s="1"/>
      <c r="E69" s="1"/>
      <c r="F69" s="1"/>
      <c r="G69" s="1"/>
      <c r="H69" s="1"/>
      <c r="I69" s="1"/>
      <c r="J69" s="1" t="s">
        <v>824</v>
      </c>
      <c r="K69" s="1" t="s">
        <v>825</v>
      </c>
      <c r="L69" s="1" t="s">
        <v>175</v>
      </c>
      <c r="M69" s="1"/>
      <c r="N69" s="1"/>
      <c r="O69" t="s">
        <v>824</v>
      </c>
      <c r="R69" s="3" t="s">
        <v>303</v>
      </c>
      <c r="S69" s="3" t="s">
        <v>11</v>
      </c>
      <c r="T69" s="3" t="s">
        <v>826</v>
      </c>
      <c r="U69" s="3" t="s">
        <v>373</v>
      </c>
      <c r="V69" s="3" t="s">
        <v>175</v>
      </c>
      <c r="W69" s="3" t="s">
        <v>827</v>
      </c>
    </row>
    <row r="70" ht="14.5" spans="2:23">
      <c r="B70" s="1"/>
      <c r="C70" s="1"/>
      <c r="D70" s="1"/>
      <c r="E70" s="1"/>
      <c r="F70" s="1"/>
      <c r="G70" s="1"/>
      <c r="H70" s="1"/>
      <c r="I70" s="1"/>
      <c r="J70" s="1" t="s">
        <v>828</v>
      </c>
      <c r="K70" s="1" t="s">
        <v>829</v>
      </c>
      <c r="L70" s="1" t="s">
        <v>175</v>
      </c>
      <c r="M70" s="1"/>
      <c r="N70" s="1"/>
      <c r="O70" t="s">
        <v>503</v>
      </c>
      <c r="R70" s="3" t="s">
        <v>303</v>
      </c>
      <c r="S70" s="3" t="s">
        <v>11</v>
      </c>
      <c r="T70" s="3" t="s">
        <v>830</v>
      </c>
      <c r="U70" s="3" t="s">
        <v>373</v>
      </c>
      <c r="V70" s="3" t="s">
        <v>175</v>
      </c>
      <c r="W70" s="3" t="s">
        <v>831</v>
      </c>
    </row>
    <row r="71" ht="14.5" spans="2:23">
      <c r="B71" s="1"/>
      <c r="C71" s="1"/>
      <c r="D71" s="1"/>
      <c r="E71" s="1"/>
      <c r="F71" s="1"/>
      <c r="G71" s="1"/>
      <c r="H71" s="1"/>
      <c r="I71" s="1"/>
      <c r="J71" s="1" t="s">
        <v>832</v>
      </c>
      <c r="K71" s="1" t="s">
        <v>833</v>
      </c>
      <c r="L71" s="1" t="s">
        <v>175</v>
      </c>
      <c r="M71" s="1"/>
      <c r="N71" s="1"/>
      <c r="O71" t="s">
        <v>832</v>
      </c>
      <c r="R71" s="3" t="s">
        <v>303</v>
      </c>
      <c r="S71" s="3" t="s">
        <v>11</v>
      </c>
      <c r="T71" s="3" t="s">
        <v>834</v>
      </c>
      <c r="U71" s="3" t="s">
        <v>373</v>
      </c>
      <c r="V71" s="3" t="s">
        <v>175</v>
      </c>
      <c r="W71" s="3" t="s">
        <v>835</v>
      </c>
    </row>
    <row r="72" ht="14.5" spans="2:23">
      <c r="B72" s="1"/>
      <c r="C72" s="1"/>
      <c r="D72" s="1"/>
      <c r="E72" s="1"/>
      <c r="F72" s="1"/>
      <c r="G72" s="1"/>
      <c r="H72" s="1"/>
      <c r="I72" s="1"/>
      <c r="J72" s="1" t="s">
        <v>836</v>
      </c>
      <c r="K72" s="1" t="s">
        <v>837</v>
      </c>
      <c r="L72" s="1" t="s">
        <v>175</v>
      </c>
      <c r="M72" s="1"/>
      <c r="N72" s="1"/>
      <c r="O72" t="s">
        <v>503</v>
      </c>
      <c r="R72" s="3" t="s">
        <v>303</v>
      </c>
      <c r="S72" s="3" t="s">
        <v>11</v>
      </c>
      <c r="T72" s="3" t="s">
        <v>838</v>
      </c>
      <c r="U72" s="3" t="s">
        <v>373</v>
      </c>
      <c r="V72" s="3" t="s">
        <v>175</v>
      </c>
      <c r="W72" s="3" t="s">
        <v>839</v>
      </c>
    </row>
    <row r="73" ht="14.5" spans="2:23">
      <c r="B73" s="1"/>
      <c r="C73" s="1"/>
      <c r="D73" s="1"/>
      <c r="E73" s="1"/>
      <c r="F73" s="1"/>
      <c r="G73" s="1"/>
      <c r="H73" s="1"/>
      <c r="I73" s="1"/>
      <c r="J73" s="1" t="s">
        <v>840</v>
      </c>
      <c r="K73" s="1" t="s">
        <v>841</v>
      </c>
      <c r="L73" s="1" t="s">
        <v>175</v>
      </c>
      <c r="M73" s="1"/>
      <c r="N73" s="1"/>
      <c r="O73" t="s">
        <v>503</v>
      </c>
      <c r="R73" s="3" t="s">
        <v>303</v>
      </c>
      <c r="S73" s="3" t="s">
        <v>11</v>
      </c>
      <c r="T73" s="3" t="s">
        <v>842</v>
      </c>
      <c r="U73" s="3" t="s">
        <v>373</v>
      </c>
      <c r="V73" s="3" t="s">
        <v>175</v>
      </c>
      <c r="W73" s="3" t="s">
        <v>843</v>
      </c>
    </row>
    <row r="74" ht="14.5" spans="2:23">
      <c r="B74" s="1"/>
      <c r="C74" s="1"/>
      <c r="D74" s="1"/>
      <c r="E74" s="1"/>
      <c r="F74" s="1"/>
      <c r="G74" s="1"/>
      <c r="H74" s="1"/>
      <c r="I74" s="1"/>
      <c r="J74" s="1" t="s">
        <v>844</v>
      </c>
      <c r="K74" s="1" t="s">
        <v>845</v>
      </c>
      <c r="L74" s="1" t="s">
        <v>175</v>
      </c>
      <c r="M74" s="1"/>
      <c r="N74" s="1"/>
      <c r="O74" t="s">
        <v>844</v>
      </c>
      <c r="R74" s="3" t="s">
        <v>303</v>
      </c>
      <c r="S74" s="3" t="s">
        <v>11</v>
      </c>
      <c r="T74" s="3" t="s">
        <v>846</v>
      </c>
      <c r="U74" s="3" t="s">
        <v>373</v>
      </c>
      <c r="V74" s="3" t="s">
        <v>175</v>
      </c>
      <c r="W74" s="3" t="s">
        <v>847</v>
      </c>
    </row>
    <row r="75" ht="14.5" spans="2:23">
      <c r="B75" s="1"/>
      <c r="C75" s="1"/>
      <c r="D75" s="1"/>
      <c r="E75" s="1"/>
      <c r="F75" s="1"/>
      <c r="G75" s="1"/>
      <c r="H75" s="1"/>
      <c r="I75" s="1"/>
      <c r="J75" s="1" t="s">
        <v>848</v>
      </c>
      <c r="K75" s="1" t="s">
        <v>849</v>
      </c>
      <c r="L75" s="1" t="s">
        <v>175</v>
      </c>
      <c r="M75" s="1"/>
      <c r="N75" s="1"/>
      <c r="O75" t="s">
        <v>848</v>
      </c>
      <c r="R75" s="3" t="s">
        <v>303</v>
      </c>
      <c r="S75" s="3" t="s">
        <v>11</v>
      </c>
      <c r="T75" s="3" t="s">
        <v>850</v>
      </c>
      <c r="U75" s="3" t="s">
        <v>373</v>
      </c>
      <c r="V75" s="3" t="s">
        <v>175</v>
      </c>
      <c r="W75" s="3" t="s">
        <v>851</v>
      </c>
    </row>
    <row r="76" ht="14.5" spans="2:23">
      <c r="B76" s="1"/>
      <c r="C76" s="1"/>
      <c r="D76" s="1"/>
      <c r="E76" s="1"/>
      <c r="F76" s="1"/>
      <c r="G76" s="1"/>
      <c r="H76" s="1"/>
      <c r="I76" s="1"/>
      <c r="J76" s="1" t="s">
        <v>852</v>
      </c>
      <c r="K76" s="1" t="s">
        <v>853</v>
      </c>
      <c r="L76" s="1" t="s">
        <v>175</v>
      </c>
      <c r="M76" s="1"/>
      <c r="N76" s="1"/>
      <c r="O76" t="s">
        <v>503</v>
      </c>
      <c r="R76" s="3" t="s">
        <v>303</v>
      </c>
      <c r="S76" s="3" t="s">
        <v>11</v>
      </c>
      <c r="T76" s="3" t="s">
        <v>854</v>
      </c>
      <c r="U76" s="3" t="s">
        <v>373</v>
      </c>
      <c r="V76" s="3" t="s">
        <v>175</v>
      </c>
      <c r="W76" s="3" t="s">
        <v>855</v>
      </c>
    </row>
    <row r="77" ht="14.5" spans="2:23">
      <c r="B77" s="1"/>
      <c r="C77" s="1"/>
      <c r="D77" s="1"/>
      <c r="E77" s="1"/>
      <c r="F77" s="1"/>
      <c r="G77" s="1"/>
      <c r="H77" s="1"/>
      <c r="I77" s="1"/>
      <c r="J77" s="1" t="s">
        <v>856</v>
      </c>
      <c r="K77" s="1" t="s">
        <v>857</v>
      </c>
      <c r="L77" s="1" t="s">
        <v>175</v>
      </c>
      <c r="M77" s="1"/>
      <c r="N77" s="1"/>
      <c r="O77" t="s">
        <v>856</v>
      </c>
      <c r="R77" s="3" t="s">
        <v>303</v>
      </c>
      <c r="S77" s="3" t="s">
        <v>11</v>
      </c>
      <c r="T77" s="3" t="s">
        <v>858</v>
      </c>
      <c r="U77" s="3" t="s">
        <v>373</v>
      </c>
      <c r="V77" s="3" t="s">
        <v>175</v>
      </c>
      <c r="W77" s="3" t="s">
        <v>859</v>
      </c>
    </row>
    <row r="78" ht="14.5" spans="2:23">
      <c r="B78" s="1"/>
      <c r="C78" s="1"/>
      <c r="D78" s="1"/>
      <c r="E78" s="1"/>
      <c r="F78" s="1"/>
      <c r="G78" s="1"/>
      <c r="H78" s="1"/>
      <c r="I78" s="1"/>
      <c r="J78" s="1" t="s">
        <v>860</v>
      </c>
      <c r="K78" s="1" t="s">
        <v>861</v>
      </c>
      <c r="L78" s="1" t="s">
        <v>175</v>
      </c>
      <c r="M78" s="1"/>
      <c r="N78" s="1"/>
      <c r="O78" t="s">
        <v>860</v>
      </c>
      <c r="R78" s="3" t="s">
        <v>303</v>
      </c>
      <c r="S78" s="3" t="s">
        <v>11</v>
      </c>
      <c r="T78" s="3" t="s">
        <v>862</v>
      </c>
      <c r="U78" s="3" t="s">
        <v>373</v>
      </c>
      <c r="V78" s="3" t="s">
        <v>175</v>
      </c>
      <c r="W78" s="3" t="s">
        <v>863</v>
      </c>
    </row>
    <row r="79" ht="14.5" spans="2:23">
      <c r="B79" s="1"/>
      <c r="C79" s="1"/>
      <c r="D79" s="1"/>
      <c r="E79" s="1"/>
      <c r="F79" s="1"/>
      <c r="G79" s="1"/>
      <c r="H79" s="1"/>
      <c r="I79" s="1"/>
      <c r="J79" s="1" t="s">
        <v>864</v>
      </c>
      <c r="K79" s="1" t="s">
        <v>865</v>
      </c>
      <c r="L79" s="1" t="s">
        <v>175</v>
      </c>
      <c r="M79" s="1"/>
      <c r="N79" s="1"/>
      <c r="O79" t="s">
        <v>864</v>
      </c>
      <c r="R79" s="3" t="s">
        <v>303</v>
      </c>
      <c r="S79" s="3" t="s">
        <v>11</v>
      </c>
      <c r="T79" s="3" t="s">
        <v>866</v>
      </c>
      <c r="U79" s="3" t="s">
        <v>373</v>
      </c>
      <c r="V79" s="3" t="s">
        <v>175</v>
      </c>
      <c r="W79" s="3" t="s">
        <v>867</v>
      </c>
    </row>
    <row r="80" ht="14.5" spans="2:23">
      <c r="B80" s="1"/>
      <c r="C80" s="1"/>
      <c r="D80" s="1"/>
      <c r="E80" s="1"/>
      <c r="F80" s="1"/>
      <c r="G80" s="1"/>
      <c r="H80" s="1"/>
      <c r="I80" s="1"/>
      <c r="J80" s="1" t="s">
        <v>868</v>
      </c>
      <c r="K80" s="1" t="s">
        <v>869</v>
      </c>
      <c r="L80" s="1" t="s">
        <v>175</v>
      </c>
      <c r="M80" s="1" t="s">
        <v>373</v>
      </c>
      <c r="N80" s="1" t="s">
        <v>155</v>
      </c>
      <c r="O80" t="s">
        <v>868</v>
      </c>
      <c r="R80" s="3" t="s">
        <v>303</v>
      </c>
      <c r="S80" s="3" t="s">
        <v>11</v>
      </c>
      <c r="T80" s="3" t="s">
        <v>870</v>
      </c>
      <c r="U80" s="3" t="s">
        <v>373</v>
      </c>
      <c r="V80" s="3" t="s">
        <v>175</v>
      </c>
      <c r="W80" s="3" t="s">
        <v>871</v>
      </c>
    </row>
    <row r="81" ht="14.5" spans="2:23">
      <c r="B81" s="1"/>
      <c r="C81" s="1"/>
      <c r="D81" s="1"/>
      <c r="E81" s="1"/>
      <c r="F81" s="1"/>
      <c r="G81" s="1"/>
      <c r="H81" s="1"/>
      <c r="I81" s="1"/>
      <c r="J81" s="1" t="s">
        <v>872</v>
      </c>
      <c r="K81" s="1" t="s">
        <v>873</v>
      </c>
      <c r="L81" s="1" t="s">
        <v>175</v>
      </c>
      <c r="M81" s="1"/>
      <c r="N81" s="1"/>
      <c r="O81" t="s">
        <v>872</v>
      </c>
      <c r="R81" s="3" t="s">
        <v>303</v>
      </c>
      <c r="S81" s="3" t="s">
        <v>11</v>
      </c>
      <c r="T81" s="3" t="s">
        <v>874</v>
      </c>
      <c r="U81" s="3" t="s">
        <v>373</v>
      </c>
      <c r="V81" s="3" t="s">
        <v>175</v>
      </c>
      <c r="W81" s="3" t="s">
        <v>875</v>
      </c>
    </row>
    <row r="82" ht="14.5" spans="2:23">
      <c r="B82" s="1"/>
      <c r="C82" s="1"/>
      <c r="D82" s="1"/>
      <c r="E82" s="1"/>
      <c r="F82" s="1"/>
      <c r="G82" s="1"/>
      <c r="H82" s="1"/>
      <c r="I82" s="1"/>
      <c r="J82" s="1" t="s">
        <v>876</v>
      </c>
      <c r="K82" s="1" t="s">
        <v>877</v>
      </c>
      <c r="L82" s="1" t="s">
        <v>175</v>
      </c>
      <c r="M82" s="1"/>
      <c r="N82" s="1"/>
      <c r="O82" t="s">
        <v>876</v>
      </c>
      <c r="R82" s="3" t="s">
        <v>303</v>
      </c>
      <c r="S82" s="3" t="s">
        <v>11</v>
      </c>
      <c r="T82" s="3" t="s">
        <v>878</v>
      </c>
      <c r="U82" s="3" t="s">
        <v>373</v>
      </c>
      <c r="V82" s="3" t="s">
        <v>175</v>
      </c>
      <c r="W82" s="3" t="s">
        <v>879</v>
      </c>
    </row>
    <row r="83" ht="14.5" spans="2:23">
      <c r="B83" s="1"/>
      <c r="C83" s="1"/>
      <c r="D83" s="1"/>
      <c r="E83" s="1"/>
      <c r="F83" s="1"/>
      <c r="G83" s="1"/>
      <c r="H83" s="1"/>
      <c r="I83" s="1"/>
      <c r="J83" s="1" t="s">
        <v>880</v>
      </c>
      <c r="K83" s="1" t="s">
        <v>881</v>
      </c>
      <c r="L83" s="1" t="s">
        <v>175</v>
      </c>
      <c r="M83" s="1"/>
      <c r="N83" s="1"/>
      <c r="O83" t="s">
        <v>880</v>
      </c>
      <c r="R83" s="3" t="s">
        <v>303</v>
      </c>
      <c r="S83" s="3" t="s">
        <v>11</v>
      </c>
      <c r="T83" s="3" t="s">
        <v>882</v>
      </c>
      <c r="U83" s="3" t="s">
        <v>373</v>
      </c>
      <c r="V83" s="3" t="s">
        <v>175</v>
      </c>
      <c r="W83" s="3" t="s">
        <v>883</v>
      </c>
    </row>
    <row r="84" ht="14.5" spans="2:23">
      <c r="B84" s="1"/>
      <c r="C84" s="1"/>
      <c r="D84" s="1"/>
      <c r="E84" s="1"/>
      <c r="F84" s="1"/>
      <c r="G84" s="1"/>
      <c r="H84" s="1"/>
      <c r="I84" s="1"/>
      <c r="J84" s="1" t="s">
        <v>884</v>
      </c>
      <c r="K84" s="1" t="s">
        <v>885</v>
      </c>
      <c r="L84" s="1" t="s">
        <v>175</v>
      </c>
      <c r="M84" s="1"/>
      <c r="N84" s="1"/>
      <c r="O84" t="s">
        <v>884</v>
      </c>
      <c r="R84" s="3" t="s">
        <v>303</v>
      </c>
      <c r="S84" s="3" t="s">
        <v>11</v>
      </c>
      <c r="T84" s="3" t="s">
        <v>886</v>
      </c>
      <c r="U84" s="3" t="s">
        <v>373</v>
      </c>
      <c r="V84" s="3" t="s">
        <v>175</v>
      </c>
      <c r="W84" s="3" t="s">
        <v>887</v>
      </c>
    </row>
    <row r="85" ht="14.5" spans="2:23">
      <c r="B85" s="1"/>
      <c r="C85" s="1"/>
      <c r="D85" s="1"/>
      <c r="E85" s="1"/>
      <c r="F85" s="1"/>
      <c r="G85" s="1"/>
      <c r="H85" s="1"/>
      <c r="I85" s="1"/>
      <c r="J85" s="1" t="s">
        <v>888</v>
      </c>
      <c r="K85" s="1" t="s">
        <v>889</v>
      </c>
      <c r="L85" s="1" t="s">
        <v>175</v>
      </c>
      <c r="M85" s="1"/>
      <c r="N85" s="1"/>
      <c r="O85" t="s">
        <v>888</v>
      </c>
      <c r="R85" s="3" t="s">
        <v>303</v>
      </c>
      <c r="S85" s="3" t="s">
        <v>11</v>
      </c>
      <c r="T85" s="3" t="s">
        <v>890</v>
      </c>
      <c r="U85" s="3" t="s">
        <v>373</v>
      </c>
      <c r="V85" s="3" t="s">
        <v>175</v>
      </c>
      <c r="W85" s="3" t="s">
        <v>891</v>
      </c>
    </row>
    <row r="86" ht="14.5" spans="2:23">
      <c r="B86" s="1"/>
      <c r="C86" s="1"/>
      <c r="D86" s="1"/>
      <c r="E86" s="1"/>
      <c r="F86" s="1"/>
      <c r="G86" s="1"/>
      <c r="H86" s="1"/>
      <c r="I86" s="1"/>
      <c r="J86" s="1"/>
      <c r="K86" s="1" t="s">
        <v>892</v>
      </c>
      <c r="L86" s="1" t="s">
        <v>175</v>
      </c>
      <c r="M86" s="1" t="s">
        <v>373</v>
      </c>
      <c r="N86" s="1" t="s">
        <v>155</v>
      </c>
      <c r="O86" t="s">
        <v>893</v>
      </c>
      <c r="R86" s="3" t="s">
        <v>303</v>
      </c>
      <c r="S86" s="3" t="s">
        <v>11</v>
      </c>
      <c r="T86" s="3" t="s">
        <v>894</v>
      </c>
      <c r="U86" s="3" t="s">
        <v>373</v>
      </c>
      <c r="V86" s="3" t="s">
        <v>175</v>
      </c>
      <c r="W86" s="3" t="s">
        <v>895</v>
      </c>
    </row>
    <row r="87" ht="14.5" spans="2:23">
      <c r="B87" s="1"/>
      <c r="C87" s="1"/>
      <c r="D87" s="1"/>
      <c r="E87" s="1"/>
      <c r="F87" s="1"/>
      <c r="G87" s="1"/>
      <c r="H87" s="1"/>
      <c r="I87" s="1"/>
      <c r="J87" s="1"/>
      <c r="K87" s="1"/>
      <c r="L87" s="1"/>
      <c r="M87" s="1"/>
      <c r="N87" s="1"/>
      <c r="R87" s="3" t="s">
        <v>303</v>
      </c>
      <c r="S87" s="3" t="s">
        <v>11</v>
      </c>
      <c r="T87" s="3" t="s">
        <v>896</v>
      </c>
      <c r="U87" s="3" t="s">
        <v>373</v>
      </c>
      <c r="V87" s="3" t="s">
        <v>175</v>
      </c>
      <c r="W87" s="3" t="s">
        <v>897</v>
      </c>
    </row>
    <row r="88" ht="14.5" spans="2:23">
      <c r="B88" s="1"/>
      <c r="C88" s="1"/>
      <c r="D88" s="1"/>
      <c r="E88" s="1"/>
      <c r="F88" s="1"/>
      <c r="G88" s="1"/>
      <c r="H88" s="1"/>
      <c r="I88" s="1"/>
      <c r="J88" s="1"/>
      <c r="K88" s="1"/>
      <c r="L88" s="1"/>
      <c r="M88" s="1"/>
      <c r="N88" s="1"/>
      <c r="R88" s="3" t="s">
        <v>303</v>
      </c>
      <c r="S88" s="3" t="s">
        <v>11</v>
      </c>
      <c r="T88" s="3" t="s">
        <v>898</v>
      </c>
      <c r="U88" s="3" t="s">
        <v>373</v>
      </c>
      <c r="V88" s="3" t="s">
        <v>175</v>
      </c>
      <c r="W88" s="3" t="s">
        <v>899</v>
      </c>
    </row>
    <row r="89" ht="14.5" spans="2:23">
      <c r="B89" s="1"/>
      <c r="C89" s="1"/>
      <c r="D89" s="1"/>
      <c r="E89" s="1"/>
      <c r="F89" s="1"/>
      <c r="G89" s="1"/>
      <c r="H89" s="1"/>
      <c r="I89" s="1"/>
      <c r="J89" s="1"/>
      <c r="K89" s="1"/>
      <c r="L89" s="1"/>
      <c r="M89" s="1"/>
      <c r="N89" s="1"/>
      <c r="R89" s="3" t="s">
        <v>303</v>
      </c>
      <c r="S89" s="3" t="s">
        <v>11</v>
      </c>
      <c r="T89" s="3" t="s">
        <v>900</v>
      </c>
      <c r="U89" s="3" t="s">
        <v>373</v>
      </c>
      <c r="V89" s="3" t="s">
        <v>175</v>
      </c>
      <c r="W89" s="3" t="s">
        <v>901</v>
      </c>
    </row>
    <row r="90" ht="14.5" spans="2:23">
      <c r="B90" s="1"/>
      <c r="C90" s="1"/>
      <c r="D90" s="1"/>
      <c r="E90" s="1"/>
      <c r="F90" s="1"/>
      <c r="G90" s="1"/>
      <c r="H90" s="1"/>
      <c r="I90" s="1"/>
      <c r="J90" s="1"/>
      <c r="K90" s="1"/>
      <c r="L90" s="1"/>
      <c r="M90" s="1"/>
      <c r="N90" s="1"/>
      <c r="R90" s="3" t="s">
        <v>303</v>
      </c>
      <c r="S90" s="3" t="s">
        <v>11</v>
      </c>
      <c r="T90" s="3" t="s">
        <v>902</v>
      </c>
      <c r="U90" s="3" t="s">
        <v>373</v>
      </c>
      <c r="V90" s="3" t="s">
        <v>175</v>
      </c>
      <c r="W90" s="3" t="s">
        <v>903</v>
      </c>
    </row>
    <row r="91" ht="14.5" spans="2:23">
      <c r="B91" s="1"/>
      <c r="C91" s="1"/>
      <c r="D91" s="1"/>
      <c r="E91" s="1"/>
      <c r="F91" s="1"/>
      <c r="G91" s="1"/>
      <c r="H91" s="1"/>
      <c r="I91" s="1"/>
      <c r="J91" s="1"/>
      <c r="K91" s="1"/>
      <c r="L91" s="1"/>
      <c r="M91" s="1"/>
      <c r="N91" s="1"/>
      <c r="R91" s="3" t="s">
        <v>303</v>
      </c>
      <c r="S91" s="3" t="s">
        <v>11</v>
      </c>
      <c r="T91" s="3" t="s">
        <v>904</v>
      </c>
      <c r="U91" s="3" t="s">
        <v>373</v>
      </c>
      <c r="V91" s="3" t="s">
        <v>175</v>
      </c>
      <c r="W91" s="3" t="s">
        <v>905</v>
      </c>
    </row>
    <row r="92" ht="14.5" spans="2:23">
      <c r="B92" s="1"/>
      <c r="C92" s="1"/>
      <c r="D92" s="1"/>
      <c r="E92" s="1"/>
      <c r="F92" s="1"/>
      <c r="G92" s="1"/>
      <c r="H92" s="1"/>
      <c r="I92" t="s">
        <v>310</v>
      </c>
      <c r="R92" s="3" t="s">
        <v>303</v>
      </c>
      <c r="S92" s="3" t="s">
        <v>11</v>
      </c>
      <c r="T92" s="3" t="s">
        <v>906</v>
      </c>
      <c r="U92" s="3" t="s">
        <v>373</v>
      </c>
      <c r="V92" s="3" t="s">
        <v>175</v>
      </c>
      <c r="W92" s="3" t="s">
        <v>907</v>
      </c>
    </row>
    <row r="93" ht="15.25" spans="2:23">
      <c r="B93" s="1"/>
      <c r="C93" s="1"/>
      <c r="D93" s="1"/>
      <c r="E93" s="1"/>
      <c r="F93" s="1"/>
      <c r="G93" s="1"/>
      <c r="H93" s="1"/>
      <c r="I93" s="5" t="s">
        <v>482</v>
      </c>
      <c r="J93" s="5" t="s">
        <v>483</v>
      </c>
      <c r="K93" s="5" t="s">
        <v>266</v>
      </c>
      <c r="L93" s="5" t="s">
        <v>314</v>
      </c>
      <c r="M93" s="5" t="s">
        <v>484</v>
      </c>
      <c r="N93" s="5" t="s">
        <v>485</v>
      </c>
      <c r="R93" s="3" t="s">
        <v>303</v>
      </c>
      <c r="S93" s="3" t="s">
        <v>11</v>
      </c>
      <c r="T93" s="3" t="s">
        <v>908</v>
      </c>
      <c r="U93" s="3" t="s">
        <v>373</v>
      </c>
      <c r="V93" s="3" t="s">
        <v>175</v>
      </c>
      <c r="W93" s="3" t="s">
        <v>909</v>
      </c>
    </row>
    <row r="94" ht="14.5" spans="2:23">
      <c r="B94" s="1"/>
      <c r="C94" s="1"/>
      <c r="D94" s="1"/>
      <c r="E94" s="1"/>
      <c r="F94" s="1"/>
      <c r="G94" s="1"/>
      <c r="H94" s="1"/>
      <c r="I94" t="s">
        <v>303</v>
      </c>
      <c r="J94" t="s">
        <v>910</v>
      </c>
      <c r="K94" t="s">
        <v>911</v>
      </c>
      <c r="L94" t="s">
        <v>175</v>
      </c>
      <c r="R94" s="3" t="s">
        <v>303</v>
      </c>
      <c r="S94" s="3" t="s">
        <v>11</v>
      </c>
      <c r="T94" s="3" t="s">
        <v>912</v>
      </c>
      <c r="U94" s="3" t="s">
        <v>373</v>
      </c>
      <c r="V94" s="3" t="s">
        <v>175</v>
      </c>
      <c r="W94" s="3" t="s">
        <v>913</v>
      </c>
    </row>
    <row r="95" ht="14.5" spans="2:23">
      <c r="B95" s="1"/>
      <c r="C95" s="1"/>
      <c r="D95" s="1"/>
      <c r="E95" s="1"/>
      <c r="F95" s="1"/>
      <c r="G95" s="1"/>
      <c r="H95" s="1"/>
      <c r="I95" t="s">
        <v>303</v>
      </c>
      <c r="J95" t="s">
        <v>914</v>
      </c>
      <c r="K95" t="s">
        <v>915</v>
      </c>
      <c r="L95" t="s">
        <v>175</v>
      </c>
      <c r="R95" s="3" t="s">
        <v>303</v>
      </c>
      <c r="S95" s="3" t="s">
        <v>11</v>
      </c>
      <c r="T95" s="3" t="s">
        <v>916</v>
      </c>
      <c r="U95" s="3" t="s">
        <v>373</v>
      </c>
      <c r="V95" s="3" t="s">
        <v>175</v>
      </c>
      <c r="W95" s="3" t="s">
        <v>917</v>
      </c>
    </row>
    <row r="96" ht="14.5" spans="2:23">
      <c r="B96" s="1"/>
      <c r="C96" s="1"/>
      <c r="D96" s="1"/>
      <c r="E96" s="1"/>
      <c r="F96" s="1"/>
      <c r="G96" s="1"/>
      <c r="H96" s="1"/>
      <c r="I96" t="s">
        <v>303</v>
      </c>
      <c r="J96" t="s">
        <v>918</v>
      </c>
      <c r="K96" t="s">
        <v>919</v>
      </c>
      <c r="L96" t="s">
        <v>175</v>
      </c>
      <c r="R96" s="3" t="s">
        <v>303</v>
      </c>
      <c r="S96" s="3" t="s">
        <v>11</v>
      </c>
      <c r="T96" s="3" t="s">
        <v>920</v>
      </c>
      <c r="U96" s="3" t="s">
        <v>373</v>
      </c>
      <c r="V96" s="3" t="s">
        <v>175</v>
      </c>
      <c r="W96" s="3" t="s">
        <v>921</v>
      </c>
    </row>
    <row r="97" ht="14.5" spans="2:23">
      <c r="B97" s="1"/>
      <c r="C97" s="1"/>
      <c r="D97" s="1"/>
      <c r="E97" s="1"/>
      <c r="F97" s="1"/>
      <c r="G97" s="1"/>
      <c r="H97" s="1"/>
      <c r="I97" t="s">
        <v>303</v>
      </c>
      <c r="J97" t="s">
        <v>922</v>
      </c>
      <c r="K97" t="s">
        <v>923</v>
      </c>
      <c r="L97" t="s">
        <v>175</v>
      </c>
      <c r="R97" s="3" t="s">
        <v>303</v>
      </c>
      <c r="S97" s="3" t="s">
        <v>11</v>
      </c>
      <c r="T97" s="3" t="s">
        <v>924</v>
      </c>
      <c r="U97" s="3" t="s">
        <v>373</v>
      </c>
      <c r="V97" s="3" t="s">
        <v>175</v>
      </c>
      <c r="W97" s="3" t="s">
        <v>925</v>
      </c>
    </row>
    <row r="98" ht="14.5" spans="2:23">
      <c r="B98" s="1"/>
      <c r="C98" s="1"/>
      <c r="D98" s="1"/>
      <c r="E98" s="1"/>
      <c r="F98" s="1"/>
      <c r="G98" s="1"/>
      <c r="H98" s="1"/>
      <c r="I98" t="s">
        <v>303</v>
      </c>
      <c r="J98" t="s">
        <v>926</v>
      </c>
      <c r="K98" t="s">
        <v>927</v>
      </c>
      <c r="L98" t="s">
        <v>175</v>
      </c>
      <c r="R98" s="3" t="s">
        <v>303</v>
      </c>
      <c r="S98" s="3" t="s">
        <v>11</v>
      </c>
      <c r="T98" s="3" t="s">
        <v>928</v>
      </c>
      <c r="U98" s="3" t="s">
        <v>373</v>
      </c>
      <c r="V98" s="3" t="s">
        <v>175</v>
      </c>
      <c r="W98" s="3" t="s">
        <v>929</v>
      </c>
    </row>
    <row r="99" ht="14.5" spans="2:23">
      <c r="B99" s="1"/>
      <c r="C99" s="1"/>
      <c r="D99" s="1"/>
      <c r="E99" s="1"/>
      <c r="F99" s="1"/>
      <c r="G99" s="1"/>
      <c r="H99" s="1"/>
      <c r="I99" t="s">
        <v>303</v>
      </c>
      <c r="J99" t="s">
        <v>930</v>
      </c>
      <c r="K99" t="s">
        <v>931</v>
      </c>
      <c r="L99" t="s">
        <v>175</v>
      </c>
      <c r="R99" s="3" t="s">
        <v>303</v>
      </c>
      <c r="S99" s="3" t="s">
        <v>11</v>
      </c>
      <c r="T99" s="3" t="s">
        <v>932</v>
      </c>
      <c r="U99" s="3" t="s">
        <v>373</v>
      </c>
      <c r="V99" s="3" t="s">
        <v>175</v>
      </c>
      <c r="W99" s="3" t="s">
        <v>933</v>
      </c>
    </row>
    <row r="100" ht="14.5" spans="2:23">
      <c r="B100" s="1"/>
      <c r="C100" s="1"/>
      <c r="D100" s="1"/>
      <c r="E100" s="1"/>
      <c r="F100" s="1"/>
      <c r="G100" s="1"/>
      <c r="H100" s="1"/>
      <c r="I100" t="s">
        <v>303</v>
      </c>
      <c r="J100" t="s">
        <v>934</v>
      </c>
      <c r="K100" t="s">
        <v>935</v>
      </c>
      <c r="L100" t="s">
        <v>175</v>
      </c>
      <c r="R100" s="3" t="s">
        <v>303</v>
      </c>
      <c r="S100" s="3" t="s">
        <v>11</v>
      </c>
      <c r="T100" s="3" t="s">
        <v>936</v>
      </c>
      <c r="U100" s="3" t="s">
        <v>373</v>
      </c>
      <c r="V100" s="3" t="s">
        <v>175</v>
      </c>
      <c r="W100" s="3" t="s">
        <v>937</v>
      </c>
    </row>
    <row r="101" ht="14.5" spans="2:23">
      <c r="B101" s="1"/>
      <c r="C101" s="1"/>
      <c r="D101" s="1"/>
      <c r="E101" s="1"/>
      <c r="F101" s="1"/>
      <c r="G101" s="1"/>
      <c r="H101" s="1"/>
      <c r="I101" t="s">
        <v>303</v>
      </c>
      <c r="J101" t="s">
        <v>938</v>
      </c>
      <c r="K101" t="s">
        <v>939</v>
      </c>
      <c r="L101" t="s">
        <v>175</v>
      </c>
      <c r="R101" s="3" t="s">
        <v>303</v>
      </c>
      <c r="S101" s="3" t="s">
        <v>11</v>
      </c>
      <c r="T101" s="3" t="s">
        <v>940</v>
      </c>
      <c r="U101" s="3" t="s">
        <v>373</v>
      </c>
      <c r="V101" s="3" t="s">
        <v>175</v>
      </c>
      <c r="W101" s="3" t="s">
        <v>941</v>
      </c>
    </row>
    <row r="102" ht="14.5" spans="2:23">
      <c r="B102" s="1"/>
      <c r="C102" s="1"/>
      <c r="D102" s="1"/>
      <c r="E102" s="1"/>
      <c r="F102" s="1"/>
      <c r="G102" s="1"/>
      <c r="H102" s="1"/>
      <c r="I102" t="s">
        <v>303</v>
      </c>
      <c r="J102" t="s">
        <v>942</v>
      </c>
      <c r="K102" t="s">
        <v>943</v>
      </c>
      <c r="L102" t="s">
        <v>175</v>
      </c>
      <c r="R102" s="3" t="s">
        <v>303</v>
      </c>
      <c r="S102" s="3" t="s">
        <v>11</v>
      </c>
      <c r="T102" s="3" t="s">
        <v>944</v>
      </c>
      <c r="U102" s="3" t="s">
        <v>373</v>
      </c>
      <c r="V102" s="3" t="s">
        <v>175</v>
      </c>
      <c r="W102" s="3" t="s">
        <v>945</v>
      </c>
    </row>
    <row r="103" ht="14.5" spans="2:23">
      <c r="B103" s="1"/>
      <c r="C103" s="1"/>
      <c r="D103" s="1"/>
      <c r="E103" s="1"/>
      <c r="F103" s="1"/>
      <c r="G103" s="1"/>
      <c r="H103" s="1"/>
      <c r="I103" t="s">
        <v>303</v>
      </c>
      <c r="J103" t="s">
        <v>946</v>
      </c>
      <c r="K103" t="s">
        <v>947</v>
      </c>
      <c r="L103" t="s">
        <v>175</v>
      </c>
      <c r="R103" s="3" t="s">
        <v>303</v>
      </c>
      <c r="S103" s="3" t="s">
        <v>11</v>
      </c>
      <c r="T103" s="3" t="s">
        <v>948</v>
      </c>
      <c r="U103" s="3" t="s">
        <v>373</v>
      </c>
      <c r="V103" s="3" t="s">
        <v>175</v>
      </c>
      <c r="W103" s="3" t="s">
        <v>949</v>
      </c>
    </row>
    <row r="104" ht="14.5" spans="2:23">
      <c r="B104" s="1"/>
      <c r="C104" s="1"/>
      <c r="D104" s="1"/>
      <c r="E104" s="1"/>
      <c r="F104" s="1"/>
      <c r="G104" s="1"/>
      <c r="H104" s="1"/>
      <c r="I104" t="s">
        <v>303</v>
      </c>
      <c r="J104" t="s">
        <v>950</v>
      </c>
      <c r="K104" t="s">
        <v>951</v>
      </c>
      <c r="L104" t="s">
        <v>175</v>
      </c>
      <c r="R104" s="3" t="s">
        <v>303</v>
      </c>
      <c r="S104" s="3" t="s">
        <v>11</v>
      </c>
      <c r="T104" s="3" t="s">
        <v>952</v>
      </c>
      <c r="U104" s="3" t="s">
        <v>373</v>
      </c>
      <c r="V104" s="3" t="s">
        <v>175</v>
      </c>
      <c r="W104" s="3" t="s">
        <v>953</v>
      </c>
    </row>
    <row r="105" ht="14.5" spans="2:23">
      <c r="B105" s="1"/>
      <c r="C105" s="1"/>
      <c r="D105" s="1"/>
      <c r="E105" s="1"/>
      <c r="F105" s="1"/>
      <c r="G105" s="1"/>
      <c r="H105" s="1"/>
      <c r="I105" t="s">
        <v>303</v>
      </c>
      <c r="J105" t="s">
        <v>954</v>
      </c>
      <c r="K105" t="s">
        <v>955</v>
      </c>
      <c r="L105" t="s">
        <v>175</v>
      </c>
      <c r="R105" s="3" t="s">
        <v>303</v>
      </c>
      <c r="S105" s="3" t="s">
        <v>11</v>
      </c>
      <c r="T105" s="3" t="s">
        <v>956</v>
      </c>
      <c r="U105" s="3" t="s">
        <v>373</v>
      </c>
      <c r="V105" s="3" t="s">
        <v>175</v>
      </c>
      <c r="W105" s="3" t="s">
        <v>957</v>
      </c>
    </row>
    <row r="106" ht="14.5" spans="2:23">
      <c r="B106" s="1"/>
      <c r="C106" s="1"/>
      <c r="D106" s="1"/>
      <c r="E106" s="1"/>
      <c r="F106" s="1"/>
      <c r="G106" s="1"/>
      <c r="H106" s="1"/>
      <c r="I106" t="s">
        <v>303</v>
      </c>
      <c r="J106" t="s">
        <v>958</v>
      </c>
      <c r="K106" t="s">
        <v>959</v>
      </c>
      <c r="L106" t="s">
        <v>175</v>
      </c>
      <c r="R106" s="3" t="s">
        <v>303</v>
      </c>
      <c r="S106" s="3" t="s">
        <v>11</v>
      </c>
      <c r="T106" s="3" t="s">
        <v>960</v>
      </c>
      <c r="U106" s="3" t="s">
        <v>373</v>
      </c>
      <c r="V106" s="3" t="s">
        <v>175</v>
      </c>
      <c r="W106" s="3" t="s">
        <v>961</v>
      </c>
    </row>
    <row r="107" ht="14.5" spans="2:23">
      <c r="B107" s="1"/>
      <c r="C107" s="1"/>
      <c r="D107" s="1"/>
      <c r="E107" s="1"/>
      <c r="F107" s="1"/>
      <c r="G107" s="1"/>
      <c r="H107" s="1"/>
      <c r="I107" t="s">
        <v>303</v>
      </c>
      <c r="J107" t="s">
        <v>962</v>
      </c>
      <c r="K107" t="s">
        <v>963</v>
      </c>
      <c r="L107" t="s">
        <v>175</v>
      </c>
      <c r="R107" s="3" t="s">
        <v>303</v>
      </c>
      <c r="S107" s="3" t="s">
        <v>11</v>
      </c>
      <c r="T107" s="3" t="s">
        <v>964</v>
      </c>
      <c r="U107" s="3" t="s">
        <v>373</v>
      </c>
      <c r="V107" s="3" t="s">
        <v>175</v>
      </c>
      <c r="W107" s="3" t="s">
        <v>965</v>
      </c>
    </row>
    <row r="108" ht="14.5" spans="2:23">
      <c r="B108" s="1"/>
      <c r="C108" s="1"/>
      <c r="D108" s="1"/>
      <c r="E108" s="1"/>
      <c r="F108" s="1"/>
      <c r="G108" s="1"/>
      <c r="H108" s="1"/>
      <c r="I108" s="1"/>
      <c r="J108" s="1"/>
      <c r="K108" s="1"/>
      <c r="L108" s="1"/>
      <c r="M108" s="1"/>
      <c r="N108" s="1"/>
      <c r="R108" s="3" t="s">
        <v>303</v>
      </c>
      <c r="S108" s="3" t="s">
        <v>11</v>
      </c>
      <c r="T108" s="3" t="s">
        <v>966</v>
      </c>
      <c r="U108" s="3" t="s">
        <v>373</v>
      </c>
      <c r="V108" s="3" t="s">
        <v>175</v>
      </c>
      <c r="W108" s="3" t="s">
        <v>967</v>
      </c>
    </row>
    <row r="109" ht="14.5" spans="2:23">
      <c r="B109" s="1"/>
      <c r="C109" s="1"/>
      <c r="D109" s="1"/>
      <c r="E109" s="1"/>
      <c r="F109" s="1"/>
      <c r="G109" s="1"/>
      <c r="H109" s="1"/>
      <c r="I109" s="1"/>
      <c r="J109" s="1"/>
      <c r="K109" s="1"/>
      <c r="L109" s="1"/>
      <c r="M109" s="1"/>
      <c r="N109" s="1"/>
      <c r="R109" s="3" t="s">
        <v>303</v>
      </c>
      <c r="S109" s="3" t="s">
        <v>11</v>
      </c>
      <c r="T109" s="3" t="s">
        <v>968</v>
      </c>
      <c r="U109" s="3" t="s">
        <v>373</v>
      </c>
      <c r="V109" s="3" t="s">
        <v>175</v>
      </c>
      <c r="W109" s="3" t="s">
        <v>969</v>
      </c>
    </row>
    <row r="110" ht="14.5" spans="2:23">
      <c r="B110" s="1"/>
      <c r="C110" s="1"/>
      <c r="D110" s="1"/>
      <c r="E110" s="1"/>
      <c r="F110" s="1"/>
      <c r="G110" s="1"/>
      <c r="H110" s="1"/>
      <c r="I110" s="1"/>
      <c r="J110" s="1"/>
      <c r="K110" s="1"/>
      <c r="L110" s="1"/>
      <c r="M110" s="1"/>
      <c r="N110" s="1"/>
      <c r="R110" s="3" t="s">
        <v>303</v>
      </c>
      <c r="S110" s="3" t="s">
        <v>11</v>
      </c>
      <c r="T110" s="3" t="s">
        <v>970</v>
      </c>
      <c r="U110" s="3" t="s">
        <v>373</v>
      </c>
      <c r="V110" s="3" t="s">
        <v>175</v>
      </c>
      <c r="W110" s="3" t="s">
        <v>971</v>
      </c>
    </row>
    <row r="111" ht="14.5" spans="2:23">
      <c r="B111" s="1"/>
      <c r="C111" s="1"/>
      <c r="D111" s="1"/>
      <c r="E111" s="1"/>
      <c r="F111" s="1"/>
      <c r="G111" s="1"/>
      <c r="H111" s="1"/>
      <c r="I111" s="1"/>
      <c r="J111" s="1"/>
      <c r="K111" s="1"/>
      <c r="L111" s="1"/>
      <c r="M111" s="1"/>
      <c r="N111" s="1"/>
      <c r="R111" s="3" t="s">
        <v>303</v>
      </c>
      <c r="S111" s="3" t="s">
        <v>11</v>
      </c>
      <c r="T111" s="3" t="s">
        <v>972</v>
      </c>
      <c r="U111" s="3" t="s">
        <v>373</v>
      </c>
      <c r="V111" s="3" t="s">
        <v>175</v>
      </c>
      <c r="W111" s="3" t="s">
        <v>973</v>
      </c>
    </row>
    <row r="112" ht="14.5" spans="2:23">
      <c r="B112" s="1"/>
      <c r="C112" s="1"/>
      <c r="D112" s="1"/>
      <c r="E112" s="1"/>
      <c r="F112" s="1"/>
      <c r="G112" s="1"/>
      <c r="H112" s="1"/>
      <c r="I112" s="1"/>
      <c r="J112" s="1"/>
      <c r="K112" s="1"/>
      <c r="L112" s="1"/>
      <c r="M112" s="1"/>
      <c r="N112" s="1"/>
      <c r="R112" s="3" t="s">
        <v>303</v>
      </c>
      <c r="S112" s="3" t="s">
        <v>11</v>
      </c>
      <c r="T112" s="3" t="s">
        <v>974</v>
      </c>
      <c r="U112" s="3" t="s">
        <v>373</v>
      </c>
      <c r="V112" s="3" t="s">
        <v>175</v>
      </c>
      <c r="W112" s="3" t="s">
        <v>975</v>
      </c>
    </row>
    <row r="113" ht="14.5" spans="2:23">
      <c r="B113" s="1"/>
      <c r="C113" s="1"/>
      <c r="D113" s="1"/>
      <c r="E113" s="1"/>
      <c r="F113" s="1"/>
      <c r="G113" s="1"/>
      <c r="H113" s="1"/>
      <c r="I113" s="1"/>
      <c r="J113" s="1"/>
      <c r="K113" s="1"/>
      <c r="L113" s="1"/>
      <c r="M113" s="1"/>
      <c r="N113" s="1"/>
      <c r="R113" s="3" t="s">
        <v>303</v>
      </c>
      <c r="S113" s="3" t="s">
        <v>11</v>
      </c>
      <c r="T113" s="3" t="s">
        <v>976</v>
      </c>
      <c r="U113" s="3" t="s">
        <v>373</v>
      </c>
      <c r="V113" s="3" t="s">
        <v>175</v>
      </c>
      <c r="W113" s="3" t="s">
        <v>977</v>
      </c>
    </row>
    <row r="114" ht="14.5" spans="2:23">
      <c r="B114" s="1"/>
      <c r="C114" s="1"/>
      <c r="D114" s="1"/>
      <c r="E114" s="1"/>
      <c r="F114" s="1"/>
      <c r="G114" s="1"/>
      <c r="H114" s="1"/>
      <c r="I114" s="1"/>
      <c r="J114" s="1"/>
      <c r="K114" s="1"/>
      <c r="L114" s="1"/>
      <c r="M114" s="1"/>
      <c r="N114" s="1"/>
      <c r="R114" s="3" t="s">
        <v>303</v>
      </c>
      <c r="S114" s="3" t="s">
        <v>11</v>
      </c>
      <c r="T114" s="3" t="s">
        <v>978</v>
      </c>
      <c r="U114" s="3" t="s">
        <v>373</v>
      </c>
      <c r="V114" s="3" t="s">
        <v>175</v>
      </c>
      <c r="W114" s="3" t="s">
        <v>979</v>
      </c>
    </row>
    <row r="115" ht="14.5" spans="2:23">
      <c r="B115" s="1"/>
      <c r="C115" s="1"/>
      <c r="D115" s="1"/>
      <c r="E115" s="1"/>
      <c r="F115" s="1"/>
      <c r="G115" s="1"/>
      <c r="H115" s="1"/>
      <c r="I115" s="1"/>
      <c r="J115" s="1"/>
      <c r="K115" s="1"/>
      <c r="L115" s="1"/>
      <c r="M115" s="1"/>
      <c r="N115" s="1"/>
      <c r="R115" s="3" t="s">
        <v>303</v>
      </c>
      <c r="S115" s="3" t="s">
        <v>11</v>
      </c>
      <c r="T115" s="3" t="s">
        <v>980</v>
      </c>
      <c r="U115" s="3" t="s">
        <v>373</v>
      </c>
      <c r="V115" s="3" t="s">
        <v>175</v>
      </c>
      <c r="W115" s="3" t="s">
        <v>981</v>
      </c>
    </row>
    <row r="116" ht="14.5" spans="2:23">
      <c r="B116" s="1"/>
      <c r="C116" s="1"/>
      <c r="D116" s="1"/>
      <c r="E116" s="1"/>
      <c r="F116" s="1"/>
      <c r="G116" s="1"/>
      <c r="H116" s="1"/>
      <c r="I116" s="1"/>
      <c r="J116" s="1"/>
      <c r="K116" s="1"/>
      <c r="L116" s="1"/>
      <c r="M116" s="1"/>
      <c r="N116" s="1"/>
      <c r="R116" s="3" t="s">
        <v>303</v>
      </c>
      <c r="S116" s="3" t="s">
        <v>11</v>
      </c>
      <c r="T116" s="3" t="s">
        <v>982</v>
      </c>
      <c r="U116" s="3" t="s">
        <v>373</v>
      </c>
      <c r="V116" s="3" t="s">
        <v>175</v>
      </c>
      <c r="W116" s="3" t="s">
        <v>983</v>
      </c>
    </row>
    <row r="117" ht="14.5" spans="2:23">
      <c r="B117" s="1"/>
      <c r="C117" s="1"/>
      <c r="D117" s="1"/>
      <c r="E117" s="1"/>
      <c r="F117" s="1"/>
      <c r="G117" s="1"/>
      <c r="H117" s="1"/>
      <c r="I117" s="1"/>
      <c r="J117" s="1"/>
      <c r="K117" s="1"/>
      <c r="L117" s="1"/>
      <c r="M117" s="1"/>
      <c r="N117" s="1"/>
      <c r="R117" s="3" t="s">
        <v>303</v>
      </c>
      <c r="S117" s="3" t="s">
        <v>11</v>
      </c>
      <c r="T117" s="3" t="s">
        <v>984</v>
      </c>
      <c r="U117" s="3" t="s">
        <v>373</v>
      </c>
      <c r="V117" s="3" t="s">
        <v>175</v>
      </c>
      <c r="W117" s="3" t="s">
        <v>985</v>
      </c>
    </row>
    <row r="118" ht="14.5" spans="2:23">
      <c r="B118" s="1"/>
      <c r="C118" s="1"/>
      <c r="D118" s="1"/>
      <c r="E118" s="1"/>
      <c r="F118" s="1"/>
      <c r="G118" s="1"/>
      <c r="H118" s="1"/>
      <c r="I118" s="1"/>
      <c r="J118" s="1"/>
      <c r="K118" s="1"/>
      <c r="L118" s="1"/>
      <c r="M118" s="1"/>
      <c r="N118" s="1"/>
      <c r="R118" s="3" t="s">
        <v>303</v>
      </c>
      <c r="S118" s="3" t="s">
        <v>11</v>
      </c>
      <c r="T118" s="3" t="s">
        <v>986</v>
      </c>
      <c r="U118" s="3" t="s">
        <v>373</v>
      </c>
      <c r="V118" s="3" t="s">
        <v>175</v>
      </c>
      <c r="W118" s="3" t="s">
        <v>987</v>
      </c>
    </row>
    <row r="119" ht="14.5" spans="2:23">
      <c r="B119" s="1"/>
      <c r="C119" s="1"/>
      <c r="D119" s="1"/>
      <c r="E119" s="1"/>
      <c r="F119" s="1"/>
      <c r="G119" s="1"/>
      <c r="H119" s="1"/>
      <c r="I119" s="1"/>
      <c r="J119" s="1"/>
      <c r="K119" s="1"/>
      <c r="L119" s="1"/>
      <c r="M119" s="1"/>
      <c r="N119" s="1"/>
      <c r="R119" s="3" t="s">
        <v>303</v>
      </c>
      <c r="S119" s="3" t="s">
        <v>11</v>
      </c>
      <c r="T119" s="3" t="s">
        <v>988</v>
      </c>
      <c r="U119" s="3" t="s">
        <v>373</v>
      </c>
      <c r="V119" s="3" t="s">
        <v>175</v>
      </c>
      <c r="W119" s="3" t="s">
        <v>989</v>
      </c>
    </row>
    <row r="120" ht="14.5" spans="2:23">
      <c r="B120" s="1"/>
      <c r="C120" s="1"/>
      <c r="D120" s="1"/>
      <c r="E120" s="1"/>
      <c r="F120" s="1"/>
      <c r="G120" s="1"/>
      <c r="H120" s="1"/>
      <c r="I120" s="1"/>
      <c r="J120" s="1"/>
      <c r="K120" s="1"/>
      <c r="L120" s="1"/>
      <c r="M120" s="1"/>
      <c r="N120" s="1"/>
      <c r="R120" s="3" t="s">
        <v>303</v>
      </c>
      <c r="S120" s="3" t="s">
        <v>11</v>
      </c>
      <c r="T120" s="3" t="s">
        <v>990</v>
      </c>
      <c r="U120" s="3" t="s">
        <v>373</v>
      </c>
      <c r="V120" s="3" t="s">
        <v>175</v>
      </c>
      <c r="W120" s="3" t="s">
        <v>991</v>
      </c>
    </row>
    <row r="121" ht="14.5" spans="2:23">
      <c r="B121" s="1"/>
      <c r="C121" s="1"/>
      <c r="D121" s="1"/>
      <c r="E121" s="1"/>
      <c r="F121" s="1"/>
      <c r="G121" s="1"/>
      <c r="H121" s="1"/>
      <c r="I121" s="1"/>
      <c r="J121" s="1"/>
      <c r="K121" s="1"/>
      <c r="L121" s="1"/>
      <c r="M121" s="1"/>
      <c r="N121" s="1"/>
      <c r="R121" s="3" t="s">
        <v>303</v>
      </c>
      <c r="S121" s="3" t="s">
        <v>11</v>
      </c>
      <c r="T121" s="3" t="s">
        <v>992</v>
      </c>
      <c r="U121" s="3" t="s">
        <v>373</v>
      </c>
      <c r="V121" s="3" t="s">
        <v>175</v>
      </c>
      <c r="W121" s="3" t="s">
        <v>993</v>
      </c>
    </row>
    <row r="122" ht="14.5" spans="2:23">
      <c r="B122" s="1"/>
      <c r="C122" s="1"/>
      <c r="D122" s="1"/>
      <c r="E122" s="1"/>
      <c r="F122" s="1"/>
      <c r="G122" s="1"/>
      <c r="H122" s="1"/>
      <c r="I122" s="1"/>
      <c r="J122" s="1"/>
      <c r="K122" s="1"/>
      <c r="L122" s="1"/>
      <c r="M122" s="1"/>
      <c r="N122" s="1"/>
      <c r="R122" s="3" t="s">
        <v>303</v>
      </c>
      <c r="S122" s="3" t="s">
        <v>11</v>
      </c>
      <c r="T122" s="3" t="s">
        <v>994</v>
      </c>
      <c r="U122" s="3" t="s">
        <v>373</v>
      </c>
      <c r="V122" s="3" t="s">
        <v>175</v>
      </c>
      <c r="W122" s="3" t="s">
        <v>995</v>
      </c>
    </row>
    <row r="123" ht="14.5" spans="2:23">
      <c r="B123" s="1"/>
      <c r="C123" s="1"/>
      <c r="D123" s="1"/>
      <c r="E123" s="1"/>
      <c r="F123" s="1"/>
      <c r="G123" s="1"/>
      <c r="H123" s="1"/>
      <c r="I123" s="1"/>
      <c r="J123" s="1"/>
      <c r="K123" s="1"/>
      <c r="L123" s="1"/>
      <c r="M123" s="1"/>
      <c r="N123" s="1"/>
      <c r="R123" s="3" t="s">
        <v>303</v>
      </c>
      <c r="S123" s="3" t="s">
        <v>14</v>
      </c>
      <c r="T123" s="3" t="s">
        <v>996</v>
      </c>
      <c r="U123" s="3" t="s">
        <v>373</v>
      </c>
      <c r="V123" s="3" t="s">
        <v>175</v>
      </c>
      <c r="W123" s="3" t="s">
        <v>997</v>
      </c>
    </row>
    <row r="124" ht="14.5" spans="2:23">
      <c r="B124" s="1"/>
      <c r="C124" s="1"/>
      <c r="D124" s="1"/>
      <c r="E124" s="1"/>
      <c r="F124" s="1"/>
      <c r="G124" s="1"/>
      <c r="H124" s="1"/>
      <c r="I124" s="1"/>
      <c r="J124" s="1"/>
      <c r="K124" s="1"/>
      <c r="L124" s="1"/>
      <c r="M124" s="1"/>
      <c r="N124" s="1"/>
      <c r="R124" s="3" t="s">
        <v>303</v>
      </c>
      <c r="S124" s="3" t="s">
        <v>14</v>
      </c>
      <c r="T124" s="3" t="s">
        <v>998</v>
      </c>
      <c r="U124" s="3" t="s">
        <v>373</v>
      </c>
      <c r="V124" s="3" t="s">
        <v>175</v>
      </c>
      <c r="W124" s="3" t="s">
        <v>999</v>
      </c>
    </row>
    <row r="125" ht="14.5" spans="2:23">
      <c r="B125" s="1"/>
      <c r="C125" s="1"/>
      <c r="D125" s="1"/>
      <c r="E125" s="1"/>
      <c r="F125" s="1"/>
      <c r="G125" s="1"/>
      <c r="H125" s="1"/>
      <c r="I125" s="1"/>
      <c r="J125" s="1"/>
      <c r="K125" s="1"/>
      <c r="L125" s="1"/>
      <c r="M125" s="1"/>
      <c r="N125" s="1"/>
      <c r="R125" s="3" t="s">
        <v>303</v>
      </c>
      <c r="S125" s="3" t="s">
        <v>16</v>
      </c>
      <c r="T125" s="3" t="s">
        <v>1000</v>
      </c>
      <c r="U125" s="3" t="s">
        <v>373</v>
      </c>
      <c r="V125" s="3" t="s">
        <v>175</v>
      </c>
      <c r="W125" s="3" t="s">
        <v>1001</v>
      </c>
    </row>
    <row r="126" ht="14.5" spans="2:23">
      <c r="B126" s="1"/>
      <c r="C126" s="1"/>
      <c r="D126" s="1"/>
      <c r="E126" s="1"/>
      <c r="F126" s="1"/>
      <c r="G126" s="1"/>
      <c r="H126" s="1"/>
      <c r="I126" s="1"/>
      <c r="J126" s="1"/>
      <c r="K126" s="1"/>
      <c r="L126" s="1"/>
      <c r="M126" s="1"/>
      <c r="N126" s="1"/>
      <c r="R126" s="3" t="s">
        <v>303</v>
      </c>
      <c r="S126" s="3" t="s">
        <v>16</v>
      </c>
      <c r="T126" s="3" t="s">
        <v>1002</v>
      </c>
      <c r="U126" s="3" t="s">
        <v>373</v>
      </c>
      <c r="V126" s="3" t="s">
        <v>175</v>
      </c>
      <c r="W126" s="3" t="s">
        <v>1003</v>
      </c>
    </row>
    <row r="127" ht="14.5" spans="2:23">
      <c r="B127" s="1"/>
      <c r="C127" s="1"/>
      <c r="D127" s="1"/>
      <c r="E127" s="1"/>
      <c r="F127" s="1"/>
      <c r="G127" s="1"/>
      <c r="H127" s="1"/>
      <c r="I127" s="1"/>
      <c r="J127" s="1"/>
      <c r="K127" s="1"/>
      <c r="L127" s="1"/>
      <c r="M127" s="1"/>
      <c r="N127" s="1"/>
      <c r="R127" s="3" t="s">
        <v>303</v>
      </c>
      <c r="S127" s="3" t="s">
        <v>18</v>
      </c>
      <c r="T127" s="3" t="s">
        <v>1004</v>
      </c>
      <c r="U127" s="3" t="s">
        <v>373</v>
      </c>
      <c r="V127" s="3" t="s">
        <v>175</v>
      </c>
      <c r="W127" s="3" t="s">
        <v>1005</v>
      </c>
    </row>
    <row r="128" ht="14.5" spans="2:23">
      <c r="B128" s="1"/>
      <c r="C128" s="1"/>
      <c r="D128" s="1"/>
      <c r="E128" s="1"/>
      <c r="F128" s="1"/>
      <c r="G128" s="1"/>
      <c r="H128" s="1"/>
      <c r="I128" s="1"/>
      <c r="J128" s="1"/>
      <c r="K128" s="1"/>
      <c r="L128" s="1"/>
      <c r="M128" s="1"/>
      <c r="N128" s="1"/>
      <c r="R128" s="3" t="s">
        <v>303</v>
      </c>
      <c r="S128" s="3" t="s">
        <v>18</v>
      </c>
      <c r="T128" s="3" t="s">
        <v>1006</v>
      </c>
      <c r="U128" s="3" t="s">
        <v>373</v>
      </c>
      <c r="V128" s="3" t="s">
        <v>175</v>
      </c>
      <c r="W128" s="3" t="s">
        <v>1007</v>
      </c>
    </row>
    <row r="129" ht="14.5" spans="2:23">
      <c r="B129" s="1"/>
      <c r="C129" s="1"/>
      <c r="D129" s="1"/>
      <c r="E129" s="1"/>
      <c r="F129" s="1"/>
      <c r="G129" s="1"/>
      <c r="H129" s="1"/>
      <c r="I129" s="1"/>
      <c r="J129" s="1"/>
      <c r="K129" s="1"/>
      <c r="L129" s="1"/>
      <c r="M129" s="1"/>
      <c r="N129" s="1"/>
      <c r="R129" s="3" t="s">
        <v>303</v>
      </c>
      <c r="S129" s="3" t="s">
        <v>18</v>
      </c>
      <c r="T129" s="3" t="s">
        <v>1008</v>
      </c>
      <c r="U129" s="3" t="s">
        <v>373</v>
      </c>
      <c r="V129" s="3" t="s">
        <v>175</v>
      </c>
      <c r="W129" s="3" t="s">
        <v>1009</v>
      </c>
    </row>
    <row r="130" ht="14.5" spans="2:23">
      <c r="B130" s="1"/>
      <c r="C130" s="1"/>
      <c r="D130" s="1"/>
      <c r="E130" s="1"/>
      <c r="F130" s="1"/>
      <c r="G130" s="1"/>
      <c r="H130" s="1"/>
      <c r="I130" s="1"/>
      <c r="J130" s="1"/>
      <c r="K130" s="1"/>
      <c r="L130" s="1"/>
      <c r="M130" s="1"/>
      <c r="N130" s="1"/>
      <c r="R130" s="3" t="s">
        <v>303</v>
      </c>
      <c r="S130" s="3" t="s">
        <v>18</v>
      </c>
      <c r="T130" s="3" t="s">
        <v>1010</v>
      </c>
      <c r="U130" s="3" t="s">
        <v>373</v>
      </c>
      <c r="V130" s="3" t="s">
        <v>175</v>
      </c>
      <c r="W130" s="3" t="s">
        <v>1011</v>
      </c>
    </row>
    <row r="131" ht="14.5" spans="2:23">
      <c r="B131" s="1"/>
      <c r="C131" s="1"/>
      <c r="D131" s="1"/>
      <c r="E131" s="1"/>
      <c r="F131" s="1"/>
      <c r="G131" s="1"/>
      <c r="H131" s="1"/>
      <c r="I131" s="1"/>
      <c r="J131" s="1"/>
      <c r="K131" s="1"/>
      <c r="L131" s="1"/>
      <c r="M131" s="1"/>
      <c r="N131" s="1"/>
      <c r="R131" s="3" t="s">
        <v>303</v>
      </c>
      <c r="S131" s="3" t="s">
        <v>18</v>
      </c>
      <c r="T131" s="3" t="s">
        <v>1012</v>
      </c>
      <c r="U131" s="3" t="s">
        <v>373</v>
      </c>
      <c r="V131" s="3" t="s">
        <v>175</v>
      </c>
      <c r="W131" s="3" t="s">
        <v>1013</v>
      </c>
    </row>
    <row r="132" ht="14.5" spans="2:23">
      <c r="B132" s="1"/>
      <c r="C132" s="1"/>
      <c r="D132" s="1"/>
      <c r="E132" s="1"/>
      <c r="F132" s="1"/>
      <c r="G132" s="1"/>
      <c r="H132" s="1"/>
      <c r="I132" s="1"/>
      <c r="J132" s="1"/>
      <c r="K132" s="1"/>
      <c r="L132" s="1"/>
      <c r="M132" s="1"/>
      <c r="N132" s="1"/>
      <c r="R132" s="3" t="s">
        <v>303</v>
      </c>
      <c r="S132" s="3" t="s">
        <v>18</v>
      </c>
      <c r="T132" s="3" t="s">
        <v>1014</v>
      </c>
      <c r="U132" s="3" t="s">
        <v>373</v>
      </c>
      <c r="V132" s="3" t="s">
        <v>175</v>
      </c>
      <c r="W132" s="3" t="s">
        <v>1015</v>
      </c>
    </row>
    <row r="133" ht="14.5" spans="2:23">
      <c r="B133" s="1"/>
      <c r="C133" s="1"/>
      <c r="D133" s="1"/>
      <c r="E133" s="1"/>
      <c r="F133" s="1"/>
      <c r="G133" s="1"/>
      <c r="H133" s="1"/>
      <c r="I133" s="1"/>
      <c r="J133" s="1"/>
      <c r="K133" s="1"/>
      <c r="L133" s="1"/>
      <c r="M133" s="1"/>
      <c r="N133" s="1"/>
      <c r="R133" s="3" t="s">
        <v>303</v>
      </c>
      <c r="S133" s="3" t="s">
        <v>20</v>
      </c>
      <c r="T133" s="3" t="s">
        <v>1016</v>
      </c>
      <c r="U133" s="3" t="s">
        <v>373</v>
      </c>
      <c r="V133" s="3" t="s">
        <v>175</v>
      </c>
      <c r="W133" s="3" t="s">
        <v>1017</v>
      </c>
    </row>
    <row r="134" ht="14.5" spans="2:23">
      <c r="B134" s="1"/>
      <c r="C134" s="1"/>
      <c r="D134" s="1"/>
      <c r="E134" s="1"/>
      <c r="F134" s="1"/>
      <c r="G134" s="1"/>
      <c r="H134" s="1"/>
      <c r="I134" s="1"/>
      <c r="J134" s="1"/>
      <c r="K134" s="1"/>
      <c r="L134" s="1"/>
      <c r="M134" s="1"/>
      <c r="N134" s="1"/>
      <c r="R134" s="3" t="s">
        <v>303</v>
      </c>
      <c r="S134" s="3" t="s">
        <v>20</v>
      </c>
      <c r="T134" s="3" t="s">
        <v>1018</v>
      </c>
      <c r="U134" s="3" t="s">
        <v>373</v>
      </c>
      <c r="V134" s="3" t="s">
        <v>175</v>
      </c>
      <c r="W134" s="3" t="s">
        <v>1019</v>
      </c>
    </row>
    <row r="135" ht="14.5" spans="2:23">
      <c r="B135" s="1"/>
      <c r="C135" s="1"/>
      <c r="D135" s="1"/>
      <c r="E135" s="1"/>
      <c r="F135" s="1"/>
      <c r="G135" s="1"/>
      <c r="H135" s="1"/>
      <c r="I135" s="1"/>
      <c r="J135" s="1"/>
      <c r="K135" s="1"/>
      <c r="L135" s="1"/>
      <c r="M135" s="1"/>
      <c r="N135" s="1"/>
      <c r="R135" s="3" t="s">
        <v>303</v>
      </c>
      <c r="S135" s="3" t="s">
        <v>20</v>
      </c>
      <c r="T135" s="3" t="s">
        <v>1020</v>
      </c>
      <c r="U135" s="3" t="s">
        <v>373</v>
      </c>
      <c r="V135" s="3" t="s">
        <v>175</v>
      </c>
      <c r="W135" s="3" t="s">
        <v>1021</v>
      </c>
    </row>
    <row r="136" ht="14.5" spans="2:23">
      <c r="B136" s="1"/>
      <c r="C136" s="1"/>
      <c r="D136" s="1"/>
      <c r="E136" s="1"/>
      <c r="F136" s="1"/>
      <c r="G136" s="1"/>
      <c r="H136" s="1"/>
      <c r="I136" s="1"/>
      <c r="J136" s="1"/>
      <c r="K136" s="1"/>
      <c r="L136" s="1"/>
      <c r="M136" s="1"/>
      <c r="N136" s="1"/>
      <c r="R136" s="3" t="s">
        <v>303</v>
      </c>
      <c r="S136" s="3" t="s">
        <v>20</v>
      </c>
      <c r="T136" s="3" t="s">
        <v>1022</v>
      </c>
      <c r="U136" s="3" t="s">
        <v>373</v>
      </c>
      <c r="V136" s="3" t="s">
        <v>175</v>
      </c>
      <c r="W136" s="3" t="s">
        <v>1023</v>
      </c>
    </row>
    <row r="137" ht="14.5" spans="2:23">
      <c r="B137" s="1"/>
      <c r="C137" s="1"/>
      <c r="D137" s="1"/>
      <c r="E137" s="1"/>
      <c r="F137" s="1"/>
      <c r="G137" s="1"/>
      <c r="H137" s="1"/>
      <c r="I137" s="1"/>
      <c r="J137" s="1"/>
      <c r="K137" s="1"/>
      <c r="L137" s="1"/>
      <c r="M137" s="1"/>
      <c r="N137" s="1"/>
      <c r="R137" s="3" t="s">
        <v>303</v>
      </c>
      <c r="S137" s="3" t="s">
        <v>20</v>
      </c>
      <c r="T137" s="3" t="s">
        <v>1024</v>
      </c>
      <c r="U137" s="3" t="s">
        <v>373</v>
      </c>
      <c r="V137" s="3" t="s">
        <v>175</v>
      </c>
      <c r="W137" s="3" t="s">
        <v>1025</v>
      </c>
    </row>
    <row r="138" ht="14.5" spans="2:23">
      <c r="B138" s="1"/>
      <c r="C138" s="1"/>
      <c r="D138" s="1"/>
      <c r="E138" s="1"/>
      <c r="F138" s="1"/>
      <c r="G138" s="1"/>
      <c r="H138" s="1"/>
      <c r="I138" s="1"/>
      <c r="J138" s="1"/>
      <c r="K138" s="1"/>
      <c r="L138" s="1"/>
      <c r="M138" s="1"/>
      <c r="N138" s="1"/>
      <c r="R138" s="3" t="s">
        <v>303</v>
      </c>
      <c r="S138" s="3" t="s">
        <v>20</v>
      </c>
      <c r="T138" s="3" t="s">
        <v>1026</v>
      </c>
      <c r="U138" s="3" t="s">
        <v>373</v>
      </c>
      <c r="V138" s="3" t="s">
        <v>175</v>
      </c>
      <c r="W138" s="3" t="s">
        <v>1027</v>
      </c>
    </row>
    <row r="139" ht="14.5" spans="2:23">
      <c r="B139" s="1"/>
      <c r="C139" s="1"/>
      <c r="D139" s="1"/>
      <c r="E139" s="1"/>
      <c r="F139" s="1"/>
      <c r="G139" s="1"/>
      <c r="H139" s="1"/>
      <c r="I139" s="1"/>
      <c r="J139" s="1"/>
      <c r="K139" s="1"/>
      <c r="L139" s="1"/>
      <c r="M139" s="1"/>
      <c r="N139" s="1"/>
      <c r="R139" s="3" t="s">
        <v>303</v>
      </c>
      <c r="S139" s="3" t="s">
        <v>22</v>
      </c>
      <c r="T139" s="3" t="s">
        <v>1028</v>
      </c>
      <c r="U139" s="3" t="s">
        <v>373</v>
      </c>
      <c r="V139" s="3" t="s">
        <v>175</v>
      </c>
      <c r="W139" s="3" t="s">
        <v>1029</v>
      </c>
    </row>
    <row r="140" ht="14.5" spans="2:23">
      <c r="B140" s="1"/>
      <c r="C140" s="1"/>
      <c r="D140" s="1"/>
      <c r="E140" s="1"/>
      <c r="F140" s="1"/>
      <c r="G140" s="1"/>
      <c r="H140" s="1"/>
      <c r="I140" s="1"/>
      <c r="J140" s="1"/>
      <c r="K140" s="1"/>
      <c r="L140" s="1"/>
      <c r="M140" s="1"/>
      <c r="N140" s="1"/>
      <c r="R140" s="3" t="s">
        <v>303</v>
      </c>
      <c r="S140" s="3" t="s">
        <v>22</v>
      </c>
      <c r="T140" s="3" t="s">
        <v>1030</v>
      </c>
      <c r="U140" s="3" t="s">
        <v>373</v>
      </c>
      <c r="V140" s="3" t="s">
        <v>175</v>
      </c>
      <c r="W140" s="3" t="s">
        <v>1031</v>
      </c>
    </row>
    <row r="141" ht="14.5" spans="2:23">
      <c r="B141" s="1"/>
      <c r="C141" s="1"/>
      <c r="D141" s="1"/>
      <c r="E141" s="1"/>
      <c r="F141" s="1"/>
      <c r="G141" s="1"/>
      <c r="H141" s="1"/>
      <c r="I141" s="1"/>
      <c r="J141" s="1"/>
      <c r="K141" s="1"/>
      <c r="L141" s="1"/>
      <c r="M141" s="1"/>
      <c r="N141" s="1"/>
      <c r="R141" s="3" t="s">
        <v>303</v>
      </c>
      <c r="S141" s="3" t="s">
        <v>24</v>
      </c>
      <c r="T141" s="3" t="s">
        <v>1032</v>
      </c>
      <c r="U141" s="3" t="s">
        <v>373</v>
      </c>
      <c r="V141" s="3" t="s">
        <v>175</v>
      </c>
      <c r="W141" s="3" t="s">
        <v>1033</v>
      </c>
    </row>
    <row r="142" ht="14.5" spans="2:23">
      <c r="B142" s="1"/>
      <c r="C142" s="1"/>
      <c r="D142" s="1"/>
      <c r="E142" s="1"/>
      <c r="F142" s="1"/>
      <c r="G142" s="1"/>
      <c r="H142" s="1"/>
      <c r="I142" s="1"/>
      <c r="J142" s="1"/>
      <c r="K142" s="1"/>
      <c r="L142" s="1"/>
      <c r="M142" s="1"/>
      <c r="N142" s="1"/>
      <c r="R142" s="3" t="s">
        <v>303</v>
      </c>
      <c r="S142" s="3" t="s">
        <v>24</v>
      </c>
      <c r="T142" s="3" t="s">
        <v>1034</v>
      </c>
      <c r="U142" s="3" t="s">
        <v>373</v>
      </c>
      <c r="V142" s="3" t="s">
        <v>175</v>
      </c>
      <c r="W142" s="3" t="s">
        <v>1035</v>
      </c>
    </row>
    <row r="143" ht="14.5" spans="2:23">
      <c r="B143" s="1"/>
      <c r="C143" s="1"/>
      <c r="D143" s="1"/>
      <c r="E143" s="1"/>
      <c r="F143" s="1"/>
      <c r="G143" s="1"/>
      <c r="H143" s="1"/>
      <c r="I143" s="1"/>
      <c r="J143" s="1"/>
      <c r="K143" s="1"/>
      <c r="L143" s="1"/>
      <c r="M143" s="1"/>
      <c r="N143" s="1"/>
      <c r="R143" s="3" t="s">
        <v>303</v>
      </c>
      <c r="S143" s="3" t="s">
        <v>26</v>
      </c>
      <c r="T143" s="3" t="s">
        <v>1036</v>
      </c>
      <c r="U143" s="3" t="s">
        <v>373</v>
      </c>
      <c r="V143" s="3" t="s">
        <v>175</v>
      </c>
      <c r="W143" s="3" t="s">
        <v>1037</v>
      </c>
    </row>
    <row r="144" ht="14.5" spans="2:23">
      <c r="B144" s="1"/>
      <c r="C144" s="1"/>
      <c r="D144" s="1"/>
      <c r="E144" s="1"/>
      <c r="F144" s="1"/>
      <c r="G144" s="1"/>
      <c r="H144" s="1"/>
      <c r="I144" s="1"/>
      <c r="J144" s="1"/>
      <c r="K144" s="1"/>
      <c r="L144" s="1"/>
      <c r="M144" s="1"/>
      <c r="N144" s="1"/>
      <c r="R144" s="3" t="s">
        <v>303</v>
      </c>
      <c r="S144" s="3" t="s">
        <v>26</v>
      </c>
      <c r="T144" s="3" t="s">
        <v>1038</v>
      </c>
      <c r="U144" s="3" t="s">
        <v>373</v>
      </c>
      <c r="V144" s="3" t="s">
        <v>175</v>
      </c>
      <c r="W144" s="3" t="s">
        <v>1039</v>
      </c>
    </row>
    <row r="145" ht="14.5" spans="2:23">
      <c r="B145" s="1"/>
      <c r="C145" s="1"/>
      <c r="D145" s="1"/>
      <c r="E145" s="1"/>
      <c r="F145" s="1"/>
      <c r="G145" s="1"/>
      <c r="H145" s="1"/>
      <c r="I145" s="1"/>
      <c r="J145" s="1"/>
      <c r="K145" s="1"/>
      <c r="L145" s="1"/>
      <c r="M145" s="1"/>
      <c r="N145" s="1"/>
      <c r="R145" s="3" t="s">
        <v>303</v>
      </c>
      <c r="S145" s="3" t="s">
        <v>26</v>
      </c>
      <c r="T145" s="3" t="s">
        <v>1040</v>
      </c>
      <c r="U145" s="3" t="s">
        <v>373</v>
      </c>
      <c r="V145" s="3" t="s">
        <v>175</v>
      </c>
      <c r="W145" s="3" t="s">
        <v>1041</v>
      </c>
    </row>
    <row r="146" ht="14.5" spans="2:23">
      <c r="B146" s="1"/>
      <c r="C146" s="1"/>
      <c r="D146" s="1"/>
      <c r="E146" s="1"/>
      <c r="F146" s="1"/>
      <c r="G146" s="1"/>
      <c r="H146" s="1"/>
      <c r="I146" s="1"/>
      <c r="J146" s="1"/>
      <c r="K146" s="1"/>
      <c r="L146" s="1"/>
      <c r="M146" s="1"/>
      <c r="N146" s="1"/>
      <c r="R146" s="3" t="s">
        <v>303</v>
      </c>
      <c r="S146" s="3" t="s">
        <v>26</v>
      </c>
      <c r="T146" s="3" t="s">
        <v>1042</v>
      </c>
      <c r="U146" s="3" t="s">
        <v>373</v>
      </c>
      <c r="V146" s="3" t="s">
        <v>175</v>
      </c>
      <c r="W146" s="3" t="s">
        <v>1043</v>
      </c>
    </row>
    <row r="147" ht="14.5" spans="2:23">
      <c r="B147" s="1"/>
      <c r="C147" s="1"/>
      <c r="D147" s="1"/>
      <c r="E147" s="1"/>
      <c r="F147" s="1"/>
      <c r="G147" s="1"/>
      <c r="H147" s="1"/>
      <c r="I147" s="1"/>
      <c r="J147" s="1"/>
      <c r="K147" s="1"/>
      <c r="L147" s="1"/>
      <c r="M147" s="1"/>
      <c r="N147" s="1"/>
      <c r="R147" s="3" t="s">
        <v>303</v>
      </c>
      <c r="S147" s="3" t="s">
        <v>28</v>
      </c>
      <c r="T147" s="3" t="s">
        <v>1044</v>
      </c>
      <c r="U147" s="3" t="s">
        <v>373</v>
      </c>
      <c r="V147" s="3" t="s">
        <v>175</v>
      </c>
      <c r="W147" s="3" t="s">
        <v>1045</v>
      </c>
    </row>
    <row r="148" ht="14.5" spans="2:23">
      <c r="B148" s="1"/>
      <c r="C148" s="1"/>
      <c r="D148" s="1"/>
      <c r="E148" s="1"/>
      <c r="F148" s="1"/>
      <c r="G148" s="1"/>
      <c r="H148" s="1"/>
      <c r="I148" s="1"/>
      <c r="J148" s="1"/>
      <c r="K148" s="1"/>
      <c r="L148" s="1"/>
      <c r="M148" s="1"/>
      <c r="N148" s="1"/>
      <c r="R148" s="3" t="s">
        <v>303</v>
      </c>
      <c r="S148" s="3" t="s">
        <v>28</v>
      </c>
      <c r="T148" s="3" t="s">
        <v>1046</v>
      </c>
      <c r="U148" s="3" t="s">
        <v>373</v>
      </c>
      <c r="V148" s="3" t="s">
        <v>175</v>
      </c>
      <c r="W148" s="3" t="s">
        <v>1047</v>
      </c>
    </row>
    <row r="149" ht="14.5" spans="2:23">
      <c r="B149" s="1"/>
      <c r="C149" s="1"/>
      <c r="D149" s="1"/>
      <c r="E149" s="1"/>
      <c r="F149" s="1"/>
      <c r="G149" s="1"/>
      <c r="H149" s="1"/>
      <c r="I149" s="1"/>
      <c r="J149" s="1"/>
      <c r="K149" s="1"/>
      <c r="L149" s="1"/>
      <c r="M149" s="1"/>
      <c r="N149" s="1"/>
      <c r="R149" s="3" t="s">
        <v>303</v>
      </c>
      <c r="S149" s="3" t="s">
        <v>28</v>
      </c>
      <c r="T149" s="3" t="s">
        <v>1048</v>
      </c>
      <c r="U149" s="3" t="s">
        <v>373</v>
      </c>
      <c r="V149" s="3" t="s">
        <v>175</v>
      </c>
      <c r="W149" s="3" t="s">
        <v>1049</v>
      </c>
    </row>
    <row r="150" ht="14.5" spans="2:23">
      <c r="B150" s="1"/>
      <c r="C150" s="1"/>
      <c r="D150" s="1"/>
      <c r="E150" s="1"/>
      <c r="F150" s="1"/>
      <c r="G150" s="1"/>
      <c r="H150" s="1"/>
      <c r="I150" s="1"/>
      <c r="J150" s="1"/>
      <c r="K150" s="1"/>
      <c r="L150" s="1"/>
      <c r="M150" s="1"/>
      <c r="N150" s="1"/>
      <c r="R150" s="3" t="s">
        <v>303</v>
      </c>
      <c r="S150" s="3" t="s">
        <v>28</v>
      </c>
      <c r="T150" s="3" t="s">
        <v>1050</v>
      </c>
      <c r="U150" s="3" t="s">
        <v>373</v>
      </c>
      <c r="V150" s="3" t="s">
        <v>175</v>
      </c>
      <c r="W150" s="3" t="s">
        <v>1051</v>
      </c>
    </row>
    <row r="151" ht="14.5" spans="2:23">
      <c r="B151" s="1"/>
      <c r="C151" s="1"/>
      <c r="D151" s="1"/>
      <c r="E151" s="1"/>
      <c r="F151" s="1"/>
      <c r="G151" s="1"/>
      <c r="H151" s="1"/>
      <c r="I151" s="1"/>
      <c r="J151" s="1"/>
      <c r="K151" s="1"/>
      <c r="L151" s="1"/>
      <c r="M151" s="1"/>
      <c r="N151" s="1"/>
      <c r="R151" s="3" t="s">
        <v>303</v>
      </c>
      <c r="S151" s="3" t="s">
        <v>30</v>
      </c>
      <c r="T151" s="3" t="s">
        <v>1052</v>
      </c>
      <c r="U151" s="3" t="s">
        <v>373</v>
      </c>
      <c r="V151" s="3" t="s">
        <v>175</v>
      </c>
      <c r="W151" s="3" t="s">
        <v>1053</v>
      </c>
    </row>
    <row r="152" ht="14.5" spans="2:23">
      <c r="B152" s="1"/>
      <c r="C152" s="1"/>
      <c r="D152" s="1"/>
      <c r="E152" s="1"/>
      <c r="F152" s="1"/>
      <c r="G152" s="1"/>
      <c r="H152" s="1"/>
      <c r="I152" s="1"/>
      <c r="J152" s="1"/>
      <c r="K152" s="1"/>
      <c r="L152" s="1"/>
      <c r="M152" s="1"/>
      <c r="N152" s="1"/>
      <c r="R152" s="3" t="s">
        <v>303</v>
      </c>
      <c r="S152" s="3" t="s">
        <v>30</v>
      </c>
      <c r="T152" s="3" t="s">
        <v>1054</v>
      </c>
      <c r="U152" s="3" t="s">
        <v>373</v>
      </c>
      <c r="V152" s="3" t="s">
        <v>175</v>
      </c>
      <c r="W152" s="3" t="s">
        <v>1055</v>
      </c>
    </row>
    <row r="153" ht="14.5" spans="2:23">
      <c r="B153" s="1"/>
      <c r="C153" s="1"/>
      <c r="D153" s="1"/>
      <c r="E153" s="1"/>
      <c r="F153" s="1"/>
      <c r="G153" s="1"/>
      <c r="H153" s="1"/>
      <c r="I153" s="1"/>
      <c r="J153" s="1"/>
      <c r="K153" s="1"/>
      <c r="L153" s="1"/>
      <c r="M153" s="1"/>
      <c r="N153" s="1"/>
      <c r="R153" s="3" t="s">
        <v>303</v>
      </c>
      <c r="S153" s="3" t="s">
        <v>32</v>
      </c>
      <c r="T153" s="3" t="s">
        <v>1056</v>
      </c>
      <c r="U153" s="3" t="s">
        <v>373</v>
      </c>
      <c r="V153" s="3" t="s">
        <v>175</v>
      </c>
      <c r="W153" s="3" t="s">
        <v>1057</v>
      </c>
    </row>
    <row r="154" ht="14.5" spans="2:23">
      <c r="B154" s="1"/>
      <c r="C154" s="1"/>
      <c r="D154" s="1"/>
      <c r="E154" s="1"/>
      <c r="F154" s="1"/>
      <c r="G154" s="1"/>
      <c r="H154" s="1"/>
      <c r="I154" s="1"/>
      <c r="J154" s="1"/>
      <c r="K154" s="1"/>
      <c r="L154" s="1"/>
      <c r="M154" s="1"/>
      <c r="N154" s="1"/>
      <c r="R154" s="3" t="s">
        <v>303</v>
      </c>
      <c r="S154" s="3" t="s">
        <v>32</v>
      </c>
      <c r="T154" s="3" t="s">
        <v>1058</v>
      </c>
      <c r="U154" s="3" t="s">
        <v>373</v>
      </c>
      <c r="V154" s="3" t="s">
        <v>175</v>
      </c>
      <c r="W154" s="3" t="s">
        <v>1059</v>
      </c>
    </row>
    <row r="155" ht="14.5" spans="2:23">
      <c r="B155" s="1"/>
      <c r="C155" s="1"/>
      <c r="D155" s="1"/>
      <c r="E155" s="1"/>
      <c r="F155" s="1"/>
      <c r="G155" s="1"/>
      <c r="H155" s="1"/>
      <c r="I155" s="1"/>
      <c r="J155" s="1"/>
      <c r="K155" s="1"/>
      <c r="L155" s="1"/>
      <c r="M155" s="1"/>
      <c r="N155" s="1"/>
      <c r="R155" s="3" t="s">
        <v>303</v>
      </c>
      <c r="S155" s="3" t="s">
        <v>34</v>
      </c>
      <c r="T155" s="3" t="s">
        <v>1060</v>
      </c>
      <c r="U155" s="3" t="s">
        <v>373</v>
      </c>
      <c r="V155" s="3" t="s">
        <v>175</v>
      </c>
      <c r="W155" s="3" t="s">
        <v>1061</v>
      </c>
    </row>
    <row r="156" ht="14.5" spans="2:23">
      <c r="B156" s="1"/>
      <c r="C156" s="1"/>
      <c r="D156" s="1"/>
      <c r="E156" s="1"/>
      <c r="F156" s="1"/>
      <c r="G156" s="1"/>
      <c r="H156" s="1"/>
      <c r="I156" s="1"/>
      <c r="J156" s="1"/>
      <c r="K156" s="1"/>
      <c r="L156" s="1"/>
      <c r="M156" s="1"/>
      <c r="N156" s="1"/>
      <c r="R156" s="3" t="s">
        <v>303</v>
      </c>
      <c r="S156" s="3" t="s">
        <v>34</v>
      </c>
      <c r="T156" s="3" t="s">
        <v>1062</v>
      </c>
      <c r="U156" s="3" t="s">
        <v>373</v>
      </c>
      <c r="V156" s="3" t="s">
        <v>175</v>
      </c>
      <c r="W156" s="3" t="s">
        <v>1063</v>
      </c>
    </row>
    <row r="157" ht="14.5" spans="2:23">
      <c r="B157" s="1"/>
      <c r="C157" s="1"/>
      <c r="D157" s="1"/>
      <c r="E157" s="1"/>
      <c r="F157" s="1"/>
      <c r="G157" s="1"/>
      <c r="H157" s="1"/>
      <c r="I157" s="1"/>
      <c r="J157" s="1"/>
      <c r="K157" s="1"/>
      <c r="L157" s="1"/>
      <c r="M157" s="1"/>
      <c r="N157" s="1"/>
      <c r="R157" s="3" t="s">
        <v>303</v>
      </c>
      <c r="S157" s="3" t="s">
        <v>34</v>
      </c>
      <c r="T157" s="3" t="s">
        <v>1064</v>
      </c>
      <c r="U157" s="3" t="s">
        <v>373</v>
      </c>
      <c r="V157" s="3" t="s">
        <v>175</v>
      </c>
      <c r="W157" s="3" t="s">
        <v>1065</v>
      </c>
    </row>
    <row r="158" ht="14.5" spans="2:23">
      <c r="B158" s="1"/>
      <c r="C158" s="1"/>
      <c r="D158" s="1"/>
      <c r="E158" s="1"/>
      <c r="F158" s="1"/>
      <c r="G158" s="1"/>
      <c r="H158" s="1"/>
      <c r="I158" s="1"/>
      <c r="J158" s="1"/>
      <c r="K158" s="1"/>
      <c r="L158" s="1"/>
      <c r="M158" s="1"/>
      <c r="N158" s="1"/>
      <c r="R158" s="3" t="s">
        <v>303</v>
      </c>
      <c r="S158" s="3" t="s">
        <v>34</v>
      </c>
      <c r="T158" s="3" t="s">
        <v>1066</v>
      </c>
      <c r="U158" s="3" t="s">
        <v>373</v>
      </c>
      <c r="V158" s="3" t="s">
        <v>175</v>
      </c>
      <c r="W158" s="3" t="s">
        <v>1067</v>
      </c>
    </row>
    <row r="159" ht="14.5" spans="2:23">
      <c r="B159" s="1"/>
      <c r="C159" s="1"/>
      <c r="D159" s="1"/>
      <c r="E159" s="1"/>
      <c r="F159" s="1"/>
      <c r="G159" s="1"/>
      <c r="H159" s="1"/>
      <c r="I159" s="1"/>
      <c r="J159" s="1"/>
      <c r="K159" s="1"/>
      <c r="L159" s="1"/>
      <c r="M159" s="1"/>
      <c r="N159" s="1"/>
      <c r="R159" s="3" t="s">
        <v>303</v>
      </c>
      <c r="S159" s="3" t="s">
        <v>36</v>
      </c>
      <c r="T159" s="3" t="s">
        <v>1068</v>
      </c>
      <c r="U159" s="3" t="s">
        <v>373</v>
      </c>
      <c r="V159" s="3" t="s">
        <v>175</v>
      </c>
      <c r="W159" s="3" t="s">
        <v>1069</v>
      </c>
    </row>
    <row r="160" ht="14.5" spans="2:23">
      <c r="B160" s="1"/>
      <c r="C160" s="1"/>
      <c r="D160" s="1"/>
      <c r="E160" s="1"/>
      <c r="F160" s="1"/>
      <c r="G160" s="1"/>
      <c r="H160" s="1"/>
      <c r="I160" s="1"/>
      <c r="J160" s="1"/>
      <c r="K160" s="1"/>
      <c r="L160" s="1"/>
      <c r="M160" s="1"/>
      <c r="N160" s="1"/>
      <c r="R160" s="3" t="s">
        <v>303</v>
      </c>
      <c r="S160" s="3" t="s">
        <v>36</v>
      </c>
      <c r="T160" s="3" t="s">
        <v>1070</v>
      </c>
      <c r="U160" s="3" t="s">
        <v>373</v>
      </c>
      <c r="V160" s="3" t="s">
        <v>175</v>
      </c>
      <c r="W160" s="3" t="s">
        <v>1071</v>
      </c>
    </row>
    <row r="161" ht="14.5" spans="2:23">
      <c r="B161" s="1"/>
      <c r="C161" s="1"/>
      <c r="D161" s="1"/>
      <c r="E161" s="1"/>
      <c r="F161" s="1"/>
      <c r="G161" s="1"/>
      <c r="H161" s="1"/>
      <c r="I161" s="1"/>
      <c r="J161" s="1"/>
      <c r="K161" s="1"/>
      <c r="L161" s="1"/>
      <c r="M161" s="1"/>
      <c r="N161" s="1"/>
      <c r="R161" s="3" t="s">
        <v>303</v>
      </c>
      <c r="S161" s="3" t="s">
        <v>36</v>
      </c>
      <c r="T161" s="3" t="s">
        <v>1072</v>
      </c>
      <c r="U161" s="3" t="s">
        <v>373</v>
      </c>
      <c r="V161" s="3" t="s">
        <v>175</v>
      </c>
      <c r="W161" s="3" t="s">
        <v>1073</v>
      </c>
    </row>
    <row r="162" ht="14.5" spans="2:23">
      <c r="B162" s="1"/>
      <c r="C162" s="1"/>
      <c r="D162" s="1"/>
      <c r="E162" s="1"/>
      <c r="F162" s="1"/>
      <c r="G162" s="1"/>
      <c r="H162" s="1"/>
      <c r="I162" s="1"/>
      <c r="J162" s="1"/>
      <c r="K162" s="1"/>
      <c r="L162" s="1"/>
      <c r="M162" s="1"/>
      <c r="N162" s="1"/>
      <c r="R162" s="3" t="s">
        <v>303</v>
      </c>
      <c r="S162" s="3" t="s">
        <v>36</v>
      </c>
      <c r="T162" s="3" t="s">
        <v>1074</v>
      </c>
      <c r="U162" s="3" t="s">
        <v>373</v>
      </c>
      <c r="V162" s="3" t="s">
        <v>175</v>
      </c>
      <c r="W162" s="3" t="s">
        <v>1075</v>
      </c>
    </row>
    <row r="163" ht="14.5" spans="2:23">
      <c r="B163" s="1"/>
      <c r="C163" s="1"/>
      <c r="D163" s="1"/>
      <c r="E163" s="1"/>
      <c r="F163" s="1"/>
      <c r="G163" s="1"/>
      <c r="H163" s="1"/>
      <c r="I163" s="1"/>
      <c r="J163" s="1"/>
      <c r="K163" s="1"/>
      <c r="L163" s="1"/>
      <c r="M163" s="1"/>
      <c r="N163" s="1"/>
      <c r="R163" s="3" t="s">
        <v>303</v>
      </c>
      <c r="S163" s="3" t="s">
        <v>36</v>
      </c>
      <c r="T163" s="3" t="s">
        <v>1076</v>
      </c>
      <c r="U163" s="3" t="s">
        <v>373</v>
      </c>
      <c r="V163" s="3" t="s">
        <v>175</v>
      </c>
      <c r="W163" s="3" t="s">
        <v>1077</v>
      </c>
    </row>
    <row r="164" ht="14.5" spans="2:23">
      <c r="B164" s="1"/>
      <c r="C164" s="1"/>
      <c r="D164" s="1"/>
      <c r="E164" s="1"/>
      <c r="F164" s="1"/>
      <c r="G164" s="1"/>
      <c r="H164" s="1"/>
      <c r="I164" s="1"/>
      <c r="J164" s="1"/>
      <c r="K164" s="1"/>
      <c r="L164" s="1"/>
      <c r="M164" s="1"/>
      <c r="N164" s="1"/>
      <c r="R164" s="3" t="s">
        <v>303</v>
      </c>
      <c r="S164" s="3" t="s">
        <v>36</v>
      </c>
      <c r="T164" s="3" t="s">
        <v>1078</v>
      </c>
      <c r="U164" s="3" t="s">
        <v>373</v>
      </c>
      <c r="V164" s="3" t="s">
        <v>175</v>
      </c>
      <c r="W164" s="3" t="s">
        <v>1079</v>
      </c>
    </row>
    <row r="165" ht="14.5" spans="2:23">
      <c r="B165" s="1"/>
      <c r="C165" s="1"/>
      <c r="D165" s="1"/>
      <c r="E165" s="1"/>
      <c r="F165" s="1"/>
      <c r="G165" s="1"/>
      <c r="H165" s="1"/>
      <c r="I165" s="1"/>
      <c r="J165" s="1"/>
      <c r="K165" s="1"/>
      <c r="L165" s="1"/>
      <c r="M165" s="1"/>
      <c r="N165" s="1"/>
      <c r="R165" s="3" t="s">
        <v>303</v>
      </c>
      <c r="S165" s="3" t="s">
        <v>38</v>
      </c>
      <c r="T165" s="3" t="s">
        <v>1080</v>
      </c>
      <c r="U165" s="3" t="s">
        <v>373</v>
      </c>
      <c r="V165" s="3" t="s">
        <v>175</v>
      </c>
      <c r="W165" s="3" t="s">
        <v>1081</v>
      </c>
    </row>
    <row r="166" ht="14.5" spans="2:23">
      <c r="B166" s="1"/>
      <c r="C166" s="1"/>
      <c r="D166" s="1"/>
      <c r="E166" s="1"/>
      <c r="F166" s="1"/>
      <c r="G166" s="1"/>
      <c r="H166" s="1"/>
      <c r="I166" s="1"/>
      <c r="J166" s="1"/>
      <c r="K166" s="1"/>
      <c r="L166" s="1"/>
      <c r="M166" s="1"/>
      <c r="N166" s="1"/>
      <c r="R166" s="3" t="s">
        <v>303</v>
      </c>
      <c r="S166" s="3" t="s">
        <v>38</v>
      </c>
      <c r="T166" s="3" t="s">
        <v>1082</v>
      </c>
      <c r="U166" s="3" t="s">
        <v>373</v>
      </c>
      <c r="V166" s="3" t="s">
        <v>175</v>
      </c>
      <c r="W166" s="3" t="s">
        <v>1083</v>
      </c>
    </row>
    <row r="167" ht="14.5" spans="2:23">
      <c r="B167" s="1"/>
      <c r="C167" s="1"/>
      <c r="D167" s="1"/>
      <c r="E167" s="1"/>
      <c r="F167" s="1"/>
      <c r="G167" s="1"/>
      <c r="H167" s="1"/>
      <c r="I167" s="1"/>
      <c r="J167" s="1"/>
      <c r="K167" s="1"/>
      <c r="L167" s="1"/>
      <c r="M167" s="1"/>
      <c r="N167" s="1"/>
      <c r="R167" s="3" t="s">
        <v>303</v>
      </c>
      <c r="S167" s="3" t="s">
        <v>41</v>
      </c>
      <c r="T167" s="3" t="s">
        <v>1084</v>
      </c>
      <c r="U167" s="3" t="s">
        <v>373</v>
      </c>
      <c r="V167" s="3" t="s">
        <v>175</v>
      </c>
      <c r="W167" s="3" t="s">
        <v>1085</v>
      </c>
    </row>
    <row r="168" ht="14.5" spans="2:23">
      <c r="B168" s="1"/>
      <c r="C168" s="1"/>
      <c r="D168" s="1"/>
      <c r="E168" s="1"/>
      <c r="F168" s="1"/>
      <c r="G168" s="1"/>
      <c r="H168" s="1"/>
      <c r="I168" s="1"/>
      <c r="J168" s="1"/>
      <c r="K168" s="1"/>
      <c r="L168" s="1"/>
      <c r="M168" s="1"/>
      <c r="N168" s="1"/>
      <c r="R168" s="3" t="s">
        <v>303</v>
      </c>
      <c r="S168" s="3" t="s">
        <v>41</v>
      </c>
      <c r="T168" s="3" t="s">
        <v>1086</v>
      </c>
      <c r="U168" s="3" t="s">
        <v>373</v>
      </c>
      <c r="V168" s="3" t="s">
        <v>175</v>
      </c>
      <c r="W168" s="3" t="s">
        <v>1087</v>
      </c>
    </row>
    <row r="169" ht="14.5" spans="2:23">
      <c r="B169" s="1"/>
      <c r="C169" s="1"/>
      <c r="D169" s="1"/>
      <c r="E169" s="1"/>
      <c r="F169" s="1"/>
      <c r="G169" s="1"/>
      <c r="H169" s="1"/>
      <c r="I169" s="1"/>
      <c r="J169" s="1"/>
      <c r="K169" s="1"/>
      <c r="L169" s="1"/>
      <c r="M169" s="1"/>
      <c r="N169" s="1"/>
      <c r="R169" s="3" t="s">
        <v>303</v>
      </c>
      <c r="S169" s="3" t="s">
        <v>44</v>
      </c>
      <c r="T169" s="3" t="s">
        <v>1088</v>
      </c>
      <c r="U169" s="3" t="s">
        <v>373</v>
      </c>
      <c r="V169" s="3" t="s">
        <v>175</v>
      </c>
      <c r="W169" s="3" t="s">
        <v>1089</v>
      </c>
    </row>
    <row r="170" ht="14.5" spans="2:23">
      <c r="B170" s="1"/>
      <c r="C170" s="1"/>
      <c r="D170" s="1"/>
      <c r="E170" s="1"/>
      <c r="F170" s="1"/>
      <c r="G170" s="1"/>
      <c r="H170" s="1"/>
      <c r="I170" s="1"/>
      <c r="J170" s="1"/>
      <c r="K170" s="1"/>
      <c r="L170" s="1"/>
      <c r="M170" s="1"/>
      <c r="N170" s="1"/>
      <c r="R170" s="3" t="s">
        <v>303</v>
      </c>
      <c r="S170" s="3" t="s">
        <v>44</v>
      </c>
      <c r="T170" s="3" t="s">
        <v>1090</v>
      </c>
      <c r="U170" s="3" t="s">
        <v>373</v>
      </c>
      <c r="V170" s="3" t="s">
        <v>175</v>
      </c>
      <c r="W170" s="3" t="s">
        <v>1091</v>
      </c>
    </row>
    <row r="171" ht="14.5" spans="2:23">
      <c r="B171" s="1"/>
      <c r="C171" s="1"/>
      <c r="D171" s="1"/>
      <c r="E171" s="1"/>
      <c r="F171" s="1"/>
      <c r="G171" s="1"/>
      <c r="H171" s="1"/>
      <c r="I171" s="1"/>
      <c r="J171" s="1"/>
      <c r="K171" s="1"/>
      <c r="L171" s="1"/>
      <c r="M171" s="1"/>
      <c r="N171" s="1"/>
      <c r="R171" s="3" t="s">
        <v>303</v>
      </c>
      <c r="S171" s="3" t="s">
        <v>47</v>
      </c>
      <c r="T171" s="3" t="s">
        <v>1092</v>
      </c>
      <c r="U171" s="3" t="s">
        <v>373</v>
      </c>
      <c r="V171" s="3" t="s">
        <v>175</v>
      </c>
      <c r="W171" s="3" t="s">
        <v>1093</v>
      </c>
    </row>
    <row r="172" ht="14.5" spans="2:23">
      <c r="B172" s="1"/>
      <c r="C172" s="1"/>
      <c r="D172" s="1"/>
      <c r="E172" s="1"/>
      <c r="F172" s="1"/>
      <c r="G172" s="1"/>
      <c r="H172" s="1"/>
      <c r="I172" s="1"/>
      <c r="J172" s="1"/>
      <c r="K172" s="1"/>
      <c r="L172" s="1"/>
      <c r="M172" s="1"/>
      <c r="N172" s="1"/>
      <c r="R172" s="3" t="s">
        <v>303</v>
      </c>
      <c r="S172" s="3" t="s">
        <v>47</v>
      </c>
      <c r="T172" s="3" t="s">
        <v>1094</v>
      </c>
      <c r="U172" s="3" t="s">
        <v>373</v>
      </c>
      <c r="V172" s="3" t="s">
        <v>175</v>
      </c>
      <c r="W172" s="3" t="s">
        <v>1095</v>
      </c>
    </row>
    <row r="173" ht="14.5" spans="2:23">
      <c r="B173" s="1"/>
      <c r="C173" s="1"/>
      <c r="D173" s="1"/>
      <c r="E173" s="1"/>
      <c r="F173" s="1"/>
      <c r="G173" s="1"/>
      <c r="H173" s="1"/>
      <c r="I173" s="1"/>
      <c r="J173" s="1"/>
      <c r="K173" s="1"/>
      <c r="L173" s="1"/>
      <c r="M173" s="1"/>
      <c r="N173" s="1"/>
      <c r="R173" s="3" t="s">
        <v>303</v>
      </c>
      <c r="S173" s="3" t="s">
        <v>47</v>
      </c>
      <c r="T173" s="3" t="s">
        <v>1096</v>
      </c>
      <c r="U173" s="3" t="s">
        <v>373</v>
      </c>
      <c r="V173" s="3" t="s">
        <v>175</v>
      </c>
      <c r="W173" s="3" t="s">
        <v>1097</v>
      </c>
    </row>
    <row r="174" ht="14.5" spans="2:23">
      <c r="B174" s="1"/>
      <c r="C174" s="1"/>
      <c r="D174" s="1"/>
      <c r="E174" s="1"/>
      <c r="F174" s="1"/>
      <c r="G174" s="1"/>
      <c r="H174" s="1"/>
      <c r="I174" s="1"/>
      <c r="J174" s="1"/>
      <c r="K174" s="1"/>
      <c r="L174" s="1"/>
      <c r="M174" s="1"/>
      <c r="N174" s="1"/>
      <c r="R174" s="3" t="s">
        <v>303</v>
      </c>
      <c r="S174" s="3" t="s">
        <v>47</v>
      </c>
      <c r="T174" s="3" t="s">
        <v>1098</v>
      </c>
      <c r="U174" s="3" t="s">
        <v>373</v>
      </c>
      <c r="V174" s="3" t="s">
        <v>175</v>
      </c>
      <c r="W174" s="3" t="s">
        <v>1099</v>
      </c>
    </row>
    <row r="175" ht="14.5" spans="2:23">
      <c r="B175" s="1"/>
      <c r="C175" s="1"/>
      <c r="D175" s="1"/>
      <c r="E175" s="1"/>
      <c r="F175" s="1"/>
      <c r="G175" s="1"/>
      <c r="H175" s="1"/>
      <c r="I175" s="1"/>
      <c r="J175" s="1"/>
      <c r="K175" s="1"/>
      <c r="L175" s="1"/>
      <c r="M175" s="1"/>
      <c r="N175" s="1"/>
      <c r="R175" s="3" t="s">
        <v>303</v>
      </c>
      <c r="S175" s="3" t="s">
        <v>49</v>
      </c>
      <c r="T175" s="3" t="s">
        <v>1100</v>
      </c>
      <c r="U175" s="3" t="s">
        <v>373</v>
      </c>
      <c r="V175" s="3" t="s">
        <v>175</v>
      </c>
      <c r="W175" s="3" t="s">
        <v>1101</v>
      </c>
    </row>
    <row r="176" ht="14.5" spans="2:23">
      <c r="B176" s="1"/>
      <c r="C176" s="1"/>
      <c r="D176" s="1"/>
      <c r="E176" s="1"/>
      <c r="F176" s="1"/>
      <c r="G176" s="1"/>
      <c r="H176" s="1"/>
      <c r="I176" s="1"/>
      <c r="J176" s="1"/>
      <c r="K176" s="1"/>
      <c r="L176" s="1"/>
      <c r="M176" s="1"/>
      <c r="N176" s="1"/>
      <c r="R176" s="3" t="s">
        <v>303</v>
      </c>
      <c r="S176" s="3" t="s">
        <v>49</v>
      </c>
      <c r="T176" s="3" t="s">
        <v>1102</v>
      </c>
      <c r="U176" s="3" t="s">
        <v>373</v>
      </c>
      <c r="V176" s="3" t="s">
        <v>175</v>
      </c>
      <c r="W176" s="3" t="s">
        <v>1103</v>
      </c>
    </row>
    <row r="177" ht="14.5" spans="2:23">
      <c r="B177" s="1"/>
      <c r="C177" s="1"/>
      <c r="D177" s="1"/>
      <c r="E177" s="1"/>
      <c r="F177" s="1"/>
      <c r="G177" s="1"/>
      <c r="H177" s="1"/>
      <c r="I177" s="1"/>
      <c r="J177" s="1"/>
      <c r="K177" s="1"/>
      <c r="L177" s="1"/>
      <c r="M177" s="1"/>
      <c r="N177" s="1"/>
      <c r="R177" s="3" t="s">
        <v>303</v>
      </c>
      <c r="S177" s="3" t="s">
        <v>52</v>
      </c>
      <c r="T177" s="3" t="s">
        <v>1104</v>
      </c>
      <c r="U177" s="3" t="s">
        <v>373</v>
      </c>
      <c r="V177" s="3" t="s">
        <v>175</v>
      </c>
      <c r="W177" s="3" t="s">
        <v>1105</v>
      </c>
    </row>
    <row r="178" ht="14.5" spans="2:23">
      <c r="B178" s="1"/>
      <c r="C178" s="1"/>
      <c r="D178" s="1"/>
      <c r="E178" s="1"/>
      <c r="F178" s="1"/>
      <c r="G178" s="1"/>
      <c r="H178" s="1"/>
      <c r="I178" s="1"/>
      <c r="J178" s="1"/>
      <c r="K178" s="1"/>
      <c r="L178" s="1"/>
      <c r="M178" s="1"/>
      <c r="N178" s="1"/>
      <c r="R178" s="3" t="s">
        <v>303</v>
      </c>
      <c r="S178" s="3" t="s">
        <v>52</v>
      </c>
      <c r="T178" s="3" t="s">
        <v>1106</v>
      </c>
      <c r="U178" s="3" t="s">
        <v>373</v>
      </c>
      <c r="V178" s="3" t="s">
        <v>175</v>
      </c>
      <c r="W178" s="3" t="s">
        <v>1107</v>
      </c>
    </row>
    <row r="179" ht="14.5" spans="2:23">
      <c r="B179" s="1"/>
      <c r="C179" s="1"/>
      <c r="D179" s="1"/>
      <c r="E179" s="1"/>
      <c r="F179" s="1"/>
      <c r="G179" s="1"/>
      <c r="H179" s="1"/>
      <c r="I179" s="1"/>
      <c r="J179" s="1"/>
      <c r="K179" s="1"/>
      <c r="L179" s="1"/>
      <c r="M179" s="1"/>
      <c r="N179" s="1"/>
      <c r="R179" s="3" t="s">
        <v>303</v>
      </c>
      <c r="S179" s="3" t="s">
        <v>52</v>
      </c>
      <c r="T179" s="3" t="s">
        <v>1108</v>
      </c>
      <c r="U179" s="3" t="s">
        <v>373</v>
      </c>
      <c r="V179" s="3" t="s">
        <v>175</v>
      </c>
      <c r="W179" s="3" t="s">
        <v>1109</v>
      </c>
    </row>
    <row r="180" ht="14.5" spans="2:23">
      <c r="B180" s="1"/>
      <c r="C180" s="1"/>
      <c r="D180" s="1"/>
      <c r="E180" s="1"/>
      <c r="F180" s="1"/>
      <c r="G180" s="1"/>
      <c r="H180" s="1"/>
      <c r="I180" s="1"/>
      <c r="J180" s="1"/>
      <c r="K180" s="1"/>
      <c r="L180" s="1"/>
      <c r="M180" s="1"/>
      <c r="N180" s="1"/>
      <c r="R180" s="3" t="s">
        <v>303</v>
      </c>
      <c r="S180" s="3" t="s">
        <v>52</v>
      </c>
      <c r="T180" s="3" t="s">
        <v>1110</v>
      </c>
      <c r="U180" s="3" t="s">
        <v>373</v>
      </c>
      <c r="V180" s="3" t="s">
        <v>175</v>
      </c>
      <c r="W180" s="3" t="s">
        <v>1111</v>
      </c>
    </row>
    <row r="181" ht="14.5" spans="2:23">
      <c r="B181" s="1"/>
      <c r="C181" s="1"/>
      <c r="D181" s="1"/>
      <c r="E181" s="1"/>
      <c r="F181" s="1"/>
      <c r="G181" s="1"/>
      <c r="H181" s="1"/>
      <c r="I181" s="1"/>
      <c r="J181" s="1"/>
      <c r="K181" s="1"/>
      <c r="L181" s="1"/>
      <c r="M181" s="1"/>
      <c r="N181" s="1"/>
      <c r="R181" s="3" t="s">
        <v>303</v>
      </c>
      <c r="S181" s="3" t="s">
        <v>52</v>
      </c>
      <c r="T181" s="3" t="s">
        <v>1112</v>
      </c>
      <c r="U181" s="3" t="s">
        <v>373</v>
      </c>
      <c r="V181" s="3" t="s">
        <v>175</v>
      </c>
      <c r="W181" s="3" t="s">
        <v>1113</v>
      </c>
    </row>
    <row r="182" ht="14.5" spans="2:23">
      <c r="B182" s="1"/>
      <c r="C182" s="1"/>
      <c r="D182" s="1"/>
      <c r="E182" s="1"/>
      <c r="F182" s="1"/>
      <c r="G182" s="1"/>
      <c r="H182" s="1"/>
      <c r="I182" s="1"/>
      <c r="J182" s="1"/>
      <c r="K182" s="1"/>
      <c r="L182" s="1"/>
      <c r="M182" s="1"/>
      <c r="N182" s="1"/>
      <c r="R182" s="3" t="s">
        <v>303</v>
      </c>
      <c r="S182" s="3" t="s">
        <v>52</v>
      </c>
      <c r="T182" s="3" t="s">
        <v>1114</v>
      </c>
      <c r="U182" s="3" t="s">
        <v>373</v>
      </c>
      <c r="V182" s="3" t="s">
        <v>175</v>
      </c>
      <c r="W182" s="3" t="s">
        <v>1115</v>
      </c>
    </row>
    <row r="183" ht="14.5" spans="2:23">
      <c r="B183" s="1"/>
      <c r="C183" s="1"/>
      <c r="D183" s="1"/>
      <c r="E183" s="1"/>
      <c r="F183" s="1"/>
      <c r="G183" s="1"/>
      <c r="H183" s="1"/>
      <c r="I183" s="1"/>
      <c r="J183" s="1"/>
      <c r="K183" s="1"/>
      <c r="L183" s="1"/>
      <c r="M183" s="1"/>
      <c r="N183" s="1"/>
      <c r="R183" s="3" t="s">
        <v>303</v>
      </c>
      <c r="S183" s="3" t="s">
        <v>52</v>
      </c>
      <c r="T183" s="3" t="s">
        <v>1116</v>
      </c>
      <c r="U183" s="3" t="s">
        <v>373</v>
      </c>
      <c r="V183" s="3" t="s">
        <v>175</v>
      </c>
      <c r="W183" s="3" t="s">
        <v>1117</v>
      </c>
    </row>
    <row r="184" ht="14.5" spans="2:23">
      <c r="B184" s="1"/>
      <c r="C184" s="1"/>
      <c r="D184" s="1"/>
      <c r="E184" s="1"/>
      <c r="F184" s="1"/>
      <c r="G184" s="1"/>
      <c r="H184" s="1"/>
      <c r="I184" s="1"/>
      <c r="J184" s="1"/>
      <c r="K184" s="1"/>
      <c r="L184" s="1"/>
      <c r="M184" s="1"/>
      <c r="N184" s="1"/>
      <c r="R184" s="3" t="s">
        <v>303</v>
      </c>
      <c r="S184" s="3" t="s">
        <v>52</v>
      </c>
      <c r="T184" s="3" t="s">
        <v>1118</v>
      </c>
      <c r="U184" s="3" t="s">
        <v>373</v>
      </c>
      <c r="V184" s="3" t="s">
        <v>175</v>
      </c>
      <c r="W184" s="3" t="s">
        <v>1119</v>
      </c>
    </row>
    <row r="185" ht="14.5" spans="2:23">
      <c r="B185" s="1"/>
      <c r="C185" s="1"/>
      <c r="D185" s="1"/>
      <c r="E185" s="1"/>
      <c r="F185" s="1"/>
      <c r="G185" s="1"/>
      <c r="H185" s="1"/>
      <c r="I185" s="1"/>
      <c r="J185" s="1"/>
      <c r="K185" s="1"/>
      <c r="L185" s="1"/>
      <c r="M185" s="1"/>
      <c r="N185" s="1"/>
      <c r="R185" s="3" t="s">
        <v>303</v>
      </c>
      <c r="S185" s="3" t="s">
        <v>52</v>
      </c>
      <c r="T185" s="3" t="s">
        <v>1120</v>
      </c>
      <c r="U185" s="3" t="s">
        <v>373</v>
      </c>
      <c r="V185" s="3" t="s">
        <v>175</v>
      </c>
      <c r="W185" s="3" t="s">
        <v>1121</v>
      </c>
    </row>
    <row r="186" ht="14.5" spans="2:23">
      <c r="B186" s="1"/>
      <c r="C186" s="1"/>
      <c r="D186" s="1"/>
      <c r="E186" s="1"/>
      <c r="F186" s="1"/>
      <c r="G186" s="1"/>
      <c r="H186" s="1"/>
      <c r="I186" s="1"/>
      <c r="J186" s="1"/>
      <c r="K186" s="1"/>
      <c r="L186" s="1"/>
      <c r="M186" s="1"/>
      <c r="N186" s="1"/>
      <c r="R186" s="3" t="s">
        <v>303</v>
      </c>
      <c r="S186" s="3" t="s">
        <v>52</v>
      </c>
      <c r="T186" s="3" t="s">
        <v>1122</v>
      </c>
      <c r="U186" s="3" t="s">
        <v>373</v>
      </c>
      <c r="V186" s="3" t="s">
        <v>175</v>
      </c>
      <c r="W186" s="3" t="s">
        <v>1123</v>
      </c>
    </row>
    <row r="187" ht="14.5" spans="2:23">
      <c r="B187" s="1"/>
      <c r="C187" s="1"/>
      <c r="D187" s="1"/>
      <c r="E187" s="1"/>
      <c r="F187" s="1"/>
      <c r="G187" s="1"/>
      <c r="H187" s="1"/>
      <c r="I187" s="1"/>
      <c r="J187" s="1"/>
      <c r="K187" s="1"/>
      <c r="L187" s="1"/>
      <c r="M187" s="1"/>
      <c r="N187" s="1"/>
      <c r="R187" s="3" t="s">
        <v>303</v>
      </c>
      <c r="S187" s="3" t="s">
        <v>52</v>
      </c>
      <c r="T187" s="3" t="s">
        <v>1124</v>
      </c>
      <c r="U187" s="3" t="s">
        <v>373</v>
      </c>
      <c r="V187" s="3" t="s">
        <v>175</v>
      </c>
      <c r="W187" s="3" t="s">
        <v>1125</v>
      </c>
    </row>
    <row r="188" ht="14.5" spans="2:23">
      <c r="B188" s="1"/>
      <c r="C188" s="1"/>
      <c r="D188" s="1"/>
      <c r="E188" s="1"/>
      <c r="F188" s="1"/>
      <c r="G188" s="1"/>
      <c r="H188" s="1"/>
      <c r="I188" s="1"/>
      <c r="J188" s="1"/>
      <c r="K188" s="1"/>
      <c r="L188" s="1"/>
      <c r="M188" s="1"/>
      <c r="N188" s="1"/>
      <c r="R188" s="3" t="s">
        <v>303</v>
      </c>
      <c r="S188" s="3" t="s">
        <v>52</v>
      </c>
      <c r="T188" s="3" t="s">
        <v>1126</v>
      </c>
      <c r="U188" s="3" t="s">
        <v>373</v>
      </c>
      <c r="V188" s="3" t="s">
        <v>175</v>
      </c>
      <c r="W188" s="3" t="s">
        <v>1127</v>
      </c>
    </row>
    <row r="189" ht="14.5" spans="2:23">
      <c r="B189" s="1"/>
      <c r="C189" s="1"/>
      <c r="D189" s="1"/>
      <c r="E189" s="1"/>
      <c r="F189" s="1"/>
      <c r="G189" s="1"/>
      <c r="H189" s="1"/>
      <c r="I189" s="1"/>
      <c r="J189" s="1"/>
      <c r="K189" s="1"/>
      <c r="L189" s="1"/>
      <c r="M189" s="1"/>
      <c r="N189" s="1"/>
      <c r="R189" s="3" t="s">
        <v>303</v>
      </c>
      <c r="S189" s="3" t="s">
        <v>52</v>
      </c>
      <c r="T189" s="3" t="s">
        <v>1128</v>
      </c>
      <c r="U189" s="3" t="s">
        <v>373</v>
      </c>
      <c r="V189" s="3" t="s">
        <v>175</v>
      </c>
      <c r="W189" s="3" t="s">
        <v>1129</v>
      </c>
    </row>
    <row r="190" ht="14.5" spans="2:23">
      <c r="B190" s="1"/>
      <c r="C190" s="1"/>
      <c r="D190" s="1"/>
      <c r="E190" s="1"/>
      <c r="F190" s="1"/>
      <c r="G190" s="1"/>
      <c r="H190" s="1"/>
      <c r="I190" s="1"/>
      <c r="J190" s="1"/>
      <c r="K190" s="1"/>
      <c r="L190" s="1"/>
      <c r="M190" s="1"/>
      <c r="N190" s="1"/>
      <c r="R190" s="3" t="s">
        <v>303</v>
      </c>
      <c r="S190" s="3" t="s">
        <v>52</v>
      </c>
      <c r="T190" s="3" t="s">
        <v>1130</v>
      </c>
      <c r="U190" s="3" t="s">
        <v>373</v>
      </c>
      <c r="V190" s="3" t="s">
        <v>175</v>
      </c>
      <c r="W190" s="3" t="s">
        <v>1131</v>
      </c>
    </row>
    <row r="191" ht="14.5" spans="2:23">
      <c r="B191" s="1"/>
      <c r="C191" s="1"/>
      <c r="D191" s="1"/>
      <c r="E191" s="1"/>
      <c r="F191" s="1"/>
      <c r="G191" s="1"/>
      <c r="H191" s="1"/>
      <c r="I191" s="1"/>
      <c r="J191" s="1"/>
      <c r="K191" s="1"/>
      <c r="L191" s="1"/>
      <c r="M191" s="1"/>
      <c r="N191" s="1"/>
      <c r="R191" s="3" t="s">
        <v>303</v>
      </c>
      <c r="S191" s="3" t="s">
        <v>52</v>
      </c>
      <c r="T191" s="3" t="s">
        <v>1132</v>
      </c>
      <c r="U191" s="3" t="s">
        <v>373</v>
      </c>
      <c r="V191" s="3" t="s">
        <v>175</v>
      </c>
      <c r="W191" s="3" t="s">
        <v>1133</v>
      </c>
    </row>
    <row r="192" ht="14.5" spans="2:23">
      <c r="B192" s="1"/>
      <c r="C192" s="1"/>
      <c r="D192" s="1"/>
      <c r="E192" s="1"/>
      <c r="F192" s="1"/>
      <c r="G192" s="1"/>
      <c r="H192" s="1"/>
      <c r="I192" s="1"/>
      <c r="J192" s="1"/>
      <c r="K192" s="1"/>
      <c r="L192" s="1"/>
      <c r="M192" s="1"/>
      <c r="N192" s="1"/>
      <c r="R192" s="3" t="s">
        <v>303</v>
      </c>
      <c r="S192" s="3" t="s">
        <v>52</v>
      </c>
      <c r="T192" s="3" t="s">
        <v>1134</v>
      </c>
      <c r="U192" s="3" t="s">
        <v>373</v>
      </c>
      <c r="V192" s="3" t="s">
        <v>175</v>
      </c>
      <c r="W192" s="3" t="s">
        <v>1135</v>
      </c>
    </row>
    <row r="193" ht="14.5" spans="2:23">
      <c r="B193" s="1"/>
      <c r="C193" s="1"/>
      <c r="D193" s="1"/>
      <c r="E193" s="1"/>
      <c r="F193" s="1"/>
      <c r="G193" s="1"/>
      <c r="H193" s="1"/>
      <c r="I193" s="1"/>
      <c r="J193" s="1"/>
      <c r="K193" s="1"/>
      <c r="L193" s="1"/>
      <c r="M193" s="1"/>
      <c r="N193" s="1"/>
      <c r="R193" s="3" t="s">
        <v>303</v>
      </c>
      <c r="S193" s="3" t="s">
        <v>52</v>
      </c>
      <c r="T193" s="3" t="s">
        <v>1136</v>
      </c>
      <c r="U193" s="3" t="s">
        <v>373</v>
      </c>
      <c r="V193" s="3" t="s">
        <v>175</v>
      </c>
      <c r="W193" s="3" t="s">
        <v>1137</v>
      </c>
    </row>
    <row r="194" ht="14.5" spans="2:23">
      <c r="B194" s="1"/>
      <c r="C194" s="1"/>
      <c r="D194" s="1"/>
      <c r="E194" s="1"/>
      <c r="F194" s="1"/>
      <c r="G194" s="1"/>
      <c r="H194" s="1"/>
      <c r="I194" s="1"/>
      <c r="J194" s="1"/>
      <c r="K194" s="1"/>
      <c r="L194" s="1"/>
      <c r="M194" s="1"/>
      <c r="N194" s="1"/>
      <c r="R194" s="3" t="s">
        <v>303</v>
      </c>
      <c r="S194" s="3" t="s">
        <v>52</v>
      </c>
      <c r="T194" s="3" t="s">
        <v>1138</v>
      </c>
      <c r="U194" s="3" t="s">
        <v>373</v>
      </c>
      <c r="V194" s="3" t="s">
        <v>175</v>
      </c>
      <c r="W194" s="3" t="s">
        <v>1139</v>
      </c>
    </row>
    <row r="195" ht="14.5" spans="2:23">
      <c r="B195" s="1"/>
      <c r="C195" s="1"/>
      <c r="D195" s="1"/>
      <c r="E195" s="1"/>
      <c r="F195" s="1"/>
      <c r="G195" s="1"/>
      <c r="H195" s="1"/>
      <c r="I195" s="1"/>
      <c r="J195" s="1"/>
      <c r="K195" s="1"/>
      <c r="L195" s="1"/>
      <c r="M195" s="1"/>
      <c r="N195" s="1"/>
      <c r="R195" s="3" t="s">
        <v>303</v>
      </c>
      <c r="S195" s="3" t="s">
        <v>52</v>
      </c>
      <c r="T195" s="3" t="s">
        <v>1140</v>
      </c>
      <c r="U195" s="3" t="s">
        <v>373</v>
      </c>
      <c r="V195" s="3" t="s">
        <v>175</v>
      </c>
      <c r="W195" s="3" t="s">
        <v>1141</v>
      </c>
    </row>
    <row r="196" ht="14.5" spans="2:23">
      <c r="B196" s="1"/>
      <c r="C196" s="1"/>
      <c r="D196" s="1"/>
      <c r="E196" s="1"/>
      <c r="F196" s="1"/>
      <c r="G196" s="1"/>
      <c r="H196" s="1"/>
      <c r="I196" s="1"/>
      <c r="J196" s="1"/>
      <c r="K196" s="1"/>
      <c r="L196" s="1"/>
      <c r="M196" s="1"/>
      <c r="N196" s="1"/>
      <c r="R196" s="3" t="s">
        <v>303</v>
      </c>
      <c r="S196" s="3" t="s">
        <v>52</v>
      </c>
      <c r="T196" s="3" t="s">
        <v>1142</v>
      </c>
      <c r="U196" s="3" t="s">
        <v>373</v>
      </c>
      <c r="V196" s="3" t="s">
        <v>175</v>
      </c>
      <c r="W196" s="3" t="s">
        <v>1143</v>
      </c>
    </row>
    <row r="197" ht="14.5" spans="2:23">
      <c r="B197" s="1"/>
      <c r="C197" s="1"/>
      <c r="D197" s="1"/>
      <c r="E197" s="1"/>
      <c r="F197" s="1"/>
      <c r="G197" s="1"/>
      <c r="H197" s="1"/>
      <c r="I197" s="1"/>
      <c r="J197" s="1"/>
      <c r="K197" s="1"/>
      <c r="L197" s="1"/>
      <c r="M197" s="1"/>
      <c r="N197" s="1"/>
      <c r="R197" s="3" t="s">
        <v>303</v>
      </c>
      <c r="S197" s="3" t="s">
        <v>52</v>
      </c>
      <c r="T197" s="3" t="s">
        <v>1144</v>
      </c>
      <c r="U197" s="3" t="s">
        <v>373</v>
      </c>
      <c r="V197" s="3" t="s">
        <v>175</v>
      </c>
      <c r="W197" s="3" t="s">
        <v>1145</v>
      </c>
    </row>
    <row r="198" ht="14.5" spans="2:23">
      <c r="B198" s="1"/>
      <c r="C198" s="1"/>
      <c r="D198" s="1"/>
      <c r="E198" s="1"/>
      <c r="F198" s="1"/>
      <c r="G198" s="1"/>
      <c r="H198" s="1"/>
      <c r="I198" s="1"/>
      <c r="J198" s="1"/>
      <c r="K198" s="1"/>
      <c r="L198" s="1"/>
      <c r="M198" s="1"/>
      <c r="N198" s="1"/>
      <c r="R198" s="3" t="s">
        <v>303</v>
      </c>
      <c r="S198" s="3" t="s">
        <v>52</v>
      </c>
      <c r="T198" s="3" t="s">
        <v>1146</v>
      </c>
      <c r="U198" s="3" t="s">
        <v>373</v>
      </c>
      <c r="V198" s="3" t="s">
        <v>175</v>
      </c>
      <c r="W198" s="3" t="s">
        <v>1147</v>
      </c>
    </row>
    <row r="199" ht="14.5" spans="2:23">
      <c r="B199" s="1"/>
      <c r="C199" s="1"/>
      <c r="D199" s="1"/>
      <c r="E199" s="1"/>
      <c r="F199" s="1"/>
      <c r="G199" s="1"/>
      <c r="H199" s="1"/>
      <c r="I199" s="1"/>
      <c r="J199" s="1"/>
      <c r="K199" s="1"/>
      <c r="L199" s="1"/>
      <c r="M199" s="1"/>
      <c r="N199" s="1"/>
      <c r="R199" s="3" t="s">
        <v>303</v>
      </c>
      <c r="S199" s="3" t="s">
        <v>52</v>
      </c>
      <c r="T199" s="3" t="s">
        <v>1148</v>
      </c>
      <c r="U199" s="3" t="s">
        <v>373</v>
      </c>
      <c r="V199" s="3" t="s">
        <v>175</v>
      </c>
      <c r="W199" s="3" t="s">
        <v>1149</v>
      </c>
    </row>
    <row r="200" ht="14.5" spans="2:23">
      <c r="B200" s="1"/>
      <c r="C200" s="1"/>
      <c r="D200" s="1"/>
      <c r="E200" s="1"/>
      <c r="F200" s="1"/>
      <c r="G200" s="1"/>
      <c r="H200" s="1"/>
      <c r="I200" s="1"/>
      <c r="J200" s="1"/>
      <c r="K200" s="1"/>
      <c r="L200" s="1"/>
      <c r="M200" s="1"/>
      <c r="N200" s="1"/>
      <c r="R200" s="3" t="s">
        <v>303</v>
      </c>
      <c r="S200" s="3" t="s">
        <v>52</v>
      </c>
      <c r="T200" s="3" t="s">
        <v>1150</v>
      </c>
      <c r="U200" s="3" t="s">
        <v>373</v>
      </c>
      <c r="V200" s="3" t="s">
        <v>175</v>
      </c>
      <c r="W200" s="3" t="s">
        <v>1151</v>
      </c>
    </row>
    <row r="201" ht="14.5" spans="2:23">
      <c r="B201" s="1"/>
      <c r="C201" s="1"/>
      <c r="D201" s="1"/>
      <c r="E201" s="1"/>
      <c r="F201" s="1"/>
      <c r="G201" s="1"/>
      <c r="H201" s="1"/>
      <c r="I201" s="1"/>
      <c r="J201" s="1"/>
      <c r="K201" s="1"/>
      <c r="L201" s="1"/>
      <c r="M201" s="1"/>
      <c r="N201" s="1"/>
      <c r="R201" s="3" t="s">
        <v>303</v>
      </c>
      <c r="S201" s="3" t="s">
        <v>52</v>
      </c>
      <c r="T201" s="3" t="s">
        <v>1152</v>
      </c>
      <c r="U201" s="3" t="s">
        <v>373</v>
      </c>
      <c r="V201" s="3" t="s">
        <v>175</v>
      </c>
      <c r="W201" s="3" t="s">
        <v>1153</v>
      </c>
    </row>
    <row r="202" ht="14.5" spans="2:23">
      <c r="B202" s="1"/>
      <c r="C202" s="1"/>
      <c r="D202" s="1"/>
      <c r="E202" s="1"/>
      <c r="F202" s="1"/>
      <c r="G202" s="1"/>
      <c r="H202" s="1"/>
      <c r="I202" s="1"/>
      <c r="J202" s="1"/>
      <c r="K202" s="1"/>
      <c r="L202" s="1"/>
      <c r="M202" s="1"/>
      <c r="N202" s="1"/>
      <c r="R202" s="3" t="s">
        <v>303</v>
      </c>
      <c r="S202" s="3" t="s">
        <v>52</v>
      </c>
      <c r="T202" s="3" t="s">
        <v>1154</v>
      </c>
      <c r="U202" s="3" t="s">
        <v>373</v>
      </c>
      <c r="V202" s="3" t="s">
        <v>175</v>
      </c>
      <c r="W202" s="3" t="s">
        <v>1155</v>
      </c>
    </row>
    <row r="203" ht="14.5" spans="2:23">
      <c r="B203" s="1"/>
      <c r="C203" s="1"/>
      <c r="D203" s="1"/>
      <c r="E203" s="1"/>
      <c r="F203" s="1"/>
      <c r="G203" s="1"/>
      <c r="H203" s="1"/>
      <c r="I203" s="1"/>
      <c r="J203" s="1"/>
      <c r="K203" s="1"/>
      <c r="L203" s="1"/>
      <c r="M203" s="1"/>
      <c r="N203" s="1"/>
      <c r="R203" s="3" t="s">
        <v>303</v>
      </c>
      <c r="S203" s="3" t="s">
        <v>52</v>
      </c>
      <c r="T203" s="3" t="s">
        <v>1156</v>
      </c>
      <c r="U203" s="3" t="s">
        <v>373</v>
      </c>
      <c r="V203" s="3" t="s">
        <v>175</v>
      </c>
      <c r="W203" s="3" t="s">
        <v>1157</v>
      </c>
    </row>
    <row r="204" ht="14.5" spans="2:23">
      <c r="B204" s="1"/>
      <c r="C204" s="1"/>
      <c r="D204" s="1"/>
      <c r="E204" s="1"/>
      <c r="F204" s="1"/>
      <c r="G204" s="1"/>
      <c r="H204" s="1"/>
      <c r="I204" s="1"/>
      <c r="J204" s="1"/>
      <c r="K204" s="1"/>
      <c r="L204" s="1"/>
      <c r="M204" s="1"/>
      <c r="N204" s="1"/>
      <c r="R204" s="3" t="s">
        <v>303</v>
      </c>
      <c r="S204" s="3" t="s">
        <v>52</v>
      </c>
      <c r="T204" s="3" t="s">
        <v>1158</v>
      </c>
      <c r="U204" s="3" t="s">
        <v>373</v>
      </c>
      <c r="V204" s="3" t="s">
        <v>175</v>
      </c>
      <c r="W204" s="3" t="s">
        <v>1159</v>
      </c>
    </row>
    <row r="205" ht="14.5" spans="2:23">
      <c r="B205" s="1"/>
      <c r="C205" s="1"/>
      <c r="D205" s="1"/>
      <c r="E205" s="1"/>
      <c r="F205" s="1"/>
      <c r="G205" s="1"/>
      <c r="H205" s="1"/>
      <c r="I205" s="1"/>
      <c r="J205" s="1"/>
      <c r="K205" s="1"/>
      <c r="L205" s="1"/>
      <c r="M205" s="1"/>
      <c r="N205" s="1"/>
      <c r="R205" s="3" t="s">
        <v>303</v>
      </c>
      <c r="S205" s="3" t="s">
        <v>52</v>
      </c>
      <c r="T205" s="3" t="s">
        <v>1160</v>
      </c>
      <c r="U205" s="3" t="s">
        <v>373</v>
      </c>
      <c r="V205" s="3" t="s">
        <v>175</v>
      </c>
      <c r="W205" s="3" t="s">
        <v>1161</v>
      </c>
    </row>
    <row r="206" ht="14.5" spans="2:23">
      <c r="B206" s="1"/>
      <c r="C206" s="1"/>
      <c r="D206" s="1"/>
      <c r="E206" s="1"/>
      <c r="F206" s="1"/>
      <c r="G206" s="1"/>
      <c r="H206" s="1"/>
      <c r="I206" s="1"/>
      <c r="J206" s="1"/>
      <c r="K206" s="1"/>
      <c r="L206" s="1"/>
      <c r="M206" s="1"/>
      <c r="N206" s="1"/>
      <c r="R206" s="3" t="s">
        <v>303</v>
      </c>
      <c r="S206" s="3" t="s">
        <v>52</v>
      </c>
      <c r="T206" s="3" t="s">
        <v>1162</v>
      </c>
      <c r="U206" s="3" t="s">
        <v>373</v>
      </c>
      <c r="V206" s="3" t="s">
        <v>175</v>
      </c>
      <c r="W206" s="3" t="s">
        <v>1163</v>
      </c>
    </row>
    <row r="207" ht="14.5" spans="2:23">
      <c r="B207" s="1"/>
      <c r="C207" s="1"/>
      <c r="D207" s="1"/>
      <c r="E207" s="1"/>
      <c r="F207" s="1"/>
      <c r="G207" s="1"/>
      <c r="H207" s="1"/>
      <c r="I207" s="1"/>
      <c r="J207" s="1"/>
      <c r="K207" s="1"/>
      <c r="L207" s="1"/>
      <c r="M207" s="1"/>
      <c r="N207" s="1"/>
      <c r="R207" s="3" t="s">
        <v>303</v>
      </c>
      <c r="S207" s="3" t="s">
        <v>52</v>
      </c>
      <c r="T207" s="3" t="s">
        <v>1164</v>
      </c>
      <c r="U207" s="3" t="s">
        <v>373</v>
      </c>
      <c r="V207" s="3" t="s">
        <v>175</v>
      </c>
      <c r="W207" s="3" t="s">
        <v>1165</v>
      </c>
    </row>
    <row r="208" ht="14.5" spans="2:23">
      <c r="B208" s="1"/>
      <c r="C208" s="1"/>
      <c r="D208" s="1"/>
      <c r="E208" s="1"/>
      <c r="F208" s="1"/>
      <c r="G208" s="1"/>
      <c r="H208" s="1"/>
      <c r="I208" s="1"/>
      <c r="J208" s="1"/>
      <c r="K208" s="1"/>
      <c r="L208" s="1"/>
      <c r="M208" s="1"/>
      <c r="N208" s="1"/>
      <c r="R208" s="3" t="s">
        <v>303</v>
      </c>
      <c r="S208" s="3" t="s">
        <v>52</v>
      </c>
      <c r="T208" s="3" t="s">
        <v>1166</v>
      </c>
      <c r="U208" s="3" t="s">
        <v>373</v>
      </c>
      <c r="V208" s="3" t="s">
        <v>175</v>
      </c>
      <c r="W208" s="3" t="s">
        <v>1167</v>
      </c>
    </row>
    <row r="209" ht="14.5" spans="2:23">
      <c r="B209" s="1"/>
      <c r="C209" s="1"/>
      <c r="D209" s="1"/>
      <c r="E209" s="1"/>
      <c r="F209" s="1"/>
      <c r="G209" s="1"/>
      <c r="H209" s="1"/>
      <c r="I209" s="1"/>
      <c r="J209" s="1"/>
      <c r="K209" s="1"/>
      <c r="L209" s="1"/>
      <c r="M209" s="1"/>
      <c r="N209" s="1"/>
      <c r="R209" s="3" t="s">
        <v>303</v>
      </c>
      <c r="S209" s="3" t="s">
        <v>52</v>
      </c>
      <c r="T209" s="3" t="s">
        <v>1168</v>
      </c>
      <c r="U209" s="3" t="s">
        <v>373</v>
      </c>
      <c r="V209" s="3" t="s">
        <v>175</v>
      </c>
      <c r="W209" s="3" t="s">
        <v>1169</v>
      </c>
    </row>
    <row r="210" ht="14.5" spans="2:23">
      <c r="B210" s="1"/>
      <c r="C210" s="1"/>
      <c r="D210" s="1"/>
      <c r="E210" s="1"/>
      <c r="F210" s="1"/>
      <c r="G210" s="1"/>
      <c r="H210" s="1"/>
      <c r="I210" s="1"/>
      <c r="J210" s="1"/>
      <c r="K210" s="1"/>
      <c r="L210" s="1"/>
      <c r="M210" s="1"/>
      <c r="N210" s="1"/>
      <c r="R210" s="3" t="s">
        <v>303</v>
      </c>
      <c r="S210" s="3" t="s">
        <v>52</v>
      </c>
      <c r="T210" s="3" t="s">
        <v>1170</v>
      </c>
      <c r="U210" s="3" t="s">
        <v>373</v>
      </c>
      <c r="V210" s="3" t="s">
        <v>175</v>
      </c>
      <c r="W210" s="3" t="s">
        <v>1171</v>
      </c>
    </row>
    <row r="211" ht="14.5" spans="2:23">
      <c r="B211" s="1"/>
      <c r="C211" s="1"/>
      <c r="D211" s="1"/>
      <c r="E211" s="1"/>
      <c r="F211" s="1"/>
      <c r="G211" s="1"/>
      <c r="H211" s="1"/>
      <c r="I211" s="1"/>
      <c r="J211" s="1"/>
      <c r="K211" s="1"/>
      <c r="L211" s="1"/>
      <c r="M211" s="1"/>
      <c r="N211" s="1"/>
      <c r="R211" s="3" t="s">
        <v>303</v>
      </c>
      <c r="S211" s="3" t="s">
        <v>52</v>
      </c>
      <c r="T211" s="3" t="s">
        <v>1172</v>
      </c>
      <c r="U211" s="3" t="s">
        <v>373</v>
      </c>
      <c r="V211" s="3" t="s">
        <v>175</v>
      </c>
      <c r="W211" s="3" t="s">
        <v>1173</v>
      </c>
    </row>
    <row r="212" ht="14.5" spans="2:23">
      <c r="B212" s="1"/>
      <c r="C212" s="1"/>
      <c r="D212" s="1"/>
      <c r="E212" s="1"/>
      <c r="F212" s="1"/>
      <c r="G212" s="1"/>
      <c r="H212" s="1"/>
      <c r="I212" s="1"/>
      <c r="J212" s="1"/>
      <c r="K212" s="1"/>
      <c r="L212" s="1"/>
      <c r="M212" s="1"/>
      <c r="N212" s="1"/>
      <c r="R212" s="3" t="s">
        <v>303</v>
      </c>
      <c r="S212" s="3" t="s">
        <v>52</v>
      </c>
      <c r="T212" s="3" t="s">
        <v>1174</v>
      </c>
      <c r="U212" s="3" t="s">
        <v>373</v>
      </c>
      <c r="V212" s="3" t="s">
        <v>175</v>
      </c>
      <c r="W212" s="3" t="s">
        <v>1175</v>
      </c>
    </row>
    <row r="213" ht="14.5" spans="2:23">
      <c r="B213" s="1"/>
      <c r="C213" s="1"/>
      <c r="D213" s="1"/>
      <c r="E213" s="1"/>
      <c r="F213" s="1"/>
      <c r="G213" s="1"/>
      <c r="H213" s="1"/>
      <c r="I213" s="1"/>
      <c r="J213" s="1"/>
      <c r="K213" s="1"/>
      <c r="L213" s="1"/>
      <c r="M213" s="1"/>
      <c r="N213" s="1"/>
      <c r="R213" s="3" t="s">
        <v>303</v>
      </c>
      <c r="S213" s="3" t="s">
        <v>52</v>
      </c>
      <c r="T213" s="3" t="s">
        <v>1176</v>
      </c>
      <c r="U213" s="3" t="s">
        <v>373</v>
      </c>
      <c r="V213" s="3" t="s">
        <v>175</v>
      </c>
      <c r="W213" s="3" t="s">
        <v>1177</v>
      </c>
    </row>
    <row r="214" ht="14.5" spans="2:23">
      <c r="B214" s="1"/>
      <c r="C214" s="1"/>
      <c r="D214" s="1"/>
      <c r="E214" s="1"/>
      <c r="F214" s="1"/>
      <c r="G214" s="1"/>
      <c r="H214" s="1"/>
      <c r="I214" s="1"/>
      <c r="J214" s="1"/>
      <c r="K214" s="1"/>
      <c r="L214" s="1"/>
      <c r="M214" s="1"/>
      <c r="N214" s="1"/>
      <c r="R214" s="3" t="s">
        <v>303</v>
      </c>
      <c r="S214" s="3" t="s">
        <v>52</v>
      </c>
      <c r="T214" s="3" t="s">
        <v>1178</v>
      </c>
      <c r="U214" s="3" t="s">
        <v>373</v>
      </c>
      <c r="V214" s="3" t="s">
        <v>175</v>
      </c>
      <c r="W214" s="3" t="s">
        <v>1179</v>
      </c>
    </row>
    <row r="215" ht="14.5" spans="2:23">
      <c r="B215" s="1"/>
      <c r="C215" s="1"/>
      <c r="D215" s="1"/>
      <c r="E215" s="1"/>
      <c r="F215" s="1"/>
      <c r="G215" s="1"/>
      <c r="H215" s="1"/>
      <c r="I215" s="1"/>
      <c r="J215" s="1"/>
      <c r="K215" s="1"/>
      <c r="L215" s="1"/>
      <c r="M215" s="1"/>
      <c r="N215" s="1"/>
      <c r="R215" s="3" t="s">
        <v>303</v>
      </c>
      <c r="S215" s="3" t="s">
        <v>52</v>
      </c>
      <c r="T215" s="3" t="s">
        <v>1180</v>
      </c>
      <c r="U215" s="3" t="s">
        <v>373</v>
      </c>
      <c r="V215" s="3" t="s">
        <v>175</v>
      </c>
      <c r="W215" s="3" t="s">
        <v>1181</v>
      </c>
    </row>
    <row r="216" ht="14.5" spans="2:23">
      <c r="B216" s="1"/>
      <c r="C216" s="1"/>
      <c r="D216" s="1"/>
      <c r="E216" s="1"/>
      <c r="F216" s="1"/>
      <c r="G216" s="1"/>
      <c r="H216" s="1"/>
      <c r="I216" s="1"/>
      <c r="J216" s="1"/>
      <c r="K216" s="1"/>
      <c r="L216" s="1"/>
      <c r="M216" s="1"/>
      <c r="N216" s="1"/>
      <c r="R216" s="3" t="s">
        <v>303</v>
      </c>
      <c r="S216" s="3" t="s">
        <v>52</v>
      </c>
      <c r="T216" s="3" t="s">
        <v>1182</v>
      </c>
      <c r="U216" s="3" t="s">
        <v>373</v>
      </c>
      <c r="V216" s="3" t="s">
        <v>175</v>
      </c>
      <c r="W216" s="3" t="s">
        <v>1183</v>
      </c>
    </row>
    <row r="217" ht="14.5" spans="2:23">
      <c r="B217" s="1"/>
      <c r="C217" s="1"/>
      <c r="D217" s="1"/>
      <c r="E217" s="1"/>
      <c r="F217" s="1"/>
      <c r="G217" s="1"/>
      <c r="H217" s="1"/>
      <c r="I217" s="1"/>
      <c r="J217" s="1"/>
      <c r="K217" s="1"/>
      <c r="L217" s="1"/>
      <c r="M217" s="1"/>
      <c r="N217" s="1"/>
      <c r="R217" s="3" t="s">
        <v>303</v>
      </c>
      <c r="S217" s="3" t="s">
        <v>52</v>
      </c>
      <c r="T217" s="3" t="s">
        <v>1184</v>
      </c>
      <c r="U217" s="3" t="s">
        <v>373</v>
      </c>
      <c r="V217" s="3" t="s">
        <v>175</v>
      </c>
      <c r="W217" s="3" t="s">
        <v>1185</v>
      </c>
    </row>
    <row r="218" ht="14.5" spans="2:23">
      <c r="B218" s="1"/>
      <c r="C218" s="1"/>
      <c r="D218" s="1"/>
      <c r="E218" s="1"/>
      <c r="F218" s="1"/>
      <c r="G218" s="1"/>
      <c r="H218" s="1"/>
      <c r="I218" s="1"/>
      <c r="J218" s="1"/>
      <c r="K218" s="1"/>
      <c r="L218" s="1"/>
      <c r="M218" s="1"/>
      <c r="N218" s="1"/>
      <c r="R218" s="3" t="s">
        <v>303</v>
      </c>
      <c r="S218" s="3" t="s">
        <v>52</v>
      </c>
      <c r="T218" s="3" t="s">
        <v>1186</v>
      </c>
      <c r="U218" s="3" t="s">
        <v>373</v>
      </c>
      <c r="V218" s="3" t="s">
        <v>175</v>
      </c>
      <c r="W218" s="3" t="s">
        <v>1187</v>
      </c>
    </row>
    <row r="219" ht="14.5" spans="2:23">
      <c r="B219" s="1"/>
      <c r="C219" s="1"/>
      <c r="D219" s="1"/>
      <c r="E219" s="1"/>
      <c r="F219" s="1"/>
      <c r="G219" s="1"/>
      <c r="H219" s="1"/>
      <c r="I219" s="1"/>
      <c r="J219" s="1"/>
      <c r="K219" s="1"/>
      <c r="L219" s="1"/>
      <c r="M219" s="1"/>
      <c r="N219" s="1"/>
      <c r="R219" s="3" t="s">
        <v>303</v>
      </c>
      <c r="S219" s="3" t="s">
        <v>52</v>
      </c>
      <c r="T219" s="3" t="s">
        <v>1188</v>
      </c>
      <c r="U219" s="3" t="s">
        <v>373</v>
      </c>
      <c r="V219" s="3" t="s">
        <v>175</v>
      </c>
      <c r="W219" s="3" t="s">
        <v>1189</v>
      </c>
    </row>
    <row r="220" ht="14.5" spans="2:23">
      <c r="B220" s="1"/>
      <c r="C220" s="1"/>
      <c r="D220" s="1"/>
      <c r="E220" s="1"/>
      <c r="F220" s="1"/>
      <c r="G220" s="1"/>
      <c r="H220" s="1"/>
      <c r="I220" s="1"/>
      <c r="J220" s="1"/>
      <c r="K220" s="1"/>
      <c r="L220" s="1"/>
      <c r="M220" s="1"/>
      <c r="N220" s="1"/>
      <c r="R220" s="3" t="s">
        <v>303</v>
      </c>
      <c r="S220" s="3" t="s">
        <v>52</v>
      </c>
      <c r="T220" s="3" t="s">
        <v>1190</v>
      </c>
      <c r="U220" s="3" t="s">
        <v>373</v>
      </c>
      <c r="V220" s="3" t="s">
        <v>175</v>
      </c>
      <c r="W220" s="3" t="s">
        <v>1191</v>
      </c>
    </row>
    <row r="221" ht="14.5" spans="2:23">
      <c r="B221" s="1"/>
      <c r="C221" s="1"/>
      <c r="D221" s="1"/>
      <c r="E221" s="1"/>
      <c r="F221" s="1"/>
      <c r="G221" s="1"/>
      <c r="H221" s="1"/>
      <c r="I221" s="1"/>
      <c r="J221" s="1"/>
      <c r="K221" s="1"/>
      <c r="L221" s="1"/>
      <c r="M221" s="1"/>
      <c r="N221" s="1"/>
      <c r="R221" s="3" t="s">
        <v>303</v>
      </c>
      <c r="S221" s="3" t="s">
        <v>52</v>
      </c>
      <c r="T221" s="3" t="s">
        <v>1192</v>
      </c>
      <c r="U221" s="3" t="s">
        <v>373</v>
      </c>
      <c r="V221" s="3" t="s">
        <v>175</v>
      </c>
      <c r="W221" s="3" t="s">
        <v>1193</v>
      </c>
    </row>
    <row r="222" ht="14.5" spans="2:23">
      <c r="B222" s="1"/>
      <c r="C222" s="1"/>
      <c r="D222" s="1"/>
      <c r="E222" s="1"/>
      <c r="F222" s="1"/>
      <c r="G222" s="1"/>
      <c r="H222" s="1"/>
      <c r="I222" s="1"/>
      <c r="J222" s="1"/>
      <c r="K222" s="1"/>
      <c r="L222" s="1"/>
      <c r="M222" s="1"/>
      <c r="N222" s="1"/>
      <c r="R222" s="3" t="s">
        <v>303</v>
      </c>
      <c r="S222" s="3" t="s">
        <v>52</v>
      </c>
      <c r="T222" s="3" t="s">
        <v>1194</v>
      </c>
      <c r="U222" s="3" t="s">
        <v>373</v>
      </c>
      <c r="V222" s="3" t="s">
        <v>175</v>
      </c>
      <c r="W222" s="3" t="s">
        <v>1195</v>
      </c>
    </row>
    <row r="223" ht="14.5" spans="2:23">
      <c r="B223" s="1"/>
      <c r="C223" s="1"/>
      <c r="D223" s="1"/>
      <c r="E223" s="1"/>
      <c r="F223" s="1"/>
      <c r="G223" s="1"/>
      <c r="H223" s="1"/>
      <c r="I223" s="1"/>
      <c r="J223" s="1"/>
      <c r="K223" s="1"/>
      <c r="L223" s="1"/>
      <c r="M223" s="1"/>
      <c r="N223" s="1"/>
      <c r="R223" s="3" t="s">
        <v>303</v>
      </c>
      <c r="S223" s="3" t="s">
        <v>52</v>
      </c>
      <c r="T223" s="3" t="s">
        <v>1196</v>
      </c>
      <c r="U223" s="3" t="s">
        <v>373</v>
      </c>
      <c r="V223" s="3" t="s">
        <v>175</v>
      </c>
      <c r="W223" s="3" t="s">
        <v>1197</v>
      </c>
    </row>
    <row r="224" ht="14.5" spans="2:23">
      <c r="B224" s="1"/>
      <c r="C224" s="1"/>
      <c r="D224" s="1"/>
      <c r="E224" s="1"/>
      <c r="F224" s="1"/>
      <c r="G224" s="1"/>
      <c r="H224" s="1"/>
      <c r="I224" s="1"/>
      <c r="J224" s="1"/>
      <c r="K224" s="1"/>
      <c r="L224" s="1"/>
      <c r="M224" s="1"/>
      <c r="N224" s="1"/>
      <c r="R224" s="3" t="s">
        <v>303</v>
      </c>
      <c r="S224" s="3" t="s">
        <v>52</v>
      </c>
      <c r="T224" s="3" t="s">
        <v>1198</v>
      </c>
      <c r="U224" s="3" t="s">
        <v>373</v>
      </c>
      <c r="V224" s="3" t="s">
        <v>175</v>
      </c>
      <c r="W224" s="3" t="s">
        <v>1199</v>
      </c>
    </row>
    <row r="225" ht="14.5" spans="2:23">
      <c r="B225" s="1"/>
      <c r="C225" s="1"/>
      <c r="D225" s="1"/>
      <c r="E225" s="1"/>
      <c r="F225" s="1"/>
      <c r="G225" s="1"/>
      <c r="H225" s="1"/>
      <c r="I225" s="1"/>
      <c r="J225" s="1"/>
      <c r="K225" s="1"/>
      <c r="L225" s="1"/>
      <c r="M225" s="1"/>
      <c r="N225" s="1"/>
      <c r="R225" s="3" t="s">
        <v>303</v>
      </c>
      <c r="S225" s="3" t="s">
        <v>52</v>
      </c>
      <c r="T225" s="3" t="s">
        <v>1200</v>
      </c>
      <c r="U225" s="3" t="s">
        <v>373</v>
      </c>
      <c r="V225" s="3" t="s">
        <v>175</v>
      </c>
      <c r="W225" s="3" t="s">
        <v>1201</v>
      </c>
    </row>
    <row r="226" ht="14.5" spans="2:23">
      <c r="B226" s="1"/>
      <c r="C226" s="1"/>
      <c r="D226" s="1"/>
      <c r="E226" s="1"/>
      <c r="F226" s="1"/>
      <c r="G226" s="1"/>
      <c r="H226" s="1"/>
      <c r="I226" s="1"/>
      <c r="J226" s="1"/>
      <c r="K226" s="1"/>
      <c r="L226" s="1"/>
      <c r="M226" s="1"/>
      <c r="N226" s="1"/>
      <c r="R226" s="3" t="s">
        <v>303</v>
      </c>
      <c r="S226" s="3" t="s">
        <v>52</v>
      </c>
      <c r="T226" s="3" t="s">
        <v>1202</v>
      </c>
      <c r="U226" s="3" t="s">
        <v>373</v>
      </c>
      <c r="V226" s="3" t="s">
        <v>175</v>
      </c>
      <c r="W226" s="3" t="s">
        <v>1203</v>
      </c>
    </row>
    <row r="227" ht="14.5" spans="2:23">
      <c r="B227" s="1"/>
      <c r="C227" s="1"/>
      <c r="D227" s="1"/>
      <c r="E227" s="1"/>
      <c r="F227" s="1"/>
      <c r="G227" s="1"/>
      <c r="H227" s="1"/>
      <c r="I227" s="1"/>
      <c r="J227" s="1"/>
      <c r="K227" s="1"/>
      <c r="L227" s="1"/>
      <c r="M227" s="1"/>
      <c r="N227" s="1"/>
      <c r="R227" s="3" t="s">
        <v>303</v>
      </c>
      <c r="S227" s="3" t="s">
        <v>52</v>
      </c>
      <c r="T227" s="3" t="s">
        <v>1204</v>
      </c>
      <c r="U227" s="3" t="s">
        <v>373</v>
      </c>
      <c r="V227" s="3" t="s">
        <v>175</v>
      </c>
      <c r="W227" s="3" t="s">
        <v>1205</v>
      </c>
    </row>
    <row r="228" ht="14.5" spans="2:23">
      <c r="B228" s="1"/>
      <c r="C228" s="1"/>
      <c r="D228" s="1"/>
      <c r="E228" s="1"/>
      <c r="F228" s="1"/>
      <c r="G228" s="1"/>
      <c r="H228" s="1"/>
      <c r="I228" s="1"/>
      <c r="J228" s="1"/>
      <c r="K228" s="1"/>
      <c r="L228" s="1"/>
      <c r="M228" s="1"/>
      <c r="N228" s="1"/>
      <c r="R228" s="3" t="s">
        <v>303</v>
      </c>
      <c r="S228" s="3" t="s">
        <v>52</v>
      </c>
      <c r="T228" s="3" t="s">
        <v>1206</v>
      </c>
      <c r="U228" s="3" t="s">
        <v>373</v>
      </c>
      <c r="V228" s="3" t="s">
        <v>175</v>
      </c>
      <c r="W228" s="3" t="s">
        <v>1207</v>
      </c>
    </row>
    <row r="229" ht="14.5" spans="2:23">
      <c r="B229" s="1"/>
      <c r="C229" s="1"/>
      <c r="D229" s="1"/>
      <c r="E229" s="1"/>
      <c r="F229" s="1"/>
      <c r="G229" s="1"/>
      <c r="H229" s="1"/>
      <c r="I229" s="1"/>
      <c r="J229" s="1"/>
      <c r="K229" s="1"/>
      <c r="L229" s="1"/>
      <c r="M229" s="1"/>
      <c r="N229" s="1"/>
      <c r="R229" s="3" t="s">
        <v>303</v>
      </c>
      <c r="S229" s="3" t="s">
        <v>52</v>
      </c>
      <c r="T229" s="3" t="s">
        <v>1208</v>
      </c>
      <c r="U229" s="3" t="s">
        <v>373</v>
      </c>
      <c r="V229" s="3" t="s">
        <v>175</v>
      </c>
      <c r="W229" s="3" t="s">
        <v>1209</v>
      </c>
    </row>
    <row r="230" ht="14.5" spans="2:23">
      <c r="B230" s="1"/>
      <c r="C230" s="1"/>
      <c r="D230" s="1"/>
      <c r="E230" s="1"/>
      <c r="F230" s="1"/>
      <c r="G230" s="1"/>
      <c r="H230" s="1"/>
      <c r="I230" s="1"/>
      <c r="J230" s="1"/>
      <c r="K230" s="1"/>
      <c r="L230" s="1"/>
      <c r="M230" s="1"/>
      <c r="N230" s="1"/>
      <c r="R230" s="3" t="s">
        <v>303</v>
      </c>
      <c r="S230" s="3" t="s">
        <v>52</v>
      </c>
      <c r="T230" s="3" t="s">
        <v>1210</v>
      </c>
      <c r="U230" s="3" t="s">
        <v>373</v>
      </c>
      <c r="V230" s="3" t="s">
        <v>175</v>
      </c>
      <c r="W230" s="3" t="s">
        <v>1211</v>
      </c>
    </row>
    <row r="231" ht="14.5" spans="2:23">
      <c r="B231" s="1"/>
      <c r="C231" s="1"/>
      <c r="D231" s="1"/>
      <c r="E231" s="1"/>
      <c r="F231" s="1"/>
      <c r="G231" s="1"/>
      <c r="H231" s="1"/>
      <c r="I231" s="1"/>
      <c r="J231" s="1"/>
      <c r="K231" s="1"/>
      <c r="L231" s="1"/>
      <c r="M231" s="1"/>
      <c r="N231" s="1"/>
      <c r="R231" s="3" t="s">
        <v>303</v>
      </c>
      <c r="S231" s="3" t="s">
        <v>52</v>
      </c>
      <c r="T231" s="3" t="s">
        <v>1212</v>
      </c>
      <c r="U231" s="3" t="s">
        <v>373</v>
      </c>
      <c r="V231" s="3" t="s">
        <v>175</v>
      </c>
      <c r="W231" s="3" t="s">
        <v>1213</v>
      </c>
    </row>
    <row r="232" ht="14.5" spans="2:23">
      <c r="B232" s="1"/>
      <c r="C232" s="1"/>
      <c r="D232" s="1"/>
      <c r="E232" s="1"/>
      <c r="F232" s="1"/>
      <c r="G232" s="1"/>
      <c r="H232" s="1"/>
      <c r="I232" s="1"/>
      <c r="J232" s="1"/>
      <c r="K232" s="1"/>
      <c r="L232" s="1"/>
      <c r="M232" s="1"/>
      <c r="N232" s="1"/>
      <c r="R232" s="3" t="s">
        <v>303</v>
      </c>
      <c r="S232" s="3" t="s">
        <v>52</v>
      </c>
      <c r="T232" s="3" t="s">
        <v>1214</v>
      </c>
      <c r="U232" s="3" t="s">
        <v>373</v>
      </c>
      <c r="V232" s="3" t="s">
        <v>175</v>
      </c>
      <c r="W232" s="3" t="s">
        <v>1215</v>
      </c>
    </row>
    <row r="233" ht="14.5" spans="2:23">
      <c r="B233" s="1"/>
      <c r="C233" s="1"/>
      <c r="D233" s="1"/>
      <c r="E233" s="1"/>
      <c r="F233" s="1"/>
      <c r="G233" s="1"/>
      <c r="H233" s="1"/>
      <c r="I233" s="1"/>
      <c r="J233" s="1"/>
      <c r="K233" s="1"/>
      <c r="L233" s="1"/>
      <c r="M233" s="1"/>
      <c r="N233" s="1"/>
      <c r="R233" s="3" t="s">
        <v>303</v>
      </c>
      <c r="S233" s="3" t="s">
        <v>52</v>
      </c>
      <c r="T233" s="3" t="s">
        <v>1216</v>
      </c>
      <c r="U233" s="3" t="s">
        <v>373</v>
      </c>
      <c r="V233" s="3" t="s">
        <v>175</v>
      </c>
      <c r="W233" s="3" t="s">
        <v>1217</v>
      </c>
    </row>
    <row r="234" ht="14.5" spans="2:23">
      <c r="B234" s="1"/>
      <c r="C234" s="1"/>
      <c r="D234" s="1"/>
      <c r="E234" s="1"/>
      <c r="F234" s="1"/>
      <c r="G234" s="1"/>
      <c r="H234" s="1"/>
      <c r="I234" s="1"/>
      <c r="J234" s="1"/>
      <c r="K234" s="1"/>
      <c r="L234" s="1"/>
      <c r="M234" s="1"/>
      <c r="N234" s="1"/>
      <c r="R234" s="3" t="s">
        <v>303</v>
      </c>
      <c r="S234" s="3" t="s">
        <v>52</v>
      </c>
      <c r="T234" s="3" t="s">
        <v>1218</v>
      </c>
      <c r="U234" s="3" t="s">
        <v>373</v>
      </c>
      <c r="V234" s="3" t="s">
        <v>175</v>
      </c>
      <c r="W234" s="3" t="s">
        <v>1219</v>
      </c>
    </row>
    <row r="235" ht="14.5" spans="2:23">
      <c r="B235" s="1"/>
      <c r="C235" s="1"/>
      <c r="D235" s="1"/>
      <c r="E235" s="1"/>
      <c r="F235" s="1"/>
      <c r="G235" s="1"/>
      <c r="H235" s="1"/>
      <c r="I235" s="1"/>
      <c r="J235" s="1"/>
      <c r="K235" s="1"/>
      <c r="L235" s="1"/>
      <c r="M235" s="1"/>
      <c r="N235" s="1"/>
      <c r="R235" s="3" t="s">
        <v>303</v>
      </c>
      <c r="S235" s="3" t="s">
        <v>52</v>
      </c>
      <c r="T235" s="3" t="s">
        <v>1220</v>
      </c>
      <c r="U235" s="3" t="s">
        <v>373</v>
      </c>
      <c r="V235" s="3" t="s">
        <v>175</v>
      </c>
      <c r="W235" s="3" t="s">
        <v>1221</v>
      </c>
    </row>
    <row r="236" ht="14.5" spans="2:23">
      <c r="B236" s="1"/>
      <c r="C236" s="1"/>
      <c r="D236" s="1"/>
      <c r="E236" s="1"/>
      <c r="F236" s="1"/>
      <c r="G236" s="1"/>
      <c r="H236" s="1"/>
      <c r="I236" s="1"/>
      <c r="J236" s="1"/>
      <c r="K236" s="1"/>
      <c r="L236" s="1"/>
      <c r="M236" s="1"/>
      <c r="N236" s="1"/>
      <c r="R236" s="3" t="s">
        <v>303</v>
      </c>
      <c r="S236" s="3" t="s">
        <v>52</v>
      </c>
      <c r="T236" s="3" t="s">
        <v>1222</v>
      </c>
      <c r="U236" s="3" t="s">
        <v>373</v>
      </c>
      <c r="V236" s="3" t="s">
        <v>175</v>
      </c>
      <c r="W236" s="3" t="s">
        <v>1223</v>
      </c>
    </row>
    <row r="237" ht="14.5" spans="2:23">
      <c r="B237" s="1"/>
      <c r="C237" s="1"/>
      <c r="D237" s="1"/>
      <c r="E237" s="1"/>
      <c r="F237" s="1"/>
      <c r="G237" s="1"/>
      <c r="H237" s="1"/>
      <c r="I237" s="1"/>
      <c r="J237" s="1"/>
      <c r="K237" s="1"/>
      <c r="L237" s="1"/>
      <c r="M237" s="1"/>
      <c r="N237" s="1"/>
      <c r="R237" s="3" t="s">
        <v>303</v>
      </c>
      <c r="S237" s="3" t="s">
        <v>52</v>
      </c>
      <c r="T237" s="3" t="s">
        <v>1224</v>
      </c>
      <c r="U237" s="3" t="s">
        <v>373</v>
      </c>
      <c r="V237" s="3" t="s">
        <v>175</v>
      </c>
      <c r="W237" s="3" t="s">
        <v>1225</v>
      </c>
    </row>
    <row r="238" ht="14.5" spans="2:23">
      <c r="B238" s="1"/>
      <c r="C238" s="1"/>
      <c r="D238" s="1"/>
      <c r="E238" s="1"/>
      <c r="F238" s="1"/>
      <c r="G238" s="1"/>
      <c r="H238" s="1"/>
      <c r="I238" s="1"/>
      <c r="J238" s="1"/>
      <c r="K238" s="1"/>
      <c r="L238" s="1"/>
      <c r="M238" s="1"/>
      <c r="N238" s="1"/>
      <c r="R238" s="3" t="s">
        <v>303</v>
      </c>
      <c r="S238" s="3" t="s">
        <v>52</v>
      </c>
      <c r="T238" s="3" t="s">
        <v>1226</v>
      </c>
      <c r="U238" s="3" t="s">
        <v>373</v>
      </c>
      <c r="V238" s="3" t="s">
        <v>175</v>
      </c>
      <c r="W238" s="3" t="s">
        <v>1227</v>
      </c>
    </row>
    <row r="239" ht="14.5" spans="2:23">
      <c r="B239" s="1"/>
      <c r="C239" s="1"/>
      <c r="D239" s="1"/>
      <c r="E239" s="1"/>
      <c r="F239" s="1"/>
      <c r="G239" s="1"/>
      <c r="H239" s="1"/>
      <c r="I239" s="1"/>
      <c r="J239" s="1"/>
      <c r="K239" s="1"/>
      <c r="L239" s="1"/>
      <c r="M239" s="1"/>
      <c r="N239" s="1"/>
      <c r="R239" s="3" t="s">
        <v>303</v>
      </c>
      <c r="S239" s="3" t="s">
        <v>52</v>
      </c>
      <c r="T239" s="3" t="s">
        <v>1228</v>
      </c>
      <c r="U239" s="3" t="s">
        <v>373</v>
      </c>
      <c r="V239" s="3" t="s">
        <v>175</v>
      </c>
      <c r="W239" s="3" t="s">
        <v>1229</v>
      </c>
    </row>
    <row r="240" ht="14.5" spans="2:23">
      <c r="B240" s="1"/>
      <c r="C240" s="1"/>
      <c r="D240" s="1"/>
      <c r="E240" s="1"/>
      <c r="F240" s="1"/>
      <c r="G240" s="1"/>
      <c r="H240" s="1"/>
      <c r="I240" s="1"/>
      <c r="J240" s="1"/>
      <c r="K240" s="1"/>
      <c r="L240" s="1"/>
      <c r="M240" s="1"/>
      <c r="N240" s="1"/>
      <c r="R240" s="3" t="s">
        <v>303</v>
      </c>
      <c r="S240" s="3" t="s">
        <v>52</v>
      </c>
      <c r="T240" s="3" t="s">
        <v>1230</v>
      </c>
      <c r="U240" s="3" t="s">
        <v>373</v>
      </c>
      <c r="V240" s="3" t="s">
        <v>175</v>
      </c>
      <c r="W240" s="3" t="s">
        <v>1231</v>
      </c>
    </row>
    <row r="241" ht="14.5" spans="2:23">
      <c r="B241" s="1"/>
      <c r="C241" s="1"/>
      <c r="D241" s="1"/>
      <c r="E241" s="1"/>
      <c r="F241" s="1"/>
      <c r="G241" s="1"/>
      <c r="H241" s="1"/>
      <c r="I241" s="1"/>
      <c r="J241" s="1"/>
      <c r="K241" s="1"/>
      <c r="L241" s="1"/>
      <c r="M241" s="1"/>
      <c r="N241" s="1"/>
      <c r="R241" s="3" t="s">
        <v>303</v>
      </c>
      <c r="S241" s="3" t="s">
        <v>52</v>
      </c>
      <c r="T241" s="3" t="s">
        <v>1232</v>
      </c>
      <c r="U241" s="3" t="s">
        <v>373</v>
      </c>
      <c r="V241" s="3" t="s">
        <v>175</v>
      </c>
      <c r="W241" s="3" t="s">
        <v>1233</v>
      </c>
    </row>
    <row r="242" ht="14.5" spans="2:23">
      <c r="B242" s="1"/>
      <c r="C242" s="1"/>
      <c r="D242" s="1"/>
      <c r="E242" s="1"/>
      <c r="F242" s="1"/>
      <c r="G242" s="1"/>
      <c r="H242" s="1"/>
      <c r="I242" s="1"/>
      <c r="J242" s="1"/>
      <c r="K242" s="1"/>
      <c r="L242" s="1"/>
      <c r="M242" s="1"/>
      <c r="N242" s="1"/>
      <c r="R242" s="3" t="s">
        <v>303</v>
      </c>
      <c r="S242" s="3" t="s">
        <v>52</v>
      </c>
      <c r="T242" s="3" t="s">
        <v>1234</v>
      </c>
      <c r="U242" s="3" t="s">
        <v>373</v>
      </c>
      <c r="V242" s="3" t="s">
        <v>175</v>
      </c>
      <c r="W242" s="3" t="s">
        <v>1235</v>
      </c>
    </row>
    <row r="243" ht="14.5" spans="2:23">
      <c r="B243" s="1"/>
      <c r="C243" s="1"/>
      <c r="D243" s="1"/>
      <c r="E243" s="1"/>
      <c r="F243" s="1"/>
      <c r="G243" s="1"/>
      <c r="H243" s="1"/>
      <c r="I243" s="1"/>
      <c r="J243" s="1"/>
      <c r="K243" s="1"/>
      <c r="L243" s="1"/>
      <c r="M243" s="1"/>
      <c r="N243" s="1"/>
      <c r="R243" s="3" t="s">
        <v>303</v>
      </c>
      <c r="S243" s="3" t="s">
        <v>52</v>
      </c>
      <c r="T243" s="3" t="s">
        <v>1236</v>
      </c>
      <c r="U243" s="3" t="s">
        <v>373</v>
      </c>
      <c r="V243" s="3" t="s">
        <v>175</v>
      </c>
      <c r="W243" s="3" t="s">
        <v>1237</v>
      </c>
    </row>
    <row r="244" ht="14.5" spans="2:23">
      <c r="B244" s="1"/>
      <c r="C244" s="1"/>
      <c r="D244" s="1"/>
      <c r="E244" s="1"/>
      <c r="F244" s="1"/>
      <c r="G244" s="1"/>
      <c r="H244" s="1"/>
      <c r="I244" s="1"/>
      <c r="J244" s="1"/>
      <c r="K244" s="1"/>
      <c r="L244" s="1"/>
      <c r="M244" s="1"/>
      <c r="N244" s="1"/>
      <c r="R244" s="3" t="s">
        <v>303</v>
      </c>
      <c r="S244" s="3" t="s">
        <v>52</v>
      </c>
      <c r="T244" s="3" t="s">
        <v>1238</v>
      </c>
      <c r="U244" s="3" t="s">
        <v>373</v>
      </c>
      <c r="V244" s="3" t="s">
        <v>175</v>
      </c>
      <c r="W244" s="3" t="s">
        <v>1239</v>
      </c>
    </row>
    <row r="245" ht="14.5" spans="2:23">
      <c r="B245" s="1"/>
      <c r="C245" s="1"/>
      <c r="D245" s="1"/>
      <c r="E245" s="1"/>
      <c r="F245" s="1"/>
      <c r="G245" s="1"/>
      <c r="H245" s="1"/>
      <c r="I245" s="1"/>
      <c r="J245" s="1"/>
      <c r="K245" s="1"/>
      <c r="L245" s="1"/>
      <c r="M245" s="1"/>
      <c r="N245" s="1"/>
      <c r="R245" s="3" t="s">
        <v>303</v>
      </c>
      <c r="S245" s="3" t="s">
        <v>52</v>
      </c>
      <c r="T245" s="3" t="s">
        <v>1240</v>
      </c>
      <c r="U245" s="3" t="s">
        <v>373</v>
      </c>
      <c r="V245" s="3" t="s">
        <v>175</v>
      </c>
      <c r="W245" s="3" t="s">
        <v>1241</v>
      </c>
    </row>
    <row r="246" ht="14.5" spans="2:23">
      <c r="B246" s="1"/>
      <c r="C246" s="1"/>
      <c r="D246" s="1"/>
      <c r="E246" s="1"/>
      <c r="F246" s="1"/>
      <c r="G246" s="1"/>
      <c r="H246" s="1"/>
      <c r="I246" s="1"/>
      <c r="J246" s="1"/>
      <c r="K246" s="1"/>
      <c r="L246" s="1"/>
      <c r="M246" s="1"/>
      <c r="N246" s="1"/>
      <c r="R246" s="3" t="s">
        <v>303</v>
      </c>
      <c r="S246" s="3" t="s">
        <v>52</v>
      </c>
      <c r="T246" s="3" t="s">
        <v>1242</v>
      </c>
      <c r="U246" s="3" t="s">
        <v>373</v>
      </c>
      <c r="V246" s="3" t="s">
        <v>175</v>
      </c>
      <c r="W246" s="3" t="s">
        <v>1243</v>
      </c>
    </row>
    <row r="247" ht="14.5" spans="2:23">
      <c r="B247" s="1"/>
      <c r="C247" s="1"/>
      <c r="D247" s="1"/>
      <c r="E247" s="1"/>
      <c r="F247" s="1"/>
      <c r="G247" s="1"/>
      <c r="H247" s="1"/>
      <c r="I247" s="1"/>
      <c r="J247" s="1"/>
      <c r="K247" s="1"/>
      <c r="L247" s="1"/>
      <c r="M247" s="1"/>
      <c r="N247" s="1"/>
      <c r="R247" s="3" t="s">
        <v>303</v>
      </c>
      <c r="S247" s="3" t="s">
        <v>52</v>
      </c>
      <c r="T247" s="3" t="s">
        <v>1244</v>
      </c>
      <c r="U247" s="3" t="s">
        <v>373</v>
      </c>
      <c r="V247" s="3" t="s">
        <v>175</v>
      </c>
      <c r="W247" s="3" t="s">
        <v>1245</v>
      </c>
    </row>
    <row r="248" ht="14.5" spans="2:23">
      <c r="B248" s="1"/>
      <c r="C248" s="1"/>
      <c r="D248" s="1"/>
      <c r="E248" s="1"/>
      <c r="F248" s="1"/>
      <c r="G248" s="1"/>
      <c r="H248" s="1"/>
      <c r="I248" s="1"/>
      <c r="J248" s="1"/>
      <c r="K248" s="1"/>
      <c r="L248" s="1"/>
      <c r="M248" s="1"/>
      <c r="N248" s="1"/>
      <c r="R248" s="3" t="s">
        <v>303</v>
      </c>
      <c r="S248" s="3" t="s">
        <v>52</v>
      </c>
      <c r="T248" s="3" t="s">
        <v>1246</v>
      </c>
      <c r="U248" s="3" t="s">
        <v>373</v>
      </c>
      <c r="V248" s="3" t="s">
        <v>175</v>
      </c>
      <c r="W248" s="3" t="s">
        <v>1247</v>
      </c>
    </row>
    <row r="249" ht="14.5" spans="2:23">
      <c r="B249" s="1"/>
      <c r="C249" s="1"/>
      <c r="D249" s="1"/>
      <c r="E249" s="1"/>
      <c r="F249" s="1"/>
      <c r="G249" s="1"/>
      <c r="H249" s="1"/>
      <c r="I249" s="1"/>
      <c r="J249" s="1"/>
      <c r="K249" s="1"/>
      <c r="L249" s="1"/>
      <c r="M249" s="1"/>
      <c r="N249" s="1"/>
      <c r="R249" s="3" t="s">
        <v>303</v>
      </c>
      <c r="S249" s="3" t="s">
        <v>52</v>
      </c>
      <c r="T249" s="3" t="s">
        <v>1248</v>
      </c>
      <c r="U249" s="3" t="s">
        <v>373</v>
      </c>
      <c r="V249" s="3" t="s">
        <v>175</v>
      </c>
      <c r="W249" s="3" t="s">
        <v>1249</v>
      </c>
    </row>
    <row r="250" ht="14.5" spans="2:23">
      <c r="B250" s="1"/>
      <c r="C250" s="1"/>
      <c r="D250" s="1"/>
      <c r="E250" s="1"/>
      <c r="F250" s="1"/>
      <c r="G250" s="1"/>
      <c r="H250" s="1"/>
      <c r="I250" s="1"/>
      <c r="J250" s="1"/>
      <c r="K250" s="1"/>
      <c r="L250" s="1"/>
      <c r="M250" s="1"/>
      <c r="N250" s="1"/>
      <c r="R250" s="3" t="s">
        <v>303</v>
      </c>
      <c r="S250" s="3" t="s">
        <v>52</v>
      </c>
      <c r="T250" s="3" t="s">
        <v>1250</v>
      </c>
      <c r="U250" s="3" t="s">
        <v>373</v>
      </c>
      <c r="V250" s="3" t="s">
        <v>175</v>
      </c>
      <c r="W250" s="3" t="s">
        <v>1251</v>
      </c>
    </row>
    <row r="251" ht="14.5" spans="2:23">
      <c r="B251" s="1"/>
      <c r="C251" s="1"/>
      <c r="D251" s="1"/>
      <c r="E251" s="1"/>
      <c r="F251" s="1"/>
      <c r="G251" s="1"/>
      <c r="H251" s="1"/>
      <c r="I251" s="1"/>
      <c r="J251" s="1"/>
      <c r="K251" s="1"/>
      <c r="L251" s="1"/>
      <c r="M251" s="1"/>
      <c r="N251" s="1"/>
      <c r="R251" s="3" t="s">
        <v>303</v>
      </c>
      <c r="S251" s="3" t="s">
        <v>52</v>
      </c>
      <c r="T251" s="3" t="s">
        <v>1252</v>
      </c>
      <c r="U251" s="3" t="s">
        <v>373</v>
      </c>
      <c r="V251" s="3" t="s">
        <v>175</v>
      </c>
      <c r="W251" s="3" t="s">
        <v>1253</v>
      </c>
    </row>
    <row r="252" ht="14.5" spans="2:23">
      <c r="B252" s="1"/>
      <c r="C252" s="1"/>
      <c r="D252" s="1"/>
      <c r="E252" s="1"/>
      <c r="F252" s="1"/>
      <c r="G252" s="1"/>
      <c r="H252" s="1"/>
      <c r="I252" s="1"/>
      <c r="J252" s="1"/>
      <c r="K252" s="1"/>
      <c r="L252" s="1"/>
      <c r="M252" s="1"/>
      <c r="N252" s="1"/>
      <c r="R252" s="3" t="s">
        <v>303</v>
      </c>
      <c r="S252" s="3" t="s">
        <v>52</v>
      </c>
      <c r="T252" s="3" t="s">
        <v>1254</v>
      </c>
      <c r="U252" s="3" t="s">
        <v>373</v>
      </c>
      <c r="V252" s="3" t="s">
        <v>175</v>
      </c>
      <c r="W252" s="3" t="s">
        <v>1255</v>
      </c>
    </row>
    <row r="253" ht="14.5" spans="2:23">
      <c r="B253" s="1"/>
      <c r="C253" s="1"/>
      <c r="D253" s="1"/>
      <c r="E253" s="1"/>
      <c r="F253" s="1"/>
      <c r="G253" s="1"/>
      <c r="H253" s="1"/>
      <c r="I253" s="1"/>
      <c r="J253" s="1"/>
      <c r="K253" s="1"/>
      <c r="L253" s="1"/>
      <c r="M253" s="1"/>
      <c r="N253" s="1"/>
      <c r="R253" s="3" t="s">
        <v>303</v>
      </c>
      <c r="S253" s="3" t="s">
        <v>55</v>
      </c>
      <c r="T253" s="3" t="s">
        <v>1256</v>
      </c>
      <c r="U253" s="3" t="s">
        <v>373</v>
      </c>
      <c r="V253" s="3" t="s">
        <v>175</v>
      </c>
      <c r="W253" s="3" t="s">
        <v>1257</v>
      </c>
    </row>
    <row r="254" ht="14.5" spans="2:23">
      <c r="B254" s="1"/>
      <c r="C254" s="1"/>
      <c r="D254" s="1"/>
      <c r="E254" s="1"/>
      <c r="F254" s="1"/>
      <c r="G254" s="1"/>
      <c r="H254" s="1"/>
      <c r="I254" s="1"/>
      <c r="J254" s="1"/>
      <c r="K254" s="1"/>
      <c r="L254" s="1"/>
      <c r="M254" s="1"/>
      <c r="N254" s="1"/>
      <c r="R254" s="3" t="s">
        <v>303</v>
      </c>
      <c r="S254" s="3" t="s">
        <v>55</v>
      </c>
      <c r="T254" s="3" t="s">
        <v>1258</v>
      </c>
      <c r="U254" s="3" t="s">
        <v>373</v>
      </c>
      <c r="V254" s="3" t="s">
        <v>175</v>
      </c>
      <c r="W254" s="3" t="s">
        <v>1259</v>
      </c>
    </row>
    <row r="255" ht="14.5" spans="2:23">
      <c r="B255" s="1"/>
      <c r="C255" s="1"/>
      <c r="D255" s="1"/>
      <c r="E255" s="1"/>
      <c r="F255" s="1"/>
      <c r="G255" s="1"/>
      <c r="H255" s="1"/>
      <c r="I255" s="1"/>
      <c r="J255" s="1"/>
      <c r="K255" s="1"/>
      <c r="L255" s="1"/>
      <c r="M255" s="1"/>
      <c r="N255" s="1"/>
      <c r="R255" s="3" t="s">
        <v>303</v>
      </c>
      <c r="S255" s="3" t="s">
        <v>55</v>
      </c>
      <c r="T255" s="3" t="s">
        <v>1260</v>
      </c>
      <c r="U255" s="3" t="s">
        <v>373</v>
      </c>
      <c r="V255" s="3" t="s">
        <v>175</v>
      </c>
      <c r="W255" s="3" t="s">
        <v>1261</v>
      </c>
    </row>
    <row r="256" ht="14.5" spans="2:23">
      <c r="B256" s="1"/>
      <c r="C256" s="1"/>
      <c r="D256" s="1"/>
      <c r="E256" s="1"/>
      <c r="F256" s="1"/>
      <c r="G256" s="1"/>
      <c r="H256" s="1"/>
      <c r="I256" s="1"/>
      <c r="J256" s="1"/>
      <c r="K256" s="1"/>
      <c r="L256" s="1"/>
      <c r="M256" s="1"/>
      <c r="N256" s="1"/>
      <c r="R256" s="3" t="s">
        <v>303</v>
      </c>
      <c r="S256" s="3" t="s">
        <v>55</v>
      </c>
      <c r="T256" s="3" t="s">
        <v>1262</v>
      </c>
      <c r="U256" s="3" t="s">
        <v>373</v>
      </c>
      <c r="V256" s="3" t="s">
        <v>175</v>
      </c>
      <c r="W256" s="3" t="s">
        <v>1263</v>
      </c>
    </row>
    <row r="257" ht="14.5" spans="2:23">
      <c r="B257" s="1"/>
      <c r="C257" s="1"/>
      <c r="D257" s="1"/>
      <c r="E257" s="1"/>
      <c r="F257" s="1"/>
      <c r="G257" s="1"/>
      <c r="H257" s="1"/>
      <c r="I257" s="1"/>
      <c r="J257" s="1"/>
      <c r="K257" s="1"/>
      <c r="L257" s="1"/>
      <c r="M257" s="1"/>
      <c r="N257" s="1"/>
      <c r="R257" s="3" t="s">
        <v>303</v>
      </c>
      <c r="S257" s="3" t="s">
        <v>55</v>
      </c>
      <c r="T257" s="3" t="s">
        <v>1264</v>
      </c>
      <c r="U257" s="3" t="s">
        <v>373</v>
      </c>
      <c r="V257" s="3" t="s">
        <v>175</v>
      </c>
      <c r="W257" s="3" t="s">
        <v>1265</v>
      </c>
    </row>
    <row r="258" ht="14.5" spans="2:23">
      <c r="B258" s="1"/>
      <c r="C258" s="1"/>
      <c r="D258" s="1"/>
      <c r="E258" s="1"/>
      <c r="F258" s="1"/>
      <c r="G258" s="1"/>
      <c r="H258" s="1"/>
      <c r="I258" s="1"/>
      <c r="J258" s="1"/>
      <c r="K258" s="1"/>
      <c r="L258" s="1"/>
      <c r="M258" s="1"/>
      <c r="N258" s="1"/>
      <c r="R258" s="3" t="s">
        <v>303</v>
      </c>
      <c r="S258" s="3" t="s">
        <v>55</v>
      </c>
      <c r="T258" s="3" t="s">
        <v>1266</v>
      </c>
      <c r="U258" s="3" t="s">
        <v>373</v>
      </c>
      <c r="V258" s="3" t="s">
        <v>175</v>
      </c>
      <c r="W258" s="3" t="s">
        <v>1267</v>
      </c>
    </row>
    <row r="259" ht="14.5" spans="2:23">
      <c r="B259" s="1"/>
      <c r="C259" s="1"/>
      <c r="D259" s="1"/>
      <c r="E259" s="1"/>
      <c r="F259" s="1"/>
      <c r="G259" s="1"/>
      <c r="H259" s="1"/>
      <c r="I259" s="1"/>
      <c r="J259" s="1"/>
      <c r="K259" s="1"/>
      <c r="L259" s="1"/>
      <c r="M259" s="1"/>
      <c r="N259" s="1"/>
      <c r="R259" s="3" t="s">
        <v>303</v>
      </c>
      <c r="S259" s="3" t="s">
        <v>55</v>
      </c>
      <c r="T259" s="3" t="s">
        <v>1268</v>
      </c>
      <c r="U259" s="3" t="s">
        <v>373</v>
      </c>
      <c r="V259" s="3" t="s">
        <v>175</v>
      </c>
      <c r="W259" s="3" t="s">
        <v>1269</v>
      </c>
    </row>
    <row r="260" ht="14.5" spans="2:23">
      <c r="B260" s="1"/>
      <c r="C260" s="1"/>
      <c r="D260" s="1"/>
      <c r="E260" s="1"/>
      <c r="F260" s="1"/>
      <c r="G260" s="1"/>
      <c r="H260" s="1"/>
      <c r="I260" s="1"/>
      <c r="J260" s="1"/>
      <c r="K260" s="1"/>
      <c r="L260" s="1"/>
      <c r="M260" s="1"/>
      <c r="N260" s="1"/>
      <c r="R260" s="3" t="s">
        <v>303</v>
      </c>
      <c r="S260" s="3" t="s">
        <v>55</v>
      </c>
      <c r="T260" s="3" t="s">
        <v>1270</v>
      </c>
      <c r="U260" s="3" t="s">
        <v>373</v>
      </c>
      <c r="V260" s="3" t="s">
        <v>175</v>
      </c>
      <c r="W260" s="3" t="s">
        <v>1271</v>
      </c>
    </row>
    <row r="261" ht="14.5" spans="2:23">
      <c r="B261" s="1"/>
      <c r="C261" s="1"/>
      <c r="D261" s="1"/>
      <c r="E261" s="1"/>
      <c r="F261" s="1"/>
      <c r="G261" s="1"/>
      <c r="H261" s="1"/>
      <c r="I261" s="1"/>
      <c r="J261" s="1"/>
      <c r="K261" s="1"/>
      <c r="L261" s="1"/>
      <c r="M261" s="1"/>
      <c r="N261" s="1"/>
      <c r="R261" s="3" t="s">
        <v>303</v>
      </c>
      <c r="S261" s="3" t="s">
        <v>55</v>
      </c>
      <c r="T261" s="3" t="s">
        <v>1272</v>
      </c>
      <c r="U261" s="3" t="s">
        <v>373</v>
      </c>
      <c r="V261" s="3" t="s">
        <v>175</v>
      </c>
      <c r="W261" s="3" t="s">
        <v>1273</v>
      </c>
    </row>
    <row r="262" ht="14.5" spans="2:23">
      <c r="B262" s="1"/>
      <c r="C262" s="1"/>
      <c r="D262" s="1"/>
      <c r="E262" s="1"/>
      <c r="F262" s="1"/>
      <c r="G262" s="1"/>
      <c r="H262" s="1"/>
      <c r="I262" s="1"/>
      <c r="J262" s="1"/>
      <c r="K262" s="1"/>
      <c r="L262" s="1"/>
      <c r="M262" s="1"/>
      <c r="N262" s="1"/>
      <c r="R262" s="3" t="s">
        <v>303</v>
      </c>
      <c r="S262" s="3" t="s">
        <v>55</v>
      </c>
      <c r="T262" s="3" t="s">
        <v>1274</v>
      </c>
      <c r="U262" s="3" t="s">
        <v>373</v>
      </c>
      <c r="V262" s="3" t="s">
        <v>175</v>
      </c>
      <c r="W262" s="3" t="s">
        <v>1275</v>
      </c>
    </row>
    <row r="263" ht="14.5" spans="2:23">
      <c r="B263" s="1"/>
      <c r="C263" s="1"/>
      <c r="D263" s="1"/>
      <c r="E263" s="1"/>
      <c r="F263" s="1"/>
      <c r="G263" s="1"/>
      <c r="H263" s="1"/>
      <c r="I263" s="1"/>
      <c r="J263" s="1"/>
      <c r="K263" s="1"/>
      <c r="L263" s="1"/>
      <c r="M263" s="1"/>
      <c r="N263" s="1"/>
      <c r="R263" s="3" t="s">
        <v>303</v>
      </c>
      <c r="S263" s="3" t="s">
        <v>55</v>
      </c>
      <c r="T263" s="3" t="s">
        <v>1276</v>
      </c>
      <c r="U263" s="3" t="s">
        <v>373</v>
      </c>
      <c r="V263" s="3" t="s">
        <v>175</v>
      </c>
      <c r="W263" s="3" t="s">
        <v>1277</v>
      </c>
    </row>
    <row r="264" ht="14.5" spans="2:23">
      <c r="B264" s="1"/>
      <c r="C264" s="1"/>
      <c r="D264" s="1"/>
      <c r="E264" s="1"/>
      <c r="F264" s="1"/>
      <c r="G264" s="1"/>
      <c r="H264" s="1"/>
      <c r="I264" s="1"/>
      <c r="J264" s="1"/>
      <c r="K264" s="1"/>
      <c r="L264" s="1"/>
      <c r="M264" s="1"/>
      <c r="N264" s="1"/>
      <c r="R264" s="3" t="s">
        <v>303</v>
      </c>
      <c r="S264" s="3" t="s">
        <v>55</v>
      </c>
      <c r="T264" s="3" t="s">
        <v>1278</v>
      </c>
      <c r="U264" s="3" t="s">
        <v>373</v>
      </c>
      <c r="V264" s="3" t="s">
        <v>175</v>
      </c>
      <c r="W264" s="3" t="s">
        <v>1279</v>
      </c>
    </row>
    <row r="265" ht="14.5" spans="2:23">
      <c r="B265" s="1"/>
      <c r="C265" s="1"/>
      <c r="D265" s="1"/>
      <c r="E265" s="1"/>
      <c r="F265" s="1"/>
      <c r="G265" s="1"/>
      <c r="H265" s="1"/>
      <c r="I265" s="1"/>
      <c r="J265" s="1"/>
      <c r="K265" s="1"/>
      <c r="L265" s="1"/>
      <c r="M265" s="1"/>
      <c r="N265" s="1"/>
      <c r="R265" s="3" t="s">
        <v>303</v>
      </c>
      <c r="S265" s="3" t="s">
        <v>55</v>
      </c>
      <c r="T265" s="3" t="s">
        <v>1280</v>
      </c>
      <c r="U265" s="3" t="s">
        <v>373</v>
      </c>
      <c r="V265" s="3" t="s">
        <v>175</v>
      </c>
      <c r="W265" s="3" t="s">
        <v>1281</v>
      </c>
    </row>
    <row r="266" ht="14.5" spans="2:23">
      <c r="B266" s="1"/>
      <c r="C266" s="1"/>
      <c r="D266" s="1"/>
      <c r="E266" s="1"/>
      <c r="F266" s="1"/>
      <c r="G266" s="1"/>
      <c r="H266" s="1"/>
      <c r="I266" s="1"/>
      <c r="J266" s="1"/>
      <c r="K266" s="1"/>
      <c r="L266" s="1"/>
      <c r="M266" s="1"/>
      <c r="N266" s="1"/>
      <c r="R266" s="3" t="s">
        <v>303</v>
      </c>
      <c r="S266" s="3" t="s">
        <v>55</v>
      </c>
      <c r="T266" s="3" t="s">
        <v>1282</v>
      </c>
      <c r="U266" s="3" t="s">
        <v>373</v>
      </c>
      <c r="V266" s="3" t="s">
        <v>175</v>
      </c>
      <c r="W266" s="3" t="s">
        <v>1283</v>
      </c>
    </row>
    <row r="267" ht="14.5" spans="2:23">
      <c r="B267" s="1"/>
      <c r="C267" s="1"/>
      <c r="D267" s="1"/>
      <c r="E267" s="1"/>
      <c r="F267" s="1"/>
      <c r="G267" s="1"/>
      <c r="H267" s="1"/>
      <c r="I267" s="1"/>
      <c r="J267" s="1"/>
      <c r="K267" s="1"/>
      <c r="L267" s="1"/>
      <c r="M267" s="1"/>
      <c r="N267" s="1"/>
      <c r="R267" s="3" t="s">
        <v>303</v>
      </c>
      <c r="S267" s="3" t="s">
        <v>55</v>
      </c>
      <c r="T267" s="3" t="s">
        <v>1284</v>
      </c>
      <c r="U267" s="3" t="s">
        <v>373</v>
      </c>
      <c r="V267" s="3" t="s">
        <v>175</v>
      </c>
      <c r="W267" s="3" t="s">
        <v>1285</v>
      </c>
    </row>
    <row r="268" ht="14.5" spans="2:23">
      <c r="B268" s="1"/>
      <c r="C268" s="1"/>
      <c r="D268" s="1"/>
      <c r="E268" s="1"/>
      <c r="F268" s="1"/>
      <c r="G268" s="1"/>
      <c r="H268" s="1"/>
      <c r="I268" s="1"/>
      <c r="J268" s="1"/>
      <c r="K268" s="1"/>
      <c r="L268" s="1"/>
      <c r="M268" s="1"/>
      <c r="N268" s="1"/>
      <c r="R268" s="3" t="s">
        <v>303</v>
      </c>
      <c r="S268" s="3" t="s">
        <v>55</v>
      </c>
      <c r="T268" s="3" t="s">
        <v>1286</v>
      </c>
      <c r="U268" s="3" t="s">
        <v>373</v>
      </c>
      <c r="V268" s="3" t="s">
        <v>175</v>
      </c>
      <c r="W268" s="3" t="s">
        <v>1287</v>
      </c>
    </row>
    <row r="269" ht="14.5" spans="2:23">
      <c r="B269" s="1"/>
      <c r="C269" s="1"/>
      <c r="D269" s="1"/>
      <c r="E269" s="1"/>
      <c r="F269" s="1"/>
      <c r="G269" s="1"/>
      <c r="H269" s="1"/>
      <c r="I269" s="1"/>
      <c r="J269" s="1"/>
      <c r="K269" s="1"/>
      <c r="L269" s="1"/>
      <c r="M269" s="1"/>
      <c r="N269" s="1"/>
      <c r="R269" s="3" t="s">
        <v>303</v>
      </c>
      <c r="S269" s="3" t="s">
        <v>55</v>
      </c>
      <c r="T269" s="3" t="s">
        <v>1288</v>
      </c>
      <c r="U269" s="3" t="s">
        <v>373</v>
      </c>
      <c r="V269" s="3" t="s">
        <v>175</v>
      </c>
      <c r="W269" s="3" t="s">
        <v>1289</v>
      </c>
    </row>
    <row r="270" ht="14.5" spans="2:23">
      <c r="B270" s="1"/>
      <c r="C270" s="1"/>
      <c r="D270" s="1"/>
      <c r="E270" s="1"/>
      <c r="F270" s="1"/>
      <c r="G270" s="1"/>
      <c r="H270" s="1"/>
      <c r="I270" s="1"/>
      <c r="J270" s="1"/>
      <c r="K270" s="1"/>
      <c r="L270" s="1"/>
      <c r="M270" s="1"/>
      <c r="N270" s="1"/>
      <c r="R270" s="3" t="s">
        <v>303</v>
      </c>
      <c r="S270" s="3" t="s">
        <v>55</v>
      </c>
      <c r="T270" s="3" t="s">
        <v>1290</v>
      </c>
      <c r="U270" s="3" t="s">
        <v>373</v>
      </c>
      <c r="V270" s="3" t="s">
        <v>175</v>
      </c>
      <c r="W270" s="3" t="s">
        <v>1291</v>
      </c>
    </row>
    <row r="271" ht="14.5" spans="2:23">
      <c r="B271" s="1"/>
      <c r="C271" s="1"/>
      <c r="D271" s="1"/>
      <c r="E271" s="1"/>
      <c r="F271" s="1"/>
      <c r="G271" s="1"/>
      <c r="H271" s="1"/>
      <c r="I271" s="1"/>
      <c r="J271" s="1"/>
      <c r="K271" s="1"/>
      <c r="L271" s="1"/>
      <c r="M271" s="1"/>
      <c r="N271" s="1"/>
      <c r="R271" s="3" t="s">
        <v>303</v>
      </c>
      <c r="S271" s="3" t="s">
        <v>55</v>
      </c>
      <c r="T271" s="3" t="s">
        <v>1292</v>
      </c>
      <c r="U271" s="3" t="s">
        <v>373</v>
      </c>
      <c r="V271" s="3" t="s">
        <v>175</v>
      </c>
      <c r="W271" s="3" t="s">
        <v>1293</v>
      </c>
    </row>
    <row r="272" ht="14.5" spans="2:23">
      <c r="B272" s="1"/>
      <c r="C272" s="1"/>
      <c r="D272" s="1"/>
      <c r="E272" s="1"/>
      <c r="F272" s="1"/>
      <c r="G272" s="1"/>
      <c r="H272" s="1"/>
      <c r="I272" s="1"/>
      <c r="J272" s="1"/>
      <c r="K272" s="1"/>
      <c r="L272" s="1"/>
      <c r="M272" s="1"/>
      <c r="N272" s="1"/>
      <c r="R272" s="3" t="s">
        <v>303</v>
      </c>
      <c r="S272" s="3" t="s">
        <v>55</v>
      </c>
      <c r="T272" s="3" t="s">
        <v>1294</v>
      </c>
      <c r="U272" s="3" t="s">
        <v>373</v>
      </c>
      <c r="V272" s="3" t="s">
        <v>175</v>
      </c>
      <c r="W272" s="3" t="s">
        <v>1295</v>
      </c>
    </row>
    <row r="273" ht="14.5" spans="2:23">
      <c r="B273" s="1"/>
      <c r="C273" s="1"/>
      <c r="D273" s="1"/>
      <c r="E273" s="1"/>
      <c r="F273" s="1"/>
      <c r="G273" s="1"/>
      <c r="H273" s="1"/>
      <c r="I273" s="1"/>
      <c r="J273" s="1"/>
      <c r="K273" s="1"/>
      <c r="L273" s="1"/>
      <c r="M273" s="1"/>
      <c r="N273" s="1"/>
      <c r="R273" s="3" t="s">
        <v>303</v>
      </c>
      <c r="S273" s="3" t="s">
        <v>55</v>
      </c>
      <c r="T273" s="3" t="s">
        <v>1296</v>
      </c>
      <c r="U273" s="3" t="s">
        <v>373</v>
      </c>
      <c r="V273" s="3" t="s">
        <v>175</v>
      </c>
      <c r="W273" s="3" t="s">
        <v>1297</v>
      </c>
    </row>
    <row r="274" ht="14.5" spans="2:23">
      <c r="B274" s="1"/>
      <c r="C274" s="1"/>
      <c r="D274" s="1"/>
      <c r="E274" s="1"/>
      <c r="F274" s="1"/>
      <c r="G274" s="1"/>
      <c r="H274" s="1"/>
      <c r="I274" s="1"/>
      <c r="J274" s="1"/>
      <c r="K274" s="1"/>
      <c r="L274" s="1"/>
      <c r="M274" s="1"/>
      <c r="N274" s="1"/>
      <c r="R274" s="3" t="s">
        <v>303</v>
      </c>
      <c r="S274" s="3" t="s">
        <v>55</v>
      </c>
      <c r="T274" s="3" t="s">
        <v>1298</v>
      </c>
      <c r="U274" s="3" t="s">
        <v>373</v>
      </c>
      <c r="V274" s="3" t="s">
        <v>175</v>
      </c>
      <c r="W274" s="3" t="s">
        <v>1299</v>
      </c>
    </row>
    <row r="275" ht="14.5" spans="2:23">
      <c r="B275" s="1"/>
      <c r="C275" s="1"/>
      <c r="D275" s="1"/>
      <c r="E275" s="1"/>
      <c r="F275" s="1"/>
      <c r="G275" s="1"/>
      <c r="H275" s="1"/>
      <c r="I275" s="1"/>
      <c r="J275" s="1"/>
      <c r="K275" s="1"/>
      <c r="L275" s="1"/>
      <c r="M275" s="1"/>
      <c r="N275" s="1"/>
      <c r="R275" s="3" t="s">
        <v>303</v>
      </c>
      <c r="S275" s="3" t="s">
        <v>55</v>
      </c>
      <c r="T275" s="3" t="s">
        <v>1300</v>
      </c>
      <c r="U275" s="3" t="s">
        <v>373</v>
      </c>
      <c r="V275" s="3" t="s">
        <v>175</v>
      </c>
      <c r="W275" s="3" t="s">
        <v>1301</v>
      </c>
    </row>
    <row r="276" ht="14.5" spans="2:23">
      <c r="B276" s="1"/>
      <c r="C276" s="1"/>
      <c r="D276" s="1"/>
      <c r="E276" s="1"/>
      <c r="F276" s="1"/>
      <c r="G276" s="1"/>
      <c r="H276" s="1"/>
      <c r="I276" s="1"/>
      <c r="J276" s="1"/>
      <c r="K276" s="1"/>
      <c r="L276" s="1"/>
      <c r="M276" s="1"/>
      <c r="N276" s="1"/>
      <c r="R276" s="3" t="s">
        <v>303</v>
      </c>
      <c r="S276" s="3" t="s">
        <v>55</v>
      </c>
      <c r="T276" s="3" t="s">
        <v>1302</v>
      </c>
      <c r="U276" s="3" t="s">
        <v>373</v>
      </c>
      <c r="V276" s="3" t="s">
        <v>175</v>
      </c>
      <c r="W276" s="3" t="s">
        <v>1303</v>
      </c>
    </row>
    <row r="277" ht="14.5" spans="2:23">
      <c r="B277" s="1"/>
      <c r="C277" s="1"/>
      <c r="D277" s="1"/>
      <c r="E277" s="1"/>
      <c r="F277" s="1"/>
      <c r="G277" s="1"/>
      <c r="H277" s="1"/>
      <c r="I277" s="1"/>
      <c r="J277" s="1"/>
      <c r="K277" s="1"/>
      <c r="L277" s="1"/>
      <c r="M277" s="1"/>
      <c r="N277" s="1"/>
      <c r="R277" s="3" t="s">
        <v>303</v>
      </c>
      <c r="S277" s="3" t="s">
        <v>55</v>
      </c>
      <c r="T277" s="3" t="s">
        <v>1304</v>
      </c>
      <c r="U277" s="3" t="s">
        <v>373</v>
      </c>
      <c r="V277" s="3" t="s">
        <v>175</v>
      </c>
      <c r="W277" s="3" t="s">
        <v>1305</v>
      </c>
    </row>
    <row r="278" ht="14.5" spans="2:23">
      <c r="B278" s="1"/>
      <c r="C278" s="1"/>
      <c r="D278" s="1"/>
      <c r="E278" s="1"/>
      <c r="F278" s="1"/>
      <c r="G278" s="1"/>
      <c r="H278" s="1"/>
      <c r="I278" s="1"/>
      <c r="J278" s="1"/>
      <c r="K278" s="1"/>
      <c r="L278" s="1"/>
      <c r="M278" s="1"/>
      <c r="N278" s="1"/>
      <c r="R278" s="3" t="s">
        <v>303</v>
      </c>
      <c r="S278" s="3" t="s">
        <v>55</v>
      </c>
      <c r="T278" s="3" t="s">
        <v>1306</v>
      </c>
      <c r="U278" s="3" t="s">
        <v>373</v>
      </c>
      <c r="V278" s="3" t="s">
        <v>175</v>
      </c>
      <c r="W278" s="3" t="s">
        <v>1307</v>
      </c>
    </row>
    <row r="279" ht="14.5" spans="2:23">
      <c r="B279" s="1"/>
      <c r="C279" s="1"/>
      <c r="D279" s="1"/>
      <c r="E279" s="1"/>
      <c r="F279" s="1"/>
      <c r="G279" s="1"/>
      <c r="H279" s="1"/>
      <c r="I279" s="1"/>
      <c r="J279" s="1"/>
      <c r="K279" s="1"/>
      <c r="L279" s="1"/>
      <c r="M279" s="1"/>
      <c r="N279" s="1"/>
      <c r="R279" s="3" t="s">
        <v>303</v>
      </c>
      <c r="S279" s="3" t="s">
        <v>57</v>
      </c>
      <c r="T279" s="3" t="s">
        <v>1308</v>
      </c>
      <c r="U279" s="3" t="s">
        <v>373</v>
      </c>
      <c r="V279" s="3" t="s">
        <v>175</v>
      </c>
      <c r="W279" s="3" t="s">
        <v>1309</v>
      </c>
    </row>
    <row r="280" ht="14.5" spans="2:23">
      <c r="B280" s="1"/>
      <c r="C280" s="1"/>
      <c r="D280" s="1"/>
      <c r="E280" s="1"/>
      <c r="F280" s="1"/>
      <c r="G280" s="1"/>
      <c r="H280" s="1"/>
      <c r="I280" s="1"/>
      <c r="J280" s="1"/>
      <c r="K280" s="1"/>
      <c r="L280" s="1"/>
      <c r="M280" s="1"/>
      <c r="N280" s="1"/>
      <c r="R280" s="3" t="s">
        <v>303</v>
      </c>
      <c r="S280" s="3" t="s">
        <v>57</v>
      </c>
      <c r="T280" s="3" t="s">
        <v>1310</v>
      </c>
      <c r="U280" s="3" t="s">
        <v>373</v>
      </c>
      <c r="V280" s="3" t="s">
        <v>175</v>
      </c>
      <c r="W280" s="3" t="s">
        <v>1311</v>
      </c>
    </row>
    <row r="281" ht="14.5" spans="2:23">
      <c r="B281" s="1"/>
      <c r="C281" s="1"/>
      <c r="D281" s="1"/>
      <c r="E281" s="1"/>
      <c r="F281" s="1"/>
      <c r="G281" s="1"/>
      <c r="H281" s="1"/>
      <c r="I281" s="1"/>
      <c r="J281" s="1"/>
      <c r="K281" s="1"/>
      <c r="L281" s="1"/>
      <c r="M281" s="1"/>
      <c r="N281" s="1"/>
      <c r="R281" s="3" t="s">
        <v>303</v>
      </c>
      <c r="S281" s="3" t="s">
        <v>57</v>
      </c>
      <c r="T281" s="3" t="s">
        <v>1312</v>
      </c>
      <c r="U281" s="3" t="s">
        <v>373</v>
      </c>
      <c r="V281" s="3" t="s">
        <v>175</v>
      </c>
      <c r="W281" s="3" t="s">
        <v>1313</v>
      </c>
    </row>
    <row r="282" ht="14.5" spans="2:23">
      <c r="B282" s="1"/>
      <c r="C282" s="1"/>
      <c r="D282" s="1"/>
      <c r="E282" s="1"/>
      <c r="F282" s="1"/>
      <c r="G282" s="1"/>
      <c r="H282" s="1"/>
      <c r="I282" s="1"/>
      <c r="J282" s="1"/>
      <c r="K282" s="1"/>
      <c r="L282" s="1"/>
      <c r="M282" s="1"/>
      <c r="N282" s="1"/>
      <c r="R282" s="3" t="s">
        <v>303</v>
      </c>
      <c r="S282" s="3" t="s">
        <v>57</v>
      </c>
      <c r="T282" s="3" t="s">
        <v>1314</v>
      </c>
      <c r="U282" s="3" t="s">
        <v>373</v>
      </c>
      <c r="V282" s="3" t="s">
        <v>175</v>
      </c>
      <c r="W282" s="3" t="s">
        <v>1315</v>
      </c>
    </row>
    <row r="283" ht="14.5" spans="2:23">
      <c r="B283" s="1"/>
      <c r="C283" s="1"/>
      <c r="D283" s="1"/>
      <c r="E283" s="1"/>
      <c r="F283" s="1"/>
      <c r="G283" s="1"/>
      <c r="H283" s="1"/>
      <c r="I283" s="1"/>
      <c r="J283" s="1"/>
      <c r="K283" s="1"/>
      <c r="L283" s="1"/>
      <c r="M283" s="1"/>
      <c r="N283" s="1"/>
      <c r="R283" s="3" t="s">
        <v>303</v>
      </c>
      <c r="S283" s="3" t="s">
        <v>57</v>
      </c>
      <c r="T283" s="3" t="s">
        <v>1316</v>
      </c>
      <c r="U283" s="3" t="s">
        <v>373</v>
      </c>
      <c r="V283" s="3" t="s">
        <v>175</v>
      </c>
      <c r="W283" s="3" t="s">
        <v>1317</v>
      </c>
    </row>
    <row r="284" ht="14.5" spans="2:23">
      <c r="B284" s="1"/>
      <c r="C284" s="1"/>
      <c r="D284" s="1"/>
      <c r="E284" s="1"/>
      <c r="F284" s="1"/>
      <c r="G284" s="1"/>
      <c r="H284" s="1"/>
      <c r="I284" s="1"/>
      <c r="J284" s="1"/>
      <c r="K284" s="1"/>
      <c r="L284" s="1"/>
      <c r="M284" s="1"/>
      <c r="N284" s="1"/>
      <c r="R284" s="3" t="s">
        <v>303</v>
      </c>
      <c r="S284" s="3" t="s">
        <v>57</v>
      </c>
      <c r="T284" s="3" t="s">
        <v>1318</v>
      </c>
      <c r="U284" s="3" t="s">
        <v>373</v>
      </c>
      <c r="V284" s="3" t="s">
        <v>175</v>
      </c>
      <c r="W284" s="3" t="s">
        <v>1319</v>
      </c>
    </row>
    <row r="285" ht="14.5" spans="2:23">
      <c r="B285" s="1"/>
      <c r="C285" s="1"/>
      <c r="D285" s="1"/>
      <c r="E285" s="1"/>
      <c r="F285" s="1"/>
      <c r="G285" s="1"/>
      <c r="H285" s="1"/>
      <c r="I285" s="1"/>
      <c r="J285" s="1"/>
      <c r="K285" s="1"/>
      <c r="L285" s="1"/>
      <c r="M285" s="1"/>
      <c r="N285" s="1"/>
      <c r="R285" s="3" t="s">
        <v>303</v>
      </c>
      <c r="S285" s="3" t="s">
        <v>59</v>
      </c>
      <c r="T285" s="3" t="s">
        <v>1320</v>
      </c>
      <c r="U285" s="3" t="s">
        <v>373</v>
      </c>
      <c r="V285" s="3" t="s">
        <v>175</v>
      </c>
      <c r="W285" s="3" t="s">
        <v>1321</v>
      </c>
    </row>
    <row r="286" ht="14.5" spans="2:23">
      <c r="B286" s="1"/>
      <c r="C286" s="1"/>
      <c r="D286" s="1"/>
      <c r="E286" s="1"/>
      <c r="F286" s="1"/>
      <c r="G286" s="1"/>
      <c r="H286" s="1"/>
      <c r="I286" s="1"/>
      <c r="J286" s="1"/>
      <c r="K286" s="1"/>
      <c r="L286" s="1"/>
      <c r="M286" s="1"/>
      <c r="N286" s="1"/>
      <c r="R286" s="3" t="s">
        <v>303</v>
      </c>
      <c r="S286" s="3" t="s">
        <v>59</v>
      </c>
      <c r="T286" s="3" t="s">
        <v>1322</v>
      </c>
      <c r="U286" s="3" t="s">
        <v>373</v>
      </c>
      <c r="V286" s="3" t="s">
        <v>175</v>
      </c>
      <c r="W286" s="3" t="s">
        <v>1323</v>
      </c>
    </row>
    <row r="287" ht="14.5" spans="2:23">
      <c r="B287" s="1"/>
      <c r="C287" s="1"/>
      <c r="D287" s="1"/>
      <c r="E287" s="1"/>
      <c r="F287" s="1"/>
      <c r="G287" s="1"/>
      <c r="H287" s="1"/>
      <c r="I287" s="1"/>
      <c r="J287" s="1"/>
      <c r="K287" s="1"/>
      <c r="L287" s="1"/>
      <c r="M287" s="1"/>
      <c r="N287" s="1"/>
      <c r="R287" s="3" t="s">
        <v>303</v>
      </c>
      <c r="S287" s="3" t="s">
        <v>62</v>
      </c>
      <c r="T287" s="3" t="s">
        <v>1324</v>
      </c>
      <c r="U287" s="3" t="s">
        <v>373</v>
      </c>
      <c r="V287" s="3" t="s">
        <v>175</v>
      </c>
      <c r="W287" s="3" t="s">
        <v>1325</v>
      </c>
    </row>
    <row r="288" ht="14.5" spans="2:23">
      <c r="B288" s="1"/>
      <c r="C288" s="1"/>
      <c r="D288" s="1"/>
      <c r="E288" s="1"/>
      <c r="F288" s="1"/>
      <c r="G288" s="1"/>
      <c r="H288" s="1"/>
      <c r="I288" s="1"/>
      <c r="J288" s="1"/>
      <c r="K288" s="1"/>
      <c r="L288" s="1"/>
      <c r="M288" s="1"/>
      <c r="N288" s="1"/>
      <c r="R288" s="3" t="s">
        <v>303</v>
      </c>
      <c r="S288" s="3" t="s">
        <v>62</v>
      </c>
      <c r="T288" s="3" t="s">
        <v>1326</v>
      </c>
      <c r="U288" s="3" t="s">
        <v>373</v>
      </c>
      <c r="V288" s="3" t="s">
        <v>175</v>
      </c>
      <c r="W288" s="3" t="s">
        <v>1327</v>
      </c>
    </row>
    <row r="289" ht="14.5" spans="2:23">
      <c r="B289" s="1"/>
      <c r="C289" s="1"/>
      <c r="D289" s="1"/>
      <c r="E289" s="1"/>
      <c r="F289" s="1"/>
      <c r="G289" s="1"/>
      <c r="H289" s="1"/>
      <c r="I289" s="1"/>
      <c r="J289" s="1"/>
      <c r="K289" s="1"/>
      <c r="L289" s="1"/>
      <c r="M289" s="1"/>
      <c r="N289" s="1"/>
      <c r="R289" s="3" t="s">
        <v>303</v>
      </c>
      <c r="S289" s="3" t="s">
        <v>65</v>
      </c>
      <c r="T289" s="3" t="s">
        <v>1328</v>
      </c>
      <c r="U289" s="3" t="s">
        <v>373</v>
      </c>
      <c r="V289" s="3" t="s">
        <v>175</v>
      </c>
      <c r="W289" s="3" t="s">
        <v>1329</v>
      </c>
    </row>
    <row r="290" ht="14.5" spans="2:23">
      <c r="B290" s="1"/>
      <c r="C290" s="1"/>
      <c r="D290" s="1"/>
      <c r="E290" s="1"/>
      <c r="F290" s="1"/>
      <c r="G290" s="1"/>
      <c r="H290" s="1"/>
      <c r="I290" s="1"/>
      <c r="J290" s="1"/>
      <c r="K290" s="1"/>
      <c r="L290" s="1"/>
      <c r="M290" s="1"/>
      <c r="N290" s="1"/>
      <c r="R290" s="3" t="s">
        <v>303</v>
      </c>
      <c r="S290" s="3" t="s">
        <v>65</v>
      </c>
      <c r="T290" s="3" t="s">
        <v>1330</v>
      </c>
      <c r="U290" s="3" t="s">
        <v>373</v>
      </c>
      <c r="V290" s="3" t="s">
        <v>175</v>
      </c>
      <c r="W290" s="3" t="s">
        <v>1331</v>
      </c>
    </row>
    <row r="291" ht="14.5" spans="2:23">
      <c r="B291" s="1"/>
      <c r="C291" s="1"/>
      <c r="D291" s="1"/>
      <c r="E291" s="1"/>
      <c r="F291" s="1"/>
      <c r="G291" s="1"/>
      <c r="H291" s="1"/>
      <c r="I291" s="1"/>
      <c r="J291" s="1"/>
      <c r="K291" s="1"/>
      <c r="L291" s="1"/>
      <c r="M291" s="1"/>
      <c r="N291" s="1"/>
      <c r="R291" s="3" t="s">
        <v>303</v>
      </c>
      <c r="S291" s="3" t="s">
        <v>65</v>
      </c>
      <c r="T291" s="3" t="s">
        <v>1332</v>
      </c>
      <c r="U291" s="3" t="s">
        <v>373</v>
      </c>
      <c r="V291" s="3" t="s">
        <v>175</v>
      </c>
      <c r="W291" s="3" t="s">
        <v>1333</v>
      </c>
    </row>
    <row r="292" ht="14.5" spans="2:23">
      <c r="B292" s="1"/>
      <c r="C292" s="1"/>
      <c r="D292" s="1"/>
      <c r="E292" s="1"/>
      <c r="F292" s="1"/>
      <c r="G292" s="1"/>
      <c r="H292" s="1"/>
      <c r="I292" s="1"/>
      <c r="J292" s="1"/>
      <c r="K292" s="1"/>
      <c r="L292" s="1"/>
      <c r="M292" s="1"/>
      <c r="N292" s="1"/>
      <c r="R292" s="3" t="s">
        <v>303</v>
      </c>
      <c r="S292" s="3" t="s">
        <v>65</v>
      </c>
      <c r="T292" s="3" t="s">
        <v>1334</v>
      </c>
      <c r="U292" s="3" t="s">
        <v>373</v>
      </c>
      <c r="V292" s="3" t="s">
        <v>175</v>
      </c>
      <c r="W292" s="3" t="s">
        <v>1335</v>
      </c>
    </row>
    <row r="293" ht="14.5" spans="2:23">
      <c r="B293" s="1"/>
      <c r="C293" s="1"/>
      <c r="D293" s="1"/>
      <c r="E293" s="1"/>
      <c r="F293" s="1"/>
      <c r="G293" s="1"/>
      <c r="H293" s="1"/>
      <c r="I293" s="1"/>
      <c r="J293" s="1"/>
      <c r="K293" s="1"/>
      <c r="L293" s="1"/>
      <c r="M293" s="1"/>
      <c r="N293" s="1"/>
      <c r="R293" s="3" t="s">
        <v>303</v>
      </c>
      <c r="S293" s="3" t="s">
        <v>65</v>
      </c>
      <c r="T293" s="3" t="s">
        <v>1336</v>
      </c>
      <c r="U293" s="3" t="s">
        <v>373</v>
      </c>
      <c r="V293" s="3" t="s">
        <v>175</v>
      </c>
      <c r="W293" s="3" t="s">
        <v>1337</v>
      </c>
    </row>
    <row r="294" ht="14.5" spans="2:23">
      <c r="B294" s="1"/>
      <c r="C294" s="1"/>
      <c r="D294" s="1"/>
      <c r="E294" s="1"/>
      <c r="F294" s="1"/>
      <c r="G294" s="1"/>
      <c r="H294" s="1"/>
      <c r="I294" s="1"/>
      <c r="J294" s="1"/>
      <c r="K294" s="1"/>
      <c r="L294" s="1"/>
      <c r="M294" s="1"/>
      <c r="N294" s="1"/>
      <c r="R294" s="3" t="s">
        <v>303</v>
      </c>
      <c r="S294" s="3" t="s">
        <v>65</v>
      </c>
      <c r="T294" s="3" t="s">
        <v>1338</v>
      </c>
      <c r="U294" s="3" t="s">
        <v>373</v>
      </c>
      <c r="V294" s="3" t="s">
        <v>175</v>
      </c>
      <c r="W294" s="3" t="s">
        <v>1339</v>
      </c>
    </row>
    <row r="295" ht="14.5" spans="2:23">
      <c r="B295" s="1"/>
      <c r="C295" s="1"/>
      <c r="D295" s="1"/>
      <c r="E295" s="1"/>
      <c r="F295" s="1"/>
      <c r="G295" s="1"/>
      <c r="H295" s="1"/>
      <c r="I295" s="1"/>
      <c r="J295" s="1"/>
      <c r="K295" s="1"/>
      <c r="L295" s="1"/>
      <c r="M295" s="1"/>
      <c r="N295" s="1"/>
      <c r="R295" s="3" t="s">
        <v>303</v>
      </c>
      <c r="S295" s="3" t="s">
        <v>65</v>
      </c>
      <c r="T295" s="3" t="s">
        <v>1340</v>
      </c>
      <c r="U295" s="3" t="s">
        <v>373</v>
      </c>
      <c r="V295" s="3" t="s">
        <v>175</v>
      </c>
      <c r="W295" s="3" t="s">
        <v>1341</v>
      </c>
    </row>
    <row r="296" ht="14.5" spans="2:23">
      <c r="B296" s="1"/>
      <c r="C296" s="1"/>
      <c r="D296" s="1"/>
      <c r="E296" s="1"/>
      <c r="F296" s="1"/>
      <c r="G296" s="1"/>
      <c r="H296" s="1"/>
      <c r="I296" s="1"/>
      <c r="J296" s="1"/>
      <c r="K296" s="1"/>
      <c r="L296" s="1"/>
      <c r="M296" s="1"/>
      <c r="N296" s="1"/>
      <c r="R296" s="3" t="s">
        <v>303</v>
      </c>
      <c r="S296" s="3" t="s">
        <v>65</v>
      </c>
      <c r="T296" s="3" t="s">
        <v>1342</v>
      </c>
      <c r="U296" s="3" t="s">
        <v>373</v>
      </c>
      <c r="V296" s="3" t="s">
        <v>175</v>
      </c>
      <c r="W296" s="3" t="s">
        <v>1343</v>
      </c>
    </row>
    <row r="297" ht="14.5" spans="2:23">
      <c r="B297" s="1"/>
      <c r="C297" s="1"/>
      <c r="D297" s="1"/>
      <c r="E297" s="1"/>
      <c r="F297" s="1"/>
      <c r="G297" s="1"/>
      <c r="H297" s="1"/>
      <c r="I297" s="1"/>
      <c r="J297" s="1"/>
      <c r="K297" s="1"/>
      <c r="L297" s="1"/>
      <c r="M297" s="1"/>
      <c r="N297" s="1"/>
      <c r="R297" s="3" t="s">
        <v>303</v>
      </c>
      <c r="S297" s="3" t="s">
        <v>65</v>
      </c>
      <c r="T297" s="3" t="s">
        <v>1344</v>
      </c>
      <c r="U297" s="3" t="s">
        <v>373</v>
      </c>
      <c r="V297" s="3" t="s">
        <v>175</v>
      </c>
      <c r="W297" s="3" t="s">
        <v>1345</v>
      </c>
    </row>
    <row r="298" ht="14.5" spans="2:23">
      <c r="B298" s="1"/>
      <c r="C298" s="1"/>
      <c r="D298" s="1"/>
      <c r="E298" s="1"/>
      <c r="F298" s="1"/>
      <c r="G298" s="1"/>
      <c r="H298" s="1"/>
      <c r="I298" s="1"/>
      <c r="J298" s="1"/>
      <c r="K298" s="1"/>
      <c r="L298" s="1"/>
      <c r="M298" s="1"/>
      <c r="N298" s="1"/>
      <c r="R298" s="3" t="s">
        <v>303</v>
      </c>
      <c r="S298" s="3" t="s">
        <v>65</v>
      </c>
      <c r="T298" s="3" t="s">
        <v>1346</v>
      </c>
      <c r="U298" s="3" t="s">
        <v>373</v>
      </c>
      <c r="V298" s="3" t="s">
        <v>175</v>
      </c>
      <c r="W298" s="3" t="s">
        <v>1347</v>
      </c>
    </row>
    <row r="299" ht="14.5" spans="2:23">
      <c r="B299" s="1"/>
      <c r="C299" s="1"/>
      <c r="D299" s="1"/>
      <c r="E299" s="1"/>
      <c r="F299" s="1"/>
      <c r="G299" s="1"/>
      <c r="H299" s="1"/>
      <c r="I299" s="1"/>
      <c r="J299" s="1"/>
      <c r="K299" s="1"/>
      <c r="L299" s="1"/>
      <c r="M299" s="1"/>
      <c r="N299" s="1"/>
      <c r="R299" s="3" t="s">
        <v>303</v>
      </c>
      <c r="S299" s="3" t="s">
        <v>65</v>
      </c>
      <c r="T299" s="3" t="s">
        <v>1348</v>
      </c>
      <c r="U299" s="3" t="s">
        <v>373</v>
      </c>
      <c r="V299" s="3" t="s">
        <v>175</v>
      </c>
      <c r="W299" s="3" t="s">
        <v>1349</v>
      </c>
    </row>
    <row r="300" ht="14.5" spans="2:23">
      <c r="B300" s="1"/>
      <c r="C300" s="1"/>
      <c r="D300" s="1"/>
      <c r="E300" s="1"/>
      <c r="F300" s="1"/>
      <c r="G300" s="1"/>
      <c r="H300" s="1"/>
      <c r="I300" s="1"/>
      <c r="J300" s="1"/>
      <c r="K300" s="1"/>
      <c r="L300" s="1"/>
      <c r="M300" s="1"/>
      <c r="N300" s="1"/>
      <c r="R300" s="3" t="s">
        <v>303</v>
      </c>
      <c r="S300" s="3" t="s">
        <v>65</v>
      </c>
      <c r="T300" s="3" t="s">
        <v>1350</v>
      </c>
      <c r="U300" s="3" t="s">
        <v>373</v>
      </c>
      <c r="V300" s="3" t="s">
        <v>175</v>
      </c>
      <c r="W300" s="3" t="s">
        <v>1351</v>
      </c>
    </row>
    <row r="301" ht="14.5" spans="2:23">
      <c r="B301" s="1"/>
      <c r="C301" s="1"/>
      <c r="D301" s="1"/>
      <c r="E301" s="1"/>
      <c r="F301" s="1"/>
      <c r="G301" s="1"/>
      <c r="H301" s="1"/>
      <c r="I301" s="1"/>
      <c r="J301" s="1"/>
      <c r="K301" s="1"/>
      <c r="L301" s="1"/>
      <c r="M301" s="1"/>
      <c r="N301" s="1"/>
      <c r="R301" s="3" t="s">
        <v>303</v>
      </c>
      <c r="S301" s="3" t="s">
        <v>65</v>
      </c>
      <c r="T301" s="3" t="s">
        <v>1352</v>
      </c>
      <c r="U301" s="3" t="s">
        <v>373</v>
      </c>
      <c r="V301" s="3" t="s">
        <v>175</v>
      </c>
      <c r="W301" s="3" t="s">
        <v>1353</v>
      </c>
    </row>
    <row r="302" ht="14.5" spans="2:23">
      <c r="B302" s="1"/>
      <c r="C302" s="1"/>
      <c r="D302" s="1"/>
      <c r="E302" s="1"/>
      <c r="F302" s="1"/>
      <c r="G302" s="1"/>
      <c r="H302" s="1"/>
      <c r="I302" s="1"/>
      <c r="J302" s="1"/>
      <c r="K302" s="1"/>
      <c r="L302" s="1"/>
      <c r="M302" s="1"/>
      <c r="N302" s="1"/>
      <c r="R302" s="3" t="s">
        <v>303</v>
      </c>
      <c r="S302" s="3" t="s">
        <v>65</v>
      </c>
      <c r="T302" s="3" t="s">
        <v>1354</v>
      </c>
      <c r="U302" s="3" t="s">
        <v>373</v>
      </c>
      <c r="V302" s="3" t="s">
        <v>175</v>
      </c>
      <c r="W302" s="3" t="s">
        <v>1355</v>
      </c>
    </row>
    <row r="303" ht="14.5" spans="2:23">
      <c r="B303" s="1"/>
      <c r="C303" s="1"/>
      <c r="D303" s="1"/>
      <c r="E303" s="1"/>
      <c r="F303" s="1"/>
      <c r="G303" s="1"/>
      <c r="H303" s="1"/>
      <c r="I303" s="1"/>
      <c r="J303" s="1"/>
      <c r="K303" s="1"/>
      <c r="L303" s="1"/>
      <c r="M303" s="1"/>
      <c r="N303" s="1"/>
      <c r="R303" s="3" t="s">
        <v>303</v>
      </c>
      <c r="S303" s="3" t="s">
        <v>65</v>
      </c>
      <c r="T303" s="3" t="s">
        <v>1356</v>
      </c>
      <c r="U303" s="3" t="s">
        <v>373</v>
      </c>
      <c r="V303" s="3" t="s">
        <v>175</v>
      </c>
      <c r="W303" s="3" t="s">
        <v>1357</v>
      </c>
    </row>
    <row r="304" ht="14.5" spans="2:23">
      <c r="B304" s="1"/>
      <c r="C304" s="1"/>
      <c r="D304" s="1"/>
      <c r="E304" s="1"/>
      <c r="F304" s="1"/>
      <c r="G304" s="1"/>
      <c r="H304" s="1"/>
      <c r="I304" s="1"/>
      <c r="J304" s="1"/>
      <c r="K304" s="1"/>
      <c r="L304" s="1"/>
      <c r="M304" s="1"/>
      <c r="N304" s="1"/>
      <c r="R304" s="3" t="s">
        <v>303</v>
      </c>
      <c r="S304" s="3" t="s">
        <v>65</v>
      </c>
      <c r="T304" s="3" t="s">
        <v>1358</v>
      </c>
      <c r="U304" s="3" t="s">
        <v>373</v>
      </c>
      <c r="V304" s="3" t="s">
        <v>175</v>
      </c>
      <c r="W304" s="3" t="s">
        <v>1359</v>
      </c>
    </row>
    <row r="305" ht="14.5" spans="2:23">
      <c r="B305" s="1"/>
      <c r="C305" s="1"/>
      <c r="D305" s="1"/>
      <c r="E305" s="1"/>
      <c r="F305" s="1"/>
      <c r="G305" s="1"/>
      <c r="H305" s="1"/>
      <c r="I305" s="1"/>
      <c r="J305" s="1"/>
      <c r="K305" s="1"/>
      <c r="L305" s="1"/>
      <c r="M305" s="1"/>
      <c r="N305" s="1"/>
      <c r="R305" s="3" t="s">
        <v>303</v>
      </c>
      <c r="S305" s="3" t="s">
        <v>65</v>
      </c>
      <c r="T305" s="3" t="s">
        <v>1360</v>
      </c>
      <c r="U305" s="3" t="s">
        <v>373</v>
      </c>
      <c r="V305" s="3" t="s">
        <v>175</v>
      </c>
      <c r="W305" s="3" t="s">
        <v>1361</v>
      </c>
    </row>
    <row r="306" ht="14.5" spans="2:23">
      <c r="B306" s="1"/>
      <c r="C306" s="1"/>
      <c r="D306" s="1"/>
      <c r="E306" s="1"/>
      <c r="F306" s="1"/>
      <c r="G306" s="1"/>
      <c r="H306" s="1"/>
      <c r="I306" s="1"/>
      <c r="J306" s="1"/>
      <c r="K306" s="1"/>
      <c r="L306" s="1"/>
      <c r="M306" s="1"/>
      <c r="N306" s="1"/>
      <c r="R306" s="3" t="s">
        <v>303</v>
      </c>
      <c r="S306" s="3" t="s">
        <v>65</v>
      </c>
      <c r="T306" s="3" t="s">
        <v>1362</v>
      </c>
      <c r="U306" s="3" t="s">
        <v>373</v>
      </c>
      <c r="V306" s="3" t="s">
        <v>175</v>
      </c>
      <c r="W306" s="3" t="s">
        <v>1363</v>
      </c>
    </row>
    <row r="307" ht="14.5" spans="2:23">
      <c r="B307" s="1"/>
      <c r="C307" s="1"/>
      <c r="D307" s="1"/>
      <c r="E307" s="1"/>
      <c r="F307" s="1"/>
      <c r="G307" s="1"/>
      <c r="H307" s="1"/>
      <c r="I307" s="1"/>
      <c r="J307" s="1"/>
      <c r="K307" s="1"/>
      <c r="L307" s="1"/>
      <c r="M307" s="1"/>
      <c r="N307" s="1"/>
      <c r="R307" s="3" t="s">
        <v>303</v>
      </c>
      <c r="S307" s="3" t="s">
        <v>65</v>
      </c>
      <c r="T307" s="3" t="s">
        <v>1364</v>
      </c>
      <c r="U307" s="3" t="s">
        <v>373</v>
      </c>
      <c r="V307" s="3" t="s">
        <v>175</v>
      </c>
      <c r="W307" s="3" t="s">
        <v>1365</v>
      </c>
    </row>
    <row r="308" ht="14.5" spans="2:23">
      <c r="B308" s="1"/>
      <c r="C308" s="1"/>
      <c r="D308" s="1"/>
      <c r="E308" s="1"/>
      <c r="F308" s="1"/>
      <c r="G308" s="1"/>
      <c r="H308" s="1"/>
      <c r="I308" s="1"/>
      <c r="J308" s="1"/>
      <c r="K308" s="1"/>
      <c r="L308" s="1"/>
      <c r="M308" s="1"/>
      <c r="N308" s="1"/>
      <c r="R308" s="3" t="s">
        <v>303</v>
      </c>
      <c r="S308" s="3" t="s">
        <v>65</v>
      </c>
      <c r="T308" s="3" t="s">
        <v>1366</v>
      </c>
      <c r="U308" s="3" t="s">
        <v>373</v>
      </c>
      <c r="V308" s="3" t="s">
        <v>175</v>
      </c>
      <c r="W308" s="3" t="s">
        <v>1367</v>
      </c>
    </row>
    <row r="309" ht="14.5" spans="2:23">
      <c r="B309" s="1"/>
      <c r="C309" s="1"/>
      <c r="D309" s="1"/>
      <c r="E309" s="1"/>
      <c r="F309" s="1"/>
      <c r="G309" s="1"/>
      <c r="H309" s="1"/>
      <c r="I309" s="1"/>
      <c r="J309" s="1"/>
      <c r="K309" s="1"/>
      <c r="L309" s="1"/>
      <c r="M309" s="1"/>
      <c r="N309" s="1"/>
      <c r="R309" s="3" t="s">
        <v>303</v>
      </c>
      <c r="S309" s="3" t="s">
        <v>65</v>
      </c>
      <c r="T309" s="3" t="s">
        <v>1368</v>
      </c>
      <c r="U309" s="3" t="s">
        <v>373</v>
      </c>
      <c r="V309" s="3" t="s">
        <v>175</v>
      </c>
      <c r="W309" s="3" t="s">
        <v>1369</v>
      </c>
    </row>
    <row r="310" ht="14.5" spans="2:23">
      <c r="B310" s="1"/>
      <c r="C310" s="1"/>
      <c r="D310" s="1"/>
      <c r="E310" s="1"/>
      <c r="F310" s="1"/>
      <c r="G310" s="1"/>
      <c r="H310" s="1"/>
      <c r="I310" s="1"/>
      <c r="J310" s="1"/>
      <c r="K310" s="1"/>
      <c r="L310" s="1"/>
      <c r="M310" s="1"/>
      <c r="N310" s="1"/>
      <c r="R310" s="3" t="s">
        <v>303</v>
      </c>
      <c r="S310" s="3" t="s">
        <v>65</v>
      </c>
      <c r="T310" s="3" t="s">
        <v>1370</v>
      </c>
      <c r="U310" s="3" t="s">
        <v>373</v>
      </c>
      <c r="V310" s="3" t="s">
        <v>175</v>
      </c>
      <c r="W310" s="3" t="s">
        <v>1371</v>
      </c>
    </row>
    <row r="311" ht="14.5" spans="2:23">
      <c r="B311" s="1"/>
      <c r="C311" s="1"/>
      <c r="D311" s="1"/>
      <c r="E311" s="1"/>
      <c r="F311" s="1"/>
      <c r="G311" s="1"/>
      <c r="H311" s="1"/>
      <c r="I311" s="1"/>
      <c r="J311" s="1"/>
      <c r="K311" s="1"/>
      <c r="L311" s="1"/>
      <c r="M311" s="1"/>
      <c r="N311" s="1"/>
      <c r="R311" s="3" t="s">
        <v>303</v>
      </c>
      <c r="S311" s="3" t="s">
        <v>65</v>
      </c>
      <c r="T311" s="3" t="s">
        <v>1372</v>
      </c>
      <c r="U311" s="3" t="s">
        <v>373</v>
      </c>
      <c r="V311" s="3" t="s">
        <v>175</v>
      </c>
      <c r="W311" s="3" t="s">
        <v>1373</v>
      </c>
    </row>
    <row r="312" ht="14.5" spans="2:23">
      <c r="B312" s="1"/>
      <c r="C312" s="1"/>
      <c r="D312" s="1"/>
      <c r="E312" s="1"/>
      <c r="F312" s="1"/>
      <c r="G312" s="1"/>
      <c r="H312" s="1"/>
      <c r="I312" s="1"/>
      <c r="J312" s="1"/>
      <c r="K312" s="1"/>
      <c r="L312" s="1"/>
      <c r="M312" s="1"/>
      <c r="N312" s="1"/>
      <c r="R312" s="3" t="s">
        <v>303</v>
      </c>
      <c r="S312" s="3" t="s">
        <v>65</v>
      </c>
      <c r="T312" s="3" t="s">
        <v>1374</v>
      </c>
      <c r="U312" s="3" t="s">
        <v>373</v>
      </c>
      <c r="V312" s="3" t="s">
        <v>175</v>
      </c>
      <c r="W312" s="3" t="s">
        <v>1375</v>
      </c>
    </row>
    <row r="313" ht="14.5" spans="2:23">
      <c r="B313" s="1"/>
      <c r="C313" s="1"/>
      <c r="D313" s="1"/>
      <c r="E313" s="1"/>
      <c r="F313" s="1"/>
      <c r="G313" s="1"/>
      <c r="H313" s="1"/>
      <c r="I313" s="1"/>
      <c r="J313" s="1"/>
      <c r="K313" s="1"/>
      <c r="L313" s="1"/>
      <c r="M313" s="1"/>
      <c r="N313" s="1"/>
      <c r="R313" s="3" t="s">
        <v>303</v>
      </c>
      <c r="S313" s="3" t="s">
        <v>65</v>
      </c>
      <c r="T313" s="3" t="s">
        <v>1376</v>
      </c>
      <c r="U313" s="3" t="s">
        <v>373</v>
      </c>
      <c r="V313" s="3" t="s">
        <v>175</v>
      </c>
      <c r="W313" s="3" t="s">
        <v>1377</v>
      </c>
    </row>
    <row r="314" ht="14.5" spans="2:23">
      <c r="B314" s="1"/>
      <c r="C314" s="1"/>
      <c r="D314" s="1"/>
      <c r="E314" s="1"/>
      <c r="F314" s="1"/>
      <c r="G314" s="1"/>
      <c r="H314" s="1"/>
      <c r="I314" s="1"/>
      <c r="J314" s="1"/>
      <c r="K314" s="1"/>
      <c r="L314" s="1"/>
      <c r="M314" s="1"/>
      <c r="N314" s="1"/>
      <c r="R314" s="3" t="s">
        <v>303</v>
      </c>
      <c r="S314" s="3" t="s">
        <v>65</v>
      </c>
      <c r="T314" s="3" t="s">
        <v>1378</v>
      </c>
      <c r="U314" s="3" t="s">
        <v>373</v>
      </c>
      <c r="V314" s="3" t="s">
        <v>175</v>
      </c>
      <c r="W314" s="3" t="s">
        <v>1379</v>
      </c>
    </row>
    <row r="315" ht="14.5" spans="2:23">
      <c r="B315" s="1"/>
      <c r="C315" s="1"/>
      <c r="D315" s="1"/>
      <c r="E315" s="1"/>
      <c r="F315" s="1"/>
      <c r="G315" s="1"/>
      <c r="H315" s="1"/>
      <c r="I315" s="1"/>
      <c r="J315" s="1"/>
      <c r="K315" s="1"/>
      <c r="L315" s="1"/>
      <c r="M315" s="1"/>
      <c r="N315" s="1"/>
      <c r="R315" s="3" t="s">
        <v>303</v>
      </c>
      <c r="S315" s="3" t="s">
        <v>65</v>
      </c>
      <c r="T315" s="3" t="s">
        <v>1380</v>
      </c>
      <c r="U315" s="3" t="s">
        <v>373</v>
      </c>
      <c r="V315" s="3" t="s">
        <v>175</v>
      </c>
      <c r="W315" s="3" t="s">
        <v>1381</v>
      </c>
    </row>
    <row r="316" ht="14.5" spans="2:23">
      <c r="B316" s="1"/>
      <c r="C316" s="1"/>
      <c r="D316" s="1"/>
      <c r="E316" s="1"/>
      <c r="F316" s="1"/>
      <c r="G316" s="1"/>
      <c r="H316" s="1"/>
      <c r="I316" s="1"/>
      <c r="J316" s="1"/>
      <c r="K316" s="1"/>
      <c r="L316" s="1"/>
      <c r="M316" s="1"/>
      <c r="N316" s="1"/>
      <c r="R316" s="3" t="s">
        <v>303</v>
      </c>
      <c r="S316" s="3" t="s">
        <v>65</v>
      </c>
      <c r="T316" s="3" t="s">
        <v>1382</v>
      </c>
      <c r="U316" s="3" t="s">
        <v>373</v>
      </c>
      <c r="V316" s="3" t="s">
        <v>175</v>
      </c>
      <c r="W316" s="3" t="s">
        <v>1383</v>
      </c>
    </row>
    <row r="317" ht="14.5" spans="2:23">
      <c r="B317" s="1"/>
      <c r="C317" s="1"/>
      <c r="D317" s="1"/>
      <c r="E317" s="1"/>
      <c r="F317" s="1"/>
      <c r="G317" s="1"/>
      <c r="H317" s="1"/>
      <c r="I317" s="1"/>
      <c r="J317" s="1"/>
      <c r="K317" s="1"/>
      <c r="L317" s="1"/>
      <c r="M317" s="1"/>
      <c r="N317" s="1"/>
      <c r="R317" s="3" t="s">
        <v>303</v>
      </c>
      <c r="S317" s="3" t="s">
        <v>65</v>
      </c>
      <c r="T317" s="3" t="s">
        <v>1384</v>
      </c>
      <c r="U317" s="3" t="s">
        <v>373</v>
      </c>
      <c r="V317" s="3" t="s">
        <v>175</v>
      </c>
      <c r="W317" s="3" t="s">
        <v>1385</v>
      </c>
    </row>
    <row r="318" ht="14.5" spans="2:23">
      <c r="B318" s="1"/>
      <c r="C318" s="1"/>
      <c r="D318" s="1"/>
      <c r="E318" s="1"/>
      <c r="F318" s="1"/>
      <c r="G318" s="1"/>
      <c r="H318" s="1"/>
      <c r="I318" s="1"/>
      <c r="J318" s="1"/>
      <c r="K318" s="1"/>
      <c r="L318" s="1"/>
      <c r="M318" s="1"/>
      <c r="N318" s="1"/>
      <c r="R318" s="3" t="s">
        <v>303</v>
      </c>
      <c r="S318" s="3" t="s">
        <v>65</v>
      </c>
      <c r="T318" s="3" t="s">
        <v>1386</v>
      </c>
      <c r="U318" s="3" t="s">
        <v>373</v>
      </c>
      <c r="V318" s="3" t="s">
        <v>175</v>
      </c>
      <c r="W318" s="3" t="s">
        <v>1387</v>
      </c>
    </row>
    <row r="319" ht="14.5" spans="2:23">
      <c r="B319" s="1"/>
      <c r="C319" s="1"/>
      <c r="D319" s="1"/>
      <c r="E319" s="1"/>
      <c r="F319" s="1"/>
      <c r="G319" s="1"/>
      <c r="H319" s="1"/>
      <c r="I319" s="1"/>
      <c r="J319" s="1"/>
      <c r="K319" s="1"/>
      <c r="L319" s="1"/>
      <c r="M319" s="1"/>
      <c r="N319" s="1"/>
      <c r="R319" s="3" t="s">
        <v>303</v>
      </c>
      <c r="S319" s="3" t="s">
        <v>65</v>
      </c>
      <c r="T319" s="3" t="s">
        <v>1388</v>
      </c>
      <c r="U319" s="3" t="s">
        <v>373</v>
      </c>
      <c r="V319" s="3" t="s">
        <v>175</v>
      </c>
      <c r="W319" s="3" t="s">
        <v>1389</v>
      </c>
    </row>
    <row r="320" ht="14.5" spans="2:23">
      <c r="B320" s="1"/>
      <c r="C320" s="1"/>
      <c r="D320" s="1"/>
      <c r="E320" s="1"/>
      <c r="F320" s="1"/>
      <c r="G320" s="1"/>
      <c r="H320" s="1"/>
      <c r="I320" s="1"/>
      <c r="J320" s="1"/>
      <c r="K320" s="1"/>
      <c r="L320" s="1"/>
      <c r="M320" s="1"/>
      <c r="N320" s="1"/>
      <c r="R320" s="3" t="s">
        <v>303</v>
      </c>
      <c r="S320" s="3" t="s">
        <v>65</v>
      </c>
      <c r="T320" s="3" t="s">
        <v>1390</v>
      </c>
      <c r="U320" s="3" t="s">
        <v>373</v>
      </c>
      <c r="V320" s="3" t="s">
        <v>175</v>
      </c>
      <c r="W320" s="3" t="s">
        <v>1391</v>
      </c>
    </row>
    <row r="321" ht="14.5" spans="2:23">
      <c r="B321" s="1"/>
      <c r="C321" s="1"/>
      <c r="D321" s="1"/>
      <c r="E321" s="1"/>
      <c r="F321" s="1"/>
      <c r="G321" s="1"/>
      <c r="H321" s="1"/>
      <c r="I321" s="1"/>
      <c r="J321" s="1"/>
      <c r="K321" s="1"/>
      <c r="L321" s="1"/>
      <c r="M321" s="1"/>
      <c r="N321" s="1"/>
      <c r="R321" s="3" t="s">
        <v>303</v>
      </c>
      <c r="S321" s="3" t="s">
        <v>65</v>
      </c>
      <c r="T321" s="3" t="s">
        <v>1392</v>
      </c>
      <c r="U321" s="3" t="s">
        <v>373</v>
      </c>
      <c r="V321" s="3" t="s">
        <v>175</v>
      </c>
      <c r="W321" s="3" t="s">
        <v>1393</v>
      </c>
    </row>
    <row r="322" ht="14.5" spans="2:23">
      <c r="B322" s="1"/>
      <c r="C322" s="1"/>
      <c r="D322" s="1"/>
      <c r="E322" s="1"/>
      <c r="F322" s="1"/>
      <c r="G322" s="1"/>
      <c r="H322" s="1"/>
      <c r="I322" s="1"/>
      <c r="J322" s="1"/>
      <c r="K322" s="1"/>
      <c r="L322" s="1"/>
      <c r="M322" s="1"/>
      <c r="N322" s="1"/>
      <c r="R322" s="3" t="s">
        <v>303</v>
      </c>
      <c r="S322" s="3" t="s">
        <v>65</v>
      </c>
      <c r="T322" s="3" t="s">
        <v>1394</v>
      </c>
      <c r="U322" s="3" t="s">
        <v>373</v>
      </c>
      <c r="V322" s="3" t="s">
        <v>175</v>
      </c>
      <c r="W322" s="3" t="s">
        <v>1395</v>
      </c>
    </row>
    <row r="323" ht="14.5" spans="2:23">
      <c r="B323" s="1"/>
      <c r="C323" s="1"/>
      <c r="D323" s="1"/>
      <c r="E323" s="1"/>
      <c r="F323" s="1"/>
      <c r="G323" s="1"/>
      <c r="H323" s="1"/>
      <c r="I323" s="1"/>
      <c r="J323" s="1"/>
      <c r="K323" s="1"/>
      <c r="L323" s="1"/>
      <c r="M323" s="1"/>
      <c r="N323" s="1"/>
      <c r="R323" s="3" t="s">
        <v>303</v>
      </c>
      <c r="S323" s="3" t="s">
        <v>65</v>
      </c>
      <c r="T323" s="3" t="s">
        <v>1396</v>
      </c>
      <c r="U323" s="3" t="s">
        <v>373</v>
      </c>
      <c r="V323" s="3" t="s">
        <v>175</v>
      </c>
      <c r="W323" s="3" t="s">
        <v>1397</v>
      </c>
    </row>
    <row r="324" ht="14.5" spans="2:23">
      <c r="B324" s="1"/>
      <c r="C324" s="1"/>
      <c r="D324" s="1"/>
      <c r="E324" s="1"/>
      <c r="F324" s="1"/>
      <c r="G324" s="1"/>
      <c r="H324" s="1"/>
      <c r="I324" s="1"/>
      <c r="J324" s="1"/>
      <c r="K324" s="1"/>
      <c r="L324" s="1"/>
      <c r="M324" s="1"/>
      <c r="N324" s="1"/>
      <c r="R324" s="3" t="s">
        <v>303</v>
      </c>
      <c r="S324" s="3" t="s">
        <v>65</v>
      </c>
      <c r="T324" s="3" t="s">
        <v>1398</v>
      </c>
      <c r="U324" s="3" t="s">
        <v>373</v>
      </c>
      <c r="V324" s="3" t="s">
        <v>175</v>
      </c>
      <c r="W324" s="3" t="s">
        <v>1399</v>
      </c>
    </row>
    <row r="325" ht="14.5" spans="2:23">
      <c r="B325" s="1"/>
      <c r="C325" s="1"/>
      <c r="D325" s="1"/>
      <c r="E325" s="1"/>
      <c r="F325" s="1"/>
      <c r="G325" s="1"/>
      <c r="H325" s="1"/>
      <c r="I325" s="1"/>
      <c r="J325" s="1"/>
      <c r="K325" s="1"/>
      <c r="L325" s="1"/>
      <c r="M325" s="1"/>
      <c r="N325" s="1"/>
      <c r="R325" s="3" t="s">
        <v>303</v>
      </c>
      <c r="S325" s="3" t="s">
        <v>65</v>
      </c>
      <c r="T325" s="3" t="s">
        <v>1400</v>
      </c>
      <c r="U325" s="3" t="s">
        <v>373</v>
      </c>
      <c r="V325" s="3" t="s">
        <v>175</v>
      </c>
      <c r="W325" s="3" t="s">
        <v>1401</v>
      </c>
    </row>
    <row r="326" ht="14.5" spans="2:23">
      <c r="B326" s="1"/>
      <c r="C326" s="1"/>
      <c r="D326" s="1"/>
      <c r="E326" s="1"/>
      <c r="F326" s="1"/>
      <c r="G326" s="1"/>
      <c r="H326" s="1"/>
      <c r="I326" s="1"/>
      <c r="J326" s="1"/>
      <c r="K326" s="1"/>
      <c r="L326" s="1"/>
      <c r="M326" s="1"/>
      <c r="N326" s="1"/>
      <c r="R326" s="3" t="s">
        <v>303</v>
      </c>
      <c r="S326" s="3" t="s">
        <v>65</v>
      </c>
      <c r="T326" s="3" t="s">
        <v>1402</v>
      </c>
      <c r="U326" s="3" t="s">
        <v>373</v>
      </c>
      <c r="V326" s="3" t="s">
        <v>175</v>
      </c>
      <c r="W326" s="3" t="s">
        <v>1403</v>
      </c>
    </row>
    <row r="327" ht="14.5" spans="2:23">
      <c r="B327" s="1"/>
      <c r="C327" s="1"/>
      <c r="D327" s="1"/>
      <c r="E327" s="1"/>
      <c r="F327" s="1"/>
      <c r="G327" s="1"/>
      <c r="H327" s="1"/>
      <c r="I327" s="1"/>
      <c r="J327" s="1"/>
      <c r="K327" s="1"/>
      <c r="L327" s="1"/>
      <c r="M327" s="1"/>
      <c r="N327" s="1"/>
      <c r="R327" s="3" t="s">
        <v>303</v>
      </c>
      <c r="S327" s="3" t="s">
        <v>65</v>
      </c>
      <c r="T327" s="3" t="s">
        <v>1404</v>
      </c>
      <c r="U327" s="3" t="s">
        <v>373</v>
      </c>
      <c r="V327" s="3" t="s">
        <v>175</v>
      </c>
      <c r="W327" s="3" t="s">
        <v>1405</v>
      </c>
    </row>
    <row r="328" ht="14.5" spans="2:23">
      <c r="B328" s="1"/>
      <c r="C328" s="1"/>
      <c r="D328" s="1"/>
      <c r="E328" s="1"/>
      <c r="F328" s="1"/>
      <c r="G328" s="1"/>
      <c r="H328" s="1"/>
      <c r="I328" s="1"/>
      <c r="J328" s="1"/>
      <c r="K328" s="1"/>
      <c r="L328" s="1"/>
      <c r="M328" s="1"/>
      <c r="N328" s="1"/>
      <c r="R328" s="3" t="s">
        <v>303</v>
      </c>
      <c r="S328" s="3" t="s">
        <v>65</v>
      </c>
      <c r="T328" s="3" t="s">
        <v>1406</v>
      </c>
      <c r="U328" s="3" t="s">
        <v>373</v>
      </c>
      <c r="V328" s="3" t="s">
        <v>175</v>
      </c>
      <c r="W328" s="3" t="s">
        <v>1407</v>
      </c>
    </row>
    <row r="329" ht="14.5" spans="2:23">
      <c r="B329" s="1"/>
      <c r="C329" s="1"/>
      <c r="D329" s="1"/>
      <c r="E329" s="1"/>
      <c r="F329" s="1"/>
      <c r="G329" s="1"/>
      <c r="H329" s="1"/>
      <c r="I329" s="1"/>
      <c r="J329" s="1"/>
      <c r="K329" s="1"/>
      <c r="L329" s="1"/>
      <c r="M329" s="1"/>
      <c r="N329" s="1"/>
      <c r="R329" s="3" t="s">
        <v>303</v>
      </c>
      <c r="S329" s="3" t="s">
        <v>65</v>
      </c>
      <c r="T329" s="3" t="s">
        <v>1408</v>
      </c>
      <c r="U329" s="3" t="s">
        <v>373</v>
      </c>
      <c r="V329" s="3" t="s">
        <v>175</v>
      </c>
      <c r="W329" s="3" t="s">
        <v>1409</v>
      </c>
    </row>
    <row r="330" ht="14.5" spans="2:23">
      <c r="B330" s="1"/>
      <c r="C330" s="1"/>
      <c r="D330" s="1"/>
      <c r="E330" s="1"/>
      <c r="F330" s="1"/>
      <c r="G330" s="1"/>
      <c r="H330" s="1"/>
      <c r="I330" s="1"/>
      <c r="J330" s="1"/>
      <c r="K330" s="1"/>
      <c r="L330" s="1"/>
      <c r="M330" s="1"/>
      <c r="N330" s="1"/>
      <c r="R330" s="3" t="s">
        <v>303</v>
      </c>
      <c r="S330" s="3" t="s">
        <v>65</v>
      </c>
      <c r="T330" s="3" t="s">
        <v>1410</v>
      </c>
      <c r="U330" s="3" t="s">
        <v>373</v>
      </c>
      <c r="V330" s="3" t="s">
        <v>175</v>
      </c>
      <c r="W330" s="3" t="s">
        <v>1411</v>
      </c>
    </row>
    <row r="331" ht="14.5" spans="2:23">
      <c r="B331" s="1"/>
      <c r="C331" s="1"/>
      <c r="D331" s="1"/>
      <c r="E331" s="1"/>
      <c r="F331" s="1"/>
      <c r="G331" s="1"/>
      <c r="H331" s="1"/>
      <c r="I331" s="1"/>
      <c r="J331" s="1"/>
      <c r="K331" s="1"/>
      <c r="L331" s="1"/>
      <c r="M331" s="1"/>
      <c r="N331" s="1"/>
      <c r="R331" s="3" t="s">
        <v>303</v>
      </c>
      <c r="S331" s="3" t="s">
        <v>65</v>
      </c>
      <c r="T331" s="3" t="s">
        <v>1412</v>
      </c>
      <c r="U331" s="3" t="s">
        <v>373</v>
      </c>
      <c r="V331" s="3" t="s">
        <v>175</v>
      </c>
      <c r="W331" s="3" t="s">
        <v>1413</v>
      </c>
    </row>
    <row r="332" ht="14.5" spans="2:23">
      <c r="B332" s="1"/>
      <c r="C332" s="1"/>
      <c r="D332" s="1"/>
      <c r="E332" s="1"/>
      <c r="F332" s="1"/>
      <c r="G332" s="1"/>
      <c r="H332" s="1"/>
      <c r="I332" s="1"/>
      <c r="J332" s="1"/>
      <c r="K332" s="1"/>
      <c r="L332" s="1"/>
      <c r="M332" s="1"/>
      <c r="N332" s="1"/>
      <c r="R332" s="3" t="s">
        <v>303</v>
      </c>
      <c r="S332" s="3" t="s">
        <v>65</v>
      </c>
      <c r="T332" s="3" t="s">
        <v>1414</v>
      </c>
      <c r="U332" s="3" t="s">
        <v>373</v>
      </c>
      <c r="V332" s="3" t="s">
        <v>175</v>
      </c>
      <c r="W332" s="3" t="s">
        <v>1415</v>
      </c>
    </row>
    <row r="333" ht="14.5" spans="2:23">
      <c r="B333" s="1"/>
      <c r="C333" s="1"/>
      <c r="D333" s="1"/>
      <c r="E333" s="1"/>
      <c r="F333" s="1"/>
      <c r="G333" s="1"/>
      <c r="H333" s="1"/>
      <c r="I333" s="1"/>
      <c r="J333" s="1"/>
      <c r="K333" s="1"/>
      <c r="L333" s="1"/>
      <c r="M333" s="1"/>
      <c r="N333" s="1"/>
      <c r="R333" s="3" t="s">
        <v>303</v>
      </c>
      <c r="S333" s="3" t="s">
        <v>65</v>
      </c>
      <c r="T333" s="3" t="s">
        <v>1416</v>
      </c>
      <c r="U333" s="3" t="s">
        <v>373</v>
      </c>
      <c r="V333" s="3" t="s">
        <v>175</v>
      </c>
      <c r="W333" s="3" t="s">
        <v>1417</v>
      </c>
    </row>
    <row r="334" ht="14.5" spans="2:23">
      <c r="B334" s="1"/>
      <c r="C334" s="1"/>
      <c r="D334" s="1"/>
      <c r="E334" s="1"/>
      <c r="F334" s="1"/>
      <c r="G334" s="1"/>
      <c r="H334" s="1"/>
      <c r="I334" s="1"/>
      <c r="J334" s="1"/>
      <c r="K334" s="1"/>
      <c r="L334" s="1"/>
      <c r="M334" s="1"/>
      <c r="N334" s="1"/>
      <c r="R334" s="3" t="s">
        <v>303</v>
      </c>
      <c r="S334" s="3" t="s">
        <v>65</v>
      </c>
      <c r="T334" s="3" t="s">
        <v>1418</v>
      </c>
      <c r="U334" s="3" t="s">
        <v>373</v>
      </c>
      <c r="V334" s="3" t="s">
        <v>175</v>
      </c>
      <c r="W334" s="3" t="s">
        <v>1419</v>
      </c>
    </row>
    <row r="335" ht="14.5" spans="2:23">
      <c r="B335" s="1"/>
      <c r="C335" s="1"/>
      <c r="D335" s="1"/>
      <c r="E335" s="1"/>
      <c r="F335" s="1"/>
      <c r="G335" s="1"/>
      <c r="H335" s="1"/>
      <c r="I335" s="1"/>
      <c r="J335" s="1"/>
      <c r="K335" s="1"/>
      <c r="L335" s="1"/>
      <c r="M335" s="1"/>
      <c r="N335" s="1"/>
      <c r="R335" s="3" t="s">
        <v>303</v>
      </c>
      <c r="S335" s="3" t="s">
        <v>65</v>
      </c>
      <c r="T335" s="3" t="s">
        <v>1420</v>
      </c>
      <c r="U335" s="3" t="s">
        <v>373</v>
      </c>
      <c r="V335" s="3" t="s">
        <v>175</v>
      </c>
      <c r="W335" s="3" t="s">
        <v>1421</v>
      </c>
    </row>
    <row r="336" ht="14.5" spans="2:23">
      <c r="B336" s="1"/>
      <c r="C336" s="1"/>
      <c r="D336" s="1"/>
      <c r="E336" s="1"/>
      <c r="F336" s="1"/>
      <c r="G336" s="1"/>
      <c r="H336" s="1"/>
      <c r="I336" s="1"/>
      <c r="J336" s="1"/>
      <c r="K336" s="1"/>
      <c r="L336" s="1"/>
      <c r="M336" s="1"/>
      <c r="N336" s="1"/>
      <c r="R336" s="3" t="s">
        <v>303</v>
      </c>
      <c r="S336" s="3" t="s">
        <v>65</v>
      </c>
      <c r="T336" s="3" t="s">
        <v>1422</v>
      </c>
      <c r="U336" s="3" t="s">
        <v>373</v>
      </c>
      <c r="V336" s="3" t="s">
        <v>175</v>
      </c>
      <c r="W336" s="3" t="s">
        <v>1423</v>
      </c>
    </row>
    <row r="337" ht="14.5" spans="2:23">
      <c r="B337" s="1"/>
      <c r="C337" s="1"/>
      <c r="D337" s="1"/>
      <c r="E337" s="1"/>
      <c r="F337" s="1"/>
      <c r="G337" s="1"/>
      <c r="H337" s="1"/>
      <c r="I337" s="1"/>
      <c r="J337" s="1"/>
      <c r="K337" s="1"/>
      <c r="L337" s="1"/>
      <c r="M337" s="1"/>
      <c r="N337" s="1"/>
      <c r="R337" s="3" t="s">
        <v>303</v>
      </c>
      <c r="S337" s="3" t="s">
        <v>65</v>
      </c>
      <c r="T337" s="3" t="s">
        <v>1424</v>
      </c>
      <c r="U337" s="3" t="s">
        <v>373</v>
      </c>
      <c r="V337" s="3" t="s">
        <v>175</v>
      </c>
      <c r="W337" s="3" t="s">
        <v>1425</v>
      </c>
    </row>
    <row r="338" ht="14.5" spans="2:23">
      <c r="B338" s="1"/>
      <c r="C338" s="1"/>
      <c r="D338" s="1"/>
      <c r="E338" s="1"/>
      <c r="F338" s="1"/>
      <c r="G338" s="1"/>
      <c r="H338" s="1"/>
      <c r="I338" s="1"/>
      <c r="J338" s="1"/>
      <c r="K338" s="1"/>
      <c r="L338" s="1"/>
      <c r="M338" s="1"/>
      <c r="N338" s="1"/>
      <c r="R338" s="3" t="s">
        <v>303</v>
      </c>
      <c r="S338" s="3" t="s">
        <v>65</v>
      </c>
      <c r="T338" s="3" t="s">
        <v>1426</v>
      </c>
      <c r="U338" s="3" t="s">
        <v>373</v>
      </c>
      <c r="V338" s="3" t="s">
        <v>175</v>
      </c>
      <c r="W338" s="3" t="s">
        <v>1427</v>
      </c>
    </row>
    <row r="339" ht="14.5" spans="2:23">
      <c r="B339" s="1"/>
      <c r="C339" s="1"/>
      <c r="D339" s="1"/>
      <c r="E339" s="1"/>
      <c r="F339" s="1"/>
      <c r="G339" s="1"/>
      <c r="H339" s="1"/>
      <c r="I339" s="1"/>
      <c r="J339" s="1"/>
      <c r="K339" s="1"/>
      <c r="L339" s="1"/>
      <c r="M339" s="1"/>
      <c r="N339" s="1"/>
      <c r="R339" s="3" t="s">
        <v>303</v>
      </c>
      <c r="S339" s="3" t="s">
        <v>65</v>
      </c>
      <c r="T339" s="3" t="s">
        <v>1428</v>
      </c>
      <c r="U339" s="3" t="s">
        <v>373</v>
      </c>
      <c r="V339" s="3" t="s">
        <v>175</v>
      </c>
      <c r="W339" s="3" t="s">
        <v>1429</v>
      </c>
    </row>
    <row r="340" ht="14.5" spans="2:23">
      <c r="B340" s="1"/>
      <c r="C340" s="1"/>
      <c r="D340" s="1"/>
      <c r="E340" s="1"/>
      <c r="F340" s="1"/>
      <c r="G340" s="1"/>
      <c r="H340" s="1"/>
      <c r="I340" s="1"/>
      <c r="J340" s="1"/>
      <c r="K340" s="1"/>
      <c r="L340" s="1"/>
      <c r="M340" s="1"/>
      <c r="N340" s="1"/>
      <c r="R340" s="3" t="s">
        <v>303</v>
      </c>
      <c r="S340" s="3" t="s">
        <v>65</v>
      </c>
      <c r="T340" s="3" t="s">
        <v>1430</v>
      </c>
      <c r="U340" s="3" t="s">
        <v>373</v>
      </c>
      <c r="V340" s="3" t="s">
        <v>175</v>
      </c>
      <c r="W340" s="3" t="s">
        <v>1431</v>
      </c>
    </row>
    <row r="341" ht="14.5" spans="2:23">
      <c r="B341" s="1"/>
      <c r="C341" s="1"/>
      <c r="D341" s="1"/>
      <c r="E341" s="1"/>
      <c r="F341" s="1"/>
      <c r="G341" s="1"/>
      <c r="H341" s="1"/>
      <c r="I341" s="1"/>
      <c r="J341" s="1"/>
      <c r="K341" s="1"/>
      <c r="L341" s="1"/>
      <c r="M341" s="1"/>
      <c r="N341" s="1"/>
      <c r="R341" s="3" t="s">
        <v>303</v>
      </c>
      <c r="S341" s="3" t="s">
        <v>65</v>
      </c>
      <c r="T341" s="3" t="s">
        <v>1432</v>
      </c>
      <c r="U341" s="3" t="s">
        <v>373</v>
      </c>
      <c r="V341" s="3" t="s">
        <v>175</v>
      </c>
      <c r="W341" s="3" t="s">
        <v>1433</v>
      </c>
    </row>
    <row r="342" ht="14.5" spans="2:23">
      <c r="B342" s="1"/>
      <c r="C342" s="1"/>
      <c r="D342" s="1"/>
      <c r="E342" s="1"/>
      <c r="F342" s="1"/>
      <c r="G342" s="1"/>
      <c r="H342" s="1"/>
      <c r="I342" s="1"/>
      <c r="J342" s="1"/>
      <c r="K342" s="1"/>
      <c r="L342" s="1"/>
      <c r="M342" s="1"/>
      <c r="N342" s="1"/>
      <c r="R342" s="3" t="s">
        <v>303</v>
      </c>
      <c r="S342" s="3" t="s">
        <v>65</v>
      </c>
      <c r="T342" s="3" t="s">
        <v>1434</v>
      </c>
      <c r="U342" s="3" t="s">
        <v>373</v>
      </c>
      <c r="V342" s="3" t="s">
        <v>175</v>
      </c>
      <c r="W342" s="3" t="s">
        <v>1435</v>
      </c>
    </row>
    <row r="343" ht="14.5" spans="2:23">
      <c r="B343" s="1"/>
      <c r="C343" s="1"/>
      <c r="D343" s="1"/>
      <c r="E343" s="1"/>
      <c r="F343" s="1"/>
      <c r="G343" s="1"/>
      <c r="H343" s="1"/>
      <c r="I343" s="1"/>
      <c r="J343" s="1"/>
      <c r="K343" s="1"/>
      <c r="L343" s="1"/>
      <c r="M343" s="1"/>
      <c r="N343" s="1"/>
      <c r="R343" s="3" t="s">
        <v>303</v>
      </c>
      <c r="S343" s="3" t="s">
        <v>65</v>
      </c>
      <c r="T343" s="3" t="s">
        <v>1436</v>
      </c>
      <c r="U343" s="3" t="s">
        <v>373</v>
      </c>
      <c r="V343" s="3" t="s">
        <v>175</v>
      </c>
      <c r="W343" s="3" t="s">
        <v>1437</v>
      </c>
    </row>
    <row r="344" ht="14.5" spans="2:23">
      <c r="B344" s="1"/>
      <c r="C344" s="1"/>
      <c r="D344" s="1"/>
      <c r="E344" s="1"/>
      <c r="F344" s="1"/>
      <c r="G344" s="1"/>
      <c r="H344" s="1"/>
      <c r="I344" s="1"/>
      <c r="J344" s="1"/>
      <c r="K344" s="1"/>
      <c r="L344" s="1"/>
      <c r="M344" s="1"/>
      <c r="N344" s="1"/>
      <c r="R344" s="3" t="s">
        <v>303</v>
      </c>
      <c r="S344" s="3" t="s">
        <v>65</v>
      </c>
      <c r="T344" s="3" t="s">
        <v>1438</v>
      </c>
      <c r="U344" s="3" t="s">
        <v>373</v>
      </c>
      <c r="V344" s="3" t="s">
        <v>175</v>
      </c>
      <c r="W344" s="3" t="s">
        <v>1439</v>
      </c>
    </row>
    <row r="345" ht="14.5" spans="2:23">
      <c r="B345" s="1"/>
      <c r="C345" s="1"/>
      <c r="D345" s="1"/>
      <c r="E345" s="1"/>
      <c r="F345" s="1"/>
      <c r="G345" s="1"/>
      <c r="H345" s="1"/>
      <c r="I345" s="1"/>
      <c r="J345" s="1"/>
      <c r="K345" s="1"/>
      <c r="L345" s="1"/>
      <c r="M345" s="1"/>
      <c r="N345" s="1"/>
      <c r="R345" s="3" t="s">
        <v>303</v>
      </c>
      <c r="S345" s="3" t="s">
        <v>65</v>
      </c>
      <c r="T345" s="3" t="s">
        <v>1440</v>
      </c>
      <c r="U345" s="3" t="s">
        <v>373</v>
      </c>
      <c r="V345" s="3" t="s">
        <v>175</v>
      </c>
      <c r="W345" s="3" t="s">
        <v>1441</v>
      </c>
    </row>
    <row r="346" ht="14.5" spans="2:23">
      <c r="B346" s="1"/>
      <c r="C346" s="1"/>
      <c r="D346" s="1"/>
      <c r="E346" s="1"/>
      <c r="F346" s="1"/>
      <c r="G346" s="1"/>
      <c r="H346" s="1"/>
      <c r="I346" s="1"/>
      <c r="J346" s="1"/>
      <c r="K346" s="1"/>
      <c r="L346" s="1"/>
      <c r="M346" s="1"/>
      <c r="N346" s="1"/>
      <c r="R346" s="3" t="s">
        <v>303</v>
      </c>
      <c r="S346" s="3" t="s">
        <v>65</v>
      </c>
      <c r="T346" s="3" t="s">
        <v>1442</v>
      </c>
      <c r="U346" s="3" t="s">
        <v>373</v>
      </c>
      <c r="V346" s="3" t="s">
        <v>175</v>
      </c>
      <c r="W346" s="3" t="s">
        <v>1443</v>
      </c>
    </row>
    <row r="347" ht="14.5" spans="2:23">
      <c r="B347" s="1"/>
      <c r="C347" s="1"/>
      <c r="D347" s="1"/>
      <c r="E347" s="1"/>
      <c r="F347" s="1"/>
      <c r="G347" s="1"/>
      <c r="H347" s="1"/>
      <c r="I347" s="1"/>
      <c r="J347" s="1"/>
      <c r="K347" s="1"/>
      <c r="L347" s="1"/>
      <c r="M347" s="1"/>
      <c r="N347" s="1"/>
      <c r="R347" s="3" t="s">
        <v>303</v>
      </c>
      <c r="S347" s="3" t="s">
        <v>65</v>
      </c>
      <c r="T347" s="3" t="s">
        <v>1444</v>
      </c>
      <c r="U347" s="3" t="s">
        <v>373</v>
      </c>
      <c r="V347" s="3" t="s">
        <v>175</v>
      </c>
      <c r="W347" s="3" t="s">
        <v>1445</v>
      </c>
    </row>
    <row r="348" ht="14.5" spans="2:23">
      <c r="B348" s="1"/>
      <c r="C348" s="1"/>
      <c r="D348" s="1"/>
      <c r="E348" s="1"/>
      <c r="F348" s="1"/>
      <c r="G348" s="1"/>
      <c r="H348" s="1"/>
      <c r="I348" s="1"/>
      <c r="J348" s="1"/>
      <c r="K348" s="1"/>
      <c r="L348" s="1"/>
      <c r="M348" s="1"/>
      <c r="N348" s="1"/>
      <c r="R348" s="3" t="s">
        <v>303</v>
      </c>
      <c r="S348" s="3" t="s">
        <v>65</v>
      </c>
      <c r="T348" s="3" t="s">
        <v>1446</v>
      </c>
      <c r="U348" s="3" t="s">
        <v>373</v>
      </c>
      <c r="V348" s="3" t="s">
        <v>175</v>
      </c>
      <c r="W348" s="3" t="s">
        <v>1447</v>
      </c>
    </row>
    <row r="349" ht="14.5" spans="2:23">
      <c r="B349" s="1"/>
      <c r="C349" s="1"/>
      <c r="D349" s="1"/>
      <c r="E349" s="1"/>
      <c r="F349" s="1"/>
      <c r="G349" s="1"/>
      <c r="H349" s="1"/>
      <c r="I349" s="1"/>
      <c r="J349" s="1"/>
      <c r="K349" s="1"/>
      <c r="L349" s="1"/>
      <c r="M349" s="1"/>
      <c r="N349" s="1"/>
      <c r="R349" s="3" t="s">
        <v>303</v>
      </c>
      <c r="S349" s="3" t="s">
        <v>65</v>
      </c>
      <c r="T349" s="3" t="s">
        <v>1448</v>
      </c>
      <c r="U349" s="3" t="s">
        <v>373</v>
      </c>
      <c r="V349" s="3" t="s">
        <v>175</v>
      </c>
      <c r="W349" s="3" t="s">
        <v>1449</v>
      </c>
    </row>
    <row r="350" ht="14.5" spans="2:23">
      <c r="B350" s="1"/>
      <c r="C350" s="1"/>
      <c r="D350" s="1"/>
      <c r="E350" s="1"/>
      <c r="F350" s="1"/>
      <c r="G350" s="1"/>
      <c r="H350" s="1"/>
      <c r="I350" s="1"/>
      <c r="J350" s="1"/>
      <c r="K350" s="1"/>
      <c r="L350" s="1"/>
      <c r="M350" s="1"/>
      <c r="N350" s="1"/>
      <c r="R350" s="3" t="s">
        <v>303</v>
      </c>
      <c r="S350" s="3" t="s">
        <v>65</v>
      </c>
      <c r="T350" s="3" t="s">
        <v>1450</v>
      </c>
      <c r="U350" s="3" t="s">
        <v>373</v>
      </c>
      <c r="V350" s="3" t="s">
        <v>175</v>
      </c>
      <c r="W350" s="3" t="s">
        <v>1451</v>
      </c>
    </row>
    <row r="351" ht="14.5" spans="2:23">
      <c r="B351" s="1"/>
      <c r="C351" s="1"/>
      <c r="D351" s="1"/>
      <c r="E351" s="1"/>
      <c r="F351" s="1"/>
      <c r="G351" s="1"/>
      <c r="H351" s="1"/>
      <c r="I351" s="1"/>
      <c r="J351" s="1"/>
      <c r="K351" s="1"/>
      <c r="L351" s="1"/>
      <c r="M351" s="1"/>
      <c r="N351" s="1"/>
      <c r="R351" s="3" t="s">
        <v>303</v>
      </c>
      <c r="S351" s="3" t="s">
        <v>65</v>
      </c>
      <c r="T351" s="3" t="s">
        <v>1452</v>
      </c>
      <c r="U351" s="3" t="s">
        <v>373</v>
      </c>
      <c r="V351" s="3" t="s">
        <v>175</v>
      </c>
      <c r="W351" s="3" t="s">
        <v>1453</v>
      </c>
    </row>
    <row r="352" ht="14.5" spans="2:23">
      <c r="B352" s="1"/>
      <c r="C352" s="1"/>
      <c r="D352" s="1"/>
      <c r="E352" s="1"/>
      <c r="F352" s="1"/>
      <c r="G352" s="1"/>
      <c r="H352" s="1"/>
      <c r="I352" s="1"/>
      <c r="J352" s="1"/>
      <c r="K352" s="1"/>
      <c r="L352" s="1"/>
      <c r="M352" s="1"/>
      <c r="N352" s="1"/>
      <c r="R352" s="3" t="s">
        <v>303</v>
      </c>
      <c r="S352" s="3" t="s">
        <v>65</v>
      </c>
      <c r="T352" s="3" t="s">
        <v>1454</v>
      </c>
      <c r="U352" s="3" t="s">
        <v>373</v>
      </c>
      <c r="V352" s="3" t="s">
        <v>175</v>
      </c>
      <c r="W352" s="3" t="s">
        <v>1455</v>
      </c>
    </row>
    <row r="353" ht="14.5" spans="2:23">
      <c r="B353" s="1"/>
      <c r="C353" s="1"/>
      <c r="D353" s="1"/>
      <c r="E353" s="1"/>
      <c r="F353" s="1"/>
      <c r="G353" s="1"/>
      <c r="H353" s="1"/>
      <c r="I353" s="1"/>
      <c r="J353" s="1"/>
      <c r="K353" s="1"/>
      <c r="L353" s="1"/>
      <c r="M353" s="1"/>
      <c r="N353" s="1"/>
      <c r="R353" s="3" t="s">
        <v>303</v>
      </c>
      <c r="S353" s="3" t="s">
        <v>65</v>
      </c>
      <c r="T353" s="3" t="s">
        <v>1456</v>
      </c>
      <c r="U353" s="3" t="s">
        <v>373</v>
      </c>
      <c r="V353" s="3" t="s">
        <v>175</v>
      </c>
      <c r="W353" s="3" t="s">
        <v>1457</v>
      </c>
    </row>
    <row r="354" ht="14.5" spans="2:23">
      <c r="B354" s="1"/>
      <c r="C354" s="1"/>
      <c r="D354" s="1"/>
      <c r="E354" s="1"/>
      <c r="F354" s="1"/>
      <c r="G354" s="1"/>
      <c r="H354" s="1"/>
      <c r="I354" s="1"/>
      <c r="J354" s="1"/>
      <c r="K354" s="1"/>
      <c r="L354" s="1"/>
      <c r="M354" s="1"/>
      <c r="N354" s="1"/>
      <c r="R354" s="3" t="s">
        <v>303</v>
      </c>
      <c r="S354" s="3" t="s">
        <v>65</v>
      </c>
      <c r="T354" s="3" t="s">
        <v>1458</v>
      </c>
      <c r="U354" s="3" t="s">
        <v>373</v>
      </c>
      <c r="V354" s="3" t="s">
        <v>175</v>
      </c>
      <c r="W354" s="3" t="s">
        <v>1459</v>
      </c>
    </row>
    <row r="355" ht="14.5" spans="2:23">
      <c r="B355" s="1"/>
      <c r="C355" s="1"/>
      <c r="D355" s="1"/>
      <c r="E355" s="1"/>
      <c r="F355" s="1"/>
      <c r="G355" s="1"/>
      <c r="H355" s="1"/>
      <c r="I355" s="1"/>
      <c r="J355" s="1"/>
      <c r="K355" s="1"/>
      <c r="L355" s="1"/>
      <c r="M355" s="1"/>
      <c r="N355" s="1"/>
      <c r="R355" s="3" t="s">
        <v>303</v>
      </c>
      <c r="S355" s="3" t="s">
        <v>65</v>
      </c>
      <c r="T355" s="3" t="s">
        <v>1460</v>
      </c>
      <c r="U355" s="3" t="s">
        <v>373</v>
      </c>
      <c r="V355" s="3" t="s">
        <v>175</v>
      </c>
      <c r="W355" s="3" t="s">
        <v>1461</v>
      </c>
    </row>
    <row r="356" ht="14.5" spans="2:23">
      <c r="B356" s="1"/>
      <c r="C356" s="1"/>
      <c r="D356" s="1"/>
      <c r="E356" s="1"/>
      <c r="F356" s="1"/>
      <c r="G356" s="1"/>
      <c r="H356" s="1"/>
      <c r="I356" s="1"/>
      <c r="J356" s="1"/>
      <c r="K356" s="1"/>
      <c r="L356" s="1"/>
      <c r="M356" s="1"/>
      <c r="N356" s="1"/>
      <c r="R356" s="3" t="s">
        <v>303</v>
      </c>
      <c r="S356" s="3" t="s">
        <v>65</v>
      </c>
      <c r="T356" s="3" t="s">
        <v>1462</v>
      </c>
      <c r="U356" s="3" t="s">
        <v>373</v>
      </c>
      <c r="V356" s="3" t="s">
        <v>175</v>
      </c>
      <c r="W356" s="3" t="s">
        <v>1463</v>
      </c>
    </row>
    <row r="357" ht="14.5" spans="2:23">
      <c r="B357" s="1"/>
      <c r="C357" s="1"/>
      <c r="D357" s="1"/>
      <c r="E357" s="1"/>
      <c r="F357" s="1"/>
      <c r="G357" s="1"/>
      <c r="H357" s="1"/>
      <c r="I357" s="1"/>
      <c r="J357" s="1"/>
      <c r="K357" s="1"/>
      <c r="L357" s="1"/>
      <c r="M357" s="1"/>
      <c r="N357" s="1"/>
      <c r="R357" s="3" t="s">
        <v>303</v>
      </c>
      <c r="S357" s="3" t="s">
        <v>65</v>
      </c>
      <c r="T357" s="3" t="s">
        <v>1464</v>
      </c>
      <c r="U357" s="3" t="s">
        <v>373</v>
      </c>
      <c r="V357" s="3" t="s">
        <v>175</v>
      </c>
      <c r="W357" s="3" t="s">
        <v>1465</v>
      </c>
    </row>
    <row r="358" ht="14.5" spans="2:23">
      <c r="B358" s="1"/>
      <c r="C358" s="1"/>
      <c r="D358" s="1"/>
      <c r="E358" s="1"/>
      <c r="F358" s="1"/>
      <c r="G358" s="1"/>
      <c r="H358" s="1"/>
      <c r="I358" s="1"/>
      <c r="J358" s="1"/>
      <c r="K358" s="1"/>
      <c r="L358" s="1"/>
      <c r="M358" s="1"/>
      <c r="N358" s="1"/>
      <c r="R358" s="3" t="s">
        <v>303</v>
      </c>
      <c r="S358" s="3" t="s">
        <v>65</v>
      </c>
      <c r="T358" s="3" t="s">
        <v>1466</v>
      </c>
      <c r="U358" s="3" t="s">
        <v>373</v>
      </c>
      <c r="V358" s="3" t="s">
        <v>175</v>
      </c>
      <c r="W358" s="3" t="s">
        <v>1467</v>
      </c>
    </row>
    <row r="359" ht="14.5" spans="2:23">
      <c r="B359" s="1"/>
      <c r="C359" s="1"/>
      <c r="D359" s="1"/>
      <c r="E359" s="1"/>
      <c r="F359" s="1"/>
      <c r="G359" s="1"/>
      <c r="H359" s="1"/>
      <c r="I359" s="1"/>
      <c r="J359" s="1"/>
      <c r="K359" s="1"/>
      <c r="L359" s="1"/>
      <c r="M359" s="1"/>
      <c r="N359" s="1"/>
      <c r="R359" s="3" t="s">
        <v>303</v>
      </c>
      <c r="S359" s="3" t="s">
        <v>65</v>
      </c>
      <c r="T359" s="3" t="s">
        <v>1468</v>
      </c>
      <c r="U359" s="3" t="s">
        <v>373</v>
      </c>
      <c r="V359" s="3" t="s">
        <v>175</v>
      </c>
      <c r="W359" s="3" t="s">
        <v>1469</v>
      </c>
    </row>
    <row r="360" ht="14.5" spans="2:23">
      <c r="B360" s="1"/>
      <c r="C360" s="1"/>
      <c r="D360" s="1"/>
      <c r="E360" s="1"/>
      <c r="F360" s="1"/>
      <c r="G360" s="1"/>
      <c r="H360" s="1"/>
      <c r="I360" s="1"/>
      <c r="J360" s="1"/>
      <c r="K360" s="1"/>
      <c r="L360" s="1"/>
      <c r="M360" s="1"/>
      <c r="N360" s="1"/>
      <c r="R360" s="3" t="s">
        <v>303</v>
      </c>
      <c r="S360" s="3" t="s">
        <v>65</v>
      </c>
      <c r="T360" s="3" t="s">
        <v>1470</v>
      </c>
      <c r="U360" s="3" t="s">
        <v>373</v>
      </c>
      <c r="V360" s="3" t="s">
        <v>175</v>
      </c>
      <c r="W360" s="3" t="s">
        <v>1471</v>
      </c>
    </row>
    <row r="361" ht="14.5" spans="2:23">
      <c r="B361" s="1"/>
      <c r="C361" s="1"/>
      <c r="D361" s="1"/>
      <c r="E361" s="1"/>
      <c r="F361" s="1"/>
      <c r="G361" s="1"/>
      <c r="H361" s="1"/>
      <c r="I361" s="1"/>
      <c r="J361" s="1"/>
      <c r="K361" s="1"/>
      <c r="L361" s="1"/>
      <c r="M361" s="1"/>
      <c r="N361" s="1"/>
      <c r="R361" s="3" t="s">
        <v>303</v>
      </c>
      <c r="S361" s="3" t="s">
        <v>65</v>
      </c>
      <c r="T361" s="3" t="s">
        <v>1472</v>
      </c>
      <c r="U361" s="3" t="s">
        <v>373</v>
      </c>
      <c r="V361" s="3" t="s">
        <v>175</v>
      </c>
      <c r="W361" s="3" t="s">
        <v>1473</v>
      </c>
    </row>
    <row r="362" ht="14.5" spans="2:23">
      <c r="B362" s="1"/>
      <c r="C362" s="1"/>
      <c r="D362" s="1"/>
      <c r="E362" s="1"/>
      <c r="F362" s="1"/>
      <c r="G362" s="1"/>
      <c r="H362" s="1"/>
      <c r="I362" s="1"/>
      <c r="J362" s="1"/>
      <c r="K362" s="1"/>
      <c r="L362" s="1"/>
      <c r="M362" s="1"/>
      <c r="N362" s="1"/>
      <c r="R362" s="3" t="s">
        <v>303</v>
      </c>
      <c r="S362" s="3" t="s">
        <v>65</v>
      </c>
      <c r="T362" s="3" t="s">
        <v>1474</v>
      </c>
      <c r="U362" s="3" t="s">
        <v>373</v>
      </c>
      <c r="V362" s="3" t="s">
        <v>175</v>
      </c>
      <c r="W362" s="3" t="s">
        <v>1475</v>
      </c>
    </row>
    <row r="363" ht="14.5" spans="2:23">
      <c r="B363" s="1"/>
      <c r="C363" s="1"/>
      <c r="D363" s="1"/>
      <c r="E363" s="1"/>
      <c r="F363" s="1"/>
      <c r="G363" s="1"/>
      <c r="H363" s="1"/>
      <c r="I363" s="1"/>
      <c r="J363" s="1"/>
      <c r="K363" s="1"/>
      <c r="L363" s="1"/>
      <c r="M363" s="1"/>
      <c r="N363" s="1"/>
      <c r="R363" s="3" t="s">
        <v>303</v>
      </c>
      <c r="S363" s="3" t="s">
        <v>65</v>
      </c>
      <c r="T363" s="3" t="s">
        <v>1476</v>
      </c>
      <c r="U363" s="3" t="s">
        <v>373</v>
      </c>
      <c r="V363" s="3" t="s">
        <v>175</v>
      </c>
      <c r="W363" s="3" t="s">
        <v>1477</v>
      </c>
    </row>
    <row r="364" ht="14.5" spans="2:23">
      <c r="B364" s="1"/>
      <c r="C364" s="1"/>
      <c r="D364" s="1"/>
      <c r="E364" s="1"/>
      <c r="F364" s="1"/>
      <c r="G364" s="1"/>
      <c r="H364" s="1"/>
      <c r="I364" s="1"/>
      <c r="J364" s="1"/>
      <c r="K364" s="1"/>
      <c r="L364" s="1"/>
      <c r="M364" s="1"/>
      <c r="N364" s="1"/>
      <c r="R364" s="3" t="s">
        <v>303</v>
      </c>
      <c r="S364" s="3" t="s">
        <v>65</v>
      </c>
      <c r="T364" s="3" t="s">
        <v>1478</v>
      </c>
      <c r="U364" s="3" t="s">
        <v>373</v>
      </c>
      <c r="V364" s="3" t="s">
        <v>175</v>
      </c>
      <c r="W364" s="3" t="s">
        <v>1479</v>
      </c>
    </row>
    <row r="365" ht="14.5" spans="2:23">
      <c r="B365" s="1"/>
      <c r="C365" s="1"/>
      <c r="D365" s="1"/>
      <c r="E365" s="1"/>
      <c r="F365" s="1"/>
      <c r="G365" s="1"/>
      <c r="H365" s="1"/>
      <c r="I365" s="1"/>
      <c r="J365" s="1"/>
      <c r="K365" s="1"/>
      <c r="L365" s="1"/>
      <c r="M365" s="1"/>
      <c r="N365" s="1"/>
      <c r="R365" s="3" t="s">
        <v>303</v>
      </c>
      <c r="S365" s="3" t="s">
        <v>65</v>
      </c>
      <c r="T365" s="3" t="s">
        <v>1480</v>
      </c>
      <c r="U365" s="3" t="s">
        <v>373</v>
      </c>
      <c r="V365" s="3" t="s">
        <v>175</v>
      </c>
      <c r="W365" s="3" t="s">
        <v>1481</v>
      </c>
    </row>
    <row r="366" ht="14.5" spans="2:23">
      <c r="B366" s="1"/>
      <c r="C366" s="1"/>
      <c r="D366" s="1"/>
      <c r="E366" s="1"/>
      <c r="F366" s="1"/>
      <c r="G366" s="1"/>
      <c r="H366" s="1"/>
      <c r="I366" s="1"/>
      <c r="J366" s="1"/>
      <c r="K366" s="1"/>
      <c r="L366" s="1"/>
      <c r="M366" s="1"/>
      <c r="N366" s="1"/>
      <c r="R366" s="3" t="s">
        <v>303</v>
      </c>
      <c r="S366" s="3" t="s">
        <v>65</v>
      </c>
      <c r="T366" s="3" t="s">
        <v>1482</v>
      </c>
      <c r="U366" s="3" t="s">
        <v>373</v>
      </c>
      <c r="V366" s="3" t="s">
        <v>175</v>
      </c>
      <c r="W366" s="3" t="s">
        <v>1483</v>
      </c>
    </row>
    <row r="367" ht="14.5" spans="2:23">
      <c r="B367" s="1"/>
      <c r="C367" s="1"/>
      <c r="D367" s="1"/>
      <c r="E367" s="1"/>
      <c r="F367" s="1"/>
      <c r="G367" s="1"/>
      <c r="H367" s="1"/>
      <c r="I367" s="1"/>
      <c r="J367" s="1"/>
      <c r="K367" s="1"/>
      <c r="L367" s="1"/>
      <c r="M367" s="1"/>
      <c r="N367" s="1"/>
      <c r="R367" s="3" t="s">
        <v>303</v>
      </c>
      <c r="S367" s="3" t="s">
        <v>65</v>
      </c>
      <c r="T367" s="3" t="s">
        <v>1484</v>
      </c>
      <c r="U367" s="3" t="s">
        <v>373</v>
      </c>
      <c r="V367" s="3" t="s">
        <v>175</v>
      </c>
      <c r="W367" s="3" t="s">
        <v>1485</v>
      </c>
    </row>
    <row r="368" ht="14.5" spans="2:23">
      <c r="B368" s="1"/>
      <c r="C368" s="1"/>
      <c r="D368" s="1"/>
      <c r="E368" s="1"/>
      <c r="F368" s="1"/>
      <c r="G368" s="1"/>
      <c r="H368" s="1"/>
      <c r="I368" s="1"/>
      <c r="J368" s="1"/>
      <c r="K368" s="1"/>
      <c r="L368" s="1"/>
      <c r="M368" s="1"/>
      <c r="N368" s="1"/>
      <c r="R368" s="3" t="s">
        <v>303</v>
      </c>
      <c r="S368" s="3" t="s">
        <v>65</v>
      </c>
      <c r="T368" s="3" t="s">
        <v>1486</v>
      </c>
      <c r="U368" s="3" t="s">
        <v>373</v>
      </c>
      <c r="V368" s="3" t="s">
        <v>175</v>
      </c>
      <c r="W368" s="3" t="s">
        <v>1487</v>
      </c>
    </row>
    <row r="369" ht="14.5" spans="2:23">
      <c r="B369" s="1"/>
      <c r="C369" s="1"/>
      <c r="D369" s="1"/>
      <c r="E369" s="1"/>
      <c r="F369" s="1"/>
      <c r="G369" s="1"/>
      <c r="H369" s="1"/>
      <c r="I369" s="1"/>
      <c r="J369" s="1"/>
      <c r="K369" s="1"/>
      <c r="L369" s="1"/>
      <c r="M369" s="1"/>
      <c r="N369" s="1"/>
      <c r="R369" s="3" t="s">
        <v>303</v>
      </c>
      <c r="S369" s="3" t="s">
        <v>65</v>
      </c>
      <c r="T369" s="3" t="s">
        <v>1488</v>
      </c>
      <c r="U369" s="3" t="s">
        <v>373</v>
      </c>
      <c r="V369" s="3" t="s">
        <v>175</v>
      </c>
      <c r="W369" s="3" t="s">
        <v>1489</v>
      </c>
    </row>
    <row r="370" ht="14.5" spans="2:23">
      <c r="B370" s="1"/>
      <c r="C370" s="1"/>
      <c r="D370" s="1"/>
      <c r="E370" s="1"/>
      <c r="F370" s="1"/>
      <c r="G370" s="1"/>
      <c r="H370" s="1"/>
      <c r="I370" s="1"/>
      <c r="J370" s="1"/>
      <c r="K370" s="1"/>
      <c r="L370" s="1"/>
      <c r="M370" s="1"/>
      <c r="N370" s="1"/>
      <c r="R370" s="3" t="s">
        <v>303</v>
      </c>
      <c r="S370" s="3" t="s">
        <v>65</v>
      </c>
      <c r="T370" s="3" t="s">
        <v>1490</v>
      </c>
      <c r="U370" s="3" t="s">
        <v>373</v>
      </c>
      <c r="V370" s="3" t="s">
        <v>175</v>
      </c>
      <c r="W370" s="3" t="s">
        <v>1491</v>
      </c>
    </row>
    <row r="371" ht="14.5" spans="2:23">
      <c r="B371" s="1"/>
      <c r="C371" s="1"/>
      <c r="D371" s="1"/>
      <c r="E371" s="1"/>
      <c r="F371" s="1"/>
      <c r="G371" s="1"/>
      <c r="H371" s="1"/>
      <c r="I371" s="1"/>
      <c r="J371" s="1"/>
      <c r="K371" s="1"/>
      <c r="L371" s="1"/>
      <c r="M371" s="1"/>
      <c r="N371" s="1"/>
      <c r="R371" s="3" t="s">
        <v>303</v>
      </c>
      <c r="S371" s="3" t="s">
        <v>65</v>
      </c>
      <c r="T371" s="3" t="s">
        <v>1492</v>
      </c>
      <c r="U371" s="3" t="s">
        <v>373</v>
      </c>
      <c r="V371" s="3" t="s">
        <v>175</v>
      </c>
      <c r="W371" s="3" t="s">
        <v>1493</v>
      </c>
    </row>
    <row r="372" ht="14.5" spans="2:23">
      <c r="B372" s="1"/>
      <c r="C372" s="1"/>
      <c r="D372" s="1"/>
      <c r="E372" s="1"/>
      <c r="F372" s="1"/>
      <c r="G372" s="1"/>
      <c r="H372" s="1"/>
      <c r="I372" s="1"/>
      <c r="J372" s="1"/>
      <c r="K372" s="1"/>
      <c r="L372" s="1"/>
      <c r="M372" s="1"/>
      <c r="N372" s="1"/>
      <c r="R372" s="3" t="s">
        <v>303</v>
      </c>
      <c r="S372" s="3" t="s">
        <v>66</v>
      </c>
      <c r="T372" s="3" t="s">
        <v>1494</v>
      </c>
      <c r="U372" s="3" t="s">
        <v>373</v>
      </c>
      <c r="V372" s="3" t="s">
        <v>175</v>
      </c>
      <c r="W372" s="3" t="s">
        <v>1495</v>
      </c>
    </row>
    <row r="373" ht="14.5" spans="2:23">
      <c r="B373" s="1"/>
      <c r="C373" s="1"/>
      <c r="D373" s="1"/>
      <c r="E373" s="1"/>
      <c r="F373" s="1"/>
      <c r="G373" s="1"/>
      <c r="H373" s="1"/>
      <c r="I373" s="1"/>
      <c r="J373" s="1"/>
      <c r="K373" s="1"/>
      <c r="L373" s="1"/>
      <c r="M373" s="1"/>
      <c r="N373" s="1"/>
      <c r="R373" s="3" t="s">
        <v>303</v>
      </c>
      <c r="S373" s="3" t="s">
        <v>66</v>
      </c>
      <c r="T373" s="3" t="s">
        <v>1496</v>
      </c>
      <c r="U373" s="3" t="s">
        <v>373</v>
      </c>
      <c r="V373" s="3" t="s">
        <v>175</v>
      </c>
      <c r="W373" s="3" t="s">
        <v>1497</v>
      </c>
    </row>
    <row r="374" ht="14.5" spans="2:23">
      <c r="B374" s="1"/>
      <c r="C374" s="1"/>
      <c r="D374" s="1"/>
      <c r="E374" s="1"/>
      <c r="F374" s="1"/>
      <c r="G374" s="1"/>
      <c r="H374" s="1"/>
      <c r="I374" s="1"/>
      <c r="J374" s="1"/>
      <c r="K374" s="1"/>
      <c r="L374" s="1"/>
      <c r="M374" s="1"/>
      <c r="N374" s="1"/>
      <c r="R374" s="3" t="s">
        <v>303</v>
      </c>
      <c r="S374" s="3" t="s">
        <v>66</v>
      </c>
      <c r="T374" s="3" t="s">
        <v>1498</v>
      </c>
      <c r="U374" s="3" t="s">
        <v>373</v>
      </c>
      <c r="V374" s="3" t="s">
        <v>175</v>
      </c>
      <c r="W374" s="3" t="s">
        <v>1499</v>
      </c>
    </row>
    <row r="375" ht="14.5" spans="2:23">
      <c r="B375" s="1"/>
      <c r="C375" s="1"/>
      <c r="D375" s="1"/>
      <c r="E375" s="1"/>
      <c r="F375" s="1"/>
      <c r="G375" s="1"/>
      <c r="H375" s="1"/>
      <c r="I375" s="1"/>
      <c r="J375" s="1"/>
      <c r="K375" s="1"/>
      <c r="L375" s="1"/>
      <c r="M375" s="1"/>
      <c r="N375" s="1"/>
      <c r="R375" s="3" t="s">
        <v>303</v>
      </c>
      <c r="S375" s="3" t="s">
        <v>66</v>
      </c>
      <c r="T375" s="3" t="s">
        <v>1500</v>
      </c>
      <c r="U375" s="3" t="s">
        <v>373</v>
      </c>
      <c r="V375" s="3" t="s">
        <v>175</v>
      </c>
      <c r="W375" s="3" t="s">
        <v>1501</v>
      </c>
    </row>
    <row r="376" ht="14.5" spans="2:23">
      <c r="B376" s="1"/>
      <c r="C376" s="1"/>
      <c r="D376" s="1"/>
      <c r="E376" s="1"/>
      <c r="F376" s="1"/>
      <c r="G376" s="1"/>
      <c r="H376" s="1"/>
      <c r="I376" s="1"/>
      <c r="J376" s="1"/>
      <c r="K376" s="1"/>
      <c r="L376" s="1"/>
      <c r="M376" s="1"/>
      <c r="N376" s="1"/>
      <c r="R376" s="3" t="s">
        <v>303</v>
      </c>
      <c r="S376" s="3" t="s">
        <v>67</v>
      </c>
      <c r="T376" s="3" t="s">
        <v>1502</v>
      </c>
      <c r="U376" s="3" t="s">
        <v>373</v>
      </c>
      <c r="V376" s="3" t="s">
        <v>175</v>
      </c>
      <c r="W376" s="3" t="s">
        <v>1503</v>
      </c>
    </row>
    <row r="377" ht="14.5" spans="2:23">
      <c r="B377" s="1"/>
      <c r="C377" s="1"/>
      <c r="D377" s="1"/>
      <c r="E377" s="1"/>
      <c r="F377" s="1"/>
      <c r="G377" s="1"/>
      <c r="H377" s="1"/>
      <c r="I377" s="1"/>
      <c r="J377" s="1"/>
      <c r="K377" s="1"/>
      <c r="L377" s="1"/>
      <c r="M377" s="1"/>
      <c r="N377" s="1"/>
      <c r="R377" s="3" t="s">
        <v>303</v>
      </c>
      <c r="S377" s="3" t="s">
        <v>67</v>
      </c>
      <c r="T377" s="3" t="s">
        <v>1504</v>
      </c>
      <c r="U377" s="3" t="s">
        <v>373</v>
      </c>
      <c r="V377" s="3" t="s">
        <v>175</v>
      </c>
      <c r="W377" s="3" t="s">
        <v>1505</v>
      </c>
    </row>
    <row r="378" ht="14.5" spans="2:23">
      <c r="B378" s="1"/>
      <c r="C378" s="1"/>
      <c r="D378" s="1"/>
      <c r="E378" s="1"/>
      <c r="F378" s="1"/>
      <c r="G378" s="1"/>
      <c r="H378" s="1"/>
      <c r="I378" s="1"/>
      <c r="J378" s="1"/>
      <c r="K378" s="1"/>
      <c r="L378" s="1"/>
      <c r="M378" s="1"/>
      <c r="N378" s="1"/>
      <c r="R378" s="3" t="s">
        <v>303</v>
      </c>
      <c r="S378" s="3" t="s">
        <v>68</v>
      </c>
      <c r="T378" s="3" t="s">
        <v>1506</v>
      </c>
      <c r="U378" s="3" t="s">
        <v>373</v>
      </c>
      <c r="V378" s="3" t="s">
        <v>175</v>
      </c>
      <c r="W378" s="3" t="s">
        <v>1507</v>
      </c>
    </row>
    <row r="379" ht="14.5" spans="2:23">
      <c r="B379" s="1"/>
      <c r="C379" s="1"/>
      <c r="D379" s="1"/>
      <c r="E379" s="1"/>
      <c r="F379" s="1"/>
      <c r="G379" s="1"/>
      <c r="H379" s="1"/>
      <c r="I379" s="1"/>
      <c r="J379" s="1"/>
      <c r="K379" s="1"/>
      <c r="L379" s="1"/>
      <c r="M379" s="1"/>
      <c r="N379" s="1"/>
      <c r="R379" s="3" t="s">
        <v>303</v>
      </c>
      <c r="S379" s="3" t="s">
        <v>68</v>
      </c>
      <c r="T379" s="3" t="s">
        <v>1508</v>
      </c>
      <c r="U379" s="3" t="s">
        <v>373</v>
      </c>
      <c r="V379" s="3" t="s">
        <v>175</v>
      </c>
      <c r="W379" s="3" t="s">
        <v>1509</v>
      </c>
    </row>
    <row r="380" ht="14.5" spans="2:23">
      <c r="B380" s="1"/>
      <c r="C380" s="1"/>
      <c r="D380" s="1"/>
      <c r="E380" s="1"/>
      <c r="F380" s="1"/>
      <c r="G380" s="1"/>
      <c r="H380" s="1"/>
      <c r="I380" s="1"/>
      <c r="J380" s="1"/>
      <c r="K380" s="1"/>
      <c r="L380" s="1"/>
      <c r="M380" s="1"/>
      <c r="N380" s="1"/>
      <c r="R380" s="3" t="s">
        <v>303</v>
      </c>
      <c r="S380" s="3" t="s">
        <v>69</v>
      </c>
      <c r="T380" s="3" t="s">
        <v>1510</v>
      </c>
      <c r="U380" s="3" t="s">
        <v>373</v>
      </c>
      <c r="V380" s="3" t="s">
        <v>175</v>
      </c>
      <c r="W380" s="3" t="s">
        <v>1511</v>
      </c>
    </row>
    <row r="381" ht="14.5" spans="2:23">
      <c r="B381" s="1"/>
      <c r="C381" s="1"/>
      <c r="D381" s="1"/>
      <c r="E381" s="1"/>
      <c r="F381" s="1"/>
      <c r="G381" s="1"/>
      <c r="H381" s="1"/>
      <c r="I381" s="1"/>
      <c r="J381" s="1"/>
      <c r="K381" s="1"/>
      <c r="L381" s="1"/>
      <c r="M381" s="1"/>
      <c r="N381" s="1"/>
      <c r="R381" s="3" t="s">
        <v>303</v>
      </c>
      <c r="S381" s="3" t="s">
        <v>69</v>
      </c>
      <c r="T381" s="3" t="s">
        <v>1512</v>
      </c>
      <c r="U381" s="3" t="s">
        <v>373</v>
      </c>
      <c r="V381" s="3" t="s">
        <v>175</v>
      </c>
      <c r="W381" s="3" t="s">
        <v>1513</v>
      </c>
    </row>
    <row r="382" ht="14.5" spans="2:23">
      <c r="B382" s="1"/>
      <c r="C382" s="1"/>
      <c r="D382" s="1"/>
      <c r="E382" s="1"/>
      <c r="F382" s="1"/>
      <c r="G382" s="1"/>
      <c r="H382" s="1"/>
      <c r="I382" s="1"/>
      <c r="J382" s="1"/>
      <c r="K382" s="1"/>
      <c r="L382" s="1"/>
      <c r="M382" s="1"/>
      <c r="N382" s="1"/>
      <c r="R382" s="3" t="s">
        <v>303</v>
      </c>
      <c r="S382" s="3" t="s">
        <v>69</v>
      </c>
      <c r="T382" s="3" t="s">
        <v>1514</v>
      </c>
      <c r="U382" s="3" t="s">
        <v>373</v>
      </c>
      <c r="V382" s="3" t="s">
        <v>175</v>
      </c>
      <c r="W382" s="3" t="s">
        <v>1515</v>
      </c>
    </row>
    <row r="383" ht="14.5" spans="2:23">
      <c r="B383" s="1"/>
      <c r="C383" s="1"/>
      <c r="D383" s="1"/>
      <c r="E383" s="1"/>
      <c r="F383" s="1"/>
      <c r="G383" s="1"/>
      <c r="H383" s="1"/>
      <c r="I383" s="1"/>
      <c r="J383" s="1"/>
      <c r="K383" s="1"/>
      <c r="L383" s="1"/>
      <c r="M383" s="1"/>
      <c r="N383" s="1"/>
      <c r="R383" s="3" t="s">
        <v>303</v>
      </c>
      <c r="S383" s="3" t="s">
        <v>69</v>
      </c>
      <c r="T383" s="3" t="s">
        <v>1516</v>
      </c>
      <c r="U383" s="3" t="s">
        <v>373</v>
      </c>
      <c r="V383" s="3" t="s">
        <v>175</v>
      </c>
      <c r="W383" s="3" t="s">
        <v>1517</v>
      </c>
    </row>
    <row r="384" ht="14.5" spans="2:23">
      <c r="B384" s="1"/>
      <c r="C384" s="1"/>
      <c r="D384" s="1"/>
      <c r="E384" s="1"/>
      <c r="F384" s="1"/>
      <c r="G384" s="1"/>
      <c r="H384" s="1"/>
      <c r="I384" s="1"/>
      <c r="J384" s="1"/>
      <c r="K384" s="1"/>
      <c r="L384" s="1"/>
      <c r="M384" s="1"/>
      <c r="N384" s="1"/>
      <c r="R384" s="3" t="s">
        <v>303</v>
      </c>
      <c r="S384" s="3" t="s">
        <v>70</v>
      </c>
      <c r="T384" s="3" t="s">
        <v>1518</v>
      </c>
      <c r="U384" s="3" t="s">
        <v>373</v>
      </c>
      <c r="V384" s="3" t="s">
        <v>175</v>
      </c>
      <c r="W384" s="3" t="s">
        <v>1519</v>
      </c>
    </row>
    <row r="385" ht="14.5" spans="2:23">
      <c r="B385" s="1"/>
      <c r="C385" s="1"/>
      <c r="D385" s="1"/>
      <c r="E385" s="1"/>
      <c r="F385" s="1"/>
      <c r="G385" s="1"/>
      <c r="H385" s="1"/>
      <c r="I385" s="1"/>
      <c r="J385" s="1"/>
      <c r="K385" s="1"/>
      <c r="L385" s="1"/>
      <c r="M385" s="1"/>
      <c r="N385" s="1"/>
      <c r="R385" s="3" t="s">
        <v>303</v>
      </c>
      <c r="S385" s="3" t="s">
        <v>70</v>
      </c>
      <c r="T385" s="3" t="s">
        <v>1520</v>
      </c>
      <c r="U385" s="3" t="s">
        <v>373</v>
      </c>
      <c r="V385" s="3" t="s">
        <v>175</v>
      </c>
      <c r="W385" s="3" t="s">
        <v>1521</v>
      </c>
    </row>
    <row r="386" ht="14.5" spans="2:23">
      <c r="B386" s="1"/>
      <c r="C386" s="1"/>
      <c r="D386" s="1"/>
      <c r="E386" s="1"/>
      <c r="F386" s="1"/>
      <c r="G386" s="1"/>
      <c r="H386" s="1"/>
      <c r="I386" s="1"/>
      <c r="J386" s="1"/>
      <c r="K386" s="1"/>
      <c r="L386" s="1"/>
      <c r="M386" s="1"/>
      <c r="N386" s="1"/>
      <c r="R386" s="3" t="s">
        <v>303</v>
      </c>
      <c r="S386" s="3" t="s">
        <v>70</v>
      </c>
      <c r="T386" s="3" t="s">
        <v>1522</v>
      </c>
      <c r="U386" s="3" t="s">
        <v>373</v>
      </c>
      <c r="V386" s="3" t="s">
        <v>175</v>
      </c>
      <c r="W386" s="3" t="s">
        <v>1523</v>
      </c>
    </row>
    <row r="387" ht="14.5" spans="2:23">
      <c r="B387" s="1"/>
      <c r="C387" s="1"/>
      <c r="D387" s="1"/>
      <c r="E387" s="1"/>
      <c r="F387" s="1"/>
      <c r="G387" s="1"/>
      <c r="H387" s="1"/>
      <c r="I387" s="1"/>
      <c r="J387" s="1"/>
      <c r="K387" s="1"/>
      <c r="L387" s="1"/>
      <c r="M387" s="1"/>
      <c r="N387" s="1"/>
      <c r="R387" s="3" t="s">
        <v>303</v>
      </c>
      <c r="S387" s="3" t="s">
        <v>70</v>
      </c>
      <c r="T387" s="3" t="s">
        <v>1524</v>
      </c>
      <c r="U387" s="3" t="s">
        <v>373</v>
      </c>
      <c r="V387" s="3" t="s">
        <v>175</v>
      </c>
      <c r="W387" s="3" t="s">
        <v>1525</v>
      </c>
    </row>
    <row r="388" ht="14.5" spans="2:23">
      <c r="B388" s="1"/>
      <c r="C388" s="1"/>
      <c r="D388" s="1"/>
      <c r="E388" s="1"/>
      <c r="F388" s="1"/>
      <c r="G388" s="1"/>
      <c r="H388" s="1"/>
      <c r="I388" s="1"/>
      <c r="J388" s="1"/>
      <c r="K388" s="1"/>
      <c r="L388" s="1"/>
      <c r="M388" s="1"/>
      <c r="N388" s="1"/>
      <c r="R388" s="3" t="s">
        <v>303</v>
      </c>
      <c r="S388" s="3" t="s">
        <v>70</v>
      </c>
      <c r="T388" s="3" t="s">
        <v>1526</v>
      </c>
      <c r="U388" s="3" t="s">
        <v>373</v>
      </c>
      <c r="V388" s="3" t="s">
        <v>175</v>
      </c>
      <c r="W388" s="3" t="s">
        <v>1527</v>
      </c>
    </row>
    <row r="389" ht="14.5" spans="2:23">
      <c r="B389" s="1"/>
      <c r="C389" s="1"/>
      <c r="D389" s="1"/>
      <c r="E389" s="1"/>
      <c r="F389" s="1"/>
      <c r="G389" s="1"/>
      <c r="H389" s="1"/>
      <c r="I389" s="1"/>
      <c r="J389" s="1"/>
      <c r="K389" s="1"/>
      <c r="L389" s="1"/>
      <c r="M389" s="1"/>
      <c r="N389" s="1"/>
      <c r="R389" s="3" t="s">
        <v>303</v>
      </c>
      <c r="S389" s="3" t="s">
        <v>70</v>
      </c>
      <c r="T389" s="3" t="s">
        <v>1528</v>
      </c>
      <c r="U389" s="3" t="s">
        <v>373</v>
      </c>
      <c r="V389" s="3" t="s">
        <v>175</v>
      </c>
      <c r="W389" s="3" t="s">
        <v>1529</v>
      </c>
    </row>
    <row r="390" ht="14.5" spans="2:23">
      <c r="B390" s="1"/>
      <c r="C390" s="1"/>
      <c r="D390" s="1"/>
      <c r="E390" s="1"/>
      <c r="F390" s="1"/>
      <c r="G390" s="1"/>
      <c r="H390" s="1"/>
      <c r="I390" s="1"/>
      <c r="J390" s="1"/>
      <c r="K390" s="1"/>
      <c r="L390" s="1"/>
      <c r="M390" s="1"/>
      <c r="N390" s="1"/>
      <c r="R390" s="3" t="s">
        <v>303</v>
      </c>
      <c r="S390" s="3" t="s">
        <v>71</v>
      </c>
      <c r="T390" s="3" t="s">
        <v>1530</v>
      </c>
      <c r="U390" s="3" t="s">
        <v>373</v>
      </c>
      <c r="V390" s="3" t="s">
        <v>175</v>
      </c>
      <c r="W390" s="3" t="s">
        <v>1531</v>
      </c>
    </row>
    <row r="391" ht="14.5" spans="2:23">
      <c r="B391" s="1"/>
      <c r="C391" s="1"/>
      <c r="D391" s="1"/>
      <c r="E391" s="1"/>
      <c r="F391" s="1"/>
      <c r="G391" s="1"/>
      <c r="H391" s="1"/>
      <c r="I391" s="1"/>
      <c r="J391" s="1"/>
      <c r="K391" s="1"/>
      <c r="L391" s="1"/>
      <c r="M391" s="1"/>
      <c r="N391" s="1"/>
      <c r="R391" s="3" t="s">
        <v>303</v>
      </c>
      <c r="S391" s="3" t="s">
        <v>71</v>
      </c>
      <c r="T391" s="3" t="s">
        <v>1532</v>
      </c>
      <c r="U391" s="3" t="s">
        <v>373</v>
      </c>
      <c r="V391" s="3" t="s">
        <v>175</v>
      </c>
      <c r="W391" s="3" t="s">
        <v>1533</v>
      </c>
    </row>
    <row r="392" ht="14.5" spans="2:23">
      <c r="B392" s="1"/>
      <c r="C392" s="1"/>
      <c r="D392" s="1"/>
      <c r="E392" s="1"/>
      <c r="F392" s="1"/>
      <c r="G392" s="1"/>
      <c r="H392" s="1"/>
      <c r="I392" s="1"/>
      <c r="J392" s="1"/>
      <c r="K392" s="1"/>
      <c r="L392" s="1"/>
      <c r="M392" s="1"/>
      <c r="N392" s="1"/>
      <c r="R392" s="3" t="s">
        <v>303</v>
      </c>
      <c r="S392" s="3" t="s">
        <v>72</v>
      </c>
      <c r="T392" s="3" t="s">
        <v>1534</v>
      </c>
      <c r="U392" s="3" t="s">
        <v>373</v>
      </c>
      <c r="V392" s="3" t="s">
        <v>175</v>
      </c>
      <c r="W392" s="3" t="s">
        <v>1535</v>
      </c>
    </row>
    <row r="393" ht="14.5" spans="2:23">
      <c r="B393" s="1"/>
      <c r="C393" s="1"/>
      <c r="D393" s="1"/>
      <c r="E393" s="1"/>
      <c r="F393" s="1"/>
      <c r="G393" s="1"/>
      <c r="H393" s="1"/>
      <c r="I393" s="1"/>
      <c r="J393" s="1"/>
      <c r="K393" s="1"/>
      <c r="L393" s="1"/>
      <c r="M393" s="1"/>
      <c r="N393" s="1"/>
      <c r="R393" s="3" t="s">
        <v>303</v>
      </c>
      <c r="S393" s="3" t="s">
        <v>72</v>
      </c>
      <c r="T393" s="3" t="s">
        <v>1536</v>
      </c>
      <c r="U393" s="3" t="s">
        <v>373</v>
      </c>
      <c r="V393" s="3" t="s">
        <v>175</v>
      </c>
      <c r="W393" s="3" t="s">
        <v>1537</v>
      </c>
    </row>
    <row r="394" ht="14.5" spans="2:23">
      <c r="B394" s="1"/>
      <c r="C394" s="1"/>
      <c r="D394" s="1"/>
      <c r="E394" s="1"/>
      <c r="F394" s="1"/>
      <c r="G394" s="1"/>
      <c r="H394" s="1"/>
      <c r="I394" s="1"/>
      <c r="J394" s="1"/>
      <c r="K394" s="1"/>
      <c r="L394" s="1"/>
      <c r="M394" s="1"/>
      <c r="N394" s="1"/>
      <c r="R394" s="3" t="s">
        <v>303</v>
      </c>
      <c r="S394" s="3" t="s">
        <v>74</v>
      </c>
      <c r="T394" s="3" t="s">
        <v>1538</v>
      </c>
      <c r="U394" s="3" t="s">
        <v>373</v>
      </c>
      <c r="V394" s="3" t="s">
        <v>175</v>
      </c>
      <c r="W394" s="3" t="s">
        <v>1539</v>
      </c>
    </row>
    <row r="395" ht="14.5" spans="2:23">
      <c r="B395" s="1"/>
      <c r="C395" s="1"/>
      <c r="D395" s="1"/>
      <c r="E395" s="1"/>
      <c r="F395" s="1"/>
      <c r="G395" s="1"/>
      <c r="H395" s="1"/>
      <c r="I395" s="1"/>
      <c r="J395" s="1"/>
      <c r="K395" s="1"/>
      <c r="L395" s="1"/>
      <c r="M395" s="1"/>
      <c r="N395" s="1"/>
      <c r="R395" s="3" t="s">
        <v>303</v>
      </c>
      <c r="S395" s="3" t="s">
        <v>74</v>
      </c>
      <c r="T395" s="3" t="s">
        <v>1540</v>
      </c>
      <c r="U395" s="3" t="s">
        <v>373</v>
      </c>
      <c r="V395" s="3" t="s">
        <v>175</v>
      </c>
      <c r="W395" s="3" t="s">
        <v>1541</v>
      </c>
    </row>
    <row r="396" ht="14.5" spans="2:23">
      <c r="B396" s="1"/>
      <c r="C396" s="1"/>
      <c r="D396" s="1"/>
      <c r="E396" s="1"/>
      <c r="F396" s="1"/>
      <c r="G396" s="1"/>
      <c r="H396" s="1"/>
      <c r="I396" s="1"/>
      <c r="J396" s="1"/>
      <c r="K396" s="1"/>
      <c r="L396" s="1"/>
      <c r="M396" s="1"/>
      <c r="N396" s="1"/>
      <c r="R396" s="3" t="s">
        <v>303</v>
      </c>
      <c r="S396" s="3" t="s">
        <v>75</v>
      </c>
      <c r="T396" s="3" t="s">
        <v>1542</v>
      </c>
      <c r="U396" s="3" t="s">
        <v>373</v>
      </c>
      <c r="V396" s="3" t="s">
        <v>175</v>
      </c>
      <c r="W396" s="3" t="s">
        <v>1543</v>
      </c>
    </row>
    <row r="397" ht="14.5" spans="2:23">
      <c r="B397" s="1"/>
      <c r="C397" s="1"/>
      <c r="D397" s="1"/>
      <c r="E397" s="1"/>
      <c r="F397" s="1"/>
      <c r="G397" s="1"/>
      <c r="H397" s="1"/>
      <c r="I397" s="1"/>
      <c r="J397" s="1"/>
      <c r="K397" s="1"/>
      <c r="L397" s="1"/>
      <c r="M397" s="1"/>
      <c r="N397" s="1"/>
      <c r="R397" s="3" t="s">
        <v>303</v>
      </c>
      <c r="S397" s="3" t="s">
        <v>75</v>
      </c>
      <c r="T397" s="3" t="s">
        <v>1544</v>
      </c>
      <c r="U397" s="3" t="s">
        <v>373</v>
      </c>
      <c r="V397" s="3" t="s">
        <v>175</v>
      </c>
      <c r="W397" s="3" t="s">
        <v>1545</v>
      </c>
    </row>
    <row r="398" ht="14.5" spans="2:23">
      <c r="B398" s="1"/>
      <c r="C398" s="1"/>
      <c r="D398" s="1"/>
      <c r="E398" s="1"/>
      <c r="F398" s="1"/>
      <c r="G398" s="1"/>
      <c r="H398" s="1"/>
      <c r="I398" s="1"/>
      <c r="J398" s="1"/>
      <c r="K398" s="1"/>
      <c r="L398" s="1"/>
      <c r="M398" s="1"/>
      <c r="N398" s="1"/>
      <c r="R398" s="3" t="s">
        <v>303</v>
      </c>
      <c r="S398" s="3" t="s">
        <v>75</v>
      </c>
      <c r="T398" s="3" t="s">
        <v>1546</v>
      </c>
      <c r="U398" s="3" t="s">
        <v>373</v>
      </c>
      <c r="V398" s="3" t="s">
        <v>175</v>
      </c>
      <c r="W398" s="3" t="s">
        <v>1547</v>
      </c>
    </row>
    <row r="399" ht="14.5" spans="2:23">
      <c r="B399" s="1"/>
      <c r="C399" s="1"/>
      <c r="D399" s="1"/>
      <c r="E399" s="1"/>
      <c r="F399" s="1"/>
      <c r="G399" s="1"/>
      <c r="H399" s="1"/>
      <c r="I399" s="1"/>
      <c r="J399" s="1"/>
      <c r="K399" s="1"/>
      <c r="L399" s="1"/>
      <c r="M399" s="1"/>
      <c r="N399" s="1"/>
      <c r="R399" s="3" t="s">
        <v>303</v>
      </c>
      <c r="S399" s="3" t="s">
        <v>75</v>
      </c>
      <c r="T399" s="3" t="s">
        <v>1548</v>
      </c>
      <c r="U399" s="3" t="s">
        <v>373</v>
      </c>
      <c r="V399" s="3" t="s">
        <v>175</v>
      </c>
      <c r="W399" s="3" t="s">
        <v>1549</v>
      </c>
    </row>
    <row r="400" ht="14.5" spans="2:23">
      <c r="B400" s="1"/>
      <c r="C400" s="1"/>
      <c r="D400" s="1"/>
      <c r="E400" s="1"/>
      <c r="F400" s="1"/>
      <c r="G400" s="1"/>
      <c r="H400" s="1"/>
      <c r="I400" s="1"/>
      <c r="J400" s="1"/>
      <c r="K400" s="1"/>
      <c r="L400" s="1"/>
      <c r="M400" s="1"/>
      <c r="N400" s="1"/>
      <c r="R400" s="3" t="s">
        <v>303</v>
      </c>
      <c r="S400" s="3" t="s">
        <v>76</v>
      </c>
      <c r="T400" s="3" t="s">
        <v>1550</v>
      </c>
      <c r="U400" s="3" t="s">
        <v>373</v>
      </c>
      <c r="V400" s="3" t="s">
        <v>175</v>
      </c>
      <c r="W400" s="3" t="s">
        <v>1551</v>
      </c>
    </row>
    <row r="401" ht="14.5" spans="2:23">
      <c r="B401" s="1"/>
      <c r="C401" s="1"/>
      <c r="D401" s="1"/>
      <c r="E401" s="1"/>
      <c r="F401" s="1"/>
      <c r="G401" s="1"/>
      <c r="H401" s="1"/>
      <c r="I401" s="1"/>
      <c r="J401" s="1"/>
      <c r="K401" s="1"/>
      <c r="L401" s="1"/>
      <c r="M401" s="1"/>
      <c r="N401" s="1"/>
      <c r="R401" s="3" t="s">
        <v>303</v>
      </c>
      <c r="S401" s="3" t="s">
        <v>76</v>
      </c>
      <c r="T401" s="3" t="s">
        <v>1552</v>
      </c>
      <c r="U401" s="3" t="s">
        <v>373</v>
      </c>
      <c r="V401" s="3" t="s">
        <v>175</v>
      </c>
      <c r="W401" s="3" t="s">
        <v>1553</v>
      </c>
    </row>
    <row r="402" ht="14.5" spans="2:23">
      <c r="B402" s="1"/>
      <c r="C402" s="1"/>
      <c r="D402" s="1"/>
      <c r="E402" s="1"/>
      <c r="F402" s="1"/>
      <c r="G402" s="1"/>
      <c r="H402" s="1"/>
      <c r="I402" s="1"/>
      <c r="J402" s="1"/>
      <c r="K402" s="1"/>
      <c r="L402" s="1"/>
      <c r="M402" s="1"/>
      <c r="N402" s="1"/>
      <c r="R402" s="3" t="s">
        <v>303</v>
      </c>
      <c r="S402" s="3" t="s">
        <v>76</v>
      </c>
      <c r="T402" s="3" t="s">
        <v>1554</v>
      </c>
      <c r="U402" s="3" t="s">
        <v>373</v>
      </c>
      <c r="V402" s="3" t="s">
        <v>175</v>
      </c>
      <c r="W402" s="3" t="s">
        <v>1555</v>
      </c>
    </row>
    <row r="403" ht="14.5" spans="2:23">
      <c r="B403" s="1"/>
      <c r="C403" s="1"/>
      <c r="D403" s="1"/>
      <c r="E403" s="1"/>
      <c r="F403" s="1"/>
      <c r="G403" s="1"/>
      <c r="H403" s="1"/>
      <c r="I403" s="1"/>
      <c r="J403" s="1"/>
      <c r="K403" s="1"/>
      <c r="L403" s="1"/>
      <c r="M403" s="1"/>
      <c r="N403" s="1"/>
      <c r="R403" s="3" t="s">
        <v>303</v>
      </c>
      <c r="S403" s="3" t="s">
        <v>76</v>
      </c>
      <c r="T403" s="3" t="s">
        <v>1556</v>
      </c>
      <c r="U403" s="3" t="s">
        <v>373</v>
      </c>
      <c r="V403" s="3" t="s">
        <v>175</v>
      </c>
      <c r="W403" s="3" t="s">
        <v>1557</v>
      </c>
    </row>
    <row r="404" ht="14.5" spans="2:23">
      <c r="B404" s="1"/>
      <c r="C404" s="1"/>
      <c r="D404" s="1"/>
      <c r="E404" s="1"/>
      <c r="F404" s="1"/>
      <c r="G404" s="1"/>
      <c r="H404" s="1"/>
      <c r="I404" s="1"/>
      <c r="J404" s="1"/>
      <c r="K404" s="1"/>
      <c r="L404" s="1"/>
      <c r="M404" s="1"/>
      <c r="N404" s="1"/>
      <c r="R404" s="3" t="s">
        <v>303</v>
      </c>
      <c r="S404" s="3" t="s">
        <v>76</v>
      </c>
      <c r="T404" s="3" t="s">
        <v>1558</v>
      </c>
      <c r="U404" s="3" t="s">
        <v>373</v>
      </c>
      <c r="V404" s="3" t="s">
        <v>175</v>
      </c>
      <c r="W404" s="3" t="s">
        <v>1559</v>
      </c>
    </row>
    <row r="405" ht="14.5" spans="2:23">
      <c r="B405" s="1"/>
      <c r="C405" s="1"/>
      <c r="D405" s="1"/>
      <c r="E405" s="1"/>
      <c r="F405" s="1"/>
      <c r="G405" s="1"/>
      <c r="H405" s="1"/>
      <c r="I405" s="1"/>
      <c r="J405" s="1"/>
      <c r="K405" s="1"/>
      <c r="L405" s="1"/>
      <c r="M405" s="1"/>
      <c r="N405" s="1"/>
      <c r="R405" s="3" t="s">
        <v>303</v>
      </c>
      <c r="S405" s="3" t="s">
        <v>76</v>
      </c>
      <c r="T405" s="3" t="s">
        <v>1560</v>
      </c>
      <c r="U405" s="3" t="s">
        <v>373</v>
      </c>
      <c r="V405" s="3" t="s">
        <v>175</v>
      </c>
      <c r="W405" s="3" t="s">
        <v>1561</v>
      </c>
    </row>
    <row r="406" ht="14.5" spans="2:23">
      <c r="B406" s="1"/>
      <c r="C406" s="1"/>
      <c r="D406" s="1"/>
      <c r="E406" s="1"/>
      <c r="F406" s="1"/>
      <c r="G406" s="1"/>
      <c r="H406" s="1"/>
      <c r="I406" s="1"/>
      <c r="J406" s="1"/>
      <c r="K406" s="1"/>
      <c r="L406" s="1"/>
      <c r="M406" s="1"/>
      <c r="N406" s="1"/>
      <c r="R406" s="3" t="s">
        <v>303</v>
      </c>
      <c r="S406" s="3" t="s">
        <v>76</v>
      </c>
      <c r="T406" s="3" t="s">
        <v>1562</v>
      </c>
      <c r="U406" s="3" t="s">
        <v>373</v>
      </c>
      <c r="V406" s="3" t="s">
        <v>175</v>
      </c>
      <c r="W406" s="3" t="s">
        <v>1563</v>
      </c>
    </row>
    <row r="407" ht="14.5" spans="2:23">
      <c r="B407" s="1"/>
      <c r="C407" s="1"/>
      <c r="D407" s="1"/>
      <c r="E407" s="1"/>
      <c r="F407" s="1"/>
      <c r="G407" s="1"/>
      <c r="H407" s="1"/>
      <c r="I407" s="1"/>
      <c r="J407" s="1"/>
      <c r="K407" s="1"/>
      <c r="L407" s="1"/>
      <c r="M407" s="1"/>
      <c r="N407" s="1"/>
      <c r="R407" s="3" t="s">
        <v>303</v>
      </c>
      <c r="S407" s="3" t="s">
        <v>76</v>
      </c>
      <c r="T407" s="3" t="s">
        <v>1564</v>
      </c>
      <c r="U407" s="3" t="s">
        <v>373</v>
      </c>
      <c r="V407" s="3" t="s">
        <v>175</v>
      </c>
      <c r="W407" s="3" t="s">
        <v>1565</v>
      </c>
    </row>
    <row r="408" ht="14.5" spans="2:23">
      <c r="B408" s="1"/>
      <c r="C408" s="1"/>
      <c r="D408" s="1"/>
      <c r="E408" s="1"/>
      <c r="F408" s="1"/>
      <c r="G408" s="1"/>
      <c r="H408" s="1"/>
      <c r="I408" s="1"/>
      <c r="J408" s="1"/>
      <c r="K408" s="1"/>
      <c r="L408" s="1"/>
      <c r="M408" s="1"/>
      <c r="N408" s="1"/>
      <c r="R408" s="3" t="s">
        <v>303</v>
      </c>
      <c r="S408" s="3" t="s">
        <v>76</v>
      </c>
      <c r="T408" s="3" t="s">
        <v>1566</v>
      </c>
      <c r="U408" s="3" t="s">
        <v>373</v>
      </c>
      <c r="V408" s="3" t="s">
        <v>175</v>
      </c>
      <c r="W408" s="3" t="s">
        <v>1567</v>
      </c>
    </row>
    <row r="409" ht="14.5" spans="2:23">
      <c r="B409" s="1"/>
      <c r="C409" s="1"/>
      <c r="D409" s="1"/>
      <c r="E409" s="1"/>
      <c r="F409" s="1"/>
      <c r="G409" s="1"/>
      <c r="H409" s="1"/>
      <c r="I409" s="1"/>
      <c r="J409" s="1"/>
      <c r="K409" s="1"/>
      <c r="L409" s="1"/>
      <c r="M409" s="1"/>
      <c r="N409" s="1"/>
      <c r="R409" s="3" t="s">
        <v>303</v>
      </c>
      <c r="S409" s="3" t="s">
        <v>76</v>
      </c>
      <c r="T409" s="3" t="s">
        <v>1568</v>
      </c>
      <c r="U409" s="3" t="s">
        <v>373</v>
      </c>
      <c r="V409" s="3" t="s">
        <v>175</v>
      </c>
      <c r="W409" s="3" t="s">
        <v>1569</v>
      </c>
    </row>
    <row r="410" ht="14.5" spans="2:23">
      <c r="B410" s="1"/>
      <c r="C410" s="1"/>
      <c r="D410" s="1"/>
      <c r="E410" s="1"/>
      <c r="F410" s="1"/>
      <c r="G410" s="1"/>
      <c r="H410" s="1"/>
      <c r="I410" s="1"/>
      <c r="J410" s="1"/>
      <c r="K410" s="1"/>
      <c r="L410" s="1"/>
      <c r="M410" s="1"/>
      <c r="N410" s="1"/>
      <c r="R410" s="3" t="s">
        <v>303</v>
      </c>
      <c r="S410" s="3" t="s">
        <v>76</v>
      </c>
      <c r="T410" s="3" t="s">
        <v>1570</v>
      </c>
      <c r="U410" s="3" t="s">
        <v>373</v>
      </c>
      <c r="V410" s="3" t="s">
        <v>175</v>
      </c>
      <c r="W410" s="3" t="s">
        <v>1571</v>
      </c>
    </row>
    <row r="411" ht="14.5" spans="2:23">
      <c r="B411" s="1"/>
      <c r="C411" s="1"/>
      <c r="D411" s="1"/>
      <c r="E411" s="1"/>
      <c r="F411" s="1"/>
      <c r="G411" s="1"/>
      <c r="H411" s="1"/>
      <c r="I411" s="1"/>
      <c r="J411" s="1"/>
      <c r="K411" s="1"/>
      <c r="L411" s="1"/>
      <c r="M411" s="1"/>
      <c r="N411" s="1"/>
      <c r="R411" s="3" t="s">
        <v>303</v>
      </c>
      <c r="S411" s="3" t="s">
        <v>76</v>
      </c>
      <c r="T411" s="3" t="s">
        <v>1572</v>
      </c>
      <c r="U411" s="3" t="s">
        <v>373</v>
      </c>
      <c r="V411" s="3" t="s">
        <v>175</v>
      </c>
      <c r="W411" s="3" t="s">
        <v>1573</v>
      </c>
    </row>
    <row r="412" ht="14.5" spans="2:23">
      <c r="B412" s="1"/>
      <c r="C412" s="1"/>
      <c r="D412" s="1"/>
      <c r="E412" s="1"/>
      <c r="F412" s="1"/>
      <c r="G412" s="1"/>
      <c r="H412" s="1"/>
      <c r="I412" s="1"/>
      <c r="J412" s="1"/>
      <c r="K412" s="1"/>
      <c r="L412" s="1"/>
      <c r="M412" s="1"/>
      <c r="N412" s="1"/>
    </row>
    <row r="413" ht="14.5" spans="2:23">
      <c r="B413" s="1"/>
      <c r="C413" s="1"/>
      <c r="D413" s="1"/>
      <c r="E413" s="1"/>
      <c r="F413" s="1"/>
      <c r="G413" s="1"/>
      <c r="H413" s="1"/>
      <c r="I413" s="1"/>
      <c r="J413" s="1"/>
      <c r="K413" s="1"/>
      <c r="L413" s="1"/>
      <c r="M413" s="1"/>
      <c r="N413" s="1"/>
    </row>
    <row r="414" ht="14.5" spans="2:23">
      <c r="B414" s="1"/>
      <c r="C414" s="1"/>
      <c r="D414" s="1"/>
      <c r="E414" s="1"/>
      <c r="F414" s="1"/>
      <c r="G414" s="1"/>
      <c r="H414" s="1"/>
      <c r="I414" s="1"/>
      <c r="J414" s="1"/>
      <c r="K414" s="1"/>
      <c r="L414" s="1"/>
      <c r="M414" s="1"/>
      <c r="N414" s="1"/>
    </row>
    <row r="415" ht="14.5" spans="2:23">
      <c r="B415" s="1"/>
      <c r="C415" s="1"/>
      <c r="D415" s="1"/>
      <c r="E415" s="1"/>
      <c r="F415" s="1"/>
      <c r="G415" s="1"/>
      <c r="H415" s="1"/>
      <c r="I415" s="1"/>
      <c r="J415" s="1"/>
      <c r="K415" s="1"/>
      <c r="L415" s="1"/>
      <c r="M415" s="1"/>
      <c r="N415" s="1"/>
    </row>
    <row r="416" ht="14.5" spans="2:23">
      <c r="B416" s="1"/>
      <c r="C416" s="1"/>
      <c r="D416" s="1"/>
      <c r="E416" s="1"/>
      <c r="F416" s="1"/>
      <c r="G416" s="1"/>
      <c r="H416" s="1"/>
      <c r="I416" s="1"/>
      <c r="J416" s="1"/>
      <c r="K416" s="1"/>
      <c r="L416" s="1"/>
      <c r="M416" s="1"/>
      <c r="N416" s="1"/>
    </row>
    <row r="417" ht="14.5" spans="2:14">
      <c r="B417" s="1"/>
      <c r="C417" s="1"/>
      <c r="D417" s="1"/>
      <c r="E417" s="1"/>
      <c r="F417" s="1"/>
      <c r="G417" s="1"/>
      <c r="H417" s="1"/>
      <c r="I417" s="1"/>
      <c r="J417" s="1"/>
      <c r="K417" s="1"/>
      <c r="L417" s="1"/>
      <c r="M417" s="1"/>
      <c r="N417" s="1"/>
    </row>
    <row r="418" ht="14.5" spans="2:14">
      <c r="B418" s="1"/>
      <c r="C418" s="1"/>
      <c r="D418" s="1"/>
      <c r="E418" s="1"/>
      <c r="F418" s="1"/>
      <c r="G418" s="1"/>
      <c r="H418" s="1"/>
      <c r="I418" s="1"/>
      <c r="J418" s="1"/>
      <c r="K418" s="1"/>
      <c r="L418" s="1"/>
      <c r="M418" s="1"/>
      <c r="N418" s="1"/>
    </row>
    <row r="419" ht="14.5" spans="2:14">
      <c r="B419" s="1"/>
      <c r="C419" s="1"/>
      <c r="D419" s="1"/>
      <c r="E419" s="1"/>
      <c r="F419" s="1"/>
      <c r="G419" s="1"/>
      <c r="H419" s="1"/>
      <c r="I419" s="1"/>
      <c r="J419" s="1"/>
      <c r="K419" s="1"/>
      <c r="L419" s="1"/>
      <c r="M419" s="1"/>
      <c r="N419" s="1"/>
    </row>
    <row r="420" ht="14.5" spans="2:14">
      <c r="B420" s="1"/>
      <c r="C420" s="1"/>
      <c r="D420" s="1"/>
      <c r="E420" s="1"/>
      <c r="F420" s="1"/>
      <c r="G420" s="1"/>
      <c r="H420" s="1"/>
      <c r="I420" s="1"/>
      <c r="J420" s="1"/>
      <c r="K420" s="1"/>
      <c r="L420" s="1"/>
      <c r="M420" s="1"/>
      <c r="N420" s="1"/>
    </row>
    <row r="421" ht="14.5" spans="2:14">
      <c r="B421" s="1"/>
      <c r="C421" s="1"/>
      <c r="D421" s="1"/>
      <c r="E421" s="1"/>
      <c r="F421" s="1"/>
      <c r="G421" s="1"/>
      <c r="H421" s="1"/>
      <c r="I421" s="1"/>
      <c r="J421" s="1"/>
      <c r="K421" s="1"/>
      <c r="L421" s="1"/>
      <c r="M421" s="1"/>
      <c r="N421" s="1"/>
    </row>
    <row r="422" ht="14.5" spans="2:14">
      <c r="B422" s="1"/>
      <c r="C422" s="1"/>
      <c r="D422" s="1"/>
      <c r="E422" s="1"/>
      <c r="F422" s="1"/>
      <c r="G422" s="1"/>
      <c r="H422" s="1"/>
      <c r="I422" s="1"/>
      <c r="J422" s="1"/>
      <c r="K422" s="1"/>
      <c r="L422" s="1"/>
      <c r="M422" s="1"/>
      <c r="N422" s="1"/>
    </row>
    <row r="423" ht="14.5" spans="2:14">
      <c r="B423" s="1"/>
      <c r="C423" s="1"/>
      <c r="D423" s="1"/>
      <c r="E423" s="1"/>
      <c r="F423" s="1"/>
      <c r="G423" s="1"/>
      <c r="H423" s="1"/>
      <c r="I423" s="1"/>
      <c r="J423" s="1"/>
      <c r="K423" s="1"/>
      <c r="L423" s="1"/>
      <c r="M423" s="1"/>
      <c r="N423" s="1"/>
    </row>
    <row r="424" ht="14.5" spans="2:14">
      <c r="B424" s="1"/>
      <c r="C424" s="1"/>
      <c r="D424" s="1"/>
      <c r="E424" s="1"/>
      <c r="F424" s="1"/>
      <c r="G424" s="1"/>
      <c r="H424" s="1"/>
      <c r="I424" s="1"/>
      <c r="J424" s="1"/>
      <c r="K424" s="1"/>
      <c r="L424" s="1"/>
      <c r="M424" s="1"/>
      <c r="N424" s="1"/>
    </row>
    <row r="425" ht="14.5" spans="2:14">
      <c r="B425" s="1"/>
      <c r="C425" s="1"/>
      <c r="D425" s="1"/>
      <c r="E425" s="1"/>
      <c r="F425" s="1"/>
      <c r="G425" s="1"/>
      <c r="H425" s="1"/>
      <c r="I425" s="1"/>
      <c r="J425" s="1"/>
      <c r="K425" s="1"/>
      <c r="L425" s="1"/>
      <c r="M425" s="1"/>
      <c r="N425" s="1"/>
    </row>
    <row r="426" ht="14.5" spans="2:14">
      <c r="B426" s="1"/>
      <c r="C426" s="1"/>
      <c r="D426" s="1"/>
      <c r="E426" s="1"/>
      <c r="F426" s="1"/>
      <c r="G426" s="1"/>
      <c r="H426" s="1"/>
      <c r="I426" s="1"/>
      <c r="J426" s="1"/>
      <c r="K426" s="1"/>
      <c r="L426" s="1"/>
      <c r="M426" s="1"/>
      <c r="N426" s="1"/>
    </row>
    <row r="427" ht="14.5" spans="2:14">
      <c r="B427" s="1"/>
      <c r="C427" s="1"/>
      <c r="D427" s="1"/>
      <c r="E427" s="1"/>
      <c r="F427" s="1"/>
      <c r="G427" s="1"/>
      <c r="H427" s="1"/>
      <c r="I427" s="1"/>
      <c r="J427" s="1"/>
      <c r="K427" s="1"/>
      <c r="L427" s="1"/>
      <c r="M427" s="1"/>
      <c r="N427" s="1"/>
    </row>
    <row r="428" ht="14.5" spans="2:14">
      <c r="B428" s="1"/>
      <c r="C428" s="1"/>
      <c r="D428" s="1"/>
      <c r="E428" s="1"/>
      <c r="F428" s="1"/>
      <c r="G428" s="1"/>
      <c r="H428" s="1"/>
      <c r="I428" s="1"/>
      <c r="J428" s="1"/>
      <c r="K428" s="1"/>
      <c r="L428" s="1"/>
      <c r="M428" s="1"/>
      <c r="N428" s="1"/>
    </row>
    <row r="429" ht="14.5" spans="2:14">
      <c r="B429" s="1"/>
      <c r="C429" s="1"/>
      <c r="D429" s="1"/>
      <c r="E429" s="1"/>
      <c r="F429" s="1"/>
      <c r="G429" s="1"/>
      <c r="H429" s="1"/>
      <c r="I429" s="1"/>
      <c r="J429" s="1"/>
      <c r="K429" s="1"/>
      <c r="L429" s="1"/>
      <c r="M429" s="1"/>
      <c r="N429" s="1"/>
    </row>
    <row r="430" ht="14.5" spans="2:14">
      <c r="B430" s="1"/>
      <c r="C430" s="1"/>
      <c r="D430" s="1"/>
      <c r="E430" s="1"/>
      <c r="F430" s="1"/>
      <c r="G430" s="1"/>
      <c r="H430" s="1"/>
      <c r="I430" s="1"/>
      <c r="J430" s="1"/>
      <c r="K430" s="1"/>
      <c r="L430" s="1"/>
      <c r="M430" s="1"/>
      <c r="N430" s="1"/>
    </row>
    <row r="431" ht="14.5" spans="2:14">
      <c r="B431" s="1"/>
      <c r="C431" s="1"/>
      <c r="D431" s="1"/>
      <c r="E431" s="1"/>
      <c r="F431" s="1"/>
      <c r="G431" s="1"/>
      <c r="H431" s="1"/>
      <c r="I431" s="1"/>
      <c r="J431" s="1"/>
      <c r="K431" s="1"/>
      <c r="L431" s="1"/>
      <c r="M431" s="1"/>
      <c r="N431" s="1"/>
    </row>
    <row r="432" ht="14.5" spans="2:14">
      <c r="B432" s="1"/>
      <c r="C432" s="1"/>
      <c r="D432" s="1"/>
      <c r="E432" s="1"/>
      <c r="F432" s="1"/>
      <c r="G432" s="1"/>
      <c r="H432" s="1"/>
      <c r="I432" s="1"/>
      <c r="J432" s="1"/>
      <c r="K432" s="1"/>
      <c r="L432" s="1"/>
      <c r="M432" s="1"/>
      <c r="N432" s="1"/>
    </row>
    <row r="433" ht="14.5" spans="2:14">
      <c r="B433" s="1"/>
      <c r="C433" s="1"/>
      <c r="D433" s="1"/>
      <c r="E433" s="1"/>
      <c r="F433" s="1"/>
      <c r="G433" s="1"/>
      <c r="H433" s="1"/>
      <c r="I433" s="1"/>
      <c r="J433" s="1"/>
      <c r="K433" s="1"/>
      <c r="L433" s="1"/>
      <c r="M433" s="1"/>
      <c r="N433" s="1"/>
    </row>
    <row r="434" ht="14.5" spans="2:14">
      <c r="B434" s="1"/>
      <c r="C434" s="1"/>
      <c r="D434" s="1"/>
      <c r="E434" s="1"/>
      <c r="F434" s="1"/>
      <c r="G434" s="1"/>
      <c r="H434" s="1"/>
      <c r="I434" s="1"/>
      <c r="J434" s="1"/>
      <c r="K434" s="1"/>
      <c r="L434" s="1"/>
      <c r="M434" s="1"/>
      <c r="N434" s="1"/>
    </row>
    <row r="435" ht="14.5" spans="2:14">
      <c r="B435" s="1"/>
      <c r="C435" s="1"/>
      <c r="D435" s="1"/>
      <c r="E435" s="1"/>
      <c r="F435" s="1"/>
      <c r="G435" s="1"/>
      <c r="H435" s="1"/>
      <c r="I435" s="1"/>
      <c r="J435" s="1"/>
      <c r="K435" s="1"/>
      <c r="L435" s="1"/>
      <c r="M435" s="1"/>
      <c r="N435" s="1"/>
    </row>
    <row r="436" ht="14.5" spans="2:14">
      <c r="B436" s="1"/>
      <c r="C436" s="1"/>
      <c r="D436" s="1"/>
      <c r="E436" s="1"/>
      <c r="F436" s="1"/>
      <c r="G436" s="1"/>
      <c r="H436" s="1"/>
      <c r="I436" s="1"/>
      <c r="J436" s="1"/>
      <c r="K436" s="1"/>
      <c r="L436" s="1"/>
      <c r="M436" s="1"/>
      <c r="N436" s="1"/>
    </row>
    <row r="437" ht="14.5" spans="2:14">
      <c r="B437" s="1"/>
      <c r="C437" s="1"/>
      <c r="D437" s="1"/>
      <c r="E437" s="1"/>
      <c r="F437" s="1"/>
      <c r="G437" s="1"/>
      <c r="H437" s="1"/>
      <c r="I437" s="1"/>
      <c r="J437" s="1"/>
      <c r="K437" s="1"/>
      <c r="L437" s="1"/>
      <c r="M437" s="1"/>
      <c r="N437" s="1"/>
    </row>
    <row r="438" ht="14.5" spans="2:14">
      <c r="B438" s="1"/>
      <c r="C438" s="1"/>
      <c r="D438" s="1"/>
      <c r="E438" s="1"/>
      <c r="F438" s="1"/>
      <c r="G438" s="1"/>
      <c r="H438" s="1"/>
      <c r="I438" s="1"/>
      <c r="J438" s="1"/>
      <c r="K438" s="1"/>
      <c r="L438" s="1"/>
      <c r="M438" s="1"/>
      <c r="N438" s="1"/>
    </row>
    <row r="439" ht="14.5" spans="2:14">
      <c r="B439" s="1"/>
      <c r="C439" s="1"/>
      <c r="D439" s="1"/>
      <c r="E439" s="1"/>
      <c r="F439" s="1"/>
      <c r="G439" s="1"/>
      <c r="H439" s="1"/>
      <c r="I439" s="1"/>
      <c r="J439" s="1"/>
      <c r="K439" s="1"/>
      <c r="L439" s="1"/>
      <c r="M439" s="1"/>
      <c r="N439" s="1"/>
    </row>
    <row r="440" ht="14.5" spans="2:14">
      <c r="B440" s="1"/>
      <c r="C440" s="1"/>
      <c r="D440" s="1"/>
      <c r="E440" s="1"/>
      <c r="F440" s="1"/>
      <c r="G440" s="1"/>
      <c r="H440" s="1"/>
      <c r="I440" s="1"/>
      <c r="J440" s="1"/>
      <c r="K440" s="1"/>
      <c r="L440" s="1"/>
      <c r="M440" s="1"/>
      <c r="N440" s="1"/>
    </row>
    <row r="441" ht="14.5" spans="2:14">
      <c r="B441" s="1"/>
      <c r="C441" s="1"/>
      <c r="D441" s="1"/>
      <c r="E441" s="1"/>
      <c r="F441" s="1"/>
      <c r="G441" s="1"/>
      <c r="H441" s="1"/>
      <c r="I441" s="1"/>
      <c r="J441" s="1"/>
      <c r="K441" s="1"/>
      <c r="L441" s="1"/>
      <c r="M441" s="1"/>
      <c r="N441" s="1"/>
    </row>
    <row r="442" ht="14.5" spans="2:14">
      <c r="B442" s="1"/>
      <c r="C442" s="1"/>
      <c r="D442" s="1"/>
      <c r="E442" s="1"/>
      <c r="F442" s="1"/>
      <c r="G442" s="1"/>
      <c r="H442" s="1"/>
      <c r="I442" s="1"/>
      <c r="J442" s="1"/>
      <c r="K442" s="1"/>
      <c r="L442" s="1"/>
      <c r="M442" s="1"/>
      <c r="N442" s="1"/>
    </row>
    <row r="443" ht="14.5" spans="2:14">
      <c r="B443" s="1"/>
      <c r="C443" s="1"/>
      <c r="D443" s="1"/>
      <c r="E443" s="1"/>
      <c r="F443" s="1"/>
      <c r="G443" s="1"/>
      <c r="H443" s="1"/>
      <c r="I443" s="1"/>
      <c r="J443" s="1"/>
      <c r="K443" s="1"/>
      <c r="L443" s="1"/>
      <c r="M443" s="1"/>
      <c r="N443" s="1"/>
    </row>
    <row r="444" ht="14.5" spans="2:14">
      <c r="B444" s="1"/>
      <c r="C444" s="1"/>
      <c r="D444" s="1"/>
      <c r="E444" s="1"/>
      <c r="F444" s="1"/>
      <c r="G444" s="1"/>
      <c r="H444" s="1"/>
      <c r="I444" s="1"/>
      <c r="J444" s="1"/>
      <c r="K444" s="1"/>
      <c r="L444" s="1"/>
      <c r="M444" s="1"/>
      <c r="N444" s="1"/>
    </row>
    <row r="445" ht="14.5" spans="2:14">
      <c r="B445" s="1"/>
      <c r="C445" s="1"/>
      <c r="D445" s="1"/>
      <c r="E445" s="1"/>
      <c r="F445" s="1"/>
      <c r="G445" s="1"/>
      <c r="H445" s="1"/>
      <c r="I445" s="1"/>
      <c r="J445" s="1"/>
      <c r="K445" s="1"/>
      <c r="L445" s="1"/>
      <c r="M445" s="1"/>
      <c r="N445" s="1"/>
    </row>
    <row r="446" ht="14.5" spans="2:14">
      <c r="B446" s="1"/>
      <c r="C446" s="1"/>
      <c r="D446" s="1"/>
      <c r="E446" s="1"/>
      <c r="F446" s="1"/>
      <c r="G446" s="1"/>
      <c r="H446" s="1"/>
      <c r="I446" s="1"/>
      <c r="J446" s="1"/>
      <c r="K446" s="1"/>
      <c r="L446" s="1"/>
      <c r="M446" s="1"/>
      <c r="N446" s="1"/>
    </row>
    <row r="447" ht="14.5" spans="2:14">
      <c r="B447" s="1"/>
      <c r="C447" s="1"/>
      <c r="D447" s="1"/>
      <c r="E447" s="1"/>
      <c r="F447" s="1"/>
      <c r="G447" s="1"/>
      <c r="H447" s="1"/>
      <c r="I447" s="1"/>
      <c r="J447" s="1"/>
      <c r="K447" s="1"/>
      <c r="L447" s="1"/>
      <c r="M447" s="1"/>
      <c r="N447" s="1"/>
    </row>
    <row r="448" ht="14.5" spans="2:14">
      <c r="B448" s="1"/>
      <c r="C448" s="1"/>
      <c r="D448" s="1"/>
      <c r="E448" s="1"/>
      <c r="F448" s="1"/>
      <c r="G448" s="1"/>
      <c r="H448" s="1"/>
      <c r="I448" s="1"/>
      <c r="J448" s="1"/>
      <c r="K448" s="1"/>
      <c r="L448" s="1"/>
      <c r="M448" s="1"/>
      <c r="N448" s="1"/>
    </row>
    <row r="449" ht="14.5" spans="2:14">
      <c r="B449" s="1"/>
      <c r="C449" s="1"/>
      <c r="D449" s="1"/>
      <c r="E449" s="1"/>
      <c r="F449" s="1"/>
      <c r="G449" s="1"/>
      <c r="H449" s="1"/>
      <c r="I449" s="1"/>
      <c r="J449" s="1"/>
      <c r="K449" s="1"/>
      <c r="L449" s="1"/>
      <c r="M449" s="1"/>
      <c r="N449" s="1"/>
    </row>
    <row r="450" ht="14.5" spans="2:14">
      <c r="B450" s="1"/>
      <c r="C450" s="1"/>
      <c r="D450" s="1"/>
      <c r="E450" s="1"/>
      <c r="F450" s="1"/>
      <c r="G450" s="1"/>
      <c r="H450" s="1"/>
      <c r="I450" s="1"/>
      <c r="J450" s="1"/>
      <c r="K450" s="1"/>
      <c r="L450" s="1"/>
      <c r="M450" s="1"/>
      <c r="N450" s="1"/>
    </row>
    <row r="451" ht="14.5" spans="2:14">
      <c r="B451" s="1"/>
      <c r="C451" s="1"/>
      <c r="D451" s="1"/>
      <c r="E451" s="1"/>
      <c r="F451" s="1"/>
      <c r="G451" s="1"/>
      <c r="H451" s="1"/>
      <c r="I451" s="1"/>
      <c r="J451" s="1"/>
      <c r="K451" s="1"/>
      <c r="L451" s="1"/>
      <c r="M451" s="1"/>
      <c r="N451" s="1"/>
    </row>
    <row r="452" ht="14.5" spans="2:14">
      <c r="B452" s="1"/>
      <c r="C452" s="1"/>
      <c r="D452" s="1"/>
      <c r="E452" s="1"/>
      <c r="F452" s="1"/>
      <c r="G452" s="1"/>
      <c r="H452" s="1"/>
      <c r="I452" s="1"/>
      <c r="J452" s="1"/>
      <c r="K452" s="1"/>
      <c r="L452" s="1"/>
      <c r="M452" s="1"/>
      <c r="N452" s="1"/>
    </row>
    <row r="453" ht="14.5" spans="2:14">
      <c r="B453" s="1"/>
      <c r="C453" s="1"/>
      <c r="D453" s="1"/>
      <c r="E453" s="1"/>
      <c r="F453" s="1"/>
      <c r="G453" s="1"/>
      <c r="H453" s="1"/>
      <c r="I453" s="1"/>
      <c r="J453" s="1"/>
      <c r="K453" s="1"/>
      <c r="L453" s="1"/>
      <c r="M453" s="1"/>
      <c r="N453" s="1"/>
    </row>
    <row r="454" ht="14.5" spans="2:14">
      <c r="B454" s="1"/>
      <c r="C454" s="1"/>
      <c r="D454" s="1"/>
      <c r="E454" s="1"/>
      <c r="F454" s="1"/>
      <c r="G454" s="1"/>
      <c r="H454" s="1"/>
      <c r="I454" s="1"/>
      <c r="J454" s="1"/>
      <c r="K454" s="1"/>
      <c r="L454" s="1"/>
      <c r="M454" s="1"/>
      <c r="N454" s="1"/>
    </row>
    <row r="455" ht="14.5" spans="2:14">
      <c r="B455" s="1"/>
      <c r="C455" s="1"/>
      <c r="D455" s="1"/>
      <c r="E455" s="1"/>
      <c r="F455" s="1"/>
      <c r="G455" s="1"/>
      <c r="H455" s="1"/>
      <c r="I455" s="1"/>
      <c r="J455" s="1"/>
      <c r="K455" s="1"/>
      <c r="L455" s="1"/>
      <c r="M455" s="1"/>
      <c r="N455" s="1"/>
    </row>
    <row r="456" ht="14.5" spans="2:14">
      <c r="B456" s="1"/>
      <c r="C456" s="1"/>
      <c r="D456" s="1"/>
      <c r="E456" s="1"/>
      <c r="F456" s="1"/>
      <c r="G456" s="1"/>
      <c r="H456" s="1"/>
      <c r="I456" s="1"/>
      <c r="J456" s="1"/>
      <c r="K456" s="1"/>
      <c r="L456" s="1"/>
      <c r="M456" s="1"/>
      <c r="N456" s="1"/>
    </row>
    <row r="457" ht="14.5" spans="2:14">
      <c r="B457" s="1"/>
      <c r="C457" s="1"/>
      <c r="D457" s="1"/>
      <c r="E457" s="1"/>
      <c r="F457" s="1"/>
      <c r="G457" s="1"/>
      <c r="H457" s="1"/>
      <c r="I457" s="1"/>
      <c r="J457" s="1"/>
      <c r="K457" s="1"/>
      <c r="L457" s="1"/>
      <c r="M457" s="1"/>
      <c r="N457" s="1"/>
    </row>
    <row r="458" ht="14.5" spans="2:14">
      <c r="B458" s="1"/>
      <c r="C458" s="1"/>
      <c r="D458" s="1"/>
      <c r="E458" s="1"/>
      <c r="F458" s="1"/>
      <c r="G458" s="1"/>
      <c r="H458" s="1"/>
      <c r="I458" s="1"/>
      <c r="J458" s="1"/>
      <c r="K458" s="1"/>
      <c r="L458" s="1"/>
      <c r="M458" s="1"/>
      <c r="N458" s="1"/>
    </row>
    <row r="459" ht="14.5" spans="2:14">
      <c r="B459" s="1"/>
      <c r="C459" s="1"/>
      <c r="D459" s="1"/>
      <c r="E459" s="1"/>
      <c r="F459" s="1"/>
      <c r="G459" s="1"/>
      <c r="H459" s="1"/>
      <c r="I459" s="1"/>
      <c r="J459" s="1"/>
      <c r="K459" s="1"/>
      <c r="L459" s="1"/>
      <c r="M459" s="1"/>
      <c r="N459" s="1"/>
    </row>
    <row r="460" ht="14.5" spans="2:14">
      <c r="B460" s="1"/>
      <c r="C460" s="1"/>
      <c r="D460" s="1"/>
      <c r="E460" s="1"/>
      <c r="F460" s="1"/>
      <c r="G460" s="1"/>
      <c r="H460" s="1"/>
      <c r="I460" s="1"/>
      <c r="J460" s="1"/>
      <c r="K460" s="1"/>
      <c r="L460" s="1"/>
      <c r="M460" s="1"/>
      <c r="N460" s="1"/>
    </row>
    <row r="461" ht="14.5" spans="2:14">
      <c r="B461" s="1"/>
      <c r="C461" s="1"/>
      <c r="D461" s="1"/>
      <c r="E461" s="1"/>
      <c r="F461" s="1"/>
      <c r="G461" s="1"/>
      <c r="H461" s="1"/>
      <c r="I461" s="1"/>
      <c r="J461" s="1"/>
      <c r="K461" s="1"/>
      <c r="L461" s="1"/>
      <c r="M461" s="1"/>
      <c r="N461" s="1"/>
    </row>
    <row r="462" ht="14.5" spans="2:14">
      <c r="B462" s="1"/>
      <c r="C462" s="1"/>
      <c r="D462" s="1"/>
      <c r="E462" s="1"/>
      <c r="F462" s="1"/>
      <c r="G462" s="1"/>
      <c r="H462" s="1"/>
      <c r="I462" s="1"/>
      <c r="J462" s="1"/>
      <c r="K462" s="1"/>
      <c r="L462" s="1"/>
      <c r="M462" s="1"/>
      <c r="N462" s="1"/>
    </row>
    <row r="463" ht="14.5" spans="2:14">
      <c r="B463" s="1"/>
      <c r="C463" s="1"/>
      <c r="D463" s="1"/>
      <c r="E463" s="1"/>
      <c r="F463" s="1"/>
      <c r="G463" s="1"/>
      <c r="H463" s="1"/>
      <c r="I463" s="1"/>
      <c r="J463" s="1"/>
      <c r="K463" s="1"/>
      <c r="L463" s="1"/>
      <c r="M463" s="1"/>
      <c r="N463" s="1"/>
    </row>
    <row r="464" ht="14.5" spans="2:14">
      <c r="B464" s="1"/>
      <c r="C464" s="1"/>
      <c r="D464" s="1"/>
      <c r="E464" s="1"/>
      <c r="F464" s="1"/>
      <c r="G464" s="1"/>
      <c r="H464" s="1"/>
      <c r="I464" s="1"/>
      <c r="J464" s="1"/>
      <c r="K464" s="1"/>
      <c r="L464" s="1"/>
      <c r="M464" s="1"/>
      <c r="N464" s="1"/>
    </row>
    <row r="465" ht="14.5" spans="2:14">
      <c r="B465" s="1"/>
      <c r="C465" s="1"/>
      <c r="D465" s="1"/>
      <c r="E465" s="1"/>
      <c r="F465" s="1"/>
      <c r="G465" s="1"/>
      <c r="H465" s="1"/>
      <c r="I465" s="1"/>
      <c r="J465" s="1"/>
      <c r="K465" s="1"/>
      <c r="L465" s="1"/>
      <c r="M465" s="1"/>
      <c r="N465" s="1"/>
    </row>
    <row r="466" ht="14.5" spans="2:14">
      <c r="B466" s="1"/>
      <c r="C466" s="1"/>
      <c r="D466" s="1"/>
      <c r="E466" s="1"/>
      <c r="F466" s="1"/>
      <c r="G466" s="1"/>
      <c r="H466" s="1"/>
      <c r="I466" s="1"/>
      <c r="J466" s="1"/>
      <c r="K466" s="1"/>
      <c r="L466" s="1"/>
      <c r="M466" s="1"/>
      <c r="N466" s="1"/>
    </row>
    <row r="467" ht="14.5" spans="2:14">
      <c r="B467" s="1"/>
      <c r="C467" s="1"/>
      <c r="D467" s="1"/>
      <c r="E467" s="1"/>
      <c r="F467" s="1"/>
      <c r="G467" s="1"/>
      <c r="H467" s="1"/>
      <c r="I467" s="1"/>
      <c r="J467" s="1"/>
      <c r="K467" s="1"/>
      <c r="L467" s="1"/>
      <c r="M467" s="1"/>
      <c r="N467" s="1"/>
    </row>
    <row r="468" ht="14.5" spans="2:14">
      <c r="B468" s="1"/>
      <c r="C468" s="1"/>
      <c r="D468" s="1"/>
      <c r="E468" s="1"/>
      <c r="F468" s="1"/>
      <c r="G468" s="1"/>
      <c r="H468" s="1"/>
      <c r="I468" s="1"/>
      <c r="J468" s="1"/>
      <c r="K468" s="1"/>
      <c r="L468" s="1"/>
      <c r="M468" s="1"/>
      <c r="N468" s="1"/>
    </row>
    <row r="469" ht="14.5" spans="2:14">
      <c r="B469" s="1"/>
      <c r="C469" s="1"/>
      <c r="D469" s="1"/>
      <c r="E469" s="1"/>
      <c r="F469" s="1"/>
      <c r="G469" s="1"/>
      <c r="H469" s="1"/>
      <c r="I469" s="1"/>
      <c r="J469" s="1"/>
      <c r="K469" s="1"/>
      <c r="L469" s="1"/>
      <c r="M469" s="1"/>
      <c r="N469" s="1"/>
    </row>
    <row r="470" ht="14.5" spans="2:14">
      <c r="B470" s="1"/>
      <c r="C470" s="1"/>
      <c r="D470" s="1"/>
      <c r="E470" s="1"/>
      <c r="F470" s="1"/>
      <c r="G470" s="1"/>
      <c r="H470" s="1"/>
      <c r="I470" s="1"/>
      <c r="J470" s="1"/>
      <c r="K470" s="1"/>
      <c r="L470" s="1"/>
      <c r="M470" s="1"/>
      <c r="N470" s="1"/>
    </row>
    <row r="471" ht="14.5" spans="2:14">
      <c r="B471" s="1"/>
      <c r="C471" s="1"/>
      <c r="D471" s="1"/>
      <c r="E471" s="1"/>
      <c r="F471" s="1"/>
      <c r="G471" s="1"/>
      <c r="H471" s="1"/>
      <c r="I471" s="1"/>
      <c r="J471" s="1"/>
      <c r="K471" s="1"/>
      <c r="L471" s="1"/>
      <c r="M471" s="1"/>
      <c r="N471" s="1"/>
    </row>
    <row r="472" ht="14.5" spans="2:14">
      <c r="B472" s="1"/>
      <c r="C472" s="1"/>
      <c r="D472" s="1"/>
      <c r="E472" s="1"/>
      <c r="F472" s="1"/>
      <c r="G472" s="1"/>
      <c r="H472" s="1"/>
      <c r="I472" s="1"/>
      <c r="J472" s="1"/>
      <c r="K472" s="1"/>
      <c r="L472" s="1"/>
      <c r="M472" s="1"/>
      <c r="N472" s="1"/>
    </row>
    <row r="473" ht="14.5" spans="2:14">
      <c r="B473" s="1"/>
      <c r="C473" s="1"/>
      <c r="D473" s="1"/>
      <c r="E473" s="1"/>
      <c r="F473" s="1"/>
      <c r="G473" s="1"/>
      <c r="H473" s="1"/>
      <c r="I473" s="1"/>
      <c r="J473" s="1"/>
      <c r="K473" s="1"/>
      <c r="L473" s="1"/>
      <c r="M473" s="1"/>
      <c r="N473" s="1"/>
    </row>
    <row r="474" ht="14.5" spans="2:14">
      <c r="B474" s="1"/>
      <c r="C474" s="1"/>
      <c r="D474" s="1"/>
      <c r="E474" s="1"/>
      <c r="F474" s="1"/>
      <c r="G474" s="1"/>
      <c r="H474" s="1"/>
      <c r="I474" s="1"/>
      <c r="J474" s="1"/>
      <c r="K474" s="1"/>
      <c r="L474" s="1"/>
      <c r="M474" s="1"/>
      <c r="N474" s="1"/>
    </row>
    <row r="475" ht="14.5" spans="2:14">
      <c r="B475" s="1"/>
      <c r="C475" s="1"/>
      <c r="D475" s="1"/>
      <c r="E475" s="1"/>
      <c r="F475" s="1"/>
      <c r="G475" s="1"/>
      <c r="H475" s="1"/>
      <c r="I475" s="1"/>
      <c r="J475" s="1"/>
      <c r="K475" s="1"/>
      <c r="L475" s="1"/>
      <c r="M475" s="1"/>
      <c r="N475" s="1"/>
    </row>
    <row r="476" ht="14.5" spans="2:14">
      <c r="B476" s="1"/>
      <c r="C476" s="1"/>
      <c r="D476" s="1"/>
      <c r="E476" s="1"/>
      <c r="F476" s="1"/>
      <c r="G476" s="1"/>
      <c r="H476" s="1"/>
      <c r="I476" s="1"/>
      <c r="J476" s="1"/>
      <c r="K476" s="1"/>
      <c r="L476" s="1"/>
      <c r="M476" s="1"/>
      <c r="N476" s="1"/>
    </row>
    <row r="477" ht="14.5" spans="2:14">
      <c r="B477" s="1"/>
      <c r="C477" s="1"/>
      <c r="D477" s="1"/>
      <c r="E477" s="1"/>
      <c r="F477" s="1"/>
      <c r="G477" s="1"/>
      <c r="H477" s="1"/>
      <c r="I477" s="1"/>
      <c r="J477" s="1"/>
      <c r="K477" s="1"/>
      <c r="L477" s="1"/>
      <c r="M477" s="1"/>
      <c r="N477" s="1"/>
    </row>
    <row r="478" ht="14.5" spans="2:14">
      <c r="B478" s="1"/>
      <c r="C478" s="1"/>
      <c r="D478" s="1"/>
      <c r="E478" s="1"/>
      <c r="F478" s="1"/>
      <c r="G478" s="1"/>
      <c r="H478" s="1"/>
      <c r="I478" s="1"/>
      <c r="J478" s="1"/>
      <c r="K478" s="1"/>
      <c r="L478" s="1"/>
      <c r="M478" s="1"/>
      <c r="N478" s="1"/>
    </row>
    <row r="479" ht="14.5" spans="2:14">
      <c r="B479" s="1"/>
      <c r="C479" s="1"/>
      <c r="D479" s="1"/>
      <c r="E479" s="1"/>
      <c r="F479" s="1"/>
      <c r="G479" s="1"/>
      <c r="H479" s="1"/>
      <c r="I479" s="1"/>
      <c r="J479" s="1"/>
      <c r="K479" s="1"/>
      <c r="L479" s="1"/>
      <c r="M479" s="1"/>
      <c r="N479" s="1"/>
    </row>
    <row r="480" ht="14.5" spans="2:14">
      <c r="B480" s="1"/>
      <c r="C480" s="1"/>
      <c r="D480" s="1"/>
      <c r="E480" s="1"/>
      <c r="F480" s="1"/>
      <c r="G480" s="1"/>
      <c r="H480" s="1"/>
      <c r="I480" s="1"/>
      <c r="J480" s="1"/>
      <c r="K480" s="1"/>
      <c r="L480" s="1"/>
      <c r="M480" s="1"/>
      <c r="N480" s="1"/>
    </row>
    <row r="481" ht="14.5" spans="2:14">
      <c r="B481" s="1"/>
      <c r="C481" s="1"/>
      <c r="D481" s="1"/>
      <c r="E481" s="1"/>
      <c r="F481" s="1"/>
      <c r="G481" s="1"/>
      <c r="H481" s="1"/>
      <c r="I481" s="1"/>
      <c r="J481" s="1"/>
      <c r="K481" s="1"/>
      <c r="L481" s="1"/>
      <c r="M481" s="1"/>
      <c r="N481" s="1"/>
    </row>
    <row r="482" ht="14.5" spans="2:14">
      <c r="B482" s="1"/>
      <c r="C482" s="1"/>
      <c r="D482" s="1"/>
      <c r="E482" s="1"/>
      <c r="F482" s="1"/>
      <c r="G482" s="1"/>
      <c r="H482" s="1"/>
      <c r="I482" s="1"/>
      <c r="J482" s="1"/>
      <c r="K482" s="1"/>
      <c r="L482" s="1"/>
      <c r="M482" s="1"/>
      <c r="N482" s="1"/>
    </row>
    <row r="483" ht="14.5" spans="2:14">
      <c r="B483" s="1"/>
      <c r="C483" s="1"/>
      <c r="D483" s="1"/>
      <c r="E483" s="1"/>
      <c r="F483" s="1"/>
      <c r="G483" s="1"/>
      <c r="H483" s="1"/>
      <c r="I483" s="1"/>
      <c r="J483" s="1"/>
      <c r="K483" s="1"/>
      <c r="L483" s="1"/>
      <c r="M483" s="1"/>
      <c r="N483" s="1"/>
    </row>
    <row r="484" ht="14.5" spans="2:14">
      <c r="B484" s="1"/>
      <c r="C484" s="1"/>
      <c r="D484" s="1"/>
      <c r="E484" s="1"/>
      <c r="F484" s="1"/>
      <c r="G484" s="1"/>
      <c r="H484" s="1"/>
      <c r="I484" s="1"/>
      <c r="J484" s="1"/>
      <c r="K484" s="1"/>
      <c r="L484" s="1"/>
      <c r="M484" s="1"/>
      <c r="N484" s="1"/>
    </row>
    <row r="485" ht="14.5" spans="2:14">
      <c r="B485" s="1"/>
      <c r="C485" s="1"/>
      <c r="D485" s="1"/>
      <c r="E485" s="1"/>
      <c r="F485" s="1"/>
      <c r="G485" s="1"/>
      <c r="H485" s="1"/>
      <c r="I485" s="1"/>
      <c r="J485" s="1"/>
      <c r="K485" s="1"/>
      <c r="L485" s="1"/>
      <c r="M485" s="1"/>
      <c r="N485" s="1"/>
    </row>
    <row r="486" ht="14.5" spans="2:14">
      <c r="B486" s="1"/>
      <c r="C486" s="1"/>
      <c r="D486" s="1"/>
      <c r="E486" s="1"/>
      <c r="F486" s="1"/>
      <c r="G486" s="1"/>
      <c r="H486" s="1"/>
      <c r="I486" s="1"/>
      <c r="J486" s="1"/>
      <c r="K486" s="1"/>
      <c r="L486" s="1"/>
      <c r="M486" s="1"/>
      <c r="N486" s="1"/>
    </row>
    <row r="487" ht="14.5" spans="2:14">
      <c r="B487" s="1"/>
      <c r="C487" s="1"/>
      <c r="D487" s="1"/>
      <c r="E487" s="1"/>
      <c r="F487" s="1"/>
      <c r="G487" s="1"/>
      <c r="H487" s="1"/>
      <c r="I487" s="1"/>
      <c r="J487" s="1"/>
      <c r="K487" s="1"/>
      <c r="L487" s="1"/>
      <c r="M487" s="1"/>
      <c r="N487" s="1"/>
    </row>
    <row r="488" ht="14.5" spans="2:14">
      <c r="B488" s="1"/>
      <c r="C488" s="1"/>
      <c r="D488" s="1"/>
      <c r="E488" s="1"/>
      <c r="F488" s="1"/>
      <c r="G488" s="1"/>
      <c r="H488" s="1"/>
      <c r="I488" s="1"/>
      <c r="J488" s="1"/>
      <c r="K488" s="1"/>
      <c r="L488" s="1"/>
      <c r="M488" s="1"/>
      <c r="N488" s="1"/>
    </row>
    <row r="489" ht="14.5" spans="2:14">
      <c r="B489" s="1"/>
      <c r="C489" s="1"/>
      <c r="D489" s="1"/>
      <c r="E489" s="1"/>
      <c r="F489" s="1"/>
      <c r="G489" s="1"/>
      <c r="H489" s="1"/>
      <c r="I489" s="1"/>
      <c r="J489" s="1"/>
      <c r="K489" s="1"/>
      <c r="L489" s="1"/>
      <c r="M489" s="1"/>
      <c r="N489" s="1"/>
    </row>
    <row r="490" ht="14.5" spans="2:14">
      <c r="B490" s="1"/>
      <c r="C490" s="1"/>
      <c r="D490" s="1"/>
      <c r="E490" s="1"/>
      <c r="F490" s="1"/>
      <c r="G490" s="1"/>
      <c r="H490" s="1"/>
      <c r="I490" s="1"/>
      <c r="J490" s="1"/>
      <c r="K490" s="1"/>
      <c r="L490" s="1"/>
      <c r="M490" s="1"/>
      <c r="N490" s="1"/>
    </row>
    <row r="491" ht="14.5" spans="2:14">
      <c r="B491" s="1"/>
      <c r="C491" s="1"/>
      <c r="D491" s="1"/>
      <c r="E491" s="1"/>
      <c r="F491" s="1"/>
      <c r="G491" s="1"/>
      <c r="H491" s="1"/>
      <c r="I491" s="1"/>
      <c r="J491" s="1"/>
      <c r="K491" s="1"/>
      <c r="L491" s="1"/>
      <c r="M491" s="1"/>
      <c r="N491" s="1"/>
    </row>
    <row r="492" ht="14.5" spans="2:14">
      <c r="B492" s="1"/>
      <c r="C492" s="1"/>
      <c r="D492" s="1"/>
      <c r="E492" s="1"/>
      <c r="F492" s="1"/>
      <c r="G492" s="1"/>
      <c r="H492" s="1"/>
      <c r="I492" s="1"/>
      <c r="J492" s="1"/>
      <c r="K492" s="1"/>
      <c r="L492" s="1"/>
      <c r="M492" s="1"/>
      <c r="N492" s="1"/>
    </row>
    <row r="493" ht="14.5" spans="2:14">
      <c r="B493" s="1"/>
      <c r="C493" s="1"/>
      <c r="D493" s="1"/>
      <c r="E493" s="1"/>
      <c r="F493" s="1"/>
      <c r="G493" s="1"/>
      <c r="H493" s="1"/>
      <c r="I493" s="1"/>
      <c r="J493" s="1"/>
      <c r="K493" s="1"/>
      <c r="L493" s="1"/>
      <c r="M493" s="1"/>
      <c r="N493" s="1"/>
    </row>
    <row r="494" ht="14.5" spans="2:14">
      <c r="B494" s="1"/>
      <c r="C494" s="1"/>
      <c r="D494" s="1"/>
      <c r="E494" s="1"/>
      <c r="F494" s="1"/>
      <c r="G494" s="1"/>
      <c r="H494" s="1"/>
      <c r="I494" s="1"/>
      <c r="J494" s="1"/>
      <c r="K494" s="1"/>
      <c r="L494" s="1"/>
      <c r="M494" s="1"/>
      <c r="N494" s="1"/>
    </row>
    <row r="495" ht="14.5" spans="2:14">
      <c r="B495" s="1"/>
      <c r="C495" s="1"/>
      <c r="D495" s="1"/>
      <c r="E495" s="1"/>
      <c r="F495" s="1"/>
      <c r="G495" s="1"/>
      <c r="H495" s="1"/>
      <c r="I495" s="1"/>
      <c r="J495" s="1"/>
      <c r="K495" s="1"/>
      <c r="L495" s="1"/>
      <c r="M495" s="1"/>
      <c r="N495" s="1"/>
    </row>
    <row r="496" ht="14.5" spans="2:14">
      <c r="B496" s="1"/>
      <c r="C496" s="1"/>
      <c r="D496" s="1"/>
      <c r="E496" s="1"/>
      <c r="F496" s="1"/>
      <c r="G496" s="1"/>
      <c r="H496" s="1"/>
      <c r="I496" s="1"/>
      <c r="J496" s="1"/>
      <c r="K496" s="1"/>
      <c r="L496" s="1"/>
      <c r="M496" s="1"/>
      <c r="N496" s="1"/>
    </row>
    <row r="497" ht="14.5" spans="2:14">
      <c r="B497" s="1"/>
      <c r="C497" s="1"/>
      <c r="D497" s="1"/>
      <c r="E497" s="1"/>
      <c r="F497" s="1"/>
      <c r="G497" s="1"/>
      <c r="H497" s="1"/>
      <c r="I497" s="1"/>
      <c r="J497" s="1"/>
      <c r="K497" s="1"/>
      <c r="L497" s="1"/>
      <c r="M497" s="1"/>
      <c r="N497" s="1"/>
    </row>
    <row r="498" ht="14.5" spans="2:14">
      <c r="B498" s="1"/>
      <c r="C498" s="1"/>
      <c r="D498" s="1"/>
      <c r="E498" s="1"/>
      <c r="F498" s="1"/>
      <c r="G498" s="1"/>
      <c r="H498" s="1"/>
      <c r="I498" s="1"/>
      <c r="J498" s="1"/>
      <c r="K498" s="1"/>
      <c r="L498" s="1"/>
      <c r="M498" s="1"/>
      <c r="N498" s="1"/>
    </row>
    <row r="499" ht="14.5" spans="2:14">
      <c r="B499" s="1"/>
      <c r="C499" s="1"/>
      <c r="D499" s="1"/>
      <c r="E499" s="1"/>
      <c r="F499" s="1"/>
      <c r="G499" s="1"/>
      <c r="H499" s="1"/>
      <c r="I499" s="1"/>
      <c r="J499" s="1"/>
      <c r="K499" s="1"/>
      <c r="L499" s="1"/>
      <c r="M499" s="1"/>
      <c r="N499" s="1"/>
    </row>
    <row r="500" ht="14.5" spans="2:14">
      <c r="B500" s="1"/>
      <c r="C500" s="1"/>
      <c r="D500" s="1"/>
      <c r="E500" s="1"/>
      <c r="F500" s="1"/>
      <c r="G500" s="1"/>
      <c r="H500" s="1"/>
      <c r="I500" s="1"/>
      <c r="J500" s="1"/>
      <c r="K500" s="1"/>
      <c r="L500" s="1"/>
      <c r="M500" s="1"/>
      <c r="N500" s="1"/>
    </row>
    <row r="501" ht="14.5" spans="2:14">
      <c r="B501" s="1"/>
      <c r="C501" s="1"/>
      <c r="D501" s="1"/>
      <c r="E501" s="1"/>
      <c r="F501" s="1"/>
      <c r="G501" s="1"/>
      <c r="H501" s="1"/>
      <c r="I501" s="1"/>
      <c r="J501" s="1"/>
      <c r="K501" s="1"/>
      <c r="L501" s="1"/>
      <c r="M501" s="1"/>
      <c r="N501" s="1"/>
    </row>
    <row r="502" ht="14.5" spans="2:14">
      <c r="B502" s="1"/>
      <c r="C502" s="1"/>
      <c r="D502" s="1"/>
      <c r="E502" s="1"/>
      <c r="F502" s="1"/>
      <c r="G502" s="1"/>
      <c r="H502" s="1"/>
      <c r="I502" s="1"/>
      <c r="J502" s="1"/>
      <c r="K502" s="1"/>
      <c r="L502" s="1"/>
      <c r="M502" s="1"/>
      <c r="N502" s="1"/>
    </row>
    <row r="503" ht="14.5" spans="2:14">
      <c r="B503" s="1"/>
      <c r="C503" s="1"/>
      <c r="D503" s="1"/>
      <c r="E503" s="1"/>
      <c r="F503" s="1"/>
      <c r="G503" s="1"/>
      <c r="H503" s="1"/>
      <c r="I503" s="1"/>
      <c r="J503" s="1"/>
      <c r="K503" s="1"/>
      <c r="L503" s="1"/>
      <c r="M503" s="1"/>
      <c r="N503" s="1"/>
    </row>
    <row r="504" ht="14.5" spans="2:14">
      <c r="B504" s="1"/>
      <c r="C504" s="1"/>
      <c r="D504" s="1"/>
      <c r="E504" s="1"/>
      <c r="F504" s="1"/>
      <c r="G504" s="1"/>
      <c r="H504" s="1"/>
      <c r="I504" s="1"/>
      <c r="J504" s="1"/>
      <c r="K504" s="1"/>
      <c r="L504" s="1"/>
      <c r="M504" s="1"/>
      <c r="N504" s="1"/>
    </row>
    <row r="505" ht="14.5" spans="2:14">
      <c r="B505" s="1"/>
      <c r="C505" s="1"/>
      <c r="D505" s="1"/>
      <c r="E505" s="1"/>
      <c r="F505" s="1"/>
      <c r="G505" s="1"/>
      <c r="H505" s="1"/>
      <c r="I505" s="1"/>
      <c r="J505" s="1"/>
      <c r="K505" s="1"/>
      <c r="L505" s="1"/>
      <c r="M505" s="1"/>
      <c r="N505" s="1"/>
    </row>
    <row r="506" ht="14.5" spans="2:14">
      <c r="B506" s="1"/>
      <c r="C506" s="1"/>
      <c r="D506" s="1"/>
      <c r="E506" s="1"/>
      <c r="F506" s="1"/>
      <c r="G506" s="1"/>
      <c r="H506" s="1"/>
      <c r="I506" s="1"/>
      <c r="J506" s="1"/>
      <c r="K506" s="1"/>
      <c r="L506" s="1"/>
      <c r="M506" s="1"/>
      <c r="N506" s="1"/>
    </row>
    <row r="507" ht="14.5" spans="2:14">
      <c r="B507" s="1"/>
      <c r="C507" s="1"/>
      <c r="D507" s="1"/>
      <c r="E507" s="1"/>
      <c r="F507" s="1"/>
      <c r="G507" s="1"/>
      <c r="H507" s="1"/>
      <c r="I507" s="1"/>
      <c r="J507" s="1"/>
      <c r="K507" s="1"/>
      <c r="L507" s="1"/>
      <c r="M507" s="1"/>
      <c r="N507" s="1"/>
    </row>
    <row r="508" ht="14.5" spans="2:14">
      <c r="B508" s="1"/>
      <c r="C508" s="1"/>
      <c r="D508" s="1"/>
      <c r="E508" s="1"/>
      <c r="F508" s="1"/>
      <c r="G508" s="1"/>
      <c r="H508" s="1"/>
      <c r="I508" s="1"/>
      <c r="J508" s="1"/>
      <c r="K508" s="1"/>
      <c r="L508" s="1"/>
      <c r="M508" s="1"/>
      <c r="N508" s="1"/>
    </row>
    <row r="509" ht="14.5" spans="2:14">
      <c r="B509" s="1"/>
      <c r="C509" s="1"/>
      <c r="D509" s="1"/>
      <c r="E509" s="1"/>
      <c r="F509" s="1"/>
      <c r="G509" s="1"/>
      <c r="H509" s="1"/>
      <c r="I509" s="1"/>
      <c r="J509" s="1"/>
      <c r="K509" s="1"/>
      <c r="L509" s="1"/>
      <c r="M509" s="1"/>
      <c r="N509" s="1"/>
    </row>
    <row r="510" ht="14.5" spans="2:14">
      <c r="B510" s="1"/>
      <c r="C510" s="1"/>
      <c r="D510" s="1"/>
      <c r="E510" s="1"/>
      <c r="F510" s="1"/>
      <c r="G510" s="1"/>
      <c r="H510" s="1"/>
      <c r="I510" s="1"/>
      <c r="J510" s="1"/>
      <c r="K510" s="1"/>
      <c r="L510" s="1"/>
      <c r="M510" s="1"/>
      <c r="N510" s="1"/>
    </row>
    <row r="511" ht="14.5" spans="2:14">
      <c r="B511" s="1"/>
      <c r="C511" s="1"/>
      <c r="D511" s="1"/>
      <c r="E511" s="1"/>
      <c r="F511" s="1"/>
      <c r="G511" s="1"/>
      <c r="H511" s="1"/>
      <c r="I511" s="1"/>
      <c r="J511" s="1"/>
      <c r="K511" s="1"/>
      <c r="L511" s="1"/>
      <c r="M511" s="1"/>
      <c r="N511" s="1"/>
    </row>
    <row r="512" ht="14.5" spans="2:14">
      <c r="B512" s="1"/>
      <c r="C512" s="1"/>
      <c r="D512" s="1"/>
      <c r="E512" s="1"/>
      <c r="F512" s="1"/>
      <c r="G512" s="1"/>
      <c r="H512" s="1"/>
      <c r="I512" s="1"/>
      <c r="J512" s="1"/>
      <c r="K512" s="1"/>
      <c r="L512" s="1"/>
      <c r="M512" s="1"/>
      <c r="N512" s="1"/>
    </row>
    <row r="513" ht="14.5" spans="2:14">
      <c r="B513" s="1"/>
      <c r="C513" s="1"/>
      <c r="D513" s="1"/>
      <c r="E513" s="1"/>
      <c r="F513" s="1"/>
      <c r="G513" s="1"/>
      <c r="H513" s="1"/>
      <c r="I513" s="1"/>
      <c r="J513" s="1"/>
      <c r="K513" s="1"/>
      <c r="L513" s="1"/>
      <c r="M513" s="1"/>
      <c r="N513" s="1"/>
    </row>
    <row r="514" ht="14.5" spans="2:14">
      <c r="B514" s="1"/>
      <c r="C514" s="1"/>
      <c r="D514" s="1"/>
      <c r="E514" s="1"/>
      <c r="F514" s="1"/>
      <c r="G514" s="1"/>
      <c r="H514" s="1"/>
      <c r="I514" s="1"/>
      <c r="J514" s="1"/>
      <c r="K514" s="1"/>
      <c r="L514" s="1"/>
      <c r="M514" s="1"/>
      <c r="N514" s="1"/>
    </row>
    <row r="515" ht="14.5" spans="2:14">
      <c r="B515" s="1"/>
      <c r="C515" s="1"/>
      <c r="D515" s="1"/>
      <c r="E515" s="1"/>
      <c r="F515" s="1"/>
      <c r="G515" s="1"/>
      <c r="H515" s="1"/>
      <c r="I515" s="1"/>
      <c r="J515" s="1"/>
      <c r="K515" s="1"/>
      <c r="L515" s="1"/>
      <c r="M515" s="1"/>
      <c r="N515" s="1"/>
    </row>
    <row r="516" ht="14.5" spans="2:14">
      <c r="B516" s="1"/>
      <c r="C516" s="1"/>
      <c r="D516" s="1"/>
      <c r="E516" s="1"/>
      <c r="F516" s="1"/>
      <c r="G516" s="1"/>
      <c r="H516" s="1"/>
      <c r="I516" s="1"/>
      <c r="J516" s="1"/>
      <c r="K516" s="1"/>
      <c r="L516" s="1"/>
      <c r="M516" s="1"/>
      <c r="N516" s="1"/>
    </row>
    <row r="517" ht="14.5" spans="2:14">
      <c r="B517" s="1"/>
      <c r="C517" s="1"/>
      <c r="D517" s="1"/>
      <c r="E517" s="1"/>
      <c r="F517" s="1"/>
      <c r="G517" s="1"/>
      <c r="H517" s="1"/>
      <c r="I517" s="1"/>
      <c r="J517" s="1"/>
      <c r="K517" s="1"/>
      <c r="L517" s="1"/>
      <c r="M517" s="1"/>
      <c r="N517" s="1"/>
    </row>
    <row r="518" ht="14.5" spans="2:14">
      <c r="B518" s="1"/>
      <c r="C518" s="1"/>
      <c r="D518" s="1"/>
      <c r="E518" s="1"/>
      <c r="F518" s="1"/>
      <c r="G518" s="1"/>
      <c r="H518" s="1"/>
      <c r="I518" s="1"/>
      <c r="J518" s="1"/>
      <c r="K518" s="1"/>
      <c r="L518" s="1"/>
      <c r="M518" s="1"/>
      <c r="N518" s="1"/>
    </row>
    <row r="519" ht="14.5" spans="2:14">
      <c r="B519" s="1"/>
      <c r="C519" s="1"/>
      <c r="D519" s="1"/>
      <c r="E519" s="1"/>
      <c r="F519" s="1"/>
      <c r="G519" s="1"/>
      <c r="H519" s="1"/>
      <c r="I519" s="1"/>
      <c r="J519" s="1"/>
      <c r="K519" s="1"/>
      <c r="L519" s="1"/>
      <c r="M519" s="1"/>
      <c r="N519" s="1"/>
    </row>
    <row r="520" ht="14.5" spans="2:14">
      <c r="B520" s="1"/>
      <c r="C520" s="1"/>
      <c r="D520" s="1"/>
      <c r="E520" s="1"/>
      <c r="F520" s="1"/>
      <c r="G520" s="1"/>
      <c r="H520" s="1"/>
      <c r="I520" s="1"/>
      <c r="J520" s="1"/>
      <c r="K520" s="1"/>
      <c r="L520" s="1"/>
      <c r="M520" s="1"/>
      <c r="N520" s="1"/>
    </row>
    <row r="521" ht="14.5" spans="2:14">
      <c r="B521" s="1"/>
      <c r="C521" s="1"/>
      <c r="D521" s="1"/>
      <c r="E521" s="1"/>
      <c r="F521" s="1"/>
      <c r="G521" s="1"/>
      <c r="H521" s="1"/>
      <c r="I521" s="1"/>
      <c r="J521" s="1"/>
      <c r="K521" s="1"/>
      <c r="L521" s="1"/>
      <c r="M521" s="1"/>
      <c r="N521" s="1"/>
    </row>
    <row r="522" ht="14.5" spans="2:14">
      <c r="B522" s="1"/>
      <c r="C522" s="1"/>
      <c r="D522" s="1"/>
      <c r="E522" s="1"/>
      <c r="F522" s="1"/>
      <c r="G522" s="1"/>
      <c r="H522" s="1"/>
      <c r="I522" s="1"/>
      <c r="J522" s="1"/>
      <c r="K522" s="1"/>
      <c r="L522" s="1"/>
      <c r="M522" s="1"/>
      <c r="N522" s="1"/>
    </row>
    <row r="523" ht="14.5" spans="2:14">
      <c r="B523" s="1"/>
      <c r="C523" s="1"/>
      <c r="D523" s="1"/>
      <c r="E523" s="1"/>
      <c r="F523" s="1"/>
      <c r="G523" s="1"/>
      <c r="H523" s="1"/>
      <c r="I523" s="1"/>
      <c r="J523" s="1"/>
      <c r="K523" s="1"/>
      <c r="L523" s="1"/>
      <c r="M523" s="1"/>
      <c r="N523" s="1"/>
    </row>
    <row r="524" ht="14.5" spans="2:14">
      <c r="B524" s="1"/>
      <c r="C524" s="1"/>
      <c r="D524" s="1"/>
      <c r="E524" s="1"/>
      <c r="F524" s="1"/>
      <c r="G524" s="1"/>
      <c r="H524" s="1"/>
      <c r="I524" s="1"/>
      <c r="J524" s="1"/>
      <c r="K524" s="1"/>
      <c r="L524" s="1"/>
      <c r="M524" s="1"/>
      <c r="N524" s="1"/>
    </row>
    <row r="525" ht="14.5" spans="2:14">
      <c r="B525" s="1"/>
      <c r="C525" s="1"/>
      <c r="D525" s="1"/>
      <c r="E525" s="1"/>
      <c r="F525" s="1"/>
      <c r="G525" s="1"/>
      <c r="H525" s="1"/>
      <c r="I525" s="1"/>
      <c r="J525" s="1"/>
      <c r="K525" s="1"/>
      <c r="L525" s="1"/>
      <c r="M525" s="1"/>
      <c r="N525" s="1"/>
    </row>
    <row r="526" ht="14.5" spans="2:14">
      <c r="B526" s="1"/>
      <c r="C526" s="1"/>
      <c r="D526" s="1"/>
      <c r="E526" s="1"/>
      <c r="F526" s="1"/>
      <c r="G526" s="1"/>
      <c r="H526" s="1"/>
      <c r="I526" s="1"/>
      <c r="J526" s="1"/>
      <c r="K526" s="1"/>
      <c r="L526" s="1"/>
      <c r="M526" s="1"/>
      <c r="N526" s="1"/>
    </row>
    <row r="527" ht="14.5" spans="2:14">
      <c r="B527" s="1"/>
      <c r="C527" s="1"/>
      <c r="D527" s="1"/>
      <c r="E527" s="1"/>
      <c r="F527" s="1"/>
      <c r="G527" s="1"/>
      <c r="H527" s="1"/>
      <c r="I527" s="1"/>
      <c r="J527" s="1"/>
      <c r="K527" s="1"/>
      <c r="L527" s="1"/>
      <c r="M527" s="1"/>
      <c r="N527" s="1"/>
    </row>
    <row r="528" ht="14.5" spans="2:14">
      <c r="B528" s="1"/>
      <c r="C528" s="1"/>
      <c r="D528" s="1"/>
      <c r="E528" s="1"/>
      <c r="F528" s="1"/>
      <c r="G528" s="1"/>
      <c r="H528" s="1"/>
      <c r="I528" s="1"/>
      <c r="J528" s="1"/>
      <c r="K528" s="1"/>
      <c r="L528" s="1"/>
      <c r="M528" s="1"/>
      <c r="N528" s="1"/>
    </row>
    <row r="529" ht="14.5" spans="2:14">
      <c r="B529" s="1"/>
      <c r="C529" s="1"/>
      <c r="D529" s="1"/>
      <c r="E529" s="1"/>
      <c r="F529" s="1"/>
      <c r="G529" s="1"/>
      <c r="H529" s="1"/>
      <c r="I529" s="1"/>
      <c r="J529" s="1"/>
      <c r="K529" s="1"/>
      <c r="L529" s="1"/>
      <c r="M529" s="1"/>
      <c r="N529" s="1"/>
    </row>
    <row r="530" ht="14.5" spans="2:14">
      <c r="B530" s="1"/>
      <c r="C530" s="1"/>
      <c r="D530" s="1"/>
      <c r="E530" s="1"/>
      <c r="F530" s="1"/>
      <c r="G530" s="1"/>
      <c r="H530" s="1"/>
      <c r="I530" s="1"/>
      <c r="J530" s="1"/>
      <c r="K530" s="1"/>
      <c r="L530" s="1"/>
      <c r="M530" s="1"/>
      <c r="N530" s="1"/>
    </row>
    <row r="531" ht="14.5" spans="2:14">
      <c r="B531" s="1"/>
      <c r="C531" s="1"/>
      <c r="D531" s="1"/>
      <c r="E531" s="1"/>
      <c r="F531" s="1"/>
      <c r="G531" s="1"/>
      <c r="H531" s="1"/>
      <c r="I531" s="1"/>
      <c r="J531" s="1"/>
      <c r="K531" s="1"/>
      <c r="L531" s="1"/>
      <c r="M531" s="1"/>
      <c r="N531" s="1"/>
    </row>
    <row r="532" ht="14.5" spans="2:14">
      <c r="B532" s="1"/>
      <c r="C532" s="1"/>
      <c r="D532" s="1"/>
      <c r="E532" s="1"/>
      <c r="F532" s="1"/>
      <c r="G532" s="1"/>
      <c r="H532" s="1"/>
      <c r="I532" s="1"/>
      <c r="J532" s="1"/>
      <c r="K532" s="1"/>
      <c r="L532" s="1"/>
      <c r="M532" s="1"/>
      <c r="N532" s="1"/>
    </row>
    <row r="533" ht="14.5" spans="2:14">
      <c r="B533" s="1"/>
      <c r="C533" s="1"/>
      <c r="D533" s="1"/>
      <c r="E533" s="1"/>
      <c r="F533" s="1"/>
      <c r="G533" s="1"/>
      <c r="H533" s="1"/>
      <c r="I533" s="1"/>
      <c r="J533" s="1"/>
      <c r="K533" s="1"/>
      <c r="L533" s="1"/>
      <c r="M533" s="1"/>
      <c r="N533" s="1"/>
    </row>
    <row r="534" ht="14.5" spans="2:14">
      <c r="B534" s="1"/>
      <c r="C534" s="1"/>
      <c r="D534" s="1"/>
      <c r="E534" s="1"/>
      <c r="F534" s="1"/>
      <c r="G534" s="1"/>
      <c r="H534" s="1"/>
      <c r="I534" s="1"/>
      <c r="J534" s="1"/>
      <c r="K534" s="1"/>
      <c r="L534" s="1"/>
      <c r="M534" s="1"/>
      <c r="N534" s="1"/>
    </row>
    <row r="535" ht="14.5" spans="2:14">
      <c r="B535" s="1"/>
      <c r="C535" s="1"/>
      <c r="D535" s="1"/>
      <c r="E535" s="1"/>
      <c r="F535" s="1"/>
      <c r="G535" s="1"/>
      <c r="H535" s="1"/>
      <c r="I535" s="1"/>
      <c r="J535" s="1"/>
      <c r="K535" s="1"/>
      <c r="L535" s="1"/>
      <c r="M535" s="1"/>
      <c r="N535" s="1"/>
    </row>
    <row r="536" ht="14.5" spans="2:14">
      <c r="B536" s="1"/>
      <c r="C536" s="1"/>
      <c r="D536" s="1"/>
      <c r="E536" s="1"/>
      <c r="F536" s="1"/>
      <c r="G536" s="1"/>
      <c r="H536" s="1"/>
      <c r="I536" s="1"/>
      <c r="J536" s="1"/>
      <c r="K536" s="1"/>
      <c r="L536" s="1"/>
      <c r="M536" s="1"/>
      <c r="N536" s="1"/>
    </row>
    <row r="537" ht="14.5" spans="2:14">
      <c r="B537" s="1"/>
      <c r="C537" s="1"/>
      <c r="D537" s="1"/>
      <c r="E537" s="1"/>
      <c r="F537" s="1"/>
      <c r="G537" s="1"/>
      <c r="H537" s="1"/>
      <c r="I537" s="1"/>
      <c r="J537" s="1"/>
      <c r="K537" s="1"/>
      <c r="L537" s="1"/>
      <c r="M537" s="1"/>
      <c r="N537" s="1"/>
    </row>
    <row r="538" ht="14.5" spans="2:14">
      <c r="B538" s="1"/>
      <c r="C538" s="1"/>
      <c r="D538" s="1"/>
      <c r="E538" s="1"/>
      <c r="F538" s="1"/>
      <c r="G538" s="1"/>
      <c r="H538" s="1"/>
      <c r="I538" s="1"/>
      <c r="J538" s="1"/>
      <c r="K538" s="1"/>
      <c r="L538" s="1"/>
      <c r="M538" s="1"/>
      <c r="N538" s="1"/>
    </row>
    <row r="539" ht="14.5" spans="2:14">
      <c r="B539" s="1"/>
      <c r="C539" s="1"/>
      <c r="D539" s="1"/>
      <c r="E539" s="1"/>
      <c r="F539" s="1"/>
      <c r="G539" s="1"/>
      <c r="H539" s="1"/>
      <c r="I539" s="1"/>
      <c r="J539" s="1"/>
      <c r="K539" s="1"/>
      <c r="L539" s="1"/>
      <c r="M539" s="1"/>
      <c r="N539" s="1"/>
    </row>
    <row r="540" ht="14.5" spans="2:14">
      <c r="B540" s="1"/>
      <c r="C540" s="1"/>
      <c r="D540" s="1"/>
      <c r="E540" s="1"/>
      <c r="F540" s="1"/>
      <c r="G540" s="1"/>
      <c r="H540" s="1"/>
      <c r="I540" s="1"/>
      <c r="J540" s="1"/>
      <c r="K540" s="1"/>
      <c r="L540" s="1"/>
      <c r="M540" s="1"/>
      <c r="N540" s="1"/>
    </row>
    <row r="541" ht="14.5" spans="2:14">
      <c r="B541" s="1"/>
      <c r="C541" s="1"/>
      <c r="D541" s="1"/>
      <c r="E541" s="1"/>
      <c r="F541" s="1"/>
      <c r="G541" s="1"/>
      <c r="H541" s="1"/>
      <c r="I541" s="1"/>
      <c r="J541" s="1"/>
      <c r="K541" s="1"/>
      <c r="L541" s="1"/>
      <c r="M541" s="1"/>
      <c r="N541" s="1"/>
    </row>
    <row r="542" ht="14.5" spans="2:14">
      <c r="B542" s="1"/>
      <c r="C542" s="1"/>
      <c r="D542" s="1"/>
      <c r="E542" s="1"/>
      <c r="F542" s="1"/>
      <c r="G542" s="1"/>
      <c r="H542" s="1"/>
      <c r="I542" s="1"/>
      <c r="J542" s="1"/>
      <c r="K542" s="1"/>
      <c r="L542" s="1"/>
      <c r="M542" s="1"/>
      <c r="N542" s="1"/>
    </row>
    <row r="543" ht="14.5" spans="2:14">
      <c r="B543" s="1"/>
      <c r="C543" s="1"/>
      <c r="D543" s="1"/>
      <c r="E543" s="1"/>
      <c r="F543" s="1"/>
      <c r="G543" s="1"/>
      <c r="H543" s="1"/>
      <c r="I543" s="1"/>
      <c r="J543" s="1"/>
      <c r="K543" s="1"/>
      <c r="L543" s="1"/>
      <c r="M543" s="1"/>
      <c r="N543" s="1"/>
    </row>
    <row r="544" ht="14.5" spans="2:14">
      <c r="B544" s="1"/>
      <c r="C544" s="1"/>
      <c r="D544" s="1"/>
      <c r="E544" s="1"/>
      <c r="F544" s="1"/>
      <c r="G544" s="1"/>
      <c r="H544" s="1"/>
      <c r="I544" s="1"/>
      <c r="J544" s="1"/>
      <c r="K544" s="1"/>
      <c r="L544" s="1"/>
      <c r="M544" s="1"/>
      <c r="N544" s="1"/>
    </row>
    <row r="545" ht="14.5" spans="2:14">
      <c r="B545" s="1"/>
      <c r="C545" s="1"/>
      <c r="D545" s="1"/>
      <c r="E545" s="1"/>
      <c r="F545" s="1"/>
      <c r="G545" s="1"/>
      <c r="H545" s="1"/>
      <c r="I545" s="1"/>
      <c r="J545" s="1"/>
      <c r="K545" s="1"/>
      <c r="L545" s="1"/>
      <c r="M545" s="1"/>
      <c r="N545" s="1"/>
    </row>
    <row r="546" ht="14.5" spans="2:14">
      <c r="B546" s="1"/>
      <c r="C546" s="1"/>
      <c r="D546" s="1"/>
      <c r="E546" s="1"/>
      <c r="F546" s="1"/>
      <c r="G546" s="1"/>
      <c r="H546" s="1"/>
      <c r="I546" s="1"/>
      <c r="J546" s="1"/>
      <c r="K546" s="1"/>
      <c r="L546" s="1"/>
      <c r="M546" s="1"/>
      <c r="N546" s="1"/>
    </row>
    <row r="547" ht="14.5" spans="2:14">
      <c r="B547" s="1"/>
      <c r="C547" s="1"/>
      <c r="D547" s="1"/>
      <c r="E547" s="1"/>
      <c r="F547" s="1"/>
      <c r="G547" s="1"/>
      <c r="H547" s="1"/>
      <c r="I547" s="1"/>
      <c r="J547" s="1"/>
      <c r="K547" s="1"/>
      <c r="L547" s="1"/>
      <c r="M547" s="1"/>
      <c r="N547" s="1"/>
    </row>
    <row r="548" ht="14.5" spans="2:14">
      <c r="B548" s="1"/>
      <c r="C548" s="1"/>
      <c r="D548" s="1"/>
      <c r="E548" s="1"/>
      <c r="F548" s="1"/>
      <c r="G548" s="1"/>
      <c r="H548" s="1"/>
      <c r="I548" s="1"/>
      <c r="J548" s="1"/>
      <c r="K548" s="1"/>
      <c r="L548" s="1"/>
      <c r="M548" s="1"/>
      <c r="N548" s="1"/>
    </row>
    <row r="549" ht="14.5" spans="2:14">
      <c r="B549" s="1"/>
      <c r="C549" s="1"/>
      <c r="D549" s="1"/>
      <c r="E549" s="1"/>
      <c r="F549" s="1"/>
      <c r="G549" s="1"/>
      <c r="H549" s="1"/>
      <c r="I549" s="1"/>
      <c r="J549" s="1"/>
      <c r="K549" s="1"/>
      <c r="L549" s="1"/>
      <c r="M549" s="1"/>
      <c r="N549" s="1"/>
    </row>
    <row r="550" ht="14.5" spans="2:14">
      <c r="B550" s="1"/>
      <c r="C550" s="1"/>
      <c r="D550" s="1"/>
      <c r="E550" s="1"/>
      <c r="F550" s="1"/>
      <c r="G550" s="1"/>
      <c r="H550" s="1"/>
      <c r="I550" s="1"/>
      <c r="J550" s="1"/>
      <c r="K550" s="1"/>
      <c r="L550" s="1"/>
      <c r="M550" s="1"/>
      <c r="N550" s="1"/>
    </row>
    <row r="551" ht="14.5" spans="2:14">
      <c r="B551" s="1"/>
      <c r="C551" s="1"/>
      <c r="D551" s="1"/>
      <c r="E551" s="1"/>
      <c r="F551" s="1"/>
      <c r="G551" s="1"/>
      <c r="H551" s="1"/>
      <c r="I551" s="1"/>
      <c r="J551" s="1"/>
      <c r="K551" s="1"/>
      <c r="L551" s="1"/>
      <c r="M551" s="1"/>
      <c r="N551" s="1"/>
    </row>
    <row r="552" ht="14.5" spans="2:14">
      <c r="B552" s="1"/>
      <c r="C552" s="1"/>
      <c r="D552" s="1"/>
      <c r="E552" s="1"/>
      <c r="F552" s="1"/>
      <c r="G552" s="1"/>
      <c r="H552" s="1"/>
      <c r="I552" s="1"/>
      <c r="J552" s="1"/>
      <c r="K552" s="1"/>
      <c r="L552" s="1"/>
      <c r="M552" s="1"/>
      <c r="N552" s="1"/>
    </row>
    <row r="553" ht="14.5" spans="2:14">
      <c r="B553" s="1"/>
      <c r="C553" s="1"/>
      <c r="D553" s="1"/>
      <c r="E553" s="1"/>
      <c r="F553" s="1"/>
      <c r="G553" s="1"/>
      <c r="H553" s="1"/>
      <c r="I553" s="1"/>
      <c r="J553" s="1"/>
      <c r="K553" s="1"/>
      <c r="L553" s="1"/>
      <c r="M553" s="1"/>
      <c r="N553" s="1"/>
    </row>
    <row r="554" ht="14.5" spans="2:14">
      <c r="B554" s="1"/>
      <c r="C554" s="1"/>
      <c r="D554" s="1"/>
      <c r="E554" s="1"/>
      <c r="F554" s="1"/>
      <c r="G554" s="1"/>
      <c r="H554" s="1"/>
      <c r="I554" s="1"/>
      <c r="J554" s="1"/>
      <c r="K554" s="1"/>
      <c r="L554" s="1"/>
      <c r="M554" s="1"/>
      <c r="N554" s="1"/>
    </row>
    <row r="555" ht="14.5" spans="2:14">
      <c r="B555" s="1"/>
      <c r="C555" s="1"/>
      <c r="D555" s="1"/>
      <c r="E555" s="1"/>
      <c r="F555" s="1"/>
      <c r="G555" s="1"/>
      <c r="H555" s="1"/>
      <c r="I555" s="1"/>
      <c r="J555" s="1"/>
      <c r="K555" s="1"/>
      <c r="L555" s="1"/>
      <c r="M555" s="1"/>
      <c r="N555" s="1"/>
    </row>
    <row r="556" ht="14.5" spans="2:14">
      <c r="B556" s="1"/>
      <c r="C556" s="1"/>
      <c r="D556" s="1"/>
      <c r="E556" s="1"/>
      <c r="F556" s="1"/>
      <c r="G556" s="1"/>
      <c r="H556" s="1"/>
      <c r="I556" s="1"/>
      <c r="J556" s="1"/>
      <c r="K556" s="1"/>
      <c r="L556" s="1"/>
      <c r="M556" s="1"/>
      <c r="N556" s="1"/>
    </row>
    <row r="557" ht="14.5" spans="2:14">
      <c r="B557" s="1"/>
      <c r="C557" s="1"/>
      <c r="D557" s="1"/>
      <c r="E557" s="1"/>
      <c r="F557" s="1"/>
      <c r="G557" s="1"/>
      <c r="H557" s="1"/>
      <c r="I557" s="1"/>
      <c r="J557" s="1"/>
      <c r="K557" s="1"/>
      <c r="L557" s="1"/>
      <c r="M557" s="1"/>
      <c r="N557" s="1"/>
    </row>
    <row r="558" ht="14.5" spans="2:14">
      <c r="B558" s="1"/>
      <c r="C558" s="1"/>
      <c r="D558" s="1"/>
      <c r="E558" s="1"/>
      <c r="F558" s="1"/>
      <c r="G558" s="1"/>
      <c r="H558" s="1"/>
      <c r="I558" s="1"/>
      <c r="J558" s="1"/>
      <c r="K558" s="1"/>
      <c r="L558" s="1"/>
      <c r="M558" s="1"/>
      <c r="N558" s="1"/>
    </row>
    <row r="559" ht="14.5" spans="2:14">
      <c r="B559" s="1"/>
      <c r="C559" s="1"/>
      <c r="D559" s="1"/>
      <c r="E559" s="1"/>
      <c r="F559" s="1"/>
      <c r="G559" s="1"/>
      <c r="H559" s="1"/>
      <c r="I559" s="1"/>
      <c r="J559" s="1"/>
      <c r="K559" s="1"/>
      <c r="L559" s="1"/>
      <c r="M559" s="1"/>
      <c r="N559" s="1"/>
    </row>
    <row r="560" ht="14.5" spans="2:14">
      <c r="B560" s="1"/>
      <c r="C560" s="1"/>
      <c r="D560" s="1"/>
      <c r="E560" s="1"/>
      <c r="F560" s="1"/>
      <c r="G560" s="1"/>
      <c r="H560" s="1"/>
      <c r="I560" s="1"/>
      <c r="J560" s="1"/>
      <c r="K560" s="1"/>
      <c r="L560" s="1"/>
      <c r="M560" s="1"/>
      <c r="N560" s="1"/>
    </row>
    <row r="561" ht="14.5" spans="2:14">
      <c r="B561" s="1"/>
      <c r="C561" s="1"/>
      <c r="D561" s="1"/>
      <c r="E561" s="1"/>
      <c r="F561" s="1"/>
      <c r="G561" s="1"/>
      <c r="H561" s="1"/>
      <c r="I561" s="1"/>
      <c r="J561" s="1"/>
      <c r="K561" s="1"/>
      <c r="L561" s="1"/>
      <c r="M561" s="1"/>
      <c r="N561" s="1"/>
    </row>
    <row r="562" ht="14.5" spans="2:14">
      <c r="B562" s="1"/>
      <c r="C562" s="1"/>
      <c r="D562" s="1"/>
      <c r="E562" s="1"/>
      <c r="F562" s="1"/>
      <c r="G562" s="1"/>
      <c r="H562" s="1"/>
      <c r="I562" s="1"/>
      <c r="J562" s="1"/>
      <c r="K562" s="1"/>
      <c r="L562" s="1"/>
      <c r="M562" s="1"/>
      <c r="N562" s="1"/>
    </row>
    <row r="563" ht="14.5" spans="2:14">
      <c r="B563" s="1"/>
      <c r="C563" s="1"/>
      <c r="D563" s="1"/>
      <c r="E563" s="1"/>
      <c r="F563" s="1"/>
      <c r="G563" s="1"/>
      <c r="H563" s="1"/>
      <c r="I563" s="1"/>
      <c r="J563" s="1"/>
      <c r="K563" s="1"/>
      <c r="L563" s="1"/>
      <c r="M563" s="1"/>
      <c r="N563" s="1"/>
    </row>
    <row r="564" ht="14.5" spans="2:14">
      <c r="B564" s="1"/>
      <c r="C564" s="1"/>
      <c r="D564" s="1"/>
      <c r="E564" s="1"/>
      <c r="F564" s="1"/>
      <c r="G564" s="1"/>
      <c r="H564" s="1"/>
      <c r="I564" s="1"/>
      <c r="J564" s="1"/>
      <c r="K564" s="1"/>
      <c r="L564" s="1"/>
      <c r="M564" s="1"/>
      <c r="N564" s="1"/>
    </row>
    <row r="565" ht="14.5" spans="2:14">
      <c r="B565" s="1"/>
      <c r="C565" s="1"/>
      <c r="D565" s="1"/>
      <c r="E565" s="1"/>
      <c r="F565" s="1"/>
      <c r="G565" s="1"/>
      <c r="H565" s="1"/>
      <c r="I565" s="1"/>
      <c r="J565" s="1"/>
      <c r="K565" s="1"/>
      <c r="L565" s="1"/>
      <c r="M565" s="1"/>
      <c r="N565" s="1"/>
    </row>
    <row r="566" ht="14.5" spans="2:14">
      <c r="B566" s="1"/>
      <c r="C566" s="1"/>
      <c r="D566" s="1"/>
      <c r="E566" s="1"/>
      <c r="F566" s="1"/>
      <c r="G566" s="1"/>
      <c r="H566" s="1"/>
      <c r="I566" s="1"/>
      <c r="J566" s="1"/>
      <c r="K566" s="1"/>
      <c r="L566" s="1"/>
      <c r="M566" s="1"/>
      <c r="N566" s="1"/>
    </row>
    <row r="567" ht="14.5" spans="2:14">
      <c r="B567" s="1"/>
      <c r="C567" s="1"/>
      <c r="D567" s="1"/>
      <c r="E567" s="1"/>
      <c r="F567" s="1"/>
      <c r="G567" s="1"/>
      <c r="H567" s="1"/>
      <c r="I567" s="1"/>
      <c r="J567" s="1"/>
      <c r="K567" s="1"/>
      <c r="L567" s="1"/>
      <c r="M567" s="1"/>
      <c r="N567" s="1"/>
    </row>
    <row r="568" ht="14.5" spans="2:14">
      <c r="B568" s="1"/>
      <c r="C568" s="1"/>
      <c r="D568" s="1"/>
      <c r="E568" s="1"/>
      <c r="F568" s="1"/>
      <c r="G568" s="1"/>
      <c r="H568" s="1"/>
      <c r="I568" s="1"/>
      <c r="J568" s="1"/>
      <c r="K568" s="1"/>
      <c r="L568" s="1"/>
      <c r="M568" s="1"/>
      <c r="N568" s="1"/>
    </row>
    <row r="569" ht="14.5" spans="2:14">
      <c r="B569" s="1"/>
      <c r="C569" s="1"/>
      <c r="D569" s="1"/>
      <c r="E569" s="1"/>
      <c r="F569" s="1"/>
      <c r="G569" s="1"/>
      <c r="H569" s="1"/>
      <c r="I569" s="1"/>
      <c r="J569" s="1"/>
      <c r="K569" s="1"/>
      <c r="L569" s="1"/>
      <c r="M569" s="1"/>
      <c r="N569" s="1"/>
    </row>
    <row r="570" ht="14.5" spans="2:14">
      <c r="B570" s="1"/>
      <c r="C570" s="1"/>
      <c r="D570" s="1"/>
      <c r="E570" s="1"/>
      <c r="F570" s="1"/>
      <c r="G570" s="1"/>
      <c r="H570" s="1"/>
      <c r="I570" s="1"/>
      <c r="J570" s="1"/>
      <c r="K570" s="1"/>
      <c r="L570" s="1"/>
      <c r="M570" s="1"/>
      <c r="N570" s="1"/>
    </row>
    <row r="571" ht="14.5" spans="2:14">
      <c r="B571" s="1"/>
      <c r="C571" s="1"/>
      <c r="D571" s="1"/>
      <c r="E571" s="1"/>
      <c r="F571" s="1"/>
      <c r="G571" s="1"/>
      <c r="H571" s="1"/>
      <c r="I571" s="1"/>
      <c r="J571" s="1"/>
      <c r="K571" s="1"/>
      <c r="L571" s="1"/>
      <c r="M571" s="1"/>
      <c r="N571" s="1"/>
    </row>
    <row r="572" ht="14.5" spans="2:14">
      <c r="B572" s="1"/>
      <c r="C572" s="1"/>
      <c r="D572" s="1"/>
      <c r="E572" s="1"/>
      <c r="F572" s="1"/>
      <c r="G572" s="1"/>
      <c r="H572" s="1"/>
      <c r="I572" s="1"/>
      <c r="J572" s="1"/>
      <c r="K572" s="1"/>
      <c r="L572" s="1"/>
      <c r="M572" s="1"/>
      <c r="N572" s="1"/>
    </row>
    <row r="573" ht="14.5" spans="2:14">
      <c r="B573" s="1"/>
      <c r="C573" s="1"/>
      <c r="D573" s="1"/>
      <c r="E573" s="1"/>
      <c r="F573" s="1"/>
      <c r="G573" s="1"/>
      <c r="H573" s="1"/>
      <c r="I573" s="1"/>
      <c r="J573" s="1"/>
      <c r="K573" s="1"/>
      <c r="L573" s="1"/>
      <c r="M573" s="1"/>
      <c r="N573" s="1"/>
    </row>
    <row r="574" ht="14.5" spans="2:14">
      <c r="B574" s="1"/>
      <c r="C574" s="1"/>
      <c r="D574" s="1"/>
      <c r="E574" s="1"/>
      <c r="F574" s="1"/>
      <c r="G574" s="1"/>
      <c r="H574" s="1"/>
      <c r="I574" s="1"/>
      <c r="J574" s="1"/>
      <c r="K574" s="1"/>
      <c r="L574" s="1"/>
      <c r="M574" s="1"/>
      <c r="N574" s="1"/>
    </row>
    <row r="575" ht="14.5" spans="2:14">
      <c r="B575" s="1"/>
      <c r="C575" s="1"/>
      <c r="D575" s="1"/>
      <c r="E575" s="1"/>
      <c r="F575" s="1"/>
      <c r="G575" s="1"/>
      <c r="H575" s="1"/>
      <c r="I575" s="1"/>
      <c r="J575" s="1"/>
      <c r="K575" s="1"/>
      <c r="L575" s="1"/>
      <c r="M575" s="1"/>
      <c r="N575" s="1"/>
    </row>
    <row r="576" ht="14.5" spans="2:14">
      <c r="B576" s="1"/>
      <c r="C576" s="1"/>
      <c r="D576" s="1"/>
      <c r="E576" s="1"/>
      <c r="F576" s="1"/>
      <c r="G576" s="1"/>
      <c r="H576" s="1"/>
      <c r="I576" s="1"/>
      <c r="J576" s="1"/>
      <c r="K576" s="1"/>
      <c r="L576" s="1"/>
      <c r="M576" s="1"/>
      <c r="N576" s="1"/>
    </row>
    <row r="577" ht="14.5" spans="2:14">
      <c r="B577" s="1"/>
      <c r="C577" s="1"/>
      <c r="D577" s="1"/>
      <c r="E577" s="1"/>
      <c r="F577" s="1"/>
      <c r="G577" s="1"/>
      <c r="H577" s="1"/>
      <c r="I577" s="1"/>
      <c r="J577" s="1"/>
      <c r="K577" s="1"/>
      <c r="L577" s="1"/>
      <c r="M577" s="1"/>
      <c r="N577" s="1"/>
    </row>
    <row r="578" ht="14.5" spans="2:14">
      <c r="B578" s="1"/>
      <c r="C578" s="1"/>
      <c r="D578" s="1"/>
      <c r="E578" s="1"/>
      <c r="F578" s="1"/>
      <c r="G578" s="1"/>
      <c r="H578" s="1"/>
      <c r="I578" s="1"/>
      <c r="J578" s="1"/>
      <c r="K578" s="1"/>
      <c r="L578" s="1"/>
      <c r="M578" s="1"/>
      <c r="N578" s="1"/>
    </row>
    <row r="579" ht="14.5" spans="2:14">
      <c r="B579" s="1"/>
      <c r="C579" s="1"/>
      <c r="D579" s="1"/>
      <c r="E579" s="1"/>
      <c r="F579" s="1"/>
      <c r="G579" s="1"/>
      <c r="H579" s="1"/>
      <c r="I579" s="1"/>
      <c r="J579" s="1"/>
      <c r="K579" s="1"/>
      <c r="L579" s="1"/>
      <c r="M579" s="1"/>
      <c r="N579" s="1"/>
    </row>
    <row r="580" ht="14.5" spans="2:14">
      <c r="B580" s="1"/>
      <c r="C580" s="1"/>
      <c r="D580" s="1"/>
      <c r="E580" s="1"/>
      <c r="F580" s="1"/>
      <c r="G580" s="1"/>
      <c r="H580" s="1"/>
      <c r="I580" s="1"/>
      <c r="J580" s="1"/>
      <c r="K580" s="1"/>
      <c r="L580" s="1"/>
      <c r="M580" s="1"/>
      <c r="N580" s="1"/>
    </row>
    <row r="581" ht="14.5" spans="2:14">
      <c r="B581" s="1"/>
      <c r="C581" s="1"/>
      <c r="D581" s="1"/>
      <c r="E581" s="1"/>
      <c r="F581" s="1"/>
      <c r="G581" s="1"/>
      <c r="H581" s="1"/>
      <c r="I581" s="1"/>
      <c r="J581" s="1"/>
      <c r="K581" s="1"/>
      <c r="L581" s="1"/>
      <c r="M581" s="1"/>
      <c r="N581" s="1"/>
    </row>
    <row r="582" ht="14.5" spans="2:14">
      <c r="B582" s="1"/>
      <c r="C582" s="1"/>
      <c r="D582" s="1"/>
      <c r="E582" s="1"/>
      <c r="F582" s="1"/>
      <c r="G582" s="1"/>
      <c r="H582" s="1"/>
      <c r="I582" s="1"/>
      <c r="J582" s="1"/>
      <c r="K582" s="1"/>
      <c r="L582" s="1"/>
      <c r="M582" s="1"/>
      <c r="N582" s="1"/>
    </row>
    <row r="583" ht="14.5" spans="2:14">
      <c r="B583" s="1"/>
      <c r="C583" s="1"/>
      <c r="D583" s="1"/>
      <c r="E583" s="1"/>
      <c r="F583" s="1"/>
      <c r="G583" s="1"/>
      <c r="H583" s="1"/>
      <c r="I583" s="1"/>
      <c r="J583" s="1"/>
      <c r="K583" s="1"/>
      <c r="L583" s="1"/>
      <c r="M583" s="1"/>
      <c r="N583" s="1"/>
    </row>
    <row r="584" ht="14.5" spans="2:14">
      <c r="B584" s="1"/>
      <c r="C584" s="1"/>
      <c r="D584" s="1"/>
      <c r="E584" s="1"/>
      <c r="F584" s="1"/>
      <c r="G584" s="1"/>
      <c r="H584" s="1"/>
      <c r="I584" s="1"/>
      <c r="J584" s="1"/>
      <c r="K584" s="1"/>
      <c r="L584" s="1"/>
      <c r="M584" s="1"/>
      <c r="N584" s="1"/>
    </row>
    <row r="585" ht="14.5" spans="2:14">
      <c r="B585" s="1"/>
      <c r="C585" s="1"/>
      <c r="D585" s="1"/>
      <c r="E585" s="1"/>
      <c r="F585" s="1"/>
      <c r="G585" s="1"/>
      <c r="H585" s="1"/>
      <c r="I585" s="1"/>
      <c r="J585" s="1"/>
      <c r="K585" s="1"/>
      <c r="L585" s="1"/>
      <c r="M585" s="1"/>
      <c r="N585" s="1"/>
    </row>
    <row r="586" ht="14.5" spans="2:14">
      <c r="B586" s="1"/>
      <c r="C586" s="1"/>
      <c r="D586" s="1"/>
      <c r="E586" s="1"/>
      <c r="F586" s="1"/>
      <c r="G586" s="1"/>
      <c r="H586" s="1"/>
      <c r="I586" s="1"/>
      <c r="J586" s="1"/>
      <c r="K586" s="1"/>
      <c r="L586" s="1"/>
      <c r="M586" s="1"/>
      <c r="N586" s="1"/>
    </row>
    <row r="587" ht="14.5" spans="2:14">
      <c r="B587" s="1"/>
      <c r="C587" s="1"/>
      <c r="D587" s="1"/>
      <c r="E587" s="1"/>
      <c r="F587" s="1"/>
      <c r="G587" s="1"/>
      <c r="H587" s="1"/>
      <c r="I587" s="1"/>
      <c r="J587" s="1"/>
      <c r="K587" s="1"/>
      <c r="L587" s="1"/>
      <c r="M587" s="1"/>
      <c r="N587" s="1"/>
    </row>
    <row r="588" ht="14.5" spans="2:14">
      <c r="B588" s="1"/>
      <c r="C588" s="1"/>
      <c r="D588" s="1"/>
      <c r="E588" s="1"/>
      <c r="F588" s="1"/>
      <c r="G588" s="1"/>
      <c r="H588" s="1"/>
      <c r="I588" s="1"/>
      <c r="J588" s="1"/>
      <c r="K588" s="1"/>
      <c r="L588" s="1"/>
      <c r="M588" s="1"/>
      <c r="N588" s="1"/>
    </row>
    <row r="589" ht="14.5" spans="2:14">
      <c r="B589" s="1"/>
      <c r="C589" s="1"/>
      <c r="D589" s="1"/>
      <c r="E589" s="1"/>
      <c r="F589" s="1"/>
      <c r="G589" s="1"/>
      <c r="H589" s="1"/>
      <c r="I589" s="1"/>
      <c r="J589" s="1"/>
      <c r="K589" s="1"/>
      <c r="L589" s="1"/>
      <c r="M589" s="1"/>
      <c r="N589" s="1"/>
    </row>
    <row r="590" ht="14.5" spans="2:14">
      <c r="B590" s="1"/>
      <c r="C590" s="1"/>
      <c r="D590" s="1"/>
      <c r="E590" s="1"/>
      <c r="F590" s="1"/>
      <c r="G590" s="1"/>
      <c r="H590" s="1"/>
      <c r="I590" s="1"/>
      <c r="J590" s="1"/>
      <c r="K590" s="1"/>
      <c r="L590" s="1"/>
      <c r="M590" s="1"/>
      <c r="N590" s="1"/>
    </row>
    <row r="591" ht="14.5" spans="2:14">
      <c r="B591" s="1"/>
      <c r="C591" s="1"/>
      <c r="D591" s="1"/>
      <c r="E591" s="1"/>
      <c r="F591" s="1"/>
      <c r="G591" s="1"/>
      <c r="H591" s="1"/>
      <c r="I591" s="1"/>
      <c r="J591" s="1"/>
      <c r="K591" s="1"/>
      <c r="L591" s="1"/>
      <c r="M591" s="1"/>
      <c r="N591" s="1"/>
    </row>
    <row r="592" ht="14.5" spans="2:14">
      <c r="B592" s="1"/>
      <c r="C592" s="1"/>
      <c r="D592" s="1"/>
      <c r="E592" s="1"/>
      <c r="F592" s="1"/>
      <c r="G592" s="1"/>
      <c r="H592" s="1"/>
      <c r="I592" s="1"/>
      <c r="J592" s="1"/>
      <c r="K592" s="1"/>
      <c r="L592" s="1"/>
      <c r="M592" s="1"/>
      <c r="N592" s="1"/>
    </row>
    <row r="593" ht="14.5" spans="2:14">
      <c r="B593" s="1"/>
      <c r="C593" s="1"/>
      <c r="D593" s="1"/>
      <c r="E593" s="1"/>
      <c r="F593" s="1"/>
      <c r="G593" s="1"/>
      <c r="H593" s="1"/>
      <c r="I593" s="1"/>
      <c r="J593" s="1"/>
      <c r="K593" s="1"/>
      <c r="L593" s="1"/>
      <c r="M593" s="1"/>
      <c r="N593" s="1"/>
    </row>
    <row r="594" ht="14.5" spans="2:14">
      <c r="B594" s="1"/>
      <c r="C594" s="1"/>
      <c r="D594" s="1"/>
      <c r="E594" s="1"/>
      <c r="F594" s="1"/>
      <c r="G594" s="1"/>
      <c r="H594" s="1"/>
      <c r="I594" s="1"/>
      <c r="J594" s="1"/>
      <c r="K594" s="1"/>
      <c r="L594" s="1"/>
      <c r="M594" s="1"/>
      <c r="N594" s="1"/>
    </row>
    <row r="595" ht="14.5" spans="2:14">
      <c r="B595" s="1"/>
      <c r="C595" s="1"/>
      <c r="D595" s="1"/>
      <c r="E595" s="1"/>
      <c r="F595" s="1"/>
      <c r="G595" s="1"/>
      <c r="H595" s="1"/>
      <c r="I595" s="1"/>
      <c r="J595" s="1"/>
      <c r="K595" s="1"/>
      <c r="L595" s="1"/>
      <c r="M595" s="1"/>
      <c r="N595" s="1"/>
    </row>
    <row r="596" ht="14.5" spans="2:14">
      <c r="B596" s="1"/>
      <c r="C596" s="1"/>
      <c r="D596" s="1"/>
      <c r="E596" s="1"/>
      <c r="F596" s="1"/>
      <c r="G596" s="1"/>
      <c r="H596" s="1"/>
      <c r="I596" s="1"/>
      <c r="J596" s="1"/>
      <c r="K596" s="1"/>
      <c r="L596" s="1"/>
      <c r="M596" s="1"/>
      <c r="N596" s="1"/>
    </row>
    <row r="597" ht="14.5" spans="2:14">
      <c r="B597" s="1"/>
      <c r="C597" s="1"/>
      <c r="D597" s="1"/>
      <c r="E597" s="1"/>
      <c r="F597" s="1"/>
      <c r="G597" s="1"/>
      <c r="H597" s="1"/>
      <c r="I597" s="1"/>
      <c r="J597" s="1"/>
      <c r="K597" s="1"/>
      <c r="L597" s="1"/>
      <c r="M597" s="1"/>
      <c r="N597" s="1"/>
    </row>
    <row r="598" ht="14.5" spans="2:14">
      <c r="B598" s="1"/>
      <c r="C598" s="1"/>
      <c r="D598" s="1"/>
      <c r="E598" s="1"/>
      <c r="F598" s="1"/>
      <c r="G598" s="1"/>
      <c r="H598" s="1"/>
      <c r="I598" s="1"/>
      <c r="J598" s="1"/>
      <c r="K598" s="1"/>
      <c r="L598" s="1"/>
      <c r="M598" s="1"/>
      <c r="N598" s="1"/>
    </row>
    <row r="599" ht="14.5" spans="2:14">
      <c r="B599" s="1"/>
      <c r="C599" s="1"/>
      <c r="D599" s="1"/>
      <c r="E599" s="1"/>
      <c r="F599" s="1"/>
      <c r="G599" s="1"/>
      <c r="H599" s="1"/>
      <c r="I599" s="1"/>
      <c r="J599" s="1"/>
      <c r="K599" s="1"/>
      <c r="L599" s="1"/>
      <c r="M599" s="1"/>
      <c r="N599" s="1"/>
    </row>
    <row r="600" ht="14.5" spans="2:14">
      <c r="B600" s="1"/>
      <c r="C600" s="1"/>
      <c r="D600" s="1"/>
      <c r="E600" s="1"/>
      <c r="F600" s="1"/>
      <c r="G600" s="1"/>
      <c r="H600" s="1"/>
      <c r="I600" s="1"/>
      <c r="J600" s="1"/>
      <c r="K600" s="1"/>
      <c r="L600" s="1"/>
      <c r="M600" s="1"/>
      <c r="N600" s="1"/>
    </row>
    <row r="601" ht="14.5" spans="2:14">
      <c r="B601" s="1"/>
      <c r="C601" s="1"/>
      <c r="D601" s="1"/>
      <c r="E601" s="1"/>
      <c r="F601" s="1"/>
      <c r="G601" s="1"/>
      <c r="H601" s="1"/>
      <c r="I601" s="1"/>
      <c r="J601" s="1"/>
      <c r="K601" s="1"/>
      <c r="L601" s="1"/>
      <c r="M601" s="1"/>
      <c r="N601" s="1"/>
    </row>
    <row r="602" ht="14.5" spans="2:14">
      <c r="B602" s="1"/>
      <c r="C602" s="1"/>
      <c r="D602" s="1"/>
      <c r="E602" s="1"/>
      <c r="F602" s="1"/>
      <c r="G602" s="1"/>
      <c r="H602" s="1"/>
      <c r="I602" s="1"/>
      <c r="J602" s="1"/>
      <c r="K602" s="1"/>
      <c r="L602" s="1"/>
      <c r="M602" s="1"/>
      <c r="N602" s="1"/>
    </row>
    <row r="603" ht="14.5" spans="2:14">
      <c r="B603" s="1"/>
      <c r="C603" s="1"/>
      <c r="D603" s="1"/>
      <c r="E603" s="1"/>
      <c r="F603" s="1"/>
      <c r="G603" s="1"/>
      <c r="H603" s="1"/>
      <c r="I603" s="1"/>
      <c r="J603" s="1"/>
      <c r="K603" s="1"/>
      <c r="L603" s="1"/>
      <c r="M603" s="1"/>
      <c r="N603" s="1"/>
    </row>
    <row r="604" ht="14.5" spans="2:14">
      <c r="B604" s="1"/>
      <c r="C604" s="1"/>
      <c r="D604" s="1"/>
      <c r="E604" s="1"/>
      <c r="F604" s="1"/>
      <c r="G604" s="1"/>
      <c r="H604" s="1"/>
      <c r="I604" s="1"/>
      <c r="J604" s="1"/>
      <c r="K604" s="1"/>
      <c r="L604" s="1"/>
      <c r="M604" s="1"/>
      <c r="N604" s="1"/>
    </row>
    <row r="605" ht="14.5" spans="2:14">
      <c r="B605" s="1"/>
      <c r="C605" s="1"/>
      <c r="D605" s="1"/>
      <c r="E605" s="1"/>
      <c r="F605" s="1"/>
      <c r="G605" s="1"/>
      <c r="H605" s="1"/>
      <c r="I605" s="1"/>
      <c r="J605" s="1"/>
      <c r="K605" s="1"/>
      <c r="L605" s="1"/>
      <c r="M605" s="1"/>
      <c r="N605" s="1"/>
    </row>
    <row r="606" ht="14.5" spans="2:14">
      <c r="B606" s="1"/>
      <c r="C606" s="1"/>
      <c r="D606" s="1"/>
      <c r="E606" s="1"/>
      <c r="F606" s="1"/>
      <c r="G606" s="1"/>
      <c r="H606" s="1"/>
      <c r="I606" s="1"/>
      <c r="J606" s="1"/>
      <c r="K606" s="1"/>
      <c r="L606" s="1"/>
      <c r="M606" s="1"/>
      <c r="N606" s="1"/>
    </row>
    <row r="607" ht="14.5" spans="2:14">
      <c r="B607" s="1"/>
      <c r="C607" s="1"/>
      <c r="D607" s="1"/>
      <c r="E607" s="1"/>
      <c r="F607" s="1"/>
      <c r="G607" s="1"/>
      <c r="H607" s="1"/>
      <c r="I607" s="1"/>
      <c r="J607" s="1"/>
      <c r="K607" s="1"/>
      <c r="L607" s="1"/>
      <c r="M607" s="1"/>
      <c r="N607" s="1"/>
    </row>
    <row r="608" ht="14.5" spans="2:14">
      <c r="B608" s="1"/>
      <c r="C608" s="1"/>
      <c r="D608" s="1"/>
      <c r="E608" s="1"/>
      <c r="F608" s="1"/>
      <c r="G608" s="1"/>
      <c r="H608" s="1"/>
      <c r="I608" s="1"/>
      <c r="J608" s="1"/>
      <c r="K608" s="1"/>
      <c r="L608" s="1"/>
      <c r="M608" s="1"/>
      <c r="N608" s="1"/>
    </row>
    <row r="609" ht="14.5" spans="2:14">
      <c r="B609" s="1"/>
      <c r="C609" s="1"/>
      <c r="D609" s="1"/>
      <c r="E609" s="1"/>
      <c r="F609" s="1"/>
      <c r="G609" s="1"/>
      <c r="H609" s="1"/>
      <c r="I609" s="1"/>
      <c r="J609" s="1"/>
      <c r="K609" s="1"/>
      <c r="L609" s="1"/>
      <c r="M609" s="1"/>
      <c r="N609" s="1"/>
    </row>
    <row r="610" ht="14.5" spans="2:14">
      <c r="B610" s="1"/>
      <c r="C610" s="1"/>
      <c r="D610" s="1"/>
      <c r="E610" s="1"/>
      <c r="F610" s="1"/>
      <c r="G610" s="1"/>
      <c r="H610" s="1"/>
      <c r="I610" s="1"/>
      <c r="J610" s="1"/>
      <c r="K610" s="1"/>
      <c r="L610" s="1"/>
      <c r="M610" s="1"/>
      <c r="N610" s="1"/>
    </row>
    <row r="611" ht="14.5" spans="2:14">
      <c r="B611" s="1"/>
      <c r="C611" s="1"/>
      <c r="D611" s="1"/>
      <c r="E611" s="1"/>
      <c r="F611" s="1"/>
      <c r="G611" s="1"/>
      <c r="H611" s="1"/>
      <c r="I611" s="1"/>
      <c r="J611" s="1"/>
      <c r="K611" s="1"/>
      <c r="L611" s="1"/>
      <c r="M611" s="1"/>
      <c r="N611" s="1"/>
    </row>
    <row r="612" ht="14.5" spans="2:14">
      <c r="B612" s="1"/>
      <c r="C612" s="1"/>
      <c r="D612" s="1"/>
      <c r="E612" s="1"/>
      <c r="F612" s="1"/>
      <c r="G612" s="1"/>
      <c r="H612" s="1"/>
      <c r="I612" s="1"/>
      <c r="J612" s="1"/>
      <c r="K612" s="1"/>
      <c r="L612" s="1"/>
      <c r="M612" s="1"/>
      <c r="N612" s="1"/>
    </row>
    <row r="613" ht="14.5" spans="2:14">
      <c r="B613" s="1"/>
      <c r="C613" s="1"/>
      <c r="D613" s="1"/>
      <c r="E613" s="1"/>
      <c r="F613" s="1"/>
      <c r="G613" s="1"/>
      <c r="H613" s="1"/>
      <c r="I613" s="1"/>
      <c r="J613" s="1"/>
      <c r="K613" s="1"/>
      <c r="L613" s="1"/>
      <c r="M613" s="1"/>
      <c r="N613" s="1"/>
    </row>
    <row r="614" ht="14.5" spans="2:14">
      <c r="B614" s="1"/>
      <c r="C614" s="1"/>
      <c r="D614" s="1"/>
      <c r="E614" s="1"/>
      <c r="F614" s="1"/>
      <c r="G614" s="1"/>
      <c r="H614" s="1"/>
      <c r="I614" s="1"/>
      <c r="J614" s="1"/>
      <c r="K614" s="1"/>
      <c r="L614" s="1"/>
      <c r="M614" s="1"/>
      <c r="N614" s="1"/>
    </row>
    <row r="615" ht="14.5" spans="2:14">
      <c r="B615" s="1"/>
      <c r="C615" s="1"/>
      <c r="D615" s="1"/>
      <c r="E615" s="1"/>
      <c r="F615" s="1"/>
      <c r="G615" s="1"/>
      <c r="H615" s="1"/>
      <c r="I615" s="1"/>
      <c r="J615" s="1"/>
      <c r="K615" s="1"/>
      <c r="L615" s="1"/>
      <c r="M615" s="1"/>
      <c r="N615" s="1"/>
    </row>
    <row r="616" ht="14.5" spans="2:14">
      <c r="B616" s="1"/>
      <c r="C616" s="1"/>
      <c r="D616" s="1"/>
      <c r="E616" s="1"/>
      <c r="F616" s="1"/>
      <c r="G616" s="1"/>
      <c r="H616" s="1"/>
      <c r="I616" s="1"/>
      <c r="J616" s="1"/>
      <c r="K616" s="1"/>
      <c r="L616" s="1"/>
      <c r="M616" s="1"/>
      <c r="N616" s="1"/>
    </row>
    <row r="617" ht="14.5" spans="2:14">
      <c r="B617" s="1"/>
      <c r="C617" s="1"/>
      <c r="D617" s="1"/>
      <c r="E617" s="1"/>
      <c r="F617" s="1"/>
      <c r="G617" s="1"/>
      <c r="H617" s="1"/>
      <c r="I617" s="1"/>
      <c r="J617" s="1"/>
      <c r="K617" s="1"/>
      <c r="L617" s="1"/>
      <c r="M617" s="1"/>
      <c r="N617" s="1"/>
    </row>
    <row r="618" ht="14.5" spans="2:14">
      <c r="B618" s="1"/>
      <c r="C618" s="1"/>
      <c r="D618" s="1"/>
      <c r="E618" s="1"/>
      <c r="F618" s="1"/>
      <c r="G618" s="1"/>
      <c r="H618" s="1"/>
      <c r="I618" s="1"/>
      <c r="J618" s="1"/>
      <c r="K618" s="1"/>
      <c r="L618" s="1"/>
      <c r="M618" s="1"/>
      <c r="N618" s="1"/>
    </row>
    <row r="619" ht="14.5" spans="2:14">
      <c r="B619" s="1"/>
      <c r="C619" s="1"/>
      <c r="D619" s="1"/>
      <c r="E619" s="1"/>
      <c r="F619" s="1"/>
      <c r="G619" s="1"/>
      <c r="H619" s="1"/>
      <c r="I619" s="1"/>
      <c r="J619" s="1"/>
      <c r="K619" s="1"/>
      <c r="L619" s="1"/>
      <c r="M619" s="1"/>
      <c r="N619" s="1"/>
    </row>
    <row r="620" ht="14.5" spans="2:14">
      <c r="B620" s="1"/>
      <c r="C620" s="1"/>
      <c r="D620" s="1"/>
      <c r="E620" s="1"/>
      <c r="F620" s="1"/>
      <c r="G620" s="1"/>
      <c r="H620" s="1"/>
      <c r="I620" s="1"/>
      <c r="J620" s="1"/>
      <c r="K620" s="1"/>
      <c r="L620" s="1"/>
      <c r="M620" s="1"/>
      <c r="N620" s="1"/>
    </row>
    <row r="621" ht="14.5" spans="2:14">
      <c r="B621" s="1"/>
      <c r="C621" s="1"/>
      <c r="D621" s="1"/>
      <c r="E621" s="1"/>
      <c r="F621" s="1"/>
      <c r="G621" s="1"/>
      <c r="H621" s="1"/>
      <c r="I621" s="1"/>
      <c r="J621" s="1"/>
      <c r="K621" s="1"/>
      <c r="L621" s="1"/>
      <c r="M621" s="1"/>
      <c r="N621" s="1"/>
    </row>
    <row r="622" ht="14.5" spans="2:14">
      <c r="B622" s="1"/>
      <c r="C622" s="1"/>
      <c r="D622" s="1"/>
      <c r="E622" s="1"/>
      <c r="F622" s="1"/>
      <c r="G622" s="1"/>
      <c r="H622" s="1"/>
      <c r="I622" s="1"/>
      <c r="J622" s="1"/>
      <c r="K622" s="1"/>
      <c r="L622" s="1"/>
      <c r="M622" s="1"/>
      <c r="N622" s="1"/>
    </row>
    <row r="623" ht="14.5" spans="2:14">
      <c r="B623" s="1"/>
      <c r="C623" s="1"/>
      <c r="D623" s="1"/>
      <c r="E623" s="1"/>
      <c r="F623" s="1"/>
      <c r="G623" s="1"/>
      <c r="H623" s="1"/>
      <c r="I623" s="1"/>
      <c r="J623" s="1"/>
      <c r="K623" s="1"/>
      <c r="L623" s="1"/>
      <c r="M623" s="1"/>
      <c r="N623" s="1"/>
    </row>
    <row r="624" ht="14.5" spans="2:14">
      <c r="B624" s="1"/>
      <c r="C624" s="1"/>
      <c r="D624" s="1"/>
      <c r="E624" s="1"/>
      <c r="F624" s="1"/>
      <c r="G624" s="1"/>
      <c r="H624" s="1"/>
      <c r="I624" s="1"/>
      <c r="J624" s="1"/>
      <c r="K624" s="1"/>
      <c r="L624" s="1"/>
      <c r="M624" s="1"/>
      <c r="N624" s="1"/>
    </row>
    <row r="625" ht="14.5" spans="2:14">
      <c r="B625" s="1"/>
      <c r="C625" s="1"/>
      <c r="D625" s="1"/>
      <c r="E625" s="1"/>
      <c r="F625" s="1"/>
      <c r="G625" s="1"/>
      <c r="H625" s="1"/>
      <c r="I625" s="1"/>
      <c r="J625" s="1"/>
      <c r="K625" s="1"/>
      <c r="L625" s="1"/>
      <c r="M625" s="1"/>
      <c r="N625" s="1"/>
    </row>
    <row r="626" ht="14.5" spans="2:14">
      <c r="B626" s="1"/>
      <c r="C626" s="1"/>
      <c r="D626" s="1"/>
      <c r="E626" s="1"/>
      <c r="F626" s="1"/>
      <c r="G626" s="1"/>
      <c r="H626" s="1"/>
      <c r="I626" s="1"/>
      <c r="J626" s="1"/>
      <c r="K626" s="1"/>
      <c r="L626" s="1"/>
      <c r="M626" s="1"/>
      <c r="N626" s="1"/>
    </row>
    <row r="627" ht="14.5" spans="2:14">
      <c r="B627" s="1"/>
      <c r="C627" s="1"/>
      <c r="D627" s="1"/>
      <c r="E627" s="1"/>
      <c r="F627" s="1"/>
      <c r="G627" s="1"/>
      <c r="H627" s="1"/>
      <c r="I627" s="1"/>
      <c r="J627" s="1"/>
      <c r="K627" s="1"/>
      <c r="L627" s="1"/>
      <c r="M627" s="1"/>
      <c r="N627" s="1"/>
    </row>
    <row r="628" ht="14.5" spans="2:14">
      <c r="B628" s="1"/>
      <c r="C628" s="1"/>
      <c r="D628" s="1"/>
      <c r="E628" s="1"/>
      <c r="F628" s="1"/>
      <c r="G628" s="1"/>
      <c r="H628" s="1"/>
      <c r="I628" s="1"/>
      <c r="J628" s="1"/>
      <c r="K628" s="1"/>
      <c r="L628" s="1"/>
      <c r="M628" s="1"/>
      <c r="N628" s="1"/>
    </row>
    <row r="629" ht="14.5" spans="2:14">
      <c r="B629" s="1"/>
      <c r="C629" s="1"/>
      <c r="D629" s="1"/>
      <c r="E629" s="1"/>
      <c r="F629" s="1"/>
      <c r="G629" s="1"/>
      <c r="H629" s="1"/>
      <c r="I629" s="1"/>
      <c r="J629" s="1"/>
      <c r="K629" s="1"/>
      <c r="L629" s="1"/>
      <c r="M629" s="1"/>
      <c r="N629" s="1"/>
    </row>
    <row r="630" ht="14.5" spans="2:14">
      <c r="B630" s="1"/>
      <c r="C630" s="1"/>
      <c r="D630" s="1"/>
      <c r="E630" s="1"/>
      <c r="F630" s="1"/>
      <c r="G630" s="1"/>
      <c r="H630" s="1"/>
      <c r="I630" s="1"/>
      <c r="J630" s="1"/>
      <c r="K630" s="1"/>
      <c r="L630" s="1"/>
      <c r="M630" s="1"/>
      <c r="N630" s="1"/>
    </row>
    <row r="631" ht="14.5" spans="2:14">
      <c r="B631" s="1"/>
      <c r="C631" s="1"/>
      <c r="D631" s="1"/>
      <c r="E631" s="1"/>
      <c r="F631" s="1"/>
      <c r="G631" s="1"/>
      <c r="H631" s="1"/>
      <c r="I631" s="1"/>
      <c r="J631" s="1"/>
      <c r="K631" s="1"/>
      <c r="L631" s="1"/>
      <c r="M631" s="1"/>
      <c r="N631" s="1"/>
    </row>
    <row r="632" ht="14.5" spans="2:14">
      <c r="B632" s="1"/>
      <c r="C632" s="1"/>
      <c r="D632" s="1"/>
      <c r="E632" s="1"/>
      <c r="F632" s="1"/>
      <c r="G632" s="1"/>
      <c r="H632" s="1"/>
      <c r="I632" s="1"/>
      <c r="J632" s="1"/>
      <c r="K632" s="1"/>
      <c r="L632" s="1"/>
      <c r="M632" s="1"/>
      <c r="N632" s="1"/>
    </row>
    <row r="633" ht="14.5" spans="2:14">
      <c r="B633" s="1"/>
      <c r="C633" s="1"/>
      <c r="D633" s="1"/>
      <c r="E633" s="1"/>
      <c r="F633" s="1"/>
      <c r="G633" s="1"/>
      <c r="H633" s="1"/>
      <c r="I633" s="1"/>
      <c r="J633" s="1"/>
      <c r="K633" s="1"/>
      <c r="L633" s="1"/>
      <c r="M633" s="1"/>
      <c r="N633" s="1"/>
    </row>
    <row r="634" ht="14.5" spans="2:14">
      <c r="B634" s="1"/>
      <c r="C634" s="1"/>
      <c r="D634" s="1"/>
      <c r="E634" s="1"/>
      <c r="F634" s="1"/>
      <c r="G634" s="1"/>
      <c r="H634" s="1"/>
      <c r="I634" s="1"/>
      <c r="J634" s="1"/>
      <c r="K634" s="1"/>
      <c r="L634" s="1"/>
      <c r="M634" s="1"/>
      <c r="N634" s="1"/>
    </row>
    <row r="635" ht="14.5" spans="2:14">
      <c r="B635" s="1"/>
      <c r="C635" s="1"/>
      <c r="D635" s="1"/>
      <c r="E635" s="1"/>
      <c r="F635" s="1"/>
      <c r="G635" s="1"/>
      <c r="H635" s="1"/>
      <c r="I635" s="1"/>
      <c r="J635" s="1"/>
      <c r="K635" s="1"/>
      <c r="L635" s="1"/>
      <c r="M635" s="1"/>
      <c r="N635" s="1"/>
    </row>
    <row r="636" ht="14.5" spans="2:14">
      <c r="B636" s="1"/>
      <c r="C636" s="1"/>
      <c r="D636" s="1"/>
      <c r="E636" s="1"/>
      <c r="F636" s="1"/>
      <c r="G636" s="1"/>
      <c r="H636" s="1"/>
      <c r="I636" s="1"/>
      <c r="J636" s="1"/>
      <c r="K636" s="1"/>
      <c r="L636" s="1"/>
      <c r="M636" s="1"/>
      <c r="N636" s="1"/>
    </row>
    <row r="637" ht="14.5" spans="2:14">
      <c r="B637" s="1"/>
      <c r="C637" s="1"/>
      <c r="D637" s="1"/>
      <c r="E637" s="1"/>
      <c r="F637" s="1"/>
      <c r="G637" s="1"/>
      <c r="H637" s="1"/>
      <c r="I637" s="1"/>
      <c r="J637" s="1"/>
      <c r="K637" s="1"/>
      <c r="L637" s="1"/>
      <c r="M637" s="1"/>
      <c r="N637" s="1"/>
    </row>
    <row r="638" ht="14.5" spans="2:14">
      <c r="B638" s="1"/>
      <c r="C638" s="1"/>
      <c r="D638" s="1"/>
      <c r="E638" s="1"/>
      <c r="F638" s="1"/>
      <c r="G638" s="1"/>
      <c r="H638" s="1"/>
      <c r="I638" s="1"/>
      <c r="J638" s="1"/>
      <c r="K638" s="1"/>
      <c r="L638" s="1"/>
      <c r="M638" s="1"/>
      <c r="N638" s="1"/>
    </row>
    <row r="639" ht="14.5" spans="2:14">
      <c r="B639" s="1"/>
      <c r="C639" s="1"/>
      <c r="D639" s="1"/>
      <c r="E639" s="1"/>
      <c r="F639" s="1"/>
      <c r="G639" s="1"/>
      <c r="H639" s="1"/>
      <c r="I639" s="1"/>
      <c r="J639" s="1"/>
      <c r="K639" s="1"/>
      <c r="L639" s="1"/>
      <c r="M639" s="1"/>
      <c r="N639" s="1"/>
    </row>
    <row r="640" ht="14.5" spans="2:14">
      <c r="B640" s="1"/>
      <c r="C640" s="1"/>
      <c r="D640" s="1"/>
      <c r="E640" s="1"/>
      <c r="F640" s="1"/>
      <c r="G640" s="1"/>
      <c r="H640" s="1"/>
      <c r="I640" s="1"/>
      <c r="J640" s="1"/>
      <c r="K640" s="1"/>
      <c r="L640" s="1"/>
      <c r="M640" s="1"/>
      <c r="N640" s="1"/>
    </row>
    <row r="641" ht="14.5" spans="2:14">
      <c r="B641" s="1"/>
      <c r="C641" s="1"/>
      <c r="D641" s="1"/>
      <c r="E641" s="1"/>
      <c r="F641" s="1"/>
      <c r="G641" s="1"/>
      <c r="H641" s="1"/>
      <c r="I641" s="1"/>
      <c r="J641" s="1"/>
      <c r="K641" s="1"/>
      <c r="L641" s="1"/>
      <c r="M641" s="1"/>
      <c r="N641" s="1"/>
    </row>
    <row r="642" ht="14.5" spans="2:14">
      <c r="B642" s="1"/>
      <c r="C642" s="1"/>
      <c r="D642" s="1"/>
      <c r="E642" s="1"/>
      <c r="F642" s="1"/>
      <c r="G642" s="1"/>
      <c r="H642" s="1"/>
      <c r="I642" s="1"/>
      <c r="J642" s="1"/>
      <c r="K642" s="1"/>
      <c r="L642" s="1"/>
      <c r="M642" s="1"/>
      <c r="N642" s="1"/>
    </row>
    <row r="643" ht="14.5" spans="2:14">
      <c r="B643" s="1"/>
      <c r="C643" s="1"/>
      <c r="D643" s="1"/>
      <c r="E643" s="1"/>
      <c r="F643" s="1"/>
      <c r="G643" s="1"/>
      <c r="H643" s="1"/>
      <c r="I643" s="1"/>
      <c r="J643" s="1"/>
      <c r="K643" s="1"/>
      <c r="L643" s="1"/>
      <c r="M643" s="1"/>
      <c r="N643" s="1"/>
    </row>
    <row r="644" ht="14.5" spans="2:14">
      <c r="B644" s="1"/>
      <c r="C644" s="1"/>
      <c r="D644" s="1"/>
      <c r="E644" s="1"/>
      <c r="F644" s="1"/>
      <c r="G644" s="1"/>
      <c r="H644" s="1"/>
      <c r="I644" s="1"/>
      <c r="J644" s="1"/>
      <c r="K644" s="1"/>
      <c r="L644" s="1"/>
      <c r="M644" s="1"/>
      <c r="N644" s="1"/>
    </row>
    <row r="645" ht="14.5" spans="2:14">
      <c r="B645" s="1"/>
      <c r="C645" s="1"/>
      <c r="D645" s="1"/>
      <c r="E645" s="1"/>
      <c r="F645" s="1"/>
      <c r="G645" s="1"/>
      <c r="H645" s="1"/>
      <c r="I645" s="1"/>
      <c r="J645" s="1"/>
      <c r="K645" s="1"/>
      <c r="L645" s="1"/>
      <c r="M645" s="1"/>
      <c r="N645" s="1"/>
    </row>
    <row r="646" ht="14.5" spans="2:14">
      <c r="B646" s="1"/>
      <c r="C646" s="1"/>
      <c r="D646" s="1"/>
      <c r="E646" s="1"/>
      <c r="F646" s="1"/>
      <c r="G646" s="1"/>
      <c r="H646" s="1"/>
      <c r="I646" s="1"/>
      <c r="J646" s="1"/>
      <c r="K646" s="1"/>
      <c r="L646" s="1"/>
      <c r="M646" s="1"/>
      <c r="N646" s="1"/>
    </row>
    <row r="647" ht="14.5" spans="2:14">
      <c r="B647" s="1"/>
      <c r="C647" s="1"/>
      <c r="D647" s="1"/>
      <c r="E647" s="1"/>
      <c r="F647" s="1"/>
      <c r="G647" s="1"/>
      <c r="H647" s="1"/>
      <c r="I647" s="1"/>
      <c r="J647" s="1"/>
      <c r="K647" s="1"/>
      <c r="L647" s="1"/>
      <c r="M647" s="1"/>
      <c r="N647" s="1"/>
    </row>
    <row r="648" ht="14.5" spans="2:14">
      <c r="B648" s="1"/>
      <c r="C648" s="1"/>
      <c r="D648" s="1"/>
      <c r="E648" s="1"/>
      <c r="F648" s="1"/>
      <c r="G648" s="1"/>
      <c r="H648" s="1"/>
      <c r="I648" s="1"/>
      <c r="J648" s="1"/>
      <c r="K648" s="1"/>
      <c r="L648" s="1"/>
      <c r="M648" s="1"/>
      <c r="N648" s="1"/>
    </row>
    <row r="649" ht="14.5" spans="2:14">
      <c r="B649" s="1"/>
      <c r="C649" s="1"/>
      <c r="D649" s="1"/>
      <c r="E649" s="1"/>
      <c r="F649" s="1"/>
      <c r="G649" s="1"/>
      <c r="H649" s="1"/>
      <c r="I649" s="1"/>
      <c r="J649" s="1"/>
      <c r="K649" s="1"/>
      <c r="L649" s="1"/>
      <c r="M649" s="1"/>
      <c r="N649" s="1"/>
    </row>
    <row r="650" ht="14.5" spans="2:14">
      <c r="B650" s="1"/>
      <c r="C650" s="1"/>
      <c r="D650" s="1"/>
      <c r="E650" s="1"/>
      <c r="F650" s="1"/>
      <c r="G650" s="1"/>
      <c r="H650" s="1"/>
      <c r="I650" s="1"/>
      <c r="J650" s="1"/>
      <c r="K650" s="1"/>
      <c r="L650" s="1"/>
      <c r="M650" s="1"/>
      <c r="N650" s="1"/>
    </row>
    <row r="651" ht="14.5" spans="2:14">
      <c r="B651" s="1"/>
      <c r="C651" s="1"/>
      <c r="D651" s="1"/>
      <c r="E651" s="1"/>
      <c r="F651" s="1"/>
      <c r="G651" s="1"/>
      <c r="H651" s="1"/>
      <c r="I651" s="1"/>
      <c r="J651" s="1"/>
      <c r="K651" s="1"/>
      <c r="L651" s="1"/>
      <c r="M651" s="1"/>
      <c r="N651" s="1"/>
    </row>
    <row r="652" ht="14.5" spans="2:14">
      <c r="B652" s="1"/>
      <c r="C652" s="1"/>
      <c r="D652" s="1"/>
      <c r="E652" s="1"/>
      <c r="F652" s="1"/>
      <c r="G652" s="1"/>
      <c r="H652" s="1"/>
      <c r="I652" s="1"/>
      <c r="J652" s="1"/>
      <c r="K652" s="1"/>
      <c r="L652" s="1"/>
      <c r="M652" s="1"/>
      <c r="N652" s="1"/>
    </row>
    <row r="653" ht="14.5" spans="2:14">
      <c r="B653" s="1"/>
      <c r="C653" s="1"/>
      <c r="D653" s="1"/>
      <c r="E653" s="1"/>
      <c r="F653" s="1"/>
      <c r="G653" s="1"/>
      <c r="H653" s="1"/>
      <c r="I653" s="1"/>
      <c r="J653" s="1"/>
      <c r="K653" s="1"/>
      <c r="L653" s="1"/>
      <c r="M653" s="1"/>
      <c r="N653" s="1"/>
    </row>
    <row r="654" ht="14.5" spans="2:14">
      <c r="B654" s="1"/>
      <c r="C654" s="1"/>
      <c r="D654" s="1"/>
      <c r="E654" s="1"/>
      <c r="F654" s="1"/>
      <c r="G654" s="1"/>
      <c r="H654" s="1"/>
      <c r="I654" s="1"/>
      <c r="J654" s="1"/>
      <c r="K654" s="1"/>
      <c r="L654" s="1"/>
      <c r="M654" s="1"/>
      <c r="N654" s="1"/>
    </row>
    <row r="655" ht="14.5" spans="2:14">
      <c r="B655" s="1"/>
      <c r="C655" s="1"/>
      <c r="D655" s="1"/>
      <c r="E655" s="1"/>
      <c r="F655" s="1"/>
      <c r="G655" s="1"/>
      <c r="H655" s="1"/>
      <c r="I655" s="1"/>
      <c r="J655" s="1"/>
      <c r="K655" s="1"/>
      <c r="L655" s="1"/>
      <c r="M655" s="1"/>
      <c r="N655" s="1"/>
    </row>
    <row r="656" ht="14.5" spans="2:14">
      <c r="B656" s="1"/>
      <c r="C656" s="1"/>
      <c r="D656" s="1"/>
      <c r="E656" s="1"/>
      <c r="F656" s="1"/>
      <c r="G656" s="1"/>
      <c r="H656" s="1"/>
      <c r="I656" s="1"/>
      <c r="J656" s="1"/>
      <c r="K656" s="1"/>
      <c r="L656" s="1"/>
      <c r="M656" s="1"/>
      <c r="N656" s="1"/>
    </row>
    <row r="657" ht="14.5" spans="2:14">
      <c r="B657" s="1"/>
      <c r="C657" s="1"/>
      <c r="D657" s="1"/>
      <c r="E657" s="1"/>
      <c r="F657" s="1"/>
      <c r="G657" s="1"/>
      <c r="H657" s="1"/>
      <c r="I657" s="1"/>
      <c r="J657" s="1"/>
      <c r="K657" s="1"/>
      <c r="L657" s="1"/>
      <c r="M657" s="1"/>
      <c r="N657" s="1"/>
    </row>
    <row r="658" ht="14.5" spans="2:14">
      <c r="B658" s="1"/>
      <c r="C658" s="1"/>
      <c r="D658" s="1"/>
      <c r="E658" s="1"/>
      <c r="F658" s="1"/>
      <c r="G658" s="1"/>
      <c r="H658" s="1"/>
      <c r="I658" s="1"/>
      <c r="J658" s="1"/>
      <c r="K658" s="1"/>
      <c r="L658" s="1"/>
      <c r="M658" s="1"/>
      <c r="N658" s="1"/>
    </row>
    <row r="659" ht="14.5" spans="2:14">
      <c r="B659" s="1"/>
      <c r="C659" s="1"/>
      <c r="D659" s="1"/>
      <c r="E659" s="1"/>
      <c r="F659" s="1"/>
      <c r="G659" s="1"/>
      <c r="H659" s="1"/>
      <c r="I659" s="1"/>
      <c r="J659" s="1"/>
      <c r="K659" s="1"/>
      <c r="L659" s="1"/>
      <c r="M659" s="1"/>
      <c r="N659" s="1"/>
    </row>
    <row r="660" ht="14.5" spans="2:14">
      <c r="B660" s="1"/>
      <c r="C660" s="1"/>
      <c r="D660" s="1"/>
      <c r="E660" s="1"/>
      <c r="F660" s="1"/>
      <c r="G660" s="1"/>
      <c r="H660" s="1"/>
      <c r="I660" s="1"/>
      <c r="J660" s="1"/>
      <c r="K660" s="1"/>
      <c r="L660" s="1"/>
      <c r="M660" s="1"/>
      <c r="N660" s="1"/>
    </row>
    <row r="661" ht="14.5" spans="2:14">
      <c r="B661" s="1"/>
      <c r="C661" s="1"/>
      <c r="D661" s="1"/>
      <c r="E661" s="1"/>
      <c r="F661" s="1"/>
      <c r="G661" s="1"/>
      <c r="H661" s="1"/>
      <c r="I661" s="1"/>
      <c r="J661" s="1"/>
      <c r="K661" s="1"/>
      <c r="L661" s="1"/>
      <c r="M661" s="1"/>
      <c r="N661" s="1"/>
    </row>
    <row r="662" ht="14.5" spans="2:14">
      <c r="B662" s="1"/>
      <c r="C662" s="1"/>
      <c r="D662" s="1"/>
      <c r="E662" s="1"/>
      <c r="F662" s="1"/>
      <c r="G662" s="1"/>
      <c r="H662" s="1"/>
      <c r="I662" s="1"/>
      <c r="J662" s="1"/>
      <c r="K662" s="1"/>
      <c r="L662" s="1"/>
      <c r="M662" s="1"/>
      <c r="N662" s="1"/>
    </row>
    <row r="663" ht="14.5" spans="2:14">
      <c r="B663" s="1"/>
      <c r="C663" s="1"/>
      <c r="D663" s="1"/>
      <c r="E663" s="1"/>
      <c r="F663" s="1"/>
      <c r="G663" s="1"/>
      <c r="H663" s="1"/>
      <c r="I663" s="1"/>
      <c r="J663" s="1"/>
      <c r="K663" s="1"/>
      <c r="L663" s="1"/>
      <c r="M663" s="1"/>
      <c r="N663" s="1"/>
    </row>
    <row r="664" ht="14.5" spans="2:14">
      <c r="B664" s="1"/>
      <c r="C664" s="1"/>
      <c r="D664" s="1"/>
      <c r="E664" s="1"/>
      <c r="F664" s="1"/>
      <c r="G664" s="1"/>
      <c r="H664" s="1"/>
      <c r="I664" s="1"/>
      <c r="J664" s="1"/>
      <c r="K664" s="1"/>
      <c r="L664" s="1"/>
      <c r="M664" s="1"/>
      <c r="N664" s="1"/>
    </row>
    <row r="665" ht="14.5" spans="2:14">
      <c r="B665" s="1"/>
      <c r="C665" s="1"/>
      <c r="D665" s="1"/>
      <c r="E665" s="1"/>
      <c r="F665" s="1"/>
      <c r="G665" s="1"/>
      <c r="H665" s="1"/>
      <c r="I665" s="1"/>
      <c r="J665" s="1"/>
      <c r="K665" s="1"/>
      <c r="L665" s="1"/>
      <c r="M665" s="1"/>
      <c r="N665" s="1"/>
    </row>
    <row r="666" ht="14.5" spans="2:14">
      <c r="B666" s="1"/>
      <c r="C666" s="1"/>
      <c r="D666" s="1"/>
      <c r="E666" s="1"/>
      <c r="F666" s="1"/>
      <c r="G666" s="1"/>
      <c r="H666" s="1"/>
      <c r="I666" s="1"/>
      <c r="J666" s="1"/>
      <c r="K666" s="1"/>
      <c r="L666" s="1"/>
      <c r="M666" s="1"/>
      <c r="N666" s="1"/>
    </row>
    <row r="667" ht="14.5" spans="2:14">
      <c r="B667" s="1"/>
      <c r="C667" s="1"/>
      <c r="D667" s="1"/>
      <c r="E667" s="1"/>
      <c r="F667" s="1"/>
      <c r="G667" s="1"/>
      <c r="H667" s="1"/>
      <c r="I667" s="1"/>
      <c r="J667" s="1"/>
      <c r="K667" s="1"/>
      <c r="L667" s="1"/>
      <c r="M667" s="1"/>
      <c r="N667" s="1"/>
    </row>
    <row r="668" ht="14.5" spans="2:14">
      <c r="B668" s="1"/>
      <c r="C668" s="1"/>
      <c r="D668" s="1"/>
      <c r="E668" s="1"/>
      <c r="F668" s="1"/>
      <c r="G668" s="1"/>
      <c r="H668" s="1"/>
      <c r="I668" s="1"/>
      <c r="J668" s="1"/>
      <c r="K668" s="1"/>
      <c r="L668" s="1"/>
      <c r="M668" s="1"/>
      <c r="N668" s="1"/>
    </row>
    <row r="669" ht="14.5" spans="2:14">
      <c r="B669" s="1"/>
      <c r="C669" s="1"/>
      <c r="D669" s="1"/>
      <c r="E669" s="1"/>
      <c r="F669" s="1"/>
      <c r="G669" s="1"/>
      <c r="H669" s="1"/>
      <c r="I669" s="1"/>
      <c r="J669" s="1"/>
      <c r="K669" s="1"/>
      <c r="L669" s="1"/>
      <c r="M669" s="1"/>
      <c r="N669" s="1"/>
    </row>
    <row r="670" ht="14.5" spans="2:14">
      <c r="B670" s="1"/>
      <c r="C670" s="1"/>
      <c r="D670" s="1"/>
      <c r="E670" s="1"/>
      <c r="F670" s="1"/>
      <c r="G670" s="1"/>
      <c r="H670" s="1"/>
      <c r="I670" s="1"/>
      <c r="J670" s="1"/>
      <c r="K670" s="1"/>
      <c r="L670" s="1"/>
      <c r="M670" s="1"/>
      <c r="N670" s="1"/>
    </row>
    <row r="671" ht="14.5" spans="2:14">
      <c r="B671" s="1"/>
      <c r="C671" s="1"/>
      <c r="D671" s="1"/>
      <c r="E671" s="1"/>
      <c r="F671" s="1"/>
      <c r="G671" s="1"/>
      <c r="H671" s="1"/>
      <c r="I671" s="1"/>
      <c r="J671" s="1"/>
      <c r="K671" s="1"/>
      <c r="L671" s="1"/>
      <c r="M671" s="1"/>
      <c r="N671" s="1"/>
    </row>
    <row r="672" ht="14.5" spans="2:14">
      <c r="B672" s="1"/>
      <c r="C672" s="1"/>
      <c r="D672" s="1"/>
      <c r="E672" s="1"/>
      <c r="F672" s="1"/>
      <c r="G672" s="1"/>
      <c r="H672" s="1"/>
      <c r="I672" s="1"/>
      <c r="J672" s="1"/>
      <c r="K672" s="1"/>
      <c r="L672" s="1"/>
      <c r="M672" s="1"/>
      <c r="N672" s="1"/>
    </row>
    <row r="673" ht="14.5" spans="2:14">
      <c r="B673" s="1"/>
      <c r="C673" s="1"/>
      <c r="D673" s="1"/>
      <c r="E673" s="1"/>
      <c r="F673" s="1"/>
      <c r="G673" s="1"/>
      <c r="H673" s="1"/>
      <c r="I673" s="1"/>
      <c r="J673" s="1"/>
      <c r="K673" s="1"/>
      <c r="L673" s="1"/>
      <c r="M673" s="1"/>
      <c r="N673" s="1"/>
    </row>
    <row r="674" ht="14.5" spans="2:14">
      <c r="B674" s="1"/>
      <c r="C674" s="1"/>
      <c r="D674" s="1"/>
      <c r="E674" s="1"/>
      <c r="F674" s="1"/>
      <c r="G674" s="1"/>
      <c r="H674" s="1"/>
      <c r="I674" s="1"/>
      <c r="J674" s="1"/>
      <c r="K674" s="1"/>
      <c r="L674" s="1"/>
      <c r="M674" s="1"/>
      <c r="N674" s="1"/>
    </row>
    <row r="675" ht="14.5" spans="2:14">
      <c r="B675" s="1"/>
      <c r="C675" s="1"/>
      <c r="D675" s="1"/>
      <c r="E675" s="1"/>
      <c r="F675" s="1"/>
      <c r="G675" s="1"/>
      <c r="H675" s="1"/>
      <c r="I675" s="1"/>
      <c r="J675" s="1"/>
      <c r="K675" s="1"/>
      <c r="L675" s="1"/>
      <c r="M675" s="1"/>
      <c r="N675" s="1"/>
    </row>
    <row r="676" ht="14.5" spans="2:14">
      <c r="B676" s="1"/>
      <c r="C676" s="1"/>
      <c r="D676" s="1"/>
      <c r="E676" s="1"/>
      <c r="F676" s="1"/>
      <c r="G676" s="1"/>
      <c r="H676" s="1"/>
      <c r="I676" s="1"/>
      <c r="J676" s="1"/>
      <c r="K676" s="1"/>
      <c r="L676" s="1"/>
      <c r="M676" s="1"/>
      <c r="N676" s="1"/>
    </row>
    <row r="677" ht="14.5" spans="2:14">
      <c r="B677" s="1"/>
      <c r="C677" s="1"/>
      <c r="D677" s="1"/>
      <c r="E677" s="1"/>
      <c r="F677" s="1"/>
      <c r="G677" s="1"/>
      <c r="H677" s="1"/>
      <c r="I677" s="1"/>
      <c r="J677" s="1"/>
      <c r="K677" s="1"/>
      <c r="L677" s="1"/>
      <c r="M677" s="1"/>
      <c r="N677" s="1"/>
    </row>
    <row r="678" ht="14.5" spans="2:14">
      <c r="B678" s="1"/>
      <c r="C678" s="1"/>
      <c r="D678" s="1"/>
      <c r="E678" s="1"/>
      <c r="F678" s="1"/>
      <c r="G678" s="1"/>
      <c r="H678" s="1"/>
      <c r="I678" s="1"/>
      <c r="J678" s="1"/>
      <c r="K678" s="1"/>
      <c r="L678" s="1"/>
      <c r="M678" s="1"/>
      <c r="N678" s="1"/>
    </row>
    <row r="679" ht="14.5" spans="2:14">
      <c r="B679" s="1"/>
      <c r="C679" s="1"/>
      <c r="D679" s="1"/>
      <c r="E679" s="1"/>
      <c r="F679" s="1"/>
      <c r="G679" s="1"/>
      <c r="H679" s="1"/>
      <c r="I679" s="1"/>
      <c r="J679" s="1"/>
      <c r="K679" s="1"/>
      <c r="L679" s="1"/>
      <c r="M679" s="1"/>
      <c r="N679" s="1"/>
    </row>
    <row r="680" ht="14.5" spans="2:14">
      <c r="B680" s="1"/>
      <c r="C680" s="1"/>
      <c r="D680" s="1"/>
      <c r="E680" s="1"/>
      <c r="F680" s="1"/>
      <c r="G680" s="1"/>
      <c r="H680" s="1"/>
      <c r="I680" s="1"/>
      <c r="J680" s="1"/>
      <c r="K680" s="1"/>
      <c r="L680" s="1"/>
      <c r="M680" s="1"/>
      <c r="N680" s="1"/>
    </row>
    <row r="681" ht="14.5" spans="2:14">
      <c r="B681" s="1"/>
      <c r="C681" s="1"/>
      <c r="D681" s="1"/>
      <c r="E681" s="1"/>
      <c r="F681" s="1"/>
      <c r="G681" s="1"/>
      <c r="H681" s="1"/>
      <c r="I681" s="1"/>
      <c r="J681" s="1"/>
      <c r="K681" s="1"/>
      <c r="L681" s="1"/>
      <c r="M681" s="1"/>
      <c r="N681" s="1"/>
    </row>
    <row r="682" ht="14.5" spans="2:14">
      <c r="B682" s="1"/>
      <c r="C682" s="1"/>
      <c r="D682" s="1"/>
      <c r="E682" s="1"/>
      <c r="F682" s="1"/>
      <c r="G682" s="1"/>
      <c r="H682" s="1"/>
      <c r="I682" s="1"/>
      <c r="J682" s="1"/>
      <c r="K682" s="1"/>
      <c r="L682" s="1"/>
      <c r="M682" s="1"/>
      <c r="N682" s="1"/>
    </row>
    <row r="683" ht="14.5" spans="2:14">
      <c r="B683" s="1"/>
      <c r="C683" s="1"/>
      <c r="D683" s="1"/>
      <c r="E683" s="1"/>
      <c r="F683" s="1"/>
      <c r="G683" s="1"/>
      <c r="H683" s="1"/>
      <c r="I683" s="1"/>
      <c r="J683" s="1"/>
      <c r="K683" s="1"/>
      <c r="L683" s="1"/>
      <c r="M683" s="1"/>
      <c r="N683" s="1"/>
    </row>
    <row r="684" ht="14.5" spans="2:14">
      <c r="B684" s="1"/>
      <c r="C684" s="1"/>
      <c r="D684" s="1"/>
      <c r="E684" s="1"/>
      <c r="F684" s="1"/>
      <c r="G684" s="1"/>
      <c r="H684" s="1"/>
      <c r="I684" s="1"/>
      <c r="J684" s="1"/>
      <c r="K684" s="1"/>
      <c r="L684" s="1"/>
      <c r="M684" s="1"/>
      <c r="N684" s="1"/>
    </row>
    <row r="685" ht="14.5" spans="2:14">
      <c r="B685" s="1"/>
      <c r="C685" s="1"/>
      <c r="D685" s="1"/>
      <c r="E685" s="1"/>
      <c r="F685" s="1"/>
      <c r="G685" s="1"/>
      <c r="H685" s="1"/>
      <c r="I685" s="1"/>
      <c r="J685" s="1"/>
      <c r="K685" s="1"/>
      <c r="L685" s="1"/>
      <c r="M685" s="1"/>
      <c r="N685" s="1"/>
    </row>
    <row r="686" ht="14.5" spans="2:14">
      <c r="B686" s="1"/>
      <c r="C686" s="1"/>
      <c r="D686" s="1"/>
      <c r="E686" s="1"/>
      <c r="F686" s="1"/>
      <c r="G686" s="1"/>
      <c r="H686" s="1"/>
      <c r="I686" s="1"/>
      <c r="J686" s="1"/>
      <c r="K686" s="1"/>
      <c r="L686" s="1"/>
      <c r="M686" s="1"/>
      <c r="N686" s="1"/>
    </row>
    <row r="687" ht="14.5" spans="2:14">
      <c r="B687" s="1"/>
      <c r="C687" s="1"/>
      <c r="D687" s="1"/>
      <c r="E687" s="1"/>
      <c r="F687" s="1"/>
      <c r="G687" s="1"/>
      <c r="H687" s="1"/>
      <c r="I687" s="1"/>
      <c r="J687" s="1"/>
      <c r="K687" s="1"/>
      <c r="L687" s="1"/>
      <c r="M687" s="1"/>
      <c r="N687" s="1"/>
    </row>
    <row r="688" ht="14.5" spans="2:14">
      <c r="B688" s="1"/>
      <c r="C688" s="1"/>
      <c r="D688" s="1"/>
      <c r="E688" s="1"/>
      <c r="F688" s="1"/>
      <c r="G688" s="1"/>
      <c r="H688" s="1"/>
      <c r="I688" s="1"/>
      <c r="J688" s="1"/>
      <c r="K688" s="1"/>
      <c r="L688" s="1"/>
      <c r="M688" s="1"/>
      <c r="N688" s="1"/>
    </row>
    <row r="689" ht="14.5" spans="2:14">
      <c r="B689" s="1"/>
      <c r="C689" s="1"/>
      <c r="D689" s="1"/>
      <c r="E689" s="1"/>
      <c r="F689" s="1"/>
      <c r="G689" s="1"/>
      <c r="H689" s="1"/>
      <c r="I689" s="1"/>
      <c r="J689" s="1"/>
      <c r="K689" s="1"/>
      <c r="L689" s="1"/>
      <c r="M689" s="1"/>
      <c r="N689" s="1"/>
    </row>
    <row r="690" ht="14.5" spans="2:14">
      <c r="B690" s="1"/>
      <c r="C690" s="1"/>
      <c r="D690" s="1"/>
      <c r="E690" s="1"/>
      <c r="F690" s="1"/>
      <c r="G690" s="1"/>
      <c r="H690" s="1"/>
      <c r="I690" s="1"/>
      <c r="J690" s="1"/>
      <c r="K690" s="1"/>
      <c r="L690" s="1"/>
      <c r="M690" s="1"/>
      <c r="N690" s="1"/>
    </row>
    <row r="691" ht="14.5" spans="2:14">
      <c r="B691" s="1"/>
      <c r="C691" s="1"/>
      <c r="D691" s="1"/>
      <c r="E691" s="1"/>
      <c r="F691" s="1"/>
      <c r="G691" s="1"/>
      <c r="H691" s="1"/>
      <c r="I691" s="1"/>
      <c r="J691" s="1"/>
      <c r="K691" s="1"/>
      <c r="L691" s="1"/>
      <c r="M691" s="1"/>
      <c r="N691" s="1"/>
    </row>
    <row r="692" ht="14.5" spans="2:14">
      <c r="B692" s="1"/>
      <c r="C692" s="1"/>
      <c r="D692" s="1"/>
      <c r="E692" s="1"/>
      <c r="F692" s="1"/>
      <c r="G692" s="1"/>
      <c r="H692" s="1"/>
      <c r="I692" s="1"/>
      <c r="J692" s="1"/>
      <c r="K692" s="1"/>
      <c r="L692" s="1"/>
      <c r="M692" s="1"/>
      <c r="N692" s="1"/>
    </row>
    <row r="693" ht="14.5" spans="2:14">
      <c r="B693" s="1"/>
      <c r="C693" s="1"/>
      <c r="D693" s="1"/>
      <c r="E693" s="1"/>
      <c r="F693" s="1"/>
      <c r="G693" s="1"/>
      <c r="H693" s="1"/>
      <c r="I693" s="1"/>
      <c r="J693" s="1"/>
      <c r="K693" s="1"/>
      <c r="L693" s="1"/>
      <c r="M693" s="1"/>
      <c r="N693" s="1"/>
    </row>
    <row r="694" ht="14.5" spans="2:14">
      <c r="B694" s="1"/>
      <c r="C694" s="1"/>
      <c r="D694" s="1"/>
      <c r="E694" s="1"/>
      <c r="F694" s="1"/>
      <c r="G694" s="1"/>
      <c r="H694" s="1"/>
      <c r="I694" s="1"/>
      <c r="J694" s="1"/>
      <c r="K694" s="1"/>
      <c r="L694" s="1"/>
      <c r="M694" s="1"/>
      <c r="N694" s="1"/>
    </row>
    <row r="695" ht="14.5" spans="2:14">
      <c r="B695" s="1"/>
      <c r="C695" s="1"/>
      <c r="D695" s="1"/>
      <c r="E695" s="1"/>
      <c r="F695" s="1"/>
      <c r="G695" s="1"/>
      <c r="H695" s="1"/>
      <c r="I695" s="1"/>
      <c r="J695" s="1"/>
      <c r="K695" s="1"/>
      <c r="L695" s="1"/>
      <c r="M695" s="1"/>
      <c r="N695" s="1"/>
    </row>
    <row r="696" ht="14.5" spans="2:14">
      <c r="B696" s="1"/>
      <c r="C696" s="1"/>
      <c r="D696" s="1"/>
      <c r="E696" s="1"/>
      <c r="F696" s="1"/>
      <c r="G696" s="1"/>
      <c r="H696" s="1"/>
      <c r="I696" s="1"/>
      <c r="J696" s="1"/>
      <c r="K696" s="1"/>
      <c r="L696" s="1"/>
      <c r="M696" s="1"/>
      <c r="N696" s="1"/>
    </row>
    <row r="697" ht="14.5" spans="2:14">
      <c r="B697" s="1"/>
      <c r="C697" s="1"/>
      <c r="D697" s="1"/>
      <c r="E697" s="1"/>
      <c r="F697" s="1"/>
      <c r="G697" s="1"/>
      <c r="H697" s="1"/>
      <c r="I697" s="1"/>
      <c r="J697" s="1"/>
      <c r="K697" s="1"/>
      <c r="L697" s="1"/>
      <c r="M697" s="1"/>
      <c r="N697" s="1"/>
    </row>
    <row r="698" ht="14.5" spans="2:14">
      <c r="B698" s="1"/>
      <c r="C698" s="1"/>
      <c r="D698" s="1"/>
      <c r="E698" s="1"/>
      <c r="F698" s="1"/>
      <c r="G698" s="1"/>
      <c r="H698" s="1"/>
      <c r="I698" s="1"/>
      <c r="J698" s="1"/>
      <c r="K698" s="1"/>
      <c r="L698" s="1"/>
      <c r="M698" s="1"/>
      <c r="N698" s="1"/>
    </row>
    <row r="699" ht="14.5" spans="2:14">
      <c r="B699" s="1"/>
      <c r="C699" s="1"/>
      <c r="D699" s="1"/>
      <c r="E699" s="1"/>
      <c r="F699" s="1"/>
      <c r="G699" s="1"/>
      <c r="H699" s="1"/>
      <c r="I699" s="1"/>
      <c r="J699" s="1"/>
      <c r="K699" s="1"/>
      <c r="L699" s="1"/>
      <c r="M699" s="1"/>
      <c r="N699" s="1"/>
    </row>
    <row r="700" ht="14.5" spans="2:14">
      <c r="B700" s="1"/>
      <c r="C700" s="1"/>
      <c r="D700" s="1"/>
      <c r="E700" s="1"/>
      <c r="F700" s="1"/>
      <c r="G700" s="1"/>
      <c r="H700" s="1"/>
      <c r="I700" s="1"/>
      <c r="J700" s="1"/>
      <c r="K700" s="1"/>
      <c r="L700" s="1"/>
      <c r="M700" s="1"/>
      <c r="N700" s="1"/>
    </row>
    <row r="701" ht="14.5" spans="2:14">
      <c r="B701" s="1"/>
      <c r="C701" s="1"/>
      <c r="D701" s="1"/>
      <c r="E701" s="1"/>
      <c r="F701" s="1"/>
      <c r="G701" s="1"/>
      <c r="H701" s="1"/>
      <c r="I701" s="1"/>
      <c r="J701" s="1"/>
      <c r="K701" s="1"/>
      <c r="L701" s="1"/>
      <c r="M701" s="1"/>
      <c r="N701" s="1"/>
    </row>
    <row r="702" ht="14.5" spans="2:14">
      <c r="B702" s="1"/>
      <c r="C702" s="1"/>
      <c r="D702" s="1"/>
      <c r="E702" s="1"/>
      <c r="F702" s="1"/>
      <c r="G702" s="1"/>
      <c r="H702" s="1"/>
      <c r="I702" s="1"/>
      <c r="J702" s="1"/>
      <c r="K702" s="1"/>
      <c r="L702" s="1"/>
      <c r="M702" s="1"/>
      <c r="N702" s="1"/>
    </row>
    <row r="703" ht="14.5" spans="2:14">
      <c r="B703" s="1"/>
      <c r="C703" s="1"/>
      <c r="D703" s="1"/>
      <c r="E703" s="1"/>
      <c r="F703" s="1"/>
      <c r="G703" s="1"/>
      <c r="H703" s="1"/>
      <c r="I703" s="1"/>
      <c r="J703" s="1"/>
      <c r="K703" s="1"/>
      <c r="L703" s="1"/>
      <c r="M703" s="1"/>
      <c r="N703" s="1"/>
    </row>
    <row r="704" ht="14.5" spans="2:14">
      <c r="B704" s="1"/>
      <c r="C704" s="1"/>
      <c r="D704" s="1"/>
      <c r="E704" s="1"/>
      <c r="F704" s="1"/>
      <c r="G704" s="1"/>
      <c r="H704" s="1"/>
      <c r="I704" s="1"/>
      <c r="J704" s="1"/>
      <c r="K704" s="1"/>
      <c r="L704" s="1"/>
      <c r="M704" s="1"/>
      <c r="N704" s="1"/>
    </row>
    <row r="705" ht="14.5" spans="2:14">
      <c r="B705" s="1"/>
      <c r="C705" s="1"/>
      <c r="D705" s="1"/>
      <c r="E705" s="1"/>
      <c r="F705" s="1"/>
      <c r="G705" s="1"/>
      <c r="H705" s="1"/>
      <c r="I705" s="1"/>
      <c r="J705" s="1"/>
      <c r="K705" s="1"/>
      <c r="L705" s="1"/>
      <c r="M705" s="1"/>
      <c r="N705" s="1"/>
    </row>
    <row r="706" ht="14.5" spans="2:14">
      <c r="B706" s="1"/>
      <c r="C706" s="1"/>
      <c r="D706" s="1"/>
      <c r="E706" s="1"/>
      <c r="F706" s="1"/>
      <c r="G706" s="1"/>
      <c r="H706" s="1"/>
      <c r="I706" s="1"/>
      <c r="J706" s="1"/>
      <c r="K706" s="1"/>
      <c r="L706" s="1"/>
      <c r="M706" s="1"/>
      <c r="N706" s="1"/>
    </row>
    <row r="707" ht="14.5" spans="2:14">
      <c r="B707" s="1"/>
      <c r="C707" s="1"/>
      <c r="D707" s="1"/>
      <c r="E707" s="1"/>
      <c r="F707" s="1"/>
      <c r="G707" s="1"/>
      <c r="H707" s="1"/>
      <c r="I707" s="1"/>
      <c r="J707" s="1"/>
      <c r="K707" s="1"/>
      <c r="L707" s="1"/>
      <c r="M707" s="1"/>
      <c r="N707" s="1"/>
    </row>
    <row r="708" ht="14.5" spans="2:14">
      <c r="B708" s="1"/>
      <c r="C708" s="1"/>
      <c r="D708" s="1"/>
      <c r="E708" s="1"/>
      <c r="F708" s="1"/>
      <c r="G708" s="1"/>
      <c r="H708" s="1"/>
      <c r="I708" s="1"/>
      <c r="J708" s="1"/>
      <c r="K708" s="1"/>
      <c r="L708" s="1"/>
      <c r="M708" s="1"/>
      <c r="N708" s="1"/>
    </row>
    <row r="709" ht="14.5" spans="2:14">
      <c r="B709" s="1"/>
      <c r="C709" s="1"/>
      <c r="D709" s="1"/>
      <c r="E709" s="1"/>
      <c r="F709" s="1"/>
      <c r="G709" s="1"/>
      <c r="H709" s="1"/>
      <c r="I709" s="1"/>
      <c r="J709" s="1"/>
      <c r="K709" s="1"/>
      <c r="L709" s="1"/>
      <c r="M709" s="1"/>
      <c r="N709" s="1"/>
    </row>
    <row r="710" ht="14.5" spans="2:14">
      <c r="B710" s="1"/>
      <c r="C710" s="1"/>
      <c r="D710" s="1"/>
      <c r="E710" s="1"/>
      <c r="F710" s="1"/>
      <c r="G710" s="1"/>
      <c r="H710" s="1"/>
      <c r="I710" s="1"/>
      <c r="J710" s="1"/>
      <c r="K710" s="1"/>
      <c r="L710" s="1"/>
      <c r="M710" s="1"/>
      <c r="N710" s="1"/>
    </row>
    <row r="711" ht="14.5" spans="2:14">
      <c r="B711" s="1"/>
      <c r="C711" s="1"/>
      <c r="D711" s="1"/>
      <c r="E711" s="1"/>
      <c r="F711" s="1"/>
      <c r="G711" s="1"/>
      <c r="H711" s="1"/>
      <c r="I711" s="1"/>
      <c r="J711" s="1"/>
      <c r="K711" s="1"/>
      <c r="L711" s="1"/>
      <c r="M711" s="1"/>
      <c r="N711" s="1"/>
    </row>
    <row r="712" ht="14.5" spans="2:14">
      <c r="B712" s="1"/>
      <c r="C712" s="1"/>
      <c r="D712" s="1"/>
      <c r="E712" s="1"/>
      <c r="F712" s="1"/>
      <c r="G712" s="1"/>
      <c r="H712" s="1"/>
      <c r="I712" s="1"/>
      <c r="J712" s="1"/>
      <c r="K712" s="1"/>
      <c r="L712" s="1"/>
      <c r="M712" s="1"/>
      <c r="N712" s="1"/>
    </row>
    <row r="713" ht="14.5" spans="2:14">
      <c r="B713" s="1"/>
      <c r="C713" s="1"/>
      <c r="D713" s="1"/>
      <c r="E713" s="1"/>
      <c r="F713" s="1"/>
      <c r="G713" s="1"/>
      <c r="H713" s="1"/>
      <c r="I713" s="1"/>
      <c r="J713" s="1"/>
      <c r="K713" s="1"/>
      <c r="L713" s="1"/>
      <c r="M713" s="1"/>
      <c r="N713" s="1"/>
    </row>
    <row r="714" ht="14.5" spans="2:14">
      <c r="B714" s="1"/>
      <c r="C714" s="1"/>
      <c r="D714" s="1"/>
      <c r="E714" s="1"/>
      <c r="F714" s="1"/>
      <c r="G714" s="1"/>
      <c r="H714" s="1"/>
      <c r="I714" s="1"/>
      <c r="J714" s="1"/>
      <c r="K714" s="1"/>
      <c r="L714" s="1"/>
      <c r="M714" s="1"/>
      <c r="N714" s="1"/>
    </row>
    <row r="715" ht="14.5" spans="2:14">
      <c r="B715" s="1"/>
      <c r="C715" s="1"/>
      <c r="D715" s="1"/>
      <c r="E715" s="1"/>
      <c r="F715" s="1"/>
      <c r="G715" s="1"/>
      <c r="H715" s="1"/>
      <c r="I715" s="1"/>
      <c r="J715" s="1"/>
      <c r="K715" s="1"/>
      <c r="L715" s="1"/>
      <c r="M715" s="1"/>
      <c r="N715" s="1"/>
    </row>
    <row r="716" ht="14.5" spans="2:14">
      <c r="B716" s="1"/>
      <c r="C716" s="1"/>
      <c r="D716" s="1"/>
      <c r="E716" s="1"/>
      <c r="F716" s="1"/>
      <c r="G716" s="1"/>
      <c r="H716" s="1"/>
      <c r="I716" s="1"/>
      <c r="J716" s="1"/>
      <c r="K716" s="1"/>
      <c r="L716" s="1"/>
      <c r="M716" s="1"/>
      <c r="N716" s="1"/>
    </row>
    <row r="717" ht="14.5" spans="2:14">
      <c r="B717" s="1"/>
      <c r="C717" s="1"/>
      <c r="D717" s="1"/>
      <c r="E717" s="1"/>
      <c r="F717" s="1"/>
      <c r="G717" s="1"/>
      <c r="H717" s="1"/>
      <c r="I717" s="1"/>
      <c r="J717" s="1"/>
      <c r="K717" s="1"/>
      <c r="L717" s="1"/>
      <c r="M717" s="1"/>
      <c r="N717" s="1"/>
    </row>
    <row r="718" ht="14.5" spans="2:14">
      <c r="B718" s="1"/>
      <c r="C718" s="1"/>
      <c r="D718" s="1"/>
      <c r="E718" s="1"/>
      <c r="F718" s="1"/>
      <c r="G718" s="1"/>
      <c r="H718" s="1"/>
      <c r="I718" s="1"/>
      <c r="J718" s="1"/>
      <c r="K718" s="1"/>
      <c r="L718" s="1"/>
      <c r="M718" s="1"/>
      <c r="N718" s="1"/>
    </row>
    <row r="719" ht="14.5" spans="2:14">
      <c r="B719" s="1"/>
      <c r="C719" s="1"/>
      <c r="D719" s="1"/>
      <c r="E719" s="1"/>
      <c r="F719" s="1"/>
      <c r="G719" s="1"/>
      <c r="H719" s="1"/>
      <c r="I719" s="1"/>
      <c r="J719" s="1"/>
      <c r="K719" s="1"/>
      <c r="L719" s="1"/>
      <c r="M719" s="1"/>
      <c r="N719" s="1"/>
    </row>
    <row r="720" ht="14.5" spans="2:14">
      <c r="B720" s="1"/>
      <c r="C720" s="1"/>
      <c r="D720" s="1"/>
      <c r="E720" s="1"/>
      <c r="F720" s="1"/>
      <c r="G720" s="1"/>
      <c r="H720" s="1"/>
      <c r="I720" s="1"/>
      <c r="J720" s="1"/>
      <c r="K720" s="1"/>
      <c r="L720" s="1"/>
      <c r="M720" s="1"/>
      <c r="N720" s="1"/>
    </row>
    <row r="721" ht="14.5" spans="2:14">
      <c r="B721" s="1"/>
      <c r="C721" s="1"/>
      <c r="D721" s="1"/>
      <c r="E721" s="1"/>
      <c r="F721" s="1"/>
      <c r="G721" s="1"/>
      <c r="H721" s="1"/>
      <c r="I721" s="1"/>
      <c r="J721" s="1"/>
      <c r="K721" s="1"/>
      <c r="L721" s="1"/>
      <c r="M721" s="1"/>
      <c r="N721" s="1"/>
    </row>
    <row r="722" ht="14.5" spans="2:14">
      <c r="B722" s="1"/>
      <c r="C722" s="1"/>
      <c r="D722" s="1"/>
      <c r="E722" s="1"/>
      <c r="F722" s="1"/>
      <c r="G722" s="1"/>
      <c r="H722" s="1"/>
      <c r="I722" s="1"/>
      <c r="J722" s="1"/>
      <c r="K722" s="1"/>
      <c r="L722" s="1"/>
      <c r="M722" s="1"/>
      <c r="N722" s="1"/>
    </row>
    <row r="723" ht="14.5" spans="2:14">
      <c r="B723" s="1"/>
      <c r="C723" s="1"/>
      <c r="D723" s="1"/>
      <c r="E723" s="1"/>
      <c r="F723" s="1"/>
      <c r="G723" s="1"/>
      <c r="H723" s="1"/>
      <c r="I723" s="1"/>
      <c r="J723" s="1"/>
      <c r="K723" s="1"/>
      <c r="L723" s="1"/>
      <c r="M723" s="1"/>
      <c r="N723" s="1"/>
    </row>
    <row r="724" ht="14.5" spans="2:14">
      <c r="B724" s="1"/>
      <c r="C724" s="1"/>
      <c r="D724" s="1"/>
      <c r="E724" s="1"/>
      <c r="F724" s="1"/>
      <c r="G724" s="1"/>
      <c r="H724" s="1"/>
      <c r="I724" s="1"/>
      <c r="J724" s="1"/>
      <c r="K724" s="1"/>
      <c r="L724" s="1"/>
      <c r="M724" s="1"/>
      <c r="N724" s="1"/>
    </row>
    <row r="725" ht="14.5" spans="2:14">
      <c r="B725" s="1"/>
      <c r="C725" s="1"/>
      <c r="D725" s="1"/>
      <c r="E725" s="1"/>
      <c r="F725" s="1"/>
      <c r="G725" s="1"/>
      <c r="H725" s="1"/>
      <c r="I725" s="1"/>
      <c r="J725" s="1"/>
      <c r="K725" s="1"/>
      <c r="L725" s="1"/>
      <c r="M725" s="1"/>
      <c r="N725" s="1"/>
    </row>
    <row r="726" ht="14.5" spans="2:14">
      <c r="B726" s="1"/>
      <c r="C726" s="1"/>
      <c r="D726" s="1"/>
      <c r="E726" s="1"/>
      <c r="F726" s="1"/>
      <c r="G726" s="1"/>
      <c r="H726" s="1"/>
      <c r="I726" s="1"/>
      <c r="J726" s="1"/>
      <c r="K726" s="1"/>
      <c r="L726" s="1"/>
      <c r="M726" s="1"/>
      <c r="N726" s="1"/>
    </row>
    <row r="727" ht="14.5" spans="2:14">
      <c r="B727" s="1"/>
      <c r="C727" s="1"/>
      <c r="D727" s="1"/>
      <c r="E727" s="1"/>
      <c r="F727" s="1"/>
      <c r="G727" s="1"/>
      <c r="H727" s="1"/>
      <c r="I727" s="1"/>
      <c r="J727" s="1"/>
      <c r="K727" s="1"/>
      <c r="L727" s="1"/>
      <c r="M727" s="1"/>
      <c r="N727" s="1"/>
    </row>
    <row r="728" ht="14.5" spans="2:14">
      <c r="B728" s="1"/>
      <c r="C728" s="1"/>
      <c r="D728" s="1"/>
      <c r="E728" s="1"/>
      <c r="F728" s="1"/>
      <c r="G728" s="1"/>
      <c r="H728" s="1"/>
      <c r="I728" s="1"/>
      <c r="J728" s="1"/>
      <c r="K728" s="1"/>
      <c r="L728" s="1"/>
      <c r="M728" s="1"/>
      <c r="N728" s="1"/>
    </row>
    <row r="729" ht="14.5" spans="2:14">
      <c r="B729" s="1"/>
      <c r="C729" s="1"/>
      <c r="D729" s="1"/>
      <c r="E729" s="1"/>
      <c r="F729" s="1"/>
      <c r="G729" s="1"/>
      <c r="H729" s="1"/>
      <c r="I729" s="1"/>
      <c r="J729" s="1"/>
      <c r="K729" s="1"/>
      <c r="L729" s="1"/>
      <c r="M729" s="1"/>
      <c r="N729" s="1"/>
    </row>
    <row r="730" ht="14.5" spans="2:14">
      <c r="B730" s="1"/>
      <c r="C730" s="1"/>
      <c r="D730" s="1"/>
      <c r="E730" s="1"/>
      <c r="F730" s="1"/>
      <c r="G730" s="1"/>
      <c r="H730" s="1"/>
      <c r="I730" s="1"/>
      <c r="J730" s="1"/>
      <c r="K730" s="1"/>
      <c r="L730" s="1"/>
      <c r="M730" s="1"/>
      <c r="N730" s="1"/>
    </row>
    <row r="731" ht="14.5" spans="2:14">
      <c r="B731" s="1"/>
      <c r="C731" s="1"/>
      <c r="D731" s="1"/>
      <c r="E731" s="1"/>
      <c r="F731" s="1"/>
      <c r="G731" s="1"/>
      <c r="H731" s="1"/>
      <c r="I731" s="1"/>
      <c r="J731" s="1"/>
      <c r="K731" s="1"/>
      <c r="L731" s="1"/>
      <c r="M731" s="1"/>
      <c r="N731" s="1"/>
    </row>
    <row r="732" ht="14.5" spans="2:14">
      <c r="B732" s="1"/>
      <c r="C732" s="1"/>
      <c r="D732" s="1"/>
      <c r="E732" s="1"/>
      <c r="F732" s="1"/>
      <c r="G732" s="1"/>
      <c r="H732" s="1"/>
      <c r="I732" s="1"/>
      <c r="J732" s="1"/>
      <c r="K732" s="1"/>
      <c r="L732" s="1"/>
      <c r="M732" s="1"/>
      <c r="N732" s="1"/>
    </row>
    <row r="733" ht="14.5" spans="2:14">
      <c r="B733" s="1"/>
      <c r="C733" s="1"/>
      <c r="D733" s="1"/>
      <c r="E733" s="1"/>
      <c r="F733" s="1"/>
      <c r="G733" s="1"/>
      <c r="H733" s="1"/>
      <c r="I733" s="1"/>
      <c r="J733" s="1"/>
      <c r="K733" s="1"/>
      <c r="L733" s="1"/>
      <c r="M733" s="1"/>
      <c r="N733" s="1"/>
    </row>
    <row r="734" ht="14.5" spans="2:14">
      <c r="B734" s="1"/>
      <c r="C734" s="1"/>
      <c r="D734" s="1"/>
      <c r="E734" s="1"/>
      <c r="F734" s="1"/>
      <c r="G734" s="1"/>
      <c r="H734" s="1"/>
      <c r="I734" s="1"/>
      <c r="J734" s="1"/>
      <c r="K734" s="1"/>
      <c r="L734" s="1"/>
      <c r="M734" s="1"/>
      <c r="N734" s="1"/>
    </row>
    <row r="735" ht="14.5" spans="2:14">
      <c r="B735" s="1"/>
      <c r="C735" s="1"/>
      <c r="D735" s="1"/>
      <c r="E735" s="1"/>
      <c r="F735" s="1"/>
      <c r="G735" s="1"/>
      <c r="H735" s="1"/>
      <c r="I735" s="1"/>
      <c r="J735" s="1"/>
      <c r="K735" s="1"/>
      <c r="L735" s="1"/>
      <c r="M735" s="1"/>
      <c r="N735" s="1"/>
    </row>
    <row r="736" ht="14.5" spans="2:14">
      <c r="B736" s="1"/>
      <c r="C736" s="1"/>
      <c r="D736" s="1"/>
      <c r="E736" s="1"/>
      <c r="F736" s="1"/>
      <c r="G736" s="1"/>
      <c r="H736" s="1"/>
      <c r="I736" s="1"/>
      <c r="J736" s="1"/>
      <c r="K736" s="1"/>
      <c r="L736" s="1"/>
      <c r="M736" s="1"/>
      <c r="N736" s="1"/>
    </row>
    <row r="737" ht="14.5" spans="2:14">
      <c r="B737" s="1"/>
      <c r="C737" s="1"/>
      <c r="D737" s="1"/>
      <c r="E737" s="1"/>
      <c r="F737" s="1"/>
      <c r="G737" s="1"/>
      <c r="H737" s="1"/>
      <c r="I737" s="1"/>
      <c r="J737" s="1"/>
      <c r="K737" s="1"/>
      <c r="L737" s="1"/>
      <c r="M737" s="1"/>
      <c r="N737" s="1"/>
    </row>
    <row r="738" ht="14.5" spans="2:14">
      <c r="B738" s="1"/>
      <c r="C738" s="1"/>
      <c r="D738" s="1"/>
      <c r="E738" s="1"/>
      <c r="F738" s="1"/>
      <c r="G738" s="1"/>
      <c r="H738" s="1"/>
      <c r="I738" s="1"/>
      <c r="J738" s="1"/>
      <c r="K738" s="1"/>
      <c r="L738" s="1"/>
      <c r="M738" s="1"/>
      <c r="N738" s="1"/>
    </row>
    <row r="739" ht="14.5" spans="2:14">
      <c r="B739" s="1"/>
      <c r="C739" s="1"/>
      <c r="D739" s="1"/>
      <c r="E739" s="1"/>
      <c r="F739" s="1"/>
      <c r="G739" s="1"/>
      <c r="H739" s="1"/>
      <c r="I739" s="1"/>
      <c r="J739" s="1"/>
      <c r="K739" s="1"/>
      <c r="L739" s="1"/>
      <c r="M739" s="1"/>
      <c r="N739" s="1"/>
    </row>
    <row r="740" ht="14.5" spans="2:14">
      <c r="B740" s="1"/>
      <c r="C740" s="1"/>
      <c r="D740" s="1"/>
      <c r="E740" s="1"/>
      <c r="F740" s="1"/>
      <c r="G740" s="1"/>
      <c r="H740" s="1"/>
      <c r="I740" s="1"/>
      <c r="J740" s="1"/>
      <c r="K740" s="1"/>
      <c r="L740" s="1"/>
      <c r="M740" s="1"/>
      <c r="N740" s="1"/>
    </row>
    <row r="741" ht="14.5" spans="2:14">
      <c r="B741" s="1"/>
      <c r="C741" s="1"/>
      <c r="D741" s="1"/>
      <c r="E741" s="1"/>
      <c r="F741" s="1"/>
      <c r="G741" s="1"/>
      <c r="H741" s="1"/>
      <c r="I741" s="1"/>
      <c r="J741" s="1"/>
      <c r="K741" s="1"/>
      <c r="L741" s="1"/>
      <c r="M741" s="1"/>
      <c r="N741" s="1"/>
    </row>
    <row r="742" ht="14.5" spans="2:14">
      <c r="B742" s="1"/>
      <c r="C742" s="1"/>
      <c r="D742" s="1"/>
      <c r="E742" s="1"/>
      <c r="F742" s="1"/>
      <c r="G742" s="1"/>
      <c r="H742" s="1"/>
      <c r="I742" s="1"/>
      <c r="J742" s="1"/>
      <c r="K742" s="1"/>
      <c r="L742" s="1"/>
      <c r="M742" s="1"/>
      <c r="N742" s="1"/>
    </row>
    <row r="743" ht="14.5" spans="2:14">
      <c r="B743" s="1"/>
      <c r="C743" s="1"/>
      <c r="D743" s="1"/>
      <c r="E743" s="1"/>
      <c r="F743" s="1"/>
      <c r="G743" s="1"/>
      <c r="H743" s="1"/>
      <c r="I743" s="1"/>
      <c r="J743" s="1"/>
      <c r="K743" s="1"/>
      <c r="L743" s="1"/>
      <c r="M743" s="1"/>
      <c r="N743" s="1"/>
    </row>
    <row r="744" ht="14.5" spans="2:14">
      <c r="B744" s="1"/>
      <c r="C744" s="1"/>
      <c r="D744" s="1"/>
      <c r="E744" s="1"/>
      <c r="F744" s="1"/>
      <c r="G744" s="1"/>
      <c r="H744" s="1"/>
      <c r="I744" s="1"/>
      <c r="J744" s="1"/>
      <c r="K744" s="1"/>
      <c r="L744" s="1"/>
      <c r="M744" s="1"/>
      <c r="N744" s="1"/>
    </row>
    <row r="745" ht="14.5" spans="2:14">
      <c r="B745" s="1"/>
      <c r="C745" s="1"/>
      <c r="D745" s="1"/>
      <c r="E745" s="1"/>
      <c r="F745" s="1"/>
      <c r="G745" s="1"/>
      <c r="H745" s="1"/>
      <c r="I745" s="1"/>
      <c r="J745" s="1"/>
      <c r="K745" s="1"/>
      <c r="L745" s="1"/>
      <c r="M745" s="1"/>
      <c r="N745" s="1"/>
    </row>
    <row r="746" ht="14.5" spans="2:14">
      <c r="B746" s="1"/>
      <c r="C746" s="1"/>
      <c r="D746" s="1"/>
      <c r="E746" s="1"/>
      <c r="F746" s="1"/>
      <c r="G746" s="1"/>
      <c r="H746" s="1"/>
      <c r="I746" s="1"/>
      <c r="J746" s="1"/>
      <c r="K746" s="1"/>
      <c r="L746" s="1"/>
      <c r="M746" s="1"/>
      <c r="N746" s="1"/>
    </row>
    <row r="747" ht="14.5" spans="2:14">
      <c r="B747" s="1"/>
      <c r="C747" s="1"/>
      <c r="D747" s="1"/>
      <c r="E747" s="1"/>
      <c r="F747" s="1"/>
      <c r="G747" s="1"/>
      <c r="H747" s="1"/>
      <c r="I747" s="1"/>
      <c r="J747" s="1"/>
      <c r="K747" s="1"/>
      <c r="L747" s="1"/>
      <c r="M747" s="1"/>
      <c r="N747" s="1"/>
    </row>
    <row r="748" ht="14.5" spans="2:14">
      <c r="B748" s="1"/>
      <c r="C748" s="1"/>
      <c r="D748" s="1"/>
      <c r="E748" s="1"/>
      <c r="F748" s="1"/>
      <c r="G748" s="1"/>
      <c r="H748" s="1"/>
      <c r="I748" s="1"/>
      <c r="J748" s="1"/>
      <c r="K748" s="1"/>
      <c r="L748" s="1"/>
      <c r="M748" s="1"/>
      <c r="N748" s="1"/>
    </row>
    <row r="749" ht="14.5" spans="2:14">
      <c r="B749" s="1"/>
      <c r="C749" s="1"/>
      <c r="D749" s="1"/>
      <c r="E749" s="1"/>
      <c r="F749" s="1"/>
      <c r="G749" s="1"/>
      <c r="H749" s="1"/>
      <c r="I749" s="1"/>
      <c r="J749" s="1"/>
      <c r="K749" s="1"/>
      <c r="L749" s="1"/>
      <c r="M749" s="1"/>
      <c r="N749" s="1"/>
    </row>
    <row r="750" ht="14.5" spans="2:14">
      <c r="B750" s="1"/>
      <c r="C750" s="1"/>
      <c r="D750" s="1"/>
      <c r="E750" s="1"/>
      <c r="F750" s="1"/>
      <c r="G750" s="1"/>
      <c r="H750" s="1"/>
      <c r="I750" s="1"/>
      <c r="J750" s="1"/>
      <c r="K750" s="1"/>
      <c r="L750" s="1"/>
      <c r="M750" s="1"/>
      <c r="N750" s="1"/>
    </row>
    <row r="751" ht="14.5" spans="2:14">
      <c r="B751" s="1"/>
      <c r="C751" s="1"/>
      <c r="D751" s="1"/>
      <c r="E751" s="1"/>
      <c r="F751" s="1"/>
      <c r="G751" s="1"/>
      <c r="H751" s="1"/>
      <c r="I751" s="1"/>
      <c r="J751" s="1"/>
      <c r="K751" s="1"/>
      <c r="L751" s="1"/>
      <c r="M751" s="1"/>
      <c r="N751" s="1"/>
    </row>
    <row r="752" ht="14.5" spans="2:14">
      <c r="B752" s="1"/>
      <c r="C752" s="1"/>
      <c r="D752" s="1"/>
      <c r="E752" s="1"/>
      <c r="F752" s="1"/>
      <c r="G752" s="1"/>
      <c r="H752" s="1"/>
      <c r="I752" s="1"/>
      <c r="J752" s="1"/>
      <c r="K752" s="1"/>
      <c r="L752" s="1"/>
      <c r="M752" s="1"/>
      <c r="N752" s="1"/>
    </row>
    <row r="753" ht="14.5" spans="2:14">
      <c r="B753" s="1"/>
      <c r="C753" s="1"/>
      <c r="D753" s="1"/>
      <c r="E753" s="1"/>
      <c r="F753" s="1"/>
      <c r="G753" s="1"/>
      <c r="H753" s="1"/>
      <c r="I753" s="1"/>
      <c r="J753" s="1"/>
      <c r="K753" s="1"/>
      <c r="L753" s="1"/>
      <c r="M753" s="1"/>
      <c r="N753" s="1"/>
    </row>
    <row r="754" ht="14.5" spans="2:14">
      <c r="B754" s="1"/>
      <c r="C754" s="1"/>
      <c r="D754" s="1"/>
      <c r="E754" s="1"/>
      <c r="F754" s="1"/>
      <c r="G754" s="1"/>
      <c r="H754" s="1"/>
      <c r="I754" s="1"/>
      <c r="J754" s="1"/>
      <c r="K754" s="1"/>
      <c r="L754" s="1"/>
      <c r="M754" s="1"/>
      <c r="N754" s="1"/>
    </row>
    <row r="755" ht="14.5" spans="2:14">
      <c r="B755" s="1"/>
      <c r="C755" s="1"/>
      <c r="D755" s="1"/>
      <c r="E755" s="1"/>
      <c r="F755" s="1"/>
      <c r="G755" s="1"/>
      <c r="H755" s="1"/>
      <c r="I755" s="1"/>
      <c r="J755" s="1"/>
      <c r="K755" s="1"/>
      <c r="L755" s="1"/>
      <c r="M755" s="1"/>
      <c r="N755" s="1"/>
    </row>
    <row r="756" ht="14.5" spans="2:14">
      <c r="B756" s="1"/>
      <c r="C756" s="1"/>
      <c r="D756" s="1"/>
      <c r="E756" s="1"/>
      <c r="F756" s="1"/>
      <c r="G756" s="1"/>
      <c r="H756" s="1"/>
      <c r="I756" s="1"/>
      <c r="J756" s="1"/>
      <c r="K756" s="1"/>
      <c r="L756" s="1"/>
      <c r="M756" s="1"/>
      <c r="N756" s="1"/>
    </row>
    <row r="757" ht="14.5" spans="2:14">
      <c r="B757" s="1"/>
      <c r="C757" s="1"/>
      <c r="D757" s="1"/>
      <c r="E757" s="1"/>
      <c r="F757" s="1"/>
      <c r="G757" s="1"/>
      <c r="H757" s="1"/>
      <c r="I757" s="1"/>
      <c r="J757" s="1"/>
      <c r="K757" s="1"/>
      <c r="L757" s="1"/>
      <c r="M757" s="1"/>
      <c r="N757" s="1"/>
    </row>
    <row r="758" ht="14.5" spans="2:14">
      <c r="B758" s="1"/>
      <c r="C758" s="1"/>
      <c r="D758" s="1"/>
      <c r="E758" s="1"/>
      <c r="F758" s="1"/>
      <c r="G758" s="1"/>
      <c r="H758" s="1"/>
      <c r="I758" s="1"/>
      <c r="J758" s="1"/>
      <c r="K758" s="1"/>
      <c r="L758" s="1"/>
      <c r="M758" s="1"/>
      <c r="N758" s="1"/>
    </row>
    <row r="759" ht="14.5" spans="2:14">
      <c r="B759" s="1"/>
      <c r="C759" s="1"/>
      <c r="D759" s="1"/>
      <c r="E759" s="1"/>
      <c r="F759" s="1"/>
      <c r="G759" s="1"/>
      <c r="H759" s="1"/>
      <c r="I759" s="1"/>
      <c r="J759" s="1"/>
      <c r="K759" s="1"/>
      <c r="L759" s="1"/>
      <c r="M759" s="1"/>
      <c r="N759" s="1"/>
    </row>
    <row r="760" ht="14.5" spans="2:14">
      <c r="B760" s="1"/>
      <c r="C760" s="1"/>
      <c r="D760" s="1"/>
      <c r="E760" s="1"/>
      <c r="F760" s="1"/>
      <c r="G760" s="1"/>
      <c r="H760" s="1"/>
      <c r="I760" s="1"/>
      <c r="J760" s="1"/>
      <c r="K760" s="1"/>
      <c r="L760" s="1"/>
      <c r="M760" s="1"/>
      <c r="N760" s="1"/>
    </row>
    <row r="761" ht="14.5" spans="2:14">
      <c r="B761" s="1"/>
      <c r="C761" s="1"/>
      <c r="D761" s="1"/>
      <c r="E761" s="1"/>
      <c r="F761" s="1"/>
      <c r="G761" s="1"/>
      <c r="H761" s="1"/>
      <c r="I761" s="1"/>
      <c r="J761" s="1"/>
      <c r="K761" s="1"/>
      <c r="L761" s="1"/>
      <c r="M761" s="1"/>
      <c r="N761" s="1"/>
    </row>
    <row r="762" ht="14.5" spans="2:14">
      <c r="B762" s="1"/>
      <c r="C762" s="1"/>
      <c r="D762" s="1"/>
      <c r="E762" s="1"/>
      <c r="F762" s="1"/>
      <c r="G762" s="1"/>
      <c r="H762" s="1"/>
      <c r="I762" s="1"/>
      <c r="J762" s="1"/>
      <c r="K762" s="1"/>
      <c r="L762" s="1"/>
      <c r="M762" s="1"/>
      <c r="N762" s="1"/>
    </row>
    <row r="763" ht="14.5" spans="2:14">
      <c r="B763" s="1"/>
      <c r="C763" s="1"/>
      <c r="D763" s="1"/>
      <c r="E763" s="1"/>
      <c r="F763" s="1"/>
      <c r="G763" s="1"/>
      <c r="H763" s="1"/>
      <c r="I763" s="1"/>
      <c r="J763" s="1"/>
      <c r="K763" s="1"/>
      <c r="L763" s="1"/>
      <c r="M763" s="1"/>
      <c r="N763" s="1"/>
    </row>
    <row r="764" ht="14.5" spans="2:14">
      <c r="B764" s="1"/>
      <c r="C764" s="1"/>
      <c r="D764" s="1"/>
      <c r="E764" s="1"/>
      <c r="F764" s="1"/>
      <c r="G764" s="1"/>
      <c r="H764" s="1"/>
      <c r="I764" s="1"/>
      <c r="J764" s="1"/>
      <c r="K764" s="1"/>
      <c r="L764" s="1"/>
      <c r="M764" s="1"/>
      <c r="N764" s="1"/>
    </row>
    <row r="765" ht="14.5" spans="2:14">
      <c r="B765" s="1"/>
      <c r="C765" s="1"/>
      <c r="D765" s="1"/>
      <c r="E765" s="1"/>
      <c r="F765" s="1"/>
      <c r="G765" s="1"/>
      <c r="H765" s="1"/>
      <c r="I765" s="1"/>
      <c r="J765" s="1"/>
      <c r="K765" s="1"/>
      <c r="L765" s="1"/>
      <c r="M765" s="1"/>
      <c r="N765" s="1"/>
    </row>
    <row r="766" ht="14.5" spans="2:14">
      <c r="B766" s="1"/>
      <c r="C766" s="1"/>
      <c r="D766" s="1"/>
      <c r="E766" s="1"/>
      <c r="F766" s="1"/>
      <c r="G766" s="1"/>
      <c r="H766" s="1"/>
      <c r="I766" s="1"/>
      <c r="J766" s="1"/>
      <c r="K766" s="1"/>
      <c r="L766" s="1"/>
      <c r="M766" s="1"/>
      <c r="N766" s="1"/>
    </row>
    <row r="767" ht="14.5" spans="2:14">
      <c r="B767" s="1"/>
      <c r="C767" s="1"/>
      <c r="D767" s="1"/>
      <c r="E767" s="1"/>
      <c r="F767" s="1"/>
      <c r="G767" s="1"/>
      <c r="H767" s="1"/>
      <c r="I767" s="1"/>
      <c r="J767" s="1"/>
      <c r="K767" s="1"/>
      <c r="L767" s="1"/>
      <c r="M767" s="1"/>
      <c r="N767" s="1"/>
    </row>
    <row r="768" ht="14.5" spans="2:14">
      <c r="B768" s="1"/>
      <c r="C768" s="1"/>
      <c r="D768" s="1"/>
      <c r="E768" s="1"/>
      <c r="F768" s="1"/>
      <c r="G768" s="1"/>
      <c r="H768" s="1"/>
      <c r="I768" s="1"/>
      <c r="J768" s="1"/>
      <c r="K768" s="1"/>
      <c r="L768" s="1"/>
      <c r="M768" s="1"/>
      <c r="N768" s="1"/>
    </row>
    <row r="769" ht="14.5" spans="2:14">
      <c r="B769" s="1"/>
      <c r="C769" s="1"/>
      <c r="D769" s="1"/>
      <c r="E769" s="1"/>
      <c r="F769" s="1"/>
      <c r="G769" s="1"/>
      <c r="H769" s="1"/>
      <c r="I769" s="1"/>
      <c r="J769" s="1"/>
      <c r="K769" s="1"/>
      <c r="L769" s="1"/>
      <c r="M769" s="1"/>
      <c r="N769" s="1"/>
    </row>
    <row r="770" ht="14.5" spans="2:14">
      <c r="B770" s="1"/>
      <c r="C770" s="1"/>
      <c r="D770" s="1"/>
      <c r="E770" s="1"/>
      <c r="F770" s="1"/>
      <c r="G770" s="1"/>
      <c r="H770" s="1"/>
      <c r="I770" s="1"/>
      <c r="J770" s="1"/>
      <c r="K770" s="1"/>
      <c r="L770" s="1"/>
      <c r="M770" s="1"/>
      <c r="N770" s="1"/>
    </row>
    <row r="771" ht="14.5" spans="2:14">
      <c r="B771" s="1"/>
      <c r="C771" s="1"/>
      <c r="D771" s="1"/>
      <c r="E771" s="1"/>
      <c r="F771" s="1"/>
      <c r="G771" s="1"/>
      <c r="H771" s="1"/>
      <c r="I771" s="1"/>
      <c r="J771" s="1"/>
      <c r="K771" s="1"/>
      <c r="L771" s="1"/>
      <c r="M771" s="1"/>
      <c r="N771" s="1"/>
    </row>
    <row r="772" ht="14.5" spans="2:14">
      <c r="B772" s="1"/>
      <c r="C772" s="1"/>
      <c r="D772" s="1"/>
      <c r="E772" s="1"/>
      <c r="F772" s="1"/>
      <c r="G772" s="1"/>
      <c r="H772" s="1"/>
      <c r="I772" s="1"/>
      <c r="J772" s="1"/>
      <c r="K772" s="1"/>
      <c r="L772" s="1"/>
      <c r="M772" s="1"/>
      <c r="N772" s="1"/>
    </row>
    <row r="773" ht="14.5" spans="2:14">
      <c r="B773" s="1"/>
      <c r="C773" s="1"/>
      <c r="D773" s="1"/>
      <c r="E773" s="1"/>
      <c r="F773" s="1"/>
      <c r="G773" s="1"/>
      <c r="H773" s="1"/>
      <c r="I773" s="1"/>
      <c r="J773" s="1"/>
      <c r="K773" s="1"/>
      <c r="L773" s="1"/>
      <c r="M773" s="1"/>
      <c r="N773" s="1"/>
    </row>
    <row r="774" ht="14.5" spans="2:14">
      <c r="B774" s="1"/>
      <c r="C774" s="1"/>
      <c r="D774" s="1"/>
      <c r="E774" s="1"/>
      <c r="F774" s="1"/>
      <c r="G774" s="1"/>
      <c r="H774" s="1"/>
      <c r="I774" s="1"/>
      <c r="J774" s="1"/>
      <c r="K774" s="1"/>
      <c r="L774" s="1"/>
      <c r="M774" s="1"/>
      <c r="N774" s="1"/>
    </row>
    <row r="775" ht="14.5" spans="2:14">
      <c r="B775" s="1"/>
      <c r="C775" s="1"/>
      <c r="D775" s="1"/>
      <c r="E775" s="1"/>
      <c r="F775" s="1"/>
      <c r="G775" s="1"/>
      <c r="H775" s="1"/>
      <c r="I775" s="1"/>
      <c r="J775" s="1"/>
      <c r="K775" s="1"/>
      <c r="L775" s="1"/>
      <c r="M775" s="1"/>
      <c r="N775" s="1"/>
    </row>
    <row r="776" ht="14.5" spans="2:14">
      <c r="B776" s="1"/>
      <c r="C776" s="1"/>
      <c r="D776" s="1"/>
      <c r="E776" s="1"/>
      <c r="F776" s="1"/>
      <c r="G776" s="1"/>
      <c r="H776" s="1"/>
      <c r="I776" s="1"/>
      <c r="J776" s="1"/>
      <c r="K776" s="1"/>
      <c r="L776" s="1"/>
      <c r="M776" s="1"/>
      <c r="N776" s="1"/>
    </row>
    <row r="777" ht="14.5" spans="2:14">
      <c r="B777" s="1"/>
      <c r="C777" s="1"/>
      <c r="D777" s="1"/>
      <c r="E777" s="1"/>
      <c r="F777" s="1"/>
      <c r="G777" s="1"/>
      <c r="H777" s="1"/>
      <c r="I777" s="1"/>
      <c r="J777" s="1"/>
      <c r="K777" s="1"/>
      <c r="L777" s="1"/>
      <c r="M777" s="1"/>
      <c r="N777" s="1"/>
    </row>
    <row r="778" ht="14.5" spans="2:14">
      <c r="B778" s="1"/>
      <c r="C778" s="1"/>
      <c r="D778" s="1"/>
      <c r="E778" s="1"/>
      <c r="F778" s="1"/>
      <c r="G778" s="1"/>
      <c r="H778" s="1"/>
      <c r="I778" s="1"/>
      <c r="J778" s="1"/>
      <c r="K778" s="1"/>
      <c r="L778" s="1"/>
      <c r="M778" s="1"/>
      <c r="N778" s="1"/>
    </row>
    <row r="779" ht="14.5" spans="2:14">
      <c r="B779" s="1"/>
      <c r="C779" s="1"/>
      <c r="D779" s="1"/>
      <c r="E779" s="1"/>
      <c r="F779" s="1"/>
      <c r="G779" s="1"/>
      <c r="H779" s="1"/>
      <c r="I779" s="1"/>
      <c r="J779" s="1"/>
      <c r="K779" s="1"/>
      <c r="L779" s="1"/>
      <c r="M779" s="1"/>
      <c r="N779" s="1"/>
    </row>
    <row r="780" ht="14.5" spans="2:14">
      <c r="B780" s="1"/>
      <c r="C780" s="1"/>
      <c r="D780" s="1"/>
      <c r="E780" s="1"/>
      <c r="F780" s="1"/>
      <c r="G780" s="1"/>
      <c r="H780" s="1"/>
      <c r="I780" s="1"/>
      <c r="J780" s="1"/>
      <c r="K780" s="1"/>
      <c r="L780" s="1"/>
      <c r="M780" s="1"/>
      <c r="N780" s="1"/>
    </row>
    <row r="781" ht="14.5" spans="2:14">
      <c r="B781" s="1"/>
      <c r="C781" s="1"/>
      <c r="D781" s="1"/>
      <c r="E781" s="1"/>
      <c r="F781" s="1"/>
      <c r="G781" s="1"/>
      <c r="H781" s="1"/>
      <c r="I781" s="1"/>
      <c r="J781" s="1"/>
      <c r="K781" s="1"/>
      <c r="L781" s="1"/>
      <c r="M781" s="1"/>
      <c r="N781" s="1"/>
    </row>
    <row r="782" ht="14.5" spans="2:14">
      <c r="B782" s="1"/>
      <c r="C782" s="1"/>
      <c r="D782" s="1"/>
      <c r="E782" s="1"/>
      <c r="F782" s="1"/>
      <c r="G782" s="1"/>
      <c r="H782" s="1"/>
      <c r="I782" s="1"/>
      <c r="J782" s="1"/>
      <c r="K782" s="1"/>
      <c r="L782" s="1"/>
      <c r="M782" s="1"/>
      <c r="N782" s="1"/>
    </row>
    <row r="783" ht="14.5" spans="2:14">
      <c r="B783" s="1"/>
      <c r="C783" s="1"/>
      <c r="D783" s="1"/>
      <c r="E783" s="1"/>
      <c r="F783" s="1"/>
      <c r="G783" s="1"/>
      <c r="H783" s="1"/>
      <c r="I783" s="1"/>
      <c r="J783" s="1"/>
      <c r="K783" s="1"/>
      <c r="L783" s="1"/>
      <c r="M783" s="1"/>
      <c r="N783" s="1"/>
    </row>
    <row r="784" ht="14.5" spans="2:14">
      <c r="B784" s="1"/>
      <c r="C784" s="1"/>
      <c r="D784" s="1"/>
      <c r="E784" s="1"/>
      <c r="F784" s="1"/>
      <c r="G784" s="1"/>
      <c r="H784" s="1"/>
      <c r="I784" s="1"/>
      <c r="J784" s="1"/>
      <c r="K784" s="1"/>
      <c r="L784" s="1"/>
      <c r="M784" s="1"/>
      <c r="N784" s="1"/>
    </row>
    <row r="785" ht="14.5" spans="2:14">
      <c r="B785" s="1"/>
      <c r="C785" s="1"/>
      <c r="D785" s="1"/>
      <c r="E785" s="1"/>
      <c r="F785" s="1"/>
      <c r="G785" s="1"/>
      <c r="H785" s="1"/>
      <c r="I785" s="1"/>
      <c r="J785" s="1"/>
      <c r="K785" s="1"/>
      <c r="L785" s="1"/>
      <c r="M785" s="1"/>
      <c r="N785" s="1"/>
    </row>
    <row r="786" ht="14.5" spans="2:14">
      <c r="B786" s="1"/>
      <c r="C786" s="1"/>
      <c r="D786" s="1"/>
      <c r="E786" s="1"/>
      <c r="F786" s="1"/>
      <c r="G786" s="1"/>
      <c r="H786" s="1"/>
      <c r="I786" s="1"/>
      <c r="J786" s="1"/>
      <c r="K786" s="1"/>
      <c r="L786" s="1"/>
      <c r="M786" s="1"/>
      <c r="N786" s="1"/>
    </row>
    <row r="787" ht="14.5" spans="2:14">
      <c r="B787" s="1"/>
      <c r="C787" s="1"/>
      <c r="D787" s="1"/>
      <c r="E787" s="1"/>
      <c r="F787" s="1"/>
      <c r="G787" s="1"/>
      <c r="H787" s="1"/>
      <c r="I787" s="1"/>
      <c r="J787" s="1"/>
      <c r="K787" s="1"/>
      <c r="L787" s="1"/>
      <c r="M787" s="1"/>
      <c r="N787" s="1"/>
    </row>
    <row r="788" ht="14.5" spans="2:14">
      <c r="B788" s="1"/>
      <c r="C788" s="1"/>
      <c r="D788" s="1"/>
      <c r="E788" s="1"/>
      <c r="F788" s="1"/>
      <c r="G788" s="1"/>
      <c r="H788" s="1"/>
      <c r="I788" s="1"/>
      <c r="J788" s="1"/>
      <c r="K788" s="1"/>
      <c r="L788" s="1"/>
      <c r="M788" s="1"/>
      <c r="N788" s="1"/>
    </row>
    <row r="789" ht="14.5" spans="2:14">
      <c r="B789" s="1"/>
      <c r="C789" s="1"/>
      <c r="D789" s="1"/>
      <c r="E789" s="1"/>
      <c r="F789" s="1"/>
      <c r="G789" s="1"/>
      <c r="H789" s="1"/>
      <c r="I789" s="1"/>
      <c r="J789" s="1"/>
      <c r="K789" s="1"/>
      <c r="L789" s="1"/>
      <c r="M789" s="1"/>
      <c r="N789" s="1"/>
    </row>
    <row r="790" ht="14.5" spans="2:14">
      <c r="B790" s="1"/>
      <c r="C790" s="1"/>
      <c r="D790" s="1"/>
      <c r="E790" s="1"/>
      <c r="F790" s="1"/>
      <c r="G790" s="1"/>
      <c r="H790" s="1"/>
      <c r="I790" s="1"/>
      <c r="J790" s="1"/>
      <c r="K790" s="1"/>
      <c r="L790" s="1"/>
      <c r="M790" s="1"/>
      <c r="N790" s="1"/>
    </row>
    <row r="791" ht="14.5" spans="2:14">
      <c r="B791" s="1"/>
      <c r="C791" s="1"/>
      <c r="D791" s="1"/>
      <c r="E791" s="1"/>
      <c r="F791" s="1"/>
      <c r="G791" s="1"/>
      <c r="H791" s="1"/>
      <c r="I791" s="1"/>
      <c r="J791" s="1"/>
      <c r="K791" s="1"/>
      <c r="L791" s="1"/>
      <c r="M791" s="1"/>
      <c r="N791" s="1"/>
    </row>
    <row r="792" ht="14.5" spans="2:14">
      <c r="B792" s="1"/>
      <c r="C792" s="1"/>
      <c r="D792" s="1"/>
      <c r="E792" s="1"/>
      <c r="F792" s="1"/>
      <c r="G792" s="1"/>
      <c r="H792" s="1"/>
      <c r="I792" s="1"/>
      <c r="J792" s="1"/>
      <c r="K792" s="1"/>
      <c r="L792" s="1"/>
      <c r="M792" s="1"/>
      <c r="N792" s="1"/>
    </row>
    <row r="793" ht="14.5" spans="2:14">
      <c r="B793" s="1"/>
      <c r="C793" s="1"/>
      <c r="D793" s="1"/>
      <c r="E793" s="1"/>
      <c r="F793" s="1"/>
      <c r="G793" s="1"/>
      <c r="H793" s="1"/>
      <c r="I793" s="1"/>
      <c r="J793" s="1"/>
      <c r="K793" s="1"/>
      <c r="L793" s="1"/>
      <c r="M793" s="1"/>
      <c r="N793" s="1"/>
    </row>
    <row r="794" ht="14.5" spans="2:14">
      <c r="B794" s="1"/>
      <c r="C794" s="1"/>
      <c r="D794" s="1"/>
      <c r="E794" s="1"/>
      <c r="F794" s="1"/>
      <c r="G794" s="1"/>
      <c r="H794" s="1"/>
      <c r="I794" s="1"/>
      <c r="J794" s="1"/>
      <c r="K794" s="1"/>
      <c r="L794" s="1"/>
      <c r="M794" s="1"/>
      <c r="N794" s="1"/>
    </row>
    <row r="795" ht="14.5" spans="2:14">
      <c r="B795" s="1"/>
      <c r="C795" s="1"/>
      <c r="D795" s="1"/>
      <c r="E795" s="1"/>
      <c r="F795" s="1"/>
      <c r="G795" s="1"/>
      <c r="H795" s="1"/>
      <c r="I795" s="1"/>
      <c r="J795" s="1"/>
      <c r="K795" s="1"/>
      <c r="L795" s="1"/>
      <c r="M795" s="1"/>
      <c r="N795" s="1"/>
    </row>
    <row r="796" ht="14.5" spans="2:14">
      <c r="B796" s="1"/>
      <c r="C796" s="1"/>
      <c r="D796" s="1"/>
      <c r="E796" s="1"/>
      <c r="F796" s="1"/>
      <c r="G796" s="1"/>
      <c r="H796" s="1"/>
      <c r="I796" s="1"/>
      <c r="J796" s="1"/>
      <c r="K796" s="1"/>
      <c r="L796" s="1"/>
      <c r="M796" s="1"/>
      <c r="N796" s="1"/>
    </row>
    <row r="797" ht="14.5" spans="2:14">
      <c r="B797" s="1"/>
      <c r="C797" s="1"/>
      <c r="D797" s="1"/>
      <c r="E797" s="1"/>
      <c r="F797" s="1"/>
      <c r="G797" s="1"/>
      <c r="H797" s="1"/>
      <c r="I797" s="1"/>
      <c r="J797" s="1"/>
      <c r="K797" s="1"/>
      <c r="L797" s="1"/>
      <c r="M797" s="1"/>
      <c r="N797" s="1"/>
    </row>
    <row r="798" ht="14.5" spans="2:14">
      <c r="B798" s="1"/>
      <c r="C798" s="1"/>
      <c r="D798" s="1"/>
      <c r="E798" s="1"/>
      <c r="F798" s="1"/>
      <c r="G798" s="1"/>
      <c r="H798" s="1"/>
      <c r="I798" s="1"/>
      <c r="J798" s="1"/>
      <c r="K798" s="1"/>
      <c r="L798" s="1"/>
      <c r="M798" s="1"/>
      <c r="N798" s="1"/>
    </row>
    <row r="799" ht="14.5" spans="2:14">
      <c r="B799" s="1"/>
      <c r="C799" s="1"/>
      <c r="D799" s="1"/>
      <c r="E799" s="1"/>
      <c r="F799" s="1"/>
      <c r="G799" s="1"/>
      <c r="H799" s="1"/>
      <c r="I799" s="1"/>
      <c r="J799" s="1"/>
      <c r="K799" s="1"/>
      <c r="L799" s="1"/>
      <c r="M799" s="1"/>
      <c r="N799" s="1"/>
    </row>
    <row r="800" ht="14.5" spans="2:14">
      <c r="B800" s="1"/>
      <c r="C800" s="1"/>
      <c r="D800" s="1"/>
      <c r="E800" s="1"/>
      <c r="F800" s="1"/>
      <c r="G800" s="1"/>
      <c r="H800" s="1"/>
      <c r="I800" s="1"/>
      <c r="J800" s="1"/>
      <c r="K800" s="1"/>
      <c r="L800" s="1"/>
      <c r="M800" s="1"/>
      <c r="N800" s="1"/>
    </row>
    <row r="801" ht="14.5" spans="2:14">
      <c r="B801" s="1"/>
      <c r="C801" s="1"/>
      <c r="D801" s="1"/>
      <c r="E801" s="1"/>
      <c r="F801" s="1"/>
      <c r="G801" s="1"/>
      <c r="H801" s="1"/>
      <c r="I801" s="1"/>
      <c r="J801" s="1"/>
      <c r="K801" s="1"/>
      <c r="L801" s="1"/>
      <c r="M801" s="1"/>
      <c r="N801" s="1"/>
    </row>
    <row r="802" ht="14.5" spans="2:14">
      <c r="B802" s="1"/>
      <c r="C802" s="1"/>
      <c r="D802" s="1"/>
      <c r="E802" s="1"/>
      <c r="F802" s="1"/>
      <c r="G802" s="1"/>
      <c r="H802" s="1"/>
      <c r="I802" s="1"/>
      <c r="J802" s="1"/>
      <c r="K802" s="1"/>
      <c r="L802" s="1"/>
      <c r="M802" s="1"/>
      <c r="N802" s="1"/>
    </row>
    <row r="803" ht="14.5" spans="2:14">
      <c r="B803" s="1"/>
      <c r="C803" s="1"/>
      <c r="D803" s="1"/>
      <c r="E803" s="1"/>
      <c r="F803" s="1"/>
      <c r="G803" s="1"/>
      <c r="H803" s="1"/>
      <c r="I803" s="1"/>
      <c r="J803" s="1"/>
      <c r="K803" s="1"/>
      <c r="L803" s="1"/>
      <c r="M803" s="1"/>
      <c r="N803" s="1"/>
    </row>
    <row r="804" ht="14.5" spans="2:14">
      <c r="B804" s="1"/>
      <c r="C804" s="1"/>
      <c r="D804" s="1"/>
      <c r="E804" s="1"/>
      <c r="F804" s="1"/>
      <c r="G804" s="1"/>
      <c r="H804" s="1"/>
      <c r="I804" s="1"/>
      <c r="J804" s="1"/>
      <c r="K804" s="1"/>
      <c r="L804" s="1"/>
      <c r="M804" s="1"/>
      <c r="N804" s="1"/>
    </row>
    <row r="805" ht="14.5" spans="2:14">
      <c r="B805" s="1"/>
      <c r="C805" s="1"/>
      <c r="D805" s="1"/>
      <c r="E805" s="1"/>
      <c r="F805" s="1"/>
      <c r="G805" s="1"/>
      <c r="H805" s="1"/>
      <c r="I805" s="1"/>
      <c r="J805" s="1"/>
      <c r="K805" s="1"/>
      <c r="L805" s="1"/>
      <c r="M805" s="1"/>
      <c r="N805" s="1"/>
    </row>
    <row r="806" ht="14.5" spans="2:14">
      <c r="B806" s="1"/>
      <c r="C806" s="1"/>
      <c r="D806" s="1"/>
      <c r="E806" s="1"/>
      <c r="F806" s="1"/>
      <c r="G806" s="1"/>
      <c r="H806" s="1"/>
      <c r="I806" s="1"/>
      <c r="J806" s="1"/>
      <c r="K806" s="1"/>
      <c r="L806" s="1"/>
      <c r="M806" s="1"/>
      <c r="N806" s="1"/>
    </row>
    <row r="807" ht="14.5" spans="2:14">
      <c r="B807" s="1"/>
      <c r="C807" s="1"/>
      <c r="D807" s="1"/>
      <c r="E807" s="1"/>
      <c r="F807" s="1"/>
      <c r="G807" s="1"/>
      <c r="H807" s="1"/>
      <c r="I807" s="1"/>
      <c r="J807" s="1"/>
      <c r="K807" s="1"/>
      <c r="L807" s="1"/>
      <c r="M807" s="1"/>
      <c r="N807" s="1"/>
    </row>
    <row r="808" ht="14.5" spans="2:14">
      <c r="B808" s="1"/>
      <c r="C808" s="1"/>
      <c r="D808" s="1"/>
      <c r="E808" s="1"/>
      <c r="F808" s="1"/>
      <c r="G808" s="1"/>
      <c r="H808" s="1"/>
      <c r="I808" s="1"/>
      <c r="J808" s="1"/>
      <c r="K808" s="1"/>
      <c r="L808" s="1"/>
      <c r="M808" s="1"/>
      <c r="N808" s="1"/>
    </row>
    <row r="809" ht="14.5" spans="2:14">
      <c r="B809" s="1"/>
      <c r="C809" s="1"/>
      <c r="D809" s="1"/>
      <c r="E809" s="1"/>
      <c r="F809" s="1"/>
      <c r="G809" s="1"/>
      <c r="H809" s="1"/>
      <c r="I809" s="1"/>
      <c r="J809" s="1"/>
      <c r="K809" s="1"/>
      <c r="L809" s="1"/>
      <c r="M809" s="1"/>
      <c r="N809" s="1"/>
    </row>
    <row r="810" ht="14.5" spans="2:14">
      <c r="B810" s="1"/>
      <c r="C810" s="1"/>
      <c r="D810" s="1"/>
      <c r="E810" s="1"/>
      <c r="F810" s="1"/>
      <c r="G810" s="1"/>
      <c r="H810" s="1"/>
      <c r="I810" s="1"/>
      <c r="J810" s="1"/>
      <c r="K810" s="1"/>
      <c r="L810" s="1"/>
      <c r="M810" s="1"/>
      <c r="N810" s="1"/>
    </row>
    <row r="811" ht="14.5" spans="2:14">
      <c r="B811" s="1"/>
      <c r="C811" s="1"/>
      <c r="D811" s="1"/>
      <c r="E811" s="1"/>
      <c r="F811" s="1"/>
      <c r="G811" s="1"/>
      <c r="H811" s="1"/>
      <c r="I811" s="1"/>
      <c r="J811" s="1"/>
      <c r="K811" s="1"/>
      <c r="L811" s="1"/>
      <c r="M811" s="1"/>
      <c r="N811" s="1"/>
    </row>
    <row r="812" ht="14.5" spans="2:14">
      <c r="B812" s="1"/>
      <c r="C812" s="1"/>
      <c r="D812" s="1"/>
      <c r="E812" s="1"/>
      <c r="F812" s="1"/>
      <c r="G812" s="1"/>
      <c r="H812" s="1"/>
      <c r="I812" s="1"/>
      <c r="J812" s="1"/>
      <c r="K812" s="1"/>
      <c r="L812" s="1"/>
      <c r="M812" s="1"/>
      <c r="N812" s="1"/>
    </row>
    <row r="813" ht="14.5" spans="2:14">
      <c r="B813" s="1"/>
      <c r="C813" s="1"/>
      <c r="D813" s="1"/>
      <c r="E813" s="1"/>
      <c r="F813" s="1"/>
      <c r="G813" s="1"/>
      <c r="H813" s="1"/>
      <c r="I813" s="1"/>
      <c r="J813" s="1"/>
      <c r="K813" s="1"/>
      <c r="L813" s="1"/>
      <c r="M813" s="1"/>
      <c r="N813" s="1"/>
    </row>
    <row r="814" ht="14.5" spans="2:14">
      <c r="B814" s="1"/>
      <c r="C814" s="1"/>
      <c r="D814" s="1"/>
      <c r="E814" s="1"/>
      <c r="F814" s="1"/>
      <c r="G814" s="1"/>
      <c r="H814" s="1"/>
      <c r="I814" s="1"/>
      <c r="J814" s="1"/>
      <c r="K814" s="1"/>
      <c r="L814" s="1"/>
      <c r="M814" s="1"/>
      <c r="N814" s="1"/>
    </row>
    <row r="815" ht="14.5" spans="2:14">
      <c r="B815" s="1"/>
      <c r="C815" s="1"/>
      <c r="D815" s="1"/>
      <c r="E815" s="1"/>
      <c r="F815" s="1"/>
      <c r="G815" s="1"/>
      <c r="H815" s="1"/>
      <c r="I815" s="1"/>
      <c r="J815" s="1"/>
      <c r="K815" s="1"/>
      <c r="L815" s="1"/>
      <c r="M815" s="1"/>
      <c r="N815" s="1"/>
    </row>
    <row r="816" ht="14.5" spans="2:14">
      <c r="B816" s="1"/>
      <c r="C816" s="1"/>
      <c r="D816" s="1"/>
      <c r="E816" s="1"/>
      <c r="F816" s="1"/>
      <c r="G816" s="1"/>
      <c r="H816" s="1"/>
      <c r="I816" s="1"/>
      <c r="J816" s="1"/>
      <c r="K816" s="1"/>
      <c r="L816" s="1"/>
      <c r="M816" s="1"/>
      <c r="N816" s="1"/>
    </row>
    <row r="817" ht="14.5" spans="2:14">
      <c r="B817" s="1"/>
      <c r="C817" s="1"/>
      <c r="D817" s="1"/>
      <c r="E817" s="1"/>
      <c r="F817" s="1"/>
      <c r="G817" s="1"/>
      <c r="H817" s="1"/>
      <c r="I817" s="1"/>
      <c r="J817" s="1"/>
      <c r="K817" s="1"/>
      <c r="L817" s="1"/>
      <c r="M817" s="1"/>
      <c r="N817" s="1"/>
    </row>
    <row r="818" ht="14.5" spans="2:14">
      <c r="B818" s="1"/>
      <c r="C818" s="1"/>
      <c r="D818" s="1"/>
      <c r="E818" s="1"/>
      <c r="F818" s="1"/>
      <c r="G818" s="1"/>
      <c r="H818" s="1"/>
      <c r="I818" s="1"/>
      <c r="J818" s="1"/>
      <c r="K818" s="1"/>
      <c r="L818" s="1"/>
      <c r="M818" s="1"/>
      <c r="N818" s="1"/>
    </row>
    <row r="819" ht="14.5" spans="2:14">
      <c r="B819" s="1"/>
      <c r="C819" s="1"/>
      <c r="D819" s="1"/>
      <c r="E819" s="1"/>
      <c r="F819" s="1"/>
      <c r="G819" s="1"/>
      <c r="H819" s="1"/>
      <c r="I819" s="1"/>
      <c r="J819" s="1"/>
      <c r="K819" s="1"/>
      <c r="L819" s="1"/>
      <c r="M819" s="1"/>
      <c r="N819" s="1"/>
    </row>
    <row r="820" ht="14.5" spans="2:14">
      <c r="B820" s="1"/>
      <c r="C820" s="1"/>
      <c r="D820" s="1"/>
      <c r="E820" s="1"/>
      <c r="F820" s="1"/>
      <c r="G820" s="1"/>
      <c r="H820" s="1"/>
      <c r="I820" s="1"/>
      <c r="J820" s="1"/>
      <c r="K820" s="1"/>
      <c r="L820" s="1"/>
      <c r="M820" s="1"/>
      <c r="N820" s="1"/>
    </row>
    <row r="821" ht="14.5" spans="2:14">
      <c r="B821" s="1"/>
      <c r="C821" s="1"/>
      <c r="D821" s="1"/>
      <c r="E821" s="1"/>
      <c r="F821" s="1"/>
      <c r="G821" s="1"/>
      <c r="H821" s="1"/>
      <c r="I821" s="1"/>
      <c r="J821" s="1"/>
      <c r="K821" s="1"/>
      <c r="L821" s="1"/>
      <c r="M821" s="1"/>
      <c r="N821" s="1"/>
    </row>
    <row r="822" ht="14.5" spans="2:14">
      <c r="B822" s="1"/>
      <c r="C822" s="1"/>
      <c r="D822" s="1"/>
      <c r="E822" s="1"/>
      <c r="F822" s="1"/>
      <c r="G822" s="1"/>
      <c r="H822" s="1"/>
      <c r="I822" s="1"/>
      <c r="J822" s="1"/>
      <c r="K822" s="1"/>
      <c r="L822" s="1"/>
      <c r="M822" s="1"/>
      <c r="N822" s="1"/>
    </row>
    <row r="823" ht="14.5" spans="2:14">
      <c r="B823" s="1"/>
      <c r="C823" s="1"/>
      <c r="D823" s="1"/>
      <c r="E823" s="1"/>
      <c r="F823" s="1"/>
      <c r="G823" s="1"/>
      <c r="H823" s="1"/>
      <c r="I823" s="1"/>
      <c r="J823" s="1"/>
      <c r="K823" s="1"/>
      <c r="L823" s="1"/>
      <c r="M823" s="1"/>
      <c r="N823" s="1"/>
    </row>
    <row r="824" ht="14.5" spans="2:14">
      <c r="B824" s="1"/>
      <c r="C824" s="1"/>
      <c r="D824" s="1"/>
      <c r="E824" s="1"/>
      <c r="F824" s="1"/>
      <c r="G824" s="1"/>
      <c r="H824" s="1"/>
      <c r="I824" s="1"/>
      <c r="J824" s="1"/>
      <c r="K824" s="1"/>
      <c r="L824" s="1"/>
      <c r="M824" s="1"/>
      <c r="N824" s="1"/>
    </row>
    <row r="825" ht="14.5" spans="2:14">
      <c r="B825" s="1"/>
      <c r="C825" s="1"/>
      <c r="D825" s="1"/>
      <c r="E825" s="1"/>
      <c r="F825" s="1"/>
      <c r="G825" s="1"/>
      <c r="H825" s="1"/>
      <c r="I825" s="1"/>
      <c r="J825" s="1"/>
      <c r="K825" s="1"/>
      <c r="L825" s="1"/>
      <c r="M825" s="1"/>
      <c r="N825" s="1"/>
    </row>
    <row r="826" ht="14.5" spans="2:14">
      <c r="B826" s="1"/>
      <c r="C826" s="1"/>
      <c r="D826" s="1"/>
      <c r="E826" s="1"/>
      <c r="F826" s="1"/>
      <c r="G826" s="1"/>
      <c r="H826" s="1"/>
      <c r="I826" s="1"/>
      <c r="J826" s="1"/>
      <c r="K826" s="1"/>
      <c r="L826" s="1"/>
      <c r="M826" s="1"/>
      <c r="N826" s="1"/>
    </row>
    <row r="827" ht="14.5" spans="2:14">
      <c r="B827" s="1"/>
      <c r="C827" s="1"/>
      <c r="D827" s="1"/>
      <c r="E827" s="1"/>
      <c r="F827" s="1"/>
      <c r="G827" s="1"/>
      <c r="H827" s="1"/>
      <c r="I827" s="1"/>
      <c r="J827" s="1"/>
      <c r="K827" s="1"/>
      <c r="L827" s="1"/>
      <c r="M827" s="1"/>
      <c r="N827" s="1"/>
    </row>
    <row r="828" ht="14.5" spans="2:14">
      <c r="B828" s="1"/>
      <c r="C828" s="1"/>
      <c r="D828" s="1"/>
      <c r="E828" s="1"/>
      <c r="F828" s="1"/>
      <c r="G828" s="1"/>
      <c r="H828" s="1"/>
      <c r="I828" s="1"/>
      <c r="J828" s="1"/>
      <c r="K828" s="1"/>
      <c r="L828" s="1"/>
      <c r="M828" s="1"/>
      <c r="N828" s="1"/>
    </row>
    <row r="829" ht="14.5" spans="2:14">
      <c r="B829" s="1"/>
      <c r="C829" s="1"/>
      <c r="D829" s="1"/>
      <c r="E829" s="1"/>
      <c r="F829" s="1"/>
      <c r="G829" s="1"/>
      <c r="H829" s="1"/>
      <c r="I829" s="1"/>
      <c r="J829" s="1"/>
      <c r="K829" s="1"/>
      <c r="L829" s="1"/>
      <c r="M829" s="1"/>
      <c r="N829" s="1"/>
    </row>
    <row r="830" ht="14.5" spans="2:14">
      <c r="B830" s="1"/>
      <c r="C830" s="1"/>
      <c r="D830" s="1"/>
      <c r="E830" s="1"/>
      <c r="F830" s="1"/>
      <c r="G830" s="1"/>
      <c r="H830" s="1"/>
      <c r="I830" s="1"/>
      <c r="J830" s="1"/>
      <c r="K830" s="1"/>
      <c r="L830" s="1"/>
      <c r="M830" s="1"/>
      <c r="N830" s="1"/>
    </row>
    <row r="831" ht="14.5" spans="2:14">
      <c r="B831" s="1"/>
      <c r="C831" s="1"/>
      <c r="D831" s="1"/>
      <c r="E831" s="1"/>
      <c r="F831" s="1"/>
      <c r="G831" s="1"/>
      <c r="H831" s="1"/>
      <c r="I831" s="1"/>
      <c r="J831" s="1"/>
      <c r="K831" s="1"/>
      <c r="L831" s="1"/>
      <c r="M831" s="1"/>
      <c r="N831" s="1"/>
    </row>
    <row r="832" ht="14.5" spans="2:14">
      <c r="B832" s="1"/>
      <c r="C832" s="1"/>
      <c r="D832" s="1"/>
      <c r="E832" s="1"/>
      <c r="F832" s="1"/>
      <c r="G832" s="1"/>
      <c r="H832" s="1"/>
      <c r="I832" s="1"/>
      <c r="J832" s="1"/>
      <c r="K832" s="1"/>
      <c r="L832" s="1"/>
      <c r="M832" s="1"/>
      <c r="N832" s="1"/>
    </row>
    <row r="833" ht="14.5" spans="2:14">
      <c r="B833" s="1"/>
      <c r="C833" s="1"/>
      <c r="D833" s="1"/>
      <c r="E833" s="1"/>
      <c r="F833" s="1"/>
      <c r="G833" s="1"/>
      <c r="H833" s="1"/>
      <c r="I833" s="1"/>
      <c r="J833" s="1"/>
      <c r="K833" s="1"/>
      <c r="L833" s="1"/>
      <c r="M833" s="1"/>
      <c r="N833" s="1"/>
    </row>
    <row r="834" ht="14.5" spans="2:14">
      <c r="B834" s="1"/>
      <c r="C834" s="1"/>
      <c r="D834" s="1"/>
      <c r="E834" s="1"/>
      <c r="F834" s="1"/>
      <c r="G834" s="1"/>
      <c r="H834" s="1"/>
      <c r="I834" s="1"/>
      <c r="J834" s="1"/>
      <c r="K834" s="1"/>
      <c r="L834" s="1"/>
      <c r="M834" s="1"/>
      <c r="N834" s="1"/>
    </row>
    <row r="835" ht="14.5" spans="2:14">
      <c r="B835" s="1"/>
      <c r="C835" s="1"/>
      <c r="D835" s="1"/>
      <c r="E835" s="1"/>
      <c r="F835" s="1"/>
      <c r="G835" s="1"/>
      <c r="H835" s="1"/>
      <c r="I835" s="1"/>
      <c r="J835" s="1"/>
      <c r="K835" s="1"/>
      <c r="L835" s="1"/>
      <c r="M835" s="1"/>
      <c r="N835" s="1"/>
    </row>
    <row r="836" ht="14.5" spans="2:14">
      <c r="B836" s="1"/>
      <c r="C836" s="1"/>
      <c r="D836" s="1"/>
      <c r="E836" s="1"/>
      <c r="F836" s="1"/>
      <c r="G836" s="1"/>
      <c r="H836" s="1"/>
      <c r="I836" s="1"/>
      <c r="J836" s="1"/>
      <c r="K836" s="1"/>
      <c r="L836" s="1"/>
      <c r="M836" s="1"/>
      <c r="N836" s="1"/>
    </row>
    <row r="837" ht="14.5" spans="2:14">
      <c r="B837" s="1"/>
      <c r="C837" s="1"/>
      <c r="D837" s="1"/>
      <c r="E837" s="1"/>
      <c r="F837" s="1"/>
      <c r="G837" s="1"/>
      <c r="H837" s="1"/>
      <c r="I837" s="1"/>
      <c r="J837" s="1"/>
      <c r="K837" s="1"/>
      <c r="L837" s="1"/>
      <c r="M837" s="1"/>
      <c r="N837" s="1"/>
    </row>
    <row r="838" ht="14.5" spans="2:14">
      <c r="B838" s="1"/>
      <c r="C838" s="1"/>
      <c r="D838" s="1"/>
      <c r="E838" s="1"/>
      <c r="F838" s="1"/>
      <c r="G838" s="1"/>
      <c r="H838" s="1"/>
      <c r="I838" s="1"/>
      <c r="J838" s="1"/>
      <c r="K838" s="1"/>
      <c r="L838" s="1"/>
      <c r="M838" s="1"/>
      <c r="N838" s="1"/>
    </row>
    <row r="839" ht="14.5" spans="2:14">
      <c r="B839" s="1"/>
      <c r="C839" s="1"/>
      <c r="D839" s="1"/>
      <c r="E839" s="1"/>
      <c r="F839" s="1"/>
      <c r="G839" s="1"/>
      <c r="H839" s="1"/>
      <c r="I839" s="1"/>
      <c r="J839" s="1"/>
      <c r="K839" s="1"/>
      <c r="L839" s="1"/>
      <c r="M839" s="1"/>
      <c r="N839" s="1"/>
    </row>
    <row r="840" ht="14.5" spans="2:14">
      <c r="B840" s="1"/>
      <c r="C840" s="1"/>
      <c r="D840" s="1"/>
      <c r="E840" s="1"/>
      <c r="F840" s="1"/>
      <c r="G840" s="1"/>
      <c r="H840" s="1"/>
      <c r="I840" s="1"/>
      <c r="J840" s="1"/>
      <c r="K840" s="1"/>
      <c r="L840" s="1"/>
      <c r="M840" s="1"/>
      <c r="N840" s="1"/>
    </row>
    <row r="841" ht="14.5" spans="2:14">
      <c r="B841" s="1"/>
      <c r="C841" s="1"/>
      <c r="D841" s="1"/>
      <c r="E841" s="1"/>
      <c r="F841" s="1"/>
      <c r="G841" s="1"/>
      <c r="H841" s="1"/>
      <c r="I841" s="1"/>
      <c r="J841" s="1"/>
      <c r="K841" s="1"/>
      <c r="L841" s="1"/>
      <c r="M841" s="1"/>
      <c r="N841" s="1"/>
    </row>
    <row r="842" ht="14.5" spans="2:14">
      <c r="B842" s="1"/>
      <c r="C842" s="1"/>
      <c r="D842" s="1"/>
      <c r="E842" s="1"/>
      <c r="F842" s="1"/>
      <c r="G842" s="1"/>
      <c r="H842" s="1"/>
      <c r="I842" s="1"/>
      <c r="J842" s="1"/>
      <c r="K842" s="1"/>
      <c r="L842" s="1"/>
      <c r="M842" s="1"/>
      <c r="N842" s="1"/>
    </row>
    <row r="843" ht="14.5" spans="2:14">
      <c r="B843" s="1"/>
      <c r="C843" s="1"/>
      <c r="D843" s="1"/>
      <c r="E843" s="1"/>
      <c r="F843" s="1"/>
      <c r="G843" s="1"/>
      <c r="H843" s="1"/>
      <c r="I843" s="1"/>
      <c r="J843" s="1"/>
      <c r="K843" s="1"/>
      <c r="L843" s="1"/>
      <c r="M843" s="1"/>
      <c r="N843" s="1"/>
    </row>
    <row r="844" ht="14.5" spans="2:14">
      <c r="B844" s="1"/>
      <c r="C844" s="1"/>
      <c r="D844" s="1"/>
      <c r="E844" s="1"/>
      <c r="F844" s="1"/>
      <c r="G844" s="1"/>
      <c r="H844" s="1"/>
      <c r="I844" s="1"/>
      <c r="J844" s="1"/>
      <c r="K844" s="1"/>
      <c r="L844" s="1"/>
      <c r="M844" s="1"/>
      <c r="N844" s="1"/>
    </row>
    <row r="845" ht="14.5" spans="2:14">
      <c r="B845" s="1"/>
      <c r="C845" s="1"/>
      <c r="D845" s="1"/>
      <c r="E845" s="1"/>
      <c r="F845" s="1"/>
      <c r="G845" s="1"/>
      <c r="H845" s="1"/>
      <c r="I845" s="1"/>
      <c r="J845" s="1"/>
      <c r="K845" s="1"/>
      <c r="L845" s="1"/>
      <c r="M845" s="1"/>
      <c r="N845" s="1"/>
    </row>
    <row r="846" ht="14.5" spans="2:14">
      <c r="B846" s="1"/>
      <c r="C846" s="1"/>
      <c r="D846" s="1"/>
      <c r="E846" s="1"/>
      <c r="F846" s="1"/>
      <c r="G846" s="1"/>
      <c r="H846" s="1"/>
      <c r="I846" s="1"/>
      <c r="J846" s="1"/>
      <c r="K846" s="1"/>
      <c r="L846" s="1"/>
      <c r="M846" s="1"/>
      <c r="N846" s="1"/>
    </row>
    <row r="847" ht="14.5" spans="2:14">
      <c r="B847" s="1"/>
      <c r="C847" s="1"/>
      <c r="D847" s="1"/>
      <c r="E847" s="1"/>
      <c r="F847" s="1"/>
      <c r="G847" s="1"/>
      <c r="H847" s="1"/>
      <c r="I847" s="1"/>
      <c r="J847" s="1"/>
      <c r="K847" s="1"/>
      <c r="L847" s="1"/>
      <c r="M847" s="1"/>
      <c r="N847" s="1"/>
    </row>
    <row r="848" ht="14.5" spans="2:14">
      <c r="B848" s="1"/>
      <c r="C848" s="1"/>
      <c r="D848" s="1"/>
      <c r="E848" s="1"/>
      <c r="F848" s="1"/>
      <c r="G848" s="1"/>
      <c r="H848" s="1"/>
      <c r="I848" s="1"/>
      <c r="J848" s="1"/>
      <c r="K848" s="1"/>
      <c r="L848" s="1"/>
      <c r="M848" s="1"/>
      <c r="N848" s="1"/>
    </row>
    <row r="849" ht="14.5" spans="2:14">
      <c r="B849" s="1"/>
      <c r="C849" s="1"/>
      <c r="D849" s="1"/>
      <c r="E849" s="1"/>
      <c r="F849" s="1"/>
      <c r="G849" s="1"/>
      <c r="H849" s="1"/>
      <c r="I849" s="1"/>
      <c r="J849" s="1"/>
      <c r="K849" s="1"/>
      <c r="L849" s="1"/>
      <c r="M849" s="1"/>
      <c r="N849" s="1"/>
    </row>
    <row r="850" ht="14.5" spans="2:14">
      <c r="B850" s="1"/>
      <c r="C850" s="1"/>
      <c r="D850" s="1"/>
      <c r="E850" s="1"/>
      <c r="F850" s="1"/>
      <c r="G850" s="1"/>
      <c r="H850" s="1"/>
      <c r="I850" s="1"/>
      <c r="J850" s="1"/>
      <c r="K850" s="1"/>
      <c r="L850" s="1"/>
      <c r="M850" s="1"/>
      <c r="N850" s="1"/>
    </row>
    <row r="851" ht="14.5" spans="2:14">
      <c r="B851" s="1"/>
      <c r="C851" s="1"/>
      <c r="D851" s="1"/>
      <c r="E851" s="1"/>
      <c r="F851" s="1"/>
      <c r="G851" s="1"/>
      <c r="H851" s="1"/>
      <c r="I851" s="1"/>
      <c r="J851" s="1"/>
      <c r="K851" s="1"/>
      <c r="L851" s="1"/>
      <c r="M851" s="1"/>
      <c r="N851" s="1"/>
    </row>
    <row r="852" ht="14.5" spans="2:14">
      <c r="B852" s="1"/>
      <c r="C852" s="1"/>
      <c r="D852" s="1"/>
      <c r="E852" s="1"/>
      <c r="F852" s="1"/>
      <c r="G852" s="1"/>
      <c r="H852" s="1"/>
      <c r="I852" s="1"/>
      <c r="J852" s="1"/>
      <c r="K852" s="1"/>
      <c r="L852" s="1"/>
      <c r="M852" s="1"/>
      <c r="N852" s="1"/>
    </row>
    <row r="853" ht="14.5" spans="2:14">
      <c r="B853" s="1"/>
      <c r="C853" s="1"/>
      <c r="D853" s="1"/>
      <c r="E853" s="1"/>
      <c r="F853" s="1"/>
      <c r="G853" s="1"/>
      <c r="H853" s="1"/>
      <c r="I853" s="1"/>
      <c r="J853" s="1"/>
      <c r="K853" s="1"/>
      <c r="L853" s="1"/>
      <c r="M853" s="1"/>
      <c r="N853" s="1"/>
    </row>
    <row r="854" ht="14.5" spans="2:14">
      <c r="B854" s="1"/>
      <c r="C854" s="1"/>
      <c r="D854" s="1"/>
      <c r="E854" s="1"/>
      <c r="F854" s="1"/>
      <c r="G854" s="1"/>
      <c r="H854" s="1"/>
      <c r="I854" s="1"/>
      <c r="J854" s="1"/>
      <c r="K854" s="1"/>
      <c r="L854" s="1"/>
      <c r="M854" s="1"/>
      <c r="N854" s="1"/>
    </row>
    <row r="855" ht="14.5" spans="2:14">
      <c r="B855" s="1"/>
      <c r="C855" s="1"/>
      <c r="D855" s="1"/>
      <c r="E855" s="1"/>
      <c r="F855" s="1"/>
      <c r="G855" s="1"/>
      <c r="H855" s="1"/>
      <c r="I855" s="1"/>
      <c r="J855" s="1"/>
      <c r="K855" s="1"/>
      <c r="L855" s="1"/>
      <c r="M855" s="1"/>
      <c r="N855" s="1"/>
    </row>
    <row r="856" ht="14.5" spans="2:14">
      <c r="B856" s="1"/>
      <c r="C856" s="1"/>
      <c r="D856" s="1"/>
      <c r="E856" s="1"/>
      <c r="F856" s="1"/>
      <c r="G856" s="1"/>
      <c r="H856" s="1"/>
      <c r="I856" s="1"/>
      <c r="J856" s="1"/>
      <c r="K856" s="1"/>
      <c r="L856" s="1"/>
      <c r="M856" s="1"/>
      <c r="N856" s="1"/>
    </row>
    <row r="857" ht="14.5" spans="2:14">
      <c r="B857" s="1"/>
      <c r="C857" s="1"/>
      <c r="D857" s="1"/>
      <c r="E857" s="1"/>
      <c r="F857" s="1"/>
      <c r="G857" s="1"/>
      <c r="H857" s="1"/>
      <c r="I857" s="1"/>
      <c r="J857" s="1"/>
      <c r="K857" s="1"/>
      <c r="L857" s="1"/>
      <c r="M857" s="1"/>
      <c r="N857" s="1"/>
    </row>
    <row r="858" ht="14.5" spans="2:14">
      <c r="B858" s="1"/>
      <c r="C858" s="1"/>
      <c r="D858" s="1"/>
      <c r="E858" s="1"/>
      <c r="F858" s="1"/>
      <c r="G858" s="1"/>
      <c r="H858" s="1"/>
      <c r="I858" s="1"/>
      <c r="J858" s="1"/>
      <c r="K858" s="1"/>
      <c r="L858" s="1"/>
      <c r="M858" s="1"/>
      <c r="N858" s="1"/>
    </row>
    <row r="859" ht="14.5" spans="2:14">
      <c r="B859" s="1"/>
      <c r="C859" s="1"/>
      <c r="D859" s="1"/>
      <c r="E859" s="1"/>
      <c r="F859" s="1"/>
      <c r="G859" s="1"/>
      <c r="H859" s="1"/>
      <c r="I859" s="1"/>
      <c r="J859" s="1"/>
      <c r="K859" s="1"/>
      <c r="L859" s="1"/>
      <c r="M859" s="1"/>
      <c r="N859" s="1"/>
    </row>
    <row r="860" ht="14.5" spans="2:14">
      <c r="B860" s="1"/>
      <c r="C860" s="1"/>
      <c r="D860" s="1"/>
      <c r="E860" s="1"/>
      <c r="F860" s="1"/>
      <c r="G860" s="1"/>
      <c r="H860" s="1"/>
      <c r="I860" s="1"/>
      <c r="J860" s="1"/>
      <c r="K860" s="1"/>
      <c r="L860" s="1"/>
      <c r="M860" s="1"/>
      <c r="N860" s="1"/>
    </row>
    <row r="861" ht="14.5" spans="2:14">
      <c r="B861" s="1"/>
      <c r="C861" s="1"/>
      <c r="D861" s="1"/>
      <c r="E861" s="1"/>
      <c r="F861" s="1"/>
      <c r="G861" s="1"/>
      <c r="H861" s="1"/>
      <c r="I861" s="1"/>
      <c r="J861" s="1"/>
      <c r="K861" s="1"/>
      <c r="L861" s="1"/>
      <c r="M861" s="1"/>
      <c r="N861" s="1"/>
    </row>
    <row r="862" ht="14.5" spans="2:14">
      <c r="B862" s="1"/>
      <c r="C862" s="1"/>
      <c r="D862" s="1"/>
      <c r="E862" s="1"/>
      <c r="F862" s="1"/>
      <c r="G862" s="1"/>
      <c r="H862" s="1"/>
      <c r="I862" s="1"/>
      <c r="J862" s="1"/>
      <c r="K862" s="1"/>
      <c r="L862" s="1"/>
      <c r="M862" s="1"/>
      <c r="N862" s="1"/>
    </row>
    <row r="863" ht="14.5" spans="2:14">
      <c r="B863" s="1"/>
      <c r="C863" s="1"/>
      <c r="D863" s="1"/>
      <c r="E863" s="1"/>
      <c r="F863" s="1"/>
      <c r="G863" s="1"/>
      <c r="H863" s="1"/>
      <c r="I863" s="1"/>
      <c r="J863" s="1"/>
      <c r="K863" s="1"/>
      <c r="L863" s="1"/>
      <c r="M863" s="1"/>
      <c r="N863" s="1"/>
    </row>
    <row r="864" ht="14.5" spans="2:14">
      <c r="B864" s="1"/>
      <c r="C864" s="1"/>
      <c r="D864" s="1"/>
      <c r="E864" s="1"/>
      <c r="F864" s="1"/>
      <c r="G864" s="1"/>
      <c r="H864" s="1"/>
      <c r="I864" s="1"/>
      <c r="J864" s="1"/>
      <c r="K864" s="1"/>
      <c r="L864" s="1"/>
      <c r="M864" s="1"/>
      <c r="N864" s="1"/>
    </row>
    <row r="865" ht="14.5" spans="2:14">
      <c r="B865" s="1"/>
      <c r="C865" s="1"/>
      <c r="D865" s="1"/>
      <c r="E865" s="1"/>
      <c r="F865" s="1"/>
      <c r="G865" s="1"/>
      <c r="H865" s="1"/>
      <c r="I865" s="1"/>
      <c r="J865" s="1"/>
      <c r="K865" s="1"/>
      <c r="L865" s="1"/>
      <c r="M865" s="1"/>
      <c r="N865" s="1"/>
    </row>
    <row r="866" ht="14.5" spans="2:14">
      <c r="B866" s="1"/>
      <c r="C866" s="1"/>
      <c r="D866" s="1"/>
      <c r="E866" s="1"/>
      <c r="F866" s="1"/>
      <c r="G866" s="1"/>
      <c r="H866" s="1"/>
      <c r="I866" s="1"/>
      <c r="J866" s="1"/>
      <c r="K866" s="1"/>
      <c r="L866" s="1"/>
      <c r="M866" s="1"/>
      <c r="N866" s="1"/>
    </row>
    <row r="867" ht="14.5" spans="2:14">
      <c r="B867" s="1"/>
      <c r="C867" s="1"/>
      <c r="D867" s="1"/>
      <c r="E867" s="1"/>
      <c r="F867" s="1"/>
      <c r="G867" s="1"/>
      <c r="H867" s="1"/>
      <c r="I867" s="1"/>
      <c r="J867" s="1"/>
      <c r="K867" s="1"/>
      <c r="L867" s="1"/>
      <c r="M867" s="1"/>
      <c r="N867" s="1"/>
    </row>
    <row r="868" ht="14.5" spans="2:14">
      <c r="B868" s="1"/>
      <c r="C868" s="1"/>
      <c r="D868" s="1"/>
      <c r="E868" s="1"/>
      <c r="F868" s="1"/>
      <c r="G868" s="1"/>
      <c r="H868" s="1"/>
      <c r="I868" s="1"/>
      <c r="J868" s="1"/>
      <c r="K868" s="1"/>
      <c r="L868" s="1"/>
      <c r="M868" s="1"/>
      <c r="N868" s="1"/>
    </row>
    <row r="869" ht="14.5" spans="2:14">
      <c r="B869" s="1"/>
      <c r="C869" s="1"/>
      <c r="D869" s="1"/>
      <c r="E869" s="1"/>
      <c r="F869" s="1"/>
      <c r="G869" s="1"/>
      <c r="H869" s="1"/>
      <c r="I869" s="1"/>
      <c r="J869" s="1"/>
      <c r="K869" s="1"/>
      <c r="L869" s="1"/>
      <c r="M869" s="1"/>
      <c r="N869" s="1"/>
    </row>
    <row r="870" ht="14.5" spans="2:14">
      <c r="B870" s="1"/>
      <c r="C870" s="1"/>
      <c r="D870" s="1"/>
      <c r="E870" s="1"/>
      <c r="F870" s="1"/>
      <c r="G870" s="1"/>
      <c r="H870" s="1"/>
      <c r="I870" s="1"/>
      <c r="J870" s="1"/>
      <c r="K870" s="1"/>
      <c r="L870" s="1"/>
      <c r="M870" s="1"/>
      <c r="N870" s="1"/>
    </row>
    <row r="871" ht="14.5" spans="2:14">
      <c r="B871" s="1"/>
      <c r="C871" s="1"/>
      <c r="D871" s="1"/>
      <c r="E871" s="1"/>
      <c r="F871" s="1"/>
      <c r="G871" s="1"/>
      <c r="H871" s="1"/>
      <c r="I871" s="1"/>
      <c r="J871" s="1"/>
      <c r="K871" s="1"/>
      <c r="L871" s="1"/>
      <c r="M871" s="1"/>
      <c r="N871" s="1"/>
    </row>
    <row r="872" ht="14.5" spans="2:14">
      <c r="B872" s="1"/>
      <c r="C872" s="1"/>
      <c r="D872" s="1"/>
      <c r="E872" s="1"/>
      <c r="F872" s="1"/>
      <c r="G872" s="1"/>
      <c r="H872" s="1"/>
      <c r="I872" s="1"/>
      <c r="J872" s="1"/>
      <c r="K872" s="1"/>
      <c r="L872" s="1"/>
      <c r="M872" s="1"/>
      <c r="N872" s="1"/>
    </row>
    <row r="873" ht="14.5" spans="2:14">
      <c r="B873" s="1"/>
      <c r="C873" s="1"/>
      <c r="D873" s="1"/>
      <c r="E873" s="1"/>
      <c r="F873" s="1"/>
      <c r="G873" s="1"/>
      <c r="H873" s="1"/>
      <c r="I873" s="1"/>
      <c r="J873" s="1"/>
      <c r="K873" s="1"/>
      <c r="L873" s="1"/>
      <c r="M873" s="1"/>
      <c r="N873" s="1"/>
    </row>
    <row r="874" ht="14.5" spans="2:14">
      <c r="B874" s="1"/>
      <c r="C874" s="1"/>
      <c r="D874" s="1"/>
      <c r="E874" s="1"/>
      <c r="F874" s="1"/>
      <c r="G874" s="1"/>
      <c r="H874" s="1"/>
      <c r="I874" s="1"/>
      <c r="J874" s="1"/>
      <c r="K874" s="1"/>
      <c r="L874" s="1"/>
      <c r="M874" s="1"/>
      <c r="N874" s="1"/>
    </row>
    <row r="875" ht="14.5" spans="2:14">
      <c r="B875" s="1"/>
      <c r="C875" s="1"/>
      <c r="D875" s="1"/>
      <c r="E875" s="1"/>
      <c r="F875" s="1"/>
      <c r="G875" s="1"/>
      <c r="H875" s="1"/>
      <c r="I875" s="1"/>
      <c r="J875" s="1"/>
      <c r="K875" s="1"/>
      <c r="L875" s="1"/>
      <c r="M875" s="1"/>
      <c r="N875" s="1"/>
    </row>
    <row r="876" ht="14.5" spans="2:14">
      <c r="B876" s="1"/>
      <c r="C876" s="1"/>
      <c r="D876" s="1"/>
      <c r="E876" s="1"/>
      <c r="F876" s="1"/>
      <c r="G876" s="1"/>
      <c r="H876" s="1"/>
      <c r="I876" s="1"/>
      <c r="J876" s="1"/>
      <c r="K876" s="1"/>
      <c r="L876" s="1"/>
      <c r="M876" s="1"/>
      <c r="N876" s="1"/>
    </row>
    <row r="877" ht="14.5" spans="2:14">
      <c r="B877" s="1"/>
      <c r="C877" s="1"/>
      <c r="D877" s="1"/>
      <c r="E877" s="1"/>
      <c r="F877" s="1"/>
      <c r="G877" s="1"/>
      <c r="H877" s="1"/>
      <c r="I877" s="1"/>
      <c r="J877" s="1"/>
      <c r="K877" s="1"/>
      <c r="L877" s="1"/>
      <c r="M877" s="1"/>
      <c r="N877" s="1"/>
    </row>
    <row r="878" ht="14.5" spans="2:14">
      <c r="B878" s="1"/>
      <c r="C878" s="1"/>
      <c r="D878" s="1"/>
      <c r="E878" s="1"/>
      <c r="F878" s="1"/>
      <c r="G878" s="1"/>
      <c r="H878" s="1"/>
      <c r="I878" s="1"/>
      <c r="J878" s="1"/>
      <c r="K878" s="1"/>
      <c r="L878" s="1"/>
      <c r="M878" s="1"/>
      <c r="N878" s="1"/>
    </row>
    <row r="879" ht="14.5" spans="2:14">
      <c r="B879" s="1"/>
      <c r="C879" s="1"/>
      <c r="D879" s="1"/>
      <c r="E879" s="1"/>
      <c r="F879" s="1"/>
      <c r="G879" s="1"/>
      <c r="H879" s="1"/>
      <c r="I879" s="1"/>
      <c r="J879" s="1"/>
      <c r="K879" s="1"/>
      <c r="L879" s="1"/>
      <c r="M879" s="1"/>
      <c r="N879" s="1"/>
    </row>
    <row r="880" ht="14.5" spans="2:14">
      <c r="B880" s="1"/>
      <c r="C880" s="1"/>
      <c r="D880" s="1"/>
      <c r="E880" s="1"/>
      <c r="F880" s="1"/>
      <c r="G880" s="1"/>
      <c r="H880" s="1"/>
      <c r="I880" s="1"/>
      <c r="J880" s="1"/>
      <c r="K880" s="1"/>
      <c r="L880" s="1"/>
      <c r="M880" s="1"/>
      <c r="N880" s="1"/>
    </row>
    <row r="881" ht="14.5" spans="2:14">
      <c r="B881" s="1"/>
      <c r="C881" s="1"/>
      <c r="D881" s="1"/>
      <c r="E881" s="1"/>
      <c r="F881" s="1"/>
      <c r="G881" s="1"/>
      <c r="H881" s="1"/>
      <c r="I881" s="1"/>
      <c r="J881" s="1"/>
      <c r="K881" s="1"/>
      <c r="L881" s="1"/>
      <c r="M881" s="1"/>
      <c r="N881" s="1"/>
    </row>
    <row r="882" ht="14.5" spans="2:14">
      <c r="B882" s="1"/>
      <c r="C882" s="1"/>
      <c r="D882" s="1"/>
      <c r="E882" s="1"/>
      <c r="F882" s="1"/>
      <c r="G882" s="1"/>
      <c r="H882" s="1"/>
      <c r="I882" s="1"/>
      <c r="J882" s="1"/>
      <c r="K882" s="1"/>
      <c r="L882" s="1"/>
      <c r="M882" s="1"/>
      <c r="N882" s="1"/>
    </row>
    <row r="883" ht="14.5" spans="2:14">
      <c r="B883" s="1"/>
      <c r="C883" s="1"/>
      <c r="D883" s="1"/>
      <c r="E883" s="1"/>
      <c r="F883" s="1"/>
      <c r="G883" s="1"/>
      <c r="H883" s="1"/>
      <c r="I883" s="1"/>
      <c r="J883" s="1"/>
      <c r="K883" s="1"/>
      <c r="L883" s="1"/>
      <c r="M883" s="1"/>
      <c r="N883" s="1"/>
    </row>
    <row r="884" ht="14.5" spans="2:14">
      <c r="B884" s="1"/>
      <c r="C884" s="1"/>
      <c r="D884" s="1"/>
      <c r="E884" s="1"/>
      <c r="F884" s="1"/>
      <c r="G884" s="1"/>
      <c r="H884" s="1"/>
      <c r="I884" s="1"/>
      <c r="J884" s="1"/>
      <c r="K884" s="1"/>
      <c r="L884" s="1"/>
      <c r="M884" s="1"/>
      <c r="N884" s="1"/>
    </row>
    <row r="885" ht="14.5" spans="2:14">
      <c r="B885" s="1"/>
      <c r="C885" s="1"/>
      <c r="D885" s="1"/>
      <c r="E885" s="1"/>
      <c r="F885" s="1"/>
      <c r="G885" s="1"/>
      <c r="H885" s="1"/>
      <c r="I885" s="1"/>
      <c r="J885" s="1"/>
      <c r="K885" s="1"/>
      <c r="L885" s="1"/>
      <c r="M885" s="1"/>
      <c r="N885" s="1"/>
    </row>
    <row r="886" ht="14.5" spans="2:14">
      <c r="B886" s="1"/>
      <c r="C886" s="1"/>
      <c r="D886" s="1"/>
      <c r="E886" s="1"/>
      <c r="F886" s="1"/>
      <c r="G886" s="1"/>
      <c r="H886" s="1"/>
      <c r="I886" s="1"/>
      <c r="J886" s="1"/>
      <c r="K886" s="1"/>
      <c r="L886" s="1"/>
      <c r="M886" s="1"/>
      <c r="N886" s="1"/>
    </row>
    <row r="887" ht="14.5" spans="2:14">
      <c r="B887" s="1"/>
      <c r="C887" s="1"/>
      <c r="D887" s="1"/>
      <c r="E887" s="1"/>
      <c r="F887" s="1"/>
      <c r="G887" s="1"/>
      <c r="H887" s="1"/>
      <c r="I887" s="1"/>
      <c r="J887" s="1"/>
      <c r="K887" s="1"/>
      <c r="L887" s="1"/>
      <c r="M887" s="1"/>
      <c r="N887" s="1"/>
    </row>
    <row r="888" ht="14.5" spans="2:14">
      <c r="B888" s="1"/>
      <c r="C888" s="1"/>
      <c r="D888" s="1"/>
      <c r="E888" s="1"/>
      <c r="F888" s="1"/>
      <c r="G888" s="1"/>
      <c r="H888" s="1"/>
      <c r="I888" s="1"/>
      <c r="J888" s="1"/>
      <c r="K888" s="1"/>
      <c r="L888" s="1"/>
      <c r="M888" s="1"/>
      <c r="N888" s="1"/>
    </row>
    <row r="889" ht="14.5" spans="2:14">
      <c r="B889" s="1"/>
      <c r="C889" s="1"/>
      <c r="D889" s="1"/>
      <c r="E889" s="1"/>
      <c r="F889" s="1"/>
      <c r="G889" s="1"/>
      <c r="H889" s="1"/>
      <c r="I889" s="1"/>
      <c r="J889" s="1"/>
      <c r="K889" s="1"/>
      <c r="L889" s="1"/>
      <c r="M889" s="1"/>
      <c r="N889" s="1"/>
    </row>
    <row r="890" ht="14.5" spans="2:14">
      <c r="B890" s="1"/>
      <c r="C890" s="1"/>
      <c r="D890" s="1"/>
      <c r="E890" s="1"/>
      <c r="F890" s="1"/>
      <c r="G890" s="1"/>
      <c r="H890" s="1"/>
      <c r="I890" s="1"/>
      <c r="J890" s="1"/>
      <c r="K890" s="1"/>
      <c r="L890" s="1"/>
      <c r="M890" s="1"/>
      <c r="N890" s="1"/>
    </row>
    <row r="891" ht="14.5" spans="2:14">
      <c r="B891" s="1"/>
      <c r="C891" s="1"/>
      <c r="D891" s="1"/>
      <c r="E891" s="1"/>
      <c r="F891" s="1"/>
      <c r="G891" s="1"/>
      <c r="H891" s="1"/>
      <c r="I891" s="1"/>
      <c r="J891" s="1"/>
      <c r="K891" s="1"/>
      <c r="L891" s="1"/>
      <c r="M891" s="1"/>
      <c r="N891" s="1"/>
    </row>
    <row r="892" ht="14.5" spans="2:14">
      <c r="B892" s="1"/>
      <c r="C892" s="1"/>
      <c r="D892" s="1"/>
      <c r="E892" s="1"/>
      <c r="F892" s="1"/>
      <c r="G892" s="1"/>
      <c r="H892" s="1"/>
      <c r="I892" s="1"/>
      <c r="J892" s="1"/>
      <c r="K892" s="1"/>
      <c r="L892" s="1"/>
      <c r="M892" s="1"/>
      <c r="N892" s="1"/>
    </row>
    <row r="893" ht="14.5" spans="2:14">
      <c r="B893" s="1"/>
      <c r="C893" s="1"/>
      <c r="D893" s="1"/>
      <c r="E893" s="1"/>
      <c r="F893" s="1"/>
      <c r="G893" s="1"/>
      <c r="H893" s="1"/>
      <c r="I893" s="1"/>
      <c r="J893" s="1"/>
      <c r="K893" s="1"/>
      <c r="L893" s="1"/>
      <c r="M893" s="1"/>
      <c r="N893" s="1"/>
    </row>
    <row r="894" ht="14.5" spans="2:14">
      <c r="B894" s="1"/>
      <c r="C894" s="1"/>
      <c r="D894" s="1"/>
      <c r="E894" s="1"/>
      <c r="F894" s="1"/>
      <c r="G894" s="1"/>
      <c r="H894" s="1"/>
      <c r="I894" s="1"/>
      <c r="J894" s="1"/>
      <c r="K894" s="1"/>
      <c r="L894" s="1"/>
      <c r="M894" s="1"/>
      <c r="N894" s="1"/>
    </row>
    <row r="895" ht="14.5" spans="2:14">
      <c r="B895" s="1"/>
      <c r="C895" s="1"/>
      <c r="D895" s="1"/>
      <c r="E895" s="1"/>
      <c r="F895" s="1"/>
      <c r="G895" s="1"/>
      <c r="H895" s="1"/>
      <c r="I895" s="1"/>
      <c r="J895" s="1"/>
      <c r="K895" s="1"/>
      <c r="L895" s="1"/>
      <c r="M895" s="1"/>
      <c r="N895" s="1"/>
    </row>
    <row r="896" ht="14.5" spans="2:14">
      <c r="B896" s="1"/>
      <c r="C896" s="1"/>
      <c r="D896" s="1"/>
      <c r="E896" s="1"/>
      <c r="F896" s="1"/>
      <c r="G896" s="1"/>
      <c r="H896" s="1"/>
      <c r="I896" s="1"/>
      <c r="J896" s="1"/>
      <c r="K896" s="1"/>
      <c r="L896" s="1"/>
      <c r="M896" s="1"/>
      <c r="N896" s="1"/>
    </row>
    <row r="897" ht="14.5" spans="2:14">
      <c r="B897" s="1"/>
      <c r="C897" s="1"/>
      <c r="D897" s="1"/>
      <c r="E897" s="1"/>
      <c r="F897" s="1"/>
      <c r="G897" s="1"/>
      <c r="H897" s="1"/>
      <c r="I897" s="1"/>
      <c r="J897" s="1"/>
      <c r="K897" s="1"/>
      <c r="L897" s="1"/>
      <c r="M897" s="1"/>
      <c r="N897" s="1"/>
    </row>
    <row r="898" ht="14.5" spans="2:14">
      <c r="B898" s="1"/>
      <c r="C898" s="1"/>
      <c r="D898" s="1"/>
      <c r="E898" s="1"/>
      <c r="F898" s="1"/>
      <c r="G898" s="1"/>
      <c r="H898" s="1"/>
      <c r="I898" s="1"/>
      <c r="J898" s="1"/>
      <c r="K898" s="1"/>
      <c r="L898" s="1"/>
      <c r="M898" s="1"/>
      <c r="N898" s="1"/>
    </row>
    <row r="899" ht="14.5" spans="2:14">
      <c r="B899" s="1"/>
      <c r="C899" s="1"/>
      <c r="D899" s="1"/>
      <c r="E899" s="1"/>
      <c r="F899" s="1"/>
      <c r="G899" s="1"/>
      <c r="H899" s="1"/>
      <c r="I899" s="1"/>
      <c r="J899" s="1"/>
      <c r="K899" s="1"/>
      <c r="L899" s="1"/>
      <c r="M899" s="1"/>
      <c r="N899" s="1"/>
    </row>
    <row r="900" ht="14.5" spans="2:14">
      <c r="B900" s="1"/>
      <c r="C900" s="1"/>
      <c r="D900" s="1"/>
      <c r="E900" s="1"/>
      <c r="F900" s="1"/>
      <c r="G900" s="1"/>
      <c r="H900" s="1"/>
      <c r="I900" s="1"/>
      <c r="J900" s="1"/>
      <c r="K900" s="1"/>
      <c r="L900" s="1"/>
      <c r="M900" s="1"/>
      <c r="N900" s="1"/>
    </row>
    <row r="901" ht="14.5" spans="2:14">
      <c r="B901" s="1"/>
      <c r="C901" s="1"/>
      <c r="D901" s="1"/>
      <c r="E901" s="1"/>
      <c r="F901" s="1"/>
      <c r="G901" s="1"/>
      <c r="H901" s="1"/>
      <c r="I901" s="1"/>
      <c r="J901" s="1"/>
      <c r="K901" s="1"/>
      <c r="L901" s="1"/>
      <c r="M901" s="1"/>
      <c r="N901" s="1"/>
    </row>
    <row r="902" ht="14.5" spans="2:14">
      <c r="B902" s="1"/>
      <c r="C902" s="1"/>
      <c r="D902" s="1"/>
      <c r="E902" s="1"/>
      <c r="F902" s="1"/>
      <c r="G902" s="1"/>
      <c r="H902" s="1"/>
      <c r="I902" s="1"/>
      <c r="J902" s="1"/>
      <c r="K902" s="1"/>
      <c r="L902" s="1"/>
      <c r="M902" s="1"/>
      <c r="N902" s="1"/>
    </row>
    <row r="903" ht="14.5" spans="2:14">
      <c r="B903" s="1"/>
      <c r="C903" s="1"/>
      <c r="D903" s="1"/>
      <c r="E903" s="1"/>
      <c r="F903" s="1"/>
      <c r="G903" s="1"/>
      <c r="H903" s="1"/>
      <c r="I903" s="1"/>
      <c r="J903" s="1"/>
      <c r="K903" s="1"/>
      <c r="L903" s="1"/>
      <c r="M903" s="1"/>
      <c r="N903" s="1"/>
    </row>
    <row r="904" ht="14.5" spans="2:14">
      <c r="B904" s="1"/>
      <c r="C904" s="1"/>
      <c r="D904" s="1"/>
      <c r="E904" s="1"/>
      <c r="F904" s="1"/>
      <c r="G904" s="1"/>
      <c r="H904" s="1"/>
      <c r="I904" s="1"/>
      <c r="J904" s="1"/>
      <c r="K904" s="1"/>
      <c r="L904" s="1"/>
      <c r="M904" s="1"/>
      <c r="N904" s="1"/>
    </row>
    <row r="905" ht="14.5" spans="2:14">
      <c r="B905" s="1"/>
      <c r="C905" s="1"/>
      <c r="D905" s="1"/>
      <c r="E905" s="1"/>
      <c r="F905" s="1"/>
      <c r="G905" s="1"/>
      <c r="H905" s="1"/>
      <c r="I905" s="1"/>
      <c r="J905" s="1"/>
      <c r="K905" s="1"/>
      <c r="L905" s="1"/>
      <c r="M905" s="1"/>
      <c r="N905" s="1"/>
    </row>
    <row r="906" ht="14.5" spans="2:14">
      <c r="B906" s="1"/>
      <c r="C906" s="1"/>
      <c r="D906" s="1"/>
      <c r="E906" s="1"/>
      <c r="F906" s="1"/>
      <c r="G906" s="1"/>
      <c r="H906" s="1"/>
      <c r="I906" s="1"/>
      <c r="J906" s="1"/>
      <c r="K906" s="1"/>
      <c r="L906" s="1"/>
      <c r="M906" s="1"/>
      <c r="N906" s="1"/>
    </row>
    <row r="907" ht="14.5" spans="2:14">
      <c r="B907" s="1"/>
      <c r="C907" s="1"/>
      <c r="D907" s="1"/>
      <c r="E907" s="1"/>
      <c r="F907" s="1"/>
      <c r="G907" s="1"/>
      <c r="H907" s="1"/>
      <c r="I907" s="1"/>
      <c r="J907" s="1"/>
      <c r="K907" s="1"/>
      <c r="L907" s="1"/>
      <c r="M907" s="1"/>
      <c r="N907" s="1"/>
    </row>
    <row r="908" ht="14.5" spans="2:14">
      <c r="B908" s="1"/>
      <c r="C908" s="1"/>
      <c r="D908" s="1"/>
      <c r="E908" s="1"/>
      <c r="F908" s="1"/>
      <c r="G908" s="1"/>
      <c r="H908" s="1"/>
      <c r="I908" s="1"/>
      <c r="J908" s="1"/>
      <c r="K908" s="1"/>
      <c r="L908" s="1"/>
      <c r="M908" s="1"/>
      <c r="N908" s="1"/>
    </row>
    <row r="909" ht="14.5" spans="2:14">
      <c r="B909" s="1"/>
      <c r="C909" s="1"/>
      <c r="D909" s="1"/>
      <c r="E909" s="1"/>
      <c r="F909" s="1"/>
      <c r="G909" s="1"/>
      <c r="H909" s="1"/>
      <c r="I909" s="1"/>
      <c r="J909" s="1"/>
      <c r="K909" s="1"/>
      <c r="L909" s="1"/>
      <c r="M909" s="1"/>
      <c r="N909" s="1"/>
    </row>
    <row r="910" ht="14.5" spans="2:14">
      <c r="B910" s="1"/>
      <c r="C910" s="1"/>
      <c r="D910" s="1"/>
      <c r="E910" s="1"/>
      <c r="F910" s="1"/>
      <c r="G910" s="1"/>
      <c r="H910" s="1"/>
      <c r="I910" s="1"/>
      <c r="J910" s="1"/>
      <c r="K910" s="1"/>
      <c r="L910" s="1"/>
      <c r="M910" s="1"/>
      <c r="N910" s="1"/>
    </row>
    <row r="911" ht="14.5" spans="2:14">
      <c r="B911" s="1"/>
      <c r="C911" s="1"/>
      <c r="D911" s="1"/>
      <c r="E911" s="1"/>
      <c r="F911" s="1"/>
      <c r="G911" s="1"/>
      <c r="H911" s="1"/>
      <c r="I911" s="1"/>
      <c r="J911" s="1"/>
      <c r="K911" s="1"/>
      <c r="L911" s="1"/>
      <c r="M911" s="1"/>
      <c r="N911" s="1"/>
    </row>
    <row r="912" ht="14.5" spans="2:14">
      <c r="B912" s="1"/>
      <c r="C912" s="1"/>
      <c r="D912" s="1"/>
      <c r="E912" s="1"/>
      <c r="F912" s="1"/>
      <c r="G912" s="1"/>
      <c r="H912" s="1"/>
      <c r="I912" s="1"/>
      <c r="J912" s="1"/>
      <c r="K912" s="1"/>
      <c r="L912" s="1"/>
      <c r="M912" s="1"/>
      <c r="N912" s="1"/>
    </row>
    <row r="913" ht="14.5" spans="2:14">
      <c r="B913" s="1"/>
      <c r="C913" s="1"/>
      <c r="D913" s="1"/>
      <c r="E913" s="1"/>
      <c r="F913" s="1"/>
      <c r="G913" s="1"/>
      <c r="H913" s="1"/>
      <c r="I913" s="1"/>
      <c r="J913" s="1"/>
      <c r="K913" s="1"/>
      <c r="L913" s="1"/>
      <c r="M913" s="1"/>
      <c r="N913" s="1"/>
    </row>
    <row r="914" ht="14.5" spans="2:14">
      <c r="B914" s="1"/>
      <c r="C914" s="1"/>
      <c r="D914" s="1"/>
      <c r="E914" s="1"/>
      <c r="F914" s="1"/>
      <c r="G914" s="1"/>
      <c r="H914" s="1"/>
      <c r="I914" s="1"/>
      <c r="J914" s="1"/>
      <c r="K914" s="1"/>
      <c r="L914" s="1"/>
      <c r="M914" s="1"/>
      <c r="N914" s="1"/>
    </row>
    <row r="915" ht="14.5" spans="2:14">
      <c r="B915" s="1"/>
      <c r="C915" s="1"/>
      <c r="D915" s="1"/>
      <c r="E915" s="1"/>
      <c r="F915" s="1"/>
      <c r="G915" s="1"/>
      <c r="H915" s="1"/>
      <c r="I915" s="1"/>
      <c r="J915" s="1"/>
      <c r="K915" s="1"/>
      <c r="L915" s="1"/>
      <c r="M915" s="1"/>
      <c r="N915" s="1"/>
    </row>
    <row r="916" ht="14.5" spans="2:14">
      <c r="B916" s="1"/>
      <c r="C916" s="1"/>
      <c r="D916" s="1"/>
      <c r="E916" s="1"/>
      <c r="F916" s="1"/>
      <c r="G916" s="1"/>
      <c r="H916" s="1"/>
      <c r="I916" s="1"/>
      <c r="J916" s="1"/>
      <c r="K916" s="1"/>
      <c r="L916" s="1"/>
      <c r="M916" s="1"/>
      <c r="N916" s="1"/>
    </row>
    <row r="917" ht="14.5" spans="2:14">
      <c r="B917" s="1"/>
      <c r="C917" s="1"/>
      <c r="D917" s="1"/>
      <c r="E917" s="1"/>
      <c r="F917" s="1"/>
      <c r="G917" s="1"/>
      <c r="H917" s="1"/>
      <c r="I917" s="1"/>
      <c r="J917" s="1"/>
      <c r="K917" s="1"/>
      <c r="L917" s="1"/>
      <c r="M917" s="1"/>
      <c r="N917" s="1"/>
    </row>
    <row r="918" ht="14.5" spans="2:14">
      <c r="B918" s="1"/>
      <c r="C918" s="1"/>
      <c r="D918" s="1"/>
      <c r="E918" s="1"/>
      <c r="F918" s="1"/>
      <c r="G918" s="1"/>
      <c r="H918" s="1"/>
      <c r="I918" s="1"/>
      <c r="J918" s="1"/>
      <c r="K918" s="1"/>
      <c r="L918" s="1"/>
      <c r="M918" s="1"/>
      <c r="N918" s="1"/>
    </row>
    <row r="919" ht="14.5" spans="2:14">
      <c r="B919" s="1"/>
      <c r="C919" s="1"/>
      <c r="D919" s="1"/>
      <c r="E919" s="1"/>
      <c r="F919" s="1"/>
      <c r="G919" s="1"/>
      <c r="H919" s="1"/>
      <c r="I919" s="1"/>
      <c r="J919" s="1"/>
      <c r="K919" s="1"/>
      <c r="L919" s="1"/>
      <c r="M919" s="1"/>
      <c r="N919" s="1"/>
    </row>
    <row r="920" ht="14.5" spans="2:14">
      <c r="B920" s="1"/>
      <c r="C920" s="1"/>
      <c r="D920" s="1"/>
      <c r="E920" s="1"/>
      <c r="F920" s="1"/>
      <c r="G920" s="1"/>
      <c r="H920" s="1"/>
      <c r="I920" s="1"/>
      <c r="J920" s="1"/>
      <c r="K920" s="1"/>
      <c r="L920" s="1"/>
      <c r="M920" s="1"/>
      <c r="N920" s="1"/>
    </row>
    <row r="921" ht="14.5" spans="2:14">
      <c r="B921" s="1"/>
      <c r="C921" s="1"/>
      <c r="D921" s="1"/>
      <c r="E921" s="1"/>
      <c r="F921" s="1"/>
      <c r="G921" s="1"/>
      <c r="H921" s="1"/>
      <c r="I921" s="1"/>
      <c r="J921" s="1"/>
      <c r="K921" s="1"/>
      <c r="L921" s="1"/>
      <c r="M921" s="1"/>
      <c r="N921" s="1"/>
    </row>
    <row r="922" ht="14.5" spans="2:14">
      <c r="B922" s="1"/>
      <c r="C922" s="1"/>
      <c r="D922" s="1"/>
      <c r="E922" s="1"/>
      <c r="F922" s="1"/>
      <c r="G922" s="1"/>
      <c r="H922" s="1"/>
      <c r="I922" s="1"/>
      <c r="J922" s="1"/>
      <c r="K922" s="1"/>
      <c r="L922" s="1"/>
      <c r="M922" s="1"/>
      <c r="N922" s="1"/>
    </row>
    <row r="923" ht="14.5" spans="2:14">
      <c r="B923" s="1"/>
      <c r="C923" s="1"/>
      <c r="D923" s="1"/>
      <c r="E923" s="1"/>
      <c r="F923" s="1"/>
      <c r="G923" s="1"/>
      <c r="H923" s="1"/>
      <c r="I923" s="1"/>
      <c r="J923" s="1"/>
      <c r="K923" s="1"/>
      <c r="L923" s="1"/>
      <c r="M923" s="1"/>
      <c r="N923" s="1"/>
    </row>
    <row r="924" ht="14.5" spans="2:14">
      <c r="B924" s="1"/>
      <c r="C924" s="1"/>
      <c r="D924" s="1"/>
      <c r="E924" s="1"/>
      <c r="F924" s="1"/>
      <c r="G924" s="1"/>
      <c r="H924" s="1"/>
      <c r="I924" s="1"/>
      <c r="J924" s="1"/>
      <c r="K924" s="1"/>
      <c r="L924" s="1"/>
      <c r="M924" s="1"/>
      <c r="N924" s="1"/>
    </row>
    <row r="925" ht="14.5" spans="2:14">
      <c r="B925" s="1"/>
      <c r="C925" s="1"/>
      <c r="D925" s="1"/>
      <c r="E925" s="1"/>
      <c r="F925" s="1"/>
      <c r="G925" s="1"/>
      <c r="H925" s="1"/>
      <c r="I925" s="1"/>
      <c r="J925" s="1"/>
      <c r="K925" s="1"/>
      <c r="L925" s="1"/>
      <c r="M925" s="1"/>
      <c r="N925" s="1"/>
    </row>
    <row r="926" ht="14.5" spans="2:14">
      <c r="B926" s="1"/>
      <c r="C926" s="1"/>
      <c r="D926" s="1"/>
      <c r="E926" s="1"/>
      <c r="F926" s="1"/>
      <c r="G926" s="1"/>
      <c r="H926" s="1"/>
      <c r="I926" s="1"/>
      <c r="J926" s="1"/>
      <c r="K926" s="1"/>
      <c r="L926" s="1"/>
      <c r="M926" s="1"/>
      <c r="N926" s="1"/>
    </row>
    <row r="927" ht="14.5" spans="2:14">
      <c r="B927" s="1"/>
      <c r="C927" s="1"/>
      <c r="D927" s="1"/>
      <c r="E927" s="1"/>
      <c r="F927" s="1"/>
      <c r="G927" s="1"/>
      <c r="H927" s="1"/>
      <c r="I927" s="1"/>
      <c r="J927" s="1"/>
      <c r="K927" s="1"/>
      <c r="L927" s="1"/>
      <c r="M927" s="1"/>
      <c r="N927" s="1"/>
    </row>
    <row r="928" ht="14.5" spans="2:14">
      <c r="B928" s="1"/>
      <c r="C928" s="1"/>
      <c r="D928" s="1"/>
      <c r="E928" s="1"/>
      <c r="F928" s="1"/>
      <c r="G928" s="1"/>
      <c r="H928" s="1"/>
      <c r="I928" s="1"/>
      <c r="J928" s="1"/>
      <c r="K928" s="1"/>
      <c r="L928" s="1"/>
      <c r="M928" s="1"/>
      <c r="N928" s="1"/>
    </row>
    <row r="929" ht="14.5" spans="2:14">
      <c r="B929" s="1"/>
      <c r="C929" s="1"/>
      <c r="D929" s="1"/>
      <c r="E929" s="1"/>
      <c r="F929" s="1"/>
      <c r="G929" s="1"/>
      <c r="H929" s="1"/>
      <c r="I929" s="1"/>
      <c r="J929" s="1"/>
      <c r="K929" s="1"/>
      <c r="L929" s="1"/>
      <c r="M929" s="1"/>
      <c r="N929" s="1"/>
    </row>
    <row r="930" ht="14.5" spans="2:14">
      <c r="B930" s="1"/>
      <c r="C930" s="1"/>
      <c r="D930" s="1"/>
      <c r="E930" s="1"/>
      <c r="F930" s="1"/>
      <c r="G930" s="1"/>
      <c r="H930" s="1"/>
      <c r="I930" s="1"/>
      <c r="J930" s="1"/>
      <c r="K930" s="1"/>
      <c r="L930" s="1"/>
      <c r="M930" s="1"/>
      <c r="N930" s="1"/>
    </row>
    <row r="931" ht="14.5" spans="2:14">
      <c r="B931" s="1"/>
      <c r="C931" s="1"/>
      <c r="D931" s="1"/>
      <c r="E931" s="1"/>
      <c r="F931" s="1"/>
      <c r="G931" s="1"/>
      <c r="H931" s="1"/>
      <c r="I931" s="1"/>
      <c r="J931" s="1"/>
      <c r="K931" s="1"/>
      <c r="L931" s="1"/>
      <c r="M931" s="1"/>
      <c r="N931" s="1"/>
    </row>
    <row r="932" ht="14.5" spans="2:14">
      <c r="B932" s="1"/>
      <c r="C932" s="1"/>
      <c r="D932" s="1"/>
      <c r="E932" s="1"/>
      <c r="F932" s="1"/>
      <c r="G932" s="1"/>
      <c r="H932" s="1"/>
      <c r="I932" s="1"/>
      <c r="J932" s="1"/>
      <c r="K932" s="1"/>
      <c r="L932" s="1"/>
      <c r="M932" s="1"/>
      <c r="N932" s="1"/>
    </row>
    <row r="933" ht="14.5" spans="2:14">
      <c r="B933" s="1"/>
      <c r="C933" s="1"/>
      <c r="D933" s="1"/>
      <c r="E933" s="1"/>
      <c r="F933" s="1"/>
      <c r="G933" s="1"/>
      <c r="H933" s="1"/>
      <c r="I933" s="1"/>
      <c r="J933" s="1"/>
      <c r="K933" s="1"/>
      <c r="L933" s="1"/>
      <c r="M933" s="1"/>
      <c r="N933" s="1"/>
    </row>
    <row r="934" ht="14.5" spans="2:14">
      <c r="B934" s="1"/>
      <c r="C934" s="1"/>
      <c r="D934" s="1"/>
      <c r="E934" s="1"/>
      <c r="F934" s="1"/>
      <c r="G934" s="1"/>
      <c r="H934" s="1"/>
      <c r="I934" s="1"/>
      <c r="J934" s="1"/>
      <c r="K934" s="1"/>
      <c r="L934" s="1"/>
      <c r="M934" s="1"/>
      <c r="N934" s="1"/>
    </row>
    <row r="935" ht="14.5" spans="2:14">
      <c r="B935" s="1"/>
      <c r="C935" s="1"/>
      <c r="D935" s="1"/>
      <c r="E935" s="1"/>
      <c r="F935" s="1"/>
      <c r="G935" s="1"/>
      <c r="H935" s="1"/>
      <c r="I935" s="1"/>
      <c r="J935" s="1"/>
      <c r="K935" s="1"/>
      <c r="L935" s="1"/>
      <c r="M935" s="1"/>
      <c r="N935" s="1"/>
    </row>
    <row r="936" ht="14.5" spans="2:14">
      <c r="B936" s="1"/>
      <c r="C936" s="1"/>
      <c r="D936" s="1"/>
      <c r="E936" s="1"/>
      <c r="F936" s="1"/>
      <c r="G936" s="1"/>
      <c r="H936" s="1"/>
      <c r="I936" s="1"/>
      <c r="J936" s="1"/>
      <c r="K936" s="1"/>
      <c r="L936" s="1"/>
      <c r="M936" s="1"/>
      <c r="N936" s="1"/>
    </row>
    <row r="937" ht="14.5" spans="2:14">
      <c r="B937" s="1"/>
      <c r="C937" s="1"/>
      <c r="D937" s="1"/>
      <c r="E937" s="1"/>
      <c r="F937" s="1"/>
      <c r="G937" s="1"/>
      <c r="H937" s="1"/>
      <c r="I937" s="1"/>
      <c r="J937" s="1"/>
      <c r="K937" s="1"/>
      <c r="L937" s="1"/>
      <c r="M937" s="1"/>
      <c r="N937" s="1"/>
    </row>
    <row r="938" ht="14.5" spans="2:14">
      <c r="B938" s="1"/>
      <c r="C938" s="1"/>
      <c r="D938" s="1"/>
      <c r="E938" s="1"/>
      <c r="F938" s="1"/>
      <c r="G938" s="1"/>
      <c r="H938" s="1"/>
      <c r="I938" s="1"/>
      <c r="J938" s="1"/>
      <c r="K938" s="1"/>
      <c r="L938" s="1"/>
      <c r="M938" s="1"/>
      <c r="N938" s="1"/>
    </row>
    <row r="939" ht="14.5" spans="2:14">
      <c r="B939" s="1"/>
      <c r="C939" s="1"/>
      <c r="D939" s="1"/>
      <c r="E939" s="1"/>
      <c r="F939" s="1"/>
      <c r="G939" s="1"/>
      <c r="H939" s="1"/>
      <c r="I939" s="1"/>
      <c r="J939" s="1"/>
      <c r="K939" s="1"/>
      <c r="L939" s="1"/>
      <c r="M939" s="1"/>
      <c r="N939" s="1"/>
    </row>
    <row r="940" ht="14.5" spans="2:14">
      <c r="B940" s="1"/>
      <c r="C940" s="1"/>
      <c r="D940" s="1"/>
      <c r="E940" s="1"/>
      <c r="F940" s="1"/>
      <c r="G940" s="1"/>
      <c r="H940" s="1"/>
      <c r="I940" s="1"/>
      <c r="J940" s="1"/>
      <c r="K940" s="1"/>
      <c r="L940" s="1"/>
      <c r="M940" s="1"/>
      <c r="N940" s="1"/>
    </row>
    <row r="941" ht="14.5" spans="2:14">
      <c r="B941" s="1"/>
      <c r="C941" s="1"/>
      <c r="D941" s="1"/>
      <c r="E941" s="1"/>
      <c r="F941" s="1"/>
      <c r="G941" s="1"/>
      <c r="H941" s="1"/>
      <c r="I941" s="1"/>
      <c r="J941" s="1"/>
      <c r="K941" s="1"/>
      <c r="L941" s="1"/>
      <c r="M941" s="1"/>
      <c r="N941" s="1"/>
    </row>
    <row r="942" ht="14.5" spans="2:14">
      <c r="B942" s="1"/>
      <c r="C942" s="1"/>
      <c r="D942" s="1"/>
      <c r="E942" s="1"/>
      <c r="F942" s="1"/>
      <c r="G942" s="1"/>
      <c r="H942" s="1"/>
      <c r="I942" s="1"/>
      <c r="J942" s="1"/>
      <c r="K942" s="1"/>
      <c r="L942" s="1"/>
      <c r="M942" s="1"/>
      <c r="N942" s="1"/>
    </row>
    <row r="943" ht="14.5" spans="2:14">
      <c r="B943" s="1"/>
      <c r="C943" s="1"/>
      <c r="D943" s="1"/>
      <c r="E943" s="1"/>
      <c r="F943" s="1"/>
      <c r="G943" s="1"/>
      <c r="H943" s="1"/>
      <c r="I943" s="1"/>
      <c r="J943" s="1"/>
      <c r="K943" s="1"/>
      <c r="L943" s="1"/>
      <c r="M943" s="1"/>
      <c r="N943" s="1"/>
    </row>
    <row r="944" ht="14.5" spans="2:14">
      <c r="B944" s="1"/>
      <c r="C944" s="1"/>
      <c r="D944" s="1"/>
      <c r="E944" s="1"/>
      <c r="F944" s="1"/>
      <c r="G944" s="1"/>
      <c r="H944" s="1"/>
      <c r="I944" s="1"/>
      <c r="J944" s="1"/>
      <c r="K944" s="1"/>
      <c r="L944" s="1"/>
      <c r="M944" s="1"/>
      <c r="N944" s="1"/>
    </row>
    <row r="945" ht="14.5" spans="2:14">
      <c r="B945" s="1"/>
      <c r="C945" s="1"/>
      <c r="D945" s="1"/>
      <c r="E945" s="1"/>
      <c r="F945" s="1"/>
      <c r="G945" s="1"/>
      <c r="H945" s="1"/>
      <c r="I945" s="1"/>
      <c r="J945" s="1"/>
      <c r="K945" s="1"/>
      <c r="L945" s="1"/>
      <c r="M945" s="1"/>
      <c r="N945" s="1"/>
    </row>
    <row r="946" ht="14.5" spans="2:14">
      <c r="B946" s="1"/>
      <c r="C946" s="1"/>
      <c r="D946" s="1"/>
      <c r="E946" s="1"/>
      <c r="F946" s="1"/>
      <c r="G946" s="1"/>
      <c r="H946" s="1"/>
      <c r="I946" s="1"/>
      <c r="J946" s="1"/>
      <c r="K946" s="1"/>
      <c r="L946" s="1"/>
      <c r="M946" s="1"/>
      <c r="N946" s="1"/>
    </row>
    <row r="947" ht="14.5" spans="2:14">
      <c r="B947" s="1"/>
      <c r="C947" s="1"/>
      <c r="D947" s="1"/>
      <c r="E947" s="1"/>
      <c r="F947" s="1"/>
      <c r="G947" s="1"/>
      <c r="H947" s="1"/>
      <c r="I947" s="1"/>
      <c r="J947" s="1"/>
      <c r="K947" s="1"/>
      <c r="L947" s="1"/>
      <c r="M947" s="1"/>
      <c r="N947" s="1"/>
    </row>
    <row r="948" ht="14.5" spans="2:14">
      <c r="B948" s="1"/>
      <c r="C948" s="1"/>
      <c r="D948" s="1"/>
      <c r="E948" s="1"/>
      <c r="F948" s="1"/>
      <c r="G948" s="1"/>
      <c r="H948" s="1"/>
      <c r="I948" s="1"/>
      <c r="J948" s="1"/>
      <c r="K948" s="1"/>
      <c r="L948" s="1"/>
      <c r="M948" s="1"/>
      <c r="N948" s="1"/>
    </row>
    <row r="949" ht="14.5" spans="2:14">
      <c r="B949" s="1"/>
      <c r="C949" s="1"/>
      <c r="D949" s="1"/>
      <c r="E949" s="1"/>
      <c r="F949" s="1"/>
      <c r="G949" s="1"/>
      <c r="H949" s="1"/>
      <c r="I949" s="1"/>
      <c r="J949" s="1"/>
      <c r="K949" s="1"/>
      <c r="L949" s="1"/>
      <c r="M949" s="1"/>
      <c r="N949" s="1"/>
    </row>
    <row r="950" ht="14.5" spans="2:14">
      <c r="B950" s="1"/>
      <c r="C950" s="1"/>
      <c r="D950" s="1"/>
      <c r="E950" s="1"/>
      <c r="F950" s="1"/>
      <c r="G950" s="1"/>
      <c r="H950" s="1"/>
      <c r="I950" s="1"/>
      <c r="J950" s="1"/>
      <c r="K950" s="1"/>
      <c r="L950" s="1"/>
      <c r="M950" s="1"/>
      <c r="N950" s="1"/>
    </row>
    <row r="951" ht="14.5" spans="2:14">
      <c r="B951" s="1"/>
      <c r="C951" s="1"/>
      <c r="D951" s="1"/>
      <c r="E951" s="1"/>
      <c r="F951" s="1"/>
      <c r="G951" s="1"/>
      <c r="H951" s="1"/>
      <c r="I951" s="1"/>
      <c r="J951" s="1"/>
      <c r="K951" s="1"/>
      <c r="L951" s="1"/>
      <c r="M951" s="1"/>
      <c r="N951" s="1"/>
    </row>
    <row r="952" ht="14.5" spans="2:14">
      <c r="B952" s="1"/>
      <c r="C952" s="1"/>
      <c r="D952" s="1"/>
      <c r="E952" s="1"/>
      <c r="F952" s="1"/>
      <c r="G952" s="1"/>
      <c r="H952" s="1"/>
      <c r="I952" s="1"/>
      <c r="J952" s="1"/>
      <c r="K952" s="1"/>
      <c r="L952" s="1"/>
      <c r="M952" s="1"/>
      <c r="N952" s="1"/>
    </row>
    <row r="953" ht="14.5" spans="2:14">
      <c r="B953" s="1"/>
      <c r="C953" s="1"/>
      <c r="D953" s="1"/>
      <c r="E953" s="1"/>
      <c r="F953" s="1"/>
      <c r="G953" s="1"/>
      <c r="H953" s="1"/>
      <c r="I953" s="1"/>
      <c r="J953" s="1"/>
      <c r="K953" s="1"/>
      <c r="L953" s="1"/>
      <c r="M953" s="1"/>
      <c r="N953" s="1"/>
    </row>
    <row r="954" ht="14.5" spans="2:14">
      <c r="B954" s="1"/>
      <c r="C954" s="1"/>
      <c r="D954" s="1"/>
      <c r="E954" s="1"/>
      <c r="F954" s="1"/>
      <c r="G954" s="1"/>
      <c r="H954" s="1"/>
      <c r="I954" s="1"/>
      <c r="J954" s="1"/>
      <c r="K954" s="1"/>
      <c r="L954" s="1"/>
      <c r="M954" s="1"/>
      <c r="N954" s="1"/>
    </row>
    <row r="955" ht="14.5" spans="2:14">
      <c r="B955" s="1"/>
      <c r="C955" s="1"/>
      <c r="D955" s="1"/>
      <c r="E955" s="1"/>
      <c r="F955" s="1"/>
      <c r="G955" s="1"/>
      <c r="H955" s="1"/>
      <c r="I955" s="1"/>
      <c r="J955" s="1"/>
      <c r="K955" s="1"/>
      <c r="L955" s="1"/>
      <c r="M955" s="1"/>
      <c r="N955" s="1"/>
    </row>
    <row r="956" ht="14.5" spans="2:14">
      <c r="B956" s="1"/>
      <c r="C956" s="1"/>
      <c r="D956" s="1"/>
      <c r="E956" s="1"/>
      <c r="F956" s="1"/>
      <c r="G956" s="1"/>
      <c r="H956" s="1"/>
      <c r="I956" s="1"/>
      <c r="J956" s="1"/>
      <c r="K956" s="1"/>
      <c r="L956" s="1"/>
      <c r="M956" s="1"/>
      <c r="N956" s="1"/>
    </row>
    <row r="957" ht="14.5" spans="2:14">
      <c r="B957" s="1"/>
      <c r="C957" s="1"/>
      <c r="D957" s="1"/>
      <c r="E957" s="1"/>
      <c r="F957" s="1"/>
      <c r="G957" s="1"/>
      <c r="H957" s="1"/>
      <c r="I957" s="1"/>
      <c r="J957" s="1"/>
      <c r="K957" s="1"/>
      <c r="L957" s="1"/>
      <c r="M957" s="1"/>
      <c r="N957" s="1"/>
    </row>
    <row r="958" ht="14.5" spans="2:14">
      <c r="B958" s="1"/>
      <c r="C958" s="1"/>
      <c r="D958" s="1"/>
      <c r="E958" s="1"/>
      <c r="F958" s="1"/>
      <c r="G958" s="1"/>
      <c r="H958" s="1"/>
      <c r="I958" s="1"/>
      <c r="J958" s="1"/>
      <c r="K958" s="1"/>
      <c r="L958" s="1"/>
      <c r="M958" s="1"/>
      <c r="N958" s="1"/>
    </row>
    <row r="959" ht="14.5" spans="2:14">
      <c r="B959" s="1"/>
      <c r="C959" s="1"/>
      <c r="D959" s="1"/>
      <c r="E959" s="1"/>
      <c r="F959" s="1"/>
      <c r="G959" s="1"/>
      <c r="H959" s="1"/>
      <c r="I959" s="1"/>
      <c r="J959" s="1"/>
      <c r="K959" s="1"/>
      <c r="L959" s="1"/>
      <c r="M959" s="1"/>
      <c r="N959" s="1"/>
    </row>
    <row r="960" ht="14.5" spans="2:14">
      <c r="B960" s="1"/>
      <c r="C960" s="1"/>
      <c r="D960" s="1"/>
      <c r="E960" s="1"/>
      <c r="F960" s="1"/>
      <c r="G960" s="1"/>
      <c r="H960" s="1"/>
      <c r="I960" s="1"/>
      <c r="J960" s="1"/>
      <c r="K960" s="1"/>
      <c r="L960" s="1"/>
      <c r="M960" s="1"/>
      <c r="N960" s="1"/>
    </row>
    <row r="961" ht="14.5" spans="2:14">
      <c r="B961" s="1"/>
      <c r="C961" s="1"/>
      <c r="D961" s="1"/>
      <c r="E961" s="1"/>
      <c r="F961" s="1"/>
      <c r="G961" s="1"/>
      <c r="H961" s="1"/>
      <c r="I961" s="1"/>
      <c r="J961" s="1"/>
      <c r="K961" s="1"/>
      <c r="L961" s="1"/>
      <c r="M961" s="1"/>
      <c r="N961" s="1"/>
    </row>
    <row r="962" ht="14.5" spans="2:14">
      <c r="B962" s="1"/>
      <c r="C962" s="1"/>
      <c r="D962" s="1"/>
      <c r="E962" s="1"/>
      <c r="F962" s="1"/>
      <c r="G962" s="1"/>
      <c r="H962" s="1"/>
      <c r="I962" s="1"/>
      <c r="J962" s="1"/>
      <c r="K962" s="1"/>
      <c r="L962" s="1"/>
      <c r="M962" s="1"/>
      <c r="N962" s="1"/>
    </row>
    <row r="963" ht="14.5" spans="2:14">
      <c r="B963" s="1"/>
      <c r="C963" s="1"/>
      <c r="D963" s="1"/>
      <c r="E963" s="1"/>
      <c r="F963" s="1"/>
      <c r="G963" s="1"/>
      <c r="H963" s="1"/>
      <c r="I963" s="1"/>
      <c r="J963" s="1"/>
      <c r="K963" s="1"/>
      <c r="L963" s="1"/>
      <c r="M963" s="1"/>
      <c r="N963" s="1"/>
    </row>
    <row r="964" ht="14.5" spans="2:14">
      <c r="B964" s="1"/>
      <c r="C964" s="1"/>
      <c r="D964" s="1"/>
      <c r="E964" s="1"/>
      <c r="F964" s="1"/>
      <c r="G964" s="1"/>
      <c r="H964" s="1"/>
      <c r="I964" s="1"/>
      <c r="J964" s="1"/>
      <c r="K964" s="1"/>
      <c r="L964" s="1"/>
      <c r="M964" s="1"/>
      <c r="N964" s="1"/>
    </row>
    <row r="965" ht="14.5" spans="2:14">
      <c r="B965" s="1"/>
      <c r="C965" s="1"/>
      <c r="D965" s="1"/>
      <c r="E965" s="1"/>
      <c r="F965" s="1"/>
      <c r="G965" s="1"/>
      <c r="H965" s="1"/>
      <c r="I965" s="1"/>
      <c r="J965" s="1"/>
      <c r="K965" s="1"/>
      <c r="L965" s="1"/>
      <c r="M965" s="1"/>
      <c r="N965" s="1"/>
    </row>
    <row r="966" ht="14.5" spans="2:14">
      <c r="B966" s="1"/>
      <c r="C966" s="1"/>
      <c r="D966" s="1"/>
      <c r="E966" s="1"/>
      <c r="F966" s="1"/>
      <c r="G966" s="1"/>
      <c r="H966" s="1"/>
      <c r="I966" s="1"/>
      <c r="J966" s="1"/>
      <c r="K966" s="1"/>
      <c r="L966" s="1"/>
      <c r="M966" s="1"/>
      <c r="N966" s="1"/>
    </row>
    <row r="967" ht="14.5" spans="2:14">
      <c r="B967" s="1"/>
      <c r="C967" s="1"/>
      <c r="D967" s="1"/>
      <c r="E967" s="1"/>
      <c r="F967" s="1"/>
      <c r="G967" s="1"/>
      <c r="H967" s="1"/>
      <c r="I967" s="1"/>
      <c r="J967" s="1"/>
      <c r="K967" s="1"/>
      <c r="L967" s="1"/>
      <c r="M967" s="1"/>
      <c r="N967" s="1"/>
    </row>
    <row r="968" ht="14.5" spans="2:14">
      <c r="B968" s="1"/>
      <c r="C968" s="1"/>
      <c r="D968" s="1"/>
      <c r="E968" s="1"/>
      <c r="F968" s="1"/>
      <c r="G968" s="1"/>
      <c r="H968" s="1"/>
      <c r="I968" s="1"/>
      <c r="J968" s="1"/>
      <c r="K968" s="1"/>
      <c r="L968" s="1"/>
      <c r="M968" s="1"/>
      <c r="N968" s="1"/>
    </row>
    <row r="969" ht="14.5" spans="2:14">
      <c r="B969" s="1"/>
      <c r="C969" s="1"/>
      <c r="D969" s="1"/>
      <c r="E969" s="1"/>
      <c r="F969" s="1"/>
      <c r="G969" s="1"/>
      <c r="H969" s="1"/>
      <c r="I969" s="1"/>
      <c r="J969" s="1"/>
      <c r="K969" s="1"/>
      <c r="L969" s="1"/>
      <c r="M969" s="1"/>
      <c r="N969" s="1"/>
    </row>
    <row r="970" ht="14.5" spans="2:14">
      <c r="B970" s="1"/>
      <c r="C970" s="1"/>
      <c r="D970" s="1"/>
      <c r="E970" s="1"/>
      <c r="F970" s="1"/>
      <c r="G970" s="1"/>
      <c r="H970" s="1"/>
      <c r="I970" s="1"/>
      <c r="J970" s="1"/>
      <c r="K970" s="1"/>
      <c r="L970" s="1"/>
      <c r="M970" s="1"/>
      <c r="N970" s="1"/>
    </row>
    <row r="971" ht="14.5" spans="2:14">
      <c r="B971" s="1"/>
      <c r="C971" s="1"/>
      <c r="D971" s="1"/>
      <c r="E971" s="1"/>
      <c r="F971" s="1"/>
      <c r="G971" s="1"/>
      <c r="H971" s="1"/>
      <c r="I971" s="1"/>
      <c r="J971" s="1"/>
      <c r="K971" s="1"/>
      <c r="L971" s="1"/>
      <c r="M971" s="1"/>
      <c r="N971" s="1"/>
    </row>
    <row r="972" ht="14.5" spans="2:14">
      <c r="B972" s="1"/>
      <c r="C972" s="1"/>
      <c r="D972" s="1"/>
      <c r="E972" s="1"/>
      <c r="F972" s="1"/>
      <c r="G972" s="1"/>
      <c r="H972" s="1"/>
      <c r="I972" s="1"/>
      <c r="J972" s="1"/>
      <c r="K972" s="1"/>
      <c r="L972" s="1"/>
      <c r="M972" s="1"/>
      <c r="N972" s="1"/>
    </row>
    <row r="973" ht="14.5" spans="2:14">
      <c r="B973" s="1"/>
      <c r="C973" s="1"/>
      <c r="D973" s="1"/>
      <c r="E973" s="1"/>
      <c r="F973" s="1"/>
      <c r="G973" s="1"/>
      <c r="H973" s="1"/>
      <c r="I973" s="1"/>
      <c r="J973" s="1"/>
      <c r="K973" s="1"/>
      <c r="L973" s="1"/>
      <c r="M973" s="1"/>
      <c r="N973" s="1"/>
    </row>
    <row r="974" ht="14.5" spans="2:14">
      <c r="B974" s="1"/>
      <c r="C974" s="1"/>
      <c r="D974" s="1"/>
      <c r="E974" s="1"/>
      <c r="F974" s="1"/>
      <c r="G974" s="1"/>
      <c r="H974" s="1"/>
      <c r="I974" s="1"/>
      <c r="J974" s="1"/>
      <c r="K974" s="1"/>
      <c r="L974" s="1"/>
      <c r="M974" s="1"/>
      <c r="N974" s="1"/>
    </row>
    <row r="975" ht="14.5" spans="2:14">
      <c r="B975" s="1"/>
      <c r="C975" s="1"/>
      <c r="D975" s="1"/>
      <c r="E975" s="1"/>
      <c r="F975" s="1"/>
      <c r="G975" s="1"/>
      <c r="H975" s="1"/>
      <c r="I975" s="1"/>
      <c r="J975" s="1"/>
      <c r="K975" s="1"/>
      <c r="L975" s="1"/>
      <c r="M975" s="1"/>
      <c r="N975" s="1"/>
    </row>
    <row r="976" ht="14.5" spans="2:14">
      <c r="B976" s="1"/>
      <c r="C976" s="1"/>
      <c r="D976" s="1"/>
      <c r="E976" s="1"/>
      <c r="F976" s="1"/>
      <c r="G976" s="1"/>
      <c r="H976" s="1"/>
      <c r="I976" s="1"/>
      <c r="J976" s="1"/>
      <c r="K976" s="1"/>
      <c r="L976" s="1"/>
      <c r="M976" s="1"/>
      <c r="N976" s="1"/>
    </row>
    <row r="977" ht="14.5" spans="2:14">
      <c r="B977" s="1"/>
      <c r="C977" s="1"/>
      <c r="D977" s="1"/>
      <c r="E977" s="1"/>
      <c r="F977" s="1"/>
      <c r="G977" s="1"/>
      <c r="H977" s="1"/>
      <c r="I977" s="1"/>
      <c r="J977" s="1"/>
      <c r="K977" s="1"/>
      <c r="L977" s="1"/>
      <c r="M977" s="1"/>
      <c r="N977" s="1"/>
    </row>
    <row r="978" ht="14.5" spans="2:14">
      <c r="B978" s="1"/>
      <c r="C978" s="1"/>
      <c r="D978" s="1"/>
      <c r="E978" s="1"/>
      <c r="F978" s="1"/>
      <c r="G978" s="1"/>
      <c r="H978" s="1"/>
      <c r="I978" s="1"/>
      <c r="J978" s="1"/>
      <c r="K978" s="1"/>
      <c r="L978" s="1"/>
      <c r="M978" s="1"/>
      <c r="N978" s="1"/>
    </row>
    <row r="979" ht="14.5" spans="2:14">
      <c r="B979" s="1"/>
      <c r="C979" s="1"/>
      <c r="D979" s="1"/>
      <c r="E979" s="1"/>
      <c r="F979" s="1"/>
      <c r="G979" s="1"/>
      <c r="H979" s="1"/>
      <c r="I979" s="1"/>
      <c r="J979" s="1"/>
      <c r="K979" s="1"/>
      <c r="L979" s="1"/>
      <c r="M979" s="1"/>
      <c r="N979" s="1"/>
    </row>
    <row r="980" ht="14.5" spans="2:14">
      <c r="B980" s="1"/>
      <c r="C980" s="1"/>
      <c r="D980" s="1"/>
      <c r="E980" s="1"/>
      <c r="F980" s="1"/>
      <c r="G980" s="1"/>
      <c r="H980" s="1"/>
      <c r="I980" s="1"/>
      <c r="J980" s="1"/>
      <c r="K980" s="1"/>
      <c r="L980" s="1"/>
      <c r="M980" s="1"/>
      <c r="N980" s="1"/>
    </row>
    <row r="981" ht="14.5" spans="2:14">
      <c r="B981" s="1"/>
      <c r="C981" s="1"/>
      <c r="D981" s="1"/>
      <c r="E981" s="1"/>
      <c r="F981" s="1"/>
      <c r="G981" s="1"/>
      <c r="H981" s="1"/>
      <c r="I981" s="1"/>
      <c r="J981" s="1"/>
      <c r="K981" s="1"/>
      <c r="L981" s="1"/>
      <c r="M981" s="1"/>
      <c r="N981" s="1"/>
    </row>
    <row r="982" ht="14.5" spans="2:14">
      <c r="B982" s="1"/>
      <c r="C982" s="1"/>
      <c r="D982" s="1"/>
      <c r="E982" s="1"/>
      <c r="F982" s="1"/>
      <c r="G982" s="1"/>
      <c r="H982" s="1"/>
      <c r="I982" s="1"/>
      <c r="J982" s="1"/>
      <c r="K982" s="1"/>
      <c r="L982" s="1"/>
      <c r="M982" s="1"/>
      <c r="N982" s="1"/>
    </row>
    <row r="983" ht="14.5" spans="2:14">
      <c r="B983" s="1"/>
      <c r="C983" s="1"/>
      <c r="D983" s="1"/>
      <c r="E983" s="1"/>
      <c r="F983" s="1"/>
      <c r="G983" s="1"/>
      <c r="H983" s="1"/>
      <c r="I983" s="1"/>
      <c r="J983" s="1"/>
      <c r="K983" s="1"/>
      <c r="L983" s="1"/>
      <c r="M983" s="1"/>
      <c r="N983" s="1"/>
    </row>
    <row r="984" ht="14.5" spans="2:14">
      <c r="B984" s="1"/>
      <c r="C984" s="1"/>
      <c r="D984" s="1"/>
      <c r="E984" s="1"/>
      <c r="F984" s="1"/>
      <c r="G984" s="1"/>
      <c r="H984" s="1"/>
      <c r="I984" s="1"/>
      <c r="J984" s="1"/>
      <c r="K984" s="1"/>
      <c r="L984" s="1"/>
      <c r="M984" s="1"/>
      <c r="N984" s="1"/>
    </row>
    <row r="985" ht="14.5" spans="2:14">
      <c r="B985" s="1"/>
      <c r="C985" s="1"/>
      <c r="D985" s="1"/>
      <c r="E985" s="1"/>
      <c r="F985" s="1"/>
      <c r="G985" s="1"/>
      <c r="H985" s="1"/>
      <c r="I985" s="1"/>
      <c r="J985" s="1"/>
      <c r="K985" s="1"/>
      <c r="L985" s="1"/>
      <c r="M985" s="1"/>
      <c r="N985" s="1"/>
    </row>
    <row r="986" ht="14.5" spans="2:14">
      <c r="B986" s="1"/>
      <c r="C986" s="1"/>
      <c r="D986" s="1"/>
      <c r="E986" s="1"/>
      <c r="F986" s="1"/>
      <c r="G986" s="1"/>
      <c r="H986" s="1"/>
      <c r="I986" s="1"/>
      <c r="J986" s="1"/>
      <c r="K986" s="1"/>
      <c r="L986" s="1"/>
      <c r="M986" s="1"/>
      <c r="N986" s="1"/>
    </row>
    <row r="987" ht="14.5" spans="2:14">
      <c r="B987" s="1"/>
      <c r="C987" s="1"/>
      <c r="D987" s="1"/>
      <c r="E987" s="1"/>
      <c r="F987" s="1"/>
      <c r="G987" s="1"/>
      <c r="H987" s="1"/>
      <c r="I987" s="1"/>
      <c r="J987" s="1"/>
      <c r="K987" s="1"/>
      <c r="L987" s="1"/>
      <c r="M987" s="1"/>
      <c r="N987" s="1"/>
    </row>
    <row r="988" ht="14.5" spans="2:14">
      <c r="B988" s="1"/>
      <c r="C988" s="1"/>
      <c r="D988" s="1"/>
      <c r="E988" s="1"/>
      <c r="F988" s="1"/>
      <c r="G988" s="1"/>
      <c r="H988" s="1"/>
      <c r="I988" s="1"/>
      <c r="J988" s="1"/>
      <c r="K988" s="1"/>
      <c r="L988" s="1"/>
      <c r="M988" s="1"/>
      <c r="N988" s="1"/>
    </row>
    <row r="989" ht="14.5" spans="2:14">
      <c r="B989" s="1"/>
      <c r="C989" s="1"/>
      <c r="D989" s="1"/>
      <c r="E989" s="1"/>
      <c r="F989" s="1"/>
      <c r="G989" s="1"/>
      <c r="H989" s="1"/>
      <c r="I989" s="1"/>
      <c r="J989" s="1"/>
      <c r="K989" s="1"/>
      <c r="L989" s="1"/>
      <c r="M989" s="1"/>
      <c r="N989" s="1"/>
    </row>
    <row r="990" ht="14.5" spans="2:14">
      <c r="B990" s="1"/>
      <c r="C990" s="1"/>
      <c r="D990" s="1"/>
      <c r="E990" s="1"/>
      <c r="F990" s="1"/>
      <c r="G990" s="1"/>
      <c r="H990" s="1"/>
      <c r="I990" s="1"/>
      <c r="J990" s="1"/>
      <c r="K990" s="1"/>
      <c r="L990" s="1"/>
      <c r="M990" s="1"/>
      <c r="N990" s="1"/>
    </row>
    <row r="991" ht="14.5" spans="2:14">
      <c r="B991" s="1"/>
      <c r="C991" s="1"/>
      <c r="D991" s="1"/>
      <c r="E991" s="1"/>
      <c r="F991" s="1"/>
      <c r="G991" s="1"/>
      <c r="H991" s="1"/>
      <c r="I991" s="1"/>
      <c r="J991" s="1"/>
      <c r="K991" s="1"/>
      <c r="L991" s="1"/>
      <c r="M991" s="1"/>
      <c r="N991" s="1"/>
    </row>
    <row r="992" ht="14.5" spans="2:14">
      <c r="B992" s="1"/>
      <c r="C992" s="1"/>
      <c r="D992" s="1"/>
      <c r="E992" s="1"/>
      <c r="F992" s="1"/>
      <c r="G992" s="1"/>
      <c r="H992" s="1"/>
      <c r="I992" s="1"/>
      <c r="J992" s="1"/>
      <c r="K992" s="1"/>
      <c r="L992" s="1"/>
      <c r="M992" s="1"/>
      <c r="N992" s="1"/>
    </row>
    <row r="993" ht="14.5" spans="2:14">
      <c r="B993" s="1"/>
      <c r="C993" s="1"/>
      <c r="D993" s="1"/>
      <c r="E993" s="1"/>
      <c r="F993" s="1"/>
      <c r="G993" s="1"/>
      <c r="H993" s="1"/>
      <c r="I993" s="1"/>
      <c r="J993" s="1"/>
      <c r="K993" s="1"/>
      <c r="L993" s="1"/>
      <c r="M993" s="1"/>
      <c r="N993" s="1"/>
    </row>
    <row r="994" ht="14.5" spans="2:14">
      <c r="B994" s="1"/>
      <c r="C994" s="1"/>
      <c r="D994" s="1"/>
      <c r="E994" s="1"/>
      <c r="F994" s="1"/>
      <c r="G994" s="1"/>
      <c r="H994" s="1"/>
      <c r="I994" s="1"/>
      <c r="J994" s="1"/>
      <c r="K994" s="1"/>
      <c r="L994" s="1"/>
      <c r="M994" s="1"/>
      <c r="N994" s="1"/>
    </row>
    <row r="995" ht="14.5" spans="2:14">
      <c r="B995" s="1"/>
      <c r="C995" s="1"/>
      <c r="D995" s="1"/>
      <c r="E995" s="1"/>
      <c r="F995" s="1"/>
      <c r="G995" s="1"/>
      <c r="H995" s="1"/>
      <c r="I995" s="1"/>
      <c r="J995" s="1"/>
      <c r="K995" s="1"/>
      <c r="L995" s="1"/>
      <c r="M995" s="1"/>
      <c r="N995" s="1"/>
    </row>
    <row r="996" ht="14.5" spans="2:14">
      <c r="B996" s="1"/>
      <c r="C996" s="1"/>
      <c r="D996" s="1"/>
      <c r="E996" s="1"/>
      <c r="F996" s="1"/>
      <c r="G996" s="1"/>
      <c r="H996" s="1"/>
      <c r="I996" s="1"/>
      <c r="J996" s="1"/>
      <c r="K996" s="1"/>
      <c r="L996" s="1"/>
      <c r="M996" s="1"/>
      <c r="N996" s="1"/>
    </row>
    <row r="997" ht="14.5" spans="2:14">
      <c r="B997" s="1"/>
      <c r="C997" s="1"/>
      <c r="D997" s="1"/>
      <c r="E997" s="1"/>
      <c r="F997" s="1"/>
      <c r="G997" s="1"/>
      <c r="H997" s="1"/>
      <c r="I997" s="1"/>
      <c r="J997" s="1"/>
      <c r="K997" s="1"/>
      <c r="L997" s="1"/>
      <c r="M997" s="1"/>
      <c r="N997" s="1"/>
    </row>
    <row r="998" ht="14.5" spans="2:14">
      <c r="B998" s="1"/>
      <c r="C998" s="1"/>
      <c r="D998" s="1"/>
      <c r="E998" s="1"/>
      <c r="F998" s="1"/>
      <c r="G998" s="1"/>
      <c r="H998" s="1"/>
      <c r="I998" s="1"/>
      <c r="J998" s="1"/>
      <c r="K998" s="1"/>
      <c r="L998" s="1"/>
      <c r="M998" s="1"/>
      <c r="N998" s="1"/>
    </row>
    <row r="999" ht="14.5" spans="2:14">
      <c r="B999" s="1"/>
      <c r="C999" s="1"/>
      <c r="D999" s="1"/>
      <c r="E999" s="1"/>
      <c r="F999" s="1"/>
      <c r="G999" s="1"/>
      <c r="H999" s="1"/>
      <c r="I999" s="1"/>
      <c r="J999" s="1"/>
      <c r="K999" s="1"/>
      <c r="L999" s="1"/>
      <c r="M999" s="1"/>
      <c r="N999" s="1"/>
    </row>
    <row r="1000" ht="14.5" spans="2:14">
      <c r="B1000" s="1"/>
      <c r="C1000" s="1"/>
      <c r="D1000" s="1"/>
      <c r="E1000" s="1"/>
      <c r="F1000" s="1"/>
      <c r="G1000" s="1"/>
      <c r="H1000" s="1"/>
      <c r="I1000" s="1"/>
      <c r="J1000" s="1"/>
      <c r="K1000" s="1"/>
      <c r="L1000" s="1"/>
      <c r="M1000" s="1"/>
      <c r="N1000" s="1"/>
    </row>
    <row r="1001" ht="14.5" spans="2:14">
      <c r="B1001" s="1"/>
      <c r="C1001" s="1"/>
      <c r="D1001" s="1"/>
      <c r="E1001" s="1"/>
      <c r="F1001" s="1"/>
      <c r="G1001" s="1"/>
      <c r="H1001" s="1"/>
      <c r="I1001" s="1"/>
      <c r="J1001" s="1"/>
      <c r="K1001" s="1"/>
      <c r="L1001" s="1"/>
      <c r="M1001" s="1"/>
      <c r="N1001" s="1"/>
    </row>
    <row r="1002" ht="14.5" spans="2:14">
      <c r="B1002" s="1"/>
      <c r="C1002" s="1"/>
      <c r="D1002" s="1"/>
      <c r="E1002" s="1"/>
      <c r="F1002" s="1"/>
      <c r="G1002" s="1"/>
      <c r="H1002" s="1"/>
      <c r="I1002" s="1"/>
      <c r="J1002" s="1"/>
      <c r="K1002" s="1"/>
      <c r="L1002" s="1"/>
      <c r="M1002" s="1"/>
      <c r="N1002" s="1"/>
    </row>
    <row r="1003" ht="14.5" spans="2:14">
      <c r="B1003" s="1"/>
      <c r="C1003" s="1"/>
      <c r="D1003" s="1"/>
      <c r="E1003" s="1"/>
      <c r="F1003" s="1"/>
      <c r="G1003" s="1"/>
      <c r="H1003" s="1"/>
      <c r="I1003" s="1"/>
      <c r="J1003" s="1"/>
      <c r="K1003" s="1"/>
      <c r="L1003" s="1"/>
      <c r="M1003" s="1"/>
      <c r="N1003" s="1"/>
    </row>
    <row r="1004" ht="14.5" spans="2:14">
      <c r="B1004" s="1"/>
      <c r="C1004" s="1"/>
      <c r="D1004" s="1"/>
      <c r="E1004" s="1"/>
      <c r="F1004" s="1"/>
      <c r="G1004" s="1"/>
      <c r="H1004" s="1"/>
      <c r="I1004" s="1"/>
      <c r="J1004" s="1"/>
      <c r="K1004" s="1"/>
      <c r="L1004" s="1"/>
      <c r="M1004" s="1"/>
      <c r="N1004" s="1"/>
    </row>
    <row r="1005" ht="14.5" spans="2:14">
      <c r="B1005" s="1"/>
      <c r="C1005" s="1"/>
      <c r="D1005" s="1"/>
      <c r="E1005" s="1"/>
      <c r="F1005" s="1"/>
      <c r="G1005" s="1"/>
      <c r="H1005" s="1"/>
      <c r="I1005" s="1"/>
      <c r="J1005" s="1"/>
      <c r="K1005" s="1"/>
      <c r="L1005" s="1"/>
      <c r="M1005" s="1"/>
      <c r="N1005" s="1"/>
    </row>
    <row r="1006" ht="14.5" spans="2:14">
      <c r="B1006" s="1"/>
      <c r="C1006" s="1"/>
      <c r="D1006" s="1"/>
      <c r="E1006" s="1"/>
      <c r="F1006" s="1"/>
      <c r="G1006" s="1"/>
      <c r="H1006" s="1"/>
      <c r="I1006" s="1"/>
      <c r="J1006" s="1"/>
      <c r="K1006" s="1"/>
      <c r="L1006" s="1"/>
      <c r="M1006" s="1"/>
      <c r="N1006" s="1"/>
    </row>
    <row r="1007" ht="14.5" spans="2:14">
      <c r="B1007" s="1"/>
      <c r="C1007" s="1"/>
      <c r="D1007" s="1"/>
      <c r="E1007" s="1"/>
      <c r="F1007" s="1"/>
      <c r="G1007" s="1"/>
      <c r="H1007" s="1"/>
      <c r="I1007" s="1"/>
      <c r="J1007" s="1"/>
      <c r="K1007" s="1"/>
      <c r="L1007" s="1"/>
      <c r="M1007" s="1"/>
      <c r="N1007" s="1"/>
    </row>
    <row r="1008" ht="14.5" spans="2:14">
      <c r="B1008" s="1"/>
      <c r="C1008" s="1"/>
      <c r="D1008" s="1"/>
      <c r="E1008" s="1"/>
      <c r="F1008" s="1"/>
      <c r="G1008" s="1"/>
      <c r="H1008" s="1"/>
      <c r="I1008" s="1"/>
      <c r="J1008" s="1"/>
      <c r="K1008" s="1"/>
      <c r="L1008" s="1"/>
      <c r="M1008" s="1"/>
      <c r="N1008" s="1"/>
    </row>
    <row r="1009" ht="14.5" spans="2:14">
      <c r="B1009" s="1"/>
      <c r="C1009" s="1"/>
      <c r="D1009" s="1"/>
      <c r="E1009" s="1"/>
      <c r="F1009" s="1"/>
      <c r="G1009" s="1"/>
      <c r="H1009" s="1"/>
      <c r="I1009" s="1"/>
      <c r="J1009" s="1"/>
      <c r="K1009" s="1"/>
      <c r="L1009" s="1"/>
      <c r="M1009" s="1"/>
      <c r="N1009" s="1"/>
    </row>
    <row r="1010" ht="14.5" spans="2:14">
      <c r="B1010" s="1"/>
      <c r="C1010" s="1"/>
      <c r="D1010" s="1"/>
      <c r="E1010" s="1"/>
      <c r="F1010" s="1"/>
      <c r="G1010" s="1"/>
      <c r="H1010" s="1"/>
      <c r="I1010" s="1"/>
      <c r="J1010" s="1"/>
      <c r="K1010" s="1"/>
      <c r="L1010" s="1"/>
      <c r="M1010" s="1"/>
      <c r="N1010" s="1"/>
    </row>
    <row r="1011" ht="14.5" spans="2:14">
      <c r="B1011" s="1"/>
      <c r="C1011" s="1"/>
      <c r="D1011" s="1"/>
      <c r="E1011" s="1"/>
      <c r="F1011" s="1"/>
      <c r="G1011" s="1"/>
      <c r="H1011" s="1"/>
      <c r="I1011" s="1"/>
      <c r="J1011" s="1"/>
      <c r="K1011" s="1"/>
      <c r="L1011" s="1"/>
      <c r="M1011" s="1"/>
      <c r="N1011" s="1"/>
    </row>
    <row r="1012" ht="14.5" spans="2:14">
      <c r="B1012" s="1"/>
      <c r="C1012" s="1"/>
      <c r="D1012" s="1"/>
      <c r="E1012" s="1"/>
      <c r="F1012" s="1"/>
      <c r="G1012" s="1"/>
      <c r="H1012" s="1"/>
      <c r="I1012" s="1"/>
      <c r="J1012" s="1"/>
      <c r="K1012" s="1"/>
      <c r="L1012" s="1"/>
      <c r="M1012" s="1"/>
      <c r="N1012" s="1"/>
    </row>
    <row r="1013" ht="14.5" spans="2:14">
      <c r="B1013" s="1"/>
      <c r="C1013" s="1"/>
      <c r="D1013" s="1"/>
      <c r="E1013" s="1"/>
      <c r="F1013" s="1"/>
      <c r="G1013" s="1"/>
      <c r="H1013" s="1"/>
      <c r="I1013" s="1"/>
      <c r="J1013" s="1"/>
      <c r="K1013" s="1"/>
      <c r="L1013" s="1"/>
      <c r="M1013" s="1"/>
      <c r="N1013" s="1"/>
    </row>
    <row r="1014" ht="14.5" spans="2:14">
      <c r="B1014" s="1"/>
      <c r="C1014" s="1"/>
      <c r="D1014" s="1"/>
      <c r="E1014" s="1"/>
      <c r="F1014" s="1"/>
      <c r="G1014" s="1"/>
      <c r="H1014" s="1"/>
      <c r="I1014" s="1"/>
      <c r="J1014" s="1"/>
      <c r="K1014" s="1"/>
      <c r="L1014" s="1"/>
      <c r="M1014" s="1"/>
      <c r="N1014" s="1"/>
    </row>
    <row r="1015" ht="14.5" spans="2:14">
      <c r="B1015" s="1"/>
      <c r="C1015" s="1"/>
      <c r="D1015" s="1"/>
      <c r="E1015" s="1"/>
      <c r="F1015" s="1"/>
      <c r="G1015" s="1"/>
      <c r="H1015" s="1"/>
      <c r="I1015" s="1"/>
      <c r="J1015" s="1"/>
      <c r="K1015" s="1"/>
      <c r="L1015" s="1"/>
      <c r="M1015" s="1"/>
      <c r="N1015" s="1"/>
    </row>
    <row r="1016" ht="14.5" spans="2:14">
      <c r="B1016" s="1"/>
      <c r="C1016" s="1"/>
      <c r="D1016" s="1"/>
      <c r="E1016" s="1"/>
      <c r="F1016" s="1"/>
      <c r="G1016" s="1"/>
      <c r="H1016" s="1"/>
      <c r="I1016" s="1"/>
      <c r="J1016" s="1"/>
      <c r="K1016" s="1"/>
      <c r="L1016" s="1"/>
      <c r="M1016" s="1"/>
      <c r="N1016" s="1"/>
    </row>
    <row r="1017" ht="14.5" spans="2:14">
      <c r="B1017" s="1"/>
      <c r="C1017" s="1"/>
      <c r="D1017" s="1"/>
      <c r="E1017" s="1"/>
      <c r="F1017" s="1"/>
      <c r="G1017" s="1"/>
      <c r="H1017" s="1"/>
      <c r="I1017" s="1"/>
      <c r="J1017" s="1"/>
      <c r="K1017" s="1"/>
      <c r="L1017" s="1"/>
      <c r="M1017" s="1"/>
      <c r="N1017" s="1"/>
    </row>
    <row r="1018" ht="14.5" spans="2:14">
      <c r="B1018" s="1"/>
      <c r="C1018" s="1"/>
      <c r="D1018" s="1"/>
      <c r="E1018" s="1"/>
      <c r="F1018" s="1"/>
      <c r="G1018" s="1"/>
      <c r="H1018" s="1"/>
      <c r="I1018" s="1"/>
      <c r="J1018" s="1"/>
      <c r="K1018" s="1"/>
      <c r="L1018" s="1"/>
      <c r="M1018" s="1"/>
      <c r="N1018" s="1"/>
    </row>
    <row r="1019" ht="14.5" spans="2:14">
      <c r="B1019" s="1"/>
      <c r="C1019" s="1"/>
      <c r="D1019" s="1"/>
      <c r="E1019" s="1"/>
      <c r="F1019" s="1"/>
      <c r="G1019" s="1"/>
      <c r="H1019" s="1"/>
      <c r="I1019" s="1"/>
      <c r="J1019" s="1"/>
      <c r="K1019" s="1"/>
      <c r="L1019" s="1"/>
      <c r="M1019" s="1"/>
      <c r="N1019" s="1"/>
    </row>
    <row r="1020" ht="14.5" spans="2:14">
      <c r="B1020" s="1"/>
      <c r="C1020" s="1"/>
      <c r="D1020" s="1"/>
      <c r="E1020" s="1"/>
      <c r="F1020" s="1"/>
      <c r="G1020" s="1"/>
      <c r="H1020" s="1"/>
      <c r="I1020" s="1"/>
      <c r="J1020" s="1"/>
      <c r="K1020" s="1"/>
      <c r="L1020" s="1"/>
      <c r="M1020" s="1"/>
      <c r="N1020" s="1"/>
    </row>
    <row r="1021" ht="14.5" spans="2:14">
      <c r="B1021" s="1"/>
      <c r="C1021" s="1"/>
      <c r="D1021" s="1"/>
      <c r="E1021" s="1"/>
      <c r="F1021" s="1"/>
      <c r="G1021" s="1"/>
      <c r="H1021" s="1"/>
      <c r="I1021" s="1"/>
      <c r="J1021" s="1"/>
      <c r="K1021" s="1"/>
      <c r="L1021" s="1"/>
      <c r="M1021" s="1"/>
      <c r="N1021" s="1"/>
    </row>
    <row r="1022" ht="14.5" spans="2:14">
      <c r="B1022" s="1"/>
      <c r="C1022" s="1"/>
      <c r="D1022" s="1"/>
      <c r="E1022" s="1"/>
      <c r="F1022" s="1"/>
      <c r="G1022" s="1"/>
      <c r="H1022" s="1"/>
      <c r="I1022" s="1"/>
      <c r="J1022" s="1"/>
      <c r="K1022" s="1"/>
      <c r="L1022" s="1"/>
      <c r="M1022" s="1"/>
      <c r="N1022" s="1"/>
    </row>
    <row r="1023" ht="14.5" spans="2:14">
      <c r="B1023" s="1"/>
      <c r="C1023" s="1"/>
      <c r="D1023" s="1"/>
      <c r="E1023" s="1"/>
      <c r="F1023" s="1"/>
      <c r="G1023" s="1"/>
      <c r="H1023" s="1"/>
      <c r="I1023" s="1"/>
      <c r="J1023" s="1"/>
      <c r="K1023" s="1"/>
      <c r="L1023" s="1"/>
      <c r="M1023" s="1"/>
      <c r="N1023" s="1"/>
    </row>
    <row r="1024" ht="14.5" spans="2:14">
      <c r="B1024" s="1"/>
      <c r="C1024" s="1"/>
      <c r="D1024" s="1"/>
      <c r="E1024" s="1"/>
      <c r="F1024" s="1"/>
      <c r="G1024" s="1"/>
      <c r="H1024" s="1"/>
      <c r="I1024" s="1"/>
      <c r="J1024" s="1"/>
      <c r="K1024" s="1"/>
      <c r="L1024" s="1"/>
      <c r="M1024" s="1"/>
      <c r="N1024" s="1"/>
    </row>
    <row r="1025" ht="14.5" spans="2:14">
      <c r="B1025" s="1"/>
      <c r="C1025" s="1"/>
      <c r="D1025" s="1"/>
      <c r="E1025" s="1"/>
      <c r="F1025" s="1"/>
      <c r="G1025" s="1"/>
      <c r="H1025" s="1"/>
      <c r="I1025" s="1"/>
      <c r="J1025" s="1"/>
      <c r="K1025" s="1"/>
      <c r="L1025" s="1"/>
      <c r="M1025" s="1"/>
      <c r="N1025" s="1"/>
    </row>
    <row r="1026" ht="14.5" spans="2:14">
      <c r="B1026" s="1"/>
      <c r="C1026" s="1"/>
      <c r="D1026" s="1"/>
      <c r="E1026" s="1"/>
      <c r="F1026" s="1"/>
      <c r="G1026" s="1"/>
      <c r="H1026" s="1"/>
      <c r="I1026" s="1"/>
      <c r="J1026" s="1"/>
      <c r="K1026" s="1"/>
      <c r="L1026" s="1"/>
      <c r="M1026" s="1"/>
      <c r="N1026" s="1"/>
    </row>
    <row r="1027" ht="14.5" spans="2:14">
      <c r="B1027" s="1"/>
      <c r="C1027" s="1"/>
      <c r="D1027" s="1"/>
      <c r="E1027" s="1"/>
      <c r="F1027" s="1"/>
      <c r="G1027" s="1"/>
      <c r="H1027" s="1"/>
      <c r="I1027" s="1"/>
      <c r="J1027" s="1"/>
      <c r="K1027" s="1"/>
      <c r="L1027" s="1"/>
      <c r="M1027" s="1"/>
      <c r="N1027" s="1"/>
    </row>
    <row r="1028" ht="14.5" spans="2:14">
      <c r="B1028" s="1"/>
      <c r="C1028" s="1"/>
      <c r="D1028" s="1"/>
      <c r="E1028" s="1"/>
      <c r="F1028" s="1"/>
      <c r="G1028" s="1"/>
      <c r="H1028" s="1"/>
      <c r="I1028" s="1"/>
      <c r="J1028" s="1"/>
      <c r="K1028" s="1"/>
      <c r="L1028" s="1"/>
      <c r="M1028" s="1"/>
      <c r="N1028" s="1"/>
    </row>
    <row r="1029" ht="14.5" spans="2:14">
      <c r="B1029" s="1"/>
      <c r="C1029" s="1"/>
      <c r="D1029" s="1"/>
      <c r="E1029" s="1"/>
      <c r="F1029" s="1"/>
      <c r="G1029" s="1"/>
      <c r="H1029" s="1"/>
      <c r="I1029" s="1"/>
      <c r="J1029" s="1"/>
      <c r="K1029" s="1"/>
      <c r="L1029" s="1"/>
      <c r="M1029" s="1"/>
      <c r="N1029" s="1"/>
    </row>
    <row r="1030" ht="14.5" spans="2:14">
      <c r="B1030" s="1"/>
      <c r="C1030" s="1"/>
      <c r="D1030" s="1"/>
      <c r="E1030" s="1"/>
      <c r="F1030" s="1"/>
      <c r="G1030" s="1"/>
      <c r="H1030" s="1"/>
      <c r="I1030" s="1"/>
      <c r="J1030" s="1"/>
      <c r="K1030" s="1"/>
      <c r="L1030" s="1"/>
      <c r="M1030" s="1"/>
      <c r="N1030" s="1"/>
    </row>
    <row r="1031" ht="14.5" spans="2:14">
      <c r="B1031" s="1"/>
      <c r="C1031" s="1"/>
      <c r="D1031" s="1"/>
      <c r="E1031" s="1"/>
      <c r="F1031" s="1"/>
      <c r="G1031" s="1"/>
      <c r="H1031" s="1"/>
      <c r="I1031" s="1"/>
      <c r="J1031" s="1"/>
      <c r="K1031" s="1"/>
      <c r="L1031" s="1"/>
      <c r="M1031" s="1"/>
      <c r="N1031" s="1"/>
    </row>
    <row r="1032" ht="14.5" spans="2:14">
      <c r="B1032" s="1"/>
      <c r="C1032" s="1"/>
      <c r="D1032" s="1"/>
      <c r="E1032" s="1"/>
      <c r="F1032" s="1"/>
      <c r="G1032" s="1"/>
      <c r="H1032" s="1"/>
      <c r="I1032" s="1"/>
      <c r="J1032" s="1"/>
      <c r="K1032" s="1"/>
      <c r="L1032" s="1"/>
      <c r="M1032" s="1"/>
      <c r="N1032" s="1"/>
    </row>
    <row r="1033" ht="14.5" spans="2:14">
      <c r="B1033" s="1"/>
      <c r="C1033" s="1"/>
      <c r="D1033" s="1"/>
      <c r="E1033" s="1"/>
      <c r="F1033" s="1"/>
      <c r="G1033" s="1"/>
      <c r="H1033" s="1"/>
      <c r="I1033" s="1"/>
      <c r="J1033" s="1"/>
      <c r="K1033" s="1"/>
      <c r="L1033" s="1"/>
      <c r="M1033" s="1"/>
      <c r="N1033" s="1"/>
    </row>
    <row r="1034" ht="14.5" spans="2:14">
      <c r="B1034" s="1"/>
      <c r="C1034" s="1"/>
      <c r="D1034" s="1"/>
      <c r="E1034" s="1"/>
      <c r="F1034" s="1"/>
      <c r="G1034" s="1"/>
      <c r="H1034" s="1"/>
      <c r="I1034" s="1"/>
      <c r="J1034" s="1"/>
      <c r="K1034" s="1"/>
      <c r="L1034" s="1"/>
      <c r="M1034" s="1"/>
      <c r="N1034" s="1"/>
    </row>
    <row r="1035" ht="14.5" spans="2:14">
      <c r="B1035" s="1"/>
      <c r="C1035" s="1"/>
      <c r="D1035" s="1"/>
      <c r="E1035" s="1"/>
      <c r="F1035" s="1"/>
      <c r="G1035" s="1"/>
      <c r="H1035" s="1"/>
      <c r="I1035" s="1"/>
      <c r="J1035" s="1"/>
      <c r="K1035" s="1"/>
      <c r="L1035" s="1"/>
      <c r="M1035" s="1"/>
      <c r="N1035" s="1"/>
    </row>
    <row r="1036" ht="14.5" spans="2:14">
      <c r="B1036" s="1"/>
      <c r="C1036" s="1"/>
      <c r="D1036" s="1"/>
      <c r="E1036" s="1"/>
      <c r="F1036" s="1"/>
      <c r="G1036" s="1"/>
      <c r="H1036" s="1"/>
      <c r="I1036" s="1"/>
      <c r="J1036" s="1"/>
      <c r="K1036" s="1"/>
      <c r="L1036" s="1"/>
      <c r="M1036" s="1"/>
      <c r="N1036" s="1"/>
    </row>
    <row r="1037" ht="14.5" spans="2:14">
      <c r="B1037" s="1"/>
      <c r="C1037" s="1"/>
      <c r="D1037" s="1"/>
      <c r="E1037" s="1"/>
      <c r="F1037" s="1"/>
      <c r="G1037" s="1"/>
      <c r="H1037" s="1"/>
      <c r="I1037" s="1"/>
      <c r="J1037" s="1"/>
      <c r="K1037" s="1"/>
      <c r="L1037" s="1"/>
      <c r="M1037" s="1"/>
      <c r="N1037" s="1"/>
    </row>
    <row r="1038" ht="14.5" spans="2:14">
      <c r="B1038" s="1"/>
      <c r="C1038" s="1"/>
      <c r="D1038" s="1"/>
      <c r="E1038" s="1"/>
      <c r="F1038" s="1"/>
      <c r="G1038" s="1"/>
      <c r="H1038" s="1"/>
      <c r="I1038" s="1"/>
      <c r="J1038" s="1"/>
      <c r="K1038" s="1"/>
      <c r="L1038" s="1"/>
      <c r="M1038" s="1"/>
      <c r="N1038" s="1"/>
    </row>
    <row r="1039" ht="14.5" spans="2:14">
      <c r="B1039" s="1"/>
      <c r="C1039" s="1"/>
      <c r="D1039" s="1"/>
      <c r="E1039" s="1"/>
      <c r="F1039" s="1"/>
      <c r="G1039" s="1"/>
      <c r="H1039" s="1"/>
      <c r="I1039" s="1"/>
      <c r="J1039" s="1"/>
      <c r="K1039" s="1"/>
      <c r="L1039" s="1"/>
      <c r="M1039" s="1"/>
      <c r="N1039" s="1"/>
    </row>
    <row r="1040" ht="14.5" spans="2:14">
      <c r="B1040" s="1"/>
      <c r="C1040" s="1"/>
      <c r="D1040" s="1"/>
      <c r="E1040" s="1"/>
      <c r="F1040" s="1"/>
      <c r="G1040" s="1"/>
      <c r="H1040" s="1"/>
      <c r="I1040" s="1"/>
      <c r="J1040" s="1"/>
      <c r="K1040" s="1"/>
      <c r="L1040" s="1"/>
      <c r="M1040" s="1"/>
      <c r="N1040" s="1"/>
    </row>
    <row r="1041" ht="14.5" spans="2:14">
      <c r="B1041" s="1"/>
      <c r="C1041" s="1"/>
      <c r="D1041" s="1"/>
      <c r="E1041" s="1"/>
      <c r="F1041" s="1"/>
      <c r="G1041" s="1"/>
      <c r="H1041" s="1"/>
      <c r="I1041" s="1"/>
      <c r="J1041" s="1"/>
      <c r="K1041" s="1"/>
      <c r="L1041" s="1"/>
      <c r="M1041" s="1"/>
      <c r="N1041" s="1"/>
    </row>
    <row r="1042" ht="14.5" spans="2:14">
      <c r="B1042" s="1"/>
      <c r="C1042" s="1"/>
      <c r="D1042" s="1"/>
      <c r="E1042" s="1"/>
      <c r="F1042" s="1"/>
      <c r="G1042" s="1"/>
      <c r="H1042" s="1"/>
      <c r="I1042" s="1"/>
      <c r="J1042" s="1"/>
      <c r="K1042" s="1"/>
      <c r="L1042" s="1"/>
      <c r="M1042" s="1"/>
      <c r="N1042" s="1"/>
    </row>
    <row r="1043" ht="14.5" spans="2:14">
      <c r="B1043" s="1"/>
      <c r="C1043" s="1"/>
      <c r="D1043" s="1"/>
      <c r="E1043" s="1"/>
      <c r="F1043" s="1"/>
      <c r="G1043" s="1"/>
      <c r="H1043" s="1"/>
      <c r="I1043" s="1"/>
      <c r="J1043" s="1"/>
      <c r="K1043" s="1"/>
      <c r="L1043" s="1"/>
      <c r="M1043" s="1"/>
      <c r="N1043" s="1"/>
    </row>
    <row r="1044" ht="14.5" spans="2:14">
      <c r="B1044" s="1"/>
      <c r="C1044" s="1"/>
      <c r="D1044" s="1"/>
      <c r="E1044" s="1"/>
      <c r="F1044" s="1"/>
      <c r="G1044" s="1"/>
      <c r="H1044" s="1"/>
      <c r="I1044" s="1"/>
      <c r="J1044" s="1"/>
      <c r="K1044" s="1"/>
      <c r="L1044" s="1"/>
      <c r="M1044" s="1"/>
      <c r="N1044" s="1"/>
    </row>
    <row r="1045" ht="14.5" spans="2:14">
      <c r="B1045" s="1"/>
      <c r="C1045" s="1"/>
      <c r="D1045" s="1"/>
      <c r="E1045" s="1"/>
      <c r="F1045" s="1"/>
      <c r="G1045" s="1"/>
      <c r="H1045" s="1"/>
      <c r="I1045" s="1"/>
      <c r="J1045" s="1"/>
      <c r="K1045" s="1"/>
      <c r="L1045" s="1"/>
      <c r="M1045" s="1"/>
      <c r="N1045" s="1"/>
    </row>
    <row r="1046" ht="14.5" spans="2:14">
      <c r="B1046" s="1"/>
      <c r="C1046" s="1"/>
      <c r="D1046" s="1"/>
      <c r="E1046" s="1"/>
      <c r="F1046" s="1"/>
      <c r="G1046" s="1"/>
      <c r="H1046" s="1"/>
      <c r="I1046" s="1"/>
      <c r="J1046" s="1"/>
      <c r="K1046" s="1"/>
      <c r="L1046" s="1"/>
      <c r="M1046" s="1"/>
      <c r="N1046" s="1"/>
    </row>
    <row r="1047" ht="14.5" spans="2:14">
      <c r="B1047" s="1"/>
      <c r="C1047" s="1"/>
      <c r="D1047" s="1"/>
      <c r="E1047" s="1"/>
      <c r="F1047" s="1"/>
      <c r="G1047" s="1"/>
      <c r="H1047" s="1"/>
      <c r="I1047" s="1"/>
      <c r="J1047" s="1"/>
      <c r="K1047" s="1"/>
      <c r="L1047" s="1"/>
      <c r="M1047" s="1"/>
      <c r="N1047" s="1"/>
    </row>
    <row r="1048" ht="14.5" spans="2:14">
      <c r="B1048" s="1"/>
      <c r="C1048" s="1"/>
      <c r="D1048" s="1"/>
      <c r="E1048" s="1"/>
      <c r="F1048" s="1"/>
      <c r="G1048" s="1"/>
      <c r="H1048" s="1"/>
      <c r="I1048" s="1"/>
      <c r="J1048" s="1"/>
      <c r="K1048" s="1"/>
      <c r="L1048" s="1"/>
      <c r="M1048" s="1"/>
      <c r="N1048" s="1"/>
    </row>
    <row r="1049" ht="14.5" spans="2:14">
      <c r="B1049" s="1"/>
      <c r="C1049" s="1"/>
      <c r="D1049" s="1"/>
      <c r="E1049" s="1"/>
      <c r="F1049" s="1"/>
      <c r="G1049" s="1"/>
      <c r="H1049" s="1"/>
      <c r="I1049" s="1"/>
      <c r="J1049" s="1"/>
      <c r="K1049" s="1"/>
      <c r="L1049" s="1"/>
      <c r="M1049" s="1"/>
      <c r="N1049" s="1"/>
    </row>
    <row r="1050" ht="14.5" spans="2:14">
      <c r="B1050" s="1"/>
      <c r="C1050" s="1"/>
      <c r="D1050" s="1"/>
      <c r="E1050" s="1"/>
      <c r="F1050" s="1"/>
      <c r="G1050" s="1"/>
      <c r="H1050" s="1"/>
      <c r="I1050" s="1"/>
      <c r="J1050" s="1"/>
      <c r="K1050" s="1"/>
      <c r="L1050" s="1"/>
      <c r="M1050" s="1"/>
      <c r="N1050" s="1"/>
    </row>
    <row r="1051" ht="14.5" spans="2:14">
      <c r="B1051" s="1"/>
      <c r="C1051" s="1"/>
      <c r="D1051" s="1"/>
      <c r="E1051" s="1"/>
      <c r="F1051" s="1"/>
      <c r="G1051" s="1"/>
      <c r="H1051" s="1"/>
      <c r="I1051" s="1"/>
      <c r="J1051" s="1"/>
      <c r="K1051" s="1"/>
      <c r="L1051" s="1"/>
      <c r="M1051" s="1"/>
      <c r="N1051" s="1"/>
    </row>
    <row r="1052" ht="14.5" spans="2:14">
      <c r="B1052" s="1"/>
      <c r="C1052" s="1"/>
      <c r="D1052" s="1"/>
      <c r="E1052" s="1"/>
      <c r="F1052" s="1"/>
      <c r="G1052" s="1"/>
      <c r="H1052" s="1"/>
      <c r="I1052" s="1"/>
      <c r="J1052" s="1"/>
      <c r="K1052" s="1"/>
      <c r="L1052" s="1"/>
      <c r="M1052" s="1"/>
      <c r="N1052" s="1"/>
    </row>
    <row r="1053" ht="14.5" spans="2:14">
      <c r="B1053" s="1"/>
      <c r="C1053" s="1"/>
      <c r="D1053" s="1"/>
      <c r="E1053" s="1"/>
      <c r="F1053" s="1"/>
      <c r="G1053" s="1"/>
      <c r="H1053" s="1"/>
      <c r="I1053" s="1"/>
      <c r="J1053" s="1"/>
      <c r="K1053" s="1"/>
      <c r="L1053" s="1"/>
      <c r="M1053" s="1"/>
      <c r="N1053" s="1"/>
    </row>
    <row r="1054" ht="14.5" spans="2:14">
      <c r="B1054" s="1"/>
      <c r="C1054" s="1"/>
      <c r="D1054" s="1"/>
      <c r="E1054" s="1"/>
      <c r="F1054" s="1"/>
      <c r="G1054" s="1"/>
      <c r="H1054" s="1"/>
      <c r="I1054" s="1"/>
      <c r="J1054" s="1"/>
      <c r="K1054" s="1"/>
      <c r="L1054" s="1"/>
      <c r="M1054" s="1"/>
      <c r="N1054" s="1"/>
    </row>
    <row r="1055" ht="14.5" spans="2:14">
      <c r="B1055" s="1"/>
      <c r="C1055" s="1"/>
      <c r="D1055" s="1"/>
      <c r="E1055" s="1"/>
      <c r="F1055" s="1"/>
      <c r="G1055" s="1"/>
      <c r="H1055" s="1"/>
      <c r="I1055" s="1"/>
      <c r="J1055" s="1"/>
      <c r="K1055" s="1"/>
      <c r="L1055" s="1"/>
      <c r="M1055" s="1"/>
      <c r="N1055" s="1"/>
    </row>
    <row r="1056" ht="14.5" spans="2:14">
      <c r="B1056" s="1"/>
      <c r="C1056" s="1"/>
      <c r="D1056" s="1"/>
      <c r="E1056" s="1"/>
      <c r="F1056" s="1"/>
      <c r="G1056" s="1"/>
      <c r="H1056" s="1"/>
      <c r="I1056" s="1"/>
      <c r="J1056" s="1"/>
      <c r="K1056" s="1"/>
      <c r="L1056" s="1"/>
      <c r="M1056" s="1"/>
      <c r="N1056" s="1"/>
    </row>
    <row r="1057" ht="14.5" spans="2:14">
      <c r="B1057" s="1"/>
      <c r="C1057" s="1"/>
      <c r="D1057" s="1"/>
      <c r="E1057" s="1"/>
      <c r="F1057" s="1"/>
      <c r="G1057" s="1"/>
      <c r="H1057" s="1"/>
      <c r="I1057" s="1"/>
      <c r="J1057" s="1"/>
      <c r="K1057" s="1"/>
      <c r="L1057" s="1"/>
      <c r="M1057" s="1"/>
      <c r="N1057" s="1"/>
    </row>
    <row r="1058" ht="14.5" spans="2:14">
      <c r="B1058" s="1"/>
      <c r="C1058" s="1"/>
      <c r="D1058" s="1"/>
      <c r="E1058" s="1"/>
      <c r="F1058" s="1"/>
      <c r="G1058" s="1"/>
      <c r="H1058" s="1"/>
      <c r="I1058" s="1"/>
      <c r="J1058" s="1"/>
      <c r="K1058" s="1"/>
      <c r="L1058" s="1"/>
      <c r="M1058" s="1"/>
      <c r="N1058" s="1"/>
    </row>
    <row r="1059" ht="14.5" spans="2:14">
      <c r="B1059" s="1"/>
      <c r="C1059" s="1"/>
      <c r="D1059" s="1"/>
      <c r="E1059" s="1"/>
      <c r="F1059" s="1"/>
      <c r="G1059" s="1"/>
      <c r="H1059" s="1"/>
      <c r="I1059" s="1"/>
      <c r="J1059" s="1"/>
      <c r="K1059" s="1"/>
      <c r="L1059" s="1"/>
      <c r="M1059" s="1"/>
      <c r="N1059" s="1"/>
    </row>
    <row r="1060" ht="14.5" spans="2:14">
      <c r="B1060" s="1"/>
      <c r="C1060" s="1"/>
      <c r="D1060" s="1"/>
      <c r="E1060" s="1"/>
      <c r="F1060" s="1"/>
      <c r="G1060" s="1"/>
      <c r="H1060" s="1"/>
      <c r="I1060" s="1"/>
      <c r="J1060" s="1"/>
      <c r="K1060" s="1"/>
      <c r="L1060" s="1"/>
      <c r="M1060" s="1"/>
      <c r="N1060" s="1"/>
    </row>
    <row r="1061" ht="14.5" spans="2:14">
      <c r="B1061" s="1"/>
      <c r="C1061" s="1"/>
      <c r="D1061" s="1"/>
      <c r="E1061" s="1"/>
      <c r="F1061" s="1"/>
      <c r="G1061" s="1"/>
      <c r="H1061" s="1"/>
      <c r="I1061" s="1"/>
      <c r="J1061" s="1"/>
      <c r="K1061" s="1"/>
      <c r="L1061" s="1"/>
      <c r="M1061" s="1"/>
      <c r="N1061" s="1"/>
    </row>
    <row r="1062" ht="14.5" spans="2:14">
      <c r="B1062" s="1"/>
      <c r="C1062" s="1"/>
      <c r="D1062" s="1"/>
      <c r="E1062" s="1"/>
      <c r="F1062" s="1"/>
      <c r="G1062" s="1"/>
      <c r="H1062" s="1"/>
      <c r="I1062" s="1"/>
      <c r="J1062" s="1"/>
      <c r="K1062" s="1"/>
      <c r="L1062" s="1"/>
      <c r="M1062" s="1"/>
      <c r="N1062" s="1"/>
    </row>
    <row r="1063" ht="14.5" spans="2:14">
      <c r="B1063" s="1"/>
      <c r="C1063" s="1"/>
      <c r="D1063" s="1"/>
      <c r="E1063" s="1"/>
      <c r="F1063" s="1"/>
      <c r="G1063" s="1"/>
      <c r="H1063" s="1"/>
      <c r="I1063" s="1"/>
      <c r="J1063" s="1"/>
      <c r="K1063" s="1"/>
      <c r="L1063" s="1"/>
      <c r="M1063" s="1"/>
      <c r="N1063" s="1"/>
    </row>
    <row r="1064" ht="14.5" spans="2:14">
      <c r="B1064" s="1"/>
      <c r="C1064" s="1"/>
      <c r="D1064" s="1"/>
      <c r="E1064" s="1"/>
      <c r="F1064" s="1"/>
      <c r="G1064" s="1"/>
      <c r="H1064" s="1"/>
      <c r="I1064" s="1"/>
      <c r="J1064" s="1"/>
      <c r="K1064" s="1"/>
      <c r="L1064" s="1"/>
      <c r="M1064" s="1"/>
      <c r="N1064" s="1"/>
    </row>
    <row r="1065" ht="14.5" spans="2:14">
      <c r="B1065" s="1"/>
      <c r="C1065" s="1"/>
      <c r="D1065" s="1"/>
      <c r="E1065" s="1"/>
      <c r="F1065" s="1"/>
      <c r="G1065" s="1"/>
      <c r="H1065" s="1"/>
      <c r="I1065" s="1"/>
      <c r="J1065" s="1"/>
      <c r="K1065" s="1"/>
      <c r="L1065" s="1"/>
      <c r="M1065" s="1"/>
      <c r="N1065" s="1"/>
    </row>
    <row r="1066" ht="14.5" spans="2:14">
      <c r="B1066" s="1"/>
      <c r="C1066" s="1"/>
      <c r="D1066" s="1"/>
      <c r="E1066" s="1"/>
      <c r="F1066" s="1"/>
      <c r="G1066" s="1"/>
      <c r="H1066" s="1"/>
      <c r="I1066" s="1"/>
      <c r="J1066" s="1"/>
      <c r="K1066" s="1"/>
      <c r="L1066" s="1"/>
      <c r="M1066" s="1"/>
      <c r="N1066" s="1"/>
    </row>
    <row r="1067" ht="14.5" spans="2:14">
      <c r="B1067" s="1"/>
      <c r="C1067" s="1"/>
      <c r="D1067" s="1"/>
      <c r="E1067" s="1"/>
      <c r="F1067" s="1"/>
      <c r="G1067" s="1"/>
      <c r="H1067" s="1"/>
      <c r="I1067" s="1"/>
      <c r="J1067" s="1"/>
      <c r="K1067" s="1"/>
      <c r="L1067" s="1"/>
      <c r="M1067" s="1"/>
      <c r="N1067" s="1"/>
    </row>
    <row r="1068" ht="14.5" spans="2:14">
      <c r="B1068" s="1"/>
      <c r="C1068" s="1"/>
      <c r="D1068" s="1"/>
      <c r="E1068" s="1"/>
      <c r="F1068" s="1"/>
      <c r="G1068" s="1"/>
      <c r="H1068" s="1"/>
      <c r="I1068" s="1"/>
      <c r="J1068" s="1"/>
      <c r="K1068" s="1"/>
      <c r="L1068" s="1"/>
      <c r="M1068" s="1"/>
      <c r="N1068" s="1"/>
    </row>
    <row r="1069" ht="14.5" spans="2:14">
      <c r="B1069" s="1"/>
      <c r="C1069" s="1"/>
      <c r="D1069" s="1"/>
      <c r="E1069" s="1"/>
      <c r="F1069" s="1"/>
      <c r="G1069" s="1"/>
      <c r="H1069" s="1"/>
      <c r="I1069" s="1"/>
      <c r="J1069" s="1"/>
      <c r="K1069" s="1"/>
      <c r="L1069" s="1"/>
      <c r="M1069" s="1"/>
      <c r="N1069" s="1"/>
    </row>
    <row r="1070" ht="14.5" spans="2:14">
      <c r="B1070" s="1"/>
      <c r="C1070" s="1"/>
      <c r="D1070" s="1"/>
      <c r="E1070" s="1"/>
      <c r="F1070" s="1"/>
      <c r="G1070" s="1"/>
      <c r="H1070" s="1"/>
      <c r="I1070" s="1"/>
      <c r="J1070" s="1"/>
      <c r="K1070" s="1"/>
      <c r="L1070" s="1"/>
      <c r="M1070" s="1"/>
      <c r="N1070" s="1"/>
    </row>
    <row r="1071" ht="14.5" spans="2:14">
      <c r="B1071" s="1"/>
      <c r="C1071" s="1"/>
      <c r="D1071" s="1"/>
      <c r="E1071" s="1"/>
      <c r="F1071" s="1"/>
      <c r="G1071" s="1"/>
      <c r="H1071" s="1"/>
      <c r="I1071" s="1"/>
      <c r="J1071" s="1"/>
      <c r="K1071" s="1"/>
      <c r="L1071" s="1"/>
      <c r="M1071" s="1"/>
      <c r="N1071" s="1"/>
    </row>
    <row r="1072" ht="14.5" spans="2:14">
      <c r="B1072" s="1"/>
      <c r="C1072" s="1"/>
      <c r="D1072" s="1"/>
      <c r="E1072" s="1"/>
      <c r="F1072" s="1"/>
      <c r="G1072" s="1"/>
      <c r="H1072" s="1"/>
      <c r="I1072" s="1"/>
      <c r="J1072" s="1"/>
      <c r="K1072" s="1"/>
      <c r="L1072" s="1"/>
      <c r="M1072" s="1"/>
      <c r="N1072" s="1"/>
    </row>
    <row r="1073" ht="14.5" spans="2:14">
      <c r="B1073" s="1"/>
      <c r="C1073" s="1"/>
      <c r="D1073" s="1"/>
      <c r="E1073" s="1"/>
      <c r="F1073" s="1"/>
      <c r="G1073" s="1"/>
      <c r="H1073" s="1"/>
      <c r="I1073" s="1"/>
      <c r="J1073" s="1"/>
      <c r="K1073" s="1"/>
      <c r="L1073" s="1"/>
      <c r="M1073" s="1"/>
      <c r="N1073" s="1"/>
    </row>
    <row r="1074" ht="14.5" spans="2:14">
      <c r="B1074" s="1"/>
      <c r="C1074" s="1"/>
      <c r="D1074" s="1"/>
      <c r="E1074" s="1"/>
      <c r="F1074" s="1"/>
      <c r="G1074" s="1"/>
      <c r="H1074" s="1"/>
      <c r="I1074" s="1"/>
      <c r="J1074" s="1"/>
      <c r="K1074" s="1"/>
      <c r="L1074" s="1"/>
      <c r="M1074" s="1"/>
      <c r="N1074" s="1"/>
    </row>
    <row r="1075" ht="14.5" spans="2:14">
      <c r="B1075" s="1"/>
      <c r="C1075" s="1"/>
      <c r="D1075" s="1"/>
      <c r="E1075" s="1"/>
      <c r="F1075" s="1"/>
      <c r="G1075" s="1"/>
      <c r="H1075" s="1"/>
      <c r="I1075" s="1"/>
      <c r="J1075" s="1"/>
      <c r="K1075" s="1"/>
      <c r="L1075" s="1"/>
      <c r="M1075" s="1"/>
      <c r="N1075" s="1"/>
    </row>
    <row r="1076" ht="14.5" spans="2:14">
      <c r="B1076" s="1"/>
      <c r="C1076" s="1"/>
      <c r="D1076" s="1"/>
      <c r="E1076" s="1"/>
      <c r="F1076" s="1"/>
      <c r="G1076" s="1"/>
      <c r="H1076" s="1"/>
      <c r="I1076" s="1"/>
      <c r="J1076" s="1"/>
      <c r="K1076" s="1"/>
      <c r="L1076" s="1"/>
      <c r="M1076" s="1"/>
      <c r="N1076" s="1"/>
    </row>
    <row r="1077" ht="14.5" spans="2:14">
      <c r="B1077" s="1"/>
      <c r="C1077" s="1"/>
      <c r="D1077" s="1"/>
      <c r="E1077" s="1"/>
      <c r="F1077" s="1"/>
      <c r="G1077" s="1"/>
      <c r="H1077" s="1"/>
      <c r="I1077" s="1"/>
      <c r="J1077" s="1"/>
      <c r="K1077" s="1"/>
      <c r="L1077" s="1"/>
      <c r="M1077" s="1"/>
      <c r="N1077" s="1"/>
    </row>
    <row r="1078" ht="14.5" spans="2:14">
      <c r="B1078" s="1"/>
      <c r="C1078" s="1"/>
      <c r="D1078" s="1"/>
      <c r="E1078" s="1"/>
      <c r="F1078" s="1"/>
      <c r="G1078" s="1"/>
      <c r="H1078" s="1"/>
      <c r="I1078" s="1"/>
      <c r="J1078" s="1"/>
      <c r="K1078" s="1"/>
      <c r="L1078" s="1"/>
      <c r="M1078" s="1"/>
      <c r="N1078" s="1"/>
    </row>
    <row r="1079" ht="14.5" spans="2:14">
      <c r="B1079" s="1"/>
      <c r="C1079" s="1"/>
      <c r="D1079" s="1"/>
      <c r="E1079" s="1"/>
      <c r="F1079" s="1"/>
      <c r="G1079" s="1"/>
      <c r="H1079" s="1"/>
      <c r="I1079" s="1"/>
      <c r="J1079" s="1"/>
      <c r="K1079" s="1"/>
      <c r="L1079" s="1"/>
      <c r="M1079" s="1"/>
      <c r="N1079" s="1"/>
    </row>
    <row r="1080" ht="14.5" spans="2:14">
      <c r="B1080" s="1"/>
      <c r="C1080" s="1"/>
      <c r="D1080" s="1"/>
      <c r="E1080" s="1"/>
      <c r="F1080" s="1"/>
      <c r="G1080" s="1"/>
      <c r="H1080" s="1"/>
      <c r="I1080" s="1"/>
      <c r="J1080" s="1"/>
      <c r="K1080" s="1"/>
      <c r="L1080" s="1"/>
      <c r="M1080" s="1"/>
      <c r="N1080" s="1"/>
    </row>
    <row r="1081" ht="14.5" spans="2:14">
      <c r="B1081" s="1"/>
      <c r="C1081" s="1"/>
      <c r="D1081" s="1"/>
      <c r="E1081" s="1"/>
      <c r="F1081" s="1"/>
      <c r="G1081" s="1"/>
      <c r="H1081" s="1"/>
      <c r="I1081" s="1"/>
      <c r="J1081" s="1"/>
      <c r="K1081" s="1"/>
      <c r="L1081" s="1"/>
      <c r="M1081" s="1"/>
      <c r="N1081" s="1"/>
    </row>
    <row r="1082" ht="14.5" spans="2:14">
      <c r="B1082" s="1"/>
      <c r="C1082" s="1"/>
      <c r="D1082" s="1"/>
      <c r="E1082" s="1"/>
      <c r="F1082" s="1"/>
      <c r="G1082" s="1"/>
      <c r="H1082" s="1"/>
      <c r="I1082" s="1"/>
      <c r="J1082" s="1"/>
      <c r="K1082" s="1"/>
      <c r="L1082" s="1"/>
      <c r="M1082" s="1"/>
      <c r="N1082" s="1"/>
    </row>
    <row r="1083" ht="14.5" spans="2:14">
      <c r="B1083" s="1"/>
      <c r="C1083" s="1"/>
      <c r="D1083" s="1"/>
      <c r="E1083" s="1"/>
      <c r="F1083" s="1"/>
      <c r="G1083" s="1"/>
      <c r="H1083" s="1"/>
      <c r="I1083" s="1"/>
      <c r="J1083" s="1"/>
      <c r="K1083" s="1"/>
      <c r="L1083" s="1"/>
      <c r="M1083" s="1"/>
      <c r="N1083" s="1"/>
    </row>
    <row r="1084" ht="14.5" spans="2:14">
      <c r="B1084" s="1"/>
      <c r="C1084" s="1"/>
      <c r="D1084" s="1"/>
      <c r="E1084" s="1"/>
      <c r="F1084" s="1"/>
      <c r="G1084" s="1"/>
      <c r="H1084" s="1"/>
      <c r="I1084" s="1"/>
      <c r="J1084" s="1"/>
      <c r="K1084" s="1"/>
      <c r="L1084" s="1"/>
      <c r="M1084" s="1"/>
      <c r="N1084" s="1"/>
    </row>
    <row r="1085" ht="14.5" spans="2:14">
      <c r="B1085" s="1"/>
      <c r="C1085" s="1"/>
      <c r="D1085" s="1"/>
      <c r="E1085" s="1"/>
      <c r="F1085" s="1"/>
      <c r="G1085" s="1"/>
      <c r="H1085" s="1"/>
      <c r="I1085" s="1"/>
      <c r="J1085" s="1"/>
      <c r="K1085" s="1"/>
      <c r="L1085" s="1"/>
      <c r="M1085" s="1"/>
      <c r="N1085" s="1"/>
    </row>
    <row r="1086" ht="14.5" spans="2:14">
      <c r="B1086" s="1"/>
      <c r="C1086" s="1"/>
      <c r="D1086" s="1"/>
      <c r="E1086" s="1"/>
      <c r="F1086" s="1"/>
      <c r="G1086" s="1"/>
      <c r="H1086" s="1"/>
      <c r="I1086" s="1"/>
      <c r="J1086" s="1"/>
      <c r="K1086" s="1"/>
      <c r="L1086" s="1"/>
      <c r="M1086" s="1"/>
      <c r="N1086" s="1"/>
    </row>
    <row r="1087" ht="14.5" spans="2:14">
      <c r="B1087" s="1"/>
      <c r="C1087" s="1"/>
      <c r="D1087" s="1"/>
      <c r="E1087" s="1"/>
      <c r="F1087" s="1"/>
      <c r="G1087" s="1"/>
      <c r="H1087" s="1"/>
      <c r="I1087" s="1"/>
      <c r="J1087" s="1"/>
      <c r="K1087" s="1"/>
      <c r="L1087" s="1"/>
      <c r="M1087" s="1"/>
      <c r="N1087" s="1"/>
    </row>
    <row r="1088" ht="14.5" spans="2:14">
      <c r="B1088" s="1"/>
      <c r="C1088" s="1"/>
      <c r="D1088" s="1"/>
      <c r="E1088" s="1"/>
      <c r="F1088" s="1"/>
      <c r="G1088" s="1"/>
      <c r="H1088" s="1"/>
      <c r="I1088" s="1"/>
      <c r="J1088" s="1"/>
      <c r="K1088" s="1"/>
      <c r="L1088" s="1"/>
      <c r="M1088" s="1"/>
      <c r="N1088" s="1"/>
    </row>
    <row r="1089" ht="14.5" spans="2:14">
      <c r="B1089" s="1"/>
      <c r="C1089" s="1"/>
      <c r="D1089" s="1"/>
      <c r="E1089" s="1"/>
      <c r="F1089" s="1"/>
      <c r="G1089" s="1"/>
      <c r="H1089" s="1"/>
      <c r="I1089" s="1"/>
      <c r="J1089" s="1"/>
      <c r="K1089" s="1"/>
      <c r="L1089" s="1"/>
      <c r="M1089" s="1"/>
      <c r="N1089" s="1"/>
    </row>
    <row r="1090" ht="14.5" spans="2:14">
      <c r="B1090" s="1"/>
      <c r="C1090" s="1"/>
      <c r="D1090" s="1"/>
      <c r="E1090" s="1"/>
      <c r="F1090" s="1"/>
      <c r="G1090" s="1"/>
      <c r="H1090" s="1"/>
      <c r="I1090" s="1"/>
      <c r="J1090" s="1"/>
      <c r="K1090" s="1"/>
      <c r="L1090" s="1"/>
      <c r="M1090" s="1"/>
      <c r="N1090" s="1"/>
    </row>
    <row r="1091" ht="14.5" spans="2:14">
      <c r="B1091" s="1"/>
      <c r="C1091" s="1"/>
      <c r="D1091" s="1"/>
      <c r="E1091" s="1"/>
      <c r="F1091" s="1"/>
      <c r="G1091" s="1"/>
      <c r="H1091" s="1"/>
      <c r="I1091" s="1"/>
      <c r="J1091" s="1"/>
      <c r="K1091" s="1"/>
      <c r="L1091" s="1"/>
      <c r="M1091" s="1"/>
      <c r="N1091" s="1"/>
    </row>
    <row r="1092" ht="14.5" spans="2:14">
      <c r="B1092" s="1"/>
      <c r="C1092" s="1"/>
      <c r="D1092" s="1"/>
      <c r="E1092" s="1"/>
      <c r="F1092" s="1"/>
      <c r="G1092" s="1"/>
      <c r="H1092" s="1"/>
      <c r="I1092" s="1"/>
      <c r="J1092" s="1"/>
      <c r="K1092" s="1"/>
      <c r="L1092" s="1"/>
      <c r="M1092" s="1"/>
      <c r="N1092" s="1"/>
    </row>
    <row r="1093" ht="14.5" spans="2:14">
      <c r="B1093" s="1"/>
      <c r="C1093" s="1"/>
      <c r="D1093" s="1"/>
      <c r="E1093" s="1"/>
      <c r="F1093" s="1"/>
      <c r="G1093" s="1"/>
      <c r="H1093" s="1"/>
      <c r="I1093" s="1"/>
      <c r="J1093" s="1"/>
      <c r="K1093" s="1"/>
      <c r="L1093" s="1"/>
      <c r="M1093" s="1"/>
      <c r="N1093" s="1"/>
    </row>
    <row r="1094" ht="14.5" spans="2:14">
      <c r="B1094" s="1"/>
      <c r="C1094" s="1"/>
      <c r="D1094" s="1"/>
      <c r="E1094" s="1"/>
      <c r="F1094" s="1"/>
      <c r="G1094" s="1"/>
      <c r="H1094" s="1"/>
      <c r="I1094" s="1"/>
      <c r="J1094" s="1"/>
      <c r="K1094" s="1"/>
      <c r="L1094" s="1"/>
      <c r="M1094" s="1"/>
      <c r="N1094" s="1"/>
    </row>
    <row r="1095" ht="14.5" spans="2:14">
      <c r="B1095" s="1"/>
      <c r="C1095" s="1"/>
      <c r="D1095" s="1"/>
      <c r="E1095" s="1"/>
      <c r="F1095" s="1"/>
      <c r="G1095" s="1"/>
      <c r="H1095" s="1"/>
      <c r="I1095" s="1"/>
      <c r="J1095" s="1"/>
      <c r="K1095" s="1"/>
      <c r="L1095" s="1"/>
      <c r="M1095" s="1"/>
      <c r="N1095" s="1"/>
    </row>
    <row r="1096" ht="14.5" spans="2:14">
      <c r="B1096" s="1"/>
      <c r="C1096" s="1"/>
      <c r="D1096" s="1"/>
      <c r="E1096" s="1"/>
      <c r="F1096" s="1"/>
      <c r="G1096" s="1"/>
      <c r="H1096" s="1"/>
      <c r="I1096" s="1"/>
      <c r="J1096" s="1"/>
      <c r="K1096" s="1"/>
      <c r="L1096" s="1"/>
      <c r="M1096" s="1"/>
      <c r="N1096" s="1"/>
    </row>
    <row r="1097" ht="14.5" spans="2:14">
      <c r="B1097" s="1"/>
      <c r="C1097" s="1"/>
      <c r="D1097" s="1"/>
      <c r="E1097" s="1"/>
      <c r="F1097" s="1"/>
      <c r="G1097" s="1"/>
      <c r="H1097" s="1"/>
      <c r="I1097" s="1"/>
      <c r="J1097" s="1"/>
      <c r="K1097" s="1"/>
      <c r="L1097" s="1"/>
      <c r="M1097" s="1"/>
      <c r="N1097" s="1"/>
    </row>
    <row r="1098" ht="14.5" spans="2:14">
      <c r="B1098" s="1"/>
      <c r="C1098" s="1"/>
      <c r="D1098" s="1"/>
      <c r="E1098" s="1"/>
      <c r="F1098" s="1"/>
      <c r="G1098" s="1"/>
      <c r="H1098" s="1"/>
      <c r="I1098" s="1"/>
      <c r="J1098" s="1"/>
      <c r="K1098" s="1"/>
      <c r="L1098" s="1"/>
      <c r="M1098" s="1"/>
      <c r="N1098" s="1"/>
    </row>
    <row r="1099" ht="14.5" spans="2:14">
      <c r="B1099" s="1"/>
      <c r="C1099" s="1"/>
      <c r="D1099" s="1"/>
      <c r="E1099" s="1"/>
      <c r="F1099" s="1"/>
      <c r="G1099" s="1"/>
      <c r="H1099" s="1"/>
      <c r="I1099" s="1"/>
      <c r="J1099" s="1"/>
      <c r="K1099" s="1"/>
      <c r="L1099" s="1"/>
      <c r="M1099" s="1"/>
      <c r="N1099" s="1"/>
    </row>
    <row r="1100" ht="14.5" spans="2:14">
      <c r="B1100" s="1"/>
      <c r="C1100" s="1"/>
      <c r="D1100" s="1"/>
      <c r="E1100" s="1"/>
      <c r="F1100" s="1"/>
      <c r="G1100" s="1"/>
      <c r="H1100" s="1"/>
      <c r="I1100" s="1"/>
      <c r="J1100" s="1"/>
      <c r="K1100" s="1"/>
      <c r="L1100" s="1"/>
      <c r="M1100" s="1"/>
      <c r="N1100" s="1"/>
    </row>
    <row r="1101" ht="14.5" spans="2:14">
      <c r="B1101" s="1"/>
      <c r="C1101" s="1"/>
      <c r="D1101" s="1"/>
      <c r="E1101" s="1"/>
      <c r="F1101" s="1"/>
      <c r="G1101" s="1"/>
      <c r="H1101" s="1"/>
      <c r="I1101" s="1"/>
      <c r="J1101" s="1"/>
      <c r="K1101" s="1"/>
      <c r="L1101" s="1"/>
      <c r="M1101" s="1"/>
      <c r="N1101" s="1"/>
    </row>
    <row r="1102" ht="14.5" spans="2:14">
      <c r="B1102" s="1"/>
      <c r="C1102" s="1"/>
      <c r="D1102" s="1"/>
      <c r="E1102" s="1"/>
      <c r="F1102" s="1"/>
      <c r="G1102" s="1"/>
      <c r="H1102" s="1"/>
      <c r="I1102" s="1"/>
      <c r="J1102" s="1"/>
      <c r="K1102" s="1"/>
      <c r="L1102" s="1"/>
      <c r="M1102" s="1"/>
      <c r="N1102" s="1"/>
    </row>
    <row r="1103" ht="14.5" spans="2:14">
      <c r="B1103" s="1"/>
      <c r="C1103" s="1"/>
      <c r="D1103" s="1"/>
      <c r="E1103" s="1"/>
      <c r="F1103" s="1"/>
      <c r="G1103" s="1"/>
      <c r="H1103" s="1"/>
      <c r="I1103" s="1"/>
      <c r="J1103" s="1"/>
      <c r="K1103" s="1"/>
      <c r="L1103" s="1"/>
      <c r="M1103" s="1"/>
      <c r="N1103" s="1"/>
    </row>
    <row r="1104" ht="14.5" spans="2:14">
      <c r="B1104" s="1"/>
      <c r="C1104" s="1"/>
      <c r="D1104" s="1"/>
      <c r="E1104" s="1"/>
      <c r="F1104" s="1"/>
      <c r="G1104" s="1"/>
      <c r="H1104" s="1"/>
      <c r="I1104" s="1"/>
      <c r="J1104" s="1"/>
      <c r="K1104" s="1"/>
      <c r="L1104" s="1"/>
      <c r="M1104" s="1"/>
      <c r="N1104" s="1"/>
    </row>
    <row r="1105" ht="14.5" spans="2:14">
      <c r="B1105" s="1"/>
      <c r="C1105" s="1"/>
      <c r="D1105" s="1"/>
      <c r="E1105" s="1"/>
      <c r="F1105" s="1"/>
      <c r="G1105" s="1"/>
      <c r="H1105" s="1"/>
      <c r="I1105" s="1"/>
      <c r="J1105" s="1"/>
      <c r="K1105" s="1"/>
      <c r="L1105" s="1"/>
      <c r="M1105" s="1"/>
      <c r="N1105" s="1"/>
    </row>
    <row r="1106" ht="14.5" spans="2:14">
      <c r="B1106" s="1"/>
      <c r="C1106" s="1"/>
      <c r="D1106" s="1"/>
      <c r="E1106" s="1"/>
      <c r="F1106" s="1"/>
      <c r="G1106" s="1"/>
      <c r="H1106" s="1"/>
      <c r="I1106" s="1"/>
      <c r="J1106" s="1"/>
      <c r="K1106" s="1"/>
      <c r="L1106" s="1"/>
      <c r="M1106" s="1"/>
      <c r="N1106" s="1"/>
    </row>
    <row r="1107" ht="14.5" spans="2:14">
      <c r="B1107" s="1"/>
      <c r="C1107" s="1"/>
      <c r="D1107" s="1"/>
      <c r="E1107" s="1"/>
      <c r="F1107" s="1"/>
      <c r="G1107" s="1"/>
      <c r="H1107" s="1"/>
      <c r="I1107" s="1"/>
      <c r="J1107" s="1"/>
      <c r="K1107" s="1"/>
      <c r="L1107" s="1"/>
      <c r="M1107" s="1"/>
      <c r="N1107" s="1"/>
    </row>
    <row r="1108" ht="14.5" spans="2:14">
      <c r="B1108" s="1"/>
      <c r="C1108" s="1"/>
      <c r="D1108" s="1"/>
      <c r="E1108" s="1"/>
      <c r="F1108" s="1"/>
      <c r="G1108" s="1"/>
      <c r="H1108" s="1"/>
      <c r="I1108" s="1"/>
      <c r="J1108" s="1"/>
      <c r="K1108" s="1"/>
      <c r="L1108" s="1"/>
      <c r="M1108" s="1"/>
      <c r="N1108" s="1"/>
    </row>
    <row r="1109" ht="14.5" spans="2:14">
      <c r="B1109" s="1"/>
      <c r="C1109" s="1"/>
      <c r="D1109" s="1"/>
      <c r="E1109" s="1"/>
      <c r="F1109" s="1"/>
      <c r="G1109" s="1"/>
      <c r="H1109" s="1"/>
      <c r="I1109" s="1"/>
      <c r="J1109" s="1"/>
      <c r="K1109" s="1"/>
      <c r="L1109" s="1"/>
      <c r="M1109" s="1"/>
      <c r="N1109" s="1"/>
    </row>
    <row r="1110" ht="14.5" spans="2:14">
      <c r="B1110" s="1"/>
      <c r="C1110" s="1"/>
      <c r="D1110" s="1"/>
      <c r="E1110" s="1"/>
      <c r="F1110" s="1"/>
      <c r="G1110" s="1"/>
      <c r="H1110" s="1"/>
      <c r="I1110" s="1"/>
      <c r="J1110" s="1"/>
      <c r="K1110" s="1"/>
      <c r="L1110" s="1"/>
      <c r="M1110" s="1"/>
      <c r="N1110" s="1"/>
    </row>
    <row r="1111" ht="14.5" spans="2:14">
      <c r="B1111" s="1"/>
      <c r="C1111" s="1"/>
      <c r="D1111" s="1"/>
      <c r="E1111" s="1"/>
      <c r="F1111" s="1"/>
      <c r="G1111" s="1"/>
      <c r="H1111" s="1"/>
      <c r="I1111" s="1"/>
      <c r="J1111" s="1"/>
      <c r="K1111" s="1"/>
      <c r="L1111" s="1"/>
      <c r="M1111" s="1"/>
      <c r="N1111" s="1"/>
    </row>
    <row r="1112" ht="14.5" spans="2:14">
      <c r="B1112" s="1"/>
      <c r="C1112" s="1"/>
      <c r="D1112" s="1"/>
      <c r="E1112" s="1"/>
      <c r="F1112" s="1"/>
      <c r="G1112" s="1"/>
      <c r="H1112" s="1"/>
      <c r="I1112" s="1"/>
      <c r="J1112" s="1"/>
      <c r="K1112" s="1"/>
      <c r="L1112" s="1"/>
      <c r="M1112" s="1"/>
      <c r="N1112" s="1"/>
    </row>
    <row r="1113" ht="14.5" spans="2:14">
      <c r="B1113" s="1"/>
      <c r="C1113" s="1"/>
      <c r="D1113" s="1"/>
      <c r="E1113" s="1"/>
      <c r="F1113" s="1"/>
      <c r="G1113" s="1"/>
      <c r="H1113" s="1"/>
      <c r="I1113" s="1"/>
      <c r="J1113" s="1"/>
      <c r="K1113" s="1"/>
      <c r="L1113" s="1"/>
      <c r="M1113" s="1"/>
      <c r="N1113" s="1"/>
    </row>
    <row r="1114" ht="14.5" spans="2:14">
      <c r="B1114" s="1"/>
      <c r="C1114" s="1"/>
      <c r="D1114" s="1"/>
      <c r="E1114" s="1"/>
      <c r="F1114" s="1"/>
      <c r="G1114" s="1"/>
      <c r="H1114" s="1"/>
      <c r="I1114" s="1"/>
      <c r="J1114" s="1"/>
      <c r="K1114" s="1"/>
      <c r="L1114" s="1"/>
      <c r="M1114" s="1"/>
      <c r="N1114" s="1"/>
    </row>
    <row r="1115" ht="14.5" spans="2:14">
      <c r="B1115" s="1"/>
      <c r="C1115" s="1"/>
      <c r="D1115" s="1"/>
      <c r="E1115" s="1"/>
      <c r="F1115" s="1"/>
      <c r="G1115" s="1"/>
      <c r="H1115" s="1"/>
      <c r="I1115" s="1"/>
      <c r="J1115" s="1"/>
      <c r="K1115" s="1"/>
      <c r="L1115" s="1"/>
      <c r="M1115" s="1"/>
      <c r="N1115" s="1"/>
    </row>
    <row r="1116" ht="14.5" spans="2:14">
      <c r="B1116" s="1"/>
      <c r="C1116" s="1"/>
      <c r="D1116" s="1"/>
      <c r="E1116" s="1"/>
      <c r="F1116" s="1"/>
      <c r="G1116" s="1"/>
      <c r="H1116" s="1"/>
      <c r="I1116" s="1"/>
      <c r="J1116" s="1"/>
      <c r="K1116" s="1"/>
      <c r="L1116" s="1"/>
      <c r="M1116" s="1"/>
      <c r="N1116" s="1"/>
    </row>
    <row r="1117" ht="14.5" spans="2:14">
      <c r="B1117" s="1"/>
      <c r="C1117" s="1"/>
      <c r="D1117" s="1"/>
      <c r="E1117" s="1"/>
      <c r="F1117" s="1"/>
      <c r="G1117" s="1"/>
      <c r="H1117" s="1"/>
      <c r="I1117" s="1"/>
      <c r="J1117" s="1"/>
      <c r="K1117" s="1"/>
      <c r="L1117" s="1"/>
      <c r="M1117" s="1"/>
      <c r="N1117" s="1"/>
    </row>
    <row r="1118" ht="14.5" spans="2:14">
      <c r="B1118" s="1"/>
      <c r="C1118" s="1"/>
      <c r="D1118" s="1"/>
      <c r="E1118" s="1"/>
      <c r="F1118" s="1"/>
      <c r="G1118" s="1"/>
      <c r="H1118" s="1"/>
      <c r="I1118" s="1"/>
      <c r="J1118" s="1"/>
      <c r="K1118" s="1"/>
      <c r="L1118" s="1"/>
      <c r="M1118" s="1"/>
      <c r="N1118" s="1"/>
    </row>
    <row r="1119" ht="14.5" spans="2:14">
      <c r="B1119" s="1"/>
      <c r="C1119" s="1"/>
      <c r="D1119" s="1"/>
      <c r="E1119" s="1"/>
      <c r="F1119" s="1"/>
      <c r="G1119" s="1"/>
      <c r="H1119" s="1"/>
      <c r="I1119" s="1"/>
      <c r="J1119" s="1"/>
      <c r="K1119" s="1"/>
      <c r="L1119" s="1"/>
      <c r="M1119" s="1"/>
      <c r="N1119" s="1"/>
    </row>
    <row r="1120" ht="14.5" spans="2:14">
      <c r="B1120" s="1"/>
      <c r="C1120" s="1"/>
      <c r="D1120" s="1"/>
      <c r="E1120" s="1"/>
      <c r="F1120" s="1"/>
      <c r="G1120" s="1"/>
      <c r="H1120" s="1"/>
      <c r="I1120" s="1"/>
      <c r="J1120" s="1"/>
      <c r="K1120" s="1"/>
      <c r="L1120" s="1"/>
      <c r="M1120" s="1"/>
      <c r="N1120" s="1"/>
    </row>
    <row r="1121" ht="14.5" spans="2:14">
      <c r="B1121" s="1"/>
      <c r="C1121" s="1"/>
      <c r="D1121" s="1"/>
      <c r="E1121" s="1"/>
      <c r="F1121" s="1"/>
      <c r="G1121" s="1"/>
      <c r="H1121" s="1"/>
      <c r="I1121" s="1"/>
      <c r="J1121" s="1"/>
      <c r="K1121" s="1"/>
      <c r="L1121" s="1"/>
      <c r="M1121" s="1"/>
      <c r="N1121" s="1"/>
    </row>
    <row r="1122" ht="14.5" spans="2:14">
      <c r="B1122" s="1"/>
      <c r="C1122" s="1"/>
      <c r="D1122" s="1"/>
      <c r="E1122" s="1"/>
      <c r="F1122" s="1"/>
      <c r="G1122" s="1"/>
      <c r="H1122" s="1"/>
      <c r="I1122" s="1"/>
      <c r="J1122" s="1"/>
      <c r="K1122" s="1"/>
      <c r="L1122" s="1"/>
      <c r="M1122" s="1"/>
      <c r="N1122" s="1"/>
    </row>
    <row r="1123" ht="14.5" spans="2:14">
      <c r="B1123" s="1"/>
      <c r="C1123" s="1"/>
      <c r="D1123" s="1"/>
      <c r="E1123" s="1"/>
      <c r="F1123" s="1"/>
      <c r="G1123" s="1"/>
      <c r="H1123" s="1"/>
      <c r="I1123" s="1"/>
      <c r="J1123" s="1"/>
      <c r="K1123" s="1"/>
      <c r="L1123" s="1"/>
      <c r="M1123" s="1"/>
      <c r="N1123" s="1"/>
    </row>
    <row r="1124" ht="14.5" spans="2:14">
      <c r="B1124" s="1"/>
      <c r="C1124" s="1"/>
      <c r="D1124" s="1"/>
      <c r="E1124" s="1"/>
      <c r="F1124" s="1"/>
      <c r="G1124" s="1"/>
      <c r="H1124" s="1"/>
      <c r="I1124" s="1"/>
      <c r="J1124" s="1"/>
      <c r="K1124" s="1"/>
      <c r="L1124" s="1"/>
      <c r="M1124" s="1"/>
      <c r="N1124" s="1"/>
    </row>
    <row r="1125" ht="14.5" spans="2:14">
      <c r="B1125" s="1"/>
      <c r="C1125" s="1"/>
      <c r="D1125" s="1"/>
      <c r="E1125" s="1"/>
      <c r="F1125" s="1"/>
      <c r="G1125" s="1"/>
      <c r="H1125" s="1"/>
      <c r="I1125" s="1"/>
      <c r="J1125" s="1"/>
      <c r="K1125" s="1"/>
      <c r="L1125" s="1"/>
      <c r="M1125" s="1"/>
      <c r="N1125" s="1"/>
    </row>
    <row r="1126" ht="14.5" spans="2:14">
      <c r="B1126" s="1"/>
      <c r="C1126" s="1"/>
      <c r="D1126" s="1"/>
      <c r="E1126" s="1"/>
      <c r="F1126" s="1"/>
      <c r="G1126" s="1"/>
      <c r="H1126" s="1"/>
      <c r="I1126" s="1"/>
      <c r="J1126" s="1"/>
      <c r="K1126" s="1"/>
      <c r="L1126" s="1"/>
      <c r="M1126" s="1"/>
      <c r="N1126" s="1"/>
    </row>
    <row r="1127" ht="14.5" spans="2:14">
      <c r="B1127" s="1"/>
      <c r="C1127" s="1"/>
      <c r="D1127" s="1"/>
      <c r="E1127" s="1"/>
      <c r="F1127" s="1"/>
      <c r="G1127" s="1"/>
      <c r="H1127" s="1"/>
      <c r="I1127" s="1"/>
      <c r="J1127" s="1"/>
      <c r="K1127" s="1"/>
      <c r="L1127" s="1"/>
      <c r="M1127" s="1"/>
      <c r="N1127" s="1"/>
    </row>
    <row r="1128" ht="14.5" spans="2:14">
      <c r="B1128" s="1"/>
      <c r="C1128" s="1"/>
      <c r="D1128" s="1"/>
      <c r="E1128" s="1"/>
      <c r="F1128" s="1"/>
      <c r="G1128" s="1"/>
      <c r="H1128" s="1"/>
      <c r="I1128" s="1"/>
      <c r="J1128" s="1"/>
      <c r="K1128" s="1"/>
      <c r="L1128" s="1"/>
      <c r="M1128" s="1"/>
      <c r="N1128" s="1"/>
    </row>
    <row r="1129" ht="14.5" spans="2:14">
      <c r="B1129" s="1"/>
      <c r="C1129" s="1"/>
      <c r="D1129" s="1"/>
      <c r="E1129" s="1"/>
      <c r="F1129" s="1"/>
      <c r="G1129" s="1"/>
      <c r="H1129" s="1"/>
      <c r="I1129" s="1"/>
      <c r="J1129" s="1"/>
      <c r="K1129" s="1"/>
      <c r="L1129" s="1"/>
      <c r="M1129" s="1"/>
      <c r="N1129" s="1"/>
    </row>
    <row r="1130" ht="14.5" spans="2:14">
      <c r="B1130" s="1"/>
      <c r="C1130" s="1"/>
      <c r="D1130" s="1"/>
      <c r="E1130" s="1"/>
      <c r="F1130" s="1"/>
      <c r="G1130" s="1"/>
      <c r="H1130" s="1"/>
      <c r="I1130" s="1"/>
      <c r="J1130" s="1"/>
      <c r="K1130" s="1"/>
      <c r="L1130" s="1"/>
      <c r="M1130" s="1"/>
      <c r="N1130" s="1"/>
    </row>
    <row r="1131" ht="14.5" spans="2:14">
      <c r="B1131" s="1"/>
      <c r="C1131" s="1"/>
      <c r="D1131" s="1"/>
      <c r="E1131" s="1"/>
      <c r="F1131" s="1"/>
      <c r="G1131" s="1"/>
      <c r="H1131" s="1"/>
      <c r="I1131" s="1"/>
      <c r="J1131" s="1"/>
      <c r="K1131" s="1"/>
      <c r="L1131" s="1"/>
      <c r="M1131" s="1"/>
      <c r="N1131" s="1"/>
    </row>
    <row r="1132" ht="14.5" spans="2:14">
      <c r="B1132" s="1"/>
      <c r="C1132" s="1"/>
      <c r="D1132" s="1"/>
      <c r="E1132" s="1"/>
      <c r="F1132" s="1"/>
      <c r="G1132" s="1"/>
      <c r="H1132" s="1"/>
      <c r="I1132" s="1"/>
      <c r="J1132" s="1"/>
      <c r="K1132" s="1"/>
      <c r="L1132" s="1"/>
      <c r="M1132" s="1"/>
      <c r="N1132" s="1"/>
    </row>
    <row r="1133" ht="14.5" spans="2:14">
      <c r="B1133" s="1"/>
      <c r="C1133" s="1"/>
      <c r="D1133" s="1"/>
      <c r="E1133" s="1"/>
      <c r="F1133" s="1"/>
      <c r="G1133" s="1"/>
      <c r="H1133" s="1"/>
      <c r="I1133" s="1"/>
      <c r="J1133" s="1"/>
      <c r="K1133" s="1"/>
      <c r="L1133" s="1"/>
      <c r="M1133" s="1"/>
      <c r="N1133" s="1"/>
    </row>
    <row r="1134" ht="14.5" spans="2:14">
      <c r="B1134" s="1"/>
      <c r="C1134" s="1"/>
      <c r="D1134" s="1"/>
      <c r="E1134" s="1"/>
      <c r="F1134" s="1"/>
      <c r="G1134" s="1"/>
      <c r="H1134" s="1"/>
      <c r="I1134" s="1"/>
      <c r="J1134" s="1"/>
      <c r="K1134" s="1"/>
      <c r="L1134" s="1"/>
      <c r="M1134" s="1"/>
      <c r="N1134" s="1"/>
    </row>
    <row r="1135" ht="14.5" spans="2:14">
      <c r="B1135" s="1"/>
      <c r="C1135" s="1"/>
      <c r="D1135" s="1"/>
      <c r="E1135" s="1"/>
      <c r="F1135" s="1"/>
      <c r="G1135" s="1"/>
      <c r="H1135" s="1"/>
      <c r="I1135" s="1"/>
      <c r="J1135" s="1"/>
      <c r="K1135" s="1"/>
      <c r="L1135" s="1"/>
      <c r="M1135" s="1"/>
      <c r="N1135" s="1"/>
    </row>
    <row r="1136" ht="14.5" spans="2:14">
      <c r="B1136" s="1"/>
      <c r="C1136" s="1"/>
      <c r="D1136" s="1"/>
      <c r="E1136" s="1"/>
      <c r="F1136" s="1"/>
      <c r="G1136" s="1"/>
      <c r="H1136" s="1"/>
      <c r="I1136" s="1"/>
      <c r="J1136" s="1"/>
      <c r="K1136" s="1"/>
      <c r="L1136" s="1"/>
      <c r="M1136" s="1"/>
      <c r="N1136" s="1"/>
    </row>
    <row r="1137" ht="14.5" spans="2:14">
      <c r="B1137" s="1"/>
      <c r="C1137" s="1"/>
      <c r="D1137" s="1"/>
      <c r="E1137" s="1"/>
      <c r="F1137" s="1"/>
      <c r="G1137" s="1"/>
      <c r="H1137" s="1"/>
      <c r="I1137" s="1"/>
      <c r="J1137" s="1"/>
      <c r="K1137" s="1"/>
      <c r="L1137" s="1"/>
      <c r="M1137" s="1"/>
      <c r="N1137" s="1"/>
    </row>
    <row r="1138" ht="14.5" spans="2:14">
      <c r="B1138" s="1"/>
      <c r="C1138" s="1"/>
      <c r="D1138" s="1"/>
      <c r="E1138" s="1"/>
      <c r="F1138" s="1"/>
      <c r="G1138" s="1"/>
      <c r="H1138" s="1"/>
      <c r="I1138" s="1"/>
      <c r="J1138" s="1"/>
      <c r="K1138" s="1"/>
      <c r="L1138" s="1"/>
      <c r="M1138" s="1"/>
      <c r="N1138" s="1"/>
    </row>
    <row r="1139" ht="14.5" spans="2:14">
      <c r="B1139" s="1"/>
      <c r="C1139" s="1"/>
      <c r="D1139" s="1"/>
      <c r="E1139" s="1"/>
      <c r="F1139" s="1"/>
      <c r="G1139" s="1"/>
      <c r="H1139" s="1"/>
      <c r="I1139" s="1"/>
      <c r="J1139" s="1"/>
      <c r="K1139" s="1"/>
      <c r="L1139" s="1"/>
      <c r="M1139" s="1"/>
      <c r="N1139" s="1"/>
    </row>
    <row r="1140" ht="14.5" spans="2:14">
      <c r="B1140" s="1"/>
      <c r="C1140" s="1"/>
      <c r="D1140" s="1"/>
      <c r="E1140" s="1"/>
      <c r="F1140" s="1"/>
      <c r="G1140" s="1"/>
      <c r="H1140" s="1"/>
      <c r="I1140" s="1"/>
      <c r="J1140" s="1"/>
      <c r="K1140" s="1"/>
      <c r="L1140" s="1"/>
      <c r="M1140" s="1"/>
      <c r="N1140" s="1"/>
    </row>
    <row r="1141" ht="14.5" spans="2:14">
      <c r="B1141" s="1"/>
      <c r="C1141" s="1"/>
      <c r="D1141" s="1"/>
      <c r="E1141" s="1"/>
      <c r="F1141" s="1"/>
      <c r="G1141" s="1"/>
      <c r="H1141" s="1"/>
      <c r="I1141" s="1"/>
      <c r="J1141" s="1"/>
      <c r="K1141" s="1"/>
      <c r="L1141" s="1"/>
      <c r="M1141" s="1"/>
      <c r="N1141" s="1"/>
    </row>
    <row r="1142" ht="14.5" spans="2:14">
      <c r="B1142" s="1"/>
      <c r="C1142" s="1"/>
      <c r="D1142" s="1"/>
      <c r="E1142" s="1"/>
      <c r="F1142" s="1"/>
      <c r="G1142" s="1"/>
      <c r="H1142" s="1"/>
      <c r="I1142" s="1"/>
      <c r="J1142" s="1"/>
      <c r="K1142" s="1"/>
      <c r="L1142" s="1"/>
      <c r="M1142" s="1"/>
      <c r="N1142" s="1"/>
    </row>
    <row r="1143" ht="14.5" spans="2:14">
      <c r="B1143" s="1"/>
      <c r="C1143" s="1"/>
      <c r="D1143" s="1"/>
      <c r="E1143" s="1"/>
      <c r="F1143" s="1"/>
      <c r="G1143" s="1"/>
      <c r="H1143" s="1"/>
      <c r="I1143" s="1"/>
      <c r="J1143" s="1"/>
      <c r="K1143" s="1"/>
      <c r="L1143" s="1"/>
      <c r="M1143" s="1"/>
      <c r="N1143" s="1"/>
    </row>
    <row r="1144" ht="14.5" spans="2:14">
      <c r="B1144" s="1"/>
      <c r="C1144" s="1"/>
      <c r="D1144" s="1"/>
      <c r="E1144" s="1"/>
      <c r="F1144" s="1"/>
      <c r="G1144" s="1"/>
      <c r="H1144" s="1"/>
      <c r="I1144" s="1"/>
      <c r="J1144" s="1"/>
      <c r="K1144" s="1"/>
      <c r="L1144" s="1"/>
      <c r="M1144" s="1"/>
      <c r="N1144" s="1"/>
    </row>
    <row r="1145" ht="14.5" spans="2:14">
      <c r="B1145" s="1"/>
      <c r="C1145" s="1"/>
      <c r="D1145" s="1"/>
      <c r="E1145" s="1"/>
      <c r="F1145" s="1"/>
      <c r="G1145" s="1"/>
      <c r="H1145" s="1"/>
      <c r="I1145" s="1"/>
      <c r="J1145" s="1"/>
      <c r="K1145" s="1"/>
      <c r="L1145" s="1"/>
      <c r="M1145" s="1"/>
      <c r="N1145" s="1"/>
    </row>
    <row r="1146" ht="14.5" spans="2:14">
      <c r="B1146" s="1"/>
      <c r="C1146" s="1"/>
      <c r="D1146" s="1"/>
      <c r="E1146" s="1"/>
      <c r="F1146" s="1"/>
      <c r="G1146" s="1"/>
      <c r="H1146" s="1"/>
      <c r="I1146" s="1"/>
      <c r="J1146" s="1"/>
      <c r="K1146" s="1"/>
      <c r="L1146" s="1"/>
      <c r="M1146" s="1"/>
      <c r="N1146" s="1"/>
    </row>
    <row r="1147" ht="14.5" spans="2:14">
      <c r="B1147" s="1"/>
      <c r="C1147" s="1"/>
      <c r="D1147" s="1"/>
      <c r="E1147" s="1"/>
      <c r="F1147" s="1"/>
      <c r="G1147" s="1"/>
      <c r="H1147" s="1"/>
      <c r="I1147" s="1"/>
      <c r="J1147" s="1"/>
      <c r="K1147" s="1"/>
      <c r="L1147" s="1"/>
      <c r="M1147" s="1"/>
      <c r="N1147" s="1"/>
    </row>
    <row r="1148" ht="14.5" spans="2:14">
      <c r="B1148" s="1"/>
      <c r="C1148" s="1"/>
      <c r="D1148" s="1"/>
      <c r="E1148" s="1"/>
      <c r="F1148" s="1"/>
      <c r="G1148" s="1"/>
      <c r="H1148" s="1"/>
      <c r="I1148" s="1"/>
      <c r="J1148" s="1"/>
      <c r="K1148" s="1"/>
      <c r="L1148" s="1"/>
      <c r="M1148" s="1"/>
      <c r="N1148" s="1"/>
    </row>
    <row r="1149" ht="14.5" spans="2:14">
      <c r="B1149" s="1"/>
      <c r="C1149" s="1"/>
      <c r="D1149" s="1"/>
      <c r="E1149" s="1"/>
      <c r="F1149" s="1"/>
      <c r="G1149" s="1"/>
      <c r="H1149" s="1"/>
      <c r="I1149" s="1"/>
      <c r="J1149" s="1"/>
      <c r="K1149" s="1"/>
      <c r="L1149" s="1"/>
      <c r="M1149" s="1"/>
      <c r="N1149" s="1"/>
    </row>
    <row r="1150" ht="14.5" spans="2:14">
      <c r="B1150" s="1"/>
      <c r="C1150" s="1"/>
      <c r="D1150" s="1"/>
      <c r="E1150" s="1"/>
      <c r="F1150" s="1"/>
      <c r="G1150" s="1"/>
      <c r="H1150" s="1"/>
      <c r="I1150" s="1"/>
      <c r="J1150" s="1"/>
      <c r="K1150" s="1"/>
      <c r="L1150" s="1"/>
      <c r="M1150" s="1"/>
      <c r="N1150" s="1"/>
    </row>
    <row r="1151" ht="14.5" spans="2:14">
      <c r="B1151" s="1"/>
      <c r="C1151" s="1"/>
      <c r="D1151" s="1"/>
      <c r="E1151" s="1"/>
      <c r="F1151" s="1"/>
      <c r="G1151" s="1"/>
      <c r="H1151" s="1"/>
      <c r="I1151" s="1"/>
      <c r="J1151" s="1"/>
      <c r="K1151" s="1"/>
      <c r="L1151" s="1"/>
      <c r="M1151" s="1"/>
      <c r="N1151" s="1"/>
    </row>
    <row r="1152" ht="14.5" spans="2:14">
      <c r="B1152" s="1"/>
      <c r="C1152" s="1"/>
      <c r="D1152" s="1"/>
      <c r="E1152" s="1"/>
      <c r="F1152" s="1"/>
      <c r="G1152" s="1"/>
      <c r="H1152" s="1"/>
      <c r="I1152" s="1"/>
      <c r="J1152" s="1"/>
      <c r="K1152" s="1"/>
      <c r="L1152" s="1"/>
      <c r="M1152" s="1"/>
      <c r="N1152" s="1"/>
    </row>
    <row r="1153" ht="14.5" spans="2:14">
      <c r="B1153" s="1"/>
      <c r="C1153" s="1"/>
      <c r="D1153" s="1"/>
      <c r="E1153" s="1"/>
      <c r="F1153" s="1"/>
      <c r="G1153" s="1"/>
      <c r="H1153" s="1"/>
      <c r="I1153" s="1"/>
      <c r="J1153" s="1"/>
      <c r="K1153" s="1"/>
      <c r="L1153" s="1"/>
      <c r="M1153" s="1"/>
      <c r="N1153" s="1"/>
    </row>
    <row r="1154" ht="14.5" spans="2:14">
      <c r="B1154" s="1"/>
      <c r="C1154" s="1"/>
      <c r="D1154" s="1"/>
      <c r="E1154" s="1"/>
      <c r="F1154" s="1"/>
      <c r="G1154" s="1"/>
      <c r="H1154" s="1"/>
      <c r="I1154" s="1"/>
      <c r="J1154" s="1"/>
      <c r="K1154" s="1"/>
      <c r="L1154" s="1"/>
      <c r="M1154" s="1"/>
      <c r="N1154" s="1"/>
    </row>
    <row r="1155" ht="14.5" spans="2:14">
      <c r="B1155" s="1"/>
      <c r="C1155" s="1"/>
      <c r="D1155" s="1"/>
      <c r="E1155" s="1"/>
      <c r="F1155" s="1"/>
      <c r="G1155" s="1"/>
      <c r="H1155" s="1"/>
      <c r="I1155" s="1"/>
      <c r="J1155" s="1"/>
      <c r="K1155" s="1"/>
      <c r="L1155" s="1"/>
      <c r="M1155" s="1"/>
      <c r="N1155" s="1"/>
    </row>
    <row r="1156" ht="14.5" spans="2:14">
      <c r="B1156" s="1"/>
      <c r="C1156" s="1"/>
      <c r="D1156" s="1"/>
      <c r="E1156" s="1"/>
      <c r="F1156" s="1"/>
      <c r="G1156" s="1"/>
      <c r="H1156" s="1"/>
      <c r="I1156" s="1"/>
      <c r="J1156" s="1"/>
      <c r="K1156" s="1"/>
      <c r="L1156" s="1"/>
      <c r="M1156" s="1"/>
      <c r="N1156" s="1"/>
    </row>
    <row r="1157" ht="14.5" spans="2:14">
      <c r="B1157" s="1"/>
      <c r="C1157" s="1"/>
      <c r="D1157" s="1"/>
      <c r="E1157" s="1"/>
      <c r="F1157" s="1"/>
      <c r="G1157" s="1"/>
      <c r="H1157" s="1"/>
      <c r="I1157" s="1"/>
      <c r="J1157" s="1"/>
      <c r="K1157" s="1"/>
      <c r="L1157" s="1"/>
      <c r="M1157" s="1"/>
      <c r="N1157" s="1"/>
    </row>
    <row r="1158" ht="14.5" spans="2:14">
      <c r="B1158" s="1"/>
      <c r="C1158" s="1"/>
      <c r="D1158" s="1"/>
      <c r="E1158" s="1"/>
      <c r="F1158" s="1"/>
      <c r="G1158" s="1"/>
      <c r="H1158" s="1"/>
      <c r="I1158" s="1"/>
      <c r="J1158" s="1"/>
      <c r="K1158" s="1"/>
      <c r="L1158" s="1"/>
      <c r="M1158" s="1"/>
      <c r="N1158" s="1"/>
    </row>
    <row r="1159" ht="14.5" spans="2:14">
      <c r="B1159" s="1"/>
      <c r="C1159" s="1"/>
      <c r="D1159" s="1"/>
      <c r="E1159" s="1"/>
      <c r="F1159" s="1"/>
      <c r="G1159" s="1"/>
      <c r="H1159" s="1"/>
      <c r="I1159" s="1"/>
      <c r="J1159" s="1"/>
      <c r="K1159" s="1"/>
      <c r="L1159" s="1"/>
      <c r="M1159" s="1"/>
      <c r="N1159" s="1"/>
    </row>
    <row r="1160" ht="14.5" spans="2:14">
      <c r="B1160" s="1"/>
      <c r="C1160" s="1"/>
      <c r="D1160" s="1"/>
      <c r="E1160" s="1"/>
      <c r="F1160" s="1"/>
      <c r="G1160" s="1"/>
      <c r="H1160" s="1"/>
      <c r="I1160" s="1"/>
      <c r="J1160" s="1"/>
      <c r="K1160" s="1"/>
      <c r="L1160" s="1"/>
      <c r="M1160" s="1"/>
      <c r="N1160" s="1"/>
    </row>
    <row r="1161" ht="14.5" spans="2:14">
      <c r="B1161" s="1"/>
      <c r="C1161" s="1"/>
      <c r="D1161" s="1"/>
      <c r="E1161" s="1"/>
      <c r="F1161" s="1"/>
      <c r="G1161" s="1"/>
      <c r="H1161" s="1"/>
      <c r="I1161" s="1"/>
      <c r="J1161" s="1"/>
      <c r="K1161" s="1"/>
      <c r="L1161" s="1"/>
      <c r="M1161" s="1"/>
      <c r="N1161" s="1"/>
    </row>
    <row r="1162" ht="14.5" spans="2:14">
      <c r="B1162" s="1"/>
      <c r="C1162" s="1"/>
      <c r="D1162" s="1"/>
      <c r="E1162" s="1"/>
      <c r="F1162" s="1"/>
      <c r="G1162" s="1"/>
      <c r="H1162" s="1"/>
      <c r="I1162" s="1"/>
      <c r="J1162" s="1"/>
      <c r="K1162" s="1"/>
      <c r="L1162" s="1"/>
      <c r="M1162" s="1"/>
      <c r="N1162" s="1"/>
    </row>
    <row r="1163" ht="14.5" spans="2:14">
      <c r="B1163" s="1"/>
      <c r="C1163" s="1"/>
      <c r="D1163" s="1"/>
      <c r="E1163" s="1"/>
      <c r="F1163" s="1"/>
      <c r="G1163" s="1"/>
      <c r="H1163" s="1"/>
      <c r="I1163" s="1"/>
      <c r="J1163" s="1"/>
      <c r="K1163" s="1"/>
      <c r="L1163" s="1"/>
      <c r="M1163" s="1"/>
      <c r="N1163" s="1"/>
    </row>
    <row r="1164" ht="14.5" spans="2:14">
      <c r="B1164" s="1"/>
      <c r="C1164" s="1"/>
      <c r="D1164" s="1"/>
      <c r="E1164" s="1"/>
      <c r="F1164" s="1"/>
      <c r="G1164" s="1"/>
      <c r="H1164" s="1"/>
      <c r="I1164" s="1"/>
      <c r="J1164" s="1"/>
      <c r="K1164" s="1"/>
      <c r="L1164" s="1"/>
      <c r="M1164" s="1"/>
      <c r="N1164" s="1"/>
    </row>
    <row r="1165" ht="14.5" spans="2:14">
      <c r="B1165" s="1"/>
      <c r="C1165" s="1"/>
      <c r="D1165" s="1"/>
      <c r="E1165" s="1"/>
      <c r="F1165" s="1"/>
      <c r="G1165" s="1"/>
      <c r="H1165" s="1"/>
      <c r="I1165" s="1"/>
      <c r="J1165" s="1"/>
      <c r="K1165" s="1"/>
      <c r="L1165" s="1"/>
      <c r="M1165" s="1"/>
      <c r="N1165" s="1"/>
    </row>
    <row r="1166" ht="14.5" spans="2:14">
      <c r="B1166" s="1"/>
      <c r="C1166" s="1"/>
      <c r="D1166" s="1"/>
      <c r="E1166" s="1"/>
      <c r="F1166" s="1"/>
      <c r="G1166" s="1"/>
      <c r="H1166" s="1"/>
      <c r="I1166" s="1"/>
      <c r="J1166" s="1"/>
      <c r="K1166" s="1"/>
      <c r="L1166" s="1"/>
      <c r="M1166" s="1"/>
      <c r="N1166" s="1"/>
    </row>
    <row r="1167" ht="14.5" spans="2:14">
      <c r="B1167" s="1"/>
      <c r="C1167" s="1"/>
      <c r="D1167" s="1"/>
      <c r="E1167" s="1"/>
      <c r="F1167" s="1"/>
      <c r="G1167" s="1"/>
      <c r="H1167" s="1"/>
      <c r="I1167" s="1"/>
      <c r="J1167" s="1"/>
      <c r="K1167" s="1"/>
      <c r="L1167" s="1"/>
      <c r="M1167" s="1"/>
      <c r="N1167" s="1"/>
    </row>
    <row r="1168" ht="14.5" spans="2:14">
      <c r="B1168" s="1"/>
      <c r="C1168" s="1"/>
      <c r="D1168" s="1"/>
      <c r="E1168" s="1"/>
      <c r="F1168" s="1"/>
      <c r="G1168" s="1"/>
      <c r="H1168" s="1"/>
      <c r="I1168" s="1"/>
      <c r="J1168" s="1"/>
      <c r="K1168" s="1"/>
      <c r="L1168" s="1"/>
      <c r="M1168" s="1"/>
      <c r="N1168" s="1"/>
    </row>
    <row r="1169" ht="14.5" spans="2:14">
      <c r="B1169" s="1"/>
      <c r="C1169" s="1"/>
      <c r="D1169" s="1"/>
      <c r="E1169" s="1"/>
      <c r="F1169" s="1"/>
      <c r="G1169" s="1"/>
      <c r="H1169" s="1"/>
      <c r="I1169" s="1"/>
      <c r="J1169" s="1"/>
      <c r="K1169" s="1"/>
      <c r="L1169" s="1"/>
      <c r="M1169" s="1"/>
      <c r="N1169" s="1"/>
    </row>
    <row r="1170" ht="14.5" spans="2:14">
      <c r="B1170" s="1"/>
      <c r="C1170" s="1"/>
      <c r="D1170" s="1"/>
      <c r="E1170" s="1"/>
      <c r="F1170" s="1"/>
      <c r="G1170" s="1"/>
      <c r="H1170" s="1"/>
      <c r="I1170" s="1"/>
      <c r="J1170" s="1"/>
      <c r="K1170" s="1"/>
      <c r="L1170" s="1"/>
      <c r="M1170" s="1"/>
      <c r="N1170" s="1"/>
    </row>
    <row r="1171" ht="14.5" spans="2:14">
      <c r="B1171" s="1"/>
      <c r="C1171" s="1"/>
      <c r="D1171" s="1"/>
      <c r="E1171" s="1"/>
      <c r="F1171" s="1"/>
      <c r="G1171" s="1"/>
      <c r="H1171" s="1"/>
      <c r="I1171" s="1"/>
      <c r="J1171" s="1"/>
      <c r="K1171" s="1"/>
      <c r="L1171" s="1"/>
      <c r="M1171" s="1"/>
      <c r="N1171" s="1"/>
    </row>
    <row r="1172" ht="14.5" spans="2:14">
      <c r="B1172" s="1"/>
      <c r="C1172" s="1"/>
      <c r="D1172" s="1"/>
      <c r="E1172" s="1"/>
      <c r="F1172" s="1"/>
      <c r="G1172" s="1"/>
      <c r="H1172" s="1"/>
      <c r="I1172" s="1"/>
      <c r="J1172" s="1"/>
      <c r="K1172" s="1"/>
      <c r="L1172" s="1"/>
      <c r="M1172" s="1"/>
      <c r="N1172" s="1"/>
    </row>
    <row r="1173" ht="14.5" spans="2:14">
      <c r="B1173" s="1"/>
      <c r="C1173" s="1"/>
      <c r="D1173" s="1"/>
      <c r="E1173" s="1"/>
      <c r="F1173" s="1"/>
      <c r="G1173" s="1"/>
      <c r="H1173" s="1"/>
      <c r="I1173" s="1"/>
      <c r="J1173" s="1"/>
      <c r="K1173" s="1"/>
      <c r="L1173" s="1"/>
      <c r="M1173" s="1"/>
      <c r="N1173" s="1"/>
    </row>
    <row r="1174" ht="14.5" spans="2:14">
      <c r="B1174" s="1"/>
      <c r="C1174" s="1"/>
      <c r="D1174" s="1"/>
      <c r="E1174" s="1"/>
      <c r="F1174" s="1"/>
      <c r="G1174" s="1"/>
      <c r="H1174" s="1"/>
      <c r="I1174" s="1"/>
      <c r="J1174" s="1"/>
      <c r="K1174" s="1"/>
      <c r="L1174" s="1"/>
      <c r="M1174" s="1"/>
      <c r="N1174" s="1"/>
    </row>
    <row r="1175" ht="14.5" spans="2:14">
      <c r="B1175" s="1"/>
      <c r="C1175" s="1"/>
      <c r="D1175" s="1"/>
      <c r="E1175" s="1"/>
      <c r="F1175" s="1"/>
      <c r="G1175" s="1"/>
      <c r="H1175" s="1"/>
      <c r="I1175" s="1"/>
      <c r="J1175" s="1"/>
      <c r="K1175" s="1"/>
      <c r="L1175" s="1"/>
      <c r="M1175" s="1"/>
      <c r="N1175" s="1"/>
    </row>
    <row r="1176" ht="14.5" spans="2:14">
      <c r="B1176" s="1"/>
      <c r="C1176" s="1"/>
      <c r="D1176" s="1"/>
      <c r="E1176" s="1"/>
      <c r="F1176" s="1"/>
      <c r="G1176" s="1"/>
      <c r="H1176" s="1"/>
      <c r="I1176" s="1"/>
      <c r="J1176" s="1"/>
      <c r="K1176" s="1"/>
      <c r="L1176" s="1"/>
      <c r="M1176" s="1"/>
      <c r="N1176" s="1"/>
    </row>
    <row r="1177" ht="14.5" spans="2:14">
      <c r="B1177" s="1"/>
      <c r="C1177" s="1"/>
      <c r="D1177" s="1"/>
      <c r="E1177" s="1"/>
      <c r="F1177" s="1"/>
      <c r="G1177" s="1"/>
      <c r="H1177" s="1"/>
      <c r="I1177" s="1"/>
      <c r="J1177" s="1"/>
      <c r="K1177" s="1"/>
      <c r="L1177" s="1"/>
      <c r="M1177" s="1"/>
      <c r="N1177" s="1"/>
    </row>
    <row r="1178" ht="14.5" spans="2:14">
      <c r="B1178" s="1"/>
      <c r="C1178" s="1"/>
      <c r="D1178" s="1"/>
      <c r="E1178" s="1"/>
      <c r="F1178" s="1"/>
      <c r="G1178" s="1"/>
      <c r="H1178" s="1"/>
      <c r="I1178" s="1"/>
      <c r="J1178" s="1"/>
      <c r="K1178" s="1"/>
      <c r="L1178" s="1"/>
      <c r="M1178" s="1"/>
      <c r="N1178" s="1"/>
    </row>
    <row r="1179" ht="14.5" spans="2:14">
      <c r="B1179" s="1"/>
      <c r="C1179" s="1"/>
      <c r="D1179" s="1"/>
      <c r="E1179" s="1"/>
      <c r="F1179" s="1"/>
      <c r="G1179" s="1"/>
      <c r="H1179" s="1"/>
      <c r="I1179" s="1"/>
      <c r="J1179" s="1"/>
      <c r="K1179" s="1"/>
      <c r="L1179" s="1"/>
      <c r="M1179" s="1"/>
      <c r="N1179" s="1"/>
    </row>
    <row r="1180" ht="14.5" spans="2:14">
      <c r="B1180" s="1"/>
      <c r="C1180" s="1"/>
      <c r="D1180" s="1"/>
      <c r="E1180" s="1"/>
      <c r="F1180" s="1"/>
      <c r="G1180" s="1"/>
      <c r="H1180" s="1"/>
      <c r="I1180" s="1"/>
      <c r="J1180" s="1"/>
      <c r="K1180" s="1"/>
      <c r="L1180" s="1"/>
      <c r="M1180" s="1"/>
      <c r="N1180" s="1"/>
    </row>
    <row r="1181" ht="14.5" spans="2:14">
      <c r="B1181" s="1"/>
      <c r="C1181" s="1"/>
      <c r="D1181" s="1"/>
      <c r="E1181" s="1"/>
      <c r="F1181" s="1"/>
      <c r="G1181" s="1"/>
      <c r="H1181" s="1"/>
      <c r="I1181" s="1"/>
      <c r="J1181" s="1"/>
      <c r="K1181" s="1"/>
      <c r="L1181" s="1"/>
      <c r="M1181" s="1"/>
      <c r="N1181" s="1"/>
    </row>
    <row r="1182" ht="14.5" spans="2:14">
      <c r="B1182" s="1"/>
      <c r="C1182" s="1"/>
      <c r="D1182" s="1"/>
      <c r="E1182" s="1"/>
      <c r="F1182" s="1"/>
      <c r="G1182" s="1"/>
      <c r="H1182" s="1"/>
      <c r="I1182" s="1"/>
      <c r="J1182" s="1"/>
      <c r="K1182" s="1"/>
      <c r="L1182" s="1"/>
      <c r="M1182" s="1"/>
      <c r="N1182" s="1"/>
    </row>
    <row r="1183" ht="14.5" spans="2:14">
      <c r="B1183" s="1"/>
      <c r="C1183" s="1"/>
      <c r="D1183" s="1"/>
      <c r="E1183" s="1"/>
      <c r="F1183" s="1"/>
      <c r="G1183" s="1"/>
      <c r="H1183" s="1"/>
      <c r="I1183" s="1"/>
      <c r="J1183" s="1"/>
      <c r="K1183" s="1"/>
      <c r="L1183" s="1"/>
      <c r="M1183" s="1"/>
      <c r="N1183" s="1"/>
    </row>
    <row r="1184" ht="14.5" spans="2:14">
      <c r="B1184" s="1"/>
      <c r="C1184" s="1"/>
      <c r="D1184" s="1"/>
      <c r="E1184" s="1"/>
      <c r="F1184" s="1"/>
      <c r="G1184" s="1"/>
      <c r="H1184" s="1"/>
      <c r="I1184" s="1"/>
      <c r="J1184" s="1"/>
      <c r="K1184" s="1"/>
      <c r="L1184" s="1"/>
      <c r="M1184" s="1"/>
      <c r="N1184" s="1"/>
    </row>
    <row r="1185" ht="14.5" spans="2:14">
      <c r="B1185" s="1"/>
      <c r="C1185" s="1"/>
      <c r="D1185" s="1"/>
      <c r="E1185" s="1"/>
      <c r="F1185" s="1"/>
      <c r="G1185" s="1"/>
      <c r="H1185" s="1"/>
      <c r="I1185" s="1"/>
      <c r="J1185" s="1"/>
      <c r="K1185" s="1"/>
      <c r="L1185" s="1"/>
      <c r="M1185" s="1"/>
      <c r="N1185" s="1"/>
    </row>
    <row r="1186" ht="14.5" spans="2:14">
      <c r="B1186" s="1"/>
      <c r="C1186" s="1"/>
      <c r="D1186" s="1"/>
      <c r="E1186" s="1"/>
      <c r="F1186" s="1"/>
      <c r="G1186" s="1"/>
      <c r="H1186" s="1"/>
      <c r="I1186" s="1"/>
      <c r="J1186" s="1"/>
      <c r="K1186" s="1"/>
      <c r="L1186" s="1"/>
      <c r="M1186" s="1"/>
      <c r="N1186" s="1"/>
    </row>
    <row r="1187" ht="14.5" spans="2:14">
      <c r="B1187" s="1"/>
      <c r="C1187" s="1"/>
      <c r="D1187" s="1"/>
      <c r="E1187" s="1"/>
      <c r="F1187" s="1"/>
      <c r="G1187" s="1"/>
      <c r="H1187" s="1"/>
      <c r="I1187" s="1"/>
      <c r="J1187" s="1"/>
      <c r="K1187" s="1"/>
      <c r="L1187" s="1"/>
      <c r="M1187" s="1"/>
      <c r="N1187" s="1"/>
    </row>
    <row r="1188" ht="14.5" spans="2:14">
      <c r="B1188" s="1"/>
      <c r="C1188" s="1"/>
      <c r="D1188" s="1"/>
      <c r="E1188" s="1"/>
      <c r="F1188" s="1"/>
      <c r="G1188" s="1"/>
      <c r="H1188" s="1"/>
      <c r="I1188" s="1"/>
      <c r="J1188" s="1"/>
      <c r="K1188" s="1"/>
      <c r="L1188" s="1"/>
      <c r="M1188" s="1"/>
      <c r="N1188" s="1"/>
    </row>
    <row r="1189" ht="14.5" spans="2:14">
      <c r="B1189" s="1"/>
      <c r="C1189" s="1"/>
      <c r="D1189" s="1"/>
      <c r="E1189" s="1"/>
      <c r="F1189" s="1"/>
      <c r="G1189" s="1"/>
      <c r="H1189" s="1"/>
      <c r="I1189" s="1"/>
      <c r="J1189" s="1"/>
      <c r="K1189" s="1"/>
      <c r="L1189" s="1"/>
      <c r="M1189" s="1"/>
      <c r="N1189" s="1"/>
    </row>
    <row r="1190" ht="14.5" spans="2:14">
      <c r="B1190" s="1"/>
      <c r="C1190" s="1"/>
      <c r="D1190" s="1"/>
      <c r="E1190" s="1"/>
      <c r="F1190" s="1"/>
      <c r="G1190" s="1"/>
      <c r="H1190" s="1"/>
      <c r="I1190" s="1"/>
      <c r="J1190" s="1"/>
      <c r="K1190" s="1"/>
      <c r="L1190" s="1"/>
      <c r="M1190" s="1"/>
      <c r="N1190" s="1"/>
    </row>
    <row r="1191" ht="14.5" spans="2:14">
      <c r="B1191" s="1"/>
      <c r="C1191" s="1"/>
      <c r="D1191" s="1"/>
      <c r="E1191" s="1"/>
      <c r="F1191" s="1"/>
      <c r="G1191" s="1"/>
      <c r="H1191" s="1"/>
      <c r="I1191" s="1"/>
      <c r="J1191" s="1"/>
      <c r="K1191" s="1"/>
      <c r="L1191" s="1"/>
      <c r="M1191" s="1"/>
      <c r="N1191" s="1"/>
    </row>
    <row r="1192" ht="14.5" spans="2:14">
      <c r="B1192" s="1"/>
      <c r="C1192" s="1"/>
      <c r="D1192" s="1"/>
      <c r="E1192" s="1"/>
      <c r="F1192" s="1"/>
      <c r="G1192" s="1"/>
      <c r="H1192" s="1"/>
      <c r="I1192" s="1"/>
      <c r="J1192" s="1"/>
      <c r="K1192" s="1"/>
      <c r="L1192" s="1"/>
      <c r="M1192" s="1"/>
      <c r="N1192" s="1"/>
    </row>
    <row r="1193" ht="14.5" spans="2:14">
      <c r="B1193" s="1"/>
      <c r="C1193" s="1"/>
      <c r="D1193" s="1"/>
      <c r="E1193" s="1"/>
      <c r="F1193" s="1"/>
      <c r="G1193" s="1"/>
      <c r="H1193" s="1"/>
      <c r="I1193" s="1"/>
      <c r="J1193" s="1"/>
      <c r="K1193" s="1"/>
      <c r="L1193" s="1"/>
      <c r="M1193" s="1"/>
      <c r="N1193" s="1"/>
    </row>
    <row r="1194" ht="14.5" spans="2:14">
      <c r="B1194" s="1"/>
      <c r="C1194" s="1"/>
      <c r="D1194" s="1"/>
      <c r="E1194" s="1"/>
      <c r="F1194" s="1"/>
      <c r="G1194" s="1"/>
      <c r="H1194" s="1"/>
      <c r="I1194" s="1"/>
      <c r="J1194" s="1"/>
      <c r="K1194" s="1"/>
      <c r="L1194" s="1"/>
      <c r="M1194" s="1"/>
      <c r="N1194" s="1"/>
    </row>
    <row r="1195" ht="14.5" spans="2:14">
      <c r="B1195" s="1"/>
      <c r="C1195" s="1"/>
      <c r="D1195" s="1"/>
      <c r="E1195" s="1"/>
      <c r="F1195" s="1"/>
      <c r="G1195" s="1"/>
      <c r="H1195" s="1"/>
      <c r="I1195" s="1"/>
      <c r="J1195" s="1"/>
      <c r="K1195" s="1"/>
      <c r="L1195" s="1"/>
      <c r="M1195" s="1"/>
      <c r="N1195" s="1"/>
    </row>
    <row r="1196" ht="14.5" spans="2:14">
      <c r="B1196" s="1"/>
      <c r="C1196" s="1"/>
      <c r="D1196" s="1"/>
      <c r="E1196" s="1"/>
      <c r="F1196" s="1"/>
      <c r="G1196" s="1"/>
      <c r="H1196" s="1"/>
      <c r="I1196" s="1"/>
      <c r="J1196" s="1"/>
      <c r="K1196" s="1"/>
      <c r="L1196" s="1"/>
      <c r="M1196" s="1"/>
      <c r="N1196" s="1"/>
    </row>
    <row r="1197" ht="14.5" spans="2:14">
      <c r="B1197" s="1"/>
      <c r="C1197" s="1"/>
      <c r="D1197" s="1"/>
      <c r="E1197" s="1"/>
      <c r="F1197" s="1"/>
      <c r="G1197" s="1"/>
      <c r="H1197" s="1"/>
      <c r="I1197" s="1"/>
      <c r="J1197" s="1"/>
      <c r="K1197" s="1"/>
      <c r="L1197" s="1"/>
      <c r="M1197" s="1"/>
      <c r="N1197" s="1"/>
    </row>
    <row r="1198" ht="14.5" spans="2:14">
      <c r="B1198" s="1"/>
      <c r="C1198" s="1"/>
      <c r="D1198" s="1"/>
      <c r="E1198" s="1"/>
      <c r="F1198" s="1"/>
      <c r="G1198" s="1"/>
      <c r="H1198" s="1"/>
      <c r="I1198" s="1"/>
      <c r="J1198" s="1"/>
      <c r="K1198" s="1"/>
      <c r="L1198" s="1"/>
      <c r="M1198" s="1"/>
      <c r="N1198" s="1"/>
    </row>
    <row r="1199" ht="14.5" spans="2:14">
      <c r="B1199" s="1"/>
      <c r="C1199" s="1"/>
      <c r="D1199" s="1"/>
      <c r="E1199" s="1"/>
      <c r="F1199" s="1"/>
      <c r="G1199" s="1"/>
      <c r="H1199" s="1"/>
      <c r="I1199" s="1"/>
      <c r="J1199" s="1"/>
      <c r="K1199" s="1"/>
      <c r="L1199" s="1"/>
      <c r="M1199" s="1"/>
      <c r="N1199" s="1"/>
    </row>
    <row r="1200" ht="14.5" spans="2:14">
      <c r="B1200" s="1"/>
      <c r="C1200" s="1"/>
      <c r="D1200" s="1"/>
      <c r="E1200" s="1"/>
      <c r="F1200" s="1"/>
      <c r="G1200" s="1"/>
      <c r="H1200" s="1"/>
      <c r="I1200" s="1"/>
      <c r="J1200" s="1"/>
      <c r="K1200" s="1"/>
      <c r="L1200" s="1"/>
      <c r="M1200" s="1"/>
      <c r="N1200" s="1"/>
    </row>
    <row r="1201" ht="14.5" spans="2:14">
      <c r="B1201" s="1"/>
      <c r="C1201" s="1"/>
      <c r="D1201" s="1"/>
      <c r="E1201" s="1"/>
      <c r="F1201" s="1"/>
      <c r="G1201" s="1"/>
      <c r="H1201" s="1"/>
      <c r="I1201" s="1"/>
      <c r="J1201" s="1"/>
      <c r="K1201" s="1"/>
      <c r="L1201" s="1"/>
      <c r="M1201" s="1"/>
      <c r="N1201" s="1"/>
    </row>
    <row r="1202" ht="14.5" spans="2:14">
      <c r="B1202" s="1"/>
      <c r="C1202" s="1"/>
      <c r="D1202" s="1"/>
      <c r="E1202" s="1"/>
      <c r="F1202" s="1"/>
      <c r="G1202" s="1"/>
      <c r="H1202" s="1"/>
      <c r="I1202" s="1"/>
      <c r="J1202" s="1"/>
      <c r="K1202" s="1"/>
      <c r="L1202" s="1"/>
      <c r="M1202" s="1"/>
      <c r="N1202" s="1"/>
    </row>
    <row r="1203" ht="14.5" spans="2:14">
      <c r="B1203" s="1"/>
      <c r="C1203" s="1"/>
      <c r="D1203" s="1"/>
      <c r="E1203" s="1"/>
      <c r="F1203" s="1"/>
      <c r="G1203" s="1"/>
      <c r="H1203" s="1"/>
      <c r="I1203" s="1"/>
      <c r="J1203" s="1"/>
      <c r="K1203" s="1"/>
      <c r="L1203" s="1"/>
      <c r="M1203" s="1"/>
      <c r="N1203" s="1"/>
    </row>
    <row r="1204" ht="14.5" spans="2:14">
      <c r="B1204" s="1"/>
      <c r="C1204" s="1"/>
      <c r="D1204" s="1"/>
      <c r="E1204" s="1"/>
      <c r="F1204" s="1"/>
      <c r="G1204" s="1"/>
      <c r="H1204" s="1"/>
      <c r="I1204" s="1"/>
      <c r="J1204" s="1"/>
      <c r="K1204" s="1"/>
      <c r="L1204" s="1"/>
      <c r="M1204" s="1"/>
      <c r="N1204" s="1"/>
    </row>
    <row r="1205" ht="14.5" spans="2:14">
      <c r="B1205" s="1"/>
      <c r="C1205" s="1"/>
      <c r="D1205" s="1"/>
      <c r="E1205" s="1"/>
      <c r="F1205" s="1"/>
      <c r="G1205" s="1"/>
      <c r="H1205" s="1"/>
      <c r="I1205" s="1"/>
      <c r="J1205" s="1"/>
      <c r="K1205" s="1"/>
      <c r="L1205" s="1"/>
      <c r="M1205" s="1"/>
      <c r="N1205" s="1"/>
    </row>
    <row r="1206" ht="14.5" spans="2:14">
      <c r="B1206" s="1"/>
      <c r="C1206" s="1"/>
      <c r="D1206" s="1"/>
      <c r="E1206" s="1"/>
      <c r="F1206" s="1"/>
      <c r="G1206" s="1"/>
      <c r="H1206" s="1"/>
      <c r="I1206" s="1"/>
      <c r="J1206" s="1"/>
      <c r="K1206" s="1"/>
      <c r="L1206" s="1"/>
      <c r="M1206" s="1"/>
      <c r="N1206" s="1"/>
    </row>
    <row r="1207" ht="14.5" spans="2:14">
      <c r="B1207" s="1"/>
      <c r="C1207" s="1"/>
      <c r="D1207" s="1"/>
      <c r="E1207" s="1"/>
      <c r="F1207" s="1"/>
      <c r="G1207" s="1"/>
      <c r="H1207" s="1"/>
      <c r="I1207" s="1"/>
      <c r="J1207" s="1"/>
      <c r="K1207" s="1"/>
      <c r="L1207" s="1"/>
      <c r="M1207" s="1"/>
      <c r="N1207" s="1"/>
    </row>
    <row r="1208" ht="14.5" spans="2:14">
      <c r="B1208" s="1"/>
      <c r="C1208" s="1"/>
      <c r="D1208" s="1"/>
      <c r="E1208" s="1"/>
      <c r="F1208" s="1"/>
      <c r="G1208" s="1"/>
      <c r="H1208" s="1"/>
      <c r="I1208" s="1"/>
      <c r="J1208" s="1"/>
      <c r="K1208" s="1"/>
      <c r="L1208" s="1"/>
      <c r="M1208" s="1"/>
      <c r="N1208" s="1"/>
    </row>
    <row r="1209" ht="14.5" spans="2:14">
      <c r="B1209" s="1"/>
      <c r="C1209" s="1"/>
      <c r="D1209" s="1"/>
      <c r="E1209" s="1"/>
      <c r="F1209" s="1"/>
      <c r="G1209" s="1"/>
      <c r="H1209" s="1"/>
      <c r="I1209" s="1"/>
      <c r="J1209" s="1"/>
      <c r="K1209" s="1"/>
      <c r="L1209" s="1"/>
      <c r="M1209" s="1"/>
      <c r="N1209" s="1"/>
    </row>
    <row r="1210" ht="14.5" spans="2:14">
      <c r="B1210" s="1"/>
      <c r="C1210" s="1"/>
      <c r="D1210" s="1"/>
      <c r="E1210" s="1"/>
      <c r="F1210" s="1"/>
      <c r="G1210" s="1"/>
      <c r="H1210" s="1"/>
      <c r="I1210" s="1"/>
      <c r="J1210" s="1"/>
      <c r="K1210" s="1"/>
      <c r="L1210" s="1"/>
      <c r="M1210" s="1"/>
      <c r="N1210" s="1"/>
    </row>
    <row r="1211" ht="14.5" spans="2:14">
      <c r="B1211" s="1"/>
      <c r="C1211" s="1"/>
      <c r="D1211" s="1"/>
      <c r="E1211" s="1"/>
      <c r="F1211" s="1"/>
      <c r="G1211" s="1"/>
      <c r="H1211" s="1"/>
      <c r="I1211" s="1"/>
      <c r="J1211" s="1"/>
      <c r="K1211" s="1"/>
      <c r="L1211" s="1"/>
      <c r="M1211" s="1"/>
      <c r="N1211" s="1"/>
    </row>
    <row r="1212" ht="14.5" spans="2:14">
      <c r="B1212" s="1"/>
      <c r="C1212" s="1"/>
      <c r="D1212" s="1"/>
      <c r="E1212" s="1"/>
      <c r="F1212" s="1"/>
      <c r="G1212" s="1"/>
      <c r="H1212" s="1"/>
      <c r="I1212" s="1"/>
      <c r="J1212" s="1"/>
      <c r="K1212" s="1"/>
      <c r="L1212" s="1"/>
      <c r="M1212" s="1"/>
      <c r="N1212" s="1"/>
    </row>
    <row r="1213" ht="14.5" spans="2:14">
      <c r="B1213" s="1"/>
      <c r="C1213" s="1"/>
      <c r="D1213" s="1"/>
      <c r="E1213" s="1"/>
      <c r="F1213" s="1"/>
      <c r="G1213" s="1"/>
      <c r="H1213" s="1"/>
      <c r="I1213" s="1"/>
      <c r="J1213" s="1"/>
      <c r="K1213" s="1"/>
      <c r="L1213" s="1"/>
      <c r="M1213" s="1"/>
      <c r="N1213" s="1"/>
    </row>
    <row r="1214" ht="14.5" spans="2:14">
      <c r="B1214" s="1"/>
      <c r="C1214" s="1"/>
      <c r="D1214" s="1"/>
      <c r="E1214" s="1"/>
      <c r="F1214" s="1"/>
      <c r="G1214" s="1"/>
      <c r="H1214" s="1"/>
      <c r="I1214" s="1"/>
      <c r="J1214" s="1"/>
      <c r="K1214" s="1"/>
      <c r="L1214" s="1"/>
      <c r="M1214" s="1"/>
      <c r="N1214" s="1"/>
    </row>
    <row r="1215" ht="14.5" spans="2:14">
      <c r="B1215" s="1"/>
      <c r="C1215" s="1"/>
      <c r="D1215" s="1"/>
      <c r="E1215" s="1"/>
      <c r="F1215" s="1"/>
      <c r="G1215" s="1"/>
      <c r="H1215" s="1"/>
      <c r="I1215" s="1"/>
      <c r="J1215" s="1"/>
      <c r="K1215" s="1"/>
      <c r="L1215" s="1"/>
      <c r="M1215" s="1"/>
      <c r="N1215" s="1"/>
    </row>
    <row r="1216" ht="14.5" spans="2:14">
      <c r="B1216" s="1"/>
      <c r="C1216" s="1"/>
      <c r="D1216" s="1"/>
      <c r="E1216" s="1"/>
      <c r="F1216" s="1"/>
      <c r="G1216" s="1"/>
      <c r="H1216" s="1"/>
      <c r="I1216" s="1"/>
      <c r="J1216" s="1"/>
      <c r="K1216" s="1"/>
      <c r="L1216" s="1"/>
      <c r="M1216" s="1"/>
      <c r="N1216" s="1"/>
    </row>
    <row r="1217" ht="14.5" spans="2:14">
      <c r="B1217" s="1"/>
      <c r="C1217" s="1"/>
      <c r="D1217" s="1"/>
      <c r="E1217" s="1"/>
      <c r="F1217" s="1"/>
      <c r="G1217" s="1"/>
      <c r="H1217" s="1"/>
      <c r="I1217" s="1"/>
      <c r="J1217" s="1"/>
      <c r="K1217" s="1"/>
      <c r="L1217" s="1"/>
      <c r="M1217" s="1"/>
      <c r="N1217" s="1"/>
    </row>
    <row r="1218" ht="14.5" spans="2:14">
      <c r="B1218" s="1"/>
      <c r="C1218" s="1"/>
      <c r="D1218" s="1"/>
      <c r="E1218" s="1"/>
      <c r="F1218" s="1"/>
      <c r="G1218" s="1"/>
      <c r="H1218" s="1"/>
      <c r="I1218" s="1"/>
      <c r="J1218" s="1"/>
      <c r="K1218" s="1"/>
      <c r="L1218" s="1"/>
      <c r="M1218" s="1"/>
      <c r="N1218" s="1"/>
    </row>
    <row r="1219" ht="14.5" spans="2:14">
      <c r="B1219" s="1"/>
      <c r="C1219" s="1"/>
      <c r="D1219" s="1"/>
      <c r="E1219" s="1"/>
      <c r="F1219" s="1"/>
      <c r="G1219" s="1"/>
      <c r="H1219" s="1"/>
      <c r="I1219" s="1"/>
      <c r="J1219" s="1"/>
      <c r="K1219" s="1"/>
      <c r="L1219" s="1"/>
      <c r="M1219" s="1"/>
      <c r="N1219" s="1"/>
    </row>
    <row r="1220" ht="14.5" spans="2:14">
      <c r="B1220" s="1"/>
      <c r="C1220" s="1"/>
      <c r="D1220" s="1"/>
      <c r="E1220" s="1"/>
      <c r="F1220" s="1"/>
      <c r="G1220" s="1"/>
      <c r="H1220" s="1"/>
      <c r="I1220" s="1"/>
      <c r="J1220" s="1"/>
      <c r="K1220" s="1"/>
      <c r="L1220" s="1"/>
      <c r="M1220" s="1"/>
      <c r="N1220" s="1"/>
    </row>
    <row r="1221" ht="14.5" spans="2:14">
      <c r="B1221" s="1"/>
      <c r="C1221" s="1"/>
      <c r="D1221" s="1"/>
      <c r="E1221" s="1"/>
      <c r="F1221" s="1"/>
      <c r="G1221" s="1"/>
      <c r="H1221" s="1"/>
      <c r="I1221" s="1"/>
      <c r="J1221" s="1"/>
      <c r="K1221" s="1"/>
      <c r="L1221" s="1"/>
      <c r="M1221" s="1"/>
      <c r="N1221" s="1"/>
    </row>
    <row r="1222" ht="14.5" spans="2:14">
      <c r="B1222" s="1"/>
      <c r="C1222" s="1"/>
      <c r="D1222" s="1"/>
      <c r="E1222" s="1"/>
      <c r="F1222" s="1"/>
      <c r="G1222" s="1"/>
      <c r="H1222" s="1"/>
      <c r="I1222" s="1"/>
      <c r="J1222" s="1"/>
      <c r="K1222" s="1"/>
      <c r="L1222" s="1"/>
      <c r="M1222" s="1"/>
      <c r="N1222" s="1"/>
    </row>
    <row r="1223" ht="14.5" spans="2:14">
      <c r="B1223" s="1"/>
      <c r="C1223" s="1"/>
      <c r="D1223" s="1"/>
      <c r="E1223" s="1"/>
      <c r="F1223" s="1"/>
      <c r="G1223" s="1"/>
      <c r="H1223" s="1"/>
      <c r="I1223" s="1"/>
      <c r="J1223" s="1"/>
      <c r="K1223" s="1"/>
      <c r="L1223" s="1"/>
      <c r="M1223" s="1"/>
      <c r="N1223" s="1"/>
    </row>
    <row r="1224" ht="14.5" spans="2:14">
      <c r="B1224" s="1"/>
      <c r="C1224" s="1"/>
      <c r="D1224" s="1"/>
      <c r="E1224" s="1"/>
      <c r="F1224" s="1"/>
      <c r="G1224" s="1"/>
      <c r="H1224" s="1"/>
      <c r="I1224" s="1"/>
      <c r="J1224" s="1"/>
      <c r="K1224" s="1"/>
      <c r="L1224" s="1"/>
      <c r="M1224" s="1"/>
      <c r="N1224" s="1"/>
    </row>
    <row r="1225" ht="14.5" spans="2:14">
      <c r="B1225" s="1"/>
      <c r="C1225" s="1"/>
      <c r="D1225" s="1"/>
      <c r="E1225" s="1"/>
      <c r="F1225" s="1"/>
      <c r="G1225" s="1"/>
      <c r="H1225" s="1"/>
      <c r="I1225" s="1"/>
      <c r="J1225" s="1"/>
      <c r="K1225" s="1"/>
      <c r="L1225" s="1"/>
      <c r="M1225" s="1"/>
      <c r="N1225" s="1"/>
    </row>
    <row r="1226" ht="14.5" spans="2:14">
      <c r="B1226" s="1"/>
      <c r="C1226" s="1"/>
      <c r="D1226" s="1"/>
      <c r="E1226" s="1"/>
      <c r="F1226" s="1"/>
      <c r="G1226" s="1"/>
      <c r="H1226" s="1"/>
      <c r="I1226" s="1"/>
      <c r="J1226" s="1"/>
      <c r="K1226" s="1"/>
      <c r="L1226" s="1"/>
      <c r="M1226" s="1"/>
      <c r="N1226" s="1"/>
    </row>
    <row r="1227" ht="14.5" spans="2:14">
      <c r="B1227" s="1"/>
      <c r="C1227" s="1"/>
      <c r="D1227" s="1"/>
      <c r="E1227" s="1"/>
      <c r="F1227" s="1"/>
      <c r="G1227" s="1"/>
      <c r="H1227" s="1"/>
      <c r="I1227" s="1"/>
      <c r="J1227" s="1"/>
      <c r="K1227" s="1"/>
      <c r="L1227" s="1"/>
      <c r="M1227" s="1"/>
      <c r="N1227" s="1"/>
    </row>
    <row r="1228" ht="14.5" spans="2:14">
      <c r="B1228" s="1"/>
      <c r="C1228" s="1"/>
      <c r="D1228" s="1"/>
      <c r="E1228" s="1"/>
      <c r="F1228" s="1"/>
      <c r="G1228" s="1"/>
      <c r="H1228" s="1"/>
      <c r="I1228" s="1"/>
      <c r="J1228" s="1"/>
      <c r="K1228" s="1"/>
      <c r="L1228" s="1"/>
      <c r="M1228" s="1"/>
      <c r="N1228" s="1"/>
    </row>
    <row r="1229" ht="14.5" spans="2:14">
      <c r="B1229" s="1"/>
      <c r="C1229" s="1"/>
      <c r="D1229" s="1"/>
      <c r="E1229" s="1"/>
      <c r="F1229" s="1"/>
      <c r="G1229" s="1"/>
      <c r="H1229" s="1"/>
      <c r="I1229" s="1"/>
      <c r="J1229" s="1"/>
      <c r="K1229" s="1"/>
      <c r="L1229" s="1"/>
      <c r="M1229" s="1"/>
      <c r="N1229" s="1"/>
    </row>
    <row r="1230" ht="14.5" spans="2:14">
      <c r="B1230" s="1"/>
      <c r="C1230" s="1"/>
      <c r="D1230" s="1"/>
      <c r="E1230" s="1"/>
      <c r="F1230" s="1"/>
      <c r="G1230" s="1"/>
      <c r="H1230" s="1"/>
      <c r="I1230" s="1"/>
      <c r="J1230" s="1"/>
      <c r="K1230" s="1"/>
      <c r="L1230" s="1"/>
      <c r="M1230" s="1"/>
      <c r="N1230" s="1"/>
    </row>
    <row r="1231" ht="14.5" spans="2:14">
      <c r="B1231" s="1"/>
      <c r="C1231" s="1"/>
      <c r="D1231" s="1"/>
      <c r="E1231" s="1"/>
      <c r="F1231" s="1"/>
      <c r="G1231" s="1"/>
      <c r="H1231" s="1"/>
      <c r="I1231" s="1"/>
      <c r="J1231" s="1"/>
      <c r="K1231" s="1"/>
      <c r="L1231" s="1"/>
      <c r="M1231" s="1"/>
      <c r="N1231" s="1"/>
    </row>
    <row r="1232" ht="14.5" spans="2:14">
      <c r="B1232" s="1"/>
      <c r="C1232" s="1"/>
      <c r="D1232" s="1"/>
      <c r="E1232" s="1"/>
      <c r="F1232" s="1"/>
      <c r="G1232" s="1"/>
      <c r="H1232" s="1"/>
      <c r="I1232" s="1"/>
      <c r="J1232" s="1"/>
      <c r="K1232" s="1"/>
      <c r="L1232" s="1"/>
      <c r="M1232" s="1"/>
      <c r="N1232" s="1"/>
    </row>
    <row r="1233" ht="14.5" spans="2:14">
      <c r="B1233" s="1"/>
      <c r="C1233" s="1"/>
      <c r="D1233" s="1"/>
      <c r="E1233" s="1"/>
      <c r="F1233" s="1"/>
      <c r="G1233" s="1"/>
      <c r="H1233" s="1"/>
      <c r="I1233" s="1"/>
      <c r="J1233" s="1"/>
      <c r="K1233" s="1"/>
      <c r="L1233" s="1"/>
      <c r="M1233" s="1"/>
      <c r="N1233" s="1"/>
    </row>
    <row r="1234" ht="14.5" spans="2:14">
      <c r="B1234" s="1"/>
      <c r="C1234" s="1"/>
      <c r="D1234" s="1"/>
      <c r="E1234" s="1"/>
      <c r="F1234" s="1"/>
      <c r="G1234" s="1"/>
      <c r="H1234" s="1"/>
      <c r="I1234" s="1"/>
      <c r="J1234" s="1"/>
      <c r="K1234" s="1"/>
      <c r="L1234" s="1"/>
      <c r="M1234" s="1"/>
      <c r="N1234" s="1"/>
    </row>
    <row r="1235" ht="14.5" spans="2:14">
      <c r="B1235" s="1"/>
      <c r="C1235" s="1"/>
      <c r="D1235" s="1"/>
      <c r="E1235" s="1"/>
      <c r="F1235" s="1"/>
      <c r="G1235" s="1"/>
      <c r="H1235" s="1"/>
      <c r="I1235" s="1"/>
      <c r="J1235" s="1"/>
      <c r="K1235" s="1"/>
      <c r="L1235" s="1"/>
      <c r="M1235" s="1"/>
      <c r="N1235" s="1"/>
    </row>
    <row r="1236" ht="14.5" spans="2:14">
      <c r="B1236" s="1"/>
      <c r="C1236" s="1"/>
      <c r="D1236" s="1"/>
      <c r="E1236" s="1"/>
      <c r="F1236" s="1"/>
      <c r="G1236" s="1"/>
      <c r="H1236" s="1"/>
      <c r="I1236" s="1"/>
      <c r="J1236" s="1"/>
      <c r="K1236" s="1"/>
      <c r="L1236" s="1"/>
      <c r="M1236" s="1"/>
      <c r="N1236" s="1"/>
    </row>
    <row r="1237" ht="14.5" spans="2:14">
      <c r="B1237" s="1"/>
      <c r="C1237" s="1"/>
      <c r="D1237" s="1"/>
      <c r="E1237" s="1"/>
      <c r="F1237" s="1"/>
      <c r="G1237" s="1"/>
      <c r="H1237" s="1"/>
      <c r="I1237" s="1"/>
      <c r="J1237" s="1"/>
      <c r="K1237" s="1"/>
      <c r="L1237" s="1"/>
      <c r="M1237" s="1"/>
      <c r="N1237" s="1"/>
    </row>
    <row r="1238" ht="14.5" spans="2:14">
      <c r="B1238" s="1"/>
      <c r="C1238" s="1"/>
      <c r="D1238" s="1"/>
      <c r="E1238" s="1"/>
      <c r="F1238" s="1"/>
      <c r="G1238" s="1"/>
      <c r="H1238" s="1"/>
      <c r="I1238" s="1"/>
      <c r="J1238" s="1"/>
      <c r="K1238" s="1"/>
      <c r="L1238" s="1"/>
      <c r="M1238" s="1"/>
      <c r="N1238" s="1"/>
    </row>
    <row r="1239" ht="14.5" spans="2:14">
      <c r="B1239" s="1"/>
      <c r="C1239" s="1"/>
      <c r="D1239" s="1"/>
      <c r="E1239" s="1"/>
      <c r="F1239" s="1"/>
      <c r="G1239" s="1"/>
      <c r="H1239" s="1"/>
      <c r="I1239" s="1"/>
      <c r="J1239" s="1"/>
      <c r="K1239" s="1"/>
      <c r="L1239" s="1"/>
      <c r="M1239" s="1"/>
      <c r="N1239" s="1"/>
    </row>
    <row r="1240" ht="14.5" spans="2:14">
      <c r="B1240" s="1"/>
      <c r="C1240" s="1"/>
      <c r="D1240" s="1"/>
      <c r="E1240" s="1"/>
      <c r="F1240" s="1"/>
      <c r="G1240" s="1"/>
      <c r="H1240" s="1"/>
      <c r="I1240" s="1"/>
      <c r="J1240" s="1"/>
      <c r="K1240" s="1"/>
      <c r="L1240" s="1"/>
      <c r="M1240" s="1"/>
      <c r="N1240" s="1"/>
    </row>
    <row r="1241" ht="14.5" spans="2:14">
      <c r="B1241" s="1"/>
      <c r="C1241" s="1"/>
      <c r="D1241" s="1"/>
      <c r="E1241" s="1"/>
      <c r="F1241" s="1"/>
      <c r="G1241" s="1"/>
      <c r="H1241" s="1"/>
      <c r="I1241" s="1"/>
      <c r="J1241" s="1"/>
      <c r="K1241" s="1"/>
      <c r="L1241" s="1"/>
      <c r="M1241" s="1"/>
      <c r="N1241" s="1"/>
    </row>
    <row r="1242" ht="14.5" spans="2:14">
      <c r="B1242" s="1"/>
      <c r="C1242" s="1"/>
      <c r="D1242" s="1"/>
      <c r="E1242" s="1"/>
      <c r="F1242" s="1"/>
      <c r="G1242" s="1"/>
      <c r="H1242" s="1"/>
      <c r="I1242" s="1"/>
      <c r="J1242" s="1"/>
      <c r="K1242" s="1"/>
      <c r="L1242" s="1"/>
      <c r="M1242" s="1"/>
      <c r="N1242" s="1"/>
    </row>
    <row r="1243" ht="14.5" spans="2:14">
      <c r="B1243" s="1"/>
      <c r="C1243" s="1"/>
      <c r="D1243" s="1"/>
      <c r="E1243" s="1"/>
      <c r="F1243" s="1"/>
      <c r="G1243" s="1"/>
      <c r="H1243" s="1"/>
      <c r="I1243" s="1"/>
      <c r="J1243" s="1"/>
      <c r="K1243" s="1"/>
      <c r="L1243" s="1"/>
      <c r="M1243" s="1"/>
      <c r="N1243" s="1"/>
    </row>
    <row r="1244" ht="14.5" spans="2:14">
      <c r="B1244" s="1"/>
      <c r="C1244" s="1"/>
      <c r="D1244" s="1"/>
      <c r="E1244" s="1"/>
      <c r="F1244" s="1"/>
      <c r="G1244" s="1"/>
      <c r="H1244" s="1"/>
      <c r="I1244" s="1"/>
      <c r="J1244" s="1"/>
      <c r="K1244" s="1"/>
      <c r="L1244" s="1"/>
      <c r="M1244" s="1"/>
      <c r="N1244" s="1"/>
    </row>
    <row r="1245" ht="14.5" spans="2:14">
      <c r="B1245" s="1"/>
      <c r="C1245" s="1"/>
      <c r="D1245" s="1"/>
      <c r="E1245" s="1"/>
      <c r="F1245" s="1"/>
      <c r="G1245" s="1"/>
      <c r="H1245" s="1"/>
      <c r="I1245" s="1"/>
      <c r="J1245" s="1"/>
      <c r="K1245" s="1"/>
      <c r="L1245" s="1"/>
      <c r="M1245" s="1"/>
      <c r="N1245" s="1"/>
    </row>
    <row r="1246" ht="14.5" spans="2:14">
      <c r="B1246" s="1"/>
      <c r="C1246" s="1"/>
      <c r="D1246" s="1"/>
      <c r="E1246" s="1"/>
      <c r="F1246" s="1"/>
      <c r="G1246" s="1"/>
      <c r="H1246" s="1"/>
      <c r="I1246" s="1"/>
      <c r="J1246" s="1"/>
      <c r="K1246" s="1"/>
      <c r="L1246" s="1"/>
      <c r="M1246" s="1"/>
      <c r="N1246" s="1"/>
    </row>
    <row r="1247" ht="14.5" spans="2:14">
      <c r="B1247" s="1"/>
      <c r="C1247" s="1"/>
      <c r="D1247" s="1"/>
      <c r="E1247" s="1"/>
      <c r="F1247" s="1"/>
      <c r="G1247" s="1"/>
      <c r="H1247" s="1"/>
      <c r="I1247" s="1"/>
      <c r="J1247" s="1"/>
      <c r="K1247" s="1"/>
      <c r="L1247" s="1"/>
      <c r="M1247" s="1"/>
      <c r="N1247" s="1"/>
    </row>
    <row r="1248" ht="14.5" spans="2:14">
      <c r="B1248" s="1"/>
      <c r="C1248" s="1"/>
      <c r="D1248" s="1"/>
      <c r="E1248" s="1"/>
      <c r="F1248" s="1"/>
      <c r="G1248" s="1"/>
      <c r="H1248" s="1"/>
      <c r="I1248" s="1"/>
      <c r="J1248" s="1"/>
      <c r="K1248" s="1"/>
      <c r="L1248" s="1"/>
      <c r="M1248" s="1"/>
      <c r="N1248" s="1"/>
    </row>
    <row r="1249" ht="14.5" spans="2:14">
      <c r="B1249" s="1"/>
      <c r="C1249" s="1"/>
      <c r="D1249" s="1"/>
      <c r="E1249" s="1"/>
      <c r="F1249" s="1"/>
      <c r="G1249" s="1"/>
      <c r="H1249" s="1"/>
      <c r="I1249" s="1"/>
      <c r="J1249" s="1"/>
      <c r="K1249" s="1"/>
      <c r="L1249" s="1"/>
      <c r="M1249" s="1"/>
      <c r="N1249" s="1"/>
    </row>
    <row r="1250" ht="14.5" spans="2:14">
      <c r="B1250" s="1"/>
      <c r="C1250" s="1"/>
      <c r="D1250" s="1"/>
      <c r="E1250" s="1"/>
      <c r="F1250" s="1"/>
      <c r="G1250" s="1"/>
      <c r="H1250" s="1"/>
      <c r="I1250" s="1"/>
      <c r="J1250" s="1"/>
      <c r="K1250" s="1"/>
      <c r="L1250" s="1"/>
      <c r="M1250" s="1"/>
      <c r="N1250" s="1"/>
    </row>
    <row r="1251" ht="14.5" spans="2:14">
      <c r="B1251" s="1"/>
      <c r="C1251" s="1"/>
      <c r="D1251" s="1"/>
      <c r="E1251" s="1"/>
      <c r="F1251" s="1"/>
      <c r="G1251" s="1"/>
      <c r="H1251" s="1"/>
      <c r="I1251" s="1"/>
      <c r="J1251" s="1"/>
      <c r="K1251" s="1"/>
      <c r="L1251" s="1"/>
      <c r="M1251" s="1"/>
      <c r="N1251" s="1"/>
    </row>
    <row r="1252" ht="14.5" spans="2:14">
      <c r="B1252" s="1"/>
      <c r="C1252" s="1"/>
      <c r="D1252" s="1"/>
      <c r="E1252" s="1"/>
      <c r="F1252" s="1"/>
      <c r="G1252" s="1"/>
      <c r="H1252" s="1"/>
      <c r="I1252" s="1"/>
      <c r="J1252" s="1"/>
      <c r="K1252" s="1"/>
      <c r="L1252" s="1"/>
      <c r="M1252" s="1"/>
      <c r="N1252" s="1"/>
    </row>
    <row r="1253" ht="14.5" spans="2:14">
      <c r="B1253" s="1"/>
      <c r="C1253" s="1"/>
      <c r="D1253" s="1"/>
      <c r="E1253" s="1"/>
      <c r="F1253" s="1"/>
      <c r="G1253" s="1"/>
      <c r="H1253" s="1"/>
      <c r="I1253" s="1"/>
      <c r="J1253" s="1"/>
      <c r="K1253" s="1"/>
      <c r="L1253" s="1"/>
      <c r="M1253" s="1"/>
      <c r="N1253" s="1"/>
    </row>
    <row r="1254" ht="14.5" spans="2:14">
      <c r="B1254" s="1"/>
      <c r="C1254" s="1"/>
      <c r="D1254" s="1"/>
      <c r="E1254" s="1"/>
      <c r="F1254" s="1"/>
      <c r="G1254" s="1"/>
      <c r="H1254" s="1"/>
      <c r="I1254" s="1"/>
      <c r="J1254" s="1"/>
      <c r="K1254" s="1"/>
      <c r="L1254" s="1"/>
      <c r="M1254" s="1"/>
      <c r="N1254" s="1"/>
    </row>
    <row r="1255" ht="14.5" spans="2:14">
      <c r="B1255" s="1"/>
      <c r="C1255" s="1"/>
      <c r="D1255" s="1"/>
      <c r="E1255" s="1"/>
      <c r="F1255" s="1"/>
      <c r="G1255" s="1"/>
      <c r="H1255" s="1"/>
      <c r="I1255" s="1"/>
      <c r="J1255" s="1"/>
      <c r="K1255" s="1"/>
      <c r="L1255" s="1"/>
      <c r="M1255" s="1"/>
      <c r="N1255" s="1"/>
    </row>
    <row r="1256" ht="14.5" spans="2:14">
      <c r="B1256" s="1"/>
      <c r="C1256" s="1"/>
      <c r="D1256" s="1"/>
      <c r="E1256" s="1"/>
      <c r="F1256" s="1"/>
      <c r="G1256" s="1"/>
      <c r="H1256" s="1"/>
      <c r="I1256" s="1"/>
      <c r="J1256" s="1"/>
      <c r="K1256" s="1"/>
      <c r="L1256" s="1"/>
      <c r="M1256" s="1"/>
      <c r="N1256" s="1"/>
    </row>
    <row r="1257" ht="14.5" spans="2:14">
      <c r="B1257" s="1"/>
      <c r="C1257" s="1"/>
      <c r="D1257" s="1"/>
      <c r="E1257" s="1"/>
      <c r="F1257" s="1"/>
      <c r="G1257" s="1"/>
      <c r="H1257" s="1"/>
      <c r="I1257" s="1"/>
      <c r="J1257" s="1"/>
      <c r="K1257" s="1"/>
      <c r="L1257" s="1"/>
      <c r="M1257" s="1"/>
      <c r="N1257" s="1"/>
    </row>
    <row r="1258" ht="14.5" spans="2:14">
      <c r="B1258" s="1"/>
      <c r="C1258" s="1"/>
      <c r="D1258" s="1"/>
      <c r="E1258" s="1"/>
      <c r="F1258" s="1"/>
      <c r="G1258" s="1"/>
      <c r="H1258" s="1"/>
      <c r="I1258" s="1"/>
      <c r="J1258" s="1"/>
      <c r="K1258" s="1"/>
      <c r="L1258" s="1"/>
      <c r="M1258" s="1"/>
      <c r="N1258" s="1"/>
    </row>
    <row r="1259" ht="14.5" spans="2:14">
      <c r="B1259" s="1"/>
      <c r="C1259" s="1"/>
      <c r="D1259" s="1"/>
      <c r="E1259" s="1"/>
      <c r="F1259" s="1"/>
      <c r="G1259" s="1"/>
      <c r="H1259" s="1"/>
      <c r="I1259" s="1"/>
      <c r="J1259" s="1"/>
      <c r="K1259" s="1"/>
      <c r="L1259" s="1"/>
      <c r="M1259" s="1"/>
      <c r="N1259" s="1"/>
    </row>
    <row r="1260" ht="14.5" spans="2:14">
      <c r="B1260" s="1"/>
      <c r="C1260" s="1"/>
      <c r="D1260" s="1"/>
      <c r="E1260" s="1"/>
      <c r="F1260" s="1"/>
      <c r="G1260" s="1"/>
      <c r="H1260" s="1"/>
      <c r="I1260" s="1"/>
      <c r="J1260" s="1"/>
      <c r="K1260" s="1"/>
      <c r="L1260" s="1"/>
      <c r="M1260" s="1"/>
      <c r="N1260" s="1"/>
    </row>
    <row r="1261" ht="14.5" spans="2:14">
      <c r="B1261" s="1"/>
      <c r="C1261" s="1"/>
      <c r="D1261" s="1"/>
      <c r="E1261" s="1"/>
      <c r="F1261" s="1"/>
      <c r="G1261" s="1"/>
      <c r="H1261" s="1"/>
      <c r="I1261" s="1"/>
      <c r="J1261" s="1"/>
      <c r="K1261" s="1"/>
      <c r="L1261" s="1"/>
      <c r="M1261" s="1"/>
      <c r="N1261" s="1"/>
    </row>
    <row r="1262" ht="14.5" spans="2:14">
      <c r="B1262" s="1"/>
      <c r="C1262" s="1"/>
      <c r="D1262" s="1"/>
      <c r="E1262" s="1"/>
      <c r="F1262" s="1"/>
      <c r="G1262" s="1"/>
      <c r="H1262" s="1"/>
      <c r="I1262" s="1"/>
      <c r="J1262" s="1"/>
      <c r="K1262" s="1"/>
      <c r="L1262" s="1"/>
      <c r="M1262" s="1"/>
      <c r="N1262" s="1"/>
    </row>
    <row r="1263" ht="14.5" spans="2:14">
      <c r="B1263" s="1"/>
      <c r="C1263" s="1"/>
      <c r="D1263" s="1"/>
      <c r="E1263" s="1"/>
      <c r="F1263" s="1"/>
      <c r="G1263" s="1"/>
      <c r="H1263" s="1"/>
      <c r="I1263" s="1"/>
      <c r="J1263" s="1"/>
      <c r="K1263" s="1"/>
      <c r="L1263" s="1"/>
      <c r="M1263" s="1"/>
      <c r="N1263" s="1"/>
    </row>
    <row r="1264" ht="14.5" spans="2:14">
      <c r="B1264" s="1"/>
      <c r="C1264" s="1"/>
      <c r="D1264" s="1"/>
      <c r="E1264" s="1"/>
      <c r="F1264" s="1"/>
      <c r="G1264" s="1"/>
      <c r="H1264" s="1"/>
      <c r="I1264" s="1"/>
      <c r="J1264" s="1"/>
      <c r="K1264" s="1"/>
      <c r="L1264" s="1"/>
      <c r="M1264" s="1"/>
      <c r="N1264" s="1"/>
    </row>
    <row r="1265" ht="14.5" spans="2:14">
      <c r="B1265" s="1"/>
      <c r="C1265" s="1"/>
      <c r="D1265" s="1"/>
      <c r="E1265" s="1"/>
      <c r="F1265" s="1"/>
      <c r="G1265" s="1"/>
      <c r="H1265" s="1"/>
      <c r="I1265" s="1"/>
      <c r="J1265" s="1"/>
      <c r="K1265" s="1"/>
      <c r="L1265" s="1"/>
      <c r="M1265" s="1"/>
      <c r="N1265" s="1"/>
    </row>
    <row r="1266" ht="14.5" spans="2:14">
      <c r="B1266" s="1"/>
      <c r="C1266" s="1"/>
      <c r="D1266" s="1"/>
      <c r="E1266" s="1"/>
      <c r="F1266" s="1"/>
      <c r="G1266" s="1"/>
      <c r="H1266" s="1"/>
      <c r="I1266" s="1"/>
      <c r="J1266" s="1"/>
      <c r="K1266" s="1"/>
      <c r="L1266" s="1"/>
      <c r="M1266" s="1"/>
      <c r="N1266" s="1"/>
    </row>
    <row r="1267" ht="14.5" spans="2:14">
      <c r="B1267" s="1"/>
      <c r="C1267" s="1"/>
      <c r="D1267" s="1"/>
      <c r="E1267" s="1"/>
      <c r="F1267" s="1"/>
      <c r="G1267" s="1"/>
      <c r="H1267" s="1"/>
      <c r="I1267" s="1"/>
      <c r="J1267" s="1"/>
      <c r="K1267" s="1"/>
      <c r="L1267" s="1"/>
      <c r="M1267" s="1"/>
      <c r="N1267" s="1"/>
    </row>
    <row r="1268" ht="14.5" spans="2:14">
      <c r="B1268" s="1"/>
      <c r="C1268" s="1"/>
      <c r="D1268" s="1"/>
      <c r="E1268" s="1"/>
      <c r="F1268" s="1"/>
      <c r="G1268" s="1"/>
      <c r="H1268" s="1"/>
      <c r="I1268" s="1"/>
      <c r="J1268" s="1"/>
      <c r="K1268" s="1"/>
      <c r="L1268" s="1"/>
      <c r="M1268" s="1"/>
      <c r="N1268" s="1"/>
    </row>
    <row r="1269" ht="14.5" spans="2:14">
      <c r="B1269" s="1"/>
      <c r="C1269" s="1"/>
      <c r="D1269" s="1"/>
      <c r="E1269" s="1"/>
      <c r="F1269" s="1"/>
      <c r="G1269" s="1"/>
      <c r="H1269" s="1"/>
      <c r="I1269" s="1"/>
      <c r="J1269" s="1"/>
      <c r="K1269" s="1"/>
      <c r="L1269" s="1"/>
      <c r="M1269" s="1"/>
      <c r="N1269" s="1"/>
    </row>
    <row r="1270" ht="14.5" spans="2:14">
      <c r="B1270" s="1"/>
      <c r="C1270" s="1"/>
      <c r="D1270" s="1"/>
      <c r="E1270" s="1"/>
      <c r="F1270" s="1"/>
      <c r="G1270" s="1"/>
      <c r="H1270" s="1"/>
      <c r="I1270" s="1"/>
      <c r="J1270" s="1"/>
      <c r="K1270" s="1"/>
      <c r="L1270" s="1"/>
      <c r="M1270" s="1"/>
      <c r="N1270" s="1"/>
    </row>
    <row r="1271" ht="14.5" spans="2:14">
      <c r="B1271" s="1"/>
      <c r="C1271" s="1"/>
      <c r="D1271" s="1"/>
      <c r="E1271" s="1"/>
      <c r="F1271" s="1"/>
      <c r="G1271" s="1"/>
      <c r="H1271" s="1"/>
      <c r="I1271" s="1"/>
      <c r="J1271" s="1"/>
      <c r="K1271" s="1"/>
      <c r="L1271" s="1"/>
      <c r="M1271" s="1"/>
      <c r="N1271" s="1"/>
    </row>
    <row r="1272" ht="14.5" spans="2:14">
      <c r="B1272" s="1"/>
      <c r="C1272" s="1"/>
      <c r="D1272" s="1"/>
      <c r="E1272" s="1"/>
      <c r="F1272" s="1"/>
      <c r="G1272" s="1"/>
      <c r="H1272" s="1"/>
      <c r="I1272" s="1"/>
      <c r="J1272" s="1"/>
      <c r="K1272" s="1"/>
      <c r="L1272" s="1"/>
      <c r="M1272" s="1"/>
      <c r="N1272" s="1"/>
    </row>
    <row r="1273" ht="14.5" spans="2:14">
      <c r="B1273" s="1"/>
      <c r="C1273" s="1"/>
      <c r="D1273" s="1"/>
      <c r="E1273" s="1"/>
      <c r="F1273" s="1"/>
      <c r="G1273" s="1"/>
      <c r="H1273" s="1"/>
      <c r="I1273" s="1"/>
      <c r="J1273" s="1"/>
      <c r="K1273" s="1"/>
      <c r="L1273" s="1"/>
      <c r="M1273" s="1"/>
      <c r="N1273" s="1"/>
    </row>
    <row r="1274" ht="14.5" spans="2:14">
      <c r="B1274" s="1"/>
      <c r="C1274" s="1"/>
      <c r="D1274" s="1"/>
      <c r="E1274" s="1"/>
      <c r="F1274" s="1"/>
      <c r="G1274" s="1"/>
      <c r="H1274" s="1"/>
      <c r="I1274" s="1"/>
      <c r="J1274" s="1"/>
      <c r="K1274" s="1"/>
      <c r="L1274" s="1"/>
      <c r="M1274" s="1"/>
      <c r="N1274" s="1"/>
    </row>
    <row r="1275" ht="14.5" spans="2:14">
      <c r="B1275" s="1"/>
      <c r="C1275" s="1"/>
      <c r="D1275" s="1"/>
      <c r="E1275" s="1"/>
      <c r="F1275" s="1"/>
      <c r="G1275" s="1"/>
      <c r="H1275" s="1"/>
      <c r="I1275" s="1"/>
      <c r="J1275" s="1"/>
      <c r="K1275" s="1"/>
      <c r="L1275" s="1"/>
      <c r="M1275" s="1"/>
      <c r="N1275" s="1"/>
    </row>
    <row r="1276" ht="14.5" spans="2:14">
      <c r="B1276" s="1"/>
      <c r="C1276" s="1"/>
      <c r="D1276" s="1"/>
      <c r="E1276" s="1"/>
      <c r="F1276" s="1"/>
      <c r="G1276" s="1"/>
      <c r="H1276" s="1"/>
      <c r="I1276" s="1"/>
      <c r="J1276" s="1"/>
      <c r="K1276" s="1"/>
      <c r="L1276" s="1"/>
      <c r="M1276" s="1"/>
      <c r="N1276" s="1"/>
    </row>
    <row r="1277" ht="14.5" spans="2:14">
      <c r="B1277" s="1"/>
      <c r="C1277" s="1"/>
      <c r="D1277" s="1"/>
      <c r="E1277" s="1"/>
      <c r="F1277" s="1"/>
      <c r="G1277" s="1"/>
      <c r="H1277" s="1"/>
      <c r="I1277" s="1"/>
      <c r="J1277" s="1"/>
      <c r="K1277" s="1"/>
      <c r="L1277" s="1"/>
      <c r="M1277" s="1"/>
      <c r="N1277" s="1"/>
    </row>
    <row r="1278" ht="14.5" spans="2:14">
      <c r="B1278" s="1"/>
      <c r="C1278" s="1"/>
      <c r="D1278" s="1"/>
      <c r="E1278" s="1"/>
      <c r="F1278" s="1"/>
      <c r="G1278" s="1"/>
      <c r="H1278" s="1"/>
      <c r="I1278" s="1"/>
      <c r="J1278" s="1"/>
      <c r="K1278" s="1"/>
      <c r="L1278" s="1"/>
      <c r="M1278" s="1"/>
      <c r="N1278" s="1"/>
    </row>
    <row r="1279" ht="14.5" spans="2:14">
      <c r="B1279" s="1"/>
      <c r="C1279" s="1"/>
      <c r="D1279" s="1"/>
      <c r="E1279" s="1"/>
      <c r="F1279" s="1"/>
      <c r="G1279" s="1"/>
      <c r="H1279" s="1"/>
      <c r="I1279" s="1"/>
      <c r="J1279" s="1"/>
      <c r="K1279" s="1"/>
      <c r="L1279" s="1"/>
      <c r="M1279" s="1"/>
      <c r="N1279" s="1"/>
    </row>
    <row r="1280" ht="14.5" spans="2:14">
      <c r="B1280" s="1"/>
      <c r="C1280" s="1"/>
      <c r="D1280" s="1"/>
      <c r="E1280" s="1"/>
      <c r="F1280" s="1"/>
      <c r="G1280" s="1"/>
      <c r="H1280" s="1"/>
      <c r="I1280" s="1"/>
      <c r="J1280" s="1"/>
      <c r="K1280" s="1"/>
      <c r="L1280" s="1"/>
      <c r="M1280" s="1"/>
      <c r="N1280" s="1"/>
    </row>
    <row r="1281" ht="14.5" spans="2:14">
      <c r="B1281" s="1"/>
      <c r="C1281" s="1"/>
      <c r="D1281" s="1"/>
      <c r="E1281" s="1"/>
      <c r="F1281" s="1"/>
      <c r="G1281" s="1"/>
      <c r="H1281" s="1"/>
      <c r="I1281" s="1"/>
      <c r="J1281" s="1"/>
      <c r="K1281" s="1"/>
      <c r="L1281" s="1"/>
      <c r="M1281" s="1"/>
      <c r="N1281" s="1"/>
    </row>
    <row r="1282" ht="14.5" spans="2:14">
      <c r="B1282" s="1"/>
      <c r="C1282" s="1"/>
      <c r="D1282" s="1"/>
      <c r="E1282" s="1"/>
      <c r="F1282" s="1"/>
      <c r="G1282" s="1"/>
      <c r="H1282" s="1"/>
      <c r="I1282" s="1"/>
      <c r="J1282" s="1"/>
      <c r="K1282" s="1"/>
      <c r="L1282" s="1"/>
      <c r="M1282" s="1"/>
      <c r="N1282" s="1"/>
    </row>
    <row r="1283" ht="14.5" spans="2:14">
      <c r="B1283" s="1"/>
      <c r="C1283" s="1"/>
      <c r="D1283" s="1"/>
      <c r="E1283" s="1"/>
      <c r="F1283" s="1"/>
      <c r="G1283" s="1"/>
      <c r="H1283" s="1"/>
      <c r="I1283" s="1"/>
      <c r="J1283" s="1"/>
      <c r="K1283" s="1"/>
      <c r="L1283" s="1"/>
      <c r="M1283" s="1"/>
      <c r="N1283" s="1"/>
    </row>
    <row r="1284" ht="14.5" spans="2:14">
      <c r="B1284" s="1"/>
      <c r="C1284" s="1"/>
      <c r="D1284" s="1"/>
      <c r="E1284" s="1"/>
      <c r="F1284" s="1"/>
      <c r="G1284" s="1"/>
      <c r="H1284" s="1"/>
      <c r="I1284" s="1"/>
      <c r="J1284" s="1"/>
      <c r="K1284" s="1"/>
      <c r="L1284" s="1"/>
      <c r="M1284" s="1"/>
      <c r="N1284" s="1"/>
    </row>
    <row r="1285" ht="14.5" spans="2:14">
      <c r="B1285" s="1"/>
      <c r="C1285" s="1"/>
      <c r="D1285" s="1"/>
      <c r="E1285" s="1"/>
      <c r="F1285" s="1"/>
      <c r="G1285" s="1"/>
      <c r="H1285" s="1"/>
      <c r="I1285" s="1"/>
      <c r="J1285" s="1"/>
      <c r="K1285" s="1"/>
      <c r="L1285" s="1"/>
      <c r="M1285" s="1"/>
      <c r="N1285" s="1"/>
    </row>
    <row r="1286" ht="14.5" spans="2:14">
      <c r="B1286" s="1"/>
      <c r="C1286" s="1"/>
      <c r="D1286" s="1"/>
      <c r="E1286" s="1"/>
      <c r="F1286" s="1"/>
      <c r="G1286" s="1"/>
      <c r="H1286" s="1"/>
      <c r="I1286" s="1"/>
      <c r="J1286" s="1"/>
      <c r="K1286" s="1"/>
      <c r="L1286" s="1"/>
      <c r="M1286" s="1"/>
      <c r="N1286" s="1"/>
    </row>
    <row r="1287" ht="14.5" spans="2:14">
      <c r="B1287" s="1"/>
      <c r="C1287" s="1"/>
      <c r="D1287" s="1"/>
      <c r="E1287" s="1"/>
      <c r="F1287" s="1"/>
      <c r="G1287" s="1"/>
      <c r="H1287" s="1"/>
      <c r="I1287" s="1"/>
      <c r="J1287" s="1"/>
      <c r="K1287" s="1"/>
      <c r="L1287" s="1"/>
      <c r="M1287" s="1"/>
      <c r="N1287" s="1"/>
    </row>
    <row r="1288" ht="14.5" spans="2:14">
      <c r="B1288" s="1"/>
      <c r="C1288" s="1"/>
      <c r="D1288" s="1"/>
      <c r="E1288" s="1"/>
      <c r="F1288" s="1"/>
      <c r="G1288" s="1"/>
      <c r="H1288" s="1"/>
      <c r="I1288" s="1"/>
      <c r="J1288" s="1"/>
      <c r="K1288" s="1"/>
      <c r="L1288" s="1"/>
      <c r="M1288" s="1"/>
      <c r="N1288" s="1"/>
    </row>
    <row r="1289" ht="14.5" spans="2:14">
      <c r="B1289" s="1"/>
      <c r="C1289" s="1"/>
      <c r="D1289" s="1"/>
      <c r="E1289" s="1"/>
      <c r="F1289" s="1"/>
      <c r="G1289" s="1"/>
      <c r="H1289" s="1"/>
      <c r="I1289" s="1"/>
      <c r="J1289" s="1"/>
      <c r="K1289" s="1"/>
      <c r="L1289" s="1"/>
      <c r="M1289" s="1"/>
      <c r="N1289" s="1"/>
    </row>
    <row r="1290" ht="14.5" spans="2:14">
      <c r="B1290" s="1"/>
      <c r="C1290" s="1"/>
      <c r="D1290" s="1"/>
      <c r="E1290" s="1"/>
      <c r="F1290" s="1"/>
      <c r="G1290" s="1"/>
      <c r="H1290" s="1"/>
      <c r="I1290" s="1"/>
      <c r="J1290" s="1"/>
      <c r="K1290" s="1"/>
      <c r="L1290" s="1"/>
      <c r="M1290" s="1"/>
      <c r="N1290" s="1"/>
    </row>
    <row r="1291" ht="14.5" spans="2:14">
      <c r="B1291" s="1"/>
      <c r="C1291" s="1"/>
      <c r="D1291" s="1"/>
      <c r="E1291" s="1"/>
      <c r="F1291" s="1"/>
      <c r="G1291" s="1"/>
      <c r="H1291" s="1"/>
      <c r="I1291" s="1"/>
      <c r="J1291" s="1"/>
      <c r="K1291" s="1"/>
      <c r="L1291" s="1"/>
      <c r="M1291" s="1"/>
      <c r="N1291" s="1"/>
    </row>
    <row r="1292" ht="14.5" spans="2:14">
      <c r="B1292" s="1"/>
      <c r="C1292" s="1"/>
      <c r="D1292" s="1"/>
      <c r="E1292" s="1"/>
      <c r="F1292" s="1"/>
      <c r="G1292" s="1"/>
      <c r="H1292" s="1"/>
      <c r="I1292" s="1"/>
      <c r="J1292" s="1"/>
      <c r="K1292" s="1"/>
      <c r="L1292" s="1"/>
      <c r="M1292" s="1"/>
      <c r="N1292" s="1"/>
    </row>
    <row r="1293" ht="14.5" spans="2:14">
      <c r="B1293" s="1"/>
      <c r="C1293" s="1"/>
      <c r="D1293" s="1"/>
      <c r="E1293" s="1"/>
      <c r="F1293" s="1"/>
      <c r="G1293" s="1"/>
      <c r="H1293" s="1"/>
      <c r="I1293" s="1"/>
      <c r="J1293" s="1"/>
      <c r="K1293" s="1"/>
      <c r="L1293" s="1"/>
      <c r="M1293" s="1"/>
      <c r="N1293" s="1"/>
    </row>
    <row r="1294" ht="14.5" spans="2:14">
      <c r="B1294" s="1"/>
      <c r="C1294" s="1"/>
      <c r="D1294" s="1"/>
      <c r="E1294" s="1"/>
      <c r="F1294" s="1"/>
      <c r="G1294" s="1"/>
      <c r="H1294" s="1"/>
      <c r="I1294" s="1"/>
      <c r="J1294" s="1"/>
      <c r="K1294" s="1"/>
      <c r="L1294" s="1"/>
      <c r="M1294" s="1"/>
      <c r="N1294" s="1"/>
    </row>
    <row r="1295" ht="14.5" spans="2:14">
      <c r="B1295" s="1"/>
      <c r="C1295" s="1"/>
      <c r="D1295" s="1"/>
      <c r="E1295" s="1"/>
      <c r="F1295" s="1"/>
      <c r="G1295" s="1"/>
      <c r="H1295" s="1"/>
      <c r="I1295" s="1"/>
      <c r="J1295" s="1"/>
      <c r="K1295" s="1"/>
      <c r="L1295" s="1"/>
      <c r="M1295" s="1"/>
      <c r="N1295" s="1"/>
    </row>
    <row r="1296" ht="14.5" spans="2:14">
      <c r="B1296" s="1"/>
      <c r="C1296" s="1"/>
      <c r="D1296" s="1"/>
      <c r="E1296" s="1"/>
      <c r="F1296" s="1"/>
      <c r="G1296" s="1"/>
      <c r="H1296" s="1"/>
      <c r="I1296" s="1"/>
      <c r="J1296" s="1"/>
      <c r="K1296" s="1"/>
      <c r="L1296" s="1"/>
      <c r="M1296" s="1"/>
      <c r="N1296" s="1"/>
    </row>
    <row r="1297" ht="14.5" spans="2:14">
      <c r="B1297" s="1"/>
      <c r="C1297" s="1"/>
      <c r="D1297" s="1"/>
      <c r="E1297" s="1"/>
      <c r="F1297" s="1"/>
      <c r="G1297" s="1"/>
      <c r="H1297" s="1"/>
      <c r="I1297" s="1"/>
      <c r="J1297" s="1"/>
      <c r="K1297" s="1"/>
      <c r="L1297" s="1"/>
      <c r="M1297" s="1"/>
      <c r="N1297" s="1"/>
    </row>
    <row r="1298" ht="14.5" spans="2:14">
      <c r="B1298" s="1"/>
      <c r="C1298" s="1"/>
      <c r="D1298" s="1"/>
      <c r="E1298" s="1"/>
      <c r="F1298" s="1"/>
      <c r="G1298" s="1"/>
      <c r="H1298" s="1"/>
      <c r="I1298" s="1"/>
      <c r="J1298" s="1"/>
      <c r="K1298" s="1"/>
      <c r="L1298" s="1"/>
      <c r="M1298" s="1"/>
      <c r="N1298" s="1"/>
    </row>
    <row r="1299" ht="14.5" spans="2:14">
      <c r="B1299" s="1"/>
      <c r="C1299" s="1"/>
      <c r="D1299" s="1"/>
      <c r="E1299" s="1"/>
      <c r="F1299" s="1"/>
      <c r="G1299" s="1"/>
      <c r="H1299" s="1"/>
      <c r="I1299" s="1"/>
      <c r="J1299" s="1"/>
      <c r="K1299" s="1"/>
      <c r="L1299" s="1"/>
      <c r="M1299" s="1"/>
      <c r="N1299" s="1"/>
    </row>
    <row r="1300" ht="14.5" spans="2:14">
      <c r="B1300" s="1"/>
      <c r="C1300" s="1"/>
      <c r="D1300" s="1"/>
      <c r="E1300" s="1"/>
      <c r="F1300" s="1"/>
      <c r="G1300" s="1"/>
      <c r="H1300" s="1"/>
      <c r="I1300" s="1"/>
      <c r="J1300" s="1"/>
      <c r="K1300" s="1"/>
      <c r="L1300" s="1"/>
      <c r="M1300" s="1"/>
      <c r="N1300" s="1"/>
    </row>
    <row r="1301" ht="14.5" spans="2:14">
      <c r="B1301" s="1"/>
      <c r="C1301" s="1"/>
      <c r="D1301" s="1"/>
      <c r="E1301" s="1"/>
      <c r="F1301" s="1"/>
      <c r="G1301" s="1"/>
      <c r="H1301" s="1"/>
      <c r="I1301" s="1"/>
      <c r="J1301" s="1"/>
      <c r="K1301" s="1"/>
      <c r="L1301" s="1"/>
      <c r="M1301" s="1"/>
      <c r="N1301" s="1"/>
    </row>
    <row r="1302" ht="14.5" spans="2:14">
      <c r="B1302" s="1"/>
      <c r="C1302" s="1"/>
      <c r="D1302" s="1"/>
      <c r="E1302" s="1"/>
      <c r="F1302" s="1"/>
      <c r="G1302" s="1"/>
      <c r="H1302" s="1"/>
      <c r="I1302" s="1"/>
      <c r="J1302" s="1"/>
      <c r="K1302" s="1"/>
      <c r="L1302" s="1"/>
      <c r="M1302" s="1"/>
      <c r="N1302" s="1"/>
    </row>
    <row r="1303" ht="14.5" spans="2:14">
      <c r="B1303" s="1"/>
      <c r="C1303" s="1"/>
      <c r="D1303" s="1"/>
      <c r="E1303" s="1"/>
      <c r="F1303" s="1"/>
      <c r="G1303" s="1"/>
      <c r="H1303" s="1"/>
      <c r="I1303" s="1"/>
      <c r="J1303" s="1"/>
      <c r="K1303" s="1"/>
      <c r="L1303" s="1"/>
      <c r="M1303" s="1"/>
      <c r="N1303" s="1"/>
    </row>
    <row r="1304" ht="14.5" spans="2:14">
      <c r="B1304" s="1"/>
      <c r="C1304" s="1"/>
      <c r="D1304" s="1"/>
      <c r="E1304" s="1"/>
      <c r="F1304" s="1"/>
      <c r="G1304" s="1"/>
      <c r="H1304" s="1"/>
      <c r="I1304" s="1"/>
      <c r="J1304" s="1"/>
      <c r="K1304" s="1"/>
      <c r="L1304" s="1"/>
      <c r="M1304" s="1"/>
      <c r="N1304" s="1"/>
    </row>
    <row r="1305" ht="14.5" spans="2:14">
      <c r="B1305" s="1"/>
      <c r="C1305" s="1"/>
      <c r="D1305" s="1"/>
      <c r="E1305" s="1"/>
      <c r="F1305" s="1"/>
      <c r="G1305" s="1"/>
      <c r="H1305" s="1"/>
      <c r="I1305" s="1"/>
      <c r="J1305" s="1"/>
      <c r="K1305" s="1"/>
      <c r="L1305" s="1"/>
      <c r="M1305" s="1"/>
      <c r="N1305" s="1"/>
    </row>
    <row r="1306" ht="14.5" spans="2:14">
      <c r="B1306" s="1"/>
      <c r="C1306" s="1"/>
      <c r="D1306" s="1"/>
      <c r="E1306" s="1"/>
      <c r="F1306" s="1"/>
      <c r="G1306" s="1"/>
      <c r="H1306" s="1"/>
      <c r="I1306" s="1"/>
      <c r="J1306" s="1"/>
      <c r="K1306" s="1"/>
      <c r="L1306" s="1"/>
      <c r="M1306" s="1"/>
      <c r="N1306" s="1"/>
    </row>
    <row r="1307" ht="14.5" spans="2:14">
      <c r="B1307" s="1"/>
      <c r="C1307" s="1"/>
      <c r="D1307" s="1"/>
      <c r="E1307" s="1"/>
      <c r="F1307" s="1"/>
      <c r="G1307" s="1"/>
      <c r="H1307" s="1"/>
      <c r="I1307" s="1"/>
      <c r="J1307" s="1"/>
      <c r="K1307" s="1"/>
      <c r="L1307" s="1"/>
      <c r="M1307" s="1"/>
      <c r="N1307" s="1"/>
    </row>
    <row r="1308" ht="14.5" spans="2:14">
      <c r="B1308" s="1"/>
      <c r="C1308" s="1"/>
      <c r="D1308" s="1"/>
      <c r="E1308" s="1"/>
      <c r="F1308" s="1"/>
      <c r="G1308" s="1"/>
      <c r="H1308" s="1"/>
      <c r="I1308" s="1"/>
      <c r="J1308" s="1"/>
      <c r="K1308" s="1"/>
      <c r="L1308" s="1"/>
      <c r="M1308" s="1"/>
      <c r="N1308" s="1"/>
    </row>
    <row r="1309" ht="14.5" spans="2:14">
      <c r="B1309" s="1"/>
      <c r="C1309" s="1"/>
      <c r="D1309" s="1"/>
      <c r="E1309" s="1"/>
      <c r="F1309" s="1"/>
      <c r="G1309" s="1"/>
      <c r="H1309" s="1"/>
      <c r="I1309" s="1"/>
      <c r="J1309" s="1"/>
      <c r="K1309" s="1"/>
      <c r="L1309" s="1"/>
      <c r="M1309" s="1"/>
      <c r="N1309" s="1"/>
    </row>
    <row r="1310" ht="14.5" spans="2:14">
      <c r="B1310" s="1"/>
      <c r="C1310" s="1"/>
      <c r="D1310" s="1"/>
      <c r="E1310" s="1"/>
      <c r="F1310" s="1"/>
      <c r="G1310" s="1"/>
      <c r="H1310" s="1"/>
      <c r="I1310" s="1"/>
      <c r="J1310" s="1"/>
      <c r="K1310" s="1"/>
      <c r="L1310" s="1"/>
      <c r="M1310" s="1"/>
      <c r="N1310" s="1"/>
    </row>
    <row r="1311" ht="14.5" spans="2:14">
      <c r="B1311" s="1"/>
      <c r="C1311" s="1"/>
      <c r="D1311" s="1"/>
      <c r="E1311" s="1"/>
      <c r="F1311" s="1"/>
      <c r="G1311" s="1"/>
      <c r="H1311" s="1"/>
      <c r="I1311" s="1"/>
      <c r="J1311" s="1"/>
      <c r="K1311" s="1"/>
      <c r="L1311" s="1"/>
      <c r="M1311" s="1"/>
      <c r="N1311" s="1"/>
    </row>
    <row r="1312" ht="14.5" spans="2:14">
      <c r="B1312" s="1"/>
      <c r="C1312" s="1"/>
      <c r="D1312" s="1"/>
      <c r="E1312" s="1"/>
      <c r="F1312" s="1"/>
      <c r="G1312" s="1"/>
      <c r="H1312" s="1"/>
      <c r="I1312" s="1"/>
      <c r="J1312" s="1"/>
      <c r="K1312" s="1"/>
      <c r="L1312" s="1"/>
      <c r="M1312" s="1"/>
      <c r="N1312" s="1"/>
    </row>
    <row r="1313" ht="14.5" spans="2:14">
      <c r="B1313" s="1"/>
      <c r="C1313" s="1"/>
      <c r="D1313" s="1"/>
      <c r="E1313" s="1"/>
      <c r="F1313" s="1"/>
      <c r="G1313" s="1"/>
      <c r="H1313" s="1"/>
      <c r="I1313" s="1"/>
      <c r="J1313" s="1"/>
      <c r="K1313" s="1"/>
      <c r="L1313" s="1"/>
      <c r="M1313" s="1"/>
      <c r="N1313" s="1"/>
    </row>
    <row r="1314" ht="14.5" spans="2:14">
      <c r="B1314" s="1"/>
      <c r="C1314" s="1"/>
      <c r="D1314" s="1"/>
      <c r="E1314" s="1"/>
      <c r="F1314" s="1"/>
      <c r="G1314" s="1"/>
      <c r="H1314" s="1"/>
      <c r="I1314" s="1"/>
      <c r="J1314" s="1"/>
      <c r="K1314" s="1"/>
      <c r="L1314" s="1"/>
      <c r="M1314" s="1"/>
      <c r="N1314" s="1"/>
    </row>
    <row r="1315" ht="14.5" spans="2:14">
      <c r="B1315" s="1"/>
      <c r="C1315" s="1"/>
      <c r="D1315" s="1"/>
      <c r="E1315" s="1"/>
      <c r="F1315" s="1"/>
      <c r="G1315" s="1"/>
      <c r="H1315" s="1"/>
      <c r="I1315" s="1"/>
      <c r="J1315" s="1"/>
      <c r="K1315" s="1"/>
      <c r="L1315" s="1"/>
      <c r="M1315" s="1"/>
      <c r="N1315" s="1"/>
    </row>
    <row r="1316" ht="14.5" spans="2:14">
      <c r="B1316" s="1"/>
      <c r="C1316" s="1"/>
      <c r="D1316" s="1"/>
      <c r="E1316" s="1"/>
      <c r="F1316" s="1"/>
      <c r="G1316" s="1"/>
      <c r="H1316" s="1"/>
      <c r="I1316" s="1"/>
      <c r="J1316" s="1"/>
      <c r="K1316" s="1"/>
      <c r="L1316" s="1"/>
      <c r="M1316" s="1"/>
      <c r="N1316" s="1"/>
    </row>
    <row r="1317" ht="14.5" spans="2:14">
      <c r="B1317" s="1"/>
      <c r="C1317" s="1"/>
      <c r="D1317" s="1"/>
      <c r="E1317" s="1"/>
      <c r="F1317" s="1"/>
      <c r="G1317" s="1"/>
      <c r="H1317" s="1"/>
      <c r="I1317" s="1"/>
      <c r="J1317" s="1"/>
      <c r="K1317" s="1"/>
      <c r="L1317" s="1"/>
      <c r="M1317" s="1"/>
      <c r="N1317" s="1"/>
    </row>
    <row r="1318" ht="14.5" spans="2:14">
      <c r="B1318" s="1"/>
      <c r="C1318" s="1"/>
      <c r="D1318" s="1"/>
      <c r="E1318" s="1"/>
      <c r="F1318" s="1"/>
      <c r="G1318" s="1"/>
      <c r="H1318" s="1"/>
      <c r="I1318" s="1"/>
      <c r="J1318" s="1"/>
      <c r="K1318" s="1"/>
      <c r="L1318" s="1"/>
      <c r="M1318" s="1"/>
      <c r="N1318" s="1"/>
    </row>
    <row r="1319" ht="14.5" spans="2:14">
      <c r="B1319" s="1"/>
      <c r="C1319" s="1"/>
      <c r="D1319" s="1"/>
      <c r="E1319" s="1"/>
      <c r="F1319" s="1"/>
      <c r="G1319" s="1"/>
      <c r="H1319" s="1"/>
      <c r="I1319" s="1"/>
      <c r="J1319" s="1"/>
      <c r="K1319" s="1"/>
      <c r="L1319" s="1"/>
      <c r="M1319" s="1"/>
      <c r="N1319" s="1"/>
    </row>
    <row r="1320" ht="14.5" spans="2:14">
      <c r="B1320" s="1"/>
      <c r="C1320" s="1"/>
      <c r="D1320" s="1"/>
      <c r="E1320" s="1"/>
      <c r="F1320" s="1"/>
      <c r="G1320" s="1"/>
      <c r="H1320" s="1"/>
      <c r="I1320" s="1"/>
      <c r="J1320" s="1"/>
      <c r="K1320" s="1"/>
      <c r="L1320" s="1"/>
      <c r="M1320" s="1"/>
      <c r="N1320" s="1"/>
    </row>
    <row r="1321" ht="14.5" spans="2:14">
      <c r="B1321" s="1"/>
      <c r="C1321" s="1"/>
      <c r="D1321" s="1"/>
      <c r="E1321" s="1"/>
      <c r="F1321" s="1"/>
      <c r="G1321" s="1"/>
      <c r="H1321" s="1"/>
      <c r="I1321" s="1"/>
      <c r="J1321" s="1"/>
      <c r="K1321" s="1"/>
      <c r="L1321" s="1"/>
      <c r="M1321" s="1"/>
      <c r="N1321" s="1"/>
    </row>
    <row r="1322" ht="14.5" spans="2:14">
      <c r="B1322" s="1"/>
      <c r="C1322" s="1"/>
      <c r="D1322" s="1"/>
      <c r="E1322" s="1"/>
      <c r="F1322" s="1"/>
      <c r="G1322" s="1"/>
      <c r="H1322" s="1"/>
      <c r="I1322" s="1"/>
      <c r="J1322" s="1"/>
      <c r="K1322" s="1"/>
      <c r="L1322" s="1"/>
      <c r="M1322" s="1"/>
      <c r="N1322" s="1"/>
    </row>
    <row r="1323" ht="14.5" spans="2:14">
      <c r="B1323" s="1"/>
      <c r="C1323" s="1"/>
      <c r="D1323" s="1"/>
      <c r="E1323" s="1"/>
      <c r="F1323" s="1"/>
      <c r="G1323" s="1"/>
      <c r="H1323" s="1"/>
      <c r="I1323" s="1"/>
      <c r="J1323" s="1"/>
      <c r="K1323" s="1"/>
      <c r="L1323" s="1"/>
      <c r="M1323" s="1"/>
      <c r="N1323" s="1"/>
    </row>
    <row r="1324" ht="14.5" spans="2:14">
      <c r="B1324" s="1"/>
      <c r="C1324" s="1"/>
      <c r="D1324" s="1"/>
      <c r="E1324" s="1"/>
      <c r="F1324" s="1"/>
      <c r="G1324" s="1"/>
      <c r="H1324" s="1"/>
      <c r="I1324" s="1"/>
      <c r="J1324" s="1"/>
      <c r="K1324" s="1"/>
      <c r="L1324" s="1"/>
      <c r="M1324" s="1"/>
      <c r="N1324" s="1"/>
    </row>
    <row r="1325" ht="14.5" spans="2:14">
      <c r="B1325" s="1"/>
      <c r="C1325" s="1"/>
      <c r="D1325" s="1"/>
      <c r="E1325" s="1"/>
      <c r="F1325" s="1"/>
      <c r="G1325" s="1"/>
      <c r="H1325" s="1"/>
      <c r="I1325" s="1"/>
      <c r="J1325" s="1"/>
      <c r="K1325" s="1"/>
      <c r="L1325" s="1"/>
      <c r="M1325" s="1"/>
      <c r="N1325" s="1"/>
    </row>
    <row r="1326" ht="14.5" spans="2:14">
      <c r="B1326" s="1"/>
      <c r="C1326" s="1"/>
      <c r="D1326" s="1"/>
      <c r="E1326" s="1"/>
      <c r="F1326" s="1"/>
      <c r="G1326" s="1"/>
      <c r="H1326" s="1"/>
      <c r="I1326" s="1"/>
      <c r="J1326" s="1"/>
      <c r="K1326" s="1"/>
      <c r="L1326" s="1"/>
      <c r="M1326" s="1"/>
      <c r="N1326" s="1"/>
    </row>
    <row r="1327" ht="14.5" spans="2:14">
      <c r="B1327" s="1"/>
      <c r="C1327" s="1"/>
      <c r="D1327" s="1"/>
      <c r="E1327" s="1"/>
      <c r="F1327" s="1"/>
      <c r="G1327" s="1"/>
      <c r="H1327" s="1"/>
      <c r="I1327" s="1"/>
      <c r="J1327" s="1"/>
      <c r="K1327" s="1"/>
      <c r="L1327" s="1"/>
      <c r="M1327" s="1"/>
      <c r="N1327" s="1"/>
    </row>
    <row r="1328" ht="14.5" spans="2:14">
      <c r="B1328" s="1"/>
      <c r="C1328" s="1"/>
      <c r="D1328" s="1"/>
      <c r="E1328" s="1"/>
      <c r="F1328" s="1"/>
      <c r="G1328" s="1"/>
      <c r="H1328" s="1"/>
      <c r="I1328" s="1"/>
      <c r="J1328" s="1"/>
      <c r="K1328" s="1"/>
      <c r="L1328" s="1"/>
      <c r="M1328" s="1"/>
      <c r="N1328" s="1"/>
    </row>
    <row r="1329" ht="14.5" spans="2:14">
      <c r="B1329" s="1"/>
      <c r="C1329" s="1"/>
      <c r="D1329" s="1"/>
      <c r="E1329" s="1"/>
      <c r="F1329" s="1"/>
      <c r="G1329" s="1"/>
      <c r="H1329" s="1"/>
      <c r="I1329" s="1"/>
      <c r="J1329" s="1"/>
      <c r="K1329" s="1"/>
      <c r="L1329" s="1"/>
      <c r="M1329" s="1"/>
      <c r="N1329" s="1"/>
    </row>
    <row r="1330" ht="14.5" spans="2:14">
      <c r="B1330" s="1"/>
      <c r="C1330" s="1"/>
      <c r="D1330" s="1"/>
      <c r="E1330" s="1"/>
      <c r="F1330" s="1"/>
      <c r="G1330" s="1"/>
      <c r="H1330" s="1"/>
      <c r="I1330" s="1"/>
      <c r="J1330" s="1"/>
      <c r="K1330" s="1"/>
      <c r="L1330" s="1"/>
      <c r="M1330" s="1"/>
      <c r="N1330" s="1"/>
    </row>
    <row r="1331" ht="14.5" spans="2:14">
      <c r="B1331" s="1"/>
      <c r="C1331" s="1"/>
      <c r="D1331" s="1"/>
      <c r="E1331" s="1"/>
      <c r="F1331" s="1"/>
      <c r="G1331" s="1"/>
      <c r="H1331" s="1"/>
      <c r="I1331" s="1"/>
      <c r="J1331" s="1"/>
      <c r="K1331" s="1"/>
      <c r="L1331" s="1"/>
      <c r="M1331" s="1"/>
      <c r="N1331" s="1"/>
    </row>
    <row r="1332" ht="14.5" spans="2:14">
      <c r="B1332" s="1"/>
      <c r="C1332" s="1"/>
      <c r="D1332" s="1"/>
      <c r="E1332" s="1"/>
      <c r="F1332" s="1"/>
      <c r="G1332" s="1"/>
      <c r="H1332" s="1"/>
      <c r="I1332" s="1"/>
      <c r="J1332" s="1"/>
      <c r="K1332" s="1"/>
      <c r="L1332" s="1"/>
      <c r="M1332" s="1"/>
      <c r="N1332" s="1"/>
    </row>
    <row r="1333" ht="14.5" spans="2:14">
      <c r="B1333" s="1"/>
      <c r="C1333" s="1"/>
      <c r="D1333" s="1"/>
      <c r="E1333" s="1"/>
      <c r="F1333" s="1"/>
      <c r="G1333" s="1"/>
      <c r="H1333" s="1"/>
      <c r="I1333" s="1"/>
      <c r="J1333" s="1"/>
      <c r="K1333" s="1"/>
      <c r="L1333" s="1"/>
      <c r="M1333" s="1"/>
      <c r="N1333" s="1"/>
    </row>
    <row r="1334" ht="14.5" spans="2:14">
      <c r="B1334" s="1"/>
      <c r="C1334" s="1"/>
      <c r="D1334" s="1"/>
      <c r="E1334" s="1"/>
      <c r="F1334" s="1"/>
      <c r="G1334" s="1"/>
      <c r="H1334" s="1"/>
      <c r="I1334" s="1"/>
      <c r="J1334" s="1"/>
      <c r="K1334" s="1"/>
      <c r="L1334" s="1"/>
      <c r="M1334" s="1"/>
      <c r="N1334" s="1"/>
    </row>
    <row r="1335" ht="14.5" spans="2:14">
      <c r="B1335" s="1"/>
      <c r="C1335" s="1"/>
      <c r="D1335" s="1"/>
      <c r="E1335" s="1"/>
      <c r="F1335" s="1"/>
      <c r="G1335" s="1"/>
      <c r="H1335" s="1"/>
      <c r="I1335" s="1"/>
      <c r="J1335" s="1"/>
      <c r="K1335" s="1"/>
      <c r="L1335" s="1"/>
      <c r="M1335" s="1"/>
      <c r="N1335" s="1"/>
    </row>
    <row r="1336" ht="14.5" spans="2:14">
      <c r="B1336" s="1"/>
      <c r="C1336" s="1"/>
      <c r="D1336" s="1"/>
      <c r="E1336" s="1"/>
      <c r="F1336" s="1"/>
      <c r="G1336" s="1"/>
      <c r="H1336" s="1"/>
      <c r="I1336" s="1"/>
      <c r="J1336" s="1"/>
      <c r="K1336" s="1"/>
      <c r="L1336" s="1"/>
      <c r="M1336" s="1"/>
      <c r="N1336" s="1"/>
    </row>
    <row r="1337" ht="14.5" spans="2:14">
      <c r="B1337" s="1"/>
      <c r="C1337" s="1"/>
      <c r="D1337" s="1"/>
      <c r="E1337" s="1"/>
      <c r="F1337" s="1"/>
      <c r="G1337" s="1"/>
      <c r="H1337" s="1"/>
      <c r="I1337" s="1"/>
      <c r="J1337" s="1"/>
      <c r="K1337" s="1"/>
      <c r="L1337" s="1"/>
      <c r="M1337" s="1"/>
      <c r="N1337" s="1"/>
    </row>
    <row r="1338" ht="14.5" spans="2:14">
      <c r="B1338" s="1"/>
      <c r="C1338" s="1"/>
      <c r="D1338" s="1"/>
      <c r="E1338" s="1"/>
      <c r="F1338" s="1"/>
      <c r="G1338" s="1"/>
      <c r="H1338" s="1"/>
      <c r="I1338" s="1"/>
      <c r="J1338" s="1"/>
      <c r="K1338" s="1"/>
      <c r="L1338" s="1"/>
      <c r="M1338" s="1"/>
      <c r="N1338" s="1"/>
    </row>
    <row r="1339" ht="14.5" spans="2:14">
      <c r="B1339" s="1"/>
      <c r="C1339" s="1"/>
      <c r="D1339" s="1"/>
      <c r="E1339" s="1"/>
      <c r="F1339" s="1"/>
      <c r="G1339" s="1"/>
      <c r="H1339" s="1"/>
      <c r="I1339" s="1"/>
      <c r="J1339" s="1"/>
      <c r="K1339" s="1"/>
      <c r="L1339" s="1"/>
      <c r="M1339" s="1"/>
      <c r="N1339" s="1"/>
    </row>
    <row r="1340" ht="14.5" spans="2:14">
      <c r="B1340" s="1"/>
      <c r="C1340" s="1"/>
      <c r="D1340" s="1"/>
      <c r="E1340" s="1"/>
      <c r="F1340" s="1"/>
      <c r="G1340" s="1"/>
      <c r="H1340" s="1"/>
      <c r="I1340" s="1"/>
      <c r="J1340" s="1"/>
      <c r="K1340" s="1"/>
      <c r="L1340" s="1"/>
      <c r="M1340" s="1"/>
      <c r="N1340" s="1"/>
    </row>
    <row r="1341" ht="14.5" spans="2:14">
      <c r="B1341" s="1"/>
      <c r="C1341" s="1"/>
      <c r="D1341" s="1"/>
      <c r="E1341" s="1"/>
      <c r="F1341" s="1"/>
      <c r="G1341" s="1"/>
      <c r="H1341" s="1"/>
      <c r="I1341" s="1"/>
      <c r="J1341" s="1"/>
      <c r="K1341" s="1"/>
      <c r="L1341" s="1"/>
      <c r="M1341" s="1"/>
      <c r="N1341" s="1"/>
    </row>
    <row r="1342" ht="14.5" spans="2:14">
      <c r="B1342" s="1"/>
      <c r="C1342" s="1"/>
      <c r="D1342" s="1"/>
      <c r="E1342" s="1"/>
      <c r="F1342" s="1"/>
      <c r="G1342" s="1"/>
      <c r="H1342" s="1"/>
      <c r="I1342" s="1"/>
      <c r="J1342" s="1"/>
      <c r="K1342" s="1"/>
      <c r="L1342" s="1"/>
      <c r="M1342" s="1"/>
      <c r="N1342" s="1"/>
    </row>
    <row r="1343" ht="14.5" spans="2:14">
      <c r="B1343" s="1"/>
      <c r="C1343" s="1"/>
      <c r="D1343" s="1"/>
      <c r="E1343" s="1"/>
      <c r="F1343" s="1"/>
      <c r="G1343" s="1"/>
      <c r="H1343" s="1"/>
      <c r="I1343" s="1"/>
      <c r="J1343" s="1"/>
      <c r="K1343" s="1"/>
      <c r="L1343" s="1"/>
      <c r="M1343" s="1"/>
      <c r="N1343" s="1"/>
    </row>
    <row r="1344" ht="14.5" spans="2:14">
      <c r="B1344" s="1"/>
      <c r="C1344" s="1"/>
      <c r="D1344" s="1"/>
      <c r="E1344" s="1"/>
      <c r="F1344" s="1"/>
      <c r="G1344" s="1"/>
      <c r="H1344" s="1"/>
      <c r="I1344" s="1"/>
      <c r="J1344" s="1"/>
      <c r="K1344" s="1"/>
      <c r="L1344" s="1"/>
      <c r="M1344" s="1"/>
      <c r="N1344" s="1"/>
    </row>
    <row r="1345" ht="14.5" spans="2:14">
      <c r="B1345" s="1"/>
      <c r="C1345" s="1"/>
      <c r="D1345" s="1"/>
      <c r="E1345" s="1"/>
      <c r="F1345" s="1"/>
      <c r="G1345" s="1"/>
      <c r="H1345" s="1"/>
      <c r="I1345" s="1"/>
      <c r="J1345" s="1"/>
      <c r="K1345" s="1"/>
      <c r="L1345" s="1"/>
      <c r="M1345" s="1"/>
      <c r="N1345" s="1"/>
    </row>
    <row r="1346" ht="14.5" spans="2:14">
      <c r="B1346" s="1"/>
      <c r="C1346" s="1"/>
      <c r="D1346" s="1"/>
      <c r="E1346" s="1"/>
      <c r="F1346" s="1"/>
      <c r="G1346" s="1"/>
      <c r="H1346" s="1"/>
      <c r="I1346" s="1"/>
      <c r="J1346" s="1"/>
      <c r="K1346" s="1"/>
      <c r="L1346" s="1"/>
      <c r="M1346" s="1"/>
      <c r="N1346" s="1"/>
    </row>
    <row r="1347" ht="14.5" spans="2:14">
      <c r="B1347" s="1"/>
      <c r="C1347" s="1"/>
      <c r="D1347" s="1"/>
      <c r="E1347" s="1"/>
      <c r="F1347" s="1"/>
      <c r="G1347" s="1"/>
      <c r="H1347" s="1"/>
      <c r="I1347" s="1"/>
      <c r="J1347" s="1"/>
      <c r="K1347" s="1"/>
      <c r="L1347" s="1"/>
      <c r="M1347" s="1"/>
      <c r="N1347" s="1"/>
    </row>
    <row r="1348" ht="14.5" spans="2:14">
      <c r="B1348" s="1"/>
      <c r="C1348" s="1"/>
      <c r="D1348" s="1"/>
      <c r="E1348" s="1"/>
      <c r="F1348" s="1"/>
      <c r="G1348" s="1"/>
      <c r="H1348" s="1"/>
      <c r="I1348" s="1"/>
      <c r="J1348" s="1"/>
      <c r="K1348" s="1"/>
      <c r="L1348" s="1"/>
      <c r="M1348" s="1"/>
      <c r="N1348" s="1"/>
    </row>
    <row r="1349" ht="14.5" spans="2:14">
      <c r="B1349" s="1"/>
      <c r="C1349" s="1"/>
      <c r="D1349" s="1"/>
      <c r="E1349" s="1"/>
      <c r="F1349" s="1"/>
      <c r="G1349" s="1"/>
      <c r="H1349" s="1"/>
      <c r="I1349" s="1"/>
      <c r="J1349" s="1"/>
      <c r="K1349" s="1"/>
      <c r="L1349" s="1"/>
      <c r="M1349" s="1"/>
      <c r="N1349" s="1"/>
    </row>
    <row r="1350" ht="14.5" spans="2:14">
      <c r="B1350" s="1"/>
      <c r="C1350" s="1"/>
      <c r="D1350" s="1"/>
      <c r="E1350" s="1"/>
      <c r="F1350" s="1"/>
      <c r="G1350" s="1"/>
      <c r="H1350" s="1"/>
      <c r="I1350" s="1"/>
      <c r="J1350" s="1"/>
      <c r="K1350" s="1"/>
      <c r="L1350" s="1"/>
      <c r="M1350" s="1"/>
      <c r="N1350" s="1"/>
    </row>
    <row r="1351" ht="14.5" spans="2:14">
      <c r="B1351" s="1"/>
      <c r="C1351" s="1"/>
      <c r="D1351" s="1"/>
      <c r="E1351" s="1"/>
      <c r="F1351" s="1"/>
      <c r="G1351" s="1"/>
      <c r="H1351" s="1"/>
      <c r="I1351" s="1"/>
      <c r="J1351" s="1"/>
      <c r="K1351" s="1"/>
      <c r="L1351" s="1"/>
      <c r="M1351" s="1"/>
      <c r="N1351" s="1"/>
    </row>
    <row r="1352" ht="14.5" spans="2:14">
      <c r="B1352" s="1"/>
      <c r="C1352" s="1"/>
      <c r="D1352" s="1"/>
      <c r="E1352" s="1"/>
      <c r="F1352" s="1"/>
      <c r="G1352" s="1"/>
      <c r="H1352" s="1"/>
      <c r="I1352" s="1"/>
      <c r="J1352" s="1"/>
      <c r="K1352" s="1"/>
      <c r="L1352" s="1"/>
      <c r="M1352" s="1"/>
      <c r="N1352" s="1"/>
    </row>
    <row r="1353" ht="14.5" spans="2:14">
      <c r="B1353" s="1"/>
      <c r="C1353" s="1"/>
      <c r="D1353" s="1"/>
      <c r="E1353" s="1"/>
      <c r="F1353" s="1"/>
      <c r="G1353" s="1"/>
      <c r="H1353" s="1"/>
      <c r="I1353" s="1"/>
      <c r="J1353" s="1"/>
      <c r="K1353" s="1"/>
      <c r="L1353" s="1"/>
      <c r="M1353" s="1"/>
      <c r="N1353" s="1"/>
    </row>
    <row r="1354" ht="14.5" spans="2:14">
      <c r="B1354" s="1"/>
      <c r="C1354" s="1"/>
      <c r="D1354" s="1"/>
      <c r="E1354" s="1"/>
      <c r="F1354" s="1"/>
      <c r="G1354" s="1"/>
      <c r="H1354" s="1"/>
      <c r="I1354" s="1"/>
      <c r="J1354" s="1"/>
      <c r="K1354" s="1"/>
      <c r="L1354" s="1"/>
      <c r="M1354" s="1"/>
      <c r="N1354" s="1"/>
    </row>
    <row r="1355" ht="14.5" spans="2:14">
      <c r="B1355" s="1"/>
      <c r="C1355" s="1"/>
      <c r="D1355" s="1"/>
      <c r="E1355" s="1"/>
      <c r="F1355" s="1"/>
      <c r="G1355" s="1"/>
      <c r="H1355" s="1"/>
      <c r="I1355" s="1"/>
      <c r="J1355" s="1"/>
      <c r="K1355" s="1"/>
      <c r="L1355" s="1"/>
      <c r="M1355" s="1"/>
      <c r="N1355" s="1"/>
    </row>
    <row r="1356" ht="14.5" spans="2:14">
      <c r="B1356" s="1"/>
      <c r="C1356" s="1"/>
      <c r="D1356" s="1"/>
      <c r="E1356" s="1"/>
      <c r="F1356" s="1"/>
      <c r="G1356" s="1"/>
      <c r="H1356" s="1"/>
      <c r="I1356" s="1"/>
      <c r="J1356" s="1"/>
      <c r="K1356" s="1"/>
      <c r="L1356" s="1"/>
      <c r="M1356" s="1"/>
      <c r="N1356" s="1"/>
    </row>
    <row r="1357" ht="14.5" spans="2:14">
      <c r="B1357" s="1"/>
      <c r="C1357" s="1"/>
      <c r="D1357" s="1"/>
      <c r="E1357" s="1"/>
      <c r="F1357" s="1"/>
      <c r="G1357" s="1"/>
      <c r="H1357" s="1"/>
      <c r="I1357" s="1"/>
      <c r="J1357" s="1"/>
      <c r="K1357" s="1"/>
      <c r="L1357" s="1"/>
      <c r="M1357" s="1"/>
      <c r="N1357" s="1"/>
    </row>
    <row r="1358" ht="14.5" spans="2:14">
      <c r="B1358" s="1"/>
      <c r="C1358" s="1"/>
      <c r="D1358" s="1"/>
      <c r="E1358" s="1"/>
      <c r="F1358" s="1"/>
      <c r="G1358" s="1"/>
      <c r="H1358" s="1"/>
      <c r="I1358" s="1"/>
      <c r="J1358" s="1"/>
      <c r="K1358" s="1"/>
      <c r="L1358" s="1"/>
      <c r="M1358" s="1"/>
      <c r="N1358" s="1"/>
    </row>
    <row r="1359" ht="14.5" spans="2:14">
      <c r="B1359" s="1"/>
      <c r="C1359" s="1"/>
      <c r="D1359" s="1"/>
      <c r="E1359" s="1"/>
      <c r="F1359" s="1"/>
      <c r="G1359" s="1"/>
      <c r="H1359" s="1"/>
      <c r="I1359" s="1"/>
      <c r="J1359" s="1"/>
      <c r="K1359" s="1"/>
      <c r="L1359" s="1"/>
      <c r="M1359" s="1"/>
      <c r="N1359" s="1"/>
    </row>
    <row r="1360" ht="14.5" spans="2:14">
      <c r="B1360" s="1"/>
      <c r="C1360" s="1"/>
      <c r="D1360" s="1"/>
      <c r="E1360" s="1"/>
      <c r="F1360" s="1"/>
      <c r="G1360" s="1"/>
      <c r="H1360" s="1"/>
      <c r="I1360" s="1"/>
      <c r="J1360" s="1"/>
      <c r="K1360" s="1"/>
      <c r="L1360" s="1"/>
      <c r="M1360" s="1"/>
      <c r="N1360" s="1"/>
    </row>
    <row r="1361" ht="14.5" spans="2:14">
      <c r="B1361" s="1"/>
      <c r="C1361" s="1"/>
      <c r="D1361" s="1"/>
      <c r="E1361" s="1"/>
      <c r="F1361" s="1"/>
      <c r="G1361" s="1"/>
      <c r="H1361" s="1"/>
      <c r="I1361" s="1"/>
      <c r="J1361" s="1"/>
      <c r="K1361" s="1"/>
      <c r="L1361" s="1"/>
      <c r="M1361" s="1"/>
      <c r="N1361" s="1"/>
    </row>
    <row r="1362" ht="14.5" spans="2:14">
      <c r="B1362" s="1"/>
      <c r="C1362" s="1"/>
      <c r="D1362" s="1"/>
      <c r="E1362" s="1"/>
      <c r="F1362" s="1"/>
      <c r="G1362" s="1"/>
      <c r="H1362" s="1"/>
      <c r="I1362" s="1"/>
      <c r="J1362" s="1"/>
      <c r="K1362" s="1"/>
      <c r="L1362" s="1"/>
      <c r="M1362" s="1"/>
      <c r="N1362" s="1"/>
    </row>
    <row r="1363" ht="14.5" spans="2:14">
      <c r="B1363" s="1"/>
      <c r="C1363" s="1"/>
      <c r="D1363" s="1"/>
      <c r="E1363" s="1"/>
      <c r="F1363" s="1"/>
      <c r="G1363" s="1"/>
      <c r="H1363" s="1"/>
      <c r="I1363" s="1"/>
      <c r="J1363" s="1"/>
      <c r="K1363" s="1"/>
      <c r="L1363" s="1"/>
      <c r="M1363" s="1"/>
      <c r="N1363" s="1"/>
    </row>
    <row r="1364" ht="14.5" spans="2:14">
      <c r="B1364" s="1"/>
      <c r="C1364" s="1"/>
      <c r="D1364" s="1"/>
      <c r="E1364" s="1"/>
      <c r="F1364" s="1"/>
      <c r="G1364" s="1"/>
      <c r="H1364" s="1"/>
      <c r="I1364" s="1"/>
      <c r="J1364" s="1"/>
      <c r="K1364" s="1"/>
      <c r="L1364" s="1"/>
      <c r="M1364" s="1"/>
      <c r="N1364" s="1"/>
    </row>
    <row r="1365" ht="14.5" spans="2:14">
      <c r="B1365" s="1"/>
      <c r="C1365" s="1"/>
      <c r="D1365" s="1"/>
      <c r="E1365" s="1"/>
      <c r="F1365" s="1"/>
      <c r="G1365" s="1"/>
      <c r="H1365" s="1"/>
      <c r="I1365" s="1"/>
      <c r="J1365" s="1"/>
      <c r="K1365" s="1"/>
      <c r="L1365" s="1"/>
      <c r="M1365" s="1"/>
      <c r="N1365" s="1"/>
    </row>
    <row r="1366" ht="14.5" spans="2:14">
      <c r="B1366" s="1"/>
      <c r="C1366" s="1"/>
      <c r="D1366" s="1"/>
      <c r="E1366" s="1"/>
      <c r="F1366" s="1"/>
      <c r="G1366" s="1"/>
      <c r="H1366" s="1"/>
      <c r="I1366" s="1"/>
      <c r="J1366" s="1"/>
      <c r="K1366" s="1"/>
      <c r="L1366" s="1"/>
      <c r="M1366" s="1"/>
      <c r="N1366" s="1"/>
    </row>
    <row r="1367" ht="14.5" spans="2:14">
      <c r="B1367" s="1"/>
      <c r="C1367" s="1"/>
      <c r="D1367" s="1"/>
      <c r="E1367" s="1"/>
      <c r="F1367" s="1"/>
      <c r="G1367" s="1"/>
      <c r="H1367" s="1"/>
      <c r="I1367" s="1"/>
      <c r="J1367" s="1"/>
      <c r="K1367" s="1"/>
      <c r="L1367" s="1"/>
      <c r="M1367" s="1"/>
      <c r="N1367" s="1"/>
    </row>
    <row r="1368" ht="14.5" spans="2:14">
      <c r="B1368" s="1"/>
      <c r="C1368" s="1"/>
      <c r="D1368" s="1"/>
      <c r="E1368" s="1"/>
      <c r="F1368" s="1"/>
      <c r="G1368" s="1"/>
      <c r="H1368" s="1"/>
      <c r="I1368" s="1"/>
      <c r="J1368" s="1"/>
      <c r="K1368" s="1"/>
      <c r="L1368" s="1"/>
      <c r="M1368" s="1"/>
      <c r="N1368" s="1"/>
    </row>
    <row r="1369" ht="14.5" spans="2:14">
      <c r="B1369" s="1"/>
      <c r="C1369" s="1"/>
      <c r="D1369" s="1"/>
      <c r="E1369" s="1"/>
      <c r="F1369" s="1"/>
      <c r="G1369" s="1"/>
      <c r="H1369" s="1"/>
      <c r="I1369" s="1"/>
      <c r="J1369" s="1"/>
      <c r="K1369" s="1"/>
      <c r="L1369" s="1"/>
      <c r="M1369" s="1"/>
      <c r="N1369" s="1"/>
    </row>
    <row r="1370" ht="14.5" spans="2:14">
      <c r="B1370" s="1"/>
      <c r="C1370" s="1"/>
      <c r="D1370" s="1"/>
      <c r="E1370" s="1"/>
      <c r="F1370" s="1"/>
      <c r="G1370" s="1"/>
      <c r="H1370" s="1"/>
      <c r="I1370" s="1"/>
      <c r="J1370" s="1"/>
      <c r="K1370" s="1"/>
      <c r="L1370" s="1"/>
      <c r="M1370" s="1"/>
      <c r="N1370" s="1"/>
    </row>
    <row r="1371" ht="14.5" spans="2:14">
      <c r="B1371" s="1"/>
      <c r="C1371" s="1"/>
      <c r="D1371" s="1"/>
      <c r="E1371" s="1"/>
      <c r="F1371" s="1"/>
      <c r="G1371" s="1"/>
      <c r="H1371" s="1"/>
      <c r="I1371" s="1"/>
      <c r="J1371" s="1"/>
      <c r="K1371" s="1"/>
      <c r="L1371" s="1"/>
      <c r="M1371" s="1"/>
      <c r="N1371" s="1"/>
    </row>
    <row r="1372" ht="14.5" spans="2:14">
      <c r="B1372" s="1"/>
      <c r="C1372" s="1"/>
      <c r="D1372" s="1"/>
      <c r="E1372" s="1"/>
      <c r="F1372" s="1"/>
      <c r="G1372" s="1"/>
      <c r="H1372" s="1"/>
      <c r="I1372" s="1"/>
      <c r="J1372" s="1"/>
      <c r="K1372" s="1"/>
      <c r="L1372" s="1"/>
      <c r="M1372" s="1"/>
      <c r="N1372" s="1"/>
    </row>
    <row r="1373" ht="14.5" spans="2:14">
      <c r="B1373" s="1"/>
      <c r="C1373" s="1"/>
      <c r="D1373" s="1"/>
      <c r="E1373" s="1"/>
      <c r="F1373" s="1"/>
      <c r="G1373" s="1"/>
      <c r="H1373" s="1"/>
      <c r="I1373" s="1"/>
      <c r="J1373" s="1"/>
      <c r="K1373" s="1"/>
      <c r="L1373" s="1"/>
      <c r="M1373" s="1"/>
      <c r="N1373" s="1"/>
    </row>
    <row r="1374" ht="14.5" spans="2:14">
      <c r="B1374" s="1"/>
      <c r="C1374" s="1"/>
      <c r="D1374" s="1"/>
      <c r="E1374" s="1"/>
      <c r="F1374" s="1"/>
      <c r="G1374" s="1"/>
      <c r="H1374" s="1"/>
      <c r="I1374" s="1"/>
      <c r="J1374" s="1"/>
      <c r="K1374" s="1"/>
      <c r="L1374" s="1"/>
      <c r="M1374" s="1"/>
      <c r="N1374" s="1"/>
    </row>
    <row r="1375" ht="14.5" spans="2:14">
      <c r="B1375" s="1"/>
      <c r="C1375" s="1"/>
      <c r="D1375" s="1"/>
      <c r="E1375" s="1"/>
      <c r="F1375" s="1"/>
      <c r="G1375" s="1"/>
      <c r="H1375" s="1"/>
      <c r="I1375" s="1"/>
      <c r="J1375" s="1"/>
      <c r="K1375" s="1"/>
      <c r="L1375" s="1"/>
      <c r="M1375" s="1"/>
      <c r="N1375" s="1"/>
    </row>
    <row r="1376" ht="14.5" spans="2:14">
      <c r="B1376" s="1"/>
      <c r="C1376" s="1"/>
      <c r="D1376" s="1"/>
      <c r="E1376" s="1"/>
      <c r="F1376" s="1"/>
      <c r="G1376" s="1"/>
      <c r="H1376" s="1"/>
      <c r="I1376" s="1"/>
      <c r="J1376" s="1"/>
      <c r="K1376" s="1"/>
      <c r="L1376" s="1"/>
      <c r="M1376" s="1"/>
      <c r="N1376" s="1"/>
    </row>
    <row r="1377" ht="14.5" spans="2:14">
      <c r="B1377" s="1"/>
      <c r="C1377" s="1"/>
      <c r="D1377" s="1"/>
      <c r="E1377" s="1"/>
      <c r="F1377" s="1"/>
      <c r="G1377" s="1"/>
      <c r="H1377" s="1"/>
      <c r="I1377" s="1"/>
      <c r="J1377" s="1"/>
      <c r="K1377" s="1"/>
      <c r="L1377" s="1"/>
      <c r="M1377" s="1"/>
      <c r="N1377" s="1"/>
    </row>
    <row r="1378" ht="14.5" spans="2:14">
      <c r="B1378" s="1"/>
      <c r="C1378" s="1"/>
      <c r="D1378" s="1"/>
      <c r="E1378" s="1"/>
      <c r="F1378" s="1"/>
      <c r="G1378" s="1"/>
      <c r="H1378" s="1"/>
      <c r="I1378" s="1"/>
      <c r="J1378" s="1"/>
      <c r="K1378" s="1"/>
      <c r="L1378" s="1"/>
      <c r="M1378" s="1"/>
      <c r="N1378" s="1"/>
    </row>
    <row r="1379" ht="14.5" spans="2:14">
      <c r="B1379" s="1"/>
      <c r="C1379" s="1"/>
      <c r="D1379" s="1"/>
      <c r="E1379" s="1"/>
      <c r="F1379" s="1"/>
      <c r="G1379" s="1"/>
      <c r="H1379" s="1"/>
      <c r="I1379" s="1"/>
      <c r="J1379" s="1"/>
      <c r="K1379" s="1"/>
      <c r="L1379" s="1"/>
      <c r="M1379" s="1"/>
      <c r="N1379" s="1"/>
    </row>
    <row r="1380" ht="14.5" spans="2:14">
      <c r="B1380" s="1"/>
      <c r="C1380" s="1"/>
      <c r="D1380" s="1"/>
      <c r="E1380" s="1"/>
      <c r="F1380" s="1"/>
      <c r="G1380" s="1"/>
      <c r="H1380" s="1"/>
      <c r="I1380" s="1"/>
      <c r="J1380" s="1"/>
      <c r="K1380" s="1"/>
      <c r="L1380" s="1"/>
      <c r="M1380" s="1"/>
      <c r="N1380" s="1"/>
    </row>
    <row r="1381" ht="14.5" spans="2:14">
      <c r="B1381" s="1"/>
      <c r="C1381" s="1"/>
      <c r="D1381" s="1"/>
      <c r="E1381" s="1"/>
      <c r="F1381" s="1"/>
      <c r="G1381" s="1"/>
      <c r="H1381" s="1"/>
      <c r="I1381" s="1"/>
      <c r="J1381" s="1"/>
      <c r="K1381" s="1"/>
      <c r="L1381" s="1"/>
      <c r="M1381" s="1"/>
      <c r="N1381" s="1"/>
    </row>
    <row r="1382" ht="14.5" spans="2:14">
      <c r="B1382" s="1"/>
      <c r="C1382" s="1"/>
      <c r="D1382" s="1"/>
      <c r="E1382" s="1"/>
      <c r="F1382" s="1"/>
      <c r="G1382" s="1"/>
      <c r="H1382" s="1"/>
      <c r="I1382" s="1"/>
      <c r="J1382" s="1"/>
      <c r="K1382" s="1"/>
      <c r="L1382" s="1"/>
      <c r="M1382" s="1"/>
      <c r="N1382" s="1"/>
    </row>
    <row r="1383" ht="14.5" spans="2:14">
      <c r="B1383" s="1"/>
      <c r="C1383" s="1"/>
      <c r="D1383" s="1"/>
      <c r="E1383" s="1"/>
      <c r="F1383" s="1"/>
      <c r="G1383" s="1"/>
      <c r="H1383" s="1"/>
      <c r="I1383" s="1"/>
      <c r="J1383" s="1"/>
      <c r="K1383" s="1"/>
      <c r="L1383" s="1"/>
      <c r="M1383" s="1"/>
      <c r="N1383" s="1"/>
    </row>
    <row r="1384" ht="14.5" spans="2:14">
      <c r="B1384" s="1"/>
      <c r="C1384" s="1"/>
      <c r="D1384" s="1"/>
      <c r="E1384" s="1"/>
      <c r="F1384" s="1"/>
      <c r="G1384" s="1"/>
      <c r="H1384" s="1"/>
      <c r="I1384" s="1"/>
      <c r="J1384" s="1"/>
      <c r="K1384" s="1"/>
      <c r="L1384" s="1"/>
      <c r="M1384" s="1"/>
      <c r="N1384" s="1"/>
    </row>
    <row r="1385" ht="14.5" spans="2:14">
      <c r="B1385" s="1"/>
      <c r="C1385" s="1"/>
      <c r="D1385" s="1"/>
      <c r="E1385" s="1"/>
      <c r="F1385" s="1"/>
      <c r="G1385" s="1"/>
      <c r="H1385" s="1"/>
      <c r="I1385" s="1"/>
      <c r="J1385" s="1"/>
      <c r="K1385" s="1"/>
      <c r="L1385" s="1"/>
      <c r="M1385" s="1"/>
      <c r="N1385" s="1"/>
    </row>
    <row r="1386" ht="14.5" spans="2:14">
      <c r="B1386" s="1"/>
      <c r="C1386" s="1"/>
      <c r="D1386" s="1"/>
      <c r="E1386" s="1"/>
      <c r="F1386" s="1"/>
      <c r="G1386" s="1"/>
      <c r="H1386" s="1"/>
      <c r="I1386" s="1"/>
      <c r="J1386" s="1"/>
      <c r="K1386" s="1"/>
      <c r="L1386" s="1"/>
      <c r="M1386" s="1"/>
      <c r="N1386" s="1"/>
    </row>
    <row r="1387" ht="14.5" spans="2:14">
      <c r="B1387" s="1"/>
      <c r="C1387" s="1"/>
      <c r="D1387" s="1"/>
      <c r="E1387" s="1"/>
      <c r="F1387" s="1"/>
      <c r="G1387" s="1"/>
      <c r="H1387" s="1"/>
      <c r="I1387" s="1"/>
      <c r="J1387" s="1"/>
      <c r="K1387" s="1"/>
      <c r="L1387" s="1"/>
      <c r="M1387" s="1"/>
      <c r="N1387" s="1"/>
    </row>
    <row r="1388" ht="14.5" spans="2:14">
      <c r="B1388" s="1"/>
      <c r="C1388" s="1"/>
      <c r="D1388" s="1"/>
      <c r="E1388" s="1"/>
      <c r="F1388" s="1"/>
      <c r="G1388" s="1"/>
      <c r="H1388" s="1"/>
      <c r="I1388" s="1"/>
      <c r="J1388" s="1"/>
      <c r="K1388" s="1"/>
      <c r="L1388" s="1"/>
      <c r="M1388" s="1"/>
      <c r="N1388" s="1"/>
    </row>
    <row r="1389" ht="14.5" spans="2:14">
      <c r="B1389" s="1"/>
      <c r="C1389" s="1"/>
      <c r="D1389" s="1"/>
      <c r="E1389" s="1"/>
      <c r="F1389" s="1"/>
      <c r="G1389" s="1"/>
      <c r="H1389" s="1"/>
      <c r="I1389" s="1"/>
      <c r="J1389" s="1"/>
      <c r="K1389" s="1"/>
      <c r="L1389" s="1"/>
      <c r="M1389" s="1"/>
      <c r="N1389" s="1"/>
    </row>
    <row r="1390" ht="14.5" spans="2:14">
      <c r="B1390" s="1"/>
      <c r="C1390" s="1"/>
      <c r="D1390" s="1"/>
      <c r="E1390" s="1"/>
      <c r="F1390" s="1"/>
      <c r="G1390" s="1"/>
      <c r="H1390" s="1"/>
      <c r="I1390" s="1"/>
      <c r="J1390" s="1"/>
      <c r="K1390" s="1"/>
      <c r="L1390" s="1"/>
      <c r="M1390" s="1"/>
      <c r="N1390" s="1"/>
    </row>
    <row r="1391" ht="14.5" spans="2:14">
      <c r="B1391" s="1"/>
      <c r="C1391" s="1"/>
      <c r="D1391" s="1"/>
      <c r="E1391" s="1"/>
      <c r="F1391" s="1"/>
      <c r="G1391" s="1"/>
      <c r="H1391" s="1"/>
      <c r="I1391" s="1"/>
      <c r="J1391" s="1"/>
      <c r="K1391" s="1"/>
      <c r="L1391" s="1"/>
      <c r="M1391" s="1"/>
      <c r="N1391" s="1"/>
    </row>
    <row r="1392" ht="14.5" spans="2:14">
      <c r="B1392" s="1"/>
      <c r="C1392" s="1"/>
      <c r="D1392" s="1"/>
      <c r="E1392" s="1"/>
      <c r="F1392" s="1"/>
      <c r="G1392" s="1"/>
      <c r="H1392" s="1"/>
      <c r="I1392" s="1"/>
      <c r="J1392" s="1"/>
      <c r="K1392" s="1"/>
      <c r="L1392" s="1"/>
      <c r="M1392" s="1"/>
      <c r="N1392" s="1"/>
    </row>
    <row r="1393" ht="14.5" spans="2:14">
      <c r="B1393" s="1"/>
      <c r="C1393" s="1"/>
      <c r="D1393" s="1"/>
      <c r="E1393" s="1"/>
      <c r="F1393" s="1"/>
      <c r="G1393" s="1"/>
      <c r="H1393" s="1"/>
      <c r="I1393" s="1"/>
      <c r="J1393" s="1"/>
      <c r="K1393" s="1"/>
      <c r="L1393" s="1"/>
      <c r="M1393" s="1"/>
      <c r="N1393" s="1"/>
    </row>
    <row r="1394" ht="14.5" spans="2:14">
      <c r="B1394" s="1"/>
      <c r="C1394" s="1"/>
      <c r="D1394" s="1"/>
      <c r="E1394" s="1"/>
      <c r="F1394" s="1"/>
      <c r="G1394" s="1"/>
      <c r="H1394" s="1"/>
      <c r="I1394" s="1"/>
      <c r="J1394" s="1"/>
      <c r="K1394" s="1"/>
      <c r="L1394" s="1"/>
      <c r="M1394" s="1"/>
      <c r="N1394" s="1"/>
    </row>
    <row r="1395" ht="14.5" spans="2:14">
      <c r="B1395" s="1"/>
      <c r="C1395" s="1"/>
      <c r="D1395" s="1"/>
      <c r="E1395" s="1"/>
      <c r="F1395" s="1"/>
      <c r="G1395" s="1"/>
      <c r="H1395" s="1"/>
      <c r="I1395" s="1"/>
      <c r="J1395" s="1"/>
      <c r="K1395" s="1"/>
      <c r="L1395" s="1"/>
      <c r="M1395" s="1"/>
      <c r="N1395" s="1"/>
    </row>
    <row r="1396" ht="14.5" spans="2:14">
      <c r="B1396" s="1"/>
      <c r="C1396" s="1"/>
      <c r="D1396" s="1"/>
      <c r="E1396" s="1"/>
      <c r="F1396" s="1"/>
      <c r="G1396" s="1"/>
      <c r="H1396" s="1"/>
      <c r="I1396" s="1"/>
      <c r="J1396" s="1"/>
      <c r="K1396" s="1"/>
      <c r="L1396" s="1"/>
      <c r="M1396" s="1"/>
      <c r="N1396" s="1"/>
    </row>
    <row r="1397" ht="14.5" spans="2:14">
      <c r="B1397" s="1"/>
      <c r="C1397" s="1"/>
      <c r="D1397" s="1"/>
      <c r="E1397" s="1"/>
      <c r="F1397" s="1"/>
      <c r="G1397" s="1"/>
      <c r="H1397" s="1"/>
      <c r="I1397" s="1"/>
      <c r="J1397" s="1"/>
      <c r="K1397" s="1"/>
      <c r="L1397" s="1"/>
      <c r="M1397" s="1"/>
      <c r="N1397" s="1"/>
    </row>
    <row r="1398" ht="14.5" spans="2:14">
      <c r="B1398" s="1"/>
      <c r="C1398" s="1"/>
      <c r="D1398" s="1"/>
      <c r="E1398" s="1"/>
      <c r="F1398" s="1"/>
      <c r="G1398" s="1"/>
      <c r="H1398" s="1"/>
      <c r="I1398" s="1"/>
      <c r="J1398" s="1"/>
      <c r="K1398" s="1"/>
      <c r="L1398" s="1"/>
      <c r="M1398" s="1"/>
      <c r="N1398" s="1"/>
    </row>
    <row r="1399" ht="14.5" spans="2:14">
      <c r="B1399" s="1"/>
      <c r="C1399" s="1"/>
      <c r="D1399" s="1"/>
      <c r="E1399" s="1"/>
      <c r="F1399" s="1"/>
      <c r="G1399" s="1"/>
      <c r="H1399" s="1"/>
      <c r="I1399" s="1"/>
      <c r="J1399" s="1"/>
      <c r="K1399" s="1"/>
      <c r="L1399" s="1"/>
      <c r="M1399" s="1"/>
      <c r="N1399" s="1"/>
    </row>
    <row r="1400" ht="14.5" spans="2:14">
      <c r="B1400" s="1"/>
      <c r="C1400" s="1"/>
      <c r="D1400" s="1"/>
      <c r="E1400" s="1"/>
      <c r="F1400" s="1"/>
      <c r="G1400" s="1"/>
      <c r="H1400" s="1"/>
      <c r="I1400" s="1"/>
      <c r="J1400" s="1"/>
      <c r="K1400" s="1"/>
      <c r="L1400" s="1"/>
      <c r="M1400" s="1"/>
      <c r="N1400" s="1"/>
    </row>
    <row r="1401" ht="14.5" spans="2:14">
      <c r="B1401" s="1"/>
      <c r="C1401" s="1"/>
      <c r="D1401" s="1"/>
      <c r="E1401" s="1"/>
      <c r="F1401" s="1"/>
      <c r="G1401" s="1"/>
      <c r="H1401" s="1"/>
      <c r="I1401" s="1"/>
      <c r="J1401" s="1"/>
      <c r="K1401" s="1"/>
      <c r="L1401" s="1"/>
      <c r="M1401" s="1"/>
      <c r="N1401" s="1"/>
    </row>
    <row r="1402" ht="14.5" spans="2:14">
      <c r="B1402" s="1"/>
      <c r="C1402" s="1"/>
      <c r="D1402" s="1"/>
      <c r="E1402" s="1"/>
      <c r="F1402" s="1"/>
      <c r="G1402" s="1"/>
      <c r="H1402" s="1"/>
      <c r="I1402" s="1"/>
      <c r="J1402" s="1"/>
      <c r="K1402" s="1"/>
      <c r="L1402" s="1"/>
      <c r="M1402" s="1"/>
      <c r="N1402" s="1"/>
    </row>
    <row r="1403" ht="14.5" spans="2:14">
      <c r="B1403" s="1"/>
      <c r="C1403" s="1"/>
      <c r="D1403" s="1"/>
      <c r="E1403" s="1"/>
      <c r="F1403" s="1"/>
      <c r="G1403" s="1"/>
      <c r="H1403" s="1"/>
      <c r="I1403" s="1"/>
      <c r="J1403" s="1"/>
      <c r="K1403" s="1"/>
      <c r="L1403" s="1"/>
      <c r="M1403" s="1"/>
      <c r="N1403" s="1"/>
    </row>
    <row r="1404" ht="14.5" spans="2:14">
      <c r="B1404" s="1"/>
      <c r="C1404" s="1"/>
      <c r="D1404" s="1"/>
      <c r="E1404" s="1"/>
      <c r="F1404" s="1"/>
      <c r="G1404" s="1"/>
      <c r="H1404" s="1"/>
      <c r="I1404" s="1"/>
      <c r="J1404" s="1"/>
      <c r="K1404" s="1"/>
      <c r="L1404" s="1"/>
      <c r="M1404" s="1"/>
      <c r="N1404" s="1"/>
    </row>
    <row r="1405" ht="14.5" spans="2:14">
      <c r="B1405" s="1"/>
      <c r="C1405" s="1"/>
      <c r="D1405" s="1"/>
      <c r="E1405" s="1"/>
      <c r="F1405" s="1"/>
      <c r="G1405" s="1"/>
      <c r="H1405" s="1"/>
      <c r="I1405" s="1"/>
      <c r="J1405" s="1"/>
      <c r="K1405" s="1"/>
      <c r="L1405" s="1"/>
      <c r="M1405" s="1"/>
      <c r="N1405" s="1"/>
    </row>
    <row r="1406" ht="14.5" spans="2:14">
      <c r="B1406" s="1"/>
      <c r="C1406" s="1"/>
      <c r="D1406" s="1"/>
      <c r="E1406" s="1"/>
      <c r="F1406" s="1"/>
      <c r="G1406" s="1"/>
      <c r="H1406" s="1"/>
      <c r="I1406" s="1"/>
      <c r="J1406" s="1"/>
      <c r="K1406" s="1"/>
      <c r="L1406" s="1"/>
      <c r="M1406" s="1"/>
      <c r="N1406" s="1"/>
    </row>
    <row r="1407" ht="14.5" spans="2:14">
      <c r="B1407" s="1"/>
      <c r="C1407" s="1"/>
      <c r="D1407" s="1"/>
      <c r="E1407" s="1"/>
      <c r="F1407" s="1"/>
      <c r="G1407" s="1"/>
      <c r="H1407" s="1"/>
      <c r="I1407" s="1"/>
      <c r="J1407" s="1"/>
      <c r="K1407" s="1"/>
      <c r="L1407" s="1"/>
      <c r="M1407" s="1"/>
      <c r="N1407" s="1"/>
    </row>
    <row r="1408" ht="14.5" spans="2:14">
      <c r="B1408" s="1"/>
      <c r="C1408" s="1"/>
      <c r="D1408" s="1"/>
      <c r="E1408" s="1"/>
      <c r="F1408" s="1"/>
      <c r="G1408" s="1"/>
      <c r="H1408" s="1"/>
      <c r="I1408" s="1"/>
      <c r="J1408" s="1"/>
      <c r="K1408" s="1"/>
      <c r="L1408" s="1"/>
      <c r="M1408" s="1"/>
      <c r="N1408" s="1"/>
    </row>
    <row r="1409" ht="14.5" spans="2:14">
      <c r="B1409" s="1"/>
      <c r="C1409" s="1"/>
      <c r="D1409" s="1"/>
      <c r="E1409" s="1"/>
      <c r="F1409" s="1"/>
      <c r="G1409" s="1"/>
      <c r="H1409" s="1"/>
      <c r="I1409" s="1"/>
      <c r="J1409" s="1"/>
      <c r="K1409" s="1"/>
      <c r="L1409" s="1"/>
      <c r="M1409" s="1"/>
      <c r="N1409" s="1"/>
    </row>
    <row r="1410" ht="14.5" spans="2:14">
      <c r="B1410" s="1"/>
      <c r="C1410" s="1"/>
      <c r="D1410" s="1"/>
      <c r="E1410" s="1"/>
      <c r="F1410" s="1"/>
      <c r="G1410" s="1"/>
      <c r="H1410" s="1"/>
      <c r="I1410" s="1"/>
      <c r="J1410" s="1"/>
      <c r="K1410" s="1"/>
      <c r="L1410" s="1"/>
      <c r="M1410" s="1"/>
      <c r="N1410" s="1"/>
    </row>
    <row r="1411" ht="14.5" spans="2:14">
      <c r="B1411" s="1"/>
      <c r="C1411" s="1"/>
      <c r="D1411" s="1"/>
      <c r="E1411" s="1"/>
      <c r="F1411" s="1"/>
      <c r="G1411" s="1"/>
      <c r="H1411" s="1"/>
      <c r="I1411" s="1"/>
      <c r="J1411" s="1"/>
      <c r="K1411" s="1"/>
      <c r="L1411" s="1"/>
      <c r="M1411" s="1"/>
      <c r="N1411" s="1"/>
    </row>
    <row r="1412" ht="14.5" spans="2:14">
      <c r="B1412" s="1"/>
      <c r="C1412" s="1"/>
      <c r="D1412" s="1"/>
      <c r="E1412" s="1"/>
      <c r="F1412" s="1"/>
      <c r="G1412" s="1"/>
      <c r="H1412" s="1"/>
      <c r="I1412" s="1"/>
      <c r="J1412" s="1"/>
      <c r="K1412" s="1"/>
      <c r="L1412" s="1"/>
      <c r="M1412" s="1"/>
      <c r="N1412" s="1"/>
    </row>
    <row r="1413" ht="14.5" spans="2:14">
      <c r="B1413" s="1"/>
      <c r="C1413" s="1"/>
      <c r="D1413" s="1"/>
      <c r="E1413" s="1"/>
      <c r="F1413" s="1"/>
      <c r="G1413" s="1"/>
      <c r="H1413" s="1"/>
      <c r="I1413" s="1"/>
      <c r="J1413" s="1"/>
      <c r="K1413" s="1"/>
      <c r="L1413" s="1"/>
      <c r="M1413" s="1"/>
      <c r="N1413" s="1"/>
    </row>
    <row r="1414" ht="14.5" spans="2:14">
      <c r="B1414" s="1"/>
      <c r="C1414" s="1"/>
      <c r="D1414" s="1"/>
      <c r="E1414" s="1"/>
      <c r="F1414" s="1"/>
      <c r="G1414" s="1"/>
      <c r="H1414" s="1"/>
      <c r="I1414" s="1"/>
      <c r="J1414" s="1"/>
      <c r="K1414" s="1"/>
      <c r="L1414" s="1"/>
      <c r="M1414" s="1"/>
      <c r="N1414" s="1"/>
    </row>
    <row r="1415" ht="14.5" spans="2:14">
      <c r="B1415" s="1"/>
      <c r="C1415" s="1"/>
      <c r="D1415" s="1"/>
      <c r="E1415" s="1"/>
      <c r="F1415" s="1"/>
      <c r="G1415" s="1"/>
      <c r="H1415" s="1"/>
      <c r="I1415" s="1"/>
      <c r="J1415" s="1"/>
      <c r="K1415" s="1"/>
      <c r="L1415" s="1"/>
      <c r="M1415" s="1"/>
      <c r="N1415" s="1"/>
    </row>
    <row r="1416" ht="14.5" spans="2:14">
      <c r="B1416" s="1"/>
      <c r="C1416" s="1"/>
      <c r="D1416" s="1"/>
      <c r="E1416" s="1"/>
      <c r="F1416" s="1"/>
      <c r="G1416" s="1"/>
      <c r="H1416" s="1"/>
      <c r="I1416" s="1"/>
      <c r="J1416" s="1"/>
      <c r="K1416" s="1"/>
      <c r="L1416" s="1"/>
      <c r="M1416" s="1"/>
      <c r="N1416" s="1"/>
    </row>
    <row r="1417" ht="14.5" spans="2:14">
      <c r="B1417" s="1"/>
      <c r="C1417" s="1"/>
      <c r="D1417" s="1"/>
      <c r="E1417" s="1"/>
      <c r="F1417" s="1"/>
      <c r="G1417" s="1"/>
      <c r="H1417" s="1"/>
      <c r="I1417" s="1"/>
      <c r="J1417" s="1"/>
      <c r="K1417" s="1"/>
      <c r="L1417" s="1"/>
      <c r="M1417" s="1"/>
      <c r="N1417" s="1"/>
    </row>
    <row r="1418" ht="14.5" spans="2:14">
      <c r="B1418" s="1"/>
      <c r="C1418" s="1"/>
      <c r="D1418" s="1"/>
      <c r="E1418" s="1"/>
      <c r="F1418" s="1"/>
      <c r="G1418" s="1"/>
      <c r="H1418" s="1"/>
      <c r="I1418" s="1"/>
      <c r="J1418" s="1"/>
      <c r="K1418" s="1"/>
      <c r="L1418" s="1"/>
      <c r="M1418" s="1"/>
      <c r="N1418" s="1"/>
    </row>
    <row r="1419" ht="14.5" spans="2:14">
      <c r="B1419" s="1"/>
      <c r="C1419" s="1"/>
      <c r="D1419" s="1"/>
      <c r="E1419" s="1"/>
      <c r="F1419" s="1"/>
      <c r="G1419" s="1"/>
      <c r="H1419" s="1"/>
      <c r="I1419" s="1"/>
      <c r="J1419" s="1"/>
      <c r="K1419" s="1"/>
      <c r="L1419" s="1"/>
      <c r="M1419" s="1"/>
      <c r="N1419" s="1"/>
    </row>
    <row r="1420" ht="14.5" spans="2:14">
      <c r="B1420" s="1"/>
      <c r="C1420" s="1"/>
      <c r="D1420" s="1"/>
      <c r="E1420" s="1"/>
      <c r="F1420" s="1"/>
      <c r="G1420" s="1"/>
      <c r="H1420" s="1"/>
      <c r="I1420" s="1"/>
      <c r="J1420" s="1"/>
      <c r="K1420" s="1"/>
      <c r="L1420" s="1"/>
      <c r="M1420" s="1"/>
      <c r="N1420" s="1"/>
    </row>
    <row r="1421" ht="14.5" spans="2:14">
      <c r="B1421" s="1"/>
      <c r="C1421" s="1"/>
      <c r="D1421" s="1"/>
      <c r="E1421" s="1"/>
      <c r="F1421" s="1"/>
      <c r="G1421" s="1"/>
      <c r="H1421" s="1"/>
      <c r="I1421" s="1"/>
      <c r="J1421" s="1"/>
      <c r="K1421" s="1"/>
      <c r="L1421" s="1"/>
      <c r="M1421" s="1"/>
      <c r="N1421" s="1"/>
    </row>
    <row r="1422" ht="14.5" spans="2:14">
      <c r="B1422" s="1"/>
      <c r="C1422" s="1"/>
      <c r="D1422" s="1"/>
      <c r="E1422" s="1"/>
      <c r="F1422" s="1"/>
      <c r="G1422" s="1"/>
      <c r="H1422" s="1"/>
      <c r="I1422" s="1"/>
      <c r="J1422" s="1"/>
      <c r="K1422" s="1"/>
      <c r="L1422" s="1"/>
      <c r="M1422" s="1"/>
      <c r="N1422" s="1"/>
    </row>
    <row r="1423" ht="14.5" spans="2:14">
      <c r="B1423" s="1"/>
      <c r="C1423" s="1"/>
      <c r="D1423" s="1"/>
      <c r="E1423" s="1"/>
      <c r="F1423" s="1"/>
      <c r="G1423" s="1"/>
      <c r="H1423" s="1"/>
      <c r="I1423" s="1"/>
      <c r="J1423" s="1"/>
      <c r="K1423" s="1"/>
      <c r="L1423" s="1"/>
      <c r="M1423" s="1"/>
      <c r="N1423" s="1"/>
    </row>
    <row r="1424" ht="14.5" spans="2:14">
      <c r="B1424" s="1"/>
      <c r="C1424" s="1"/>
      <c r="D1424" s="1"/>
      <c r="E1424" s="1"/>
      <c r="F1424" s="1"/>
      <c r="G1424" s="1"/>
      <c r="H1424" s="1"/>
      <c r="I1424" s="1"/>
      <c r="J1424" s="1"/>
      <c r="K1424" s="1"/>
      <c r="L1424" s="1"/>
      <c r="M1424" s="1"/>
      <c r="N1424" s="1"/>
    </row>
    <row r="1425" ht="14.5" spans="2:14">
      <c r="B1425" s="1"/>
      <c r="C1425" s="1"/>
      <c r="D1425" s="1"/>
      <c r="E1425" s="1"/>
      <c r="F1425" s="1"/>
      <c r="G1425" s="1"/>
      <c r="H1425" s="1"/>
      <c r="I1425" s="1"/>
      <c r="J1425" s="1"/>
      <c r="K1425" s="1"/>
      <c r="L1425" s="1"/>
      <c r="M1425" s="1"/>
      <c r="N1425" s="1"/>
    </row>
    <row r="1426" ht="14.5" spans="2:14">
      <c r="B1426" s="1"/>
      <c r="C1426" s="1"/>
      <c r="D1426" s="1"/>
      <c r="E1426" s="1"/>
      <c r="F1426" s="1"/>
      <c r="G1426" s="1"/>
      <c r="H1426" s="1"/>
      <c r="I1426" s="1"/>
      <c r="J1426" s="1"/>
      <c r="K1426" s="1"/>
      <c r="L1426" s="1"/>
      <c r="M1426" s="1"/>
      <c r="N1426" s="1"/>
    </row>
    <row r="1427" ht="14.5" spans="2:14">
      <c r="B1427" s="1"/>
      <c r="C1427" s="1"/>
      <c r="D1427" s="1"/>
      <c r="E1427" s="1"/>
      <c r="F1427" s="1"/>
      <c r="G1427" s="1"/>
      <c r="H1427" s="1"/>
      <c r="I1427" s="1"/>
      <c r="J1427" s="1"/>
      <c r="K1427" s="1"/>
      <c r="L1427" s="1"/>
      <c r="M1427" s="1"/>
      <c r="N1427" s="1"/>
    </row>
    <row r="1428" ht="14.5" spans="2:14">
      <c r="B1428" s="1"/>
      <c r="C1428" s="1"/>
      <c r="D1428" s="1"/>
      <c r="E1428" s="1"/>
      <c r="F1428" s="1"/>
      <c r="G1428" s="1"/>
      <c r="H1428" s="1"/>
      <c r="I1428" s="1"/>
      <c r="J1428" s="1"/>
      <c r="K1428" s="1"/>
      <c r="L1428" s="1"/>
      <c r="M1428" s="1"/>
      <c r="N1428" s="1"/>
    </row>
    <row r="1429" ht="14.5" spans="2:14">
      <c r="B1429" s="1"/>
      <c r="C1429" s="1"/>
      <c r="D1429" s="1"/>
      <c r="E1429" s="1"/>
      <c r="F1429" s="1"/>
      <c r="G1429" s="1"/>
      <c r="H1429" s="1"/>
      <c r="I1429" s="1"/>
      <c r="J1429" s="1"/>
      <c r="K1429" s="1"/>
      <c r="L1429" s="1"/>
      <c r="M1429" s="1"/>
      <c r="N1429" s="1"/>
    </row>
    <row r="1430" ht="14.5" spans="2:14">
      <c r="B1430" s="1"/>
      <c r="C1430" s="1"/>
      <c r="D1430" s="1"/>
      <c r="E1430" s="1"/>
      <c r="F1430" s="1"/>
      <c r="G1430" s="1"/>
      <c r="H1430" s="1"/>
      <c r="I1430" s="1"/>
      <c r="J1430" s="1"/>
      <c r="K1430" s="1"/>
      <c r="L1430" s="1"/>
      <c r="M1430" s="1"/>
      <c r="N1430" s="1"/>
    </row>
    <row r="1431" ht="14.5" spans="2:14">
      <c r="B1431" s="1"/>
      <c r="C1431" s="1"/>
      <c r="D1431" s="1"/>
      <c r="E1431" s="1"/>
      <c r="F1431" s="1"/>
      <c r="G1431" s="1"/>
      <c r="H1431" s="1"/>
      <c r="I1431" s="1"/>
      <c r="J1431" s="1"/>
      <c r="K1431" s="1"/>
      <c r="L1431" s="1"/>
      <c r="M1431" s="1"/>
      <c r="N1431" s="1"/>
    </row>
    <row r="1432" ht="14.5" spans="2:14">
      <c r="B1432" s="1"/>
      <c r="C1432" s="1"/>
      <c r="D1432" s="1"/>
      <c r="E1432" s="1"/>
      <c r="F1432" s="1"/>
      <c r="G1432" s="1"/>
      <c r="H1432" s="1"/>
      <c r="I1432" s="1"/>
      <c r="J1432" s="1"/>
      <c r="K1432" s="1"/>
      <c r="L1432" s="1"/>
      <c r="M1432" s="1"/>
      <c r="N1432" s="1"/>
    </row>
    <row r="1433" ht="14.5" spans="2:14">
      <c r="B1433" s="1"/>
      <c r="C1433" s="1"/>
      <c r="D1433" s="1"/>
      <c r="E1433" s="1"/>
      <c r="F1433" s="1"/>
      <c r="G1433" s="1"/>
      <c r="H1433" s="1"/>
      <c r="I1433" s="1"/>
      <c r="J1433" s="1"/>
      <c r="K1433" s="1"/>
      <c r="L1433" s="1"/>
      <c r="M1433" s="1"/>
      <c r="N1433" s="1"/>
    </row>
    <row r="1434" ht="14.5" spans="2:14">
      <c r="B1434" s="1"/>
      <c r="C1434" s="1"/>
      <c r="D1434" s="1"/>
      <c r="E1434" s="1"/>
      <c r="F1434" s="1"/>
      <c r="G1434" s="1"/>
      <c r="H1434" s="1"/>
      <c r="I1434" s="1"/>
      <c r="J1434" s="1"/>
      <c r="K1434" s="1"/>
      <c r="L1434" s="1"/>
      <c r="M1434" s="1"/>
      <c r="N1434" s="1"/>
    </row>
    <row r="1435" ht="14.5" spans="2:14">
      <c r="B1435" s="1"/>
      <c r="C1435" s="1"/>
      <c r="D1435" s="1"/>
      <c r="E1435" s="1"/>
      <c r="F1435" s="1"/>
      <c r="G1435" s="1"/>
      <c r="H1435" s="1"/>
      <c r="I1435" s="1"/>
      <c r="J1435" s="1"/>
      <c r="K1435" s="1"/>
      <c r="L1435" s="1"/>
      <c r="M1435" s="1"/>
      <c r="N1435" s="1"/>
    </row>
    <row r="1436" ht="14.5" spans="2:14">
      <c r="B1436" s="1"/>
      <c r="C1436" s="1"/>
      <c r="D1436" s="1"/>
      <c r="E1436" s="1"/>
      <c r="F1436" s="1"/>
      <c r="G1436" s="1"/>
      <c r="H1436" s="1"/>
      <c r="I1436" s="1"/>
      <c r="J1436" s="1"/>
      <c r="K1436" s="1"/>
      <c r="L1436" s="1"/>
      <c r="M1436" s="1"/>
      <c r="N1436" s="1"/>
    </row>
    <row r="1437" ht="14.5" spans="2:14">
      <c r="B1437" s="1"/>
      <c r="C1437" s="1"/>
      <c r="D1437" s="1"/>
      <c r="E1437" s="1"/>
      <c r="F1437" s="1"/>
      <c r="G1437" s="1"/>
      <c r="H1437" s="1"/>
      <c r="I1437" s="1"/>
      <c r="J1437" s="1"/>
      <c r="K1437" s="1"/>
      <c r="L1437" s="1"/>
      <c r="M1437" s="1"/>
      <c r="N1437" s="1"/>
    </row>
    <row r="1438" ht="14.5" spans="2:14">
      <c r="B1438" s="1"/>
      <c r="C1438" s="1"/>
      <c r="D1438" s="1"/>
      <c r="E1438" s="1"/>
      <c r="F1438" s="1"/>
      <c r="G1438" s="1"/>
      <c r="H1438" s="1"/>
      <c r="I1438" s="1"/>
      <c r="J1438" s="1"/>
      <c r="K1438" s="1"/>
      <c r="L1438" s="1"/>
      <c r="M1438" s="1"/>
      <c r="N1438" s="1"/>
    </row>
    <row r="1439" ht="14.5" spans="2:14">
      <c r="B1439" s="1"/>
      <c r="C1439" s="1"/>
      <c r="D1439" s="1"/>
      <c r="E1439" s="1"/>
      <c r="F1439" s="1"/>
      <c r="G1439" s="1"/>
      <c r="H1439" s="1"/>
      <c r="I1439" s="1"/>
      <c r="J1439" s="1"/>
      <c r="K1439" s="1"/>
      <c r="L1439" s="1"/>
      <c r="M1439" s="1"/>
      <c r="N1439" s="1"/>
    </row>
    <row r="1440" ht="14.5" spans="2:14">
      <c r="B1440" s="1"/>
      <c r="C1440" s="1"/>
      <c r="D1440" s="1"/>
      <c r="E1440" s="1"/>
      <c r="F1440" s="1"/>
      <c r="G1440" s="1"/>
      <c r="H1440" s="1"/>
      <c r="I1440" s="1"/>
      <c r="J1440" s="1"/>
      <c r="K1440" s="1"/>
      <c r="L1440" s="1"/>
      <c r="M1440" s="1"/>
      <c r="N1440" s="1"/>
    </row>
    <row r="1441" ht="14.5" spans="2:14">
      <c r="B1441" s="1"/>
      <c r="C1441" s="1"/>
      <c r="D1441" s="1"/>
      <c r="E1441" s="1"/>
      <c r="F1441" s="1"/>
      <c r="G1441" s="1"/>
      <c r="H1441" s="1"/>
      <c r="I1441" s="1"/>
      <c r="J1441" s="1"/>
      <c r="K1441" s="1"/>
      <c r="L1441" s="1"/>
      <c r="M1441" s="1"/>
      <c r="N1441" s="1"/>
    </row>
    <row r="1442" ht="14.5" spans="2:14">
      <c r="B1442" s="1"/>
      <c r="C1442" s="1"/>
      <c r="D1442" s="1"/>
      <c r="E1442" s="1"/>
      <c r="F1442" s="1"/>
      <c r="G1442" s="1"/>
      <c r="H1442" s="1"/>
      <c r="I1442" s="1"/>
      <c r="J1442" s="1"/>
      <c r="K1442" s="1"/>
      <c r="L1442" s="1"/>
      <c r="M1442" s="1"/>
      <c r="N1442" s="1"/>
    </row>
    <row r="1443" ht="14.5" spans="2:14">
      <c r="B1443" s="1"/>
      <c r="C1443" s="1"/>
      <c r="D1443" s="1"/>
      <c r="E1443" s="1"/>
      <c r="F1443" s="1"/>
      <c r="G1443" s="1"/>
      <c r="H1443" s="1"/>
      <c r="I1443" s="1"/>
      <c r="J1443" s="1"/>
      <c r="K1443" s="1"/>
      <c r="L1443" s="1"/>
      <c r="M1443" s="1"/>
      <c r="N1443" s="1"/>
    </row>
    <row r="1444" ht="14.5" spans="2:14">
      <c r="B1444" s="1"/>
      <c r="C1444" s="1"/>
      <c r="D1444" s="1"/>
      <c r="E1444" s="1"/>
      <c r="F1444" s="1"/>
      <c r="G1444" s="1"/>
      <c r="H1444" s="1"/>
      <c r="I1444" s="1"/>
      <c r="J1444" s="1"/>
      <c r="K1444" s="1"/>
      <c r="L1444" s="1"/>
      <c r="M1444" s="1"/>
      <c r="N1444" s="1"/>
    </row>
    <row r="1445" ht="14.5" spans="2:14">
      <c r="B1445" s="1"/>
      <c r="C1445" s="1"/>
      <c r="D1445" s="1"/>
      <c r="E1445" s="1"/>
      <c r="F1445" s="1"/>
      <c r="G1445" s="1"/>
      <c r="H1445" s="1"/>
      <c r="I1445" s="1"/>
      <c r="J1445" s="1"/>
      <c r="K1445" s="1"/>
      <c r="L1445" s="1"/>
      <c r="M1445" s="1"/>
      <c r="N1445" s="1"/>
    </row>
    <row r="1446" ht="14.5" spans="2:14">
      <c r="B1446" s="1"/>
      <c r="C1446" s="1"/>
      <c r="D1446" s="1"/>
      <c r="E1446" s="1"/>
      <c r="F1446" s="1"/>
      <c r="G1446" s="1"/>
      <c r="H1446" s="1"/>
      <c r="I1446" s="1"/>
      <c r="J1446" s="1"/>
      <c r="K1446" s="1"/>
      <c r="L1446" s="1"/>
      <c r="M1446" s="1"/>
      <c r="N1446" s="1"/>
    </row>
    <row r="1447" ht="14.5" spans="2:14">
      <c r="B1447" s="1"/>
      <c r="C1447" s="1"/>
      <c r="D1447" s="1"/>
      <c r="E1447" s="1"/>
      <c r="F1447" s="1"/>
      <c r="G1447" s="1"/>
      <c r="H1447" s="1"/>
      <c r="I1447" s="1"/>
      <c r="J1447" s="1"/>
      <c r="K1447" s="1"/>
      <c r="L1447" s="1"/>
      <c r="M1447" s="1"/>
      <c r="N1447" s="1"/>
    </row>
    <row r="1448" ht="14.5" spans="2:14">
      <c r="B1448" s="1"/>
      <c r="C1448" s="1"/>
      <c r="D1448" s="1"/>
      <c r="E1448" s="1"/>
      <c r="F1448" s="1"/>
      <c r="G1448" s="1"/>
      <c r="H1448" s="1"/>
      <c r="I1448" s="1"/>
      <c r="J1448" s="1"/>
      <c r="K1448" s="1"/>
      <c r="L1448" s="1"/>
      <c r="M1448" s="1"/>
      <c r="N1448" s="1"/>
    </row>
    <row r="1449" ht="14.5" spans="2:14">
      <c r="B1449" s="1"/>
      <c r="C1449" s="1"/>
      <c r="D1449" s="1"/>
      <c r="E1449" s="1"/>
      <c r="F1449" s="1"/>
      <c r="G1449" s="1"/>
      <c r="H1449" s="1"/>
      <c r="I1449" s="1"/>
      <c r="J1449" s="1"/>
      <c r="K1449" s="1"/>
      <c r="L1449" s="1"/>
      <c r="M1449" s="1"/>
      <c r="N1449" s="1"/>
    </row>
    <row r="1450" ht="14.5" spans="2:14">
      <c r="B1450" s="1"/>
      <c r="C1450" s="1"/>
      <c r="D1450" s="1"/>
      <c r="E1450" s="1"/>
      <c r="F1450" s="1"/>
      <c r="G1450" s="1"/>
      <c r="H1450" s="1"/>
      <c r="I1450" s="1"/>
      <c r="J1450" s="1"/>
      <c r="K1450" s="1"/>
      <c r="L1450" s="1"/>
      <c r="M1450" s="1"/>
      <c r="N1450" s="1"/>
    </row>
    <row r="1451" ht="14.5" spans="2:14">
      <c r="B1451" s="1"/>
      <c r="C1451" s="1"/>
      <c r="D1451" s="1"/>
      <c r="E1451" s="1"/>
      <c r="F1451" s="1"/>
      <c r="G1451" s="1"/>
      <c r="H1451" s="1"/>
      <c r="I1451" s="1"/>
      <c r="J1451" s="1"/>
      <c r="K1451" s="1"/>
      <c r="L1451" s="1"/>
      <c r="M1451" s="1"/>
      <c r="N1451" s="1"/>
    </row>
    <row r="1452" ht="14.5" spans="2:14">
      <c r="B1452" s="1"/>
      <c r="C1452" s="1"/>
      <c r="D1452" s="1"/>
      <c r="E1452" s="1"/>
      <c r="F1452" s="1"/>
      <c r="G1452" s="1"/>
      <c r="H1452" s="1"/>
      <c r="I1452" s="1"/>
      <c r="J1452" s="1"/>
      <c r="K1452" s="1"/>
      <c r="L1452" s="1"/>
      <c r="M1452" s="1"/>
      <c r="N1452" s="1"/>
    </row>
    <row r="1453" ht="14.5" spans="2:14">
      <c r="B1453" s="1"/>
      <c r="C1453" s="1"/>
      <c r="D1453" s="1"/>
      <c r="E1453" s="1"/>
      <c r="F1453" s="1"/>
      <c r="G1453" s="1"/>
      <c r="H1453" s="1"/>
      <c r="I1453" s="1"/>
      <c r="J1453" s="1"/>
      <c r="K1453" s="1"/>
      <c r="L1453" s="1"/>
      <c r="M1453" s="1"/>
      <c r="N1453" s="1"/>
    </row>
    <row r="1454" ht="14.5" spans="2:14">
      <c r="B1454" s="1"/>
      <c r="C1454" s="1"/>
      <c r="D1454" s="1"/>
      <c r="E1454" s="1"/>
      <c r="F1454" s="1"/>
      <c r="G1454" s="1"/>
      <c r="H1454" s="1"/>
      <c r="I1454" s="1"/>
      <c r="J1454" s="1"/>
      <c r="K1454" s="1"/>
      <c r="L1454" s="1"/>
      <c r="M1454" s="1"/>
      <c r="N1454" s="1"/>
    </row>
    <row r="1455" ht="14.5" spans="2:14">
      <c r="B1455" s="1"/>
      <c r="C1455" s="1"/>
      <c r="D1455" s="1"/>
      <c r="E1455" s="1"/>
      <c r="F1455" s="1"/>
      <c r="G1455" s="1"/>
      <c r="H1455" s="1"/>
      <c r="I1455" s="1"/>
      <c r="J1455" s="1"/>
      <c r="K1455" s="1"/>
      <c r="L1455" s="1"/>
      <c r="M1455" s="1"/>
      <c r="N1455" s="1"/>
    </row>
    <row r="1456" ht="14.5" spans="2:14">
      <c r="B1456" s="1"/>
      <c r="C1456" s="1"/>
      <c r="D1456" s="1"/>
      <c r="E1456" s="1"/>
      <c r="F1456" s="1"/>
      <c r="G1456" s="1"/>
      <c r="H1456" s="1"/>
      <c r="I1456" s="1"/>
      <c r="J1456" s="1"/>
      <c r="K1456" s="1"/>
      <c r="L1456" s="1"/>
      <c r="M1456" s="1"/>
      <c r="N1456" s="1"/>
    </row>
    <row r="1457" ht="14.5" spans="2:14">
      <c r="B1457" s="1"/>
      <c r="C1457" s="1"/>
      <c r="D1457" s="1"/>
      <c r="E1457" s="1"/>
      <c r="F1457" s="1"/>
      <c r="G1457" s="1"/>
      <c r="H1457" s="1"/>
      <c r="I1457" s="1"/>
      <c r="J1457" s="1"/>
      <c r="K1457" s="1"/>
      <c r="L1457" s="1"/>
      <c r="M1457" s="1"/>
      <c r="N1457" s="1"/>
    </row>
    <row r="1458" ht="14.5" spans="2:14">
      <c r="B1458" s="1"/>
      <c r="C1458" s="1"/>
      <c r="D1458" s="1"/>
      <c r="E1458" s="1"/>
      <c r="F1458" s="1"/>
      <c r="G1458" s="1"/>
      <c r="H1458" s="1"/>
      <c r="I1458" s="1"/>
      <c r="J1458" s="1"/>
      <c r="K1458" s="1"/>
      <c r="L1458" s="1"/>
      <c r="M1458" s="1"/>
      <c r="N1458" s="1"/>
    </row>
    <row r="1459" ht="14.5" spans="2:14">
      <c r="B1459" s="1"/>
      <c r="C1459" s="1"/>
      <c r="D1459" s="1"/>
      <c r="E1459" s="1"/>
      <c r="F1459" s="1"/>
      <c r="G1459" s="1"/>
      <c r="H1459" s="1"/>
      <c r="I1459" s="1"/>
      <c r="J1459" s="1"/>
      <c r="K1459" s="1"/>
      <c r="L1459" s="1"/>
      <c r="M1459" s="1"/>
      <c r="N1459" s="1"/>
    </row>
    <row r="1460" ht="14.5" spans="2:14">
      <c r="B1460" s="1"/>
      <c r="C1460" s="1"/>
      <c r="D1460" s="1"/>
      <c r="E1460" s="1"/>
      <c r="F1460" s="1"/>
      <c r="G1460" s="1"/>
      <c r="H1460" s="1"/>
      <c r="I1460" s="1"/>
      <c r="J1460" s="1"/>
      <c r="K1460" s="1"/>
      <c r="L1460" s="1"/>
      <c r="M1460" s="1"/>
      <c r="N1460" s="1"/>
    </row>
    <row r="1461" ht="14.5" spans="2:14">
      <c r="B1461" s="1"/>
      <c r="C1461" s="1"/>
      <c r="D1461" s="1"/>
      <c r="E1461" s="1"/>
      <c r="F1461" s="1"/>
      <c r="G1461" s="1"/>
      <c r="H1461" s="1"/>
      <c r="I1461" s="1"/>
      <c r="J1461" s="1"/>
      <c r="K1461" s="1"/>
      <c r="L1461" s="1"/>
      <c r="M1461" s="1"/>
      <c r="N1461" s="1"/>
    </row>
    <row r="1462" ht="14.5" spans="2:14">
      <c r="B1462" s="1"/>
      <c r="C1462" s="1"/>
      <c r="D1462" s="1"/>
      <c r="E1462" s="1"/>
      <c r="F1462" s="1"/>
      <c r="G1462" s="1"/>
      <c r="H1462" s="1"/>
      <c r="I1462" s="1"/>
      <c r="J1462" s="1"/>
      <c r="K1462" s="1"/>
      <c r="L1462" s="1"/>
      <c r="M1462" s="1"/>
      <c r="N1462" s="1"/>
    </row>
    <row r="1463" ht="14.5" spans="2:14">
      <c r="B1463" s="1"/>
      <c r="C1463" s="1"/>
      <c r="D1463" s="1"/>
      <c r="E1463" s="1"/>
      <c r="F1463" s="1"/>
      <c r="G1463" s="1"/>
      <c r="H1463" s="1"/>
      <c r="I1463" s="1"/>
      <c r="J1463" s="1"/>
      <c r="K1463" s="1"/>
      <c r="L1463" s="1"/>
      <c r="M1463" s="1"/>
      <c r="N1463" s="1"/>
    </row>
    <row r="1464" ht="14.5" spans="2:14">
      <c r="B1464" s="1"/>
      <c r="C1464" s="1"/>
      <c r="D1464" s="1"/>
      <c r="E1464" s="1"/>
      <c r="F1464" s="1"/>
      <c r="G1464" s="1"/>
      <c r="H1464" s="1"/>
      <c r="I1464" s="1"/>
      <c r="J1464" s="1"/>
      <c r="K1464" s="1"/>
      <c r="L1464" s="1"/>
      <c r="M1464" s="1"/>
      <c r="N1464" s="1"/>
    </row>
    <row r="1465" ht="14.5" spans="2:14">
      <c r="B1465" s="1"/>
      <c r="C1465" s="1"/>
      <c r="D1465" s="1"/>
      <c r="E1465" s="1"/>
      <c r="F1465" s="1"/>
      <c r="G1465" s="1"/>
      <c r="H1465" s="1"/>
      <c r="I1465" s="1"/>
      <c r="J1465" s="1"/>
      <c r="K1465" s="1"/>
      <c r="L1465" s="1"/>
      <c r="M1465" s="1"/>
      <c r="N1465" s="1"/>
    </row>
    <row r="1466" ht="14.5" spans="2:14">
      <c r="B1466" s="1"/>
      <c r="C1466" s="1"/>
      <c r="D1466" s="1"/>
      <c r="E1466" s="1"/>
      <c r="F1466" s="1"/>
      <c r="G1466" s="1"/>
      <c r="H1466" s="1"/>
      <c r="I1466" s="1"/>
      <c r="J1466" s="1"/>
      <c r="K1466" s="1"/>
      <c r="L1466" s="1"/>
      <c r="M1466" s="1"/>
      <c r="N1466" s="1"/>
    </row>
    <row r="1467" ht="14.5" spans="2:14">
      <c r="B1467" s="1"/>
      <c r="C1467" s="1"/>
      <c r="D1467" s="1"/>
      <c r="E1467" s="1"/>
      <c r="F1467" s="1"/>
      <c r="G1467" s="1"/>
      <c r="H1467" s="1"/>
      <c r="I1467" s="1"/>
      <c r="J1467" s="1"/>
      <c r="K1467" s="1"/>
      <c r="L1467" s="1"/>
      <c r="M1467" s="1"/>
      <c r="N1467" s="1"/>
    </row>
    <row r="1468" ht="14.5" spans="2:14">
      <c r="B1468" s="1"/>
      <c r="C1468" s="1"/>
      <c r="D1468" s="1"/>
      <c r="E1468" s="1"/>
      <c r="F1468" s="1"/>
      <c r="G1468" s="1"/>
      <c r="H1468" s="1"/>
      <c r="I1468" s="1"/>
      <c r="J1468" s="1"/>
      <c r="K1468" s="1"/>
      <c r="L1468" s="1"/>
      <c r="M1468" s="1"/>
      <c r="N1468" s="1"/>
    </row>
    <row r="1469" ht="14.5" spans="2:14">
      <c r="B1469" s="1"/>
      <c r="C1469" s="1"/>
      <c r="D1469" s="1"/>
      <c r="E1469" s="1"/>
      <c r="F1469" s="1"/>
      <c r="G1469" s="1"/>
      <c r="H1469" s="1"/>
      <c r="I1469" s="1"/>
      <c r="J1469" s="1"/>
      <c r="K1469" s="1"/>
      <c r="L1469" s="1"/>
      <c r="M1469" s="1"/>
      <c r="N1469" s="1"/>
    </row>
    <row r="1470" ht="14.5" spans="2:14">
      <c r="B1470" s="1"/>
      <c r="C1470" s="1"/>
      <c r="D1470" s="1"/>
      <c r="E1470" s="1"/>
      <c r="F1470" s="1"/>
      <c r="G1470" s="1"/>
      <c r="H1470" s="1"/>
      <c r="I1470" s="1"/>
      <c r="J1470" s="1"/>
      <c r="K1470" s="1"/>
      <c r="L1470" s="1"/>
      <c r="M1470" s="1"/>
      <c r="N1470" s="1"/>
    </row>
    <row r="1471" ht="14.5" spans="2:14">
      <c r="B1471" s="1"/>
      <c r="C1471" s="1"/>
      <c r="D1471" s="1"/>
      <c r="E1471" s="1"/>
      <c r="F1471" s="1"/>
      <c r="G1471" s="1"/>
      <c r="H1471" s="1"/>
      <c r="I1471" s="1"/>
      <c r="J1471" s="1"/>
      <c r="K1471" s="1"/>
      <c r="L1471" s="1"/>
      <c r="M1471" s="1"/>
      <c r="N1471" s="1"/>
    </row>
    <row r="1472" ht="14.5" spans="2:14">
      <c r="B1472" s="1"/>
      <c r="C1472" s="1"/>
      <c r="D1472" s="1"/>
      <c r="E1472" s="1"/>
      <c r="F1472" s="1"/>
      <c r="G1472" s="1"/>
      <c r="H1472" s="1"/>
      <c r="I1472" s="1"/>
      <c r="J1472" s="1"/>
      <c r="K1472" s="1"/>
      <c r="L1472" s="1"/>
      <c r="M1472" s="1"/>
      <c r="N1472" s="1"/>
    </row>
    <row r="1473" ht="14.5" spans="2:14">
      <c r="B1473" s="1"/>
      <c r="C1473" s="1"/>
      <c r="D1473" s="1"/>
      <c r="E1473" s="1"/>
      <c r="F1473" s="1"/>
      <c r="G1473" s="1"/>
      <c r="H1473" s="1"/>
      <c r="I1473" s="1"/>
      <c r="J1473" s="1"/>
      <c r="K1473" s="1"/>
      <c r="L1473" s="1"/>
      <c r="M1473" s="1"/>
      <c r="N1473" s="1"/>
    </row>
    <row r="1474" ht="14.5" spans="2:14">
      <c r="B1474" s="1"/>
      <c r="C1474" s="1"/>
      <c r="D1474" s="1"/>
      <c r="E1474" s="1"/>
      <c r="F1474" s="1"/>
      <c r="G1474" s="1"/>
      <c r="H1474" s="1"/>
      <c r="I1474" s="1"/>
      <c r="J1474" s="1"/>
      <c r="K1474" s="1"/>
      <c r="L1474" s="1"/>
      <c r="M1474" s="1"/>
      <c r="N1474" s="1"/>
    </row>
    <row r="1475" ht="14.5" spans="2:14">
      <c r="B1475" s="1"/>
      <c r="C1475" s="1"/>
      <c r="D1475" s="1"/>
      <c r="E1475" s="1"/>
      <c r="F1475" s="1"/>
      <c r="G1475" s="1"/>
      <c r="H1475" s="1"/>
      <c r="I1475" s="1"/>
      <c r="J1475" s="1"/>
      <c r="K1475" s="1"/>
      <c r="L1475" s="1"/>
      <c r="M1475" s="1"/>
      <c r="N1475" s="1"/>
    </row>
    <row r="1476" ht="14.5" spans="2:14">
      <c r="B1476" s="1"/>
      <c r="C1476" s="1"/>
      <c r="D1476" s="1"/>
      <c r="E1476" s="1"/>
      <c r="F1476" s="1"/>
      <c r="G1476" s="1"/>
      <c r="H1476" s="1"/>
      <c r="I1476" s="1"/>
      <c r="J1476" s="1"/>
      <c r="K1476" s="1"/>
      <c r="L1476" s="1"/>
      <c r="M1476" s="1"/>
      <c r="N1476" s="1"/>
    </row>
    <row r="1477" ht="14.5" spans="2:14">
      <c r="B1477" s="1"/>
      <c r="C1477" s="1"/>
      <c r="D1477" s="1"/>
      <c r="E1477" s="1"/>
      <c r="F1477" s="1"/>
      <c r="G1477" s="1"/>
      <c r="H1477" s="1"/>
      <c r="I1477" s="1"/>
      <c r="J1477" s="1"/>
      <c r="K1477" s="1"/>
      <c r="L1477" s="1"/>
      <c r="M1477" s="1"/>
      <c r="N1477" s="1"/>
    </row>
    <row r="1478" ht="14.5" spans="2:14">
      <c r="B1478" s="1"/>
      <c r="C1478" s="1"/>
      <c r="D1478" s="1"/>
      <c r="E1478" s="1"/>
      <c r="F1478" s="1"/>
      <c r="G1478" s="1"/>
      <c r="H1478" s="1"/>
      <c r="I1478" s="1"/>
      <c r="J1478" s="1"/>
      <c r="K1478" s="1"/>
      <c r="L1478" s="1"/>
      <c r="M1478" s="1"/>
      <c r="N1478" s="1"/>
    </row>
    <row r="1479" ht="14.5" spans="2:14">
      <c r="B1479" s="1"/>
      <c r="C1479" s="1"/>
      <c r="D1479" s="1"/>
      <c r="E1479" s="1"/>
      <c r="F1479" s="1"/>
      <c r="G1479" s="1"/>
      <c r="H1479" s="1"/>
      <c r="I1479" s="1"/>
      <c r="J1479" s="1"/>
      <c r="K1479" s="1"/>
      <c r="L1479" s="1"/>
      <c r="M1479" s="1"/>
      <c r="N1479" s="1"/>
    </row>
    <row r="1480" ht="14.5" spans="2:14">
      <c r="B1480" s="1"/>
      <c r="C1480" s="1"/>
      <c r="D1480" s="1"/>
      <c r="E1480" s="1"/>
      <c r="F1480" s="1"/>
      <c r="G1480" s="1"/>
      <c r="H1480" s="1"/>
      <c r="I1480" s="1"/>
      <c r="J1480" s="1"/>
      <c r="K1480" s="1"/>
      <c r="L1480" s="1"/>
      <c r="M1480" s="1"/>
      <c r="N1480" s="1"/>
    </row>
    <row r="1481" ht="14.5" spans="2:14">
      <c r="B1481" s="1"/>
      <c r="C1481" s="1"/>
      <c r="D1481" s="1"/>
      <c r="E1481" s="1"/>
      <c r="F1481" s="1"/>
      <c r="G1481" s="1"/>
      <c r="H1481" s="1"/>
      <c r="I1481" s="1"/>
      <c r="J1481" s="1"/>
      <c r="K1481" s="1"/>
      <c r="L1481" s="1"/>
      <c r="M1481" s="1"/>
      <c r="N1481" s="1"/>
    </row>
    <row r="1482" ht="14.5" spans="2:14">
      <c r="B1482" s="1"/>
      <c r="C1482" s="1"/>
      <c r="D1482" s="1"/>
      <c r="E1482" s="1"/>
      <c r="F1482" s="1"/>
      <c r="G1482" s="1"/>
      <c r="H1482" s="1"/>
      <c r="I1482" s="1"/>
      <c r="J1482" s="1"/>
      <c r="K1482" s="1"/>
      <c r="L1482" s="1"/>
      <c r="M1482" s="1"/>
      <c r="N1482" s="1"/>
    </row>
    <row r="1483" ht="14.5" spans="2:14">
      <c r="B1483" s="1"/>
      <c r="C1483" s="1"/>
      <c r="D1483" s="1"/>
      <c r="E1483" s="1"/>
      <c r="F1483" s="1"/>
      <c r="G1483" s="1"/>
      <c r="H1483" s="1"/>
      <c r="I1483" s="1"/>
      <c r="J1483" s="1"/>
      <c r="K1483" s="1"/>
      <c r="L1483" s="1"/>
      <c r="M1483" s="1"/>
      <c r="N1483" s="1"/>
    </row>
    <row r="1484" ht="14.5" spans="2:14">
      <c r="B1484" s="1"/>
      <c r="C1484" s="1"/>
      <c r="D1484" s="1"/>
      <c r="E1484" s="1"/>
      <c r="F1484" s="1"/>
      <c r="G1484" s="1"/>
      <c r="H1484" s="1"/>
      <c r="I1484" s="1"/>
      <c r="J1484" s="1"/>
      <c r="K1484" s="1"/>
      <c r="L1484" s="1"/>
      <c r="M1484" s="1"/>
      <c r="N1484" s="1"/>
    </row>
    <row r="1485" ht="14.5" spans="2:14">
      <c r="B1485" s="1"/>
      <c r="C1485" s="1"/>
      <c r="D1485" s="1"/>
      <c r="E1485" s="1"/>
      <c r="F1485" s="1"/>
      <c r="G1485" s="1"/>
      <c r="H1485" s="1"/>
      <c r="I1485" s="1"/>
      <c r="J1485" s="1"/>
      <c r="K1485" s="1"/>
      <c r="L1485" s="1"/>
      <c r="M1485" s="1"/>
      <c r="N1485" s="1"/>
    </row>
    <row r="1486" ht="14.5" spans="2:14">
      <c r="B1486" s="1"/>
      <c r="C1486" s="1"/>
      <c r="D1486" s="1"/>
      <c r="E1486" s="1"/>
      <c r="F1486" s="1"/>
      <c r="G1486" s="1"/>
      <c r="H1486" s="1"/>
      <c r="I1486" s="1"/>
      <c r="J1486" s="1"/>
      <c r="K1486" s="1"/>
      <c r="L1486" s="1"/>
      <c r="M1486" s="1"/>
      <c r="N1486" s="1"/>
    </row>
    <row r="1487" ht="14.5" spans="2:14">
      <c r="B1487" s="1"/>
      <c r="C1487" s="1"/>
      <c r="D1487" s="1"/>
      <c r="E1487" s="1"/>
      <c r="F1487" s="1"/>
      <c r="G1487" s="1"/>
      <c r="H1487" s="1"/>
      <c r="I1487" s="1"/>
      <c r="J1487" s="1"/>
      <c r="K1487" s="1"/>
      <c r="L1487" s="1"/>
      <c r="M1487" s="1"/>
      <c r="N1487" s="1"/>
    </row>
    <row r="1488" ht="14.5" spans="2:14">
      <c r="B1488" s="1"/>
      <c r="C1488" s="1"/>
      <c r="D1488" s="1"/>
      <c r="E1488" s="1"/>
      <c r="F1488" s="1"/>
      <c r="G1488" s="1"/>
      <c r="H1488" s="1"/>
      <c r="I1488" s="1"/>
      <c r="J1488" s="1"/>
      <c r="K1488" s="1"/>
      <c r="L1488" s="1"/>
      <c r="M1488" s="1"/>
      <c r="N1488" s="1"/>
    </row>
    <row r="1489" ht="14.5" spans="2:14">
      <c r="B1489" s="1"/>
      <c r="C1489" s="1"/>
      <c r="D1489" s="1"/>
      <c r="E1489" s="1"/>
      <c r="F1489" s="1"/>
      <c r="G1489" s="1"/>
      <c r="H1489" s="1"/>
      <c r="I1489" s="1"/>
      <c r="J1489" s="1"/>
      <c r="K1489" s="1"/>
      <c r="L1489" s="1"/>
      <c r="M1489" s="1"/>
      <c r="N1489" s="1"/>
    </row>
    <row r="1490" ht="14.5" spans="2:14">
      <c r="B1490" s="1"/>
      <c r="C1490" s="1"/>
      <c r="D1490" s="1"/>
      <c r="E1490" s="1"/>
      <c r="F1490" s="1"/>
      <c r="G1490" s="1"/>
      <c r="H1490" s="1"/>
      <c r="I1490" s="1"/>
      <c r="J1490" s="1"/>
      <c r="K1490" s="1"/>
      <c r="L1490" s="1"/>
      <c r="M1490" s="1"/>
      <c r="N1490" s="1"/>
    </row>
    <row r="1491" ht="14.5" spans="2:14">
      <c r="B1491" s="1"/>
      <c r="C1491" s="1"/>
      <c r="D1491" s="1"/>
      <c r="E1491" s="1"/>
      <c r="F1491" s="1"/>
      <c r="G1491" s="1"/>
      <c r="H1491" s="1"/>
      <c r="I1491" s="1"/>
      <c r="J1491" s="1"/>
      <c r="K1491" s="1"/>
      <c r="L1491" s="1"/>
      <c r="M1491" s="1"/>
      <c r="N1491" s="1"/>
    </row>
    <row r="1492" ht="14.5" spans="2:14">
      <c r="B1492" s="1"/>
      <c r="C1492" s="1"/>
      <c r="D1492" s="1"/>
      <c r="E1492" s="1"/>
      <c r="F1492" s="1"/>
      <c r="G1492" s="1"/>
      <c r="H1492" s="1"/>
      <c r="I1492" s="1"/>
      <c r="J1492" s="1"/>
      <c r="K1492" s="1"/>
      <c r="L1492" s="1"/>
      <c r="M1492" s="1"/>
      <c r="N1492" s="1"/>
    </row>
    <row r="1493" ht="14.5" spans="2:14">
      <c r="B1493" s="1"/>
      <c r="C1493" s="1"/>
      <c r="D1493" s="1"/>
      <c r="E1493" s="1"/>
      <c r="F1493" s="1"/>
      <c r="G1493" s="1"/>
      <c r="H1493" s="1"/>
      <c r="I1493" s="1"/>
      <c r="J1493" s="1"/>
      <c r="K1493" s="1"/>
      <c r="L1493" s="1"/>
      <c r="M1493" s="1"/>
      <c r="N1493" s="1"/>
    </row>
    <row r="1494" ht="14.5" spans="2:14">
      <c r="B1494" s="1"/>
      <c r="C1494" s="1"/>
      <c r="D1494" s="1"/>
      <c r="E1494" s="1"/>
      <c r="F1494" s="1"/>
      <c r="G1494" s="1"/>
      <c r="H1494" s="1"/>
      <c r="I1494" s="1"/>
      <c r="J1494" s="1"/>
      <c r="K1494" s="1"/>
      <c r="L1494" s="1"/>
      <c r="M1494" s="1"/>
      <c r="N1494" s="1"/>
    </row>
    <row r="1495" ht="14.5" spans="2:14">
      <c r="B1495" s="1"/>
      <c r="C1495" s="1"/>
      <c r="D1495" s="1"/>
      <c r="E1495" s="1"/>
      <c r="F1495" s="1"/>
      <c r="G1495" s="1"/>
      <c r="H1495" s="1"/>
      <c r="I1495" s="1"/>
      <c r="J1495" s="1"/>
      <c r="K1495" s="1"/>
      <c r="L1495" s="1"/>
      <c r="M1495" s="1"/>
      <c r="N1495" s="1"/>
    </row>
    <row r="1496" ht="14.5" spans="2:14">
      <c r="B1496" s="1"/>
      <c r="C1496" s="1"/>
      <c r="D1496" s="1"/>
      <c r="E1496" s="1"/>
      <c r="F1496" s="1"/>
      <c r="G1496" s="1"/>
      <c r="H1496" s="1"/>
      <c r="I1496" s="1"/>
      <c r="J1496" s="1"/>
      <c r="K1496" s="1"/>
      <c r="L1496" s="1"/>
      <c r="M1496" s="1"/>
      <c r="N1496" s="1"/>
    </row>
    <row r="1497" ht="14.5" spans="2:14">
      <c r="B1497" s="1"/>
      <c r="C1497" s="1"/>
      <c r="D1497" s="1"/>
      <c r="E1497" s="1"/>
      <c r="F1497" s="1"/>
      <c r="G1497" s="1"/>
      <c r="H1497" s="1"/>
      <c r="I1497" s="1"/>
      <c r="J1497" s="1"/>
      <c r="K1497" s="1"/>
      <c r="L1497" s="1"/>
      <c r="M1497" s="1"/>
      <c r="N1497" s="1"/>
    </row>
    <row r="1498" ht="14.5" spans="2:14">
      <c r="B1498" s="1"/>
      <c r="C1498" s="1"/>
      <c r="D1498" s="1"/>
      <c r="E1498" s="1"/>
      <c r="F1498" s="1"/>
      <c r="G1498" s="1"/>
      <c r="H1498" s="1"/>
      <c r="I1498" s="1"/>
      <c r="J1498" s="1"/>
      <c r="K1498" s="1"/>
      <c r="L1498" s="1"/>
      <c r="M1498" s="1"/>
      <c r="N1498" s="1"/>
    </row>
    <row r="1499" ht="14.5" spans="2:14">
      <c r="B1499" s="1"/>
      <c r="C1499" s="1"/>
      <c r="D1499" s="1"/>
      <c r="E1499" s="1"/>
      <c r="F1499" s="1"/>
      <c r="G1499" s="1"/>
      <c r="H1499" s="1"/>
      <c r="I1499" s="1"/>
      <c r="J1499" s="1"/>
      <c r="K1499" s="1"/>
      <c r="L1499" s="1"/>
      <c r="M1499" s="1"/>
      <c r="N1499" s="1"/>
    </row>
    <row r="1500" ht="14.5" spans="2:14">
      <c r="B1500" s="1"/>
      <c r="C1500" s="1"/>
      <c r="D1500" s="1"/>
      <c r="E1500" s="1"/>
      <c r="F1500" s="1"/>
      <c r="G1500" s="1"/>
      <c r="H1500" s="1"/>
      <c r="I1500" s="1"/>
      <c r="J1500" s="1"/>
      <c r="K1500" s="1"/>
      <c r="L1500" s="1"/>
      <c r="M1500" s="1"/>
      <c r="N1500" s="1"/>
    </row>
    <row r="1501" ht="14.5" spans="2:14">
      <c r="B1501" s="1"/>
      <c r="C1501" s="1"/>
      <c r="D1501" s="1"/>
      <c r="E1501" s="1"/>
      <c r="F1501" s="1"/>
      <c r="G1501" s="1"/>
      <c r="H1501" s="1"/>
      <c r="I1501" s="1"/>
      <c r="J1501" s="1"/>
      <c r="K1501" s="1"/>
      <c r="L1501" s="1"/>
      <c r="M1501" s="1"/>
      <c r="N1501" s="1"/>
    </row>
    <row r="1502" ht="14.5" spans="2:14">
      <c r="B1502" s="1"/>
      <c r="C1502" s="1"/>
      <c r="D1502" s="1"/>
      <c r="E1502" s="1"/>
      <c r="F1502" s="1"/>
      <c r="G1502" s="1"/>
      <c r="H1502" s="1"/>
      <c r="I1502" s="1"/>
      <c r="J1502" s="1"/>
      <c r="K1502" s="1"/>
      <c r="L1502" s="1"/>
      <c r="M1502" s="1"/>
      <c r="N1502" s="1"/>
    </row>
    <row r="1503" ht="14.5" spans="2:14">
      <c r="B1503" s="1"/>
      <c r="C1503" s="1"/>
      <c r="D1503" s="1"/>
      <c r="E1503" s="1"/>
      <c r="F1503" s="1"/>
      <c r="G1503" s="1"/>
      <c r="H1503" s="1"/>
      <c r="I1503" s="1"/>
      <c r="J1503" s="1"/>
      <c r="K1503" s="1"/>
      <c r="L1503" s="1"/>
      <c r="M1503" s="1"/>
      <c r="N1503" s="1"/>
    </row>
    <row r="1504" ht="14.5" spans="2:14">
      <c r="B1504" s="1"/>
      <c r="C1504" s="1"/>
      <c r="D1504" s="1"/>
      <c r="E1504" s="1"/>
      <c r="F1504" s="1"/>
      <c r="G1504" s="1"/>
      <c r="H1504" s="1"/>
      <c r="I1504" s="1"/>
      <c r="J1504" s="1"/>
      <c r="K1504" s="1"/>
      <c r="L1504" s="1"/>
      <c r="M1504" s="1"/>
      <c r="N1504" s="1"/>
    </row>
    <row r="1505" ht="14.5" spans="2:14">
      <c r="B1505" s="1"/>
      <c r="C1505" s="1"/>
      <c r="D1505" s="1"/>
      <c r="E1505" s="1"/>
      <c r="F1505" s="1"/>
      <c r="G1505" s="1"/>
      <c r="H1505" s="1"/>
      <c r="I1505" s="1"/>
      <c r="J1505" s="1"/>
      <c r="K1505" s="1"/>
      <c r="L1505" s="1"/>
      <c r="M1505" s="1"/>
      <c r="N1505" s="1"/>
    </row>
    <row r="1506" ht="14.5" spans="2:14">
      <c r="B1506" s="1"/>
      <c r="C1506" s="1"/>
      <c r="D1506" s="1"/>
      <c r="E1506" s="1"/>
      <c r="F1506" s="1"/>
      <c r="G1506" s="1"/>
      <c r="H1506" s="1"/>
      <c r="I1506" s="1"/>
      <c r="J1506" s="1"/>
      <c r="K1506" s="1"/>
      <c r="L1506" s="1"/>
      <c r="M1506" s="1"/>
      <c r="N1506" s="1"/>
    </row>
    <row r="1507" ht="14.5" spans="2:14">
      <c r="B1507" s="1"/>
      <c r="C1507" s="1"/>
      <c r="D1507" s="1"/>
      <c r="E1507" s="1"/>
      <c r="F1507" s="1"/>
      <c r="G1507" s="1"/>
      <c r="H1507" s="1"/>
      <c r="I1507" s="1"/>
      <c r="J1507" s="1"/>
      <c r="K1507" s="1"/>
      <c r="L1507" s="1"/>
      <c r="M1507" s="1"/>
      <c r="N1507" s="1"/>
    </row>
    <row r="1508" ht="14.5" spans="2:14">
      <c r="B1508" s="1"/>
      <c r="C1508" s="1"/>
      <c r="D1508" s="1"/>
      <c r="E1508" s="1"/>
      <c r="F1508" s="1"/>
      <c r="G1508" s="1"/>
      <c r="H1508" s="1"/>
      <c r="I1508" s="1"/>
      <c r="J1508" s="1"/>
      <c r="K1508" s="1"/>
      <c r="L1508" s="1"/>
      <c r="M1508" s="1"/>
      <c r="N1508" s="1"/>
    </row>
    <row r="1509" ht="14.5" spans="2:14">
      <c r="B1509" s="1"/>
      <c r="C1509" s="1"/>
      <c r="D1509" s="1"/>
      <c r="E1509" s="1"/>
      <c r="F1509" s="1"/>
      <c r="G1509" s="1"/>
      <c r="H1509" s="1"/>
      <c r="I1509" s="1"/>
      <c r="J1509" s="1"/>
      <c r="K1509" s="1"/>
      <c r="L1509" s="1"/>
      <c r="M1509" s="1"/>
      <c r="N1509" s="1"/>
    </row>
    <row r="1510" ht="14.5" spans="2:14">
      <c r="B1510" s="1"/>
      <c r="C1510" s="1"/>
      <c r="D1510" s="1"/>
      <c r="E1510" s="1"/>
      <c r="F1510" s="1"/>
      <c r="G1510" s="1"/>
      <c r="H1510" s="1"/>
      <c r="I1510" s="1"/>
      <c r="J1510" s="1"/>
      <c r="K1510" s="1"/>
      <c r="L1510" s="1"/>
      <c r="M1510" s="1"/>
      <c r="N1510" s="1"/>
    </row>
    <row r="1511" ht="14.5" spans="2:14">
      <c r="B1511" s="1"/>
      <c r="C1511" s="1"/>
      <c r="D1511" s="1"/>
      <c r="E1511" s="1"/>
      <c r="F1511" s="1"/>
      <c r="G1511" s="1"/>
      <c r="H1511" s="1"/>
      <c r="I1511" s="1"/>
      <c r="J1511" s="1"/>
      <c r="K1511" s="1"/>
      <c r="L1511" s="1"/>
      <c r="M1511" s="1"/>
      <c r="N1511" s="1"/>
    </row>
    <row r="1512" ht="14.5" spans="2:14">
      <c r="B1512" s="1"/>
      <c r="C1512" s="1"/>
      <c r="D1512" s="1"/>
      <c r="E1512" s="1"/>
      <c r="F1512" s="1"/>
      <c r="G1512" s="1"/>
      <c r="H1512" s="1"/>
      <c r="I1512" s="1"/>
      <c r="J1512" s="1"/>
      <c r="K1512" s="1"/>
      <c r="L1512" s="1"/>
      <c r="M1512" s="1"/>
      <c r="N1512" s="1"/>
    </row>
    <row r="1513" ht="14.5" spans="2:14">
      <c r="B1513" s="1"/>
      <c r="C1513" s="1"/>
      <c r="D1513" s="1"/>
      <c r="E1513" s="1"/>
      <c r="F1513" s="1"/>
      <c r="G1513" s="1"/>
      <c r="H1513" s="1"/>
      <c r="I1513" s="1"/>
      <c r="J1513" s="1"/>
      <c r="K1513" s="1"/>
      <c r="L1513" s="1"/>
      <c r="M1513" s="1"/>
      <c r="N1513" s="1"/>
    </row>
    <row r="1514" ht="14.5" spans="2:14">
      <c r="B1514" s="1"/>
      <c r="C1514" s="1"/>
      <c r="D1514" s="1"/>
      <c r="E1514" s="1"/>
      <c r="F1514" s="1"/>
      <c r="G1514" s="1"/>
      <c r="H1514" s="1"/>
      <c r="I1514" s="1"/>
      <c r="J1514" s="1"/>
      <c r="K1514" s="1"/>
      <c r="L1514" s="1"/>
      <c r="M1514" s="1"/>
      <c r="N1514" s="1"/>
    </row>
    <row r="1515" ht="14.5" spans="2:14">
      <c r="B1515" s="1"/>
      <c r="C1515" s="1"/>
      <c r="D1515" s="1"/>
      <c r="E1515" s="1"/>
      <c r="F1515" s="1"/>
      <c r="G1515" s="1"/>
      <c r="H1515" s="1"/>
      <c r="I1515" s="1"/>
      <c r="J1515" s="1"/>
      <c r="K1515" s="1"/>
      <c r="L1515" s="1"/>
      <c r="M1515" s="1"/>
      <c r="N1515" s="1"/>
    </row>
    <row r="1516" ht="14.5" spans="2:14">
      <c r="B1516" s="1"/>
      <c r="C1516" s="1"/>
      <c r="D1516" s="1"/>
      <c r="E1516" s="1"/>
      <c r="F1516" s="1"/>
      <c r="G1516" s="1"/>
      <c r="H1516" s="1"/>
      <c r="I1516" s="1"/>
      <c r="J1516" s="1"/>
      <c r="K1516" s="1"/>
      <c r="L1516" s="1"/>
      <c r="M1516" s="1"/>
      <c r="N1516" s="1"/>
    </row>
    <row r="1517" ht="14.5" spans="2:14">
      <c r="B1517" s="1"/>
      <c r="C1517" s="1"/>
      <c r="D1517" s="1"/>
      <c r="E1517" s="1"/>
      <c r="F1517" s="1"/>
      <c r="G1517" s="1"/>
      <c r="H1517" s="1"/>
      <c r="I1517" s="1"/>
      <c r="J1517" s="1"/>
      <c r="K1517" s="1"/>
      <c r="L1517" s="1"/>
      <c r="M1517" s="1"/>
      <c r="N1517" s="1"/>
    </row>
    <row r="1518" ht="14.5" spans="2:14">
      <c r="B1518" s="1"/>
      <c r="C1518" s="1"/>
      <c r="D1518" s="1"/>
      <c r="E1518" s="1"/>
      <c r="F1518" s="1"/>
      <c r="G1518" s="1"/>
      <c r="H1518" s="1"/>
      <c r="I1518" s="1"/>
      <c r="J1518" s="1"/>
      <c r="K1518" s="1"/>
      <c r="L1518" s="1"/>
      <c r="M1518" s="1"/>
      <c r="N1518" s="1"/>
    </row>
    <row r="1519" ht="14.5" spans="2:14">
      <c r="B1519" s="1"/>
      <c r="C1519" s="1"/>
      <c r="D1519" s="1"/>
      <c r="E1519" s="1"/>
      <c r="F1519" s="1"/>
      <c r="G1519" s="1"/>
      <c r="H1519" s="1"/>
      <c r="I1519" s="1"/>
      <c r="J1519" s="1"/>
      <c r="K1519" s="1"/>
      <c r="L1519" s="1"/>
      <c r="M1519" s="1"/>
      <c r="N1519" s="1"/>
    </row>
    <row r="1520" ht="14.5" spans="2:14">
      <c r="B1520" s="1"/>
      <c r="C1520" s="1"/>
      <c r="D1520" s="1"/>
      <c r="E1520" s="1"/>
      <c r="F1520" s="1"/>
      <c r="G1520" s="1"/>
      <c r="H1520" s="1"/>
      <c r="I1520" s="1"/>
      <c r="J1520" s="1"/>
      <c r="K1520" s="1"/>
      <c r="L1520" s="1"/>
      <c r="M1520" s="1"/>
      <c r="N1520" s="1"/>
    </row>
    <row r="1521" ht="14.5" spans="2:14">
      <c r="B1521" s="1"/>
      <c r="C1521" s="1"/>
      <c r="D1521" s="1"/>
      <c r="E1521" s="1"/>
      <c r="F1521" s="1"/>
      <c r="G1521" s="1"/>
      <c r="H1521" s="1"/>
      <c r="I1521" s="1"/>
      <c r="J1521" s="1"/>
      <c r="K1521" s="1"/>
      <c r="L1521" s="1"/>
      <c r="M1521" s="1"/>
      <c r="N1521" s="1"/>
    </row>
    <row r="1522" ht="14.5" spans="2:14">
      <c r="B1522" s="1"/>
      <c r="C1522" s="1"/>
      <c r="D1522" s="1"/>
      <c r="E1522" s="1"/>
      <c r="F1522" s="1"/>
      <c r="G1522" s="1"/>
      <c r="H1522" s="1"/>
      <c r="I1522" s="1"/>
      <c r="J1522" s="1"/>
      <c r="K1522" s="1"/>
      <c r="L1522" s="1"/>
      <c r="M1522" s="1"/>
      <c r="N1522" s="1"/>
    </row>
    <row r="1523" ht="14.5" spans="2:14">
      <c r="B1523" s="1"/>
      <c r="C1523" s="1"/>
      <c r="D1523" s="1"/>
      <c r="E1523" s="1"/>
      <c r="F1523" s="1"/>
      <c r="G1523" s="1"/>
      <c r="H1523" s="1"/>
      <c r="I1523" s="1"/>
      <c r="J1523" s="1"/>
      <c r="K1523" s="1"/>
      <c r="L1523" s="1"/>
      <c r="M1523" s="1"/>
      <c r="N1523" s="1"/>
    </row>
    <row r="1524" ht="14.5" spans="2:14">
      <c r="B1524" s="1"/>
      <c r="C1524" s="1"/>
      <c r="D1524" s="1"/>
      <c r="E1524" s="1"/>
      <c r="F1524" s="1"/>
      <c r="G1524" s="1"/>
      <c r="H1524" s="1"/>
      <c r="I1524" s="1"/>
      <c r="J1524" s="1"/>
      <c r="K1524" s="1"/>
      <c r="L1524" s="1"/>
      <c r="M1524" s="1"/>
      <c r="N1524" s="1"/>
    </row>
    <row r="1525" ht="14.5" spans="2:14">
      <c r="B1525" s="1"/>
      <c r="C1525" s="1"/>
      <c r="D1525" s="1"/>
      <c r="E1525" s="1"/>
      <c r="F1525" s="1"/>
      <c r="G1525" s="1"/>
      <c r="H1525" s="1"/>
      <c r="I1525" s="1"/>
      <c r="J1525" s="1"/>
      <c r="K1525" s="1"/>
      <c r="L1525" s="1"/>
      <c r="M1525" s="1"/>
      <c r="N1525" s="1"/>
    </row>
    <row r="1526" ht="14.5" spans="2:14">
      <c r="B1526" s="1"/>
      <c r="C1526" s="1"/>
      <c r="D1526" s="1"/>
      <c r="E1526" s="1"/>
      <c r="F1526" s="1"/>
      <c r="G1526" s="1"/>
      <c r="H1526" s="1"/>
      <c r="I1526" s="1"/>
      <c r="J1526" s="1"/>
      <c r="K1526" s="1"/>
      <c r="L1526" s="1"/>
      <c r="M1526" s="1"/>
      <c r="N1526" s="1"/>
    </row>
    <row r="1527" ht="14.5" spans="2:14">
      <c r="B1527" s="1"/>
      <c r="C1527" s="1"/>
      <c r="D1527" s="1"/>
      <c r="E1527" s="1"/>
      <c r="F1527" s="1"/>
      <c r="G1527" s="1"/>
      <c r="H1527" s="1"/>
      <c r="I1527" s="1"/>
      <c r="J1527" s="1"/>
      <c r="K1527" s="1"/>
      <c r="L1527" s="1"/>
      <c r="M1527" s="1"/>
      <c r="N1527" s="1"/>
    </row>
    <row r="1528" ht="14.5" spans="2:14">
      <c r="B1528" s="1"/>
      <c r="C1528" s="1"/>
      <c r="D1528" s="1"/>
      <c r="E1528" s="1"/>
      <c r="F1528" s="1"/>
      <c r="G1528" s="1"/>
      <c r="H1528" s="1"/>
      <c r="I1528" s="1"/>
      <c r="J1528" s="1"/>
      <c r="K1528" s="1"/>
      <c r="L1528" s="1"/>
      <c r="M1528" s="1"/>
      <c r="N1528" s="1"/>
    </row>
    <row r="1529" ht="14.5" spans="2:14">
      <c r="B1529" s="1"/>
      <c r="C1529" s="1"/>
      <c r="D1529" s="1"/>
      <c r="E1529" s="1"/>
      <c r="F1529" s="1"/>
      <c r="G1529" s="1"/>
      <c r="H1529" s="1"/>
      <c r="I1529" s="1"/>
      <c r="J1529" s="1"/>
      <c r="K1529" s="1"/>
      <c r="L1529" s="1"/>
      <c r="M1529" s="1"/>
      <c r="N1529" s="1"/>
    </row>
    <row r="1530" ht="14.5" spans="2:14">
      <c r="B1530" s="1"/>
      <c r="C1530" s="1"/>
      <c r="D1530" s="1"/>
      <c r="E1530" s="1"/>
      <c r="F1530" s="1"/>
      <c r="G1530" s="1"/>
      <c r="H1530" s="1"/>
      <c r="I1530" s="1"/>
      <c r="J1530" s="1"/>
      <c r="K1530" s="1"/>
      <c r="L1530" s="1"/>
      <c r="M1530" s="1"/>
      <c r="N1530" s="1"/>
    </row>
    <row r="1531" ht="14.5" spans="2:14">
      <c r="B1531" s="1"/>
      <c r="C1531" s="1"/>
      <c r="D1531" s="1"/>
      <c r="E1531" s="1"/>
      <c r="F1531" s="1"/>
      <c r="G1531" s="1"/>
      <c r="H1531" s="1"/>
      <c r="I1531" s="1"/>
      <c r="J1531" s="1"/>
      <c r="K1531" s="1"/>
      <c r="L1531" s="1"/>
      <c r="M1531" s="1"/>
      <c r="N1531" s="1"/>
    </row>
    <row r="1532" ht="14.5" spans="2:14">
      <c r="B1532" s="1"/>
      <c r="C1532" s="1"/>
      <c r="D1532" s="1"/>
      <c r="E1532" s="1"/>
      <c r="F1532" s="1"/>
      <c r="G1532" s="1"/>
      <c r="H1532" s="1"/>
      <c r="I1532" s="1"/>
      <c r="J1532" s="1"/>
      <c r="K1532" s="1"/>
      <c r="L1532" s="1"/>
      <c r="M1532" s="1"/>
      <c r="N1532" s="1"/>
    </row>
    <row r="1533" ht="14.5" spans="2:14">
      <c r="B1533" s="1"/>
      <c r="C1533" s="1"/>
      <c r="D1533" s="1"/>
      <c r="E1533" s="1"/>
      <c r="F1533" s="1"/>
      <c r="G1533" s="1"/>
      <c r="H1533" s="1"/>
      <c r="I1533" s="1"/>
      <c r="J1533" s="1"/>
      <c r="K1533" s="1"/>
      <c r="L1533" s="1"/>
      <c r="M1533" s="1"/>
      <c r="N1533" s="1"/>
    </row>
    <row r="1534" ht="14.5" spans="2:14">
      <c r="B1534" s="1"/>
      <c r="C1534" s="1"/>
      <c r="D1534" s="1"/>
      <c r="E1534" s="1"/>
      <c r="F1534" s="1"/>
      <c r="G1534" s="1"/>
      <c r="H1534" s="1"/>
      <c r="I1534" s="1"/>
      <c r="J1534" s="1"/>
      <c r="K1534" s="1"/>
      <c r="L1534" s="1"/>
      <c r="M1534" s="1"/>
      <c r="N1534" s="1"/>
    </row>
    <row r="1535" ht="14.5" spans="2:14">
      <c r="B1535" s="1"/>
      <c r="C1535" s="1"/>
      <c r="D1535" s="1"/>
      <c r="E1535" s="1"/>
      <c r="F1535" s="1"/>
      <c r="G1535" s="1"/>
      <c r="H1535" s="1"/>
      <c r="I1535" s="1"/>
      <c r="J1535" s="1"/>
      <c r="K1535" s="1"/>
      <c r="L1535" s="1"/>
      <c r="M1535" s="1"/>
      <c r="N1535" s="1"/>
    </row>
    <row r="1536" ht="14.5" spans="2:14">
      <c r="B1536" s="1"/>
      <c r="C1536" s="1"/>
      <c r="D1536" s="1"/>
      <c r="E1536" s="1"/>
      <c r="F1536" s="1"/>
      <c r="G1536" s="1"/>
      <c r="H1536" s="1"/>
      <c r="I1536" s="1"/>
      <c r="J1536" s="1"/>
      <c r="K1536" s="1"/>
      <c r="L1536" s="1"/>
      <c r="M1536" s="1"/>
      <c r="N1536" s="1"/>
    </row>
    <row r="1537" ht="14.5" spans="2:14">
      <c r="B1537" s="1"/>
      <c r="C1537" s="1"/>
      <c r="D1537" s="1"/>
      <c r="E1537" s="1"/>
      <c r="F1537" s="1"/>
      <c r="G1537" s="1"/>
      <c r="H1537" s="1"/>
      <c r="I1537" s="1"/>
      <c r="J1537" s="1"/>
      <c r="K1537" s="1"/>
      <c r="L1537" s="1"/>
      <c r="M1537" s="1"/>
      <c r="N1537" s="1"/>
    </row>
    <row r="1538" ht="14.5" spans="2:14">
      <c r="B1538" s="1"/>
      <c r="C1538" s="1"/>
      <c r="D1538" s="1"/>
      <c r="E1538" s="1"/>
      <c r="F1538" s="1"/>
      <c r="G1538" s="1"/>
      <c r="H1538" s="1"/>
      <c r="I1538" s="1"/>
      <c r="J1538" s="1"/>
      <c r="K1538" s="1"/>
      <c r="L1538" s="1"/>
      <c r="M1538" s="1"/>
      <c r="N1538" s="1"/>
    </row>
    <row r="1539" ht="14.5" spans="2:14">
      <c r="B1539" s="1"/>
      <c r="C1539" s="1"/>
      <c r="D1539" s="1"/>
      <c r="E1539" s="1"/>
      <c r="F1539" s="1"/>
      <c r="G1539" s="1"/>
      <c r="H1539" s="1"/>
      <c r="I1539" s="1"/>
      <c r="J1539" s="1"/>
      <c r="K1539" s="1"/>
      <c r="L1539" s="1"/>
      <c r="M1539" s="1"/>
      <c r="N1539" s="1"/>
    </row>
    <row r="1540" ht="14.5" spans="2:14">
      <c r="B1540" s="1"/>
      <c r="C1540" s="1"/>
      <c r="D1540" s="1"/>
      <c r="E1540" s="1"/>
      <c r="F1540" s="1"/>
      <c r="G1540" s="1"/>
      <c r="H1540" s="1"/>
      <c r="I1540" s="1"/>
      <c r="J1540" s="1"/>
      <c r="K1540" s="1"/>
      <c r="L1540" s="1"/>
      <c r="M1540" s="1"/>
      <c r="N1540" s="1"/>
    </row>
    <row r="1541" ht="14.5" spans="2:14">
      <c r="B1541" s="1"/>
      <c r="C1541" s="1"/>
      <c r="D1541" s="1"/>
      <c r="E1541" s="1"/>
      <c r="F1541" s="1"/>
      <c r="G1541" s="1"/>
      <c r="H1541" s="1"/>
      <c r="I1541" s="1"/>
      <c r="J1541" s="1"/>
      <c r="K1541" s="1"/>
      <c r="L1541" s="1"/>
      <c r="M1541" s="1"/>
      <c r="N1541" s="1"/>
    </row>
    <row r="1542" ht="14.5" spans="2:14">
      <c r="B1542" s="1"/>
      <c r="C1542" s="1"/>
      <c r="D1542" s="1"/>
      <c r="E1542" s="1"/>
      <c r="F1542" s="1"/>
      <c r="G1542" s="1"/>
      <c r="H1542" s="1"/>
      <c r="I1542" s="1"/>
      <c r="J1542" s="1"/>
      <c r="K1542" s="1"/>
      <c r="L1542" s="1"/>
      <c r="M1542" s="1"/>
      <c r="N1542" s="1"/>
    </row>
    <row r="1543" ht="14.5" spans="2:14">
      <c r="B1543" s="1"/>
      <c r="C1543" s="1"/>
      <c r="D1543" s="1"/>
      <c r="E1543" s="1"/>
      <c r="F1543" s="1"/>
      <c r="G1543" s="1"/>
      <c r="H1543" s="1"/>
      <c r="I1543" s="1"/>
      <c r="J1543" s="1"/>
      <c r="K1543" s="1"/>
      <c r="L1543" s="1"/>
      <c r="M1543" s="1"/>
      <c r="N1543" s="1"/>
    </row>
    <row r="1544" ht="14.5" spans="2:14">
      <c r="B1544" s="1"/>
      <c r="C1544" s="1"/>
      <c r="D1544" s="1"/>
      <c r="E1544" s="1"/>
      <c r="F1544" s="1"/>
      <c r="G1544" s="1"/>
      <c r="H1544" s="1"/>
      <c r="I1544" s="1"/>
      <c r="J1544" s="1"/>
      <c r="K1544" s="1"/>
      <c r="L1544" s="1"/>
      <c r="M1544" s="1"/>
      <c r="N1544" s="1"/>
    </row>
    <row r="1545" ht="14.5" spans="2:14">
      <c r="B1545" s="1"/>
      <c r="C1545" s="1"/>
      <c r="D1545" s="1"/>
      <c r="E1545" s="1"/>
      <c r="F1545" s="1"/>
      <c r="G1545" s="1"/>
      <c r="H1545" s="1"/>
      <c r="I1545" s="1"/>
      <c r="J1545" s="1"/>
      <c r="K1545" s="1"/>
      <c r="L1545" s="1"/>
      <c r="M1545" s="1"/>
      <c r="N1545" s="1"/>
    </row>
    <row r="1546" ht="14.5" spans="2:14">
      <c r="B1546" s="1"/>
      <c r="C1546" s="1"/>
      <c r="D1546" s="1"/>
      <c r="E1546" s="1"/>
      <c r="F1546" s="1"/>
      <c r="G1546" s="1"/>
      <c r="H1546" s="1"/>
      <c r="I1546" s="1"/>
      <c r="J1546" s="1"/>
      <c r="K1546" s="1"/>
      <c r="L1546" s="1"/>
      <c r="M1546" s="1"/>
      <c r="N1546" s="1"/>
    </row>
    <row r="1547" ht="14.5" spans="2:14">
      <c r="B1547" s="1"/>
      <c r="C1547" s="1"/>
      <c r="D1547" s="1"/>
      <c r="E1547" s="1"/>
      <c r="F1547" s="1"/>
      <c r="G1547" s="1"/>
      <c r="H1547" s="1"/>
      <c r="I1547" s="1"/>
      <c r="J1547" s="1"/>
      <c r="K1547" s="1"/>
      <c r="L1547" s="1"/>
      <c r="M1547" s="1"/>
      <c r="N1547" s="1"/>
    </row>
    <row r="1548" ht="14.5" spans="2:14">
      <c r="B1548" s="1"/>
      <c r="C1548" s="1"/>
      <c r="D1548" s="1"/>
      <c r="E1548" s="1"/>
      <c r="F1548" s="1"/>
      <c r="G1548" s="1"/>
      <c r="H1548" s="1"/>
      <c r="I1548" s="1"/>
      <c r="J1548" s="1"/>
      <c r="K1548" s="1"/>
      <c r="L1548" s="1"/>
      <c r="M1548" s="1"/>
      <c r="N1548" s="1"/>
    </row>
    <row r="1549" ht="14.5" spans="2:14">
      <c r="B1549" s="1"/>
      <c r="C1549" s="1"/>
      <c r="D1549" s="1"/>
      <c r="E1549" s="1"/>
      <c r="F1549" s="1"/>
      <c r="G1549" s="1"/>
      <c r="H1549" s="1"/>
      <c r="I1549" s="1"/>
      <c r="J1549" s="1"/>
      <c r="K1549" s="1"/>
      <c r="L1549" s="1"/>
      <c r="M1549" s="1"/>
      <c r="N1549" s="1"/>
    </row>
    <row r="1550" ht="14.5" spans="2:14">
      <c r="B1550" s="1"/>
      <c r="C1550" s="1"/>
      <c r="D1550" s="1"/>
      <c r="E1550" s="1"/>
      <c r="F1550" s="1"/>
      <c r="G1550" s="1"/>
      <c r="H1550" s="1"/>
      <c r="I1550" s="1"/>
      <c r="J1550" s="1"/>
      <c r="K1550" s="1"/>
      <c r="L1550" s="1"/>
      <c r="M1550" s="1"/>
      <c r="N1550" s="1"/>
    </row>
    <row r="1551" ht="14.5" spans="2:14">
      <c r="B1551" s="1"/>
      <c r="C1551" s="1"/>
      <c r="D1551" s="1"/>
      <c r="E1551" s="1"/>
      <c r="F1551" s="1"/>
      <c r="G1551" s="1"/>
      <c r="H1551" s="1"/>
      <c r="I1551" s="1"/>
      <c r="J1551" s="1"/>
      <c r="K1551" s="1"/>
      <c r="L1551" s="1"/>
      <c r="M1551" s="1"/>
      <c r="N1551" s="1"/>
    </row>
    <row r="1552" ht="14.5" spans="2:14">
      <c r="B1552" s="1"/>
      <c r="C1552" s="1"/>
      <c r="D1552" s="1"/>
      <c r="E1552" s="1"/>
      <c r="F1552" s="1"/>
      <c r="G1552" s="1"/>
      <c r="H1552" s="1"/>
      <c r="I1552" s="1"/>
      <c r="J1552" s="1"/>
      <c r="K1552" s="1"/>
      <c r="L1552" s="1"/>
      <c r="M1552" s="1"/>
      <c r="N1552" s="1"/>
    </row>
    <row r="1553" ht="14.5" spans="2:14">
      <c r="B1553" s="1"/>
      <c r="C1553" s="1"/>
      <c r="D1553" s="1"/>
      <c r="E1553" s="1"/>
      <c r="F1553" s="1"/>
      <c r="G1553" s="1"/>
      <c r="H1553" s="1"/>
      <c r="I1553" s="1"/>
      <c r="J1553" s="1"/>
      <c r="K1553" s="1"/>
      <c r="L1553" s="1"/>
      <c r="M1553" s="1"/>
      <c r="N1553" s="1"/>
    </row>
    <row r="1554" ht="14.5" spans="2:14">
      <c r="B1554" s="1"/>
      <c r="C1554" s="1"/>
      <c r="D1554" s="1"/>
      <c r="E1554" s="1"/>
      <c r="F1554" s="1"/>
      <c r="G1554" s="1"/>
      <c r="H1554" s="1"/>
      <c r="I1554" s="1"/>
      <c r="J1554" s="1"/>
      <c r="K1554" s="1"/>
      <c r="L1554" s="1"/>
      <c r="M1554" s="1"/>
      <c r="N1554" s="1"/>
    </row>
    <row r="1555" ht="14.5" spans="2:14">
      <c r="B1555" s="1"/>
      <c r="C1555" s="1"/>
      <c r="D1555" s="1"/>
      <c r="E1555" s="1"/>
      <c r="F1555" s="1"/>
      <c r="G1555" s="1"/>
      <c r="H1555" s="1"/>
      <c r="I1555" s="1"/>
      <c r="J1555" s="1"/>
      <c r="K1555" s="1"/>
      <c r="L1555" s="1"/>
      <c r="M1555" s="1"/>
      <c r="N1555" s="1"/>
    </row>
    <row r="1556" ht="14.5" spans="2:14">
      <c r="B1556" s="1"/>
      <c r="C1556" s="1"/>
      <c r="D1556" s="1"/>
      <c r="E1556" s="1"/>
      <c r="F1556" s="1"/>
      <c r="G1556" s="1"/>
      <c r="H1556" s="1"/>
      <c r="I1556" s="1"/>
      <c r="J1556" s="1"/>
      <c r="K1556" s="1"/>
      <c r="L1556" s="1"/>
      <c r="M1556" s="1"/>
      <c r="N1556" s="1"/>
    </row>
    <row r="1557" ht="14.5" spans="2:14">
      <c r="B1557" s="1"/>
      <c r="C1557" s="1"/>
      <c r="D1557" s="1"/>
      <c r="E1557" s="1"/>
      <c r="F1557" s="1"/>
      <c r="G1557" s="1"/>
      <c r="H1557" s="1"/>
      <c r="I1557" s="1"/>
      <c r="J1557" s="1"/>
      <c r="K1557" s="1"/>
      <c r="L1557" s="1"/>
      <c r="M1557" s="1"/>
      <c r="N1557" s="1"/>
    </row>
    <row r="1558" ht="14.5" spans="2:14">
      <c r="B1558" s="1"/>
      <c r="C1558" s="1"/>
      <c r="D1558" s="1"/>
      <c r="E1558" s="1"/>
      <c r="F1558" s="1"/>
      <c r="G1558" s="1"/>
      <c r="H1558" s="1"/>
      <c r="I1558" s="1"/>
      <c r="J1558" s="1"/>
      <c r="K1558" s="1"/>
      <c r="L1558" s="1"/>
      <c r="M1558" s="1"/>
      <c r="N1558" s="1"/>
    </row>
    <row r="1559" ht="14.5" spans="2:14">
      <c r="B1559" s="1"/>
      <c r="C1559" s="1"/>
      <c r="D1559" s="1"/>
      <c r="E1559" s="1"/>
      <c r="F1559" s="1"/>
      <c r="G1559" s="1"/>
      <c r="H1559" s="1"/>
      <c r="I1559" s="1"/>
      <c r="J1559" s="1"/>
      <c r="K1559" s="1"/>
      <c r="L1559" s="1"/>
      <c r="M1559" s="1"/>
      <c r="N1559" s="1"/>
    </row>
    <row r="1560" ht="14.5" spans="2:14">
      <c r="B1560" s="1"/>
      <c r="C1560" s="1"/>
      <c r="D1560" s="1"/>
      <c r="E1560" s="1"/>
      <c r="F1560" s="1"/>
      <c r="G1560" s="1"/>
      <c r="H1560" s="1"/>
      <c r="I1560" s="1"/>
      <c r="J1560" s="1"/>
      <c r="K1560" s="1"/>
      <c r="L1560" s="1"/>
      <c r="M1560" s="1"/>
      <c r="N1560" s="1"/>
    </row>
    <row r="1561" ht="14.5" spans="2:14">
      <c r="B1561" s="1"/>
      <c r="C1561" s="1"/>
      <c r="D1561" s="1"/>
      <c r="E1561" s="1"/>
      <c r="F1561" s="1"/>
      <c r="G1561" s="1"/>
      <c r="H1561" s="1"/>
      <c r="I1561" s="1"/>
      <c r="J1561" s="1"/>
      <c r="K1561" s="1"/>
      <c r="L1561" s="1"/>
      <c r="M1561" s="1"/>
      <c r="N1561" s="1"/>
    </row>
    <row r="1562" ht="14.5" spans="2:14">
      <c r="B1562" s="1"/>
      <c r="C1562" s="1"/>
      <c r="D1562" s="1"/>
      <c r="E1562" s="1"/>
      <c r="F1562" s="1"/>
      <c r="G1562" s="1"/>
      <c r="H1562" s="1"/>
      <c r="I1562" s="1"/>
      <c r="J1562" s="1"/>
      <c r="K1562" s="1"/>
      <c r="L1562" s="1"/>
      <c r="M1562" s="1"/>
      <c r="N1562" s="1"/>
    </row>
    <row r="1563" ht="14.5" spans="2:14">
      <c r="B1563" s="1"/>
      <c r="C1563" s="1"/>
      <c r="D1563" s="1"/>
      <c r="E1563" s="1"/>
      <c r="F1563" s="1"/>
      <c r="G1563" s="1"/>
      <c r="H1563" s="1"/>
      <c r="I1563" s="1"/>
      <c r="J1563" s="1"/>
      <c r="K1563" s="1"/>
      <c r="L1563" s="1"/>
      <c r="M1563" s="1"/>
      <c r="N1563" s="1"/>
    </row>
    <row r="1564" ht="14.5" spans="2:14">
      <c r="B1564" s="1"/>
      <c r="C1564" s="1"/>
      <c r="D1564" s="1"/>
      <c r="E1564" s="1"/>
      <c r="F1564" s="1"/>
      <c r="G1564" s="1"/>
      <c r="H1564" s="1"/>
      <c r="I1564" s="1"/>
      <c r="J1564" s="1"/>
      <c r="K1564" s="1"/>
      <c r="L1564" s="1"/>
      <c r="M1564" s="1"/>
      <c r="N1564" s="1"/>
    </row>
    <row r="1565" ht="14.5" spans="2:14">
      <c r="B1565" s="1"/>
      <c r="C1565" s="1"/>
      <c r="D1565" s="1"/>
      <c r="E1565" s="1"/>
      <c r="F1565" s="1"/>
      <c r="G1565" s="1"/>
      <c r="H1565" s="1"/>
      <c r="I1565" s="1"/>
      <c r="J1565" s="1"/>
      <c r="K1565" s="1"/>
      <c r="L1565" s="1"/>
      <c r="M1565" s="1"/>
      <c r="N1565" s="1"/>
    </row>
    <row r="1566" ht="14.5" spans="2:14">
      <c r="B1566" s="1"/>
      <c r="C1566" s="1"/>
      <c r="D1566" s="1"/>
      <c r="E1566" s="1"/>
      <c r="F1566" s="1"/>
      <c r="G1566" s="1"/>
      <c r="H1566" s="1"/>
      <c r="I1566" s="1"/>
      <c r="J1566" s="1"/>
      <c r="K1566" s="1"/>
      <c r="L1566" s="1"/>
      <c r="M1566" s="1"/>
      <c r="N1566" s="1"/>
    </row>
    <row r="1567" ht="14.5" spans="2:14">
      <c r="B1567" s="1"/>
      <c r="C1567" s="1"/>
      <c r="D1567" s="1"/>
      <c r="E1567" s="1"/>
      <c r="F1567" s="1"/>
      <c r="G1567" s="1"/>
      <c r="H1567" s="1"/>
      <c r="I1567" s="1"/>
      <c r="J1567" s="1"/>
      <c r="K1567" s="1"/>
      <c r="L1567" s="1"/>
      <c r="M1567" s="1"/>
      <c r="N1567" s="1"/>
    </row>
    <row r="1568" ht="14.5" spans="2:14">
      <c r="B1568" s="1"/>
      <c r="C1568" s="1"/>
      <c r="D1568" s="1"/>
      <c r="E1568" s="1"/>
      <c r="F1568" s="1"/>
      <c r="G1568" s="1"/>
      <c r="H1568" s="1"/>
      <c r="I1568" s="1"/>
      <c r="J1568" s="1"/>
      <c r="K1568" s="1"/>
      <c r="L1568" s="1"/>
      <c r="M1568" s="1"/>
      <c r="N1568" s="1"/>
    </row>
    <row r="1569" ht="14.5" spans="2:14">
      <c r="B1569" s="1"/>
      <c r="C1569" s="1"/>
      <c r="D1569" s="1"/>
      <c r="E1569" s="1"/>
      <c r="F1569" s="1"/>
      <c r="G1569" s="1"/>
      <c r="H1569" s="1"/>
      <c r="I1569" s="1"/>
      <c r="J1569" s="1"/>
      <c r="K1569" s="1"/>
      <c r="L1569" s="1"/>
      <c r="M1569" s="1"/>
      <c r="N1569" s="1"/>
    </row>
    <row r="1570" ht="14.5" spans="2:14">
      <c r="B1570" s="1"/>
      <c r="C1570" s="1"/>
      <c r="D1570" s="1"/>
      <c r="E1570" s="1"/>
      <c r="F1570" s="1"/>
      <c r="G1570" s="1"/>
      <c r="H1570" s="1"/>
      <c r="I1570" s="1"/>
      <c r="J1570" s="1"/>
      <c r="K1570" s="1"/>
      <c r="L1570" s="1"/>
      <c r="M1570" s="1"/>
      <c r="N1570" s="1"/>
    </row>
    <row r="1571" ht="14.5" spans="2:14">
      <c r="B1571" s="1"/>
      <c r="C1571" s="1"/>
      <c r="D1571" s="1"/>
      <c r="E1571" s="1"/>
      <c r="F1571" s="1"/>
      <c r="G1571" s="1"/>
      <c r="H1571" s="1"/>
      <c r="I1571" s="1"/>
      <c r="J1571" s="1"/>
      <c r="K1571" s="1"/>
      <c r="L1571" s="1"/>
      <c r="M1571" s="1"/>
      <c r="N1571" s="1"/>
    </row>
    <row r="1572" ht="14.5" spans="2:14">
      <c r="B1572" s="1"/>
      <c r="C1572" s="1"/>
      <c r="D1572" s="1"/>
      <c r="E1572" s="1"/>
      <c r="F1572" s="1"/>
      <c r="G1572" s="1"/>
      <c r="H1572" s="1"/>
      <c r="I1572" s="1"/>
      <c r="J1572" s="1"/>
      <c r="K1572" s="1"/>
      <c r="L1572" s="1"/>
      <c r="M1572" s="1"/>
      <c r="N1572" s="1"/>
    </row>
    <row r="1573" ht="14.5" spans="2:14">
      <c r="B1573" s="1"/>
      <c r="C1573" s="1"/>
      <c r="D1573" s="1"/>
      <c r="E1573" s="1"/>
      <c r="F1573" s="1"/>
      <c r="G1573" s="1"/>
      <c r="H1573" s="1"/>
      <c r="I1573" s="1"/>
      <c r="J1573" s="1"/>
      <c r="K1573" s="1"/>
      <c r="L1573" s="1"/>
      <c r="M1573" s="1"/>
      <c r="N1573" s="1"/>
    </row>
    <row r="1574" ht="14.5" spans="2:14">
      <c r="B1574" s="1"/>
      <c r="C1574" s="1"/>
      <c r="D1574" s="1"/>
      <c r="E1574" s="1"/>
      <c r="F1574" s="1"/>
      <c r="G1574" s="1"/>
      <c r="H1574" s="1"/>
      <c r="I1574" s="1"/>
      <c r="J1574" s="1"/>
      <c r="K1574" s="1"/>
      <c r="L1574" s="1"/>
      <c r="M1574" s="1"/>
      <c r="N1574" s="1"/>
    </row>
    <row r="1575" ht="14.5" spans="2:14">
      <c r="B1575" s="1"/>
      <c r="C1575" s="1"/>
      <c r="D1575" s="1"/>
      <c r="E1575" s="1"/>
      <c r="F1575" s="1"/>
      <c r="G1575" s="1"/>
      <c r="H1575" s="1"/>
      <c r="I1575" s="1"/>
      <c r="J1575" s="1"/>
      <c r="K1575" s="1"/>
      <c r="L1575" s="1"/>
      <c r="M1575" s="1"/>
      <c r="N1575" s="1"/>
    </row>
    <row r="1576" ht="14.5" spans="2:14">
      <c r="B1576" s="1"/>
      <c r="C1576" s="1"/>
      <c r="D1576" s="1"/>
      <c r="E1576" s="1"/>
      <c r="F1576" s="1"/>
      <c r="G1576" s="1"/>
      <c r="H1576" s="1"/>
      <c r="I1576" s="1"/>
      <c r="J1576" s="1"/>
      <c r="K1576" s="1"/>
      <c r="L1576" s="1"/>
      <c r="M1576" s="1"/>
      <c r="N1576" s="1"/>
    </row>
    <row r="1577" ht="14.5" spans="2:14">
      <c r="B1577" s="1"/>
      <c r="C1577" s="1"/>
      <c r="D1577" s="1"/>
      <c r="E1577" s="1"/>
      <c r="F1577" s="1"/>
      <c r="G1577" s="1"/>
      <c r="H1577" s="1"/>
      <c r="I1577" s="1"/>
      <c r="J1577" s="1"/>
      <c r="K1577" s="1"/>
      <c r="L1577" s="1"/>
      <c r="M1577" s="1"/>
      <c r="N1577" s="1"/>
    </row>
    <row r="1578" ht="14.5" spans="2:14">
      <c r="B1578" s="1"/>
      <c r="C1578" s="1"/>
      <c r="D1578" s="1"/>
      <c r="E1578" s="1"/>
      <c r="F1578" s="1"/>
      <c r="G1578" s="1"/>
      <c r="H1578" s="1"/>
      <c r="I1578" s="1"/>
      <c r="J1578" s="1"/>
      <c r="K1578" s="1"/>
      <c r="L1578" s="1"/>
      <c r="M1578" s="1"/>
      <c r="N1578" s="1"/>
    </row>
    <row r="1579" ht="14.5" spans="2:14">
      <c r="B1579" s="1"/>
      <c r="C1579" s="1"/>
      <c r="D1579" s="1"/>
      <c r="E1579" s="1"/>
      <c r="F1579" s="1"/>
      <c r="G1579" s="1"/>
      <c r="H1579" s="1"/>
      <c r="I1579" s="1"/>
      <c r="J1579" s="1"/>
      <c r="K1579" s="1"/>
      <c r="L1579" s="1"/>
      <c r="M1579" s="1"/>
      <c r="N1579" s="1"/>
    </row>
    <row r="1580" ht="14.5" spans="2:14">
      <c r="B1580" s="1"/>
      <c r="C1580" s="1"/>
      <c r="D1580" s="1"/>
      <c r="E1580" s="1"/>
      <c r="F1580" s="1"/>
      <c r="G1580" s="1"/>
      <c r="H1580" s="1"/>
      <c r="I1580" s="1"/>
      <c r="J1580" s="1"/>
      <c r="K1580" s="1"/>
      <c r="L1580" s="1"/>
      <c r="M1580" s="1"/>
      <c r="N1580" s="1"/>
    </row>
    <row r="1581" ht="14.5" spans="2:14">
      <c r="B1581" s="1"/>
      <c r="C1581" s="1"/>
      <c r="D1581" s="1"/>
      <c r="E1581" s="1"/>
      <c r="F1581" s="1"/>
      <c r="G1581" s="1"/>
      <c r="H1581" s="1"/>
      <c r="I1581" s="1"/>
      <c r="J1581" s="1"/>
      <c r="K1581" s="1"/>
      <c r="L1581" s="1"/>
      <c r="M1581" s="1"/>
      <c r="N1581" s="1"/>
    </row>
    <row r="1582" ht="14.5" spans="2:14">
      <c r="B1582" s="1"/>
      <c r="C1582" s="1"/>
      <c r="D1582" s="1"/>
      <c r="E1582" s="1"/>
      <c r="F1582" s="1"/>
      <c r="G1582" s="1"/>
      <c r="H1582" s="1"/>
      <c r="I1582" s="1"/>
      <c r="J1582" s="1"/>
      <c r="K1582" s="1"/>
      <c r="L1582" s="1"/>
      <c r="M1582" s="1"/>
      <c r="N1582" s="1"/>
    </row>
    <row r="1583" ht="14.5" spans="2:14">
      <c r="B1583" s="1"/>
      <c r="C1583" s="1"/>
      <c r="D1583" s="1"/>
      <c r="E1583" s="1"/>
      <c r="F1583" s="1"/>
      <c r="G1583" s="1"/>
      <c r="H1583" s="1"/>
      <c r="I1583" s="1"/>
      <c r="J1583" s="1"/>
      <c r="K1583" s="1"/>
      <c r="L1583" s="1"/>
      <c r="M1583" s="1"/>
      <c r="N1583" s="1"/>
    </row>
    <row r="1584" ht="14.5" spans="2:14">
      <c r="B1584" s="1"/>
      <c r="C1584" s="1"/>
      <c r="D1584" s="1"/>
      <c r="E1584" s="1"/>
      <c r="F1584" s="1"/>
      <c r="G1584" s="1"/>
      <c r="H1584" s="1"/>
      <c r="I1584" s="1"/>
      <c r="J1584" s="1"/>
      <c r="K1584" s="1"/>
      <c r="L1584" s="1"/>
      <c r="M1584" s="1"/>
      <c r="N1584" s="1"/>
    </row>
    <row r="1585" ht="14.5" spans="2:14">
      <c r="B1585" s="1"/>
      <c r="C1585" s="1"/>
      <c r="D1585" s="1"/>
      <c r="E1585" s="1"/>
      <c r="F1585" s="1"/>
      <c r="G1585" s="1"/>
      <c r="H1585" s="1"/>
      <c r="I1585" s="1"/>
      <c r="J1585" s="1"/>
      <c r="K1585" s="1"/>
      <c r="L1585" s="1"/>
      <c r="M1585" s="1"/>
      <c r="N1585" s="1"/>
    </row>
    <row r="1586" ht="14.5" spans="2:14">
      <c r="B1586" s="1"/>
      <c r="C1586" s="1"/>
      <c r="D1586" s="1"/>
      <c r="E1586" s="1"/>
      <c r="F1586" s="1"/>
      <c r="G1586" s="1"/>
      <c r="H1586" s="1"/>
      <c r="I1586" s="1"/>
      <c r="J1586" s="1"/>
      <c r="K1586" s="1"/>
      <c r="L1586" s="1"/>
      <c r="M1586" s="1"/>
      <c r="N1586" s="1"/>
    </row>
    <row r="1587" ht="14.5" spans="2:14">
      <c r="B1587" s="1"/>
      <c r="C1587" s="1"/>
      <c r="D1587" s="1"/>
      <c r="E1587" s="1"/>
      <c r="F1587" s="1"/>
      <c r="G1587" s="1"/>
      <c r="H1587" s="1"/>
      <c r="I1587" s="1"/>
      <c r="J1587" s="1"/>
      <c r="K1587" s="1"/>
      <c r="L1587" s="1"/>
      <c r="M1587" s="1"/>
      <c r="N1587" s="1"/>
    </row>
    <row r="1588" ht="14.5" spans="2:14">
      <c r="B1588" s="1"/>
      <c r="C1588" s="1"/>
      <c r="D1588" s="1"/>
      <c r="E1588" s="1"/>
      <c r="F1588" s="1"/>
      <c r="G1588" s="1"/>
      <c r="H1588" s="1"/>
      <c r="I1588" s="1"/>
      <c r="J1588" s="1"/>
      <c r="K1588" s="1"/>
      <c r="L1588" s="1"/>
      <c r="M1588" s="1"/>
      <c r="N1588" s="1"/>
    </row>
    <row r="1589" ht="14.5" spans="2:14">
      <c r="B1589" s="1"/>
      <c r="C1589" s="1"/>
      <c r="D1589" s="1"/>
      <c r="E1589" s="1"/>
      <c r="F1589" s="1"/>
      <c r="G1589" s="1"/>
      <c r="H1589" s="1"/>
      <c r="I1589" s="1"/>
      <c r="J1589" s="1"/>
      <c r="K1589" s="1"/>
      <c r="L1589" s="1"/>
      <c r="M1589" s="1"/>
      <c r="N1589" s="1"/>
    </row>
    <row r="1590" ht="14.5" spans="2:14">
      <c r="B1590" s="1"/>
      <c r="C1590" s="1"/>
      <c r="D1590" s="1"/>
      <c r="E1590" s="1"/>
      <c r="F1590" s="1"/>
      <c r="G1590" s="1"/>
      <c r="H1590" s="1"/>
      <c r="I1590" s="1"/>
      <c r="J1590" s="1"/>
      <c r="K1590" s="1"/>
      <c r="L1590" s="1"/>
      <c r="M1590" s="1"/>
      <c r="N1590" s="1"/>
    </row>
    <row r="1591" ht="14.5" spans="2:14">
      <c r="B1591" s="1"/>
      <c r="C1591" s="1"/>
      <c r="D1591" s="1"/>
      <c r="E1591" s="1"/>
      <c r="F1591" s="1"/>
      <c r="G1591" s="1"/>
      <c r="H1591" s="1"/>
      <c r="I1591" s="1"/>
      <c r="J1591" s="1"/>
      <c r="K1591" s="1"/>
      <c r="L1591" s="1"/>
      <c r="M1591" s="1"/>
      <c r="N1591" s="1"/>
    </row>
    <row r="1592" ht="14.5" spans="2:14">
      <c r="B1592" s="1"/>
      <c r="C1592" s="1"/>
      <c r="D1592" s="1"/>
      <c r="E1592" s="1"/>
      <c r="F1592" s="1"/>
      <c r="G1592" s="1"/>
      <c r="H1592" s="1"/>
      <c r="I1592" s="1"/>
      <c r="J1592" s="1"/>
      <c r="K1592" s="1"/>
      <c r="L1592" s="1"/>
      <c r="M1592" s="1"/>
      <c r="N1592" s="1"/>
    </row>
    <row r="1593" ht="14.5" spans="2:14">
      <c r="B1593" s="1"/>
      <c r="C1593" s="1"/>
      <c r="D1593" s="1"/>
      <c r="E1593" s="1"/>
      <c r="F1593" s="1"/>
      <c r="G1593" s="1"/>
      <c r="H1593" s="1"/>
      <c r="I1593" s="1"/>
      <c r="J1593" s="1"/>
      <c r="K1593" s="1"/>
      <c r="L1593" s="1"/>
      <c r="M1593" s="1"/>
      <c r="N1593" s="1"/>
    </row>
    <row r="1594" ht="14.5" spans="2:14">
      <c r="B1594" s="1"/>
      <c r="C1594" s="1"/>
      <c r="D1594" s="1"/>
      <c r="E1594" s="1"/>
      <c r="F1594" s="1"/>
      <c r="G1594" s="1"/>
      <c r="H1594" s="1"/>
      <c r="I1594" s="1"/>
      <c r="J1594" s="1"/>
      <c r="K1594" s="1"/>
      <c r="L1594" s="1"/>
      <c r="M1594" s="1"/>
      <c r="N1594" s="1"/>
    </row>
    <row r="1595" ht="14.5" spans="2:14">
      <c r="B1595" s="1"/>
      <c r="C1595" s="1"/>
      <c r="D1595" s="1"/>
      <c r="E1595" s="1"/>
      <c r="F1595" s="1"/>
      <c r="G1595" s="1"/>
      <c r="H1595" s="1"/>
      <c r="I1595" s="1"/>
      <c r="J1595" s="1"/>
      <c r="K1595" s="1"/>
      <c r="L1595" s="1"/>
      <c r="M1595" s="1"/>
      <c r="N1595" s="1"/>
    </row>
    <row r="1596" ht="14.5" spans="2:14">
      <c r="B1596" s="1"/>
      <c r="C1596" s="1"/>
      <c r="D1596" s="1"/>
      <c r="E1596" s="1"/>
      <c r="F1596" s="1"/>
      <c r="G1596" s="1"/>
      <c r="H1596" s="1"/>
      <c r="I1596" s="1"/>
      <c r="J1596" s="1"/>
      <c r="K1596" s="1"/>
      <c r="L1596" s="1"/>
      <c r="M1596" s="1"/>
      <c r="N1596" s="1"/>
    </row>
    <row r="1597" ht="14.5" spans="2:14">
      <c r="B1597" s="1"/>
      <c r="C1597" s="1"/>
      <c r="D1597" s="1"/>
      <c r="E1597" s="1"/>
      <c r="F1597" s="1"/>
      <c r="G1597" s="1"/>
      <c r="H1597" s="1"/>
      <c r="I1597" s="1"/>
      <c r="J1597" s="1"/>
      <c r="K1597" s="1"/>
      <c r="L1597" s="1"/>
      <c r="M1597" s="1"/>
      <c r="N1597" s="1"/>
    </row>
    <row r="1598" ht="14.5" spans="2:14">
      <c r="B1598" s="1"/>
      <c r="C1598" s="1"/>
      <c r="D1598" s="1"/>
      <c r="E1598" s="1"/>
      <c r="F1598" s="1"/>
      <c r="G1598" s="1"/>
      <c r="H1598" s="1"/>
      <c r="I1598" s="1"/>
      <c r="J1598" s="1"/>
      <c r="K1598" s="1"/>
      <c r="L1598" s="1"/>
      <c r="M1598" s="1"/>
      <c r="N1598" s="1"/>
    </row>
    <row r="1599" ht="14.5" spans="2:14">
      <c r="B1599" s="1"/>
      <c r="C1599" s="1"/>
      <c r="D1599" s="1"/>
      <c r="E1599" s="1"/>
      <c r="F1599" s="1"/>
      <c r="G1599" s="1"/>
      <c r="H1599" s="1"/>
      <c r="I1599" s="1"/>
      <c r="J1599" s="1"/>
      <c r="K1599" s="1"/>
      <c r="L1599" s="1"/>
      <c r="M1599" s="1"/>
      <c r="N1599" s="1"/>
    </row>
    <row r="1600" ht="14.5" spans="2:14">
      <c r="B1600" s="1"/>
      <c r="C1600" s="1"/>
      <c r="D1600" s="1"/>
      <c r="E1600" s="1"/>
      <c r="F1600" s="1"/>
      <c r="G1600" s="1"/>
      <c r="H1600" s="1"/>
      <c r="I1600" s="1"/>
      <c r="J1600" s="1"/>
      <c r="K1600" s="1"/>
      <c r="L1600" s="1"/>
      <c r="M1600" s="1"/>
      <c r="N1600" s="1"/>
    </row>
    <row r="1601" ht="14.5" spans="2:14">
      <c r="B1601" s="1"/>
      <c r="C1601" s="1"/>
      <c r="D1601" s="1"/>
      <c r="E1601" s="1"/>
      <c r="F1601" s="1"/>
      <c r="G1601" s="1"/>
      <c r="H1601" s="1"/>
      <c r="I1601" s="1"/>
      <c r="J1601" s="1"/>
      <c r="K1601" s="1"/>
      <c r="L1601" s="1"/>
      <c r="M1601" s="1"/>
      <c r="N1601" s="1"/>
    </row>
    <row r="1602" ht="14.5" spans="2:14">
      <c r="B1602" s="1"/>
      <c r="C1602" s="1"/>
      <c r="D1602" s="1"/>
      <c r="E1602" s="1"/>
      <c r="F1602" s="1"/>
      <c r="G1602" s="1"/>
      <c r="H1602" s="1"/>
      <c r="I1602" s="1"/>
      <c r="J1602" s="1"/>
      <c r="K1602" s="1"/>
      <c r="L1602" s="1"/>
      <c r="M1602" s="1"/>
      <c r="N1602" s="1"/>
    </row>
    <row r="1603" ht="14.5" spans="2:14">
      <c r="B1603" s="1"/>
      <c r="C1603" s="1"/>
      <c r="D1603" s="1"/>
      <c r="E1603" s="1"/>
      <c r="F1603" s="1"/>
      <c r="G1603" s="1"/>
      <c r="H1603" s="1"/>
      <c r="I1603" s="1"/>
      <c r="J1603" s="1"/>
      <c r="K1603" s="1"/>
      <c r="L1603" s="1"/>
      <c r="M1603" s="1"/>
      <c r="N1603" s="1"/>
    </row>
    <row r="1604" ht="14.5" spans="2:14">
      <c r="B1604" s="1"/>
      <c r="C1604" s="1"/>
      <c r="D1604" s="1"/>
      <c r="E1604" s="1"/>
      <c r="F1604" s="1"/>
      <c r="G1604" s="1"/>
      <c r="H1604" s="1"/>
      <c r="I1604" s="1"/>
      <c r="J1604" s="1"/>
      <c r="K1604" s="1"/>
      <c r="L1604" s="1"/>
      <c r="M1604" s="1"/>
      <c r="N1604" s="1"/>
    </row>
    <row r="1605" ht="14.5" spans="2:14">
      <c r="B1605" s="1"/>
      <c r="C1605" s="1"/>
      <c r="D1605" s="1"/>
      <c r="E1605" s="1"/>
      <c r="F1605" s="1"/>
      <c r="G1605" s="1"/>
      <c r="H1605" s="1"/>
      <c r="I1605" s="1"/>
      <c r="J1605" s="1"/>
      <c r="K1605" s="1"/>
      <c r="L1605" s="1"/>
      <c r="M1605" s="1"/>
      <c r="N1605" s="1"/>
    </row>
    <row r="1606" ht="14.5" spans="2:14">
      <c r="B1606" s="1"/>
      <c r="C1606" s="1"/>
      <c r="D1606" s="1"/>
      <c r="E1606" s="1"/>
      <c r="F1606" s="1"/>
      <c r="G1606" s="1"/>
      <c r="H1606" s="1"/>
      <c r="I1606" s="1"/>
      <c r="J1606" s="1"/>
      <c r="K1606" s="1"/>
      <c r="L1606" s="1"/>
      <c r="M1606" s="1"/>
      <c r="N1606" s="1"/>
    </row>
    <row r="1607" ht="14.5" spans="2:14">
      <c r="B1607" s="1"/>
      <c r="C1607" s="1"/>
      <c r="D1607" s="1"/>
      <c r="E1607" s="1"/>
      <c r="F1607" s="1"/>
      <c r="G1607" s="1"/>
      <c r="H1607" s="1"/>
      <c r="I1607" s="1"/>
      <c r="J1607" s="1"/>
      <c r="K1607" s="1"/>
      <c r="L1607" s="1"/>
      <c r="M1607" s="1"/>
      <c r="N1607" s="1"/>
    </row>
    <row r="1608" ht="14.5" spans="2:14">
      <c r="B1608" s="1"/>
      <c r="C1608" s="1"/>
      <c r="D1608" s="1"/>
      <c r="E1608" s="1"/>
      <c r="F1608" s="1"/>
      <c r="G1608" s="1"/>
      <c r="H1608" s="1"/>
      <c r="I1608" s="1"/>
      <c r="J1608" s="1"/>
      <c r="K1608" s="1"/>
      <c r="L1608" s="1"/>
      <c r="M1608" s="1"/>
      <c r="N1608" s="1"/>
    </row>
    <row r="1609" ht="14.5" spans="2:14">
      <c r="B1609" s="1"/>
      <c r="C1609" s="1"/>
      <c r="D1609" s="1"/>
      <c r="E1609" s="1"/>
      <c r="F1609" s="1"/>
      <c r="G1609" s="1"/>
      <c r="H1609" s="1"/>
      <c r="I1609" s="1"/>
      <c r="J1609" s="1"/>
      <c r="K1609" s="1"/>
      <c r="L1609" s="1"/>
      <c r="M1609" s="1"/>
      <c r="N1609" s="1"/>
    </row>
    <row r="1610" ht="14.5" spans="2:14">
      <c r="B1610" s="1"/>
      <c r="C1610" s="1"/>
      <c r="D1610" s="1"/>
      <c r="E1610" s="1"/>
      <c r="F1610" s="1"/>
      <c r="G1610" s="1"/>
      <c r="H1610" s="1"/>
      <c r="I1610" s="1"/>
      <c r="J1610" s="1"/>
      <c r="K1610" s="1"/>
      <c r="L1610" s="1"/>
      <c r="M1610" s="1"/>
      <c r="N1610" s="1"/>
    </row>
    <row r="1611" ht="14.5" spans="2:14">
      <c r="B1611" s="1"/>
      <c r="C1611" s="1"/>
      <c r="D1611" s="1"/>
      <c r="E1611" s="1"/>
      <c r="F1611" s="1"/>
      <c r="G1611" s="1"/>
      <c r="H1611" s="1"/>
      <c r="I1611" s="1"/>
      <c r="J1611" s="1"/>
      <c r="K1611" s="1"/>
      <c r="L1611" s="1"/>
      <c r="M1611" s="1"/>
      <c r="N1611" s="1"/>
    </row>
    <row r="1612" ht="14.5" spans="2:14">
      <c r="B1612" s="1"/>
      <c r="C1612" s="1"/>
      <c r="D1612" s="1"/>
      <c r="E1612" s="1"/>
      <c r="F1612" s="1"/>
      <c r="G1612" s="1"/>
      <c r="H1612" s="1"/>
      <c r="I1612" s="1"/>
      <c r="J1612" s="1"/>
      <c r="K1612" s="1"/>
      <c r="L1612" s="1"/>
      <c r="M1612" s="1"/>
      <c r="N1612" s="1"/>
    </row>
    <row r="1613" ht="14.5" spans="2:14">
      <c r="B1613" s="1"/>
      <c r="C1613" s="1"/>
      <c r="D1613" s="1"/>
      <c r="E1613" s="1"/>
      <c r="F1613" s="1"/>
      <c r="G1613" s="1"/>
      <c r="H1613" s="1"/>
      <c r="I1613" s="1"/>
      <c r="J1613" s="1"/>
      <c r="K1613" s="1"/>
      <c r="L1613" s="1"/>
      <c r="M1613" s="1"/>
      <c r="N1613" s="1"/>
    </row>
    <row r="1614" ht="14.5" spans="2:14">
      <c r="B1614" s="1"/>
      <c r="C1614" s="1"/>
      <c r="D1614" s="1"/>
      <c r="E1614" s="1"/>
      <c r="F1614" s="1"/>
      <c r="G1614" s="1"/>
      <c r="H1614" s="1"/>
      <c r="I1614" s="1"/>
      <c r="J1614" s="1"/>
      <c r="K1614" s="1"/>
      <c r="L1614" s="1"/>
      <c r="M1614" s="1"/>
      <c r="N1614" s="1"/>
    </row>
    <row r="1615" ht="14.5" spans="2:14">
      <c r="B1615" s="1"/>
      <c r="C1615" s="1"/>
      <c r="D1615" s="1"/>
      <c r="E1615" s="1"/>
      <c r="F1615" s="1"/>
      <c r="G1615" s="1"/>
      <c r="H1615" s="1"/>
      <c r="I1615" s="1"/>
      <c r="J1615" s="1"/>
      <c r="K1615" s="1"/>
      <c r="L1615" s="1"/>
      <c r="M1615" s="1"/>
      <c r="N1615" s="1"/>
    </row>
    <row r="1616" ht="14.5" spans="2:14">
      <c r="B1616" s="1"/>
      <c r="C1616" s="1"/>
      <c r="D1616" s="1"/>
      <c r="E1616" s="1"/>
      <c r="F1616" s="1"/>
      <c r="G1616" s="1"/>
      <c r="H1616" s="1"/>
      <c r="I1616" s="1"/>
      <c r="J1616" s="1"/>
      <c r="K1616" s="1"/>
      <c r="L1616" s="1"/>
      <c r="M1616" s="1"/>
      <c r="N1616" s="1"/>
    </row>
    <row r="1617" ht="14.5" spans="2:14">
      <c r="B1617" s="1"/>
      <c r="C1617" s="1"/>
      <c r="D1617" s="1"/>
      <c r="E1617" s="1"/>
      <c r="F1617" s="1"/>
      <c r="G1617" s="1"/>
      <c r="H1617" s="1"/>
      <c r="I1617" s="1"/>
      <c r="J1617" s="1"/>
      <c r="K1617" s="1"/>
      <c r="L1617" s="1"/>
      <c r="M1617" s="1"/>
      <c r="N1617" s="1"/>
    </row>
    <row r="1618" ht="14.5" spans="2:14">
      <c r="B1618" s="1"/>
      <c r="C1618" s="1"/>
      <c r="D1618" s="1"/>
      <c r="E1618" s="1"/>
      <c r="F1618" s="1"/>
      <c r="G1618" s="1"/>
      <c r="H1618" s="1"/>
      <c r="I1618" s="1"/>
      <c r="J1618" s="1"/>
      <c r="K1618" s="1"/>
      <c r="L1618" s="1"/>
      <c r="M1618" s="1"/>
      <c r="N1618" s="1"/>
    </row>
    <row r="1619" ht="14.5" spans="2:14">
      <c r="B1619" s="1"/>
      <c r="C1619" s="1"/>
      <c r="D1619" s="1"/>
      <c r="E1619" s="1"/>
      <c r="F1619" s="1"/>
      <c r="G1619" s="1"/>
      <c r="H1619" s="1"/>
      <c r="I1619" s="1"/>
      <c r="J1619" s="1"/>
      <c r="K1619" s="1"/>
      <c r="L1619" s="1"/>
      <c r="M1619" s="1"/>
      <c r="N1619" s="1"/>
    </row>
    <row r="1620" ht="14.5" spans="2:14">
      <c r="B1620" s="1"/>
      <c r="C1620" s="1"/>
      <c r="D1620" s="1"/>
      <c r="E1620" s="1"/>
      <c r="F1620" s="1"/>
      <c r="G1620" s="1"/>
      <c r="H1620" s="1"/>
      <c r="I1620" s="1"/>
      <c r="J1620" s="1"/>
      <c r="K1620" s="1"/>
      <c r="L1620" s="1"/>
      <c r="M1620" s="1"/>
      <c r="N1620" s="1"/>
    </row>
    <row r="1621" ht="14.5" spans="2:14">
      <c r="B1621" s="1"/>
      <c r="C1621" s="1"/>
      <c r="D1621" s="1"/>
      <c r="E1621" s="1"/>
      <c r="F1621" s="1"/>
      <c r="G1621" s="1"/>
      <c r="H1621" s="1"/>
      <c r="I1621" s="1"/>
      <c r="J1621" s="1"/>
      <c r="K1621" s="1"/>
      <c r="L1621" s="1"/>
      <c r="M1621" s="1"/>
      <c r="N1621" s="1"/>
    </row>
    <row r="1622" ht="14.5" spans="2:14">
      <c r="B1622" s="1"/>
      <c r="C1622" s="1"/>
      <c r="D1622" s="1"/>
      <c r="E1622" s="1"/>
      <c r="F1622" s="1"/>
      <c r="G1622" s="1"/>
      <c r="H1622" s="1"/>
      <c r="I1622" s="1"/>
      <c r="J1622" s="1"/>
      <c r="K1622" s="1"/>
      <c r="L1622" s="1"/>
      <c r="M1622" s="1"/>
      <c r="N1622" s="1"/>
    </row>
    <row r="1623" ht="14.5" spans="2:14">
      <c r="B1623" s="1"/>
      <c r="C1623" s="1"/>
      <c r="D1623" s="1"/>
      <c r="E1623" s="1"/>
      <c r="F1623" s="1"/>
      <c r="G1623" s="1"/>
      <c r="H1623" s="1"/>
      <c r="I1623" s="1"/>
      <c r="J1623" s="1"/>
      <c r="K1623" s="1"/>
      <c r="L1623" s="1"/>
      <c r="M1623" s="1"/>
      <c r="N1623" s="1"/>
    </row>
    <row r="1624" ht="14.5" spans="2:14">
      <c r="B1624" s="1"/>
      <c r="C1624" s="1"/>
      <c r="D1624" s="1"/>
      <c r="E1624" s="1"/>
      <c r="F1624" s="1"/>
      <c r="G1624" s="1"/>
      <c r="H1624" s="1"/>
      <c r="I1624" s="1"/>
      <c r="J1624" s="1"/>
      <c r="K1624" s="1"/>
      <c r="L1624" s="1"/>
      <c r="M1624" s="1"/>
      <c r="N1624" s="1"/>
    </row>
    <row r="1625" ht="14.5" spans="2:14">
      <c r="B1625" s="1"/>
      <c r="C1625" s="1"/>
      <c r="D1625" s="1"/>
      <c r="E1625" s="1"/>
      <c r="F1625" s="1"/>
      <c r="G1625" s="1"/>
      <c r="H1625" s="1"/>
      <c r="I1625" s="1"/>
      <c r="J1625" s="1"/>
      <c r="K1625" s="1"/>
      <c r="L1625" s="1"/>
      <c r="M1625" s="1"/>
      <c r="N1625" s="1"/>
    </row>
    <row r="1626" ht="14.5" spans="2:14">
      <c r="B1626" s="1"/>
      <c r="C1626" s="1"/>
      <c r="D1626" s="1"/>
      <c r="E1626" s="1"/>
      <c r="F1626" s="1"/>
      <c r="G1626" s="1"/>
      <c r="H1626" s="1"/>
      <c r="I1626" s="1"/>
      <c r="J1626" s="1"/>
      <c r="K1626" s="1"/>
      <c r="L1626" s="1"/>
      <c r="M1626" s="1"/>
      <c r="N1626" s="1"/>
    </row>
    <row r="1627" ht="14.5" spans="2:14">
      <c r="B1627" s="1"/>
      <c r="C1627" s="1"/>
      <c r="D1627" s="1"/>
      <c r="E1627" s="1"/>
      <c r="F1627" s="1"/>
      <c r="G1627" s="1"/>
      <c r="H1627" s="1"/>
      <c r="I1627" s="1"/>
      <c r="J1627" s="1"/>
      <c r="K1627" s="1"/>
      <c r="L1627" s="1"/>
      <c r="M1627" s="1"/>
      <c r="N1627" s="1"/>
    </row>
    <row r="1628" ht="14.5" spans="2:14">
      <c r="B1628" s="1"/>
      <c r="C1628" s="1"/>
      <c r="D1628" s="1"/>
      <c r="E1628" s="1"/>
      <c r="F1628" s="1"/>
      <c r="G1628" s="1"/>
      <c r="H1628" s="1"/>
      <c r="I1628" s="1"/>
      <c r="J1628" s="1"/>
      <c r="K1628" s="1"/>
      <c r="L1628" s="1"/>
      <c r="M1628" s="1"/>
      <c r="N1628" s="1"/>
    </row>
    <row r="1629" ht="14.5" spans="2:14">
      <c r="B1629" s="1"/>
      <c r="C1629" s="1"/>
      <c r="D1629" s="1"/>
      <c r="E1629" s="1"/>
      <c r="F1629" s="1"/>
      <c r="G1629" s="1"/>
      <c r="H1629" s="1"/>
      <c r="I1629" s="1"/>
      <c r="J1629" s="1"/>
      <c r="K1629" s="1"/>
      <c r="L1629" s="1"/>
      <c r="M1629" s="1"/>
      <c r="N1629" s="1"/>
    </row>
    <row r="1630" ht="14.5" spans="2:14">
      <c r="B1630" s="1"/>
      <c r="C1630" s="1"/>
      <c r="D1630" s="1"/>
      <c r="E1630" s="1"/>
      <c r="F1630" s="1"/>
      <c r="G1630" s="1"/>
      <c r="H1630" s="1"/>
      <c r="I1630" s="1"/>
      <c r="J1630" s="1"/>
      <c r="K1630" s="1"/>
      <c r="L1630" s="1"/>
      <c r="M1630" s="1"/>
      <c r="N1630" s="1"/>
    </row>
    <row r="1631" ht="14.5" spans="2:14">
      <c r="B1631" s="1"/>
      <c r="C1631" s="1"/>
      <c r="D1631" s="1"/>
      <c r="E1631" s="1"/>
      <c r="F1631" s="1"/>
      <c r="G1631" s="1"/>
      <c r="H1631" s="1"/>
      <c r="I1631" s="1"/>
      <c r="J1631" s="1"/>
      <c r="K1631" s="1"/>
      <c r="L1631" s="1"/>
      <c r="M1631" s="1"/>
      <c r="N1631" s="1"/>
    </row>
    <row r="1632" ht="14.5" spans="2:14">
      <c r="B1632" s="1"/>
      <c r="C1632" s="1"/>
      <c r="D1632" s="1"/>
      <c r="E1632" s="1"/>
      <c r="F1632" s="1"/>
      <c r="G1632" s="1"/>
      <c r="H1632" s="1"/>
      <c r="I1632" s="1"/>
      <c r="J1632" s="1"/>
      <c r="K1632" s="1"/>
      <c r="L1632" s="1"/>
      <c r="M1632" s="1"/>
      <c r="N1632" s="1"/>
    </row>
    <row r="1633" ht="14.5" spans="2:14">
      <c r="B1633" s="1"/>
      <c r="C1633" s="1"/>
      <c r="D1633" s="1"/>
      <c r="E1633" s="1"/>
      <c r="F1633" s="1"/>
      <c r="G1633" s="1"/>
      <c r="H1633" s="1"/>
      <c r="I1633" s="1"/>
      <c r="J1633" s="1"/>
      <c r="K1633" s="1"/>
      <c r="L1633" s="1"/>
      <c r="M1633" s="1"/>
      <c r="N1633" s="1"/>
    </row>
    <row r="1634" ht="14.5" spans="2:14">
      <c r="B1634" s="1"/>
      <c r="C1634" s="1"/>
      <c r="D1634" s="1"/>
      <c r="E1634" s="1"/>
      <c r="F1634" s="1"/>
      <c r="G1634" s="1"/>
      <c r="H1634" s="1"/>
      <c r="I1634" s="1"/>
      <c r="J1634" s="1"/>
      <c r="K1634" s="1"/>
      <c r="L1634" s="1"/>
      <c r="M1634" s="1"/>
      <c r="N1634" s="1"/>
    </row>
    <row r="1635" ht="14.5" spans="2:14">
      <c r="B1635" s="1"/>
      <c r="C1635" s="1"/>
      <c r="D1635" s="1"/>
      <c r="E1635" s="1"/>
      <c r="F1635" s="1"/>
      <c r="G1635" s="1"/>
      <c r="H1635" s="1"/>
      <c r="I1635" s="1"/>
      <c r="J1635" s="1"/>
      <c r="K1635" s="1"/>
      <c r="L1635" s="1"/>
      <c r="M1635" s="1"/>
      <c r="N1635" s="1"/>
    </row>
    <row r="1636" ht="14.5" spans="2:14">
      <c r="B1636" s="1"/>
      <c r="C1636" s="1"/>
      <c r="D1636" s="1"/>
      <c r="E1636" s="1"/>
      <c r="F1636" s="1"/>
      <c r="G1636" s="1"/>
      <c r="H1636" s="1"/>
      <c r="I1636" s="1"/>
      <c r="J1636" s="1"/>
      <c r="K1636" s="1"/>
      <c r="L1636" s="1"/>
      <c r="M1636" s="1"/>
      <c r="N1636" s="1"/>
    </row>
    <row r="1637" ht="14.5" spans="2:14">
      <c r="B1637" s="1"/>
      <c r="C1637" s="1"/>
      <c r="D1637" s="1"/>
      <c r="E1637" s="1"/>
      <c r="F1637" s="1"/>
      <c r="G1637" s="1"/>
      <c r="H1637" s="1"/>
      <c r="I1637" s="1"/>
      <c r="J1637" s="1"/>
      <c r="K1637" s="1"/>
      <c r="L1637" s="1"/>
      <c r="M1637" s="1"/>
      <c r="N1637" s="1"/>
    </row>
    <row r="1638" ht="14.5" spans="2:14">
      <c r="B1638" s="1"/>
      <c r="C1638" s="1"/>
      <c r="D1638" s="1"/>
      <c r="E1638" s="1"/>
      <c r="F1638" s="1"/>
      <c r="G1638" s="1"/>
      <c r="H1638" s="1"/>
      <c r="I1638" s="1"/>
      <c r="J1638" s="1"/>
      <c r="K1638" s="1"/>
      <c r="L1638" s="1"/>
      <c r="M1638" s="1"/>
      <c r="N1638" s="1"/>
    </row>
    <row r="1639" ht="14.5" spans="2:14">
      <c r="B1639" s="1"/>
      <c r="C1639" s="1"/>
      <c r="D1639" s="1"/>
      <c r="E1639" s="1"/>
      <c r="F1639" s="1"/>
      <c r="G1639" s="1"/>
      <c r="H1639" s="1"/>
      <c r="I1639" s="1"/>
      <c r="J1639" s="1"/>
      <c r="K1639" s="1"/>
      <c r="L1639" s="1"/>
      <c r="M1639" s="1"/>
      <c r="N1639" s="1"/>
    </row>
    <row r="1640" ht="14.5" spans="2:14">
      <c r="B1640" s="1"/>
      <c r="C1640" s="1"/>
      <c r="D1640" s="1"/>
      <c r="E1640" s="1"/>
      <c r="F1640" s="1"/>
      <c r="G1640" s="1"/>
      <c r="H1640" s="1"/>
      <c r="I1640" s="1"/>
      <c r="J1640" s="1"/>
      <c r="K1640" s="1"/>
      <c r="L1640" s="1"/>
      <c r="M1640" s="1"/>
      <c r="N1640" s="1"/>
    </row>
    <row r="1641" ht="14.5" spans="2:14">
      <c r="B1641" s="1"/>
      <c r="C1641" s="1"/>
      <c r="D1641" s="1"/>
      <c r="E1641" s="1"/>
      <c r="F1641" s="1"/>
      <c r="G1641" s="1"/>
      <c r="H1641" s="1"/>
      <c r="I1641" s="1"/>
      <c r="J1641" s="1"/>
      <c r="K1641" s="1"/>
      <c r="L1641" s="1"/>
      <c r="M1641" s="1"/>
      <c r="N1641" s="1"/>
    </row>
    <row r="1642" ht="14.5" spans="2:14">
      <c r="B1642" s="1"/>
      <c r="C1642" s="1"/>
      <c r="D1642" s="1"/>
      <c r="E1642" s="1"/>
      <c r="F1642" s="1"/>
      <c r="G1642" s="1"/>
      <c r="H1642" s="1"/>
      <c r="I1642" s="1"/>
      <c r="J1642" s="1"/>
      <c r="K1642" s="1"/>
      <c r="L1642" s="1"/>
      <c r="M1642" s="1"/>
      <c r="N1642" s="1"/>
    </row>
    <row r="1643" ht="14.5" spans="2:14">
      <c r="B1643" s="1"/>
      <c r="C1643" s="1"/>
      <c r="D1643" s="1"/>
      <c r="E1643" s="1"/>
      <c r="F1643" s="1"/>
      <c r="G1643" s="1"/>
      <c r="H1643" s="1"/>
      <c r="I1643" s="1"/>
      <c r="J1643" s="1"/>
      <c r="K1643" s="1"/>
      <c r="L1643" s="1"/>
      <c r="M1643" s="1"/>
      <c r="N1643" s="1"/>
    </row>
    <row r="1644" ht="14.5" spans="2:14">
      <c r="B1644" s="1"/>
      <c r="C1644" s="1"/>
      <c r="D1644" s="1"/>
      <c r="E1644" s="1"/>
      <c r="F1644" s="1"/>
      <c r="G1644" s="1"/>
      <c r="H1644" s="1"/>
      <c r="I1644" s="1"/>
      <c r="J1644" s="1"/>
      <c r="K1644" s="1"/>
      <c r="L1644" s="1"/>
      <c r="M1644" s="1"/>
      <c r="N1644" s="1"/>
    </row>
    <row r="1645" ht="14.5" spans="2:14">
      <c r="B1645" s="1"/>
      <c r="C1645" s="1"/>
      <c r="D1645" s="1"/>
      <c r="E1645" s="1"/>
      <c r="F1645" s="1"/>
      <c r="G1645" s="1"/>
      <c r="H1645" s="1"/>
      <c r="I1645" s="1"/>
      <c r="J1645" s="1"/>
      <c r="K1645" s="1"/>
      <c r="L1645" s="1"/>
      <c r="M1645" s="1"/>
      <c r="N1645" s="1"/>
    </row>
    <row r="1646" ht="14.5" spans="2:14">
      <c r="B1646" s="1"/>
      <c r="C1646" s="1"/>
      <c r="D1646" s="1"/>
      <c r="E1646" s="1"/>
      <c r="F1646" s="1"/>
      <c r="G1646" s="1"/>
      <c r="H1646" s="1"/>
      <c r="I1646" s="1"/>
      <c r="J1646" s="1"/>
      <c r="K1646" s="1"/>
      <c r="L1646" s="1"/>
      <c r="M1646" s="1"/>
      <c r="N1646" s="1"/>
    </row>
    <row r="1647" ht="14.5" spans="2:14">
      <c r="B1647" s="1"/>
      <c r="C1647" s="1"/>
      <c r="D1647" s="1"/>
      <c r="E1647" s="1"/>
      <c r="F1647" s="1"/>
      <c r="G1647" s="1"/>
      <c r="H1647" s="1"/>
      <c r="I1647" s="1"/>
      <c r="J1647" s="1"/>
      <c r="K1647" s="1"/>
      <c r="L1647" s="1"/>
      <c r="M1647" s="1"/>
      <c r="N1647" s="1"/>
    </row>
    <row r="1648" ht="14.5" spans="2:14">
      <c r="B1648" s="1"/>
      <c r="C1648" s="1"/>
      <c r="D1648" s="1"/>
      <c r="E1648" s="1"/>
      <c r="F1648" s="1"/>
      <c r="G1648" s="1"/>
      <c r="H1648" s="1"/>
      <c r="I1648" s="1"/>
      <c r="J1648" s="1"/>
      <c r="K1648" s="1"/>
      <c r="L1648" s="1"/>
      <c r="M1648" s="1"/>
      <c r="N1648" s="1"/>
    </row>
    <row r="1649" ht="14.5" spans="2:14">
      <c r="B1649" s="1"/>
      <c r="C1649" s="1"/>
      <c r="D1649" s="1"/>
      <c r="E1649" s="1"/>
      <c r="F1649" s="1"/>
      <c r="G1649" s="1"/>
      <c r="H1649" s="1"/>
      <c r="I1649" s="1"/>
      <c r="J1649" s="1"/>
      <c r="K1649" s="1"/>
      <c r="L1649" s="1"/>
      <c r="M1649" s="1"/>
      <c r="N1649" s="1"/>
    </row>
    <row r="1650" ht="14.5" spans="2:14">
      <c r="B1650" s="1"/>
      <c r="C1650" s="1"/>
      <c r="D1650" s="1"/>
      <c r="E1650" s="1"/>
      <c r="F1650" s="1"/>
      <c r="G1650" s="1"/>
      <c r="H1650" s="1"/>
      <c r="I1650" s="1"/>
      <c r="J1650" s="1"/>
      <c r="K1650" s="1"/>
      <c r="L1650" s="1"/>
      <c r="M1650" s="1"/>
      <c r="N1650" s="1"/>
    </row>
    <row r="1651" ht="14.5" spans="2:14">
      <c r="B1651" s="1"/>
      <c r="C1651" s="1"/>
      <c r="D1651" s="1"/>
      <c r="E1651" s="1"/>
      <c r="F1651" s="1"/>
      <c r="G1651" s="1"/>
      <c r="H1651" s="1"/>
      <c r="I1651" s="1"/>
      <c r="J1651" s="1"/>
      <c r="K1651" s="1"/>
      <c r="L1651" s="1"/>
      <c r="M1651" s="1"/>
      <c r="N1651" s="1"/>
    </row>
    <row r="1652" ht="14.5" spans="2:14">
      <c r="B1652" s="1"/>
      <c r="C1652" s="1"/>
      <c r="D1652" s="1"/>
      <c r="E1652" s="1"/>
      <c r="F1652" s="1"/>
      <c r="G1652" s="1"/>
      <c r="H1652" s="1"/>
      <c r="I1652" s="1"/>
      <c r="J1652" s="1"/>
      <c r="K1652" s="1"/>
      <c r="L1652" s="1"/>
      <c r="M1652" s="1"/>
      <c r="N1652" s="1"/>
    </row>
    <row r="1653" ht="14.5" spans="2:14">
      <c r="B1653" s="1"/>
      <c r="C1653" s="1"/>
      <c r="D1653" s="1"/>
      <c r="E1653" s="1"/>
      <c r="F1653" s="1"/>
      <c r="G1653" s="1"/>
      <c r="H1653" s="1"/>
      <c r="I1653" s="1"/>
      <c r="J1653" s="1"/>
      <c r="K1653" s="1"/>
      <c r="L1653" s="1"/>
      <c r="M1653" s="1"/>
      <c r="N1653" s="1"/>
    </row>
    <row r="1654" ht="14.5" spans="2:14">
      <c r="B1654" s="1"/>
      <c r="C1654" s="1"/>
      <c r="D1654" s="1"/>
      <c r="E1654" s="1"/>
      <c r="F1654" s="1"/>
      <c r="G1654" s="1"/>
      <c r="H1654" s="1"/>
      <c r="I1654" s="1"/>
      <c r="J1654" s="1"/>
      <c r="K1654" s="1"/>
      <c r="L1654" s="1"/>
      <c r="M1654" s="1"/>
      <c r="N1654" s="1"/>
    </row>
    <row r="1655" ht="14.5" spans="2:14">
      <c r="B1655" s="1"/>
      <c r="C1655" s="1"/>
      <c r="D1655" s="1"/>
      <c r="E1655" s="1"/>
      <c r="F1655" s="1"/>
      <c r="G1655" s="1"/>
      <c r="H1655" s="1"/>
      <c r="I1655" s="1"/>
      <c r="J1655" s="1"/>
      <c r="K1655" s="1"/>
      <c r="L1655" s="1"/>
      <c r="M1655" s="1"/>
      <c r="N1655" s="1"/>
    </row>
    <row r="1656" ht="14.5" spans="2:14">
      <c r="B1656" s="1"/>
      <c r="C1656" s="1"/>
      <c r="D1656" s="1"/>
      <c r="E1656" s="1"/>
      <c r="F1656" s="1"/>
      <c r="G1656" s="1"/>
      <c r="H1656" s="1"/>
      <c r="I1656" s="1"/>
      <c r="J1656" s="1"/>
      <c r="K1656" s="1"/>
      <c r="L1656" s="1"/>
      <c r="M1656" s="1"/>
      <c r="N1656" s="1"/>
    </row>
    <row r="1657" ht="14.5" spans="2:14">
      <c r="B1657" s="1"/>
      <c r="C1657" s="1"/>
      <c r="D1657" s="1"/>
      <c r="E1657" s="1"/>
      <c r="F1657" s="1"/>
      <c r="G1657" s="1"/>
      <c r="H1657" s="1"/>
      <c r="I1657" s="1"/>
      <c r="J1657" s="1"/>
      <c r="K1657" s="1"/>
      <c r="L1657" s="1"/>
      <c r="M1657" s="1"/>
      <c r="N1657" s="1"/>
    </row>
    <row r="1658" ht="14.5" spans="2:14">
      <c r="B1658" s="1"/>
      <c r="C1658" s="1"/>
      <c r="D1658" s="1"/>
      <c r="E1658" s="1"/>
      <c r="F1658" s="1"/>
      <c r="G1658" s="1"/>
      <c r="H1658" s="1"/>
      <c r="I1658" s="1"/>
      <c r="J1658" s="1"/>
      <c r="K1658" s="1"/>
      <c r="L1658" s="1"/>
      <c r="M1658" s="1"/>
      <c r="N1658" s="1"/>
    </row>
    <row r="1659" ht="14.5" spans="2:14">
      <c r="B1659" s="1"/>
      <c r="C1659" s="1"/>
      <c r="D1659" s="1"/>
      <c r="E1659" s="1"/>
      <c r="F1659" s="1"/>
      <c r="G1659" s="1"/>
      <c r="H1659" s="1"/>
      <c r="I1659" s="1"/>
      <c r="J1659" s="1"/>
      <c r="K1659" s="1"/>
      <c r="L1659" s="1"/>
      <c r="M1659" s="1"/>
      <c r="N1659" s="1"/>
    </row>
    <row r="1660" ht="14.5" spans="2:14">
      <c r="B1660" s="1"/>
      <c r="C1660" s="1"/>
      <c r="D1660" s="1"/>
      <c r="E1660" s="1"/>
      <c r="F1660" s="1"/>
      <c r="G1660" s="1"/>
      <c r="H1660" s="1"/>
      <c r="I1660" s="1"/>
      <c r="J1660" s="1"/>
      <c r="K1660" s="1"/>
      <c r="L1660" s="1"/>
      <c r="M1660" s="1"/>
      <c r="N1660" s="1"/>
    </row>
    <row r="1661" ht="14.5" spans="2:14">
      <c r="B1661" s="1"/>
      <c r="C1661" s="1"/>
      <c r="D1661" s="1"/>
      <c r="E1661" s="1"/>
      <c r="F1661" s="1"/>
      <c r="G1661" s="1"/>
      <c r="H1661" s="1"/>
      <c r="I1661" s="1"/>
      <c r="J1661" s="1"/>
      <c r="K1661" s="1"/>
      <c r="L1661" s="1"/>
      <c r="M1661" s="1"/>
      <c r="N1661" s="1"/>
    </row>
    <row r="1662" ht="14.5" spans="2:14">
      <c r="B1662" s="1"/>
      <c r="C1662" s="1"/>
      <c r="D1662" s="1"/>
      <c r="E1662" s="1"/>
      <c r="F1662" s="1"/>
      <c r="G1662" s="1"/>
      <c r="H1662" s="1"/>
      <c r="I1662" s="1"/>
      <c r="J1662" s="1"/>
      <c r="K1662" s="1"/>
      <c r="L1662" s="1"/>
      <c r="M1662" s="1"/>
      <c r="N1662" s="1"/>
    </row>
    <row r="1663" ht="14.5" spans="2:14">
      <c r="B1663" s="1"/>
      <c r="C1663" s="1"/>
      <c r="D1663" s="1"/>
      <c r="E1663" s="1"/>
      <c r="F1663" s="1"/>
      <c r="G1663" s="1"/>
      <c r="H1663" s="1"/>
      <c r="I1663" s="1"/>
      <c r="J1663" s="1"/>
      <c r="K1663" s="1"/>
      <c r="L1663" s="1"/>
      <c r="M1663" s="1"/>
      <c r="N1663" s="1"/>
    </row>
    <row r="1664" ht="14.5" spans="2:14">
      <c r="B1664" s="1"/>
      <c r="C1664" s="1"/>
      <c r="D1664" s="1"/>
      <c r="E1664" s="1"/>
      <c r="F1664" s="1"/>
      <c r="G1664" s="1"/>
      <c r="H1664" s="1"/>
      <c r="I1664" s="1"/>
      <c r="J1664" s="1"/>
      <c r="K1664" s="1"/>
      <c r="L1664" s="1"/>
      <c r="M1664" s="1"/>
      <c r="N1664" s="1"/>
    </row>
    <row r="1665" ht="14.5" spans="2:14">
      <c r="B1665" s="1"/>
      <c r="C1665" s="1"/>
      <c r="D1665" s="1"/>
      <c r="E1665" s="1"/>
      <c r="F1665" s="1"/>
      <c r="G1665" s="1"/>
      <c r="H1665" s="1"/>
      <c r="I1665" s="1"/>
      <c r="J1665" s="1"/>
      <c r="K1665" s="1"/>
      <c r="L1665" s="1"/>
      <c r="M1665" s="1"/>
      <c r="N1665" s="1"/>
    </row>
    <row r="1666" ht="14.5" spans="2:14">
      <c r="B1666" s="1"/>
      <c r="C1666" s="1"/>
      <c r="D1666" s="1"/>
      <c r="E1666" s="1"/>
      <c r="F1666" s="1"/>
      <c r="G1666" s="1"/>
      <c r="H1666" s="1"/>
      <c r="I1666" s="1"/>
      <c r="J1666" s="1"/>
      <c r="K1666" s="1"/>
      <c r="L1666" s="1"/>
      <c r="M1666" s="1"/>
      <c r="N1666" s="1"/>
    </row>
    <row r="1667" ht="14.5" spans="2:14">
      <c r="B1667" s="1"/>
      <c r="C1667" s="1"/>
      <c r="D1667" s="1"/>
      <c r="E1667" s="1"/>
      <c r="F1667" s="1"/>
      <c r="G1667" s="1"/>
      <c r="H1667" s="1"/>
      <c r="I1667" s="1"/>
      <c r="J1667" s="1"/>
      <c r="K1667" s="1"/>
      <c r="L1667" s="1"/>
      <c r="M1667" s="1"/>
      <c r="N1667" s="1"/>
    </row>
    <row r="1668" ht="14.5" spans="2:14">
      <c r="B1668" s="1"/>
      <c r="C1668" s="1"/>
      <c r="D1668" s="1"/>
      <c r="E1668" s="1"/>
      <c r="F1668" s="1"/>
      <c r="G1668" s="1"/>
      <c r="H1668" s="1"/>
      <c r="I1668" s="1"/>
      <c r="J1668" s="1"/>
      <c r="K1668" s="1"/>
      <c r="L1668" s="1"/>
      <c r="M1668" s="1"/>
      <c r="N1668" s="1"/>
    </row>
    <row r="1669" ht="14.5" spans="2:14">
      <c r="B1669" s="1"/>
      <c r="C1669" s="1"/>
      <c r="D1669" s="1"/>
      <c r="E1669" s="1"/>
      <c r="F1669" s="1"/>
      <c r="G1669" s="1"/>
      <c r="H1669" s="1"/>
      <c r="I1669" s="1"/>
      <c r="J1669" s="1"/>
      <c r="K1669" s="1"/>
      <c r="L1669" s="1"/>
      <c r="M1669" s="1"/>
      <c r="N1669" s="1"/>
    </row>
    <row r="1670" ht="14.5" spans="2:14">
      <c r="B1670" s="1"/>
      <c r="C1670" s="1"/>
      <c r="D1670" s="1"/>
      <c r="E1670" s="1"/>
      <c r="F1670" s="1"/>
      <c r="G1670" s="1"/>
      <c r="H1670" s="1"/>
      <c r="I1670" s="1"/>
      <c r="J1670" s="1"/>
      <c r="K1670" s="1"/>
      <c r="L1670" s="1"/>
      <c r="M1670" s="1"/>
      <c r="N1670" s="1"/>
    </row>
    <row r="1671" ht="14.5" spans="2:14">
      <c r="B1671" s="1"/>
      <c r="C1671" s="1"/>
      <c r="D1671" s="1"/>
      <c r="E1671" s="1"/>
      <c r="F1671" s="1"/>
      <c r="G1671" s="1"/>
      <c r="H1671" s="1"/>
      <c r="I1671" s="1"/>
      <c r="J1671" s="1"/>
      <c r="K1671" s="1"/>
      <c r="L1671" s="1"/>
      <c r="M1671" s="1"/>
      <c r="N1671" s="1"/>
    </row>
    <row r="1672" ht="14.5" spans="2:14">
      <c r="B1672" s="1"/>
      <c r="C1672" s="1"/>
      <c r="D1672" s="1"/>
      <c r="E1672" s="1"/>
      <c r="F1672" s="1"/>
      <c r="G1672" s="1"/>
      <c r="H1672" s="1"/>
      <c r="I1672" s="1"/>
      <c r="J1672" s="1"/>
      <c r="K1672" s="1"/>
      <c r="L1672" s="1"/>
      <c r="M1672" s="1"/>
      <c r="N1672" s="1"/>
    </row>
    <row r="1673" ht="14.5" spans="2:14">
      <c r="B1673" s="1"/>
      <c r="C1673" s="1"/>
      <c r="D1673" s="1"/>
      <c r="E1673" s="1"/>
      <c r="F1673" s="1"/>
      <c r="G1673" s="1"/>
      <c r="H1673" s="1"/>
      <c r="I1673" s="1"/>
      <c r="J1673" s="1"/>
      <c r="K1673" s="1"/>
      <c r="L1673" s="1"/>
      <c r="M1673" s="1"/>
      <c r="N1673" s="1"/>
    </row>
    <row r="1674" ht="14.5" spans="2:14">
      <c r="B1674" s="1"/>
      <c r="C1674" s="1"/>
      <c r="D1674" s="1"/>
      <c r="E1674" s="1"/>
      <c r="F1674" s="1"/>
      <c r="G1674" s="1"/>
      <c r="H1674" s="1"/>
      <c r="I1674" s="1"/>
      <c r="J1674" s="1"/>
      <c r="K1674" s="1"/>
      <c r="L1674" s="1"/>
      <c r="M1674" s="1"/>
      <c r="N1674" s="1"/>
    </row>
    <row r="1675" ht="14.5" spans="2:14">
      <c r="B1675" s="1"/>
      <c r="C1675" s="1"/>
      <c r="D1675" s="1"/>
      <c r="E1675" s="1"/>
      <c r="F1675" s="1"/>
      <c r="G1675" s="1"/>
      <c r="H1675" s="1"/>
      <c r="I1675" s="1"/>
      <c r="J1675" s="1"/>
      <c r="K1675" s="1"/>
      <c r="L1675" s="1"/>
      <c r="M1675" s="1"/>
      <c r="N1675" s="1"/>
    </row>
    <row r="1676" ht="14.5" spans="2:14">
      <c r="B1676" s="1"/>
      <c r="C1676" s="1"/>
      <c r="D1676" s="1"/>
      <c r="E1676" s="1"/>
      <c r="F1676" s="1"/>
      <c r="G1676" s="1"/>
      <c r="H1676" s="1"/>
      <c r="I1676" s="1"/>
      <c r="J1676" s="1"/>
      <c r="K1676" s="1"/>
      <c r="L1676" s="1"/>
      <c r="M1676" s="1"/>
      <c r="N1676" s="1"/>
    </row>
    <row r="1677" ht="14.5" spans="2:14">
      <c r="B1677" s="1"/>
      <c r="C1677" s="1"/>
      <c r="D1677" s="1"/>
      <c r="E1677" s="1"/>
      <c r="F1677" s="1"/>
      <c r="G1677" s="1"/>
      <c r="H1677" s="1"/>
      <c r="I1677" s="1"/>
      <c r="J1677" s="1"/>
      <c r="K1677" s="1"/>
      <c r="L1677" s="1"/>
      <c r="M1677" s="1"/>
      <c r="N1677" s="1"/>
    </row>
    <row r="1678" ht="14.5" spans="2:14">
      <c r="B1678" s="1"/>
      <c r="C1678" s="1"/>
      <c r="D1678" s="1"/>
      <c r="E1678" s="1"/>
      <c r="F1678" s="1"/>
      <c r="G1678" s="1"/>
      <c r="H1678" s="1"/>
      <c r="I1678" s="1"/>
      <c r="J1678" s="1"/>
      <c r="K1678" s="1"/>
      <c r="L1678" s="1"/>
      <c r="M1678" s="1"/>
      <c r="N1678" s="1"/>
    </row>
    <row r="1679" ht="14.5" spans="2:14">
      <c r="B1679" s="1"/>
      <c r="C1679" s="1"/>
      <c r="D1679" s="1"/>
      <c r="E1679" s="1"/>
      <c r="F1679" s="1"/>
      <c r="G1679" s="1"/>
      <c r="H1679" s="1"/>
      <c r="I1679" s="1"/>
      <c r="J1679" s="1"/>
      <c r="K1679" s="1"/>
      <c r="L1679" s="1"/>
      <c r="M1679" s="1"/>
      <c r="N1679" s="1"/>
    </row>
    <row r="1680" ht="14.5" spans="2:14">
      <c r="B1680" s="1"/>
      <c r="C1680" s="1"/>
      <c r="D1680" s="1"/>
      <c r="E1680" s="1"/>
      <c r="F1680" s="1"/>
      <c r="G1680" s="1"/>
      <c r="H1680" s="1"/>
      <c r="I1680" s="1"/>
      <c r="J1680" s="1"/>
      <c r="K1680" s="1"/>
      <c r="L1680" s="1"/>
      <c r="M1680" s="1"/>
      <c r="N1680" s="1"/>
    </row>
    <row r="1681" ht="14.5" spans="2:14">
      <c r="B1681" s="1"/>
      <c r="C1681" s="1"/>
      <c r="D1681" s="1"/>
      <c r="E1681" s="1"/>
      <c r="F1681" s="1"/>
      <c r="G1681" s="1"/>
      <c r="H1681" s="1"/>
      <c r="I1681" s="1"/>
      <c r="J1681" s="1"/>
      <c r="K1681" s="1"/>
      <c r="L1681" s="1"/>
      <c r="M1681" s="1"/>
      <c r="N1681" s="1"/>
    </row>
    <row r="1682" ht="14.5" spans="2:14">
      <c r="B1682" s="1"/>
      <c r="C1682" s="1"/>
      <c r="D1682" s="1"/>
      <c r="E1682" s="1"/>
      <c r="F1682" s="1"/>
      <c r="G1682" s="1"/>
      <c r="H1682" s="1"/>
      <c r="I1682" s="1"/>
      <c r="J1682" s="1"/>
      <c r="K1682" s="1"/>
      <c r="L1682" s="1"/>
      <c r="M1682" s="1"/>
      <c r="N1682" s="1"/>
    </row>
    <row r="1683" ht="14.5" spans="2:14">
      <c r="B1683" s="1"/>
      <c r="C1683" s="1"/>
      <c r="D1683" s="1"/>
      <c r="E1683" s="1"/>
      <c r="F1683" s="1"/>
      <c r="G1683" s="1"/>
      <c r="H1683" s="1"/>
      <c r="I1683" s="1"/>
      <c r="J1683" s="1"/>
      <c r="K1683" s="1"/>
      <c r="L1683" s="1"/>
      <c r="M1683" s="1"/>
      <c r="N1683" s="1"/>
    </row>
    <row r="1684" ht="14.5" spans="2:14">
      <c r="B1684" s="1"/>
      <c r="C1684" s="1"/>
      <c r="D1684" s="1"/>
      <c r="E1684" s="1"/>
      <c r="F1684" s="1"/>
      <c r="G1684" s="1"/>
      <c r="H1684" s="1"/>
      <c r="I1684" s="1"/>
      <c r="J1684" s="1"/>
      <c r="K1684" s="1"/>
      <c r="L1684" s="1"/>
      <c r="M1684" s="1"/>
      <c r="N1684" s="1"/>
    </row>
    <row r="1685" ht="14.5" spans="2:14">
      <c r="B1685" s="1"/>
      <c r="C1685" s="1"/>
      <c r="D1685" s="1"/>
      <c r="E1685" s="1"/>
      <c r="F1685" s="1"/>
      <c r="G1685" s="1"/>
      <c r="H1685" s="1"/>
      <c r="I1685" s="1"/>
      <c r="J1685" s="1"/>
      <c r="K1685" s="1"/>
      <c r="L1685" s="1"/>
      <c r="M1685" s="1"/>
      <c r="N1685" s="1"/>
    </row>
    <row r="1686" ht="14.5" spans="2:14">
      <c r="B1686" s="1"/>
      <c r="C1686" s="1"/>
      <c r="D1686" s="1"/>
      <c r="E1686" s="1"/>
      <c r="F1686" s="1"/>
      <c r="G1686" s="1"/>
      <c r="H1686" s="1"/>
      <c r="I1686" s="1"/>
      <c r="J1686" s="1"/>
      <c r="K1686" s="1"/>
      <c r="L1686" s="1"/>
      <c r="M1686" s="1"/>
      <c r="N1686" s="1"/>
    </row>
    <row r="1687" ht="14.5" spans="2:14">
      <c r="B1687" s="1"/>
      <c r="C1687" s="1"/>
      <c r="D1687" s="1"/>
      <c r="E1687" s="1"/>
      <c r="F1687" s="1"/>
      <c r="G1687" s="1"/>
      <c r="H1687" s="1"/>
      <c r="I1687" s="1"/>
      <c r="J1687" s="1"/>
      <c r="K1687" s="1"/>
      <c r="L1687" s="1"/>
      <c r="M1687" s="1"/>
      <c r="N1687" s="1"/>
    </row>
    <row r="1688" ht="14.5" spans="2:14">
      <c r="B1688" s="1"/>
      <c r="C1688" s="1"/>
      <c r="D1688" s="1"/>
      <c r="E1688" s="1"/>
      <c r="F1688" s="1"/>
      <c r="G1688" s="1"/>
      <c r="H1688" s="1"/>
      <c r="I1688" s="1"/>
      <c r="J1688" s="1"/>
      <c r="K1688" s="1"/>
      <c r="L1688" s="1"/>
      <c r="M1688" s="1"/>
      <c r="N1688" s="1"/>
    </row>
    <row r="1689" ht="14.5" spans="2:14">
      <c r="B1689" s="1"/>
      <c r="C1689" s="1"/>
      <c r="D1689" s="1"/>
      <c r="E1689" s="1"/>
      <c r="F1689" s="1"/>
      <c r="G1689" s="1"/>
      <c r="H1689" s="1"/>
      <c r="I1689" s="1"/>
      <c r="J1689" s="1"/>
      <c r="K1689" s="1"/>
      <c r="L1689" s="1"/>
      <c r="M1689" s="1"/>
      <c r="N1689" s="1"/>
    </row>
    <row r="1690" ht="14.5" spans="2:14">
      <c r="B1690" s="1"/>
      <c r="C1690" s="1"/>
      <c r="D1690" s="1"/>
      <c r="E1690" s="1"/>
      <c r="F1690" s="1"/>
      <c r="G1690" s="1"/>
      <c r="H1690" s="1"/>
      <c r="I1690" s="1"/>
      <c r="J1690" s="1"/>
      <c r="K1690" s="1"/>
      <c r="L1690" s="1"/>
      <c r="M1690" s="1"/>
      <c r="N1690" s="1"/>
    </row>
    <row r="1691" ht="14.5" spans="2:14">
      <c r="B1691" s="1"/>
      <c r="C1691" s="1"/>
      <c r="D1691" s="1"/>
      <c r="E1691" s="1"/>
      <c r="F1691" s="1"/>
      <c r="G1691" s="1"/>
      <c r="H1691" s="1"/>
      <c r="I1691" s="1"/>
      <c r="J1691" s="1"/>
      <c r="K1691" s="1"/>
      <c r="L1691" s="1"/>
      <c r="M1691" s="1"/>
      <c r="N1691" s="1"/>
    </row>
    <row r="1692" ht="14.5" spans="2:14">
      <c r="B1692" s="1"/>
      <c r="C1692" s="1"/>
      <c r="D1692" s="1"/>
      <c r="E1692" s="1"/>
      <c r="F1692" s="1"/>
      <c r="G1692" s="1"/>
      <c r="H1692" s="1"/>
      <c r="I1692" s="1"/>
      <c r="J1692" s="1"/>
      <c r="K1692" s="1"/>
      <c r="L1692" s="1"/>
      <c r="M1692" s="1"/>
      <c r="N1692" s="1"/>
    </row>
    <row r="1693" ht="14.5" spans="2:14">
      <c r="B1693" s="1"/>
      <c r="C1693" s="1"/>
      <c r="D1693" s="1"/>
      <c r="E1693" s="1"/>
      <c r="F1693" s="1"/>
      <c r="G1693" s="1"/>
      <c r="H1693" s="1"/>
      <c r="I1693" s="1"/>
      <c r="J1693" s="1"/>
      <c r="K1693" s="1"/>
      <c r="L1693" s="1"/>
      <c r="M1693" s="1"/>
      <c r="N1693" s="1"/>
    </row>
    <row r="1694" ht="14.5" spans="2:14">
      <c r="B1694" s="1"/>
      <c r="C1694" s="1"/>
      <c r="D1694" s="1"/>
      <c r="E1694" s="1"/>
      <c r="F1694" s="1"/>
      <c r="G1694" s="1"/>
      <c r="H1694" s="1"/>
      <c r="I1694" s="1"/>
      <c r="J1694" s="1"/>
      <c r="K1694" s="1"/>
      <c r="L1694" s="1"/>
      <c r="M1694" s="1"/>
      <c r="N1694" s="1"/>
    </row>
    <row r="1695" ht="14.5" spans="2:14">
      <c r="B1695" s="1"/>
      <c r="C1695" s="1"/>
      <c r="D1695" s="1"/>
      <c r="E1695" s="1"/>
      <c r="F1695" s="1"/>
      <c r="G1695" s="1"/>
      <c r="H1695" s="1"/>
      <c r="I1695" s="1"/>
      <c r="J1695" s="1"/>
      <c r="K1695" s="1"/>
      <c r="L1695" s="1"/>
      <c r="M1695" s="1"/>
      <c r="N1695" s="1"/>
    </row>
    <row r="1696" ht="14.5" spans="2:14">
      <c r="B1696" s="1"/>
      <c r="C1696" s="1"/>
      <c r="D1696" s="1"/>
      <c r="E1696" s="1"/>
      <c r="F1696" s="1"/>
      <c r="G1696" s="1"/>
      <c r="H1696" s="1"/>
      <c r="I1696" s="1"/>
      <c r="J1696" s="1"/>
      <c r="K1696" s="1"/>
      <c r="L1696" s="1"/>
      <c r="M1696" s="1"/>
      <c r="N1696" s="1"/>
    </row>
    <row r="1697" ht="14.5" spans="2:14">
      <c r="B1697" s="1"/>
      <c r="C1697" s="1"/>
      <c r="D1697" s="1"/>
      <c r="E1697" s="1"/>
      <c r="F1697" s="1"/>
      <c r="G1697" s="1"/>
      <c r="H1697" s="1"/>
      <c r="I1697" s="1"/>
      <c r="J1697" s="1"/>
      <c r="K1697" s="1"/>
      <c r="L1697" s="1"/>
      <c r="M1697" s="1"/>
      <c r="N1697" s="1"/>
    </row>
    <row r="1698" ht="14.5" spans="2:14">
      <c r="B1698" s="1"/>
      <c r="C1698" s="1"/>
      <c r="D1698" s="1"/>
      <c r="E1698" s="1"/>
      <c r="F1698" s="1"/>
      <c r="G1698" s="1"/>
      <c r="H1698" s="1"/>
      <c r="I1698" s="1"/>
      <c r="J1698" s="1"/>
      <c r="K1698" s="1"/>
      <c r="L1698" s="1"/>
      <c r="M1698" s="1"/>
      <c r="N1698" s="1"/>
    </row>
    <row r="1699" ht="14.5" spans="2:14">
      <c r="B1699" s="1"/>
      <c r="C1699" s="1"/>
      <c r="D1699" s="1"/>
      <c r="E1699" s="1"/>
      <c r="F1699" s="1"/>
      <c r="G1699" s="1"/>
      <c r="H1699" s="1"/>
      <c r="I1699" s="1"/>
      <c r="J1699" s="1"/>
      <c r="K1699" s="1"/>
      <c r="L1699" s="1"/>
      <c r="M1699" s="1"/>
      <c r="N1699" s="1"/>
    </row>
    <row r="1700" ht="14.5" spans="2:14">
      <c r="B1700" s="1"/>
      <c r="C1700" s="1"/>
      <c r="D1700" s="1"/>
      <c r="E1700" s="1"/>
      <c r="F1700" s="1"/>
      <c r="G1700" s="1"/>
      <c r="H1700" s="1"/>
      <c r="I1700" s="1"/>
      <c r="J1700" s="1"/>
      <c r="K1700" s="1"/>
      <c r="L1700" s="1"/>
      <c r="M1700" s="1"/>
      <c r="N1700" s="1"/>
    </row>
    <row r="1701" ht="14.5" spans="2:14">
      <c r="B1701" s="1"/>
      <c r="C1701" s="1"/>
      <c r="D1701" s="1"/>
      <c r="E1701" s="1"/>
      <c r="F1701" s="1"/>
      <c r="G1701" s="1"/>
      <c r="H1701" s="1"/>
      <c r="I1701" s="1"/>
      <c r="J1701" s="1"/>
      <c r="K1701" s="1"/>
      <c r="L1701" s="1"/>
      <c r="M1701" s="1"/>
      <c r="N1701" s="1"/>
    </row>
    <row r="1702" ht="14.5" spans="2:14">
      <c r="B1702" s="1"/>
      <c r="C1702" s="1"/>
      <c r="D1702" s="1"/>
      <c r="E1702" s="1"/>
      <c r="F1702" s="1"/>
      <c r="G1702" s="1"/>
      <c r="H1702" s="1"/>
      <c r="I1702" s="1"/>
      <c r="J1702" s="1"/>
      <c r="K1702" s="1"/>
      <c r="L1702" s="1"/>
      <c r="M1702" s="1"/>
      <c r="N1702" s="1"/>
    </row>
    <row r="1703" ht="14.5" spans="2:14">
      <c r="B1703" s="1"/>
      <c r="C1703" s="1"/>
      <c r="D1703" s="1"/>
      <c r="E1703" s="1"/>
      <c r="F1703" s="1"/>
      <c r="G1703" s="1"/>
      <c r="H1703" s="1"/>
      <c r="I1703" s="1"/>
      <c r="J1703" s="1"/>
      <c r="K1703" s="1"/>
      <c r="L1703" s="1"/>
      <c r="M1703" s="1"/>
      <c r="N1703" s="1"/>
    </row>
    <row r="1704" ht="14.5" spans="2:14">
      <c r="B1704" s="1"/>
      <c r="C1704" s="1"/>
      <c r="D1704" s="1"/>
      <c r="E1704" s="1"/>
      <c r="F1704" s="1"/>
      <c r="G1704" s="1"/>
      <c r="H1704" s="1"/>
      <c r="I1704" s="1"/>
      <c r="J1704" s="1"/>
      <c r="K1704" s="1"/>
      <c r="L1704" s="1"/>
      <c r="M1704" s="1"/>
      <c r="N1704" s="1"/>
    </row>
    <row r="1705" ht="14.5" spans="2:14">
      <c r="B1705" s="1"/>
      <c r="C1705" s="1"/>
      <c r="D1705" s="1"/>
      <c r="E1705" s="1"/>
      <c r="F1705" s="1"/>
      <c r="G1705" s="1"/>
      <c r="H1705" s="1"/>
      <c r="I1705" s="1"/>
      <c r="J1705" s="1"/>
      <c r="K1705" s="1"/>
      <c r="L1705" s="1"/>
      <c r="M1705" s="1"/>
      <c r="N1705" s="1"/>
    </row>
    <row r="1706" ht="14.5" spans="2:14">
      <c r="B1706" s="1"/>
      <c r="C1706" s="1"/>
      <c r="D1706" s="1"/>
      <c r="E1706" s="1"/>
      <c r="F1706" s="1"/>
      <c r="G1706" s="1"/>
      <c r="H1706" s="1"/>
      <c r="I1706" s="1"/>
      <c r="J1706" s="1"/>
      <c r="K1706" s="1"/>
      <c r="L1706" s="1"/>
      <c r="M1706" s="1"/>
      <c r="N1706" s="1"/>
    </row>
    <row r="1707" ht="14.5" spans="2:14">
      <c r="B1707" s="1"/>
      <c r="C1707" s="1"/>
      <c r="D1707" s="1"/>
      <c r="E1707" s="1"/>
      <c r="F1707" s="1"/>
      <c r="G1707" s="1"/>
      <c r="H1707" s="1"/>
      <c r="I1707" s="1"/>
      <c r="J1707" s="1"/>
      <c r="K1707" s="1"/>
      <c r="L1707" s="1"/>
      <c r="M1707" s="1"/>
      <c r="N1707" s="1"/>
    </row>
    <row r="1708" ht="14.5" spans="2:14">
      <c r="B1708" s="1"/>
      <c r="C1708" s="1"/>
      <c r="D1708" s="1"/>
      <c r="E1708" s="1"/>
      <c r="F1708" s="1"/>
      <c r="G1708" s="1"/>
      <c r="H1708" s="1"/>
      <c r="I1708" s="1"/>
      <c r="J1708" s="1"/>
      <c r="K1708" s="1"/>
      <c r="L1708" s="1"/>
      <c r="M1708" s="1"/>
      <c r="N1708" s="1"/>
    </row>
    <row r="1709" ht="14.5" spans="2:14">
      <c r="B1709" s="1"/>
      <c r="C1709" s="1"/>
      <c r="D1709" s="1"/>
      <c r="E1709" s="1"/>
      <c r="F1709" s="1"/>
      <c r="G1709" s="1"/>
      <c r="H1709" s="1"/>
      <c r="I1709" s="1"/>
      <c r="J1709" s="1"/>
      <c r="K1709" s="1"/>
      <c r="L1709" s="1"/>
      <c r="M1709" s="1"/>
      <c r="N1709" s="1"/>
    </row>
    <row r="1710" ht="14.5" spans="2:14">
      <c r="B1710" s="1"/>
      <c r="C1710" s="1"/>
      <c r="D1710" s="1"/>
      <c r="E1710" s="1"/>
      <c r="F1710" s="1"/>
      <c r="G1710" s="1"/>
      <c r="H1710" s="1"/>
      <c r="I1710" s="1"/>
      <c r="J1710" s="1"/>
      <c r="K1710" s="1"/>
      <c r="L1710" s="1"/>
      <c r="M1710" s="1"/>
      <c r="N1710" s="1"/>
    </row>
    <row r="1711" ht="14.5" spans="2:14">
      <c r="B1711" s="1"/>
      <c r="C1711" s="1"/>
      <c r="D1711" s="1"/>
      <c r="E1711" s="1"/>
      <c r="F1711" s="1"/>
      <c r="G1711" s="1"/>
      <c r="H1711" s="1"/>
      <c r="I1711" s="1"/>
      <c r="J1711" s="1"/>
      <c r="K1711" s="1"/>
      <c r="L1711" s="1"/>
      <c r="M1711" s="1"/>
      <c r="N1711" s="1"/>
    </row>
    <row r="1712" ht="14.5" spans="2:14">
      <c r="B1712" s="1"/>
      <c r="C1712" s="1"/>
      <c r="D1712" s="1"/>
      <c r="E1712" s="1"/>
      <c r="F1712" s="1"/>
      <c r="G1712" s="1"/>
      <c r="H1712" s="1"/>
      <c r="I1712" s="1"/>
      <c r="J1712" s="1"/>
      <c r="K1712" s="1"/>
      <c r="L1712" s="1"/>
      <c r="M1712" s="1"/>
      <c r="N1712" s="1"/>
    </row>
    <row r="1713" ht="14.5" spans="2:14">
      <c r="B1713" s="1"/>
      <c r="C1713" s="1"/>
      <c r="D1713" s="1"/>
      <c r="E1713" s="1"/>
      <c r="F1713" s="1"/>
      <c r="G1713" s="1"/>
      <c r="H1713" s="1"/>
      <c r="I1713" s="1"/>
      <c r="J1713" s="1"/>
      <c r="K1713" s="1"/>
      <c r="L1713" s="1"/>
      <c r="M1713" s="1"/>
      <c r="N1713" s="1"/>
    </row>
    <row r="1714" ht="14.5" spans="2:14">
      <c r="B1714" s="1"/>
      <c r="C1714" s="1"/>
      <c r="D1714" s="1"/>
      <c r="E1714" s="1"/>
      <c r="F1714" s="1"/>
      <c r="G1714" s="1"/>
      <c r="H1714" s="1"/>
      <c r="I1714" s="1"/>
      <c r="J1714" s="1"/>
      <c r="K1714" s="1"/>
      <c r="L1714" s="1"/>
      <c r="M1714" s="1"/>
      <c r="N1714" s="1"/>
    </row>
    <row r="1715" ht="14.5" spans="2:14">
      <c r="B1715" s="1"/>
      <c r="C1715" s="1"/>
      <c r="D1715" s="1"/>
      <c r="E1715" s="1"/>
      <c r="F1715" s="1"/>
      <c r="G1715" s="1"/>
      <c r="H1715" s="1"/>
      <c r="I1715" s="1"/>
      <c r="J1715" s="1"/>
      <c r="K1715" s="1"/>
      <c r="L1715" s="1"/>
      <c r="M1715" s="1"/>
      <c r="N1715" s="1"/>
    </row>
    <row r="1716" ht="14.5" spans="2:14">
      <c r="B1716" s="1"/>
      <c r="C1716" s="1"/>
      <c r="D1716" s="1"/>
      <c r="E1716" s="1"/>
      <c r="F1716" s="1"/>
      <c r="G1716" s="1"/>
      <c r="H1716" s="1"/>
      <c r="I1716" s="1"/>
      <c r="J1716" s="1"/>
      <c r="K1716" s="1"/>
      <c r="L1716" s="1"/>
      <c r="M1716" s="1"/>
      <c r="N1716" s="1"/>
    </row>
    <row r="1717" ht="14.5" spans="2:14">
      <c r="B1717" s="1"/>
      <c r="C1717" s="1"/>
      <c r="D1717" s="1"/>
      <c r="E1717" s="1"/>
      <c r="F1717" s="1"/>
      <c r="G1717" s="1"/>
      <c r="H1717" s="1"/>
      <c r="I1717" s="1"/>
      <c r="J1717" s="1"/>
      <c r="K1717" s="1"/>
      <c r="L1717" s="1"/>
      <c r="M1717" s="1"/>
      <c r="N1717" s="1"/>
    </row>
    <row r="1718" ht="14.5" spans="2:14">
      <c r="B1718" s="1"/>
      <c r="C1718" s="1"/>
      <c r="D1718" s="1"/>
      <c r="E1718" s="1"/>
      <c r="F1718" s="1"/>
      <c r="G1718" s="1"/>
      <c r="H1718" s="1"/>
      <c r="I1718" s="1"/>
      <c r="J1718" s="1"/>
      <c r="K1718" s="1"/>
      <c r="L1718" s="1"/>
      <c r="M1718" s="1"/>
      <c r="N1718" s="1"/>
    </row>
    <row r="1719" ht="14.5" spans="2:14">
      <c r="B1719" s="1"/>
      <c r="C1719" s="1"/>
      <c r="D1719" s="1"/>
      <c r="E1719" s="1"/>
      <c r="F1719" s="1"/>
      <c r="G1719" s="1"/>
      <c r="H1719" s="1"/>
      <c r="I1719" s="1"/>
      <c r="J1719" s="1"/>
      <c r="K1719" s="1"/>
      <c r="L1719" s="1"/>
      <c r="M1719" s="1"/>
      <c r="N1719" s="1"/>
    </row>
    <row r="1720" ht="14.5" spans="2:14">
      <c r="B1720" s="1"/>
      <c r="C1720" s="1"/>
      <c r="D1720" s="1"/>
      <c r="E1720" s="1"/>
      <c r="F1720" s="1"/>
      <c r="G1720" s="1"/>
      <c r="H1720" s="1"/>
      <c r="I1720" s="1"/>
      <c r="J1720" s="1"/>
      <c r="K1720" s="1"/>
      <c r="L1720" s="1"/>
      <c r="M1720" s="1"/>
      <c r="N1720" s="1"/>
    </row>
    <row r="1721" ht="14.5" spans="2:14">
      <c r="B1721" s="1"/>
      <c r="C1721" s="1"/>
      <c r="D1721" s="1"/>
      <c r="E1721" s="1"/>
      <c r="F1721" s="1"/>
      <c r="G1721" s="1"/>
      <c r="H1721" s="1"/>
      <c r="I1721" s="1"/>
      <c r="J1721" s="1"/>
      <c r="K1721" s="1"/>
      <c r="L1721" s="1"/>
      <c r="M1721" s="1"/>
      <c r="N1721" s="1"/>
    </row>
    <row r="1722" ht="14.5" spans="2:14">
      <c r="B1722" s="1"/>
      <c r="C1722" s="1"/>
      <c r="D1722" s="1"/>
      <c r="E1722" s="1"/>
      <c r="F1722" s="1"/>
      <c r="G1722" s="1"/>
      <c r="H1722" s="1"/>
      <c r="I1722" s="1"/>
      <c r="J1722" s="1"/>
      <c r="K1722" s="1"/>
      <c r="L1722" s="1"/>
      <c r="M1722" s="1"/>
      <c r="N1722" s="1"/>
    </row>
    <row r="1723" ht="14.5" spans="2:14">
      <c r="B1723" s="1"/>
      <c r="C1723" s="1"/>
      <c r="D1723" s="1"/>
      <c r="E1723" s="1"/>
      <c r="F1723" s="1"/>
      <c r="G1723" s="1"/>
      <c r="H1723" s="1"/>
      <c r="I1723" s="1"/>
      <c r="J1723" s="1"/>
      <c r="K1723" s="1"/>
      <c r="L1723" s="1"/>
      <c r="M1723" s="1"/>
      <c r="N1723" s="1"/>
    </row>
    <row r="1724" ht="14.5" spans="2:14">
      <c r="B1724" s="1"/>
      <c r="C1724" s="1"/>
      <c r="D1724" s="1"/>
      <c r="E1724" s="1"/>
      <c r="F1724" s="1"/>
      <c r="G1724" s="1"/>
      <c r="H1724" s="1"/>
      <c r="I1724" s="1"/>
      <c r="J1724" s="1"/>
      <c r="K1724" s="1"/>
      <c r="L1724" s="1"/>
      <c r="M1724" s="1"/>
      <c r="N1724" s="1"/>
    </row>
    <row r="1725" ht="14.5" spans="2:14">
      <c r="B1725" s="1"/>
      <c r="C1725" s="1"/>
      <c r="D1725" s="1"/>
      <c r="E1725" s="1"/>
      <c r="F1725" s="1"/>
      <c r="G1725" s="1"/>
      <c r="H1725" s="1"/>
      <c r="I1725" s="1"/>
      <c r="J1725" s="1"/>
      <c r="K1725" s="1"/>
      <c r="L1725" s="1"/>
      <c r="M1725" s="1"/>
      <c r="N1725" s="1"/>
    </row>
    <row r="1726" ht="14.5" spans="2:14">
      <c r="B1726" s="1"/>
      <c r="C1726" s="1"/>
      <c r="D1726" s="1"/>
      <c r="E1726" s="1"/>
      <c r="F1726" s="1"/>
      <c r="G1726" s="1"/>
      <c r="H1726" s="1"/>
      <c r="I1726" s="1"/>
      <c r="J1726" s="1"/>
      <c r="K1726" s="1"/>
      <c r="L1726" s="1"/>
      <c r="M1726" s="1"/>
      <c r="N1726" s="1"/>
    </row>
    <row r="1727" ht="14.5" spans="2:14">
      <c r="B1727" s="1"/>
      <c r="C1727" s="1"/>
      <c r="D1727" s="1"/>
      <c r="E1727" s="1"/>
      <c r="F1727" s="1"/>
      <c r="G1727" s="1"/>
      <c r="H1727" s="1"/>
      <c r="I1727" s="1"/>
      <c r="J1727" s="1"/>
      <c r="K1727" s="1"/>
      <c r="L1727" s="1"/>
      <c r="M1727" s="1"/>
      <c r="N1727" s="1"/>
    </row>
    <row r="1728" ht="14.5" spans="2:14">
      <c r="B1728" s="1"/>
      <c r="C1728" s="1"/>
      <c r="D1728" s="1"/>
      <c r="E1728" s="1"/>
      <c r="F1728" s="1"/>
      <c r="G1728" s="1"/>
      <c r="H1728" s="1"/>
      <c r="I1728" s="1"/>
      <c r="J1728" s="1"/>
      <c r="K1728" s="1"/>
      <c r="L1728" s="1"/>
      <c r="M1728" s="1"/>
      <c r="N1728" s="1"/>
    </row>
    <row r="1729" ht="14.5" spans="2:14">
      <c r="B1729" s="1"/>
      <c r="C1729" s="1"/>
      <c r="D1729" s="1"/>
      <c r="E1729" s="1"/>
      <c r="F1729" s="1"/>
      <c r="G1729" s="1"/>
      <c r="H1729" s="1"/>
      <c r="I1729" s="1"/>
      <c r="J1729" s="1"/>
      <c r="K1729" s="1"/>
      <c r="L1729" s="1"/>
      <c r="M1729" s="1"/>
      <c r="N1729" s="1"/>
    </row>
    <row r="1730" ht="14.5" spans="2:14">
      <c r="B1730" s="1"/>
      <c r="C1730" s="1"/>
      <c r="D1730" s="1"/>
      <c r="E1730" s="1"/>
      <c r="F1730" s="1"/>
      <c r="G1730" s="1"/>
      <c r="H1730" s="1"/>
      <c r="I1730" s="1"/>
      <c r="J1730" s="1"/>
      <c r="K1730" s="1"/>
      <c r="L1730" s="1"/>
      <c r="M1730" s="1"/>
      <c r="N1730" s="1"/>
    </row>
    <row r="1731" ht="14.5" spans="2:14">
      <c r="B1731" s="1"/>
      <c r="C1731" s="1"/>
      <c r="D1731" s="1"/>
      <c r="E1731" s="1"/>
      <c r="F1731" s="1"/>
      <c r="G1731" s="1"/>
      <c r="H1731" s="1"/>
      <c r="I1731" s="1"/>
      <c r="J1731" s="1"/>
      <c r="K1731" s="1"/>
      <c r="L1731" s="1"/>
      <c r="M1731" s="1"/>
      <c r="N1731" s="1"/>
    </row>
    <row r="1732" ht="14.5" spans="2:14">
      <c r="B1732" s="1"/>
      <c r="C1732" s="1"/>
      <c r="D1732" s="1"/>
      <c r="E1732" s="1"/>
      <c r="F1732" s="1"/>
      <c r="G1732" s="1"/>
      <c r="H1732" s="1"/>
      <c r="I1732" s="1"/>
      <c r="J1732" s="1"/>
      <c r="K1732" s="1"/>
      <c r="L1732" s="1"/>
      <c r="M1732" s="1"/>
      <c r="N1732" s="1"/>
    </row>
    <row r="1733" ht="14.5" spans="2:14">
      <c r="B1733" s="1"/>
      <c r="C1733" s="1"/>
      <c r="D1733" s="1"/>
      <c r="E1733" s="1"/>
      <c r="F1733" s="1"/>
      <c r="G1733" s="1"/>
      <c r="H1733" s="1"/>
      <c r="I1733" s="1"/>
      <c r="J1733" s="1"/>
      <c r="K1733" s="1"/>
      <c r="L1733" s="1"/>
      <c r="M1733" s="1"/>
      <c r="N1733" s="1"/>
    </row>
    <row r="1734" ht="14.5" spans="2:14">
      <c r="B1734" s="1"/>
      <c r="C1734" s="1"/>
      <c r="D1734" s="1"/>
      <c r="E1734" s="1"/>
      <c r="F1734" s="1"/>
      <c r="G1734" s="1"/>
      <c r="H1734" s="1"/>
      <c r="I1734" s="1"/>
      <c r="J1734" s="1"/>
      <c r="K1734" s="1"/>
      <c r="L1734" s="1"/>
      <c r="M1734" s="1"/>
      <c r="N1734" s="1"/>
    </row>
    <row r="1735" ht="14.5" spans="2:14">
      <c r="B1735" s="1"/>
      <c r="C1735" s="1"/>
      <c r="D1735" s="1"/>
      <c r="E1735" s="1"/>
      <c r="F1735" s="1"/>
      <c r="G1735" s="1"/>
      <c r="H1735" s="1"/>
      <c r="I1735" s="1"/>
      <c r="J1735" s="1"/>
      <c r="K1735" s="1"/>
      <c r="L1735" s="1"/>
      <c r="M1735" s="1"/>
      <c r="N1735" s="1"/>
    </row>
    <row r="1736" ht="14.5" spans="2:14">
      <c r="B1736" s="1"/>
      <c r="C1736" s="1"/>
      <c r="D1736" s="1"/>
      <c r="E1736" s="1"/>
      <c r="F1736" s="1"/>
      <c r="G1736" s="1"/>
      <c r="H1736" s="1"/>
      <c r="I1736" s="1"/>
      <c r="J1736" s="1"/>
      <c r="K1736" s="1"/>
      <c r="L1736" s="1"/>
      <c r="M1736" s="1"/>
      <c r="N1736" s="1"/>
    </row>
    <row r="1737" ht="14.5" spans="2:14">
      <c r="B1737" s="1"/>
      <c r="C1737" s="1"/>
      <c r="D1737" s="1"/>
      <c r="E1737" s="1"/>
      <c r="F1737" s="1"/>
      <c r="G1737" s="1"/>
      <c r="H1737" s="1"/>
      <c r="I1737" s="1"/>
      <c r="J1737" s="1"/>
      <c r="K1737" s="1"/>
      <c r="L1737" s="1"/>
      <c r="M1737" s="1"/>
      <c r="N1737" s="1"/>
    </row>
    <row r="1738" ht="14.5" spans="2:14">
      <c r="B1738" s="1"/>
      <c r="C1738" s="1"/>
      <c r="D1738" s="1"/>
      <c r="E1738" s="1"/>
      <c r="F1738" s="1"/>
      <c r="G1738" s="1"/>
      <c r="H1738" s="1"/>
      <c r="I1738" s="1"/>
      <c r="J1738" s="1"/>
      <c r="K1738" s="1"/>
      <c r="L1738" s="1"/>
      <c r="M1738" s="1"/>
      <c r="N1738" s="1"/>
    </row>
    <row r="1739" ht="14.5" spans="2:14">
      <c r="B1739" s="1"/>
      <c r="C1739" s="1"/>
      <c r="D1739" s="1"/>
      <c r="E1739" s="1"/>
      <c r="F1739" s="1"/>
      <c r="G1739" s="1"/>
      <c r="H1739" s="1"/>
      <c r="I1739" s="1"/>
      <c r="J1739" s="1"/>
      <c r="K1739" s="1"/>
      <c r="L1739" s="1"/>
      <c r="M1739" s="1"/>
      <c r="N1739" s="1"/>
    </row>
    <row r="1740" ht="14.5" spans="2:14">
      <c r="B1740" s="1"/>
      <c r="C1740" s="1"/>
      <c r="D1740" s="1"/>
      <c r="E1740" s="1"/>
      <c r="F1740" s="1"/>
      <c r="G1740" s="1"/>
      <c r="H1740" s="1"/>
      <c r="I1740" s="1"/>
      <c r="J1740" s="1"/>
      <c r="K1740" s="1"/>
      <c r="L1740" s="1"/>
      <c r="M1740" s="1"/>
      <c r="N1740" s="1"/>
    </row>
    <row r="1741" ht="14.5" spans="2:14">
      <c r="B1741" s="1"/>
      <c r="C1741" s="1"/>
      <c r="D1741" s="1"/>
      <c r="E1741" s="1"/>
      <c r="F1741" s="1"/>
      <c r="G1741" s="1"/>
      <c r="H1741" s="1"/>
      <c r="I1741" s="1"/>
      <c r="J1741" s="1"/>
      <c r="K1741" s="1"/>
      <c r="L1741" s="1"/>
      <c r="M1741" s="1"/>
      <c r="N1741" s="1"/>
    </row>
    <row r="1742" ht="14.5" spans="2:14">
      <c r="B1742" s="1"/>
      <c r="C1742" s="1"/>
      <c r="D1742" s="1"/>
      <c r="E1742" s="1"/>
      <c r="F1742" s="1"/>
      <c r="G1742" s="1"/>
      <c r="H1742" s="1"/>
      <c r="I1742" s="1"/>
      <c r="J1742" s="1"/>
      <c r="K1742" s="1"/>
      <c r="L1742" s="1"/>
      <c r="M1742" s="1"/>
      <c r="N1742" s="1"/>
    </row>
    <row r="1743" ht="14.5" spans="2:14">
      <c r="B1743" s="1"/>
      <c r="C1743" s="1"/>
      <c r="D1743" s="1"/>
      <c r="E1743" s="1"/>
      <c r="F1743" s="1"/>
      <c r="G1743" s="1"/>
      <c r="H1743" s="1"/>
      <c r="I1743" s="1"/>
      <c r="J1743" s="1"/>
      <c r="K1743" s="1"/>
      <c r="L1743" s="1"/>
      <c r="M1743" s="1"/>
      <c r="N1743" s="1"/>
    </row>
    <row r="1744" ht="14.5" spans="2:14">
      <c r="B1744" s="1"/>
      <c r="C1744" s="1"/>
      <c r="D1744" s="1"/>
      <c r="E1744" s="1"/>
      <c r="F1744" s="1"/>
      <c r="G1744" s="1"/>
      <c r="H1744" s="1"/>
      <c r="I1744" s="1"/>
      <c r="J1744" s="1"/>
      <c r="K1744" s="1"/>
      <c r="L1744" s="1"/>
      <c r="M1744" s="1"/>
      <c r="N1744" s="1"/>
    </row>
    <row r="1745" ht="14.5" spans="2:14">
      <c r="B1745" s="1"/>
      <c r="C1745" s="1"/>
      <c r="D1745" s="1"/>
      <c r="E1745" s="1"/>
      <c r="F1745" s="1"/>
      <c r="G1745" s="1"/>
      <c r="H1745" s="1"/>
      <c r="I1745" s="1"/>
      <c r="J1745" s="1"/>
      <c r="K1745" s="1"/>
      <c r="L1745" s="1"/>
      <c r="M1745" s="1"/>
      <c r="N1745" s="1"/>
    </row>
    <row r="1746" ht="14.5" spans="2:14">
      <c r="B1746" s="1"/>
      <c r="C1746" s="1"/>
      <c r="D1746" s="1"/>
      <c r="E1746" s="1"/>
      <c r="F1746" s="1"/>
      <c r="G1746" s="1"/>
      <c r="H1746" s="1"/>
      <c r="I1746" s="1"/>
      <c r="J1746" s="1"/>
      <c r="K1746" s="1"/>
      <c r="L1746" s="1"/>
      <c r="M1746" s="1"/>
      <c r="N1746" s="1"/>
    </row>
    <row r="1747" ht="14.5" spans="2:14">
      <c r="B1747" s="1"/>
      <c r="C1747" s="1"/>
      <c r="D1747" s="1"/>
      <c r="E1747" s="1"/>
      <c r="F1747" s="1"/>
      <c r="G1747" s="1"/>
      <c r="H1747" s="1"/>
      <c r="I1747" s="1"/>
      <c r="J1747" s="1"/>
      <c r="K1747" s="1"/>
      <c r="L1747" s="1"/>
      <c r="M1747" s="1"/>
      <c r="N1747" s="1"/>
    </row>
    <row r="1748" ht="14.5" spans="2:14">
      <c r="B1748" s="1"/>
      <c r="C1748" s="1"/>
      <c r="D1748" s="1"/>
      <c r="E1748" s="1"/>
      <c r="F1748" s="1"/>
      <c r="G1748" s="1"/>
      <c r="H1748" s="1"/>
      <c r="I1748" s="1"/>
      <c r="J1748" s="1"/>
      <c r="K1748" s="1"/>
      <c r="L1748" s="1"/>
      <c r="M1748" s="1"/>
      <c r="N1748" s="1"/>
    </row>
    <row r="1749" ht="14.5" spans="2:14">
      <c r="B1749" s="1"/>
      <c r="C1749" s="1"/>
      <c r="D1749" s="1"/>
      <c r="E1749" s="1"/>
      <c r="F1749" s="1"/>
      <c r="G1749" s="1"/>
      <c r="H1749" s="1"/>
      <c r="I1749" s="1"/>
      <c r="J1749" s="1"/>
      <c r="K1749" s="1"/>
      <c r="L1749" s="1"/>
      <c r="M1749" s="1"/>
      <c r="N1749" s="1"/>
    </row>
    <row r="1750" ht="14.5" spans="2:14">
      <c r="B1750" s="1"/>
      <c r="C1750" s="1"/>
      <c r="D1750" s="1"/>
      <c r="E1750" s="1"/>
      <c r="F1750" s="1"/>
      <c r="G1750" s="1"/>
      <c r="H1750" s="1"/>
      <c r="I1750" s="1"/>
      <c r="J1750" s="1"/>
      <c r="K1750" s="1"/>
      <c r="L1750" s="1"/>
      <c r="M1750" s="1"/>
      <c r="N1750" s="1"/>
    </row>
    <row r="1751" ht="14.5" spans="2:14">
      <c r="B1751" s="1"/>
      <c r="C1751" s="1"/>
      <c r="D1751" s="1"/>
      <c r="E1751" s="1"/>
      <c r="F1751" s="1"/>
      <c r="G1751" s="1"/>
      <c r="H1751" s="1"/>
      <c r="I1751" s="1"/>
      <c r="J1751" s="1"/>
      <c r="K1751" s="1"/>
      <c r="L1751" s="1"/>
      <c r="M1751" s="1"/>
      <c r="N1751" s="1"/>
    </row>
    <row r="1752" ht="14.5" spans="2:14">
      <c r="B1752" s="1"/>
      <c r="C1752" s="1"/>
      <c r="D1752" s="1"/>
      <c r="E1752" s="1"/>
      <c r="F1752" s="1"/>
      <c r="G1752" s="1"/>
      <c r="H1752" s="1"/>
      <c r="I1752" s="1"/>
      <c r="J1752" s="1"/>
      <c r="K1752" s="1"/>
      <c r="L1752" s="1"/>
      <c r="M1752" s="1"/>
      <c r="N1752" s="1"/>
    </row>
    <row r="1753" ht="14.5" spans="2:14">
      <c r="B1753" s="1"/>
      <c r="C1753" s="1"/>
      <c r="D1753" s="1"/>
      <c r="E1753" s="1"/>
      <c r="F1753" s="1"/>
      <c r="G1753" s="1"/>
      <c r="H1753" s="1"/>
      <c r="I1753" s="1"/>
      <c r="J1753" s="1"/>
      <c r="K1753" s="1"/>
      <c r="L1753" s="1"/>
      <c r="M1753" s="1"/>
      <c r="N1753" s="1"/>
    </row>
    <row r="1754" ht="14.5" spans="2:14">
      <c r="B1754" s="1"/>
      <c r="C1754" s="1"/>
      <c r="D1754" s="1"/>
      <c r="E1754" s="1"/>
      <c r="F1754" s="1"/>
      <c r="G1754" s="1"/>
      <c r="H1754" s="1"/>
      <c r="I1754" s="1"/>
      <c r="J1754" s="1"/>
      <c r="K1754" s="1"/>
      <c r="L1754" s="1"/>
      <c r="M1754" s="1"/>
      <c r="N1754" s="1"/>
    </row>
    <row r="1755" ht="14.5" spans="2:14">
      <c r="B1755" s="1"/>
      <c r="C1755" s="1"/>
      <c r="D1755" s="1"/>
      <c r="E1755" s="1"/>
      <c r="F1755" s="1"/>
      <c r="G1755" s="1"/>
      <c r="H1755" s="1"/>
      <c r="I1755" s="1"/>
      <c r="J1755" s="1"/>
      <c r="K1755" s="1"/>
      <c r="L1755" s="1"/>
      <c r="M1755" s="1"/>
      <c r="N1755" s="1"/>
    </row>
    <row r="1756" ht="14.5" spans="2:14">
      <c r="B1756" s="1"/>
      <c r="C1756" s="1"/>
      <c r="D1756" s="1"/>
      <c r="E1756" s="1"/>
      <c r="F1756" s="1"/>
      <c r="G1756" s="1"/>
      <c r="H1756" s="1"/>
      <c r="I1756" s="1"/>
      <c r="J1756" s="1"/>
      <c r="K1756" s="1"/>
      <c r="L1756" s="1"/>
      <c r="M1756" s="1"/>
      <c r="N1756" s="1"/>
    </row>
    <row r="1757" ht="14.5" spans="2:14">
      <c r="B1757" s="1"/>
      <c r="C1757" s="1"/>
      <c r="D1757" s="1"/>
      <c r="E1757" s="1"/>
      <c r="F1757" s="1"/>
      <c r="G1757" s="1"/>
      <c r="H1757" s="1"/>
      <c r="I1757" s="1"/>
      <c r="J1757" s="1"/>
      <c r="K1757" s="1"/>
      <c r="L1757" s="1"/>
      <c r="M1757" s="1"/>
      <c r="N1757" s="1"/>
    </row>
    <row r="1758" ht="14.5" spans="2:14">
      <c r="B1758" s="1"/>
      <c r="C1758" s="1"/>
      <c r="D1758" s="1"/>
      <c r="E1758" s="1"/>
      <c r="F1758" s="1"/>
      <c r="G1758" s="1"/>
      <c r="H1758" s="1"/>
      <c r="I1758" s="1"/>
      <c r="J1758" s="1"/>
      <c r="K1758" s="1"/>
      <c r="L1758" s="1"/>
      <c r="M1758" s="1"/>
      <c r="N1758" s="1"/>
    </row>
    <row r="1759" ht="14.5" spans="2:14">
      <c r="B1759" s="1"/>
      <c r="C1759" s="1"/>
      <c r="D1759" s="1"/>
      <c r="E1759" s="1"/>
      <c r="F1759" s="1"/>
      <c r="G1759" s="1"/>
      <c r="H1759" s="1"/>
      <c r="I1759" s="1"/>
      <c r="J1759" s="1"/>
      <c r="K1759" s="1"/>
      <c r="L1759" s="1"/>
      <c r="M1759" s="1"/>
      <c r="N1759" s="1"/>
    </row>
    <row r="1760" ht="14.5" spans="2:14">
      <c r="B1760" s="1"/>
      <c r="C1760" s="1"/>
      <c r="D1760" s="1"/>
      <c r="E1760" s="1"/>
      <c r="F1760" s="1"/>
      <c r="G1760" s="1"/>
      <c r="H1760" s="1"/>
      <c r="I1760" s="1"/>
      <c r="J1760" s="1"/>
      <c r="K1760" s="1"/>
      <c r="L1760" s="1"/>
      <c r="M1760" s="1"/>
      <c r="N1760" s="1"/>
    </row>
    <row r="1761" ht="14.5" spans="2:14">
      <c r="B1761" s="1"/>
      <c r="C1761" s="1"/>
      <c r="D1761" s="1"/>
      <c r="E1761" s="1"/>
      <c r="F1761" s="1"/>
      <c r="G1761" s="1"/>
      <c r="H1761" s="1"/>
      <c r="I1761" s="1"/>
      <c r="J1761" s="1"/>
      <c r="K1761" s="1"/>
      <c r="L1761" s="1"/>
      <c r="M1761" s="1"/>
      <c r="N1761" s="1"/>
    </row>
    <row r="1762" ht="14.5" spans="2:14">
      <c r="B1762" s="1"/>
      <c r="C1762" s="1"/>
      <c r="D1762" s="1"/>
      <c r="E1762" s="1"/>
      <c r="F1762" s="1"/>
      <c r="G1762" s="1"/>
      <c r="H1762" s="1"/>
      <c r="I1762" s="1"/>
      <c r="J1762" s="1"/>
      <c r="K1762" s="1"/>
      <c r="L1762" s="1"/>
      <c r="M1762" s="1"/>
      <c r="N1762" s="1"/>
    </row>
    <row r="1763" ht="14.5" spans="2:14">
      <c r="B1763" s="1"/>
      <c r="C1763" s="1"/>
      <c r="D1763" s="1"/>
      <c r="E1763" s="1"/>
      <c r="F1763" s="1"/>
      <c r="G1763" s="1"/>
      <c r="H1763" s="1"/>
      <c r="I1763" s="1"/>
      <c r="J1763" s="1"/>
      <c r="K1763" s="1"/>
      <c r="L1763" s="1"/>
      <c r="M1763" s="1"/>
      <c r="N1763" s="1"/>
    </row>
    <row r="1764" ht="14.5" spans="2:14">
      <c r="B1764" s="1"/>
      <c r="C1764" s="1"/>
      <c r="D1764" s="1"/>
      <c r="E1764" s="1"/>
      <c r="F1764" s="1"/>
      <c r="G1764" s="1"/>
      <c r="H1764" s="1"/>
      <c r="I1764" s="1"/>
      <c r="J1764" s="1"/>
      <c r="K1764" s="1"/>
      <c r="L1764" s="1"/>
      <c r="M1764" s="1"/>
      <c r="N1764" s="1"/>
    </row>
    <row r="1765" ht="14.5" spans="2:14">
      <c r="B1765" s="1"/>
      <c r="C1765" s="1"/>
      <c r="D1765" s="1"/>
      <c r="E1765" s="1"/>
      <c r="F1765" s="1"/>
      <c r="G1765" s="1"/>
      <c r="H1765" s="1"/>
      <c r="I1765" s="1"/>
      <c r="J1765" s="1"/>
      <c r="K1765" s="1"/>
      <c r="L1765" s="1"/>
      <c r="M1765" s="1"/>
      <c r="N1765" s="1"/>
    </row>
    <row r="1766" ht="14.5" spans="2:14">
      <c r="B1766" s="1"/>
      <c r="C1766" s="1"/>
      <c r="D1766" s="1"/>
      <c r="E1766" s="1"/>
      <c r="F1766" s="1"/>
      <c r="G1766" s="1"/>
      <c r="H1766" s="1"/>
      <c r="I1766" s="1"/>
      <c r="J1766" s="1"/>
      <c r="K1766" s="1"/>
      <c r="L1766" s="1"/>
      <c r="M1766" s="1"/>
      <c r="N1766" s="1"/>
    </row>
    <row r="1767" ht="14.5" spans="2:14">
      <c r="B1767" s="1"/>
      <c r="C1767" s="1"/>
      <c r="D1767" s="1"/>
      <c r="E1767" s="1"/>
      <c r="F1767" s="1"/>
      <c r="G1767" s="1"/>
      <c r="H1767" s="1"/>
      <c r="I1767" s="1"/>
      <c r="J1767" s="1"/>
      <c r="K1767" s="1"/>
      <c r="L1767" s="1"/>
      <c r="M1767" s="1"/>
      <c r="N1767" s="1"/>
    </row>
    <row r="1768" ht="14.5" spans="2:14">
      <c r="B1768" s="1"/>
      <c r="C1768" s="1"/>
      <c r="D1768" s="1"/>
      <c r="E1768" s="1"/>
      <c r="F1768" s="1"/>
      <c r="G1768" s="1"/>
      <c r="H1768" s="1"/>
      <c r="I1768" s="1"/>
      <c r="J1768" s="1"/>
      <c r="K1768" s="1"/>
      <c r="L1768" s="1"/>
      <c r="M1768" s="1"/>
      <c r="N1768" s="1"/>
    </row>
    <row r="1769" ht="14.5" spans="2:14">
      <c r="B1769" s="1"/>
      <c r="C1769" s="1"/>
      <c r="D1769" s="1"/>
      <c r="E1769" s="1"/>
      <c r="F1769" s="1"/>
      <c r="G1769" s="1"/>
      <c r="H1769" s="1"/>
      <c r="I1769" s="1"/>
      <c r="J1769" s="1"/>
      <c r="K1769" s="1"/>
      <c r="L1769" s="1"/>
      <c r="M1769" s="1"/>
      <c r="N1769" s="1"/>
    </row>
    <row r="1770" ht="14.5" spans="2:14">
      <c r="B1770" s="1"/>
      <c r="C1770" s="1"/>
      <c r="D1770" s="1"/>
      <c r="E1770" s="1"/>
      <c r="F1770" s="1"/>
      <c r="G1770" s="1"/>
      <c r="H1770" s="1"/>
      <c r="I1770" s="1"/>
      <c r="J1770" s="1"/>
      <c r="K1770" s="1"/>
      <c r="L1770" s="1"/>
      <c r="M1770" s="1"/>
      <c r="N1770" s="1"/>
    </row>
    <row r="1771" ht="14.5" spans="2:14">
      <c r="B1771" s="1"/>
      <c r="C1771" s="1"/>
      <c r="D1771" s="1"/>
      <c r="E1771" s="1"/>
      <c r="F1771" s="1"/>
      <c r="G1771" s="1"/>
      <c r="H1771" s="1"/>
      <c r="I1771" s="1"/>
      <c r="J1771" s="1"/>
      <c r="K1771" s="1"/>
      <c r="L1771" s="1"/>
      <c r="M1771" s="1"/>
      <c r="N1771" s="1"/>
    </row>
    <row r="1772" ht="14.5" spans="2:14">
      <c r="B1772" s="1"/>
      <c r="C1772" s="1"/>
      <c r="D1772" s="1"/>
      <c r="E1772" s="1"/>
      <c r="F1772" s="1"/>
      <c r="G1772" s="1"/>
      <c r="H1772" s="1"/>
      <c r="I1772" s="1"/>
      <c r="J1772" s="1"/>
      <c r="K1772" s="1"/>
      <c r="L1772" s="1"/>
      <c r="M1772" s="1"/>
      <c r="N1772" s="1"/>
    </row>
    <row r="1773" ht="14.5" spans="2:14">
      <c r="B1773" s="1"/>
      <c r="C1773" s="1"/>
      <c r="D1773" s="1"/>
      <c r="E1773" s="1"/>
      <c r="F1773" s="1"/>
      <c r="G1773" s="1"/>
      <c r="H1773" s="1"/>
      <c r="I1773" s="1"/>
      <c r="J1773" s="1"/>
      <c r="K1773" s="1"/>
      <c r="L1773" s="1"/>
      <c r="M1773" s="1"/>
      <c r="N1773" s="1"/>
    </row>
    <row r="1774" ht="14.5" spans="2:14">
      <c r="B1774" s="1"/>
      <c r="C1774" s="1"/>
      <c r="D1774" s="1"/>
      <c r="E1774" s="1"/>
      <c r="F1774" s="1"/>
      <c r="G1774" s="1"/>
      <c r="H1774" s="1"/>
      <c r="I1774" s="1"/>
      <c r="J1774" s="1"/>
      <c r="K1774" s="1"/>
      <c r="L1774" s="1"/>
      <c r="M1774" s="1"/>
      <c r="N1774" s="1"/>
    </row>
    <row r="1775" ht="14.5" spans="2:14">
      <c r="B1775" s="1"/>
      <c r="C1775" s="1"/>
      <c r="D1775" s="1"/>
      <c r="E1775" s="1"/>
      <c r="F1775" s="1"/>
      <c r="G1775" s="1"/>
      <c r="H1775" s="1"/>
      <c r="I1775" s="1"/>
      <c r="J1775" s="1"/>
      <c r="K1775" s="1"/>
      <c r="L1775" s="1"/>
      <c r="M1775" s="1"/>
      <c r="N1775" s="1"/>
    </row>
    <row r="1776" ht="14.5" spans="2:14">
      <c r="B1776" s="1"/>
      <c r="C1776" s="1"/>
      <c r="D1776" s="1"/>
      <c r="E1776" s="1"/>
      <c r="F1776" s="1"/>
      <c r="G1776" s="1"/>
      <c r="H1776" s="1"/>
      <c r="I1776" s="1"/>
      <c r="J1776" s="1"/>
      <c r="K1776" s="1"/>
      <c r="L1776" s="1"/>
      <c r="M1776" s="1"/>
      <c r="N1776" s="1"/>
    </row>
    <row r="1777" ht="14.5" spans="2:14">
      <c r="B1777" s="1"/>
      <c r="C1777" s="1"/>
      <c r="D1777" s="1"/>
      <c r="E1777" s="1"/>
      <c r="F1777" s="1"/>
      <c r="G1777" s="1"/>
      <c r="H1777" s="1"/>
      <c r="I1777" s="1"/>
      <c r="J1777" s="1"/>
      <c r="K1777" s="1"/>
      <c r="L1777" s="1"/>
      <c r="M1777" s="1"/>
      <c r="N1777" s="1"/>
    </row>
    <row r="1778" ht="14.5" spans="2:14">
      <c r="B1778" s="1"/>
      <c r="C1778" s="1"/>
      <c r="D1778" s="1"/>
      <c r="E1778" s="1"/>
      <c r="F1778" s="1"/>
      <c r="G1778" s="1"/>
      <c r="H1778" s="1"/>
      <c r="I1778" s="1"/>
      <c r="J1778" s="1"/>
      <c r="K1778" s="1"/>
      <c r="L1778" s="1"/>
      <c r="M1778" s="1"/>
      <c r="N1778" s="1"/>
    </row>
    <row r="1779" ht="14.5" spans="2:14">
      <c r="B1779" s="1"/>
      <c r="C1779" s="1"/>
      <c r="D1779" s="1"/>
      <c r="E1779" s="1"/>
      <c r="F1779" s="1"/>
      <c r="G1779" s="1"/>
      <c r="H1779" s="1"/>
      <c r="I1779" s="1"/>
      <c r="J1779" s="1"/>
      <c r="K1779" s="1"/>
      <c r="L1779" s="1"/>
      <c r="M1779" s="1"/>
      <c r="N1779" s="1"/>
    </row>
    <row r="1780" ht="14.5" spans="2:14">
      <c r="B1780" s="1"/>
      <c r="C1780" s="1"/>
      <c r="D1780" s="1"/>
      <c r="E1780" s="1"/>
      <c r="F1780" s="1"/>
      <c r="G1780" s="1"/>
      <c r="H1780" s="1"/>
      <c r="I1780" s="1"/>
      <c r="J1780" s="1"/>
      <c r="K1780" s="1"/>
      <c r="L1780" s="1"/>
      <c r="M1780" s="1"/>
      <c r="N1780" s="1"/>
    </row>
    <row r="1781" ht="14.5" spans="2:14">
      <c r="B1781" s="1"/>
      <c r="C1781" s="1"/>
      <c r="D1781" s="1"/>
      <c r="E1781" s="1"/>
      <c r="F1781" s="1"/>
      <c r="G1781" s="1"/>
      <c r="H1781" s="1"/>
      <c r="I1781" s="1"/>
      <c r="J1781" s="1"/>
      <c r="K1781" s="1"/>
      <c r="L1781" s="1"/>
      <c r="M1781" s="1"/>
      <c r="N1781" s="1"/>
    </row>
    <row r="1782" ht="14.5" spans="2:14">
      <c r="B1782" s="1"/>
      <c r="C1782" s="1"/>
      <c r="D1782" s="1"/>
      <c r="E1782" s="1"/>
      <c r="F1782" s="1"/>
      <c r="G1782" s="1"/>
      <c r="H1782" s="1"/>
      <c r="I1782" s="1"/>
      <c r="J1782" s="1"/>
      <c r="K1782" s="1"/>
      <c r="L1782" s="1"/>
      <c r="M1782" s="1"/>
      <c r="N1782" s="1"/>
    </row>
    <row r="1783" ht="14.5" spans="2:14">
      <c r="B1783" s="1"/>
      <c r="C1783" s="1"/>
      <c r="D1783" s="1"/>
      <c r="E1783" s="1"/>
      <c r="F1783" s="1"/>
      <c r="G1783" s="1"/>
      <c r="H1783" s="1"/>
      <c r="I1783" s="1"/>
      <c r="J1783" s="1"/>
      <c r="K1783" s="1"/>
      <c r="L1783" s="1"/>
      <c r="M1783" s="1"/>
      <c r="N1783" s="1"/>
    </row>
    <row r="1784" ht="14.5" spans="2:14">
      <c r="B1784" s="1"/>
      <c r="C1784" s="1"/>
      <c r="D1784" s="1"/>
      <c r="E1784" s="1"/>
      <c r="F1784" s="1"/>
      <c r="G1784" s="1"/>
      <c r="H1784" s="1"/>
      <c r="I1784" s="1"/>
      <c r="J1784" s="1"/>
      <c r="K1784" s="1"/>
      <c r="L1784" s="1"/>
      <c r="M1784" s="1"/>
      <c r="N1784" s="1"/>
    </row>
    <row r="1785" ht="14.5" spans="2:14">
      <c r="B1785" s="1"/>
      <c r="C1785" s="1"/>
      <c r="D1785" s="1"/>
      <c r="E1785" s="1"/>
      <c r="F1785" s="1"/>
      <c r="G1785" s="1"/>
      <c r="H1785" s="1"/>
      <c r="I1785" s="1"/>
      <c r="J1785" s="1"/>
      <c r="K1785" s="1"/>
      <c r="L1785" s="1"/>
      <c r="M1785" s="1"/>
      <c r="N1785" s="1"/>
    </row>
    <row r="1786" ht="14.5" spans="2:14">
      <c r="B1786" s="1"/>
      <c r="C1786" s="1"/>
      <c r="D1786" s="1"/>
      <c r="E1786" s="1"/>
      <c r="F1786" s="1"/>
      <c r="G1786" s="1"/>
      <c r="H1786" s="1"/>
      <c r="I1786" s="1"/>
      <c r="J1786" s="1"/>
      <c r="K1786" s="1"/>
      <c r="L1786" s="1"/>
      <c r="M1786" s="1"/>
      <c r="N1786" s="1"/>
    </row>
    <row r="1787" ht="14.5" spans="2:14">
      <c r="B1787" s="1"/>
      <c r="C1787" s="1"/>
      <c r="D1787" s="1"/>
      <c r="E1787" s="1"/>
      <c r="F1787" s="1"/>
      <c r="G1787" s="1"/>
      <c r="H1787" s="1"/>
      <c r="I1787" s="1"/>
      <c r="J1787" s="1"/>
      <c r="K1787" s="1"/>
      <c r="L1787" s="1"/>
      <c r="M1787" s="1"/>
      <c r="N1787" s="1"/>
    </row>
    <row r="1788" ht="14.5" spans="2:14">
      <c r="B1788" s="1"/>
      <c r="C1788" s="1"/>
      <c r="D1788" s="1"/>
      <c r="E1788" s="1"/>
      <c r="F1788" s="1"/>
      <c r="G1788" s="1"/>
      <c r="H1788" s="1"/>
      <c r="I1788" s="1"/>
      <c r="J1788" s="1"/>
      <c r="K1788" s="1"/>
      <c r="L1788" s="1"/>
      <c r="M1788" s="1"/>
      <c r="N1788" s="1"/>
    </row>
    <row r="1789" ht="14.5" spans="2:14">
      <c r="B1789" s="1"/>
      <c r="C1789" s="1"/>
      <c r="D1789" s="1"/>
      <c r="E1789" s="1"/>
      <c r="F1789" s="1"/>
      <c r="G1789" s="1"/>
      <c r="H1789" s="1"/>
      <c r="I1789" s="1"/>
      <c r="J1789" s="1"/>
      <c r="K1789" s="1"/>
      <c r="L1789" s="1"/>
      <c r="M1789" s="1"/>
      <c r="N1789" s="1"/>
    </row>
    <row r="1790" ht="14.5" spans="2:14">
      <c r="B1790" s="1"/>
      <c r="C1790" s="1"/>
      <c r="D1790" s="1"/>
      <c r="E1790" s="1"/>
      <c r="F1790" s="1"/>
      <c r="G1790" s="1"/>
      <c r="H1790" s="1"/>
      <c r="I1790" s="1"/>
      <c r="J1790" s="1"/>
      <c r="K1790" s="1"/>
      <c r="L1790" s="1"/>
      <c r="M1790" s="1"/>
      <c r="N1790" s="1"/>
    </row>
    <row r="1791" ht="14.5" spans="2:14">
      <c r="B1791" s="1"/>
      <c r="C1791" s="1"/>
      <c r="D1791" s="1"/>
      <c r="E1791" s="1"/>
      <c r="F1791" s="1"/>
      <c r="G1791" s="1"/>
      <c r="H1791" s="1"/>
      <c r="I1791" s="1"/>
      <c r="J1791" s="1"/>
      <c r="K1791" s="1"/>
      <c r="L1791" s="1"/>
      <c r="M1791" s="1"/>
      <c r="N1791" s="1"/>
    </row>
    <row r="1792" ht="14.5" spans="2:14">
      <c r="B1792" s="1"/>
      <c r="C1792" s="1"/>
      <c r="D1792" s="1"/>
      <c r="E1792" s="1"/>
      <c r="F1792" s="1"/>
      <c r="G1792" s="1"/>
      <c r="H1792" s="1"/>
      <c r="I1792" s="1"/>
      <c r="J1792" s="1"/>
      <c r="K1792" s="1"/>
      <c r="L1792" s="1"/>
      <c r="M1792" s="1"/>
      <c r="N1792" s="1"/>
    </row>
    <row r="1793" ht="14.5" spans="2:14">
      <c r="B1793" s="1"/>
      <c r="C1793" s="1"/>
      <c r="D1793" s="1"/>
      <c r="E1793" s="1"/>
      <c r="F1793" s="1"/>
      <c r="G1793" s="1"/>
      <c r="H1793" s="1"/>
      <c r="I1793" s="1"/>
      <c r="J1793" s="1"/>
      <c r="K1793" s="1"/>
      <c r="L1793" s="1"/>
      <c r="M1793" s="1"/>
      <c r="N1793" s="1"/>
    </row>
    <row r="1794" ht="14.5" spans="2:14">
      <c r="B1794" s="1"/>
      <c r="C1794" s="1"/>
      <c r="D1794" s="1"/>
      <c r="E1794" s="1"/>
      <c r="F1794" s="1"/>
      <c r="G1794" s="1"/>
      <c r="H1794" s="1"/>
      <c r="I1794" s="1"/>
      <c r="J1794" s="1"/>
      <c r="K1794" s="1"/>
      <c r="L1794" s="1"/>
      <c r="M1794" s="1"/>
      <c r="N1794" s="1"/>
    </row>
    <row r="1795" ht="14.5" spans="2:14">
      <c r="B1795" s="1"/>
      <c r="C1795" s="1"/>
      <c r="D1795" s="1"/>
      <c r="E1795" s="1"/>
      <c r="F1795" s="1"/>
      <c r="G1795" s="1"/>
      <c r="H1795" s="1"/>
      <c r="I1795" s="1"/>
      <c r="J1795" s="1"/>
      <c r="K1795" s="1"/>
      <c r="L1795" s="1"/>
      <c r="M1795" s="1"/>
      <c r="N1795" s="1"/>
    </row>
    <row r="1796" ht="14.5" spans="2:14">
      <c r="B1796" s="1"/>
      <c r="C1796" s="1"/>
      <c r="D1796" s="1"/>
      <c r="E1796" s="1"/>
      <c r="F1796" s="1"/>
      <c r="G1796" s="1"/>
      <c r="H1796" s="1"/>
      <c r="I1796" s="1"/>
      <c r="J1796" s="1"/>
      <c r="K1796" s="1"/>
      <c r="L1796" s="1"/>
      <c r="M1796" s="1"/>
      <c r="N1796" s="1"/>
    </row>
    <row r="1797" ht="14.5" spans="2:14">
      <c r="B1797" s="1"/>
      <c r="C1797" s="1"/>
      <c r="D1797" s="1"/>
      <c r="E1797" s="1"/>
      <c r="F1797" s="1"/>
      <c r="G1797" s="1"/>
      <c r="H1797" s="1"/>
      <c r="I1797" s="1"/>
      <c r="J1797" s="1"/>
      <c r="K1797" s="1"/>
      <c r="L1797" s="1"/>
      <c r="M1797" s="1"/>
      <c r="N1797" s="1"/>
    </row>
    <row r="1798" ht="14.5" spans="2:14">
      <c r="B1798" s="1"/>
      <c r="C1798" s="1"/>
      <c r="D1798" s="1"/>
      <c r="E1798" s="1"/>
      <c r="F1798" s="1"/>
      <c r="G1798" s="1"/>
      <c r="H1798" s="1"/>
      <c r="I1798" s="1"/>
      <c r="J1798" s="1"/>
      <c r="K1798" s="1"/>
      <c r="L1798" s="1"/>
      <c r="M1798" s="1"/>
      <c r="N1798" s="1"/>
    </row>
    <row r="1799" ht="14.5" spans="2:14">
      <c r="B1799" s="1"/>
      <c r="C1799" s="1"/>
      <c r="D1799" s="1"/>
      <c r="E1799" s="1"/>
      <c r="F1799" s="1"/>
      <c r="G1799" s="1"/>
      <c r="H1799" s="1"/>
      <c r="I1799" s="1"/>
      <c r="J1799" s="1"/>
      <c r="K1799" s="1"/>
      <c r="L1799" s="1"/>
      <c r="M1799" s="1"/>
      <c r="N1799" s="1"/>
    </row>
    <row r="1800" ht="14.5" spans="2:14">
      <c r="B1800" s="1"/>
      <c r="C1800" s="1"/>
      <c r="D1800" s="1"/>
      <c r="E1800" s="1"/>
      <c r="F1800" s="1"/>
      <c r="G1800" s="1"/>
      <c r="H1800" s="1"/>
      <c r="I1800" s="1"/>
      <c r="J1800" s="1"/>
      <c r="K1800" s="1"/>
      <c r="L1800" s="1"/>
      <c r="M1800" s="1"/>
      <c r="N1800" s="1"/>
    </row>
    <row r="1801" ht="14.5" spans="2:14">
      <c r="B1801" s="1"/>
      <c r="C1801" s="1"/>
      <c r="D1801" s="1"/>
      <c r="E1801" s="1"/>
      <c r="F1801" s="1"/>
      <c r="G1801" s="1"/>
      <c r="H1801" s="1"/>
      <c r="I1801" s="1"/>
      <c r="J1801" s="1"/>
      <c r="K1801" s="1"/>
      <c r="L1801" s="1"/>
      <c r="M1801" s="1"/>
      <c r="N1801" s="1"/>
    </row>
    <row r="1802" ht="14.5" spans="2:14">
      <c r="B1802" s="1"/>
      <c r="C1802" s="1"/>
      <c r="D1802" s="1"/>
      <c r="E1802" s="1"/>
      <c r="F1802" s="1"/>
      <c r="G1802" s="1"/>
      <c r="H1802" s="1"/>
      <c r="I1802" s="1"/>
      <c r="J1802" s="1"/>
      <c r="K1802" s="1"/>
      <c r="L1802" s="1"/>
      <c r="M1802" s="1"/>
      <c r="N1802" s="1"/>
    </row>
    <row r="1803" ht="14.5" spans="2:14">
      <c r="B1803" s="1"/>
      <c r="C1803" s="1"/>
      <c r="D1803" s="1"/>
      <c r="E1803" s="1"/>
      <c r="F1803" s="1"/>
      <c r="G1803" s="1"/>
      <c r="H1803" s="1"/>
      <c r="I1803" s="1"/>
      <c r="J1803" s="1"/>
      <c r="K1803" s="1"/>
      <c r="L1803" s="1"/>
      <c r="M1803" s="1"/>
      <c r="N1803" s="1"/>
    </row>
    <row r="1804" ht="14.5" spans="2:14">
      <c r="B1804" s="1"/>
      <c r="C1804" s="1"/>
      <c r="D1804" s="1"/>
      <c r="E1804" s="1"/>
      <c r="F1804" s="1"/>
      <c r="G1804" s="1"/>
      <c r="H1804" s="1"/>
      <c r="I1804" s="1"/>
      <c r="J1804" s="1"/>
      <c r="K1804" s="1"/>
      <c r="L1804" s="1"/>
      <c r="M1804" s="1"/>
      <c r="N1804" s="1"/>
    </row>
    <row r="1805" ht="14.5" spans="2:14">
      <c r="B1805" s="1"/>
      <c r="C1805" s="1"/>
      <c r="D1805" s="1"/>
      <c r="E1805" s="1"/>
      <c r="F1805" s="1"/>
      <c r="G1805" s="1"/>
      <c r="H1805" s="1"/>
      <c r="I1805" s="1"/>
      <c r="J1805" s="1"/>
      <c r="K1805" s="1"/>
      <c r="L1805" s="1"/>
      <c r="M1805" s="1"/>
      <c r="N1805" s="1"/>
    </row>
    <row r="1806" ht="14.5" spans="2:14">
      <c r="B1806" s="1"/>
      <c r="C1806" s="1"/>
      <c r="D1806" s="1"/>
      <c r="E1806" s="1"/>
      <c r="F1806" s="1"/>
      <c r="G1806" s="1"/>
      <c r="H1806" s="1"/>
      <c r="I1806" s="1"/>
      <c r="J1806" s="1"/>
      <c r="K1806" s="1"/>
      <c r="L1806" s="1"/>
      <c r="M1806" s="1"/>
      <c r="N1806" s="1"/>
    </row>
    <row r="1807" ht="14.5" spans="2:14">
      <c r="B1807" s="1"/>
      <c r="C1807" s="1"/>
      <c r="D1807" s="1"/>
      <c r="E1807" s="1"/>
      <c r="F1807" s="1"/>
      <c r="G1807" s="1"/>
      <c r="H1807" s="1"/>
      <c r="I1807" s="1"/>
      <c r="J1807" s="1"/>
      <c r="K1807" s="1"/>
      <c r="L1807" s="1"/>
      <c r="M1807" s="1"/>
      <c r="N1807" s="1"/>
    </row>
    <row r="1808" ht="14.5" spans="2:14">
      <c r="B1808" s="1"/>
      <c r="C1808" s="1"/>
      <c r="D1808" s="1"/>
      <c r="E1808" s="1"/>
      <c r="F1808" s="1"/>
      <c r="G1808" s="1"/>
      <c r="H1808" s="1"/>
      <c r="I1808" s="1"/>
      <c r="J1808" s="1"/>
      <c r="K1808" s="1"/>
      <c r="L1808" s="1"/>
      <c r="M1808" s="1"/>
      <c r="N1808" s="1"/>
    </row>
    <row r="1809" ht="14.5" spans="2:14">
      <c r="B1809" s="1"/>
      <c r="C1809" s="1"/>
      <c r="D1809" s="1"/>
      <c r="E1809" s="1"/>
      <c r="F1809" s="1"/>
      <c r="G1809" s="1"/>
      <c r="H1809" s="1"/>
      <c r="I1809" s="1"/>
      <c r="J1809" s="1"/>
      <c r="K1809" s="1"/>
      <c r="L1809" s="1"/>
      <c r="M1809" s="1"/>
      <c r="N1809" s="1"/>
    </row>
    <row r="1810" ht="14.5" spans="2:14">
      <c r="B1810" s="1"/>
      <c r="C1810" s="1"/>
      <c r="D1810" s="1"/>
      <c r="E1810" s="1"/>
      <c r="F1810" s="1"/>
      <c r="G1810" s="1"/>
      <c r="H1810" s="1"/>
      <c r="I1810" s="1"/>
      <c r="J1810" s="1"/>
      <c r="K1810" s="1"/>
      <c r="L1810" s="1"/>
      <c r="M1810" s="1"/>
      <c r="N1810" s="1"/>
    </row>
    <row r="1811" ht="14.5" spans="2:14">
      <c r="B1811" s="1"/>
      <c r="C1811" s="1"/>
      <c r="D1811" s="1"/>
      <c r="E1811" s="1"/>
      <c r="F1811" s="1"/>
      <c r="G1811" s="1"/>
      <c r="H1811" s="1"/>
      <c r="I1811" s="1"/>
      <c r="J1811" s="1"/>
      <c r="K1811" s="1"/>
      <c r="L1811" s="1"/>
      <c r="M1811" s="1"/>
      <c r="N1811" s="1"/>
    </row>
    <row r="1812" ht="14.5" spans="2:14">
      <c r="B1812" s="1"/>
      <c r="C1812" s="1"/>
      <c r="D1812" s="1"/>
      <c r="E1812" s="1"/>
      <c r="F1812" s="1"/>
      <c r="G1812" s="1"/>
      <c r="H1812" s="1"/>
      <c r="I1812" s="1"/>
      <c r="J1812" s="1"/>
      <c r="K1812" s="1"/>
      <c r="L1812" s="1"/>
      <c r="M1812" s="1"/>
      <c r="N1812" s="1"/>
    </row>
    <row r="1813" ht="14.5" spans="2:14">
      <c r="B1813" s="1"/>
      <c r="C1813" s="1"/>
      <c r="D1813" s="1"/>
      <c r="E1813" s="1"/>
      <c r="F1813" s="1"/>
      <c r="G1813" s="1"/>
      <c r="H1813" s="1"/>
      <c r="I1813" s="1"/>
      <c r="J1813" s="1"/>
      <c r="K1813" s="1"/>
      <c r="L1813" s="1"/>
      <c r="M1813" s="1"/>
      <c r="N1813" s="1"/>
    </row>
    <row r="1814" ht="14.5" spans="2:14">
      <c r="B1814" s="1"/>
      <c r="C1814" s="1"/>
      <c r="D1814" s="1"/>
      <c r="E1814" s="1"/>
      <c r="F1814" s="1"/>
      <c r="G1814" s="1"/>
      <c r="H1814" s="1"/>
      <c r="I1814" s="1"/>
      <c r="J1814" s="1"/>
      <c r="K1814" s="1"/>
      <c r="L1814" s="1"/>
      <c r="M1814" s="1"/>
      <c r="N1814" s="1"/>
    </row>
    <row r="1815" ht="14.5" spans="2:14">
      <c r="B1815" s="1"/>
      <c r="C1815" s="1"/>
      <c r="D1815" s="1"/>
      <c r="E1815" s="1"/>
      <c r="F1815" s="1"/>
      <c r="G1815" s="1"/>
      <c r="H1815" s="1"/>
      <c r="I1815" s="1"/>
      <c r="J1815" s="1"/>
      <c r="K1815" s="1"/>
      <c r="L1815" s="1"/>
      <c r="M1815" s="1"/>
      <c r="N1815" s="1"/>
    </row>
    <row r="1816" ht="14.5" spans="2:14">
      <c r="B1816" s="1"/>
      <c r="C1816" s="1"/>
      <c r="D1816" s="1"/>
      <c r="E1816" s="1"/>
      <c r="F1816" s="1"/>
      <c r="G1816" s="1"/>
      <c r="H1816" s="1"/>
      <c r="I1816" s="1"/>
      <c r="J1816" s="1"/>
      <c r="K1816" s="1"/>
      <c r="L1816" s="1"/>
      <c r="M1816" s="1"/>
      <c r="N1816" s="1"/>
    </row>
    <row r="1817" ht="14.5" spans="2:14">
      <c r="B1817" s="1"/>
      <c r="C1817" s="1"/>
      <c r="D1817" s="1"/>
      <c r="E1817" s="1"/>
      <c r="F1817" s="1"/>
      <c r="G1817" s="1"/>
      <c r="H1817" s="1"/>
      <c r="I1817" s="1"/>
      <c r="J1817" s="1"/>
      <c r="K1817" s="1"/>
      <c r="L1817" s="1"/>
      <c r="M1817" s="1"/>
      <c r="N1817" s="1"/>
    </row>
    <row r="1818" ht="14.5" spans="2:14">
      <c r="B1818" s="1"/>
      <c r="C1818" s="1"/>
      <c r="D1818" s="1"/>
      <c r="E1818" s="1"/>
      <c r="F1818" s="1"/>
      <c r="G1818" s="1"/>
      <c r="H1818" s="1"/>
      <c r="I1818" s="1"/>
      <c r="J1818" s="1"/>
      <c r="K1818" s="1"/>
      <c r="L1818" s="1"/>
      <c r="M1818" s="1"/>
      <c r="N1818" s="1"/>
    </row>
    <row r="1819" ht="14.5" spans="2:14">
      <c r="B1819" s="1"/>
      <c r="C1819" s="1"/>
      <c r="D1819" s="1"/>
      <c r="E1819" s="1"/>
      <c r="F1819" s="1"/>
      <c r="G1819" s="1"/>
      <c r="H1819" s="1"/>
      <c r="I1819" s="1"/>
      <c r="J1819" s="1"/>
      <c r="K1819" s="1"/>
      <c r="L1819" s="1"/>
      <c r="M1819" s="1"/>
      <c r="N1819" s="1"/>
    </row>
    <row r="1820" ht="14.5" spans="2:14">
      <c r="B1820" s="1"/>
      <c r="C1820" s="1"/>
      <c r="D1820" s="1"/>
      <c r="E1820" s="1"/>
      <c r="F1820" s="1"/>
      <c r="G1820" s="1"/>
      <c r="H1820" s="1"/>
      <c r="I1820" s="1"/>
      <c r="J1820" s="1"/>
      <c r="K1820" s="1"/>
      <c r="L1820" s="1"/>
      <c r="M1820" s="1"/>
      <c r="N1820" s="1"/>
    </row>
    <row r="1821" ht="14.5" spans="2:14">
      <c r="B1821" s="1"/>
      <c r="C1821" s="1"/>
      <c r="D1821" s="1"/>
      <c r="E1821" s="1"/>
      <c r="F1821" s="1"/>
      <c r="G1821" s="1"/>
      <c r="H1821" s="1"/>
      <c r="I1821" s="1"/>
      <c r="J1821" s="1"/>
      <c r="K1821" s="1"/>
      <c r="L1821" s="1"/>
      <c r="M1821" s="1"/>
      <c r="N1821" s="1"/>
    </row>
    <row r="1822" ht="14.5" spans="2:14">
      <c r="B1822" s="1"/>
      <c r="C1822" s="1"/>
      <c r="D1822" s="1"/>
      <c r="E1822" s="1"/>
      <c r="F1822" s="1"/>
      <c r="G1822" s="1"/>
      <c r="H1822" s="1"/>
      <c r="I1822" s="1"/>
      <c r="J1822" s="1"/>
      <c r="K1822" s="1"/>
      <c r="L1822" s="1"/>
      <c r="M1822" s="1"/>
      <c r="N1822" s="1"/>
    </row>
    <row r="1823" ht="14.5" spans="2:14">
      <c r="B1823" s="1"/>
      <c r="C1823" s="1"/>
      <c r="D1823" s="1"/>
      <c r="E1823" s="1"/>
      <c r="F1823" s="1"/>
      <c r="G1823" s="1"/>
      <c r="H1823" s="1"/>
      <c r="I1823" s="1"/>
      <c r="J1823" s="1"/>
      <c r="K1823" s="1"/>
      <c r="L1823" s="1"/>
      <c r="M1823" s="1"/>
      <c r="N1823" s="1"/>
    </row>
    <row r="1824" ht="14.5" spans="2:14">
      <c r="B1824" s="1"/>
      <c r="C1824" s="1"/>
      <c r="D1824" s="1"/>
      <c r="E1824" s="1"/>
      <c r="F1824" s="1"/>
      <c r="G1824" s="1"/>
      <c r="H1824" s="1"/>
      <c r="I1824" s="1"/>
      <c r="J1824" s="1"/>
      <c r="K1824" s="1"/>
      <c r="L1824" s="1"/>
      <c r="M1824" s="1"/>
      <c r="N1824" s="1"/>
    </row>
    <row r="1825" ht="14.5" spans="2:14">
      <c r="B1825" s="1"/>
      <c r="C1825" s="1"/>
      <c r="D1825" s="1"/>
      <c r="E1825" s="1"/>
      <c r="F1825" s="1"/>
      <c r="G1825" s="1"/>
      <c r="H1825" s="1"/>
      <c r="I1825" s="1"/>
      <c r="J1825" s="1"/>
      <c r="K1825" s="1"/>
      <c r="L1825" s="1"/>
      <c r="M1825" s="1"/>
      <c r="N1825" s="1"/>
    </row>
    <row r="1826" ht="14.5" spans="2:14">
      <c r="B1826" s="1"/>
      <c r="C1826" s="1"/>
      <c r="D1826" s="1"/>
      <c r="E1826" s="1"/>
      <c r="F1826" s="1"/>
      <c r="G1826" s="1"/>
      <c r="H1826" s="1"/>
      <c r="I1826" s="1"/>
      <c r="J1826" s="1"/>
      <c r="K1826" s="1"/>
      <c r="L1826" s="1"/>
      <c r="M1826" s="1"/>
      <c r="N1826" s="1"/>
    </row>
    <row r="1827" ht="14.5" spans="2:14">
      <c r="B1827" s="1"/>
      <c r="C1827" s="1"/>
      <c r="D1827" s="1"/>
      <c r="E1827" s="1"/>
      <c r="F1827" s="1"/>
      <c r="G1827" s="1"/>
      <c r="H1827" s="1"/>
      <c r="I1827" s="1"/>
      <c r="J1827" s="1"/>
      <c r="K1827" s="1"/>
      <c r="L1827" s="1"/>
      <c r="M1827" s="1"/>
      <c r="N1827" s="1"/>
    </row>
    <row r="1828" ht="14.5" spans="2:14">
      <c r="B1828" s="1"/>
      <c r="C1828" s="1"/>
      <c r="D1828" s="1"/>
      <c r="E1828" s="1"/>
      <c r="F1828" s="1"/>
      <c r="G1828" s="1"/>
      <c r="H1828" s="1"/>
      <c r="I1828" s="1"/>
      <c r="J1828" s="1"/>
      <c r="K1828" s="1"/>
      <c r="L1828" s="1"/>
      <c r="M1828" s="1"/>
      <c r="N1828" s="1"/>
    </row>
    <row r="1829" ht="14.5" spans="2:14">
      <c r="B1829" s="1"/>
      <c r="C1829" s="1"/>
      <c r="D1829" s="1"/>
      <c r="E1829" s="1"/>
      <c r="F1829" s="1"/>
      <c r="G1829" s="1"/>
      <c r="H1829" s="1"/>
      <c r="I1829" s="1"/>
      <c r="J1829" s="1"/>
      <c r="K1829" s="1"/>
      <c r="L1829" s="1"/>
      <c r="M1829" s="1"/>
      <c r="N1829" s="1"/>
    </row>
    <row r="1830" ht="14.5" spans="2:14">
      <c r="B1830" s="1"/>
      <c r="C1830" s="1"/>
      <c r="D1830" s="1"/>
      <c r="E1830" s="1"/>
      <c r="F1830" s="1"/>
      <c r="G1830" s="1"/>
      <c r="H1830" s="1"/>
      <c r="I1830" s="1"/>
      <c r="J1830" s="1"/>
      <c r="K1830" s="1"/>
      <c r="L1830" s="1"/>
      <c r="M1830" s="1"/>
      <c r="N1830" s="1"/>
    </row>
    <row r="1831" ht="14.5" spans="2:14">
      <c r="B1831" s="1"/>
      <c r="C1831" s="1"/>
      <c r="D1831" s="1"/>
      <c r="E1831" s="1"/>
      <c r="F1831" s="1"/>
      <c r="G1831" s="1"/>
      <c r="H1831" s="1"/>
      <c r="I1831" s="1"/>
      <c r="J1831" s="1"/>
      <c r="K1831" s="1"/>
      <c r="L1831" s="1"/>
      <c r="M1831" s="1"/>
      <c r="N1831" s="1"/>
    </row>
    <row r="1832" ht="14.5" spans="2:14">
      <c r="B1832" s="1"/>
      <c r="C1832" s="1"/>
      <c r="D1832" s="1"/>
      <c r="E1832" s="1"/>
      <c r="F1832" s="1"/>
      <c r="G1832" s="1"/>
      <c r="H1832" s="1"/>
      <c r="I1832" s="1"/>
      <c r="J1832" s="1"/>
      <c r="K1832" s="1"/>
      <c r="L1832" s="1"/>
      <c r="M1832" s="1"/>
      <c r="N1832" s="1"/>
    </row>
    <row r="1833" ht="14.5" spans="2:14">
      <c r="B1833" s="1"/>
      <c r="C1833" s="1"/>
      <c r="D1833" s="1"/>
      <c r="E1833" s="1"/>
      <c r="F1833" s="1"/>
      <c r="G1833" s="1"/>
      <c r="H1833" s="1"/>
      <c r="I1833" s="1"/>
      <c r="J1833" s="1"/>
      <c r="K1833" s="1"/>
      <c r="L1833" s="1"/>
      <c r="M1833" s="1"/>
      <c r="N1833" s="1"/>
    </row>
    <row r="1834" ht="14.5" spans="2:14">
      <c r="B1834" s="1"/>
      <c r="C1834" s="1"/>
      <c r="D1834" s="1"/>
      <c r="E1834" s="1"/>
      <c r="F1834" s="1"/>
      <c r="G1834" s="1"/>
      <c r="H1834" s="1"/>
      <c r="I1834" s="1"/>
      <c r="J1834" s="1"/>
      <c r="K1834" s="1"/>
      <c r="L1834" s="1"/>
      <c r="M1834" s="1"/>
      <c r="N1834" s="1"/>
    </row>
    <row r="1835" ht="14.5" spans="2:14">
      <c r="B1835" s="1"/>
      <c r="C1835" s="1"/>
      <c r="D1835" s="1"/>
      <c r="E1835" s="1"/>
      <c r="F1835" s="1"/>
      <c r="G1835" s="1"/>
      <c r="H1835" s="1"/>
      <c r="I1835" s="1"/>
      <c r="J1835" s="1"/>
      <c r="K1835" s="1"/>
      <c r="L1835" s="1"/>
      <c r="M1835" s="1"/>
      <c r="N1835" s="1"/>
    </row>
    <row r="1836" ht="14.5" spans="2:14">
      <c r="B1836" s="1"/>
      <c r="C1836" s="1"/>
      <c r="D1836" s="1"/>
      <c r="E1836" s="1"/>
      <c r="F1836" s="1"/>
      <c r="G1836" s="1"/>
      <c r="H1836" s="1"/>
      <c r="I1836" s="1"/>
      <c r="J1836" s="1"/>
      <c r="K1836" s="1"/>
      <c r="L1836" s="1"/>
      <c r="M1836" s="1"/>
      <c r="N1836" s="1"/>
    </row>
    <row r="1837" ht="14.5" spans="2:14">
      <c r="B1837" s="1"/>
      <c r="C1837" s="1"/>
      <c r="D1837" s="1"/>
      <c r="E1837" s="1"/>
      <c r="F1837" s="1"/>
      <c r="G1837" s="1"/>
      <c r="H1837" s="1"/>
      <c r="I1837" s="1"/>
      <c r="J1837" s="1"/>
      <c r="K1837" s="1"/>
      <c r="L1837" s="1"/>
      <c r="M1837" s="1"/>
      <c r="N1837" s="1"/>
    </row>
    <row r="1838" ht="14.5" spans="2:14">
      <c r="B1838" s="1"/>
      <c r="C1838" s="1"/>
      <c r="D1838" s="1"/>
      <c r="E1838" s="1"/>
      <c r="F1838" s="1"/>
      <c r="G1838" s="1"/>
      <c r="H1838" s="1"/>
      <c r="I1838" s="1"/>
      <c r="J1838" s="1"/>
      <c r="K1838" s="1"/>
      <c r="L1838" s="1"/>
      <c r="M1838" s="1"/>
      <c r="N1838" s="1"/>
    </row>
    <row r="1839" ht="14.5" spans="2:14">
      <c r="B1839" s="1"/>
      <c r="C1839" s="1"/>
      <c r="D1839" s="1"/>
      <c r="E1839" s="1"/>
      <c r="F1839" s="1"/>
      <c r="G1839" s="1"/>
      <c r="H1839" s="1"/>
      <c r="I1839" s="1"/>
      <c r="J1839" s="1"/>
      <c r="K1839" s="1"/>
      <c r="L1839" s="1"/>
      <c r="M1839" s="1"/>
      <c r="N1839" s="1"/>
    </row>
    <row r="1840" ht="14.5" spans="2:14">
      <c r="B1840" s="1"/>
      <c r="C1840" s="1"/>
      <c r="D1840" s="1"/>
      <c r="E1840" s="1"/>
      <c r="F1840" s="1"/>
      <c r="G1840" s="1"/>
      <c r="H1840" s="1"/>
      <c r="I1840" s="1"/>
      <c r="J1840" s="1"/>
      <c r="K1840" s="1"/>
      <c r="L1840" s="1"/>
      <c r="M1840" s="1"/>
      <c r="N1840" s="1"/>
    </row>
    <row r="1841" ht="14.5" spans="2:14">
      <c r="B1841" s="1"/>
      <c r="C1841" s="1"/>
      <c r="D1841" s="1"/>
      <c r="E1841" s="1"/>
      <c r="F1841" s="1"/>
      <c r="G1841" s="1"/>
      <c r="H1841" s="1"/>
      <c r="I1841" s="1"/>
      <c r="J1841" s="1"/>
      <c r="K1841" s="1"/>
      <c r="L1841" s="1"/>
      <c r="M1841" s="1"/>
      <c r="N1841" s="1"/>
    </row>
    <row r="1842" ht="14.5" spans="2:14">
      <c r="B1842" s="1"/>
      <c r="C1842" s="1"/>
      <c r="D1842" s="1"/>
      <c r="E1842" s="1"/>
      <c r="F1842" s="1"/>
      <c r="G1842" s="1"/>
      <c r="H1842" s="1"/>
      <c r="I1842" s="1"/>
      <c r="J1842" s="1"/>
      <c r="K1842" s="1"/>
      <c r="L1842" s="1"/>
      <c r="M1842" s="1"/>
      <c r="N1842" s="1"/>
    </row>
    <row r="1843" ht="14.5" spans="2:14">
      <c r="B1843" s="1"/>
      <c r="C1843" s="1"/>
      <c r="D1843" s="1"/>
      <c r="E1843" s="1"/>
      <c r="F1843" s="1"/>
      <c r="G1843" s="1"/>
      <c r="H1843" s="1"/>
      <c r="I1843" s="1"/>
      <c r="J1843" s="1"/>
      <c r="K1843" s="1"/>
      <c r="L1843" s="1"/>
      <c r="M1843" s="1"/>
      <c r="N1843" s="1"/>
    </row>
    <row r="1844" ht="14.5" spans="2:14">
      <c r="B1844" s="1"/>
      <c r="C1844" s="1"/>
      <c r="D1844" s="1"/>
      <c r="E1844" s="1"/>
      <c r="F1844" s="1"/>
      <c r="G1844" s="1"/>
      <c r="H1844" s="1"/>
      <c r="I1844" s="1"/>
      <c r="J1844" s="1"/>
      <c r="K1844" s="1"/>
      <c r="L1844" s="1"/>
      <c r="M1844" s="1"/>
      <c r="N1844" s="1"/>
    </row>
    <row r="1845" ht="14.5" spans="2:14">
      <c r="B1845" s="1"/>
      <c r="C1845" s="1"/>
      <c r="D1845" s="1"/>
      <c r="E1845" s="1"/>
      <c r="F1845" s="1"/>
      <c r="G1845" s="1"/>
      <c r="H1845" s="1"/>
      <c r="I1845" s="1"/>
      <c r="J1845" s="1"/>
      <c r="K1845" s="1"/>
      <c r="L1845" s="1"/>
      <c r="M1845" s="1"/>
      <c r="N1845" s="1"/>
    </row>
    <row r="1846" ht="14.5" spans="2:14">
      <c r="B1846" s="1"/>
      <c r="C1846" s="1"/>
      <c r="D1846" s="1"/>
      <c r="E1846" s="1"/>
      <c r="F1846" s="1"/>
      <c r="G1846" s="1"/>
      <c r="H1846" s="1"/>
      <c r="I1846" s="1"/>
      <c r="J1846" s="1"/>
      <c r="K1846" s="1"/>
      <c r="L1846" s="1"/>
      <c r="M1846" s="1"/>
      <c r="N1846" s="1"/>
    </row>
    <row r="1847" ht="14.5" spans="2:14">
      <c r="B1847" s="1"/>
      <c r="C1847" s="1"/>
      <c r="D1847" s="1"/>
      <c r="E1847" s="1"/>
      <c r="F1847" s="1"/>
      <c r="G1847" s="1"/>
      <c r="H1847" s="1"/>
      <c r="I1847" s="1"/>
      <c r="J1847" s="1"/>
      <c r="K1847" s="1"/>
      <c r="L1847" s="1"/>
      <c r="M1847" s="1"/>
      <c r="N1847" s="1"/>
    </row>
    <row r="1848" ht="14.5" spans="2:14">
      <c r="B1848" s="1"/>
      <c r="C1848" s="1"/>
      <c r="D1848" s="1"/>
      <c r="E1848" s="1"/>
      <c r="F1848" s="1"/>
      <c r="G1848" s="1"/>
      <c r="H1848" s="1"/>
      <c r="I1848" s="1"/>
      <c r="J1848" s="1"/>
      <c r="K1848" s="1"/>
      <c r="L1848" s="1"/>
      <c r="M1848" s="1"/>
      <c r="N1848" s="1"/>
    </row>
    <row r="1849" ht="14.5" spans="2:14">
      <c r="B1849" s="1"/>
      <c r="C1849" s="1"/>
      <c r="D1849" s="1"/>
      <c r="E1849" s="1"/>
      <c r="F1849" s="1"/>
      <c r="G1849" s="1"/>
      <c r="H1849" s="1"/>
      <c r="I1849" s="1"/>
      <c r="J1849" s="1"/>
      <c r="K1849" s="1"/>
      <c r="L1849" s="1"/>
      <c r="M1849" s="1"/>
      <c r="N1849" s="1"/>
    </row>
    <row r="1850" ht="14.5" spans="2:14">
      <c r="B1850" s="1"/>
      <c r="C1850" s="1"/>
      <c r="D1850" s="1"/>
      <c r="E1850" s="1"/>
      <c r="F1850" s="1"/>
      <c r="G1850" s="1"/>
      <c r="H1850" s="1"/>
      <c r="I1850" s="1"/>
      <c r="J1850" s="1"/>
      <c r="K1850" s="1"/>
      <c r="L1850" s="1"/>
      <c r="M1850" s="1"/>
      <c r="N1850" s="1"/>
    </row>
    <row r="1851" ht="14.5" spans="2:14">
      <c r="B1851" s="1"/>
      <c r="C1851" s="1"/>
      <c r="D1851" s="1"/>
      <c r="E1851" s="1"/>
      <c r="F1851" s="1"/>
      <c r="G1851" s="1"/>
      <c r="H1851" s="1"/>
      <c r="I1851" s="1"/>
      <c r="J1851" s="1"/>
      <c r="K1851" s="1"/>
      <c r="L1851" s="1"/>
      <c r="M1851" s="1"/>
      <c r="N1851" s="1"/>
    </row>
    <row r="1852" ht="14.5" spans="2:14">
      <c r="B1852" s="1"/>
      <c r="C1852" s="1"/>
      <c r="D1852" s="1"/>
      <c r="E1852" s="1"/>
      <c r="F1852" s="1"/>
      <c r="G1852" s="1"/>
      <c r="H1852" s="1"/>
      <c r="I1852" s="1"/>
      <c r="J1852" s="1"/>
      <c r="K1852" s="1"/>
      <c r="L1852" s="1"/>
      <c r="M1852" s="1"/>
      <c r="N1852" s="1"/>
    </row>
    <row r="1853" ht="14.5" spans="2:14">
      <c r="B1853" s="1"/>
      <c r="C1853" s="1"/>
      <c r="D1853" s="1"/>
      <c r="E1853" s="1"/>
      <c r="F1853" s="1"/>
      <c r="G1853" s="1"/>
      <c r="H1853" s="1"/>
      <c r="I1853" s="1"/>
      <c r="J1853" s="1"/>
      <c r="K1853" s="1"/>
      <c r="L1853" s="1"/>
      <c r="M1853" s="1"/>
      <c r="N1853" s="1"/>
    </row>
    <row r="1854" ht="14.5" spans="2:14">
      <c r="B1854" s="1"/>
      <c r="C1854" s="1"/>
      <c r="D1854" s="1"/>
      <c r="E1854" s="1"/>
      <c r="F1854" s="1"/>
      <c r="G1854" s="1"/>
      <c r="H1854" s="1"/>
      <c r="I1854" s="1"/>
      <c r="J1854" s="1"/>
      <c r="K1854" s="1"/>
      <c r="L1854" s="1"/>
      <c r="M1854" s="1"/>
      <c r="N1854" s="1"/>
    </row>
    <row r="1855" ht="14.5" spans="2:14">
      <c r="B1855" s="1"/>
      <c r="C1855" s="1"/>
      <c r="D1855" s="1"/>
      <c r="E1855" s="1"/>
      <c r="F1855" s="1"/>
      <c r="G1855" s="1"/>
      <c r="H1855" s="1"/>
      <c r="I1855" s="1"/>
      <c r="J1855" s="1"/>
      <c r="K1855" s="1"/>
      <c r="L1855" s="1"/>
      <c r="M1855" s="1"/>
      <c r="N1855" s="1"/>
    </row>
    <row r="1856" ht="14.5" spans="2:14">
      <c r="B1856" s="1"/>
      <c r="C1856" s="1"/>
      <c r="D1856" s="1"/>
      <c r="E1856" s="1"/>
      <c r="F1856" s="1"/>
      <c r="G1856" s="1"/>
      <c r="H1856" s="1"/>
      <c r="I1856" s="1"/>
      <c r="J1856" s="1"/>
      <c r="K1856" s="1"/>
      <c r="L1856" s="1"/>
      <c r="M1856" s="1"/>
      <c r="N1856" s="1"/>
    </row>
    <row r="1857" ht="14.5" spans="2:14">
      <c r="B1857" s="1"/>
      <c r="C1857" s="1"/>
      <c r="D1857" s="1"/>
      <c r="E1857" s="1"/>
      <c r="F1857" s="1"/>
      <c r="G1857" s="1"/>
      <c r="H1857" s="1"/>
      <c r="I1857" s="1"/>
      <c r="J1857" s="1"/>
      <c r="K1857" s="1"/>
      <c r="L1857" s="1"/>
      <c r="M1857" s="1"/>
      <c r="N1857" s="1"/>
    </row>
    <row r="1858" ht="14.5" spans="2:14">
      <c r="B1858" s="1"/>
      <c r="C1858" s="1"/>
      <c r="D1858" s="1"/>
      <c r="E1858" s="1"/>
      <c r="F1858" s="1"/>
      <c r="G1858" s="1"/>
      <c r="H1858" s="1"/>
      <c r="I1858" s="1"/>
      <c r="J1858" s="1"/>
      <c r="K1858" s="1"/>
      <c r="L1858" s="1"/>
      <c r="M1858" s="1"/>
      <c r="N1858" s="1"/>
    </row>
    <row r="1859" ht="14.5" spans="2:14">
      <c r="B1859" s="1"/>
      <c r="C1859" s="1"/>
      <c r="D1859" s="1"/>
      <c r="E1859" s="1"/>
      <c r="F1859" s="1"/>
      <c r="G1859" s="1"/>
      <c r="H1859" s="1"/>
      <c r="I1859" s="1"/>
      <c r="J1859" s="1"/>
      <c r="K1859" s="1"/>
      <c r="L1859" s="1"/>
      <c r="M1859" s="1"/>
      <c r="N1859" s="1"/>
    </row>
    <row r="1860" ht="14.5" spans="2:14">
      <c r="B1860" s="1"/>
      <c r="C1860" s="1"/>
      <c r="D1860" s="1"/>
      <c r="E1860" s="1"/>
      <c r="F1860" s="1"/>
      <c r="G1860" s="1"/>
      <c r="H1860" s="1"/>
      <c r="I1860" s="1"/>
      <c r="J1860" s="1"/>
      <c r="K1860" s="1"/>
      <c r="L1860" s="1"/>
      <c r="M1860" s="1"/>
      <c r="N1860" s="1"/>
    </row>
    <row r="1861" ht="14.5" spans="2:14">
      <c r="B1861" s="1"/>
      <c r="C1861" s="1"/>
      <c r="D1861" s="1"/>
      <c r="E1861" s="1"/>
      <c r="F1861" s="1"/>
      <c r="G1861" s="1"/>
      <c r="H1861" s="1"/>
      <c r="I1861" s="1"/>
      <c r="J1861" s="1"/>
      <c r="K1861" s="1"/>
      <c r="L1861" s="1"/>
      <c r="M1861" s="1"/>
      <c r="N1861" s="1"/>
    </row>
    <row r="1862" ht="14.5" spans="2:14">
      <c r="B1862" s="1"/>
      <c r="C1862" s="1"/>
      <c r="D1862" s="1"/>
      <c r="E1862" s="1"/>
      <c r="F1862" s="1"/>
      <c r="G1862" s="1"/>
      <c r="H1862" s="1"/>
      <c r="I1862" s="1"/>
      <c r="J1862" s="1"/>
      <c r="K1862" s="1"/>
      <c r="L1862" s="1"/>
      <c r="M1862" s="1"/>
      <c r="N1862" s="1"/>
    </row>
    <row r="1863" ht="14.5" spans="2:14">
      <c r="B1863" s="1"/>
      <c r="C1863" s="1"/>
      <c r="D1863" s="1"/>
      <c r="E1863" s="1"/>
      <c r="F1863" s="1"/>
      <c r="G1863" s="1"/>
      <c r="H1863" s="1"/>
      <c r="I1863" s="1"/>
      <c r="J1863" s="1"/>
      <c r="K1863" s="1"/>
      <c r="L1863" s="1"/>
      <c r="M1863" s="1"/>
      <c r="N1863" s="1"/>
    </row>
    <row r="1864" ht="14.5" spans="2:14">
      <c r="B1864" s="1"/>
      <c r="C1864" s="1"/>
      <c r="D1864" s="1"/>
      <c r="E1864" s="1"/>
      <c r="F1864" s="1"/>
      <c r="G1864" s="1"/>
      <c r="H1864" s="1"/>
      <c r="I1864" s="1"/>
      <c r="J1864" s="1"/>
      <c r="K1864" s="1"/>
      <c r="L1864" s="1"/>
      <c r="M1864" s="1"/>
      <c r="N1864" s="1"/>
    </row>
    <row r="1865" ht="14.5" spans="2:14">
      <c r="B1865" s="1"/>
      <c r="C1865" s="1"/>
      <c r="D1865" s="1"/>
      <c r="E1865" s="1"/>
      <c r="F1865" s="1"/>
      <c r="G1865" s="1"/>
      <c r="H1865" s="1"/>
      <c r="I1865" s="1"/>
      <c r="J1865" s="1"/>
      <c r="K1865" s="1"/>
      <c r="L1865" s="1"/>
      <c r="M1865" s="1"/>
      <c r="N1865" s="1"/>
    </row>
    <row r="1866" ht="14.5" spans="2:14">
      <c r="B1866" s="1"/>
      <c r="C1866" s="1"/>
      <c r="D1866" s="1"/>
      <c r="E1866" s="1"/>
      <c r="F1866" s="1"/>
      <c r="G1866" s="1"/>
      <c r="H1866" s="1"/>
      <c r="I1866" s="1"/>
      <c r="J1866" s="1"/>
      <c r="K1866" s="1"/>
      <c r="L1866" s="1"/>
      <c r="M1866" s="1"/>
      <c r="N1866" s="1"/>
    </row>
    <row r="1867" ht="14.5" spans="2:14">
      <c r="B1867" s="1"/>
      <c r="C1867" s="1"/>
      <c r="D1867" s="1"/>
      <c r="E1867" s="1"/>
      <c r="F1867" s="1"/>
      <c r="G1867" s="1"/>
      <c r="H1867" s="1"/>
      <c r="I1867" s="1"/>
      <c r="J1867" s="1"/>
      <c r="K1867" s="1"/>
      <c r="L1867" s="1"/>
      <c r="M1867" s="1"/>
      <c r="N1867" s="1"/>
    </row>
    <row r="1868" ht="14.5" spans="2:14">
      <c r="B1868" s="1"/>
      <c r="C1868" s="1"/>
      <c r="D1868" s="1"/>
      <c r="E1868" s="1"/>
      <c r="F1868" s="1"/>
      <c r="G1868" s="1"/>
      <c r="H1868" s="1"/>
      <c r="I1868" s="1"/>
      <c r="J1868" s="1"/>
      <c r="K1868" s="1"/>
      <c r="L1868" s="1"/>
      <c r="M1868" s="1"/>
      <c r="N1868" s="1"/>
    </row>
    <row r="1869" ht="14.5" spans="2:14">
      <c r="B1869" s="1"/>
      <c r="C1869" s="1"/>
      <c r="D1869" s="1"/>
      <c r="E1869" s="1"/>
      <c r="F1869" s="1"/>
      <c r="G1869" s="1"/>
      <c r="H1869" s="1"/>
      <c r="I1869" s="1"/>
      <c r="J1869" s="1"/>
      <c r="K1869" s="1"/>
      <c r="L1869" s="1"/>
      <c r="M1869" s="1"/>
      <c r="N1869" s="1"/>
    </row>
    <row r="1870" ht="14.5" spans="2:14">
      <c r="B1870" s="1"/>
      <c r="C1870" s="1"/>
      <c r="D1870" s="1"/>
      <c r="E1870" s="1"/>
      <c r="F1870" s="1"/>
      <c r="G1870" s="1"/>
      <c r="H1870" s="1"/>
      <c r="I1870" s="1"/>
      <c r="J1870" s="1"/>
      <c r="K1870" s="1"/>
      <c r="L1870" s="1"/>
      <c r="M1870" s="1"/>
      <c r="N1870" s="1"/>
    </row>
    <row r="1871" ht="14.5" spans="2:14">
      <c r="B1871" s="1"/>
      <c r="C1871" s="1"/>
      <c r="D1871" s="1"/>
      <c r="E1871" s="1"/>
      <c r="F1871" s="1"/>
      <c r="G1871" s="1"/>
      <c r="H1871" s="1"/>
      <c r="I1871" s="1"/>
      <c r="J1871" s="1"/>
      <c r="K1871" s="1"/>
      <c r="L1871" s="1"/>
      <c r="M1871" s="1"/>
      <c r="N1871" s="1"/>
    </row>
    <row r="1872" ht="14.5" spans="2:14">
      <c r="B1872" s="1"/>
      <c r="C1872" s="1"/>
      <c r="D1872" s="1"/>
      <c r="E1872" s="1"/>
      <c r="F1872" s="1"/>
      <c r="G1872" s="1"/>
      <c r="H1872" s="1"/>
      <c r="I1872" s="1"/>
      <c r="J1872" s="1"/>
      <c r="K1872" s="1"/>
      <c r="L1872" s="1"/>
      <c r="M1872" s="1"/>
      <c r="N1872" s="1"/>
    </row>
    <row r="1873" ht="14.5" spans="2:14">
      <c r="B1873" s="1"/>
      <c r="C1873" s="1"/>
      <c r="D1873" s="1"/>
      <c r="E1873" s="1"/>
      <c r="F1873" s="1"/>
      <c r="G1873" s="1"/>
      <c r="H1873" s="1"/>
      <c r="I1873" s="1"/>
      <c r="J1873" s="1"/>
      <c r="K1873" s="1"/>
      <c r="L1873" s="1"/>
      <c r="M1873" s="1"/>
      <c r="N1873" s="1"/>
    </row>
    <row r="1874" ht="14.5" spans="2:14">
      <c r="B1874" s="1"/>
      <c r="C1874" s="1"/>
      <c r="D1874" s="1"/>
      <c r="E1874" s="1"/>
      <c r="F1874" s="1"/>
      <c r="G1874" s="1"/>
      <c r="H1874" s="1"/>
      <c r="I1874" s="1"/>
      <c r="J1874" s="1"/>
      <c r="K1874" s="1"/>
      <c r="L1874" s="1"/>
      <c r="M1874" s="1"/>
      <c r="N1874" s="1"/>
    </row>
    <row r="1875" ht="14.5" spans="2:14">
      <c r="B1875" s="1"/>
      <c r="C1875" s="1"/>
      <c r="D1875" s="1"/>
      <c r="E1875" s="1"/>
      <c r="F1875" s="1"/>
      <c r="G1875" s="1"/>
      <c r="H1875" s="1"/>
      <c r="I1875" s="1"/>
      <c r="J1875" s="1"/>
      <c r="K1875" s="1"/>
      <c r="L1875" s="1"/>
      <c r="M1875" s="1"/>
      <c r="N1875" s="1"/>
    </row>
    <row r="1876" ht="14.5" spans="2:14">
      <c r="B1876" s="1"/>
      <c r="C1876" s="1"/>
      <c r="D1876" s="1"/>
      <c r="E1876" s="1"/>
      <c r="F1876" s="1"/>
      <c r="G1876" s="1"/>
      <c r="H1876" s="1"/>
      <c r="I1876" s="1"/>
      <c r="J1876" s="1"/>
      <c r="K1876" s="1"/>
      <c r="L1876" s="1"/>
      <c r="M1876" s="1"/>
      <c r="N1876" s="1"/>
    </row>
    <row r="1877" ht="14.5" spans="2:14">
      <c r="B1877" s="1"/>
      <c r="C1877" s="1"/>
      <c r="D1877" s="1"/>
      <c r="E1877" s="1"/>
      <c r="F1877" s="1"/>
      <c r="G1877" s="1"/>
      <c r="H1877" s="1"/>
      <c r="I1877" s="1"/>
      <c r="J1877" s="1"/>
      <c r="K1877" s="1"/>
      <c r="L1877" s="1"/>
      <c r="M1877" s="1"/>
      <c r="N1877" s="1"/>
    </row>
    <row r="1878" ht="14.5" spans="2:14">
      <c r="B1878" s="1"/>
      <c r="C1878" s="1"/>
      <c r="D1878" s="1"/>
      <c r="E1878" s="1"/>
      <c r="F1878" s="1"/>
      <c r="G1878" s="1"/>
      <c r="H1878" s="1"/>
      <c r="I1878" s="1"/>
      <c r="J1878" s="1"/>
      <c r="K1878" s="1"/>
      <c r="L1878" s="1"/>
      <c r="M1878" s="1"/>
      <c r="N1878" s="1"/>
    </row>
    <row r="1879" ht="14.5" spans="2:14">
      <c r="B1879" s="1"/>
      <c r="C1879" s="1"/>
      <c r="D1879" s="1"/>
      <c r="E1879" s="1"/>
      <c r="F1879" s="1"/>
      <c r="G1879" s="1"/>
      <c r="H1879" s="1"/>
      <c r="I1879" s="1"/>
      <c r="J1879" s="1"/>
      <c r="K1879" s="1"/>
      <c r="L1879" s="1"/>
      <c r="M1879" s="1"/>
      <c r="N1879" s="1"/>
    </row>
    <row r="1880" ht="14.5" spans="2:14">
      <c r="B1880" s="1"/>
      <c r="C1880" s="1"/>
      <c r="D1880" s="1"/>
      <c r="E1880" s="1"/>
      <c r="F1880" s="1"/>
      <c r="G1880" s="1"/>
      <c r="H1880" s="1"/>
      <c r="I1880" s="1"/>
      <c r="J1880" s="1"/>
      <c r="K1880" s="1"/>
      <c r="L1880" s="1"/>
      <c r="M1880" s="1"/>
      <c r="N1880" s="1"/>
    </row>
    <row r="1881" ht="14.5" spans="2:14">
      <c r="B1881" s="1"/>
      <c r="C1881" s="1"/>
      <c r="D1881" s="1"/>
      <c r="E1881" s="1"/>
      <c r="F1881" s="1"/>
      <c r="G1881" s="1"/>
      <c r="H1881" s="1"/>
      <c r="I1881" s="1"/>
      <c r="J1881" s="1"/>
      <c r="K1881" s="1"/>
      <c r="L1881" s="1"/>
      <c r="M1881" s="1"/>
      <c r="N1881" s="1"/>
    </row>
    <row r="1882" ht="14.5" spans="2:14">
      <c r="B1882" s="1"/>
      <c r="C1882" s="1"/>
      <c r="D1882" s="1"/>
      <c r="E1882" s="1"/>
      <c r="F1882" s="1"/>
      <c r="G1882" s="1"/>
      <c r="H1882" s="1"/>
      <c r="I1882" s="1"/>
      <c r="J1882" s="1"/>
      <c r="K1882" s="1"/>
      <c r="L1882" s="1"/>
      <c r="M1882" s="1"/>
      <c r="N1882" s="1"/>
    </row>
    <row r="1883" ht="14.5" spans="2:14">
      <c r="B1883" s="1"/>
      <c r="C1883" s="1"/>
      <c r="D1883" s="1"/>
      <c r="E1883" s="1"/>
      <c r="F1883" s="1"/>
      <c r="G1883" s="1"/>
      <c r="H1883" s="1"/>
      <c r="I1883" s="1"/>
      <c r="J1883" s="1"/>
      <c r="K1883" s="1"/>
      <c r="L1883" s="1"/>
      <c r="M1883" s="1"/>
      <c r="N1883" s="1"/>
    </row>
    <row r="1884" ht="14.5" spans="2:14">
      <c r="B1884" s="1"/>
      <c r="C1884" s="1"/>
      <c r="D1884" s="1"/>
      <c r="E1884" s="1"/>
      <c r="F1884" s="1"/>
      <c r="G1884" s="1"/>
      <c r="H1884" s="1"/>
      <c r="I1884" s="1"/>
      <c r="J1884" s="1"/>
      <c r="K1884" s="1"/>
      <c r="L1884" s="1"/>
      <c r="M1884" s="1"/>
      <c r="N1884" s="1"/>
    </row>
    <row r="1885" ht="14.5" spans="2:14">
      <c r="B1885" s="1"/>
      <c r="C1885" s="1"/>
      <c r="D1885" s="1"/>
      <c r="E1885" s="1"/>
      <c r="F1885" s="1"/>
      <c r="G1885" s="1"/>
      <c r="H1885" s="1"/>
      <c r="I1885" s="1"/>
      <c r="J1885" s="1"/>
      <c r="K1885" s="1"/>
      <c r="L1885" s="1"/>
      <c r="M1885" s="1"/>
      <c r="N1885" s="1"/>
    </row>
    <row r="1886" ht="14.5" spans="2:14">
      <c r="B1886" s="1"/>
      <c r="C1886" s="1"/>
      <c r="D1886" s="1"/>
      <c r="E1886" s="1"/>
      <c r="F1886" s="1"/>
      <c r="G1886" s="1"/>
      <c r="H1886" s="1"/>
      <c r="I1886" s="1"/>
      <c r="J1886" s="1"/>
      <c r="K1886" s="1"/>
      <c r="L1886" s="1"/>
      <c r="M1886" s="1"/>
      <c r="N1886" s="1"/>
    </row>
    <row r="1887" ht="14.5" spans="2:14">
      <c r="B1887" s="1"/>
      <c r="C1887" s="1"/>
      <c r="D1887" s="1"/>
      <c r="E1887" s="1"/>
      <c r="F1887" s="1"/>
      <c r="G1887" s="1"/>
      <c r="H1887" s="1"/>
      <c r="I1887" s="1"/>
      <c r="J1887" s="1"/>
      <c r="K1887" s="1"/>
      <c r="L1887" s="1"/>
      <c r="M1887" s="1"/>
      <c r="N1887" s="1"/>
    </row>
    <row r="1888" ht="14.5" spans="2:14">
      <c r="B1888" s="1"/>
      <c r="C1888" s="1"/>
      <c r="D1888" s="1"/>
      <c r="E1888" s="1"/>
      <c r="F1888" s="1"/>
      <c r="G1888" s="1"/>
      <c r="H1888" s="1"/>
      <c r="I1888" s="1"/>
      <c r="J1888" s="1"/>
      <c r="K1888" s="1"/>
      <c r="L1888" s="1"/>
      <c r="M1888" s="1"/>
      <c r="N1888" s="1"/>
    </row>
    <row r="1889" ht="14.5" spans="2:14">
      <c r="B1889" s="1"/>
      <c r="C1889" s="1"/>
      <c r="D1889" s="1"/>
      <c r="E1889" s="1"/>
      <c r="F1889" s="1"/>
      <c r="G1889" s="1"/>
      <c r="H1889" s="1"/>
      <c r="I1889" s="1"/>
      <c r="J1889" s="1"/>
      <c r="K1889" s="1"/>
      <c r="L1889" s="1"/>
      <c r="M1889" s="1"/>
      <c r="N1889" s="1"/>
    </row>
    <row r="1890" ht="14.5" spans="2:14">
      <c r="B1890" s="1"/>
      <c r="C1890" s="1"/>
      <c r="D1890" s="1"/>
      <c r="E1890" s="1"/>
      <c r="F1890" s="1"/>
      <c r="G1890" s="1"/>
      <c r="H1890" s="1"/>
      <c r="I1890" s="1"/>
      <c r="J1890" s="1"/>
      <c r="K1890" s="1"/>
      <c r="L1890" s="1"/>
      <c r="M1890" s="1"/>
      <c r="N1890" s="1"/>
    </row>
    <row r="1891" ht="14.5" spans="2:14">
      <c r="B1891" s="1"/>
      <c r="C1891" s="1"/>
      <c r="D1891" s="1"/>
      <c r="E1891" s="1"/>
      <c r="F1891" s="1"/>
      <c r="G1891" s="1"/>
      <c r="H1891" s="1"/>
      <c r="I1891" s="1"/>
      <c r="J1891" s="1"/>
      <c r="K1891" s="1"/>
      <c r="L1891" s="1"/>
      <c r="M1891" s="1"/>
      <c r="N1891" s="1"/>
    </row>
    <row r="1892" ht="14.5" spans="2:14">
      <c r="B1892" s="1"/>
      <c r="C1892" s="1"/>
      <c r="D1892" s="1"/>
      <c r="E1892" s="1"/>
      <c r="F1892" s="1"/>
      <c r="G1892" s="1"/>
      <c r="H1892" s="1"/>
      <c r="I1892" s="1"/>
      <c r="J1892" s="1"/>
      <c r="K1892" s="1"/>
      <c r="L1892" s="1"/>
      <c r="M1892" s="1"/>
      <c r="N1892" s="1"/>
    </row>
    <row r="1893" ht="14.5" spans="2:14">
      <c r="B1893" s="1"/>
      <c r="C1893" s="1"/>
      <c r="D1893" s="1"/>
      <c r="E1893" s="1"/>
      <c r="F1893" s="1"/>
      <c r="G1893" s="1"/>
      <c r="H1893" s="1"/>
      <c r="I1893" s="1"/>
      <c r="J1893" s="1"/>
      <c r="K1893" s="1"/>
      <c r="L1893" s="1"/>
      <c r="M1893" s="1"/>
      <c r="N1893" s="1"/>
    </row>
    <row r="1894" ht="14.5" spans="2:14">
      <c r="B1894" s="1"/>
      <c r="C1894" s="1"/>
      <c r="D1894" s="1"/>
      <c r="E1894" s="1"/>
      <c r="F1894" s="1"/>
      <c r="G1894" s="1"/>
      <c r="H1894" s="1"/>
      <c r="I1894" s="1"/>
      <c r="J1894" s="1"/>
      <c r="K1894" s="1"/>
      <c r="L1894" s="1"/>
      <c r="M1894" s="1"/>
      <c r="N1894" s="1"/>
    </row>
    <row r="1895" ht="14.5" spans="2:14">
      <c r="B1895" s="1"/>
      <c r="C1895" s="1"/>
      <c r="D1895" s="1"/>
      <c r="E1895" s="1"/>
      <c r="F1895" s="1"/>
      <c r="G1895" s="1"/>
      <c r="H1895" s="1"/>
      <c r="I1895" s="1"/>
      <c r="J1895" s="1"/>
      <c r="K1895" s="1"/>
      <c r="L1895" s="1"/>
      <c r="M1895" s="1"/>
      <c r="N1895" s="1"/>
    </row>
    <row r="1896" ht="14.5" spans="2:14">
      <c r="B1896" s="1"/>
      <c r="C1896" s="1"/>
      <c r="D1896" s="1"/>
      <c r="E1896" s="1"/>
      <c r="F1896" s="1"/>
      <c r="G1896" s="1"/>
      <c r="H1896" s="1"/>
      <c r="I1896" s="1"/>
      <c r="J1896" s="1"/>
      <c r="K1896" s="1"/>
      <c r="L1896" s="1"/>
      <c r="M1896" s="1"/>
      <c r="N1896" s="1"/>
    </row>
    <row r="1897" ht="14.5" spans="2:14">
      <c r="B1897" s="1"/>
      <c r="C1897" s="1"/>
      <c r="D1897" s="1"/>
      <c r="E1897" s="1"/>
      <c r="F1897" s="1"/>
      <c r="G1897" s="1"/>
      <c r="H1897" s="1"/>
      <c r="I1897" s="1"/>
      <c r="J1897" s="1"/>
      <c r="K1897" s="1"/>
      <c r="L1897" s="1"/>
      <c r="M1897" s="1"/>
      <c r="N1897" s="1"/>
    </row>
    <row r="1898" ht="14.5" spans="2:14">
      <c r="B1898" s="1"/>
      <c r="C1898" s="1"/>
      <c r="D1898" s="1"/>
      <c r="E1898" s="1"/>
      <c r="F1898" s="1"/>
      <c r="G1898" s="1"/>
      <c r="H1898" s="1"/>
      <c r="I1898" s="1"/>
      <c r="J1898" s="1"/>
      <c r="K1898" s="1"/>
      <c r="L1898" s="1"/>
      <c r="M1898" s="1"/>
      <c r="N1898" s="1"/>
    </row>
    <row r="1899" ht="14.5" spans="2:14">
      <c r="B1899" s="1"/>
      <c r="C1899" s="1"/>
      <c r="D1899" s="1"/>
      <c r="E1899" s="1"/>
      <c r="F1899" s="1"/>
      <c r="G1899" s="1"/>
      <c r="H1899" s="1"/>
      <c r="I1899" s="1"/>
      <c r="J1899" s="1"/>
      <c r="K1899" s="1"/>
      <c r="L1899" s="1"/>
      <c r="M1899" s="1"/>
      <c r="N1899" s="1"/>
    </row>
    <row r="1900" ht="14.5" spans="2:14">
      <c r="B1900" s="1"/>
      <c r="C1900" s="1"/>
      <c r="D1900" s="1"/>
      <c r="E1900" s="1"/>
      <c r="F1900" s="1"/>
      <c r="G1900" s="1"/>
      <c r="H1900" s="1"/>
      <c r="I1900" s="1"/>
      <c r="J1900" s="1"/>
      <c r="K1900" s="1"/>
      <c r="L1900" s="1"/>
      <c r="M1900" s="1"/>
      <c r="N1900" s="1"/>
    </row>
    <row r="1901" ht="14.5" spans="2:14">
      <c r="B1901" s="1"/>
      <c r="C1901" s="1"/>
      <c r="D1901" s="1"/>
      <c r="E1901" s="1"/>
      <c r="F1901" s="1"/>
      <c r="G1901" s="1"/>
      <c r="H1901" s="1"/>
      <c r="I1901" s="1"/>
      <c r="J1901" s="1"/>
      <c r="K1901" s="1"/>
      <c r="L1901" s="1"/>
      <c r="M1901" s="1"/>
      <c r="N1901" s="1"/>
    </row>
    <row r="1902" ht="14.5" spans="2:14">
      <c r="B1902" s="1"/>
      <c r="C1902" s="1"/>
      <c r="D1902" s="1"/>
      <c r="E1902" s="1"/>
      <c r="F1902" s="1"/>
      <c r="G1902" s="1"/>
      <c r="H1902" s="1"/>
      <c r="I1902" s="1"/>
      <c r="J1902" s="1"/>
      <c r="K1902" s="1"/>
      <c r="L1902" s="1"/>
      <c r="M1902" s="1"/>
      <c r="N1902" s="1"/>
    </row>
    <row r="1903" ht="14.5" spans="2:14">
      <c r="B1903" s="1"/>
      <c r="C1903" s="1"/>
      <c r="D1903" s="1"/>
      <c r="E1903" s="1"/>
      <c r="F1903" s="1"/>
      <c r="G1903" s="1"/>
      <c r="H1903" s="1"/>
      <c r="I1903" s="1"/>
      <c r="J1903" s="1"/>
      <c r="K1903" s="1"/>
      <c r="L1903" s="1"/>
      <c r="M1903" s="1"/>
      <c r="N1903" s="1"/>
    </row>
    <row r="1904" ht="14.5" spans="2:14">
      <c r="B1904" s="1"/>
      <c r="C1904" s="1"/>
      <c r="D1904" s="1"/>
      <c r="E1904" s="1"/>
      <c r="F1904" s="1"/>
      <c r="G1904" s="1"/>
      <c r="H1904" s="1"/>
      <c r="I1904" s="1"/>
      <c r="J1904" s="1"/>
      <c r="K1904" s="1"/>
      <c r="L1904" s="1"/>
      <c r="M1904" s="1"/>
      <c r="N1904" s="1"/>
    </row>
    <row r="1905" ht="14.5" spans="2:14">
      <c r="B1905" s="1"/>
      <c r="C1905" s="1"/>
      <c r="D1905" s="1"/>
      <c r="E1905" s="1"/>
      <c r="F1905" s="1"/>
      <c r="G1905" s="1"/>
      <c r="H1905" s="1"/>
      <c r="I1905" s="1"/>
      <c r="J1905" s="1"/>
      <c r="K1905" s="1"/>
      <c r="L1905" s="1"/>
      <c r="M1905" s="1"/>
      <c r="N1905" s="1"/>
    </row>
    <row r="1906" ht="14.5" spans="2:14">
      <c r="B1906" s="1"/>
      <c r="C1906" s="1"/>
      <c r="D1906" s="1"/>
      <c r="E1906" s="1"/>
      <c r="F1906" s="1"/>
      <c r="G1906" s="1"/>
      <c r="H1906" s="1"/>
      <c r="I1906" s="1"/>
      <c r="J1906" s="1"/>
      <c r="K1906" s="1"/>
      <c r="L1906" s="1"/>
      <c r="M1906" s="1"/>
      <c r="N1906" s="1"/>
    </row>
    <row r="1907" ht="14.5" spans="2:14">
      <c r="B1907" s="1"/>
      <c r="C1907" s="1"/>
      <c r="D1907" s="1"/>
      <c r="E1907" s="1"/>
      <c r="F1907" s="1"/>
      <c r="G1907" s="1"/>
      <c r="H1907" s="1"/>
      <c r="I1907" s="1"/>
      <c r="J1907" s="1"/>
      <c r="K1907" s="1"/>
      <c r="L1907" s="1"/>
      <c r="M1907" s="1"/>
      <c r="N1907" s="1"/>
    </row>
    <row r="1908" ht="14.5" spans="2:14">
      <c r="B1908" s="1"/>
      <c r="C1908" s="1"/>
      <c r="D1908" s="1"/>
      <c r="E1908" s="1"/>
      <c r="F1908" s="1"/>
      <c r="G1908" s="1"/>
      <c r="H1908" s="1"/>
      <c r="I1908" s="1"/>
      <c r="J1908" s="1"/>
      <c r="K1908" s="1"/>
      <c r="L1908" s="1"/>
      <c r="M1908" s="1"/>
      <c r="N1908" s="1"/>
    </row>
    <row r="1909" ht="14.5" spans="2:14">
      <c r="B1909" s="1"/>
      <c r="C1909" s="1"/>
      <c r="D1909" s="1"/>
      <c r="E1909" s="1"/>
      <c r="F1909" s="1"/>
      <c r="G1909" s="1"/>
      <c r="H1909" s="1"/>
      <c r="I1909" s="1"/>
      <c r="J1909" s="1"/>
      <c r="K1909" s="1"/>
      <c r="L1909" s="1"/>
      <c r="M1909" s="1"/>
      <c r="N1909" s="1"/>
    </row>
    <row r="1910" ht="14.5" spans="2:14">
      <c r="B1910" s="1"/>
      <c r="C1910" s="1"/>
      <c r="D1910" s="1"/>
      <c r="E1910" s="1"/>
      <c r="F1910" s="1"/>
      <c r="G1910" s="1"/>
      <c r="H1910" s="1"/>
      <c r="I1910" s="1"/>
      <c r="J1910" s="1"/>
      <c r="K1910" s="1"/>
      <c r="L1910" s="1"/>
      <c r="M1910" s="1"/>
      <c r="N1910" s="1"/>
    </row>
    <row r="1911" ht="14.5" spans="2:14">
      <c r="B1911" s="1"/>
      <c r="C1911" s="1"/>
      <c r="D1911" s="1"/>
      <c r="E1911" s="1"/>
      <c r="F1911" s="1"/>
      <c r="G1911" s="1"/>
      <c r="H1911" s="1"/>
      <c r="I1911" s="1"/>
      <c r="J1911" s="1"/>
      <c r="K1911" s="1"/>
      <c r="L1911" s="1"/>
      <c r="M1911" s="1"/>
      <c r="N1911" s="1"/>
    </row>
    <row r="1912" ht="14.5" spans="2:14">
      <c r="B1912" s="1"/>
      <c r="C1912" s="1"/>
      <c r="D1912" s="1"/>
      <c r="E1912" s="1"/>
      <c r="F1912" s="1"/>
      <c r="G1912" s="1"/>
      <c r="H1912" s="1"/>
      <c r="I1912" s="1"/>
      <c r="J1912" s="1"/>
      <c r="K1912" s="1"/>
      <c r="L1912" s="1"/>
      <c r="M1912" s="1"/>
      <c r="N1912" s="1"/>
    </row>
    <row r="1913" ht="14.5" spans="2:14">
      <c r="B1913" s="1"/>
      <c r="C1913" s="1"/>
      <c r="D1913" s="1"/>
      <c r="E1913" s="1"/>
      <c r="F1913" s="1"/>
      <c r="G1913" s="1"/>
      <c r="H1913" s="1"/>
      <c r="I1913" s="1"/>
      <c r="J1913" s="1"/>
      <c r="K1913" s="1"/>
      <c r="L1913" s="1"/>
      <c r="M1913" s="1"/>
      <c r="N1913" s="1"/>
    </row>
    <row r="1914" ht="14.5" spans="2:14">
      <c r="B1914" s="1"/>
      <c r="C1914" s="1"/>
      <c r="D1914" s="1"/>
      <c r="E1914" s="1"/>
      <c r="F1914" s="1"/>
      <c r="G1914" s="1"/>
      <c r="H1914" s="1"/>
      <c r="I1914" s="1"/>
      <c r="J1914" s="1"/>
      <c r="K1914" s="1"/>
      <c r="L1914" s="1"/>
      <c r="M1914" s="1"/>
      <c r="N1914" s="1"/>
    </row>
    <row r="1915" ht="14.5" spans="2:14">
      <c r="B1915" s="1"/>
      <c r="C1915" s="1"/>
      <c r="D1915" s="1"/>
      <c r="E1915" s="1"/>
      <c r="F1915" s="1"/>
      <c r="G1915" s="1"/>
      <c r="H1915" s="1"/>
      <c r="I1915" s="1"/>
      <c r="J1915" s="1"/>
      <c r="K1915" s="1"/>
      <c r="L1915" s="1"/>
      <c r="M1915" s="1"/>
      <c r="N1915" s="1"/>
    </row>
    <row r="1916" ht="14.5" spans="2:14">
      <c r="B1916" s="1"/>
      <c r="C1916" s="1"/>
      <c r="D1916" s="1"/>
      <c r="E1916" s="1"/>
      <c r="F1916" s="1"/>
      <c r="G1916" s="1"/>
      <c r="H1916" s="1"/>
      <c r="I1916" s="1"/>
      <c r="J1916" s="1"/>
      <c r="K1916" s="1"/>
      <c r="L1916" s="1"/>
      <c r="M1916" s="1"/>
      <c r="N1916" s="1"/>
    </row>
    <row r="1917" ht="14.5" spans="2:14">
      <c r="B1917" s="1"/>
      <c r="C1917" s="1"/>
      <c r="D1917" s="1"/>
      <c r="E1917" s="1"/>
      <c r="F1917" s="1"/>
      <c r="G1917" s="1"/>
      <c r="H1917" s="1"/>
      <c r="I1917" s="1"/>
      <c r="J1917" s="1"/>
      <c r="K1917" s="1"/>
      <c r="L1917" s="1"/>
      <c r="M1917" s="1"/>
      <c r="N1917" s="1"/>
    </row>
    <row r="1918" ht="14.5" spans="2:14">
      <c r="B1918" s="1"/>
      <c r="C1918" s="1"/>
      <c r="D1918" s="1"/>
      <c r="E1918" s="1"/>
      <c r="F1918" s="1"/>
      <c r="G1918" s="1"/>
      <c r="H1918" s="1"/>
      <c r="I1918" s="1"/>
      <c r="J1918" s="1"/>
      <c r="K1918" s="1"/>
      <c r="L1918" s="1"/>
      <c r="M1918" s="1"/>
      <c r="N1918" s="1"/>
    </row>
    <row r="1919" ht="14.5" spans="2:14">
      <c r="B1919" s="1"/>
      <c r="C1919" s="1"/>
      <c r="D1919" s="1"/>
      <c r="E1919" s="1"/>
      <c r="F1919" s="1"/>
      <c r="G1919" s="1"/>
      <c r="H1919" s="1"/>
      <c r="I1919" s="1"/>
      <c r="J1919" s="1"/>
      <c r="K1919" s="1"/>
      <c r="L1919" s="1"/>
      <c r="M1919" s="1"/>
      <c r="N1919" s="1"/>
    </row>
    <row r="1920" ht="14.5" spans="2:14">
      <c r="B1920" s="1"/>
      <c r="C1920" s="1"/>
      <c r="D1920" s="1"/>
      <c r="E1920" s="1"/>
      <c r="F1920" s="1"/>
      <c r="G1920" s="1"/>
      <c r="H1920" s="1"/>
      <c r="I1920" s="1"/>
      <c r="J1920" s="1"/>
      <c r="K1920" s="1"/>
      <c r="L1920" s="1"/>
      <c r="M1920" s="1"/>
      <c r="N1920" s="1"/>
    </row>
    <row r="1921" ht="14.5" spans="2:14">
      <c r="B1921" s="1"/>
      <c r="C1921" s="1"/>
      <c r="D1921" s="1"/>
      <c r="E1921" s="1"/>
      <c r="F1921" s="1"/>
      <c r="G1921" s="1"/>
      <c r="H1921" s="1"/>
      <c r="I1921" s="1"/>
      <c r="J1921" s="1"/>
      <c r="K1921" s="1"/>
      <c r="L1921" s="1"/>
      <c r="M1921" s="1"/>
      <c r="N1921" s="1"/>
    </row>
    <row r="1922" ht="14.5" spans="2:14">
      <c r="B1922" s="1"/>
      <c r="C1922" s="1"/>
      <c r="D1922" s="1"/>
      <c r="E1922" s="1"/>
      <c r="F1922" s="1"/>
      <c r="G1922" s="1"/>
      <c r="H1922" s="1"/>
      <c r="I1922" s="1"/>
      <c r="J1922" s="1"/>
      <c r="K1922" s="1"/>
      <c r="L1922" s="1"/>
      <c r="M1922" s="1"/>
      <c r="N1922" s="1"/>
    </row>
    <row r="1923" ht="14.5" spans="2:14">
      <c r="B1923" s="1"/>
      <c r="C1923" s="1"/>
      <c r="D1923" s="1"/>
      <c r="E1923" s="1"/>
      <c r="F1923" s="1"/>
      <c r="G1923" s="1"/>
      <c r="H1923" s="1"/>
      <c r="I1923" s="1"/>
      <c r="J1923" s="1"/>
      <c r="K1923" s="1"/>
      <c r="L1923" s="1"/>
      <c r="M1923" s="1"/>
      <c r="N1923" s="1"/>
    </row>
    <row r="1924" ht="14.5" spans="2:14">
      <c r="B1924" s="1"/>
      <c r="C1924" s="1"/>
      <c r="D1924" s="1"/>
      <c r="E1924" s="1"/>
      <c r="F1924" s="1"/>
      <c r="G1924" s="1"/>
      <c r="H1924" s="1"/>
      <c r="I1924" s="1"/>
      <c r="J1924" s="1"/>
      <c r="K1924" s="1"/>
      <c r="L1924" s="1"/>
      <c r="M1924" s="1"/>
      <c r="N1924" s="1"/>
    </row>
    <row r="1925" ht="14.5" spans="2:14">
      <c r="B1925" s="1"/>
      <c r="C1925" s="1"/>
      <c r="D1925" s="1"/>
      <c r="E1925" s="1"/>
      <c r="F1925" s="1"/>
      <c r="G1925" s="1"/>
      <c r="H1925" s="1"/>
      <c r="I1925" s="1"/>
      <c r="J1925" s="1"/>
      <c r="K1925" s="1"/>
      <c r="L1925" s="1"/>
      <c r="M1925" s="1"/>
      <c r="N1925" s="1"/>
    </row>
    <row r="1926" ht="14.5" spans="2:14">
      <c r="B1926" s="1"/>
      <c r="C1926" s="1"/>
      <c r="D1926" s="1"/>
      <c r="E1926" s="1"/>
      <c r="F1926" s="1"/>
      <c r="G1926" s="1"/>
      <c r="H1926" s="1"/>
      <c r="I1926" s="1"/>
      <c r="J1926" s="1"/>
      <c r="K1926" s="1"/>
      <c r="L1926" s="1"/>
      <c r="M1926" s="1"/>
      <c r="N1926" s="1"/>
    </row>
    <row r="1927" ht="14.5" spans="2:14">
      <c r="B1927" s="1"/>
      <c r="C1927" s="1"/>
      <c r="D1927" s="1"/>
      <c r="E1927" s="1"/>
      <c r="F1927" s="1"/>
      <c r="G1927" s="1"/>
      <c r="H1927" s="1"/>
      <c r="I1927" s="1"/>
      <c r="J1927" s="1"/>
      <c r="K1927" s="1"/>
      <c r="L1927" s="1"/>
      <c r="M1927" s="1"/>
      <c r="N1927" s="1"/>
    </row>
    <row r="1928" ht="14.5" spans="2:14">
      <c r="B1928" s="1"/>
      <c r="C1928" s="1"/>
      <c r="D1928" s="1"/>
      <c r="E1928" s="1"/>
      <c r="F1928" s="1"/>
      <c r="G1928" s="1"/>
      <c r="H1928" s="1"/>
      <c r="I1928" s="1"/>
      <c r="J1928" s="1"/>
      <c r="K1928" s="1"/>
      <c r="L1928" s="1"/>
      <c r="M1928" s="1"/>
      <c r="N1928" s="1"/>
    </row>
    <row r="1929" ht="14.5" spans="2:14">
      <c r="B1929" s="1"/>
      <c r="C1929" s="1"/>
      <c r="D1929" s="1"/>
      <c r="E1929" s="1"/>
      <c r="F1929" s="1"/>
      <c r="G1929" s="1"/>
      <c r="H1929" s="1"/>
      <c r="I1929" s="1"/>
      <c r="J1929" s="1"/>
      <c r="K1929" s="1"/>
      <c r="L1929" s="1"/>
      <c r="M1929" s="1"/>
      <c r="N1929" s="1"/>
    </row>
    <row r="1930" ht="14.5" spans="2:14">
      <c r="B1930" s="1"/>
      <c r="C1930" s="1"/>
      <c r="D1930" s="1"/>
      <c r="E1930" s="1"/>
      <c r="F1930" s="1"/>
      <c r="G1930" s="1"/>
      <c r="H1930" s="1"/>
      <c r="I1930" s="1"/>
      <c r="J1930" s="1"/>
      <c r="K1930" s="1"/>
      <c r="L1930" s="1"/>
      <c r="M1930" s="1"/>
      <c r="N1930" s="1"/>
    </row>
    <row r="1931" ht="14.5" spans="2:14">
      <c r="B1931" s="1"/>
      <c r="C1931" s="1"/>
      <c r="D1931" s="1"/>
      <c r="E1931" s="1"/>
      <c r="F1931" s="1"/>
      <c r="G1931" s="1"/>
      <c r="H1931" s="1"/>
      <c r="I1931" s="1"/>
      <c r="J1931" s="1"/>
      <c r="K1931" s="1"/>
      <c r="L1931" s="1"/>
      <c r="M1931" s="1"/>
      <c r="N1931" s="1"/>
    </row>
    <row r="1932" ht="14.5" spans="2:14">
      <c r="B1932" s="1"/>
      <c r="C1932" s="1"/>
      <c r="D1932" s="1"/>
      <c r="E1932" s="1"/>
      <c r="F1932" s="1"/>
      <c r="G1932" s="1"/>
      <c r="H1932" s="1"/>
      <c r="I1932" s="1"/>
      <c r="J1932" s="1"/>
      <c r="K1932" s="1"/>
      <c r="L1932" s="1"/>
      <c r="M1932" s="1"/>
      <c r="N1932" s="1"/>
    </row>
    <row r="1933" ht="14.5" spans="2:14">
      <c r="B1933" s="1"/>
      <c r="C1933" s="1"/>
      <c r="D1933" s="1"/>
      <c r="E1933" s="1"/>
      <c r="F1933" s="1"/>
      <c r="G1933" s="1"/>
      <c r="H1933" s="1"/>
      <c r="I1933" s="1"/>
      <c r="J1933" s="1"/>
      <c r="K1933" s="1"/>
      <c r="L1933" s="1"/>
      <c r="M1933" s="1"/>
      <c r="N1933" s="1"/>
    </row>
    <row r="1934" ht="14.5" spans="2:14">
      <c r="B1934" s="1"/>
      <c r="C1934" s="1"/>
      <c r="D1934" s="1"/>
      <c r="E1934" s="1"/>
      <c r="F1934" s="1"/>
      <c r="G1934" s="1"/>
      <c r="H1934" s="1"/>
      <c r="I1934" s="1"/>
      <c r="J1934" s="1"/>
      <c r="K1934" s="1"/>
      <c r="L1934" s="1"/>
      <c r="M1934" s="1"/>
      <c r="N1934" s="1"/>
    </row>
    <row r="1935" ht="14.5" spans="2:14">
      <c r="B1935" s="1"/>
      <c r="C1935" s="1"/>
      <c r="D1935" s="1"/>
      <c r="E1935" s="1"/>
      <c r="F1935" s="1"/>
      <c r="G1935" s="1"/>
      <c r="H1935" s="1"/>
      <c r="I1935" s="1"/>
      <c r="J1935" s="1"/>
      <c r="K1935" s="1"/>
      <c r="L1935" s="1"/>
      <c r="M1935" s="1"/>
      <c r="N1935" s="1"/>
    </row>
    <row r="1936" ht="14.5" spans="2:14">
      <c r="B1936" s="1"/>
      <c r="C1936" s="1"/>
      <c r="D1936" s="1"/>
      <c r="E1936" s="1"/>
      <c r="F1936" s="1"/>
      <c r="G1936" s="1"/>
      <c r="H1936" s="1"/>
      <c r="I1936" s="1"/>
      <c r="J1936" s="1"/>
      <c r="K1936" s="1"/>
      <c r="L1936" s="1"/>
      <c r="M1936" s="1"/>
      <c r="N1936" s="1"/>
    </row>
    <row r="1937" ht="14.5" spans="2:14">
      <c r="B1937" s="1"/>
      <c r="C1937" s="1"/>
      <c r="D1937" s="1"/>
      <c r="E1937" s="1"/>
      <c r="F1937" s="1"/>
      <c r="G1937" s="1"/>
      <c r="H1937" s="1"/>
      <c r="I1937" s="1"/>
      <c r="J1937" s="1"/>
      <c r="K1937" s="1"/>
      <c r="L1937" s="1"/>
      <c r="M1937" s="1"/>
      <c r="N1937" s="1"/>
    </row>
    <row r="1938" ht="14.5" spans="2:14">
      <c r="B1938" s="1"/>
      <c r="C1938" s="1"/>
      <c r="D1938" s="1"/>
      <c r="E1938" s="1"/>
      <c r="F1938" s="1"/>
      <c r="G1938" s="1"/>
      <c r="H1938" s="1"/>
      <c r="I1938" s="1"/>
      <c r="J1938" s="1"/>
      <c r="K1938" s="1"/>
      <c r="L1938" s="1"/>
      <c r="M1938" s="1"/>
      <c r="N1938" s="1"/>
    </row>
    <row r="1939" ht="14.5" spans="2:14">
      <c r="B1939" s="1"/>
      <c r="C1939" s="1"/>
      <c r="D1939" s="1"/>
      <c r="E1939" s="1"/>
      <c r="F1939" s="1"/>
      <c r="G1939" s="1"/>
      <c r="H1939" s="1"/>
      <c r="I1939" s="1"/>
      <c r="J1939" s="1"/>
      <c r="K1939" s="1"/>
      <c r="L1939" s="1"/>
      <c r="M1939" s="1"/>
      <c r="N1939" s="1"/>
    </row>
    <row r="1940" ht="14.5" spans="2:14">
      <c r="B1940" s="1"/>
      <c r="C1940" s="1"/>
      <c r="D1940" s="1"/>
      <c r="E1940" s="1"/>
      <c r="F1940" s="1"/>
      <c r="G1940" s="1"/>
      <c r="H1940" s="1"/>
      <c r="I1940" s="1"/>
      <c r="J1940" s="1"/>
      <c r="K1940" s="1"/>
      <c r="L1940" s="1"/>
      <c r="M1940" s="1"/>
      <c r="N1940" s="1"/>
    </row>
    <row r="1941" ht="14.5" spans="2:14">
      <c r="B1941" s="1"/>
      <c r="C1941" s="1"/>
      <c r="D1941" s="1"/>
      <c r="E1941" s="1"/>
      <c r="F1941" s="1"/>
      <c r="G1941" s="1"/>
      <c r="H1941" s="1"/>
      <c r="I1941" s="1"/>
      <c r="J1941" s="1"/>
      <c r="K1941" s="1"/>
      <c r="L1941" s="1"/>
      <c r="M1941" s="1"/>
      <c r="N1941" s="1"/>
    </row>
    <row r="1942" ht="14.5" spans="2:14">
      <c r="B1942" s="1"/>
      <c r="C1942" s="1"/>
      <c r="D1942" s="1"/>
      <c r="E1942" s="1"/>
      <c r="F1942" s="1"/>
      <c r="G1942" s="1"/>
      <c r="H1942" s="1"/>
      <c r="I1942" s="1"/>
      <c r="J1942" s="1"/>
      <c r="K1942" s="1"/>
      <c r="L1942" s="1"/>
      <c r="M1942" s="1"/>
      <c r="N1942" s="1"/>
    </row>
    <row r="1943" ht="14.5" spans="2:14">
      <c r="B1943" s="1"/>
      <c r="C1943" s="1"/>
      <c r="D1943" s="1"/>
      <c r="E1943" s="1"/>
      <c r="F1943" s="1"/>
      <c r="G1943" s="1"/>
      <c r="H1943" s="1"/>
      <c r="I1943" s="1"/>
      <c r="J1943" s="1"/>
      <c r="K1943" s="1"/>
      <c r="L1943" s="1"/>
      <c r="M1943" s="1"/>
      <c r="N1943" s="1"/>
    </row>
    <row r="1944" ht="14.5" spans="2:14">
      <c r="B1944" s="1"/>
      <c r="C1944" s="1"/>
      <c r="D1944" s="1"/>
      <c r="E1944" s="1"/>
      <c r="F1944" s="1"/>
      <c r="G1944" s="1"/>
      <c r="H1944" s="1"/>
      <c r="I1944" s="1"/>
      <c r="J1944" s="1"/>
      <c r="K1944" s="1"/>
      <c r="L1944" s="1"/>
      <c r="M1944" s="1"/>
      <c r="N1944" s="1"/>
    </row>
    <row r="1945" ht="14.5" spans="2:14">
      <c r="B1945" s="1"/>
      <c r="C1945" s="1"/>
      <c r="D1945" s="1"/>
      <c r="E1945" s="1"/>
      <c r="F1945" s="1"/>
      <c r="G1945" s="1"/>
      <c r="H1945" s="1"/>
      <c r="I1945" s="1"/>
      <c r="J1945" s="1"/>
      <c r="K1945" s="1"/>
      <c r="L1945" s="1"/>
      <c r="M1945" s="1"/>
      <c r="N1945" s="1"/>
    </row>
    <row r="1946" ht="14.5" spans="2:14">
      <c r="B1946" s="1"/>
      <c r="C1946" s="1"/>
      <c r="D1946" s="1"/>
      <c r="E1946" s="1"/>
      <c r="F1946" s="1"/>
      <c r="G1946" s="1"/>
      <c r="H1946" s="1"/>
      <c r="I1946" s="1"/>
      <c r="J1946" s="1"/>
      <c r="K1946" s="1"/>
      <c r="L1946" s="1"/>
      <c r="M1946" s="1"/>
      <c r="N1946" s="1"/>
    </row>
    <row r="1947" ht="14.5" spans="2:14">
      <c r="B1947" s="1"/>
      <c r="C1947" s="1"/>
      <c r="D1947" s="1"/>
      <c r="E1947" s="1"/>
      <c r="F1947" s="1"/>
      <c r="G1947" s="1"/>
      <c r="H1947" s="1"/>
      <c r="I1947" s="1"/>
      <c r="J1947" s="1"/>
      <c r="K1947" s="1"/>
      <c r="L1947" s="1"/>
      <c r="M1947" s="1"/>
      <c r="N1947" s="1"/>
    </row>
    <row r="1948" ht="14.5" spans="2:14">
      <c r="B1948" s="1"/>
      <c r="C1948" s="1"/>
      <c r="D1948" s="1"/>
      <c r="E1948" s="1"/>
      <c r="F1948" s="1"/>
      <c r="G1948" s="1"/>
      <c r="H1948" s="1"/>
      <c r="I1948" s="1"/>
      <c r="J1948" s="1"/>
      <c r="K1948" s="1"/>
      <c r="L1948" s="1"/>
      <c r="M1948" s="1"/>
      <c r="N1948" s="1"/>
    </row>
    <row r="1949" ht="14.5" spans="2:14">
      <c r="B1949" s="1"/>
      <c r="C1949" s="1"/>
      <c r="D1949" s="1"/>
      <c r="E1949" s="1"/>
      <c r="F1949" s="1"/>
      <c r="G1949" s="1"/>
      <c r="H1949" s="1"/>
      <c r="I1949" s="1"/>
      <c r="J1949" s="1"/>
      <c r="K1949" s="1"/>
      <c r="L1949" s="1"/>
      <c r="M1949" s="1"/>
      <c r="N1949" s="1"/>
    </row>
    <row r="1950" ht="14.5" spans="2:14">
      <c r="B1950" s="1"/>
      <c r="C1950" s="1"/>
      <c r="D1950" s="1"/>
      <c r="E1950" s="1"/>
      <c r="F1950" s="1"/>
      <c r="G1950" s="1"/>
      <c r="H1950" s="1"/>
      <c r="I1950" s="1"/>
      <c r="J1950" s="1"/>
      <c r="K1950" s="1"/>
      <c r="L1950" s="1"/>
      <c r="M1950" s="1"/>
      <c r="N1950" s="1"/>
    </row>
    <row r="1951" ht="14.5" spans="2:14">
      <c r="B1951" s="1"/>
      <c r="C1951" s="1"/>
      <c r="D1951" s="1"/>
      <c r="E1951" s="1"/>
      <c r="F1951" s="1"/>
      <c r="G1951" s="1"/>
      <c r="H1951" s="1"/>
      <c r="I1951" s="1"/>
      <c r="J1951" s="1"/>
      <c r="K1951" s="1"/>
      <c r="L1951" s="1"/>
      <c r="M1951" s="1"/>
      <c r="N1951" s="1"/>
    </row>
    <row r="1952" ht="14.5" spans="2:14">
      <c r="B1952" s="1"/>
      <c r="C1952" s="1"/>
      <c r="D1952" s="1"/>
      <c r="E1952" s="1"/>
      <c r="F1952" s="1"/>
      <c r="G1952" s="1"/>
      <c r="H1952" s="1"/>
      <c r="I1952" s="1"/>
      <c r="J1952" s="1"/>
      <c r="K1952" s="1"/>
      <c r="L1952" s="1"/>
      <c r="M1952" s="1"/>
      <c r="N1952" s="1"/>
    </row>
    <row r="1953" ht="14.5" spans="2:14">
      <c r="B1953" s="1"/>
      <c r="C1953" s="1"/>
      <c r="D1953" s="1"/>
      <c r="E1953" s="1"/>
      <c r="F1953" s="1"/>
      <c r="G1953" s="1"/>
      <c r="H1953" s="1"/>
      <c r="I1953" s="1"/>
      <c r="J1953" s="1"/>
      <c r="K1953" s="1"/>
      <c r="L1953" s="1"/>
      <c r="M1953" s="1"/>
      <c r="N1953" s="1"/>
    </row>
    <row r="1954" ht="14.5" spans="2:14">
      <c r="B1954" s="1"/>
      <c r="C1954" s="1"/>
      <c r="D1954" s="1"/>
      <c r="E1954" s="1"/>
      <c r="F1954" s="1"/>
      <c r="G1954" s="1"/>
      <c r="H1954" s="1"/>
      <c r="I1954" s="1"/>
      <c r="J1954" s="1"/>
      <c r="K1954" s="1"/>
      <c r="L1954" s="1"/>
      <c r="M1954" s="1"/>
      <c r="N1954" s="1"/>
    </row>
    <row r="1955" ht="14.5" spans="2:14">
      <c r="B1955" s="1"/>
      <c r="C1955" s="1"/>
      <c r="D1955" s="1"/>
      <c r="E1955" s="1"/>
      <c r="F1955" s="1"/>
      <c r="G1955" s="1"/>
      <c r="H1955" s="1"/>
      <c r="I1955" s="1"/>
      <c r="J1955" s="1"/>
      <c r="K1955" s="1"/>
      <c r="L1955" s="1"/>
      <c r="M1955" s="1"/>
      <c r="N1955" s="1"/>
    </row>
    <row r="1956" ht="14.5" spans="2:14">
      <c r="B1956" s="1"/>
      <c r="C1956" s="1"/>
      <c r="D1956" s="1"/>
      <c r="E1956" s="1"/>
      <c r="F1956" s="1"/>
      <c r="G1956" s="1"/>
      <c r="H1956" s="1"/>
      <c r="I1956" s="1"/>
      <c r="J1956" s="1"/>
      <c r="K1956" s="1"/>
      <c r="L1956" s="1"/>
      <c r="M1956" s="1"/>
      <c r="N1956" s="1"/>
    </row>
    <row r="1957" ht="14.5" spans="2:14">
      <c r="B1957" s="1"/>
      <c r="C1957" s="1"/>
      <c r="D1957" s="1"/>
      <c r="E1957" s="1"/>
      <c r="F1957" s="1"/>
      <c r="G1957" s="1"/>
      <c r="H1957" s="1"/>
      <c r="I1957" s="1"/>
      <c r="J1957" s="1"/>
      <c r="K1957" s="1"/>
      <c r="L1957" s="1"/>
      <c r="M1957" s="1"/>
      <c r="N1957" s="1"/>
    </row>
    <row r="1958" ht="14.5" spans="2:14">
      <c r="B1958" s="1"/>
      <c r="C1958" s="1"/>
      <c r="D1958" s="1"/>
      <c r="E1958" s="1"/>
      <c r="F1958" s="1"/>
      <c r="G1958" s="1"/>
      <c r="H1958" s="1"/>
      <c r="I1958" s="1"/>
      <c r="J1958" s="1"/>
      <c r="K1958" s="1"/>
      <c r="L1958" s="1"/>
      <c r="M1958" s="1"/>
      <c r="N1958" s="1"/>
    </row>
    <row r="1959" ht="14.5" spans="2:14">
      <c r="B1959" s="1"/>
      <c r="C1959" s="1"/>
      <c r="D1959" s="1"/>
      <c r="E1959" s="1"/>
      <c r="F1959" s="1"/>
      <c r="G1959" s="1"/>
      <c r="H1959" s="1"/>
      <c r="I1959" s="1"/>
      <c r="J1959" s="1"/>
      <c r="K1959" s="1"/>
      <c r="L1959" s="1"/>
      <c r="M1959" s="1"/>
      <c r="N1959" s="1"/>
    </row>
    <row r="1960" ht="14.5" spans="2:14">
      <c r="B1960" s="1"/>
      <c r="C1960" s="1"/>
      <c r="D1960" s="1"/>
      <c r="E1960" s="1"/>
      <c r="F1960" s="1"/>
      <c r="G1960" s="1"/>
      <c r="H1960" s="1"/>
      <c r="I1960" s="1"/>
      <c r="J1960" s="1"/>
      <c r="K1960" s="1"/>
      <c r="L1960" s="1"/>
      <c r="M1960" s="1"/>
      <c r="N1960" s="1"/>
    </row>
    <row r="1961" ht="14.5" spans="2:14">
      <c r="B1961" s="1"/>
      <c r="C1961" s="1"/>
      <c r="D1961" s="1"/>
      <c r="E1961" s="1"/>
      <c r="F1961" s="1"/>
      <c r="G1961" s="1"/>
      <c r="H1961" s="1"/>
      <c r="I1961" s="1"/>
      <c r="J1961" s="1"/>
      <c r="K1961" s="1"/>
      <c r="L1961" s="1"/>
      <c r="M1961" s="1"/>
      <c r="N1961" s="1"/>
    </row>
    <row r="1962" ht="14.5" spans="2:14">
      <c r="B1962" s="1"/>
      <c r="C1962" s="1"/>
      <c r="D1962" s="1"/>
      <c r="E1962" s="1"/>
      <c r="F1962" s="1"/>
      <c r="G1962" s="1"/>
      <c r="H1962" s="1"/>
      <c r="I1962" s="1"/>
      <c r="J1962" s="1"/>
      <c r="K1962" s="1"/>
      <c r="L1962" s="1"/>
      <c r="M1962" s="1"/>
      <c r="N1962" s="1"/>
    </row>
    <row r="1963" ht="14.5" spans="2:14">
      <c r="B1963" s="1"/>
      <c r="C1963" s="1"/>
      <c r="D1963" s="1"/>
      <c r="E1963" s="1"/>
      <c r="F1963" s="1"/>
      <c r="G1963" s="1"/>
      <c r="H1963" s="1"/>
      <c r="I1963" s="1"/>
      <c r="J1963" s="1"/>
      <c r="K1963" s="1"/>
      <c r="L1963" s="1"/>
      <c r="M1963" s="1"/>
      <c r="N1963" s="1"/>
    </row>
    <row r="1964" ht="14.5" spans="2:14">
      <c r="B1964" s="1"/>
      <c r="C1964" s="1"/>
      <c r="D1964" s="1"/>
      <c r="E1964" s="1"/>
      <c r="F1964" s="1"/>
      <c r="G1964" s="1"/>
      <c r="H1964" s="1"/>
      <c r="I1964" s="1"/>
      <c r="J1964" s="1"/>
      <c r="K1964" s="1"/>
      <c r="L1964" s="1"/>
      <c r="M1964" s="1"/>
      <c r="N1964" s="1"/>
    </row>
    <row r="1965" ht="14.5" spans="2:14">
      <c r="B1965" s="1"/>
      <c r="C1965" s="1"/>
      <c r="D1965" s="1"/>
      <c r="E1965" s="1"/>
      <c r="F1965" s="1"/>
      <c r="G1965" s="1"/>
      <c r="H1965" s="1"/>
      <c r="I1965" s="1"/>
      <c r="J1965" s="1"/>
      <c r="K1965" s="1"/>
      <c r="L1965" s="1"/>
      <c r="M1965" s="1"/>
      <c r="N1965" s="1"/>
    </row>
    <row r="1966" ht="14.5" spans="2:14">
      <c r="B1966" s="1"/>
      <c r="C1966" s="1"/>
      <c r="D1966" s="1"/>
      <c r="E1966" s="1"/>
      <c r="F1966" s="1"/>
      <c r="G1966" s="1"/>
      <c r="H1966" s="1"/>
      <c r="I1966" s="1"/>
      <c r="J1966" s="1"/>
      <c r="K1966" s="1"/>
      <c r="L1966" s="1"/>
      <c r="M1966" s="1"/>
      <c r="N1966" s="1"/>
    </row>
    <row r="1967" ht="14.5" spans="2:14">
      <c r="B1967" s="1"/>
      <c r="C1967" s="1"/>
      <c r="D1967" s="1"/>
      <c r="E1967" s="1"/>
      <c r="F1967" s="1"/>
      <c r="G1967" s="1"/>
      <c r="H1967" s="1"/>
      <c r="I1967" s="1"/>
      <c r="J1967" s="1"/>
      <c r="K1967" s="1"/>
      <c r="L1967" s="1"/>
      <c r="M1967" s="1"/>
      <c r="N1967" s="1"/>
    </row>
    <row r="1968" ht="14.5" spans="2:14">
      <c r="B1968" s="1"/>
      <c r="C1968" s="1"/>
      <c r="D1968" s="1"/>
      <c r="E1968" s="1"/>
      <c r="F1968" s="1"/>
      <c r="G1968" s="1"/>
      <c r="H1968" s="1"/>
      <c r="I1968" s="1"/>
      <c r="J1968" s="1"/>
      <c r="K1968" s="1"/>
      <c r="L1968" s="1"/>
      <c r="M1968" s="1"/>
      <c r="N1968" s="1"/>
    </row>
    <row r="1969" ht="14.5" spans="2:14">
      <c r="B1969" s="1"/>
      <c r="C1969" s="1"/>
      <c r="D1969" s="1"/>
      <c r="E1969" s="1"/>
      <c r="F1969" s="1"/>
      <c r="G1969" s="1"/>
      <c r="H1969" s="1"/>
      <c r="I1969" s="1"/>
      <c r="J1969" s="1"/>
      <c r="K1969" s="1"/>
      <c r="L1969" s="1"/>
      <c r="M1969" s="1"/>
      <c r="N1969" s="1"/>
    </row>
    <row r="1970" ht="14.5" spans="2:14">
      <c r="B1970" s="1"/>
      <c r="C1970" s="1"/>
      <c r="D1970" s="1"/>
      <c r="E1970" s="1"/>
      <c r="F1970" s="1"/>
      <c r="G1970" s="1"/>
      <c r="H1970" s="1"/>
      <c r="I1970" s="1"/>
      <c r="J1970" s="1"/>
      <c r="K1970" s="1"/>
      <c r="L1970" s="1"/>
      <c r="M1970" s="1"/>
      <c r="N1970" s="1"/>
    </row>
    <row r="1971" ht="14.5" spans="2:14">
      <c r="B1971" s="1"/>
      <c r="C1971" s="1"/>
      <c r="D1971" s="1"/>
      <c r="E1971" s="1"/>
      <c r="F1971" s="1"/>
      <c r="G1971" s="1"/>
      <c r="H1971" s="1"/>
      <c r="I1971" s="1"/>
      <c r="J1971" s="1"/>
      <c r="K1971" s="1"/>
      <c r="L1971" s="1"/>
      <c r="M1971" s="1"/>
      <c r="N1971" s="1"/>
    </row>
    <row r="1972" ht="14.5" spans="2:14">
      <c r="B1972" s="1"/>
      <c r="C1972" s="1"/>
      <c r="D1972" s="1"/>
      <c r="E1972" s="1"/>
      <c r="F1972" s="1"/>
      <c r="G1972" s="1"/>
      <c r="H1972" s="1"/>
      <c r="I1972" s="1"/>
      <c r="J1972" s="1"/>
      <c r="K1972" s="1"/>
      <c r="L1972" s="1"/>
      <c r="M1972" s="1"/>
      <c r="N1972" s="1"/>
    </row>
    <row r="1973" ht="14.5" spans="2:14">
      <c r="B1973" s="1"/>
      <c r="C1973" s="1"/>
      <c r="D1973" s="1"/>
      <c r="E1973" s="1"/>
      <c r="F1973" s="1"/>
      <c r="G1973" s="1"/>
      <c r="H1973" s="1"/>
      <c r="I1973" s="1"/>
      <c r="J1973" s="1"/>
      <c r="K1973" s="1"/>
      <c r="L1973" s="1"/>
      <c r="M1973" s="1"/>
      <c r="N1973" s="1"/>
    </row>
    <row r="1974" ht="14.5" spans="2:14">
      <c r="B1974" s="1"/>
      <c r="C1974" s="1"/>
      <c r="D1974" s="1"/>
      <c r="E1974" s="1"/>
      <c r="F1974" s="1"/>
      <c r="G1974" s="1"/>
      <c r="H1974" s="1"/>
      <c r="I1974" s="1"/>
      <c r="J1974" s="1"/>
      <c r="K1974" s="1"/>
      <c r="L1974" s="1"/>
      <c r="M1974" s="1"/>
      <c r="N1974" s="1"/>
    </row>
    <row r="1975" ht="14.5" spans="2:14">
      <c r="B1975" s="1"/>
      <c r="C1975" s="1"/>
      <c r="D1975" s="1"/>
      <c r="E1975" s="1"/>
      <c r="F1975" s="1"/>
      <c r="G1975" s="1"/>
      <c r="H1975" s="1"/>
      <c r="I1975" s="1"/>
      <c r="J1975" s="1"/>
      <c r="K1975" s="1"/>
      <c r="L1975" s="1"/>
      <c r="M1975" s="1"/>
      <c r="N1975" s="1"/>
    </row>
    <row r="1976" ht="14.5" spans="2:14">
      <c r="B1976" s="1"/>
      <c r="C1976" s="1"/>
      <c r="D1976" s="1"/>
      <c r="E1976" s="1"/>
      <c r="F1976" s="1"/>
      <c r="G1976" s="1"/>
      <c r="H1976" s="1"/>
      <c r="I1976" s="1"/>
      <c r="J1976" s="1"/>
      <c r="K1976" s="1"/>
      <c r="L1976" s="1"/>
      <c r="M1976" s="1"/>
      <c r="N1976" s="1"/>
    </row>
    <row r="1977" ht="14.5" spans="2:14">
      <c r="B1977" s="1"/>
      <c r="C1977" s="1"/>
      <c r="D1977" s="1"/>
      <c r="E1977" s="1"/>
      <c r="F1977" s="1"/>
      <c r="G1977" s="1"/>
      <c r="H1977" s="1"/>
      <c r="I1977" s="1"/>
      <c r="J1977" s="1"/>
      <c r="K1977" s="1"/>
      <c r="L1977" s="1"/>
      <c r="M1977" s="1"/>
      <c r="N1977" s="1"/>
    </row>
    <row r="1978" ht="14.5" spans="2:14">
      <c r="B1978" s="1"/>
      <c r="C1978" s="1"/>
      <c r="D1978" s="1"/>
      <c r="E1978" s="1"/>
      <c r="F1978" s="1"/>
      <c r="G1978" s="1"/>
      <c r="H1978" s="1"/>
      <c r="I1978" s="1"/>
      <c r="J1978" s="1"/>
      <c r="K1978" s="1"/>
      <c r="L1978" s="1"/>
      <c r="M1978" s="1"/>
      <c r="N1978" s="1"/>
    </row>
    <row r="1979" ht="14.5" spans="2:14">
      <c r="B1979" s="1"/>
      <c r="C1979" s="1"/>
      <c r="D1979" s="1"/>
      <c r="E1979" s="1"/>
      <c r="F1979" s="1"/>
      <c r="G1979" s="1"/>
      <c r="H1979" s="1"/>
      <c r="I1979" s="1"/>
      <c r="J1979" s="1"/>
      <c r="K1979" s="1"/>
      <c r="L1979" s="1"/>
      <c r="M1979" s="1"/>
      <c r="N1979" s="1"/>
    </row>
    <row r="1980" ht="14.5" spans="2:14">
      <c r="B1980" s="1"/>
      <c r="C1980" s="1"/>
      <c r="D1980" s="1"/>
      <c r="E1980" s="1"/>
      <c r="F1980" s="1"/>
      <c r="G1980" s="1"/>
      <c r="H1980" s="1"/>
      <c r="I1980" s="1"/>
      <c r="J1980" s="1"/>
      <c r="K1980" s="1"/>
      <c r="L1980" s="1"/>
      <c r="M1980" s="1"/>
      <c r="N1980" s="1"/>
    </row>
    <row r="1981" ht="14.5" spans="2:14">
      <c r="B1981" s="1"/>
      <c r="C1981" s="1"/>
      <c r="D1981" s="1"/>
      <c r="E1981" s="1"/>
      <c r="F1981" s="1"/>
      <c r="G1981" s="1"/>
      <c r="H1981" s="1"/>
      <c r="I1981" s="1"/>
      <c r="J1981" s="1"/>
      <c r="K1981" s="1"/>
      <c r="L1981" s="1"/>
      <c r="M1981" s="1"/>
      <c r="N1981" s="1"/>
    </row>
    <row r="1982" ht="14.5" spans="2:14">
      <c r="B1982" s="1"/>
      <c r="C1982" s="1"/>
      <c r="D1982" s="1"/>
      <c r="E1982" s="1"/>
      <c r="F1982" s="1"/>
      <c r="G1982" s="1"/>
      <c r="H1982" s="1"/>
      <c r="I1982" s="1"/>
      <c r="J1982" s="1"/>
      <c r="K1982" s="1"/>
      <c r="L1982" s="1"/>
      <c r="M1982" s="1"/>
      <c r="N1982" s="1"/>
    </row>
    <row r="1983" ht="14.5" spans="2:14">
      <c r="B1983" s="1"/>
      <c r="C1983" s="1"/>
      <c r="D1983" s="1"/>
      <c r="E1983" s="1"/>
      <c r="F1983" s="1"/>
      <c r="G1983" s="1"/>
      <c r="H1983" s="1"/>
      <c r="I1983" s="1"/>
      <c r="J1983" s="1"/>
      <c r="K1983" s="1"/>
      <c r="L1983" s="1"/>
      <c r="M1983" s="1"/>
      <c r="N1983" s="1"/>
    </row>
    <row r="1984" ht="14.5" spans="2:14">
      <c r="B1984" s="1"/>
      <c r="C1984" s="1"/>
      <c r="D1984" s="1"/>
      <c r="E1984" s="1"/>
      <c r="F1984" s="1"/>
      <c r="G1984" s="1"/>
      <c r="H1984" s="1"/>
      <c r="I1984" s="1"/>
      <c r="J1984" s="1"/>
      <c r="K1984" s="1"/>
      <c r="L1984" s="1"/>
      <c r="M1984" s="1"/>
      <c r="N1984" s="1"/>
    </row>
    <row r="1985" ht="14.5" spans="2:14">
      <c r="B1985" s="1"/>
      <c r="C1985" s="1"/>
      <c r="D1985" s="1"/>
      <c r="E1985" s="1"/>
      <c r="F1985" s="1"/>
      <c r="G1985" s="1"/>
      <c r="H1985" s="1"/>
      <c r="I1985" s="1"/>
      <c r="J1985" s="1"/>
      <c r="K1985" s="1"/>
      <c r="L1985" s="1"/>
      <c r="M1985" s="1"/>
      <c r="N1985" s="1"/>
    </row>
    <row r="1986" ht="14.5" spans="2:14">
      <c r="B1986" s="1"/>
      <c r="C1986" s="1"/>
      <c r="D1986" s="1"/>
      <c r="E1986" s="1"/>
      <c r="F1986" s="1"/>
      <c r="G1986" s="1"/>
      <c r="H1986" s="1"/>
      <c r="I1986" s="1"/>
      <c r="J1986" s="1"/>
      <c r="K1986" s="1"/>
      <c r="L1986" s="1"/>
      <c r="M1986" s="1"/>
      <c r="N1986" s="1"/>
    </row>
    <row r="1987" ht="14.5" spans="2:14">
      <c r="B1987" s="1"/>
      <c r="C1987" s="1"/>
      <c r="D1987" s="1"/>
      <c r="E1987" s="1"/>
      <c r="F1987" s="1"/>
      <c r="G1987" s="1"/>
      <c r="H1987" s="1"/>
      <c r="I1987" s="1"/>
      <c r="J1987" s="1"/>
      <c r="K1987" s="1"/>
      <c r="L1987" s="1"/>
      <c r="M1987" s="1"/>
      <c r="N1987" s="1"/>
    </row>
    <row r="1988" ht="14.5" spans="2:14">
      <c r="B1988" s="1"/>
      <c r="C1988" s="1"/>
      <c r="D1988" s="1"/>
      <c r="E1988" s="1"/>
      <c r="F1988" s="1"/>
      <c r="G1988" s="1"/>
      <c r="H1988" s="1"/>
      <c r="I1988" s="1"/>
      <c r="J1988" s="1"/>
      <c r="K1988" s="1"/>
      <c r="L1988" s="1"/>
      <c r="M1988" s="1"/>
      <c r="N1988" s="1"/>
    </row>
    <row r="1989" ht="14.5" spans="2:14">
      <c r="B1989" s="1"/>
      <c r="C1989" s="1"/>
      <c r="D1989" s="1"/>
      <c r="E1989" s="1"/>
      <c r="F1989" s="1"/>
      <c r="G1989" s="1"/>
      <c r="H1989" s="1"/>
      <c r="I1989" s="1"/>
      <c r="J1989" s="1"/>
      <c r="K1989" s="1"/>
      <c r="L1989" s="1"/>
      <c r="M1989" s="1"/>
      <c r="N1989" s="1"/>
    </row>
    <row r="1990" ht="14.5" spans="2:14">
      <c r="B1990" s="1"/>
      <c r="C1990" s="1"/>
      <c r="D1990" s="1"/>
      <c r="E1990" s="1"/>
      <c r="F1990" s="1"/>
      <c r="G1990" s="1"/>
      <c r="H1990" s="1"/>
      <c r="I1990" s="1"/>
      <c r="J1990" s="1"/>
      <c r="K1990" s="1"/>
      <c r="L1990" s="1"/>
      <c r="M1990" s="1"/>
      <c r="N1990" s="1"/>
    </row>
    <row r="1991" ht="14.5" spans="2:14">
      <c r="B1991" s="1"/>
      <c r="C1991" s="1"/>
      <c r="D1991" s="1"/>
      <c r="E1991" s="1"/>
      <c r="F1991" s="1"/>
      <c r="G1991" s="1"/>
      <c r="H1991" s="1"/>
      <c r="I1991" s="1"/>
      <c r="J1991" s="1"/>
      <c r="K1991" s="1"/>
      <c r="L1991" s="1"/>
      <c r="M1991" s="1"/>
      <c r="N1991" s="1"/>
    </row>
    <row r="1992" ht="14.5" spans="2:14">
      <c r="B1992" s="1"/>
      <c r="C1992" s="1"/>
      <c r="D1992" s="1"/>
      <c r="E1992" s="1"/>
      <c r="F1992" s="1"/>
      <c r="G1992" s="1"/>
      <c r="H1992" s="1"/>
      <c r="I1992" s="1"/>
      <c r="J1992" s="1"/>
      <c r="K1992" s="1"/>
      <c r="L1992" s="1"/>
      <c r="M1992" s="1"/>
      <c r="N1992" s="1"/>
    </row>
    <row r="1993" ht="14.5" spans="2:14">
      <c r="B1993" s="1"/>
      <c r="C1993" s="1"/>
      <c r="D1993" s="1"/>
      <c r="E1993" s="1"/>
      <c r="F1993" s="1"/>
      <c r="G1993" s="1"/>
      <c r="H1993" s="1"/>
      <c r="I1993" s="1"/>
      <c r="J1993" s="1"/>
      <c r="K1993" s="1"/>
      <c r="L1993" s="1"/>
      <c r="M1993" s="1"/>
      <c r="N1993" s="1"/>
    </row>
    <row r="1994" ht="14.5" spans="2:14">
      <c r="B1994" s="1"/>
      <c r="C1994" s="1"/>
      <c r="D1994" s="1"/>
      <c r="E1994" s="1"/>
      <c r="F1994" s="1"/>
      <c r="G1994" s="1"/>
      <c r="H1994" s="1"/>
      <c r="I1994" s="1"/>
      <c r="J1994" s="1"/>
      <c r="K1994" s="1"/>
      <c r="L1994" s="1"/>
      <c r="M1994" s="1"/>
      <c r="N1994" s="1"/>
    </row>
    <row r="1995" ht="14.5" spans="2:14">
      <c r="B1995" s="1"/>
      <c r="C1995" s="1"/>
      <c r="D1995" s="1"/>
      <c r="E1995" s="1"/>
      <c r="F1995" s="1"/>
      <c r="G1995" s="1"/>
      <c r="H1995" s="1"/>
      <c r="I1995" s="1"/>
      <c r="J1995" s="1"/>
      <c r="K1995" s="1"/>
      <c r="L1995" s="1"/>
      <c r="M1995" s="1"/>
      <c r="N1995" s="1"/>
    </row>
    <row r="1996" ht="14.5" spans="2:14">
      <c r="B1996" s="1"/>
      <c r="C1996" s="1"/>
      <c r="D1996" s="1"/>
      <c r="E1996" s="1"/>
      <c r="F1996" s="1"/>
      <c r="G1996" s="1"/>
      <c r="H1996" s="1"/>
      <c r="I1996" s="1"/>
      <c r="J1996" s="1"/>
      <c r="K1996" s="1"/>
      <c r="L1996" s="1"/>
      <c r="M1996" s="1"/>
      <c r="N1996" s="1"/>
    </row>
    <row r="1997" ht="14.5" spans="2:14">
      <c r="B1997" s="1"/>
      <c r="C1997" s="1"/>
      <c r="D1997" s="1"/>
      <c r="E1997" s="1"/>
      <c r="F1997" s="1"/>
      <c r="G1997" s="1"/>
      <c r="H1997" s="1"/>
      <c r="I1997" s="1"/>
      <c r="J1997" s="1"/>
      <c r="K1997" s="1"/>
      <c r="L1997" s="1"/>
      <c r="M1997" s="1"/>
      <c r="N1997" s="1"/>
    </row>
    <row r="1998" ht="14.5" spans="2:14">
      <c r="B1998" s="1"/>
      <c r="C1998" s="1"/>
      <c r="D1998" s="1"/>
      <c r="E1998" s="1"/>
      <c r="F1998" s="1"/>
      <c r="G1998" s="1"/>
      <c r="H1998" s="1"/>
      <c r="I1998" s="1"/>
      <c r="J1998" s="1"/>
      <c r="K1998" s="1"/>
      <c r="L1998" s="1"/>
      <c r="M1998" s="1"/>
      <c r="N1998" s="1"/>
    </row>
    <row r="1999" ht="14.5" spans="2:14">
      <c r="B1999" s="1"/>
      <c r="C1999" s="1"/>
      <c r="D1999" s="1"/>
      <c r="E1999" s="1"/>
      <c r="F1999" s="1"/>
      <c r="G1999" s="1"/>
      <c r="H1999" s="1"/>
      <c r="I1999" s="1"/>
      <c r="J1999" s="1"/>
      <c r="K1999" s="1"/>
      <c r="L1999" s="1"/>
      <c r="M1999" s="1"/>
      <c r="N1999" s="1"/>
    </row>
    <row r="2000" ht="14.5" spans="2:14">
      <c r="B2000" s="1"/>
      <c r="C2000" s="1"/>
      <c r="D2000" s="1"/>
      <c r="E2000" s="1"/>
      <c r="F2000" s="1"/>
      <c r="G2000" s="1"/>
      <c r="H2000" s="1"/>
      <c r="I2000" s="1"/>
      <c r="J2000" s="1"/>
      <c r="K2000" s="1"/>
      <c r="L2000" s="1"/>
      <c r="M2000" s="1"/>
      <c r="N2000" s="1"/>
    </row>
    <row r="2001" ht="14.5" spans="2:14">
      <c r="B2001" s="1"/>
      <c r="C2001" s="1"/>
      <c r="D2001" s="1"/>
      <c r="E2001" s="1"/>
      <c r="F2001" s="1"/>
      <c r="G2001" s="1"/>
      <c r="H2001" s="1"/>
      <c r="I2001" s="1"/>
      <c r="J2001" s="1"/>
      <c r="K2001" s="1"/>
      <c r="L2001" s="1"/>
      <c r="M2001" s="1"/>
      <c r="N2001" s="1"/>
    </row>
    <row r="2002" ht="14.5" spans="2:14">
      <c r="B2002" s="1"/>
      <c r="C2002" s="1"/>
      <c r="D2002" s="1"/>
      <c r="E2002" s="1"/>
      <c r="F2002" s="1"/>
      <c r="G2002" s="1"/>
      <c r="H2002" s="1"/>
      <c r="I2002" s="1"/>
      <c r="J2002" s="1"/>
      <c r="K2002" s="1"/>
      <c r="L2002" s="1"/>
      <c r="M2002" s="1"/>
      <c r="N2002" s="1"/>
    </row>
    <row r="2003" ht="14.5" spans="2:14">
      <c r="B2003" s="1"/>
      <c r="C2003" s="1"/>
      <c r="D2003" s="1"/>
      <c r="E2003" s="1"/>
      <c r="F2003" s="1"/>
      <c r="G2003" s="1"/>
      <c r="H2003" s="1"/>
      <c r="I2003" s="1"/>
      <c r="J2003" s="1"/>
      <c r="K2003" s="1"/>
      <c r="L2003" s="1"/>
      <c r="M2003" s="1"/>
      <c r="N2003" s="1"/>
    </row>
    <row r="2004" ht="14.5" spans="2:14">
      <c r="B2004" s="1"/>
      <c r="C2004" s="1"/>
      <c r="D2004" s="1"/>
      <c r="E2004" s="1"/>
      <c r="F2004" s="1"/>
      <c r="G2004" s="1"/>
      <c r="H2004" s="1"/>
      <c r="I2004" s="1"/>
      <c r="J2004" s="1"/>
      <c r="K2004" s="1"/>
      <c r="L2004" s="1"/>
      <c r="M2004" s="1"/>
      <c r="N2004" s="1"/>
    </row>
    <row r="2005" ht="14.5" spans="2:14">
      <c r="B2005" s="1"/>
      <c r="C2005" s="1"/>
      <c r="D2005" s="1"/>
      <c r="E2005" s="1"/>
      <c r="F2005" s="1"/>
      <c r="G2005" s="1"/>
      <c r="H2005" s="1"/>
      <c r="I2005" s="1"/>
      <c r="J2005" s="1"/>
      <c r="K2005" s="1"/>
      <c r="L2005" s="1"/>
      <c r="M2005" s="1"/>
      <c r="N2005" s="1"/>
    </row>
    <row r="2006" ht="14.5" spans="2:14">
      <c r="B2006" s="1"/>
      <c r="C2006" s="1"/>
      <c r="D2006" s="1"/>
      <c r="E2006" s="1"/>
      <c r="F2006" s="1"/>
      <c r="G2006" s="1"/>
      <c r="H2006" s="1"/>
      <c r="I2006" s="1"/>
      <c r="J2006" s="1"/>
      <c r="K2006" s="1"/>
      <c r="L2006" s="1"/>
      <c r="M2006" s="1"/>
      <c r="N2006" s="1"/>
    </row>
    <row r="2007" ht="14.5" spans="2:14">
      <c r="B2007" s="1"/>
      <c r="C2007" s="1"/>
      <c r="D2007" s="1"/>
      <c r="E2007" s="1"/>
      <c r="F2007" s="1"/>
      <c r="G2007" s="1"/>
      <c r="H2007" s="1"/>
      <c r="I2007" s="1"/>
      <c r="J2007" s="1"/>
      <c r="K2007" s="1"/>
      <c r="L2007" s="1"/>
      <c r="M2007" s="1"/>
      <c r="N2007" s="1"/>
    </row>
    <row r="2008" ht="14.5" spans="2:14">
      <c r="B2008" s="1"/>
      <c r="C2008" s="1"/>
      <c r="D2008" s="1"/>
      <c r="E2008" s="1"/>
      <c r="F2008" s="1"/>
      <c r="G2008" s="1"/>
      <c r="H2008" s="1"/>
      <c r="I2008" s="1"/>
      <c r="J2008" s="1"/>
      <c r="K2008" s="1"/>
      <c r="L2008" s="1"/>
      <c r="M2008" s="1"/>
      <c r="N2008" s="1"/>
    </row>
    <row r="2009" ht="14.5" spans="2:14">
      <c r="B2009" s="1"/>
      <c r="C2009" s="1"/>
      <c r="D2009" s="1"/>
      <c r="E2009" s="1"/>
      <c r="F2009" s="1"/>
      <c r="G2009" s="1"/>
      <c r="H2009" s="1"/>
      <c r="I2009" s="1"/>
      <c r="J2009" s="1"/>
      <c r="K2009" s="1"/>
      <c r="L2009" s="1"/>
      <c r="M2009" s="1"/>
      <c r="N2009" s="1"/>
    </row>
    <row r="2010" ht="14.5" spans="2:14">
      <c r="B2010" s="1"/>
      <c r="C2010" s="1"/>
      <c r="D2010" s="1"/>
      <c r="E2010" s="1"/>
      <c r="F2010" s="1"/>
      <c r="G2010" s="1"/>
      <c r="H2010" s="1"/>
      <c r="I2010" s="1"/>
      <c r="J2010" s="1"/>
      <c r="K2010" s="1"/>
      <c r="L2010" s="1"/>
      <c r="M2010" s="1"/>
      <c r="N2010" s="1"/>
    </row>
    <row r="2011" ht="14.5" spans="2:14">
      <c r="B2011" s="1"/>
      <c r="C2011" s="1"/>
      <c r="D2011" s="1"/>
      <c r="E2011" s="1"/>
      <c r="F2011" s="1"/>
      <c r="G2011" s="1"/>
      <c r="H2011" s="1"/>
      <c r="I2011" s="1"/>
      <c r="J2011" s="1"/>
      <c r="K2011" s="1"/>
      <c r="L2011" s="1"/>
      <c r="M2011" s="1"/>
      <c r="N2011" s="1"/>
    </row>
    <row r="2012" ht="14.5" spans="2:14">
      <c r="B2012" s="1"/>
      <c r="C2012" s="1"/>
      <c r="D2012" s="1"/>
      <c r="E2012" s="1"/>
      <c r="F2012" s="1"/>
      <c r="G2012" s="1"/>
      <c r="H2012" s="1"/>
      <c r="I2012" s="1"/>
      <c r="J2012" s="1"/>
      <c r="K2012" s="1"/>
      <c r="L2012" s="1"/>
      <c r="M2012" s="1"/>
      <c r="N2012" s="1"/>
    </row>
    <row r="2013" ht="14.5" spans="2:14">
      <c r="B2013" s="1"/>
      <c r="C2013" s="1"/>
      <c r="D2013" s="1"/>
      <c r="E2013" s="1"/>
      <c r="F2013" s="1"/>
      <c r="G2013" s="1"/>
      <c r="H2013" s="1"/>
      <c r="I2013" s="1"/>
      <c r="J2013" s="1"/>
      <c r="K2013" s="1"/>
      <c r="L2013" s="1"/>
      <c r="M2013" s="1"/>
      <c r="N2013" s="1"/>
    </row>
    <row r="2014" ht="14.5" spans="2:14">
      <c r="B2014" s="1"/>
      <c r="C2014" s="1"/>
      <c r="D2014" s="1"/>
      <c r="E2014" s="1"/>
      <c r="F2014" s="1"/>
      <c r="G2014" s="1"/>
      <c r="H2014" s="1"/>
      <c r="I2014" s="1"/>
      <c r="J2014" s="1"/>
      <c r="K2014" s="1"/>
      <c r="L2014" s="1"/>
      <c r="M2014" s="1"/>
      <c r="N2014" s="1"/>
    </row>
    <row r="2015" ht="14.5" spans="2:14">
      <c r="B2015" s="1"/>
      <c r="C2015" s="1"/>
      <c r="D2015" s="1"/>
      <c r="E2015" s="1"/>
      <c r="F2015" s="1"/>
      <c r="G2015" s="1"/>
      <c r="H2015" s="1"/>
      <c r="I2015" s="1"/>
      <c r="J2015" s="1"/>
      <c r="K2015" s="1"/>
      <c r="L2015" s="1"/>
      <c r="M2015" s="1"/>
      <c r="N2015" s="1"/>
    </row>
    <row r="2016" ht="14.5" spans="2:14">
      <c r="B2016" s="1"/>
      <c r="C2016" s="1"/>
      <c r="D2016" s="1"/>
      <c r="E2016" s="1"/>
      <c r="F2016" s="1"/>
      <c r="G2016" s="1"/>
      <c r="H2016" s="1"/>
      <c r="I2016" s="1"/>
      <c r="J2016" s="1"/>
      <c r="K2016" s="1"/>
      <c r="L2016" s="1"/>
      <c r="M2016" s="1"/>
      <c r="N2016" s="1"/>
    </row>
    <row r="2017" ht="14.5" spans="2:14">
      <c r="B2017" s="1"/>
      <c r="C2017" s="1"/>
      <c r="D2017" s="1"/>
      <c r="E2017" s="1"/>
      <c r="F2017" s="1"/>
      <c r="G2017" s="1"/>
      <c r="H2017" s="1"/>
      <c r="I2017" s="1"/>
      <c r="J2017" s="1"/>
      <c r="K2017" s="1"/>
      <c r="L2017" s="1"/>
      <c r="M2017" s="1"/>
      <c r="N2017" s="1"/>
    </row>
    <row r="2018" ht="14.5" spans="2:14">
      <c r="B2018" s="1"/>
      <c r="C2018" s="1"/>
      <c r="D2018" s="1"/>
      <c r="E2018" s="1"/>
      <c r="F2018" s="1"/>
      <c r="G2018" s="1"/>
      <c r="H2018" s="1"/>
      <c r="I2018" s="1"/>
      <c r="J2018" s="1"/>
      <c r="K2018" s="1"/>
      <c r="L2018" s="1"/>
      <c r="M2018" s="1"/>
      <c r="N2018" s="1"/>
    </row>
    <row r="2019" ht="14.5" spans="2:14">
      <c r="B2019" s="1"/>
      <c r="C2019" s="1"/>
      <c r="D2019" s="1"/>
      <c r="E2019" s="1"/>
      <c r="F2019" s="1"/>
      <c r="G2019" s="1"/>
      <c r="H2019" s="1"/>
      <c r="I2019" s="1"/>
      <c r="J2019" s="1"/>
      <c r="K2019" s="1"/>
      <c r="L2019" s="1"/>
      <c r="M2019" s="1"/>
      <c r="N2019" s="1"/>
    </row>
    <row r="2020" ht="14.5" spans="2:14">
      <c r="B2020" s="1"/>
      <c r="C2020" s="1"/>
      <c r="D2020" s="1"/>
      <c r="E2020" s="1"/>
      <c r="F2020" s="1"/>
      <c r="G2020" s="1"/>
      <c r="H2020" s="1"/>
      <c r="I2020" s="1"/>
      <c r="J2020" s="1"/>
      <c r="K2020" s="1"/>
      <c r="L2020" s="1"/>
      <c r="M2020" s="1"/>
      <c r="N2020" s="1"/>
    </row>
    <row r="2021" ht="14.5" spans="2:14">
      <c r="B2021" s="1"/>
      <c r="C2021" s="1"/>
      <c r="D2021" s="1"/>
      <c r="E2021" s="1"/>
      <c r="F2021" s="1"/>
      <c r="G2021" s="1"/>
      <c r="H2021" s="1"/>
      <c r="I2021" s="1"/>
      <c r="J2021" s="1"/>
      <c r="K2021" s="1"/>
      <c r="L2021" s="1"/>
      <c r="M2021" s="1"/>
      <c r="N2021" s="1"/>
    </row>
    <row r="2022" ht="14.5" spans="2:14">
      <c r="B2022" s="1"/>
      <c r="C2022" s="1"/>
      <c r="D2022" s="1"/>
      <c r="E2022" s="1"/>
      <c r="F2022" s="1"/>
      <c r="G2022" s="1"/>
      <c r="H2022" s="1"/>
      <c r="I2022" s="1"/>
      <c r="J2022" s="1"/>
      <c r="K2022" s="1"/>
      <c r="L2022" s="1"/>
      <c r="M2022" s="1"/>
      <c r="N2022" s="1"/>
    </row>
    <row r="2023" ht="14.5" spans="2:14">
      <c r="B2023" s="1"/>
      <c r="C2023" s="1"/>
      <c r="D2023" s="1"/>
      <c r="E2023" s="1"/>
      <c r="F2023" s="1"/>
      <c r="G2023" s="1"/>
      <c r="H2023" s="1"/>
      <c r="I2023" s="1"/>
      <c r="J2023" s="1"/>
      <c r="K2023" s="1"/>
      <c r="L2023" s="1"/>
      <c r="M2023" s="1"/>
      <c r="N2023" s="1"/>
    </row>
    <row r="2024" ht="14.5" spans="2:14">
      <c r="B2024" s="1"/>
      <c r="C2024" s="1"/>
      <c r="D2024" s="1"/>
      <c r="E2024" s="1"/>
      <c r="F2024" s="1"/>
      <c r="G2024" s="1"/>
      <c r="H2024" s="1"/>
      <c r="I2024" s="1"/>
      <c r="J2024" s="1"/>
      <c r="K2024" s="1"/>
      <c r="L2024" s="1"/>
      <c r="M2024" s="1"/>
      <c r="N2024" s="1"/>
    </row>
    <row r="2025" ht="14.5" spans="2:14">
      <c r="B2025" s="1"/>
      <c r="C2025" s="1"/>
      <c r="D2025" s="1"/>
      <c r="E2025" s="1"/>
      <c r="F2025" s="1"/>
      <c r="G2025" s="1"/>
      <c r="H2025" s="1"/>
      <c r="I2025" s="1"/>
      <c r="J2025" s="1"/>
      <c r="K2025" s="1"/>
      <c r="L2025" s="1"/>
      <c r="M2025" s="1"/>
      <c r="N2025" s="1"/>
    </row>
    <row r="2026" ht="14.5" spans="2:14">
      <c r="B2026" s="1"/>
      <c r="C2026" s="1"/>
      <c r="D2026" s="1"/>
      <c r="E2026" s="1"/>
      <c r="F2026" s="1"/>
      <c r="G2026" s="1"/>
      <c r="H2026" s="1"/>
      <c r="I2026" s="1"/>
      <c r="J2026" s="1"/>
      <c r="K2026" s="1"/>
      <c r="L2026" s="1"/>
      <c r="M2026" s="1"/>
      <c r="N2026" s="1"/>
    </row>
    <row r="2027" ht="14.5" spans="2:14">
      <c r="B2027" s="1"/>
      <c r="C2027" s="1"/>
      <c r="D2027" s="1"/>
      <c r="E2027" s="1"/>
      <c r="F2027" s="1"/>
      <c r="G2027" s="1"/>
      <c r="H2027" s="1"/>
      <c r="I2027" s="1"/>
      <c r="J2027" s="1"/>
      <c r="K2027" s="1"/>
      <c r="L2027" s="1"/>
      <c r="M2027" s="1"/>
      <c r="N2027" s="1"/>
    </row>
    <row r="2028" ht="14.5" spans="2:14">
      <c r="B2028" s="1"/>
      <c r="C2028" s="1"/>
      <c r="D2028" s="1"/>
      <c r="E2028" s="1"/>
      <c r="F2028" s="1"/>
      <c r="G2028" s="1"/>
      <c r="H2028" s="1"/>
      <c r="I2028" s="1"/>
      <c r="J2028" s="1"/>
      <c r="K2028" s="1"/>
      <c r="L2028" s="1"/>
      <c r="M2028" s="1"/>
      <c r="N2028" s="1"/>
    </row>
    <row r="2029" ht="14.5" spans="2:14">
      <c r="B2029" s="1"/>
      <c r="C2029" s="1"/>
      <c r="D2029" s="1"/>
      <c r="E2029" s="1"/>
      <c r="F2029" s="1"/>
      <c r="G2029" s="1"/>
      <c r="H2029" s="1"/>
      <c r="I2029" s="1"/>
      <c r="J2029" s="1"/>
      <c r="K2029" s="1"/>
      <c r="L2029" s="1"/>
      <c r="M2029" s="1"/>
      <c r="N2029" s="1"/>
    </row>
    <row r="2030" ht="14.5" spans="2:14">
      <c r="B2030" s="1"/>
      <c r="C2030" s="1"/>
      <c r="D2030" s="1"/>
      <c r="E2030" s="1"/>
      <c r="F2030" s="1"/>
      <c r="G2030" s="1"/>
      <c r="H2030" s="1"/>
      <c r="I2030" s="1"/>
      <c r="J2030" s="1"/>
      <c r="K2030" s="1"/>
      <c r="L2030" s="1"/>
      <c r="M2030" s="1"/>
      <c r="N2030" s="1"/>
    </row>
    <row r="2031" ht="14.5" spans="2:14">
      <c r="B2031" s="1"/>
      <c r="C2031" s="1"/>
      <c r="D2031" s="1"/>
      <c r="E2031" s="1"/>
      <c r="F2031" s="1"/>
      <c r="G2031" s="1"/>
      <c r="H2031" s="1"/>
      <c r="I2031" s="1"/>
      <c r="J2031" s="1"/>
      <c r="K2031" s="1"/>
      <c r="L2031" s="1"/>
      <c r="M2031" s="1"/>
      <c r="N2031" s="1"/>
    </row>
    <row r="2032" ht="14.5" spans="2:14">
      <c r="B2032" s="1"/>
      <c r="C2032" s="1"/>
      <c r="D2032" s="1"/>
      <c r="E2032" s="1"/>
      <c r="F2032" s="1"/>
      <c r="G2032" s="1"/>
      <c r="H2032" s="1"/>
      <c r="I2032" s="1"/>
      <c r="J2032" s="1"/>
      <c r="K2032" s="1"/>
      <c r="L2032" s="1"/>
      <c r="M2032" s="1"/>
      <c r="N2032" s="1"/>
    </row>
    <row r="2033" ht="14.5" spans="2:14">
      <c r="B2033" s="1"/>
      <c r="C2033" s="1"/>
      <c r="D2033" s="1"/>
      <c r="E2033" s="1"/>
      <c r="F2033" s="1"/>
      <c r="G2033" s="1"/>
      <c r="H2033" s="1"/>
      <c r="I2033" s="1"/>
      <c r="J2033" s="1"/>
      <c r="K2033" s="1"/>
      <c r="L2033" s="1"/>
      <c r="M2033" s="1"/>
      <c r="N2033" s="1"/>
    </row>
    <row r="2034" ht="14.5" spans="2:14">
      <c r="B2034" s="1"/>
      <c r="C2034" s="1"/>
      <c r="D2034" s="1"/>
      <c r="E2034" s="1"/>
      <c r="F2034" s="1"/>
      <c r="G2034" s="1"/>
      <c r="H2034" s="1"/>
      <c r="I2034" s="1"/>
      <c r="J2034" s="1"/>
      <c r="K2034" s="1"/>
      <c r="L2034" s="1"/>
      <c r="M2034" s="1"/>
      <c r="N2034" s="1"/>
    </row>
    <row r="2035" ht="14.5" spans="2:14">
      <c r="B2035" s="1"/>
      <c r="C2035" s="1"/>
      <c r="D2035" s="1"/>
      <c r="E2035" s="1"/>
      <c r="F2035" s="1"/>
      <c r="G2035" s="1"/>
      <c r="H2035" s="1"/>
      <c r="I2035" s="1"/>
      <c r="J2035" s="1"/>
      <c r="K2035" s="1"/>
      <c r="L2035" s="1"/>
      <c r="M2035" s="1"/>
      <c r="N2035" s="1"/>
    </row>
    <row r="2036" ht="14.5" spans="2:14">
      <c r="B2036" s="1"/>
      <c r="C2036" s="1"/>
      <c r="D2036" s="1"/>
      <c r="E2036" s="1"/>
      <c r="F2036" s="1"/>
      <c r="G2036" s="1"/>
      <c r="H2036" s="1"/>
      <c r="I2036" s="1"/>
      <c r="J2036" s="1"/>
      <c r="K2036" s="1"/>
      <c r="L2036" s="1"/>
      <c r="M2036" s="1"/>
      <c r="N2036" s="1"/>
    </row>
    <row r="2037" ht="14.5" spans="2:14">
      <c r="B2037" s="1"/>
      <c r="C2037" s="1"/>
      <c r="D2037" s="1"/>
      <c r="E2037" s="1"/>
      <c r="F2037" s="1"/>
      <c r="G2037" s="1"/>
      <c r="H2037" s="1"/>
      <c r="I2037" s="1"/>
      <c r="J2037" s="1"/>
      <c r="K2037" s="1"/>
      <c r="L2037" s="1"/>
      <c r="M2037" s="1"/>
      <c r="N2037" s="1"/>
    </row>
    <row r="2038" ht="14.5" spans="2:14">
      <c r="B2038" s="1"/>
      <c r="C2038" s="1"/>
      <c r="D2038" s="1"/>
      <c r="E2038" s="1"/>
      <c r="F2038" s="1"/>
      <c r="G2038" s="1"/>
      <c r="H2038" s="1"/>
      <c r="I2038" s="1"/>
      <c r="J2038" s="1"/>
      <c r="K2038" s="1"/>
      <c r="L2038" s="1"/>
      <c r="M2038" s="1"/>
      <c r="N2038" s="1"/>
    </row>
    <row r="2039" ht="14.5" spans="2:14">
      <c r="B2039" s="1"/>
      <c r="C2039" s="1"/>
      <c r="D2039" s="1"/>
      <c r="E2039" s="1"/>
      <c r="F2039" s="1"/>
      <c r="G2039" s="1"/>
      <c r="H2039" s="1"/>
      <c r="I2039" s="1"/>
      <c r="J2039" s="1"/>
      <c r="K2039" s="1"/>
      <c r="L2039" s="1"/>
      <c r="M2039" s="1"/>
      <c r="N2039" s="1"/>
    </row>
    <row r="2040" ht="14.5" spans="2:14">
      <c r="B2040" s="1"/>
      <c r="C2040" s="1"/>
      <c r="D2040" s="1"/>
      <c r="E2040" s="1"/>
      <c r="F2040" s="1"/>
      <c r="G2040" s="1"/>
      <c r="H2040" s="1"/>
      <c r="I2040" s="1"/>
      <c r="J2040" s="1"/>
      <c r="K2040" s="1"/>
      <c r="L2040" s="1"/>
      <c r="M2040" s="1"/>
      <c r="N2040" s="1"/>
    </row>
    <row r="2041" ht="14.5" spans="2:14">
      <c r="B2041" s="1"/>
      <c r="C2041" s="1"/>
      <c r="D2041" s="1"/>
      <c r="E2041" s="1"/>
      <c r="F2041" s="1"/>
      <c r="G2041" s="1"/>
      <c r="H2041" s="1"/>
      <c r="I2041" s="1"/>
      <c r="J2041" s="1"/>
      <c r="K2041" s="1"/>
      <c r="L2041" s="1"/>
      <c r="M2041" s="1"/>
      <c r="N2041" s="1"/>
    </row>
    <row r="2042" ht="14.5" spans="2:14">
      <c r="B2042" s="1"/>
      <c r="C2042" s="1"/>
      <c r="D2042" s="1"/>
      <c r="E2042" s="1"/>
      <c r="F2042" s="1"/>
      <c r="G2042" s="1"/>
      <c r="H2042" s="1"/>
      <c r="I2042" s="1"/>
      <c r="J2042" s="1"/>
      <c r="K2042" s="1"/>
      <c r="L2042" s="1"/>
      <c r="M2042" s="1"/>
      <c r="N2042" s="1"/>
    </row>
    <row r="2043" ht="14.5" spans="2:14">
      <c r="B2043" s="1"/>
      <c r="C2043" s="1"/>
      <c r="D2043" s="1"/>
      <c r="E2043" s="1"/>
      <c r="F2043" s="1"/>
      <c r="G2043" s="1"/>
      <c r="H2043" s="1"/>
      <c r="I2043" s="1"/>
      <c r="J2043" s="1"/>
      <c r="K2043" s="1"/>
      <c r="L2043" s="1"/>
      <c r="M2043" s="1"/>
      <c r="N2043" s="1"/>
    </row>
    <row r="2044" ht="14.5" spans="2:14">
      <c r="B2044" s="1"/>
      <c r="C2044" s="1"/>
      <c r="D2044" s="1"/>
      <c r="E2044" s="1"/>
      <c r="F2044" s="1"/>
      <c r="G2044" s="1"/>
      <c r="H2044" s="1"/>
      <c r="I2044" s="1"/>
      <c r="J2044" s="1"/>
      <c r="K2044" s="1"/>
      <c r="L2044" s="1"/>
      <c r="M2044" s="1"/>
      <c r="N2044" s="1"/>
    </row>
    <row r="2045" ht="14.5" spans="2:14">
      <c r="B2045" s="1"/>
      <c r="C2045" s="1"/>
      <c r="D2045" s="1"/>
      <c r="E2045" s="1"/>
      <c r="F2045" s="1"/>
      <c r="G2045" s="1"/>
      <c r="H2045" s="1"/>
      <c r="I2045" s="1"/>
      <c r="J2045" s="1"/>
      <c r="K2045" s="1"/>
      <c r="L2045" s="1"/>
      <c r="M2045" s="1"/>
      <c r="N2045" s="1"/>
    </row>
    <row r="2046" ht="14.5" spans="2:14">
      <c r="B2046" s="1"/>
      <c r="C2046" s="1"/>
      <c r="D2046" s="1"/>
      <c r="E2046" s="1"/>
      <c r="F2046" s="1"/>
      <c r="G2046" s="1"/>
      <c r="H2046" s="1"/>
      <c r="I2046" s="1"/>
      <c r="J2046" s="1"/>
      <c r="K2046" s="1"/>
      <c r="L2046" s="1"/>
      <c r="M2046" s="1"/>
      <c r="N2046" s="1"/>
    </row>
    <row r="2047" ht="14.5" spans="2:14">
      <c r="B2047" s="1"/>
      <c r="C2047" s="1"/>
      <c r="D2047" s="1"/>
      <c r="E2047" s="1"/>
      <c r="F2047" s="1"/>
      <c r="G2047" s="1"/>
      <c r="H2047" s="1"/>
      <c r="I2047" s="1"/>
      <c r="J2047" s="1"/>
      <c r="K2047" s="1"/>
      <c r="L2047" s="1"/>
      <c r="M2047" s="1"/>
      <c r="N2047" s="1"/>
    </row>
    <row r="2048" ht="14.5" spans="2:14">
      <c r="B2048" s="1"/>
      <c r="C2048" s="1"/>
      <c r="D2048" s="1"/>
      <c r="E2048" s="1"/>
      <c r="F2048" s="1"/>
      <c r="G2048" s="1"/>
      <c r="H2048" s="1"/>
      <c r="I2048" s="1"/>
      <c r="J2048" s="1"/>
      <c r="K2048" s="1"/>
      <c r="L2048" s="1"/>
      <c r="M2048" s="1"/>
      <c r="N2048" s="1"/>
    </row>
    <row r="2049" ht="14.5" spans="2:14">
      <c r="B2049" s="1"/>
      <c r="C2049" s="1"/>
      <c r="D2049" s="1"/>
      <c r="E2049" s="1"/>
      <c r="F2049" s="1"/>
      <c r="G2049" s="1"/>
      <c r="H2049" s="1"/>
      <c r="I2049" s="1"/>
      <c r="J2049" s="1"/>
      <c r="K2049" s="1"/>
      <c r="L2049" s="1"/>
      <c r="M2049" s="1"/>
      <c r="N2049" s="1"/>
    </row>
    <row r="2050" ht="14.5" spans="2:14">
      <c r="B2050" s="1"/>
      <c r="C2050" s="1"/>
      <c r="D2050" s="1"/>
      <c r="E2050" s="1"/>
      <c r="F2050" s="1"/>
      <c r="G2050" s="1"/>
      <c r="H2050" s="1"/>
      <c r="I2050" s="1"/>
      <c r="J2050" s="1"/>
      <c r="K2050" s="1"/>
      <c r="L2050" s="1"/>
      <c r="M2050" s="1"/>
      <c r="N2050" s="1"/>
    </row>
    <row r="2051" ht="14.5" spans="2:14">
      <c r="B2051" s="1"/>
      <c r="C2051" s="1"/>
      <c r="D2051" s="1"/>
      <c r="E2051" s="1"/>
      <c r="F2051" s="1"/>
      <c r="G2051" s="1"/>
      <c r="H2051" s="1"/>
      <c r="I2051" s="1"/>
      <c r="J2051" s="1"/>
      <c r="K2051" s="1"/>
      <c r="L2051" s="1"/>
      <c r="M2051" s="1"/>
      <c r="N2051" s="1"/>
    </row>
    <row r="2052" ht="14.5" spans="2:14">
      <c r="B2052" s="1"/>
      <c r="C2052" s="1"/>
      <c r="D2052" s="1"/>
      <c r="E2052" s="1"/>
      <c r="F2052" s="1"/>
      <c r="G2052" s="1"/>
      <c r="H2052" s="1"/>
      <c r="I2052" s="1"/>
      <c r="J2052" s="1"/>
      <c r="K2052" s="1"/>
      <c r="L2052" s="1"/>
      <c r="M2052" s="1"/>
      <c r="N2052" s="1"/>
    </row>
    <row r="2053" ht="14.5" spans="2:14">
      <c r="B2053" s="1"/>
      <c r="C2053" s="1"/>
      <c r="D2053" s="1"/>
      <c r="E2053" s="1"/>
      <c r="F2053" s="1"/>
      <c r="G2053" s="1"/>
      <c r="H2053" s="1"/>
      <c r="I2053" s="1"/>
      <c r="J2053" s="1"/>
      <c r="K2053" s="1"/>
      <c r="L2053" s="1"/>
      <c r="M2053" s="1"/>
      <c r="N2053" s="1"/>
    </row>
    <row r="2054" ht="14.5" spans="2:14">
      <c r="B2054" s="1"/>
      <c r="C2054" s="1"/>
      <c r="D2054" s="1"/>
      <c r="E2054" s="1"/>
      <c r="F2054" s="1"/>
      <c r="G2054" s="1"/>
      <c r="H2054" s="1"/>
      <c r="I2054" s="1"/>
      <c r="J2054" s="1"/>
      <c r="K2054" s="1"/>
      <c r="L2054" s="1"/>
      <c r="M2054" s="1"/>
      <c r="N2054" s="1"/>
    </row>
    <row r="2055" ht="14.5" spans="2:14">
      <c r="B2055" s="1"/>
      <c r="C2055" s="1"/>
      <c r="D2055" s="1"/>
      <c r="E2055" s="1"/>
      <c r="F2055" s="1"/>
      <c r="G2055" s="1"/>
      <c r="H2055" s="1"/>
      <c r="I2055" s="1"/>
      <c r="J2055" s="1"/>
      <c r="K2055" s="1"/>
      <c r="L2055" s="1"/>
      <c r="M2055" s="1"/>
      <c r="N2055" s="1"/>
    </row>
    <row r="2056" ht="14.5" spans="2:14">
      <c r="B2056" s="1"/>
      <c r="C2056" s="1"/>
      <c r="D2056" s="1"/>
      <c r="E2056" s="1"/>
      <c r="F2056" s="1"/>
      <c r="G2056" s="1"/>
      <c r="H2056" s="1"/>
      <c r="I2056" s="1"/>
      <c r="J2056" s="1"/>
      <c r="K2056" s="1"/>
      <c r="L2056" s="1"/>
      <c r="M2056" s="1"/>
      <c r="N2056" s="1"/>
    </row>
    <row r="2057" ht="14.5" spans="2:14">
      <c r="B2057" s="1"/>
      <c r="C2057" s="1"/>
      <c r="D2057" s="1"/>
      <c r="E2057" s="1"/>
      <c r="F2057" s="1"/>
      <c r="G2057" s="1"/>
      <c r="H2057" s="1"/>
      <c r="I2057" s="1"/>
      <c r="J2057" s="1"/>
      <c r="K2057" s="1"/>
      <c r="L2057" s="1"/>
      <c r="M2057" s="1"/>
      <c r="N2057" s="1"/>
    </row>
    <row r="2058" ht="14.5" spans="2:14">
      <c r="B2058" s="1"/>
      <c r="C2058" s="1"/>
      <c r="D2058" s="1"/>
      <c r="E2058" s="1"/>
      <c r="F2058" s="1"/>
      <c r="G2058" s="1"/>
      <c r="H2058" s="1"/>
      <c r="I2058" s="1"/>
      <c r="J2058" s="1"/>
      <c r="K2058" s="1"/>
      <c r="L2058" s="1"/>
      <c r="M2058" s="1"/>
      <c r="N2058" s="1"/>
    </row>
    <row r="2059" ht="14.5" spans="2:14">
      <c r="B2059" s="1"/>
      <c r="C2059" s="1"/>
      <c r="D2059" s="1"/>
      <c r="E2059" s="1"/>
      <c r="F2059" s="1"/>
      <c r="G2059" s="1"/>
      <c r="H2059" s="1"/>
      <c r="I2059" s="1"/>
      <c r="J2059" s="1"/>
      <c r="K2059" s="1"/>
      <c r="L2059" s="1"/>
      <c r="M2059" s="1"/>
      <c r="N2059" s="1"/>
    </row>
    <row r="2060" ht="14.5" spans="2:14">
      <c r="B2060" s="1"/>
      <c r="C2060" s="1"/>
      <c r="D2060" s="1"/>
      <c r="E2060" s="1"/>
      <c r="F2060" s="1"/>
      <c r="G2060" s="1"/>
      <c r="H2060" s="1"/>
      <c r="I2060" s="1"/>
      <c r="J2060" s="1"/>
      <c r="K2060" s="1"/>
      <c r="L2060" s="1"/>
      <c r="M2060" s="1"/>
      <c r="N2060" s="1"/>
    </row>
    <row r="2061" ht="14.5" spans="2:14">
      <c r="B2061" s="1"/>
      <c r="C2061" s="1"/>
      <c r="D2061" s="1"/>
      <c r="E2061" s="1"/>
      <c r="F2061" s="1"/>
      <c r="G2061" s="1"/>
      <c r="H2061" s="1"/>
      <c r="I2061" s="1"/>
      <c r="J2061" s="1"/>
      <c r="K2061" s="1"/>
      <c r="L2061" s="1"/>
      <c r="M2061" s="1"/>
      <c r="N2061" s="1"/>
    </row>
    <row r="2062" ht="14.5" spans="2:14">
      <c r="B2062" s="1"/>
      <c r="C2062" s="1"/>
      <c r="D2062" s="1"/>
      <c r="E2062" s="1"/>
      <c r="F2062" s="1"/>
      <c r="G2062" s="1"/>
      <c r="H2062" s="1"/>
      <c r="I2062" s="1"/>
      <c r="J2062" s="1"/>
      <c r="K2062" s="1"/>
      <c r="L2062" s="1"/>
      <c r="M2062" s="1"/>
      <c r="N2062" s="1"/>
    </row>
    <row r="2063" ht="14.5" spans="2:14">
      <c r="B2063" s="1"/>
      <c r="C2063" s="1"/>
      <c r="D2063" s="1"/>
      <c r="E2063" s="1"/>
      <c r="F2063" s="1"/>
      <c r="G2063" s="1"/>
      <c r="H2063" s="1"/>
      <c r="I2063" s="1"/>
      <c r="J2063" s="1"/>
      <c r="K2063" s="1"/>
      <c r="L2063" s="1"/>
      <c r="M2063" s="1"/>
      <c r="N2063" s="1"/>
    </row>
    <row r="2064" ht="14.5" spans="2:14">
      <c r="B2064" s="1"/>
      <c r="C2064" s="1"/>
      <c r="D2064" s="1"/>
      <c r="E2064" s="1"/>
      <c r="F2064" s="1"/>
      <c r="G2064" s="1"/>
      <c r="H2064" s="1"/>
      <c r="I2064" s="1"/>
      <c r="J2064" s="1"/>
      <c r="K2064" s="1"/>
      <c r="L2064" s="1"/>
      <c r="M2064" s="1"/>
      <c r="N2064" s="1"/>
    </row>
    <row r="2065" ht="14.5" spans="2:14">
      <c r="B2065" s="1"/>
      <c r="C2065" s="1"/>
      <c r="D2065" s="1"/>
      <c r="E2065" s="1"/>
      <c r="F2065" s="1"/>
      <c r="G2065" s="1"/>
      <c r="H2065" s="1"/>
      <c r="I2065" s="1"/>
      <c r="J2065" s="1"/>
      <c r="K2065" s="1"/>
      <c r="L2065" s="1"/>
      <c r="M2065" s="1"/>
      <c r="N2065" s="1"/>
    </row>
    <row r="2066" ht="14.5" spans="2:14">
      <c r="B2066" s="1"/>
      <c r="C2066" s="1"/>
      <c r="D2066" s="1"/>
      <c r="E2066" s="1"/>
      <c r="F2066" s="1"/>
      <c r="G2066" s="1"/>
      <c r="H2066" s="1"/>
      <c r="I2066" s="1"/>
      <c r="J2066" s="1"/>
      <c r="K2066" s="1"/>
      <c r="L2066" s="1"/>
      <c r="M2066" s="1"/>
      <c r="N2066" s="1"/>
    </row>
    <row r="2067" ht="14.5" spans="2:14">
      <c r="B2067" s="1"/>
      <c r="C2067" s="1"/>
      <c r="D2067" s="1"/>
      <c r="E2067" s="1"/>
      <c r="F2067" s="1"/>
      <c r="G2067" s="1"/>
      <c r="H2067" s="1"/>
      <c r="I2067" s="1"/>
      <c r="J2067" s="1"/>
      <c r="K2067" s="1"/>
      <c r="L2067" s="1"/>
      <c r="M2067" s="1"/>
      <c r="N2067" s="1"/>
    </row>
    <row r="2068" ht="14.5" spans="2:14">
      <c r="B2068" s="1"/>
      <c r="C2068" s="1"/>
      <c r="D2068" s="1"/>
      <c r="E2068" s="1"/>
      <c r="F2068" s="1"/>
      <c r="G2068" s="1"/>
      <c r="H2068" s="1"/>
      <c r="I2068" s="1"/>
      <c r="J2068" s="1"/>
      <c r="K2068" s="1"/>
      <c r="L2068" s="1"/>
      <c r="M2068" s="1"/>
      <c r="N2068" s="1"/>
    </row>
    <row r="2069" ht="14.5" spans="2:14">
      <c r="B2069" s="1"/>
      <c r="C2069" s="1"/>
      <c r="D2069" s="1"/>
      <c r="E2069" s="1"/>
      <c r="F2069" s="1"/>
      <c r="G2069" s="1"/>
      <c r="H2069" s="1"/>
      <c r="I2069" s="1"/>
      <c r="J2069" s="1"/>
      <c r="K2069" s="1"/>
      <c r="L2069" s="1"/>
      <c r="M2069" s="1"/>
      <c r="N2069" s="1"/>
    </row>
    <row r="2070" ht="14.5" spans="2:14">
      <c r="B2070" s="1"/>
      <c r="C2070" s="1"/>
      <c r="D2070" s="1"/>
      <c r="E2070" s="1"/>
      <c r="F2070" s="1"/>
      <c r="G2070" s="1"/>
      <c r="H2070" s="1"/>
      <c r="I2070" s="1"/>
      <c r="J2070" s="1"/>
      <c r="K2070" s="1"/>
      <c r="L2070" s="1"/>
      <c r="M2070" s="1"/>
      <c r="N2070" s="1"/>
    </row>
    <row r="2071" ht="14.5" spans="2:14">
      <c r="B2071" s="1"/>
      <c r="C2071" s="1"/>
      <c r="D2071" s="1"/>
      <c r="E2071" s="1"/>
      <c r="F2071" s="1"/>
      <c r="G2071" s="1"/>
      <c r="H2071" s="1"/>
      <c r="I2071" s="1"/>
      <c r="J2071" s="1"/>
      <c r="K2071" s="1"/>
      <c r="L2071" s="1"/>
      <c r="M2071" s="1"/>
      <c r="N2071" s="1"/>
    </row>
    <row r="2072" ht="14.5" spans="2:14">
      <c r="B2072" s="1"/>
      <c r="C2072" s="1"/>
      <c r="D2072" s="1"/>
      <c r="E2072" s="1"/>
      <c r="F2072" s="1"/>
      <c r="G2072" s="1"/>
      <c r="H2072" s="1"/>
      <c r="I2072" s="1"/>
      <c r="J2072" s="1"/>
      <c r="K2072" s="1"/>
      <c r="L2072" s="1"/>
      <c r="M2072" s="1"/>
      <c r="N2072" s="1"/>
    </row>
    <row r="2073" ht="14.5" spans="2:14">
      <c r="B2073" s="1"/>
      <c r="C2073" s="1"/>
      <c r="D2073" s="1"/>
      <c r="E2073" s="1"/>
      <c r="F2073" s="1"/>
      <c r="G2073" s="1"/>
      <c r="H2073" s="1"/>
      <c r="I2073" s="1"/>
      <c r="J2073" s="1"/>
      <c r="K2073" s="1"/>
      <c r="L2073" s="1"/>
      <c r="M2073" s="1"/>
      <c r="N2073" s="1"/>
    </row>
    <row r="2074" ht="14.5" spans="2:14">
      <c r="B2074" s="1"/>
      <c r="C2074" s="1"/>
      <c r="D2074" s="1"/>
      <c r="E2074" s="1"/>
      <c r="F2074" s="1"/>
      <c r="G2074" s="1"/>
      <c r="H2074" s="1"/>
      <c r="I2074" s="1"/>
      <c r="J2074" s="1"/>
      <c r="K2074" s="1"/>
      <c r="L2074" s="1"/>
      <c r="M2074" s="1"/>
      <c r="N2074" s="1"/>
    </row>
    <row r="2075" ht="14.5" spans="2:14">
      <c r="B2075" s="1"/>
      <c r="C2075" s="1"/>
      <c r="D2075" s="1"/>
      <c r="E2075" s="1"/>
      <c r="F2075" s="1"/>
      <c r="G2075" s="1"/>
      <c r="H2075" s="1"/>
      <c r="I2075" s="1"/>
      <c r="J2075" s="1"/>
      <c r="K2075" s="1"/>
      <c r="L2075" s="1"/>
      <c r="M2075" s="1"/>
      <c r="N2075" s="1"/>
    </row>
    <row r="2076" ht="14.5" spans="2:14">
      <c r="B2076" s="1"/>
      <c r="C2076" s="1"/>
      <c r="D2076" s="1"/>
      <c r="E2076" s="1"/>
      <c r="F2076" s="1"/>
      <c r="G2076" s="1"/>
      <c r="H2076" s="1"/>
      <c r="I2076" s="1"/>
      <c r="J2076" s="1"/>
      <c r="K2076" s="1"/>
      <c r="L2076" s="1"/>
      <c r="M2076" s="1"/>
      <c r="N2076" s="1"/>
    </row>
    <row r="2077" ht="14.5" spans="2:14">
      <c r="B2077" s="1"/>
      <c r="C2077" s="1"/>
      <c r="D2077" s="1"/>
      <c r="E2077" s="1"/>
      <c r="F2077" s="1"/>
      <c r="G2077" s="1"/>
      <c r="H2077" s="1"/>
      <c r="I2077" s="1"/>
      <c r="J2077" s="1"/>
      <c r="K2077" s="1"/>
      <c r="L2077" s="1"/>
      <c r="M2077" s="1"/>
      <c r="N2077" s="1"/>
    </row>
    <row r="2078" ht="14.5" spans="2:14">
      <c r="B2078" s="1"/>
      <c r="C2078" s="1"/>
      <c r="D2078" s="1"/>
      <c r="E2078" s="1"/>
      <c r="F2078" s="1"/>
      <c r="G2078" s="1"/>
      <c r="H2078" s="1"/>
      <c r="I2078" s="1"/>
      <c r="J2078" s="1"/>
      <c r="K2078" s="1"/>
      <c r="L2078" s="1"/>
      <c r="M2078" s="1"/>
      <c r="N2078" s="1"/>
    </row>
    <row r="2079" ht="14.5" spans="2:14">
      <c r="B2079" s="1"/>
      <c r="C2079" s="1"/>
      <c r="D2079" s="1"/>
      <c r="E2079" s="1"/>
      <c r="F2079" s="1"/>
      <c r="G2079" s="1"/>
      <c r="H2079" s="1"/>
      <c r="I2079" s="1"/>
      <c r="J2079" s="1"/>
      <c r="K2079" s="1"/>
      <c r="L2079" s="1"/>
      <c r="M2079" s="1"/>
      <c r="N2079" s="1"/>
    </row>
    <row r="2080" ht="14.5" spans="2:14">
      <c r="B2080" s="1"/>
      <c r="C2080" s="1"/>
      <c r="D2080" s="1"/>
      <c r="E2080" s="1"/>
      <c r="F2080" s="1"/>
      <c r="G2080" s="1"/>
      <c r="H2080" s="1"/>
      <c r="I2080" s="1"/>
      <c r="J2080" s="1"/>
      <c r="K2080" s="1"/>
      <c r="L2080" s="1"/>
      <c r="M2080" s="1"/>
      <c r="N2080" s="1"/>
    </row>
    <row r="2081" ht="14.5" spans="2:14">
      <c r="B2081" s="1"/>
      <c r="C2081" s="1"/>
      <c r="D2081" s="1"/>
      <c r="E2081" s="1"/>
      <c r="F2081" s="1"/>
      <c r="G2081" s="1"/>
      <c r="H2081" s="1"/>
      <c r="I2081" s="1"/>
      <c r="J2081" s="1"/>
      <c r="K2081" s="1"/>
      <c r="L2081" s="1"/>
      <c r="M2081" s="1"/>
      <c r="N2081" s="1"/>
    </row>
    <row r="2082" ht="14.5" spans="2:14">
      <c r="B2082" s="1"/>
      <c r="C2082" s="1"/>
      <c r="D2082" s="1"/>
      <c r="E2082" s="1"/>
      <c r="F2082" s="1"/>
      <c r="G2082" s="1"/>
      <c r="H2082" s="1"/>
      <c r="I2082" s="1"/>
      <c r="J2082" s="1"/>
      <c r="K2082" s="1"/>
      <c r="L2082" s="1"/>
      <c r="M2082" s="1"/>
      <c r="N2082" s="1"/>
    </row>
    <row r="2083" ht="14.5" spans="2:14">
      <c r="B2083" s="1"/>
      <c r="C2083" s="1"/>
      <c r="D2083" s="1"/>
      <c r="E2083" s="1"/>
      <c r="F2083" s="1"/>
      <c r="G2083" s="1"/>
      <c r="H2083" s="1"/>
      <c r="I2083" s="1"/>
      <c r="J2083" s="1"/>
      <c r="K2083" s="1"/>
      <c r="L2083" s="1"/>
      <c r="M2083" s="1"/>
      <c r="N2083" s="1"/>
    </row>
    <row r="2084" ht="14.5" spans="2:14">
      <c r="B2084" s="1"/>
      <c r="C2084" s="1"/>
      <c r="D2084" s="1"/>
      <c r="E2084" s="1"/>
      <c r="F2084" s="1"/>
      <c r="G2084" s="1"/>
      <c r="H2084" s="1"/>
      <c r="I2084" s="1"/>
      <c r="J2084" s="1"/>
      <c r="K2084" s="1"/>
      <c r="L2084" s="1"/>
      <c r="M2084" s="1"/>
      <c r="N2084" s="1"/>
    </row>
    <row r="2085" ht="14.5" spans="2:14">
      <c r="B2085" s="1"/>
      <c r="C2085" s="1"/>
      <c r="D2085" s="1"/>
      <c r="E2085" s="1"/>
      <c r="F2085" s="1"/>
      <c r="G2085" s="1"/>
      <c r="H2085" s="1"/>
      <c r="I2085" s="1"/>
      <c r="J2085" s="1"/>
      <c r="K2085" s="1"/>
      <c r="L2085" s="1"/>
      <c r="M2085" s="1"/>
      <c r="N2085" s="1"/>
    </row>
    <row r="2086" ht="14.5" spans="2:14">
      <c r="B2086" s="1"/>
      <c r="C2086" s="1"/>
      <c r="D2086" s="1"/>
      <c r="E2086" s="1"/>
      <c r="F2086" s="1"/>
      <c r="G2086" s="1"/>
      <c r="H2086" s="1"/>
      <c r="I2086" s="1"/>
      <c r="J2086" s="1"/>
      <c r="K2086" s="1"/>
      <c r="L2086" s="1"/>
      <c r="M2086" s="1"/>
      <c r="N2086" s="1"/>
    </row>
    <row r="2087" ht="14.5" spans="2:14">
      <c r="B2087" s="1"/>
      <c r="C2087" s="1"/>
      <c r="D2087" s="1"/>
      <c r="E2087" s="1"/>
      <c r="F2087" s="1"/>
      <c r="G2087" s="1"/>
      <c r="H2087" s="1"/>
      <c r="I2087" s="1"/>
      <c r="J2087" s="1"/>
      <c r="K2087" s="1"/>
      <c r="L2087" s="1"/>
      <c r="M2087" s="1"/>
      <c r="N2087" s="1"/>
    </row>
    <row r="2088" ht="14.5" spans="2:14">
      <c r="B2088" s="1"/>
      <c r="C2088" s="1"/>
      <c r="D2088" s="1"/>
      <c r="E2088" s="1"/>
      <c r="F2088" s="1"/>
      <c r="G2088" s="1"/>
      <c r="H2088" s="1"/>
      <c r="I2088" s="1"/>
      <c r="J2088" s="1"/>
      <c r="K2088" s="1"/>
      <c r="L2088" s="1"/>
      <c r="M2088" s="1"/>
      <c r="N2088" s="1"/>
    </row>
    <row r="2089" ht="14.5" spans="2:14">
      <c r="B2089" s="1"/>
      <c r="C2089" s="1"/>
      <c r="D2089" s="1"/>
      <c r="E2089" s="1"/>
      <c r="F2089" s="1"/>
      <c r="G2089" s="1"/>
      <c r="H2089" s="1"/>
      <c r="I2089" s="1"/>
      <c r="J2089" s="1"/>
      <c r="K2089" s="1"/>
      <c r="L2089" s="1"/>
      <c r="M2089" s="1"/>
      <c r="N2089" s="1"/>
    </row>
    <row r="2090" ht="14.5" spans="2:14">
      <c r="B2090" s="1"/>
      <c r="C2090" s="1"/>
      <c r="D2090" s="1"/>
      <c r="E2090" s="1"/>
      <c r="F2090" s="1"/>
      <c r="G2090" s="1"/>
      <c r="H2090" s="1"/>
      <c r="I2090" s="1"/>
      <c r="J2090" s="1"/>
      <c r="K2090" s="1"/>
      <c r="L2090" s="1"/>
      <c r="M2090" s="1"/>
      <c r="N2090" s="1"/>
    </row>
    <row r="2091" ht="14.5" spans="2:14">
      <c r="B2091" s="1"/>
      <c r="C2091" s="1"/>
      <c r="D2091" s="1"/>
      <c r="E2091" s="1"/>
      <c r="F2091" s="1"/>
      <c r="G2091" s="1"/>
      <c r="H2091" s="1"/>
      <c r="I2091" s="1"/>
      <c r="J2091" s="1"/>
      <c r="K2091" s="1"/>
      <c r="L2091" s="1"/>
      <c r="M2091" s="1"/>
      <c r="N2091" s="1"/>
    </row>
    <row r="2092" ht="14.5" spans="2:14">
      <c r="B2092" s="1"/>
      <c r="C2092" s="1"/>
      <c r="D2092" s="1"/>
      <c r="E2092" s="1"/>
      <c r="F2092" s="1"/>
      <c r="G2092" s="1"/>
      <c r="H2092" s="1"/>
      <c r="I2092" s="1"/>
      <c r="J2092" s="1"/>
      <c r="K2092" s="1"/>
      <c r="L2092" s="1"/>
      <c r="M2092" s="1"/>
      <c r="N2092" s="1"/>
    </row>
    <row r="2093" ht="14.5" spans="2:14">
      <c r="B2093" s="1"/>
      <c r="C2093" s="1"/>
      <c r="D2093" s="1"/>
      <c r="E2093" s="1"/>
      <c r="F2093" s="1"/>
      <c r="G2093" s="1"/>
      <c r="H2093" s="1"/>
      <c r="I2093" s="1"/>
      <c r="J2093" s="1"/>
      <c r="K2093" s="1"/>
      <c r="L2093" s="1"/>
      <c r="M2093" s="1"/>
      <c r="N2093" s="1"/>
    </row>
    <row r="2094" ht="14.5" spans="2:14">
      <c r="B2094" s="1"/>
      <c r="C2094" s="1"/>
      <c r="D2094" s="1"/>
      <c r="E2094" s="1"/>
      <c r="F2094" s="1"/>
      <c r="G2094" s="1"/>
      <c r="H2094" s="1"/>
      <c r="I2094" s="1"/>
      <c r="J2094" s="1"/>
      <c r="K2094" s="1"/>
      <c r="L2094" s="1"/>
      <c r="M2094" s="1"/>
      <c r="N2094" s="1"/>
    </row>
    <row r="2095" ht="14.5" spans="2:14">
      <c r="B2095" s="1"/>
      <c r="C2095" s="1"/>
      <c r="D2095" s="1"/>
      <c r="E2095" s="1"/>
      <c r="F2095" s="1"/>
      <c r="G2095" s="1"/>
      <c r="H2095" s="1"/>
      <c r="I2095" s="1"/>
      <c r="J2095" s="1"/>
      <c r="K2095" s="1"/>
      <c r="L2095" s="1"/>
      <c r="M2095" s="1"/>
      <c r="N2095" s="1"/>
    </row>
    <row r="2096" ht="14.5" spans="2:14">
      <c r="B2096" s="1"/>
      <c r="C2096" s="1"/>
      <c r="D2096" s="1"/>
      <c r="E2096" s="1"/>
      <c r="F2096" s="1"/>
      <c r="G2096" s="1"/>
      <c r="H2096" s="1"/>
      <c r="I2096" s="1"/>
      <c r="J2096" s="1"/>
      <c r="K2096" s="1"/>
      <c r="L2096" s="1"/>
      <c r="M2096" s="1"/>
      <c r="N2096" s="1"/>
    </row>
    <row r="2097" ht="14.5" spans="2:14">
      <c r="B2097" s="1"/>
      <c r="C2097" s="1"/>
      <c r="D2097" s="1"/>
      <c r="E2097" s="1"/>
      <c r="F2097" s="1"/>
      <c r="G2097" s="1"/>
      <c r="H2097" s="1"/>
      <c r="I2097" s="1"/>
      <c r="J2097" s="1"/>
      <c r="K2097" s="1"/>
      <c r="L2097" s="1"/>
      <c r="M2097" s="1"/>
      <c r="N2097" s="1"/>
    </row>
    <row r="2098" ht="14.5" spans="2:14">
      <c r="B2098" s="1"/>
      <c r="C2098" s="1"/>
      <c r="D2098" s="1"/>
      <c r="E2098" s="1"/>
      <c r="F2098" s="1"/>
      <c r="G2098" s="1"/>
      <c r="H2098" s="1"/>
      <c r="I2098" s="1"/>
      <c r="J2098" s="1"/>
      <c r="K2098" s="1"/>
      <c r="L2098" s="1"/>
      <c r="M2098" s="1"/>
      <c r="N2098" s="1"/>
    </row>
    <row r="2099" ht="14.5" spans="2:14">
      <c r="B2099" s="1"/>
      <c r="C2099" s="1"/>
      <c r="D2099" s="1"/>
      <c r="E2099" s="1"/>
      <c r="F2099" s="1"/>
      <c r="G2099" s="1"/>
      <c r="H2099" s="1"/>
      <c r="I2099" s="1"/>
      <c r="J2099" s="1"/>
      <c r="K2099" s="1"/>
      <c r="L2099" s="1"/>
      <c r="M2099" s="1"/>
      <c r="N2099" s="1"/>
    </row>
    <row r="2100" ht="14.5" spans="2:14">
      <c r="B2100" s="1"/>
      <c r="C2100" s="1"/>
      <c r="D2100" s="1"/>
      <c r="E2100" s="1"/>
      <c r="F2100" s="1"/>
      <c r="G2100" s="1"/>
      <c r="H2100" s="1"/>
      <c r="I2100" s="1"/>
      <c r="J2100" s="1"/>
      <c r="K2100" s="1"/>
      <c r="L2100" s="1"/>
      <c r="M2100" s="1"/>
      <c r="N2100" s="1"/>
    </row>
    <row r="2101" ht="14.5" spans="2:14">
      <c r="B2101" s="1"/>
      <c r="C2101" s="1"/>
      <c r="D2101" s="1"/>
      <c r="E2101" s="1"/>
      <c r="F2101" s="1"/>
      <c r="G2101" s="1"/>
      <c r="H2101" s="1"/>
      <c r="I2101" s="1"/>
      <c r="J2101" s="1"/>
      <c r="K2101" s="1"/>
      <c r="L2101" s="1"/>
      <c r="M2101" s="1"/>
      <c r="N2101" s="1"/>
    </row>
    <row r="2102" ht="14.5" spans="2:14">
      <c r="B2102" s="1"/>
      <c r="C2102" s="1"/>
      <c r="D2102" s="1"/>
      <c r="E2102" s="1"/>
      <c r="F2102" s="1"/>
      <c r="G2102" s="1"/>
      <c r="H2102" s="1"/>
      <c r="I2102" s="1"/>
      <c r="J2102" s="1"/>
      <c r="K2102" s="1"/>
      <c r="L2102" s="1"/>
      <c r="M2102" s="1"/>
      <c r="N2102" s="1"/>
    </row>
    <row r="2103" ht="14.5" spans="2:14">
      <c r="B2103" s="1"/>
      <c r="C2103" s="1"/>
      <c r="D2103" s="1"/>
      <c r="E2103" s="1"/>
      <c r="F2103" s="1"/>
      <c r="G2103" s="1"/>
      <c r="H2103" s="1"/>
      <c r="I2103" s="1"/>
      <c r="J2103" s="1"/>
      <c r="K2103" s="1"/>
      <c r="L2103" s="1"/>
      <c r="M2103" s="1"/>
      <c r="N2103" s="1"/>
    </row>
    <row r="2104" ht="14.5" spans="2:14">
      <c r="B2104" s="1"/>
      <c r="C2104" s="1"/>
      <c r="D2104" s="1"/>
      <c r="E2104" s="1"/>
      <c r="F2104" s="1"/>
      <c r="G2104" s="1"/>
      <c r="H2104" s="1"/>
      <c r="I2104" s="1"/>
      <c r="J2104" s="1"/>
      <c r="K2104" s="1"/>
      <c r="L2104" s="1"/>
      <c r="M2104" s="1"/>
      <c r="N2104" s="1"/>
    </row>
    <row r="2105" ht="14.5" spans="2:14">
      <c r="B2105" s="1"/>
      <c r="C2105" s="1"/>
      <c r="D2105" s="1"/>
      <c r="E2105" s="1"/>
      <c r="F2105" s="1"/>
      <c r="G2105" s="1"/>
      <c r="H2105" s="1"/>
      <c r="I2105" s="1"/>
      <c r="J2105" s="1"/>
      <c r="K2105" s="1"/>
      <c r="L2105" s="1"/>
      <c r="M2105" s="1"/>
      <c r="N2105" s="1"/>
    </row>
    <row r="2106" ht="14.5" spans="2:14">
      <c r="B2106" s="1"/>
      <c r="C2106" s="1"/>
      <c r="D2106" s="1"/>
      <c r="E2106" s="1"/>
      <c r="F2106" s="1"/>
      <c r="G2106" s="1"/>
      <c r="H2106" s="1"/>
      <c r="I2106" s="1"/>
      <c r="J2106" s="1"/>
      <c r="K2106" s="1"/>
      <c r="L2106" s="1"/>
      <c r="M2106" s="1"/>
      <c r="N2106" s="1"/>
    </row>
    <row r="2107" ht="14.5" spans="2:14">
      <c r="B2107" s="1"/>
      <c r="C2107" s="1"/>
      <c r="D2107" s="1"/>
      <c r="E2107" s="1"/>
      <c r="F2107" s="1"/>
      <c r="G2107" s="1"/>
      <c r="H2107" s="1"/>
      <c r="I2107" s="1"/>
      <c r="J2107" s="1"/>
      <c r="K2107" s="1"/>
      <c r="L2107" s="1"/>
      <c r="M2107" s="1"/>
      <c r="N2107" s="1"/>
    </row>
    <row r="2108" ht="14.5" spans="2:14">
      <c r="B2108" s="1"/>
      <c r="C2108" s="1"/>
      <c r="D2108" s="1"/>
      <c r="E2108" s="1"/>
      <c r="F2108" s="1"/>
      <c r="G2108" s="1"/>
      <c r="H2108" s="1"/>
      <c r="I2108" s="1"/>
      <c r="J2108" s="1"/>
      <c r="K2108" s="1"/>
      <c r="L2108" s="1"/>
      <c r="M2108" s="1"/>
      <c r="N2108" s="1"/>
    </row>
    <row r="2109" ht="14.5" spans="2:14">
      <c r="B2109" s="1"/>
      <c r="C2109" s="1"/>
      <c r="D2109" s="1"/>
      <c r="E2109" s="1"/>
      <c r="F2109" s="1"/>
      <c r="G2109" s="1"/>
      <c r="H2109" s="1"/>
      <c r="I2109" s="1"/>
      <c r="J2109" s="1"/>
      <c r="K2109" s="1"/>
      <c r="L2109" s="1"/>
      <c r="M2109" s="1"/>
      <c r="N2109" s="1"/>
    </row>
    <row r="2110" ht="14.5" spans="2:14">
      <c r="B2110" s="1"/>
      <c r="C2110" s="1"/>
      <c r="D2110" s="1"/>
      <c r="E2110" s="1"/>
      <c r="F2110" s="1"/>
      <c r="G2110" s="1"/>
      <c r="H2110" s="1"/>
      <c r="I2110" s="1"/>
      <c r="J2110" s="1"/>
      <c r="K2110" s="1"/>
      <c r="L2110" s="1"/>
      <c r="M2110" s="1"/>
      <c r="N2110" s="1"/>
    </row>
    <row r="2111" ht="14.5" spans="2:14">
      <c r="B2111" s="1"/>
      <c r="C2111" s="1"/>
      <c r="D2111" s="1"/>
      <c r="E2111" s="1"/>
      <c r="F2111" s="1"/>
      <c r="G2111" s="1"/>
      <c r="H2111" s="1"/>
      <c r="I2111" s="1"/>
      <c r="J2111" s="1"/>
      <c r="K2111" s="1"/>
      <c r="L2111" s="1"/>
      <c r="M2111" s="1"/>
      <c r="N2111" s="1"/>
    </row>
    <row r="2112" ht="14.5" spans="2:14">
      <c r="B2112" s="1"/>
      <c r="C2112" s="1"/>
      <c r="D2112" s="1"/>
      <c r="E2112" s="1"/>
      <c r="F2112" s="1"/>
      <c r="G2112" s="1"/>
      <c r="H2112" s="1"/>
      <c r="I2112" s="1"/>
      <c r="J2112" s="1"/>
      <c r="K2112" s="1"/>
      <c r="L2112" s="1"/>
      <c r="M2112" s="1"/>
      <c r="N2112" s="1"/>
    </row>
    <row r="2113" ht="14.5" spans="2:14">
      <c r="B2113" s="1"/>
      <c r="C2113" s="1"/>
      <c r="D2113" s="1"/>
      <c r="E2113" s="1"/>
      <c r="F2113" s="1"/>
      <c r="G2113" s="1"/>
      <c r="H2113" s="1"/>
      <c r="I2113" s="1"/>
      <c r="J2113" s="1"/>
      <c r="K2113" s="1"/>
      <c r="L2113" s="1"/>
      <c r="M2113" s="1"/>
      <c r="N2113" s="1"/>
    </row>
    <row r="2114" ht="14.5" spans="2:14">
      <c r="B2114" s="1"/>
      <c r="C2114" s="1"/>
      <c r="D2114" s="1"/>
      <c r="E2114" s="1"/>
      <c r="F2114" s="1"/>
      <c r="G2114" s="1"/>
      <c r="H2114" s="1"/>
      <c r="I2114" s="1"/>
      <c r="J2114" s="1"/>
      <c r="K2114" s="1"/>
      <c r="L2114" s="1"/>
      <c r="M2114" s="1"/>
      <c r="N2114" s="1"/>
    </row>
    <row r="2115" ht="14.5" spans="2:14">
      <c r="B2115" s="1"/>
      <c r="C2115" s="1"/>
      <c r="D2115" s="1"/>
      <c r="E2115" s="1"/>
      <c r="F2115" s="1"/>
      <c r="G2115" s="1"/>
      <c r="H2115" s="1"/>
      <c r="I2115" s="1"/>
      <c r="J2115" s="1"/>
      <c r="K2115" s="1"/>
      <c r="L2115" s="1"/>
      <c r="M2115" s="1"/>
      <c r="N2115" s="1"/>
    </row>
    <row r="2116" ht="14.5" spans="2:14">
      <c r="B2116" s="1"/>
      <c r="C2116" s="1"/>
      <c r="D2116" s="1"/>
      <c r="E2116" s="1"/>
      <c r="F2116" s="1"/>
      <c r="G2116" s="1"/>
      <c r="H2116" s="1"/>
      <c r="I2116" s="1"/>
      <c r="J2116" s="1"/>
      <c r="K2116" s="1"/>
      <c r="L2116" s="1"/>
      <c r="M2116" s="1"/>
      <c r="N2116" s="1"/>
    </row>
    <row r="2117" ht="14.5" spans="2:14">
      <c r="B2117" s="1"/>
      <c r="C2117" s="1"/>
      <c r="D2117" s="1"/>
      <c r="E2117" s="1"/>
      <c r="F2117" s="1"/>
      <c r="G2117" s="1"/>
      <c r="H2117" s="1"/>
      <c r="I2117" s="1"/>
      <c r="J2117" s="1"/>
      <c r="K2117" s="1"/>
      <c r="L2117" s="1"/>
      <c r="M2117" s="1"/>
      <c r="N2117" s="1"/>
    </row>
    <row r="2118" ht="14.5" spans="2:14">
      <c r="B2118" s="1"/>
      <c r="C2118" s="1"/>
      <c r="D2118" s="1"/>
      <c r="E2118" s="1"/>
      <c r="F2118" s="1"/>
      <c r="G2118" s="1"/>
      <c r="H2118" s="1"/>
      <c r="I2118" s="1"/>
      <c r="J2118" s="1"/>
      <c r="K2118" s="1"/>
      <c r="L2118" s="1"/>
      <c r="M2118" s="1"/>
      <c r="N2118" s="1"/>
    </row>
    <row r="2119" ht="14.5" spans="2:14">
      <c r="B2119" s="1"/>
      <c r="C2119" s="1"/>
      <c r="D2119" s="1"/>
      <c r="E2119" s="1"/>
      <c r="F2119" s="1"/>
      <c r="G2119" s="1"/>
      <c r="H2119" s="1"/>
      <c r="I2119" s="1"/>
      <c r="J2119" s="1"/>
      <c r="K2119" s="1"/>
      <c r="L2119" s="1"/>
      <c r="M2119" s="1"/>
      <c r="N2119" s="1"/>
    </row>
    <row r="2120" ht="14.5" spans="2:14">
      <c r="B2120" s="1"/>
      <c r="C2120" s="1"/>
      <c r="D2120" s="1"/>
      <c r="E2120" s="1"/>
      <c r="F2120" s="1"/>
      <c r="G2120" s="1"/>
      <c r="H2120" s="1"/>
      <c r="I2120" s="1"/>
      <c r="J2120" s="1"/>
      <c r="K2120" s="1"/>
      <c r="L2120" s="1"/>
      <c r="M2120" s="1"/>
      <c r="N2120" s="1"/>
    </row>
    <row r="2121" ht="14.5" spans="2:14">
      <c r="B2121" s="1"/>
      <c r="C2121" s="1"/>
      <c r="D2121" s="1"/>
      <c r="E2121" s="1"/>
      <c r="F2121" s="1"/>
      <c r="G2121" s="1"/>
      <c r="H2121" s="1"/>
      <c r="I2121" s="1"/>
      <c r="J2121" s="1"/>
      <c r="K2121" s="1"/>
      <c r="L2121" s="1"/>
      <c r="M2121" s="1"/>
      <c r="N2121" s="1"/>
    </row>
    <row r="2122" ht="14.5" spans="2:14">
      <c r="B2122" s="1"/>
      <c r="C2122" s="1"/>
      <c r="D2122" s="1"/>
      <c r="E2122" s="1"/>
      <c r="F2122" s="1"/>
      <c r="G2122" s="1"/>
      <c r="H2122" s="1"/>
      <c r="I2122" s="1"/>
      <c r="J2122" s="1"/>
      <c r="K2122" s="1"/>
      <c r="L2122" s="1"/>
      <c r="M2122" s="1"/>
      <c r="N2122" s="1"/>
    </row>
    <row r="2123" ht="14.5" spans="2:14">
      <c r="B2123" s="1"/>
      <c r="C2123" s="1"/>
      <c r="D2123" s="1"/>
      <c r="E2123" s="1"/>
      <c r="F2123" s="1"/>
      <c r="G2123" s="1"/>
      <c r="H2123" s="1"/>
      <c r="I2123" s="1"/>
      <c r="J2123" s="1"/>
      <c r="K2123" s="1"/>
      <c r="L2123" s="1"/>
      <c r="M2123" s="1"/>
      <c r="N2123" s="1"/>
    </row>
    <row r="2124" ht="14.5" spans="2:14">
      <c r="B2124" s="1"/>
      <c r="C2124" s="1"/>
      <c r="D2124" s="1"/>
      <c r="E2124" s="1"/>
      <c r="F2124" s="1"/>
      <c r="G2124" s="1"/>
      <c r="H2124" s="1"/>
      <c r="I2124" s="1"/>
      <c r="J2124" s="1"/>
      <c r="K2124" s="1"/>
      <c r="L2124" s="1"/>
      <c r="M2124" s="1"/>
      <c r="N2124" s="1"/>
    </row>
    <row r="2125" ht="14.5" spans="2:14">
      <c r="B2125" s="1"/>
      <c r="C2125" s="1"/>
      <c r="D2125" s="1"/>
      <c r="E2125" s="1"/>
      <c r="F2125" s="1"/>
      <c r="G2125" s="1"/>
      <c r="H2125" s="1"/>
      <c r="I2125" s="1"/>
      <c r="J2125" s="1"/>
      <c r="K2125" s="1"/>
      <c r="L2125" s="1"/>
      <c r="M2125" s="1"/>
      <c r="N2125" s="1"/>
    </row>
    <row r="2126" ht="14.5" spans="2:14">
      <c r="B2126" s="1"/>
      <c r="C2126" s="1"/>
      <c r="D2126" s="1"/>
      <c r="E2126" s="1"/>
      <c r="F2126" s="1"/>
      <c r="G2126" s="1"/>
      <c r="H2126" s="1"/>
      <c r="I2126" s="1"/>
      <c r="J2126" s="1"/>
      <c r="K2126" s="1"/>
      <c r="L2126" s="1"/>
      <c r="M2126" s="1"/>
      <c r="N2126" s="1"/>
    </row>
    <row r="2127" ht="14.5" spans="2:14">
      <c r="B2127" s="1"/>
      <c r="C2127" s="1"/>
      <c r="D2127" s="1"/>
      <c r="E2127" s="1"/>
      <c r="F2127" s="1"/>
      <c r="G2127" s="1"/>
      <c r="H2127" s="1"/>
      <c r="I2127" s="1"/>
      <c r="J2127" s="1"/>
      <c r="K2127" s="1"/>
      <c r="L2127" s="1"/>
      <c r="M2127" s="1"/>
      <c r="N2127" s="1"/>
    </row>
    <row r="2128" ht="14.5" spans="2:14">
      <c r="B2128" s="1"/>
      <c r="C2128" s="1"/>
      <c r="D2128" s="1"/>
      <c r="E2128" s="1"/>
      <c r="F2128" s="1"/>
      <c r="G2128" s="1"/>
      <c r="H2128" s="1"/>
      <c r="I2128" s="1"/>
      <c r="J2128" s="1"/>
      <c r="K2128" s="1"/>
      <c r="L2128" s="1"/>
      <c r="M2128" s="1"/>
      <c r="N2128" s="1"/>
    </row>
    <row r="2129" ht="14.5" spans="2:14">
      <c r="B2129" s="1"/>
      <c r="C2129" s="1"/>
      <c r="D2129" s="1"/>
      <c r="E2129" s="1"/>
      <c r="F2129" s="1"/>
      <c r="G2129" s="1"/>
      <c r="H2129" s="1"/>
      <c r="I2129" s="1"/>
      <c r="J2129" s="1"/>
      <c r="K2129" s="1"/>
      <c r="L2129" s="1"/>
      <c r="M2129" s="1"/>
      <c r="N2129" s="1"/>
    </row>
    <row r="2130" ht="14.5" spans="2:14">
      <c r="B2130" s="1"/>
      <c r="C2130" s="1"/>
      <c r="D2130" s="1"/>
      <c r="E2130" s="1"/>
      <c r="F2130" s="1"/>
      <c r="G2130" s="1"/>
      <c r="H2130" s="1"/>
      <c r="I2130" s="1"/>
      <c r="J2130" s="1"/>
      <c r="K2130" s="1"/>
      <c r="L2130" s="1"/>
      <c r="M2130" s="1"/>
      <c r="N2130" s="1"/>
    </row>
    <row r="2131" ht="14.5" spans="2:14">
      <c r="B2131" s="1"/>
      <c r="C2131" s="1"/>
      <c r="D2131" s="1"/>
      <c r="E2131" s="1"/>
      <c r="F2131" s="1"/>
      <c r="G2131" s="1"/>
      <c r="H2131" s="1"/>
      <c r="I2131" s="1"/>
      <c r="J2131" s="1"/>
      <c r="K2131" s="1"/>
      <c r="L2131" s="1"/>
      <c r="M2131" s="1"/>
      <c r="N2131" s="1"/>
    </row>
    <row r="2132" ht="14.5" spans="2:14">
      <c r="B2132" s="1"/>
      <c r="C2132" s="1"/>
      <c r="D2132" s="1"/>
      <c r="E2132" s="1"/>
      <c r="F2132" s="1"/>
      <c r="G2132" s="1"/>
      <c r="H2132" s="1"/>
      <c r="I2132" s="1"/>
      <c r="J2132" s="1"/>
      <c r="K2132" s="1"/>
      <c r="L2132" s="1"/>
      <c r="M2132" s="1"/>
      <c r="N2132" s="1"/>
    </row>
    <row r="2133" ht="14.5" spans="2:14">
      <c r="B2133" s="1"/>
      <c r="C2133" s="1"/>
      <c r="D2133" s="1"/>
      <c r="E2133" s="1"/>
      <c r="F2133" s="1"/>
      <c r="G2133" s="1"/>
      <c r="H2133" s="1"/>
      <c r="I2133" s="1"/>
      <c r="J2133" s="1"/>
      <c r="K2133" s="1"/>
      <c r="L2133" s="1"/>
      <c r="M2133" s="1"/>
      <c r="N2133" s="1"/>
    </row>
    <row r="2134" ht="14.5" spans="2:14">
      <c r="B2134" s="1"/>
      <c r="C2134" s="1"/>
      <c r="D2134" s="1"/>
      <c r="E2134" s="1"/>
      <c r="F2134" s="1"/>
      <c r="G2134" s="1"/>
      <c r="H2134" s="1"/>
      <c r="I2134" s="1"/>
      <c r="J2134" s="1"/>
      <c r="K2134" s="1"/>
      <c r="L2134" s="1"/>
      <c r="M2134" s="1"/>
      <c r="N2134" s="1"/>
    </row>
    <row r="2135" ht="14.5" spans="2:14">
      <c r="B2135" s="1"/>
      <c r="C2135" s="1"/>
      <c r="D2135" s="1"/>
      <c r="E2135" s="1"/>
      <c r="F2135" s="1"/>
      <c r="G2135" s="1"/>
      <c r="H2135" s="1"/>
      <c r="I2135" s="1"/>
      <c r="J2135" s="1"/>
      <c r="K2135" s="1"/>
      <c r="L2135" s="1"/>
      <c r="M2135" s="1"/>
      <c r="N2135" s="1"/>
    </row>
    <row r="2136" ht="14.5" spans="2:14">
      <c r="B2136" s="1"/>
      <c r="C2136" s="1"/>
      <c r="D2136" s="1"/>
      <c r="E2136" s="1"/>
      <c r="F2136" s="1"/>
      <c r="G2136" s="1"/>
      <c r="H2136" s="1"/>
      <c r="I2136" s="1"/>
      <c r="J2136" s="1"/>
      <c r="K2136" s="1"/>
      <c r="L2136" s="1"/>
      <c r="M2136" s="1"/>
      <c r="N2136" s="1"/>
    </row>
    <row r="2137" ht="14.5" spans="2:14">
      <c r="B2137" s="1"/>
      <c r="C2137" s="1"/>
      <c r="D2137" s="1"/>
      <c r="E2137" s="1"/>
      <c r="F2137" s="1"/>
      <c r="G2137" s="1"/>
      <c r="H2137" s="1"/>
      <c r="I2137" s="1"/>
      <c r="J2137" s="1"/>
      <c r="K2137" s="1"/>
      <c r="L2137" s="1"/>
      <c r="M2137" s="1"/>
      <c r="N2137" s="1"/>
    </row>
    <row r="2138" ht="14.5" spans="2:14">
      <c r="B2138" s="1"/>
      <c r="C2138" s="1"/>
      <c r="D2138" s="1"/>
      <c r="E2138" s="1"/>
      <c r="F2138" s="1"/>
      <c r="G2138" s="1"/>
      <c r="H2138" s="1"/>
      <c r="I2138" s="1"/>
      <c r="J2138" s="1"/>
      <c r="K2138" s="1"/>
      <c r="L2138" s="1"/>
      <c r="M2138" s="1"/>
      <c r="N2138" s="1"/>
    </row>
    <row r="2139" ht="14.5" spans="2:14">
      <c r="B2139" s="1"/>
      <c r="C2139" s="1"/>
      <c r="D2139" s="1"/>
      <c r="E2139" s="1"/>
      <c r="F2139" s="1"/>
      <c r="G2139" s="1"/>
      <c r="H2139" s="1"/>
      <c r="I2139" s="1"/>
      <c r="J2139" s="1"/>
      <c r="K2139" s="1"/>
      <c r="L2139" s="1"/>
      <c r="M2139" s="1"/>
      <c r="N2139" s="1"/>
    </row>
    <row r="2140" ht="14.5" spans="2:14">
      <c r="B2140" s="1"/>
      <c r="C2140" s="1"/>
      <c r="D2140" s="1"/>
      <c r="E2140" s="1"/>
      <c r="F2140" s="1"/>
      <c r="G2140" s="1"/>
      <c r="H2140" s="1"/>
      <c r="I2140" s="1"/>
      <c r="J2140" s="1"/>
      <c r="K2140" s="1"/>
      <c r="L2140" s="1"/>
      <c r="M2140" s="1"/>
      <c r="N2140" s="1"/>
    </row>
    <row r="2141" ht="14.5" spans="2:14">
      <c r="B2141" s="1"/>
      <c r="C2141" s="1"/>
      <c r="D2141" s="1"/>
      <c r="E2141" s="1"/>
      <c r="F2141" s="1"/>
      <c r="G2141" s="1"/>
      <c r="H2141" s="1"/>
      <c r="I2141" s="1"/>
      <c r="J2141" s="1"/>
      <c r="K2141" s="1"/>
      <c r="L2141" s="1"/>
      <c r="M2141" s="1"/>
      <c r="N2141" s="1"/>
    </row>
    <row r="2142" ht="14.5" spans="2:14">
      <c r="B2142" s="1"/>
      <c r="C2142" s="1"/>
      <c r="D2142" s="1"/>
      <c r="E2142" s="1"/>
      <c r="F2142" s="1"/>
      <c r="G2142" s="1"/>
      <c r="H2142" s="1"/>
      <c r="I2142" s="1"/>
      <c r="J2142" s="1"/>
      <c r="K2142" s="1"/>
      <c r="L2142" s="1"/>
      <c r="M2142" s="1"/>
      <c r="N2142" s="1"/>
    </row>
    <row r="2143" ht="14.5" spans="2:14">
      <c r="B2143" s="1"/>
      <c r="C2143" s="1"/>
      <c r="D2143" s="1"/>
      <c r="E2143" s="1"/>
      <c r="F2143" s="1"/>
      <c r="G2143" s="1"/>
      <c r="H2143" s="1"/>
      <c r="I2143" s="1"/>
      <c r="J2143" s="1"/>
      <c r="K2143" s="1"/>
      <c r="L2143" s="1"/>
      <c r="M2143" s="1"/>
      <c r="N2143" s="1"/>
    </row>
    <row r="2144" ht="14.5" spans="2:14">
      <c r="B2144" s="1"/>
      <c r="C2144" s="1"/>
      <c r="D2144" s="1"/>
      <c r="E2144" s="1"/>
      <c r="F2144" s="1"/>
      <c r="G2144" s="1"/>
      <c r="H2144" s="1"/>
      <c r="I2144" s="1"/>
      <c r="J2144" s="1"/>
      <c r="K2144" s="1"/>
      <c r="L2144" s="1"/>
      <c r="M2144" s="1"/>
      <c r="N2144" s="1"/>
    </row>
    <row r="2145" ht="14.5" spans="2:14">
      <c r="B2145" s="1"/>
      <c r="C2145" s="1"/>
      <c r="D2145" s="1"/>
      <c r="E2145" s="1"/>
      <c r="F2145" s="1"/>
      <c r="G2145" s="1"/>
      <c r="H2145" s="1"/>
      <c r="I2145" s="1"/>
      <c r="J2145" s="1"/>
      <c r="K2145" s="1"/>
      <c r="L2145" s="1"/>
      <c r="M2145" s="1"/>
      <c r="N2145" s="1"/>
    </row>
    <row r="2146" ht="14.5" spans="2:14">
      <c r="B2146" s="1"/>
      <c r="C2146" s="1"/>
      <c r="D2146" s="1"/>
      <c r="E2146" s="1"/>
      <c r="F2146" s="1"/>
      <c r="G2146" s="1"/>
      <c r="H2146" s="1"/>
      <c r="I2146" s="1"/>
      <c r="J2146" s="1"/>
      <c r="K2146" s="1"/>
      <c r="L2146" s="1"/>
      <c r="M2146" s="1"/>
      <c r="N2146" s="1"/>
    </row>
    <row r="2147" ht="14.5" spans="2:14">
      <c r="B2147" s="1"/>
      <c r="C2147" s="1"/>
      <c r="D2147" s="1"/>
      <c r="E2147" s="1"/>
      <c r="F2147" s="1"/>
      <c r="G2147" s="1"/>
      <c r="H2147" s="1"/>
      <c r="I2147" s="1"/>
      <c r="J2147" s="1"/>
      <c r="K2147" s="1"/>
      <c r="L2147" s="1"/>
      <c r="M2147" s="1"/>
      <c r="N2147" s="1"/>
    </row>
    <row r="2148" ht="14.5" spans="2:14">
      <c r="B2148" s="1"/>
      <c r="C2148" s="1"/>
      <c r="D2148" s="1"/>
      <c r="E2148" s="1"/>
      <c r="F2148" s="1"/>
      <c r="G2148" s="1"/>
      <c r="H2148" s="1"/>
      <c r="I2148" s="1"/>
      <c r="J2148" s="1"/>
      <c r="K2148" s="1"/>
      <c r="L2148" s="1"/>
      <c r="M2148" s="1"/>
      <c r="N2148" s="1"/>
    </row>
    <row r="2149" ht="14.5" spans="2:14">
      <c r="B2149" s="1"/>
      <c r="C2149" s="1"/>
      <c r="D2149" s="1"/>
      <c r="E2149" s="1"/>
      <c r="F2149" s="1"/>
      <c r="G2149" s="1"/>
      <c r="H2149" s="1"/>
      <c r="I2149" s="1"/>
      <c r="J2149" s="1"/>
      <c r="K2149" s="1"/>
      <c r="L2149" s="1"/>
      <c r="M2149" s="1"/>
      <c r="N2149" s="1"/>
    </row>
    <row r="2150" ht="14.5" spans="2:14">
      <c r="B2150" s="1"/>
      <c r="C2150" s="1"/>
      <c r="D2150" s="1"/>
      <c r="E2150" s="1"/>
      <c r="F2150" s="1"/>
      <c r="G2150" s="1"/>
      <c r="H2150" s="1"/>
      <c r="I2150" s="1"/>
      <c r="J2150" s="1"/>
      <c r="K2150" s="1"/>
      <c r="L2150" s="1"/>
      <c r="M2150" s="1"/>
      <c r="N2150" s="1"/>
    </row>
    <row r="2151" ht="14.5" spans="2:14">
      <c r="B2151" s="1"/>
      <c r="C2151" s="1"/>
      <c r="D2151" s="1"/>
      <c r="E2151" s="1"/>
      <c r="F2151" s="1"/>
      <c r="G2151" s="1"/>
      <c r="H2151" s="1"/>
      <c r="I2151" s="1"/>
      <c r="J2151" s="1"/>
      <c r="K2151" s="1"/>
      <c r="L2151" s="1"/>
      <c r="M2151" s="1"/>
      <c r="N2151" s="1"/>
    </row>
    <row r="2152" ht="14.5" spans="2:14">
      <c r="B2152" s="1"/>
      <c r="C2152" s="1"/>
      <c r="D2152" s="1"/>
      <c r="E2152" s="1"/>
      <c r="F2152" s="1"/>
      <c r="G2152" s="1"/>
      <c r="H2152" s="1"/>
      <c r="I2152" s="1"/>
      <c r="J2152" s="1"/>
      <c r="K2152" s="1"/>
      <c r="L2152" s="1"/>
      <c r="M2152" s="1"/>
      <c r="N2152" s="1"/>
    </row>
    <row r="2153" ht="14.5" spans="2:14">
      <c r="B2153" s="1"/>
      <c r="C2153" s="1"/>
      <c r="D2153" s="1"/>
      <c r="E2153" s="1"/>
      <c r="F2153" s="1"/>
      <c r="G2153" s="1"/>
      <c r="H2153" s="1"/>
      <c r="I2153" s="1"/>
      <c r="J2153" s="1"/>
      <c r="K2153" s="1"/>
      <c r="L2153" s="1"/>
      <c r="M2153" s="1"/>
      <c r="N2153" s="1"/>
    </row>
    <row r="2154" ht="14.5" spans="2:14">
      <c r="B2154" s="1"/>
      <c r="C2154" s="1"/>
      <c r="D2154" s="1"/>
      <c r="E2154" s="1"/>
      <c r="F2154" s="1"/>
      <c r="G2154" s="1"/>
      <c r="H2154" s="1"/>
      <c r="I2154" s="1"/>
      <c r="J2154" s="1"/>
      <c r="K2154" s="1"/>
      <c r="L2154" s="1"/>
      <c r="M2154" s="1"/>
      <c r="N2154" s="1"/>
    </row>
    <row r="2155" ht="14.5" spans="2:14">
      <c r="B2155" s="1"/>
      <c r="C2155" s="1"/>
      <c r="D2155" s="1"/>
      <c r="E2155" s="1"/>
      <c r="F2155" s="1"/>
      <c r="G2155" s="1"/>
      <c r="H2155" s="1"/>
      <c r="I2155" s="1"/>
      <c r="J2155" s="1"/>
      <c r="K2155" s="1"/>
      <c r="L2155" s="1"/>
      <c r="M2155" s="1"/>
      <c r="N2155" s="1"/>
    </row>
    <row r="2156" ht="14.5" spans="2:14">
      <c r="B2156" s="1"/>
      <c r="C2156" s="1"/>
      <c r="D2156" s="1"/>
      <c r="E2156" s="1"/>
      <c r="F2156" s="1"/>
      <c r="G2156" s="1"/>
      <c r="H2156" s="1"/>
      <c r="I2156" s="1"/>
      <c r="J2156" s="1"/>
      <c r="K2156" s="1"/>
      <c r="L2156" s="1"/>
      <c r="M2156" s="1"/>
      <c r="N2156" s="1"/>
    </row>
    <row r="2157" ht="14.5" spans="2:14">
      <c r="B2157" s="1"/>
      <c r="C2157" s="1"/>
      <c r="D2157" s="1"/>
      <c r="E2157" s="1"/>
      <c r="F2157" s="1"/>
      <c r="G2157" s="1"/>
      <c r="H2157" s="1"/>
      <c r="I2157" s="1"/>
      <c r="J2157" s="1"/>
      <c r="K2157" s="1"/>
      <c r="L2157" s="1"/>
      <c r="M2157" s="1"/>
      <c r="N2157" s="1"/>
    </row>
    <row r="2158" ht="14.5" spans="2:14">
      <c r="B2158" s="1"/>
      <c r="C2158" s="1"/>
      <c r="D2158" s="1"/>
      <c r="E2158" s="1"/>
      <c r="F2158" s="1"/>
      <c r="G2158" s="1"/>
      <c r="H2158" s="1"/>
      <c r="I2158" s="1"/>
      <c r="J2158" s="1"/>
      <c r="K2158" s="1"/>
      <c r="L2158" s="1"/>
      <c r="M2158" s="1"/>
      <c r="N2158" s="1"/>
    </row>
    <row r="2159" ht="14.5" spans="2:14">
      <c r="B2159" s="1"/>
      <c r="C2159" s="1"/>
      <c r="D2159" s="1"/>
      <c r="E2159" s="1"/>
      <c r="F2159" s="1"/>
      <c r="G2159" s="1"/>
      <c r="H2159" s="1"/>
      <c r="I2159" s="1"/>
      <c r="J2159" s="1"/>
      <c r="K2159" s="1"/>
      <c r="L2159" s="1"/>
      <c r="M2159" s="1"/>
      <c r="N2159" s="1"/>
    </row>
    <row r="2160" ht="14.5" spans="2:14">
      <c r="B2160" s="1"/>
      <c r="C2160" s="1"/>
      <c r="D2160" s="1"/>
      <c r="E2160" s="1"/>
      <c r="F2160" s="1"/>
      <c r="G2160" s="1"/>
      <c r="H2160" s="1"/>
      <c r="I2160" s="1"/>
      <c r="J2160" s="1"/>
      <c r="K2160" s="1"/>
      <c r="L2160" s="1"/>
      <c r="M2160" s="1"/>
      <c r="N2160" s="1"/>
    </row>
    <row r="2161" ht="14.5" spans="2:14">
      <c r="B2161" s="1"/>
      <c r="C2161" s="1"/>
      <c r="D2161" s="1"/>
      <c r="E2161" s="1"/>
      <c r="F2161" s="1"/>
      <c r="G2161" s="1"/>
      <c r="H2161" s="1"/>
      <c r="I2161" s="1"/>
      <c r="J2161" s="1"/>
      <c r="K2161" s="1"/>
      <c r="L2161" s="1"/>
      <c r="M2161" s="1"/>
      <c r="N2161" s="1"/>
    </row>
    <row r="2162" ht="14.5" spans="2:14">
      <c r="B2162" s="1"/>
      <c r="C2162" s="1"/>
      <c r="D2162" s="1"/>
      <c r="E2162" s="1"/>
      <c r="F2162" s="1"/>
      <c r="G2162" s="1"/>
      <c r="H2162" s="1"/>
      <c r="I2162" s="1"/>
      <c r="J2162" s="1"/>
      <c r="K2162" s="1"/>
      <c r="L2162" s="1"/>
      <c r="M2162" s="1"/>
      <c r="N2162" s="1"/>
    </row>
    <row r="2163" ht="14.5" spans="2:14">
      <c r="B2163" s="1"/>
      <c r="C2163" s="1"/>
      <c r="D2163" s="1"/>
      <c r="E2163" s="1"/>
      <c r="F2163" s="1"/>
      <c r="G2163" s="1"/>
      <c r="H2163" s="1"/>
      <c r="I2163" s="1"/>
      <c r="J2163" s="1"/>
      <c r="K2163" s="1"/>
      <c r="L2163" s="1"/>
      <c r="M2163" s="1"/>
      <c r="N2163" s="1"/>
    </row>
    <row r="2164" ht="14.5" spans="2:14">
      <c r="B2164" s="1"/>
      <c r="C2164" s="1"/>
      <c r="D2164" s="1"/>
      <c r="E2164" s="1"/>
      <c r="F2164" s="1"/>
      <c r="G2164" s="1"/>
      <c r="H2164" s="1"/>
      <c r="I2164" s="1"/>
      <c r="J2164" s="1"/>
      <c r="K2164" s="1"/>
      <c r="L2164" s="1"/>
      <c r="M2164" s="1"/>
      <c r="N2164" s="1"/>
    </row>
    <row r="2165" ht="14.5" spans="2:14">
      <c r="B2165" s="1"/>
      <c r="C2165" s="1"/>
      <c r="D2165" s="1"/>
      <c r="E2165" s="1"/>
      <c r="F2165" s="1"/>
      <c r="G2165" s="1"/>
      <c r="H2165" s="1"/>
      <c r="I2165" s="1"/>
      <c r="J2165" s="1"/>
      <c r="K2165" s="1"/>
      <c r="L2165" s="1"/>
      <c r="M2165" s="1"/>
      <c r="N2165" s="1"/>
    </row>
    <row r="2166" ht="14.5" spans="2:14">
      <c r="B2166" s="1"/>
      <c r="C2166" s="1"/>
      <c r="D2166" s="1"/>
      <c r="E2166" s="1"/>
      <c r="F2166" s="1"/>
      <c r="G2166" s="1"/>
      <c r="H2166" s="1"/>
      <c r="I2166" s="1"/>
      <c r="J2166" s="1"/>
      <c r="K2166" s="1"/>
      <c r="L2166" s="1"/>
      <c r="M2166" s="1"/>
      <c r="N2166" s="1"/>
    </row>
    <row r="2167" ht="14.5" spans="2:14">
      <c r="B2167" s="1"/>
      <c r="C2167" s="1"/>
      <c r="D2167" s="1"/>
      <c r="E2167" s="1"/>
      <c r="F2167" s="1"/>
      <c r="G2167" s="1"/>
      <c r="H2167" s="1"/>
      <c r="I2167" s="1"/>
      <c r="J2167" s="1"/>
      <c r="K2167" s="1"/>
      <c r="L2167" s="1"/>
      <c r="M2167" s="1"/>
      <c r="N2167" s="1"/>
    </row>
    <row r="2168" ht="14.5" spans="2:14">
      <c r="B2168" s="1"/>
      <c r="C2168" s="1"/>
      <c r="D2168" s="1"/>
      <c r="E2168" s="1"/>
      <c r="F2168" s="1"/>
      <c r="G2168" s="1"/>
      <c r="H2168" s="1"/>
      <c r="I2168" s="1"/>
      <c r="J2168" s="1"/>
      <c r="K2168" s="1"/>
      <c r="L2168" s="1"/>
      <c r="M2168" s="1"/>
      <c r="N2168" s="1"/>
    </row>
    <row r="2169" ht="14.5" spans="2:14">
      <c r="B2169" s="1"/>
      <c r="C2169" s="1"/>
      <c r="D2169" s="1"/>
      <c r="E2169" s="1"/>
      <c r="F2169" s="1"/>
      <c r="G2169" s="1"/>
      <c r="H2169" s="1"/>
      <c r="I2169" s="1"/>
      <c r="J2169" s="1"/>
      <c r="K2169" s="1"/>
      <c r="L2169" s="1"/>
      <c r="M2169" s="1"/>
      <c r="N2169" s="1"/>
    </row>
    <row r="2170" ht="14.5" spans="2:14">
      <c r="B2170" s="1"/>
      <c r="C2170" s="1"/>
      <c r="D2170" s="1"/>
      <c r="E2170" s="1"/>
      <c r="F2170" s="1"/>
      <c r="G2170" s="1"/>
      <c r="H2170" s="1"/>
      <c r="I2170" s="1"/>
      <c r="J2170" s="1"/>
      <c r="K2170" s="1"/>
      <c r="L2170" s="1"/>
      <c r="M2170" s="1"/>
      <c r="N2170" s="1"/>
    </row>
    <row r="2171" ht="14.5" spans="2:14">
      <c r="B2171" s="1"/>
      <c r="C2171" s="1"/>
      <c r="D2171" s="1"/>
      <c r="E2171" s="1"/>
      <c r="F2171" s="1"/>
      <c r="G2171" s="1"/>
      <c r="H2171" s="1"/>
      <c r="I2171" s="1"/>
      <c r="J2171" s="1"/>
      <c r="K2171" s="1"/>
      <c r="L2171" s="1"/>
      <c r="M2171" s="1"/>
      <c r="N2171" s="1"/>
    </row>
    <row r="2172" ht="14.5" spans="2:14">
      <c r="B2172" s="1"/>
      <c r="C2172" s="1"/>
      <c r="D2172" s="1"/>
      <c r="E2172" s="1"/>
      <c r="F2172" s="1"/>
      <c r="G2172" s="1"/>
      <c r="H2172" s="1"/>
      <c r="I2172" s="1"/>
      <c r="J2172" s="1"/>
      <c r="K2172" s="1"/>
      <c r="L2172" s="1"/>
      <c r="M2172" s="1"/>
      <c r="N2172" s="1"/>
    </row>
    <row r="2173" ht="14.5" spans="2:14">
      <c r="B2173" s="1"/>
      <c r="C2173" s="1"/>
      <c r="D2173" s="1"/>
      <c r="E2173" s="1"/>
      <c r="F2173" s="1"/>
      <c r="G2173" s="1"/>
      <c r="H2173" s="1"/>
      <c r="I2173" s="1"/>
      <c r="J2173" s="1"/>
      <c r="K2173" s="1"/>
      <c r="L2173" s="1"/>
      <c r="M2173" s="1"/>
      <c r="N2173" s="1"/>
    </row>
    <row r="2174" ht="14.5" spans="2:14">
      <c r="B2174" s="1"/>
      <c r="C2174" s="1"/>
      <c r="D2174" s="1"/>
      <c r="E2174" s="1"/>
      <c r="F2174" s="1"/>
      <c r="G2174" s="1"/>
      <c r="H2174" s="1"/>
      <c r="I2174" s="1"/>
      <c r="J2174" s="1"/>
      <c r="K2174" s="1"/>
      <c r="L2174" s="1"/>
      <c r="M2174" s="1"/>
      <c r="N2174" s="1"/>
    </row>
    <row r="2175" ht="14.5" spans="2:14">
      <c r="B2175" s="1"/>
      <c r="C2175" s="1"/>
      <c r="D2175" s="1"/>
      <c r="E2175" s="1"/>
      <c r="F2175" s="1"/>
      <c r="G2175" s="1"/>
      <c r="H2175" s="1"/>
      <c r="I2175" s="1"/>
      <c r="J2175" s="1"/>
      <c r="K2175" s="1"/>
      <c r="L2175" s="1"/>
      <c r="M2175" s="1"/>
      <c r="N2175" s="1"/>
    </row>
    <row r="2176" ht="14.5" spans="2:14">
      <c r="B2176" s="1"/>
      <c r="C2176" s="1"/>
      <c r="D2176" s="1"/>
      <c r="E2176" s="1"/>
      <c r="F2176" s="1"/>
      <c r="G2176" s="1"/>
      <c r="H2176" s="1"/>
      <c r="I2176" s="1"/>
      <c r="J2176" s="1"/>
      <c r="K2176" s="1"/>
      <c r="L2176" s="1"/>
      <c r="M2176" s="1"/>
      <c r="N2176" s="1"/>
    </row>
    <row r="2177" ht="14.5" spans="2:14">
      <c r="B2177" s="1"/>
      <c r="C2177" s="1"/>
      <c r="D2177" s="1"/>
      <c r="E2177" s="1"/>
      <c r="F2177" s="1"/>
      <c r="G2177" s="1"/>
      <c r="H2177" s="1"/>
      <c r="I2177" s="1"/>
      <c r="J2177" s="1"/>
      <c r="K2177" s="1"/>
      <c r="L2177" s="1"/>
      <c r="M2177" s="1"/>
      <c r="N2177" s="1"/>
    </row>
    <row r="2178" ht="14.5" spans="2:14">
      <c r="B2178" s="1"/>
      <c r="C2178" s="1"/>
      <c r="D2178" s="1"/>
      <c r="E2178" s="1"/>
      <c r="F2178" s="1"/>
      <c r="G2178" s="1"/>
      <c r="H2178" s="1"/>
      <c r="I2178" s="1"/>
      <c r="J2178" s="1"/>
      <c r="K2178" s="1"/>
      <c r="L2178" s="1"/>
      <c r="M2178" s="1"/>
      <c r="N2178" s="1"/>
    </row>
    <row r="2179" ht="14.5" spans="2:14">
      <c r="B2179" s="1"/>
      <c r="C2179" s="1"/>
      <c r="D2179" s="1"/>
      <c r="E2179" s="1"/>
      <c r="F2179" s="1"/>
      <c r="G2179" s="1"/>
      <c r="H2179" s="1"/>
      <c r="I2179" s="1"/>
      <c r="J2179" s="1"/>
      <c r="K2179" s="1"/>
      <c r="L2179" s="1"/>
      <c r="M2179" s="1"/>
      <c r="N2179" s="1"/>
    </row>
    <row r="2180" ht="14.5" spans="2:14">
      <c r="B2180" s="1"/>
      <c r="C2180" s="1"/>
      <c r="D2180" s="1"/>
      <c r="E2180" s="1"/>
      <c r="F2180" s="1"/>
      <c r="G2180" s="1"/>
      <c r="H2180" s="1"/>
      <c r="I2180" s="1"/>
      <c r="J2180" s="1"/>
      <c r="K2180" s="1"/>
      <c r="L2180" s="1"/>
      <c r="M2180" s="1"/>
      <c r="N2180" s="1"/>
    </row>
    <row r="2181" ht="14.5" spans="2:14">
      <c r="B2181" s="1"/>
      <c r="C2181" s="1"/>
      <c r="D2181" s="1"/>
      <c r="E2181" s="1"/>
      <c r="F2181" s="1"/>
      <c r="G2181" s="1"/>
      <c r="H2181" s="1"/>
      <c r="I2181" s="1"/>
      <c r="J2181" s="1"/>
      <c r="K2181" s="1"/>
      <c r="L2181" s="1"/>
      <c r="M2181" s="1"/>
      <c r="N2181" s="1"/>
    </row>
    <row r="2182" ht="14.5" spans="2:14">
      <c r="B2182" s="1"/>
      <c r="C2182" s="1"/>
      <c r="D2182" s="1"/>
      <c r="E2182" s="1"/>
      <c r="F2182" s="1"/>
      <c r="G2182" s="1"/>
      <c r="H2182" s="1"/>
      <c r="I2182" s="1"/>
      <c r="J2182" s="1"/>
      <c r="K2182" s="1"/>
      <c r="L2182" s="1"/>
      <c r="M2182" s="1"/>
      <c r="N2182" s="1"/>
    </row>
    <row r="2183" ht="14.5" spans="2:14">
      <c r="B2183" s="1"/>
      <c r="C2183" s="1"/>
      <c r="D2183" s="1"/>
      <c r="E2183" s="1"/>
      <c r="F2183" s="1"/>
      <c r="G2183" s="1"/>
      <c r="H2183" s="1"/>
      <c r="I2183" s="1"/>
      <c r="J2183" s="1"/>
      <c r="K2183" s="1"/>
      <c r="L2183" s="1"/>
      <c r="M2183" s="1"/>
      <c r="N2183" s="1"/>
    </row>
    <row r="2184" ht="14.5" spans="2:14">
      <c r="B2184" s="1"/>
      <c r="C2184" s="1"/>
      <c r="D2184" s="1"/>
      <c r="E2184" s="1"/>
      <c r="F2184" s="1"/>
      <c r="G2184" s="1"/>
      <c r="H2184" s="1"/>
      <c r="I2184" s="1"/>
      <c r="J2184" s="1"/>
      <c r="K2184" s="1"/>
      <c r="L2184" s="1"/>
      <c r="M2184" s="1"/>
      <c r="N2184" s="1"/>
    </row>
    <row r="2185" ht="14.5" spans="2:14">
      <c r="B2185" s="1"/>
      <c r="C2185" s="1"/>
      <c r="D2185" s="1"/>
      <c r="E2185" s="1"/>
      <c r="F2185" s="1"/>
      <c r="G2185" s="1"/>
      <c r="H2185" s="1"/>
      <c r="I2185" s="1"/>
      <c r="J2185" s="1"/>
      <c r="K2185" s="1"/>
      <c r="L2185" s="1"/>
      <c r="M2185" s="1"/>
      <c r="N2185" s="1"/>
    </row>
    <row r="2186" ht="14.5" spans="2:14">
      <c r="B2186" s="1"/>
      <c r="C2186" s="1"/>
      <c r="D2186" s="1"/>
      <c r="E2186" s="1"/>
      <c r="F2186" s="1"/>
      <c r="G2186" s="1"/>
      <c r="H2186" s="1"/>
      <c r="I2186" s="1"/>
      <c r="J2186" s="1"/>
      <c r="K2186" s="1"/>
      <c r="L2186" s="1"/>
      <c r="M2186" s="1"/>
      <c r="N2186" s="1"/>
    </row>
    <row r="2187" ht="14.5" spans="2:14">
      <c r="B2187" s="1"/>
      <c r="C2187" s="1"/>
      <c r="D2187" s="1"/>
      <c r="E2187" s="1"/>
      <c r="F2187" s="1"/>
      <c r="G2187" s="1"/>
      <c r="H2187" s="1"/>
      <c r="I2187" s="1"/>
      <c r="J2187" s="1"/>
      <c r="K2187" s="1"/>
      <c r="L2187" s="1"/>
      <c r="M2187" s="1"/>
      <c r="N2187" s="1"/>
    </row>
    <row r="2188" ht="14.5" spans="2:14">
      <c r="B2188" s="1"/>
      <c r="C2188" s="1"/>
      <c r="D2188" s="1"/>
      <c r="E2188" s="1"/>
      <c r="F2188" s="1"/>
      <c r="G2188" s="1"/>
      <c r="H2188" s="1"/>
      <c r="I2188" s="1"/>
      <c r="J2188" s="1"/>
      <c r="K2188" s="1"/>
      <c r="L2188" s="1"/>
      <c r="M2188" s="1"/>
      <c r="N2188" s="1"/>
    </row>
    <row r="2189" ht="14.5" spans="2:14">
      <c r="B2189" s="1"/>
      <c r="C2189" s="1"/>
      <c r="D2189" s="1"/>
      <c r="E2189" s="1"/>
      <c r="F2189" s="1"/>
      <c r="G2189" s="1"/>
      <c r="H2189" s="1"/>
      <c r="I2189" s="1"/>
      <c r="J2189" s="1"/>
      <c r="K2189" s="1"/>
      <c r="L2189" s="1"/>
      <c r="M2189" s="1"/>
      <c r="N2189" s="1"/>
    </row>
    <row r="2190" ht="14.5" spans="2:14">
      <c r="B2190" s="1"/>
      <c r="C2190" s="1"/>
      <c r="D2190" s="1"/>
      <c r="E2190" s="1"/>
      <c r="F2190" s="1"/>
      <c r="G2190" s="1"/>
      <c r="H2190" s="1"/>
      <c r="I2190" s="1"/>
      <c r="J2190" s="1"/>
      <c r="K2190" s="1"/>
      <c r="L2190" s="1"/>
      <c r="M2190" s="1"/>
      <c r="N2190" s="1"/>
    </row>
    <row r="2191" ht="14.5" spans="2:14">
      <c r="B2191" s="1"/>
      <c r="C2191" s="1"/>
      <c r="D2191" s="1"/>
      <c r="E2191" s="1"/>
      <c r="F2191" s="1"/>
      <c r="G2191" s="1"/>
      <c r="H2191" s="1"/>
      <c r="I2191" s="1"/>
      <c r="J2191" s="1"/>
      <c r="K2191" s="1"/>
      <c r="L2191" s="1"/>
      <c r="M2191" s="1"/>
      <c r="N2191" s="1"/>
    </row>
    <row r="2192" ht="14.5" spans="2:14">
      <c r="B2192" s="1"/>
      <c r="C2192" s="1"/>
      <c r="D2192" s="1"/>
      <c r="E2192" s="1"/>
      <c r="F2192" s="1"/>
      <c r="G2192" s="1"/>
      <c r="H2192" s="1"/>
      <c r="I2192" s="1"/>
      <c r="J2192" s="1"/>
      <c r="K2192" s="1"/>
      <c r="L2192" s="1"/>
      <c r="M2192" s="1"/>
      <c r="N2192" s="1"/>
    </row>
    <row r="2193" ht="14.5" spans="2:14">
      <c r="B2193" s="1"/>
      <c r="C2193" s="1"/>
      <c r="D2193" s="1"/>
      <c r="E2193" s="1"/>
      <c r="F2193" s="1"/>
      <c r="G2193" s="1"/>
      <c r="H2193" s="1"/>
      <c r="I2193" s="1"/>
      <c r="J2193" s="1"/>
      <c r="K2193" s="1"/>
      <c r="L2193" s="1"/>
      <c r="M2193" s="1"/>
      <c r="N2193" s="1"/>
    </row>
    <row r="2194" ht="14.5" spans="2:14">
      <c r="B2194" s="1"/>
      <c r="C2194" s="1"/>
      <c r="D2194" s="1"/>
      <c r="E2194" s="1"/>
      <c r="F2194" s="1"/>
      <c r="G2194" s="1"/>
      <c r="H2194" s="1"/>
      <c r="I2194" s="1"/>
      <c r="J2194" s="1"/>
      <c r="K2194" s="1"/>
      <c r="L2194" s="1"/>
      <c r="M2194" s="1"/>
      <c r="N2194" s="1"/>
    </row>
    <row r="2195" ht="14.5" spans="2:14">
      <c r="B2195" s="1"/>
      <c r="C2195" s="1"/>
      <c r="D2195" s="1"/>
      <c r="E2195" s="1"/>
      <c r="F2195" s="1"/>
      <c r="G2195" s="1"/>
      <c r="H2195" s="1"/>
      <c r="I2195" s="1"/>
      <c r="J2195" s="1"/>
      <c r="K2195" s="1"/>
      <c r="L2195" s="1"/>
      <c r="M2195" s="1"/>
      <c r="N2195" s="1"/>
    </row>
    <row r="2196" ht="14.5" spans="2:14">
      <c r="B2196" s="1"/>
      <c r="C2196" s="1"/>
      <c r="D2196" s="1"/>
      <c r="E2196" s="1"/>
      <c r="F2196" s="1"/>
      <c r="G2196" s="1"/>
      <c r="H2196" s="1"/>
      <c r="I2196" s="1"/>
      <c r="J2196" s="1"/>
      <c r="K2196" s="1"/>
      <c r="L2196" s="1"/>
      <c r="M2196" s="1"/>
      <c r="N2196" s="1"/>
    </row>
    <row r="2197" ht="14.5" spans="2:14">
      <c r="B2197" s="1"/>
      <c r="C2197" s="1"/>
      <c r="D2197" s="1"/>
      <c r="E2197" s="1"/>
      <c r="F2197" s="1"/>
      <c r="G2197" s="1"/>
      <c r="H2197" s="1"/>
      <c r="I2197" s="1"/>
      <c r="J2197" s="1"/>
      <c r="K2197" s="1"/>
      <c r="L2197" s="1"/>
      <c r="M2197" s="1"/>
      <c r="N2197" s="1"/>
    </row>
    <row r="2198" ht="14.5" spans="2:14">
      <c r="B2198" s="1"/>
      <c r="C2198" s="1"/>
      <c r="D2198" s="1"/>
      <c r="E2198" s="1"/>
      <c r="F2198" s="1"/>
      <c r="G2198" s="1"/>
      <c r="H2198" s="1"/>
      <c r="I2198" s="1"/>
      <c r="J2198" s="1"/>
      <c r="K2198" s="1"/>
      <c r="L2198" s="1"/>
      <c r="M2198" s="1"/>
      <c r="N2198" s="1"/>
    </row>
    <row r="2199" ht="14.5" spans="2:14">
      <c r="B2199" s="1"/>
      <c r="C2199" s="1"/>
      <c r="D2199" s="1"/>
      <c r="E2199" s="1"/>
      <c r="F2199" s="1"/>
      <c r="G2199" s="1"/>
      <c r="H2199" s="1"/>
      <c r="I2199" s="1"/>
      <c r="J2199" s="1"/>
      <c r="K2199" s="1"/>
      <c r="L2199" s="1"/>
      <c r="M2199" s="1"/>
      <c r="N2199" s="1"/>
    </row>
    <row r="2200" ht="14.5" spans="2:14">
      <c r="B2200" s="1"/>
      <c r="C2200" s="1"/>
      <c r="D2200" s="1"/>
      <c r="E2200" s="1"/>
      <c r="F2200" s="1"/>
      <c r="G2200" s="1"/>
      <c r="H2200" s="1"/>
      <c r="I2200" s="1"/>
      <c r="J2200" s="1"/>
      <c r="K2200" s="1"/>
      <c r="L2200" s="1"/>
      <c r="M2200" s="1"/>
      <c r="N2200" s="1"/>
    </row>
    <row r="2201" ht="14.5" spans="2:14">
      <c r="B2201" s="1"/>
      <c r="C2201" s="1"/>
      <c r="D2201" s="1"/>
      <c r="E2201" s="1"/>
      <c r="F2201" s="1"/>
      <c r="G2201" s="1"/>
      <c r="H2201" s="1"/>
      <c r="I2201" s="1"/>
      <c r="J2201" s="1"/>
      <c r="K2201" s="1"/>
      <c r="L2201" s="1"/>
      <c r="M2201" s="1"/>
      <c r="N2201" s="1"/>
    </row>
    <row r="2202" ht="14.5" spans="2:14">
      <c r="B2202" s="1"/>
      <c r="C2202" s="1"/>
      <c r="D2202" s="1"/>
      <c r="E2202" s="1"/>
      <c r="F2202" s="1"/>
      <c r="G2202" s="1"/>
      <c r="H2202" s="1"/>
      <c r="I2202" s="1"/>
      <c r="J2202" s="1"/>
      <c r="K2202" s="1"/>
      <c r="L2202" s="1"/>
      <c r="M2202" s="1"/>
      <c r="N2202" s="1"/>
    </row>
    <row r="2203" ht="14.5" spans="2:14">
      <c r="B2203" s="1"/>
      <c r="C2203" s="1"/>
      <c r="D2203" s="1"/>
      <c r="E2203" s="1"/>
      <c r="F2203" s="1"/>
      <c r="G2203" s="1"/>
      <c r="H2203" s="1"/>
      <c r="I2203" s="1"/>
      <c r="J2203" s="1"/>
      <c r="K2203" s="1"/>
      <c r="L2203" s="1"/>
      <c r="M2203" s="1"/>
      <c r="N2203" s="1"/>
    </row>
    <row r="2204" ht="14.5" spans="2:14">
      <c r="B2204" s="1"/>
      <c r="C2204" s="1"/>
      <c r="D2204" s="1"/>
      <c r="E2204" s="1"/>
      <c r="F2204" s="1"/>
      <c r="G2204" s="1"/>
      <c r="H2204" s="1"/>
      <c r="I2204" s="1"/>
      <c r="J2204" s="1"/>
      <c r="K2204" s="1"/>
      <c r="L2204" s="1"/>
      <c r="M2204" s="1"/>
      <c r="N2204" s="1"/>
    </row>
    <row r="2205" ht="14.5" spans="2:14">
      <c r="B2205" s="1"/>
      <c r="C2205" s="1"/>
      <c r="D2205" s="1"/>
      <c r="E2205" s="1"/>
      <c r="F2205" s="1"/>
      <c r="G2205" s="1"/>
      <c r="H2205" s="1"/>
      <c r="I2205" s="1"/>
      <c r="J2205" s="1"/>
      <c r="K2205" s="1"/>
      <c r="L2205" s="1"/>
      <c r="M2205" s="1"/>
      <c r="N2205" s="1"/>
    </row>
    <row r="2206" ht="14.5" spans="2:14">
      <c r="B2206" s="1"/>
      <c r="C2206" s="1"/>
      <c r="D2206" s="1"/>
      <c r="E2206" s="1"/>
      <c r="F2206" s="1"/>
      <c r="G2206" s="1"/>
      <c r="H2206" s="1"/>
      <c r="I2206" s="1"/>
      <c r="J2206" s="1"/>
      <c r="K2206" s="1"/>
      <c r="L2206" s="1"/>
      <c r="M2206" s="1"/>
      <c r="N2206" s="1"/>
    </row>
    <row r="2207" ht="14.5" spans="2:14">
      <c r="B2207" s="1"/>
      <c r="C2207" s="1"/>
      <c r="D2207" s="1"/>
      <c r="E2207" s="1"/>
      <c r="F2207" s="1"/>
      <c r="G2207" s="1"/>
      <c r="H2207" s="1"/>
      <c r="I2207" s="1"/>
      <c r="J2207" s="1"/>
      <c r="K2207" s="1"/>
      <c r="L2207" s="1"/>
      <c r="M2207" s="1"/>
      <c r="N2207" s="1"/>
    </row>
    <row r="2208" ht="14.5" spans="2:14">
      <c r="B2208" s="1"/>
      <c r="C2208" s="1"/>
      <c r="D2208" s="1"/>
      <c r="E2208" s="1"/>
      <c r="F2208" s="1"/>
      <c r="G2208" s="1"/>
      <c r="H2208" s="1"/>
      <c r="I2208" s="1"/>
      <c r="J2208" s="1"/>
      <c r="K2208" s="1"/>
      <c r="L2208" s="1"/>
      <c r="M2208" s="1"/>
      <c r="N2208" s="1"/>
    </row>
    <row r="2209" ht="14.5" spans="2:14">
      <c r="B2209" s="1"/>
      <c r="C2209" s="1"/>
      <c r="D2209" s="1"/>
      <c r="E2209" s="1"/>
      <c r="F2209" s="1"/>
      <c r="G2209" s="1"/>
      <c r="H2209" s="1"/>
      <c r="I2209" s="1"/>
      <c r="J2209" s="1"/>
      <c r="K2209" s="1"/>
      <c r="L2209" s="1"/>
      <c r="M2209" s="1"/>
      <c r="N2209" s="1"/>
    </row>
    <row r="2210" ht="14.5" spans="2:14">
      <c r="B2210" s="1"/>
      <c r="C2210" s="1"/>
      <c r="D2210" s="1"/>
      <c r="E2210" s="1"/>
      <c r="F2210" s="1"/>
      <c r="G2210" s="1"/>
      <c r="H2210" s="1"/>
      <c r="I2210" s="1"/>
      <c r="J2210" s="1"/>
      <c r="K2210" s="1"/>
      <c r="L2210" s="1"/>
      <c r="M2210" s="1"/>
      <c r="N2210" s="1"/>
    </row>
    <row r="2211" ht="14.5" spans="2:14">
      <c r="B2211" s="1"/>
      <c r="C2211" s="1"/>
      <c r="D2211" s="1"/>
      <c r="E2211" s="1"/>
      <c r="F2211" s="1"/>
      <c r="G2211" s="1"/>
      <c r="H2211" s="1"/>
      <c r="I2211" s="1"/>
      <c r="J2211" s="1"/>
      <c r="K2211" s="1"/>
      <c r="L2211" s="1"/>
      <c r="M2211" s="1"/>
      <c r="N2211" s="1"/>
    </row>
    <row r="2212" ht="14.5" spans="2:14">
      <c r="B2212" s="1"/>
      <c r="C2212" s="1"/>
      <c r="D2212" s="1"/>
      <c r="E2212" s="1"/>
      <c r="F2212" s="1"/>
      <c r="G2212" s="1"/>
      <c r="H2212" s="1"/>
      <c r="I2212" s="1"/>
      <c r="J2212" s="1"/>
      <c r="K2212" s="1"/>
      <c r="L2212" s="1"/>
      <c r="M2212" s="1"/>
      <c r="N2212" s="1"/>
    </row>
    <row r="2213" ht="14.5" spans="2:14">
      <c r="B2213" s="1"/>
      <c r="C2213" s="1"/>
      <c r="D2213" s="1"/>
      <c r="E2213" s="1"/>
      <c r="F2213" s="1"/>
      <c r="G2213" s="1"/>
      <c r="H2213" s="1"/>
      <c r="I2213" s="1"/>
      <c r="J2213" s="1"/>
      <c r="K2213" s="1"/>
      <c r="L2213" s="1"/>
      <c r="M2213" s="1"/>
      <c r="N2213" s="1"/>
    </row>
    <row r="2214" ht="14.5" spans="2:14">
      <c r="B2214" s="1"/>
      <c r="C2214" s="1"/>
      <c r="D2214" s="1"/>
      <c r="E2214" s="1"/>
      <c r="F2214" s="1"/>
      <c r="G2214" s="1"/>
      <c r="H2214" s="1"/>
      <c r="I2214" s="1"/>
      <c r="J2214" s="1"/>
      <c r="K2214" s="1"/>
      <c r="L2214" s="1"/>
      <c r="M2214" s="1"/>
      <c r="N2214" s="1"/>
    </row>
    <row r="2215" ht="14.5" spans="2:14">
      <c r="B2215" s="1"/>
      <c r="C2215" s="1"/>
      <c r="D2215" s="1"/>
      <c r="E2215" s="1"/>
      <c r="F2215" s="1"/>
      <c r="G2215" s="1"/>
      <c r="H2215" s="1"/>
      <c r="I2215" s="1"/>
      <c r="J2215" s="1"/>
      <c r="K2215" s="1"/>
      <c r="L2215" s="1"/>
      <c r="M2215" s="1"/>
      <c r="N2215" s="1"/>
    </row>
    <row r="2216" ht="14.5" spans="2:14">
      <c r="B2216" s="1"/>
      <c r="C2216" s="1"/>
      <c r="D2216" s="1"/>
      <c r="E2216" s="1"/>
      <c r="F2216" s="1"/>
      <c r="G2216" s="1"/>
      <c r="H2216" s="1"/>
      <c r="I2216" s="1"/>
      <c r="J2216" s="1"/>
      <c r="K2216" s="1"/>
      <c r="L2216" s="1"/>
      <c r="M2216" s="1"/>
      <c r="N2216" s="1"/>
    </row>
    <row r="2217" ht="14.5" spans="2:14">
      <c r="B2217" s="1"/>
      <c r="C2217" s="1"/>
      <c r="D2217" s="1"/>
      <c r="E2217" s="1"/>
      <c r="F2217" s="1"/>
      <c r="G2217" s="1"/>
      <c r="H2217" s="1"/>
      <c r="I2217" s="1"/>
      <c r="J2217" s="1"/>
      <c r="K2217" s="1"/>
      <c r="L2217" s="1"/>
      <c r="M2217" s="1"/>
      <c r="N2217" s="1"/>
    </row>
    <row r="2218" ht="14.5" spans="2:14">
      <c r="B2218" s="1"/>
      <c r="C2218" s="1"/>
      <c r="D2218" s="1"/>
      <c r="E2218" s="1"/>
      <c r="F2218" s="1"/>
      <c r="G2218" s="1"/>
      <c r="H2218" s="1"/>
      <c r="I2218" s="1"/>
      <c r="J2218" s="1"/>
      <c r="K2218" s="1"/>
      <c r="L2218" s="1"/>
      <c r="M2218" s="1"/>
      <c r="N2218" s="1"/>
    </row>
    <row r="2219" ht="14.5" spans="2:14">
      <c r="B2219" s="1"/>
      <c r="C2219" s="1"/>
      <c r="D2219" s="1"/>
      <c r="E2219" s="1"/>
      <c r="F2219" s="1"/>
      <c r="G2219" s="1"/>
      <c r="H2219" s="1"/>
      <c r="I2219" s="1"/>
      <c r="J2219" s="1"/>
      <c r="K2219" s="1"/>
      <c r="L2219" s="1"/>
      <c r="M2219" s="1"/>
      <c r="N2219" s="1"/>
    </row>
    <row r="2220" ht="14.5" spans="2:14">
      <c r="B2220" s="1"/>
      <c r="C2220" s="1"/>
      <c r="D2220" s="1"/>
      <c r="E2220" s="1"/>
      <c r="F2220" s="1"/>
      <c r="G2220" s="1"/>
      <c r="H2220" s="1"/>
      <c r="I2220" s="1"/>
      <c r="J2220" s="1"/>
      <c r="K2220" s="1"/>
      <c r="L2220" s="1"/>
      <c r="M2220" s="1"/>
      <c r="N2220" s="1"/>
    </row>
    <row r="2221" ht="14.5" spans="2:14">
      <c r="B2221" s="1"/>
      <c r="C2221" s="1"/>
      <c r="D2221" s="1"/>
      <c r="E2221" s="1"/>
      <c r="F2221" s="1"/>
      <c r="G2221" s="1"/>
      <c r="H2221" s="1"/>
      <c r="I2221" s="1"/>
      <c r="J2221" s="1"/>
      <c r="K2221" s="1"/>
      <c r="L2221" s="1"/>
      <c r="M2221" s="1"/>
      <c r="N2221" s="1"/>
    </row>
    <row r="2222" ht="14.5" spans="2:14">
      <c r="B2222" s="1"/>
      <c r="C2222" s="1"/>
      <c r="D2222" s="1"/>
      <c r="E2222" s="1"/>
      <c r="F2222" s="1"/>
      <c r="G2222" s="1"/>
      <c r="H2222" s="1"/>
      <c r="I2222" s="1"/>
      <c r="J2222" s="1"/>
      <c r="K2222" s="1"/>
      <c r="L2222" s="1"/>
      <c r="M2222" s="1"/>
      <c r="N2222" s="1"/>
    </row>
    <row r="2223" ht="14.5" spans="2:14">
      <c r="B2223" s="1"/>
      <c r="C2223" s="1"/>
      <c r="D2223" s="1"/>
      <c r="E2223" s="1"/>
      <c r="F2223" s="1"/>
      <c r="G2223" s="1"/>
      <c r="H2223" s="1"/>
      <c r="I2223" s="1"/>
      <c r="J2223" s="1"/>
      <c r="K2223" s="1"/>
      <c r="L2223" s="1"/>
      <c r="M2223" s="1"/>
      <c r="N2223" s="1"/>
    </row>
    <row r="2224" ht="14.5" spans="2:14">
      <c r="B2224" s="1"/>
      <c r="C2224" s="1"/>
      <c r="D2224" s="1"/>
      <c r="E2224" s="1"/>
      <c r="F2224" s="1"/>
      <c r="G2224" s="1"/>
      <c r="H2224" s="1"/>
      <c r="I2224" s="1"/>
      <c r="J2224" s="1"/>
      <c r="K2224" s="1"/>
      <c r="L2224" s="1"/>
      <c r="M2224" s="1"/>
      <c r="N2224" s="1"/>
    </row>
    <row r="2225" ht="14.5" spans="2:14">
      <c r="B2225" s="1"/>
      <c r="C2225" s="1"/>
      <c r="D2225" s="1"/>
      <c r="E2225" s="1"/>
      <c r="F2225" s="1"/>
      <c r="G2225" s="1"/>
      <c r="H2225" s="1"/>
      <c r="I2225" s="1"/>
      <c r="J2225" s="1"/>
      <c r="K2225" s="1"/>
      <c r="L2225" s="1"/>
      <c r="M2225" s="1"/>
      <c r="N2225" s="1"/>
    </row>
    <row r="2226" ht="14.5" spans="2:14">
      <c r="B2226" s="1"/>
      <c r="C2226" s="1"/>
      <c r="D2226" s="1"/>
      <c r="E2226" s="1"/>
      <c r="F2226" s="1"/>
      <c r="G2226" s="1"/>
      <c r="H2226" s="1"/>
      <c r="I2226" s="1"/>
      <c r="J2226" s="1"/>
      <c r="K2226" s="1"/>
      <c r="L2226" s="1"/>
      <c r="M2226" s="1"/>
      <c r="N2226" s="1"/>
    </row>
    <row r="2227" ht="14.5" spans="2:14">
      <c r="B2227" s="1"/>
      <c r="C2227" s="1"/>
      <c r="D2227" s="1"/>
      <c r="E2227" s="1"/>
      <c r="F2227" s="1"/>
      <c r="G2227" s="1"/>
      <c r="H2227" s="1"/>
      <c r="I2227" s="1"/>
      <c r="J2227" s="1"/>
      <c r="K2227" s="1"/>
      <c r="L2227" s="1"/>
      <c r="M2227" s="1"/>
      <c r="N2227" s="1"/>
    </row>
    <row r="2228" ht="14.5" spans="2:14">
      <c r="B2228" s="1"/>
      <c r="C2228" s="1"/>
      <c r="D2228" s="1"/>
      <c r="E2228" s="1"/>
      <c r="F2228" s="1"/>
      <c r="G2228" s="1"/>
      <c r="H2228" s="1"/>
      <c r="I2228" s="1"/>
      <c r="J2228" s="1"/>
      <c r="K2228" s="1"/>
      <c r="L2228" s="1"/>
      <c r="M2228" s="1"/>
      <c r="N2228" s="1"/>
    </row>
    <row r="2229" ht="14.5" spans="2:14">
      <c r="B2229" s="1"/>
      <c r="C2229" s="1"/>
      <c r="D2229" s="1"/>
      <c r="E2229" s="1"/>
      <c r="F2229" s="1"/>
      <c r="G2229" s="1"/>
      <c r="H2229" s="1"/>
      <c r="I2229" s="1"/>
      <c r="J2229" s="1"/>
      <c r="K2229" s="1"/>
      <c r="L2229" s="1"/>
      <c r="M2229" s="1"/>
      <c r="N2229" s="1"/>
    </row>
    <row r="2230" ht="14.5" spans="2:14">
      <c r="B2230" s="1"/>
      <c r="C2230" s="1"/>
      <c r="D2230" s="1"/>
      <c r="E2230" s="1"/>
      <c r="F2230" s="1"/>
      <c r="G2230" s="1"/>
      <c r="H2230" s="1"/>
      <c r="I2230" s="1"/>
      <c r="J2230" s="1"/>
      <c r="K2230" s="1"/>
      <c r="L2230" s="1"/>
      <c r="M2230" s="1"/>
      <c r="N2230" s="1"/>
    </row>
    <row r="2231" ht="14.5" spans="2:14">
      <c r="B2231" s="1"/>
      <c r="C2231" s="1"/>
      <c r="D2231" s="1"/>
      <c r="E2231" s="1"/>
      <c r="F2231" s="1"/>
      <c r="G2231" s="1"/>
      <c r="H2231" s="1"/>
      <c r="I2231" s="1"/>
      <c r="J2231" s="1"/>
      <c r="K2231" s="1"/>
      <c r="L2231" s="1"/>
      <c r="M2231" s="1"/>
      <c r="N2231" s="1"/>
    </row>
    <row r="2232" ht="14.5" spans="2:14">
      <c r="B2232" s="1"/>
      <c r="C2232" s="1"/>
      <c r="D2232" s="1"/>
      <c r="E2232" s="1"/>
      <c r="F2232" s="1"/>
      <c r="G2232" s="1"/>
      <c r="H2232" s="1"/>
      <c r="I2232" s="1"/>
      <c r="J2232" s="1"/>
      <c r="K2232" s="1"/>
      <c r="L2232" s="1"/>
      <c r="M2232" s="1"/>
      <c r="N2232" s="1"/>
    </row>
    <row r="2233" ht="14.5" spans="2:14">
      <c r="B2233" s="1"/>
      <c r="C2233" s="1"/>
      <c r="D2233" s="1"/>
      <c r="E2233" s="1"/>
      <c r="F2233" s="1"/>
      <c r="G2233" s="1"/>
      <c r="H2233" s="1"/>
      <c r="I2233" s="1"/>
      <c r="J2233" s="1"/>
      <c r="K2233" s="1"/>
      <c r="L2233" s="1"/>
      <c r="M2233" s="1"/>
      <c r="N2233" s="1"/>
    </row>
    <row r="2234" ht="14.5" spans="2:14">
      <c r="B2234" s="1"/>
      <c r="C2234" s="1"/>
      <c r="D2234" s="1"/>
      <c r="E2234" s="1"/>
      <c r="F2234" s="1"/>
      <c r="G2234" s="1"/>
      <c r="H2234" s="1"/>
      <c r="I2234" s="1"/>
      <c r="J2234" s="1"/>
      <c r="K2234" s="1"/>
      <c r="L2234" s="1"/>
      <c r="M2234" s="1"/>
      <c r="N2234" s="1"/>
    </row>
    <row r="2235" ht="14.5" spans="2:14">
      <c r="B2235" s="1"/>
      <c r="C2235" s="1"/>
      <c r="D2235" s="1"/>
      <c r="E2235" s="1"/>
      <c r="F2235" s="1"/>
      <c r="G2235" s="1"/>
      <c r="H2235" s="1"/>
      <c r="I2235" s="1"/>
      <c r="J2235" s="1"/>
      <c r="K2235" s="1"/>
      <c r="L2235" s="1"/>
      <c r="M2235" s="1"/>
      <c r="N2235" s="1"/>
    </row>
    <row r="2236" ht="14.5" spans="2:14">
      <c r="B2236" s="1"/>
      <c r="C2236" s="1"/>
      <c r="D2236" s="1"/>
      <c r="E2236" s="1"/>
      <c r="F2236" s="1"/>
      <c r="G2236" s="1"/>
      <c r="H2236" s="1"/>
      <c r="I2236" s="1"/>
      <c r="J2236" s="1"/>
      <c r="K2236" s="1"/>
      <c r="L2236" s="1"/>
      <c r="M2236" s="1"/>
      <c r="N2236" s="1"/>
    </row>
    <row r="2237" ht="14.5" spans="2:14">
      <c r="B2237" s="1"/>
      <c r="C2237" s="1"/>
      <c r="D2237" s="1"/>
      <c r="E2237" s="1"/>
      <c r="F2237" s="1"/>
      <c r="G2237" s="1"/>
      <c r="H2237" s="1"/>
      <c r="I2237" s="1"/>
      <c r="J2237" s="1"/>
      <c r="K2237" s="1"/>
      <c r="L2237" s="1"/>
      <c r="M2237" s="1"/>
      <c r="N2237" s="1"/>
    </row>
    <row r="2238" ht="14.5" spans="2:14">
      <c r="B2238" s="1"/>
      <c r="C2238" s="1"/>
      <c r="D2238" s="1"/>
      <c r="E2238" s="1"/>
      <c r="F2238" s="1"/>
      <c r="G2238" s="1"/>
      <c r="H2238" s="1"/>
      <c r="I2238" s="1"/>
      <c r="J2238" s="1"/>
      <c r="K2238" s="1"/>
      <c r="L2238" s="1"/>
      <c r="M2238" s="1"/>
      <c r="N2238" s="1"/>
    </row>
    <row r="2239" ht="14.5" spans="2:14">
      <c r="B2239" s="1"/>
      <c r="C2239" s="1"/>
      <c r="D2239" s="1"/>
      <c r="E2239" s="1"/>
      <c r="F2239" s="1"/>
      <c r="G2239" s="1"/>
      <c r="H2239" s="1"/>
      <c r="I2239" s="1"/>
      <c r="J2239" s="1"/>
      <c r="K2239" s="1"/>
      <c r="L2239" s="1"/>
      <c r="M2239" s="1"/>
      <c r="N2239" s="1"/>
    </row>
    <row r="2240" ht="14.5" spans="2:14">
      <c r="B2240" s="1"/>
      <c r="C2240" s="1"/>
      <c r="D2240" s="1"/>
      <c r="E2240" s="1"/>
      <c r="F2240" s="1"/>
      <c r="G2240" s="1"/>
      <c r="H2240" s="1"/>
      <c r="I2240" s="1"/>
      <c r="J2240" s="1"/>
      <c r="K2240" s="1"/>
      <c r="L2240" s="1"/>
      <c r="M2240" s="1"/>
      <c r="N2240" s="1"/>
    </row>
    <row r="2241" ht="14.5" spans="2:14">
      <c r="B2241" s="1"/>
      <c r="C2241" s="1"/>
      <c r="D2241" s="1"/>
      <c r="E2241" s="1"/>
      <c r="F2241" s="1"/>
      <c r="G2241" s="1"/>
      <c r="H2241" s="1"/>
      <c r="I2241" s="1"/>
      <c r="J2241" s="1"/>
      <c r="K2241" s="1"/>
      <c r="L2241" s="1"/>
      <c r="M2241" s="1"/>
      <c r="N2241" s="1"/>
    </row>
    <row r="2242" ht="14.5" spans="2:14">
      <c r="B2242" s="1"/>
      <c r="C2242" s="1"/>
      <c r="D2242" s="1"/>
      <c r="E2242" s="1"/>
      <c r="F2242" s="1"/>
      <c r="G2242" s="1"/>
      <c r="H2242" s="1"/>
      <c r="I2242" s="1"/>
      <c r="J2242" s="1"/>
      <c r="K2242" s="1"/>
      <c r="L2242" s="1"/>
      <c r="M2242" s="1"/>
      <c r="N2242" s="1"/>
    </row>
    <row r="2243" ht="14.5" spans="2:14">
      <c r="B2243" s="1"/>
      <c r="C2243" s="1"/>
      <c r="D2243" s="1"/>
      <c r="E2243" s="1"/>
      <c r="F2243" s="1"/>
      <c r="G2243" s="1"/>
      <c r="H2243" s="1"/>
      <c r="I2243" s="1"/>
      <c r="J2243" s="1"/>
      <c r="K2243" s="1"/>
      <c r="L2243" s="1"/>
      <c r="M2243" s="1"/>
      <c r="N2243" s="1"/>
    </row>
    <row r="2244" ht="14.5" spans="2:14">
      <c r="B2244" s="1"/>
      <c r="C2244" s="1"/>
      <c r="D2244" s="1"/>
      <c r="E2244" s="1"/>
      <c r="F2244" s="1"/>
      <c r="G2244" s="1"/>
      <c r="H2244" s="1"/>
      <c r="I2244" s="1"/>
      <c r="J2244" s="1"/>
      <c r="K2244" s="1"/>
      <c r="L2244" s="1"/>
      <c r="M2244" s="1"/>
      <c r="N2244" s="1"/>
    </row>
    <row r="2245" ht="14.5" spans="2:14">
      <c r="B2245" s="1"/>
      <c r="C2245" s="1"/>
      <c r="D2245" s="1"/>
      <c r="E2245" s="1"/>
      <c r="F2245" s="1"/>
      <c r="G2245" s="1"/>
      <c r="H2245" s="1"/>
      <c r="I2245" s="1"/>
      <c r="J2245" s="1"/>
      <c r="K2245" s="1"/>
      <c r="L2245" s="1"/>
      <c r="M2245" s="1"/>
      <c r="N2245" s="1"/>
    </row>
    <row r="2246" ht="14.5" spans="2:14">
      <c r="B2246" s="1"/>
      <c r="C2246" s="1"/>
      <c r="D2246" s="1"/>
      <c r="E2246" s="1"/>
      <c r="F2246" s="1"/>
      <c r="G2246" s="1"/>
      <c r="H2246" s="1"/>
      <c r="I2246" s="1"/>
      <c r="J2246" s="1"/>
      <c r="K2246" s="1"/>
      <c r="L2246" s="1"/>
      <c r="M2246" s="1"/>
      <c r="N2246" s="1"/>
    </row>
    <row r="2247" ht="14.5" spans="2:14">
      <c r="B2247" s="1"/>
      <c r="C2247" s="1"/>
      <c r="D2247" s="1"/>
      <c r="E2247" s="1"/>
      <c r="F2247" s="1"/>
      <c r="G2247" s="1"/>
      <c r="H2247" s="1"/>
      <c r="I2247" s="1"/>
      <c r="J2247" s="1"/>
      <c r="K2247" s="1"/>
      <c r="L2247" s="1"/>
      <c r="M2247" s="1"/>
      <c r="N2247" s="1"/>
    </row>
    <row r="2248" ht="14.5" spans="2:14">
      <c r="B2248" s="1"/>
      <c r="C2248" s="1"/>
      <c r="D2248" s="1"/>
      <c r="E2248" s="1"/>
      <c r="F2248" s="1"/>
      <c r="G2248" s="1"/>
      <c r="H2248" s="1"/>
      <c r="I2248" s="1"/>
      <c r="J2248" s="1"/>
      <c r="K2248" s="1"/>
      <c r="L2248" s="1"/>
      <c r="M2248" s="1"/>
      <c r="N2248" s="1"/>
    </row>
    <row r="2249" ht="14.5" spans="2:14">
      <c r="B2249" s="1"/>
      <c r="C2249" s="1"/>
      <c r="D2249" s="1"/>
      <c r="E2249" s="1"/>
      <c r="F2249" s="1"/>
      <c r="G2249" s="1"/>
      <c r="H2249" s="1"/>
      <c r="I2249" s="1"/>
      <c r="J2249" s="1"/>
      <c r="K2249" s="1"/>
      <c r="L2249" s="1"/>
      <c r="M2249" s="1"/>
      <c r="N2249" s="1"/>
    </row>
    <row r="2250" ht="14.5" spans="2:14">
      <c r="B2250" s="1"/>
      <c r="C2250" s="1"/>
      <c r="D2250" s="1"/>
      <c r="E2250" s="1"/>
      <c r="F2250" s="1"/>
      <c r="G2250" s="1"/>
      <c r="H2250" s="1"/>
      <c r="I2250" s="1"/>
      <c r="J2250" s="1"/>
      <c r="K2250" s="1"/>
      <c r="L2250" s="1"/>
      <c r="M2250" s="1"/>
      <c r="N2250" s="1"/>
    </row>
    <row r="2251" ht="14.5" spans="2:14">
      <c r="B2251" s="1"/>
      <c r="C2251" s="1"/>
      <c r="D2251" s="1"/>
      <c r="E2251" s="1"/>
      <c r="F2251" s="1"/>
      <c r="G2251" s="1"/>
      <c r="H2251" s="1"/>
      <c r="I2251" s="1"/>
      <c r="J2251" s="1"/>
      <c r="K2251" s="1"/>
      <c r="L2251" s="1"/>
      <c r="M2251" s="1"/>
      <c r="N2251" s="1"/>
    </row>
    <row r="2252" ht="14.5" spans="2:14">
      <c r="B2252" s="1"/>
      <c r="C2252" s="1"/>
      <c r="D2252" s="1"/>
      <c r="E2252" s="1"/>
      <c r="F2252" s="1"/>
      <c r="G2252" s="1"/>
      <c r="H2252" s="1"/>
      <c r="I2252" s="1"/>
      <c r="J2252" s="1"/>
      <c r="K2252" s="1"/>
      <c r="L2252" s="1"/>
      <c r="M2252" s="1"/>
      <c r="N2252" s="1"/>
    </row>
    <row r="2253" ht="14.5" spans="2:14">
      <c r="B2253" s="1"/>
      <c r="C2253" s="1"/>
      <c r="D2253" s="1"/>
      <c r="E2253" s="1"/>
      <c r="F2253" s="1"/>
      <c r="G2253" s="1"/>
      <c r="H2253" s="1"/>
      <c r="I2253" s="1"/>
      <c r="J2253" s="1"/>
      <c r="K2253" s="1"/>
      <c r="L2253" s="1"/>
      <c r="M2253" s="1"/>
      <c r="N2253" s="1"/>
    </row>
    <row r="2254" ht="14.5" spans="2:14">
      <c r="B2254" s="1"/>
      <c r="C2254" s="1"/>
      <c r="D2254" s="1"/>
      <c r="E2254" s="1"/>
      <c r="F2254" s="1"/>
      <c r="G2254" s="1"/>
      <c r="H2254" s="1"/>
      <c r="I2254" s="1"/>
      <c r="J2254" s="1"/>
      <c r="K2254" s="1"/>
      <c r="L2254" s="1"/>
      <c r="M2254" s="1"/>
      <c r="N2254" s="1"/>
    </row>
    <row r="2255" ht="14.5" spans="2:14">
      <c r="B2255" s="1"/>
      <c r="C2255" s="1"/>
      <c r="D2255" s="1"/>
      <c r="E2255" s="1"/>
      <c r="F2255" s="1"/>
      <c r="G2255" s="1"/>
      <c r="H2255" s="1"/>
      <c r="I2255" s="1"/>
      <c r="J2255" s="1"/>
      <c r="K2255" s="1"/>
      <c r="L2255" s="1"/>
      <c r="M2255" s="1"/>
      <c r="N2255" s="1"/>
    </row>
    <row r="2256" ht="14.5" spans="2:14">
      <c r="B2256" s="1"/>
      <c r="C2256" s="1"/>
      <c r="D2256" s="1"/>
      <c r="E2256" s="1"/>
      <c r="F2256" s="1"/>
      <c r="G2256" s="1"/>
      <c r="H2256" s="1"/>
      <c r="I2256" s="1"/>
      <c r="J2256" s="1"/>
      <c r="K2256" s="1"/>
      <c r="L2256" s="1"/>
      <c r="M2256" s="1"/>
      <c r="N2256" s="1"/>
    </row>
    <row r="2257" ht="14.5" spans="2:14">
      <c r="B2257" s="1"/>
      <c r="C2257" s="1"/>
      <c r="D2257" s="1"/>
      <c r="E2257" s="1"/>
      <c r="F2257" s="1"/>
      <c r="G2257" s="1"/>
      <c r="H2257" s="1"/>
      <c r="I2257" s="1"/>
      <c r="J2257" s="1"/>
      <c r="K2257" s="1"/>
      <c r="L2257" s="1"/>
      <c r="M2257" s="1"/>
      <c r="N2257" s="1"/>
    </row>
    <row r="2258" ht="14.5" spans="2:14">
      <c r="B2258" s="1"/>
      <c r="C2258" s="1"/>
      <c r="D2258" s="1"/>
      <c r="E2258" s="1"/>
      <c r="F2258" s="1"/>
      <c r="G2258" s="1"/>
      <c r="H2258" s="1"/>
      <c r="I2258" s="1"/>
      <c r="J2258" s="1"/>
      <c r="K2258" s="1"/>
      <c r="L2258" s="1"/>
      <c r="M2258" s="1"/>
      <c r="N2258" s="1"/>
    </row>
    <row r="2259" ht="14.5" spans="2:14">
      <c r="B2259" s="1"/>
      <c r="C2259" s="1"/>
      <c r="D2259" s="1"/>
      <c r="E2259" s="1"/>
      <c r="F2259" s="1"/>
      <c r="G2259" s="1"/>
      <c r="H2259" s="1"/>
      <c r="I2259" s="1"/>
      <c r="J2259" s="1"/>
      <c r="K2259" s="1"/>
      <c r="L2259" s="1"/>
      <c r="M2259" s="1"/>
      <c r="N2259" s="1"/>
    </row>
    <row r="2260" ht="14.5" spans="2:14">
      <c r="B2260" s="1"/>
      <c r="C2260" s="1"/>
      <c r="D2260" s="1"/>
      <c r="E2260" s="1"/>
      <c r="F2260" s="1"/>
      <c r="G2260" s="1"/>
      <c r="H2260" s="1"/>
      <c r="I2260" s="1"/>
      <c r="J2260" s="1"/>
      <c r="K2260" s="1"/>
      <c r="L2260" s="1"/>
      <c r="M2260" s="1"/>
      <c r="N2260" s="1"/>
    </row>
    <row r="2261" ht="14.5" spans="2:14">
      <c r="B2261" s="1"/>
      <c r="C2261" s="1"/>
      <c r="D2261" s="1"/>
      <c r="E2261" s="1"/>
      <c r="F2261" s="1"/>
      <c r="G2261" s="1"/>
      <c r="H2261" s="1"/>
      <c r="I2261" s="1"/>
      <c r="J2261" s="1"/>
      <c r="K2261" s="1"/>
      <c r="L2261" s="1"/>
      <c r="M2261" s="1"/>
      <c r="N2261" s="1"/>
    </row>
    <row r="2262" ht="14.5" spans="2:14">
      <c r="B2262" s="1"/>
      <c r="C2262" s="1"/>
      <c r="D2262" s="1"/>
      <c r="E2262" s="1"/>
      <c r="F2262" s="1"/>
      <c r="G2262" s="1"/>
      <c r="H2262" s="1"/>
      <c r="I2262" s="1"/>
      <c r="J2262" s="1"/>
      <c r="K2262" s="1"/>
      <c r="L2262" s="1"/>
      <c r="M2262" s="1"/>
      <c r="N2262" s="1"/>
    </row>
    <row r="2263" ht="14.5" spans="2:14">
      <c r="B2263" s="1"/>
      <c r="C2263" s="1"/>
      <c r="D2263" s="1"/>
      <c r="E2263" s="1"/>
      <c r="F2263" s="1"/>
      <c r="G2263" s="1"/>
      <c r="H2263" s="1"/>
      <c r="I2263" s="1"/>
      <c r="J2263" s="1"/>
      <c r="K2263" s="1"/>
      <c r="L2263" s="1"/>
      <c r="M2263" s="1"/>
      <c r="N2263" s="1"/>
    </row>
    <row r="2264" ht="14.5" spans="2:14">
      <c r="B2264" s="1"/>
      <c r="C2264" s="1"/>
      <c r="D2264" s="1"/>
      <c r="E2264" s="1"/>
      <c r="F2264" s="1"/>
      <c r="G2264" s="1"/>
      <c r="H2264" s="1"/>
      <c r="I2264" s="1"/>
      <c r="J2264" s="1"/>
      <c r="K2264" s="1"/>
      <c r="L2264" s="1"/>
      <c r="M2264" s="1"/>
      <c r="N2264" s="1"/>
    </row>
    <row r="2265" ht="14.5" spans="2:14">
      <c r="B2265" s="1"/>
      <c r="C2265" s="1"/>
      <c r="D2265" s="1"/>
      <c r="E2265" s="1"/>
      <c r="F2265" s="1"/>
      <c r="G2265" s="1"/>
      <c r="H2265" s="1"/>
      <c r="I2265" s="1"/>
      <c r="J2265" s="1"/>
      <c r="K2265" s="1"/>
      <c r="L2265" s="1"/>
      <c r="M2265" s="1"/>
      <c r="N2265" s="1"/>
    </row>
    <row r="2266" ht="14.5" spans="2:14">
      <c r="B2266" s="1"/>
      <c r="C2266" s="1"/>
      <c r="D2266" s="1"/>
      <c r="E2266" s="1"/>
      <c r="F2266" s="1"/>
      <c r="G2266" s="1"/>
      <c r="H2266" s="1"/>
      <c r="I2266" s="1"/>
      <c r="J2266" s="1"/>
      <c r="K2266" s="1"/>
      <c r="L2266" s="1"/>
      <c r="M2266" s="1"/>
      <c r="N2266" s="1"/>
    </row>
    <row r="2267" ht="14.5" spans="2:14">
      <c r="B2267" s="1"/>
      <c r="C2267" s="1"/>
      <c r="D2267" s="1"/>
      <c r="E2267" s="1"/>
      <c r="F2267" s="1"/>
      <c r="G2267" s="1"/>
      <c r="H2267" s="1"/>
      <c r="I2267" s="1"/>
      <c r="J2267" s="1"/>
      <c r="K2267" s="1"/>
      <c r="L2267" s="1"/>
      <c r="M2267" s="1"/>
      <c r="N2267" s="1"/>
    </row>
    <row r="2268" ht="14.5" spans="2:14">
      <c r="B2268" s="1"/>
      <c r="C2268" s="1"/>
      <c r="D2268" s="1"/>
      <c r="E2268" s="1"/>
      <c r="F2268" s="1"/>
      <c r="G2268" s="1"/>
      <c r="H2268" s="1"/>
      <c r="I2268" s="1"/>
      <c r="J2268" s="1"/>
      <c r="K2268" s="1"/>
      <c r="L2268" s="1"/>
      <c r="M2268" s="1"/>
      <c r="N2268" s="1"/>
    </row>
    <row r="2269" ht="14.5" spans="2:14">
      <c r="B2269" s="1"/>
      <c r="C2269" s="1"/>
      <c r="D2269" s="1"/>
      <c r="E2269" s="1"/>
      <c r="F2269" s="1"/>
      <c r="G2269" s="1"/>
      <c r="H2269" s="1"/>
      <c r="I2269" s="1"/>
      <c r="J2269" s="1"/>
      <c r="K2269" s="1"/>
      <c r="L2269" s="1"/>
      <c r="M2269" s="1"/>
      <c r="N2269" s="1"/>
    </row>
    <row r="2270" ht="14.5" spans="2:14">
      <c r="B2270" s="1"/>
      <c r="C2270" s="1"/>
      <c r="D2270" s="1"/>
      <c r="E2270" s="1"/>
      <c r="F2270" s="1"/>
      <c r="G2270" s="1"/>
      <c r="H2270" s="1"/>
      <c r="I2270" s="1"/>
      <c r="J2270" s="1"/>
      <c r="K2270" s="1"/>
      <c r="L2270" s="1"/>
      <c r="M2270" s="1"/>
      <c r="N2270" s="1"/>
    </row>
    <row r="2271" ht="14.5" spans="2:14">
      <c r="B2271" s="1"/>
      <c r="C2271" s="1"/>
      <c r="D2271" s="1"/>
      <c r="E2271" s="1"/>
      <c r="F2271" s="1"/>
      <c r="G2271" s="1"/>
      <c r="H2271" s="1"/>
      <c r="I2271" s="1"/>
      <c r="J2271" s="1"/>
      <c r="K2271" s="1"/>
      <c r="L2271" s="1"/>
      <c r="M2271" s="1"/>
      <c r="N2271" s="1"/>
    </row>
    <row r="2272" ht="14.5" spans="2:14">
      <c r="B2272" s="1"/>
      <c r="C2272" s="1"/>
      <c r="D2272" s="1"/>
      <c r="E2272" s="1"/>
      <c r="F2272" s="1"/>
      <c r="G2272" s="1"/>
      <c r="H2272" s="1"/>
      <c r="I2272" s="1"/>
      <c r="J2272" s="1"/>
      <c r="K2272" s="1"/>
      <c r="L2272" s="1"/>
      <c r="M2272" s="1"/>
      <c r="N2272" s="1"/>
    </row>
    <row r="2273" ht="14.5" spans="2:14">
      <c r="B2273" s="1"/>
      <c r="C2273" s="1"/>
      <c r="D2273" s="1"/>
      <c r="E2273" s="1"/>
      <c r="F2273" s="1"/>
      <c r="G2273" s="1"/>
      <c r="H2273" s="1"/>
      <c r="I2273" s="1"/>
      <c r="J2273" s="1"/>
      <c r="K2273" s="1"/>
      <c r="L2273" s="1"/>
      <c r="M2273" s="1"/>
      <c r="N2273" s="1"/>
    </row>
    <row r="2274" ht="14.5" spans="2:14">
      <c r="B2274" s="1"/>
      <c r="C2274" s="1"/>
      <c r="D2274" s="1"/>
      <c r="E2274" s="1"/>
      <c r="F2274" s="1"/>
      <c r="G2274" s="1"/>
      <c r="H2274" s="1"/>
      <c r="I2274" s="1"/>
      <c r="J2274" s="1"/>
      <c r="K2274" s="1"/>
      <c r="L2274" s="1"/>
      <c r="M2274" s="1"/>
      <c r="N2274" s="1"/>
    </row>
    <row r="2275" ht="14.5" spans="2:14">
      <c r="B2275" s="1"/>
      <c r="C2275" s="1"/>
      <c r="D2275" s="1"/>
      <c r="E2275" s="1"/>
      <c r="F2275" s="1"/>
      <c r="G2275" s="1"/>
      <c r="H2275" s="1"/>
      <c r="I2275" s="1"/>
      <c r="J2275" s="1"/>
      <c r="K2275" s="1"/>
      <c r="L2275" s="1"/>
      <c r="M2275" s="1"/>
      <c r="N2275" s="1"/>
    </row>
    <row r="2276" ht="14.5" spans="2:14">
      <c r="B2276" s="1"/>
      <c r="C2276" s="1"/>
      <c r="D2276" s="1"/>
      <c r="E2276" s="1"/>
      <c r="F2276" s="1"/>
      <c r="G2276" s="1"/>
      <c r="H2276" s="1"/>
      <c r="I2276" s="1"/>
      <c r="J2276" s="1"/>
      <c r="K2276" s="1"/>
      <c r="L2276" s="1"/>
      <c r="M2276" s="1"/>
      <c r="N2276" s="1"/>
    </row>
    <row r="2277" ht="14.5" spans="2:14">
      <c r="B2277" s="1"/>
      <c r="C2277" s="1"/>
      <c r="D2277" s="1"/>
      <c r="E2277" s="1"/>
      <c r="F2277" s="1"/>
      <c r="G2277" s="1"/>
      <c r="H2277" s="1"/>
      <c r="I2277" s="1"/>
      <c r="J2277" s="1"/>
      <c r="K2277" s="1"/>
      <c r="L2277" s="1"/>
      <c r="M2277" s="1"/>
      <c r="N2277" s="1"/>
    </row>
    <row r="2278" ht="14.5" spans="2:14">
      <c r="B2278" s="1"/>
      <c r="C2278" s="1"/>
      <c r="D2278" s="1"/>
      <c r="E2278" s="1"/>
      <c r="F2278" s="1"/>
      <c r="G2278" s="1"/>
      <c r="H2278" s="1"/>
      <c r="I2278" s="1"/>
      <c r="J2278" s="1"/>
      <c r="K2278" s="1"/>
      <c r="L2278" s="1"/>
      <c r="M2278" s="1"/>
      <c r="N2278" s="1"/>
    </row>
    <row r="2279" ht="14.5" spans="2:14">
      <c r="B2279" s="1"/>
      <c r="C2279" s="1"/>
      <c r="D2279" s="1"/>
      <c r="E2279" s="1"/>
      <c r="F2279" s="1"/>
      <c r="G2279" s="1"/>
      <c r="H2279" s="1"/>
      <c r="I2279" s="1"/>
      <c r="J2279" s="1"/>
      <c r="K2279" s="1"/>
      <c r="L2279" s="1"/>
      <c r="M2279" s="1"/>
      <c r="N2279" s="1"/>
    </row>
    <row r="2280" ht="14.5" spans="2:14">
      <c r="B2280" s="1"/>
      <c r="C2280" s="1"/>
      <c r="D2280" s="1"/>
      <c r="E2280" s="1"/>
      <c r="F2280" s="1"/>
      <c r="G2280" s="1"/>
      <c r="H2280" s="1"/>
      <c r="I2280" s="1"/>
      <c r="J2280" s="1"/>
      <c r="K2280" s="1"/>
      <c r="L2280" s="1"/>
      <c r="M2280" s="1"/>
      <c r="N2280" s="1"/>
    </row>
    <row r="2281" ht="14.5" spans="2:14">
      <c r="B2281" s="1"/>
      <c r="C2281" s="1"/>
      <c r="D2281" s="1"/>
      <c r="E2281" s="1"/>
      <c r="F2281" s="1"/>
      <c r="G2281" s="1"/>
      <c r="H2281" s="1"/>
      <c r="I2281" s="1"/>
      <c r="J2281" s="1"/>
      <c r="K2281" s="1"/>
      <c r="L2281" s="1"/>
      <c r="M2281" s="1"/>
      <c r="N2281" s="1"/>
    </row>
    <row r="2282" ht="14.5" spans="2:14">
      <c r="B2282" s="1"/>
      <c r="C2282" s="1"/>
      <c r="D2282" s="1"/>
      <c r="E2282" s="1"/>
      <c r="F2282" s="1"/>
      <c r="G2282" s="1"/>
      <c r="H2282" s="1"/>
      <c r="I2282" s="1"/>
      <c r="J2282" s="1"/>
      <c r="K2282" s="1"/>
      <c r="L2282" s="1"/>
      <c r="M2282" s="1"/>
      <c r="N2282" s="1"/>
    </row>
    <row r="2283" ht="14.5" spans="2:14">
      <c r="B2283" s="1"/>
      <c r="C2283" s="1"/>
      <c r="D2283" s="1"/>
      <c r="E2283" s="1"/>
      <c r="F2283" s="1"/>
      <c r="G2283" s="1"/>
      <c r="H2283" s="1"/>
      <c r="I2283" s="1"/>
      <c r="J2283" s="1"/>
      <c r="K2283" s="1"/>
      <c r="L2283" s="1"/>
      <c r="M2283" s="1"/>
      <c r="N2283" s="1"/>
    </row>
    <row r="2284" ht="14.5" spans="2:14">
      <c r="B2284" s="1"/>
      <c r="C2284" s="1"/>
      <c r="D2284" s="1"/>
      <c r="E2284" s="1"/>
      <c r="F2284" s="1"/>
      <c r="G2284" s="1"/>
      <c r="H2284" s="1"/>
      <c r="I2284" s="1"/>
      <c r="J2284" s="1"/>
      <c r="K2284" s="1"/>
      <c r="L2284" s="1"/>
      <c r="M2284" s="1"/>
      <c r="N2284" s="1"/>
    </row>
    <row r="2285" ht="14.5" spans="2:14">
      <c r="B2285" s="1"/>
      <c r="C2285" s="1"/>
      <c r="D2285" s="1"/>
      <c r="E2285" s="1"/>
      <c r="F2285" s="1"/>
      <c r="G2285" s="1"/>
      <c r="H2285" s="1"/>
      <c r="I2285" s="1"/>
      <c r="J2285" s="1"/>
      <c r="K2285" s="1"/>
      <c r="L2285" s="1"/>
      <c r="M2285" s="1"/>
      <c r="N2285" s="1"/>
    </row>
    <row r="2286" ht="14.5" spans="2:14">
      <c r="B2286" s="1"/>
      <c r="C2286" s="1"/>
      <c r="D2286" s="1"/>
      <c r="E2286" s="1"/>
      <c r="F2286" s="1"/>
      <c r="G2286" s="1"/>
      <c r="H2286" s="1"/>
      <c r="I2286" s="1"/>
      <c r="J2286" s="1"/>
      <c r="K2286" s="1"/>
      <c r="L2286" s="1"/>
      <c r="M2286" s="1"/>
      <c r="N2286" s="1"/>
    </row>
    <row r="2287" ht="14.5" spans="2:14">
      <c r="B2287" s="1"/>
      <c r="C2287" s="1"/>
      <c r="D2287" s="1"/>
      <c r="E2287" s="1"/>
      <c r="F2287" s="1"/>
      <c r="G2287" s="1"/>
      <c r="H2287" s="1"/>
      <c r="I2287" s="1"/>
      <c r="J2287" s="1"/>
      <c r="K2287" s="1"/>
      <c r="L2287" s="1"/>
      <c r="M2287" s="1"/>
      <c r="N2287" s="1"/>
    </row>
    <row r="2288" ht="14.5" spans="2:14">
      <c r="B2288" s="1"/>
      <c r="C2288" s="1"/>
      <c r="D2288" s="1"/>
      <c r="E2288" s="1"/>
      <c r="F2288" s="1"/>
      <c r="G2288" s="1"/>
      <c r="H2288" s="1"/>
      <c r="I2288" s="1"/>
      <c r="J2288" s="1"/>
      <c r="K2288" s="1"/>
      <c r="L2288" s="1"/>
      <c r="M2288" s="1"/>
      <c r="N2288" s="1"/>
    </row>
    <row r="2289" ht="14.5" spans="2:14">
      <c r="B2289" s="1"/>
      <c r="C2289" s="1"/>
      <c r="D2289" s="1"/>
      <c r="E2289" s="1"/>
      <c r="F2289" s="1"/>
      <c r="G2289" s="1"/>
      <c r="H2289" s="1"/>
      <c r="I2289" s="1"/>
      <c r="J2289" s="1"/>
      <c r="K2289" s="1"/>
      <c r="L2289" s="1"/>
      <c r="M2289" s="1"/>
      <c r="N2289" s="1"/>
    </row>
    <row r="2290" ht="14.5" spans="2:14">
      <c r="B2290" s="1"/>
      <c r="C2290" s="1"/>
      <c r="D2290" s="1"/>
      <c r="E2290" s="1"/>
      <c r="F2290" s="1"/>
      <c r="G2290" s="1"/>
      <c r="H2290" s="1"/>
      <c r="I2290" s="1"/>
      <c r="J2290" s="1"/>
      <c r="K2290" s="1"/>
      <c r="L2290" s="1"/>
      <c r="M2290" s="1"/>
      <c r="N2290" s="1"/>
    </row>
    <row r="2291" ht="14.5" spans="2:14">
      <c r="B2291" s="1"/>
      <c r="C2291" s="1"/>
      <c r="D2291" s="1"/>
      <c r="E2291" s="1"/>
      <c r="F2291" s="1"/>
      <c r="G2291" s="1"/>
      <c r="H2291" s="1"/>
      <c r="I2291" s="1"/>
      <c r="J2291" s="1"/>
      <c r="K2291" s="1"/>
      <c r="L2291" s="1"/>
      <c r="M2291" s="1"/>
      <c r="N2291" s="1"/>
    </row>
    <row r="2292" ht="14.5" spans="2:14">
      <c r="B2292" s="1"/>
      <c r="C2292" s="1"/>
      <c r="D2292" s="1"/>
      <c r="E2292" s="1"/>
      <c r="F2292" s="1"/>
      <c r="G2292" s="1"/>
      <c r="H2292" s="1"/>
      <c r="I2292" s="1"/>
      <c r="J2292" s="1"/>
      <c r="K2292" s="1"/>
      <c r="L2292" s="1"/>
      <c r="M2292" s="1"/>
      <c r="N2292" s="1"/>
    </row>
    <row r="2293" ht="14.5" spans="2:14">
      <c r="B2293" s="1"/>
      <c r="C2293" s="1"/>
      <c r="D2293" s="1"/>
      <c r="E2293" s="1"/>
      <c r="F2293" s="1"/>
      <c r="G2293" s="1"/>
      <c r="H2293" s="1"/>
      <c r="I2293" s="1"/>
      <c r="J2293" s="1"/>
      <c r="K2293" s="1"/>
      <c r="L2293" s="1"/>
      <c r="M2293" s="1"/>
      <c r="N2293" s="1"/>
    </row>
    <row r="2294" ht="14.5" spans="2:14">
      <c r="B2294" s="1"/>
      <c r="C2294" s="1"/>
      <c r="D2294" s="1"/>
      <c r="E2294" s="1"/>
      <c r="F2294" s="1"/>
      <c r="G2294" s="1"/>
      <c r="H2294" s="1"/>
      <c r="I2294" s="1"/>
      <c r="J2294" s="1"/>
      <c r="K2294" s="1"/>
      <c r="L2294" s="1"/>
      <c r="M2294" s="1"/>
      <c r="N2294" s="1"/>
    </row>
    <row r="2295" ht="14.5" spans="2:14">
      <c r="B2295" s="1"/>
      <c r="C2295" s="1"/>
      <c r="D2295" s="1"/>
      <c r="E2295" s="1"/>
      <c r="F2295" s="1"/>
      <c r="G2295" s="1"/>
      <c r="H2295" s="1"/>
      <c r="I2295" s="1"/>
      <c r="J2295" s="1"/>
      <c r="K2295" s="1"/>
      <c r="L2295" s="1"/>
      <c r="M2295" s="1"/>
      <c r="N2295" s="1"/>
    </row>
    <row r="2296" ht="14.5" spans="2:14">
      <c r="B2296" s="1"/>
      <c r="C2296" s="1"/>
      <c r="D2296" s="1"/>
      <c r="E2296" s="1"/>
      <c r="F2296" s="1"/>
      <c r="G2296" s="1"/>
      <c r="H2296" s="1"/>
      <c r="I2296" s="1"/>
      <c r="J2296" s="1"/>
      <c r="K2296" s="1"/>
      <c r="L2296" s="1"/>
      <c r="M2296" s="1"/>
      <c r="N2296" s="1"/>
    </row>
    <row r="2297" ht="14.5" spans="2:14">
      <c r="B2297" s="1"/>
      <c r="C2297" s="1"/>
      <c r="D2297" s="1"/>
      <c r="E2297" s="1"/>
      <c r="F2297" s="1"/>
      <c r="G2297" s="1"/>
      <c r="H2297" s="1"/>
      <c r="I2297" s="1"/>
      <c r="J2297" s="1"/>
      <c r="K2297" s="1"/>
      <c r="L2297" s="1"/>
      <c r="M2297" s="1"/>
      <c r="N2297" s="1"/>
    </row>
    <row r="2298" ht="14.5" spans="2:14">
      <c r="B2298" s="1"/>
      <c r="C2298" s="1"/>
      <c r="D2298" s="1"/>
      <c r="E2298" s="1"/>
      <c r="F2298" s="1"/>
      <c r="G2298" s="1"/>
      <c r="H2298" s="1"/>
      <c r="I2298" s="1"/>
      <c r="J2298" s="1"/>
      <c r="K2298" s="1"/>
      <c r="L2298" s="1"/>
      <c r="M2298" s="1"/>
      <c r="N2298" s="1"/>
    </row>
    <row r="2299" ht="14.5" spans="2:14">
      <c r="B2299" s="1"/>
      <c r="C2299" s="1"/>
      <c r="D2299" s="1"/>
      <c r="E2299" s="1"/>
      <c r="F2299" s="1"/>
      <c r="G2299" s="1"/>
      <c r="H2299" s="1"/>
      <c r="I2299" s="1"/>
      <c r="J2299" s="1"/>
      <c r="K2299" s="1"/>
      <c r="L2299" s="1"/>
      <c r="M2299" s="1"/>
      <c r="N2299" s="1"/>
    </row>
    <row r="2300" ht="14.5" spans="2:14">
      <c r="B2300" s="1"/>
      <c r="C2300" s="1"/>
      <c r="D2300" s="1"/>
      <c r="E2300" s="1"/>
      <c r="F2300" s="1"/>
      <c r="G2300" s="1"/>
      <c r="H2300" s="1"/>
      <c r="I2300" s="1"/>
      <c r="J2300" s="1"/>
      <c r="K2300" s="1"/>
      <c r="L2300" s="1"/>
      <c r="M2300" s="1"/>
      <c r="N2300" s="1"/>
    </row>
    <row r="2301" ht="14.5" spans="2:14">
      <c r="B2301" s="1"/>
      <c r="C2301" s="1"/>
      <c r="D2301" s="1"/>
      <c r="E2301" s="1"/>
      <c r="F2301" s="1"/>
      <c r="G2301" s="1"/>
      <c r="H2301" s="1"/>
      <c r="I2301" s="1"/>
      <c r="J2301" s="1"/>
      <c r="K2301" s="1"/>
      <c r="L2301" s="1"/>
      <c r="M2301" s="1"/>
      <c r="N2301" s="1"/>
    </row>
    <row r="2302" ht="14.5" spans="2:14">
      <c r="B2302" s="1"/>
      <c r="C2302" s="1"/>
      <c r="D2302" s="1"/>
      <c r="E2302" s="1"/>
      <c r="F2302" s="1"/>
      <c r="G2302" s="1"/>
      <c r="H2302" s="1"/>
      <c r="I2302" s="1"/>
      <c r="J2302" s="1"/>
      <c r="K2302" s="1"/>
      <c r="L2302" s="1"/>
      <c r="M2302" s="1"/>
      <c r="N2302" s="1"/>
    </row>
    <row r="2303" ht="14.5" spans="2:14">
      <c r="B2303" s="1"/>
      <c r="C2303" s="1"/>
      <c r="D2303" s="1"/>
      <c r="E2303" s="1"/>
      <c r="F2303" s="1"/>
      <c r="G2303" s="1"/>
      <c r="H2303" s="1"/>
      <c r="I2303" s="1"/>
      <c r="J2303" s="1"/>
      <c r="K2303" s="1"/>
      <c r="L2303" s="1"/>
      <c r="M2303" s="1"/>
      <c r="N2303" s="1"/>
    </row>
    <row r="2304" ht="14.5" spans="2:14">
      <c r="B2304" s="1"/>
      <c r="C2304" s="1"/>
      <c r="D2304" s="1"/>
      <c r="E2304" s="1"/>
      <c r="F2304" s="1"/>
      <c r="G2304" s="1"/>
      <c r="H2304" s="1"/>
      <c r="I2304" s="1"/>
      <c r="J2304" s="1"/>
      <c r="K2304" s="1"/>
      <c r="L2304" s="1"/>
      <c r="M2304" s="1"/>
      <c r="N2304" s="1"/>
    </row>
    <row r="2305" ht="14.5" spans="2:14">
      <c r="B2305" s="1"/>
      <c r="C2305" s="1"/>
      <c r="D2305" s="1"/>
      <c r="E2305" s="1"/>
      <c r="F2305" s="1"/>
      <c r="G2305" s="1"/>
      <c r="H2305" s="1"/>
      <c r="I2305" s="1"/>
      <c r="J2305" s="1"/>
      <c r="K2305" s="1"/>
      <c r="L2305" s="1"/>
      <c r="M2305" s="1"/>
      <c r="N2305" s="1"/>
    </row>
    <row r="2306" ht="14.5" spans="2:14">
      <c r="B2306" s="1"/>
      <c r="C2306" s="1"/>
      <c r="D2306" s="1"/>
      <c r="E2306" s="1"/>
      <c r="F2306" s="1"/>
      <c r="G2306" s="1"/>
      <c r="H2306" s="1"/>
      <c r="I2306" s="1"/>
      <c r="J2306" s="1"/>
      <c r="K2306" s="1"/>
      <c r="L2306" s="1"/>
      <c r="M2306" s="1"/>
      <c r="N2306" s="1"/>
    </row>
    <row r="2307" ht="14.5" spans="2:14">
      <c r="B2307" s="1"/>
      <c r="C2307" s="1"/>
      <c r="D2307" s="1"/>
      <c r="E2307" s="1"/>
      <c r="F2307" s="1"/>
      <c r="G2307" s="1"/>
      <c r="H2307" s="1"/>
      <c r="I2307" s="1"/>
      <c r="J2307" s="1"/>
      <c r="K2307" s="1"/>
      <c r="L2307" s="1"/>
      <c r="M2307" s="1"/>
      <c r="N2307" s="1"/>
    </row>
    <row r="2308" ht="14.5" spans="2:14">
      <c r="B2308" s="1"/>
      <c r="C2308" s="1"/>
      <c r="D2308" s="1"/>
      <c r="E2308" s="1"/>
      <c r="F2308" s="1"/>
      <c r="G2308" s="1"/>
      <c r="H2308" s="1"/>
      <c r="I2308" s="1"/>
      <c r="J2308" s="1"/>
      <c r="K2308" s="1"/>
      <c r="L2308" s="1"/>
      <c r="M2308" s="1"/>
      <c r="N2308" s="1"/>
    </row>
    <row r="2309" ht="14.5" spans="2:14">
      <c r="B2309" s="1"/>
      <c r="C2309" s="1"/>
      <c r="D2309" s="1"/>
      <c r="E2309" s="1"/>
      <c r="F2309" s="1"/>
      <c r="G2309" s="1"/>
      <c r="H2309" s="1"/>
      <c r="I2309" s="1"/>
      <c r="J2309" s="1"/>
      <c r="K2309" s="1"/>
      <c r="L2309" s="1"/>
      <c r="M2309" s="1"/>
      <c r="N2309" s="1"/>
    </row>
    <row r="2310" ht="14.5" spans="2:14">
      <c r="B2310" s="1"/>
      <c r="C2310" s="1"/>
      <c r="D2310" s="1"/>
      <c r="E2310" s="1"/>
      <c r="F2310" s="1"/>
      <c r="G2310" s="1"/>
      <c r="H2310" s="1"/>
      <c r="I2310" s="1"/>
      <c r="J2310" s="1"/>
      <c r="K2310" s="1"/>
      <c r="L2310" s="1"/>
      <c r="M2310" s="1"/>
      <c r="N2310" s="1"/>
    </row>
    <row r="2311" ht="14.5" spans="2:14">
      <c r="B2311" s="1"/>
      <c r="C2311" s="1"/>
      <c r="D2311" s="1"/>
      <c r="E2311" s="1"/>
      <c r="F2311" s="1"/>
      <c r="G2311" s="1"/>
      <c r="H2311" s="1"/>
      <c r="I2311" s="1"/>
      <c r="J2311" s="1"/>
      <c r="K2311" s="1"/>
      <c r="L2311" s="1"/>
      <c r="M2311" s="1"/>
      <c r="N2311" s="1"/>
    </row>
    <row r="2312" ht="14.5" spans="2:14">
      <c r="B2312" s="1"/>
      <c r="C2312" s="1"/>
      <c r="D2312" s="1"/>
      <c r="E2312" s="1"/>
      <c r="F2312" s="1"/>
      <c r="G2312" s="1"/>
      <c r="H2312" s="1"/>
      <c r="I2312" s="1"/>
      <c r="J2312" s="1"/>
      <c r="K2312" s="1"/>
      <c r="L2312" s="1"/>
      <c r="M2312" s="1"/>
      <c r="N2312" s="1"/>
    </row>
    <row r="2313" ht="14.5" spans="2:14">
      <c r="B2313" s="1"/>
      <c r="C2313" s="1"/>
      <c r="D2313" s="1"/>
      <c r="E2313" s="1"/>
      <c r="F2313" s="1"/>
      <c r="G2313" s="1"/>
      <c r="H2313" s="1"/>
      <c r="I2313" s="1"/>
      <c r="J2313" s="1"/>
      <c r="K2313" s="1"/>
      <c r="L2313" s="1"/>
      <c r="M2313" s="1"/>
      <c r="N2313" s="1"/>
    </row>
    <row r="2314" ht="14.5" spans="2:14">
      <c r="B2314" s="1"/>
      <c r="C2314" s="1"/>
      <c r="D2314" s="1"/>
      <c r="E2314" s="1"/>
      <c r="F2314" s="1"/>
      <c r="G2314" s="1"/>
      <c r="H2314" s="1"/>
      <c r="I2314" s="1"/>
      <c r="J2314" s="1"/>
      <c r="K2314" s="1"/>
      <c r="L2314" s="1"/>
      <c r="M2314" s="1"/>
      <c r="N2314" s="1"/>
    </row>
    <row r="2315" ht="14.5" spans="2:14">
      <c r="B2315" s="1"/>
      <c r="C2315" s="1"/>
      <c r="D2315" s="1"/>
      <c r="E2315" s="1"/>
      <c r="F2315" s="1"/>
      <c r="G2315" s="1"/>
      <c r="H2315" s="1"/>
      <c r="I2315" s="1"/>
      <c r="J2315" s="1"/>
      <c r="K2315" s="1"/>
      <c r="L2315" s="1"/>
      <c r="M2315" s="1"/>
      <c r="N2315" s="1"/>
    </row>
    <row r="2316" ht="14.5" spans="2:14">
      <c r="B2316" s="1"/>
      <c r="C2316" s="1"/>
      <c r="D2316" s="1"/>
      <c r="E2316" s="1"/>
      <c r="F2316" s="1"/>
      <c r="G2316" s="1"/>
      <c r="H2316" s="1"/>
      <c r="I2316" s="1"/>
      <c r="J2316" s="1"/>
      <c r="K2316" s="1"/>
      <c r="L2316" s="1"/>
      <c r="M2316" s="1"/>
      <c r="N2316" s="1"/>
    </row>
    <row r="2317" ht="14.5" spans="2:14">
      <c r="B2317" s="1"/>
      <c r="C2317" s="1"/>
      <c r="D2317" s="1"/>
      <c r="E2317" s="1"/>
      <c r="F2317" s="1"/>
      <c r="G2317" s="1"/>
      <c r="H2317" s="1"/>
      <c r="I2317" s="1"/>
      <c r="J2317" s="1"/>
      <c r="K2317" s="1"/>
      <c r="L2317" s="1"/>
      <c r="M2317" s="1"/>
      <c r="N2317" s="1"/>
    </row>
    <row r="2318" ht="14.5" spans="2:14">
      <c r="B2318" s="1"/>
      <c r="C2318" s="1"/>
      <c r="D2318" s="1"/>
      <c r="E2318" s="1"/>
      <c r="F2318" s="1"/>
      <c r="G2318" s="1"/>
      <c r="H2318" s="1"/>
      <c r="I2318" s="1"/>
      <c r="J2318" s="1"/>
      <c r="K2318" s="1"/>
      <c r="L2318" s="1"/>
      <c r="M2318" s="1"/>
      <c r="N2318" s="1"/>
    </row>
    <row r="2319" ht="14.5" spans="2:14">
      <c r="B2319" s="1"/>
      <c r="C2319" s="1"/>
      <c r="D2319" s="1"/>
      <c r="E2319" s="1"/>
      <c r="F2319" s="1"/>
      <c r="G2319" s="1"/>
      <c r="H2319" s="1"/>
      <c r="I2319" s="1"/>
      <c r="J2319" s="1"/>
      <c r="K2319" s="1"/>
      <c r="L2319" s="1"/>
      <c r="M2319" s="1"/>
      <c r="N2319" s="1"/>
    </row>
    <row r="2320" ht="14.5" spans="2:14">
      <c r="B2320" s="1"/>
      <c r="C2320" s="1"/>
      <c r="D2320" s="1"/>
      <c r="E2320" s="1"/>
      <c r="F2320" s="1"/>
      <c r="G2320" s="1"/>
      <c r="H2320" s="1"/>
      <c r="I2320" s="1"/>
      <c r="J2320" s="1"/>
      <c r="K2320" s="1"/>
      <c r="L2320" s="1"/>
      <c r="M2320" s="1"/>
      <c r="N2320" s="1"/>
    </row>
    <row r="2321" ht="14.5" spans="2:14">
      <c r="B2321" s="1"/>
      <c r="C2321" s="1"/>
      <c r="D2321" s="1"/>
      <c r="E2321" s="1"/>
      <c r="F2321" s="1"/>
      <c r="G2321" s="1"/>
      <c r="H2321" s="1"/>
      <c r="I2321" s="1"/>
      <c r="J2321" s="1"/>
      <c r="K2321" s="1"/>
      <c r="L2321" s="1"/>
      <c r="M2321" s="1"/>
      <c r="N2321" s="1"/>
    </row>
    <row r="2322" ht="14.5" spans="2:14">
      <c r="B2322" s="1"/>
      <c r="C2322" s="1"/>
      <c r="D2322" s="1"/>
      <c r="E2322" s="1"/>
      <c r="F2322" s="1"/>
      <c r="G2322" s="1"/>
      <c r="H2322" s="1"/>
      <c r="I2322" s="1"/>
      <c r="J2322" s="1"/>
      <c r="K2322" s="1"/>
      <c r="L2322" s="1"/>
      <c r="M2322" s="1"/>
      <c r="N2322" s="1"/>
    </row>
    <row r="2323" ht="14.5" spans="2:14">
      <c r="B2323" s="1"/>
      <c r="C2323" s="1"/>
      <c r="D2323" s="1"/>
      <c r="E2323" s="1"/>
      <c r="F2323" s="1"/>
      <c r="G2323" s="1"/>
      <c r="H2323" s="1"/>
      <c r="I2323" s="1"/>
      <c r="J2323" s="1"/>
      <c r="K2323" s="1"/>
      <c r="L2323" s="1"/>
      <c r="M2323" s="1"/>
      <c r="N2323" s="1"/>
    </row>
    <row r="2324" ht="14.5" spans="2:14">
      <c r="B2324" s="1"/>
      <c r="C2324" s="1"/>
      <c r="D2324" s="1"/>
      <c r="E2324" s="1"/>
      <c r="F2324" s="1"/>
      <c r="G2324" s="1"/>
      <c r="H2324" s="1"/>
      <c r="I2324" s="1"/>
      <c r="J2324" s="1"/>
      <c r="K2324" s="1"/>
      <c r="L2324" s="1"/>
      <c r="M2324" s="1"/>
      <c r="N2324" s="1"/>
    </row>
    <row r="2325" ht="14.5" spans="2:14">
      <c r="B2325" s="1"/>
      <c r="C2325" s="1"/>
      <c r="D2325" s="1"/>
      <c r="E2325" s="1"/>
      <c r="F2325" s="1"/>
      <c r="G2325" s="1"/>
      <c r="H2325" s="1"/>
      <c r="I2325" s="1"/>
      <c r="J2325" s="1"/>
      <c r="K2325" s="1"/>
      <c r="L2325" s="1"/>
      <c r="M2325" s="1"/>
      <c r="N2325" s="1"/>
    </row>
    <row r="2326" ht="14.5" spans="2:14">
      <c r="B2326" s="1"/>
      <c r="C2326" s="1"/>
      <c r="D2326" s="1"/>
      <c r="E2326" s="1"/>
      <c r="F2326" s="1"/>
      <c r="G2326" s="1"/>
      <c r="H2326" s="1"/>
      <c r="I2326" s="1"/>
      <c r="J2326" s="1"/>
      <c r="K2326" s="1"/>
      <c r="L2326" s="1"/>
      <c r="M2326" s="1"/>
      <c r="N2326" s="1"/>
    </row>
    <row r="2327" ht="14.5" spans="2:14">
      <c r="B2327" s="1"/>
      <c r="C2327" s="1"/>
      <c r="D2327" s="1"/>
      <c r="E2327" s="1"/>
      <c r="F2327" s="1"/>
      <c r="G2327" s="1"/>
      <c r="H2327" s="1"/>
      <c r="I2327" s="1"/>
      <c r="J2327" s="1"/>
      <c r="K2327" s="1"/>
      <c r="L2327" s="1"/>
      <c r="M2327" s="1"/>
      <c r="N2327" s="1"/>
    </row>
    <row r="2328" ht="14.5" spans="2:14">
      <c r="B2328" s="1"/>
      <c r="C2328" s="1"/>
      <c r="D2328" s="1"/>
      <c r="E2328" s="1"/>
      <c r="F2328" s="1"/>
      <c r="G2328" s="1"/>
      <c r="H2328" s="1"/>
      <c r="I2328" s="1"/>
      <c r="J2328" s="1"/>
      <c r="K2328" s="1"/>
      <c r="L2328" s="1"/>
      <c r="M2328" s="1"/>
      <c r="N2328" s="1"/>
    </row>
    <row r="2329" ht="14.5" spans="2:14">
      <c r="B2329" s="1"/>
      <c r="C2329" s="1"/>
      <c r="D2329" s="1"/>
      <c r="E2329" s="1"/>
      <c r="F2329" s="1"/>
      <c r="G2329" s="1"/>
      <c r="H2329" s="1"/>
      <c r="I2329" s="1"/>
      <c r="J2329" s="1"/>
      <c r="K2329" s="1"/>
      <c r="L2329" s="1"/>
      <c r="M2329" s="1"/>
      <c r="N2329" s="1"/>
    </row>
    <row r="2330" ht="14.5" spans="2:14">
      <c r="B2330" s="1"/>
      <c r="C2330" s="1"/>
      <c r="D2330" s="1"/>
      <c r="E2330" s="1"/>
      <c r="F2330" s="1"/>
      <c r="G2330" s="1"/>
      <c r="H2330" s="1"/>
      <c r="I2330" s="1"/>
      <c r="J2330" s="1"/>
      <c r="K2330" s="1"/>
      <c r="L2330" s="1"/>
      <c r="M2330" s="1"/>
      <c r="N2330" s="1"/>
    </row>
    <row r="2331" ht="14.5" spans="2:14">
      <c r="B2331" s="1"/>
      <c r="C2331" s="1"/>
      <c r="D2331" s="1"/>
      <c r="E2331" s="1"/>
      <c r="F2331" s="1"/>
      <c r="G2331" s="1"/>
      <c r="H2331" s="1"/>
      <c r="I2331" s="1"/>
      <c r="J2331" s="1"/>
      <c r="K2331" s="1"/>
      <c r="L2331" s="1"/>
      <c r="M2331" s="1"/>
      <c r="N2331" s="1"/>
    </row>
    <row r="2332" ht="14.5" spans="2:14">
      <c r="B2332" s="1"/>
      <c r="C2332" s="1"/>
      <c r="D2332" s="1"/>
      <c r="E2332" s="1"/>
      <c r="F2332" s="1"/>
      <c r="G2332" s="1"/>
      <c r="H2332" s="1"/>
      <c r="I2332" s="1"/>
      <c r="J2332" s="1"/>
      <c r="K2332" s="1"/>
      <c r="L2332" s="1"/>
      <c r="M2332" s="1"/>
      <c r="N2332" s="1"/>
    </row>
    <row r="2333" ht="14.5" spans="2:14">
      <c r="B2333" s="1"/>
      <c r="C2333" s="1"/>
      <c r="D2333" s="1"/>
      <c r="E2333" s="1"/>
      <c r="F2333" s="1"/>
      <c r="G2333" s="1"/>
      <c r="H2333" s="1"/>
      <c r="I2333" s="1"/>
      <c r="J2333" s="1"/>
      <c r="K2333" s="1"/>
      <c r="L2333" s="1"/>
      <c r="M2333" s="1"/>
      <c r="N2333" s="1"/>
    </row>
    <row r="2334" ht="14.5" spans="2:14">
      <c r="B2334" s="1"/>
      <c r="C2334" s="1"/>
      <c r="D2334" s="1"/>
      <c r="E2334" s="1"/>
      <c r="F2334" s="1"/>
      <c r="G2334" s="1"/>
      <c r="H2334" s="1"/>
      <c r="I2334" s="1"/>
      <c r="J2334" s="1"/>
      <c r="K2334" s="1"/>
      <c r="L2334" s="1"/>
      <c r="M2334" s="1"/>
      <c r="N2334" s="1"/>
    </row>
    <row r="2335" ht="14.5" spans="2:14">
      <c r="B2335" s="1"/>
      <c r="C2335" s="1"/>
      <c r="D2335" s="1"/>
      <c r="E2335" s="1"/>
      <c r="F2335" s="1"/>
      <c r="G2335" s="1"/>
      <c r="H2335" s="1"/>
      <c r="I2335" s="1"/>
      <c r="J2335" s="1"/>
      <c r="K2335" s="1"/>
      <c r="L2335" s="1"/>
      <c r="M2335" s="1"/>
      <c r="N2335" s="1"/>
    </row>
    <row r="2336" ht="14.5" spans="2:14">
      <c r="B2336" s="1"/>
      <c r="C2336" s="1"/>
      <c r="D2336" s="1"/>
      <c r="E2336" s="1"/>
      <c r="F2336" s="1"/>
      <c r="G2336" s="1"/>
      <c r="H2336" s="1"/>
      <c r="I2336" s="1"/>
      <c r="J2336" s="1"/>
      <c r="K2336" s="1"/>
      <c r="L2336" s="1"/>
      <c r="M2336" s="1"/>
      <c r="N2336" s="1"/>
    </row>
    <row r="2337" ht="14.5" spans="2:14">
      <c r="B2337" s="1"/>
      <c r="C2337" s="1"/>
      <c r="D2337" s="1"/>
      <c r="E2337" s="1"/>
      <c r="F2337" s="1"/>
      <c r="G2337" s="1"/>
      <c r="H2337" s="1"/>
      <c r="I2337" s="1"/>
      <c r="J2337" s="1"/>
      <c r="K2337" s="1"/>
      <c r="L2337" s="1"/>
      <c r="M2337" s="1"/>
      <c r="N2337" s="1"/>
    </row>
    <row r="2338" ht="14.5" spans="2:14">
      <c r="B2338" s="1"/>
      <c r="C2338" s="1"/>
      <c r="D2338" s="1"/>
      <c r="E2338" s="1"/>
      <c r="F2338" s="1"/>
      <c r="G2338" s="1"/>
      <c r="H2338" s="1"/>
      <c r="I2338" s="1"/>
      <c r="J2338" s="1"/>
      <c r="K2338" s="1"/>
      <c r="L2338" s="1"/>
      <c r="M2338" s="1"/>
      <c r="N2338" s="1"/>
    </row>
    <row r="2339" ht="14.5" spans="2:14">
      <c r="B2339" s="1"/>
      <c r="C2339" s="1"/>
      <c r="D2339" s="1"/>
      <c r="E2339" s="1"/>
      <c r="F2339" s="1"/>
      <c r="G2339" s="1"/>
      <c r="H2339" s="1"/>
      <c r="I2339" s="1"/>
      <c r="J2339" s="1"/>
      <c r="K2339" s="1"/>
      <c r="L2339" s="1"/>
      <c r="M2339" s="1"/>
      <c r="N2339" s="1"/>
    </row>
    <row r="2340" ht="14.5" spans="2:14">
      <c r="B2340" s="1"/>
      <c r="C2340" s="1"/>
      <c r="D2340" s="1"/>
      <c r="E2340" s="1"/>
      <c r="F2340" s="1"/>
      <c r="G2340" s="1"/>
      <c r="H2340" s="1"/>
      <c r="I2340" s="1"/>
      <c r="J2340" s="1"/>
      <c r="K2340" s="1"/>
      <c r="L2340" s="1"/>
      <c r="M2340" s="1"/>
      <c r="N2340" s="1"/>
    </row>
    <row r="2341" ht="14.5" spans="2:14">
      <c r="B2341" s="1"/>
      <c r="C2341" s="1"/>
      <c r="D2341" s="1"/>
      <c r="E2341" s="1"/>
      <c r="F2341" s="1"/>
      <c r="G2341" s="1"/>
      <c r="H2341" s="1"/>
      <c r="I2341" s="1"/>
      <c r="J2341" s="1"/>
      <c r="K2341" s="1"/>
      <c r="L2341" s="1"/>
      <c r="M2341" s="1"/>
      <c r="N2341" s="1"/>
    </row>
    <row r="2342" ht="14.5" spans="2:14">
      <c r="B2342" s="1"/>
      <c r="C2342" s="1"/>
      <c r="D2342" s="1"/>
      <c r="E2342" s="1"/>
      <c r="F2342" s="1"/>
      <c r="G2342" s="1"/>
      <c r="H2342" s="1"/>
      <c r="I2342" s="1"/>
      <c r="J2342" s="1"/>
      <c r="K2342" s="1"/>
      <c r="L2342" s="1"/>
      <c r="M2342" s="1"/>
      <c r="N2342" s="1"/>
    </row>
    <row r="2343" ht="14.5" spans="2:14">
      <c r="B2343" s="1"/>
      <c r="C2343" s="1"/>
      <c r="D2343" s="1"/>
      <c r="E2343" s="1"/>
      <c r="F2343" s="1"/>
      <c r="G2343" s="1"/>
      <c r="H2343" s="1"/>
      <c r="I2343" s="1"/>
      <c r="J2343" s="1"/>
      <c r="K2343" s="1"/>
      <c r="L2343" s="1"/>
      <c r="M2343" s="1"/>
      <c r="N2343" s="1"/>
    </row>
    <row r="2344" ht="14.5" spans="2:14">
      <c r="B2344" s="1"/>
      <c r="C2344" s="1"/>
      <c r="D2344" s="1"/>
      <c r="E2344" s="1"/>
      <c r="F2344" s="1"/>
      <c r="G2344" s="1"/>
      <c r="H2344" s="1"/>
      <c r="I2344" s="1"/>
      <c r="J2344" s="1"/>
      <c r="K2344" s="1"/>
      <c r="L2344" s="1"/>
      <c r="M2344" s="1"/>
      <c r="N2344" s="1"/>
    </row>
    <row r="2345" ht="14.5" spans="2:14">
      <c r="B2345" s="1"/>
      <c r="C2345" s="1"/>
      <c r="D2345" s="1"/>
      <c r="E2345" s="1"/>
      <c r="F2345" s="1"/>
      <c r="G2345" s="1"/>
      <c r="H2345" s="1"/>
      <c r="I2345" s="1"/>
      <c r="J2345" s="1"/>
      <c r="K2345" s="1"/>
      <c r="L2345" s="1"/>
      <c r="M2345" s="1"/>
      <c r="N2345" s="1"/>
    </row>
    <row r="2346" ht="14.5" spans="2:14">
      <c r="B2346" s="1"/>
      <c r="C2346" s="1"/>
      <c r="D2346" s="1"/>
      <c r="E2346" s="1"/>
      <c r="F2346" s="1"/>
      <c r="G2346" s="1"/>
      <c r="H2346" s="1"/>
      <c r="I2346" s="1"/>
      <c r="J2346" s="1"/>
      <c r="K2346" s="1"/>
      <c r="L2346" s="1"/>
      <c r="M2346" s="1"/>
      <c r="N2346" s="1"/>
    </row>
    <row r="2347" ht="14.5" spans="2:14">
      <c r="B2347" s="1"/>
      <c r="C2347" s="1"/>
      <c r="D2347" s="1"/>
      <c r="E2347" s="1"/>
      <c r="F2347" s="1"/>
      <c r="G2347" s="1"/>
      <c r="H2347" s="1"/>
      <c r="I2347" s="1"/>
      <c r="J2347" s="1"/>
      <c r="K2347" s="1"/>
      <c r="L2347" s="1"/>
      <c r="M2347" s="1"/>
      <c r="N2347" s="1"/>
    </row>
    <row r="2348" ht="14.5" spans="2:14">
      <c r="B2348" s="1"/>
      <c r="C2348" s="1"/>
      <c r="D2348" s="1"/>
      <c r="E2348" s="1"/>
      <c r="F2348" s="1"/>
      <c r="G2348" s="1"/>
      <c r="H2348" s="1"/>
      <c r="I2348" s="1"/>
      <c r="J2348" s="1"/>
      <c r="K2348" s="1"/>
      <c r="L2348" s="1"/>
      <c r="M2348" s="1"/>
      <c r="N2348" s="1"/>
    </row>
    <row r="2349" ht="14.5" spans="2:14">
      <c r="B2349" s="1"/>
      <c r="C2349" s="1"/>
      <c r="D2349" s="1"/>
      <c r="E2349" s="1"/>
      <c r="F2349" s="1"/>
      <c r="G2349" s="1"/>
      <c r="H2349" s="1"/>
      <c r="I2349" s="1"/>
      <c r="J2349" s="1"/>
      <c r="K2349" s="1"/>
      <c r="L2349" s="1"/>
      <c r="M2349" s="1"/>
      <c r="N2349" s="1"/>
    </row>
    <row r="2350" ht="14.5" spans="2:14">
      <c r="B2350" s="1"/>
      <c r="C2350" s="1"/>
      <c r="D2350" s="1"/>
      <c r="E2350" s="1"/>
      <c r="F2350" s="1"/>
      <c r="G2350" s="1"/>
      <c r="H2350" s="1"/>
      <c r="I2350" s="1"/>
      <c r="J2350" s="1"/>
      <c r="K2350" s="1"/>
      <c r="L2350" s="1"/>
      <c r="M2350" s="1"/>
      <c r="N2350" s="1"/>
    </row>
    <row r="2351" ht="14.5" spans="2:14">
      <c r="B2351" s="1"/>
      <c r="C2351" s="1"/>
      <c r="D2351" s="1"/>
      <c r="E2351" s="1"/>
      <c r="F2351" s="1"/>
      <c r="G2351" s="1"/>
      <c r="H2351" s="1"/>
      <c r="I2351" s="1"/>
      <c r="J2351" s="1"/>
      <c r="K2351" s="1"/>
      <c r="L2351" s="1"/>
      <c r="M2351" s="1"/>
      <c r="N2351" s="1"/>
    </row>
    <row r="2352" ht="14.5" spans="2:14">
      <c r="B2352" s="1"/>
      <c r="C2352" s="1"/>
      <c r="D2352" s="1"/>
      <c r="E2352" s="1"/>
      <c r="F2352" s="1"/>
      <c r="G2352" s="1"/>
      <c r="H2352" s="1"/>
      <c r="I2352" s="1"/>
      <c r="J2352" s="1"/>
      <c r="K2352" s="1"/>
      <c r="L2352" s="1"/>
      <c r="M2352" s="1"/>
      <c r="N2352" s="1"/>
    </row>
    <row r="2353" ht="14.5" spans="2:14">
      <c r="B2353" s="1"/>
      <c r="C2353" s="1"/>
      <c r="D2353" s="1"/>
      <c r="E2353" s="1"/>
      <c r="F2353" s="1"/>
      <c r="G2353" s="1"/>
      <c r="H2353" s="1"/>
      <c r="I2353" s="1"/>
      <c r="J2353" s="1"/>
      <c r="K2353" s="1"/>
      <c r="L2353" s="1"/>
      <c r="M2353" s="1"/>
      <c r="N2353" s="1"/>
    </row>
    <row r="2354" ht="14.5" spans="2:14">
      <c r="B2354" s="1"/>
      <c r="C2354" s="1"/>
      <c r="D2354" s="1"/>
      <c r="E2354" s="1"/>
      <c r="F2354" s="1"/>
      <c r="G2354" s="1"/>
      <c r="H2354" s="1"/>
      <c r="I2354" s="1"/>
      <c r="J2354" s="1"/>
      <c r="K2354" s="1"/>
      <c r="L2354" s="1"/>
      <c r="M2354" s="1"/>
      <c r="N2354" s="1"/>
    </row>
    <row r="2355" ht="14.5" spans="2:14">
      <c r="B2355" s="1"/>
      <c r="C2355" s="1"/>
      <c r="D2355" s="1"/>
      <c r="E2355" s="1"/>
      <c r="F2355" s="1"/>
      <c r="G2355" s="1"/>
      <c r="H2355" s="1"/>
      <c r="I2355" s="1"/>
      <c r="J2355" s="1"/>
      <c r="K2355" s="1"/>
      <c r="L2355" s="1"/>
      <c r="M2355" s="1"/>
      <c r="N2355" s="1"/>
    </row>
    <row r="2356" ht="14.5" spans="2:14">
      <c r="B2356" s="1"/>
      <c r="C2356" s="1"/>
      <c r="D2356" s="1"/>
      <c r="E2356" s="1"/>
      <c r="F2356" s="1"/>
      <c r="G2356" s="1"/>
      <c r="H2356" s="1"/>
      <c r="I2356" s="1"/>
      <c r="J2356" s="1"/>
      <c r="K2356" s="1"/>
      <c r="L2356" s="1"/>
      <c r="M2356" s="1"/>
      <c r="N2356" s="1"/>
    </row>
    <row r="2357" ht="14.5" spans="2:14">
      <c r="B2357" s="1"/>
      <c r="C2357" s="1"/>
      <c r="D2357" s="1"/>
      <c r="E2357" s="1"/>
      <c r="F2357" s="1"/>
      <c r="G2357" s="1"/>
      <c r="H2357" s="1"/>
      <c r="I2357" s="1"/>
      <c r="J2357" s="1"/>
      <c r="K2357" s="1"/>
      <c r="L2357" s="1"/>
      <c r="M2357" s="1"/>
      <c r="N2357" s="1"/>
    </row>
    <row r="2358" ht="14.5" spans="2:14">
      <c r="B2358" s="1"/>
      <c r="C2358" s="1"/>
      <c r="D2358" s="1"/>
      <c r="E2358" s="1"/>
      <c r="F2358" s="1"/>
      <c r="G2358" s="1"/>
      <c r="H2358" s="1"/>
      <c r="I2358" s="1"/>
      <c r="J2358" s="1"/>
      <c r="K2358" s="1"/>
      <c r="L2358" s="1"/>
      <c r="M2358" s="1"/>
      <c r="N2358" s="1"/>
    </row>
    <row r="2359" ht="14.5" spans="2:14">
      <c r="B2359" s="1"/>
      <c r="C2359" s="1"/>
      <c r="D2359" s="1"/>
      <c r="E2359" s="1"/>
      <c r="F2359" s="1"/>
      <c r="G2359" s="1"/>
      <c r="H2359" s="1"/>
      <c r="I2359" s="1"/>
      <c r="J2359" s="1"/>
      <c r="K2359" s="1"/>
      <c r="L2359" s="1"/>
      <c r="M2359" s="1"/>
      <c r="N2359" s="1"/>
    </row>
    <row r="2360" ht="14.5" spans="2:14">
      <c r="B2360" s="1"/>
      <c r="C2360" s="1"/>
      <c r="D2360" s="1"/>
      <c r="E2360" s="1"/>
      <c r="F2360" s="1"/>
      <c r="G2360" s="1"/>
      <c r="H2360" s="1"/>
      <c r="I2360" s="1"/>
      <c r="J2360" s="1"/>
      <c r="K2360" s="1"/>
      <c r="L2360" s="1"/>
      <c r="M2360" s="1"/>
      <c r="N2360" s="1"/>
    </row>
    <row r="2361" ht="14.5" spans="2:14">
      <c r="B2361" s="1"/>
      <c r="C2361" s="1"/>
      <c r="D2361" s="1"/>
      <c r="E2361" s="1"/>
      <c r="F2361" s="1"/>
      <c r="G2361" s="1"/>
      <c r="H2361" s="1"/>
      <c r="I2361" s="1"/>
      <c r="J2361" s="1"/>
      <c r="K2361" s="1"/>
      <c r="L2361" s="1"/>
      <c r="M2361" s="1"/>
      <c r="N2361" s="1"/>
    </row>
    <row r="2362" ht="14.5" spans="2:14">
      <c r="B2362" s="1"/>
      <c r="C2362" s="1"/>
      <c r="D2362" s="1"/>
      <c r="E2362" s="1"/>
      <c r="F2362" s="1"/>
      <c r="G2362" s="1"/>
      <c r="H2362" s="1"/>
      <c r="I2362" s="1"/>
      <c r="J2362" s="1"/>
      <c r="K2362" s="1"/>
      <c r="L2362" s="1"/>
      <c r="M2362" s="1"/>
      <c r="N2362" s="1"/>
    </row>
    <row r="2363" ht="14.5" spans="2:14">
      <c r="B2363" s="1"/>
      <c r="C2363" s="1"/>
      <c r="D2363" s="1"/>
      <c r="E2363" s="1"/>
      <c r="F2363" s="1"/>
      <c r="G2363" s="1"/>
      <c r="H2363" s="1"/>
      <c r="I2363" s="1"/>
      <c r="J2363" s="1"/>
      <c r="K2363" s="1"/>
      <c r="L2363" s="1"/>
      <c r="M2363" s="1"/>
      <c r="N2363" s="1"/>
    </row>
    <row r="2364" ht="14.5" spans="2:14">
      <c r="B2364" s="1"/>
      <c r="C2364" s="1"/>
      <c r="D2364" s="1"/>
      <c r="E2364" s="1"/>
      <c r="F2364" s="1"/>
      <c r="G2364" s="1"/>
      <c r="H2364" s="1"/>
      <c r="I2364" s="1"/>
      <c r="J2364" s="1"/>
      <c r="K2364" s="1"/>
      <c r="L2364" s="1"/>
      <c r="M2364" s="1"/>
      <c r="N2364" s="1"/>
    </row>
    <row r="2365" ht="14.5" spans="2:14">
      <c r="B2365" s="1"/>
      <c r="C2365" s="1"/>
      <c r="D2365" s="1"/>
      <c r="E2365" s="1"/>
      <c r="F2365" s="1"/>
      <c r="G2365" s="1"/>
      <c r="H2365" s="1"/>
      <c r="I2365" s="1"/>
      <c r="J2365" s="1"/>
      <c r="K2365" s="1"/>
      <c r="L2365" s="1"/>
      <c r="M2365" s="1"/>
      <c r="N2365" s="1"/>
    </row>
    <row r="2366" ht="14.5" spans="2:14">
      <c r="B2366" s="1"/>
      <c r="C2366" s="1"/>
      <c r="D2366" s="1"/>
      <c r="E2366" s="1"/>
      <c r="F2366" s="1"/>
      <c r="G2366" s="1"/>
      <c r="H2366" s="1"/>
      <c r="I2366" s="1"/>
      <c r="J2366" s="1"/>
      <c r="K2366" s="1"/>
      <c r="L2366" s="1"/>
      <c r="M2366" s="1"/>
      <c r="N2366" s="1"/>
    </row>
    <row r="2367" ht="14.5" spans="2:14">
      <c r="B2367" s="1"/>
      <c r="C2367" s="1"/>
      <c r="D2367" s="1"/>
      <c r="E2367" s="1"/>
      <c r="F2367" s="1"/>
      <c r="G2367" s="1"/>
      <c r="H2367" s="1"/>
      <c r="I2367" s="1"/>
      <c r="J2367" s="1"/>
      <c r="K2367" s="1"/>
      <c r="L2367" s="1"/>
      <c r="M2367" s="1"/>
      <c r="N2367" s="1"/>
    </row>
    <row r="2368" ht="14.5" spans="2:14">
      <c r="B2368" s="1"/>
      <c r="C2368" s="1"/>
      <c r="D2368" s="1"/>
      <c r="E2368" s="1"/>
      <c r="F2368" s="1"/>
      <c r="G2368" s="1"/>
      <c r="H2368" s="1"/>
      <c r="I2368" s="1"/>
      <c r="J2368" s="1"/>
      <c r="K2368" s="1"/>
      <c r="L2368" s="1"/>
      <c r="M2368" s="1"/>
      <c r="N2368" s="1"/>
    </row>
    <row r="2369" ht="14.5" spans="2:14">
      <c r="B2369" s="1"/>
      <c r="C2369" s="1"/>
      <c r="D2369" s="1"/>
      <c r="E2369" s="1"/>
      <c r="F2369" s="1"/>
      <c r="G2369" s="1"/>
      <c r="H2369" s="1"/>
      <c r="I2369" s="1"/>
      <c r="J2369" s="1"/>
      <c r="K2369" s="1"/>
      <c r="L2369" s="1"/>
      <c r="M2369" s="1"/>
      <c r="N2369" s="1"/>
    </row>
    <row r="2370" ht="14.5" spans="2:14">
      <c r="B2370" s="1"/>
      <c r="C2370" s="1"/>
      <c r="D2370" s="1"/>
      <c r="E2370" s="1"/>
      <c r="F2370" s="1"/>
      <c r="G2370" s="1"/>
      <c r="H2370" s="1"/>
      <c r="I2370" s="1"/>
      <c r="J2370" s="1"/>
      <c r="K2370" s="1"/>
      <c r="L2370" s="1"/>
      <c r="M2370" s="1"/>
      <c r="N2370" s="1"/>
    </row>
    <row r="2371" ht="14.5" spans="2:14">
      <c r="B2371" s="1"/>
      <c r="C2371" s="1"/>
      <c r="D2371" s="1"/>
      <c r="E2371" s="1"/>
      <c r="F2371" s="1"/>
      <c r="G2371" s="1"/>
      <c r="H2371" s="1"/>
      <c r="I2371" s="1"/>
      <c r="J2371" s="1"/>
      <c r="K2371" s="1"/>
      <c r="L2371" s="1"/>
      <c r="M2371" s="1"/>
      <c r="N2371" s="1"/>
    </row>
    <row r="2372" ht="14.5" spans="2:14">
      <c r="B2372" s="1"/>
      <c r="C2372" s="1"/>
      <c r="D2372" s="1"/>
      <c r="E2372" s="1"/>
      <c r="F2372" s="1"/>
      <c r="G2372" s="1"/>
      <c r="H2372" s="1"/>
      <c r="I2372" s="1"/>
      <c r="J2372" s="1"/>
      <c r="K2372" s="1"/>
      <c r="L2372" s="1"/>
      <c r="M2372" s="1"/>
      <c r="N2372" s="1"/>
    </row>
    <row r="2373" ht="14.5" spans="2:14">
      <c r="B2373" s="1"/>
      <c r="C2373" s="1"/>
      <c r="D2373" s="1"/>
      <c r="E2373" s="1"/>
      <c r="F2373" s="1"/>
      <c r="G2373" s="1"/>
      <c r="H2373" s="1"/>
      <c r="I2373" s="1"/>
      <c r="J2373" s="1"/>
      <c r="K2373" s="1"/>
      <c r="L2373" s="1"/>
      <c r="M2373" s="1"/>
      <c r="N2373" s="1"/>
    </row>
    <row r="2374" ht="14.5" spans="2:14">
      <c r="B2374" s="1"/>
      <c r="C2374" s="1"/>
      <c r="D2374" s="1"/>
      <c r="E2374" s="1"/>
      <c r="F2374" s="1"/>
      <c r="G2374" s="1"/>
      <c r="H2374" s="1"/>
      <c r="I2374" s="1"/>
      <c r="J2374" s="1"/>
      <c r="K2374" s="1"/>
      <c r="L2374" s="1"/>
      <c r="M2374" s="1"/>
      <c r="N2374" s="1"/>
    </row>
    <row r="2375" ht="14.5" spans="2:14">
      <c r="B2375" s="1"/>
      <c r="C2375" s="1"/>
      <c r="D2375" s="1"/>
      <c r="E2375" s="1"/>
      <c r="F2375" s="1"/>
      <c r="G2375" s="1"/>
      <c r="H2375" s="1"/>
      <c r="I2375" s="1"/>
      <c r="J2375" s="1"/>
      <c r="K2375" s="1"/>
      <c r="L2375" s="1"/>
      <c r="M2375" s="1"/>
      <c r="N2375" s="1"/>
    </row>
    <row r="2376" ht="14.5" spans="2:14">
      <c r="B2376" s="1"/>
      <c r="C2376" s="1"/>
      <c r="D2376" s="1"/>
      <c r="E2376" s="1"/>
      <c r="F2376" s="1"/>
      <c r="G2376" s="1"/>
      <c r="H2376" s="1"/>
      <c r="I2376" s="1"/>
      <c r="J2376" s="1"/>
      <c r="K2376" s="1"/>
      <c r="L2376" s="1"/>
      <c r="M2376" s="1"/>
      <c r="N2376" s="1"/>
    </row>
    <row r="2377" ht="14.5" spans="2:14">
      <c r="B2377" s="1"/>
      <c r="C2377" s="1"/>
      <c r="D2377" s="1"/>
      <c r="E2377" s="1"/>
      <c r="F2377" s="1"/>
      <c r="G2377" s="1"/>
      <c r="H2377" s="1"/>
      <c r="I2377" s="1"/>
      <c r="J2377" s="1"/>
      <c r="K2377" s="1"/>
      <c r="L2377" s="1"/>
      <c r="M2377" s="1"/>
      <c r="N2377" s="1"/>
    </row>
    <row r="2378" ht="14.5" spans="2:14">
      <c r="B2378" s="1"/>
      <c r="C2378" s="1"/>
      <c r="D2378" s="1"/>
      <c r="E2378" s="1"/>
      <c r="F2378" s="1"/>
      <c r="G2378" s="1"/>
      <c r="H2378" s="1"/>
      <c r="I2378" s="1"/>
      <c r="J2378" s="1"/>
      <c r="K2378" s="1"/>
      <c r="L2378" s="1"/>
      <c r="M2378" s="1"/>
      <c r="N2378" s="1"/>
    </row>
    <row r="2379" ht="14.5" spans="2:14">
      <c r="B2379" s="1"/>
      <c r="C2379" s="1"/>
      <c r="D2379" s="1"/>
      <c r="E2379" s="1"/>
      <c r="F2379" s="1"/>
      <c r="G2379" s="1"/>
      <c r="H2379" s="1"/>
      <c r="I2379" s="1"/>
      <c r="J2379" s="1"/>
      <c r="K2379" s="1"/>
      <c r="L2379" s="1"/>
      <c r="M2379" s="1"/>
      <c r="N2379" s="1"/>
    </row>
    <row r="2380" ht="14.5" spans="2:14">
      <c r="B2380" s="1"/>
      <c r="C2380" s="1"/>
      <c r="D2380" s="1"/>
      <c r="E2380" s="1"/>
      <c r="F2380" s="1"/>
      <c r="G2380" s="1"/>
      <c r="H2380" s="1"/>
      <c r="I2380" s="1"/>
      <c r="J2380" s="1"/>
      <c r="K2380" s="1"/>
      <c r="L2380" s="1"/>
      <c r="M2380" s="1"/>
      <c r="N2380" s="1"/>
    </row>
    <row r="2381" ht="14.5" spans="2:14">
      <c r="B2381" s="1"/>
      <c r="C2381" s="1"/>
      <c r="D2381" s="1"/>
      <c r="E2381" s="1"/>
      <c r="F2381" s="1"/>
      <c r="G2381" s="1"/>
      <c r="H2381" s="1"/>
      <c r="I2381" s="1"/>
      <c r="J2381" s="1"/>
      <c r="K2381" s="1"/>
      <c r="L2381" s="1"/>
      <c r="M2381" s="1"/>
      <c r="N2381" s="1"/>
    </row>
    <row r="2382" ht="14.5" spans="2:14">
      <c r="B2382" s="1"/>
      <c r="C2382" s="1"/>
      <c r="D2382" s="1"/>
      <c r="E2382" s="1"/>
      <c r="F2382" s="1"/>
      <c r="G2382" s="1"/>
      <c r="H2382" s="1"/>
      <c r="I2382" s="1"/>
      <c r="J2382" s="1"/>
      <c r="K2382" s="1"/>
      <c r="L2382" s="1"/>
      <c r="M2382" s="1"/>
      <c r="N2382" s="1"/>
    </row>
    <row r="2383" ht="14.5" spans="2:14">
      <c r="B2383" s="1"/>
      <c r="C2383" s="1"/>
      <c r="D2383" s="1"/>
      <c r="E2383" s="1"/>
      <c r="F2383" s="1"/>
      <c r="G2383" s="1"/>
      <c r="H2383" s="1"/>
      <c r="I2383" s="1"/>
      <c r="J2383" s="1"/>
      <c r="K2383" s="1"/>
      <c r="L2383" s="1"/>
      <c r="M2383" s="1"/>
      <c r="N2383" s="1"/>
    </row>
    <row r="2384" ht="14.5" spans="2:14">
      <c r="B2384" s="1"/>
      <c r="C2384" s="1"/>
      <c r="D2384" s="1"/>
      <c r="E2384" s="1"/>
      <c r="F2384" s="1"/>
      <c r="G2384" s="1"/>
      <c r="H2384" s="1"/>
      <c r="I2384" s="1"/>
      <c r="J2384" s="1"/>
      <c r="K2384" s="1"/>
      <c r="L2384" s="1"/>
      <c r="M2384" s="1"/>
      <c r="N2384" s="1"/>
    </row>
    <row r="2385" ht="14.5" spans="2:14">
      <c r="B2385" s="1"/>
      <c r="C2385" s="1"/>
      <c r="D2385" s="1"/>
      <c r="E2385" s="1"/>
      <c r="F2385" s="1"/>
      <c r="G2385" s="1"/>
      <c r="H2385" s="1"/>
      <c r="I2385" s="1"/>
      <c r="J2385" s="1"/>
      <c r="K2385" s="1"/>
      <c r="L2385" s="1"/>
      <c r="M2385" s="1"/>
      <c r="N2385" s="1"/>
    </row>
    <row r="2386" ht="14.5" spans="2:14">
      <c r="B2386" s="1"/>
      <c r="C2386" s="1"/>
      <c r="D2386" s="1"/>
      <c r="E2386" s="1"/>
      <c r="F2386" s="1"/>
      <c r="G2386" s="1"/>
      <c r="H2386" s="1"/>
      <c r="I2386" s="1"/>
      <c r="J2386" s="1"/>
      <c r="K2386" s="1"/>
      <c r="L2386" s="1"/>
      <c r="M2386" s="1"/>
      <c r="N2386" s="1"/>
    </row>
    <row r="2387" ht="14.5" spans="2:14">
      <c r="B2387" s="1"/>
      <c r="C2387" s="1"/>
      <c r="D2387" s="1"/>
      <c r="E2387" s="1"/>
      <c r="F2387" s="1"/>
      <c r="G2387" s="1"/>
      <c r="H2387" s="1"/>
      <c r="I2387" s="1"/>
      <c r="J2387" s="1"/>
      <c r="K2387" s="1"/>
      <c r="L2387" s="1"/>
      <c r="M2387" s="1"/>
      <c r="N2387" s="1"/>
    </row>
    <row r="2388" ht="14.5" spans="2:14">
      <c r="B2388" s="1"/>
      <c r="C2388" s="1"/>
      <c r="D2388" s="1"/>
      <c r="E2388" s="1"/>
      <c r="F2388" s="1"/>
      <c r="G2388" s="1"/>
      <c r="H2388" s="1"/>
      <c r="I2388" s="1"/>
      <c r="J2388" s="1"/>
      <c r="K2388" s="1"/>
      <c r="L2388" s="1"/>
      <c r="M2388" s="1"/>
      <c r="N2388" s="1"/>
    </row>
    <row r="2389" ht="14.5" spans="2:14">
      <c r="B2389" s="1"/>
      <c r="C2389" s="1"/>
      <c r="D2389" s="1"/>
      <c r="E2389" s="1"/>
      <c r="F2389" s="1"/>
      <c r="G2389" s="1"/>
      <c r="H2389" s="1"/>
      <c r="I2389" s="1"/>
      <c r="J2389" s="1"/>
      <c r="K2389" s="1"/>
      <c r="L2389" s="1"/>
      <c r="M2389" s="1"/>
      <c r="N2389" s="1"/>
    </row>
    <row r="2390" ht="14.5" spans="2:14">
      <c r="B2390" s="1"/>
      <c r="C2390" s="1"/>
      <c r="D2390" s="1"/>
      <c r="E2390" s="1"/>
      <c r="F2390" s="1"/>
      <c r="G2390" s="1"/>
      <c r="H2390" s="1"/>
      <c r="I2390" s="1"/>
      <c r="J2390" s="1"/>
      <c r="K2390" s="1"/>
      <c r="L2390" s="1"/>
      <c r="M2390" s="1"/>
      <c r="N2390" s="1"/>
    </row>
    <row r="2391" ht="14.5" spans="2:14">
      <c r="B2391" s="1"/>
      <c r="C2391" s="1"/>
      <c r="D2391" s="1"/>
      <c r="E2391" s="1"/>
      <c r="F2391" s="1"/>
      <c r="G2391" s="1"/>
      <c r="H2391" s="1"/>
      <c r="I2391" s="1"/>
      <c r="J2391" s="1"/>
      <c r="K2391" s="1"/>
      <c r="L2391" s="1"/>
      <c r="M2391" s="1"/>
      <c r="N2391" s="1"/>
    </row>
    <row r="2392" ht="14.5" spans="2:14">
      <c r="B2392" s="1"/>
      <c r="C2392" s="1"/>
      <c r="D2392" s="1"/>
      <c r="E2392" s="1"/>
      <c r="F2392" s="1"/>
      <c r="G2392" s="1"/>
      <c r="H2392" s="1"/>
      <c r="I2392" s="1"/>
      <c r="J2392" s="1"/>
      <c r="K2392" s="1"/>
      <c r="L2392" s="1"/>
      <c r="M2392" s="1"/>
      <c r="N2392" s="1"/>
    </row>
    <row r="2393" ht="14.5" spans="2:14">
      <c r="B2393" s="1"/>
      <c r="C2393" s="1"/>
      <c r="D2393" s="1"/>
      <c r="E2393" s="1"/>
      <c r="F2393" s="1"/>
      <c r="G2393" s="1"/>
      <c r="H2393" s="1"/>
      <c r="I2393" s="1"/>
      <c r="J2393" s="1"/>
      <c r="K2393" s="1"/>
      <c r="L2393" s="1"/>
      <c r="M2393" s="1"/>
      <c r="N2393" s="1"/>
    </row>
    <row r="2394" ht="14.5" spans="2:14">
      <c r="B2394" s="1"/>
      <c r="C2394" s="1"/>
      <c r="D2394" s="1"/>
      <c r="E2394" s="1"/>
      <c r="F2394" s="1"/>
      <c r="G2394" s="1"/>
      <c r="H2394" s="1"/>
      <c r="I2394" s="1"/>
      <c r="J2394" s="1"/>
      <c r="K2394" s="1"/>
      <c r="L2394" s="1"/>
      <c r="M2394" s="1"/>
      <c r="N2394" s="1"/>
    </row>
    <row r="2395" ht="14.5" spans="2:14">
      <c r="B2395" s="1"/>
      <c r="C2395" s="1"/>
      <c r="D2395" s="1"/>
      <c r="E2395" s="1"/>
      <c r="F2395" s="1"/>
      <c r="G2395" s="1"/>
      <c r="H2395" s="1"/>
      <c r="I2395" s="1"/>
      <c r="J2395" s="1"/>
      <c r="K2395" s="1"/>
      <c r="L2395" s="1"/>
      <c r="M2395" s="1"/>
      <c r="N2395" s="1"/>
    </row>
    <row r="2396" ht="14.5" spans="2:14">
      <c r="B2396" s="1"/>
      <c r="C2396" s="1"/>
      <c r="D2396" s="1"/>
      <c r="E2396" s="1"/>
      <c r="F2396" s="1"/>
      <c r="G2396" s="1"/>
      <c r="H2396" s="1"/>
      <c r="I2396" s="1"/>
      <c r="J2396" s="1"/>
      <c r="K2396" s="1"/>
      <c r="L2396" s="1"/>
      <c r="M2396" s="1"/>
      <c r="N2396" s="1"/>
    </row>
    <row r="2397" ht="14.5" spans="2:14">
      <c r="B2397" s="1"/>
      <c r="C2397" s="1"/>
      <c r="D2397" s="1"/>
      <c r="E2397" s="1"/>
      <c r="F2397" s="1"/>
      <c r="G2397" s="1"/>
      <c r="H2397" s="1"/>
      <c r="I2397" s="1"/>
      <c r="J2397" s="1"/>
      <c r="K2397" s="1"/>
      <c r="L2397" s="1"/>
      <c r="M2397" s="1"/>
      <c r="N2397" s="1"/>
    </row>
    <row r="2398" ht="14.5" spans="2:14">
      <c r="B2398" s="1"/>
      <c r="C2398" s="1"/>
      <c r="D2398" s="1"/>
      <c r="E2398" s="1"/>
      <c r="F2398" s="1"/>
      <c r="G2398" s="1"/>
      <c r="H2398" s="1"/>
      <c r="I2398" s="1"/>
      <c r="J2398" s="1"/>
      <c r="K2398" s="1"/>
      <c r="L2398" s="1"/>
      <c r="M2398" s="1"/>
      <c r="N2398" s="1"/>
    </row>
    <row r="2399" ht="14.5" spans="2:14">
      <c r="B2399" s="1"/>
      <c r="C2399" s="1"/>
      <c r="D2399" s="1"/>
      <c r="E2399" s="1"/>
      <c r="F2399" s="1"/>
      <c r="G2399" s="1"/>
      <c r="H2399" s="1"/>
      <c r="I2399" s="1"/>
      <c r="J2399" s="1"/>
      <c r="K2399" s="1"/>
      <c r="L2399" s="1"/>
      <c r="M2399" s="1"/>
      <c r="N2399" s="1"/>
    </row>
    <row r="2400" ht="14.5" spans="2:14">
      <c r="B2400" s="1"/>
      <c r="C2400" s="1"/>
      <c r="D2400" s="1"/>
      <c r="E2400" s="1"/>
      <c r="F2400" s="1"/>
      <c r="G2400" s="1"/>
      <c r="H2400" s="1"/>
      <c r="I2400" s="1"/>
      <c r="J2400" s="1"/>
      <c r="K2400" s="1"/>
      <c r="L2400" s="1"/>
      <c r="M2400" s="1"/>
      <c r="N2400" s="1"/>
    </row>
    <row r="2401" ht="14.5" spans="2:14">
      <c r="B2401" s="1"/>
      <c r="C2401" s="1"/>
      <c r="D2401" s="1"/>
      <c r="E2401" s="1"/>
      <c r="F2401" s="1"/>
      <c r="G2401" s="1"/>
      <c r="H2401" s="1"/>
      <c r="I2401" s="1"/>
      <c r="J2401" s="1"/>
      <c r="K2401" s="1"/>
      <c r="L2401" s="1"/>
      <c r="M2401" s="1"/>
      <c r="N2401" s="1"/>
    </row>
    <row r="2402" ht="14.5" spans="2:14">
      <c r="B2402" s="1"/>
      <c r="C2402" s="1"/>
      <c r="D2402" s="1"/>
      <c r="E2402" s="1"/>
      <c r="F2402" s="1"/>
      <c r="G2402" s="1"/>
      <c r="H2402" s="1"/>
      <c r="I2402" s="1"/>
      <c r="J2402" s="1"/>
      <c r="K2402" s="1"/>
      <c r="L2402" s="1"/>
      <c r="M2402" s="1"/>
      <c r="N2402" s="1"/>
    </row>
    <row r="2403" ht="14.5" spans="2:14">
      <c r="B2403" s="1"/>
      <c r="C2403" s="1"/>
      <c r="D2403" s="1"/>
      <c r="E2403" s="1"/>
      <c r="F2403" s="1"/>
      <c r="G2403" s="1"/>
      <c r="H2403" s="1"/>
      <c r="I2403" s="1"/>
      <c r="J2403" s="1"/>
      <c r="K2403" s="1"/>
      <c r="L2403" s="1"/>
      <c r="M2403" s="1"/>
      <c r="N2403" s="1"/>
    </row>
    <row r="2404" ht="14.5" spans="2:14">
      <c r="B2404" s="1"/>
      <c r="C2404" s="1"/>
      <c r="D2404" s="1"/>
      <c r="E2404" s="1"/>
      <c r="F2404" s="1"/>
      <c r="G2404" s="1"/>
      <c r="H2404" s="1"/>
      <c r="I2404" s="1"/>
      <c r="J2404" s="1"/>
      <c r="K2404" s="1"/>
      <c r="L2404" s="1"/>
      <c r="M2404" s="1"/>
      <c r="N2404" s="1"/>
    </row>
    <row r="2405" ht="14.5" spans="2:14">
      <c r="B2405" s="1"/>
      <c r="C2405" s="1"/>
      <c r="D2405" s="1"/>
      <c r="E2405" s="1"/>
      <c r="F2405" s="1"/>
      <c r="G2405" s="1"/>
      <c r="H2405" s="1"/>
      <c r="I2405" s="1"/>
      <c r="J2405" s="1"/>
      <c r="K2405" s="1"/>
      <c r="L2405" s="1"/>
      <c r="M2405" s="1"/>
      <c r="N2405" s="1"/>
    </row>
    <row r="2406" ht="14.5" spans="2:14">
      <c r="B2406" s="1"/>
      <c r="C2406" s="1"/>
      <c r="D2406" s="1"/>
      <c r="E2406" s="1"/>
      <c r="F2406" s="1"/>
      <c r="G2406" s="1"/>
      <c r="H2406" s="1"/>
      <c r="I2406" s="1"/>
      <c r="J2406" s="1"/>
      <c r="K2406" s="1"/>
      <c r="L2406" s="1"/>
      <c r="M2406" s="1"/>
      <c r="N2406" s="1"/>
    </row>
    <row r="2407" ht="14.5" spans="2:14">
      <c r="B2407" s="1"/>
      <c r="C2407" s="1"/>
      <c r="D2407" s="1"/>
      <c r="E2407" s="1"/>
      <c r="F2407" s="1"/>
      <c r="G2407" s="1"/>
      <c r="H2407" s="1"/>
      <c r="I2407" s="1"/>
      <c r="J2407" s="1"/>
      <c r="K2407" s="1"/>
      <c r="L2407" s="1"/>
      <c r="M2407" s="1"/>
      <c r="N2407" s="1"/>
    </row>
    <row r="2408" ht="14.5" spans="2:14">
      <c r="B2408" s="1"/>
      <c r="C2408" s="1"/>
      <c r="D2408" s="1"/>
      <c r="E2408" s="1"/>
      <c r="F2408" s="1"/>
      <c r="G2408" s="1"/>
      <c r="H2408" s="1"/>
      <c r="I2408" s="1"/>
      <c r="J2408" s="1"/>
      <c r="K2408" s="1"/>
      <c r="L2408" s="1"/>
      <c r="M2408" s="1"/>
      <c r="N2408" s="1"/>
    </row>
    <row r="2409" ht="14.5" spans="2:14">
      <c r="B2409" s="1"/>
      <c r="C2409" s="1"/>
      <c r="D2409" s="1"/>
      <c r="E2409" s="1"/>
      <c r="F2409" s="1"/>
      <c r="G2409" s="1"/>
      <c r="H2409" s="1"/>
      <c r="I2409" s="1"/>
      <c r="J2409" s="1"/>
      <c r="K2409" s="1"/>
      <c r="L2409" s="1"/>
      <c r="M2409" s="1"/>
      <c r="N2409" s="1"/>
    </row>
    <row r="2410" ht="14.5" spans="2:14">
      <c r="B2410" s="1"/>
      <c r="C2410" s="1"/>
      <c r="D2410" s="1"/>
      <c r="E2410" s="1"/>
      <c r="F2410" s="1"/>
      <c r="G2410" s="1"/>
      <c r="H2410" s="1"/>
      <c r="I2410" s="1"/>
      <c r="J2410" s="1"/>
      <c r="K2410" s="1"/>
      <c r="L2410" s="1"/>
      <c r="M2410" s="1"/>
      <c r="N2410" s="1"/>
    </row>
    <row r="2411" ht="14.5" spans="2:14">
      <c r="B2411" s="1"/>
      <c r="C2411" s="1"/>
      <c r="D2411" s="1"/>
      <c r="E2411" s="1"/>
      <c r="F2411" s="1"/>
      <c r="G2411" s="1"/>
      <c r="H2411" s="1"/>
      <c r="I2411" s="1"/>
      <c r="J2411" s="1"/>
      <c r="K2411" s="1"/>
      <c r="L2411" s="1"/>
      <c r="M2411" s="1"/>
      <c r="N2411" s="1"/>
    </row>
    <row r="2412" ht="14.5" spans="2:14">
      <c r="B2412" s="1"/>
      <c r="C2412" s="1"/>
      <c r="D2412" s="1"/>
      <c r="E2412" s="1"/>
      <c r="F2412" s="1"/>
      <c r="G2412" s="1"/>
      <c r="H2412" s="1"/>
      <c r="I2412" s="1"/>
      <c r="J2412" s="1"/>
      <c r="K2412" s="1"/>
      <c r="L2412" s="1"/>
      <c r="M2412" s="1"/>
      <c r="N2412" s="1"/>
    </row>
    <row r="2413" ht="14.5" spans="2:14">
      <c r="B2413" s="1"/>
      <c r="C2413" s="1"/>
      <c r="D2413" s="1"/>
      <c r="E2413" s="1"/>
      <c r="F2413" s="1"/>
      <c r="G2413" s="1"/>
      <c r="H2413" s="1"/>
      <c r="I2413" s="1"/>
      <c r="J2413" s="1"/>
      <c r="K2413" s="1"/>
      <c r="L2413" s="1"/>
      <c r="M2413" s="1"/>
      <c r="N2413" s="1"/>
    </row>
    <row r="2414" ht="14.5" spans="2:14">
      <c r="B2414" s="1"/>
      <c r="C2414" s="1"/>
      <c r="D2414" s="1"/>
      <c r="E2414" s="1"/>
      <c r="F2414" s="1"/>
      <c r="G2414" s="1"/>
      <c r="H2414" s="1"/>
      <c r="I2414" s="1"/>
      <c r="J2414" s="1"/>
      <c r="K2414" s="1"/>
      <c r="L2414" s="1"/>
      <c r="M2414" s="1"/>
      <c r="N2414" s="1"/>
    </row>
    <row r="2415" ht="14.5" spans="2:14">
      <c r="B2415" s="1"/>
      <c r="C2415" s="1"/>
      <c r="D2415" s="1"/>
      <c r="E2415" s="1"/>
      <c r="F2415" s="1"/>
      <c r="G2415" s="1"/>
      <c r="H2415" s="1"/>
      <c r="I2415" s="1"/>
      <c r="J2415" s="1"/>
      <c r="K2415" s="1"/>
      <c r="L2415" s="1"/>
      <c r="M2415" s="1"/>
      <c r="N2415" s="1"/>
    </row>
    <row r="2416" ht="14.5" spans="2:14">
      <c r="B2416" s="1"/>
      <c r="C2416" s="1"/>
      <c r="D2416" s="1"/>
      <c r="E2416" s="1"/>
      <c r="F2416" s="1"/>
      <c r="G2416" s="1"/>
      <c r="H2416" s="1"/>
      <c r="I2416" s="1"/>
      <c r="J2416" s="1"/>
      <c r="K2416" s="1"/>
      <c r="L2416" s="1"/>
      <c r="M2416" s="1"/>
      <c r="N2416" s="1"/>
    </row>
    <row r="2417" ht="14.5" spans="2:14">
      <c r="B2417" s="1"/>
      <c r="C2417" s="1"/>
      <c r="D2417" s="1"/>
      <c r="E2417" s="1"/>
      <c r="F2417" s="1"/>
      <c r="G2417" s="1"/>
      <c r="H2417" s="1"/>
      <c r="I2417" s="1"/>
      <c r="J2417" s="1"/>
      <c r="K2417" s="1"/>
      <c r="L2417" s="1"/>
      <c r="M2417" s="1"/>
      <c r="N2417" s="1"/>
    </row>
    <row r="2418" ht="14.5" spans="2:14">
      <c r="B2418" s="1"/>
      <c r="C2418" s="1"/>
      <c r="D2418" s="1"/>
      <c r="E2418" s="1"/>
      <c r="F2418" s="1"/>
      <c r="G2418" s="1"/>
      <c r="H2418" s="1"/>
      <c r="I2418" s="1"/>
      <c r="J2418" s="1"/>
      <c r="K2418" s="1"/>
      <c r="L2418" s="1"/>
      <c r="M2418" s="1"/>
      <c r="N2418" s="1"/>
    </row>
    <row r="2419" ht="14.5" spans="2:14">
      <c r="B2419" s="1"/>
      <c r="C2419" s="1"/>
      <c r="D2419" s="1"/>
      <c r="E2419" s="1"/>
      <c r="F2419" s="1"/>
      <c r="G2419" s="1"/>
      <c r="H2419" s="1"/>
      <c r="I2419" s="1"/>
      <c r="J2419" s="1"/>
      <c r="K2419" s="1"/>
      <c r="L2419" s="1"/>
      <c r="M2419" s="1"/>
      <c r="N2419" s="1"/>
    </row>
    <row r="2420" ht="14.5" spans="2:14">
      <c r="B2420" s="1"/>
      <c r="C2420" s="1"/>
      <c r="D2420" s="1"/>
      <c r="E2420" s="1"/>
      <c r="F2420" s="1"/>
      <c r="G2420" s="1"/>
      <c r="H2420" s="1"/>
      <c r="I2420" s="1"/>
      <c r="J2420" s="1"/>
      <c r="K2420" s="1"/>
      <c r="L2420" s="1"/>
      <c r="M2420" s="1"/>
      <c r="N2420" s="1"/>
    </row>
    <row r="2421" ht="14.5" spans="2:14">
      <c r="B2421" s="1"/>
      <c r="C2421" s="1"/>
      <c r="D2421" s="1"/>
      <c r="E2421" s="1"/>
      <c r="F2421" s="1"/>
      <c r="G2421" s="1"/>
      <c r="H2421" s="1"/>
      <c r="I2421" s="1"/>
      <c r="J2421" s="1"/>
      <c r="K2421" s="1"/>
      <c r="L2421" s="1"/>
      <c r="M2421" s="1"/>
      <c r="N2421" s="1"/>
    </row>
    <row r="2422" ht="14.5" spans="2:14">
      <c r="B2422" s="1"/>
      <c r="C2422" s="1"/>
      <c r="D2422" s="1"/>
      <c r="E2422" s="1"/>
      <c r="F2422" s="1"/>
      <c r="G2422" s="1"/>
      <c r="H2422" s="1"/>
      <c r="I2422" s="1"/>
      <c r="J2422" s="1"/>
      <c r="K2422" s="1"/>
      <c r="L2422" s="1"/>
      <c r="M2422" s="1"/>
      <c r="N2422" s="1"/>
    </row>
    <row r="2423" ht="14.5" spans="2:14">
      <c r="B2423" s="1"/>
      <c r="C2423" s="1"/>
      <c r="D2423" s="1"/>
      <c r="E2423" s="1"/>
      <c r="F2423" s="1"/>
      <c r="G2423" s="1"/>
      <c r="H2423" s="1"/>
      <c r="I2423" s="1"/>
      <c r="J2423" s="1"/>
      <c r="K2423" s="1"/>
      <c r="L2423" s="1"/>
      <c r="M2423" s="1"/>
      <c r="N2423" s="1"/>
    </row>
    <row r="2424" ht="14.5" spans="2:14">
      <c r="B2424" s="1"/>
      <c r="C2424" s="1"/>
      <c r="D2424" s="1"/>
      <c r="E2424" s="1"/>
      <c r="F2424" s="1"/>
      <c r="G2424" s="1"/>
      <c r="H2424" s="1"/>
      <c r="I2424" s="1"/>
      <c r="J2424" s="1"/>
      <c r="K2424" s="1"/>
      <c r="L2424" s="1"/>
      <c r="M2424" s="1"/>
      <c r="N2424" s="1"/>
    </row>
    <row r="2425" ht="14.5" spans="2:14">
      <c r="B2425" s="1"/>
      <c r="C2425" s="1"/>
      <c r="D2425" s="1"/>
      <c r="E2425" s="1"/>
      <c r="F2425" s="1"/>
      <c r="G2425" s="1"/>
      <c r="H2425" s="1"/>
      <c r="I2425" s="1"/>
      <c r="J2425" s="1"/>
      <c r="K2425" s="1"/>
      <c r="L2425" s="1"/>
      <c r="M2425" s="1"/>
      <c r="N2425" s="1"/>
    </row>
    <row r="2426" ht="14.5" spans="2:14">
      <c r="B2426" s="1"/>
      <c r="C2426" s="1"/>
      <c r="D2426" s="1"/>
      <c r="E2426" s="1"/>
      <c r="F2426" s="1"/>
      <c r="G2426" s="1"/>
      <c r="H2426" s="1"/>
      <c r="I2426" s="1"/>
      <c r="J2426" s="1"/>
      <c r="K2426" s="1"/>
      <c r="L2426" s="1"/>
      <c r="M2426" s="1"/>
      <c r="N2426" s="1"/>
    </row>
    <row r="2427" ht="14.5" spans="2:14">
      <c r="B2427" s="1"/>
      <c r="C2427" s="1"/>
      <c r="D2427" s="1"/>
      <c r="E2427" s="1"/>
      <c r="F2427" s="1"/>
      <c r="G2427" s="1"/>
      <c r="H2427" s="1"/>
      <c r="I2427" s="1"/>
      <c r="J2427" s="1"/>
      <c r="K2427" s="1"/>
      <c r="L2427" s="1"/>
      <c r="M2427" s="1"/>
      <c r="N2427" s="1"/>
    </row>
    <row r="2428" ht="14.5" spans="2:14">
      <c r="B2428" s="1"/>
      <c r="C2428" s="1"/>
      <c r="D2428" s="1"/>
      <c r="E2428" s="1"/>
      <c r="F2428" s="1"/>
      <c r="G2428" s="1"/>
      <c r="H2428" s="1"/>
      <c r="I2428" s="1"/>
      <c r="J2428" s="1"/>
      <c r="K2428" s="1"/>
      <c r="L2428" s="1"/>
      <c r="M2428" s="1"/>
      <c r="N2428" s="1"/>
    </row>
    <row r="2429" ht="14.5" spans="2:14">
      <c r="B2429" s="1"/>
      <c r="C2429" s="1"/>
      <c r="D2429" s="1"/>
      <c r="E2429" s="1"/>
      <c r="F2429" s="1"/>
      <c r="G2429" s="1"/>
      <c r="H2429" s="1"/>
      <c r="I2429" s="1"/>
      <c r="J2429" s="1"/>
      <c r="K2429" s="1"/>
      <c r="L2429" s="1"/>
      <c r="M2429" s="1"/>
      <c r="N2429" s="1"/>
    </row>
    <row r="2430" ht="14.5" spans="2:14">
      <c r="B2430" s="1"/>
      <c r="C2430" s="1"/>
      <c r="D2430" s="1"/>
      <c r="E2430" s="1"/>
      <c r="F2430" s="1"/>
      <c r="G2430" s="1"/>
      <c r="H2430" s="1"/>
      <c r="I2430" s="1"/>
      <c r="J2430" s="1"/>
      <c r="K2430" s="1"/>
      <c r="L2430" s="1"/>
      <c r="M2430" s="1"/>
      <c r="N2430" s="1"/>
    </row>
    <row r="2431" ht="14.5" spans="2:14">
      <c r="B2431" s="1"/>
      <c r="C2431" s="1"/>
      <c r="D2431" s="1"/>
      <c r="E2431" s="1"/>
      <c r="F2431" s="1"/>
      <c r="G2431" s="1"/>
      <c r="H2431" s="1"/>
      <c r="I2431" s="1"/>
      <c r="J2431" s="1"/>
      <c r="K2431" s="1"/>
      <c r="L2431" s="1"/>
      <c r="M2431" s="1"/>
      <c r="N2431" s="1"/>
    </row>
    <row r="2432" ht="14.5" spans="2:14">
      <c r="B2432" s="1"/>
      <c r="C2432" s="1"/>
      <c r="D2432" s="1"/>
      <c r="E2432" s="1"/>
      <c r="F2432" s="1"/>
      <c r="G2432" s="1"/>
      <c r="H2432" s="1"/>
      <c r="I2432" s="1"/>
      <c r="J2432" s="1"/>
      <c r="K2432" s="1"/>
      <c r="L2432" s="1"/>
      <c r="M2432" s="1"/>
      <c r="N2432" s="1"/>
    </row>
    <row r="2433" ht="14.5" spans="2:14">
      <c r="B2433" s="1"/>
      <c r="C2433" s="1"/>
      <c r="D2433" s="1"/>
      <c r="E2433" s="1"/>
      <c r="F2433" s="1"/>
      <c r="G2433" s="1"/>
      <c r="H2433" s="1"/>
      <c r="I2433" s="1"/>
      <c r="J2433" s="1"/>
      <c r="K2433" s="1"/>
      <c r="L2433" s="1"/>
      <c r="M2433" s="1"/>
      <c r="N2433" s="1"/>
    </row>
    <row r="2434" ht="14.5" spans="2:14">
      <c r="B2434" s="1"/>
      <c r="C2434" s="1"/>
      <c r="D2434" s="1"/>
      <c r="E2434" s="1"/>
      <c r="F2434" s="1"/>
      <c r="G2434" s="1"/>
      <c r="H2434" s="1"/>
      <c r="I2434" s="1"/>
      <c r="J2434" s="1"/>
      <c r="K2434" s="1"/>
      <c r="L2434" s="1"/>
      <c r="M2434" s="1"/>
      <c r="N2434" s="1"/>
    </row>
    <row r="2435" ht="14.5" spans="2:14">
      <c r="B2435" s="1"/>
      <c r="C2435" s="1"/>
      <c r="D2435" s="1"/>
      <c r="E2435" s="1"/>
      <c r="F2435" s="1"/>
      <c r="G2435" s="1"/>
      <c r="H2435" s="1"/>
      <c r="I2435" s="1"/>
      <c r="J2435" s="1"/>
      <c r="K2435" s="1"/>
      <c r="L2435" s="1"/>
      <c r="M2435" s="1"/>
      <c r="N2435" s="1"/>
    </row>
    <row r="2436" ht="14.5" spans="2:14">
      <c r="B2436" s="1"/>
      <c r="C2436" s="1"/>
      <c r="D2436" s="1"/>
      <c r="E2436" s="1"/>
      <c r="F2436" s="1"/>
      <c r="G2436" s="1"/>
      <c r="H2436" s="1"/>
      <c r="I2436" s="1"/>
      <c r="J2436" s="1"/>
      <c r="K2436" s="1"/>
      <c r="L2436" s="1"/>
      <c r="M2436" s="1"/>
      <c r="N2436" s="1"/>
    </row>
    <row r="2437" ht="14.5" spans="2:14">
      <c r="B2437" s="1"/>
      <c r="C2437" s="1"/>
      <c r="D2437" s="1"/>
      <c r="E2437" s="1"/>
      <c r="F2437" s="1"/>
      <c r="G2437" s="1"/>
      <c r="H2437" s="1"/>
      <c r="I2437" s="1"/>
      <c r="J2437" s="1"/>
      <c r="K2437" s="1"/>
      <c r="L2437" s="1"/>
      <c r="M2437" s="1"/>
      <c r="N2437" s="1"/>
    </row>
    <row r="2438" ht="14.5" spans="2:14">
      <c r="B2438" s="1"/>
      <c r="C2438" s="1"/>
      <c r="D2438" s="1"/>
      <c r="E2438" s="1"/>
      <c r="F2438" s="1"/>
      <c r="G2438" s="1"/>
      <c r="H2438" s="1"/>
      <c r="I2438" s="1"/>
      <c r="J2438" s="1"/>
      <c r="K2438" s="1"/>
      <c r="L2438" s="1"/>
      <c r="M2438" s="1"/>
      <c r="N2438" s="1"/>
    </row>
    <row r="2439" ht="14.5" spans="2:14">
      <c r="B2439" s="1"/>
      <c r="C2439" s="1"/>
      <c r="D2439" s="1"/>
      <c r="E2439" s="1"/>
      <c r="F2439" s="1"/>
      <c r="G2439" s="1"/>
      <c r="H2439" s="1"/>
      <c r="I2439" s="1"/>
      <c r="J2439" s="1"/>
      <c r="K2439" s="1"/>
      <c r="L2439" s="1"/>
      <c r="M2439" s="1"/>
      <c r="N2439" s="1"/>
    </row>
    <row r="2440" ht="14.5" spans="2:14">
      <c r="B2440" s="1"/>
      <c r="C2440" s="1"/>
      <c r="D2440" s="1"/>
      <c r="E2440" s="1"/>
      <c r="F2440" s="1"/>
      <c r="G2440" s="1"/>
      <c r="H2440" s="1"/>
      <c r="I2440" s="1"/>
      <c r="J2440" s="1"/>
      <c r="K2440" s="1"/>
      <c r="L2440" s="1"/>
      <c r="M2440" s="1"/>
      <c r="N2440" s="1"/>
    </row>
    <row r="2441" ht="14.5" spans="2:14">
      <c r="B2441" s="1"/>
      <c r="C2441" s="1"/>
      <c r="D2441" s="1"/>
      <c r="E2441" s="1"/>
      <c r="F2441" s="1"/>
      <c r="G2441" s="1"/>
      <c r="H2441" s="1"/>
      <c r="I2441" s="1"/>
      <c r="J2441" s="1"/>
      <c r="K2441" s="1"/>
      <c r="L2441" s="1"/>
      <c r="M2441" s="1"/>
      <c r="N2441" s="1"/>
    </row>
    <row r="2442" ht="14.5" spans="2:14">
      <c r="B2442" s="1"/>
      <c r="C2442" s="1"/>
      <c r="D2442" s="1"/>
      <c r="E2442" s="1"/>
      <c r="F2442" s="1"/>
      <c r="G2442" s="1"/>
      <c r="H2442" s="1"/>
      <c r="I2442" s="1"/>
      <c r="J2442" s="1"/>
      <c r="K2442" s="1"/>
      <c r="L2442" s="1"/>
      <c r="M2442" s="1"/>
      <c r="N2442" s="1"/>
    </row>
    <row r="2443" ht="14.5" spans="2:14">
      <c r="B2443" s="1"/>
      <c r="C2443" s="1"/>
      <c r="D2443" s="1"/>
      <c r="E2443" s="1"/>
      <c r="F2443" s="1"/>
      <c r="G2443" s="1"/>
      <c r="H2443" s="1"/>
      <c r="I2443" s="1"/>
      <c r="J2443" s="1"/>
      <c r="K2443" s="1"/>
      <c r="L2443" s="1"/>
      <c r="M2443" s="1"/>
      <c r="N2443" s="1"/>
    </row>
    <row r="2444" ht="14.5" spans="2:14">
      <c r="B2444" s="1"/>
      <c r="C2444" s="1"/>
      <c r="D2444" s="1"/>
      <c r="E2444" s="1"/>
      <c r="F2444" s="1"/>
      <c r="G2444" s="1"/>
      <c r="H2444" s="1"/>
      <c r="I2444" s="1"/>
      <c r="J2444" s="1"/>
      <c r="K2444" s="1"/>
      <c r="L2444" s="1"/>
      <c r="M2444" s="1"/>
      <c r="N2444" s="1"/>
    </row>
    <row r="2445" ht="14.5" spans="2:14">
      <c r="B2445" s="1"/>
      <c r="C2445" s="1"/>
      <c r="D2445" s="1"/>
      <c r="E2445" s="1"/>
      <c r="F2445" s="1"/>
      <c r="G2445" s="1"/>
      <c r="H2445" s="1"/>
      <c r="I2445" s="1"/>
      <c r="J2445" s="1"/>
      <c r="K2445" s="1"/>
      <c r="L2445" s="1"/>
      <c r="M2445" s="1"/>
      <c r="N2445" s="1"/>
    </row>
    <row r="2446" ht="14.5" spans="2:14">
      <c r="B2446" s="1"/>
      <c r="C2446" s="1"/>
      <c r="D2446" s="1"/>
      <c r="E2446" s="1"/>
      <c r="F2446" s="1"/>
      <c r="G2446" s="1"/>
      <c r="H2446" s="1"/>
      <c r="I2446" s="1"/>
      <c r="J2446" s="1"/>
      <c r="K2446" s="1"/>
      <c r="L2446" s="1"/>
      <c r="M2446" s="1"/>
      <c r="N2446" s="1"/>
    </row>
    <row r="2447" ht="14.5" spans="2:14">
      <c r="B2447" s="1"/>
      <c r="C2447" s="1"/>
      <c r="D2447" s="1"/>
      <c r="E2447" s="1"/>
      <c r="F2447" s="1"/>
      <c r="G2447" s="1"/>
      <c r="H2447" s="1"/>
      <c r="I2447" s="1"/>
      <c r="J2447" s="1"/>
      <c r="K2447" s="1"/>
      <c r="L2447" s="1"/>
      <c r="M2447" s="1"/>
      <c r="N2447" s="1"/>
    </row>
    <row r="2448" ht="14.5" spans="2:14">
      <c r="B2448" s="1"/>
      <c r="C2448" s="1"/>
      <c r="D2448" s="1"/>
      <c r="E2448" s="1"/>
      <c r="F2448" s="1"/>
      <c r="G2448" s="1"/>
      <c r="H2448" s="1"/>
      <c r="I2448" s="1"/>
      <c r="J2448" s="1"/>
      <c r="K2448" s="1"/>
      <c r="L2448" s="1"/>
      <c r="M2448" s="1"/>
      <c r="N2448" s="1"/>
    </row>
    <row r="2449" ht="14.5" spans="2:14">
      <c r="B2449" s="1"/>
      <c r="C2449" s="1"/>
      <c r="D2449" s="1"/>
      <c r="E2449" s="1"/>
      <c r="F2449" s="1"/>
      <c r="G2449" s="1"/>
      <c r="H2449" s="1"/>
      <c r="I2449" s="1"/>
      <c r="J2449" s="1"/>
      <c r="K2449" s="1"/>
      <c r="L2449" s="1"/>
      <c r="M2449" s="1"/>
      <c r="N2449" s="1"/>
    </row>
    <row r="2450" ht="14.5" spans="2:14">
      <c r="B2450" s="1"/>
      <c r="C2450" s="1"/>
      <c r="D2450" s="1"/>
      <c r="E2450" s="1"/>
      <c r="F2450" s="1"/>
      <c r="G2450" s="1"/>
      <c r="H2450" s="1"/>
      <c r="I2450" s="1"/>
      <c r="J2450" s="1"/>
      <c r="K2450" s="1"/>
      <c r="L2450" s="1"/>
      <c r="M2450" s="1"/>
      <c r="N2450" s="1"/>
    </row>
    <row r="2451" ht="14.5" spans="2:14">
      <c r="B2451" s="1"/>
      <c r="C2451" s="1"/>
      <c r="D2451" s="1"/>
      <c r="E2451" s="1"/>
      <c r="F2451" s="1"/>
      <c r="G2451" s="1"/>
      <c r="H2451" s="1"/>
      <c r="I2451" s="1"/>
      <c r="J2451" s="1"/>
      <c r="K2451" s="1"/>
      <c r="L2451" s="1"/>
      <c r="M2451" s="1"/>
      <c r="N2451" s="1"/>
    </row>
    <row r="2452" ht="14.5" spans="2:14">
      <c r="B2452" s="1"/>
      <c r="C2452" s="1"/>
      <c r="D2452" s="1"/>
      <c r="E2452" s="1"/>
      <c r="F2452" s="1"/>
      <c r="G2452" s="1"/>
      <c r="H2452" s="1"/>
      <c r="I2452" s="1"/>
      <c r="J2452" s="1"/>
      <c r="K2452" s="1"/>
      <c r="L2452" s="1"/>
      <c r="M2452" s="1"/>
      <c r="N2452" s="1"/>
    </row>
    <row r="2453" ht="14.5" spans="2:14">
      <c r="B2453" s="1"/>
      <c r="C2453" s="1"/>
      <c r="D2453" s="1"/>
      <c r="E2453" s="1"/>
      <c r="F2453" s="1"/>
      <c r="G2453" s="1"/>
      <c r="H2453" s="1"/>
      <c r="I2453" s="1"/>
      <c r="J2453" s="1"/>
      <c r="K2453" s="1"/>
      <c r="L2453" s="1"/>
      <c r="M2453" s="1"/>
      <c r="N2453" s="1"/>
    </row>
    <row r="2454" ht="14.5" spans="2:14">
      <c r="B2454" s="1"/>
      <c r="C2454" s="1"/>
      <c r="D2454" s="1"/>
      <c r="E2454" s="1"/>
      <c r="F2454" s="1"/>
      <c r="G2454" s="1"/>
      <c r="H2454" s="1"/>
      <c r="I2454" s="1"/>
      <c r="J2454" s="1"/>
      <c r="K2454" s="1"/>
      <c r="L2454" s="1"/>
      <c r="M2454" s="1"/>
      <c r="N2454" s="1"/>
    </row>
    <row r="2455" ht="14.5" spans="2:14">
      <c r="B2455" s="1"/>
      <c r="C2455" s="1"/>
      <c r="D2455" s="1"/>
      <c r="E2455" s="1"/>
      <c r="F2455" s="1"/>
      <c r="G2455" s="1"/>
      <c r="H2455" s="1"/>
      <c r="I2455" s="1"/>
      <c r="J2455" s="1"/>
      <c r="K2455" s="1"/>
      <c r="L2455" s="1"/>
      <c r="M2455" s="1"/>
      <c r="N2455" s="1"/>
    </row>
    <row r="2456" ht="14.5" spans="2:14">
      <c r="B2456" s="1"/>
      <c r="C2456" s="1"/>
      <c r="D2456" s="1"/>
      <c r="E2456" s="1"/>
      <c r="F2456" s="1"/>
      <c r="G2456" s="1"/>
      <c r="H2456" s="1"/>
      <c r="I2456" s="1"/>
      <c r="J2456" s="1"/>
      <c r="K2456" s="1"/>
      <c r="L2456" s="1"/>
      <c r="M2456" s="1"/>
      <c r="N2456" s="1"/>
    </row>
    <row r="2457" ht="14.5" spans="2:14">
      <c r="B2457" s="1"/>
      <c r="C2457" s="1"/>
      <c r="D2457" s="1"/>
      <c r="E2457" s="1"/>
      <c r="F2457" s="1"/>
      <c r="G2457" s="1"/>
      <c r="H2457" s="1"/>
      <c r="I2457" s="1"/>
      <c r="J2457" s="1"/>
      <c r="K2457" s="1"/>
      <c r="L2457" s="1"/>
      <c r="M2457" s="1"/>
      <c r="N2457" s="1"/>
    </row>
    <row r="2458" ht="14.5" spans="2:14">
      <c r="B2458" s="1"/>
      <c r="C2458" s="1"/>
      <c r="D2458" s="1"/>
      <c r="E2458" s="1"/>
      <c r="F2458" s="1"/>
      <c r="G2458" s="1"/>
      <c r="H2458" s="1"/>
      <c r="I2458" s="1"/>
      <c r="J2458" s="1"/>
      <c r="K2458" s="1"/>
      <c r="L2458" s="1"/>
      <c r="M2458" s="1"/>
      <c r="N2458" s="1"/>
    </row>
    <row r="2459" ht="14.5" spans="2:14">
      <c r="B2459" s="1"/>
      <c r="C2459" s="1"/>
      <c r="D2459" s="1"/>
      <c r="E2459" s="1"/>
      <c r="F2459" s="1"/>
      <c r="G2459" s="1"/>
      <c r="H2459" s="1"/>
      <c r="I2459" s="1"/>
      <c r="J2459" s="1"/>
      <c r="K2459" s="1"/>
      <c r="L2459" s="1"/>
      <c r="M2459" s="1"/>
      <c r="N2459" s="1"/>
    </row>
    <row r="2460" ht="14.5" spans="2:14">
      <c r="B2460" s="1"/>
      <c r="C2460" s="1"/>
      <c r="D2460" s="1"/>
      <c r="E2460" s="1"/>
      <c r="F2460" s="1"/>
      <c r="G2460" s="1"/>
      <c r="H2460" s="1"/>
      <c r="I2460" s="1"/>
      <c r="J2460" s="1"/>
      <c r="K2460" s="1"/>
      <c r="L2460" s="1"/>
      <c r="M2460" s="1"/>
      <c r="N2460" s="1"/>
    </row>
    <row r="2461" ht="14.5" spans="2:14">
      <c r="B2461" s="1"/>
      <c r="C2461" s="1"/>
      <c r="D2461" s="1"/>
      <c r="E2461" s="1"/>
      <c r="F2461" s="1"/>
      <c r="G2461" s="1"/>
      <c r="H2461" s="1"/>
      <c r="I2461" s="1"/>
      <c r="J2461" s="1"/>
      <c r="K2461" s="1"/>
      <c r="L2461" s="1"/>
      <c r="M2461" s="1"/>
      <c r="N2461" s="1"/>
    </row>
    <row r="2462" ht="14.5" spans="2:14">
      <c r="B2462" s="1"/>
      <c r="C2462" s="1"/>
      <c r="D2462" s="1"/>
      <c r="E2462" s="1"/>
      <c r="F2462" s="1"/>
      <c r="G2462" s="1"/>
      <c r="H2462" s="1"/>
      <c r="I2462" s="1"/>
      <c r="J2462" s="1"/>
      <c r="K2462" s="1"/>
      <c r="L2462" s="1"/>
      <c r="M2462" s="1"/>
      <c r="N2462" s="1"/>
    </row>
    <row r="2463" ht="14.5" spans="2:14">
      <c r="B2463" s="1"/>
      <c r="C2463" s="1"/>
      <c r="D2463" s="1"/>
      <c r="E2463" s="1"/>
      <c r="F2463" s="1"/>
      <c r="G2463" s="1"/>
      <c r="H2463" s="1"/>
      <c r="I2463" s="1"/>
      <c r="J2463" s="1"/>
      <c r="K2463" s="1"/>
      <c r="L2463" s="1"/>
      <c r="M2463" s="1"/>
      <c r="N2463" s="1"/>
    </row>
    <row r="2464" ht="14.5" spans="2:14">
      <c r="B2464" s="1"/>
      <c r="C2464" s="1"/>
      <c r="D2464" s="1"/>
      <c r="E2464" s="1"/>
      <c r="F2464" s="1"/>
      <c r="G2464" s="1"/>
      <c r="H2464" s="1"/>
      <c r="I2464" s="1"/>
      <c r="J2464" s="1"/>
      <c r="K2464" s="1"/>
      <c r="L2464" s="1"/>
      <c r="M2464" s="1"/>
      <c r="N2464" s="1"/>
    </row>
    <row r="2465" ht="14.5" spans="2:14">
      <c r="B2465" s="1"/>
      <c r="C2465" s="1"/>
      <c r="D2465" s="1"/>
      <c r="E2465" s="1"/>
      <c r="F2465" s="1"/>
      <c r="G2465" s="1"/>
      <c r="H2465" s="1"/>
      <c r="I2465" s="1"/>
      <c r="J2465" s="1"/>
      <c r="K2465" s="1"/>
      <c r="L2465" s="1"/>
      <c r="M2465" s="1"/>
      <c r="N2465" s="1"/>
    </row>
    <row r="2466" ht="14.5" spans="2:14">
      <c r="B2466" s="1"/>
      <c r="C2466" s="1"/>
      <c r="D2466" s="1"/>
      <c r="E2466" s="1"/>
      <c r="F2466" s="1"/>
      <c r="G2466" s="1"/>
      <c r="H2466" s="1"/>
      <c r="I2466" s="1"/>
      <c r="J2466" s="1"/>
      <c r="K2466" s="1"/>
      <c r="L2466" s="1"/>
      <c r="M2466" s="1"/>
      <c r="N2466" s="1"/>
    </row>
    <row r="2467" ht="14.5" spans="2:14">
      <c r="B2467" s="1"/>
      <c r="C2467" s="1"/>
      <c r="D2467" s="1"/>
      <c r="E2467" s="1"/>
      <c r="F2467" s="1"/>
      <c r="G2467" s="1"/>
      <c r="H2467" s="1"/>
      <c r="I2467" s="1"/>
      <c r="J2467" s="1"/>
      <c r="K2467" s="1"/>
      <c r="L2467" s="1"/>
      <c r="M2467" s="1"/>
      <c r="N2467" s="1"/>
    </row>
    <row r="2468" ht="14.5" spans="2:14">
      <c r="B2468" s="1"/>
      <c r="C2468" s="1"/>
      <c r="D2468" s="1"/>
      <c r="E2468" s="1"/>
      <c r="F2468" s="1"/>
      <c r="G2468" s="1"/>
      <c r="H2468" s="1"/>
      <c r="I2468" s="1"/>
      <c r="J2468" s="1"/>
      <c r="K2468" s="1"/>
      <c r="L2468" s="1"/>
      <c r="M2468" s="1"/>
      <c r="N2468" s="1"/>
    </row>
    <row r="2469" ht="14.5" spans="2:14">
      <c r="B2469" s="1"/>
      <c r="C2469" s="1"/>
      <c r="D2469" s="1"/>
      <c r="E2469" s="1"/>
      <c r="F2469" s="1"/>
      <c r="G2469" s="1"/>
      <c r="H2469" s="1"/>
      <c r="I2469" s="1"/>
      <c r="J2469" s="1"/>
      <c r="K2469" s="1"/>
      <c r="L2469" s="1"/>
      <c r="M2469" s="1"/>
      <c r="N2469" s="1"/>
    </row>
    <row r="2470" ht="14.5" spans="2:14">
      <c r="B2470" s="1"/>
      <c r="C2470" s="1"/>
      <c r="D2470" s="1"/>
      <c r="E2470" s="1"/>
      <c r="F2470" s="1"/>
      <c r="G2470" s="1"/>
      <c r="H2470" s="1"/>
      <c r="I2470" s="1"/>
      <c r="J2470" s="1"/>
      <c r="K2470" s="1"/>
      <c r="L2470" s="1"/>
      <c r="M2470" s="1"/>
      <c r="N2470" s="1"/>
    </row>
    <row r="2471" ht="14.5" spans="2:14">
      <c r="B2471" s="1"/>
      <c r="C2471" s="1"/>
      <c r="D2471" s="1"/>
      <c r="E2471" s="1"/>
      <c r="F2471" s="1"/>
      <c r="G2471" s="1"/>
      <c r="H2471" s="1"/>
      <c r="I2471" s="1"/>
      <c r="J2471" s="1"/>
      <c r="K2471" s="1"/>
      <c r="L2471" s="1"/>
      <c r="M2471" s="1"/>
      <c r="N2471" s="1"/>
    </row>
    <row r="2472" ht="14.5" spans="2:14">
      <c r="B2472" s="1"/>
      <c r="C2472" s="1"/>
      <c r="D2472" s="1"/>
      <c r="E2472" s="1"/>
      <c r="F2472" s="1"/>
      <c r="G2472" s="1"/>
      <c r="H2472" s="1"/>
      <c r="I2472" s="1"/>
      <c r="J2472" s="1"/>
      <c r="K2472" s="1"/>
      <c r="L2472" s="1"/>
      <c r="M2472" s="1"/>
      <c r="N2472" s="1"/>
    </row>
    <row r="2473" ht="14.5" spans="2:14">
      <c r="B2473" s="1"/>
      <c r="C2473" s="1"/>
      <c r="D2473" s="1"/>
      <c r="E2473" s="1"/>
      <c r="F2473" s="1"/>
      <c r="G2473" s="1"/>
      <c r="H2473" s="1"/>
      <c r="I2473" s="1"/>
      <c r="J2473" s="1"/>
      <c r="K2473" s="1"/>
      <c r="L2473" s="1"/>
      <c r="M2473" s="1"/>
      <c r="N2473" s="1"/>
    </row>
    <row r="2474" ht="14.5" spans="2:14">
      <c r="B2474" s="1"/>
      <c r="C2474" s="1"/>
      <c r="D2474" s="1"/>
      <c r="E2474" s="1"/>
      <c r="F2474" s="1"/>
      <c r="G2474" s="1"/>
      <c r="H2474" s="1"/>
      <c r="I2474" s="1"/>
      <c r="J2474" s="1"/>
      <c r="K2474" s="1"/>
      <c r="L2474" s="1"/>
      <c r="M2474" s="1"/>
      <c r="N2474" s="1"/>
    </row>
    <row r="2475" ht="14.5" spans="2:14">
      <c r="B2475" s="1"/>
      <c r="C2475" s="1"/>
      <c r="D2475" s="1"/>
      <c r="E2475" s="1"/>
      <c r="F2475" s="1"/>
      <c r="G2475" s="1"/>
      <c r="H2475" s="1"/>
      <c r="I2475" s="1"/>
      <c r="J2475" s="1"/>
      <c r="K2475" s="1"/>
      <c r="L2475" s="1"/>
      <c r="M2475" s="1"/>
      <c r="N2475" s="1"/>
    </row>
    <row r="2476" ht="14.5" spans="2:14">
      <c r="B2476" s="1"/>
      <c r="C2476" s="1"/>
      <c r="D2476" s="1"/>
      <c r="E2476" s="1"/>
      <c r="F2476" s="1"/>
      <c r="G2476" s="1"/>
      <c r="H2476" s="1"/>
      <c r="I2476" s="1"/>
      <c r="J2476" s="1"/>
      <c r="K2476" s="1"/>
      <c r="L2476" s="1"/>
      <c r="M2476" s="1"/>
      <c r="N2476" s="1"/>
    </row>
    <row r="2477" ht="14.5" spans="2:14">
      <c r="B2477" s="1"/>
      <c r="C2477" s="1"/>
      <c r="D2477" s="1"/>
      <c r="E2477" s="1"/>
      <c r="F2477" s="1"/>
      <c r="G2477" s="1"/>
      <c r="H2477" s="1"/>
      <c r="I2477" s="1"/>
      <c r="J2477" s="1"/>
      <c r="K2477" s="1"/>
      <c r="L2477" s="1"/>
      <c r="M2477" s="1"/>
      <c r="N2477" s="1"/>
    </row>
    <row r="2478" ht="14.5" spans="2:14">
      <c r="B2478" s="1"/>
      <c r="C2478" s="1"/>
      <c r="D2478" s="1"/>
      <c r="E2478" s="1"/>
      <c r="F2478" s="1"/>
      <c r="G2478" s="1"/>
      <c r="H2478" s="1"/>
      <c r="I2478" s="1"/>
      <c r="J2478" s="1"/>
      <c r="K2478" s="1"/>
      <c r="L2478" s="1"/>
      <c r="M2478" s="1"/>
      <c r="N2478" s="1"/>
    </row>
    <row r="2479" ht="14.5" spans="2:14">
      <c r="B2479" s="1"/>
      <c r="C2479" s="1"/>
      <c r="D2479" s="1"/>
      <c r="E2479" s="1"/>
      <c r="F2479" s="1"/>
      <c r="G2479" s="1"/>
      <c r="H2479" s="1"/>
      <c r="I2479" s="1"/>
      <c r="J2479" s="1"/>
      <c r="K2479" s="1"/>
      <c r="L2479" s="1"/>
      <c r="M2479" s="1"/>
      <c r="N2479" s="1"/>
    </row>
    <row r="2480" ht="14.5" spans="2:14">
      <c r="B2480" s="1"/>
      <c r="C2480" s="1"/>
      <c r="D2480" s="1"/>
      <c r="E2480" s="1"/>
      <c r="F2480" s="1"/>
      <c r="G2480" s="1"/>
      <c r="H2480" s="1"/>
      <c r="I2480" s="1"/>
      <c r="J2480" s="1"/>
      <c r="K2480" s="1"/>
      <c r="L2480" s="1"/>
      <c r="M2480" s="1"/>
      <c r="N2480" s="1"/>
    </row>
    <row r="2481" ht="14.5" spans="2:14">
      <c r="B2481" s="1"/>
      <c r="C2481" s="1"/>
      <c r="D2481" s="1"/>
      <c r="E2481" s="1"/>
      <c r="F2481" s="1"/>
      <c r="G2481" s="1"/>
      <c r="H2481" s="1"/>
      <c r="I2481" s="1"/>
      <c r="J2481" s="1"/>
      <c r="K2481" s="1"/>
      <c r="L2481" s="1"/>
      <c r="M2481" s="1"/>
      <c r="N2481" s="1"/>
    </row>
    <row r="2482" ht="14.5" spans="2:14">
      <c r="B2482" s="1"/>
      <c r="C2482" s="1"/>
      <c r="D2482" s="1"/>
      <c r="E2482" s="1"/>
      <c r="F2482" s="1"/>
      <c r="G2482" s="1"/>
      <c r="H2482" s="1"/>
      <c r="I2482" s="1"/>
      <c r="J2482" s="1"/>
      <c r="K2482" s="1"/>
      <c r="L2482" s="1"/>
      <c r="M2482" s="1"/>
      <c r="N2482" s="1"/>
    </row>
    <row r="2483" ht="14.5" spans="2:14">
      <c r="B2483" s="1"/>
      <c r="C2483" s="1"/>
      <c r="D2483" s="1"/>
      <c r="E2483" s="1"/>
      <c r="F2483" s="1"/>
      <c r="G2483" s="1"/>
      <c r="H2483" s="1"/>
      <c r="I2483" s="1"/>
      <c r="J2483" s="1"/>
      <c r="K2483" s="1"/>
      <c r="L2483" s="1"/>
      <c r="M2483" s="1"/>
      <c r="N2483" s="1"/>
    </row>
    <row r="2484" ht="14.5" spans="2:14">
      <c r="B2484" s="1"/>
      <c r="C2484" s="1"/>
      <c r="D2484" s="1"/>
      <c r="E2484" s="1"/>
      <c r="F2484" s="1"/>
      <c r="G2484" s="1"/>
      <c r="H2484" s="1"/>
      <c r="I2484" s="1"/>
      <c r="J2484" s="1"/>
      <c r="K2484" s="1"/>
      <c r="L2484" s="1"/>
      <c r="M2484" s="1"/>
      <c r="N2484" s="1"/>
    </row>
    <row r="2485" ht="14.5" spans="2:14">
      <c r="B2485" s="1"/>
      <c r="C2485" s="1"/>
      <c r="D2485" s="1"/>
      <c r="E2485" s="1"/>
      <c r="F2485" s="1"/>
      <c r="G2485" s="1"/>
      <c r="H2485" s="1"/>
      <c r="I2485" s="1"/>
      <c r="J2485" s="1"/>
      <c r="K2485" s="1"/>
      <c r="L2485" s="1"/>
      <c r="M2485" s="1"/>
      <c r="N2485" s="1"/>
    </row>
    <row r="2486" ht="14.5" spans="2:14">
      <c r="B2486" s="1"/>
      <c r="C2486" s="1"/>
      <c r="D2486" s="1"/>
      <c r="E2486" s="1"/>
      <c r="F2486" s="1"/>
      <c r="G2486" s="1"/>
      <c r="H2486" s="1"/>
      <c r="I2486" s="1"/>
      <c r="J2486" s="1"/>
      <c r="K2486" s="1"/>
      <c r="L2486" s="1"/>
      <c r="M2486" s="1"/>
      <c r="N2486" s="1"/>
    </row>
    <row r="2487" ht="14.5" spans="2:14">
      <c r="B2487" s="1"/>
      <c r="C2487" s="1"/>
      <c r="D2487" s="1"/>
      <c r="E2487" s="1"/>
      <c r="F2487" s="1"/>
      <c r="G2487" s="1"/>
      <c r="H2487" s="1"/>
      <c r="I2487" s="1"/>
      <c r="J2487" s="1"/>
      <c r="K2487" s="1"/>
      <c r="L2487" s="1"/>
      <c r="M2487" s="1"/>
      <c r="N2487" s="1"/>
    </row>
    <row r="2488" ht="14.5" spans="2:14">
      <c r="B2488" s="1"/>
      <c r="C2488" s="1"/>
      <c r="D2488" s="1"/>
      <c r="E2488" s="1"/>
      <c r="F2488" s="1"/>
      <c r="G2488" s="1"/>
      <c r="H2488" s="1"/>
      <c r="I2488" s="1"/>
      <c r="J2488" s="1"/>
      <c r="K2488" s="1"/>
      <c r="L2488" s="1"/>
      <c r="M2488" s="1"/>
      <c r="N2488" s="1"/>
    </row>
    <row r="2489" ht="14.5" spans="2:14">
      <c r="B2489" s="1"/>
      <c r="C2489" s="1"/>
      <c r="D2489" s="1"/>
      <c r="E2489" s="1"/>
      <c r="F2489" s="1"/>
      <c r="G2489" s="1"/>
      <c r="H2489" s="1"/>
      <c r="I2489" s="1"/>
      <c r="J2489" s="1"/>
      <c r="K2489" s="1"/>
      <c r="L2489" s="1"/>
      <c r="M2489" s="1"/>
      <c r="N2489" s="1"/>
    </row>
    <row r="2490" ht="14.5" spans="2:14">
      <c r="B2490" s="1"/>
      <c r="C2490" s="1"/>
      <c r="D2490" s="1"/>
      <c r="E2490" s="1"/>
      <c r="F2490" s="1"/>
      <c r="G2490" s="1"/>
      <c r="H2490" s="1"/>
      <c r="I2490" s="1"/>
      <c r="J2490" s="1"/>
      <c r="K2490" s="1"/>
      <c r="L2490" s="1"/>
      <c r="M2490" s="1"/>
      <c r="N2490" s="1"/>
    </row>
    <row r="2491" ht="14.5" spans="2:14">
      <c r="B2491" s="1"/>
      <c r="C2491" s="1"/>
      <c r="D2491" s="1"/>
      <c r="E2491" s="1"/>
      <c r="F2491" s="1"/>
      <c r="G2491" s="1"/>
      <c r="H2491" s="1"/>
      <c r="I2491" s="1"/>
      <c r="J2491" s="1"/>
      <c r="K2491" s="1"/>
      <c r="L2491" s="1"/>
      <c r="M2491" s="1"/>
      <c r="N2491" s="1"/>
    </row>
    <row r="2492" ht="14.5" spans="2:14">
      <c r="B2492" s="1"/>
      <c r="C2492" s="1"/>
      <c r="D2492" s="1"/>
      <c r="E2492" s="1"/>
      <c r="F2492" s="1"/>
      <c r="G2492" s="1"/>
      <c r="H2492" s="1"/>
      <c r="I2492" s="1"/>
      <c r="J2492" s="1"/>
      <c r="K2492" s="1"/>
      <c r="L2492" s="1"/>
      <c r="M2492" s="1"/>
      <c r="N2492" s="1"/>
    </row>
    <row r="2493" ht="14.5" spans="2:14">
      <c r="B2493" s="1"/>
      <c r="C2493" s="1"/>
      <c r="D2493" s="1"/>
      <c r="E2493" s="1"/>
      <c r="F2493" s="1"/>
      <c r="G2493" s="1"/>
      <c r="H2493" s="1"/>
      <c r="I2493" s="1"/>
      <c r="J2493" s="1"/>
      <c r="K2493" s="1"/>
      <c r="L2493" s="1"/>
      <c r="M2493" s="1"/>
      <c r="N2493" s="1"/>
    </row>
    <row r="2494" ht="14.5" spans="2:14">
      <c r="B2494" s="1"/>
      <c r="C2494" s="1"/>
      <c r="D2494" s="1"/>
      <c r="E2494" s="1"/>
      <c r="F2494" s="1"/>
      <c r="G2494" s="1"/>
      <c r="H2494" s="1"/>
      <c r="I2494" s="1"/>
      <c r="J2494" s="1"/>
      <c r="K2494" s="1"/>
      <c r="L2494" s="1"/>
      <c r="M2494" s="1"/>
      <c r="N2494" s="1"/>
    </row>
    <row r="2495" ht="14.5" spans="2:14">
      <c r="B2495" s="1"/>
      <c r="C2495" s="1"/>
      <c r="D2495" s="1"/>
      <c r="E2495" s="1"/>
      <c r="F2495" s="1"/>
      <c r="G2495" s="1"/>
      <c r="H2495" s="1"/>
      <c r="I2495" s="1"/>
      <c r="J2495" s="1"/>
      <c r="K2495" s="1"/>
      <c r="L2495" s="1"/>
      <c r="M2495" s="1"/>
      <c r="N2495" s="1"/>
    </row>
    <row r="2496" ht="14.5" spans="2:14">
      <c r="B2496" s="1"/>
      <c r="C2496" s="1"/>
      <c r="D2496" s="1"/>
      <c r="E2496" s="1"/>
      <c r="F2496" s="1"/>
      <c r="G2496" s="1"/>
      <c r="H2496" s="1"/>
      <c r="I2496" s="1"/>
      <c r="J2496" s="1"/>
      <c r="K2496" s="1"/>
      <c r="L2496" s="1"/>
      <c r="M2496" s="1"/>
      <c r="N2496" s="1"/>
    </row>
    <row r="2497" ht="14.5" spans="2:14">
      <c r="B2497" s="1"/>
      <c r="C2497" s="1"/>
      <c r="D2497" s="1"/>
      <c r="E2497" s="1"/>
      <c r="F2497" s="1"/>
      <c r="G2497" s="1"/>
      <c r="H2497" s="1"/>
      <c r="I2497" s="1"/>
      <c r="J2497" s="1"/>
      <c r="K2497" s="1"/>
      <c r="L2497" s="1"/>
      <c r="M2497" s="1"/>
      <c r="N2497" s="1"/>
    </row>
    <row r="2498" ht="14.5" spans="2:14">
      <c r="B2498" s="1"/>
      <c r="C2498" s="1"/>
      <c r="D2498" s="1"/>
      <c r="E2498" s="1"/>
      <c r="F2498" s="1"/>
      <c r="G2498" s="1"/>
      <c r="H2498" s="1"/>
      <c r="I2498" s="1"/>
      <c r="J2498" s="1"/>
      <c r="K2498" s="1"/>
      <c r="L2498" s="1"/>
      <c r="M2498" s="1"/>
      <c r="N2498" s="1"/>
    </row>
    <row r="2499" ht="14.5" spans="2:14">
      <c r="B2499" s="1"/>
      <c r="C2499" s="1"/>
      <c r="D2499" s="1"/>
      <c r="E2499" s="1"/>
      <c r="F2499" s="1"/>
      <c r="G2499" s="1"/>
      <c r="H2499" s="1"/>
      <c r="I2499" s="1"/>
      <c r="J2499" s="1"/>
      <c r="K2499" s="1"/>
      <c r="L2499" s="1"/>
      <c r="M2499" s="1"/>
      <c r="N2499" s="1"/>
    </row>
    <row r="2500" ht="14.5" spans="2:14">
      <c r="B2500" s="1"/>
      <c r="C2500" s="1"/>
      <c r="D2500" s="1"/>
      <c r="E2500" s="1"/>
      <c r="F2500" s="1"/>
      <c r="G2500" s="1"/>
      <c r="H2500" s="1"/>
      <c r="I2500" s="1"/>
      <c r="J2500" s="1"/>
      <c r="K2500" s="1"/>
      <c r="L2500" s="1"/>
      <c r="M2500" s="1"/>
      <c r="N2500" s="1"/>
    </row>
    <row r="2501" ht="14.5" spans="2:14">
      <c r="B2501" s="1"/>
      <c r="C2501" s="1"/>
      <c r="D2501" s="1"/>
      <c r="E2501" s="1"/>
      <c r="F2501" s="1"/>
      <c r="G2501" s="1"/>
      <c r="H2501" s="1"/>
      <c r="I2501" s="1"/>
      <c r="J2501" s="1"/>
      <c r="K2501" s="1"/>
      <c r="L2501" s="1"/>
      <c r="M2501" s="1"/>
      <c r="N2501" s="1"/>
    </row>
    <row r="2502" ht="14.5" spans="2:14">
      <c r="B2502" s="1"/>
      <c r="C2502" s="1"/>
      <c r="D2502" s="1"/>
      <c r="E2502" s="1"/>
      <c r="F2502" s="1"/>
      <c r="G2502" s="1"/>
      <c r="H2502" s="1"/>
      <c r="I2502" s="1"/>
      <c r="J2502" s="1"/>
      <c r="K2502" s="1"/>
      <c r="L2502" s="1"/>
      <c r="M2502" s="1"/>
      <c r="N2502" s="1"/>
    </row>
    <row r="2503" ht="14.5" spans="2:14">
      <c r="B2503" s="1"/>
      <c r="C2503" s="1"/>
      <c r="D2503" s="1"/>
      <c r="E2503" s="1"/>
      <c r="F2503" s="1"/>
      <c r="G2503" s="1"/>
      <c r="H2503" s="1"/>
      <c r="I2503" s="1"/>
      <c r="J2503" s="1"/>
      <c r="K2503" s="1"/>
      <c r="L2503" s="1"/>
      <c r="M2503" s="1"/>
      <c r="N2503" s="1"/>
    </row>
    <row r="2504" ht="14.5" spans="2:14">
      <c r="B2504" s="1"/>
      <c r="C2504" s="1"/>
      <c r="D2504" s="1"/>
      <c r="E2504" s="1"/>
      <c r="F2504" s="1"/>
      <c r="G2504" s="1"/>
      <c r="H2504" s="1"/>
      <c r="I2504" s="1"/>
      <c r="J2504" s="1"/>
      <c r="K2504" s="1"/>
      <c r="L2504" s="1"/>
      <c r="M2504" s="1"/>
      <c r="N2504" s="1"/>
    </row>
    <row r="2505" ht="14.5" spans="2:14">
      <c r="B2505" s="1"/>
      <c r="C2505" s="1"/>
      <c r="D2505" s="1"/>
      <c r="E2505" s="1"/>
      <c r="F2505" s="1"/>
      <c r="G2505" s="1"/>
      <c r="H2505" s="1"/>
      <c r="I2505" s="1"/>
      <c r="J2505" s="1"/>
      <c r="K2505" s="1"/>
      <c r="L2505" s="1"/>
      <c r="M2505" s="1"/>
      <c r="N2505" s="1"/>
    </row>
    <row r="2506" ht="14.5" spans="2:14">
      <c r="B2506" s="1"/>
      <c r="C2506" s="1"/>
      <c r="D2506" s="1"/>
      <c r="E2506" s="1"/>
      <c r="F2506" s="1"/>
      <c r="G2506" s="1"/>
      <c r="H2506" s="1"/>
      <c r="I2506" s="1"/>
      <c r="J2506" s="1"/>
      <c r="K2506" s="1"/>
      <c r="L2506" s="1"/>
      <c r="M2506" s="1"/>
      <c r="N2506" s="1"/>
    </row>
    <row r="2507" ht="14.5" spans="2:14">
      <c r="B2507" s="1"/>
      <c r="C2507" s="1"/>
      <c r="D2507" s="1"/>
      <c r="E2507" s="1"/>
      <c r="F2507" s="1"/>
      <c r="G2507" s="1"/>
      <c r="H2507" s="1"/>
      <c r="I2507" s="1"/>
      <c r="J2507" s="1"/>
      <c r="K2507" s="1"/>
      <c r="L2507" s="1"/>
      <c r="M2507" s="1"/>
      <c r="N2507" s="1"/>
    </row>
    <row r="2508" ht="14.5" spans="2:14">
      <c r="B2508" s="1"/>
      <c r="C2508" s="1"/>
      <c r="D2508" s="1"/>
      <c r="E2508" s="1"/>
      <c r="F2508" s="1"/>
      <c r="G2508" s="1"/>
      <c r="H2508" s="1"/>
      <c r="I2508" s="1"/>
      <c r="J2508" s="1"/>
      <c r="K2508" s="1"/>
      <c r="L2508" s="1"/>
      <c r="M2508" s="1"/>
      <c r="N2508" s="1"/>
    </row>
    <row r="2509" ht="14.5" spans="2:14">
      <c r="B2509" s="1"/>
      <c r="C2509" s="1"/>
      <c r="D2509" s="1"/>
      <c r="E2509" s="1"/>
      <c r="F2509" s="1"/>
      <c r="G2509" s="1"/>
      <c r="H2509" s="1"/>
      <c r="I2509" s="1"/>
      <c r="J2509" s="1"/>
      <c r="K2509" s="1"/>
      <c r="L2509" s="1"/>
      <c r="M2509" s="1"/>
      <c r="N2509" s="1"/>
    </row>
    <row r="2510" ht="14.5" spans="2:14">
      <c r="B2510" s="1"/>
      <c r="C2510" s="1"/>
      <c r="D2510" s="1"/>
      <c r="E2510" s="1"/>
      <c r="F2510" s="1"/>
      <c r="G2510" s="1"/>
      <c r="H2510" s="1"/>
      <c r="I2510" s="1"/>
      <c r="J2510" s="1"/>
      <c r="K2510" s="1"/>
      <c r="L2510" s="1"/>
      <c r="M2510" s="1"/>
      <c r="N2510" s="1"/>
    </row>
    <row r="2511" ht="14.5" spans="2:14">
      <c r="B2511" s="1"/>
      <c r="C2511" s="1"/>
      <c r="D2511" s="1"/>
      <c r="E2511" s="1"/>
      <c r="F2511" s="1"/>
      <c r="G2511" s="1"/>
      <c r="H2511" s="1"/>
      <c r="I2511" s="1"/>
      <c r="J2511" s="1"/>
      <c r="K2511" s="1"/>
      <c r="L2511" s="1"/>
      <c r="M2511" s="1"/>
      <c r="N2511" s="1"/>
    </row>
    <row r="2512" ht="14.5" spans="2:14">
      <c r="B2512" s="1"/>
      <c r="C2512" s="1"/>
      <c r="D2512" s="1"/>
      <c r="E2512" s="1"/>
      <c r="F2512" s="1"/>
      <c r="G2512" s="1"/>
      <c r="H2512" s="1"/>
      <c r="I2512" s="1"/>
      <c r="J2512" s="1"/>
      <c r="K2512" s="1"/>
      <c r="L2512" s="1"/>
      <c r="M2512" s="1"/>
      <c r="N2512" s="1"/>
    </row>
    <row r="2513" ht="14.5" spans="2:14">
      <c r="B2513" s="1"/>
      <c r="C2513" s="1"/>
      <c r="D2513" s="1"/>
      <c r="E2513" s="1"/>
      <c r="F2513" s="1"/>
      <c r="G2513" s="1"/>
      <c r="H2513" s="1"/>
      <c r="I2513" s="1"/>
      <c r="J2513" s="1"/>
      <c r="K2513" s="1"/>
      <c r="L2513" s="1"/>
      <c r="M2513" s="1"/>
      <c r="N2513" s="1"/>
    </row>
    <row r="2514" ht="14.5" spans="2:14">
      <c r="B2514" s="1"/>
      <c r="C2514" s="1"/>
      <c r="D2514" s="1"/>
      <c r="E2514" s="1"/>
      <c r="F2514" s="1"/>
      <c r="G2514" s="1"/>
      <c r="H2514" s="1"/>
      <c r="I2514" s="1"/>
      <c r="J2514" s="1"/>
      <c r="K2514" s="1"/>
      <c r="L2514" s="1"/>
      <c r="M2514" s="1"/>
      <c r="N2514" s="1"/>
    </row>
    <row r="2515" ht="14.5" spans="2:14">
      <c r="B2515" s="1"/>
      <c r="C2515" s="1"/>
      <c r="D2515" s="1"/>
      <c r="E2515" s="1"/>
      <c r="F2515" s="1"/>
      <c r="G2515" s="1"/>
      <c r="H2515" s="1"/>
      <c r="I2515" s="1"/>
      <c r="J2515" s="1"/>
      <c r="K2515" s="1"/>
      <c r="L2515" s="1"/>
      <c r="M2515" s="1"/>
      <c r="N2515" s="1"/>
    </row>
    <row r="2516" ht="14.5" spans="2:14">
      <c r="B2516" s="1"/>
      <c r="C2516" s="1"/>
      <c r="D2516" s="1"/>
      <c r="E2516" s="1"/>
      <c r="F2516" s="1"/>
      <c r="G2516" s="1"/>
      <c r="H2516" s="1"/>
      <c r="I2516" s="1"/>
      <c r="J2516" s="1"/>
      <c r="K2516" s="1"/>
      <c r="L2516" s="1"/>
      <c r="M2516" s="1"/>
      <c r="N2516" s="1"/>
    </row>
    <row r="2517" ht="14.5" spans="2:14">
      <c r="B2517" s="1"/>
      <c r="C2517" s="1"/>
      <c r="D2517" s="1"/>
      <c r="E2517" s="1"/>
      <c r="F2517" s="1"/>
      <c r="G2517" s="1"/>
      <c r="H2517" s="1"/>
      <c r="I2517" s="1"/>
      <c r="J2517" s="1"/>
      <c r="K2517" s="1"/>
      <c r="L2517" s="1"/>
      <c r="M2517" s="1"/>
      <c r="N2517" s="1"/>
    </row>
    <row r="2518" ht="14.5" spans="2:14">
      <c r="B2518" s="1"/>
      <c r="C2518" s="1"/>
      <c r="D2518" s="1"/>
      <c r="E2518" s="1"/>
      <c r="F2518" s="1"/>
      <c r="G2518" s="1"/>
      <c r="H2518" s="1"/>
      <c r="I2518" s="1"/>
      <c r="J2518" s="1"/>
      <c r="K2518" s="1"/>
      <c r="L2518" s="1"/>
      <c r="M2518" s="1"/>
      <c r="N2518" s="1"/>
    </row>
    <row r="2519" ht="14.5" spans="2:14">
      <c r="B2519" s="1"/>
      <c r="C2519" s="1"/>
      <c r="D2519" s="1"/>
      <c r="E2519" s="1"/>
      <c r="F2519" s="1"/>
      <c r="G2519" s="1"/>
      <c r="H2519" s="1"/>
      <c r="I2519" s="1"/>
      <c r="J2519" s="1"/>
      <c r="K2519" s="1"/>
      <c r="L2519" s="1"/>
      <c r="M2519" s="1"/>
      <c r="N2519" s="1"/>
    </row>
    <row r="2520" ht="14.5" spans="2:14">
      <c r="B2520" s="1"/>
      <c r="C2520" s="1"/>
      <c r="D2520" s="1"/>
      <c r="E2520" s="1"/>
      <c r="F2520" s="1"/>
      <c r="G2520" s="1"/>
      <c r="H2520" s="1"/>
      <c r="I2520" s="1"/>
      <c r="J2520" s="1"/>
      <c r="K2520" s="1"/>
      <c r="L2520" s="1"/>
      <c r="M2520" s="1"/>
      <c r="N2520" s="1"/>
    </row>
    <row r="2521" ht="14.5" spans="2:14">
      <c r="B2521" s="1"/>
      <c r="C2521" s="1"/>
      <c r="D2521" s="1"/>
      <c r="E2521" s="1"/>
      <c r="F2521" s="1"/>
      <c r="G2521" s="1"/>
      <c r="H2521" s="1"/>
      <c r="I2521" s="1"/>
      <c r="J2521" s="1"/>
      <c r="K2521" s="1"/>
      <c r="L2521" s="1"/>
      <c r="M2521" s="1"/>
      <c r="N2521" s="1"/>
    </row>
    <row r="2522" ht="14.5" spans="2:14">
      <c r="B2522" s="1"/>
      <c r="C2522" s="1"/>
      <c r="D2522" s="1"/>
      <c r="E2522" s="1"/>
      <c r="F2522" s="1"/>
      <c r="G2522" s="1"/>
      <c r="H2522" s="1"/>
      <c r="I2522" s="1"/>
      <c r="J2522" s="1"/>
      <c r="K2522" s="1"/>
      <c r="L2522" s="1"/>
      <c r="M2522" s="1"/>
      <c r="N2522" s="1"/>
    </row>
    <row r="2523" ht="14.5" spans="2:14">
      <c r="B2523" s="1"/>
      <c r="C2523" s="1"/>
      <c r="D2523" s="1"/>
      <c r="E2523" s="1"/>
      <c r="F2523" s="1"/>
      <c r="G2523" s="1"/>
      <c r="H2523" s="1"/>
      <c r="I2523" s="1"/>
      <c r="J2523" s="1"/>
      <c r="K2523" s="1"/>
      <c r="L2523" s="1"/>
      <c r="M2523" s="1"/>
      <c r="N2523" s="1"/>
    </row>
    <row r="2524" ht="14.5" spans="2:14">
      <c r="B2524" s="1"/>
      <c r="C2524" s="1"/>
      <c r="D2524" s="1"/>
      <c r="E2524" s="1"/>
      <c r="F2524" s="1"/>
      <c r="G2524" s="1"/>
      <c r="H2524" s="1"/>
      <c r="I2524" s="1"/>
      <c r="J2524" s="1"/>
      <c r="K2524" s="1"/>
      <c r="L2524" s="1"/>
      <c r="M2524" s="1"/>
      <c r="N2524" s="1"/>
    </row>
    <row r="2525" ht="14.5" spans="2:14">
      <c r="B2525" s="1"/>
      <c r="C2525" s="1"/>
      <c r="D2525" s="1"/>
      <c r="E2525" s="1"/>
      <c r="F2525" s="1"/>
      <c r="G2525" s="1"/>
      <c r="H2525" s="1"/>
      <c r="I2525" s="1"/>
      <c r="J2525" s="1"/>
      <c r="K2525" s="1"/>
      <c r="L2525" s="1"/>
      <c r="M2525" s="1"/>
      <c r="N2525" s="1"/>
    </row>
    <row r="2526" ht="14.5" spans="2:14">
      <c r="B2526" s="1"/>
      <c r="C2526" s="1"/>
      <c r="D2526" s="1"/>
      <c r="E2526" s="1"/>
      <c r="F2526" s="1"/>
      <c r="G2526" s="1"/>
      <c r="H2526" s="1"/>
      <c r="I2526" s="1"/>
      <c r="J2526" s="1"/>
      <c r="K2526" s="1"/>
      <c r="L2526" s="1"/>
      <c r="M2526" s="1"/>
      <c r="N2526" s="1"/>
    </row>
    <row r="2527" ht="14.5" spans="2:14">
      <c r="B2527" s="1"/>
      <c r="C2527" s="1"/>
      <c r="D2527" s="1"/>
      <c r="E2527" s="1"/>
      <c r="F2527" s="1"/>
      <c r="G2527" s="1"/>
      <c r="H2527" s="1"/>
      <c r="I2527" s="1"/>
      <c r="J2527" s="1"/>
      <c r="K2527" s="1"/>
      <c r="L2527" s="1"/>
      <c r="M2527" s="1"/>
      <c r="N2527" s="1"/>
    </row>
    <row r="2528" ht="14.5" spans="2:14">
      <c r="B2528" s="1"/>
      <c r="C2528" s="1"/>
      <c r="D2528" s="1"/>
      <c r="E2528" s="1"/>
      <c r="F2528" s="1"/>
      <c r="G2528" s="1"/>
      <c r="H2528" s="1"/>
      <c r="I2528" s="1"/>
      <c r="J2528" s="1"/>
      <c r="K2528" s="1"/>
      <c r="L2528" s="1"/>
      <c r="M2528" s="1"/>
      <c r="N2528" s="1"/>
    </row>
    <row r="2529" ht="14.5" spans="2:14">
      <c r="B2529" s="1"/>
      <c r="C2529" s="1"/>
      <c r="D2529" s="1"/>
      <c r="E2529" s="1"/>
      <c r="F2529" s="1"/>
      <c r="G2529" s="1"/>
      <c r="H2529" s="1"/>
      <c r="I2529" s="1"/>
      <c r="J2529" s="1"/>
      <c r="K2529" s="1"/>
      <c r="L2529" s="1"/>
      <c r="M2529" s="1"/>
      <c r="N2529" s="1"/>
    </row>
    <row r="2530" ht="14.5" spans="2:14">
      <c r="B2530" s="1"/>
      <c r="C2530" s="1"/>
      <c r="D2530" s="1"/>
      <c r="E2530" s="1"/>
      <c r="F2530" s="1"/>
      <c r="G2530" s="1"/>
      <c r="H2530" s="1"/>
      <c r="I2530" s="1"/>
      <c r="J2530" s="1"/>
      <c r="K2530" s="1"/>
      <c r="L2530" s="1"/>
      <c r="M2530" s="1"/>
      <c r="N2530" s="1"/>
    </row>
    <row r="2531" ht="14.5" spans="2:14">
      <c r="B2531" s="1"/>
      <c r="C2531" s="1"/>
      <c r="D2531" s="1"/>
      <c r="E2531" s="1"/>
      <c r="F2531" s="1"/>
      <c r="G2531" s="1"/>
      <c r="H2531" s="1"/>
      <c r="I2531" s="1"/>
      <c r="J2531" s="1"/>
      <c r="K2531" s="1"/>
      <c r="L2531" s="1"/>
      <c r="M2531" s="1"/>
      <c r="N2531" s="1"/>
    </row>
    <row r="2532" ht="14.5" spans="2:14">
      <c r="B2532" s="1"/>
      <c r="C2532" s="1"/>
      <c r="D2532" s="1"/>
      <c r="E2532" s="1"/>
      <c r="F2532" s="1"/>
      <c r="G2532" s="1"/>
      <c r="H2532" s="1"/>
      <c r="I2532" s="1"/>
      <c r="J2532" s="1"/>
      <c r="K2532" s="1"/>
      <c r="L2532" s="1"/>
      <c r="M2532" s="1"/>
      <c r="N2532" s="1"/>
    </row>
    <row r="2533" ht="14.5" spans="2:14">
      <c r="B2533" s="1"/>
      <c r="C2533" s="1"/>
      <c r="D2533" s="1"/>
      <c r="E2533" s="1"/>
      <c r="F2533" s="1"/>
      <c r="G2533" s="1"/>
      <c r="H2533" s="1"/>
      <c r="I2533" s="1"/>
      <c r="J2533" s="1"/>
      <c r="K2533" s="1"/>
      <c r="L2533" s="1"/>
      <c r="M2533" s="1"/>
      <c r="N2533" s="1"/>
    </row>
    <row r="2534" ht="14.5" spans="2:14">
      <c r="B2534" s="1"/>
      <c r="C2534" s="1"/>
      <c r="D2534" s="1"/>
      <c r="E2534" s="1"/>
      <c r="F2534" s="1"/>
      <c r="G2534" s="1"/>
      <c r="H2534" s="1"/>
      <c r="I2534" s="1"/>
      <c r="J2534" s="1"/>
      <c r="K2534" s="1"/>
      <c r="L2534" s="1"/>
      <c r="M2534" s="1"/>
      <c r="N2534" s="1"/>
    </row>
    <row r="2535" ht="14.5" spans="2:14">
      <c r="B2535" s="1"/>
      <c r="C2535" s="1"/>
      <c r="D2535" s="1"/>
      <c r="E2535" s="1"/>
      <c r="F2535" s="1"/>
      <c r="G2535" s="1"/>
      <c r="H2535" s="1"/>
      <c r="I2535" s="1"/>
      <c r="J2535" s="1"/>
      <c r="K2535" s="1"/>
      <c r="L2535" s="1"/>
      <c r="M2535" s="1"/>
      <c r="N2535" s="1"/>
    </row>
    <row r="2536" ht="14.5" spans="2:14">
      <c r="B2536" s="1"/>
      <c r="C2536" s="1"/>
      <c r="D2536" s="1"/>
      <c r="E2536" s="1"/>
      <c r="F2536" s="1"/>
      <c r="G2536" s="1"/>
      <c r="H2536" s="1"/>
      <c r="I2536" s="1"/>
      <c r="J2536" s="1"/>
      <c r="K2536" s="1"/>
      <c r="L2536" s="1"/>
      <c r="M2536" s="1"/>
      <c r="N2536" s="1"/>
    </row>
    <row r="2537" ht="14.5" spans="2:14">
      <c r="B2537" s="1"/>
      <c r="C2537" s="1"/>
      <c r="D2537" s="1"/>
      <c r="E2537" s="1"/>
      <c r="F2537" s="1"/>
      <c r="G2537" s="1"/>
      <c r="H2537" s="1"/>
      <c r="I2537" s="1"/>
      <c r="J2537" s="1"/>
      <c r="K2537" s="1"/>
      <c r="L2537" s="1"/>
      <c r="M2537" s="1"/>
      <c r="N2537" s="1"/>
    </row>
    <row r="2538" ht="14.5" spans="2:14">
      <c r="B2538" s="1"/>
      <c r="C2538" s="1"/>
      <c r="D2538" s="1"/>
      <c r="E2538" s="1"/>
      <c r="F2538" s="1"/>
      <c r="G2538" s="1"/>
      <c r="H2538" s="1"/>
      <c r="I2538" s="1"/>
      <c r="J2538" s="1"/>
      <c r="K2538" s="1"/>
      <c r="L2538" s="1"/>
      <c r="M2538" s="1"/>
      <c r="N2538" s="1"/>
    </row>
    <row r="2539" ht="14.5" spans="2:14">
      <c r="B2539" s="1"/>
      <c r="C2539" s="1"/>
      <c r="D2539" s="1"/>
      <c r="E2539" s="1"/>
      <c r="F2539" s="1"/>
      <c r="G2539" s="1"/>
      <c r="H2539" s="1"/>
      <c r="I2539" s="1"/>
      <c r="J2539" s="1"/>
      <c r="K2539" s="1"/>
      <c r="L2539" s="1"/>
      <c r="M2539" s="1"/>
      <c r="N2539" s="1"/>
    </row>
    <row r="2540" ht="14.5" spans="2:14">
      <c r="B2540" s="1"/>
      <c r="C2540" s="1"/>
      <c r="D2540" s="1"/>
      <c r="E2540" s="1"/>
      <c r="F2540" s="1"/>
      <c r="G2540" s="1"/>
      <c r="H2540" s="1"/>
      <c r="I2540" s="1"/>
      <c r="J2540" s="1"/>
      <c r="K2540" s="1"/>
      <c r="L2540" s="1"/>
      <c r="M2540" s="1"/>
      <c r="N2540" s="1"/>
    </row>
    <row r="2541" ht="14.5" spans="2:14">
      <c r="B2541" s="1"/>
      <c r="C2541" s="1"/>
      <c r="D2541" s="1"/>
      <c r="E2541" s="1"/>
      <c r="F2541" s="1"/>
      <c r="G2541" s="1"/>
      <c r="H2541" s="1"/>
      <c r="I2541" s="1"/>
      <c r="J2541" s="1"/>
      <c r="K2541" s="1"/>
      <c r="L2541" s="1"/>
      <c r="M2541" s="1"/>
      <c r="N2541" s="1"/>
    </row>
    <row r="2542" ht="14.5" spans="2:14">
      <c r="B2542" s="1"/>
      <c r="C2542" s="1"/>
      <c r="D2542" s="1"/>
      <c r="E2542" s="1"/>
      <c r="F2542" s="1"/>
      <c r="G2542" s="1"/>
      <c r="H2542" s="1"/>
      <c r="I2542" s="1"/>
      <c r="J2542" s="1"/>
      <c r="K2542" s="1"/>
      <c r="L2542" s="1"/>
      <c r="M2542" s="1"/>
      <c r="N2542" s="1"/>
    </row>
    <row r="2543" ht="14.5" spans="2:14">
      <c r="B2543" s="1"/>
      <c r="C2543" s="1"/>
      <c r="D2543" s="1"/>
      <c r="E2543" s="1"/>
      <c r="F2543" s="1"/>
      <c r="G2543" s="1"/>
      <c r="H2543" s="1"/>
      <c r="I2543" s="1"/>
      <c r="J2543" s="1"/>
      <c r="K2543" s="1"/>
      <c r="L2543" s="1"/>
      <c r="M2543" s="1"/>
      <c r="N2543" s="1"/>
    </row>
    <row r="2544" ht="14.5" spans="2:14">
      <c r="B2544" s="1"/>
      <c r="C2544" s="1"/>
      <c r="D2544" s="1"/>
      <c r="E2544" s="1"/>
      <c r="F2544" s="1"/>
      <c r="G2544" s="1"/>
      <c r="H2544" s="1"/>
      <c r="I2544" s="1"/>
      <c r="J2544" s="1"/>
      <c r="K2544" s="1"/>
      <c r="L2544" s="1"/>
      <c r="M2544" s="1"/>
      <c r="N2544" s="1"/>
    </row>
    <row r="2545" ht="14.5" spans="2:14">
      <c r="B2545" s="1"/>
      <c r="C2545" s="1"/>
      <c r="D2545" s="1"/>
      <c r="E2545" s="1"/>
      <c r="F2545" s="1"/>
      <c r="G2545" s="1"/>
      <c r="H2545" s="1"/>
      <c r="I2545" s="1"/>
      <c r="J2545" s="1"/>
      <c r="K2545" s="1"/>
      <c r="L2545" s="1"/>
      <c r="M2545" s="1"/>
      <c r="N2545" s="1"/>
    </row>
    <row r="2546" ht="14.5" spans="2:14">
      <c r="B2546" s="1"/>
      <c r="C2546" s="1"/>
      <c r="D2546" s="1"/>
      <c r="E2546" s="1"/>
      <c r="F2546" s="1"/>
      <c r="G2546" s="1"/>
      <c r="H2546" s="1"/>
      <c r="I2546" s="1"/>
      <c r="J2546" s="1"/>
      <c r="K2546" s="1"/>
      <c r="L2546" s="1"/>
      <c r="M2546" s="1"/>
      <c r="N2546" s="1"/>
    </row>
    <row r="2547" ht="14.5" spans="2:14">
      <c r="B2547" s="1"/>
      <c r="C2547" s="1"/>
      <c r="D2547" s="1"/>
      <c r="E2547" s="1"/>
      <c r="F2547" s="1"/>
      <c r="G2547" s="1"/>
      <c r="H2547" s="1"/>
      <c r="I2547" s="1"/>
      <c r="J2547" s="1"/>
      <c r="K2547" s="1"/>
      <c r="L2547" s="1"/>
      <c r="M2547" s="1"/>
      <c r="N2547" s="1"/>
    </row>
    <row r="2548" ht="14.5" spans="2:14">
      <c r="B2548" s="1"/>
      <c r="C2548" s="1"/>
      <c r="D2548" s="1"/>
      <c r="E2548" s="1"/>
      <c r="F2548" s="1"/>
      <c r="G2548" s="1"/>
      <c r="H2548" s="1"/>
      <c r="I2548" s="1"/>
      <c r="J2548" s="1"/>
      <c r="K2548" s="1"/>
      <c r="L2548" s="1"/>
      <c r="M2548" s="1"/>
      <c r="N2548" s="1"/>
    </row>
    <row r="2549" ht="14.5" spans="2:14">
      <c r="B2549" s="1"/>
      <c r="C2549" s="1"/>
      <c r="D2549" s="1"/>
      <c r="E2549" s="1"/>
      <c r="F2549" s="1"/>
      <c r="G2549" s="1"/>
      <c r="H2549" s="1"/>
      <c r="I2549" s="1"/>
      <c r="J2549" s="1"/>
      <c r="K2549" s="1"/>
      <c r="L2549" s="1"/>
      <c r="M2549" s="1"/>
      <c r="N2549" s="1"/>
    </row>
    <row r="2550" ht="14.5" spans="2:14">
      <c r="B2550" s="1"/>
      <c r="C2550" s="1"/>
      <c r="D2550" s="1"/>
      <c r="E2550" s="1"/>
      <c r="F2550" s="1"/>
      <c r="G2550" s="1"/>
      <c r="H2550" s="1"/>
      <c r="I2550" s="1"/>
      <c r="J2550" s="1"/>
      <c r="K2550" s="1"/>
      <c r="L2550" s="1"/>
      <c r="M2550" s="1"/>
      <c r="N2550" s="1"/>
    </row>
    <row r="2551" ht="14.5" spans="2:14">
      <c r="B2551" s="1"/>
      <c r="C2551" s="1"/>
      <c r="D2551" s="1"/>
      <c r="E2551" s="1"/>
      <c r="F2551" s="1"/>
      <c r="G2551" s="1"/>
      <c r="H2551" s="1"/>
      <c r="I2551" s="1"/>
      <c r="J2551" s="1"/>
      <c r="K2551" s="1"/>
      <c r="L2551" s="1"/>
      <c r="M2551" s="1"/>
      <c r="N2551" s="1"/>
    </row>
    <row r="2552" ht="14.5" spans="2:14">
      <c r="B2552" s="1"/>
      <c r="C2552" s="1"/>
      <c r="D2552" s="1"/>
      <c r="E2552" s="1"/>
      <c r="F2552" s="1"/>
      <c r="G2552" s="1"/>
      <c r="H2552" s="1"/>
      <c r="I2552" s="1"/>
      <c r="J2552" s="1"/>
      <c r="K2552" s="1"/>
      <c r="L2552" s="1"/>
      <c r="M2552" s="1"/>
      <c r="N2552" s="1"/>
    </row>
    <row r="2553" ht="14.5" spans="2:14">
      <c r="B2553" s="1"/>
      <c r="C2553" s="1"/>
      <c r="D2553" s="1"/>
      <c r="E2553" s="1"/>
      <c r="F2553" s="1"/>
      <c r="G2553" s="1"/>
      <c r="H2553" s="1"/>
      <c r="I2553" s="1"/>
      <c r="J2553" s="1"/>
      <c r="K2553" s="1"/>
      <c r="L2553" s="1"/>
      <c r="M2553" s="1"/>
      <c r="N2553" s="1"/>
    </row>
    <row r="2554" ht="14.5" spans="2:14">
      <c r="B2554" s="1"/>
      <c r="C2554" s="1"/>
      <c r="D2554" s="1"/>
      <c r="E2554" s="1"/>
      <c r="F2554" s="1"/>
      <c r="G2554" s="1"/>
      <c r="H2554" s="1"/>
      <c r="I2554" s="1"/>
      <c r="J2554" s="1"/>
      <c r="K2554" s="1"/>
      <c r="L2554" s="1"/>
      <c r="M2554" s="1"/>
      <c r="N2554" s="1"/>
    </row>
    <row r="2555" ht="14.5" spans="2:14">
      <c r="B2555" s="1"/>
      <c r="C2555" s="1"/>
      <c r="D2555" s="1"/>
      <c r="E2555" s="1"/>
      <c r="F2555" s="1"/>
      <c r="G2555" s="1"/>
      <c r="H2555" s="1"/>
      <c r="I2555" s="1"/>
      <c r="J2555" s="1"/>
      <c r="K2555" s="1"/>
      <c r="L2555" s="1"/>
      <c r="M2555" s="1"/>
      <c r="N2555" s="1"/>
    </row>
    <row r="2556" ht="14.5" spans="2:14">
      <c r="B2556" s="1"/>
      <c r="C2556" s="1"/>
      <c r="D2556" s="1"/>
      <c r="E2556" s="1"/>
      <c r="F2556" s="1"/>
      <c r="G2556" s="1"/>
      <c r="H2556" s="1"/>
      <c r="I2556" s="1"/>
      <c r="J2556" s="1"/>
      <c r="K2556" s="1"/>
      <c r="L2556" s="1"/>
      <c r="M2556" s="1"/>
      <c r="N2556" s="1"/>
    </row>
    <row r="2557" ht="14.5" spans="2:14">
      <c r="B2557" s="1"/>
      <c r="C2557" s="1"/>
      <c r="D2557" s="1"/>
      <c r="E2557" s="1"/>
      <c r="F2557" s="1"/>
      <c r="G2557" s="1"/>
      <c r="H2557" s="1"/>
      <c r="I2557" s="1"/>
      <c r="J2557" s="1"/>
      <c r="K2557" s="1"/>
      <c r="L2557" s="1"/>
      <c r="M2557" s="1"/>
      <c r="N2557" s="1"/>
    </row>
    <row r="2558" ht="14.5" spans="2:14">
      <c r="B2558" s="1"/>
      <c r="C2558" s="1"/>
      <c r="D2558" s="1"/>
      <c r="E2558" s="1"/>
      <c r="F2558" s="1"/>
      <c r="G2558" s="1"/>
      <c r="H2558" s="1"/>
      <c r="I2558" s="1"/>
      <c r="J2558" s="1"/>
      <c r="K2558" s="1"/>
      <c r="L2558" s="1"/>
      <c r="M2558" s="1"/>
      <c r="N2558" s="1"/>
    </row>
    <row r="2559" ht="14.5" spans="2:14">
      <c r="B2559" s="1"/>
      <c r="C2559" s="1"/>
      <c r="D2559" s="1"/>
      <c r="E2559" s="1"/>
      <c r="F2559" s="1"/>
      <c r="G2559" s="1"/>
      <c r="H2559" s="1"/>
      <c r="I2559" s="1"/>
      <c r="J2559" s="1"/>
      <c r="K2559" s="1"/>
      <c r="L2559" s="1"/>
      <c r="M2559" s="1"/>
      <c r="N2559" s="1"/>
    </row>
    <row r="2560" ht="14.5" spans="2:14">
      <c r="B2560" s="1"/>
      <c r="C2560" s="1"/>
      <c r="D2560" s="1"/>
      <c r="E2560" s="1"/>
      <c r="F2560" s="1"/>
      <c r="G2560" s="1"/>
      <c r="H2560" s="1"/>
      <c r="I2560" s="1"/>
      <c r="J2560" s="1"/>
      <c r="K2560" s="1"/>
      <c r="L2560" s="1"/>
      <c r="M2560" s="1"/>
      <c r="N2560" s="1"/>
    </row>
    <row r="2561" ht="14.5" spans="2:14">
      <c r="B2561" s="1"/>
      <c r="C2561" s="1"/>
      <c r="D2561" s="1"/>
      <c r="E2561" s="1"/>
      <c r="F2561" s="1"/>
      <c r="G2561" s="1"/>
      <c r="H2561" s="1"/>
      <c r="I2561" s="1"/>
      <c r="J2561" s="1"/>
      <c r="K2561" s="1"/>
      <c r="L2561" s="1"/>
      <c r="M2561" s="1"/>
      <c r="N2561" s="1"/>
    </row>
    <row r="2562" ht="14.5" spans="2:14">
      <c r="B2562" s="1"/>
      <c r="C2562" s="1"/>
      <c r="D2562" s="1"/>
      <c r="E2562" s="1"/>
      <c r="F2562" s="1"/>
      <c r="G2562" s="1"/>
      <c r="H2562" s="1"/>
      <c r="I2562" s="1"/>
      <c r="J2562" s="1"/>
      <c r="K2562" s="1"/>
      <c r="L2562" s="1"/>
      <c r="M2562" s="1"/>
      <c r="N2562" s="1"/>
    </row>
    <row r="2563" ht="14.5" spans="2:14">
      <c r="B2563" s="1"/>
      <c r="C2563" s="1"/>
      <c r="D2563" s="1"/>
      <c r="E2563" s="1"/>
      <c r="F2563" s="1"/>
      <c r="G2563" s="1"/>
      <c r="H2563" s="1"/>
      <c r="I2563" s="1"/>
      <c r="J2563" s="1"/>
      <c r="K2563" s="1"/>
      <c r="L2563" s="1"/>
      <c r="M2563" s="1"/>
      <c r="N2563" s="1"/>
    </row>
    <row r="2564" ht="14.5" spans="2:14">
      <c r="B2564" s="1"/>
      <c r="C2564" s="1"/>
      <c r="D2564" s="1"/>
      <c r="E2564" s="1"/>
      <c r="F2564" s="1"/>
      <c r="G2564" s="1"/>
      <c r="H2564" s="1"/>
      <c r="I2564" s="1"/>
      <c r="J2564" s="1"/>
      <c r="K2564" s="1"/>
      <c r="L2564" s="1"/>
      <c r="M2564" s="1"/>
      <c r="N2564" s="1"/>
    </row>
    <row r="2565" ht="14.5" spans="2:14">
      <c r="B2565" s="1"/>
      <c r="C2565" s="1"/>
      <c r="D2565" s="1"/>
      <c r="E2565" s="1"/>
      <c r="F2565" s="1"/>
      <c r="G2565" s="1"/>
      <c r="H2565" s="1"/>
      <c r="I2565" s="1"/>
      <c r="J2565" s="1"/>
      <c r="K2565" s="1"/>
      <c r="L2565" s="1"/>
      <c r="M2565" s="1"/>
      <c r="N2565" s="1"/>
    </row>
    <row r="2566" ht="14.5" spans="2:14">
      <c r="B2566" s="1"/>
      <c r="C2566" s="1"/>
      <c r="D2566" s="1"/>
      <c r="E2566" s="1"/>
      <c r="F2566" s="1"/>
      <c r="G2566" s="1"/>
      <c r="H2566" s="1"/>
      <c r="I2566" s="1"/>
      <c r="J2566" s="1"/>
      <c r="K2566" s="1"/>
      <c r="L2566" s="1"/>
      <c r="M2566" s="1"/>
      <c r="N2566" s="1"/>
    </row>
    <row r="2567" ht="14.5" spans="2:14">
      <c r="B2567" s="1"/>
      <c r="C2567" s="1"/>
      <c r="D2567" s="1"/>
      <c r="E2567" s="1"/>
      <c r="F2567" s="1"/>
      <c r="G2567" s="1"/>
      <c r="H2567" s="1"/>
      <c r="I2567" s="1"/>
      <c r="J2567" s="1"/>
      <c r="K2567" s="1"/>
      <c r="L2567" s="1"/>
      <c r="M2567" s="1"/>
      <c r="N2567" s="1"/>
    </row>
    <row r="2568" ht="14.5" spans="2:14">
      <c r="B2568" s="1"/>
      <c r="C2568" s="1"/>
      <c r="D2568" s="1"/>
      <c r="E2568" s="1"/>
      <c r="F2568" s="1"/>
      <c r="G2568" s="1"/>
      <c r="H2568" s="1"/>
      <c r="I2568" s="1"/>
      <c r="J2568" s="1"/>
      <c r="K2568" s="1"/>
      <c r="L2568" s="1"/>
      <c r="M2568" s="1"/>
      <c r="N2568" s="1"/>
    </row>
    <row r="2569" ht="14.5" spans="2:14">
      <c r="B2569" s="1"/>
      <c r="C2569" s="1"/>
      <c r="D2569" s="1"/>
      <c r="E2569" s="1"/>
      <c r="F2569" s="1"/>
      <c r="G2569" s="1"/>
      <c r="H2569" s="1"/>
      <c r="I2569" s="1"/>
      <c r="J2569" s="1"/>
      <c r="K2569" s="1"/>
      <c r="L2569" s="1"/>
      <c r="M2569" s="1"/>
      <c r="N2569" s="1"/>
    </row>
    <row r="2570" ht="14.5" spans="2:14">
      <c r="B2570" s="1"/>
      <c r="C2570" s="1"/>
      <c r="D2570" s="1"/>
      <c r="E2570" s="1"/>
      <c r="F2570" s="1"/>
      <c r="G2570" s="1"/>
      <c r="H2570" s="1"/>
      <c r="I2570" s="1"/>
      <c r="J2570" s="1"/>
      <c r="K2570" s="1"/>
      <c r="L2570" s="1"/>
      <c r="M2570" s="1"/>
      <c r="N2570" s="1"/>
    </row>
    <row r="2571" ht="14.5" spans="2:14">
      <c r="B2571" s="1"/>
      <c r="C2571" s="1"/>
      <c r="D2571" s="1"/>
      <c r="E2571" s="1"/>
      <c r="F2571" s="1"/>
      <c r="G2571" s="1"/>
      <c r="H2571" s="1"/>
      <c r="I2571" s="1"/>
      <c r="J2571" s="1"/>
      <c r="K2571" s="1"/>
      <c r="L2571" s="1"/>
      <c r="M2571" s="1"/>
      <c r="N2571" s="1"/>
    </row>
    <row r="2572" ht="14.5" spans="2:14">
      <c r="B2572" s="1"/>
      <c r="C2572" s="1"/>
      <c r="D2572" s="1"/>
      <c r="E2572" s="1"/>
      <c r="F2572" s="1"/>
      <c r="G2572" s="1"/>
      <c r="H2572" s="1"/>
      <c r="I2572" s="1"/>
      <c r="J2572" s="1"/>
      <c r="K2572" s="1"/>
      <c r="L2572" s="1"/>
      <c r="M2572" s="1"/>
      <c r="N2572" s="1"/>
    </row>
    <row r="2573" ht="14.5" spans="2:14">
      <c r="B2573" s="1"/>
      <c r="C2573" s="1"/>
      <c r="D2573" s="1"/>
      <c r="E2573" s="1"/>
      <c r="F2573" s="1"/>
      <c r="G2573" s="1"/>
      <c r="H2573" s="1"/>
      <c r="I2573" s="1"/>
      <c r="J2573" s="1"/>
      <c r="K2573" s="1"/>
      <c r="L2573" s="1"/>
      <c r="M2573" s="1"/>
      <c r="N2573" s="1"/>
    </row>
    <row r="2574" ht="14.5" spans="2:14">
      <c r="B2574" s="1"/>
      <c r="C2574" s="1"/>
      <c r="D2574" s="1"/>
      <c r="E2574" s="1"/>
      <c r="F2574" s="1"/>
      <c r="G2574" s="1"/>
      <c r="H2574" s="1"/>
      <c r="I2574" s="1"/>
      <c r="J2574" s="1"/>
      <c r="K2574" s="1"/>
      <c r="L2574" s="1"/>
      <c r="M2574" s="1"/>
      <c r="N2574" s="1"/>
    </row>
    <row r="2575" ht="14.5" spans="2:14">
      <c r="B2575" s="1"/>
      <c r="C2575" s="1"/>
      <c r="D2575" s="1"/>
      <c r="E2575" s="1"/>
      <c r="F2575" s="1"/>
      <c r="G2575" s="1"/>
      <c r="H2575" s="1"/>
      <c r="I2575" s="1"/>
      <c r="J2575" s="1"/>
      <c r="K2575" s="1"/>
      <c r="L2575" s="1"/>
      <c r="M2575" s="1"/>
      <c r="N2575" s="1"/>
    </row>
    <row r="2576" ht="14.5" spans="2:14">
      <c r="B2576" s="1"/>
      <c r="C2576" s="1"/>
      <c r="D2576" s="1"/>
      <c r="E2576" s="1"/>
      <c r="F2576" s="1"/>
      <c r="G2576" s="1"/>
      <c r="H2576" s="1"/>
      <c r="I2576" s="1"/>
      <c r="J2576" s="1"/>
      <c r="K2576" s="1"/>
      <c r="L2576" s="1"/>
      <c r="M2576" s="1"/>
      <c r="N2576" s="1"/>
    </row>
    <row r="2577" ht="14.5" spans="2:14">
      <c r="B2577" s="1"/>
      <c r="C2577" s="1"/>
      <c r="D2577" s="1"/>
      <c r="E2577" s="1"/>
      <c r="F2577" s="1"/>
      <c r="G2577" s="1"/>
      <c r="H2577" s="1"/>
      <c r="I2577" s="1"/>
      <c r="J2577" s="1"/>
      <c r="K2577" s="1"/>
      <c r="L2577" s="1"/>
      <c r="M2577" s="1"/>
      <c r="N2577" s="1"/>
    </row>
    <row r="2578" ht="14.5" spans="2:14">
      <c r="B2578" s="1"/>
      <c r="C2578" s="1"/>
      <c r="D2578" s="1"/>
      <c r="E2578" s="1"/>
      <c r="F2578" s="1"/>
      <c r="G2578" s="1"/>
      <c r="H2578" s="1"/>
      <c r="I2578" s="1"/>
      <c r="J2578" s="1"/>
      <c r="K2578" s="1"/>
      <c r="L2578" s="1"/>
      <c r="M2578" s="1"/>
      <c r="N2578" s="1"/>
    </row>
    <row r="2579" ht="14.5" spans="2:14">
      <c r="B2579" s="1"/>
      <c r="C2579" s="1"/>
      <c r="D2579" s="1"/>
      <c r="E2579" s="1"/>
      <c r="F2579" s="1"/>
      <c r="G2579" s="1"/>
      <c r="H2579" s="1"/>
      <c r="I2579" s="1"/>
      <c r="J2579" s="1"/>
      <c r="K2579" s="1"/>
      <c r="L2579" s="1"/>
      <c r="M2579" s="1"/>
      <c r="N2579" s="1"/>
    </row>
    <row r="2580" ht="14.5" spans="2:14">
      <c r="B2580" s="1"/>
      <c r="C2580" s="1"/>
      <c r="D2580" s="1"/>
      <c r="E2580" s="1"/>
      <c r="F2580" s="1"/>
      <c r="G2580" s="1"/>
      <c r="H2580" s="1"/>
      <c r="I2580" s="1"/>
      <c r="J2580" s="1"/>
      <c r="K2580" s="1"/>
      <c r="L2580" s="1"/>
      <c r="M2580" s="1"/>
      <c r="N2580" s="1"/>
    </row>
    <row r="2581" ht="14.5" spans="2:14">
      <c r="B2581" s="1"/>
      <c r="C2581" s="1"/>
      <c r="D2581" s="1"/>
      <c r="E2581" s="1"/>
      <c r="F2581" s="1"/>
      <c r="G2581" s="1"/>
      <c r="H2581" s="1"/>
      <c r="I2581" s="1"/>
      <c r="J2581" s="1"/>
      <c r="K2581" s="1"/>
      <c r="L2581" s="1"/>
      <c r="M2581" s="1"/>
      <c r="N2581" s="1"/>
    </row>
    <row r="2582" ht="14.5" spans="2:14">
      <c r="B2582" s="1"/>
      <c r="C2582" s="1"/>
      <c r="D2582" s="1"/>
      <c r="E2582" s="1"/>
      <c r="F2582" s="1"/>
      <c r="G2582" s="1"/>
      <c r="H2582" s="1"/>
      <c r="I2582" s="1"/>
      <c r="J2582" s="1"/>
      <c r="K2582" s="1"/>
      <c r="L2582" s="1"/>
      <c r="M2582" s="1"/>
      <c r="N2582" s="1"/>
    </row>
    <row r="2583" ht="14.5" spans="2:14">
      <c r="B2583" s="1"/>
      <c r="C2583" s="1"/>
      <c r="D2583" s="1"/>
      <c r="E2583" s="1"/>
      <c r="F2583" s="1"/>
      <c r="G2583" s="1"/>
      <c r="H2583" s="1"/>
      <c r="I2583" s="1"/>
      <c r="J2583" s="1"/>
      <c r="K2583" s="1"/>
      <c r="L2583" s="1"/>
      <c r="M2583" s="1"/>
      <c r="N2583" s="1"/>
    </row>
    <row r="2584" ht="14.5" spans="2:14">
      <c r="B2584" s="1"/>
      <c r="C2584" s="1"/>
      <c r="D2584" s="1"/>
      <c r="E2584" s="1"/>
      <c r="F2584" s="1"/>
      <c r="G2584" s="1"/>
      <c r="H2584" s="1"/>
      <c r="I2584" s="1"/>
      <c r="J2584" s="1"/>
      <c r="K2584" s="1"/>
      <c r="L2584" s="1"/>
      <c r="M2584" s="1"/>
      <c r="N2584" s="1"/>
    </row>
    <row r="2585" ht="14.5" spans="2:14">
      <c r="B2585" s="1"/>
      <c r="C2585" s="1"/>
      <c r="D2585" s="1"/>
      <c r="E2585" s="1"/>
      <c r="F2585" s="1"/>
      <c r="G2585" s="1"/>
      <c r="H2585" s="1"/>
      <c r="I2585" s="1"/>
      <c r="J2585" s="1"/>
      <c r="K2585" s="1"/>
      <c r="L2585" s="1"/>
      <c r="M2585" s="1"/>
      <c r="N2585" s="1"/>
    </row>
    <row r="2586" ht="14.5" spans="2:14">
      <c r="B2586" s="1"/>
      <c r="C2586" s="1"/>
      <c r="D2586" s="1"/>
      <c r="E2586" s="1"/>
      <c r="F2586" s="1"/>
      <c r="G2586" s="1"/>
      <c r="H2586" s="1"/>
      <c r="I2586" s="1"/>
      <c r="J2586" s="1"/>
      <c r="K2586" s="1"/>
      <c r="L2586" s="1"/>
      <c r="M2586" s="1"/>
      <c r="N2586" s="1"/>
    </row>
    <row r="2587" ht="14.5" spans="2:14">
      <c r="B2587" s="1"/>
      <c r="C2587" s="1"/>
      <c r="D2587" s="1"/>
      <c r="E2587" s="1"/>
      <c r="F2587" s="1"/>
      <c r="G2587" s="1"/>
      <c r="H2587" s="1"/>
      <c r="I2587" s="1"/>
      <c r="J2587" s="1"/>
      <c r="K2587" s="1"/>
      <c r="L2587" s="1"/>
      <c r="M2587" s="1"/>
      <c r="N2587" s="1"/>
    </row>
    <row r="2588" ht="14.5" spans="2:14">
      <c r="B2588" s="1"/>
      <c r="C2588" s="1"/>
      <c r="D2588" s="1"/>
      <c r="E2588" s="1"/>
      <c r="F2588" s="1"/>
      <c r="G2588" s="1"/>
      <c r="H2588" s="1"/>
      <c r="I2588" s="1"/>
      <c r="J2588" s="1"/>
      <c r="K2588" s="1"/>
      <c r="L2588" s="1"/>
      <c r="M2588" s="1"/>
      <c r="N2588" s="1"/>
    </row>
    <row r="2589" ht="14.5" spans="2:14">
      <c r="B2589" s="1"/>
      <c r="C2589" s="1"/>
      <c r="D2589" s="1"/>
      <c r="E2589" s="1"/>
      <c r="F2589" s="1"/>
      <c r="G2589" s="1"/>
      <c r="H2589" s="1"/>
      <c r="I2589" s="1"/>
      <c r="J2589" s="1"/>
      <c r="K2589" s="1"/>
      <c r="L2589" s="1"/>
      <c r="M2589" s="1"/>
      <c r="N2589" s="1"/>
    </row>
    <row r="2590" ht="14.5" spans="2:14">
      <c r="B2590" s="1"/>
      <c r="C2590" s="1"/>
      <c r="D2590" s="1"/>
      <c r="E2590" s="1"/>
      <c r="F2590" s="1"/>
      <c r="G2590" s="1"/>
      <c r="H2590" s="1"/>
      <c r="I2590" s="1"/>
      <c r="J2590" s="1"/>
      <c r="K2590" s="1"/>
      <c r="L2590" s="1"/>
      <c r="M2590" s="1"/>
      <c r="N2590" s="1"/>
    </row>
    <row r="2591" ht="14.5" spans="2:14">
      <c r="B2591" s="1"/>
      <c r="C2591" s="1"/>
      <c r="D2591" s="1"/>
      <c r="E2591" s="1"/>
      <c r="F2591" s="1"/>
      <c r="G2591" s="1"/>
      <c r="H2591" s="1"/>
      <c r="I2591" s="1"/>
      <c r="J2591" s="1"/>
      <c r="K2591" s="1"/>
      <c r="L2591" s="1"/>
      <c r="M2591" s="1"/>
      <c r="N2591" s="1"/>
    </row>
    <row r="2592" ht="14.5" spans="2:14">
      <c r="B2592" s="1"/>
      <c r="C2592" s="1"/>
      <c r="D2592" s="1"/>
      <c r="E2592" s="1"/>
      <c r="F2592" s="1"/>
      <c r="G2592" s="1"/>
      <c r="H2592" s="1"/>
      <c r="I2592" s="1"/>
      <c r="J2592" s="1"/>
      <c r="K2592" s="1"/>
      <c r="L2592" s="1"/>
      <c r="M2592" s="1"/>
      <c r="N2592" s="1"/>
    </row>
    <row r="2593" ht="14.5" spans="2:14">
      <c r="B2593" s="1"/>
      <c r="C2593" s="1"/>
      <c r="D2593" s="1"/>
      <c r="E2593" s="1"/>
      <c r="F2593" s="1"/>
      <c r="G2593" s="1"/>
      <c r="H2593" s="1"/>
      <c r="I2593" s="1"/>
      <c r="J2593" s="1"/>
      <c r="K2593" s="1"/>
      <c r="L2593" s="1"/>
      <c r="M2593" s="1"/>
      <c r="N2593" s="1"/>
    </row>
    <row r="2594" ht="14.5" spans="2:14">
      <c r="B2594" s="1"/>
      <c r="C2594" s="1"/>
      <c r="D2594" s="1"/>
      <c r="E2594" s="1"/>
      <c r="F2594" s="1"/>
      <c r="G2594" s="1"/>
      <c r="H2594" s="1"/>
      <c r="I2594" s="1"/>
      <c r="J2594" s="1"/>
      <c r="K2594" s="1"/>
      <c r="L2594" s="1"/>
      <c r="M2594" s="1"/>
      <c r="N2594" s="1"/>
    </row>
    <row r="2595" ht="14.5" spans="2:14">
      <c r="B2595" s="1"/>
      <c r="C2595" s="1"/>
      <c r="D2595" s="1"/>
      <c r="E2595" s="1"/>
      <c r="F2595" s="1"/>
      <c r="G2595" s="1"/>
      <c r="H2595" s="1"/>
      <c r="I2595" s="1"/>
      <c r="J2595" s="1"/>
      <c r="K2595" s="1"/>
      <c r="L2595" s="1"/>
      <c r="M2595" s="1"/>
      <c r="N2595" s="1"/>
    </row>
    <row r="2596" ht="14.5" spans="2:14">
      <c r="B2596" s="1"/>
      <c r="C2596" s="1"/>
      <c r="D2596" s="1"/>
      <c r="E2596" s="1"/>
      <c r="F2596" s="1"/>
      <c r="G2596" s="1"/>
      <c r="H2596" s="1"/>
      <c r="I2596" s="1"/>
      <c r="J2596" s="1"/>
      <c r="K2596" s="1"/>
      <c r="L2596" s="1"/>
      <c r="M2596" s="1"/>
      <c r="N2596" s="1"/>
    </row>
    <row r="2597" ht="14.5" spans="2:14">
      <c r="B2597" s="1"/>
      <c r="C2597" s="1"/>
      <c r="D2597" s="1"/>
      <c r="E2597" s="1"/>
      <c r="F2597" s="1"/>
      <c r="G2597" s="1"/>
      <c r="H2597" s="1"/>
      <c r="I2597" s="1"/>
      <c r="J2597" s="1"/>
      <c r="K2597" s="1"/>
      <c r="L2597" s="1"/>
      <c r="M2597" s="1"/>
      <c r="N2597" s="1"/>
    </row>
    <row r="2598" ht="14.5" spans="2:14">
      <c r="B2598" s="1"/>
      <c r="C2598" s="1"/>
      <c r="D2598" s="1"/>
      <c r="E2598" s="1"/>
      <c r="F2598" s="1"/>
      <c r="G2598" s="1"/>
      <c r="H2598" s="1"/>
      <c r="I2598" s="1"/>
      <c r="J2598" s="1"/>
      <c r="K2598" s="1"/>
      <c r="L2598" s="1"/>
      <c r="M2598" s="1"/>
      <c r="N2598" s="1"/>
    </row>
    <row r="2599" ht="14.5" spans="2:14">
      <c r="B2599" s="1"/>
      <c r="C2599" s="1"/>
      <c r="D2599" s="1"/>
      <c r="E2599" s="1"/>
      <c r="F2599" s="1"/>
      <c r="G2599" s="1"/>
      <c r="H2599" s="1"/>
      <c r="I2599" s="1"/>
      <c r="J2599" s="1"/>
      <c r="K2599" s="1"/>
      <c r="L2599" s="1"/>
      <c r="M2599" s="1"/>
      <c r="N2599" s="1"/>
    </row>
    <row r="2600" ht="14.5" spans="2:14">
      <c r="B2600" s="1"/>
      <c r="C2600" s="1"/>
      <c r="D2600" s="1"/>
      <c r="E2600" s="1"/>
      <c r="F2600" s="1"/>
      <c r="G2600" s="1"/>
      <c r="H2600" s="1"/>
      <c r="I2600" s="1"/>
      <c r="J2600" s="1"/>
      <c r="K2600" s="1"/>
      <c r="L2600" s="1"/>
      <c r="M2600" s="1"/>
      <c r="N2600" s="1"/>
    </row>
    <row r="2601" ht="14.5" spans="2:14">
      <c r="B2601" s="1"/>
      <c r="C2601" s="1"/>
      <c r="D2601" s="1"/>
      <c r="E2601" s="1"/>
      <c r="F2601" s="1"/>
      <c r="G2601" s="1"/>
      <c r="H2601" s="1"/>
      <c r="I2601" s="1"/>
      <c r="J2601" s="1"/>
      <c r="K2601" s="1"/>
      <c r="L2601" s="1"/>
      <c r="M2601" s="1"/>
      <c r="N2601" s="1"/>
    </row>
    <row r="2602" ht="14.5" spans="2:14">
      <c r="B2602" s="1"/>
      <c r="C2602" s="1"/>
      <c r="D2602" s="1"/>
      <c r="E2602" s="1"/>
      <c r="F2602" s="1"/>
      <c r="G2602" s="1"/>
      <c r="H2602" s="1"/>
      <c r="I2602" s="1"/>
      <c r="J2602" s="1"/>
      <c r="K2602" s="1"/>
      <c r="L2602" s="1"/>
      <c r="M2602" s="1"/>
      <c r="N2602" s="1"/>
    </row>
    <row r="2603" ht="14.5" spans="2:14">
      <c r="B2603" s="1"/>
      <c r="C2603" s="1"/>
      <c r="D2603" s="1"/>
      <c r="E2603" s="1"/>
      <c r="F2603" s="1"/>
      <c r="G2603" s="1"/>
      <c r="H2603" s="1"/>
      <c r="I2603" s="1"/>
      <c r="J2603" s="1"/>
      <c r="K2603" s="1"/>
      <c r="L2603" s="1"/>
      <c r="M2603" s="1"/>
      <c r="N2603" s="1"/>
    </row>
    <row r="2604" ht="14.5" spans="2:14">
      <c r="B2604" s="1"/>
      <c r="C2604" s="1"/>
      <c r="D2604" s="1"/>
      <c r="E2604" s="1"/>
      <c r="F2604" s="1"/>
      <c r="G2604" s="1"/>
      <c r="H2604" s="1"/>
      <c r="I2604" s="1"/>
      <c r="J2604" s="1"/>
      <c r="K2604" s="1"/>
      <c r="L2604" s="1"/>
      <c r="M2604" s="1"/>
      <c r="N2604" s="1"/>
    </row>
    <row r="2605" ht="14.5" spans="2:14">
      <c r="B2605" s="1"/>
      <c r="C2605" s="1"/>
      <c r="D2605" s="1"/>
      <c r="E2605" s="1"/>
      <c r="F2605" s="1"/>
      <c r="G2605" s="1"/>
      <c r="H2605" s="1"/>
      <c r="I2605" s="1"/>
      <c r="J2605" s="1"/>
      <c r="K2605" s="1"/>
      <c r="L2605" s="1"/>
      <c r="M2605" s="1"/>
      <c r="N2605" s="1"/>
    </row>
    <row r="2606" ht="14.5" spans="2:14">
      <c r="B2606" s="1"/>
      <c r="C2606" s="1"/>
      <c r="D2606" s="1"/>
      <c r="E2606" s="1"/>
      <c r="F2606" s="1"/>
      <c r="G2606" s="1"/>
      <c r="H2606" s="1"/>
      <c r="I2606" s="1"/>
      <c r="J2606" s="1"/>
      <c r="K2606" s="1"/>
      <c r="L2606" s="1"/>
      <c r="M2606" s="1"/>
      <c r="N2606" s="1"/>
    </row>
    <row r="2607" ht="14.5" spans="2:14">
      <c r="B2607" s="1"/>
      <c r="C2607" s="1"/>
      <c r="D2607" s="1"/>
      <c r="E2607" s="1"/>
      <c r="F2607" s="1"/>
      <c r="G2607" s="1"/>
      <c r="H2607" s="1"/>
      <c r="I2607" s="1"/>
      <c r="J2607" s="1"/>
      <c r="K2607" s="1"/>
      <c r="L2607" s="1"/>
      <c r="M2607" s="1"/>
      <c r="N2607" s="1"/>
    </row>
    <row r="2608" ht="14.5" spans="2:14">
      <c r="B2608" s="1"/>
      <c r="C2608" s="1"/>
      <c r="D2608" s="1"/>
      <c r="E2608" s="1"/>
      <c r="F2608" s="1"/>
      <c r="G2608" s="1"/>
      <c r="H2608" s="1"/>
      <c r="I2608" s="1"/>
      <c r="J2608" s="1"/>
      <c r="K2608" s="1"/>
      <c r="L2608" s="1"/>
      <c r="M2608" s="1"/>
      <c r="N2608" s="1"/>
    </row>
    <row r="2609" ht="14.5" spans="2:14">
      <c r="B2609" s="1"/>
      <c r="C2609" s="1"/>
      <c r="D2609" s="1"/>
      <c r="E2609" s="1"/>
      <c r="F2609" s="1"/>
      <c r="G2609" s="1"/>
      <c r="H2609" s="1"/>
      <c r="I2609" s="1"/>
      <c r="J2609" s="1"/>
      <c r="K2609" s="1"/>
      <c r="L2609" s="1"/>
      <c r="M2609" s="1"/>
      <c r="N2609" s="1"/>
    </row>
    <row r="2610" ht="14.5" spans="2:14">
      <c r="B2610" s="1"/>
      <c r="C2610" s="1"/>
      <c r="D2610" s="1"/>
      <c r="E2610" s="1"/>
      <c r="F2610" s="1"/>
      <c r="G2610" s="1"/>
      <c r="H2610" s="1"/>
      <c r="I2610" s="1"/>
      <c r="J2610" s="1"/>
      <c r="K2610" s="1"/>
      <c r="L2610" s="1"/>
      <c r="M2610" s="1"/>
      <c r="N2610" s="1"/>
    </row>
    <row r="2611" ht="14.5" spans="2:14">
      <c r="B2611" s="1"/>
      <c r="C2611" s="1"/>
      <c r="D2611" s="1"/>
      <c r="E2611" s="1"/>
      <c r="F2611" s="1"/>
      <c r="G2611" s="1"/>
      <c r="H2611" s="1"/>
      <c r="I2611" s="1"/>
      <c r="J2611" s="1"/>
      <c r="K2611" s="1"/>
      <c r="L2611" s="1"/>
      <c r="M2611" s="1"/>
      <c r="N2611" s="1"/>
    </row>
    <row r="2612" ht="14.5" spans="2:14">
      <c r="B2612" s="1"/>
      <c r="C2612" s="1"/>
      <c r="D2612" s="1"/>
      <c r="E2612" s="1"/>
      <c r="F2612" s="1"/>
      <c r="G2612" s="1"/>
      <c r="H2612" s="1"/>
      <c r="I2612" s="1"/>
      <c r="J2612" s="1"/>
      <c r="K2612" s="1"/>
      <c r="L2612" s="1"/>
      <c r="M2612" s="1"/>
      <c r="N2612" s="1"/>
    </row>
    <row r="2613" ht="14.5" spans="2:14">
      <c r="B2613" s="1"/>
      <c r="C2613" s="1"/>
      <c r="D2613" s="1"/>
      <c r="E2613" s="1"/>
      <c r="F2613" s="1"/>
      <c r="G2613" s="1"/>
      <c r="H2613" s="1"/>
      <c r="I2613" s="1"/>
      <c r="J2613" s="1"/>
      <c r="K2613" s="1"/>
      <c r="L2613" s="1"/>
      <c r="M2613" s="1"/>
      <c r="N2613" s="1"/>
    </row>
    <row r="2614" ht="14.5" spans="2:14">
      <c r="B2614" s="1"/>
      <c r="C2614" s="1"/>
      <c r="D2614" s="1"/>
      <c r="E2614" s="1"/>
      <c r="F2614" s="1"/>
      <c r="G2614" s="1"/>
      <c r="H2614" s="1"/>
      <c r="I2614" s="1"/>
      <c r="J2614" s="1"/>
      <c r="K2614" s="1"/>
      <c r="L2614" s="1"/>
      <c r="M2614" s="1"/>
      <c r="N2614" s="1"/>
    </row>
    <row r="2615" ht="14.5" spans="2:14">
      <c r="B2615" s="1"/>
      <c r="C2615" s="1"/>
      <c r="D2615" s="1"/>
      <c r="E2615" s="1"/>
      <c r="F2615" s="1"/>
      <c r="G2615" s="1"/>
      <c r="H2615" s="1"/>
      <c r="I2615" s="1"/>
      <c r="J2615" s="1"/>
      <c r="K2615" s="1"/>
      <c r="L2615" s="1"/>
      <c r="M2615" s="1"/>
      <c r="N2615" s="1"/>
    </row>
    <row r="2616" ht="14.5" spans="2:14">
      <c r="B2616" s="1"/>
      <c r="C2616" s="1"/>
      <c r="D2616" s="1"/>
      <c r="E2616" s="1"/>
      <c r="F2616" s="1"/>
      <c r="G2616" s="1"/>
      <c r="H2616" s="1"/>
      <c r="I2616" s="1"/>
      <c r="J2616" s="1"/>
      <c r="K2616" s="1"/>
      <c r="L2616" s="1"/>
      <c r="M2616" s="1"/>
      <c r="N2616" s="1"/>
    </row>
    <row r="2617" ht="14.5" spans="2:14">
      <c r="B2617" s="1"/>
      <c r="C2617" s="1"/>
      <c r="D2617" s="1"/>
      <c r="E2617" s="1"/>
      <c r="F2617" s="1"/>
      <c r="G2617" s="1"/>
      <c r="H2617" s="1"/>
      <c r="I2617" s="1"/>
      <c r="J2617" s="1"/>
      <c r="K2617" s="1"/>
      <c r="L2617" s="1"/>
      <c r="M2617" s="1"/>
      <c r="N2617" s="1"/>
    </row>
    <row r="2618" ht="14.5" spans="2:14">
      <c r="B2618" s="1"/>
      <c r="C2618" s="1"/>
      <c r="D2618" s="1"/>
      <c r="E2618" s="1"/>
      <c r="F2618" s="1"/>
      <c r="G2618" s="1"/>
      <c r="H2618" s="1"/>
      <c r="I2618" s="1"/>
      <c r="J2618" s="1"/>
      <c r="K2618" s="1"/>
      <c r="L2618" s="1"/>
      <c r="M2618" s="1"/>
      <c r="N2618" s="1"/>
    </row>
    <row r="2619" ht="14.5" spans="2:14">
      <c r="B2619" s="1"/>
      <c r="C2619" s="1"/>
      <c r="D2619" s="1"/>
      <c r="E2619" s="1"/>
      <c r="F2619" s="1"/>
      <c r="G2619" s="1"/>
      <c r="H2619" s="1"/>
      <c r="I2619" s="1"/>
      <c r="J2619" s="1"/>
      <c r="K2619" s="1"/>
      <c r="L2619" s="1"/>
      <c r="M2619" s="1"/>
      <c r="N2619" s="1"/>
    </row>
    <row r="2620" ht="14.5" spans="2:14">
      <c r="B2620" s="1"/>
      <c r="C2620" s="1"/>
      <c r="D2620" s="1"/>
      <c r="E2620" s="1"/>
      <c r="F2620" s="1"/>
      <c r="G2620" s="1"/>
      <c r="H2620" s="1"/>
      <c r="I2620" s="1"/>
      <c r="J2620" s="1"/>
      <c r="K2620" s="1"/>
      <c r="L2620" s="1"/>
      <c r="M2620" s="1"/>
      <c r="N2620" s="1"/>
    </row>
    <row r="2621" ht="14.5" spans="2:14">
      <c r="B2621" s="1"/>
      <c r="C2621" s="1"/>
      <c r="D2621" s="1"/>
      <c r="E2621" s="1"/>
      <c r="F2621" s="1"/>
      <c r="G2621" s="1"/>
      <c r="H2621" s="1"/>
      <c r="I2621" s="1"/>
      <c r="J2621" s="1"/>
      <c r="K2621" s="1"/>
      <c r="L2621" s="1"/>
      <c r="M2621" s="1"/>
      <c r="N2621" s="1"/>
    </row>
    <row r="2622" ht="14.5" spans="2:14">
      <c r="B2622" s="1"/>
      <c r="C2622" s="1"/>
      <c r="D2622" s="1"/>
      <c r="E2622" s="1"/>
      <c r="F2622" s="1"/>
      <c r="G2622" s="1"/>
      <c r="H2622" s="1"/>
      <c r="I2622" s="1"/>
      <c r="J2622" s="1"/>
      <c r="K2622" s="1"/>
      <c r="L2622" s="1"/>
      <c r="M2622" s="1"/>
      <c r="N2622" s="1"/>
    </row>
    <row r="2623" ht="14.5" spans="2:14">
      <c r="B2623" s="1"/>
      <c r="C2623" s="1"/>
      <c r="D2623" s="1"/>
      <c r="E2623" s="1"/>
      <c r="F2623" s="1"/>
      <c r="G2623" s="1"/>
      <c r="H2623" s="1"/>
      <c r="I2623" s="1"/>
      <c r="J2623" s="1"/>
      <c r="K2623" s="1"/>
      <c r="L2623" s="1"/>
      <c r="M2623" s="1"/>
      <c r="N2623" s="1"/>
    </row>
    <row r="2624" ht="14.5" spans="2:14">
      <c r="B2624" s="1"/>
      <c r="C2624" s="1"/>
      <c r="D2624" s="1"/>
      <c r="E2624" s="1"/>
      <c r="F2624" s="1"/>
      <c r="G2624" s="1"/>
      <c r="H2624" s="1"/>
      <c r="I2624" s="1"/>
      <c r="J2624" s="1"/>
      <c r="K2624" s="1"/>
      <c r="L2624" s="1"/>
      <c r="M2624" s="1"/>
      <c r="N2624" s="1"/>
    </row>
    <row r="2625" ht="14.5" spans="2:14">
      <c r="B2625" s="1"/>
      <c r="C2625" s="1"/>
      <c r="D2625" s="1"/>
      <c r="E2625" s="1"/>
      <c r="F2625" s="1"/>
      <c r="G2625" s="1"/>
      <c r="H2625" s="1"/>
      <c r="I2625" s="1"/>
      <c r="J2625" s="1"/>
      <c r="K2625" s="1"/>
      <c r="L2625" s="1"/>
      <c r="M2625" s="1"/>
      <c r="N2625" s="1"/>
    </row>
    <row r="2626" ht="14.5" spans="2:14">
      <c r="B2626" s="1"/>
      <c r="C2626" s="1"/>
      <c r="D2626" s="1"/>
      <c r="E2626" s="1"/>
      <c r="F2626" s="1"/>
      <c r="G2626" s="1"/>
      <c r="H2626" s="1"/>
      <c r="I2626" s="1"/>
      <c r="J2626" s="1"/>
      <c r="K2626" s="1"/>
      <c r="L2626" s="1"/>
      <c r="M2626" s="1"/>
      <c r="N2626" s="1"/>
    </row>
    <row r="2627" ht="14.5" spans="2:14">
      <c r="B2627" s="1"/>
      <c r="C2627" s="1"/>
      <c r="D2627" s="1"/>
      <c r="E2627" s="1"/>
      <c r="F2627" s="1"/>
      <c r="G2627" s="1"/>
      <c r="H2627" s="1"/>
      <c r="I2627" s="1"/>
      <c r="J2627" s="1"/>
      <c r="K2627" s="1"/>
      <c r="L2627" s="1"/>
      <c r="M2627" s="1"/>
      <c r="N2627" s="1"/>
    </row>
    <row r="2628" ht="14.5" spans="2:14">
      <c r="B2628" s="1"/>
      <c r="C2628" s="1"/>
      <c r="D2628" s="1"/>
      <c r="E2628" s="1"/>
      <c r="F2628" s="1"/>
      <c r="G2628" s="1"/>
      <c r="H2628" s="1"/>
      <c r="I2628" s="1"/>
      <c r="J2628" s="1"/>
      <c r="K2628" s="1"/>
      <c r="L2628" s="1"/>
      <c r="M2628" s="1"/>
      <c r="N2628" s="1"/>
    </row>
    <row r="2629" ht="14.5" spans="2:14">
      <c r="B2629" s="1"/>
      <c r="C2629" s="1"/>
      <c r="D2629" s="1"/>
      <c r="E2629" s="1"/>
      <c r="F2629" s="1"/>
      <c r="G2629" s="1"/>
      <c r="H2629" s="1"/>
      <c r="I2629" s="1"/>
      <c r="J2629" s="1"/>
      <c r="K2629" s="1"/>
      <c r="L2629" s="1"/>
      <c r="M2629" s="1"/>
      <c r="N2629" s="1"/>
    </row>
    <row r="2630" ht="14.5" spans="2:14">
      <c r="B2630" s="1"/>
      <c r="C2630" s="1"/>
      <c r="D2630" s="1"/>
      <c r="E2630" s="1"/>
      <c r="F2630" s="1"/>
      <c r="G2630" s="1"/>
      <c r="H2630" s="1"/>
      <c r="I2630" s="1"/>
      <c r="J2630" s="1"/>
      <c r="K2630" s="1"/>
      <c r="L2630" s="1"/>
      <c r="M2630" s="1"/>
      <c r="N2630" s="1"/>
    </row>
    <row r="2631" ht="14.5" spans="2:14">
      <c r="B2631" s="1"/>
      <c r="C2631" s="1"/>
      <c r="D2631" s="1"/>
      <c r="E2631" s="1"/>
      <c r="F2631" s="1"/>
      <c r="G2631" s="1"/>
      <c r="H2631" s="1"/>
      <c r="I2631" s="1"/>
      <c r="J2631" s="1"/>
      <c r="K2631" s="1"/>
      <c r="L2631" s="1"/>
      <c r="M2631" s="1"/>
      <c r="N2631" s="1"/>
    </row>
    <row r="2632" ht="14.5" spans="2:14">
      <c r="B2632" s="1"/>
      <c r="C2632" s="1"/>
      <c r="D2632" s="1"/>
      <c r="E2632" s="1"/>
      <c r="F2632" s="1"/>
      <c r="G2632" s="1"/>
      <c r="H2632" s="1"/>
      <c r="I2632" s="1"/>
      <c r="J2632" s="1"/>
      <c r="K2632" s="1"/>
      <c r="L2632" s="1"/>
      <c r="M2632" s="1"/>
      <c r="N2632" s="1"/>
    </row>
    <row r="2633" ht="14.5" spans="2:14">
      <c r="B2633" s="1"/>
      <c r="C2633" s="1"/>
      <c r="D2633" s="1"/>
      <c r="E2633" s="1"/>
      <c r="F2633" s="1"/>
      <c r="G2633" s="1"/>
      <c r="H2633" s="1"/>
      <c r="I2633" s="1"/>
      <c r="J2633" s="1"/>
      <c r="K2633" s="1"/>
      <c r="L2633" s="1"/>
      <c r="M2633" s="1"/>
      <c r="N2633" s="1"/>
    </row>
    <row r="2634" ht="14.5" spans="2:14">
      <c r="B2634" s="1"/>
      <c r="C2634" s="1"/>
      <c r="D2634" s="1"/>
      <c r="E2634" s="1"/>
      <c r="F2634" s="1"/>
      <c r="G2634" s="1"/>
      <c r="H2634" s="1"/>
      <c r="I2634" s="1"/>
      <c r="J2634" s="1"/>
      <c r="K2634" s="1"/>
      <c r="L2634" s="1"/>
      <c r="M2634" s="1"/>
      <c r="N2634" s="1"/>
    </row>
    <row r="2635" ht="14.5" spans="2:14">
      <c r="B2635" s="1"/>
      <c r="C2635" s="1"/>
      <c r="D2635" s="1"/>
      <c r="E2635" s="1"/>
      <c r="F2635" s="1"/>
      <c r="G2635" s="1"/>
      <c r="H2635" s="1"/>
      <c r="I2635" s="1"/>
      <c r="J2635" s="1"/>
      <c r="K2635" s="1"/>
      <c r="L2635" s="1"/>
      <c r="M2635" s="1"/>
      <c r="N2635" s="1"/>
    </row>
    <row r="2636" ht="14.5" spans="2:14">
      <c r="B2636" s="1"/>
      <c r="C2636" s="1"/>
      <c r="D2636" s="1"/>
      <c r="E2636" s="1"/>
      <c r="F2636" s="1"/>
      <c r="G2636" s="1"/>
      <c r="H2636" s="1"/>
      <c r="I2636" s="1"/>
      <c r="J2636" s="1"/>
      <c r="K2636" s="1"/>
      <c r="L2636" s="1"/>
      <c r="M2636" s="1"/>
      <c r="N2636" s="1"/>
    </row>
    <row r="2637" ht="14.5" spans="2:14">
      <c r="B2637" s="1"/>
      <c r="C2637" s="1"/>
      <c r="D2637" s="1"/>
      <c r="E2637" s="1"/>
      <c r="F2637" s="1"/>
      <c r="G2637" s="1"/>
      <c r="H2637" s="1"/>
      <c r="I2637" s="1"/>
      <c r="J2637" s="1"/>
      <c r="K2637" s="1"/>
      <c r="L2637" s="1"/>
      <c r="M2637" s="1"/>
      <c r="N2637" s="1"/>
    </row>
    <row r="2638" ht="14.5" spans="2:14">
      <c r="B2638" s="1"/>
      <c r="C2638" s="1"/>
      <c r="D2638" s="1"/>
      <c r="E2638" s="1"/>
      <c r="F2638" s="1"/>
      <c r="G2638" s="1"/>
      <c r="H2638" s="1"/>
      <c r="I2638" s="1"/>
      <c r="J2638" s="1"/>
      <c r="K2638" s="1"/>
      <c r="L2638" s="1"/>
      <c r="M2638" s="1"/>
      <c r="N2638" s="1"/>
    </row>
    <row r="2639" ht="14.5" spans="2:14">
      <c r="B2639" s="1"/>
      <c r="C2639" s="1"/>
      <c r="D2639" s="1"/>
      <c r="E2639" s="1"/>
      <c r="F2639" s="1"/>
      <c r="G2639" s="1"/>
      <c r="H2639" s="1"/>
      <c r="I2639" s="1"/>
      <c r="J2639" s="1"/>
      <c r="K2639" s="1"/>
      <c r="L2639" s="1"/>
      <c r="M2639" s="1"/>
      <c r="N2639" s="1"/>
    </row>
    <row r="2640" ht="14.5" spans="2:14">
      <c r="B2640" s="1"/>
      <c r="C2640" s="1"/>
      <c r="D2640" s="1"/>
      <c r="E2640" s="1"/>
      <c r="F2640" s="1"/>
      <c r="G2640" s="1"/>
      <c r="H2640" s="1"/>
      <c r="I2640" s="1"/>
      <c r="J2640" s="1"/>
      <c r="K2640" s="1"/>
      <c r="L2640" s="1"/>
      <c r="M2640" s="1"/>
      <c r="N2640" s="1"/>
    </row>
    <row r="2641" ht="14.5" spans="2:14">
      <c r="B2641" s="1"/>
      <c r="C2641" s="1"/>
      <c r="D2641" s="1"/>
      <c r="E2641" s="1"/>
      <c r="F2641" s="1"/>
      <c r="G2641" s="1"/>
      <c r="H2641" s="1"/>
      <c r="I2641" s="1"/>
      <c r="J2641" s="1"/>
      <c r="K2641" s="1"/>
      <c r="L2641" s="1"/>
      <c r="M2641" s="1"/>
      <c r="N2641" s="1"/>
    </row>
    <row r="2642" ht="14.5" spans="2:14">
      <c r="B2642" s="1"/>
      <c r="C2642" s="1"/>
      <c r="D2642" s="1"/>
      <c r="E2642" s="1"/>
      <c r="F2642" s="1"/>
      <c r="G2642" s="1"/>
      <c r="H2642" s="1"/>
      <c r="I2642" s="1"/>
      <c r="J2642" s="1"/>
      <c r="K2642" s="1"/>
      <c r="L2642" s="1"/>
      <c r="M2642" s="1"/>
      <c r="N2642" s="1"/>
    </row>
    <row r="2643" ht="14.5" spans="2:14">
      <c r="B2643" s="1"/>
      <c r="C2643" s="1"/>
      <c r="D2643" s="1"/>
      <c r="E2643" s="1"/>
      <c r="F2643" s="1"/>
      <c r="G2643" s="1"/>
      <c r="H2643" s="1"/>
      <c r="I2643" s="1"/>
      <c r="J2643" s="1"/>
      <c r="K2643" s="1"/>
      <c r="L2643" s="1"/>
      <c r="M2643" s="1"/>
      <c r="N2643" s="1"/>
    </row>
    <row r="2644" ht="14.5" spans="2:14">
      <c r="B2644" s="1"/>
      <c r="C2644" s="1"/>
      <c r="D2644" s="1"/>
      <c r="E2644" s="1"/>
      <c r="F2644" s="1"/>
      <c r="G2644" s="1"/>
      <c r="H2644" s="1"/>
      <c r="I2644" s="1"/>
      <c r="J2644" s="1"/>
      <c r="K2644" s="1"/>
      <c r="L2644" s="1"/>
      <c r="M2644" s="1"/>
      <c r="N2644" s="1"/>
    </row>
    <row r="2645" ht="14.5" spans="2:14">
      <c r="B2645" s="1"/>
      <c r="C2645" s="1"/>
      <c r="D2645" s="1"/>
      <c r="E2645" s="1"/>
      <c r="F2645" s="1"/>
      <c r="G2645" s="1"/>
      <c r="H2645" s="1"/>
      <c r="I2645" s="1"/>
      <c r="J2645" s="1"/>
      <c r="K2645" s="1"/>
      <c r="L2645" s="1"/>
      <c r="M2645" s="1"/>
      <c r="N2645" s="1"/>
    </row>
    <row r="2646" ht="14.5" spans="2:14">
      <c r="B2646" s="1"/>
      <c r="C2646" s="1"/>
      <c r="D2646" s="1"/>
      <c r="E2646" s="1"/>
      <c r="F2646" s="1"/>
      <c r="G2646" s="1"/>
      <c r="H2646" s="1"/>
      <c r="I2646" s="1"/>
      <c r="J2646" s="1"/>
      <c r="K2646" s="1"/>
      <c r="L2646" s="1"/>
      <c r="M2646" s="1"/>
      <c r="N2646" s="1"/>
    </row>
    <row r="2647" ht="14.5" spans="2:14">
      <c r="B2647" s="1"/>
      <c r="C2647" s="1"/>
      <c r="D2647" s="1"/>
      <c r="E2647" s="1"/>
      <c r="F2647" s="1"/>
      <c r="G2647" s="1"/>
      <c r="H2647" s="1"/>
      <c r="I2647" s="1"/>
      <c r="J2647" s="1"/>
      <c r="K2647" s="1"/>
      <c r="L2647" s="1"/>
      <c r="M2647" s="1"/>
      <c r="N2647" s="1"/>
    </row>
    <row r="2648" ht="14.5" spans="2:14">
      <c r="B2648" s="1"/>
      <c r="C2648" s="1"/>
      <c r="D2648" s="1"/>
      <c r="E2648" s="1"/>
      <c r="F2648" s="1"/>
      <c r="G2648" s="1"/>
      <c r="H2648" s="1"/>
      <c r="I2648" s="1"/>
      <c r="J2648" s="1"/>
      <c r="K2648" s="1"/>
      <c r="L2648" s="1"/>
      <c r="M2648" s="1"/>
      <c r="N2648" s="1"/>
    </row>
    <row r="2649" ht="14.5" spans="2:14">
      <c r="B2649" s="1"/>
      <c r="C2649" s="1"/>
      <c r="D2649" s="1"/>
      <c r="E2649" s="1"/>
      <c r="F2649" s="1"/>
      <c r="G2649" s="1"/>
      <c r="H2649" s="1"/>
      <c r="I2649" s="1"/>
      <c r="J2649" s="1"/>
      <c r="K2649" s="1"/>
      <c r="L2649" s="1"/>
      <c r="M2649" s="1"/>
      <c r="N2649" s="1"/>
    </row>
    <row r="2650" ht="14.5" spans="2:14">
      <c r="B2650" s="1"/>
      <c r="C2650" s="1"/>
      <c r="D2650" s="1"/>
      <c r="E2650" s="1"/>
      <c r="F2650" s="1"/>
      <c r="G2650" s="1"/>
      <c r="H2650" s="1"/>
      <c r="I2650" s="1"/>
      <c r="J2650" s="1"/>
      <c r="K2650" s="1"/>
      <c r="L2650" s="1"/>
      <c r="M2650" s="1"/>
      <c r="N2650" s="1"/>
    </row>
    <row r="2651" ht="14.5" spans="2:14">
      <c r="B2651" s="1"/>
      <c r="C2651" s="1"/>
      <c r="D2651" s="1"/>
      <c r="E2651" s="1"/>
      <c r="F2651" s="1"/>
      <c r="G2651" s="1"/>
      <c r="H2651" s="1"/>
      <c r="I2651" s="1"/>
      <c r="J2651" s="1"/>
      <c r="K2651" s="1"/>
      <c r="L2651" s="1"/>
      <c r="M2651" s="1"/>
      <c r="N2651" s="1"/>
    </row>
    <row r="2652" ht="14.5" spans="2:14">
      <c r="B2652" s="1"/>
      <c r="C2652" s="1"/>
      <c r="D2652" s="1"/>
      <c r="E2652" s="1"/>
      <c r="F2652" s="1"/>
      <c r="G2652" s="1"/>
      <c r="H2652" s="1"/>
      <c r="I2652" s="1"/>
      <c r="J2652" s="1"/>
      <c r="K2652" s="1"/>
      <c r="L2652" s="1"/>
      <c r="M2652" s="1"/>
      <c r="N2652" s="1"/>
    </row>
    <row r="2653" ht="14.5" spans="2:14">
      <c r="B2653" s="1"/>
      <c r="C2653" s="1"/>
      <c r="D2653" s="1"/>
      <c r="E2653" s="1"/>
      <c r="F2653" s="1"/>
      <c r="G2653" s="1"/>
      <c r="H2653" s="1"/>
      <c r="I2653" s="1"/>
      <c r="J2653" s="1"/>
      <c r="K2653" s="1"/>
      <c r="L2653" s="1"/>
      <c r="M2653" s="1"/>
      <c r="N2653" s="1"/>
    </row>
    <row r="2654" ht="14.5" spans="2:14">
      <c r="B2654" s="1"/>
      <c r="C2654" s="1"/>
      <c r="D2654" s="1"/>
      <c r="E2654" s="1"/>
      <c r="F2654" s="1"/>
      <c r="G2654" s="1"/>
      <c r="H2654" s="1"/>
      <c r="I2654" s="1"/>
      <c r="J2654" s="1"/>
      <c r="K2654" s="1"/>
      <c r="L2654" s="1"/>
      <c r="M2654" s="1"/>
      <c r="N2654" s="1"/>
    </row>
    <row r="2655" ht="14.5" spans="2:14">
      <c r="B2655" s="1"/>
      <c r="C2655" s="1"/>
      <c r="D2655" s="1"/>
      <c r="E2655" s="1"/>
      <c r="F2655" s="1"/>
      <c r="G2655" s="1"/>
      <c r="H2655" s="1"/>
      <c r="I2655" s="1"/>
      <c r="J2655" s="1"/>
      <c r="K2655" s="1"/>
      <c r="L2655" s="1"/>
      <c r="M2655" s="1"/>
      <c r="N2655" s="1"/>
    </row>
    <row r="2656" ht="14.5" spans="2:14">
      <c r="B2656" s="1"/>
      <c r="C2656" s="1"/>
      <c r="D2656" s="1"/>
      <c r="E2656" s="1"/>
      <c r="F2656" s="1"/>
      <c r="G2656" s="1"/>
      <c r="H2656" s="1"/>
      <c r="I2656" s="1"/>
      <c r="J2656" s="1"/>
      <c r="K2656" s="1"/>
      <c r="L2656" s="1"/>
      <c r="M2656" s="1"/>
      <c r="N2656" s="1"/>
    </row>
    <row r="2657" ht="14.5" spans="2:14">
      <c r="B2657" s="1"/>
      <c r="C2657" s="1"/>
      <c r="D2657" s="1"/>
      <c r="E2657" s="1"/>
      <c r="F2657" s="1"/>
      <c r="G2657" s="1"/>
      <c r="H2657" s="1"/>
      <c r="I2657" s="1"/>
      <c r="J2657" s="1"/>
      <c r="K2657" s="1"/>
      <c r="L2657" s="1"/>
      <c r="M2657" s="1"/>
      <c r="N2657" s="1"/>
    </row>
    <row r="2658" ht="14.5" spans="2:14">
      <c r="B2658" s="1"/>
      <c r="C2658" s="1"/>
      <c r="D2658" s="1"/>
      <c r="E2658" s="1"/>
      <c r="F2658" s="1"/>
      <c r="G2658" s="1"/>
      <c r="H2658" s="1"/>
      <c r="I2658" s="1"/>
      <c r="J2658" s="1"/>
      <c r="K2658" s="1"/>
      <c r="L2658" s="1"/>
      <c r="M2658" s="1"/>
      <c r="N2658" s="1"/>
    </row>
    <row r="2659" ht="14.5" spans="2:14">
      <c r="B2659" s="1"/>
      <c r="C2659" s="1"/>
      <c r="D2659" s="1"/>
      <c r="E2659" s="1"/>
      <c r="F2659" s="1"/>
      <c r="G2659" s="1"/>
      <c r="H2659" s="1"/>
      <c r="I2659" s="1"/>
      <c r="J2659" s="1"/>
      <c r="K2659" s="1"/>
      <c r="L2659" s="1"/>
      <c r="M2659" s="1"/>
      <c r="N2659" s="1"/>
    </row>
    <row r="2660" ht="14.5" spans="2:14">
      <c r="B2660" s="1"/>
      <c r="C2660" s="1"/>
      <c r="D2660" s="1"/>
      <c r="E2660" s="1"/>
      <c r="F2660" s="1"/>
      <c r="G2660" s="1"/>
      <c r="H2660" s="1"/>
      <c r="I2660" s="1"/>
      <c r="J2660" s="1"/>
      <c r="K2660" s="1"/>
      <c r="L2660" s="1"/>
      <c r="M2660" s="1"/>
      <c r="N2660" s="1"/>
    </row>
    <row r="2661" ht="14.5" spans="2:14">
      <c r="B2661" s="1"/>
      <c r="C2661" s="1"/>
      <c r="D2661" s="1"/>
      <c r="E2661" s="1"/>
      <c r="F2661" s="1"/>
      <c r="G2661" s="1"/>
      <c r="H2661" s="1"/>
      <c r="I2661" s="1"/>
      <c r="J2661" s="1"/>
      <c r="K2661" s="1"/>
      <c r="L2661" s="1"/>
      <c r="M2661" s="1"/>
      <c r="N2661" s="1"/>
    </row>
    <row r="2662" ht="14.5" spans="2:14">
      <c r="B2662" s="1"/>
      <c r="C2662" s="1"/>
      <c r="D2662" s="1"/>
      <c r="E2662" s="1"/>
      <c r="F2662" s="1"/>
      <c r="G2662" s="1"/>
      <c r="H2662" s="1"/>
      <c r="I2662" s="1"/>
      <c r="J2662" s="1"/>
      <c r="K2662" s="1"/>
      <c r="L2662" s="1"/>
      <c r="M2662" s="1"/>
      <c r="N2662" s="1"/>
    </row>
    <row r="2663" ht="14.5" spans="2:14">
      <c r="B2663" s="1"/>
      <c r="C2663" s="1"/>
      <c r="D2663" s="1"/>
      <c r="E2663" s="1"/>
      <c r="F2663" s="1"/>
      <c r="G2663" s="1"/>
      <c r="H2663" s="1"/>
      <c r="I2663" s="1"/>
      <c r="J2663" s="1"/>
      <c r="K2663" s="1"/>
      <c r="L2663" s="1"/>
      <c r="M2663" s="1"/>
      <c r="N2663" s="1"/>
    </row>
    <row r="2664" ht="14.5" spans="2:14">
      <c r="B2664" s="1"/>
      <c r="C2664" s="1"/>
      <c r="D2664" s="1"/>
      <c r="E2664" s="1"/>
      <c r="F2664" s="1"/>
      <c r="G2664" s="1"/>
      <c r="H2664" s="1"/>
      <c r="I2664" s="1"/>
      <c r="J2664" s="1"/>
      <c r="K2664" s="1"/>
      <c r="L2664" s="1"/>
      <c r="M2664" s="1"/>
      <c r="N2664" s="1"/>
    </row>
    <row r="2665" ht="14.5" spans="2:14">
      <c r="B2665" s="1"/>
      <c r="C2665" s="1"/>
      <c r="D2665" s="1"/>
      <c r="E2665" s="1"/>
      <c r="F2665" s="1"/>
      <c r="G2665" s="1"/>
      <c r="H2665" s="1"/>
      <c r="I2665" s="1"/>
      <c r="J2665" s="1"/>
      <c r="K2665" s="1"/>
      <c r="L2665" s="1"/>
      <c r="M2665" s="1"/>
      <c r="N2665" s="1"/>
    </row>
    <row r="2666" ht="14.5" spans="2:14">
      <c r="B2666" s="1"/>
      <c r="C2666" s="1"/>
      <c r="D2666" s="1"/>
      <c r="E2666" s="1"/>
      <c r="F2666" s="1"/>
      <c r="G2666" s="1"/>
      <c r="H2666" s="1"/>
      <c r="I2666" s="1"/>
      <c r="J2666" s="1"/>
      <c r="K2666" s="1"/>
      <c r="L2666" s="1"/>
      <c r="M2666" s="1"/>
      <c r="N2666" s="1"/>
    </row>
    <row r="2667" ht="14.5" spans="2:14">
      <c r="B2667" s="1"/>
      <c r="C2667" s="1"/>
      <c r="D2667" s="1"/>
      <c r="E2667" s="1"/>
      <c r="F2667" s="1"/>
      <c r="G2667" s="1"/>
      <c r="H2667" s="1"/>
      <c r="I2667" s="1"/>
      <c r="J2667" s="1"/>
      <c r="K2667" s="1"/>
      <c r="L2667" s="1"/>
      <c r="M2667" s="1"/>
      <c r="N2667" s="1"/>
    </row>
    <row r="2668" ht="14.5" spans="2:14">
      <c r="B2668" s="1"/>
      <c r="C2668" s="1"/>
      <c r="D2668" s="1"/>
      <c r="E2668" s="1"/>
      <c r="F2668" s="1"/>
      <c r="G2668" s="1"/>
      <c r="H2668" s="1"/>
      <c r="I2668" s="1"/>
      <c r="J2668" s="1"/>
      <c r="K2668" s="1"/>
      <c r="L2668" s="1"/>
      <c r="M2668" s="1"/>
      <c r="N2668" s="1"/>
    </row>
    <row r="2669" ht="14.5" spans="2:14">
      <c r="B2669" s="1"/>
      <c r="C2669" s="1"/>
      <c r="D2669" s="1"/>
      <c r="E2669" s="1"/>
      <c r="F2669" s="1"/>
      <c r="G2669" s="1"/>
      <c r="H2669" s="1"/>
      <c r="I2669" s="1"/>
      <c r="J2669" s="1"/>
      <c r="K2669" s="1"/>
      <c r="L2669" s="1"/>
      <c r="M2669" s="1"/>
      <c r="N2669" s="1"/>
    </row>
    <row r="2670" ht="14.5" spans="2:14">
      <c r="B2670" s="1"/>
      <c r="C2670" s="1"/>
      <c r="D2670" s="1"/>
      <c r="E2670" s="1"/>
      <c r="F2670" s="1"/>
      <c r="G2670" s="1"/>
      <c r="H2670" s="1"/>
      <c r="I2670" s="1"/>
      <c r="J2670" s="1"/>
      <c r="K2670" s="1"/>
      <c r="L2670" s="1"/>
      <c r="M2670" s="1"/>
      <c r="N2670" s="1"/>
    </row>
    <row r="2671" ht="14.5" spans="2:14">
      <c r="B2671" s="1"/>
      <c r="C2671" s="1"/>
      <c r="D2671" s="1"/>
      <c r="E2671" s="1"/>
      <c r="F2671" s="1"/>
      <c r="G2671" s="1"/>
      <c r="H2671" s="1"/>
      <c r="I2671" s="1"/>
      <c r="J2671" s="1"/>
      <c r="K2671" s="1"/>
      <c r="L2671" s="1"/>
      <c r="M2671" s="1"/>
      <c r="N2671" s="1"/>
    </row>
    <row r="2672" ht="14.5" spans="2:14">
      <c r="B2672" s="1"/>
      <c r="C2672" s="1"/>
      <c r="D2672" s="1"/>
      <c r="E2672" s="1"/>
      <c r="F2672" s="1"/>
      <c r="G2672" s="1"/>
      <c r="H2672" s="1"/>
      <c r="I2672" s="1"/>
      <c r="J2672" s="1"/>
      <c r="K2672" s="1"/>
      <c r="L2672" s="1"/>
      <c r="M2672" s="1"/>
      <c r="N2672" s="1"/>
    </row>
    <row r="2673" ht="14.5" spans="2:14">
      <c r="B2673" s="1"/>
      <c r="C2673" s="1"/>
      <c r="D2673" s="1"/>
      <c r="E2673" s="1"/>
      <c r="F2673" s="1"/>
      <c r="G2673" s="1"/>
      <c r="H2673" s="1"/>
      <c r="I2673" s="1"/>
      <c r="J2673" s="1"/>
      <c r="K2673" s="1"/>
      <c r="L2673" s="1"/>
      <c r="M2673" s="1"/>
      <c r="N2673" s="1"/>
    </row>
    <row r="2674" ht="14.5" spans="2:14">
      <c r="B2674" s="1"/>
      <c r="C2674" s="1"/>
      <c r="D2674" s="1"/>
      <c r="E2674" s="1"/>
      <c r="F2674" s="1"/>
      <c r="G2674" s="1"/>
      <c r="H2674" s="1"/>
      <c r="I2674" s="1"/>
      <c r="J2674" s="1"/>
      <c r="K2674" s="1"/>
      <c r="L2674" s="1"/>
      <c r="M2674" s="1"/>
      <c r="N2674" s="1"/>
    </row>
    <row r="2675" ht="14.5" spans="2:14">
      <c r="B2675" s="1"/>
      <c r="C2675" s="1"/>
      <c r="D2675" s="1"/>
      <c r="E2675" s="1"/>
      <c r="F2675" s="1"/>
      <c r="G2675" s="1"/>
      <c r="H2675" s="1"/>
      <c r="I2675" s="1"/>
      <c r="J2675" s="1"/>
      <c r="K2675" s="1"/>
      <c r="L2675" s="1"/>
      <c r="M2675" s="1"/>
      <c r="N2675" s="1"/>
    </row>
    <row r="2676" ht="14.5" spans="2:14">
      <c r="B2676" s="1"/>
      <c r="C2676" s="1"/>
      <c r="D2676" s="1"/>
      <c r="E2676" s="1"/>
      <c r="F2676" s="1"/>
      <c r="G2676" s="1"/>
      <c r="H2676" s="1"/>
      <c r="I2676" s="1"/>
      <c r="J2676" s="1"/>
      <c r="K2676" s="1"/>
      <c r="L2676" s="1"/>
      <c r="M2676" s="1"/>
      <c r="N2676" s="1"/>
    </row>
    <row r="2677" ht="14.5" spans="2:14">
      <c r="B2677" s="1"/>
      <c r="C2677" s="1"/>
      <c r="D2677" s="1"/>
      <c r="E2677" s="1"/>
      <c r="F2677" s="1"/>
      <c r="G2677" s="1"/>
      <c r="H2677" s="1"/>
      <c r="I2677" s="1"/>
      <c r="J2677" s="1"/>
      <c r="K2677" s="1"/>
      <c r="L2677" s="1"/>
      <c r="M2677" s="1"/>
      <c r="N2677" s="1"/>
    </row>
    <row r="2678" ht="14.5" spans="2:14">
      <c r="B2678" s="1"/>
      <c r="C2678" s="1"/>
      <c r="D2678" s="1"/>
      <c r="E2678" s="1"/>
      <c r="F2678" s="1"/>
      <c r="G2678" s="1"/>
      <c r="H2678" s="1"/>
      <c r="I2678" s="1"/>
      <c r="J2678" s="1"/>
      <c r="K2678" s="1"/>
      <c r="L2678" s="1"/>
      <c r="M2678" s="1"/>
      <c r="N2678" s="1"/>
    </row>
    <row r="2679" ht="14.5" spans="2:14">
      <c r="B2679" s="1"/>
      <c r="C2679" s="1"/>
      <c r="D2679" s="1"/>
      <c r="E2679" s="1"/>
      <c r="F2679" s="1"/>
      <c r="G2679" s="1"/>
      <c r="H2679" s="1"/>
      <c r="I2679" s="1"/>
      <c r="J2679" s="1"/>
      <c r="K2679" s="1"/>
      <c r="L2679" s="1"/>
      <c r="M2679" s="1"/>
      <c r="N2679" s="1"/>
    </row>
    <row r="2680" ht="14.5" spans="2:14">
      <c r="B2680" s="1"/>
      <c r="C2680" s="1"/>
      <c r="D2680" s="1"/>
      <c r="E2680" s="1"/>
      <c r="F2680" s="1"/>
      <c r="G2680" s="1"/>
      <c r="H2680" s="1"/>
      <c r="I2680" s="1"/>
      <c r="J2680" s="1"/>
      <c r="K2680" s="1"/>
      <c r="L2680" s="1"/>
      <c r="M2680" s="1"/>
      <c r="N2680" s="1"/>
    </row>
    <row r="2681" ht="14.5" spans="2:14">
      <c r="B2681" s="1"/>
      <c r="C2681" s="1"/>
      <c r="D2681" s="1"/>
      <c r="E2681" s="1"/>
      <c r="F2681" s="1"/>
      <c r="G2681" s="1"/>
      <c r="H2681" s="1"/>
      <c r="I2681" s="1"/>
      <c r="J2681" s="1"/>
      <c r="K2681" s="1"/>
      <c r="L2681" s="1"/>
      <c r="M2681" s="1"/>
      <c r="N2681" s="1"/>
    </row>
    <row r="2682" ht="14.5" spans="2:14">
      <c r="B2682" s="1"/>
      <c r="C2682" s="1"/>
      <c r="D2682" s="1"/>
      <c r="E2682" s="1"/>
      <c r="F2682" s="1"/>
      <c r="G2682" s="1"/>
      <c r="H2682" s="1"/>
      <c r="I2682" s="1"/>
      <c r="J2682" s="1"/>
      <c r="K2682" s="1"/>
      <c r="L2682" s="1"/>
      <c r="M2682" s="1"/>
      <c r="N2682" s="1"/>
    </row>
    <row r="2683" ht="14.5" spans="2:14">
      <c r="B2683" s="1"/>
      <c r="C2683" s="1"/>
      <c r="D2683" s="1"/>
      <c r="E2683" s="1"/>
      <c r="F2683" s="1"/>
      <c r="G2683" s="1"/>
      <c r="H2683" s="1"/>
      <c r="I2683" s="1"/>
      <c r="J2683" s="1"/>
      <c r="K2683" s="1"/>
      <c r="L2683" s="1"/>
      <c r="M2683" s="1"/>
      <c r="N2683" s="1"/>
    </row>
    <row r="2684" ht="14.5" spans="2:14">
      <c r="B2684" s="1"/>
      <c r="C2684" s="1"/>
      <c r="D2684" s="1"/>
      <c r="E2684" s="1"/>
      <c r="F2684" s="1"/>
      <c r="G2684" s="1"/>
      <c r="H2684" s="1"/>
      <c r="I2684" s="1"/>
      <c r="J2684" s="1"/>
      <c r="K2684" s="1"/>
      <c r="L2684" s="1"/>
      <c r="M2684" s="1"/>
      <c r="N2684" s="1"/>
    </row>
    <row r="2685" ht="14.5" spans="2:14">
      <c r="B2685" s="1"/>
      <c r="C2685" s="1"/>
      <c r="D2685" s="1"/>
      <c r="E2685" s="1"/>
      <c r="F2685" s="1"/>
      <c r="G2685" s="1"/>
      <c r="H2685" s="1"/>
      <c r="I2685" s="1"/>
      <c r="J2685" s="1"/>
      <c r="K2685" s="1"/>
      <c r="L2685" s="1"/>
      <c r="M2685" s="1"/>
      <c r="N2685" s="1"/>
    </row>
    <row r="2686" ht="14.5" spans="2:14">
      <c r="B2686" s="1"/>
      <c r="C2686" s="1"/>
      <c r="D2686" s="1"/>
      <c r="E2686" s="1"/>
      <c r="F2686" s="1"/>
      <c r="G2686" s="1"/>
      <c r="H2686" s="1"/>
      <c r="I2686" s="1"/>
      <c r="J2686" s="1"/>
      <c r="K2686" s="1"/>
      <c r="L2686" s="1"/>
      <c r="M2686" s="1"/>
      <c r="N2686" s="1"/>
    </row>
    <row r="2687" ht="14.5" spans="2:14">
      <c r="B2687" s="1"/>
      <c r="C2687" s="1"/>
      <c r="D2687" s="1"/>
      <c r="E2687" s="1"/>
      <c r="F2687" s="1"/>
      <c r="G2687" s="1"/>
      <c r="H2687" s="1"/>
      <c r="I2687" s="1"/>
      <c r="J2687" s="1"/>
      <c r="K2687" s="1"/>
      <c r="L2687" s="1"/>
      <c r="M2687" s="1"/>
      <c r="N2687" s="1"/>
    </row>
    <row r="2688" ht="14.5" spans="2:14">
      <c r="B2688" s="1"/>
      <c r="C2688" s="1"/>
      <c r="D2688" s="1"/>
      <c r="E2688" s="1"/>
      <c r="F2688" s="1"/>
      <c r="G2688" s="1"/>
      <c r="H2688" s="1"/>
      <c r="I2688" s="1"/>
      <c r="J2688" s="1"/>
      <c r="K2688" s="1"/>
      <c r="L2688" s="1"/>
      <c r="M2688" s="1"/>
      <c r="N2688" s="1"/>
    </row>
    <row r="2689" ht="14.5" spans="2:14">
      <c r="B2689" s="1"/>
      <c r="C2689" s="1"/>
      <c r="D2689" s="1"/>
      <c r="E2689" s="1"/>
      <c r="F2689" s="1"/>
      <c r="G2689" s="1"/>
      <c r="H2689" s="1"/>
      <c r="I2689" s="1"/>
      <c r="J2689" s="1"/>
      <c r="K2689" s="1"/>
      <c r="L2689" s="1"/>
      <c r="M2689" s="1"/>
      <c r="N2689" s="1"/>
    </row>
    <row r="2690" ht="14.5" spans="2:14">
      <c r="B2690" s="1"/>
      <c r="C2690" s="1"/>
      <c r="D2690" s="1"/>
      <c r="E2690" s="1"/>
      <c r="F2690" s="1"/>
      <c r="G2690" s="1"/>
      <c r="H2690" s="1"/>
      <c r="I2690" s="1"/>
      <c r="J2690" s="1"/>
      <c r="K2690" s="1"/>
      <c r="L2690" s="1"/>
      <c r="M2690" s="1"/>
      <c r="N2690" s="1"/>
    </row>
    <row r="2691" ht="14.5" spans="2:14">
      <c r="B2691" s="1"/>
      <c r="C2691" s="1"/>
      <c r="D2691" s="1"/>
      <c r="E2691" s="1"/>
      <c r="F2691" s="1"/>
      <c r="G2691" s="1"/>
      <c r="H2691" s="1"/>
      <c r="I2691" s="1"/>
      <c r="J2691" s="1"/>
      <c r="K2691" s="1"/>
      <c r="L2691" s="1"/>
      <c r="M2691" s="1"/>
      <c r="N2691" s="1"/>
    </row>
    <row r="2692" ht="14.5" spans="2:14">
      <c r="B2692" s="1"/>
      <c r="C2692" s="1"/>
      <c r="D2692" s="1"/>
      <c r="E2692" s="1"/>
      <c r="F2692" s="1"/>
      <c r="G2692" s="1"/>
      <c r="H2692" s="1"/>
      <c r="I2692" s="1"/>
      <c r="J2692" s="1"/>
      <c r="K2692" s="1"/>
      <c r="L2692" s="1"/>
      <c r="M2692" s="1"/>
      <c r="N2692" s="1"/>
    </row>
    <row r="2693" ht="14.5" spans="2:14">
      <c r="B2693" s="1"/>
      <c r="C2693" s="1"/>
      <c r="D2693" s="1"/>
      <c r="E2693" s="1"/>
      <c r="F2693" s="1"/>
      <c r="G2693" s="1"/>
      <c r="H2693" s="1"/>
      <c r="I2693" s="1"/>
      <c r="J2693" s="1"/>
      <c r="K2693" s="1"/>
      <c r="L2693" s="1"/>
      <c r="M2693" s="1"/>
      <c r="N2693" s="1"/>
    </row>
    <row r="2694" ht="14.5" spans="2:14">
      <c r="B2694" s="1"/>
      <c r="C2694" s="1"/>
      <c r="D2694" s="1"/>
      <c r="E2694" s="1"/>
      <c r="F2694" s="1"/>
      <c r="G2694" s="1"/>
      <c r="H2694" s="1"/>
      <c r="I2694" s="1"/>
      <c r="J2694" s="1"/>
      <c r="K2694" s="1"/>
      <c r="L2694" s="1"/>
      <c r="M2694" s="1"/>
      <c r="N2694" s="1"/>
    </row>
    <row r="2695" ht="14.5" spans="2:14">
      <c r="B2695" s="1"/>
      <c r="C2695" s="1"/>
      <c r="D2695" s="1"/>
      <c r="E2695" s="1"/>
      <c r="F2695" s="1"/>
      <c r="G2695" s="1"/>
      <c r="H2695" s="1"/>
      <c r="I2695" s="1"/>
      <c r="J2695" s="1"/>
      <c r="K2695" s="1"/>
      <c r="L2695" s="1"/>
      <c r="M2695" s="1"/>
      <c r="N2695" s="1"/>
    </row>
    <row r="2696" ht="14.5" spans="2:14">
      <c r="B2696" s="1"/>
      <c r="C2696" s="1"/>
      <c r="D2696" s="1"/>
      <c r="E2696" s="1"/>
      <c r="F2696" s="1"/>
      <c r="G2696" s="1"/>
      <c r="H2696" s="1"/>
      <c r="I2696" s="1"/>
      <c r="J2696" s="1"/>
      <c r="K2696" s="1"/>
      <c r="L2696" s="1"/>
      <c r="M2696" s="1"/>
      <c r="N2696" s="1"/>
    </row>
    <row r="2697" ht="14.5" spans="2:14">
      <c r="B2697" s="1"/>
      <c r="C2697" s="1"/>
      <c r="D2697" s="1"/>
      <c r="E2697" s="1"/>
      <c r="F2697" s="1"/>
      <c r="G2697" s="1"/>
      <c r="H2697" s="1"/>
      <c r="I2697" s="1"/>
      <c r="J2697" s="1"/>
      <c r="K2697" s="1"/>
      <c r="L2697" s="1"/>
      <c r="M2697" s="1"/>
      <c r="N2697" s="1"/>
    </row>
    <row r="2698" ht="14.5" spans="2:14">
      <c r="B2698" s="1"/>
      <c r="C2698" s="1"/>
      <c r="D2698" s="1"/>
      <c r="E2698" s="1"/>
      <c r="F2698" s="1"/>
      <c r="G2698" s="1"/>
      <c r="H2698" s="1"/>
      <c r="I2698" s="1"/>
      <c r="J2698" s="1"/>
      <c r="K2698" s="1"/>
      <c r="L2698" s="1"/>
      <c r="M2698" s="1"/>
      <c r="N2698" s="1"/>
    </row>
    <row r="2699" ht="14.5" spans="2:14">
      <c r="B2699" s="1"/>
      <c r="C2699" s="1"/>
      <c r="D2699" s="1"/>
      <c r="E2699" s="1"/>
      <c r="F2699" s="1"/>
      <c r="G2699" s="1"/>
      <c r="H2699" s="1"/>
      <c r="I2699" s="1"/>
      <c r="J2699" s="1"/>
      <c r="K2699" s="1"/>
      <c r="L2699" s="1"/>
      <c r="M2699" s="1"/>
      <c r="N2699" s="1"/>
    </row>
    <row r="2700" ht="14.5" spans="2:14">
      <c r="B2700" s="1"/>
      <c r="C2700" s="1"/>
      <c r="D2700" s="1"/>
      <c r="E2700" s="1"/>
      <c r="F2700" s="1"/>
      <c r="G2700" s="1"/>
      <c r="H2700" s="1"/>
      <c r="I2700" s="1"/>
      <c r="J2700" s="1"/>
      <c r="K2700" s="1"/>
      <c r="L2700" s="1"/>
      <c r="M2700" s="1"/>
      <c r="N2700" s="1"/>
    </row>
    <row r="2701" ht="14.5" spans="2:14">
      <c r="B2701" s="1"/>
      <c r="C2701" s="1"/>
      <c r="D2701" s="1"/>
      <c r="E2701" s="1"/>
      <c r="F2701" s="1"/>
      <c r="G2701" s="1"/>
      <c r="H2701" s="1"/>
      <c r="I2701" s="1"/>
      <c r="J2701" s="1"/>
      <c r="K2701" s="1"/>
      <c r="L2701" s="1"/>
      <c r="M2701" s="1"/>
      <c r="N2701" s="1"/>
    </row>
    <row r="2702" ht="14.5" spans="2:14">
      <c r="B2702" s="1"/>
      <c r="C2702" s="1"/>
      <c r="D2702" s="1"/>
      <c r="E2702" s="1"/>
      <c r="F2702" s="1"/>
      <c r="G2702" s="1"/>
      <c r="H2702" s="1"/>
      <c r="I2702" s="1"/>
      <c r="J2702" s="1"/>
      <c r="K2702" s="1"/>
      <c r="L2702" s="1"/>
      <c r="M2702" s="1"/>
      <c r="N2702" s="1"/>
    </row>
    <row r="2703" ht="14.5" spans="2:14">
      <c r="B2703" s="1"/>
      <c r="C2703" s="1"/>
      <c r="D2703" s="1"/>
      <c r="E2703" s="1"/>
      <c r="F2703" s="1"/>
      <c r="G2703" s="1"/>
      <c r="H2703" s="1"/>
      <c r="I2703" s="1"/>
      <c r="J2703" s="1"/>
      <c r="K2703" s="1"/>
      <c r="L2703" s="1"/>
      <c r="M2703" s="1"/>
      <c r="N2703" s="1"/>
    </row>
    <row r="2704" ht="14.5" spans="2:14">
      <c r="B2704" s="1"/>
      <c r="C2704" s="1"/>
      <c r="D2704" s="1"/>
      <c r="E2704" s="1"/>
      <c r="F2704" s="1"/>
      <c r="G2704" s="1"/>
      <c r="H2704" s="1"/>
      <c r="I2704" s="1"/>
      <c r="J2704" s="1"/>
      <c r="K2704" s="1"/>
      <c r="L2704" s="1"/>
      <c r="M2704" s="1"/>
      <c r="N2704" s="1"/>
    </row>
    <row r="2705" ht="14.5" spans="2:14">
      <c r="B2705" s="1"/>
      <c r="C2705" s="1"/>
      <c r="D2705" s="1"/>
      <c r="E2705" s="1"/>
      <c r="F2705" s="1"/>
      <c r="G2705" s="1"/>
      <c r="H2705" s="1"/>
      <c r="I2705" s="1"/>
      <c r="J2705" s="1"/>
      <c r="K2705" s="1"/>
      <c r="L2705" s="1"/>
      <c r="M2705" s="1"/>
      <c r="N2705" s="1"/>
    </row>
    <row r="2706" ht="14.5" spans="2:14">
      <c r="B2706" s="1"/>
      <c r="C2706" s="1"/>
      <c r="D2706" s="1"/>
      <c r="E2706" s="1"/>
      <c r="F2706" s="1"/>
      <c r="G2706" s="1"/>
      <c r="H2706" s="1"/>
      <c r="I2706" s="1"/>
      <c r="J2706" s="1"/>
      <c r="K2706" s="1"/>
      <c r="L2706" s="1"/>
      <c r="M2706" s="1"/>
      <c r="N2706" s="1"/>
    </row>
    <row r="2707" ht="14.5" spans="2:14">
      <c r="B2707" s="1"/>
      <c r="C2707" s="1"/>
      <c r="D2707" s="1"/>
      <c r="E2707" s="1"/>
      <c r="F2707" s="1"/>
      <c r="G2707" s="1"/>
      <c r="H2707" s="1"/>
      <c r="I2707" s="1"/>
      <c r="J2707" s="1"/>
      <c r="K2707" s="1"/>
      <c r="L2707" s="1"/>
      <c r="M2707" s="1"/>
      <c r="N2707" s="1"/>
    </row>
    <row r="2708" ht="14.5" spans="2:14">
      <c r="B2708" s="1"/>
      <c r="C2708" s="1"/>
      <c r="D2708" s="1"/>
      <c r="E2708" s="1"/>
      <c r="F2708" s="1"/>
      <c r="G2708" s="1"/>
      <c r="H2708" s="1"/>
      <c r="I2708" s="1"/>
      <c r="J2708" s="1"/>
      <c r="K2708" s="1"/>
      <c r="L2708" s="1"/>
      <c r="M2708" s="1"/>
      <c r="N2708" s="1"/>
    </row>
    <row r="2709" ht="14.5" spans="2:14">
      <c r="B2709" s="1"/>
      <c r="C2709" s="1"/>
      <c r="D2709" s="1"/>
      <c r="E2709" s="1"/>
      <c r="F2709" s="1"/>
      <c r="G2709" s="1"/>
      <c r="H2709" s="1"/>
      <c r="I2709" s="1"/>
      <c r="J2709" s="1"/>
      <c r="K2709" s="1"/>
      <c r="L2709" s="1"/>
      <c r="M2709" s="1"/>
      <c r="N2709" s="1"/>
    </row>
    <row r="2710" ht="14.5" spans="2:14">
      <c r="B2710" s="1"/>
      <c r="C2710" s="1"/>
      <c r="D2710" s="1"/>
      <c r="E2710" s="1"/>
      <c r="F2710" s="1"/>
      <c r="G2710" s="1"/>
      <c r="H2710" s="1"/>
      <c r="I2710" s="1"/>
      <c r="J2710" s="1"/>
      <c r="K2710" s="1"/>
      <c r="L2710" s="1"/>
      <c r="M2710" s="1"/>
      <c r="N2710" s="1"/>
    </row>
    <row r="2711" ht="14.5" spans="2:14">
      <c r="B2711" s="1"/>
      <c r="C2711" s="1"/>
      <c r="D2711" s="1"/>
      <c r="E2711" s="1"/>
      <c r="F2711" s="1"/>
      <c r="G2711" s="1"/>
      <c r="H2711" s="1"/>
      <c r="I2711" s="1"/>
      <c r="J2711" s="1"/>
      <c r="K2711" s="1"/>
      <c r="L2711" s="1"/>
      <c r="M2711" s="1"/>
      <c r="N2711" s="1"/>
    </row>
    <row r="2712" ht="14.5" spans="2:14">
      <c r="B2712" s="1"/>
      <c r="C2712" s="1"/>
      <c r="D2712" s="1"/>
      <c r="E2712" s="1"/>
      <c r="F2712" s="1"/>
      <c r="G2712" s="1"/>
      <c r="H2712" s="1"/>
      <c r="I2712" s="1"/>
      <c r="J2712" s="1"/>
      <c r="K2712" s="1"/>
      <c r="L2712" s="1"/>
      <c r="M2712" s="1"/>
      <c r="N2712" s="1"/>
    </row>
    <row r="2713" ht="14.5" spans="2:14">
      <c r="B2713" s="1"/>
      <c r="C2713" s="1"/>
      <c r="D2713" s="1"/>
      <c r="E2713" s="1"/>
      <c r="F2713" s="1"/>
      <c r="G2713" s="1"/>
      <c r="H2713" s="1"/>
      <c r="I2713" s="1"/>
      <c r="J2713" s="1"/>
      <c r="K2713" s="1"/>
      <c r="L2713" s="1"/>
      <c r="M2713" s="1"/>
      <c r="N2713" s="1"/>
    </row>
    <row r="2714" ht="14.5" spans="2:14">
      <c r="B2714" s="1"/>
      <c r="C2714" s="1"/>
      <c r="D2714" s="1"/>
      <c r="E2714" s="1"/>
      <c r="F2714" s="1"/>
      <c r="G2714" s="1"/>
      <c r="H2714" s="1"/>
      <c r="I2714" s="1"/>
      <c r="J2714" s="1"/>
      <c r="K2714" s="1"/>
      <c r="L2714" s="1"/>
      <c r="M2714" s="1"/>
      <c r="N2714" s="1"/>
    </row>
    <row r="2715" ht="14.5" spans="2:14">
      <c r="B2715" s="1"/>
      <c r="C2715" s="1"/>
      <c r="D2715" s="1"/>
      <c r="E2715" s="1"/>
      <c r="F2715" s="1"/>
      <c r="G2715" s="1"/>
      <c r="H2715" s="1"/>
      <c r="I2715" s="1"/>
      <c r="J2715" s="1"/>
      <c r="K2715" s="1"/>
      <c r="L2715" s="1"/>
      <c r="M2715" s="1"/>
      <c r="N2715" s="1"/>
    </row>
    <row r="2716" ht="14.5" spans="2:14">
      <c r="B2716" s="1"/>
      <c r="C2716" s="1"/>
      <c r="D2716" s="1"/>
      <c r="E2716" s="1"/>
      <c r="F2716" s="1"/>
      <c r="G2716" s="1"/>
      <c r="H2716" s="1"/>
      <c r="I2716" s="1"/>
      <c r="J2716" s="1"/>
      <c r="K2716" s="1"/>
      <c r="L2716" s="1"/>
      <c r="M2716" s="1"/>
      <c r="N2716" s="1"/>
    </row>
    <row r="2717" ht="14.5" spans="2:14">
      <c r="B2717" s="1"/>
      <c r="C2717" s="1"/>
      <c r="D2717" s="1"/>
      <c r="E2717" s="1"/>
      <c r="F2717" s="1"/>
      <c r="G2717" s="1"/>
      <c r="H2717" s="1"/>
      <c r="I2717" s="1"/>
      <c r="J2717" s="1"/>
      <c r="K2717" s="1"/>
      <c r="L2717" s="1"/>
      <c r="M2717" s="1"/>
      <c r="N2717" s="1"/>
    </row>
    <row r="2718" ht="14.5" spans="2:14">
      <c r="B2718" s="1"/>
      <c r="C2718" s="1"/>
      <c r="D2718" s="1"/>
      <c r="E2718" s="1"/>
      <c r="F2718" s="1"/>
      <c r="G2718" s="1"/>
      <c r="H2718" s="1"/>
      <c r="I2718" s="1"/>
      <c r="J2718" s="1"/>
      <c r="K2718" s="1"/>
      <c r="L2718" s="1"/>
      <c r="M2718" s="1"/>
      <c r="N2718" s="1"/>
    </row>
    <row r="2719" ht="14.5" spans="2:14">
      <c r="B2719" s="1"/>
      <c r="C2719" s="1"/>
      <c r="D2719" s="1"/>
      <c r="E2719" s="1"/>
      <c r="F2719" s="1"/>
      <c r="G2719" s="1"/>
      <c r="H2719" s="1"/>
      <c r="I2719" s="1"/>
      <c r="J2719" s="1"/>
      <c r="K2719" s="1"/>
      <c r="L2719" s="1"/>
      <c r="M2719" s="1"/>
      <c r="N2719" s="1"/>
    </row>
    <row r="2720" ht="14.5" spans="2:14">
      <c r="B2720" s="1"/>
      <c r="C2720" s="1"/>
      <c r="D2720" s="1"/>
      <c r="E2720" s="1"/>
      <c r="F2720" s="1"/>
      <c r="G2720" s="1"/>
      <c r="H2720" s="1"/>
      <c r="I2720" s="1"/>
      <c r="J2720" s="1"/>
      <c r="K2720" s="1"/>
      <c r="L2720" s="1"/>
      <c r="M2720" s="1"/>
      <c r="N2720" s="1"/>
    </row>
    <row r="2721" ht="14.5" spans="2:14">
      <c r="B2721" s="1"/>
      <c r="C2721" s="1"/>
      <c r="D2721" s="1"/>
      <c r="E2721" s="1"/>
      <c r="F2721" s="1"/>
      <c r="G2721" s="1"/>
      <c r="H2721" s="1"/>
      <c r="I2721" s="1"/>
      <c r="J2721" s="1"/>
      <c r="K2721" s="1"/>
      <c r="L2721" s="1"/>
      <c r="M2721" s="1"/>
      <c r="N2721" s="1"/>
    </row>
    <row r="2722" ht="14.5" spans="2:14">
      <c r="B2722" s="1"/>
      <c r="C2722" s="1"/>
      <c r="D2722" s="1"/>
      <c r="E2722" s="1"/>
      <c r="F2722" s="1"/>
      <c r="G2722" s="1"/>
      <c r="H2722" s="1"/>
      <c r="I2722" s="1"/>
      <c r="J2722" s="1"/>
      <c r="K2722" s="1"/>
      <c r="L2722" s="1"/>
      <c r="M2722" s="1"/>
      <c r="N2722" s="1"/>
    </row>
    <row r="2723" ht="14.5" spans="2:14">
      <c r="B2723" s="1"/>
      <c r="C2723" s="1"/>
      <c r="D2723" s="1"/>
      <c r="E2723" s="1"/>
      <c r="F2723" s="1"/>
      <c r="G2723" s="1"/>
      <c r="H2723" s="1"/>
      <c r="I2723" s="1"/>
      <c r="J2723" s="1"/>
      <c r="K2723" s="1"/>
      <c r="L2723" s="1"/>
      <c r="M2723" s="1"/>
      <c r="N2723" s="1"/>
    </row>
    <row r="2724" ht="14.5" spans="2:14">
      <c r="B2724" s="1"/>
      <c r="C2724" s="1"/>
      <c r="D2724" s="1"/>
      <c r="E2724" s="1"/>
      <c r="F2724" s="1"/>
      <c r="G2724" s="1"/>
      <c r="H2724" s="1"/>
      <c r="I2724" s="1"/>
      <c r="J2724" s="1"/>
      <c r="K2724" s="1"/>
      <c r="L2724" s="1"/>
      <c r="M2724" s="1"/>
      <c r="N2724" s="1"/>
    </row>
    <row r="2725" ht="14.5" spans="2:14">
      <c r="B2725" s="1"/>
      <c r="C2725" s="1"/>
      <c r="D2725" s="1"/>
      <c r="E2725" s="1"/>
      <c r="F2725" s="1"/>
      <c r="G2725" s="1"/>
      <c r="H2725" s="1"/>
      <c r="I2725" s="1"/>
      <c r="J2725" s="1"/>
      <c r="K2725" s="1"/>
      <c r="L2725" s="1"/>
      <c r="M2725" s="1"/>
      <c r="N2725" s="1"/>
    </row>
    <row r="2726" ht="14.5" spans="2:14">
      <c r="B2726" s="1"/>
      <c r="C2726" s="1"/>
      <c r="D2726" s="1"/>
      <c r="E2726" s="1"/>
      <c r="F2726" s="1"/>
      <c r="G2726" s="1"/>
      <c r="H2726" s="1"/>
      <c r="I2726" s="1"/>
      <c r="J2726" s="1"/>
      <c r="K2726" s="1"/>
      <c r="L2726" s="1"/>
      <c r="M2726" s="1"/>
      <c r="N2726" s="1"/>
    </row>
    <row r="2727" ht="14.5" spans="2:14">
      <c r="B2727" s="1"/>
      <c r="C2727" s="1"/>
      <c r="D2727" s="1"/>
      <c r="E2727" s="1"/>
      <c r="F2727" s="1"/>
      <c r="G2727" s="1"/>
      <c r="H2727" s="1"/>
      <c r="I2727" s="1"/>
      <c r="J2727" s="1"/>
      <c r="K2727" s="1"/>
      <c r="L2727" s="1"/>
      <c r="M2727" s="1"/>
      <c r="N2727" s="1"/>
    </row>
    <row r="2728" ht="14.5" spans="2:14">
      <c r="B2728" s="1"/>
      <c r="C2728" s="1"/>
      <c r="D2728" s="1"/>
      <c r="E2728" s="1"/>
      <c r="F2728" s="1"/>
      <c r="G2728" s="1"/>
      <c r="H2728" s="1"/>
      <c r="I2728" s="1"/>
      <c r="J2728" s="1"/>
      <c r="K2728" s="1"/>
      <c r="L2728" s="1"/>
      <c r="M2728" s="1"/>
      <c r="N2728" s="1"/>
    </row>
    <row r="2729" ht="14.5" spans="2:14">
      <c r="B2729" s="1"/>
      <c r="C2729" s="1"/>
      <c r="D2729" s="1"/>
      <c r="E2729" s="1"/>
      <c r="F2729" s="1"/>
      <c r="G2729" s="1"/>
      <c r="H2729" s="1"/>
      <c r="I2729" s="1"/>
      <c r="J2729" s="1"/>
      <c r="K2729" s="1"/>
      <c r="L2729" s="1"/>
      <c r="M2729" s="1"/>
      <c r="N2729" s="1"/>
    </row>
    <row r="2730" ht="14.5" spans="2:14">
      <c r="B2730" s="1"/>
      <c r="C2730" s="1"/>
      <c r="D2730" s="1"/>
      <c r="E2730" s="1"/>
      <c r="F2730" s="1"/>
      <c r="G2730" s="1"/>
      <c r="H2730" s="1"/>
      <c r="I2730" s="1"/>
      <c r="J2730" s="1"/>
      <c r="K2730" s="1"/>
      <c r="L2730" s="1"/>
      <c r="M2730" s="1"/>
      <c r="N2730" s="1"/>
    </row>
    <row r="2731" ht="14.5" spans="2:14">
      <c r="B2731" s="1"/>
      <c r="C2731" s="1"/>
      <c r="D2731" s="1"/>
      <c r="E2731" s="1"/>
      <c r="F2731" s="1"/>
      <c r="G2731" s="1"/>
      <c r="H2731" s="1"/>
      <c r="I2731" s="1"/>
      <c r="J2731" s="1"/>
      <c r="K2731" s="1"/>
      <c r="L2731" s="1"/>
      <c r="M2731" s="1"/>
      <c r="N2731" s="1"/>
    </row>
    <row r="2732" ht="14.5" spans="2:14">
      <c r="B2732" s="1"/>
      <c r="C2732" s="1"/>
      <c r="D2732" s="1"/>
      <c r="E2732" s="1"/>
      <c r="F2732" s="1"/>
      <c r="G2732" s="1"/>
      <c r="H2732" s="1"/>
      <c r="I2732" s="1"/>
      <c r="J2732" s="1"/>
      <c r="K2732" s="1"/>
      <c r="L2732" s="1"/>
      <c r="M2732" s="1"/>
      <c r="N2732" s="1"/>
    </row>
    <row r="2733" ht="14.5" spans="2:14">
      <c r="B2733" s="1"/>
      <c r="C2733" s="1"/>
      <c r="D2733" s="1"/>
      <c r="E2733" s="1"/>
      <c r="F2733" s="1"/>
      <c r="G2733" s="1"/>
      <c r="H2733" s="1"/>
      <c r="I2733" s="1"/>
      <c r="J2733" s="1"/>
      <c r="K2733" s="1"/>
      <c r="L2733" s="1"/>
      <c r="M2733" s="1"/>
      <c r="N2733" s="1"/>
    </row>
    <row r="2734" ht="14.5" spans="2:14">
      <c r="B2734" s="1"/>
      <c r="C2734" s="1"/>
      <c r="D2734" s="1"/>
      <c r="E2734" s="1"/>
      <c r="F2734" s="1"/>
      <c r="G2734" s="1"/>
      <c r="H2734" s="1"/>
      <c r="I2734" s="1"/>
      <c r="J2734" s="1"/>
      <c r="K2734" s="1"/>
      <c r="L2734" s="1"/>
      <c r="M2734" s="1"/>
      <c r="N2734" s="1"/>
    </row>
    <row r="2735" ht="14.5" spans="2:14">
      <c r="B2735" s="1"/>
      <c r="C2735" s="1"/>
      <c r="D2735" s="1"/>
      <c r="E2735" s="1"/>
      <c r="F2735" s="1"/>
      <c r="G2735" s="1"/>
      <c r="H2735" s="1"/>
      <c r="I2735" s="1"/>
      <c r="J2735" s="1"/>
      <c r="K2735" s="1"/>
      <c r="L2735" s="1"/>
      <c r="M2735" s="1"/>
      <c r="N2735" s="1"/>
    </row>
    <row r="2736" ht="14.5" spans="2:14">
      <c r="B2736" s="1"/>
      <c r="C2736" s="1"/>
      <c r="D2736" s="1"/>
      <c r="E2736" s="1"/>
      <c r="F2736" s="1"/>
      <c r="G2736" s="1"/>
      <c r="H2736" s="1"/>
      <c r="I2736" s="1"/>
      <c r="J2736" s="1"/>
      <c r="K2736" s="1"/>
      <c r="L2736" s="1"/>
      <c r="M2736" s="1"/>
      <c r="N2736" s="1"/>
    </row>
    <row r="2737" ht="14.5" spans="2:14">
      <c r="B2737" s="1"/>
      <c r="C2737" s="1"/>
      <c r="D2737" s="1"/>
      <c r="E2737" s="1"/>
      <c r="F2737" s="1"/>
      <c r="G2737" s="1"/>
      <c r="H2737" s="1"/>
      <c r="I2737" s="1"/>
      <c r="J2737" s="1"/>
      <c r="K2737" s="1"/>
      <c r="L2737" s="1"/>
      <c r="M2737" s="1"/>
      <c r="N2737" s="1"/>
    </row>
    <row r="2738" ht="14.5" spans="2:14">
      <c r="B2738" s="1"/>
      <c r="C2738" s="1"/>
      <c r="D2738" s="1"/>
      <c r="E2738" s="1"/>
      <c r="F2738" s="1"/>
      <c r="G2738" s="1"/>
      <c r="H2738" s="1"/>
      <c r="I2738" s="1"/>
      <c r="J2738" s="1"/>
      <c r="K2738" s="1"/>
      <c r="L2738" s="1"/>
      <c r="M2738" s="1"/>
      <c r="N2738" s="1"/>
    </row>
    <row r="2739" ht="14.5" spans="2:14">
      <c r="B2739" s="1"/>
      <c r="C2739" s="1"/>
      <c r="D2739" s="1"/>
      <c r="E2739" s="1"/>
      <c r="F2739" s="1"/>
      <c r="G2739" s="1"/>
      <c r="H2739" s="1"/>
      <c r="I2739" s="1"/>
      <c r="J2739" s="1"/>
      <c r="K2739" s="1"/>
      <c r="L2739" s="1"/>
      <c r="M2739" s="1"/>
      <c r="N2739" s="1"/>
    </row>
    <row r="2740" ht="14.5" spans="2:14">
      <c r="B2740" s="1"/>
      <c r="C2740" s="1"/>
      <c r="D2740" s="1"/>
      <c r="E2740" s="1"/>
      <c r="F2740" s="1"/>
      <c r="G2740" s="1"/>
      <c r="H2740" s="1"/>
      <c r="I2740" s="1"/>
      <c r="J2740" s="1"/>
      <c r="K2740" s="1"/>
      <c r="L2740" s="1"/>
      <c r="M2740" s="1"/>
      <c r="N2740" s="1"/>
    </row>
    <row r="2741" ht="14.5" spans="2:14">
      <c r="B2741" s="1"/>
      <c r="C2741" s="1"/>
      <c r="D2741" s="1"/>
      <c r="E2741" s="1"/>
      <c r="F2741" s="1"/>
      <c r="G2741" s="1"/>
      <c r="H2741" s="1"/>
      <c r="I2741" s="1"/>
      <c r="J2741" s="1"/>
      <c r="K2741" s="1"/>
      <c r="L2741" s="1"/>
      <c r="M2741" s="1"/>
      <c r="N2741" s="1"/>
    </row>
    <row r="2742" ht="14.5" spans="2:14">
      <c r="B2742" s="1"/>
      <c r="C2742" s="1"/>
      <c r="D2742" s="1"/>
      <c r="E2742" s="1"/>
      <c r="F2742" s="1"/>
      <c r="G2742" s="1"/>
      <c r="H2742" s="1"/>
      <c r="I2742" s="1"/>
      <c r="J2742" s="1"/>
      <c r="K2742" s="1"/>
      <c r="L2742" s="1"/>
      <c r="M2742" s="1"/>
      <c r="N2742" s="1"/>
    </row>
    <row r="2743" ht="14.5" spans="2:14">
      <c r="B2743" s="1"/>
      <c r="C2743" s="1"/>
      <c r="D2743" s="1"/>
      <c r="E2743" s="1"/>
      <c r="F2743" s="1"/>
      <c r="G2743" s="1"/>
      <c r="H2743" s="1"/>
      <c r="I2743" s="1"/>
      <c r="J2743" s="1"/>
      <c r="K2743" s="1"/>
      <c r="L2743" s="1"/>
      <c r="M2743" s="1"/>
      <c r="N2743" s="1"/>
    </row>
    <row r="2744" ht="14.5" spans="2:14">
      <c r="B2744" s="1"/>
      <c r="C2744" s="1"/>
      <c r="D2744" s="1"/>
      <c r="E2744" s="1"/>
      <c r="F2744" s="1"/>
      <c r="G2744" s="1"/>
      <c r="H2744" s="1"/>
      <c r="I2744" s="1"/>
      <c r="J2744" s="1"/>
      <c r="K2744" s="1"/>
      <c r="L2744" s="1"/>
      <c r="M2744" s="1"/>
      <c r="N2744" s="1"/>
    </row>
    <row r="2745" ht="14.5" spans="2:14">
      <c r="B2745" s="1"/>
      <c r="C2745" s="1"/>
      <c r="D2745" s="1"/>
      <c r="E2745" s="1"/>
      <c r="F2745" s="1"/>
      <c r="G2745" s="1"/>
      <c r="H2745" s="1"/>
      <c r="I2745" s="1"/>
      <c r="J2745" s="1"/>
      <c r="K2745" s="1"/>
      <c r="L2745" s="1"/>
      <c r="M2745" s="1"/>
      <c r="N2745" s="1"/>
    </row>
    <row r="2746" ht="14.5" spans="2:14">
      <c r="B2746" s="1"/>
      <c r="C2746" s="1"/>
      <c r="D2746" s="1"/>
      <c r="E2746" s="1"/>
      <c r="F2746" s="1"/>
      <c r="G2746" s="1"/>
      <c r="H2746" s="1"/>
      <c r="I2746" s="1"/>
      <c r="J2746" s="1"/>
      <c r="K2746" s="1"/>
      <c r="L2746" s="1"/>
      <c r="M2746" s="1"/>
      <c r="N2746" s="1"/>
    </row>
    <row r="2747" ht="14.5" spans="2:14">
      <c r="B2747" s="1"/>
      <c r="C2747" s="1"/>
      <c r="D2747" s="1"/>
      <c r="E2747" s="1"/>
      <c r="F2747" s="1"/>
      <c r="G2747" s="1"/>
      <c r="H2747" s="1"/>
      <c r="I2747" s="1"/>
      <c r="J2747" s="1"/>
      <c r="K2747" s="1"/>
      <c r="L2747" s="1"/>
      <c r="M2747" s="1"/>
      <c r="N2747" s="1"/>
    </row>
    <row r="2748" ht="14.5" spans="2:14">
      <c r="B2748" s="1"/>
      <c r="C2748" s="1"/>
      <c r="D2748" s="1"/>
      <c r="E2748" s="1"/>
      <c r="F2748" s="1"/>
      <c r="G2748" s="1"/>
      <c r="H2748" s="1"/>
      <c r="I2748" s="1"/>
      <c r="J2748" s="1"/>
      <c r="K2748" s="1"/>
      <c r="L2748" s="1"/>
      <c r="M2748" s="1"/>
      <c r="N2748" s="1"/>
    </row>
    <row r="2749" ht="14.5" spans="2:14">
      <c r="B2749" s="1"/>
      <c r="C2749" s="1"/>
      <c r="D2749" s="1"/>
      <c r="E2749" s="1"/>
      <c r="F2749" s="1"/>
      <c r="G2749" s="1"/>
      <c r="H2749" s="1"/>
      <c r="I2749" s="1"/>
      <c r="J2749" s="1"/>
      <c r="K2749" s="1"/>
      <c r="L2749" s="1"/>
      <c r="M2749" s="1"/>
      <c r="N2749" s="1"/>
    </row>
    <row r="2750" ht="14.5" spans="2:14">
      <c r="B2750" s="1"/>
      <c r="C2750" s="1"/>
      <c r="D2750" s="1"/>
      <c r="E2750" s="1"/>
      <c r="F2750" s="1"/>
      <c r="G2750" s="1"/>
      <c r="H2750" s="1"/>
      <c r="I2750" s="1"/>
      <c r="J2750" s="1"/>
      <c r="K2750" s="1"/>
      <c r="L2750" s="1"/>
      <c r="M2750" s="1"/>
      <c r="N2750" s="1"/>
    </row>
    <row r="2751" ht="14.5" spans="2:14">
      <c r="B2751" s="1"/>
      <c r="C2751" s="1"/>
      <c r="D2751" s="1"/>
      <c r="E2751" s="1"/>
      <c r="F2751" s="1"/>
      <c r="G2751" s="1"/>
      <c r="H2751" s="1"/>
      <c r="I2751" s="1"/>
      <c r="J2751" s="1"/>
      <c r="K2751" s="1"/>
      <c r="L2751" s="1"/>
      <c r="M2751" s="1"/>
      <c r="N2751" s="1"/>
    </row>
    <row r="2752" ht="14.5" spans="2:14">
      <c r="B2752" s="1"/>
      <c r="C2752" s="1"/>
      <c r="D2752" s="1"/>
      <c r="E2752" s="1"/>
      <c r="F2752" s="1"/>
      <c r="G2752" s="1"/>
      <c r="H2752" s="1"/>
      <c r="I2752" s="1"/>
      <c r="J2752" s="1"/>
      <c r="K2752" s="1"/>
      <c r="L2752" s="1"/>
      <c r="M2752" s="1"/>
      <c r="N2752" s="1"/>
    </row>
    <row r="2753" ht="14.5" spans="2:14">
      <c r="B2753" s="1"/>
      <c r="C2753" s="1"/>
      <c r="D2753" s="1"/>
      <c r="E2753" s="1"/>
      <c r="F2753" s="1"/>
      <c r="G2753" s="1"/>
      <c r="H2753" s="1"/>
      <c r="I2753" s="1"/>
      <c r="J2753" s="1"/>
      <c r="K2753" s="1"/>
      <c r="L2753" s="1"/>
      <c r="M2753" s="1"/>
      <c r="N2753" s="1"/>
    </row>
    <row r="2754" ht="14.5" spans="2:14">
      <c r="B2754" s="1"/>
      <c r="C2754" s="1"/>
      <c r="D2754" s="1"/>
      <c r="E2754" s="1"/>
      <c r="F2754" s="1"/>
      <c r="G2754" s="1"/>
      <c r="H2754" s="1"/>
      <c r="I2754" s="1"/>
      <c r="J2754" s="1"/>
      <c r="K2754" s="1"/>
      <c r="L2754" s="1"/>
      <c r="M2754" s="1"/>
      <c r="N2754" s="1"/>
    </row>
    <row r="2755" ht="14.5" spans="2:14">
      <c r="B2755" s="1"/>
      <c r="C2755" s="1"/>
      <c r="D2755" s="1"/>
      <c r="E2755" s="1"/>
      <c r="F2755" s="1"/>
      <c r="G2755" s="1"/>
      <c r="H2755" s="1"/>
      <c r="I2755" s="1"/>
      <c r="J2755" s="1"/>
      <c r="K2755" s="1"/>
      <c r="L2755" s="1"/>
      <c r="M2755" s="1"/>
      <c r="N2755" s="1"/>
    </row>
    <row r="2756" ht="14.5" spans="2:14">
      <c r="B2756" s="1"/>
      <c r="C2756" s="1"/>
      <c r="D2756" s="1"/>
      <c r="E2756" s="1"/>
      <c r="F2756" s="1"/>
      <c r="G2756" s="1"/>
      <c r="H2756" s="1"/>
      <c r="I2756" s="1"/>
      <c r="J2756" s="1"/>
      <c r="K2756" s="1"/>
      <c r="L2756" s="1"/>
      <c r="M2756" s="1"/>
      <c r="N2756" s="1"/>
    </row>
    <row r="2757" ht="14.5" spans="2:14">
      <c r="B2757" s="1"/>
      <c r="C2757" s="1"/>
      <c r="D2757" s="1"/>
      <c r="E2757" s="1"/>
      <c r="F2757" s="1"/>
      <c r="G2757" s="1"/>
      <c r="H2757" s="1"/>
      <c r="I2757" s="1"/>
      <c r="J2757" s="1"/>
      <c r="K2757" s="1"/>
      <c r="L2757" s="1"/>
      <c r="M2757" s="1"/>
      <c r="N2757" s="1"/>
    </row>
    <row r="2758" ht="14.5" spans="2:14">
      <c r="B2758" s="1"/>
      <c r="C2758" s="1"/>
      <c r="D2758" s="1"/>
      <c r="E2758" s="1"/>
      <c r="F2758" s="1"/>
      <c r="G2758" s="1"/>
      <c r="H2758" s="1"/>
      <c r="I2758" s="1"/>
      <c r="J2758" s="1"/>
      <c r="K2758" s="1"/>
      <c r="L2758" s="1"/>
      <c r="M2758" s="1"/>
      <c r="N2758" s="1"/>
    </row>
    <row r="2759" ht="14.5" spans="2:14">
      <c r="B2759" s="1"/>
      <c r="C2759" s="1"/>
      <c r="D2759" s="1"/>
      <c r="E2759" s="1"/>
      <c r="F2759" s="1"/>
      <c r="G2759" s="1"/>
      <c r="H2759" s="1"/>
      <c r="I2759" s="1"/>
      <c r="J2759" s="1"/>
      <c r="K2759" s="1"/>
      <c r="L2759" s="1"/>
      <c r="M2759" s="1"/>
      <c r="N2759" s="1"/>
    </row>
    <row r="2760" ht="14.5" spans="2:14">
      <c r="B2760" s="1"/>
      <c r="C2760" s="1"/>
      <c r="D2760" s="1"/>
      <c r="E2760" s="1"/>
      <c r="F2760" s="1"/>
      <c r="G2760" s="1"/>
      <c r="H2760" s="1"/>
      <c r="I2760" s="1"/>
      <c r="J2760" s="1"/>
      <c r="K2760" s="1"/>
      <c r="L2760" s="1"/>
      <c r="M2760" s="1"/>
      <c r="N2760" s="1"/>
    </row>
    <row r="2761" ht="14.5" spans="2:14">
      <c r="B2761" s="1"/>
      <c r="C2761" s="1"/>
      <c r="D2761" s="1"/>
      <c r="E2761" s="1"/>
      <c r="F2761" s="1"/>
      <c r="G2761" s="1"/>
      <c r="H2761" s="1"/>
      <c r="I2761" s="1"/>
      <c r="J2761" s="1"/>
      <c r="K2761" s="1"/>
      <c r="L2761" s="1"/>
      <c r="M2761" s="1"/>
      <c r="N2761" s="1"/>
    </row>
    <row r="2762" ht="14.5" spans="2:14">
      <c r="B2762" s="1"/>
      <c r="C2762" s="1"/>
      <c r="D2762" s="1"/>
      <c r="E2762" s="1"/>
      <c r="F2762" s="1"/>
      <c r="G2762" s="1"/>
      <c r="H2762" s="1"/>
      <c r="I2762" s="1"/>
      <c r="J2762" s="1"/>
      <c r="K2762" s="1"/>
      <c r="L2762" s="1"/>
      <c r="M2762" s="1"/>
      <c r="N2762" s="1"/>
    </row>
    <row r="2763" ht="14.5" spans="2:14">
      <c r="B2763" s="1"/>
      <c r="C2763" s="1"/>
      <c r="D2763" s="1"/>
      <c r="E2763" s="1"/>
      <c r="F2763" s="1"/>
      <c r="G2763" s="1"/>
      <c r="H2763" s="1"/>
      <c r="I2763" s="1"/>
      <c r="J2763" s="1"/>
      <c r="K2763" s="1"/>
      <c r="L2763" s="1"/>
      <c r="M2763" s="1"/>
      <c r="N2763" s="1"/>
    </row>
    <row r="2764" ht="14.5" spans="2:14">
      <c r="B2764" s="1"/>
      <c r="C2764" s="1"/>
      <c r="D2764" s="1"/>
      <c r="E2764" s="1"/>
      <c r="F2764" s="1"/>
      <c r="G2764" s="1"/>
      <c r="H2764" s="1"/>
      <c r="I2764" s="1"/>
      <c r="J2764" s="1"/>
      <c r="K2764" s="1"/>
      <c r="L2764" s="1"/>
      <c r="M2764" s="1"/>
      <c r="N2764" s="1"/>
    </row>
    <row r="2765" ht="14.5" spans="2:14">
      <c r="B2765" s="1"/>
      <c r="C2765" s="1"/>
      <c r="D2765" s="1"/>
      <c r="E2765" s="1"/>
      <c r="F2765" s="1"/>
      <c r="G2765" s="1"/>
      <c r="H2765" s="1"/>
      <c r="I2765" s="1"/>
      <c r="J2765" s="1"/>
      <c r="K2765" s="1"/>
      <c r="L2765" s="1"/>
      <c r="M2765" s="1"/>
      <c r="N2765" s="1"/>
    </row>
    <row r="2766" ht="14.5" spans="2:14">
      <c r="B2766" s="1"/>
      <c r="C2766" s="1"/>
      <c r="D2766" s="1"/>
      <c r="E2766" s="1"/>
      <c r="F2766" s="1"/>
      <c r="G2766" s="1"/>
      <c r="H2766" s="1"/>
      <c r="I2766" s="1"/>
      <c r="J2766" s="1"/>
      <c r="K2766" s="1"/>
      <c r="L2766" s="1"/>
      <c r="M2766" s="1"/>
      <c r="N2766" s="1"/>
    </row>
    <row r="2767" ht="14.5" spans="2:14">
      <c r="B2767" s="1"/>
      <c r="C2767" s="1"/>
      <c r="D2767" s="1"/>
      <c r="E2767" s="1"/>
      <c r="F2767" s="1"/>
      <c r="G2767" s="1"/>
      <c r="H2767" s="1"/>
      <c r="I2767" s="1"/>
      <c r="J2767" s="1"/>
      <c r="K2767" s="1"/>
      <c r="L2767" s="1"/>
      <c r="M2767" s="1"/>
      <c r="N2767" s="1"/>
    </row>
    <row r="2768" ht="14.5" spans="2:14">
      <c r="B2768" s="1"/>
      <c r="C2768" s="1"/>
      <c r="D2768" s="1"/>
      <c r="E2768" s="1"/>
      <c r="F2768" s="1"/>
      <c r="G2768" s="1"/>
      <c r="H2768" s="1"/>
      <c r="I2768" s="1"/>
      <c r="J2768" s="1"/>
      <c r="K2768" s="1"/>
      <c r="L2768" s="1"/>
      <c r="M2768" s="1"/>
      <c r="N2768" s="1"/>
    </row>
    <row r="2769" ht="14.5" spans="2:14">
      <c r="B2769" s="1"/>
      <c r="C2769" s="1"/>
      <c r="D2769" s="1"/>
      <c r="E2769" s="1"/>
      <c r="F2769" s="1"/>
      <c r="G2769" s="1"/>
      <c r="H2769" s="1"/>
      <c r="I2769" s="1"/>
      <c r="J2769" s="1"/>
      <c r="K2769" s="1"/>
      <c r="L2769" s="1"/>
      <c r="M2769" s="1"/>
      <c r="N2769" s="1"/>
    </row>
    <row r="2770" ht="14.5" spans="2:14">
      <c r="B2770" s="1"/>
      <c r="C2770" s="1"/>
      <c r="D2770" s="1"/>
      <c r="E2770" s="1"/>
      <c r="F2770" s="1"/>
      <c r="G2770" s="1"/>
      <c r="H2770" s="1"/>
      <c r="I2770" s="1"/>
      <c r="J2770" s="1"/>
      <c r="K2770" s="1"/>
      <c r="L2770" s="1"/>
      <c r="M2770" s="1"/>
      <c r="N2770" s="1"/>
    </row>
    <row r="2771" ht="14.5" spans="2:14">
      <c r="B2771" s="1"/>
      <c r="C2771" s="1"/>
      <c r="D2771" s="1"/>
      <c r="E2771" s="1"/>
      <c r="F2771" s="1"/>
      <c r="G2771" s="1"/>
      <c r="H2771" s="1"/>
      <c r="I2771" s="1"/>
      <c r="J2771" s="1"/>
      <c r="K2771" s="1"/>
      <c r="L2771" s="1"/>
      <c r="M2771" s="1"/>
      <c r="N2771" s="1"/>
    </row>
    <row r="2772" ht="14.5" spans="2:14">
      <c r="B2772" s="1"/>
      <c r="C2772" s="1"/>
      <c r="D2772" s="1"/>
      <c r="E2772" s="1"/>
      <c r="F2772" s="1"/>
      <c r="G2772" s="1"/>
      <c r="H2772" s="1"/>
      <c r="I2772" s="1"/>
      <c r="J2772" s="1"/>
      <c r="K2772" s="1"/>
      <c r="L2772" s="1"/>
      <c r="M2772" s="1"/>
      <c r="N2772" s="1"/>
    </row>
    <row r="2773" ht="14.5" spans="2:14">
      <c r="B2773" s="1"/>
      <c r="C2773" s="1"/>
      <c r="D2773" s="1"/>
      <c r="E2773" s="1"/>
      <c r="F2773" s="1"/>
      <c r="G2773" s="1"/>
      <c r="H2773" s="1"/>
      <c r="I2773" s="1"/>
      <c r="J2773" s="1"/>
      <c r="K2773" s="1"/>
      <c r="L2773" s="1"/>
      <c r="M2773" s="1"/>
      <c r="N2773" s="1"/>
    </row>
    <row r="2774" ht="14.5" spans="2:14">
      <c r="B2774" s="1"/>
      <c r="C2774" s="1"/>
      <c r="D2774" s="1"/>
      <c r="E2774" s="1"/>
      <c r="F2774" s="1"/>
      <c r="G2774" s="1"/>
      <c r="H2774" s="1"/>
      <c r="I2774" s="1"/>
      <c r="J2774" s="1"/>
      <c r="K2774" s="1"/>
      <c r="L2774" s="1"/>
      <c r="M2774" s="1"/>
      <c r="N2774" s="1"/>
    </row>
    <row r="2775" ht="14.5" spans="2:14">
      <c r="B2775" s="1"/>
      <c r="C2775" s="1"/>
      <c r="D2775" s="1"/>
      <c r="E2775" s="1"/>
      <c r="F2775" s="1"/>
      <c r="G2775" s="1"/>
      <c r="H2775" s="1"/>
      <c r="I2775" s="1"/>
      <c r="J2775" s="1"/>
      <c r="K2775" s="1"/>
      <c r="L2775" s="1"/>
      <c r="M2775" s="1"/>
      <c r="N2775" s="1"/>
    </row>
    <row r="2776" ht="14.5" spans="2:14">
      <c r="B2776" s="1"/>
      <c r="C2776" s="1"/>
      <c r="D2776" s="1"/>
      <c r="E2776" s="1"/>
      <c r="F2776" s="1"/>
      <c r="G2776" s="1"/>
      <c r="H2776" s="1"/>
      <c r="I2776" s="1"/>
      <c r="J2776" s="1"/>
      <c r="K2776" s="1"/>
      <c r="L2776" s="1"/>
      <c r="M2776" s="1"/>
      <c r="N2776" s="1"/>
    </row>
    <row r="2777" ht="14.5" spans="2:14">
      <c r="B2777" s="1"/>
      <c r="C2777" s="1"/>
      <c r="D2777" s="1"/>
      <c r="E2777" s="1"/>
      <c r="F2777" s="1"/>
      <c r="G2777" s="1"/>
      <c r="H2777" s="1"/>
      <c r="I2777" s="1"/>
      <c r="J2777" s="1"/>
      <c r="K2777" s="1"/>
      <c r="L2777" s="1"/>
      <c r="M2777" s="1"/>
      <c r="N2777" s="1"/>
    </row>
    <row r="2778" ht="14.5" spans="2:14">
      <c r="B2778" s="1"/>
      <c r="C2778" s="1"/>
      <c r="D2778" s="1"/>
      <c r="E2778" s="1"/>
      <c r="F2778" s="1"/>
      <c r="G2778" s="1"/>
      <c r="H2778" s="1"/>
      <c r="I2778" s="1"/>
      <c r="J2778" s="1"/>
      <c r="K2778" s="1"/>
      <c r="L2778" s="1"/>
      <c r="M2778" s="1"/>
      <c r="N2778" s="1"/>
    </row>
    <row r="2779" ht="14.5" spans="2:14">
      <c r="B2779" s="1"/>
      <c r="C2779" s="1"/>
      <c r="D2779" s="1"/>
      <c r="E2779" s="1"/>
      <c r="F2779" s="1"/>
      <c r="G2779" s="1"/>
      <c r="H2779" s="1"/>
      <c r="I2779" s="1"/>
      <c r="J2779" s="1"/>
      <c r="K2779" s="1"/>
      <c r="L2779" s="1"/>
      <c r="M2779" s="1"/>
      <c r="N2779" s="1"/>
    </row>
    <row r="2780" ht="14.5" spans="2:14">
      <c r="B2780" s="1"/>
      <c r="C2780" s="1"/>
      <c r="D2780" s="1"/>
      <c r="E2780" s="1"/>
      <c r="F2780" s="1"/>
      <c r="G2780" s="1"/>
      <c r="H2780" s="1"/>
      <c r="I2780" s="1"/>
      <c r="J2780" s="1"/>
      <c r="K2780" s="1"/>
      <c r="L2780" s="1"/>
      <c r="M2780" s="1"/>
      <c r="N2780" s="1"/>
    </row>
    <row r="2781" ht="14.5" spans="2:14">
      <c r="B2781" s="1"/>
      <c r="C2781" s="1"/>
      <c r="D2781" s="1"/>
      <c r="E2781" s="1"/>
      <c r="F2781" s="1"/>
      <c r="G2781" s="1"/>
      <c r="H2781" s="1"/>
      <c r="I2781" s="1"/>
      <c r="J2781" s="1"/>
      <c r="K2781" s="1"/>
      <c r="L2781" s="1"/>
      <c r="M2781" s="1"/>
      <c r="N2781" s="1"/>
    </row>
    <row r="2782" ht="14.5" spans="2:14">
      <c r="B2782" s="1"/>
      <c r="C2782" s="1"/>
      <c r="D2782" s="1"/>
      <c r="E2782" s="1"/>
      <c r="F2782" s="1"/>
      <c r="G2782" s="1"/>
      <c r="H2782" s="1"/>
      <c r="I2782" s="1"/>
      <c r="J2782" s="1"/>
      <c r="K2782" s="1"/>
      <c r="L2782" s="1"/>
      <c r="M2782" s="1"/>
      <c r="N2782" s="1"/>
    </row>
    <row r="2783" ht="14.5" spans="2:14">
      <c r="B2783" s="1"/>
      <c r="C2783" s="1"/>
      <c r="D2783" s="1"/>
      <c r="E2783" s="1"/>
      <c r="F2783" s="1"/>
      <c r="G2783" s="1"/>
      <c r="H2783" s="1"/>
      <c r="I2783" s="1"/>
      <c r="J2783" s="1"/>
      <c r="K2783" s="1"/>
      <c r="L2783" s="1"/>
      <c r="M2783" s="1"/>
      <c r="N2783" s="1"/>
    </row>
    <row r="2784" ht="14.5" spans="2:14">
      <c r="B2784" s="1"/>
      <c r="C2784" s="1"/>
      <c r="D2784" s="1"/>
      <c r="E2784" s="1"/>
      <c r="F2784" s="1"/>
      <c r="G2784" s="1"/>
      <c r="H2784" s="1"/>
      <c r="I2784" s="1"/>
      <c r="J2784" s="1"/>
      <c r="K2784" s="1"/>
      <c r="L2784" s="1"/>
      <c r="M2784" s="1"/>
      <c r="N2784" s="1"/>
    </row>
    <row r="2785" ht="14.5" spans="2:14">
      <c r="B2785" s="1"/>
      <c r="C2785" s="1"/>
      <c r="D2785" s="1"/>
      <c r="E2785" s="1"/>
      <c r="F2785" s="1"/>
      <c r="G2785" s="1"/>
      <c r="H2785" s="1"/>
      <c r="I2785" s="1"/>
      <c r="J2785" s="1"/>
      <c r="K2785" s="1"/>
      <c r="L2785" s="1"/>
      <c r="M2785" s="1"/>
      <c r="N2785" s="1"/>
    </row>
    <row r="2786" ht="14.5" spans="2:14">
      <c r="B2786" s="1"/>
      <c r="C2786" s="1"/>
      <c r="D2786" s="1"/>
      <c r="E2786" s="1"/>
      <c r="F2786" s="1"/>
      <c r="G2786" s="1"/>
      <c r="H2786" s="1"/>
      <c r="I2786" s="1"/>
      <c r="J2786" s="1"/>
      <c r="K2786" s="1"/>
      <c r="L2786" s="1"/>
      <c r="M2786" s="1"/>
      <c r="N2786" s="1"/>
    </row>
    <row r="2787" ht="14.5" spans="2:14">
      <c r="B2787" s="1"/>
      <c r="C2787" s="1"/>
      <c r="D2787" s="1"/>
      <c r="E2787" s="1"/>
      <c r="F2787" s="1"/>
      <c r="G2787" s="1"/>
      <c r="H2787" s="1"/>
      <c r="I2787" s="1"/>
      <c r="J2787" s="1"/>
      <c r="K2787" s="1"/>
      <c r="L2787" s="1"/>
      <c r="M2787" s="1"/>
      <c r="N2787" s="1"/>
    </row>
    <row r="2788" ht="14.5" spans="2:14">
      <c r="B2788" s="1"/>
      <c r="C2788" s="1"/>
      <c r="D2788" s="1"/>
      <c r="E2788" s="1"/>
      <c r="F2788" s="1"/>
      <c r="G2788" s="1"/>
      <c r="H2788" s="1"/>
      <c r="I2788" s="1"/>
      <c r="J2788" s="1"/>
      <c r="K2788" s="1"/>
      <c r="L2788" s="1"/>
      <c r="M2788" s="1"/>
      <c r="N2788" s="1"/>
    </row>
    <row r="2789" ht="14.5" spans="2:14">
      <c r="B2789" s="1"/>
      <c r="C2789" s="1"/>
      <c r="D2789" s="1"/>
      <c r="E2789" s="1"/>
      <c r="F2789" s="1"/>
      <c r="G2789" s="1"/>
      <c r="H2789" s="1"/>
      <c r="I2789" s="1"/>
      <c r="J2789" s="1"/>
      <c r="K2789" s="1"/>
      <c r="L2789" s="1"/>
      <c r="M2789" s="1"/>
      <c r="N2789" s="1"/>
    </row>
    <row r="2790" ht="14.5" spans="2:14">
      <c r="B2790" s="1"/>
      <c r="C2790" s="1"/>
      <c r="D2790" s="1"/>
      <c r="E2790" s="1"/>
      <c r="F2790" s="1"/>
      <c r="G2790" s="1"/>
      <c r="H2790" s="1"/>
      <c r="I2790" s="1"/>
      <c r="J2790" s="1"/>
      <c r="K2790" s="1"/>
      <c r="L2790" s="1"/>
      <c r="M2790" s="1"/>
      <c r="N2790" s="1"/>
    </row>
    <row r="2791" ht="14.5" spans="2:14">
      <c r="B2791" s="1"/>
      <c r="C2791" s="1"/>
      <c r="D2791" s="1"/>
      <c r="E2791" s="1"/>
      <c r="F2791" s="1"/>
      <c r="G2791" s="1"/>
      <c r="H2791" s="1"/>
      <c r="I2791" s="1"/>
      <c r="J2791" s="1"/>
      <c r="K2791" s="1"/>
      <c r="L2791" s="1"/>
      <c r="M2791" s="1"/>
      <c r="N2791" s="1"/>
    </row>
    <row r="2792" ht="14.5" spans="2:14">
      <c r="B2792" s="1"/>
      <c r="C2792" s="1"/>
      <c r="D2792" s="1"/>
      <c r="E2792" s="1"/>
      <c r="F2792" s="1"/>
      <c r="G2792" s="1"/>
      <c r="H2792" s="1"/>
      <c r="I2792" s="1"/>
      <c r="J2792" s="1"/>
      <c r="K2792" s="1"/>
      <c r="L2792" s="1"/>
      <c r="M2792" s="1"/>
      <c r="N2792" s="1"/>
    </row>
    <row r="2793" ht="14.5" spans="2:14">
      <c r="B2793" s="1"/>
      <c r="C2793" s="1"/>
      <c r="D2793" s="1"/>
      <c r="E2793" s="1"/>
      <c r="F2793" s="1"/>
      <c r="G2793" s="1"/>
      <c r="H2793" s="1"/>
      <c r="I2793" s="1"/>
      <c r="J2793" s="1"/>
      <c r="K2793" s="1"/>
      <c r="L2793" s="1"/>
      <c r="M2793" s="1"/>
      <c r="N2793" s="1"/>
    </row>
    <row r="2794" ht="14.5" spans="2:14">
      <c r="B2794" s="1"/>
      <c r="C2794" s="1"/>
      <c r="D2794" s="1"/>
      <c r="E2794" s="1"/>
      <c r="F2794" s="1"/>
      <c r="G2794" s="1"/>
      <c r="H2794" s="1"/>
      <c r="I2794" s="1"/>
      <c r="J2794" s="1"/>
      <c r="K2794" s="1"/>
      <c r="L2794" s="1"/>
      <c r="M2794" s="1"/>
      <c r="N2794" s="1"/>
    </row>
    <row r="2795" ht="14.5" spans="2:14">
      <c r="B2795" s="1"/>
      <c r="C2795" s="1"/>
      <c r="D2795" s="1"/>
      <c r="E2795" s="1"/>
      <c r="F2795" s="1"/>
      <c r="G2795" s="1"/>
      <c r="H2795" s="1"/>
      <c r="I2795" s="1"/>
      <c r="J2795" s="1"/>
      <c r="K2795" s="1"/>
      <c r="L2795" s="1"/>
      <c r="M2795" s="1"/>
      <c r="N2795" s="1"/>
    </row>
    <row r="2796" ht="14.5" spans="2:14">
      <c r="B2796" s="1"/>
      <c r="C2796" s="1"/>
      <c r="D2796" s="1"/>
      <c r="E2796" s="1"/>
      <c r="F2796" s="1"/>
      <c r="G2796" s="1"/>
      <c r="H2796" s="1"/>
      <c r="I2796" s="1"/>
      <c r="J2796" s="1"/>
      <c r="K2796" s="1"/>
      <c r="L2796" s="1"/>
      <c r="M2796" s="1"/>
      <c r="N2796" s="1"/>
    </row>
    <row r="2797" ht="14.5" spans="2:14">
      <c r="B2797" s="1"/>
      <c r="C2797" s="1"/>
      <c r="D2797" s="1"/>
      <c r="E2797" s="1"/>
      <c r="F2797" s="1"/>
      <c r="G2797" s="1"/>
      <c r="H2797" s="1"/>
      <c r="I2797" s="1"/>
      <c r="J2797" s="1"/>
      <c r="K2797" s="1"/>
      <c r="L2797" s="1"/>
      <c r="M2797" s="1"/>
      <c r="N2797" s="1"/>
    </row>
    <row r="2798" ht="14.5" spans="2:14">
      <c r="B2798" s="1"/>
      <c r="C2798" s="1"/>
      <c r="D2798" s="1"/>
      <c r="E2798" s="1"/>
      <c r="F2798" s="1"/>
      <c r="G2798" s="1"/>
      <c r="H2798" s="1"/>
      <c r="I2798" s="1"/>
      <c r="J2798" s="1"/>
      <c r="K2798" s="1"/>
      <c r="L2798" s="1"/>
      <c r="M2798" s="1"/>
      <c r="N2798" s="1"/>
    </row>
    <row r="2799" ht="14.5" spans="2:14">
      <c r="B2799" s="1"/>
      <c r="C2799" s="1"/>
      <c r="D2799" s="1"/>
      <c r="E2799" s="1"/>
      <c r="F2799" s="1"/>
      <c r="G2799" s="1"/>
      <c r="H2799" s="1"/>
      <c r="I2799" s="1"/>
      <c r="J2799" s="1"/>
      <c r="K2799" s="1"/>
      <c r="L2799" s="1"/>
      <c r="M2799" s="1"/>
      <c r="N2799" s="1"/>
    </row>
    <row r="2800" ht="14.5" spans="2:14">
      <c r="B2800" s="1"/>
      <c r="C2800" s="1"/>
      <c r="D2800" s="1"/>
      <c r="E2800" s="1"/>
      <c r="F2800" s="1"/>
      <c r="G2800" s="1"/>
      <c r="H2800" s="1"/>
      <c r="I2800" s="1"/>
      <c r="J2800" s="1"/>
      <c r="K2800" s="1"/>
      <c r="L2800" s="1"/>
      <c r="M2800" s="1"/>
      <c r="N2800" s="1"/>
    </row>
    <row r="2801" ht="14.5" spans="2:14">
      <c r="B2801" s="1"/>
      <c r="C2801" s="1"/>
      <c r="D2801" s="1"/>
      <c r="E2801" s="1"/>
      <c r="F2801" s="1"/>
      <c r="G2801" s="1"/>
      <c r="H2801" s="1"/>
      <c r="I2801" s="1"/>
      <c r="J2801" s="1"/>
      <c r="K2801" s="1"/>
      <c r="L2801" s="1"/>
      <c r="M2801" s="1"/>
      <c r="N2801" s="1"/>
    </row>
    <row r="2802" ht="14.5" spans="2:14">
      <c r="B2802" s="1"/>
      <c r="C2802" s="1"/>
      <c r="D2802" s="1"/>
      <c r="E2802" s="1"/>
      <c r="F2802" s="1"/>
      <c r="G2802" s="1"/>
      <c r="H2802" s="1"/>
      <c r="I2802" s="1"/>
      <c r="J2802" s="1"/>
      <c r="K2802" s="1"/>
      <c r="L2802" s="1"/>
      <c r="M2802" s="1"/>
      <c r="N2802" s="1"/>
    </row>
    <row r="2803" ht="14.5" spans="2:14">
      <c r="B2803" s="1"/>
      <c r="C2803" s="1"/>
      <c r="D2803" s="1"/>
      <c r="E2803" s="1"/>
      <c r="F2803" s="1"/>
      <c r="G2803" s="1"/>
      <c r="H2803" s="1"/>
      <c r="I2803" s="1"/>
      <c r="J2803" s="1"/>
      <c r="K2803" s="1"/>
      <c r="L2803" s="1"/>
      <c r="M2803" s="1"/>
      <c r="N2803" s="1"/>
    </row>
    <row r="2804" ht="14.5" spans="2:14">
      <c r="B2804" s="1"/>
      <c r="C2804" s="1"/>
      <c r="D2804" s="1"/>
      <c r="E2804" s="1"/>
      <c r="F2804" s="1"/>
      <c r="G2804" s="1"/>
      <c r="H2804" s="1"/>
      <c r="I2804" s="1"/>
      <c r="J2804" s="1"/>
      <c r="K2804" s="1"/>
      <c r="L2804" s="1"/>
      <c r="M2804" s="1"/>
      <c r="N2804" s="1"/>
    </row>
    <row r="2805" ht="14.5" spans="2:14">
      <c r="B2805" s="1"/>
      <c r="C2805" s="1"/>
      <c r="D2805" s="1"/>
      <c r="E2805" s="1"/>
      <c r="F2805" s="1"/>
      <c r="G2805" s="1"/>
      <c r="H2805" s="1"/>
      <c r="I2805" s="1"/>
      <c r="J2805" s="1"/>
      <c r="K2805" s="1"/>
      <c r="L2805" s="1"/>
      <c r="M2805" s="1"/>
      <c r="N2805" s="1"/>
    </row>
    <row r="2806" ht="14.5" spans="2:14">
      <c r="B2806" s="1"/>
      <c r="C2806" s="1"/>
      <c r="D2806" s="1"/>
      <c r="E2806" s="1"/>
      <c r="F2806" s="1"/>
      <c r="G2806" s="1"/>
      <c r="H2806" s="1"/>
      <c r="I2806" s="1"/>
      <c r="J2806" s="1"/>
      <c r="K2806" s="1"/>
      <c r="L2806" s="1"/>
      <c r="M2806" s="1"/>
      <c r="N2806" s="1"/>
    </row>
    <row r="2807" ht="14.5" spans="2:14">
      <c r="B2807" s="1"/>
      <c r="C2807" s="1"/>
      <c r="D2807" s="1"/>
      <c r="E2807" s="1"/>
      <c r="F2807" s="1"/>
      <c r="G2807" s="1"/>
      <c r="H2807" s="1"/>
      <c r="I2807" s="1"/>
      <c r="J2807" s="1"/>
      <c r="K2807" s="1"/>
      <c r="L2807" s="1"/>
      <c r="M2807" s="1"/>
      <c r="N2807" s="1"/>
    </row>
    <row r="2808" ht="14.5" spans="2:14">
      <c r="B2808" s="1"/>
      <c r="C2808" s="1"/>
      <c r="D2808" s="1"/>
      <c r="E2808" s="1"/>
      <c r="F2808" s="1"/>
      <c r="G2808" s="1"/>
      <c r="H2808" s="1"/>
      <c r="I2808" s="1"/>
      <c r="J2808" s="1"/>
      <c r="K2808" s="1"/>
      <c r="L2808" s="1"/>
      <c r="M2808" s="1"/>
      <c r="N2808" s="1"/>
    </row>
    <row r="2809" ht="14.5" spans="2:14">
      <c r="B2809" s="1"/>
      <c r="C2809" s="1"/>
      <c r="D2809" s="1"/>
      <c r="E2809" s="1"/>
      <c r="F2809" s="1"/>
      <c r="G2809" s="1"/>
      <c r="H2809" s="1"/>
      <c r="I2809" s="1"/>
      <c r="J2809" s="1"/>
      <c r="K2809" s="1"/>
      <c r="L2809" s="1"/>
      <c r="M2809" s="1"/>
      <c r="N2809" s="1"/>
    </row>
    <row r="2810" ht="14.5" spans="2:14">
      <c r="B2810" s="1"/>
      <c r="C2810" s="1"/>
      <c r="D2810" s="1"/>
      <c r="E2810" s="1"/>
      <c r="F2810" s="1"/>
      <c r="G2810" s="1"/>
      <c r="H2810" s="1"/>
      <c r="I2810" s="1"/>
      <c r="J2810" s="1"/>
      <c r="K2810" s="1"/>
      <c r="L2810" s="1"/>
      <c r="M2810" s="1"/>
      <c r="N2810" s="1"/>
    </row>
    <row r="2811" ht="14.5" spans="2:14">
      <c r="B2811" s="1"/>
      <c r="C2811" s="1"/>
      <c r="D2811" s="1"/>
      <c r="E2811" s="1"/>
      <c r="F2811" s="1"/>
      <c r="G2811" s="1"/>
      <c r="H2811" s="1"/>
      <c r="I2811" s="1"/>
      <c r="J2811" s="1"/>
      <c r="K2811" s="1"/>
      <c r="L2811" s="1"/>
      <c r="M2811" s="1"/>
      <c r="N2811" s="1"/>
    </row>
    <row r="2812" ht="14.5" spans="2:14">
      <c r="B2812" s="1"/>
      <c r="C2812" s="1"/>
      <c r="D2812" s="1"/>
      <c r="E2812" s="1"/>
      <c r="F2812" s="1"/>
      <c r="G2812" s="1"/>
      <c r="H2812" s="1"/>
      <c r="I2812" s="1"/>
      <c r="J2812" s="1"/>
      <c r="K2812" s="1"/>
      <c r="L2812" s="1"/>
      <c r="M2812" s="1"/>
      <c r="N2812" s="1"/>
    </row>
    <row r="2813" ht="14.5" spans="2:14">
      <c r="B2813" s="1"/>
      <c r="C2813" s="1"/>
      <c r="D2813" s="1"/>
      <c r="E2813" s="1"/>
      <c r="F2813" s="1"/>
      <c r="G2813" s="1"/>
      <c r="H2813" s="1"/>
      <c r="I2813" s="1"/>
      <c r="J2813" s="1"/>
      <c r="K2813" s="1"/>
      <c r="L2813" s="1"/>
      <c r="M2813" s="1"/>
      <c r="N2813" s="1"/>
    </row>
    <row r="2814" ht="14.5" spans="2:14">
      <c r="B2814" s="1"/>
      <c r="C2814" s="1"/>
      <c r="D2814" s="1"/>
      <c r="E2814" s="1"/>
      <c r="F2814" s="1"/>
      <c r="G2814" s="1"/>
      <c r="H2814" s="1"/>
      <c r="I2814" s="1"/>
      <c r="J2814" s="1"/>
      <c r="K2814" s="1"/>
      <c r="L2814" s="1"/>
      <c r="M2814" s="1"/>
      <c r="N2814" s="1"/>
    </row>
    <row r="2815" ht="14.5" spans="2:14">
      <c r="B2815" s="1"/>
      <c r="C2815" s="1"/>
      <c r="D2815" s="1"/>
      <c r="E2815" s="1"/>
      <c r="F2815" s="1"/>
      <c r="G2815" s="1"/>
      <c r="H2815" s="1"/>
      <c r="I2815" s="1"/>
      <c r="J2815" s="1"/>
      <c r="K2815" s="1"/>
      <c r="L2815" s="1"/>
      <c r="M2815" s="1"/>
      <c r="N2815" s="1"/>
    </row>
    <row r="2816" ht="14.5" spans="2:14">
      <c r="B2816" s="1"/>
      <c r="C2816" s="1"/>
      <c r="D2816" s="1"/>
      <c r="E2816" s="1"/>
      <c r="F2816" s="1"/>
      <c r="G2816" s="1"/>
      <c r="H2816" s="1"/>
      <c r="I2816" s="1"/>
      <c r="J2816" s="1"/>
      <c r="K2816" s="1"/>
      <c r="L2816" s="1"/>
      <c r="M2816" s="1"/>
      <c r="N2816" s="1"/>
    </row>
    <row r="2817" ht="14.5" spans="2:14">
      <c r="B2817" s="1"/>
      <c r="C2817" s="1"/>
      <c r="D2817" s="1"/>
      <c r="E2817" s="1"/>
      <c r="F2817" s="1"/>
      <c r="G2817" s="1"/>
      <c r="H2817" s="1"/>
      <c r="I2817" s="1"/>
      <c r="J2817" s="1"/>
      <c r="K2817" s="1"/>
      <c r="L2817" s="1"/>
      <c r="M2817" s="1"/>
      <c r="N2817" s="1"/>
    </row>
    <row r="2818" ht="14.5" spans="2:14">
      <c r="B2818" s="1"/>
      <c r="C2818" s="1"/>
      <c r="D2818" s="1"/>
      <c r="E2818" s="1"/>
      <c r="F2818" s="1"/>
      <c r="G2818" s="1"/>
      <c r="H2818" s="1"/>
      <c r="I2818" s="1"/>
      <c r="J2818" s="1"/>
      <c r="K2818" s="1"/>
      <c r="L2818" s="1"/>
      <c r="M2818" s="1"/>
      <c r="N2818" s="1"/>
    </row>
    <row r="2819" ht="14.5" spans="2:14">
      <c r="B2819" s="1"/>
      <c r="C2819" s="1"/>
      <c r="D2819" s="1"/>
      <c r="E2819" s="1"/>
      <c r="F2819" s="1"/>
      <c r="G2819" s="1"/>
      <c r="H2819" s="1"/>
      <c r="I2819" s="1"/>
      <c r="J2819" s="1"/>
      <c r="K2819" s="1"/>
      <c r="L2819" s="1"/>
      <c r="M2819" s="1"/>
      <c r="N2819" s="1"/>
    </row>
    <row r="2820" ht="14.5" spans="2:14">
      <c r="B2820" s="1"/>
      <c r="C2820" s="1"/>
      <c r="D2820" s="1"/>
      <c r="E2820" s="1"/>
      <c r="F2820" s="1"/>
      <c r="G2820" s="1"/>
      <c r="H2820" s="1"/>
      <c r="I2820" s="1"/>
      <c r="J2820" s="1"/>
      <c r="K2820" s="1"/>
      <c r="L2820" s="1"/>
      <c r="M2820" s="1"/>
      <c r="N2820" s="1"/>
    </row>
    <row r="2821" ht="14.5" spans="2:14">
      <c r="B2821" s="1"/>
      <c r="C2821" s="1"/>
      <c r="D2821" s="1"/>
      <c r="E2821" s="1"/>
      <c r="F2821" s="1"/>
      <c r="G2821" s="1"/>
      <c r="H2821" s="1"/>
      <c r="I2821" s="1"/>
      <c r="J2821" s="1"/>
      <c r="K2821" s="1"/>
      <c r="L2821" s="1"/>
      <c r="M2821" s="1"/>
      <c r="N2821" s="1"/>
    </row>
    <row r="2822" ht="14.5" spans="2:14">
      <c r="B2822" s="1"/>
      <c r="C2822" s="1"/>
      <c r="D2822" s="1"/>
      <c r="E2822" s="1"/>
      <c r="F2822" s="1"/>
      <c r="G2822" s="1"/>
      <c r="H2822" s="1"/>
      <c r="I2822" s="1"/>
      <c r="J2822" s="1"/>
      <c r="K2822" s="1"/>
      <c r="L2822" s="1"/>
      <c r="M2822" s="1"/>
      <c r="N2822" s="1"/>
    </row>
    <row r="2823" ht="14.5" spans="2:14">
      <c r="B2823" s="1"/>
      <c r="C2823" s="1"/>
      <c r="D2823" s="1"/>
      <c r="E2823" s="1"/>
      <c r="F2823" s="1"/>
      <c r="G2823" s="1"/>
      <c r="H2823" s="1"/>
      <c r="I2823" s="1"/>
      <c r="J2823" s="1"/>
      <c r="K2823" s="1"/>
      <c r="L2823" s="1"/>
      <c r="M2823" s="1"/>
      <c r="N2823" s="1"/>
    </row>
    <row r="2824" ht="14.5" spans="2:14">
      <c r="B2824" s="1"/>
      <c r="C2824" s="1"/>
      <c r="D2824" s="1"/>
      <c r="E2824" s="1"/>
      <c r="F2824" s="1"/>
      <c r="G2824" s="1"/>
      <c r="H2824" s="1"/>
      <c r="I2824" s="1"/>
      <c r="J2824" s="1"/>
      <c r="K2824" s="1"/>
      <c r="L2824" s="1"/>
      <c r="M2824" s="1"/>
      <c r="N2824" s="1"/>
    </row>
    <row r="2825" ht="14.5" spans="2:14">
      <c r="B2825" s="1"/>
      <c r="C2825" s="1"/>
      <c r="D2825" s="1"/>
      <c r="E2825" s="1"/>
      <c r="F2825" s="1"/>
      <c r="G2825" s="1"/>
      <c r="H2825" s="1"/>
      <c r="I2825" s="1"/>
      <c r="J2825" s="1"/>
      <c r="K2825" s="1"/>
      <c r="L2825" s="1"/>
      <c r="M2825" s="1"/>
      <c r="N2825" s="1"/>
    </row>
    <row r="2826" ht="14.5" spans="2:14">
      <c r="B2826" s="1"/>
      <c r="C2826" s="1"/>
      <c r="D2826" s="1"/>
      <c r="E2826" s="1"/>
      <c r="F2826" s="1"/>
      <c r="G2826" s="1"/>
      <c r="H2826" s="1"/>
      <c r="I2826" s="1"/>
      <c r="J2826" s="1"/>
      <c r="K2826" s="1"/>
      <c r="L2826" s="1"/>
      <c r="M2826" s="1"/>
      <c r="N2826" s="1"/>
    </row>
    <row r="2827" ht="14.5" spans="2:14">
      <c r="B2827" s="1"/>
      <c r="C2827" s="1"/>
      <c r="D2827" s="1"/>
      <c r="E2827" s="1"/>
      <c r="F2827" s="1"/>
      <c r="G2827" s="1"/>
      <c r="H2827" s="1"/>
      <c r="I2827" s="1"/>
      <c r="J2827" s="1"/>
      <c r="K2827" s="1"/>
      <c r="L2827" s="1"/>
      <c r="M2827" s="1"/>
      <c r="N2827" s="1"/>
    </row>
    <row r="2828" ht="14.5" spans="2:14">
      <c r="B2828" s="1"/>
      <c r="C2828" s="1"/>
      <c r="D2828" s="1"/>
      <c r="E2828" s="1"/>
      <c r="F2828" s="1"/>
      <c r="G2828" s="1"/>
      <c r="H2828" s="1"/>
      <c r="I2828" s="1"/>
      <c r="J2828" s="1"/>
      <c r="K2828" s="1"/>
      <c r="L2828" s="1"/>
      <c r="M2828" s="1"/>
      <c r="N2828" s="1"/>
    </row>
    <row r="2829" ht="14.5" spans="2:14">
      <c r="B2829" s="1"/>
      <c r="C2829" s="1"/>
      <c r="D2829" s="1"/>
      <c r="E2829" s="1"/>
      <c r="F2829" s="1"/>
      <c r="G2829" s="1"/>
      <c r="H2829" s="1"/>
      <c r="I2829" s="1"/>
      <c r="J2829" s="1"/>
      <c r="K2829" s="1"/>
      <c r="L2829" s="1"/>
      <c r="M2829" s="1"/>
      <c r="N2829" s="1"/>
    </row>
    <row r="2830" ht="14.5" spans="2:14">
      <c r="B2830" s="1"/>
      <c r="C2830" s="1"/>
      <c r="D2830" s="1"/>
      <c r="E2830" s="1"/>
      <c r="F2830" s="1"/>
      <c r="G2830" s="1"/>
      <c r="H2830" s="1"/>
      <c r="I2830" s="1"/>
      <c r="J2830" s="1"/>
      <c r="K2830" s="1"/>
      <c r="L2830" s="1"/>
      <c r="M2830" s="1"/>
      <c r="N2830" s="1"/>
    </row>
    <row r="2831" ht="14.5" spans="2:14">
      <c r="B2831" s="1"/>
      <c r="C2831" s="1"/>
      <c r="D2831" s="1"/>
      <c r="E2831" s="1"/>
      <c r="F2831" s="1"/>
      <c r="G2831" s="1"/>
      <c r="H2831" s="1"/>
      <c r="I2831" s="1"/>
      <c r="J2831" s="1"/>
      <c r="K2831" s="1"/>
      <c r="L2831" s="1"/>
      <c r="M2831" s="1"/>
      <c r="N2831" s="1"/>
    </row>
    <row r="2832" ht="14.5" spans="2:14">
      <c r="B2832" s="1"/>
      <c r="C2832" s="1"/>
      <c r="D2832" s="1"/>
      <c r="E2832" s="1"/>
      <c r="F2832" s="1"/>
      <c r="G2832" s="1"/>
      <c r="H2832" s="1"/>
      <c r="I2832" s="1"/>
      <c r="J2832" s="1"/>
      <c r="K2832" s="1"/>
      <c r="L2832" s="1"/>
      <c r="M2832" s="1"/>
      <c r="N2832" s="1"/>
    </row>
    <row r="2833" ht="14.5" spans="2:14">
      <c r="B2833" s="1"/>
      <c r="C2833" s="1"/>
      <c r="D2833" s="1"/>
      <c r="E2833" s="1"/>
      <c r="F2833" s="1"/>
      <c r="G2833" s="1"/>
      <c r="H2833" s="1"/>
      <c r="I2833" s="1"/>
      <c r="J2833" s="1"/>
      <c r="K2833" s="1"/>
      <c r="L2833" s="1"/>
      <c r="M2833" s="1"/>
      <c r="N2833" s="1"/>
    </row>
    <row r="2834" ht="14.5" spans="2:14">
      <c r="B2834" s="1"/>
      <c r="C2834" s="1"/>
      <c r="D2834" s="1"/>
      <c r="E2834" s="1"/>
      <c r="F2834" s="1"/>
      <c r="G2834" s="1"/>
      <c r="H2834" s="1"/>
      <c r="I2834" s="1"/>
      <c r="J2834" s="1"/>
      <c r="K2834" s="1"/>
      <c r="L2834" s="1"/>
      <c r="M2834" s="1"/>
      <c r="N2834" s="1"/>
    </row>
    <row r="2835" ht="14.5" spans="2:14">
      <c r="B2835" s="1"/>
      <c r="C2835" s="1"/>
      <c r="D2835" s="1"/>
      <c r="E2835" s="1"/>
      <c r="F2835" s="1"/>
      <c r="G2835" s="1"/>
      <c r="H2835" s="1"/>
      <c r="I2835" s="1"/>
      <c r="J2835" s="1"/>
      <c r="K2835" s="1"/>
      <c r="L2835" s="1"/>
      <c r="M2835" s="1"/>
      <c r="N2835" s="1"/>
    </row>
    <row r="2836" ht="14.5" spans="2:14">
      <c r="B2836" s="1"/>
      <c r="C2836" s="1"/>
      <c r="D2836" s="1"/>
      <c r="E2836" s="1"/>
      <c r="F2836" s="1"/>
      <c r="G2836" s="1"/>
      <c r="H2836" s="1"/>
      <c r="I2836" s="1"/>
      <c r="J2836" s="1"/>
      <c r="K2836" s="1"/>
      <c r="L2836" s="1"/>
      <c r="M2836" s="1"/>
      <c r="N2836" s="1"/>
    </row>
    <row r="2837" ht="14.5" spans="2:14">
      <c r="B2837" s="1"/>
      <c r="C2837" s="1"/>
      <c r="D2837" s="1"/>
      <c r="E2837" s="1"/>
      <c r="F2837" s="1"/>
      <c r="G2837" s="1"/>
      <c r="H2837" s="1"/>
      <c r="I2837" s="1"/>
      <c r="J2837" s="1"/>
      <c r="K2837" s="1"/>
      <c r="L2837" s="1"/>
      <c r="M2837" s="1"/>
      <c r="N2837" s="1"/>
    </row>
    <row r="2838" ht="14.5" spans="2:14">
      <c r="B2838" s="1"/>
      <c r="C2838" s="1"/>
      <c r="D2838" s="1"/>
      <c r="E2838" s="1"/>
      <c r="F2838" s="1"/>
      <c r="G2838" s="1"/>
      <c r="H2838" s="1"/>
      <c r="I2838" s="1"/>
      <c r="J2838" s="1"/>
      <c r="K2838" s="1"/>
      <c r="L2838" s="1"/>
      <c r="M2838" s="1"/>
      <c r="N2838" s="1"/>
    </row>
    <row r="2839" ht="14.5" spans="2:14">
      <c r="B2839" s="1"/>
      <c r="C2839" s="1"/>
      <c r="D2839" s="1"/>
      <c r="E2839" s="1"/>
      <c r="F2839" s="1"/>
      <c r="G2839" s="1"/>
      <c r="H2839" s="1"/>
      <c r="I2839" s="1"/>
      <c r="J2839" s="1"/>
      <c r="K2839" s="1"/>
      <c r="L2839" s="1"/>
      <c r="M2839" s="1"/>
      <c r="N2839" s="1"/>
    </row>
    <row r="2840" ht="14.5" spans="2:14">
      <c r="B2840" s="1"/>
      <c r="C2840" s="1"/>
      <c r="D2840" s="1"/>
      <c r="E2840" s="1"/>
      <c r="F2840" s="1"/>
      <c r="G2840" s="1"/>
      <c r="H2840" s="1"/>
      <c r="I2840" s="1"/>
      <c r="J2840" s="1"/>
      <c r="K2840" s="1"/>
      <c r="L2840" s="1"/>
      <c r="M2840" s="1"/>
      <c r="N2840" s="1"/>
    </row>
    <row r="2841" ht="14.5" spans="2:14">
      <c r="B2841" s="1"/>
      <c r="C2841" s="1"/>
      <c r="D2841" s="1"/>
      <c r="E2841" s="1"/>
      <c r="F2841" s="1"/>
      <c r="G2841" s="1"/>
      <c r="H2841" s="1"/>
      <c r="I2841" s="1"/>
      <c r="J2841" s="1"/>
      <c r="K2841" s="1"/>
      <c r="L2841" s="1"/>
      <c r="M2841" s="1"/>
      <c r="N2841" s="1"/>
    </row>
    <row r="2842" ht="14.5" spans="2:14">
      <c r="B2842" s="1"/>
      <c r="C2842" s="1"/>
      <c r="D2842" s="1"/>
      <c r="E2842" s="1"/>
      <c r="F2842" s="1"/>
      <c r="G2842" s="1"/>
      <c r="H2842" s="1"/>
      <c r="I2842" s="1"/>
      <c r="J2842" s="1"/>
      <c r="K2842" s="1"/>
      <c r="L2842" s="1"/>
      <c r="M2842" s="1"/>
      <c r="N2842" s="1"/>
    </row>
    <row r="2843" ht="14.5" spans="2:14">
      <c r="B2843" s="1"/>
      <c r="C2843" s="1"/>
      <c r="D2843" s="1"/>
      <c r="E2843" s="1"/>
      <c r="F2843" s="1"/>
      <c r="G2843" s="1"/>
      <c r="H2843" s="1"/>
      <c r="I2843" s="1"/>
      <c r="J2843" s="1"/>
      <c r="K2843" s="1"/>
      <c r="L2843" s="1"/>
      <c r="M2843" s="1"/>
      <c r="N2843" s="1"/>
    </row>
    <row r="2844" ht="14.5" spans="2:14">
      <c r="B2844" s="1"/>
      <c r="C2844" s="1"/>
      <c r="D2844" s="1"/>
      <c r="E2844" s="1"/>
      <c r="F2844" s="1"/>
      <c r="G2844" s="1"/>
      <c r="H2844" s="1"/>
      <c r="I2844" s="1"/>
      <c r="J2844" s="1"/>
      <c r="K2844" s="1"/>
      <c r="L2844" s="1"/>
      <c r="M2844" s="1"/>
      <c r="N2844" s="1"/>
    </row>
    <row r="2845" ht="14.5" spans="2:14">
      <c r="B2845" s="1"/>
      <c r="C2845" s="1"/>
      <c r="D2845" s="1"/>
      <c r="E2845" s="1"/>
      <c r="F2845" s="1"/>
      <c r="G2845" s="1"/>
      <c r="H2845" s="1"/>
      <c r="I2845" s="1"/>
      <c r="J2845" s="1"/>
      <c r="K2845" s="1"/>
      <c r="L2845" s="1"/>
      <c r="M2845" s="1"/>
      <c r="N2845" s="1"/>
    </row>
    <row r="2846" ht="14.5" spans="2:14">
      <c r="B2846" s="1"/>
      <c r="C2846" s="1"/>
      <c r="D2846" s="1"/>
      <c r="E2846" s="1"/>
      <c r="F2846" s="1"/>
      <c r="G2846" s="1"/>
      <c r="H2846" s="1"/>
      <c r="I2846" s="1"/>
      <c r="J2846" s="1"/>
      <c r="K2846" s="1"/>
      <c r="L2846" s="1"/>
      <c r="M2846" s="1"/>
      <c r="N2846" s="1"/>
    </row>
    <row r="2847" ht="14.5" spans="2:14">
      <c r="B2847" s="1"/>
      <c r="C2847" s="1"/>
      <c r="D2847" s="1"/>
      <c r="E2847" s="1"/>
      <c r="F2847" s="1"/>
      <c r="G2847" s="1"/>
      <c r="H2847" s="1"/>
      <c r="I2847" s="1"/>
      <c r="J2847" s="1"/>
      <c r="K2847" s="1"/>
      <c r="L2847" s="1"/>
      <c r="M2847" s="1"/>
      <c r="N2847" s="1"/>
    </row>
    <row r="2848" ht="14.5" spans="2:14">
      <c r="B2848" s="1"/>
      <c r="C2848" s="1"/>
      <c r="D2848" s="1"/>
      <c r="E2848" s="1"/>
      <c r="F2848" s="1"/>
      <c r="G2848" s="1"/>
      <c r="H2848" s="1"/>
      <c r="I2848" s="1"/>
      <c r="J2848" s="1"/>
      <c r="K2848" s="1"/>
      <c r="L2848" s="1"/>
      <c r="M2848" s="1"/>
      <c r="N2848" s="1"/>
    </row>
    <row r="2849" ht="14.5" spans="2:14">
      <c r="B2849" s="1"/>
      <c r="C2849" s="1"/>
      <c r="D2849" s="1"/>
      <c r="E2849" s="1"/>
      <c r="F2849" s="1"/>
      <c r="G2849" s="1"/>
      <c r="H2849" s="1"/>
      <c r="I2849" s="1"/>
      <c r="J2849" s="1"/>
      <c r="K2849" s="1"/>
      <c r="L2849" s="1"/>
      <c r="M2849" s="1"/>
      <c r="N2849" s="1"/>
    </row>
    <row r="2850" ht="14.5" spans="2:14">
      <c r="B2850" s="1"/>
      <c r="C2850" s="1"/>
      <c r="D2850" s="1"/>
      <c r="E2850" s="1"/>
      <c r="F2850" s="1"/>
      <c r="G2850" s="1"/>
      <c r="H2850" s="1"/>
      <c r="I2850" s="1"/>
      <c r="J2850" s="1"/>
      <c r="K2850" s="1"/>
      <c r="L2850" s="1"/>
      <c r="M2850" s="1"/>
      <c r="N2850" s="1"/>
    </row>
    <row r="2851" ht="14.5" spans="2:14">
      <c r="B2851" s="1"/>
      <c r="C2851" s="1"/>
      <c r="D2851" s="1"/>
      <c r="E2851" s="1"/>
      <c r="F2851" s="1"/>
      <c r="G2851" s="1"/>
      <c r="H2851" s="1"/>
      <c r="I2851" s="1"/>
      <c r="J2851" s="1"/>
      <c r="K2851" s="1"/>
      <c r="L2851" s="1"/>
      <c r="M2851" s="1"/>
      <c r="N2851" s="1"/>
    </row>
    <row r="2852" ht="14.5" spans="2:14">
      <c r="B2852" s="1"/>
      <c r="C2852" s="1"/>
      <c r="D2852" s="1"/>
      <c r="E2852" s="1"/>
      <c r="F2852" s="1"/>
      <c r="G2852" s="1"/>
      <c r="H2852" s="1"/>
      <c r="I2852" s="1"/>
      <c r="J2852" s="1"/>
      <c r="K2852" s="1"/>
      <c r="L2852" s="1"/>
      <c r="M2852" s="1"/>
      <c r="N2852" s="1"/>
    </row>
    <row r="2853" ht="14.5" spans="2:14">
      <c r="B2853" s="1"/>
      <c r="C2853" s="1"/>
      <c r="D2853" s="1"/>
      <c r="E2853" s="1"/>
      <c r="F2853" s="1"/>
      <c r="G2853" s="1"/>
      <c r="H2853" s="1"/>
      <c r="I2853" s="1"/>
      <c r="J2853" s="1"/>
      <c r="K2853" s="1"/>
      <c r="L2853" s="1"/>
      <c r="M2853" s="1"/>
      <c r="N2853" s="1"/>
    </row>
    <row r="2854" ht="14.5" spans="2:14">
      <c r="B2854" s="1"/>
      <c r="C2854" s="1"/>
      <c r="D2854" s="1"/>
      <c r="E2854" s="1"/>
      <c r="F2854" s="1"/>
      <c r="G2854" s="1"/>
      <c r="H2854" s="1"/>
      <c r="I2854" s="1"/>
      <c r="J2854" s="1"/>
      <c r="K2854" s="1"/>
      <c r="L2854" s="1"/>
      <c r="M2854" s="1"/>
      <c r="N2854" s="1"/>
    </row>
    <row r="2855" ht="14.5" spans="2:14">
      <c r="B2855" s="1"/>
      <c r="C2855" s="1"/>
      <c r="D2855" s="1"/>
      <c r="E2855" s="1"/>
      <c r="F2855" s="1"/>
      <c r="G2855" s="1"/>
      <c r="H2855" s="1"/>
      <c r="I2855" s="1"/>
      <c r="J2855" s="1"/>
      <c r="K2855" s="1"/>
      <c r="L2855" s="1"/>
      <c r="M2855" s="1"/>
      <c r="N2855" s="1"/>
    </row>
    <row r="2856" ht="14.5" spans="2:14">
      <c r="B2856" s="1"/>
      <c r="C2856" s="1"/>
      <c r="D2856" s="1"/>
      <c r="E2856" s="1"/>
      <c r="F2856" s="1"/>
      <c r="G2856" s="1"/>
      <c r="H2856" s="1"/>
      <c r="I2856" s="1"/>
      <c r="J2856" s="1"/>
      <c r="K2856" s="1"/>
      <c r="L2856" s="1"/>
      <c r="M2856" s="1"/>
      <c r="N2856" s="1"/>
    </row>
    <row r="2857" ht="14.5" spans="2:14">
      <c r="B2857" s="1"/>
      <c r="C2857" s="1"/>
      <c r="D2857" s="1"/>
      <c r="E2857" s="1"/>
      <c r="F2857" s="1"/>
      <c r="G2857" s="1"/>
      <c r="H2857" s="1"/>
      <c r="I2857" s="1"/>
      <c r="J2857" s="1"/>
      <c r="K2857" s="1"/>
      <c r="L2857" s="1"/>
      <c r="M2857" s="1"/>
      <c r="N2857" s="1"/>
    </row>
    <row r="2858" ht="14.5" spans="2:14">
      <c r="B2858" s="1"/>
      <c r="C2858" s="1"/>
      <c r="D2858" s="1"/>
      <c r="E2858" s="1"/>
      <c r="F2858" s="1"/>
      <c r="G2858" s="1"/>
      <c r="H2858" s="1"/>
      <c r="I2858" s="1"/>
      <c r="J2858" s="1"/>
      <c r="K2858" s="1"/>
      <c r="L2858" s="1"/>
      <c r="M2858" s="1"/>
      <c r="N2858" s="1"/>
    </row>
    <row r="2859" ht="14.5" spans="2:14">
      <c r="B2859" s="1"/>
      <c r="C2859" s="1"/>
      <c r="D2859" s="1"/>
      <c r="E2859" s="1"/>
      <c r="F2859" s="1"/>
      <c r="G2859" s="1"/>
      <c r="H2859" s="1"/>
      <c r="I2859" s="1"/>
      <c r="J2859" s="1"/>
      <c r="K2859" s="1"/>
      <c r="L2859" s="1"/>
      <c r="M2859" s="1"/>
      <c r="N2859" s="1"/>
    </row>
    <row r="2860" ht="14.5" spans="2:14">
      <c r="B2860" s="1"/>
      <c r="C2860" s="1"/>
      <c r="D2860" s="1"/>
      <c r="E2860" s="1"/>
      <c r="F2860" s="1"/>
      <c r="G2860" s="1"/>
      <c r="H2860" s="1"/>
      <c r="I2860" s="1"/>
      <c r="J2860" s="1"/>
      <c r="K2860" s="1"/>
      <c r="L2860" s="1"/>
      <c r="M2860" s="1"/>
      <c r="N2860" s="1"/>
    </row>
    <row r="2861" ht="14.5" spans="2:14">
      <c r="B2861" s="1"/>
      <c r="C2861" s="1"/>
      <c r="D2861" s="1"/>
      <c r="E2861" s="1"/>
      <c r="F2861" s="1"/>
      <c r="G2861" s="1"/>
      <c r="H2861" s="1"/>
      <c r="I2861" s="1"/>
      <c r="J2861" s="1"/>
      <c r="K2861" s="1"/>
      <c r="L2861" s="1"/>
      <c r="M2861" s="1"/>
      <c r="N2861" s="1"/>
    </row>
    <row r="2862" ht="14.5" spans="2:14">
      <c r="B2862" s="1"/>
      <c r="C2862" s="1"/>
      <c r="D2862" s="1"/>
      <c r="E2862" s="1"/>
      <c r="F2862" s="1"/>
      <c r="G2862" s="1"/>
      <c r="H2862" s="1"/>
      <c r="I2862" s="1"/>
      <c r="J2862" s="1"/>
      <c r="K2862" s="1"/>
      <c r="L2862" s="1"/>
      <c r="M2862" s="1"/>
      <c r="N2862" s="1"/>
    </row>
    <row r="2863" ht="14.5" spans="2:14">
      <c r="B2863" s="1"/>
      <c r="C2863" s="1"/>
      <c r="D2863" s="1"/>
      <c r="E2863" s="1"/>
      <c r="F2863" s="1"/>
      <c r="G2863" s="1"/>
      <c r="H2863" s="1"/>
      <c r="I2863" s="1"/>
      <c r="J2863" s="1"/>
      <c r="K2863" s="1"/>
      <c r="L2863" s="1"/>
      <c r="M2863" s="1"/>
      <c r="N2863" s="1"/>
    </row>
    <row r="2864" ht="14.5" spans="2:14">
      <c r="B2864" s="1"/>
      <c r="C2864" s="1"/>
      <c r="D2864" s="1"/>
      <c r="E2864" s="1"/>
      <c r="F2864" s="1"/>
      <c r="G2864" s="1"/>
      <c r="H2864" s="1"/>
      <c r="I2864" s="1"/>
      <c r="J2864" s="1"/>
      <c r="K2864" s="1"/>
      <c r="L2864" s="1"/>
      <c r="M2864" s="1"/>
      <c r="N2864" s="1"/>
    </row>
    <row r="2865" ht="14.5" spans="2:14">
      <c r="B2865" s="1"/>
      <c r="C2865" s="1"/>
      <c r="D2865" s="1"/>
      <c r="E2865" s="1"/>
      <c r="F2865" s="1"/>
      <c r="G2865" s="1"/>
      <c r="H2865" s="1"/>
      <c r="I2865" s="1"/>
      <c r="J2865" s="1"/>
      <c r="K2865" s="1"/>
      <c r="L2865" s="1"/>
      <c r="M2865" s="1"/>
      <c r="N2865" s="1"/>
    </row>
    <row r="2866" ht="14.5" spans="2:14">
      <c r="B2866" s="1"/>
      <c r="C2866" s="1"/>
      <c r="D2866" s="1"/>
      <c r="E2866" s="1"/>
      <c r="F2866" s="1"/>
      <c r="G2866" s="1"/>
      <c r="H2866" s="1"/>
      <c r="I2866" s="1"/>
      <c r="J2866" s="1"/>
      <c r="K2866" s="1"/>
      <c r="L2866" s="1"/>
      <c r="M2866" s="1"/>
      <c r="N2866" s="1"/>
    </row>
    <row r="2867" ht="14.5" spans="2:14">
      <c r="B2867" s="1"/>
      <c r="C2867" s="1"/>
      <c r="D2867" s="1"/>
      <c r="E2867" s="1"/>
      <c r="F2867" s="1"/>
      <c r="G2867" s="1"/>
      <c r="H2867" s="1"/>
      <c r="I2867" s="1"/>
      <c r="J2867" s="1"/>
      <c r="K2867" s="1"/>
      <c r="L2867" s="1"/>
      <c r="M2867" s="1"/>
      <c r="N2867" s="1"/>
    </row>
    <row r="2868" ht="14.5" spans="2:14">
      <c r="B2868" s="1"/>
      <c r="C2868" s="1"/>
      <c r="D2868" s="1"/>
      <c r="E2868" s="1"/>
      <c r="F2868" s="1"/>
      <c r="G2868" s="1"/>
      <c r="H2868" s="1"/>
      <c r="I2868" s="1"/>
      <c r="J2868" s="1"/>
      <c r="K2868" s="1"/>
      <c r="L2868" s="1"/>
      <c r="M2868" s="1"/>
      <c r="N2868" s="1"/>
    </row>
    <row r="2869" ht="14.5" spans="2:14">
      <c r="B2869" s="1"/>
      <c r="C2869" s="1"/>
      <c r="D2869" s="1"/>
      <c r="E2869" s="1"/>
      <c r="F2869" s="1"/>
      <c r="G2869" s="1"/>
      <c r="H2869" s="1"/>
      <c r="I2869" s="1"/>
      <c r="J2869" s="1"/>
      <c r="K2869" s="1"/>
      <c r="L2869" s="1"/>
      <c r="M2869" s="1"/>
      <c r="N2869" s="1"/>
    </row>
    <row r="2870" ht="14.5" spans="2:14">
      <c r="B2870" s="1"/>
      <c r="C2870" s="1"/>
      <c r="D2870" s="1"/>
      <c r="E2870" s="1"/>
      <c r="F2870" s="1"/>
      <c r="G2870" s="1"/>
      <c r="H2870" s="1"/>
      <c r="I2870" s="1"/>
      <c r="J2870" s="1"/>
      <c r="K2870" s="1"/>
      <c r="L2870" s="1"/>
      <c r="M2870" s="1"/>
      <c r="N2870" s="1"/>
    </row>
    <row r="2871" ht="14.5" spans="2:14">
      <c r="B2871" s="1"/>
      <c r="C2871" s="1"/>
      <c r="D2871" s="1"/>
      <c r="E2871" s="1"/>
      <c r="F2871" s="1"/>
      <c r="G2871" s="1"/>
      <c r="H2871" s="1"/>
      <c r="I2871" s="1"/>
      <c r="J2871" s="1"/>
      <c r="K2871" s="1"/>
      <c r="L2871" s="1"/>
      <c r="M2871" s="1"/>
      <c r="N2871" s="1"/>
    </row>
    <row r="2872" ht="14.5" spans="2:14">
      <c r="B2872" s="1"/>
      <c r="C2872" s="1"/>
      <c r="D2872" s="1"/>
      <c r="E2872" s="1"/>
      <c r="F2872" s="1"/>
      <c r="G2872" s="1"/>
      <c r="H2872" s="1"/>
      <c r="I2872" s="1"/>
      <c r="J2872" s="1"/>
      <c r="K2872" s="1"/>
      <c r="L2872" s="1"/>
      <c r="M2872" s="1"/>
      <c r="N2872" s="1"/>
    </row>
    <row r="2873" ht="14.5" spans="2:14">
      <c r="B2873" s="1"/>
      <c r="C2873" s="1"/>
      <c r="D2873" s="1"/>
      <c r="E2873" s="1"/>
      <c r="F2873" s="1"/>
      <c r="G2873" s="1"/>
      <c r="H2873" s="1"/>
      <c r="I2873" s="1"/>
      <c r="J2873" s="1"/>
      <c r="K2873" s="1"/>
      <c r="L2873" s="1"/>
      <c r="M2873" s="1"/>
      <c r="N2873" s="1"/>
    </row>
    <row r="2874" ht="14.5" spans="2:14">
      <c r="B2874" s="1"/>
      <c r="C2874" s="1"/>
      <c r="D2874" s="1"/>
      <c r="E2874" s="1"/>
      <c r="F2874" s="1"/>
      <c r="G2874" s="1"/>
      <c r="H2874" s="1"/>
      <c r="I2874" s="1"/>
      <c r="J2874" s="1"/>
      <c r="K2874" s="1"/>
      <c r="L2874" s="1"/>
      <c r="M2874" s="1"/>
      <c r="N2874" s="1"/>
    </row>
    <row r="2875" ht="14.5" spans="2:14">
      <c r="B2875" s="1"/>
      <c r="C2875" s="1"/>
      <c r="D2875" s="1"/>
      <c r="E2875" s="1"/>
      <c r="F2875" s="1"/>
      <c r="G2875" s="1"/>
      <c r="H2875" s="1"/>
      <c r="I2875" s="1"/>
      <c r="J2875" s="1"/>
      <c r="K2875" s="1"/>
      <c r="L2875" s="1"/>
      <c r="M2875" s="1"/>
      <c r="N2875" s="1"/>
    </row>
    <row r="2876" ht="14.5" spans="2:14">
      <c r="B2876" s="1"/>
      <c r="C2876" s="1"/>
      <c r="D2876" s="1"/>
      <c r="E2876" s="1"/>
      <c r="F2876" s="1"/>
      <c r="G2876" s="1"/>
      <c r="H2876" s="1"/>
      <c r="I2876" s="1"/>
      <c r="J2876" s="1"/>
      <c r="K2876" s="1"/>
      <c r="L2876" s="1"/>
      <c r="M2876" s="1"/>
      <c r="N2876" s="1"/>
    </row>
    <row r="2877" ht="14.5" spans="2:14">
      <c r="B2877" s="1"/>
      <c r="C2877" s="1"/>
      <c r="D2877" s="1"/>
      <c r="E2877" s="1"/>
      <c r="F2877" s="1"/>
      <c r="G2877" s="1"/>
      <c r="H2877" s="1"/>
      <c r="I2877" s="1"/>
      <c r="J2877" s="1"/>
      <c r="K2877" s="1"/>
      <c r="L2877" s="1"/>
      <c r="M2877" s="1"/>
      <c r="N2877" s="1"/>
    </row>
    <row r="2878" ht="14.5" spans="2:14">
      <c r="B2878" s="1"/>
      <c r="C2878" s="1"/>
      <c r="D2878" s="1"/>
      <c r="E2878" s="1"/>
      <c r="F2878" s="1"/>
      <c r="G2878" s="1"/>
      <c r="H2878" s="1"/>
      <c r="I2878" s="1"/>
      <c r="J2878" s="1"/>
      <c r="K2878" s="1"/>
      <c r="L2878" s="1"/>
      <c r="M2878" s="1"/>
      <c r="N2878" s="1"/>
    </row>
    <row r="2879" ht="14.5" spans="2:14">
      <c r="B2879" s="1"/>
      <c r="C2879" s="1"/>
      <c r="D2879" s="1"/>
      <c r="E2879" s="1"/>
      <c r="F2879" s="1"/>
      <c r="G2879" s="1"/>
      <c r="H2879" s="1"/>
      <c r="I2879" s="1"/>
      <c r="J2879" s="1"/>
      <c r="K2879" s="1"/>
      <c r="L2879" s="1"/>
      <c r="M2879" s="1"/>
      <c r="N2879" s="1"/>
    </row>
    <row r="2880" ht="14.5" spans="2:14">
      <c r="B2880" s="1"/>
      <c r="C2880" s="1"/>
      <c r="D2880" s="1"/>
      <c r="E2880" s="1"/>
      <c r="F2880" s="1"/>
      <c r="G2880" s="1"/>
      <c r="H2880" s="1"/>
      <c r="I2880" s="1"/>
      <c r="J2880" s="1"/>
      <c r="K2880" s="1"/>
      <c r="L2880" s="1"/>
      <c r="M2880" s="1"/>
      <c r="N2880" s="1"/>
    </row>
    <row r="2881" ht="14.5" spans="2:14">
      <c r="B2881" s="1"/>
      <c r="C2881" s="1"/>
      <c r="D2881" s="1"/>
      <c r="E2881" s="1"/>
      <c r="F2881" s="1"/>
      <c r="G2881" s="1"/>
      <c r="H2881" s="1"/>
      <c r="I2881" s="1"/>
      <c r="J2881" s="1"/>
      <c r="K2881" s="1"/>
      <c r="L2881" s="1"/>
      <c r="M2881" s="1"/>
      <c r="N2881" s="1"/>
    </row>
    <row r="2882" ht="14.5" spans="2:14">
      <c r="B2882" s="1"/>
      <c r="C2882" s="1"/>
      <c r="D2882" s="1"/>
      <c r="E2882" s="1"/>
      <c r="F2882" s="1"/>
      <c r="G2882" s="1"/>
      <c r="H2882" s="1"/>
      <c r="I2882" s="1"/>
      <c r="J2882" s="1"/>
      <c r="K2882" s="1"/>
      <c r="L2882" s="1"/>
      <c r="M2882" s="1"/>
      <c r="N2882" s="1"/>
    </row>
    <row r="2883" ht="14.5" spans="2:14">
      <c r="B2883" s="1"/>
      <c r="C2883" s="1"/>
      <c r="D2883" s="1"/>
      <c r="E2883" s="1"/>
      <c r="F2883" s="1"/>
      <c r="G2883" s="1"/>
      <c r="H2883" s="1"/>
      <c r="I2883" s="1"/>
      <c r="J2883" s="1"/>
      <c r="K2883" s="1"/>
      <c r="L2883" s="1"/>
      <c r="M2883" s="1"/>
      <c r="N2883" s="1"/>
    </row>
    <row r="2884" ht="14.5" spans="2:14">
      <c r="B2884" s="1"/>
      <c r="C2884" s="1"/>
      <c r="D2884" s="1"/>
      <c r="E2884" s="1"/>
      <c r="F2884" s="1"/>
      <c r="G2884" s="1"/>
      <c r="H2884" s="1"/>
      <c r="I2884" s="1"/>
      <c r="J2884" s="1"/>
      <c r="K2884" s="1"/>
      <c r="L2884" s="1"/>
      <c r="M2884" s="1"/>
      <c r="N2884" s="1"/>
    </row>
    <row r="2885" ht="14.5" spans="2:14">
      <c r="B2885" s="1"/>
      <c r="C2885" s="1"/>
      <c r="D2885" s="1"/>
      <c r="E2885" s="1"/>
      <c r="F2885" s="1"/>
      <c r="G2885" s="1"/>
      <c r="H2885" s="1"/>
      <c r="I2885" s="1"/>
      <c r="J2885" s="1"/>
      <c r="K2885" s="1"/>
      <c r="L2885" s="1"/>
      <c r="M2885" s="1"/>
      <c r="N2885" s="1"/>
    </row>
    <row r="2886" ht="14.5" spans="2:14">
      <c r="B2886" s="1"/>
      <c r="C2886" s="1"/>
      <c r="D2886" s="1"/>
      <c r="E2886" s="1"/>
      <c r="F2886" s="1"/>
      <c r="G2886" s="1"/>
      <c r="H2886" s="1"/>
      <c r="I2886" s="1"/>
      <c r="J2886" s="1"/>
      <c r="K2886" s="1"/>
      <c r="L2886" s="1"/>
      <c r="M2886" s="1"/>
      <c r="N2886" s="1"/>
    </row>
    <row r="2887" ht="14.5" spans="2:14">
      <c r="B2887" s="1"/>
      <c r="C2887" s="1"/>
      <c r="D2887" s="1"/>
      <c r="E2887" s="1"/>
      <c r="F2887" s="1"/>
      <c r="G2887" s="1"/>
      <c r="H2887" s="1"/>
      <c r="I2887" s="1"/>
      <c r="J2887" s="1"/>
      <c r="K2887" s="1"/>
      <c r="L2887" s="1"/>
      <c r="M2887" s="1"/>
      <c r="N2887" s="1"/>
    </row>
    <row r="2888" ht="14.5" spans="2:14">
      <c r="B2888" s="1"/>
      <c r="C2888" s="1"/>
      <c r="D2888" s="1"/>
      <c r="E2888" s="1"/>
      <c r="F2888" s="1"/>
      <c r="G2888" s="1"/>
      <c r="H2888" s="1"/>
      <c r="I2888" s="1"/>
      <c r="J2888" s="1"/>
      <c r="K2888" s="1"/>
      <c r="L2888" s="1"/>
      <c r="M2888" s="1"/>
      <c r="N2888" s="1"/>
    </row>
    <row r="2889" ht="14.5" spans="2:14">
      <c r="B2889" s="1"/>
      <c r="C2889" s="1"/>
      <c r="D2889" s="1"/>
      <c r="E2889" s="1"/>
      <c r="F2889" s="1"/>
      <c r="G2889" s="1"/>
      <c r="H2889" s="1"/>
      <c r="I2889" s="1"/>
      <c r="J2889" s="1"/>
      <c r="K2889" s="1"/>
      <c r="L2889" s="1"/>
      <c r="M2889" s="1"/>
      <c r="N2889" s="1"/>
    </row>
    <row r="2890" ht="14.5" spans="2:14">
      <c r="B2890" s="1"/>
      <c r="C2890" s="1"/>
      <c r="D2890" s="1"/>
      <c r="E2890" s="1"/>
      <c r="F2890" s="1"/>
      <c r="G2890" s="1"/>
      <c r="H2890" s="1"/>
      <c r="I2890" s="1"/>
      <c r="J2890" s="1"/>
      <c r="K2890" s="1"/>
      <c r="L2890" s="1"/>
      <c r="M2890" s="1"/>
      <c r="N2890" s="1"/>
    </row>
    <row r="2891" ht="14.5" spans="2:14">
      <c r="B2891" s="1"/>
      <c r="C2891" s="1"/>
      <c r="D2891" s="1"/>
      <c r="E2891" s="1"/>
      <c r="F2891" s="1"/>
      <c r="G2891" s="1"/>
      <c r="H2891" s="1"/>
      <c r="I2891" s="1"/>
      <c r="J2891" s="1"/>
      <c r="K2891" s="1"/>
      <c r="L2891" s="1"/>
      <c r="M2891" s="1"/>
      <c r="N2891" s="1"/>
    </row>
    <row r="2892" ht="14.5" spans="2:14">
      <c r="B2892" s="1"/>
      <c r="C2892" s="1"/>
      <c r="D2892" s="1"/>
      <c r="E2892" s="1"/>
      <c r="F2892" s="1"/>
      <c r="G2892" s="1"/>
      <c r="H2892" s="1"/>
      <c r="I2892" s="1"/>
      <c r="J2892" s="1"/>
      <c r="K2892" s="1"/>
      <c r="L2892" s="1"/>
      <c r="M2892" s="1"/>
      <c r="N2892" s="1"/>
    </row>
    <row r="2893" ht="14.5" spans="2:14">
      <c r="B2893" s="1"/>
      <c r="C2893" s="1"/>
      <c r="D2893" s="1"/>
      <c r="E2893" s="1"/>
      <c r="F2893" s="1"/>
      <c r="G2893" s="1"/>
      <c r="H2893" s="1"/>
      <c r="I2893" s="1"/>
      <c r="J2893" s="1"/>
      <c r="K2893" s="1"/>
      <c r="L2893" s="1"/>
      <c r="M2893" s="1"/>
      <c r="N2893" s="1"/>
    </row>
    <row r="2894" ht="14.5" spans="2:14">
      <c r="B2894" s="1"/>
      <c r="C2894" s="1"/>
      <c r="D2894" s="1"/>
      <c r="E2894" s="1"/>
      <c r="F2894" s="1"/>
      <c r="G2894" s="1"/>
      <c r="H2894" s="1"/>
      <c r="I2894" s="1"/>
      <c r="J2894" s="1"/>
      <c r="K2894" s="1"/>
      <c r="L2894" s="1"/>
      <c r="M2894" s="1"/>
      <c r="N2894" s="1"/>
    </row>
    <row r="2895" ht="14.5" spans="2:14">
      <c r="B2895" s="1"/>
      <c r="C2895" s="1"/>
      <c r="D2895" s="1"/>
      <c r="E2895" s="1"/>
      <c r="F2895" s="1"/>
      <c r="G2895" s="1"/>
      <c r="H2895" s="1"/>
      <c r="I2895" s="1"/>
      <c r="J2895" s="1"/>
      <c r="K2895" s="1"/>
      <c r="L2895" s="1"/>
      <c r="M2895" s="1"/>
      <c r="N2895" s="1"/>
    </row>
    <row r="2896" ht="14.5" spans="2:14">
      <c r="B2896" s="1"/>
      <c r="C2896" s="1"/>
      <c r="D2896" s="1"/>
      <c r="E2896" s="1"/>
      <c r="F2896" s="1"/>
      <c r="G2896" s="1"/>
      <c r="H2896" s="1"/>
      <c r="I2896" s="1"/>
      <c r="J2896" s="1"/>
      <c r="K2896" s="1"/>
      <c r="L2896" s="1"/>
      <c r="M2896" s="1"/>
      <c r="N2896" s="1"/>
    </row>
    <row r="2897" ht="14.5" spans="2:14">
      <c r="B2897" s="1"/>
      <c r="C2897" s="1"/>
      <c r="D2897" s="1"/>
      <c r="E2897" s="1"/>
      <c r="F2897" s="1"/>
      <c r="G2897" s="1"/>
      <c r="H2897" s="1"/>
      <c r="I2897" s="1"/>
      <c r="J2897" s="1"/>
      <c r="K2897" s="1"/>
      <c r="L2897" s="1"/>
      <c r="M2897" s="1"/>
      <c r="N2897" s="1"/>
    </row>
    <row r="2898" ht="14.5" spans="2:14">
      <c r="B2898" s="1"/>
      <c r="C2898" s="1"/>
      <c r="D2898" s="1"/>
      <c r="E2898" s="1"/>
      <c r="F2898" s="1"/>
      <c r="G2898" s="1"/>
      <c r="H2898" s="1"/>
      <c r="I2898" s="1"/>
      <c r="J2898" s="1"/>
      <c r="K2898" s="1"/>
      <c r="L2898" s="1"/>
      <c r="M2898" s="1"/>
      <c r="N2898" s="1"/>
    </row>
    <row r="2899" ht="14.5" spans="2:14">
      <c r="B2899" s="1"/>
      <c r="C2899" s="1"/>
      <c r="D2899" s="1"/>
      <c r="E2899" s="1"/>
      <c r="F2899" s="1"/>
      <c r="G2899" s="1"/>
      <c r="H2899" s="1"/>
      <c r="I2899" s="1"/>
      <c r="J2899" s="1"/>
      <c r="K2899" s="1"/>
      <c r="L2899" s="1"/>
      <c r="M2899" s="1"/>
      <c r="N2899" s="1"/>
    </row>
    <row r="2900" ht="14.5" spans="2:14">
      <c r="B2900" s="1"/>
      <c r="C2900" s="1"/>
      <c r="D2900" s="1"/>
      <c r="E2900" s="1"/>
      <c r="F2900" s="1"/>
      <c r="G2900" s="1"/>
      <c r="H2900" s="1"/>
      <c r="I2900" s="1"/>
      <c r="J2900" s="1"/>
      <c r="K2900" s="1"/>
      <c r="L2900" s="1"/>
      <c r="M2900" s="1"/>
      <c r="N2900" s="1"/>
    </row>
    <row r="2901" ht="14.5" spans="2:14">
      <c r="B2901" s="1"/>
      <c r="C2901" s="1"/>
      <c r="D2901" s="1"/>
      <c r="E2901" s="1"/>
      <c r="F2901" s="1"/>
      <c r="G2901" s="1"/>
      <c r="H2901" s="1"/>
      <c r="I2901" s="1"/>
      <c r="J2901" s="1"/>
      <c r="K2901" s="1"/>
      <c r="L2901" s="1"/>
      <c r="M2901" s="1"/>
      <c r="N2901" s="1"/>
    </row>
    <row r="2902" ht="14.5" spans="2:14">
      <c r="B2902" s="1"/>
      <c r="C2902" s="1"/>
      <c r="D2902" s="1"/>
      <c r="E2902" s="1"/>
      <c r="F2902" s="1"/>
      <c r="G2902" s="1"/>
      <c r="H2902" s="1"/>
      <c r="I2902" s="1"/>
      <c r="J2902" s="1"/>
      <c r="K2902" s="1"/>
      <c r="L2902" s="1"/>
      <c r="M2902" s="1"/>
      <c r="N2902" s="1"/>
    </row>
    <row r="2903" ht="14.5" spans="2:14">
      <c r="B2903" s="1"/>
      <c r="C2903" s="1"/>
      <c r="D2903" s="1"/>
      <c r="E2903" s="1"/>
      <c r="F2903" s="1"/>
      <c r="G2903" s="1"/>
      <c r="H2903" s="1"/>
      <c r="I2903" s="1"/>
      <c r="J2903" s="1"/>
      <c r="K2903" s="1"/>
      <c r="L2903" s="1"/>
      <c r="M2903" s="1"/>
      <c r="N2903" s="1"/>
    </row>
    <row r="2904" ht="14.5" spans="2:14">
      <c r="B2904" s="1"/>
      <c r="C2904" s="1"/>
      <c r="D2904" s="1"/>
      <c r="E2904" s="1"/>
      <c r="F2904" s="1"/>
      <c r="G2904" s="1"/>
      <c r="H2904" s="1"/>
      <c r="I2904" s="1"/>
      <c r="J2904" s="1"/>
      <c r="K2904" s="1"/>
      <c r="L2904" s="1"/>
      <c r="M2904" s="1"/>
      <c r="N2904" s="1"/>
    </row>
    <row r="2905" ht="14.5" spans="2:14">
      <c r="B2905" s="1"/>
      <c r="C2905" s="1"/>
      <c r="D2905" s="1"/>
      <c r="E2905" s="1"/>
      <c r="F2905" s="1"/>
      <c r="G2905" s="1"/>
      <c r="H2905" s="1"/>
      <c r="I2905" s="1"/>
      <c r="J2905" s="1"/>
      <c r="K2905" s="1"/>
      <c r="L2905" s="1"/>
      <c r="M2905" s="1"/>
      <c r="N2905" s="1"/>
    </row>
    <row r="2906" ht="14.5" spans="2:14">
      <c r="B2906" s="1"/>
      <c r="C2906" s="1"/>
      <c r="D2906" s="1"/>
      <c r="E2906" s="1"/>
      <c r="F2906" s="1"/>
      <c r="G2906" s="1"/>
      <c r="H2906" s="1"/>
      <c r="I2906" s="1"/>
      <c r="J2906" s="1"/>
      <c r="K2906" s="1"/>
      <c r="L2906" s="1"/>
      <c r="M2906" s="1"/>
      <c r="N2906" s="1"/>
    </row>
    <row r="2907" ht="14.5" spans="2:14">
      <c r="B2907" s="1"/>
      <c r="C2907" s="1"/>
      <c r="D2907" s="1"/>
      <c r="E2907" s="1"/>
      <c r="F2907" s="1"/>
      <c r="G2907" s="1"/>
      <c r="H2907" s="1"/>
      <c r="I2907" s="1"/>
      <c r="J2907" s="1"/>
      <c r="K2907" s="1"/>
      <c r="L2907" s="1"/>
      <c r="M2907" s="1"/>
      <c r="N2907" s="1"/>
    </row>
    <row r="2908" ht="14.5" spans="2:14">
      <c r="B2908" s="1"/>
      <c r="C2908" s="1"/>
      <c r="D2908" s="1"/>
      <c r="E2908" s="1"/>
      <c r="F2908" s="1"/>
      <c r="G2908" s="1"/>
      <c r="H2908" s="1"/>
      <c r="I2908" s="1"/>
      <c r="J2908" s="1"/>
      <c r="K2908" s="1"/>
      <c r="L2908" s="1"/>
      <c r="M2908" s="1"/>
      <c r="N2908" s="1"/>
    </row>
    <row r="2909" ht="14.5" spans="2:14">
      <c r="B2909" s="1"/>
      <c r="C2909" s="1"/>
      <c r="D2909" s="1"/>
      <c r="E2909" s="1"/>
      <c r="F2909" s="1"/>
      <c r="G2909" s="1"/>
      <c r="H2909" s="1"/>
      <c r="I2909" s="1"/>
      <c r="J2909" s="1"/>
      <c r="K2909" s="1"/>
      <c r="L2909" s="1"/>
      <c r="M2909" s="1"/>
      <c r="N2909" s="1"/>
    </row>
    <row r="2910" ht="14.5" spans="2:14">
      <c r="B2910" s="1"/>
      <c r="C2910" s="1"/>
      <c r="D2910" s="1"/>
      <c r="E2910" s="1"/>
      <c r="F2910" s="1"/>
      <c r="G2910" s="1"/>
      <c r="H2910" s="1"/>
      <c r="I2910" s="1"/>
      <c r="J2910" s="1"/>
      <c r="K2910" s="1"/>
      <c r="L2910" s="1"/>
      <c r="M2910" s="1"/>
      <c r="N2910" s="1"/>
    </row>
    <row r="2911" ht="14.5" spans="2:14">
      <c r="B2911" s="1"/>
      <c r="C2911" s="1"/>
      <c r="D2911" s="1"/>
      <c r="E2911" s="1"/>
      <c r="F2911" s="1"/>
      <c r="G2911" s="1"/>
      <c r="H2911" s="1"/>
      <c r="I2911" s="1"/>
      <c r="J2911" s="1"/>
      <c r="K2911" s="1"/>
      <c r="L2911" s="1"/>
      <c r="M2911" s="1"/>
      <c r="N2911" s="1"/>
    </row>
    <row r="2912" ht="14.5" spans="2:14">
      <c r="B2912" s="1"/>
      <c r="C2912" s="1"/>
      <c r="D2912" s="1"/>
      <c r="E2912" s="1"/>
      <c r="F2912" s="1"/>
      <c r="G2912" s="1"/>
      <c r="H2912" s="1"/>
      <c r="I2912" s="1"/>
      <c r="J2912" s="1"/>
      <c r="K2912" s="1"/>
      <c r="L2912" s="1"/>
      <c r="M2912" s="1"/>
      <c r="N2912" s="1"/>
    </row>
    <row r="2913" ht="14.5" spans="2:14">
      <c r="B2913" s="1"/>
      <c r="C2913" s="1"/>
      <c r="D2913" s="1"/>
      <c r="E2913" s="1"/>
      <c r="F2913" s="1"/>
      <c r="G2913" s="1"/>
      <c r="H2913" s="1"/>
      <c r="I2913" s="1"/>
      <c r="J2913" s="1"/>
      <c r="K2913" s="1"/>
      <c r="L2913" s="1"/>
      <c r="M2913" s="1"/>
      <c r="N2913" s="1"/>
    </row>
    <row r="2914" ht="14.5" spans="2:14">
      <c r="B2914" s="1"/>
      <c r="C2914" s="1"/>
      <c r="D2914" s="1"/>
      <c r="E2914" s="1"/>
      <c r="F2914" s="1"/>
      <c r="G2914" s="1"/>
      <c r="H2914" s="1"/>
      <c r="I2914" s="1"/>
      <c r="J2914" s="1"/>
      <c r="K2914" s="1"/>
      <c r="L2914" s="1"/>
      <c r="M2914" s="1"/>
      <c r="N2914" s="1"/>
    </row>
    <row r="2915" ht="14.5" spans="2:14">
      <c r="B2915" s="1"/>
      <c r="C2915" s="1"/>
      <c r="D2915" s="1"/>
      <c r="E2915" s="1"/>
      <c r="F2915" s="1"/>
      <c r="G2915" s="1"/>
      <c r="H2915" s="1"/>
      <c r="I2915" s="1"/>
      <c r="J2915" s="1"/>
      <c r="K2915" s="1"/>
      <c r="L2915" s="1"/>
      <c r="M2915" s="1"/>
      <c r="N2915" s="1"/>
    </row>
    <row r="2916" ht="14.5" spans="2:14">
      <c r="B2916" s="1"/>
      <c r="C2916" s="1"/>
      <c r="D2916" s="1"/>
      <c r="E2916" s="1"/>
      <c r="F2916" s="1"/>
      <c r="G2916" s="1"/>
      <c r="H2916" s="1"/>
      <c r="I2916" s="1"/>
      <c r="J2916" s="1"/>
      <c r="K2916" s="1"/>
      <c r="L2916" s="1"/>
      <c r="M2916" s="1"/>
      <c r="N2916" s="1"/>
    </row>
    <row r="2917" ht="14.5" spans="2:14">
      <c r="B2917" s="1"/>
      <c r="C2917" s="1"/>
      <c r="D2917" s="1"/>
      <c r="E2917" s="1"/>
      <c r="F2917" s="1"/>
      <c r="G2917" s="1"/>
      <c r="H2917" s="1"/>
      <c r="I2917" s="1"/>
      <c r="J2917" s="1"/>
      <c r="K2917" s="1"/>
      <c r="L2917" s="1"/>
      <c r="M2917" s="1"/>
      <c r="N2917" s="1"/>
    </row>
    <row r="2918" ht="14.5" spans="2:14">
      <c r="B2918" s="1"/>
      <c r="C2918" s="1"/>
      <c r="D2918" s="1"/>
      <c r="E2918" s="1"/>
      <c r="F2918" s="1"/>
      <c r="G2918" s="1"/>
      <c r="H2918" s="1"/>
      <c r="I2918" s="1"/>
      <c r="J2918" s="1"/>
      <c r="K2918" s="1"/>
      <c r="L2918" s="1"/>
      <c r="M2918" s="1"/>
      <c r="N2918" s="1"/>
    </row>
    <row r="2919" ht="14.5" spans="2:14">
      <c r="B2919" s="1"/>
      <c r="C2919" s="1"/>
      <c r="D2919" s="1"/>
      <c r="E2919" s="1"/>
      <c r="F2919" s="1"/>
      <c r="G2919" s="1"/>
      <c r="H2919" s="1"/>
      <c r="I2919" s="1"/>
      <c r="J2919" s="1"/>
      <c r="K2919" s="1"/>
      <c r="L2919" s="1"/>
      <c r="M2919" s="1"/>
      <c r="N2919" s="1"/>
    </row>
    <row r="2920" ht="14.5" spans="2:14">
      <c r="B2920" s="1"/>
      <c r="C2920" s="1"/>
      <c r="D2920" s="1"/>
      <c r="E2920" s="1"/>
      <c r="F2920" s="1"/>
      <c r="G2920" s="1"/>
      <c r="H2920" s="1"/>
      <c r="I2920" s="1"/>
      <c r="J2920" s="1"/>
      <c r="K2920" s="1"/>
      <c r="L2920" s="1"/>
      <c r="M2920" s="1"/>
      <c r="N2920" s="1"/>
    </row>
    <row r="2921" ht="14.5" spans="2:14">
      <c r="B2921" s="1"/>
      <c r="C2921" s="1"/>
      <c r="D2921" s="1"/>
      <c r="E2921" s="1"/>
      <c r="F2921" s="1"/>
      <c r="G2921" s="1"/>
      <c r="H2921" s="1"/>
      <c r="I2921" s="1"/>
      <c r="J2921" s="1"/>
      <c r="K2921" s="1"/>
      <c r="L2921" s="1"/>
      <c r="M2921" s="1"/>
      <c r="N2921" s="1"/>
    </row>
    <row r="2922" ht="14.5" spans="2:14">
      <c r="B2922" s="1"/>
      <c r="C2922" s="1"/>
      <c r="D2922" s="1"/>
      <c r="E2922" s="1"/>
      <c r="F2922" s="1"/>
      <c r="G2922" s="1"/>
      <c r="H2922" s="1"/>
      <c r="I2922" s="1"/>
      <c r="J2922" s="1"/>
      <c r="K2922" s="1"/>
      <c r="L2922" s="1"/>
      <c r="M2922" s="1"/>
      <c r="N2922" s="1"/>
    </row>
    <row r="2923" ht="14.5" spans="2:14">
      <c r="B2923" s="1"/>
      <c r="C2923" s="1"/>
      <c r="D2923" s="1"/>
      <c r="E2923" s="1"/>
      <c r="F2923" s="1"/>
      <c r="G2923" s="1"/>
      <c r="H2923" s="1"/>
      <c r="I2923" s="1"/>
      <c r="J2923" s="1"/>
      <c r="K2923" s="1"/>
      <c r="L2923" s="1"/>
      <c r="M2923" s="1"/>
      <c r="N2923" s="1"/>
    </row>
    <row r="2924" ht="14.5" spans="2:14">
      <c r="B2924" s="1"/>
      <c r="C2924" s="1"/>
      <c r="D2924" s="1"/>
      <c r="E2924" s="1"/>
      <c r="F2924" s="1"/>
      <c r="G2924" s="1"/>
      <c r="H2924" s="1"/>
      <c r="I2924" s="1"/>
      <c r="J2924" s="1"/>
      <c r="K2924" s="1"/>
      <c r="L2924" s="1"/>
      <c r="M2924" s="1"/>
      <c r="N2924" s="1"/>
    </row>
    <row r="2925" ht="14.5" spans="2:14">
      <c r="B2925" s="1"/>
      <c r="C2925" s="1"/>
      <c r="D2925" s="1"/>
      <c r="E2925" s="1"/>
      <c r="F2925" s="1"/>
      <c r="G2925" s="1"/>
      <c r="H2925" s="1"/>
      <c r="I2925" s="1"/>
      <c r="J2925" s="1"/>
      <c r="K2925" s="1"/>
      <c r="L2925" s="1"/>
      <c r="M2925" s="1"/>
      <c r="N2925" s="1"/>
    </row>
    <row r="2926" ht="14.5" spans="2:14">
      <c r="B2926" s="1"/>
      <c r="C2926" s="1"/>
      <c r="D2926" s="1"/>
      <c r="E2926" s="1"/>
      <c r="F2926" s="1"/>
      <c r="G2926" s="1"/>
      <c r="H2926" s="1"/>
      <c r="I2926" s="1"/>
      <c r="J2926" s="1"/>
      <c r="K2926" s="1"/>
      <c r="L2926" s="1"/>
      <c r="M2926" s="1"/>
      <c r="N2926" s="1"/>
    </row>
    <row r="2927" ht="14.5" spans="2:14">
      <c r="B2927" s="1"/>
      <c r="C2927" s="1"/>
      <c r="D2927" s="1"/>
      <c r="E2927" s="1"/>
      <c r="F2927" s="1"/>
      <c r="G2927" s="1"/>
      <c r="H2927" s="1"/>
      <c r="I2927" s="1"/>
      <c r="J2927" s="1"/>
      <c r="K2927" s="1"/>
      <c r="L2927" s="1"/>
      <c r="M2927" s="1"/>
      <c r="N2927" s="1"/>
    </row>
    <row r="2928" ht="14.5" spans="2:14">
      <c r="B2928" s="1"/>
      <c r="C2928" s="1"/>
      <c r="D2928" s="1"/>
      <c r="E2928" s="1"/>
      <c r="F2928" s="1"/>
      <c r="G2928" s="1"/>
      <c r="H2928" s="1"/>
      <c r="I2928" s="1"/>
      <c r="J2928" s="1"/>
      <c r="K2928" s="1"/>
      <c r="L2928" s="1"/>
      <c r="M2928" s="1"/>
      <c r="N2928" s="1"/>
    </row>
    <row r="2929" ht="14.5" spans="2:14">
      <c r="B2929" s="1"/>
      <c r="C2929" s="1"/>
      <c r="D2929" s="1"/>
      <c r="E2929" s="1"/>
      <c r="F2929" s="1"/>
      <c r="G2929" s="1"/>
      <c r="H2929" s="1"/>
      <c r="I2929" s="1"/>
      <c r="J2929" s="1"/>
      <c r="K2929" s="1"/>
      <c r="L2929" s="1"/>
      <c r="M2929" s="1"/>
      <c r="N2929" s="1"/>
    </row>
    <row r="2930" ht="14.5" spans="2:14">
      <c r="B2930" s="1"/>
      <c r="C2930" s="1"/>
      <c r="D2930" s="1"/>
      <c r="E2930" s="1"/>
      <c r="F2930" s="1"/>
      <c r="G2930" s="1"/>
      <c r="H2930" s="1"/>
      <c r="I2930" s="1"/>
      <c r="J2930" s="1"/>
      <c r="K2930" s="1"/>
      <c r="L2930" s="1"/>
      <c r="M2930" s="1"/>
      <c r="N2930" s="1"/>
    </row>
    <row r="2931" ht="14.5" spans="2:14">
      <c r="B2931" s="1"/>
      <c r="C2931" s="1"/>
      <c r="D2931" s="1"/>
      <c r="E2931" s="1"/>
      <c r="F2931" s="1"/>
      <c r="G2931" s="1"/>
      <c r="H2931" s="1"/>
      <c r="I2931" s="1"/>
      <c r="J2931" s="1"/>
      <c r="K2931" s="1"/>
      <c r="L2931" s="1"/>
      <c r="M2931" s="1"/>
      <c r="N2931" s="1"/>
    </row>
    <row r="2932" ht="14.5" spans="2:14">
      <c r="B2932" s="1"/>
      <c r="C2932" s="1"/>
      <c r="D2932" s="1"/>
      <c r="E2932" s="1"/>
      <c r="F2932" s="1"/>
      <c r="G2932" s="1"/>
      <c r="H2932" s="1"/>
      <c r="I2932" s="1"/>
      <c r="J2932" s="1"/>
      <c r="K2932" s="1"/>
      <c r="L2932" s="1"/>
      <c r="M2932" s="1"/>
      <c r="N2932" s="1"/>
    </row>
    <row r="2933" ht="14.5" spans="2:14">
      <c r="B2933" s="1"/>
      <c r="C2933" s="1"/>
      <c r="D2933" s="1"/>
      <c r="E2933" s="1"/>
      <c r="F2933" s="1"/>
      <c r="G2933" s="1"/>
      <c r="H2933" s="1"/>
      <c r="I2933" s="1"/>
      <c r="J2933" s="1"/>
      <c r="K2933" s="1"/>
      <c r="L2933" s="1"/>
      <c r="M2933" s="1"/>
      <c r="N2933" s="1"/>
    </row>
    <row r="2934" ht="14.5" spans="2:14">
      <c r="B2934" s="1"/>
      <c r="C2934" s="1"/>
      <c r="D2934" s="1"/>
      <c r="E2934" s="1"/>
      <c r="F2934" s="1"/>
      <c r="G2934" s="1"/>
      <c r="H2934" s="1"/>
      <c r="I2934" s="1"/>
      <c r="J2934" s="1"/>
      <c r="K2934" s="1"/>
      <c r="L2934" s="1"/>
      <c r="M2934" s="1"/>
      <c r="N2934" s="1"/>
    </row>
    <row r="2935" ht="14.5" spans="2:14">
      <c r="B2935" s="1"/>
      <c r="C2935" s="1"/>
      <c r="D2935" s="1"/>
      <c r="E2935" s="1"/>
      <c r="F2935" s="1"/>
      <c r="G2935" s="1"/>
      <c r="H2935" s="1"/>
      <c r="I2935" s="1"/>
      <c r="J2935" s="1"/>
      <c r="K2935" s="1"/>
      <c r="L2935" s="1"/>
      <c r="M2935" s="1"/>
      <c r="N2935" s="1"/>
    </row>
    <row r="2936" ht="14.5" spans="2:14">
      <c r="B2936" s="1"/>
      <c r="C2936" s="1"/>
      <c r="D2936" s="1"/>
      <c r="E2936" s="1"/>
      <c r="F2936" s="1"/>
      <c r="G2936" s="1"/>
      <c r="H2936" s="1"/>
      <c r="I2936" s="1"/>
      <c r="J2936" s="1"/>
      <c r="K2936" s="1"/>
      <c r="L2936" s="1"/>
      <c r="M2936" s="1"/>
      <c r="N2936" s="1"/>
    </row>
    <row r="2937" ht="14.5" spans="2:14">
      <c r="B2937" s="1"/>
      <c r="C2937" s="1"/>
      <c r="D2937" s="1"/>
      <c r="E2937" s="1"/>
      <c r="F2937" s="1"/>
      <c r="G2937" s="1"/>
      <c r="H2937" s="1"/>
      <c r="I2937" s="1"/>
      <c r="J2937" s="1"/>
      <c r="K2937" s="1"/>
      <c r="L2937" s="1"/>
      <c r="M2937" s="1"/>
      <c r="N2937" s="1"/>
    </row>
    <row r="2938" ht="14.5" spans="2:14">
      <c r="B2938" s="1"/>
      <c r="C2938" s="1"/>
      <c r="D2938" s="1"/>
      <c r="E2938" s="1"/>
      <c r="F2938" s="1"/>
      <c r="G2938" s="1"/>
      <c r="H2938" s="1"/>
      <c r="I2938" s="1"/>
      <c r="J2938" s="1"/>
      <c r="K2938" s="1"/>
      <c r="L2938" s="1"/>
      <c r="M2938" s="1"/>
      <c r="N2938" s="1"/>
    </row>
    <row r="2939" ht="14.5" spans="2:14">
      <c r="B2939" s="1"/>
      <c r="C2939" s="1"/>
      <c r="D2939" s="1"/>
      <c r="E2939" s="1"/>
      <c r="F2939" s="1"/>
      <c r="G2939" s="1"/>
      <c r="H2939" s="1"/>
      <c r="I2939" s="1"/>
      <c r="J2939" s="1"/>
      <c r="K2939" s="1"/>
      <c r="L2939" s="1"/>
      <c r="M2939" s="1"/>
      <c r="N2939" s="1"/>
    </row>
    <row r="2940" ht="14.5" spans="2:14">
      <c r="B2940" s="1"/>
      <c r="C2940" s="1"/>
      <c r="D2940" s="1"/>
      <c r="E2940" s="1"/>
      <c r="F2940" s="1"/>
      <c r="G2940" s="1"/>
      <c r="H2940" s="1"/>
      <c r="I2940" s="1"/>
      <c r="J2940" s="1"/>
      <c r="K2940" s="1"/>
      <c r="L2940" s="1"/>
      <c r="M2940" s="1"/>
      <c r="N2940" s="1"/>
    </row>
    <row r="2941" ht="14.5" spans="2:14">
      <c r="B2941" s="1"/>
      <c r="C2941" s="1"/>
      <c r="D2941" s="1"/>
      <c r="E2941" s="1"/>
      <c r="F2941" s="1"/>
      <c r="G2941" s="1"/>
      <c r="H2941" s="1"/>
      <c r="I2941" s="1"/>
      <c r="J2941" s="1"/>
      <c r="K2941" s="1"/>
      <c r="L2941" s="1"/>
      <c r="M2941" s="1"/>
      <c r="N2941" s="1"/>
    </row>
    <row r="2942" ht="14.5" spans="2:14">
      <c r="B2942" s="1"/>
      <c r="C2942" s="1"/>
      <c r="D2942" s="1"/>
      <c r="E2942" s="1"/>
      <c r="F2942" s="1"/>
      <c r="G2942" s="1"/>
      <c r="H2942" s="1"/>
      <c r="I2942" s="1"/>
      <c r="J2942" s="1"/>
      <c r="K2942" s="1"/>
      <c r="L2942" s="1"/>
      <c r="M2942" s="1"/>
      <c r="N2942" s="1"/>
    </row>
    <row r="2943" ht="14.5" spans="2:14">
      <c r="B2943" s="1"/>
      <c r="C2943" s="1"/>
      <c r="D2943" s="1"/>
      <c r="E2943" s="1"/>
      <c r="F2943" s="1"/>
      <c r="G2943" s="1"/>
      <c r="H2943" s="1"/>
      <c r="I2943" s="1"/>
      <c r="J2943" s="1"/>
      <c r="K2943" s="1"/>
      <c r="L2943" s="1"/>
      <c r="M2943" s="1"/>
      <c r="N2943" s="1"/>
    </row>
    <row r="2944" ht="14.5" spans="2:14">
      <c r="B2944" s="1"/>
      <c r="C2944" s="1"/>
      <c r="D2944" s="1"/>
      <c r="E2944" s="1"/>
      <c r="F2944" s="1"/>
      <c r="G2944" s="1"/>
      <c r="H2944" s="1"/>
      <c r="I2944" s="1"/>
      <c r="J2944" s="1"/>
      <c r="K2944" s="1"/>
      <c r="L2944" s="1"/>
      <c r="M2944" s="1"/>
      <c r="N2944" s="1"/>
    </row>
    <row r="2945" ht="14.5" spans="2:14">
      <c r="B2945" s="1"/>
      <c r="C2945" s="1"/>
      <c r="D2945" s="1"/>
      <c r="E2945" s="1"/>
      <c r="F2945" s="1"/>
      <c r="G2945" s="1"/>
      <c r="H2945" s="1"/>
      <c r="I2945" s="1"/>
      <c r="J2945" s="1"/>
      <c r="K2945" s="1"/>
      <c r="L2945" s="1"/>
      <c r="M2945" s="1"/>
      <c r="N2945" s="1"/>
    </row>
    <row r="2946" ht="14.5" spans="2:14">
      <c r="B2946" s="1"/>
      <c r="C2946" s="1"/>
      <c r="D2946" s="1"/>
      <c r="E2946" s="1"/>
      <c r="F2946" s="1"/>
      <c r="G2946" s="1"/>
      <c r="H2946" s="1"/>
      <c r="I2946" s="1"/>
      <c r="J2946" s="1"/>
      <c r="K2946" s="1"/>
      <c r="L2946" s="1"/>
      <c r="M2946" s="1"/>
      <c r="N2946" s="1"/>
    </row>
    <row r="2947" ht="14.5" spans="2:14">
      <c r="B2947" s="1"/>
      <c r="C2947" s="1"/>
      <c r="D2947" s="1"/>
      <c r="E2947" s="1"/>
      <c r="F2947" s="1"/>
      <c r="G2947" s="1"/>
      <c r="H2947" s="1"/>
      <c r="I2947" s="1"/>
      <c r="J2947" s="1"/>
      <c r="K2947" s="1"/>
      <c r="L2947" s="1"/>
      <c r="M2947" s="1"/>
      <c r="N2947" s="1"/>
    </row>
    <row r="2948" ht="14.5" spans="2:14">
      <c r="B2948" s="1"/>
      <c r="C2948" s="1"/>
      <c r="D2948" s="1"/>
      <c r="E2948" s="1"/>
      <c r="F2948" s="1"/>
      <c r="G2948" s="1"/>
      <c r="H2948" s="1"/>
      <c r="I2948" s="1"/>
      <c r="J2948" s="1"/>
      <c r="K2948" s="1"/>
      <c r="L2948" s="1"/>
      <c r="M2948" s="1"/>
      <c r="N2948" s="1"/>
    </row>
    <row r="2949" ht="14.5" spans="2:14">
      <c r="B2949" s="1"/>
      <c r="C2949" s="1"/>
      <c r="D2949" s="1"/>
      <c r="E2949" s="1"/>
      <c r="F2949" s="1"/>
      <c r="G2949" s="1"/>
      <c r="H2949" s="1"/>
      <c r="I2949" s="1"/>
      <c r="J2949" s="1"/>
      <c r="K2949" s="1"/>
      <c r="L2949" s="1"/>
      <c r="M2949" s="1"/>
      <c r="N2949" s="1"/>
    </row>
    <row r="2950" ht="14.5" spans="2:14">
      <c r="B2950" s="1"/>
      <c r="C2950" s="1"/>
      <c r="D2950" s="1"/>
      <c r="E2950" s="1"/>
      <c r="F2950" s="1"/>
      <c r="G2950" s="1"/>
      <c r="H2950" s="1"/>
      <c r="I2950" s="1"/>
      <c r="J2950" s="1"/>
      <c r="K2950" s="1"/>
      <c r="L2950" s="1"/>
      <c r="M2950" s="1"/>
      <c r="N2950" s="1"/>
    </row>
    <row r="2951" ht="14.5" spans="2:14">
      <c r="B2951" s="1"/>
      <c r="C2951" s="1"/>
      <c r="D2951" s="1"/>
      <c r="E2951" s="1"/>
      <c r="F2951" s="1"/>
      <c r="G2951" s="1"/>
      <c r="H2951" s="1"/>
      <c r="I2951" s="1"/>
      <c r="J2951" s="1"/>
      <c r="K2951" s="1"/>
      <c r="L2951" s="1"/>
      <c r="M2951" s="1"/>
      <c r="N2951" s="1"/>
    </row>
    <row r="2952" ht="14.5" spans="2:14">
      <c r="B2952" s="1"/>
      <c r="C2952" s="1"/>
      <c r="D2952" s="1"/>
      <c r="E2952" s="1"/>
      <c r="F2952" s="1"/>
      <c r="G2952" s="1"/>
      <c r="H2952" s="1"/>
      <c r="I2952" s="1"/>
      <c r="J2952" s="1"/>
      <c r="K2952" s="1"/>
      <c r="L2952" s="1"/>
      <c r="M2952" s="1"/>
      <c r="N2952" s="1"/>
    </row>
    <row r="2953" ht="14.5" spans="2:14">
      <c r="B2953" s="1"/>
      <c r="C2953" s="1"/>
      <c r="D2953" s="1"/>
      <c r="E2953" s="1"/>
      <c r="F2953" s="1"/>
      <c r="G2953" s="1"/>
      <c r="H2953" s="1"/>
      <c r="I2953" s="1"/>
      <c r="J2953" s="1"/>
      <c r="K2953" s="1"/>
      <c r="L2953" s="1"/>
      <c r="M2953" s="1"/>
      <c r="N2953" s="1"/>
    </row>
    <row r="2954" ht="14.5" spans="2:14">
      <c r="B2954" s="1"/>
      <c r="C2954" s="1"/>
      <c r="D2954" s="1"/>
      <c r="E2954" s="1"/>
      <c r="F2954" s="1"/>
      <c r="G2954" s="1"/>
      <c r="H2954" s="1"/>
      <c r="I2954" s="1"/>
      <c r="J2954" s="1"/>
      <c r="K2954" s="1"/>
      <c r="L2954" s="1"/>
      <c r="M2954" s="1"/>
      <c r="N2954" s="1"/>
    </row>
    <row r="2955" ht="14.5" spans="2:14">
      <c r="B2955" s="1"/>
      <c r="C2955" s="1"/>
      <c r="D2955" s="1"/>
      <c r="E2955" s="1"/>
      <c r="F2955" s="1"/>
      <c r="G2955" s="1"/>
      <c r="H2955" s="1"/>
      <c r="I2955" s="1"/>
      <c r="J2955" s="1"/>
      <c r="K2955" s="1"/>
      <c r="L2955" s="1"/>
      <c r="M2955" s="1"/>
      <c r="N2955" s="1"/>
    </row>
    <row r="2956" ht="14.5" spans="2:14">
      <c r="B2956" s="1"/>
      <c r="C2956" s="1"/>
      <c r="D2956" s="1"/>
      <c r="E2956" s="1"/>
      <c r="F2956" s="1"/>
      <c r="G2956" s="1"/>
      <c r="H2956" s="1"/>
      <c r="I2956" s="1"/>
      <c r="J2956" s="1"/>
      <c r="K2956" s="1"/>
      <c r="L2956" s="1"/>
      <c r="M2956" s="1"/>
      <c r="N2956" s="1"/>
    </row>
    <row r="2957" ht="14.5" spans="2:14">
      <c r="B2957" s="1"/>
      <c r="C2957" s="1"/>
      <c r="D2957" s="1"/>
      <c r="E2957" s="1"/>
      <c r="F2957" s="1"/>
      <c r="G2957" s="1"/>
      <c r="H2957" s="1"/>
      <c r="I2957" s="1"/>
      <c r="J2957" s="1"/>
      <c r="K2957" s="1"/>
      <c r="L2957" s="1"/>
      <c r="M2957" s="1"/>
      <c r="N2957" s="1"/>
    </row>
    <row r="2958" ht="14.5" spans="2:14">
      <c r="B2958" s="1"/>
      <c r="C2958" s="1"/>
      <c r="D2958" s="1"/>
      <c r="E2958" s="1"/>
      <c r="F2958" s="1"/>
      <c r="G2958" s="1"/>
      <c r="H2958" s="1"/>
      <c r="I2958" s="1"/>
      <c r="J2958" s="1"/>
      <c r="K2958" s="1"/>
      <c r="L2958" s="1"/>
      <c r="M2958" s="1"/>
      <c r="N2958" s="1"/>
    </row>
    <row r="2959" ht="14.5" spans="2:14">
      <c r="B2959" s="1"/>
      <c r="C2959" s="1"/>
      <c r="D2959" s="1"/>
      <c r="E2959" s="1"/>
      <c r="F2959" s="1"/>
      <c r="G2959" s="1"/>
      <c r="H2959" s="1"/>
      <c r="I2959" s="1"/>
      <c r="J2959" s="1"/>
      <c r="K2959" s="1"/>
      <c r="L2959" s="1"/>
      <c r="M2959" s="1"/>
      <c r="N2959" s="1"/>
    </row>
    <row r="2960" ht="14.5" spans="2:14">
      <c r="B2960" s="1"/>
      <c r="C2960" s="1"/>
      <c r="D2960" s="1"/>
      <c r="E2960" s="1"/>
      <c r="F2960" s="1"/>
      <c r="G2960" s="1"/>
      <c r="H2960" s="1"/>
      <c r="I2960" s="1"/>
      <c r="J2960" s="1"/>
      <c r="K2960" s="1"/>
      <c r="L2960" s="1"/>
      <c r="M2960" s="1"/>
      <c r="N2960" s="1"/>
    </row>
    <row r="2961" ht="14.5" spans="2:14">
      <c r="B2961" s="1"/>
      <c r="C2961" s="1"/>
      <c r="D2961" s="1"/>
      <c r="E2961" s="1"/>
      <c r="F2961" s="1"/>
      <c r="G2961" s="1"/>
      <c r="H2961" s="1"/>
      <c r="I2961" s="1"/>
      <c r="J2961" s="1"/>
      <c r="K2961" s="1"/>
      <c r="L2961" s="1"/>
      <c r="M2961" s="1"/>
      <c r="N2961" s="1"/>
    </row>
    <row r="2962" ht="14.5" spans="2:14">
      <c r="B2962" s="1"/>
      <c r="C2962" s="1"/>
      <c r="D2962" s="1"/>
      <c r="E2962" s="1"/>
      <c r="F2962" s="1"/>
      <c r="G2962" s="1"/>
      <c r="H2962" s="1"/>
      <c r="I2962" s="1"/>
      <c r="J2962" s="1"/>
      <c r="K2962" s="1"/>
      <c r="L2962" s="1"/>
      <c r="M2962" s="1"/>
      <c r="N2962" s="1"/>
    </row>
    <row r="2963" ht="14.5" spans="2:14">
      <c r="B2963" s="1"/>
      <c r="C2963" s="1"/>
      <c r="D2963" s="1"/>
      <c r="E2963" s="1"/>
      <c r="F2963" s="1"/>
      <c r="G2963" s="1"/>
      <c r="H2963" s="1"/>
      <c r="I2963" s="1"/>
      <c r="J2963" s="1"/>
      <c r="K2963" s="1"/>
      <c r="L2963" s="1"/>
      <c r="M2963" s="1"/>
      <c r="N2963" s="1"/>
    </row>
    <row r="2964" ht="14.5" spans="2:14">
      <c r="B2964" s="1"/>
      <c r="C2964" s="1"/>
      <c r="D2964" s="1"/>
      <c r="E2964" s="1"/>
      <c r="F2964" s="1"/>
      <c r="G2964" s="1"/>
      <c r="H2964" s="1"/>
      <c r="I2964" s="1"/>
      <c r="J2964" s="1"/>
      <c r="K2964" s="1"/>
      <c r="L2964" s="1"/>
      <c r="M2964" s="1"/>
      <c r="N2964" s="1"/>
    </row>
    <row r="2965" ht="14.5" spans="2:14">
      <c r="B2965" s="1"/>
      <c r="C2965" s="1"/>
      <c r="D2965" s="1"/>
      <c r="E2965" s="1"/>
      <c r="F2965" s="1"/>
      <c r="G2965" s="1"/>
      <c r="H2965" s="1"/>
      <c r="I2965" s="1"/>
      <c r="J2965" s="1"/>
      <c r="K2965" s="1"/>
      <c r="L2965" s="1"/>
      <c r="M2965" s="1"/>
      <c r="N2965" s="1"/>
    </row>
    <row r="2966" ht="14.5" spans="2:14">
      <c r="B2966" s="1"/>
      <c r="C2966" s="1"/>
      <c r="D2966" s="1"/>
      <c r="E2966" s="1"/>
      <c r="F2966" s="1"/>
      <c r="G2966" s="1"/>
      <c r="H2966" s="1"/>
      <c r="I2966" s="1"/>
      <c r="J2966" s="1"/>
      <c r="K2966" s="1"/>
      <c r="L2966" s="1"/>
      <c r="M2966" s="1"/>
      <c r="N2966" s="1"/>
    </row>
    <row r="2967" ht="14.5" spans="2:14">
      <c r="B2967" s="1"/>
      <c r="C2967" s="1"/>
      <c r="D2967" s="1"/>
      <c r="E2967" s="1"/>
      <c r="F2967" s="1"/>
      <c r="G2967" s="1"/>
      <c r="H2967" s="1"/>
      <c r="I2967" s="1"/>
      <c r="J2967" s="1"/>
      <c r="K2967" s="1"/>
      <c r="L2967" s="1"/>
      <c r="M2967" s="1"/>
      <c r="N2967" s="1"/>
    </row>
    <row r="2968" ht="14.5" spans="2:14">
      <c r="B2968" s="1"/>
      <c r="C2968" s="1"/>
      <c r="D2968" s="1"/>
      <c r="E2968" s="1"/>
      <c r="F2968" s="1"/>
      <c r="G2968" s="1"/>
      <c r="H2968" s="1"/>
      <c r="I2968" s="1"/>
      <c r="J2968" s="1"/>
      <c r="K2968" s="1"/>
      <c r="L2968" s="1"/>
      <c r="M2968" s="1"/>
      <c r="N2968" s="1"/>
    </row>
    <row r="2969" ht="14.5" spans="2:14">
      <c r="B2969" s="1"/>
      <c r="C2969" s="1"/>
      <c r="D2969" s="1"/>
      <c r="E2969" s="1"/>
      <c r="F2969" s="1"/>
      <c r="G2969" s="1"/>
      <c r="H2969" s="1"/>
      <c r="I2969" s="1"/>
      <c r="J2969" s="1"/>
      <c r="K2969" s="1"/>
      <c r="L2969" s="1"/>
      <c r="M2969" s="1"/>
      <c r="N2969" s="1"/>
    </row>
    <row r="2970" ht="14.5" spans="2:14">
      <c r="B2970" s="1"/>
      <c r="C2970" s="1"/>
      <c r="D2970" s="1"/>
      <c r="E2970" s="1"/>
      <c r="F2970" s="1"/>
      <c r="G2970" s="1"/>
      <c r="H2970" s="1"/>
      <c r="I2970" s="1"/>
      <c r="J2970" s="1"/>
      <c r="K2970" s="1"/>
      <c r="L2970" s="1"/>
      <c r="M2970" s="1"/>
      <c r="N2970" s="1"/>
    </row>
    <row r="2971" ht="14.5" spans="2:14">
      <c r="B2971" s="1"/>
      <c r="C2971" s="1"/>
      <c r="D2971" s="1"/>
      <c r="E2971" s="1"/>
      <c r="F2971" s="1"/>
      <c r="G2971" s="1"/>
      <c r="H2971" s="1"/>
      <c r="I2971" s="1"/>
      <c r="J2971" s="1"/>
      <c r="K2971" s="1"/>
      <c r="L2971" s="1"/>
      <c r="M2971" s="1"/>
      <c r="N2971" s="1"/>
    </row>
    <row r="2972" ht="14.5" spans="2:14">
      <c r="B2972" s="1"/>
      <c r="C2972" s="1"/>
      <c r="D2972" s="1"/>
      <c r="E2972" s="1"/>
      <c r="F2972" s="1"/>
      <c r="G2972" s="1"/>
      <c r="H2972" s="1"/>
      <c r="I2972" s="1"/>
      <c r="J2972" s="1"/>
      <c r="K2972" s="1"/>
      <c r="L2972" s="1"/>
      <c r="M2972" s="1"/>
      <c r="N2972" s="1"/>
    </row>
    <row r="2973" ht="14.5" spans="2:14">
      <c r="B2973" s="1"/>
      <c r="C2973" s="1"/>
      <c r="D2973" s="1"/>
      <c r="E2973" s="1"/>
      <c r="F2973" s="1"/>
      <c r="G2973" s="1"/>
      <c r="H2973" s="1"/>
      <c r="I2973" s="1"/>
      <c r="J2973" s="1"/>
      <c r="K2973" s="1"/>
      <c r="L2973" s="1"/>
      <c r="M2973" s="1"/>
      <c r="N2973" s="1"/>
    </row>
    <row r="2974" ht="14.5" spans="2:14">
      <c r="B2974" s="1"/>
      <c r="C2974" s="1"/>
      <c r="D2974" s="1"/>
      <c r="E2974" s="1"/>
      <c r="F2974" s="1"/>
      <c r="G2974" s="1"/>
      <c r="H2974" s="1"/>
      <c r="I2974" s="1"/>
      <c r="J2974" s="1"/>
      <c r="K2974" s="1"/>
      <c r="L2974" s="1"/>
      <c r="M2974" s="1"/>
      <c r="N2974" s="1"/>
    </row>
    <row r="2975" ht="14.5" spans="2:14">
      <c r="B2975" s="1"/>
      <c r="C2975" s="1"/>
      <c r="D2975" s="1"/>
      <c r="E2975" s="1"/>
      <c r="F2975" s="1"/>
      <c r="G2975" s="1"/>
      <c r="H2975" s="1"/>
      <c r="I2975" s="1"/>
      <c r="J2975" s="1"/>
      <c r="K2975" s="1"/>
      <c r="L2975" s="1"/>
      <c r="M2975" s="1"/>
      <c r="N2975" s="1"/>
    </row>
    <row r="2976" ht="14.5" spans="2:14">
      <c r="B2976" s="1"/>
      <c r="C2976" s="1"/>
      <c r="D2976" s="1"/>
      <c r="E2976" s="1"/>
      <c r="F2976" s="1"/>
      <c r="G2976" s="1"/>
      <c r="H2976" s="1"/>
      <c r="I2976" s="1"/>
      <c r="J2976" s="1"/>
      <c r="K2976" s="1"/>
      <c r="L2976" s="1"/>
      <c r="M2976" s="1"/>
      <c r="N2976" s="1"/>
    </row>
    <row r="2977" ht="14.5" spans="2:14">
      <c r="B2977" s="1"/>
      <c r="C2977" s="1"/>
      <c r="D2977" s="1"/>
      <c r="E2977" s="1"/>
      <c r="F2977" s="1"/>
      <c r="G2977" s="1"/>
      <c r="H2977" s="1"/>
      <c r="I2977" s="1"/>
      <c r="J2977" s="1"/>
      <c r="K2977" s="1"/>
      <c r="L2977" s="1"/>
      <c r="M2977" s="1"/>
      <c r="N2977" s="1"/>
    </row>
    <row r="2978" ht="14.5" spans="2:14">
      <c r="B2978" s="1"/>
      <c r="C2978" s="1"/>
      <c r="D2978" s="1"/>
      <c r="E2978" s="1"/>
      <c r="F2978" s="1"/>
      <c r="G2978" s="1"/>
      <c r="H2978" s="1"/>
      <c r="I2978" s="1"/>
      <c r="J2978" s="1"/>
      <c r="K2978" s="1"/>
      <c r="L2978" s="1"/>
      <c r="M2978" s="1"/>
      <c r="N2978" s="1"/>
    </row>
    <row r="2979" ht="14.5" spans="2:14">
      <c r="B2979" s="1"/>
      <c r="C2979" s="1"/>
      <c r="D2979" s="1"/>
      <c r="E2979" s="1"/>
      <c r="F2979" s="1"/>
      <c r="G2979" s="1"/>
      <c r="H2979" s="1"/>
      <c r="I2979" s="1"/>
      <c r="J2979" s="1"/>
      <c r="K2979" s="1"/>
      <c r="L2979" s="1"/>
      <c r="M2979" s="1"/>
      <c r="N2979" s="1"/>
    </row>
    <row r="2980" ht="14.5" spans="2:14">
      <c r="B2980" s="1"/>
      <c r="C2980" s="1"/>
      <c r="D2980" s="1"/>
      <c r="E2980" s="1"/>
      <c r="F2980" s="1"/>
      <c r="G2980" s="1"/>
      <c r="H2980" s="1"/>
      <c r="I2980" s="1"/>
      <c r="J2980" s="1"/>
      <c r="K2980" s="1"/>
      <c r="L2980" s="1"/>
      <c r="M2980" s="1"/>
      <c r="N2980" s="1"/>
    </row>
    <row r="2981" ht="14.5" spans="2:14">
      <c r="B2981" s="1"/>
      <c r="C2981" s="1"/>
      <c r="D2981" s="1"/>
      <c r="E2981" s="1"/>
      <c r="F2981" s="1"/>
      <c r="G2981" s="1"/>
      <c r="H2981" s="1"/>
      <c r="I2981" s="1"/>
      <c r="J2981" s="1"/>
      <c r="K2981" s="1"/>
      <c r="L2981" s="1"/>
      <c r="M2981" s="1"/>
      <c r="N2981" s="1"/>
    </row>
    <row r="2982" ht="14.5" spans="2:14">
      <c r="B2982" s="1"/>
      <c r="C2982" s="1"/>
      <c r="D2982" s="1"/>
      <c r="E2982" s="1"/>
      <c r="F2982" s="1"/>
      <c r="G2982" s="1"/>
      <c r="H2982" s="1"/>
      <c r="I2982" s="1"/>
      <c r="J2982" s="1"/>
      <c r="K2982" s="1"/>
      <c r="L2982" s="1"/>
      <c r="M2982" s="1"/>
      <c r="N2982" s="1"/>
    </row>
    <row r="2983" ht="14.5" spans="2:14">
      <c r="B2983" s="1"/>
      <c r="C2983" s="1"/>
      <c r="D2983" s="1"/>
      <c r="E2983" s="1"/>
      <c r="F2983" s="1"/>
      <c r="G2983" s="1"/>
      <c r="H2983" s="1"/>
      <c r="I2983" s="1"/>
      <c r="J2983" s="1"/>
      <c r="K2983" s="1"/>
      <c r="L2983" s="1"/>
      <c r="M2983" s="1"/>
      <c r="N2983" s="1"/>
    </row>
    <row r="2984" ht="14.5" spans="2:14">
      <c r="B2984" s="1"/>
      <c r="C2984" s="1"/>
      <c r="D2984" s="1"/>
      <c r="E2984" s="1"/>
      <c r="F2984" s="1"/>
      <c r="G2984" s="1"/>
      <c r="H2984" s="1"/>
      <c r="I2984" s="1"/>
      <c r="J2984" s="1"/>
      <c r="K2984" s="1"/>
      <c r="L2984" s="1"/>
      <c r="M2984" s="1"/>
      <c r="N2984" s="1"/>
    </row>
    <row r="2985" ht="14.5" spans="2:14">
      <c r="B2985" s="1"/>
      <c r="C2985" s="1"/>
      <c r="D2985" s="1"/>
      <c r="E2985" s="1"/>
      <c r="F2985" s="1"/>
      <c r="G2985" s="1"/>
      <c r="H2985" s="1"/>
      <c r="I2985" s="1"/>
      <c r="J2985" s="1"/>
      <c r="K2985" s="1"/>
      <c r="L2985" s="1"/>
      <c r="M2985" s="1"/>
      <c r="N2985" s="1"/>
    </row>
    <row r="2986" ht="14.5" spans="2:14">
      <c r="B2986" s="1"/>
      <c r="C2986" s="1"/>
      <c r="D2986" s="1"/>
      <c r="E2986" s="1"/>
      <c r="F2986" s="1"/>
      <c r="G2986" s="1"/>
      <c r="H2986" s="1"/>
      <c r="I2986" s="1"/>
      <c r="J2986" s="1"/>
      <c r="K2986" s="1"/>
      <c r="L2986" s="1"/>
      <c r="M2986" s="1"/>
      <c r="N2986" s="1"/>
    </row>
    <row r="2987" ht="14.5" spans="2:14">
      <c r="B2987" s="1"/>
      <c r="C2987" s="1"/>
      <c r="D2987" s="1"/>
      <c r="E2987" s="1"/>
      <c r="F2987" s="1"/>
      <c r="G2987" s="1"/>
      <c r="H2987" s="1"/>
      <c r="I2987" s="1"/>
      <c r="J2987" s="1"/>
      <c r="K2987" s="1"/>
      <c r="L2987" s="1"/>
      <c r="M2987" s="1"/>
      <c r="N2987" s="1"/>
    </row>
    <row r="2988" ht="14.5" spans="2:14">
      <c r="B2988" s="1"/>
      <c r="C2988" s="1"/>
      <c r="D2988" s="1"/>
      <c r="E2988" s="1"/>
      <c r="F2988" s="1"/>
      <c r="G2988" s="1"/>
      <c r="H2988" s="1"/>
      <c r="I2988" s="1"/>
      <c r="J2988" s="1"/>
      <c r="K2988" s="1"/>
      <c r="L2988" s="1"/>
      <c r="M2988" s="1"/>
      <c r="N2988" s="1"/>
    </row>
    <row r="2989" ht="14.5" spans="2:14">
      <c r="B2989" s="1"/>
      <c r="C2989" s="1"/>
      <c r="D2989" s="1"/>
      <c r="E2989" s="1"/>
      <c r="F2989" s="1"/>
      <c r="G2989" s="1"/>
      <c r="H2989" s="1"/>
      <c r="I2989" s="1"/>
      <c r="J2989" s="1"/>
      <c r="K2989" s="1"/>
      <c r="L2989" s="1"/>
      <c r="M2989" s="1"/>
      <c r="N2989" s="1"/>
    </row>
    <row r="2990" ht="14.5" spans="2:14">
      <c r="B2990" s="1"/>
      <c r="C2990" s="1"/>
      <c r="D2990" s="1"/>
      <c r="E2990" s="1"/>
      <c r="F2990" s="1"/>
      <c r="G2990" s="1"/>
      <c r="H2990" s="1"/>
      <c r="I2990" s="1"/>
      <c r="J2990" s="1"/>
      <c r="K2990" s="1"/>
      <c r="L2990" s="1"/>
      <c r="M2990" s="1"/>
      <c r="N2990" s="1"/>
    </row>
    <row r="2991" ht="14.5" spans="2:14">
      <c r="B2991" s="1"/>
      <c r="C2991" s="1"/>
      <c r="D2991" s="1"/>
      <c r="E2991" s="1"/>
      <c r="F2991" s="1"/>
      <c r="G2991" s="1"/>
      <c r="H2991" s="1"/>
      <c r="I2991" s="1"/>
      <c r="J2991" s="1"/>
      <c r="K2991" s="1"/>
      <c r="L2991" s="1"/>
      <c r="M2991" s="1"/>
      <c r="N2991" s="1"/>
    </row>
    <row r="2992" ht="14.5" spans="2:14">
      <c r="B2992" s="1"/>
      <c r="C2992" s="1"/>
      <c r="D2992" s="1"/>
      <c r="E2992" s="1"/>
      <c r="F2992" s="1"/>
      <c r="G2992" s="1"/>
      <c r="H2992" s="1"/>
      <c r="I2992" s="1"/>
      <c r="J2992" s="1"/>
      <c r="K2992" s="1"/>
      <c r="L2992" s="1"/>
      <c r="M2992" s="1"/>
      <c r="N2992" s="1"/>
    </row>
    <row r="2993" ht="14.5" spans="2:14">
      <c r="B2993" s="1"/>
      <c r="C2993" s="1"/>
      <c r="D2993" s="1"/>
      <c r="E2993" s="1"/>
      <c r="F2993" s="1"/>
      <c r="G2993" s="1"/>
      <c r="H2993" s="1"/>
      <c r="I2993" s="1"/>
      <c r="J2993" s="1"/>
      <c r="K2993" s="1"/>
      <c r="L2993" s="1"/>
      <c r="M2993" s="1"/>
      <c r="N2993" s="1"/>
    </row>
    <row r="2994" ht="14.5" spans="2:14">
      <c r="B2994" s="1"/>
      <c r="C2994" s="1"/>
      <c r="D2994" s="1"/>
      <c r="E2994" s="1"/>
      <c r="F2994" s="1"/>
      <c r="G2994" s="1"/>
      <c r="H2994" s="1"/>
      <c r="I2994" s="1"/>
      <c r="J2994" s="1"/>
      <c r="K2994" s="1"/>
      <c r="L2994" s="1"/>
      <c r="M2994" s="1"/>
      <c r="N2994" s="1"/>
    </row>
    <row r="2995" ht="14.5" spans="2:14">
      <c r="B2995" s="1"/>
      <c r="C2995" s="1"/>
      <c r="D2995" s="1"/>
      <c r="E2995" s="1"/>
      <c r="F2995" s="1"/>
      <c r="G2995" s="1"/>
      <c r="H2995" s="1"/>
      <c r="I2995" s="1"/>
      <c r="J2995" s="1"/>
      <c r="K2995" s="1"/>
      <c r="L2995" s="1"/>
      <c r="M2995" s="1"/>
      <c r="N2995" s="1"/>
    </row>
    <row r="2996" ht="14.5" spans="2:14">
      <c r="B2996" s="1"/>
      <c r="C2996" s="1"/>
      <c r="D2996" s="1"/>
      <c r="E2996" s="1"/>
      <c r="F2996" s="1"/>
      <c r="G2996" s="1"/>
      <c r="H2996" s="1"/>
      <c r="I2996" s="1"/>
      <c r="J2996" s="1"/>
      <c r="K2996" s="1"/>
      <c r="L2996" s="1"/>
      <c r="M2996" s="1"/>
      <c r="N2996" s="1"/>
    </row>
    <row r="2997" ht="14.5" spans="2:14">
      <c r="B2997" s="1"/>
      <c r="C2997" s="1"/>
      <c r="D2997" s="1"/>
      <c r="E2997" s="1"/>
      <c r="F2997" s="1"/>
      <c r="G2997" s="1"/>
      <c r="H2997" s="1"/>
      <c r="I2997" s="1"/>
      <c r="J2997" s="1"/>
      <c r="K2997" s="1"/>
      <c r="L2997" s="1"/>
      <c r="M2997" s="1"/>
      <c r="N2997" s="1"/>
    </row>
    <row r="2998" ht="14.5" spans="2:14">
      <c r="B2998" s="1"/>
      <c r="C2998" s="1"/>
      <c r="D2998" s="1"/>
      <c r="E2998" s="1"/>
      <c r="F2998" s="1"/>
      <c r="G2998" s="1"/>
      <c r="H2998" s="1"/>
      <c r="I2998" s="1"/>
      <c r="J2998" s="1"/>
      <c r="K2998" s="1"/>
      <c r="L2998" s="1"/>
      <c r="M2998" s="1"/>
      <c r="N2998" s="1"/>
    </row>
    <row r="2999" ht="14.5" spans="2:14">
      <c r="B2999" s="1"/>
      <c r="C2999" s="1"/>
      <c r="D2999" s="1"/>
      <c r="E2999" s="1"/>
      <c r="F2999" s="1"/>
      <c r="G2999" s="1"/>
      <c r="H2999" s="1"/>
      <c r="I2999" s="1"/>
      <c r="J2999" s="1"/>
      <c r="K2999" s="1"/>
      <c r="L2999" s="1"/>
      <c r="M2999" s="1"/>
      <c r="N2999" s="1"/>
    </row>
    <row r="3000" ht="14.5" spans="2:14">
      <c r="B3000" s="1"/>
      <c r="C3000" s="1"/>
      <c r="D3000" s="1"/>
      <c r="E3000" s="1"/>
      <c r="F3000" s="1"/>
      <c r="G3000" s="1"/>
      <c r="H3000" s="1"/>
      <c r="I3000" s="1"/>
      <c r="J3000" s="1"/>
      <c r="K3000" s="1"/>
      <c r="L3000" s="1"/>
      <c r="M3000" s="1"/>
      <c r="N3000" s="1"/>
    </row>
    <row r="3001" ht="14.5" spans="2:14">
      <c r="B3001" s="1"/>
      <c r="C3001" s="1"/>
      <c r="D3001" s="1"/>
      <c r="E3001" s="1"/>
      <c r="F3001" s="1"/>
      <c r="G3001" s="1"/>
      <c r="H3001" s="1"/>
      <c r="I3001" s="1"/>
      <c r="J3001" s="1"/>
      <c r="K3001" s="1"/>
      <c r="L3001" s="1"/>
      <c r="M3001" s="1"/>
      <c r="N3001" s="1"/>
    </row>
    <row r="3002" ht="14.5" spans="2:14">
      <c r="B3002" s="1"/>
      <c r="C3002" s="1"/>
      <c r="D3002" s="1"/>
      <c r="E3002" s="1"/>
      <c r="F3002" s="1"/>
      <c r="G3002" s="1"/>
      <c r="H3002" s="1"/>
      <c r="I3002" s="1"/>
      <c r="J3002" s="1"/>
      <c r="K3002" s="1"/>
      <c r="L3002" s="1"/>
      <c r="M3002" s="1"/>
      <c r="N3002" s="1"/>
    </row>
    <row r="3003" ht="14.5" spans="2:14">
      <c r="B3003" s="1"/>
      <c r="C3003" s="1"/>
      <c r="D3003" s="1"/>
      <c r="E3003" s="1"/>
      <c r="F3003" s="1"/>
      <c r="G3003" s="1"/>
      <c r="H3003" s="1"/>
      <c r="I3003" s="1"/>
      <c r="J3003" s="1"/>
      <c r="K3003" s="1"/>
      <c r="L3003" s="1"/>
      <c r="M3003" s="1"/>
      <c r="N3003" s="1"/>
    </row>
    <row r="3004" ht="14.5" spans="2:14">
      <c r="B3004" s="1"/>
      <c r="C3004" s="1"/>
      <c r="D3004" s="1"/>
      <c r="E3004" s="1"/>
      <c r="F3004" s="1"/>
      <c r="G3004" s="1"/>
      <c r="H3004" s="1"/>
      <c r="I3004" s="1"/>
      <c r="J3004" s="1"/>
      <c r="K3004" s="1"/>
      <c r="L3004" s="1"/>
      <c r="M3004" s="1"/>
      <c r="N3004" s="1"/>
    </row>
    <row r="3005" ht="14.5" spans="2:14">
      <c r="B3005" s="1"/>
      <c r="C3005" s="1"/>
      <c r="D3005" s="1"/>
      <c r="E3005" s="1"/>
      <c r="F3005" s="1"/>
      <c r="G3005" s="1"/>
      <c r="H3005" s="1"/>
      <c r="I3005" s="1"/>
      <c r="J3005" s="1"/>
      <c r="K3005" s="1"/>
      <c r="L3005" s="1"/>
      <c r="M3005" s="1"/>
      <c r="N3005" s="1"/>
    </row>
    <row r="3006" ht="14.5" spans="2:14">
      <c r="B3006" s="1"/>
      <c r="C3006" s="1"/>
      <c r="D3006" s="1"/>
      <c r="E3006" s="1"/>
      <c r="F3006" s="1"/>
      <c r="G3006" s="1"/>
      <c r="H3006" s="1"/>
      <c r="I3006" s="1"/>
      <c r="J3006" s="1"/>
      <c r="K3006" s="1"/>
      <c r="L3006" s="1"/>
      <c r="M3006" s="1"/>
      <c r="N3006" s="1"/>
    </row>
    <row r="3007" ht="14.5" spans="2:14">
      <c r="B3007" s="1"/>
      <c r="C3007" s="1"/>
      <c r="D3007" s="1"/>
      <c r="E3007" s="1"/>
      <c r="F3007" s="1"/>
      <c r="G3007" s="1"/>
      <c r="H3007" s="1"/>
      <c r="I3007" s="1"/>
      <c r="J3007" s="1"/>
      <c r="K3007" s="1"/>
      <c r="L3007" s="1"/>
      <c r="M3007" s="1"/>
      <c r="N3007" s="1"/>
    </row>
    <row r="3008" ht="14.5" spans="2:14">
      <c r="B3008" s="1"/>
      <c r="C3008" s="1"/>
      <c r="D3008" s="1"/>
      <c r="E3008" s="1"/>
      <c r="F3008" s="1"/>
      <c r="G3008" s="1"/>
      <c r="H3008" s="1"/>
      <c r="I3008" s="1"/>
      <c r="J3008" s="1"/>
      <c r="K3008" s="1"/>
      <c r="L3008" s="1"/>
      <c r="M3008" s="1"/>
      <c r="N3008" s="1"/>
    </row>
    <row r="3009" ht="14.5" spans="2:14">
      <c r="B3009" s="1"/>
      <c r="C3009" s="1"/>
      <c r="D3009" s="1"/>
      <c r="E3009" s="1"/>
      <c r="F3009" s="1"/>
      <c r="G3009" s="1"/>
      <c r="H3009" s="1"/>
      <c r="I3009" s="1"/>
      <c r="J3009" s="1"/>
      <c r="K3009" s="1"/>
      <c r="L3009" s="1"/>
      <c r="M3009" s="1"/>
      <c r="N3009" s="1"/>
    </row>
    <row r="3010" ht="14.5" spans="2:14">
      <c r="B3010" s="1"/>
      <c r="C3010" s="1"/>
      <c r="D3010" s="1"/>
      <c r="E3010" s="1"/>
      <c r="F3010" s="1"/>
      <c r="G3010" s="1"/>
      <c r="H3010" s="1"/>
      <c r="I3010" s="1"/>
      <c r="J3010" s="1"/>
      <c r="K3010" s="1"/>
      <c r="L3010" s="1"/>
      <c r="M3010" s="1"/>
      <c r="N3010" s="1"/>
    </row>
    <row r="3011" ht="14.5" spans="2:14">
      <c r="B3011" s="1"/>
      <c r="C3011" s="1"/>
      <c r="D3011" s="1"/>
      <c r="E3011" s="1"/>
      <c r="F3011" s="1"/>
      <c r="G3011" s="1"/>
      <c r="H3011" s="1"/>
      <c r="I3011" s="1"/>
      <c r="J3011" s="1"/>
      <c r="K3011" s="1"/>
      <c r="L3011" s="1"/>
      <c r="M3011" s="1"/>
      <c r="N3011" s="1"/>
    </row>
    <row r="3012" ht="14.5" spans="2:14">
      <c r="B3012" s="1"/>
      <c r="C3012" s="1"/>
      <c r="D3012" s="1"/>
      <c r="E3012" s="1"/>
      <c r="F3012" s="1"/>
      <c r="G3012" s="1"/>
      <c r="H3012" s="1"/>
      <c r="I3012" s="1"/>
      <c r="J3012" s="1"/>
      <c r="K3012" s="1"/>
      <c r="L3012" s="1"/>
      <c r="M3012" s="1"/>
      <c r="N3012" s="1"/>
    </row>
    <row r="3013" ht="14.5" spans="2:14">
      <c r="B3013" s="1"/>
      <c r="C3013" s="1"/>
      <c r="D3013" s="1"/>
      <c r="E3013" s="1"/>
      <c r="F3013" s="1"/>
      <c r="G3013" s="1"/>
      <c r="H3013" s="1"/>
      <c r="I3013" s="1"/>
      <c r="J3013" s="1"/>
      <c r="K3013" s="1"/>
      <c r="L3013" s="1"/>
      <c r="M3013" s="1"/>
      <c r="N3013" s="1"/>
    </row>
    <row r="3014" ht="14.5" spans="2:14">
      <c r="B3014" s="1"/>
      <c r="C3014" s="1"/>
      <c r="D3014" s="1"/>
      <c r="E3014" s="1"/>
      <c r="F3014" s="1"/>
      <c r="G3014" s="1"/>
      <c r="H3014" s="1"/>
      <c r="I3014" s="1"/>
      <c r="J3014" s="1"/>
      <c r="K3014" s="1"/>
      <c r="L3014" s="1"/>
      <c r="M3014" s="1"/>
      <c r="N3014" s="1"/>
    </row>
    <row r="3015" ht="14.5" spans="2:14">
      <c r="B3015" s="1"/>
      <c r="C3015" s="1"/>
      <c r="D3015" s="1"/>
      <c r="E3015" s="1"/>
      <c r="F3015" s="1"/>
      <c r="G3015" s="1"/>
      <c r="H3015" s="1"/>
      <c r="I3015" s="1"/>
      <c r="J3015" s="1"/>
      <c r="K3015" s="1"/>
      <c r="L3015" s="1"/>
      <c r="M3015" s="1"/>
      <c r="N3015" s="1"/>
    </row>
    <row r="3016" ht="14.5" spans="2:14">
      <c r="B3016" s="1"/>
      <c r="C3016" s="1"/>
      <c r="D3016" s="1"/>
      <c r="E3016" s="1"/>
      <c r="F3016" s="1"/>
      <c r="G3016" s="1"/>
      <c r="H3016" s="1"/>
      <c r="I3016" s="1"/>
      <c r="J3016" s="1"/>
      <c r="K3016" s="1"/>
      <c r="L3016" s="1"/>
      <c r="M3016" s="1"/>
      <c r="N3016" s="1"/>
    </row>
    <row r="3017" ht="14.5" spans="2:14">
      <c r="B3017" s="1"/>
      <c r="C3017" s="1"/>
      <c r="D3017" s="1"/>
      <c r="E3017" s="1"/>
      <c r="F3017" s="1"/>
      <c r="G3017" s="1"/>
      <c r="H3017" s="1"/>
      <c r="I3017" s="1"/>
      <c r="J3017" s="1"/>
      <c r="K3017" s="1"/>
      <c r="L3017" s="1"/>
      <c r="M3017" s="1"/>
      <c r="N3017" s="1"/>
    </row>
    <row r="3018" ht="14.5" spans="2:14">
      <c r="B3018" s="1"/>
      <c r="C3018" s="1"/>
      <c r="D3018" s="1"/>
      <c r="E3018" s="1"/>
      <c r="F3018" s="1"/>
      <c r="G3018" s="1"/>
      <c r="H3018" s="1"/>
      <c r="I3018" s="1"/>
      <c r="J3018" s="1"/>
      <c r="K3018" s="1"/>
      <c r="L3018" s="1"/>
      <c r="M3018" s="1"/>
      <c r="N3018" s="1"/>
    </row>
    <row r="3019" ht="14.5" spans="2:14">
      <c r="B3019" s="1"/>
      <c r="C3019" s="1"/>
      <c r="D3019" s="1"/>
      <c r="E3019" s="1"/>
      <c r="F3019" s="1"/>
      <c r="G3019" s="1"/>
      <c r="H3019" s="1"/>
      <c r="I3019" s="1"/>
      <c r="J3019" s="1"/>
      <c r="K3019" s="1"/>
      <c r="L3019" s="1"/>
      <c r="M3019" s="1"/>
      <c r="N3019" s="1"/>
    </row>
    <row r="3020" ht="14.5" spans="2:14">
      <c r="B3020" s="1"/>
      <c r="C3020" s="1"/>
      <c r="D3020" s="1"/>
      <c r="E3020" s="1"/>
      <c r="F3020" s="1"/>
      <c r="G3020" s="1"/>
      <c r="H3020" s="1"/>
      <c r="I3020" s="1"/>
      <c r="J3020" s="1"/>
      <c r="K3020" s="1"/>
      <c r="L3020" s="1"/>
      <c r="M3020" s="1"/>
      <c r="N3020" s="1"/>
    </row>
    <row r="3021" ht="14.5" spans="2:14">
      <c r="B3021" s="1"/>
      <c r="C3021" s="1"/>
      <c r="D3021" s="1"/>
      <c r="E3021" s="1"/>
      <c r="F3021" s="1"/>
      <c r="G3021" s="1"/>
      <c r="H3021" s="1"/>
      <c r="I3021" s="1"/>
      <c r="J3021" s="1"/>
      <c r="K3021" s="1"/>
      <c r="L3021" s="1"/>
      <c r="M3021" s="1"/>
      <c r="N3021" s="1"/>
    </row>
    <row r="3022" ht="14.5" spans="2:14">
      <c r="B3022" s="1"/>
      <c r="C3022" s="1"/>
      <c r="D3022" s="1"/>
      <c r="E3022" s="1"/>
      <c r="F3022" s="1"/>
      <c r="G3022" s="1"/>
      <c r="H3022" s="1"/>
      <c r="I3022" s="1"/>
      <c r="J3022" s="1"/>
      <c r="K3022" s="1"/>
      <c r="L3022" s="1"/>
      <c r="M3022" s="1"/>
      <c r="N3022" s="1"/>
    </row>
    <row r="3023" ht="14.5" spans="2:14">
      <c r="B3023" s="1"/>
      <c r="C3023" s="1"/>
      <c r="D3023" s="1"/>
      <c r="E3023" s="1"/>
      <c r="F3023" s="1"/>
      <c r="G3023" s="1"/>
      <c r="H3023" s="1"/>
      <c r="I3023" s="1"/>
      <c r="J3023" s="1"/>
      <c r="K3023" s="1"/>
      <c r="L3023" s="1"/>
      <c r="M3023" s="1"/>
      <c r="N3023" s="1"/>
    </row>
    <row r="3024" ht="14.5" spans="2:14">
      <c r="B3024" s="1"/>
      <c r="C3024" s="1"/>
      <c r="D3024" s="1"/>
      <c r="E3024" s="1"/>
      <c r="F3024" s="1"/>
      <c r="G3024" s="1"/>
      <c r="H3024" s="1"/>
      <c r="I3024" s="1"/>
      <c r="J3024" s="1"/>
      <c r="K3024" s="1"/>
      <c r="L3024" s="1"/>
      <c r="M3024" s="1"/>
      <c r="N3024" s="1"/>
    </row>
    <row r="3025" ht="14.5" spans="2:14">
      <c r="B3025" s="1"/>
      <c r="C3025" s="1"/>
      <c r="D3025" s="1"/>
      <c r="E3025" s="1"/>
      <c r="F3025" s="1"/>
      <c r="G3025" s="1"/>
      <c r="H3025" s="1"/>
      <c r="I3025" s="1"/>
      <c r="J3025" s="1"/>
      <c r="K3025" s="1"/>
      <c r="L3025" s="1"/>
      <c r="M3025" s="1"/>
      <c r="N3025" s="1"/>
    </row>
    <row r="3026" ht="14.5" spans="2:14">
      <c r="B3026" s="1"/>
      <c r="C3026" s="1"/>
      <c r="D3026" s="1"/>
      <c r="E3026" s="1"/>
      <c r="F3026" s="1"/>
      <c r="G3026" s="1"/>
      <c r="H3026" s="1"/>
      <c r="I3026" s="1"/>
      <c r="J3026" s="1"/>
      <c r="K3026" s="1"/>
      <c r="L3026" s="1"/>
      <c r="M3026" s="1"/>
      <c r="N3026" s="1"/>
    </row>
    <row r="3027" ht="14.5" spans="2:14">
      <c r="B3027" s="1"/>
      <c r="C3027" s="1"/>
      <c r="D3027" s="1"/>
      <c r="E3027" s="1"/>
      <c r="F3027" s="1"/>
      <c r="G3027" s="1"/>
      <c r="H3027" s="1"/>
      <c r="I3027" s="1"/>
      <c r="J3027" s="1"/>
      <c r="K3027" s="1"/>
      <c r="L3027" s="1"/>
      <c r="M3027" s="1"/>
      <c r="N3027" s="1"/>
    </row>
    <row r="3028" ht="14.5" spans="2:14">
      <c r="B3028" s="1"/>
      <c r="C3028" s="1"/>
      <c r="D3028" s="1"/>
      <c r="E3028" s="1"/>
      <c r="F3028" s="1"/>
      <c r="G3028" s="1"/>
      <c r="H3028" s="1"/>
      <c r="I3028" s="1"/>
      <c r="J3028" s="1"/>
      <c r="K3028" s="1"/>
      <c r="L3028" s="1"/>
      <c r="M3028" s="1"/>
      <c r="N3028" s="1"/>
    </row>
    <row r="3029" ht="14.5" spans="2:14">
      <c r="B3029" s="1"/>
      <c r="C3029" s="1"/>
      <c r="D3029" s="1"/>
      <c r="E3029" s="1"/>
      <c r="F3029" s="1"/>
      <c r="G3029" s="1"/>
      <c r="H3029" s="1"/>
      <c r="I3029" s="1"/>
      <c r="J3029" s="1"/>
      <c r="K3029" s="1"/>
      <c r="L3029" s="1"/>
      <c r="M3029" s="1"/>
      <c r="N3029" s="1"/>
    </row>
    <row r="3030" ht="14.5" spans="2:14">
      <c r="B3030" s="1"/>
      <c r="C3030" s="1"/>
      <c r="D3030" s="1"/>
      <c r="E3030" s="1"/>
      <c r="F3030" s="1"/>
      <c r="G3030" s="1"/>
      <c r="H3030" s="1"/>
      <c r="I3030" s="1"/>
      <c r="J3030" s="1"/>
      <c r="K3030" s="1"/>
      <c r="L3030" s="1"/>
      <c r="M3030" s="1"/>
      <c r="N3030" s="1"/>
    </row>
    <row r="3031" ht="14.5" spans="2:14">
      <c r="B3031" s="1"/>
      <c r="C3031" s="1"/>
      <c r="D3031" s="1"/>
      <c r="E3031" s="1"/>
      <c r="F3031" s="1"/>
      <c r="G3031" s="1"/>
      <c r="H3031" s="1"/>
      <c r="I3031" s="1"/>
      <c r="J3031" s="1"/>
      <c r="K3031" s="1"/>
      <c r="L3031" s="1"/>
      <c r="M3031" s="1"/>
      <c r="N3031" s="1"/>
    </row>
    <row r="3032" ht="14.5" spans="2:14">
      <c r="B3032" s="1"/>
      <c r="C3032" s="1"/>
      <c r="D3032" s="1"/>
      <c r="E3032" s="1"/>
      <c r="F3032" s="1"/>
      <c r="G3032" s="1"/>
      <c r="H3032" s="1"/>
      <c r="I3032" s="1"/>
      <c r="J3032" s="1"/>
      <c r="K3032" s="1"/>
      <c r="L3032" s="1"/>
      <c r="M3032" s="1"/>
      <c r="N3032" s="1"/>
    </row>
    <row r="3033" ht="14.5" spans="2:14">
      <c r="B3033" s="1"/>
      <c r="C3033" s="1"/>
      <c r="D3033" s="1"/>
      <c r="E3033" s="1"/>
      <c r="F3033" s="1"/>
      <c r="G3033" s="1"/>
      <c r="H3033" s="1"/>
      <c r="I3033" s="1"/>
      <c r="J3033" s="1"/>
      <c r="K3033" s="1"/>
      <c r="L3033" s="1"/>
      <c r="M3033" s="1"/>
      <c r="N3033" s="1"/>
    </row>
    <row r="3034" ht="14.5" spans="2:14">
      <c r="B3034" s="1"/>
      <c r="C3034" s="1"/>
      <c r="D3034" s="1"/>
      <c r="E3034" s="1"/>
      <c r="F3034" s="1"/>
      <c r="G3034" s="1"/>
      <c r="H3034" s="1"/>
      <c r="I3034" s="1"/>
      <c r="J3034" s="1"/>
      <c r="K3034" s="1"/>
      <c r="L3034" s="1"/>
      <c r="M3034" s="1"/>
      <c r="N3034" s="1"/>
    </row>
    <row r="3035" ht="14.5" spans="2:14">
      <c r="B3035" s="1"/>
      <c r="C3035" s="1"/>
      <c r="D3035" s="1"/>
      <c r="E3035" s="1"/>
      <c r="F3035" s="1"/>
      <c r="G3035" s="1"/>
      <c r="H3035" s="1"/>
      <c r="I3035" s="1"/>
      <c r="J3035" s="1"/>
      <c r="K3035" s="1"/>
      <c r="L3035" s="1"/>
      <c r="M3035" s="1"/>
      <c r="N3035" s="1"/>
    </row>
    <row r="3036" ht="14.5" spans="2:14">
      <c r="B3036" s="1"/>
      <c r="C3036" s="1"/>
      <c r="D3036" s="1"/>
      <c r="E3036" s="1"/>
      <c r="F3036" s="1"/>
      <c r="G3036" s="1"/>
      <c r="H3036" s="1"/>
      <c r="I3036" s="1"/>
      <c r="J3036" s="1"/>
      <c r="K3036" s="1"/>
      <c r="L3036" s="1"/>
      <c r="M3036" s="1"/>
      <c r="N3036" s="1"/>
    </row>
    <row r="3037" ht="14.5" spans="2:14">
      <c r="B3037" s="1"/>
      <c r="C3037" s="1"/>
      <c r="D3037" s="1"/>
      <c r="E3037" s="1"/>
      <c r="F3037" s="1"/>
      <c r="G3037" s="1"/>
      <c r="H3037" s="1"/>
      <c r="I3037" s="1"/>
      <c r="J3037" s="1"/>
      <c r="K3037" s="1"/>
      <c r="L3037" s="1"/>
      <c r="M3037" s="1"/>
      <c r="N3037" s="1"/>
    </row>
    <row r="3038" ht="14.5" spans="2:14">
      <c r="B3038" s="1"/>
      <c r="C3038" s="1"/>
      <c r="D3038" s="1"/>
      <c r="E3038" s="1"/>
      <c r="F3038" s="1"/>
      <c r="G3038" s="1"/>
      <c r="H3038" s="1"/>
      <c r="I3038" s="1"/>
      <c r="J3038" s="1"/>
      <c r="K3038" s="1"/>
      <c r="L3038" s="1"/>
      <c r="M3038" s="1"/>
      <c r="N3038" s="1"/>
    </row>
    <row r="3039" ht="14.5" spans="2:14">
      <c r="B3039" s="1"/>
      <c r="C3039" s="1"/>
      <c r="D3039" s="1"/>
      <c r="E3039" s="1"/>
      <c r="F3039" s="1"/>
      <c r="G3039" s="1"/>
      <c r="H3039" s="1"/>
      <c r="I3039" s="1"/>
      <c r="J3039" s="1"/>
      <c r="K3039" s="1"/>
      <c r="L3039" s="1"/>
      <c r="M3039" s="1"/>
      <c r="N3039" s="1"/>
    </row>
    <row r="3040" ht="14.5" spans="2:14">
      <c r="B3040" s="1"/>
      <c r="C3040" s="1"/>
      <c r="D3040" s="1"/>
      <c r="E3040" s="1"/>
      <c r="F3040" s="1"/>
      <c r="G3040" s="1"/>
      <c r="H3040" s="1"/>
      <c r="I3040" s="1"/>
      <c r="J3040" s="1"/>
      <c r="K3040" s="1"/>
      <c r="L3040" s="1"/>
      <c r="M3040" s="1"/>
      <c r="N3040" s="1"/>
    </row>
    <row r="3041" ht="14.5" spans="2:14">
      <c r="B3041" s="1"/>
      <c r="C3041" s="1"/>
      <c r="D3041" s="1"/>
      <c r="E3041" s="1"/>
      <c r="F3041" s="1"/>
      <c r="G3041" s="1"/>
      <c r="H3041" s="1"/>
      <c r="I3041" s="1"/>
      <c r="J3041" s="1"/>
      <c r="K3041" s="1"/>
      <c r="L3041" s="1"/>
      <c r="M3041" s="1"/>
      <c r="N3041" s="1"/>
    </row>
    <row r="3042" ht="14.5" spans="2:14">
      <c r="B3042" s="1"/>
      <c r="C3042" s="1"/>
      <c r="D3042" s="1"/>
      <c r="E3042" s="1"/>
      <c r="F3042" s="1"/>
      <c r="G3042" s="1"/>
      <c r="H3042" s="1"/>
      <c r="I3042" s="1"/>
      <c r="J3042" s="1"/>
      <c r="K3042" s="1"/>
      <c r="L3042" s="1"/>
      <c r="M3042" s="1"/>
      <c r="N3042" s="1"/>
    </row>
    <row r="3043" ht="14.5" spans="2:14">
      <c r="B3043" s="1"/>
      <c r="C3043" s="1"/>
      <c r="D3043" s="1"/>
      <c r="E3043" s="1"/>
      <c r="F3043" s="1"/>
      <c r="G3043" s="1"/>
      <c r="H3043" s="1"/>
      <c r="I3043" s="1"/>
      <c r="J3043" s="1"/>
      <c r="K3043" s="1"/>
      <c r="L3043" s="1"/>
      <c r="M3043" s="1"/>
      <c r="N3043" s="1"/>
    </row>
    <row r="3044" ht="14.5" spans="2:14">
      <c r="B3044" s="1"/>
      <c r="C3044" s="1"/>
      <c r="D3044" s="1"/>
      <c r="E3044" s="1"/>
      <c r="F3044" s="1"/>
      <c r="G3044" s="1"/>
      <c r="H3044" s="1"/>
      <c r="I3044" s="1"/>
      <c r="J3044" s="1"/>
      <c r="K3044" s="1"/>
      <c r="L3044" s="1"/>
      <c r="M3044" s="1"/>
      <c r="N3044" s="1"/>
    </row>
    <row r="3045" ht="14.5" spans="2:14">
      <c r="B3045" s="1"/>
      <c r="C3045" s="1"/>
      <c r="D3045" s="1"/>
      <c r="E3045" s="1"/>
      <c r="F3045" s="1"/>
      <c r="G3045" s="1"/>
      <c r="H3045" s="1"/>
      <c r="I3045" s="1"/>
      <c r="J3045" s="1"/>
      <c r="K3045" s="1"/>
      <c r="L3045" s="1"/>
      <c r="M3045" s="1"/>
      <c r="N3045" s="1"/>
    </row>
    <row r="3046" ht="14.5" spans="2:14">
      <c r="B3046" s="1"/>
      <c r="C3046" s="1"/>
      <c r="D3046" s="1"/>
      <c r="E3046" s="1"/>
      <c r="F3046" s="1"/>
      <c r="G3046" s="1"/>
      <c r="H3046" s="1"/>
      <c r="I3046" s="1"/>
      <c r="J3046" s="1"/>
      <c r="K3046" s="1"/>
      <c r="L3046" s="1"/>
      <c r="M3046" s="1"/>
      <c r="N3046" s="1"/>
    </row>
    <row r="3047" ht="14.5" spans="2:14">
      <c r="B3047" s="1"/>
      <c r="C3047" s="1"/>
      <c r="D3047" s="1"/>
      <c r="E3047" s="1"/>
      <c r="F3047" s="1"/>
      <c r="G3047" s="1"/>
      <c r="H3047" s="1"/>
      <c r="I3047" s="1"/>
      <c r="J3047" s="1"/>
      <c r="K3047" s="1"/>
      <c r="L3047" s="1"/>
      <c r="M3047" s="1"/>
      <c r="N3047" s="1"/>
    </row>
    <row r="3048" ht="14.5" spans="2:14">
      <c r="B3048" s="1"/>
      <c r="C3048" s="1"/>
      <c r="D3048" s="1"/>
      <c r="E3048" s="1"/>
      <c r="F3048" s="1"/>
      <c r="G3048" s="1"/>
      <c r="H3048" s="1"/>
      <c r="I3048" s="1"/>
      <c r="J3048" s="1"/>
      <c r="K3048" s="1"/>
      <c r="L3048" s="1"/>
      <c r="M3048" s="1"/>
      <c r="N3048" s="1"/>
    </row>
    <row r="3049" ht="14.5" spans="2:14">
      <c r="B3049" s="1"/>
      <c r="C3049" s="1"/>
      <c r="D3049" s="1"/>
      <c r="E3049" s="1"/>
      <c r="F3049" s="1"/>
      <c r="G3049" s="1"/>
      <c r="H3049" s="1"/>
      <c r="I3049" s="1"/>
      <c r="J3049" s="1"/>
      <c r="K3049" s="1"/>
      <c r="L3049" s="1"/>
      <c r="M3049" s="1"/>
      <c r="N3049" s="1"/>
    </row>
    <row r="3050" ht="14.5" spans="2:14">
      <c r="B3050" s="1"/>
      <c r="C3050" s="1"/>
      <c r="D3050" s="1"/>
      <c r="E3050" s="1"/>
      <c r="F3050" s="1"/>
      <c r="G3050" s="1"/>
      <c r="H3050" s="1"/>
      <c r="I3050" s="1"/>
      <c r="J3050" s="1"/>
      <c r="K3050" s="1"/>
      <c r="L3050" s="1"/>
      <c r="M3050" s="1"/>
      <c r="N3050" s="1"/>
    </row>
    <row r="3051" ht="14.5" spans="2:14">
      <c r="B3051" s="1"/>
      <c r="C3051" s="1"/>
      <c r="D3051" s="1"/>
      <c r="E3051" s="1"/>
      <c r="F3051" s="1"/>
      <c r="G3051" s="1"/>
      <c r="H3051" s="1"/>
      <c r="I3051" s="1"/>
      <c r="J3051" s="1"/>
      <c r="K3051" s="1"/>
      <c r="L3051" s="1"/>
      <c r="M3051" s="1"/>
      <c r="N3051" s="1"/>
    </row>
    <row r="3052" ht="14.5" spans="2:14">
      <c r="B3052" s="1"/>
      <c r="C3052" s="1"/>
      <c r="D3052" s="1"/>
      <c r="E3052" s="1"/>
      <c r="F3052" s="1"/>
      <c r="G3052" s="1"/>
      <c r="H3052" s="1"/>
      <c r="I3052" s="1"/>
      <c r="J3052" s="1"/>
      <c r="K3052" s="1"/>
      <c r="L3052" s="1"/>
      <c r="M3052" s="1"/>
      <c r="N3052" s="1"/>
    </row>
    <row r="3053" ht="14.5" spans="2:14">
      <c r="B3053" s="1"/>
      <c r="C3053" s="1"/>
      <c r="D3053" s="1"/>
      <c r="E3053" s="1"/>
      <c r="F3053" s="1"/>
      <c r="G3053" s="1"/>
      <c r="H3053" s="1"/>
      <c r="I3053" s="1"/>
      <c r="J3053" s="1"/>
      <c r="K3053" s="1"/>
      <c r="L3053" s="1"/>
      <c r="M3053" s="1"/>
      <c r="N3053" s="1"/>
    </row>
    <row r="3054" ht="14.5" spans="2:14">
      <c r="B3054" s="1"/>
      <c r="C3054" s="1"/>
      <c r="D3054" s="1"/>
      <c r="E3054" s="1"/>
      <c r="F3054" s="1"/>
      <c r="G3054" s="1"/>
      <c r="H3054" s="1"/>
      <c r="I3054" s="1"/>
      <c r="J3054" s="1"/>
      <c r="K3054" s="1"/>
      <c r="L3054" s="1"/>
      <c r="M3054" s="1"/>
      <c r="N3054" s="1"/>
    </row>
    <row r="3055" ht="14.5" spans="2:14">
      <c r="B3055" s="1"/>
      <c r="C3055" s="1"/>
      <c r="D3055" s="1"/>
      <c r="E3055" s="1"/>
      <c r="F3055" s="1"/>
      <c r="G3055" s="1"/>
      <c r="H3055" s="1"/>
      <c r="I3055" s="1"/>
      <c r="J3055" s="1"/>
      <c r="K3055" s="1"/>
      <c r="L3055" s="1"/>
      <c r="M3055" s="1"/>
      <c r="N3055" s="1"/>
    </row>
    <row r="3056" ht="14.5" spans="2:14">
      <c r="B3056" s="1"/>
      <c r="C3056" s="1"/>
      <c r="D3056" s="1"/>
      <c r="E3056" s="1"/>
      <c r="F3056" s="1"/>
      <c r="G3056" s="1"/>
      <c r="H3056" s="1"/>
      <c r="I3056" s="1"/>
      <c r="J3056" s="1"/>
      <c r="K3056" s="1"/>
      <c r="L3056" s="1"/>
      <c r="M3056" s="1"/>
      <c r="N3056" s="1"/>
    </row>
    <row r="3057" ht="14.5" spans="2:14">
      <c r="B3057" s="1"/>
      <c r="C3057" s="1"/>
      <c r="D3057" s="1"/>
      <c r="E3057" s="1"/>
      <c r="F3057" s="1"/>
      <c r="G3057" s="1"/>
      <c r="H3057" s="1"/>
      <c r="I3057" s="1"/>
      <c r="J3057" s="1"/>
      <c r="K3057" s="1"/>
      <c r="L3057" s="1"/>
      <c r="M3057" s="1"/>
      <c r="N3057" s="1"/>
    </row>
    <row r="3058" ht="14.5" spans="2:14">
      <c r="B3058" s="1"/>
      <c r="C3058" s="1"/>
      <c r="D3058" s="1"/>
      <c r="E3058" s="1"/>
      <c r="F3058" s="1"/>
      <c r="G3058" s="1"/>
      <c r="H3058" s="1"/>
      <c r="I3058" s="1"/>
      <c r="J3058" s="1"/>
      <c r="K3058" s="1"/>
      <c r="L3058" s="1"/>
      <c r="M3058" s="1"/>
      <c r="N3058" s="1"/>
    </row>
    <row r="3059" ht="14.5" spans="2:14">
      <c r="B3059" s="1"/>
      <c r="C3059" s="1"/>
      <c r="D3059" s="1"/>
      <c r="E3059" s="1"/>
      <c r="F3059" s="1"/>
      <c r="G3059" s="1"/>
      <c r="H3059" s="1"/>
      <c r="I3059" s="1"/>
      <c r="J3059" s="1"/>
      <c r="K3059" s="1"/>
      <c r="L3059" s="1"/>
      <c r="M3059" s="1"/>
      <c r="N3059" s="1"/>
    </row>
    <row r="3060" ht="14.5" spans="2:14">
      <c r="B3060" s="1"/>
      <c r="C3060" s="1"/>
      <c r="D3060" s="1"/>
      <c r="E3060" s="1"/>
      <c r="F3060" s="1"/>
      <c r="G3060" s="1"/>
      <c r="H3060" s="1"/>
      <c r="I3060" s="1"/>
      <c r="J3060" s="1"/>
      <c r="K3060" s="1"/>
      <c r="L3060" s="1"/>
      <c r="M3060" s="1"/>
      <c r="N3060" s="1"/>
    </row>
    <row r="3061" ht="14.5" spans="2:14">
      <c r="B3061" s="1"/>
      <c r="C3061" s="1"/>
      <c r="D3061" s="1"/>
      <c r="E3061" s="1"/>
      <c r="F3061" s="1"/>
      <c r="G3061" s="1"/>
      <c r="H3061" s="1"/>
      <c r="I3061" s="1"/>
      <c r="J3061" s="1"/>
      <c r="K3061" s="1"/>
      <c r="L3061" s="1"/>
      <c r="M3061" s="1"/>
      <c r="N3061" s="1"/>
    </row>
    <row r="3062" ht="14.5" spans="2:14">
      <c r="B3062" s="1"/>
      <c r="C3062" s="1"/>
      <c r="D3062" s="1"/>
      <c r="E3062" s="1"/>
      <c r="F3062" s="1"/>
      <c r="G3062" s="1"/>
      <c r="H3062" s="1"/>
      <c r="I3062" s="1"/>
      <c r="J3062" s="1"/>
      <c r="K3062" s="1"/>
      <c r="L3062" s="1"/>
      <c r="M3062" s="1"/>
      <c r="N3062" s="1"/>
    </row>
    <row r="3063" ht="14.5" spans="2:14">
      <c r="B3063" s="1"/>
      <c r="C3063" s="1"/>
      <c r="D3063" s="1"/>
      <c r="E3063" s="1"/>
      <c r="F3063" s="1"/>
      <c r="G3063" s="1"/>
      <c r="H3063" s="1"/>
      <c r="I3063" s="1"/>
      <c r="J3063" s="1"/>
      <c r="K3063" s="1"/>
      <c r="L3063" s="1"/>
      <c r="M3063" s="1"/>
      <c r="N3063" s="1"/>
    </row>
    <row r="3064" ht="14.5" spans="2:14">
      <c r="B3064" s="1"/>
      <c r="C3064" s="1"/>
      <c r="D3064" s="1"/>
      <c r="E3064" s="1"/>
      <c r="F3064" s="1"/>
      <c r="G3064" s="1"/>
      <c r="H3064" s="1"/>
      <c r="I3064" s="1"/>
      <c r="J3064" s="1"/>
      <c r="K3064" s="1"/>
      <c r="L3064" s="1"/>
      <c r="M3064" s="1"/>
      <c r="N3064" s="1"/>
    </row>
    <row r="3065" ht="14.5" spans="2:14">
      <c r="B3065" s="1"/>
      <c r="C3065" s="1"/>
      <c r="D3065" s="1"/>
      <c r="E3065" s="1"/>
      <c r="F3065" s="1"/>
      <c r="G3065" s="1"/>
      <c r="H3065" s="1"/>
      <c r="I3065" s="1"/>
      <c r="J3065" s="1"/>
      <c r="K3065" s="1"/>
      <c r="L3065" s="1"/>
      <c r="M3065" s="1"/>
      <c r="N3065" s="1"/>
    </row>
    <row r="3066" ht="14.5" spans="2:14">
      <c r="B3066" s="1"/>
      <c r="C3066" s="1"/>
      <c r="D3066" s="1"/>
      <c r="E3066" s="1"/>
      <c r="F3066" s="1"/>
      <c r="G3066" s="1"/>
      <c r="H3066" s="1"/>
      <c r="I3066" s="1"/>
      <c r="J3066" s="1"/>
      <c r="K3066" s="1"/>
      <c r="L3066" s="1"/>
      <c r="M3066" s="1"/>
      <c r="N3066" s="1"/>
    </row>
    <row r="3067" ht="14.5" spans="2:14">
      <c r="B3067" s="1"/>
      <c r="C3067" s="1"/>
      <c r="D3067" s="1"/>
      <c r="E3067" s="1"/>
      <c r="F3067" s="1"/>
      <c r="G3067" s="1"/>
      <c r="H3067" s="1"/>
      <c r="I3067" s="1"/>
      <c r="J3067" s="1"/>
      <c r="K3067" s="1"/>
      <c r="L3067" s="1"/>
      <c r="M3067" s="1"/>
      <c r="N3067" s="1"/>
    </row>
    <row r="3068" ht="14.5" spans="2:14">
      <c r="B3068" s="1"/>
      <c r="C3068" s="1"/>
      <c r="D3068" s="1"/>
      <c r="E3068" s="1"/>
      <c r="F3068" s="1"/>
      <c r="G3068" s="1"/>
      <c r="H3068" s="1"/>
      <c r="I3068" s="1"/>
      <c r="J3068" s="1"/>
      <c r="K3068" s="1"/>
      <c r="L3068" s="1"/>
      <c r="M3068" s="1"/>
      <c r="N3068" s="1"/>
    </row>
    <row r="3069" ht="14.5" spans="2:14">
      <c r="B3069" s="1"/>
      <c r="C3069" s="1"/>
      <c r="D3069" s="1"/>
      <c r="E3069" s="1"/>
      <c r="F3069" s="1"/>
      <c r="G3069" s="1"/>
      <c r="H3069" s="1"/>
      <c r="I3069" s="1"/>
      <c r="J3069" s="1"/>
      <c r="K3069" s="1"/>
      <c r="L3069" s="1"/>
      <c r="M3069" s="1"/>
      <c r="N3069" s="1"/>
    </row>
    <row r="3070" ht="14.5" spans="2:14">
      <c r="B3070" s="1"/>
      <c r="C3070" s="1"/>
      <c r="D3070" s="1"/>
      <c r="E3070" s="1"/>
      <c r="F3070" s="1"/>
      <c r="G3070" s="1"/>
      <c r="H3070" s="1"/>
      <c r="I3070" s="1"/>
      <c r="J3070" s="1"/>
      <c r="K3070" s="1"/>
      <c r="L3070" s="1"/>
      <c r="M3070" s="1"/>
      <c r="N3070" s="1"/>
    </row>
    <row r="3071" ht="14.5" spans="2:14">
      <c r="B3071" s="1"/>
      <c r="C3071" s="1"/>
      <c r="D3071" s="1"/>
      <c r="E3071" s="1"/>
      <c r="F3071" s="1"/>
      <c r="G3071" s="1"/>
      <c r="H3071" s="1"/>
      <c r="I3071" s="1"/>
      <c r="J3071" s="1"/>
      <c r="K3071" s="1"/>
      <c r="L3071" s="1"/>
      <c r="M3071" s="1"/>
      <c r="N3071" s="1"/>
    </row>
    <row r="3072" ht="14.5" spans="2:14">
      <c r="B3072" s="1"/>
      <c r="C3072" s="1"/>
      <c r="D3072" s="1"/>
      <c r="E3072" s="1"/>
      <c r="F3072" s="1"/>
      <c r="G3072" s="1"/>
      <c r="H3072" s="1"/>
      <c r="I3072" s="1"/>
      <c r="J3072" s="1"/>
      <c r="K3072" s="1"/>
      <c r="L3072" s="1"/>
      <c r="M3072" s="1"/>
      <c r="N3072" s="1"/>
    </row>
    <row r="3073" ht="14.5" spans="2:14">
      <c r="B3073" s="1"/>
      <c r="C3073" s="1"/>
      <c r="D3073" s="1"/>
      <c r="E3073" s="1"/>
      <c r="F3073" s="1"/>
      <c r="G3073" s="1"/>
      <c r="H3073" s="1"/>
      <c r="I3073" s="1"/>
      <c r="J3073" s="1"/>
      <c r="K3073" s="1"/>
      <c r="L3073" s="1"/>
      <c r="M3073" s="1"/>
      <c r="N3073" s="1"/>
    </row>
    <row r="3074" ht="14.5" spans="2:14">
      <c r="B3074" s="1"/>
      <c r="C3074" s="1"/>
      <c r="D3074" s="1"/>
      <c r="E3074" s="1"/>
      <c r="F3074" s="1"/>
      <c r="G3074" s="1"/>
      <c r="H3074" s="1"/>
      <c r="I3074" s="1"/>
      <c r="J3074" s="1"/>
      <c r="K3074" s="1"/>
      <c r="L3074" s="1"/>
      <c r="M3074" s="1"/>
      <c r="N3074" s="1"/>
    </row>
    <row r="3075" ht="14.5" spans="2:14">
      <c r="B3075" s="1"/>
      <c r="C3075" s="1"/>
      <c r="D3075" s="1"/>
      <c r="E3075" s="1"/>
      <c r="F3075" s="1"/>
      <c r="G3075" s="1"/>
      <c r="H3075" s="1"/>
      <c r="I3075" s="1"/>
      <c r="J3075" s="1"/>
      <c r="K3075" s="1"/>
      <c r="L3075" s="1"/>
      <c r="M3075" s="1"/>
      <c r="N3075" s="1"/>
    </row>
    <row r="3076" ht="14.5" spans="2:14">
      <c r="B3076" s="1"/>
      <c r="C3076" s="1"/>
      <c r="D3076" s="1"/>
      <c r="E3076" s="1"/>
      <c r="F3076" s="1"/>
      <c r="G3076" s="1"/>
      <c r="H3076" s="1"/>
      <c r="I3076" s="1"/>
      <c r="J3076" s="1"/>
      <c r="K3076" s="1"/>
      <c r="L3076" s="1"/>
      <c r="M3076" s="1"/>
      <c r="N3076" s="1"/>
    </row>
    <row r="3077" ht="14.5" spans="2:14">
      <c r="B3077" s="1"/>
      <c r="C3077" s="1"/>
      <c r="D3077" s="1"/>
      <c r="E3077" s="1"/>
      <c r="F3077" s="1"/>
      <c r="G3077" s="1"/>
      <c r="H3077" s="1"/>
      <c r="I3077" s="1"/>
      <c r="J3077" s="1"/>
      <c r="K3077" s="1"/>
      <c r="L3077" s="1"/>
      <c r="M3077" s="1"/>
      <c r="N3077" s="1"/>
    </row>
    <row r="3078" ht="14.5" spans="2:14">
      <c r="B3078" s="1"/>
      <c r="C3078" s="1"/>
      <c r="D3078" s="1"/>
      <c r="E3078" s="1"/>
      <c r="F3078" s="1"/>
      <c r="G3078" s="1"/>
      <c r="H3078" s="1"/>
      <c r="I3078" s="1"/>
      <c r="J3078" s="1"/>
      <c r="K3078" s="1"/>
      <c r="L3078" s="1"/>
      <c r="M3078" s="1"/>
      <c r="N3078" s="1"/>
    </row>
    <row r="3079" ht="14.5" spans="2:14">
      <c r="B3079" s="1"/>
      <c r="C3079" s="1"/>
      <c r="D3079" s="1"/>
      <c r="E3079" s="1"/>
      <c r="F3079" s="1"/>
      <c r="G3079" s="1"/>
      <c r="H3079" s="1"/>
      <c r="I3079" s="1"/>
      <c r="J3079" s="1"/>
      <c r="K3079" s="1"/>
      <c r="L3079" s="1"/>
      <c r="M3079" s="1"/>
      <c r="N3079" s="1"/>
    </row>
    <row r="3080" ht="14.5" spans="2:14">
      <c r="B3080" s="1"/>
      <c r="C3080" s="1"/>
      <c r="D3080" s="1"/>
      <c r="E3080" s="1"/>
      <c r="F3080" s="1"/>
      <c r="G3080" s="1"/>
      <c r="H3080" s="1"/>
      <c r="I3080" s="1"/>
      <c r="J3080" s="1"/>
      <c r="K3080" s="1"/>
      <c r="L3080" s="1"/>
      <c r="M3080" s="1"/>
      <c r="N3080" s="1"/>
    </row>
    <row r="3081" ht="14.5" spans="2:14">
      <c r="B3081" s="1"/>
      <c r="C3081" s="1"/>
      <c r="D3081" s="1"/>
      <c r="E3081" s="1"/>
      <c r="F3081" s="1"/>
      <c r="G3081" s="1"/>
      <c r="H3081" s="1"/>
      <c r="I3081" s="1"/>
      <c r="J3081" s="1"/>
      <c r="K3081" s="1"/>
      <c r="L3081" s="1"/>
      <c r="M3081" s="1"/>
      <c r="N3081" s="1"/>
    </row>
    <row r="3082" ht="14.5" spans="2:14">
      <c r="B3082" s="1"/>
      <c r="C3082" s="1"/>
      <c r="D3082" s="1"/>
      <c r="E3082" s="1"/>
      <c r="F3082" s="1"/>
      <c r="G3082" s="1"/>
      <c r="H3082" s="1"/>
      <c r="I3082" s="1"/>
      <c r="J3082" s="1"/>
      <c r="K3082" s="1"/>
      <c r="L3082" s="1"/>
      <c r="M3082" s="1"/>
      <c r="N3082" s="1"/>
    </row>
    <row r="3083" ht="14.5" spans="2:14">
      <c r="B3083" s="1"/>
      <c r="C3083" s="1"/>
      <c r="D3083" s="1"/>
      <c r="E3083" s="1"/>
      <c r="F3083" s="1"/>
      <c r="G3083" s="1"/>
      <c r="H3083" s="1"/>
      <c r="I3083" s="1"/>
      <c r="J3083" s="1"/>
      <c r="K3083" s="1"/>
      <c r="L3083" s="1"/>
      <c r="M3083" s="1"/>
      <c r="N3083" s="1"/>
    </row>
    <row r="3084" ht="14.5" spans="2:14">
      <c r="B3084" s="1"/>
      <c r="C3084" s="1"/>
      <c r="D3084" s="1"/>
      <c r="E3084" s="1"/>
      <c r="F3084" s="1"/>
      <c r="G3084" s="1"/>
      <c r="H3084" s="1"/>
      <c r="I3084" s="1"/>
      <c r="J3084" s="1"/>
      <c r="K3084" s="1"/>
      <c r="L3084" s="1"/>
      <c r="M3084" s="1"/>
      <c r="N3084" s="1"/>
    </row>
    <row r="3085" ht="14.5" spans="2:14">
      <c r="B3085" s="1"/>
      <c r="C3085" s="1"/>
      <c r="D3085" s="1"/>
      <c r="E3085" s="1"/>
      <c r="F3085" s="1"/>
      <c r="G3085" s="1"/>
      <c r="H3085" s="1"/>
      <c r="I3085" s="1"/>
      <c r="J3085" s="1"/>
      <c r="K3085" s="1"/>
      <c r="L3085" s="1"/>
      <c r="M3085" s="1"/>
      <c r="N3085" s="1"/>
    </row>
    <row r="3086" ht="14.5" spans="2:14">
      <c r="B3086" s="1"/>
      <c r="C3086" s="1"/>
      <c r="D3086" s="1"/>
      <c r="E3086" s="1"/>
      <c r="F3086" s="1"/>
      <c r="G3086" s="1"/>
      <c r="H3086" s="1"/>
      <c r="I3086" s="1"/>
      <c r="J3086" s="1"/>
      <c r="K3086" s="1"/>
      <c r="L3086" s="1"/>
      <c r="M3086" s="1"/>
      <c r="N3086" s="1"/>
    </row>
    <row r="3087" ht="14.5" spans="2:14">
      <c r="B3087" s="1"/>
      <c r="C3087" s="1"/>
      <c r="D3087" s="1"/>
      <c r="E3087" s="1"/>
      <c r="F3087" s="1"/>
      <c r="G3087" s="1"/>
      <c r="H3087" s="1"/>
      <c r="I3087" s="1"/>
      <c r="J3087" s="1"/>
      <c r="K3087" s="1"/>
      <c r="L3087" s="1"/>
      <c r="M3087" s="1"/>
      <c r="N3087" s="1"/>
    </row>
    <row r="3088" ht="14.5" spans="2:14">
      <c r="B3088" s="1"/>
      <c r="C3088" s="1"/>
      <c r="D3088" s="1"/>
      <c r="E3088" s="1"/>
      <c r="F3088" s="1"/>
      <c r="G3088" s="1"/>
      <c r="H3088" s="1"/>
      <c r="I3088" s="1"/>
      <c r="J3088" s="1"/>
      <c r="K3088" s="1"/>
      <c r="L3088" s="1"/>
      <c r="M3088" s="1"/>
      <c r="N3088" s="1"/>
    </row>
    <row r="3089" ht="14.5" spans="2:14">
      <c r="B3089" s="1"/>
      <c r="C3089" s="1"/>
      <c r="D3089" s="1"/>
      <c r="E3089" s="1"/>
      <c r="F3089" s="1"/>
      <c r="G3089" s="1"/>
      <c r="H3089" s="1"/>
      <c r="I3089" s="1"/>
      <c r="J3089" s="1"/>
      <c r="K3089" s="1"/>
      <c r="L3089" s="1"/>
      <c r="M3089" s="1"/>
      <c r="N3089" s="1"/>
    </row>
    <row r="3090" ht="14.5" spans="2:14">
      <c r="B3090" s="1"/>
      <c r="C3090" s="1"/>
      <c r="D3090" s="1"/>
      <c r="E3090" s="1"/>
      <c r="F3090" s="1"/>
      <c r="G3090" s="1"/>
      <c r="H3090" s="1"/>
      <c r="I3090" s="1"/>
      <c r="J3090" s="1"/>
      <c r="K3090" s="1"/>
      <c r="L3090" s="1"/>
      <c r="M3090" s="1"/>
      <c r="N3090" s="1"/>
    </row>
    <row r="3091" ht="14.5" spans="2:14">
      <c r="B3091" s="1"/>
      <c r="C3091" s="1"/>
      <c r="D3091" s="1"/>
      <c r="E3091" s="1"/>
      <c r="F3091" s="1"/>
      <c r="G3091" s="1"/>
      <c r="H3091" s="1"/>
      <c r="I3091" s="1"/>
      <c r="J3091" s="1"/>
      <c r="K3091" s="1"/>
      <c r="L3091" s="1"/>
      <c r="M3091" s="1"/>
      <c r="N3091" s="1"/>
    </row>
    <row r="3092" ht="14.5" spans="2:14">
      <c r="B3092" s="1"/>
      <c r="C3092" s="1"/>
      <c r="D3092" s="1"/>
      <c r="E3092" s="1"/>
      <c r="F3092" s="1"/>
      <c r="G3092" s="1"/>
      <c r="H3092" s="1"/>
      <c r="I3092" s="1"/>
      <c r="J3092" s="1"/>
      <c r="K3092" s="1"/>
      <c r="L3092" s="1"/>
      <c r="M3092" s="1"/>
      <c r="N3092" s="1"/>
    </row>
    <row r="3093" ht="14.5" spans="2:14">
      <c r="B3093" s="1"/>
      <c r="C3093" s="1"/>
      <c r="D3093" s="1"/>
      <c r="E3093" s="1"/>
      <c r="F3093" s="1"/>
      <c r="G3093" s="1"/>
      <c r="H3093" s="1"/>
      <c r="I3093" s="1"/>
      <c r="J3093" s="1"/>
      <c r="K3093" s="1"/>
      <c r="L3093" s="1"/>
      <c r="M3093" s="1"/>
      <c r="N3093" s="1"/>
    </row>
    <row r="3094" ht="14.5" spans="2:14">
      <c r="B3094" s="1"/>
      <c r="C3094" s="1"/>
      <c r="D3094" s="1"/>
      <c r="E3094" s="1"/>
      <c r="F3094" s="1"/>
      <c r="G3094" s="1"/>
      <c r="H3094" s="1"/>
      <c r="I3094" s="1"/>
      <c r="J3094" s="1"/>
      <c r="K3094" s="1"/>
      <c r="L3094" s="1"/>
      <c r="M3094" s="1"/>
      <c r="N3094" s="1"/>
    </row>
    <row r="3095" ht="14.5" spans="2:14">
      <c r="B3095" s="1"/>
      <c r="C3095" s="1"/>
      <c r="D3095" s="1"/>
      <c r="E3095" s="1"/>
      <c r="F3095" s="1"/>
      <c r="G3095" s="1"/>
      <c r="H3095" s="1"/>
      <c r="I3095" s="1"/>
      <c r="J3095" s="1"/>
      <c r="K3095" s="1"/>
      <c r="L3095" s="1"/>
      <c r="M3095" s="1"/>
      <c r="N3095" s="1"/>
    </row>
    <row r="3096" ht="14.5" spans="2:14">
      <c r="B3096" s="1"/>
      <c r="C3096" s="1"/>
      <c r="D3096" s="1"/>
      <c r="E3096" s="1"/>
      <c r="F3096" s="1"/>
      <c r="G3096" s="1"/>
      <c r="H3096" s="1"/>
      <c r="I3096" s="1"/>
      <c r="J3096" s="1"/>
      <c r="K3096" s="1"/>
      <c r="L3096" s="1"/>
      <c r="M3096" s="1"/>
      <c r="N3096" s="1"/>
    </row>
    <row r="3097" ht="14.5" spans="2:14">
      <c r="B3097" s="1"/>
      <c r="C3097" s="1"/>
      <c r="D3097" s="1"/>
      <c r="E3097" s="1"/>
      <c r="F3097" s="1"/>
      <c r="G3097" s="1"/>
      <c r="H3097" s="1"/>
      <c r="I3097" s="1"/>
      <c r="J3097" s="1"/>
      <c r="K3097" s="1"/>
      <c r="L3097" s="1"/>
      <c r="M3097" s="1"/>
      <c r="N3097" s="1"/>
    </row>
    <row r="3098" ht="14.5" spans="2:14">
      <c r="B3098" s="1"/>
      <c r="C3098" s="1"/>
      <c r="D3098" s="1"/>
      <c r="E3098" s="1"/>
      <c r="F3098" s="1"/>
      <c r="G3098" s="1"/>
      <c r="H3098" s="1"/>
      <c r="I3098" s="1"/>
      <c r="J3098" s="1"/>
      <c r="K3098" s="1"/>
      <c r="L3098" s="1"/>
      <c r="M3098" s="1"/>
      <c r="N3098" s="1"/>
    </row>
    <row r="3099" ht="14.5" spans="2:14">
      <c r="B3099" s="1"/>
      <c r="C3099" s="1"/>
      <c r="D3099" s="1"/>
      <c r="E3099" s="1"/>
      <c r="F3099" s="1"/>
      <c r="G3099" s="1"/>
      <c r="H3099" s="1"/>
      <c r="I3099" s="1"/>
      <c r="J3099" s="1"/>
      <c r="K3099" s="1"/>
      <c r="L3099" s="1"/>
      <c r="M3099" s="1"/>
      <c r="N3099" s="1"/>
    </row>
    <row r="3100" ht="14.5" spans="2:14">
      <c r="B3100" s="1"/>
      <c r="C3100" s="1"/>
      <c r="D3100" s="1"/>
      <c r="E3100" s="1"/>
      <c r="F3100" s="1"/>
      <c r="G3100" s="1"/>
      <c r="H3100" s="1"/>
      <c r="I3100" s="1"/>
      <c r="J3100" s="1"/>
      <c r="K3100" s="1"/>
      <c r="L3100" s="1"/>
      <c r="M3100" s="1"/>
      <c r="N3100" s="1"/>
    </row>
    <row r="3101" ht="14.5" spans="2:14">
      <c r="B3101" s="1"/>
      <c r="C3101" s="1"/>
      <c r="D3101" s="1"/>
      <c r="E3101" s="1"/>
      <c r="F3101" s="1"/>
      <c r="G3101" s="1"/>
      <c r="H3101" s="1"/>
      <c r="I3101" s="1"/>
      <c r="J3101" s="1"/>
      <c r="K3101" s="1"/>
      <c r="L3101" s="1"/>
      <c r="M3101" s="1"/>
      <c r="N3101" s="1"/>
    </row>
    <row r="3102" ht="14.5" spans="2:14">
      <c r="B3102" s="1"/>
      <c r="C3102" s="1"/>
      <c r="D3102" s="1"/>
      <c r="E3102" s="1"/>
      <c r="F3102" s="1"/>
      <c r="G3102" s="1"/>
      <c r="H3102" s="1"/>
      <c r="I3102" s="1"/>
      <c r="J3102" s="1"/>
      <c r="K3102" s="1"/>
      <c r="L3102" s="1"/>
      <c r="M3102" s="1"/>
      <c r="N3102" s="1"/>
    </row>
    <row r="3103" ht="14.5" spans="2:14">
      <c r="B3103" s="1"/>
      <c r="C3103" s="1"/>
      <c r="D3103" s="1"/>
      <c r="E3103" s="1"/>
      <c r="F3103" s="1"/>
      <c r="G3103" s="1"/>
      <c r="H3103" s="1"/>
      <c r="I3103" s="1"/>
      <c r="J3103" s="1"/>
      <c r="K3103" s="1"/>
      <c r="L3103" s="1"/>
      <c r="M3103" s="1"/>
      <c r="N3103" s="1"/>
    </row>
    <row r="3104" ht="14.5" spans="2:14">
      <c r="B3104" s="1"/>
      <c r="C3104" s="1"/>
      <c r="D3104" s="1"/>
      <c r="E3104" s="1"/>
      <c r="F3104" s="1"/>
      <c r="G3104" s="1"/>
      <c r="H3104" s="1"/>
      <c r="I3104" s="1"/>
      <c r="J3104" s="1"/>
      <c r="K3104" s="1"/>
      <c r="L3104" s="1"/>
      <c r="M3104" s="1"/>
      <c r="N3104" s="1"/>
    </row>
    <row r="3105" ht="14.5" spans="2:14">
      <c r="B3105" s="1"/>
      <c r="C3105" s="1"/>
      <c r="D3105" s="1"/>
      <c r="E3105" s="1"/>
      <c r="F3105" s="1"/>
      <c r="G3105" s="1"/>
      <c r="H3105" s="1"/>
      <c r="I3105" s="1"/>
      <c r="J3105" s="1"/>
      <c r="K3105" s="1"/>
      <c r="L3105" s="1"/>
      <c r="M3105" s="1"/>
      <c r="N3105" s="1"/>
    </row>
    <row r="3106" ht="14.5" spans="2:14">
      <c r="B3106" s="1"/>
      <c r="C3106" s="1"/>
      <c r="D3106" s="1"/>
      <c r="E3106" s="1"/>
      <c r="F3106" s="1"/>
      <c r="G3106" s="1"/>
      <c r="H3106" s="1"/>
      <c r="I3106" s="1"/>
      <c r="J3106" s="1"/>
      <c r="K3106" s="1"/>
      <c r="L3106" s="1"/>
      <c r="M3106" s="1"/>
      <c r="N3106" s="1"/>
    </row>
    <row r="3107" ht="14.5" spans="2:14">
      <c r="B3107" s="1"/>
      <c r="C3107" s="1"/>
      <c r="D3107" s="1"/>
      <c r="E3107" s="1"/>
      <c r="F3107" s="1"/>
      <c r="G3107" s="1"/>
      <c r="H3107" s="1"/>
      <c r="I3107" s="1"/>
      <c r="J3107" s="1"/>
      <c r="K3107" s="1"/>
      <c r="L3107" s="1"/>
      <c r="M3107" s="1"/>
      <c r="N3107" s="1"/>
    </row>
    <row r="3108" ht="14.5" spans="2:14">
      <c r="B3108" s="1"/>
      <c r="C3108" s="1"/>
      <c r="D3108" s="1"/>
      <c r="E3108" s="1"/>
      <c r="F3108" s="1"/>
      <c r="G3108" s="1"/>
      <c r="H3108" s="1"/>
      <c r="I3108" s="1"/>
      <c r="J3108" s="1"/>
      <c r="K3108" s="1"/>
      <c r="L3108" s="1"/>
      <c r="M3108" s="1"/>
      <c r="N3108" s="1"/>
    </row>
    <row r="3109" ht="14.5" spans="2:14">
      <c r="B3109" s="1"/>
      <c r="C3109" s="1"/>
      <c r="D3109" s="1"/>
      <c r="E3109" s="1"/>
      <c r="F3109" s="1"/>
      <c r="G3109" s="1"/>
      <c r="H3109" s="1"/>
      <c r="I3109" s="1"/>
      <c r="J3109" s="1"/>
      <c r="K3109" s="1"/>
      <c r="L3109" s="1"/>
      <c r="M3109" s="1"/>
      <c r="N3109" s="1"/>
    </row>
    <row r="3110" ht="14.5" spans="2:14">
      <c r="B3110" s="1"/>
      <c r="C3110" s="1"/>
      <c r="D3110" s="1"/>
      <c r="E3110" s="1"/>
      <c r="F3110" s="1"/>
      <c r="G3110" s="1"/>
      <c r="H3110" s="1"/>
      <c r="I3110" s="1"/>
      <c r="J3110" s="1"/>
      <c r="K3110" s="1"/>
      <c r="L3110" s="1"/>
      <c r="M3110" s="1"/>
      <c r="N3110" s="1"/>
    </row>
    <row r="3111" ht="14.5" spans="2:14">
      <c r="B3111" s="1"/>
      <c r="C3111" s="1"/>
      <c r="D3111" s="1"/>
      <c r="E3111" s="1"/>
      <c r="F3111" s="1"/>
      <c r="G3111" s="1"/>
      <c r="H3111" s="1"/>
      <c r="I3111" s="1"/>
      <c r="J3111" s="1"/>
      <c r="K3111" s="1"/>
      <c r="L3111" s="1"/>
      <c r="M3111" s="1"/>
      <c r="N3111" s="1"/>
    </row>
    <row r="3112" ht="14.5" spans="2:14">
      <c r="B3112" s="1"/>
      <c r="C3112" s="1"/>
      <c r="D3112" s="1"/>
      <c r="E3112" s="1"/>
      <c r="F3112" s="1"/>
      <c r="G3112" s="1"/>
      <c r="H3112" s="1"/>
      <c r="I3112" s="1"/>
      <c r="J3112" s="1"/>
      <c r="K3112" s="1"/>
      <c r="L3112" s="1"/>
      <c r="M3112" s="1"/>
      <c r="N3112" s="1"/>
    </row>
    <row r="3113" ht="14.5" spans="2:14">
      <c r="B3113" s="1"/>
      <c r="C3113" s="1"/>
      <c r="D3113" s="1"/>
      <c r="E3113" s="1"/>
      <c r="F3113" s="1"/>
      <c r="G3113" s="1"/>
      <c r="H3113" s="1"/>
      <c r="I3113" s="1"/>
      <c r="J3113" s="1"/>
      <c r="K3113" s="1"/>
      <c r="L3113" s="1"/>
      <c r="M3113" s="1"/>
      <c r="N3113" s="1"/>
    </row>
    <row r="3114" ht="14.5" spans="2:14">
      <c r="B3114" s="1"/>
      <c r="C3114" s="1"/>
      <c r="D3114" s="1"/>
      <c r="E3114" s="1"/>
      <c r="F3114" s="1"/>
      <c r="G3114" s="1"/>
      <c r="H3114" s="1"/>
      <c r="I3114" s="1"/>
      <c r="J3114" s="1"/>
      <c r="K3114" s="1"/>
      <c r="L3114" s="1"/>
      <c r="M3114" s="1"/>
      <c r="N3114" s="1"/>
    </row>
    <row r="3115" ht="14.5" spans="2:14">
      <c r="B3115" s="1"/>
      <c r="C3115" s="1"/>
      <c r="D3115" s="1"/>
      <c r="E3115" s="1"/>
      <c r="F3115" s="1"/>
      <c r="G3115" s="1"/>
      <c r="H3115" s="1"/>
      <c r="I3115" s="1"/>
      <c r="J3115" s="1"/>
      <c r="K3115" s="1"/>
      <c r="L3115" s="1"/>
      <c r="M3115" s="1"/>
      <c r="N3115" s="1"/>
    </row>
    <row r="3116" ht="14.5" spans="2:14">
      <c r="B3116" s="1"/>
      <c r="C3116" s="1"/>
      <c r="D3116" s="1"/>
      <c r="E3116" s="1"/>
      <c r="F3116" s="1"/>
      <c r="G3116" s="1"/>
      <c r="H3116" s="1"/>
      <c r="I3116" s="1"/>
      <c r="J3116" s="1"/>
      <c r="K3116" s="1"/>
      <c r="L3116" s="1"/>
      <c r="M3116" s="1"/>
      <c r="N3116" s="1"/>
    </row>
    <row r="3117" ht="14.5" spans="2:14">
      <c r="B3117" s="1"/>
      <c r="C3117" s="1"/>
      <c r="D3117" s="1"/>
      <c r="E3117" s="1"/>
      <c r="F3117" s="1"/>
      <c r="G3117" s="1"/>
      <c r="H3117" s="1"/>
      <c r="I3117" s="1"/>
      <c r="J3117" s="1"/>
      <c r="K3117" s="1"/>
      <c r="L3117" s="1"/>
      <c r="M3117" s="1"/>
      <c r="N3117" s="1"/>
    </row>
    <row r="3118" ht="14.5" spans="2:14">
      <c r="B3118" s="1"/>
      <c r="C3118" s="1"/>
      <c r="D3118" s="1"/>
      <c r="E3118" s="1"/>
      <c r="F3118" s="1"/>
      <c r="G3118" s="1"/>
      <c r="H3118" s="1"/>
      <c r="I3118" s="1"/>
      <c r="J3118" s="1"/>
      <c r="K3118" s="1"/>
      <c r="L3118" s="1"/>
      <c r="M3118" s="1"/>
      <c r="N3118" s="1"/>
    </row>
    <row r="3119" ht="14.5" spans="2:14">
      <c r="B3119" s="1"/>
      <c r="C3119" s="1"/>
      <c r="D3119" s="1"/>
      <c r="E3119" s="1"/>
      <c r="F3119" s="1"/>
      <c r="G3119" s="1"/>
      <c r="H3119" s="1"/>
      <c r="I3119" s="1"/>
      <c r="J3119" s="1"/>
      <c r="K3119" s="1"/>
      <c r="L3119" s="1"/>
      <c r="M3119" s="1"/>
      <c r="N3119" s="1"/>
    </row>
    <row r="3120" ht="14.5" spans="2:14">
      <c r="B3120" s="1"/>
      <c r="C3120" s="1"/>
      <c r="D3120" s="1"/>
      <c r="E3120" s="1"/>
      <c r="F3120" s="1"/>
      <c r="G3120" s="1"/>
      <c r="H3120" s="1"/>
      <c r="I3120" s="1"/>
      <c r="J3120" s="1"/>
      <c r="K3120" s="1"/>
      <c r="L3120" s="1"/>
      <c r="M3120" s="1"/>
      <c r="N3120" s="1"/>
    </row>
    <row r="3121" ht="14.5" spans="2:14">
      <c r="B3121" s="1"/>
      <c r="C3121" s="1"/>
      <c r="D3121" s="1"/>
      <c r="E3121" s="1"/>
      <c r="F3121" s="1"/>
      <c r="G3121" s="1"/>
      <c r="H3121" s="1"/>
      <c r="I3121" s="1"/>
      <c r="J3121" s="1"/>
      <c r="K3121" s="1"/>
      <c r="L3121" s="1"/>
      <c r="M3121" s="1"/>
      <c r="N3121" s="1"/>
    </row>
    <row r="3122" ht="14.5" spans="2:14">
      <c r="B3122" s="1"/>
      <c r="C3122" s="1"/>
      <c r="D3122" s="1"/>
      <c r="E3122" s="1"/>
      <c r="F3122" s="1"/>
      <c r="G3122" s="1"/>
      <c r="H3122" s="1"/>
      <c r="I3122" s="1"/>
      <c r="J3122" s="1"/>
      <c r="K3122" s="1"/>
      <c r="L3122" s="1"/>
      <c r="M3122" s="1"/>
      <c r="N3122" s="1"/>
    </row>
    <row r="3123" ht="14.5" spans="2:14">
      <c r="B3123" s="1"/>
      <c r="C3123" s="1"/>
      <c r="D3123" s="1"/>
      <c r="E3123" s="1"/>
      <c r="F3123" s="1"/>
      <c r="G3123" s="1"/>
      <c r="H3123" s="1"/>
      <c r="I3123" s="1"/>
      <c r="J3123" s="1"/>
      <c r="K3123" s="1"/>
      <c r="L3123" s="1"/>
      <c r="M3123" s="1"/>
      <c r="N3123" s="1"/>
    </row>
    <row r="3124" ht="14.5" spans="2:14">
      <c r="B3124" s="1"/>
      <c r="C3124" s="1"/>
      <c r="D3124" s="1"/>
      <c r="E3124" s="1"/>
      <c r="F3124" s="1"/>
      <c r="G3124" s="1"/>
      <c r="H3124" s="1"/>
      <c r="I3124" s="1"/>
      <c r="J3124" s="1"/>
      <c r="K3124" s="1"/>
      <c r="L3124" s="1"/>
      <c r="M3124" s="1"/>
      <c r="N3124" s="1"/>
    </row>
    <row r="3125" ht="14.5" spans="2:14">
      <c r="B3125" s="1"/>
      <c r="C3125" s="1"/>
      <c r="D3125" s="1"/>
      <c r="E3125" s="1"/>
      <c r="F3125" s="1"/>
      <c r="G3125" s="1"/>
      <c r="H3125" s="1"/>
      <c r="I3125" s="1"/>
      <c r="J3125" s="1"/>
      <c r="K3125" s="1"/>
      <c r="L3125" s="1"/>
      <c r="M3125" s="1"/>
      <c r="N3125" s="1"/>
    </row>
    <row r="3126" ht="14.5" spans="2:14">
      <c r="B3126" s="1"/>
      <c r="C3126" s="1"/>
      <c r="D3126" s="1"/>
      <c r="E3126" s="1"/>
      <c r="F3126" s="1"/>
      <c r="G3126" s="1"/>
      <c r="H3126" s="1"/>
      <c r="I3126" s="1"/>
      <c r="J3126" s="1"/>
      <c r="K3126" s="1"/>
      <c r="L3126" s="1"/>
      <c r="M3126" s="1"/>
      <c r="N3126" s="1"/>
    </row>
    <row r="3127" ht="14.5" spans="2:14">
      <c r="B3127" s="1"/>
      <c r="C3127" s="1"/>
      <c r="D3127" s="1"/>
      <c r="E3127" s="1"/>
      <c r="F3127" s="1"/>
      <c r="G3127" s="1"/>
      <c r="H3127" s="1"/>
      <c r="I3127" s="1"/>
      <c r="J3127" s="1"/>
      <c r="K3127" s="1"/>
      <c r="L3127" s="1"/>
      <c r="M3127" s="1"/>
      <c r="N3127" s="1"/>
    </row>
    <row r="3128" ht="14.5" spans="2:14">
      <c r="B3128" s="1"/>
      <c r="C3128" s="1"/>
      <c r="D3128" s="1"/>
      <c r="E3128" s="1"/>
      <c r="F3128" s="1"/>
      <c r="G3128" s="1"/>
      <c r="H3128" s="1"/>
      <c r="I3128" s="1"/>
      <c r="J3128" s="1"/>
      <c r="K3128" s="1"/>
      <c r="L3128" s="1"/>
      <c r="M3128" s="1"/>
      <c r="N3128" s="1"/>
    </row>
    <row r="3129" ht="14.5" spans="2:14">
      <c r="B3129" s="1"/>
      <c r="C3129" s="1"/>
      <c r="D3129" s="1"/>
      <c r="E3129" s="1"/>
      <c r="F3129" s="1"/>
      <c r="G3129" s="1"/>
      <c r="H3129" s="1"/>
      <c r="I3129" s="1"/>
      <c r="J3129" s="1"/>
      <c r="K3129" s="1"/>
      <c r="L3129" s="1"/>
      <c r="M3129" s="1"/>
      <c r="N3129" s="1"/>
    </row>
    <row r="3130" ht="14.5" spans="2:14">
      <c r="B3130" s="1"/>
      <c r="C3130" s="1"/>
      <c r="D3130" s="1"/>
      <c r="E3130" s="1"/>
      <c r="F3130" s="1"/>
      <c r="G3130" s="1"/>
      <c r="H3130" s="1"/>
      <c r="I3130" s="1"/>
      <c r="J3130" s="1"/>
      <c r="K3130" s="1"/>
      <c r="L3130" s="1"/>
      <c r="M3130" s="1"/>
      <c r="N3130" s="1"/>
    </row>
    <row r="3131" ht="14.5" spans="2:14">
      <c r="B3131" s="1"/>
      <c r="C3131" s="1"/>
      <c r="D3131" s="1"/>
      <c r="E3131" s="1"/>
      <c r="F3131" s="1"/>
      <c r="G3131" s="1"/>
      <c r="H3131" s="1"/>
      <c r="I3131" s="1"/>
      <c r="J3131" s="1"/>
      <c r="K3131" s="1"/>
      <c r="L3131" s="1"/>
      <c r="M3131" s="1"/>
      <c r="N3131" s="1"/>
    </row>
    <row r="3132" ht="14.5" spans="2:14">
      <c r="B3132" s="1"/>
      <c r="C3132" s="1"/>
      <c r="D3132" s="1"/>
      <c r="E3132" s="1"/>
      <c r="F3132" s="1"/>
      <c r="G3132" s="1"/>
      <c r="H3132" s="1"/>
      <c r="I3132" s="1"/>
      <c r="J3132" s="1"/>
      <c r="K3132" s="1"/>
      <c r="L3132" s="1"/>
      <c r="M3132" s="1"/>
      <c r="N3132" s="1"/>
    </row>
    <row r="3133" ht="14.5" spans="2:14">
      <c r="B3133" s="1"/>
      <c r="C3133" s="1"/>
      <c r="D3133" s="1"/>
      <c r="E3133" s="1"/>
      <c r="F3133" s="1"/>
      <c r="G3133" s="1"/>
      <c r="H3133" s="1"/>
      <c r="I3133" s="1"/>
      <c r="J3133" s="1"/>
      <c r="K3133" s="1"/>
      <c r="L3133" s="1"/>
      <c r="M3133" s="1"/>
      <c r="N3133" s="1"/>
    </row>
    <row r="3134" ht="14.5" spans="2:14">
      <c r="B3134" s="1"/>
      <c r="C3134" s="1"/>
      <c r="D3134" s="1"/>
      <c r="E3134" s="1"/>
      <c r="F3134" s="1"/>
      <c r="G3134" s="1"/>
      <c r="H3134" s="1"/>
      <c r="I3134" s="1"/>
      <c r="J3134" s="1"/>
      <c r="K3134" s="1"/>
      <c r="L3134" s="1"/>
      <c r="M3134" s="1"/>
      <c r="N3134" s="1"/>
    </row>
    <row r="3135" ht="14.5" spans="2:14">
      <c r="B3135" s="1"/>
      <c r="C3135" s="1"/>
      <c r="D3135" s="1"/>
      <c r="E3135" s="1"/>
      <c r="F3135" s="1"/>
      <c r="G3135" s="1"/>
      <c r="H3135" s="1"/>
      <c r="I3135" s="1"/>
      <c r="J3135" s="1"/>
      <c r="K3135" s="1"/>
      <c r="L3135" s="1"/>
      <c r="M3135" s="1"/>
      <c r="N3135" s="1"/>
    </row>
    <row r="3136" ht="14.5" spans="2:14">
      <c r="B3136" s="1"/>
      <c r="C3136" s="1"/>
      <c r="D3136" s="1"/>
      <c r="E3136" s="1"/>
      <c r="F3136" s="1"/>
      <c r="G3136" s="1"/>
      <c r="H3136" s="1"/>
      <c r="I3136" s="1"/>
      <c r="J3136" s="1"/>
      <c r="K3136" s="1"/>
      <c r="L3136" s="1"/>
      <c r="M3136" s="1"/>
      <c r="N3136" s="1"/>
    </row>
    <row r="3137" ht="14.5" spans="2:14">
      <c r="B3137" s="1"/>
      <c r="C3137" s="1"/>
      <c r="D3137" s="1"/>
      <c r="E3137" s="1"/>
      <c r="F3137" s="1"/>
      <c r="G3137" s="1"/>
      <c r="H3137" s="1"/>
      <c r="I3137" s="1"/>
      <c r="J3137" s="1"/>
      <c r="K3137" s="1"/>
      <c r="L3137" s="1"/>
      <c r="M3137" s="1"/>
      <c r="N3137" s="1"/>
    </row>
    <row r="3138" ht="14.5" spans="2:14">
      <c r="B3138" s="1"/>
      <c r="C3138" s="1"/>
      <c r="D3138" s="1"/>
      <c r="E3138" s="1"/>
      <c r="F3138" s="1"/>
      <c r="G3138" s="1"/>
      <c r="H3138" s="1"/>
      <c r="I3138" s="1"/>
      <c r="J3138" s="1"/>
      <c r="K3138" s="1"/>
      <c r="L3138" s="1"/>
      <c r="M3138" s="1"/>
      <c r="N3138" s="1"/>
    </row>
    <row r="3139" ht="14.5" spans="2:14">
      <c r="B3139" s="1"/>
      <c r="C3139" s="1"/>
      <c r="D3139" s="1"/>
      <c r="E3139" s="1"/>
      <c r="F3139" s="1"/>
      <c r="G3139" s="1"/>
      <c r="H3139" s="1"/>
      <c r="I3139" s="1"/>
      <c r="J3139" s="1"/>
      <c r="K3139" s="1"/>
      <c r="L3139" s="1"/>
      <c r="M3139" s="1"/>
      <c r="N3139" s="1"/>
    </row>
    <row r="3140" ht="14.5" spans="2:14">
      <c r="B3140" s="1"/>
      <c r="C3140" s="1"/>
      <c r="D3140" s="1"/>
      <c r="E3140" s="1"/>
      <c r="F3140" s="1"/>
      <c r="G3140" s="1"/>
      <c r="H3140" s="1"/>
      <c r="I3140" s="1"/>
      <c r="J3140" s="1"/>
      <c r="K3140" s="1"/>
      <c r="L3140" s="1"/>
      <c r="M3140" s="1"/>
      <c r="N3140" s="1"/>
    </row>
    <row r="3141" ht="14.5" spans="2:14">
      <c r="B3141" s="1"/>
      <c r="C3141" s="1"/>
      <c r="D3141" s="1"/>
      <c r="E3141" s="1"/>
      <c r="F3141" s="1"/>
      <c r="G3141" s="1"/>
      <c r="H3141" s="1"/>
      <c r="I3141" s="1"/>
      <c r="J3141" s="1"/>
      <c r="K3141" s="1"/>
      <c r="L3141" s="1"/>
      <c r="M3141" s="1"/>
      <c r="N3141" s="1"/>
    </row>
    <row r="3142" ht="14.5" spans="2:14">
      <c r="B3142" s="1"/>
      <c r="C3142" s="1"/>
      <c r="D3142" s="1"/>
      <c r="E3142" s="1"/>
      <c r="F3142" s="1"/>
      <c r="G3142" s="1"/>
      <c r="H3142" s="1"/>
      <c r="I3142" s="1"/>
      <c r="J3142" s="1"/>
      <c r="K3142" s="1"/>
      <c r="L3142" s="1"/>
      <c r="M3142" s="1"/>
      <c r="N3142" s="1"/>
    </row>
    <row r="3143" ht="14.5" spans="2:14">
      <c r="B3143" s="1"/>
      <c r="C3143" s="1"/>
      <c r="D3143" s="1"/>
      <c r="E3143" s="1"/>
      <c r="F3143" s="1"/>
      <c r="G3143" s="1"/>
      <c r="H3143" s="1"/>
      <c r="I3143" s="1"/>
      <c r="J3143" s="1"/>
      <c r="K3143" s="1"/>
      <c r="L3143" s="1"/>
      <c r="M3143" s="1"/>
      <c r="N3143" s="1"/>
    </row>
    <row r="3144" ht="14.5" spans="2:14">
      <c r="B3144" s="1"/>
      <c r="C3144" s="1"/>
      <c r="D3144" s="1"/>
      <c r="E3144" s="1"/>
      <c r="F3144" s="1"/>
      <c r="G3144" s="1"/>
      <c r="H3144" s="1"/>
      <c r="I3144" s="1"/>
      <c r="J3144" s="1"/>
      <c r="K3144" s="1"/>
      <c r="L3144" s="1"/>
      <c r="M3144" s="1"/>
      <c r="N3144" s="1"/>
    </row>
    <row r="3145" ht="14.5" spans="2:14">
      <c r="B3145" s="1"/>
      <c r="C3145" s="1"/>
      <c r="D3145" s="1"/>
      <c r="E3145" s="1"/>
      <c r="F3145" s="1"/>
      <c r="G3145" s="1"/>
      <c r="H3145" s="1"/>
      <c r="I3145" s="1"/>
      <c r="J3145" s="1"/>
      <c r="K3145" s="1"/>
      <c r="L3145" s="1"/>
      <c r="M3145" s="1"/>
      <c r="N3145" s="1"/>
    </row>
    <row r="3146" ht="14.5" spans="2:14">
      <c r="B3146" s="1"/>
      <c r="C3146" s="1"/>
      <c r="D3146" s="1"/>
      <c r="E3146" s="1"/>
      <c r="F3146" s="1"/>
      <c r="G3146" s="1"/>
      <c r="H3146" s="1"/>
      <c r="I3146" s="1"/>
      <c r="J3146" s="1"/>
      <c r="K3146" s="1"/>
      <c r="L3146" s="1"/>
      <c r="M3146" s="1"/>
      <c r="N3146" s="1"/>
    </row>
    <row r="3147" ht="14.5" spans="2:14">
      <c r="B3147" s="1"/>
      <c r="C3147" s="1"/>
      <c r="D3147" s="1"/>
      <c r="E3147" s="1"/>
      <c r="F3147" s="1"/>
      <c r="G3147" s="1"/>
      <c r="H3147" s="1"/>
      <c r="I3147" s="1"/>
      <c r="J3147" s="1"/>
      <c r="K3147" s="1"/>
      <c r="L3147" s="1"/>
      <c r="M3147" s="1"/>
      <c r="N3147" s="1"/>
    </row>
    <row r="3148" ht="14.5" spans="2:14">
      <c r="B3148" s="1"/>
      <c r="C3148" s="1"/>
      <c r="D3148" s="1"/>
      <c r="E3148" s="1"/>
      <c r="F3148" s="1"/>
      <c r="G3148" s="1"/>
      <c r="H3148" s="1"/>
      <c r="I3148" s="1"/>
      <c r="J3148" s="1"/>
      <c r="K3148" s="1"/>
      <c r="L3148" s="1"/>
      <c r="M3148" s="1"/>
      <c r="N3148" s="1"/>
    </row>
    <row r="3149" ht="14.5" spans="2:14">
      <c r="B3149" s="1"/>
      <c r="C3149" s="1"/>
      <c r="D3149" s="1"/>
      <c r="E3149" s="1"/>
      <c r="F3149" s="1"/>
      <c r="G3149" s="1"/>
      <c r="H3149" s="1"/>
      <c r="I3149" s="1"/>
      <c r="J3149" s="1"/>
      <c r="K3149" s="1"/>
      <c r="L3149" s="1"/>
      <c r="M3149" s="1"/>
      <c r="N3149" s="1"/>
    </row>
    <row r="3150" ht="14.5" spans="2:14">
      <c r="B3150" s="1"/>
      <c r="C3150" s="1"/>
      <c r="D3150" s="1"/>
      <c r="E3150" s="1"/>
      <c r="F3150" s="1"/>
      <c r="G3150" s="1"/>
      <c r="H3150" s="1"/>
      <c r="I3150" s="1"/>
      <c r="J3150" s="1"/>
      <c r="K3150" s="1"/>
      <c r="L3150" s="1"/>
      <c r="M3150" s="1"/>
      <c r="N3150" s="1"/>
    </row>
    <row r="3151" ht="14.5" spans="2:14">
      <c r="B3151" s="1"/>
      <c r="C3151" s="1"/>
      <c r="D3151" s="1"/>
      <c r="E3151" s="1"/>
      <c r="F3151" s="1"/>
      <c r="G3151" s="1"/>
      <c r="H3151" s="1"/>
      <c r="I3151" s="1"/>
      <c r="J3151" s="1"/>
      <c r="K3151" s="1"/>
      <c r="L3151" s="1"/>
      <c r="M3151" s="1"/>
      <c r="N3151" s="1"/>
    </row>
    <row r="3152" ht="14.5" spans="2:14">
      <c r="B3152" s="1"/>
      <c r="C3152" s="1"/>
      <c r="D3152" s="1"/>
      <c r="E3152" s="1"/>
      <c r="F3152" s="1"/>
      <c r="G3152" s="1"/>
      <c r="H3152" s="1"/>
      <c r="I3152" s="1"/>
      <c r="J3152" s="1"/>
      <c r="K3152" s="1"/>
      <c r="L3152" s="1"/>
      <c r="M3152" s="1"/>
      <c r="N3152" s="1"/>
    </row>
    <row r="3153" ht="14.5" spans="2:14">
      <c r="B3153" s="1"/>
      <c r="C3153" s="1"/>
      <c r="D3153" s="1"/>
      <c r="E3153" s="1"/>
      <c r="F3153" s="1"/>
      <c r="G3153" s="1"/>
      <c r="H3153" s="1"/>
      <c r="I3153" s="1"/>
      <c r="J3153" s="1"/>
      <c r="K3153" s="1"/>
      <c r="L3153" s="1"/>
      <c r="M3153" s="1"/>
      <c r="N3153" s="1"/>
    </row>
    <row r="3154" ht="14.5" spans="2:14">
      <c r="B3154" s="1"/>
      <c r="C3154" s="1"/>
      <c r="D3154" s="1"/>
      <c r="E3154" s="1"/>
      <c r="F3154" s="1"/>
      <c r="G3154" s="1"/>
      <c r="H3154" s="1"/>
      <c r="I3154" s="1"/>
      <c r="J3154" s="1"/>
      <c r="K3154" s="1"/>
      <c r="L3154" s="1"/>
      <c r="M3154" s="1"/>
      <c r="N3154" s="1"/>
    </row>
    <row r="3155" ht="14.5" spans="2:14">
      <c r="B3155" s="1"/>
      <c r="C3155" s="1"/>
      <c r="D3155" s="1"/>
      <c r="E3155" s="1"/>
      <c r="F3155" s="1"/>
      <c r="G3155" s="1"/>
      <c r="H3155" s="1"/>
      <c r="I3155" s="1"/>
      <c r="J3155" s="1"/>
      <c r="K3155" s="1"/>
      <c r="L3155" s="1"/>
      <c r="M3155" s="1"/>
      <c r="N3155" s="1"/>
    </row>
    <row r="3156" ht="14.5" spans="2:14">
      <c r="B3156" s="1"/>
      <c r="C3156" s="1"/>
      <c r="D3156" s="1"/>
      <c r="E3156" s="1"/>
      <c r="F3156" s="1"/>
      <c r="G3156" s="1"/>
      <c r="H3156" s="1"/>
      <c r="I3156" s="1"/>
      <c r="J3156" s="1"/>
      <c r="K3156" s="1"/>
      <c r="L3156" s="1"/>
      <c r="M3156" s="1"/>
      <c r="N3156" s="1"/>
    </row>
    <row r="3157" ht="14.5" spans="2:14">
      <c r="B3157" s="1"/>
      <c r="C3157" s="1"/>
      <c r="D3157" s="1"/>
      <c r="E3157" s="1"/>
      <c r="F3157" s="1"/>
      <c r="G3157" s="1"/>
      <c r="H3157" s="1"/>
      <c r="I3157" s="1"/>
      <c r="J3157" s="1"/>
      <c r="K3157" s="1"/>
      <c r="L3157" s="1"/>
      <c r="M3157" s="1"/>
      <c r="N3157" s="1"/>
    </row>
    <row r="3158" ht="14.5" spans="2:14">
      <c r="B3158" s="1"/>
      <c r="C3158" s="1"/>
      <c r="D3158" s="1"/>
      <c r="E3158" s="1"/>
      <c r="F3158" s="1"/>
      <c r="G3158" s="1"/>
      <c r="H3158" s="1"/>
      <c r="I3158" s="1"/>
      <c r="J3158" s="1"/>
      <c r="K3158" s="1"/>
      <c r="L3158" s="1"/>
      <c r="M3158" s="1"/>
      <c r="N3158" s="1"/>
    </row>
    <row r="3159" ht="14.5" spans="2:14">
      <c r="B3159" s="1"/>
      <c r="C3159" s="1"/>
      <c r="D3159" s="1"/>
      <c r="E3159" s="1"/>
      <c r="F3159" s="1"/>
      <c r="G3159" s="1"/>
      <c r="H3159" s="1"/>
      <c r="I3159" s="1"/>
      <c r="J3159" s="1"/>
      <c r="K3159" s="1"/>
      <c r="L3159" s="1"/>
      <c r="M3159" s="1"/>
      <c r="N3159" s="1"/>
    </row>
    <row r="3160" ht="14.5" spans="2:14">
      <c r="B3160" s="1"/>
      <c r="C3160" s="1"/>
      <c r="D3160" s="1"/>
      <c r="E3160" s="1"/>
      <c r="F3160" s="1"/>
      <c r="G3160" s="1"/>
      <c r="H3160" s="1"/>
      <c r="I3160" s="1"/>
      <c r="J3160" s="1"/>
      <c r="K3160" s="1"/>
      <c r="L3160" s="1"/>
      <c r="M3160" s="1"/>
      <c r="N3160" s="1"/>
    </row>
    <row r="3161" ht="14.5" spans="2:14">
      <c r="B3161" s="1"/>
      <c r="C3161" s="1"/>
      <c r="D3161" s="1"/>
      <c r="E3161" s="1"/>
      <c r="F3161" s="1"/>
      <c r="G3161" s="1"/>
      <c r="H3161" s="1"/>
      <c r="I3161" s="1"/>
      <c r="J3161" s="1"/>
      <c r="K3161" s="1"/>
      <c r="L3161" s="1"/>
      <c r="M3161" s="1"/>
      <c r="N3161" s="1"/>
    </row>
    <row r="3162" ht="14.5" spans="2:14">
      <c r="B3162" s="1"/>
      <c r="C3162" s="1"/>
      <c r="D3162" s="1"/>
      <c r="E3162" s="1"/>
      <c r="F3162" s="1"/>
      <c r="G3162" s="1"/>
      <c r="H3162" s="1"/>
      <c r="I3162" s="1"/>
      <c r="J3162" s="1"/>
      <c r="K3162" s="1"/>
      <c r="L3162" s="1"/>
      <c r="M3162" s="1"/>
      <c r="N3162" s="1"/>
    </row>
    <row r="3163" ht="14.5" spans="2:14">
      <c r="B3163" s="1"/>
      <c r="C3163" s="1"/>
      <c r="D3163" s="1"/>
      <c r="E3163" s="1"/>
      <c r="F3163" s="1"/>
      <c r="G3163" s="1"/>
      <c r="H3163" s="1"/>
      <c r="I3163" s="1"/>
      <c r="J3163" s="1"/>
      <c r="K3163" s="1"/>
      <c r="L3163" s="1"/>
      <c r="M3163" s="1"/>
      <c r="N3163" s="1"/>
    </row>
    <row r="3164" ht="14.5" spans="2:14">
      <c r="B3164" s="1"/>
      <c r="C3164" s="1"/>
      <c r="D3164" s="1"/>
      <c r="E3164" s="1"/>
      <c r="F3164" s="1"/>
      <c r="G3164" s="1"/>
      <c r="H3164" s="1"/>
      <c r="I3164" s="1"/>
      <c r="J3164" s="1"/>
      <c r="K3164" s="1"/>
      <c r="L3164" s="1"/>
      <c r="M3164" s="1"/>
      <c r="N3164" s="1"/>
    </row>
    <row r="3165" ht="14.5" spans="2:14">
      <c r="B3165" s="1"/>
      <c r="C3165" s="1"/>
      <c r="D3165" s="1"/>
      <c r="E3165" s="1"/>
      <c r="F3165" s="1"/>
      <c r="G3165" s="1"/>
      <c r="H3165" s="1"/>
      <c r="I3165" s="1"/>
      <c r="J3165" s="1"/>
      <c r="K3165" s="1"/>
      <c r="L3165" s="1"/>
      <c r="M3165" s="1"/>
      <c r="N3165" s="1"/>
    </row>
    <row r="3166" ht="14.5" spans="2:14">
      <c r="B3166" s="1"/>
      <c r="C3166" s="1"/>
      <c r="D3166" s="1"/>
      <c r="E3166" s="1"/>
      <c r="F3166" s="1"/>
      <c r="G3166" s="1"/>
      <c r="H3166" s="1"/>
      <c r="I3166" s="1"/>
      <c r="J3166" s="1"/>
      <c r="K3166" s="1"/>
      <c r="L3166" s="1"/>
      <c r="M3166" s="1"/>
      <c r="N3166" s="1"/>
    </row>
    <row r="3167" ht="14.5" spans="2:14">
      <c r="B3167" s="1"/>
      <c r="C3167" s="1"/>
      <c r="D3167" s="1"/>
      <c r="E3167" s="1"/>
      <c r="F3167" s="1"/>
      <c r="G3167" s="1"/>
      <c r="H3167" s="1"/>
      <c r="I3167" s="1"/>
      <c r="J3167" s="1"/>
      <c r="K3167" s="1"/>
      <c r="L3167" s="1"/>
      <c r="M3167" s="1"/>
      <c r="N3167" s="1"/>
    </row>
    <row r="3168" ht="14.5" spans="2:14">
      <c r="B3168" s="1"/>
      <c r="C3168" s="1"/>
      <c r="D3168" s="1"/>
      <c r="E3168" s="1"/>
      <c r="F3168" s="1"/>
      <c r="G3168" s="1"/>
      <c r="H3168" s="1"/>
      <c r="I3168" s="1"/>
      <c r="J3168" s="1"/>
      <c r="K3168" s="1"/>
      <c r="L3168" s="1"/>
      <c r="M3168" s="1"/>
      <c r="N3168" s="1"/>
    </row>
    <row r="3169" ht="14.5" spans="2:14">
      <c r="B3169" s="1"/>
      <c r="C3169" s="1"/>
      <c r="D3169" s="1"/>
      <c r="E3169" s="1"/>
      <c r="F3169" s="1"/>
      <c r="G3169" s="1"/>
      <c r="H3169" s="1"/>
      <c r="I3169" s="1"/>
      <c r="J3169" s="1"/>
      <c r="K3169" s="1"/>
      <c r="L3169" s="1"/>
      <c r="M3169" s="1"/>
      <c r="N3169" s="1"/>
    </row>
    <row r="3170" ht="14.5" spans="2:14">
      <c r="B3170" s="1"/>
      <c r="C3170" s="1"/>
      <c r="D3170" s="1"/>
      <c r="E3170" s="1"/>
      <c r="F3170" s="1"/>
      <c r="G3170" s="1"/>
      <c r="H3170" s="1"/>
      <c r="I3170" s="1"/>
      <c r="J3170" s="1"/>
      <c r="K3170" s="1"/>
      <c r="L3170" s="1"/>
      <c r="M3170" s="1"/>
      <c r="N3170" s="1"/>
    </row>
    <row r="3171" ht="14.5" spans="2:14">
      <c r="B3171" s="1"/>
      <c r="C3171" s="1"/>
      <c r="D3171" s="1"/>
      <c r="E3171" s="1"/>
      <c r="F3171" s="1"/>
      <c r="G3171" s="1"/>
      <c r="H3171" s="1"/>
      <c r="I3171" s="1"/>
      <c r="J3171" s="1"/>
      <c r="K3171" s="1"/>
      <c r="L3171" s="1"/>
      <c r="M3171" s="1"/>
      <c r="N3171" s="1"/>
    </row>
    <row r="3172" ht="14.5" spans="2:14">
      <c r="B3172" s="1"/>
      <c r="C3172" s="1"/>
      <c r="D3172" s="1"/>
      <c r="E3172" s="1"/>
      <c r="F3172" s="1"/>
      <c r="G3172" s="1"/>
      <c r="H3172" s="1"/>
      <c r="I3172" s="1"/>
      <c r="J3172" s="1"/>
      <c r="K3172" s="1"/>
      <c r="L3172" s="1"/>
      <c r="M3172" s="1"/>
      <c r="N3172" s="1"/>
    </row>
    <row r="3173" ht="14.5" spans="2:14">
      <c r="B3173" s="1"/>
      <c r="C3173" s="1"/>
      <c r="D3173" s="1"/>
      <c r="E3173" s="1"/>
      <c r="F3173" s="1"/>
      <c r="G3173" s="1"/>
      <c r="H3173" s="1"/>
      <c r="I3173" s="1"/>
      <c r="J3173" s="1"/>
      <c r="K3173" s="1"/>
      <c r="L3173" s="1"/>
      <c r="M3173" s="1"/>
      <c r="N3173" s="1"/>
    </row>
    <row r="3174" ht="14.5" spans="2:14">
      <c r="B3174" s="1"/>
      <c r="C3174" s="1"/>
      <c r="D3174" s="1"/>
      <c r="E3174" s="1"/>
      <c r="F3174" s="1"/>
      <c r="G3174" s="1"/>
      <c r="H3174" s="1"/>
      <c r="I3174" s="1"/>
      <c r="J3174" s="1"/>
      <c r="K3174" s="1"/>
      <c r="L3174" s="1"/>
      <c r="M3174" s="1"/>
      <c r="N3174" s="1"/>
    </row>
    <row r="3175" ht="14.5" spans="2:14">
      <c r="B3175" s="1"/>
      <c r="C3175" s="1"/>
      <c r="D3175" s="1"/>
      <c r="E3175" s="1"/>
      <c r="F3175" s="1"/>
      <c r="G3175" s="1"/>
      <c r="H3175" s="1"/>
      <c r="I3175" s="1"/>
      <c r="J3175" s="1"/>
      <c r="K3175" s="1"/>
      <c r="L3175" s="1"/>
      <c r="M3175" s="1"/>
      <c r="N3175" s="1"/>
    </row>
    <row r="3176" ht="14.5" spans="2:14">
      <c r="B3176" s="1"/>
      <c r="C3176" s="1"/>
      <c r="D3176" s="1"/>
      <c r="E3176" s="1"/>
      <c r="F3176" s="1"/>
      <c r="G3176" s="1"/>
      <c r="H3176" s="1"/>
      <c r="I3176" s="1"/>
      <c r="J3176" s="1"/>
      <c r="K3176" s="1"/>
      <c r="L3176" s="1"/>
      <c r="M3176" s="1"/>
      <c r="N3176" s="1"/>
    </row>
    <row r="3177" ht="14.5" spans="2:14">
      <c r="B3177" s="1"/>
      <c r="C3177" s="1"/>
      <c r="D3177" s="1"/>
      <c r="E3177" s="1"/>
      <c r="F3177" s="1"/>
      <c r="G3177" s="1"/>
      <c r="H3177" s="1"/>
      <c r="I3177" s="1"/>
      <c r="J3177" s="1"/>
      <c r="K3177" s="1"/>
      <c r="L3177" s="1"/>
      <c r="M3177" s="1"/>
      <c r="N3177" s="1"/>
    </row>
    <row r="3178" ht="14.5" spans="2:14">
      <c r="B3178" s="1"/>
      <c r="C3178" s="1"/>
      <c r="D3178" s="1"/>
      <c r="E3178" s="1"/>
      <c r="F3178" s="1"/>
      <c r="G3178" s="1"/>
      <c r="H3178" s="1"/>
      <c r="I3178" s="1"/>
      <c r="J3178" s="1"/>
      <c r="K3178" s="1"/>
      <c r="L3178" s="1"/>
      <c r="M3178" s="1"/>
      <c r="N3178" s="1"/>
    </row>
    <row r="3179" ht="14.5" spans="2:14">
      <c r="B3179" s="1"/>
      <c r="C3179" s="1"/>
      <c r="D3179" s="1"/>
      <c r="E3179" s="1"/>
      <c r="F3179" s="1"/>
      <c r="G3179" s="1"/>
      <c r="H3179" s="1"/>
      <c r="I3179" s="1"/>
      <c r="J3179" s="1"/>
      <c r="K3179" s="1"/>
      <c r="L3179" s="1"/>
      <c r="M3179" s="1"/>
      <c r="N3179" s="1"/>
    </row>
    <row r="3180" ht="14.5" spans="2:14">
      <c r="B3180" s="1"/>
      <c r="C3180" s="1"/>
      <c r="D3180" s="1"/>
      <c r="E3180" s="1"/>
      <c r="F3180" s="1"/>
      <c r="G3180" s="1"/>
      <c r="H3180" s="1"/>
      <c r="I3180" s="1"/>
      <c r="J3180" s="1"/>
      <c r="K3180" s="1"/>
      <c r="L3180" s="1"/>
      <c r="M3180" s="1"/>
      <c r="N3180" s="1"/>
    </row>
    <row r="3181" ht="14.5" spans="2:14">
      <c r="B3181" s="1"/>
      <c r="C3181" s="1"/>
      <c r="D3181" s="1"/>
      <c r="E3181" s="1"/>
      <c r="F3181" s="1"/>
      <c r="G3181" s="1"/>
      <c r="H3181" s="1"/>
      <c r="I3181" s="1"/>
      <c r="J3181" s="1"/>
      <c r="K3181" s="1"/>
      <c r="L3181" s="1"/>
      <c r="M3181" s="1"/>
      <c r="N3181" s="1"/>
    </row>
    <row r="3182" ht="14.5" spans="2:14">
      <c r="B3182" s="1"/>
      <c r="C3182" s="1"/>
      <c r="D3182" s="1"/>
      <c r="E3182" s="1"/>
      <c r="F3182" s="1"/>
      <c r="G3182" s="1"/>
      <c r="H3182" s="1"/>
      <c r="I3182" s="1"/>
      <c r="J3182" s="1"/>
      <c r="K3182" s="1"/>
      <c r="L3182" s="1"/>
      <c r="M3182" s="1"/>
      <c r="N3182" s="1"/>
    </row>
    <row r="3183" ht="14.5" spans="2:14">
      <c r="B3183" s="1"/>
      <c r="C3183" s="1"/>
      <c r="D3183" s="1"/>
      <c r="E3183" s="1"/>
      <c r="F3183" s="1"/>
      <c r="G3183" s="1"/>
      <c r="H3183" s="1"/>
      <c r="I3183" s="1"/>
      <c r="J3183" s="1"/>
      <c r="K3183" s="1"/>
      <c r="L3183" s="1"/>
      <c r="M3183" s="1"/>
      <c r="N3183" s="1"/>
    </row>
    <row r="3184" ht="14.5" spans="2:14">
      <c r="B3184" s="1"/>
      <c r="C3184" s="1"/>
      <c r="D3184" s="1"/>
      <c r="E3184" s="1"/>
      <c r="F3184" s="1"/>
      <c r="G3184" s="1"/>
      <c r="H3184" s="1"/>
      <c r="I3184" s="1"/>
      <c r="J3184" s="1"/>
      <c r="K3184" s="1"/>
      <c r="L3184" s="1"/>
      <c r="M3184" s="1"/>
      <c r="N3184" s="1"/>
    </row>
    <row r="3185" ht="14.5" spans="2:14">
      <c r="B3185" s="1"/>
      <c r="C3185" s="1"/>
      <c r="D3185" s="1"/>
      <c r="E3185" s="1"/>
      <c r="F3185" s="1"/>
      <c r="G3185" s="1"/>
      <c r="H3185" s="1"/>
      <c r="I3185" s="1"/>
      <c r="J3185" s="1"/>
      <c r="K3185" s="1"/>
      <c r="L3185" s="1"/>
      <c r="M3185" s="1"/>
      <c r="N3185" s="1"/>
    </row>
    <row r="3186" ht="14.5" spans="2:14">
      <c r="B3186" s="1"/>
      <c r="C3186" s="1"/>
      <c r="D3186" s="1"/>
      <c r="E3186" s="1"/>
      <c r="F3186" s="1"/>
      <c r="G3186" s="1"/>
      <c r="H3186" s="1"/>
      <c r="I3186" s="1"/>
      <c r="J3186" s="1"/>
      <c r="K3186" s="1"/>
      <c r="L3186" s="1"/>
      <c r="M3186" s="1"/>
      <c r="N3186" s="1"/>
    </row>
    <row r="3187" ht="14.5" spans="2:14">
      <c r="B3187" s="1"/>
      <c r="C3187" s="1"/>
      <c r="D3187" s="1"/>
      <c r="E3187" s="1"/>
      <c r="F3187" s="1"/>
      <c r="G3187" s="1"/>
      <c r="H3187" s="1"/>
      <c r="I3187" s="1"/>
      <c r="J3187" s="1"/>
      <c r="K3187" s="1"/>
      <c r="L3187" s="1"/>
      <c r="M3187" s="1"/>
      <c r="N3187" s="1"/>
    </row>
    <row r="3188" ht="14.5" spans="2:14">
      <c r="B3188" s="1"/>
      <c r="C3188" s="1"/>
      <c r="D3188" s="1"/>
      <c r="E3188" s="1"/>
      <c r="F3188" s="1"/>
      <c r="G3188" s="1"/>
      <c r="H3188" s="1"/>
      <c r="I3188" s="1"/>
      <c r="J3188" s="1"/>
      <c r="K3188" s="1"/>
      <c r="L3188" s="1"/>
      <c r="M3188" s="1"/>
      <c r="N3188" s="1"/>
    </row>
    <row r="3189" ht="14.5" spans="2:14">
      <c r="B3189" s="1"/>
      <c r="C3189" s="1"/>
      <c r="D3189" s="1"/>
      <c r="E3189" s="1"/>
      <c r="F3189" s="1"/>
      <c r="G3189" s="1"/>
      <c r="H3189" s="1"/>
      <c r="I3189" s="1"/>
      <c r="J3189" s="1"/>
      <c r="K3189" s="1"/>
      <c r="L3189" s="1"/>
      <c r="M3189" s="1"/>
      <c r="N3189" s="1"/>
    </row>
    <row r="3190" ht="14.5" spans="2:14">
      <c r="B3190" s="1"/>
      <c r="C3190" s="1"/>
      <c r="D3190" s="1"/>
      <c r="E3190" s="1"/>
      <c r="F3190" s="1"/>
      <c r="G3190" s="1"/>
      <c r="H3190" s="1"/>
      <c r="I3190" s="1"/>
      <c r="J3190" s="1"/>
      <c r="K3190" s="1"/>
      <c r="L3190" s="1"/>
      <c r="M3190" s="1"/>
      <c r="N3190" s="1"/>
    </row>
    <row r="3191" ht="14.5" spans="2:14">
      <c r="B3191" s="1"/>
      <c r="C3191" s="1"/>
      <c r="D3191" s="1"/>
      <c r="E3191" s="1"/>
      <c r="F3191" s="1"/>
      <c r="G3191" s="1"/>
      <c r="H3191" s="1"/>
      <c r="I3191" s="1"/>
      <c r="J3191" s="1"/>
      <c r="K3191" s="1"/>
      <c r="L3191" s="1"/>
      <c r="M3191" s="1"/>
      <c r="N3191" s="1"/>
    </row>
    <row r="3192" ht="14.5" spans="2:14">
      <c r="B3192" s="1"/>
      <c r="C3192" s="1"/>
      <c r="D3192" s="1"/>
      <c r="E3192" s="1"/>
      <c r="F3192" s="1"/>
      <c r="G3192" s="1"/>
      <c r="H3192" s="1"/>
      <c r="I3192" s="1"/>
      <c r="J3192" s="1"/>
      <c r="K3192" s="1"/>
      <c r="L3192" s="1"/>
      <c r="M3192" s="1"/>
      <c r="N3192" s="1"/>
    </row>
    <row r="3193" ht="14.5" spans="2:14">
      <c r="B3193" s="1"/>
      <c r="C3193" s="1"/>
      <c r="D3193" s="1"/>
      <c r="E3193" s="1"/>
      <c r="F3193" s="1"/>
      <c r="G3193" s="1"/>
      <c r="H3193" s="1"/>
      <c r="I3193" s="1"/>
      <c r="J3193" s="1"/>
      <c r="K3193" s="1"/>
      <c r="L3193" s="1"/>
      <c r="M3193" s="1"/>
      <c r="N3193" s="1"/>
    </row>
    <row r="3194" ht="14.5" spans="2:14">
      <c r="B3194" s="1"/>
      <c r="C3194" s="1"/>
      <c r="D3194" s="1"/>
      <c r="E3194" s="1"/>
      <c r="F3194" s="1"/>
      <c r="G3194" s="1"/>
      <c r="H3194" s="1"/>
      <c r="I3194" s="1"/>
      <c r="J3194" s="1"/>
      <c r="K3194" s="1"/>
      <c r="L3194" s="1"/>
      <c r="M3194" s="1"/>
      <c r="N3194" s="1"/>
    </row>
    <row r="3195" ht="14.5" spans="2:14">
      <c r="B3195" s="1"/>
      <c r="C3195" s="1"/>
      <c r="D3195" s="1"/>
      <c r="E3195" s="1"/>
      <c r="F3195" s="1"/>
      <c r="G3195" s="1"/>
      <c r="H3195" s="1"/>
      <c r="I3195" s="1"/>
      <c r="J3195" s="1"/>
      <c r="K3195" s="1"/>
      <c r="L3195" s="1"/>
      <c r="M3195" s="1"/>
      <c r="N3195" s="1"/>
    </row>
    <row r="3196" ht="14.5" spans="2:14">
      <c r="B3196" s="1"/>
      <c r="C3196" s="1"/>
      <c r="D3196" s="1"/>
      <c r="E3196" s="1"/>
      <c r="F3196" s="1"/>
      <c r="G3196" s="1"/>
      <c r="H3196" s="1"/>
      <c r="I3196" s="1"/>
      <c r="J3196" s="1"/>
      <c r="K3196" s="1"/>
      <c r="L3196" s="1"/>
      <c r="M3196" s="1"/>
      <c r="N3196" s="1"/>
    </row>
    <row r="3197" ht="14.5" spans="2:14">
      <c r="B3197" s="1"/>
      <c r="C3197" s="1"/>
      <c r="D3197" s="1"/>
      <c r="E3197" s="1"/>
      <c r="F3197" s="1"/>
      <c r="G3197" s="1"/>
      <c r="H3197" s="1"/>
      <c r="I3197" s="1"/>
      <c r="J3197" s="1"/>
      <c r="K3197" s="1"/>
      <c r="L3197" s="1"/>
      <c r="M3197" s="1"/>
      <c r="N3197" s="1"/>
    </row>
    <row r="3198" ht="14.5" spans="2:14">
      <c r="B3198" s="1"/>
      <c r="C3198" s="1"/>
      <c r="D3198" s="1"/>
      <c r="E3198" s="1"/>
      <c r="F3198" s="1"/>
      <c r="G3198" s="1"/>
      <c r="H3198" s="1"/>
      <c r="I3198" s="1"/>
      <c r="J3198" s="1"/>
      <c r="K3198" s="1"/>
      <c r="L3198" s="1"/>
      <c r="M3198" s="1"/>
      <c r="N3198" s="1"/>
    </row>
    <row r="3199" ht="14.5" spans="2:14">
      <c r="B3199" s="1"/>
      <c r="C3199" s="1"/>
      <c r="D3199" s="1"/>
      <c r="E3199" s="1"/>
      <c r="F3199" s="1"/>
      <c r="G3199" s="1"/>
      <c r="H3199" s="1"/>
      <c r="I3199" s="1"/>
      <c r="J3199" s="1"/>
      <c r="K3199" s="1"/>
      <c r="L3199" s="1"/>
      <c r="M3199" s="1"/>
      <c r="N3199" s="1"/>
    </row>
    <row r="3200" ht="14.5" spans="2:14">
      <c r="B3200" s="1"/>
      <c r="C3200" s="1"/>
      <c r="D3200" s="1"/>
      <c r="E3200" s="1"/>
      <c r="F3200" s="1"/>
      <c r="G3200" s="1"/>
      <c r="H3200" s="1"/>
      <c r="I3200" s="1"/>
      <c r="J3200" s="1"/>
      <c r="K3200" s="1"/>
      <c r="L3200" s="1"/>
      <c r="M3200" s="1"/>
      <c r="N3200" s="1"/>
    </row>
    <row r="3201" ht="14.5" spans="2:14">
      <c r="B3201" s="1"/>
      <c r="C3201" s="1"/>
      <c r="D3201" s="1"/>
      <c r="E3201" s="1"/>
      <c r="F3201" s="1"/>
      <c r="G3201" s="1"/>
      <c r="H3201" s="1"/>
      <c r="I3201" s="1"/>
      <c r="J3201" s="1"/>
      <c r="K3201" s="1"/>
      <c r="L3201" s="1"/>
      <c r="M3201" s="1"/>
      <c r="N3201" s="1"/>
    </row>
    <row r="3202" ht="14.5" spans="2:14">
      <c r="B3202" s="1"/>
      <c r="C3202" s="1"/>
      <c r="D3202" s="1"/>
      <c r="E3202" s="1"/>
      <c r="F3202" s="1"/>
      <c r="G3202" s="1"/>
      <c r="H3202" s="1"/>
      <c r="I3202" s="1"/>
      <c r="J3202" s="1"/>
      <c r="K3202" s="1"/>
      <c r="L3202" s="1"/>
      <c r="M3202" s="1"/>
      <c r="N3202" s="1"/>
    </row>
    <row r="3203" ht="14.5" spans="2:14">
      <c r="B3203" s="1"/>
      <c r="C3203" s="1"/>
      <c r="D3203" s="1"/>
      <c r="E3203" s="1"/>
      <c r="F3203" s="1"/>
      <c r="G3203" s="1"/>
      <c r="H3203" s="1"/>
      <c r="I3203" s="1"/>
      <c r="J3203" s="1"/>
      <c r="K3203" s="1"/>
      <c r="L3203" s="1"/>
      <c r="M3203" s="1"/>
      <c r="N3203" s="1"/>
    </row>
    <row r="3204" ht="14.5" spans="2:14">
      <c r="B3204" s="1"/>
      <c r="C3204" s="1"/>
      <c r="D3204" s="1"/>
      <c r="E3204" s="1"/>
      <c r="F3204" s="1"/>
      <c r="G3204" s="1"/>
      <c r="H3204" s="1"/>
      <c r="I3204" s="1"/>
      <c r="J3204" s="1"/>
      <c r="K3204" s="1"/>
      <c r="L3204" s="1"/>
      <c r="M3204" s="1"/>
      <c r="N3204" s="1"/>
    </row>
    <row r="3205" ht="14.5" spans="2:14">
      <c r="B3205" s="1"/>
      <c r="C3205" s="1"/>
      <c r="D3205" s="1"/>
      <c r="E3205" s="1"/>
      <c r="F3205" s="1"/>
      <c r="G3205" s="1"/>
      <c r="H3205" s="1"/>
      <c r="I3205" s="1"/>
      <c r="J3205" s="1"/>
      <c r="K3205" s="1"/>
      <c r="L3205" s="1"/>
      <c r="M3205" s="1"/>
      <c r="N3205" s="1"/>
    </row>
    <row r="3206" ht="14.5" spans="2:14">
      <c r="B3206" s="1"/>
      <c r="C3206" s="1"/>
      <c r="D3206" s="1"/>
      <c r="E3206" s="1"/>
      <c r="F3206" s="1"/>
      <c r="G3206" s="1"/>
      <c r="H3206" s="1"/>
      <c r="I3206" s="1"/>
      <c r="J3206" s="1"/>
      <c r="K3206" s="1"/>
      <c r="L3206" s="1"/>
      <c r="M3206" s="1"/>
      <c r="N3206" s="1"/>
    </row>
    <row r="3207" ht="14.5" spans="2:14">
      <c r="B3207" s="1"/>
      <c r="C3207" s="1"/>
      <c r="D3207" s="1"/>
      <c r="E3207" s="1"/>
      <c r="F3207" s="1"/>
      <c r="G3207" s="1"/>
      <c r="H3207" s="1"/>
      <c r="I3207" s="1"/>
      <c r="J3207" s="1"/>
      <c r="K3207" s="1"/>
      <c r="L3207" s="1"/>
      <c r="M3207" s="1"/>
      <c r="N3207" s="1"/>
    </row>
    <row r="3208" ht="14.5" spans="2:14">
      <c r="B3208" s="1"/>
      <c r="C3208" s="1"/>
      <c r="D3208" s="1"/>
      <c r="E3208" s="1"/>
      <c r="F3208" s="1"/>
      <c r="G3208" s="1"/>
      <c r="H3208" s="1"/>
      <c r="I3208" s="1"/>
      <c r="J3208" s="1"/>
      <c r="K3208" s="1"/>
      <c r="L3208" s="1"/>
      <c r="M3208" s="1"/>
      <c r="N3208" s="1"/>
    </row>
    <row r="3209" ht="14.5" spans="2:14">
      <c r="B3209" s="1"/>
      <c r="C3209" s="1"/>
      <c r="D3209" s="1"/>
      <c r="E3209" s="1"/>
      <c r="F3209" s="1"/>
      <c r="G3209" s="1"/>
      <c r="H3209" s="1"/>
      <c r="I3209" s="1"/>
      <c r="J3209" s="1"/>
      <c r="K3209" s="1"/>
      <c r="L3209" s="1"/>
      <c r="M3209" s="1"/>
      <c r="N3209" s="1"/>
    </row>
    <row r="3210" ht="14.5" spans="2:14">
      <c r="B3210" s="1"/>
      <c r="C3210" s="1"/>
      <c r="D3210" s="1"/>
      <c r="E3210" s="1"/>
      <c r="F3210" s="1"/>
      <c r="G3210" s="1"/>
      <c r="H3210" s="1"/>
      <c r="I3210" s="1"/>
      <c r="J3210" s="1"/>
      <c r="K3210" s="1"/>
      <c r="L3210" s="1"/>
      <c r="M3210" s="1"/>
      <c r="N3210" s="1"/>
    </row>
    <row r="3211" ht="14.5" spans="2:14">
      <c r="B3211" s="1"/>
      <c r="C3211" s="1"/>
      <c r="D3211" s="1"/>
      <c r="E3211" s="1"/>
      <c r="F3211" s="1"/>
      <c r="G3211" s="1"/>
      <c r="H3211" s="1"/>
      <c r="I3211" s="1"/>
      <c r="J3211" s="1"/>
      <c r="K3211" s="1"/>
      <c r="L3211" s="1"/>
      <c r="M3211" s="1"/>
      <c r="N3211" s="1"/>
    </row>
    <row r="3212" ht="14.5" spans="2:14">
      <c r="B3212" s="1"/>
      <c r="C3212" s="1"/>
      <c r="D3212" s="1"/>
      <c r="E3212" s="1"/>
      <c r="F3212" s="1"/>
      <c r="G3212" s="1"/>
      <c r="H3212" s="1"/>
      <c r="I3212" s="1"/>
      <c r="J3212" s="1"/>
      <c r="K3212" s="1"/>
      <c r="L3212" s="1"/>
      <c r="M3212" s="1"/>
      <c r="N3212" s="1"/>
    </row>
    <row r="3213" ht="14.5" spans="2:14">
      <c r="B3213" s="1"/>
      <c r="C3213" s="1"/>
      <c r="D3213" s="1"/>
      <c r="E3213" s="1"/>
      <c r="F3213" s="1"/>
      <c r="G3213" s="1"/>
      <c r="H3213" s="1"/>
      <c r="I3213" s="1"/>
      <c r="J3213" s="1"/>
      <c r="K3213" s="1"/>
      <c r="L3213" s="1"/>
      <c r="M3213" s="1"/>
      <c r="N3213" s="1"/>
    </row>
    <row r="3214" ht="14.5" spans="2:14">
      <c r="B3214" s="1"/>
      <c r="C3214" s="1"/>
      <c r="D3214" s="1"/>
      <c r="E3214" s="1"/>
      <c r="F3214" s="1"/>
      <c r="G3214" s="1"/>
      <c r="H3214" s="1"/>
      <c r="I3214" s="1"/>
      <c r="J3214" s="1"/>
      <c r="K3214" s="1"/>
      <c r="L3214" s="1"/>
      <c r="M3214" s="1"/>
      <c r="N3214" s="1"/>
    </row>
    <row r="3215" ht="14.5" spans="2:14">
      <c r="B3215" s="1"/>
      <c r="C3215" s="1"/>
      <c r="D3215" s="1"/>
      <c r="E3215" s="1"/>
      <c r="F3215" s="1"/>
      <c r="G3215" s="1"/>
      <c r="H3215" s="1"/>
      <c r="I3215" s="1"/>
      <c r="J3215" s="1"/>
      <c r="K3215" s="1"/>
      <c r="L3215" s="1"/>
      <c r="M3215" s="1"/>
      <c r="N3215" s="1"/>
    </row>
    <row r="3216" ht="14.5" spans="2:14">
      <c r="B3216" s="1"/>
      <c r="C3216" s="1"/>
      <c r="D3216" s="1"/>
      <c r="E3216" s="1"/>
      <c r="F3216" s="1"/>
      <c r="G3216" s="1"/>
      <c r="H3216" s="1"/>
      <c r="I3216" s="1"/>
      <c r="J3216" s="1"/>
      <c r="K3216" s="1"/>
      <c r="L3216" s="1"/>
      <c r="M3216" s="1"/>
      <c r="N3216" s="1"/>
    </row>
    <row r="3217" ht="14.5" spans="2:14">
      <c r="B3217" s="1"/>
      <c r="C3217" s="1"/>
      <c r="D3217" s="1"/>
      <c r="E3217" s="1"/>
      <c r="F3217" s="1"/>
      <c r="G3217" s="1"/>
      <c r="H3217" s="1"/>
      <c r="I3217" s="1"/>
      <c r="J3217" s="1"/>
      <c r="K3217" s="1"/>
      <c r="L3217" s="1"/>
      <c r="M3217" s="1"/>
      <c r="N3217" s="1"/>
    </row>
    <row r="3218" ht="14.5" spans="2:14">
      <c r="B3218" s="1"/>
      <c r="C3218" s="1"/>
      <c r="D3218" s="1"/>
      <c r="E3218" s="1"/>
      <c r="F3218" s="1"/>
      <c r="G3218" s="1"/>
      <c r="H3218" s="1"/>
      <c r="I3218" s="1"/>
      <c r="J3218" s="1"/>
      <c r="K3218" s="1"/>
      <c r="L3218" s="1"/>
      <c r="M3218" s="1"/>
      <c r="N3218" s="1"/>
    </row>
    <row r="3219" ht="14.5" spans="2:14">
      <c r="B3219" s="1"/>
      <c r="C3219" s="1"/>
      <c r="D3219" s="1"/>
      <c r="E3219" s="1"/>
      <c r="F3219" s="1"/>
      <c r="G3219" s="1"/>
      <c r="H3219" s="1"/>
      <c r="I3219" s="1"/>
      <c r="J3219" s="1"/>
      <c r="K3219" s="1"/>
      <c r="L3219" s="1"/>
      <c r="M3219" s="1"/>
      <c r="N3219" s="1"/>
    </row>
    <row r="3220" ht="14.5" spans="2:14">
      <c r="B3220" s="1"/>
      <c r="C3220" s="1"/>
      <c r="D3220" s="1"/>
      <c r="E3220" s="1"/>
      <c r="F3220" s="1"/>
      <c r="G3220" s="1"/>
      <c r="H3220" s="1"/>
      <c r="I3220" s="1"/>
      <c r="J3220" s="1"/>
      <c r="K3220" s="1"/>
      <c r="L3220" s="1"/>
      <c r="M3220" s="1"/>
      <c r="N3220" s="1"/>
    </row>
    <row r="3221" ht="14.5" spans="2:14">
      <c r="B3221" s="1"/>
      <c r="C3221" s="1"/>
      <c r="D3221" s="1"/>
      <c r="E3221" s="1"/>
      <c r="F3221" s="1"/>
      <c r="G3221" s="1"/>
      <c r="H3221" s="1"/>
      <c r="I3221" s="1"/>
      <c r="J3221" s="1"/>
      <c r="K3221" s="1"/>
      <c r="L3221" s="1"/>
      <c r="M3221" s="1"/>
      <c r="N3221" s="1"/>
    </row>
    <row r="3222" ht="14.5" spans="2:14">
      <c r="B3222" s="1"/>
      <c r="C3222" s="1"/>
      <c r="D3222" s="1"/>
      <c r="E3222" s="1"/>
      <c r="F3222" s="1"/>
      <c r="G3222" s="1"/>
      <c r="H3222" s="1"/>
      <c r="I3222" s="1"/>
      <c r="J3222" s="1"/>
      <c r="K3222" s="1"/>
      <c r="L3222" s="1"/>
      <c r="M3222" s="1"/>
      <c r="N3222" s="1"/>
    </row>
    <row r="3223" ht="14.5" spans="2:14">
      <c r="B3223" s="1"/>
      <c r="C3223" s="1"/>
      <c r="D3223" s="1"/>
      <c r="E3223" s="1"/>
      <c r="F3223" s="1"/>
      <c r="G3223" s="1"/>
      <c r="H3223" s="1"/>
      <c r="I3223" s="1"/>
      <c r="J3223" s="1"/>
      <c r="K3223" s="1"/>
      <c r="L3223" s="1"/>
      <c r="M3223" s="1"/>
      <c r="N3223" s="1"/>
    </row>
    <row r="3224" ht="14.5" spans="2:14">
      <c r="B3224" s="1"/>
      <c r="C3224" s="1"/>
      <c r="D3224" s="1"/>
      <c r="E3224" s="1"/>
      <c r="F3224" s="1"/>
      <c r="G3224" s="1"/>
      <c r="H3224" s="1"/>
      <c r="I3224" s="1"/>
      <c r="J3224" s="1"/>
      <c r="K3224" s="1"/>
      <c r="L3224" s="1"/>
      <c r="M3224" s="1"/>
      <c r="N3224" s="1"/>
    </row>
    <row r="3225" ht="14.5" spans="2:14">
      <c r="B3225" s="1"/>
      <c r="C3225" s="1"/>
      <c r="D3225" s="1"/>
      <c r="E3225" s="1"/>
      <c r="F3225" s="1"/>
      <c r="G3225" s="1"/>
      <c r="H3225" s="1"/>
      <c r="I3225" s="1"/>
      <c r="J3225" s="1"/>
      <c r="K3225" s="1"/>
      <c r="L3225" s="1"/>
      <c r="M3225" s="1"/>
      <c r="N3225" s="1"/>
    </row>
    <row r="3226" ht="14.5" spans="2:14">
      <c r="B3226" s="1"/>
      <c r="C3226" s="1"/>
      <c r="D3226" s="1"/>
      <c r="E3226" s="1"/>
      <c r="F3226" s="1"/>
      <c r="G3226" s="1"/>
      <c r="H3226" s="1"/>
      <c r="I3226" s="1"/>
      <c r="J3226" s="1"/>
      <c r="K3226" s="1"/>
      <c r="L3226" s="1"/>
      <c r="M3226" s="1"/>
      <c r="N3226" s="1"/>
    </row>
    <row r="3227" ht="14.5" spans="2:14">
      <c r="B3227" s="1"/>
      <c r="C3227" s="1"/>
      <c r="D3227" s="1"/>
      <c r="E3227" s="1"/>
      <c r="F3227" s="1"/>
      <c r="G3227" s="1"/>
      <c r="H3227" s="1"/>
      <c r="I3227" s="1"/>
      <c r="J3227" s="1"/>
      <c r="K3227" s="1"/>
      <c r="L3227" s="1"/>
      <c r="M3227" s="1"/>
      <c r="N3227" s="1"/>
    </row>
    <row r="3228" ht="14.5" spans="2:14">
      <c r="B3228" s="1"/>
      <c r="C3228" s="1"/>
      <c r="D3228" s="1"/>
      <c r="E3228" s="1"/>
      <c r="F3228" s="1"/>
      <c r="G3228" s="1"/>
      <c r="H3228" s="1"/>
      <c r="I3228" s="1"/>
      <c r="J3228" s="1"/>
      <c r="K3228" s="1"/>
      <c r="L3228" s="1"/>
      <c r="M3228" s="1"/>
      <c r="N3228" s="1"/>
    </row>
    <row r="3229" ht="14.5" spans="2:14">
      <c r="B3229" s="1"/>
      <c r="C3229" s="1"/>
      <c r="D3229" s="1"/>
      <c r="E3229" s="1"/>
      <c r="F3229" s="1"/>
      <c r="G3229" s="1"/>
      <c r="H3229" s="1"/>
      <c r="I3229" s="1"/>
      <c r="J3229" s="1"/>
      <c r="K3229" s="1"/>
      <c r="L3229" s="1"/>
      <c r="M3229" s="1"/>
      <c r="N3229" s="1"/>
    </row>
    <row r="3230" ht="14.5" spans="2:14">
      <c r="B3230" s="1"/>
      <c r="C3230" s="1"/>
      <c r="D3230" s="1"/>
      <c r="E3230" s="1"/>
      <c r="F3230" s="1"/>
      <c r="G3230" s="1"/>
      <c r="H3230" s="1"/>
      <c r="I3230" s="1"/>
      <c r="J3230" s="1"/>
      <c r="K3230" s="1"/>
      <c r="L3230" s="1"/>
      <c r="M3230" s="1"/>
      <c r="N3230" s="1"/>
    </row>
    <row r="3231" ht="14.5" spans="2:14">
      <c r="B3231" s="1"/>
      <c r="C3231" s="1"/>
      <c r="D3231" s="1"/>
      <c r="E3231" s="1"/>
      <c r="F3231" s="1"/>
      <c r="G3231" s="1"/>
      <c r="H3231" s="1"/>
      <c r="I3231" s="1"/>
      <c r="J3231" s="1"/>
      <c r="K3231" s="1"/>
      <c r="L3231" s="1"/>
      <c r="M3231" s="1"/>
      <c r="N3231" s="1"/>
    </row>
    <row r="3232" ht="14.5" spans="2:14">
      <c r="B3232" s="1"/>
      <c r="C3232" s="1"/>
      <c r="D3232" s="1"/>
      <c r="E3232" s="1"/>
      <c r="F3232" s="1"/>
      <c r="G3232" s="1"/>
      <c r="H3232" s="1"/>
      <c r="I3232" s="1"/>
      <c r="J3232" s="1"/>
      <c r="K3232" s="1"/>
      <c r="L3232" s="1"/>
      <c r="M3232" s="1"/>
      <c r="N3232" s="1"/>
    </row>
    <row r="3233" ht="14.5" spans="2:14">
      <c r="B3233" s="1"/>
      <c r="C3233" s="1"/>
      <c r="D3233" s="1"/>
      <c r="E3233" s="1"/>
      <c r="F3233" s="1"/>
      <c r="G3233" s="1"/>
      <c r="H3233" s="1"/>
      <c r="I3233" s="1"/>
      <c r="J3233" s="1"/>
      <c r="K3233" s="1"/>
      <c r="L3233" s="1"/>
      <c r="M3233" s="1"/>
      <c r="N3233" s="1"/>
    </row>
    <row r="3234" ht="14.5" spans="2:14">
      <c r="B3234" s="1"/>
      <c r="C3234" s="1"/>
      <c r="D3234" s="1"/>
      <c r="E3234" s="1"/>
      <c r="F3234" s="1"/>
      <c r="G3234" s="1"/>
      <c r="H3234" s="1"/>
      <c r="I3234" s="1"/>
      <c r="J3234" s="1"/>
      <c r="K3234" s="1"/>
      <c r="L3234" s="1"/>
      <c r="M3234" s="1"/>
      <c r="N3234" s="1"/>
    </row>
    <row r="3235" ht="14.5" spans="2:14">
      <c r="B3235" s="1"/>
      <c r="C3235" s="1"/>
      <c r="D3235" s="1"/>
      <c r="E3235" s="1"/>
      <c r="F3235" s="1"/>
      <c r="G3235" s="1"/>
      <c r="H3235" s="1"/>
      <c r="I3235" s="1"/>
      <c r="J3235" s="1"/>
      <c r="K3235" s="1"/>
      <c r="L3235" s="1"/>
      <c r="M3235" s="1"/>
      <c r="N3235" s="1"/>
    </row>
    <row r="3236" ht="14.5" spans="2:14">
      <c r="B3236" s="1"/>
      <c r="C3236" s="1"/>
      <c r="D3236" s="1"/>
      <c r="E3236" s="1"/>
      <c r="F3236" s="1"/>
      <c r="G3236" s="1"/>
      <c r="H3236" s="1"/>
      <c r="I3236" s="1"/>
      <c r="J3236" s="1"/>
      <c r="K3236" s="1"/>
      <c r="L3236" s="1"/>
      <c r="M3236" s="1"/>
      <c r="N3236" s="1"/>
    </row>
    <row r="3237" ht="14.5" spans="2:14">
      <c r="B3237" s="1"/>
      <c r="C3237" s="1"/>
      <c r="D3237" s="1"/>
      <c r="E3237" s="1"/>
      <c r="F3237" s="1"/>
      <c r="G3237" s="1"/>
      <c r="H3237" s="1"/>
      <c r="I3237" s="1"/>
      <c r="J3237" s="1"/>
      <c r="K3237" s="1"/>
      <c r="L3237" s="1"/>
      <c r="M3237" s="1"/>
      <c r="N3237" s="1"/>
    </row>
    <row r="3238" ht="14.5" spans="2:14">
      <c r="B3238" s="1"/>
      <c r="C3238" s="1"/>
      <c r="D3238" s="1"/>
      <c r="E3238" s="1"/>
      <c r="F3238" s="1"/>
      <c r="G3238" s="1"/>
      <c r="H3238" s="1"/>
      <c r="I3238" s="1"/>
      <c r="J3238" s="1"/>
      <c r="K3238" s="1"/>
      <c r="L3238" s="1"/>
      <c r="M3238" s="1"/>
      <c r="N3238" s="1"/>
    </row>
    <row r="3239" ht="14.5" spans="2:14">
      <c r="B3239" s="1"/>
      <c r="C3239" s="1"/>
      <c r="D3239" s="1"/>
      <c r="E3239" s="1"/>
      <c r="F3239" s="1"/>
      <c r="G3239" s="1"/>
      <c r="H3239" s="1"/>
      <c r="I3239" s="1"/>
      <c r="J3239" s="1"/>
      <c r="K3239" s="1"/>
      <c r="L3239" s="1"/>
      <c r="M3239" s="1"/>
      <c r="N3239" s="1"/>
    </row>
    <row r="3240" ht="14.5" spans="2:14">
      <c r="B3240" s="1"/>
      <c r="C3240" s="1"/>
      <c r="D3240" s="1"/>
      <c r="E3240" s="1"/>
      <c r="F3240" s="1"/>
      <c r="G3240" s="1"/>
      <c r="H3240" s="1"/>
      <c r="I3240" s="1"/>
      <c r="J3240" s="1"/>
      <c r="K3240" s="1"/>
      <c r="L3240" s="1"/>
      <c r="M3240" s="1"/>
      <c r="N3240" s="1"/>
    </row>
    <row r="3241" ht="14.5" spans="2:14">
      <c r="B3241" s="1"/>
      <c r="C3241" s="1"/>
      <c r="D3241" s="1"/>
      <c r="E3241" s="1"/>
      <c r="F3241" s="1"/>
      <c r="G3241" s="1"/>
      <c r="H3241" s="1"/>
      <c r="I3241" s="1"/>
      <c r="J3241" s="1"/>
      <c r="K3241" s="1"/>
      <c r="L3241" s="1"/>
      <c r="M3241" s="1"/>
      <c r="N3241" s="1"/>
    </row>
    <row r="3242" ht="14.5" spans="2:14">
      <c r="B3242" s="1"/>
      <c r="C3242" s="1"/>
      <c r="D3242" s="1"/>
      <c r="E3242" s="1"/>
      <c r="F3242" s="1"/>
      <c r="G3242" s="1"/>
      <c r="H3242" s="1"/>
      <c r="I3242" s="1"/>
      <c r="J3242" s="1"/>
      <c r="K3242" s="1"/>
      <c r="L3242" s="1"/>
      <c r="M3242" s="1"/>
      <c r="N3242" s="1"/>
    </row>
    <row r="3243" ht="14.5" spans="2:14">
      <c r="B3243" s="1"/>
      <c r="C3243" s="1"/>
      <c r="D3243" s="1"/>
      <c r="E3243" s="1"/>
      <c r="F3243" s="1"/>
      <c r="G3243" s="1"/>
      <c r="H3243" s="1"/>
      <c r="I3243" s="1"/>
      <c r="J3243" s="1"/>
      <c r="K3243" s="1"/>
      <c r="L3243" s="1"/>
      <c r="M3243" s="1"/>
      <c r="N3243" s="1"/>
    </row>
    <row r="3244" ht="14.5" spans="2:14">
      <c r="B3244" s="1"/>
      <c r="C3244" s="1"/>
      <c r="D3244" s="1"/>
      <c r="E3244" s="1"/>
      <c r="F3244" s="1"/>
      <c r="G3244" s="1"/>
      <c r="H3244" s="1"/>
      <c r="I3244" s="1"/>
      <c r="J3244" s="1"/>
      <c r="K3244" s="1"/>
      <c r="L3244" s="1"/>
      <c r="M3244" s="1"/>
      <c r="N3244" s="1"/>
    </row>
    <row r="3245" ht="14.5" spans="2:14">
      <c r="B3245" s="1"/>
      <c r="C3245" s="1"/>
      <c r="D3245" s="1"/>
      <c r="E3245" s="1"/>
      <c r="F3245" s="1"/>
      <c r="G3245" s="1"/>
      <c r="H3245" s="1"/>
      <c r="I3245" s="1"/>
      <c r="J3245" s="1"/>
      <c r="K3245" s="1"/>
      <c r="L3245" s="1"/>
      <c r="M3245" s="1"/>
      <c r="N3245" s="1"/>
    </row>
    <row r="3246" ht="14.5" spans="2:14">
      <c r="B3246" s="1"/>
      <c r="C3246" s="1"/>
      <c r="D3246" s="1"/>
      <c r="E3246" s="1"/>
      <c r="F3246" s="1"/>
      <c r="G3246" s="1"/>
      <c r="H3246" s="1"/>
      <c r="I3246" s="1"/>
      <c r="J3246" s="1"/>
      <c r="K3246" s="1"/>
      <c r="L3246" s="1"/>
      <c r="M3246" s="1"/>
      <c r="N3246" s="1"/>
    </row>
    <row r="3247" ht="14.5" spans="2:14">
      <c r="B3247" s="1"/>
      <c r="C3247" s="1"/>
      <c r="D3247" s="1"/>
      <c r="E3247" s="1"/>
      <c r="F3247" s="1"/>
      <c r="G3247" s="1"/>
      <c r="H3247" s="1"/>
      <c r="I3247" s="1"/>
      <c r="J3247" s="1"/>
      <c r="K3247" s="1"/>
      <c r="L3247" s="1"/>
      <c r="M3247" s="1"/>
      <c r="N3247" s="1"/>
    </row>
    <row r="3248" ht="14.5" spans="2:14">
      <c r="B3248" s="1"/>
      <c r="C3248" s="1"/>
      <c r="D3248" s="1"/>
      <c r="E3248" s="1"/>
      <c r="F3248" s="1"/>
      <c r="G3248" s="1"/>
      <c r="H3248" s="1"/>
      <c r="I3248" s="1"/>
      <c r="J3248" s="1"/>
      <c r="K3248" s="1"/>
      <c r="L3248" s="1"/>
      <c r="M3248" s="1"/>
      <c r="N3248" s="1"/>
    </row>
    <row r="3249" ht="14.5" spans="2:14">
      <c r="B3249" s="1"/>
      <c r="C3249" s="1"/>
      <c r="D3249" s="1"/>
      <c r="E3249" s="1"/>
      <c r="F3249" s="1"/>
      <c r="G3249" s="1"/>
      <c r="H3249" s="1"/>
      <c r="I3249" s="1"/>
      <c r="J3249" s="1"/>
      <c r="K3249" s="1"/>
      <c r="L3249" s="1"/>
      <c r="M3249" s="1"/>
      <c r="N3249" s="1"/>
    </row>
    <row r="3250" ht="14.5" spans="2:14">
      <c r="B3250" s="1"/>
      <c r="C3250" s="1"/>
      <c r="D3250" s="1"/>
      <c r="E3250" s="1"/>
      <c r="F3250" s="1"/>
      <c r="G3250" s="1"/>
      <c r="H3250" s="1"/>
      <c r="I3250" s="1"/>
      <c r="J3250" s="1"/>
      <c r="K3250" s="1"/>
      <c r="L3250" s="1"/>
      <c r="M3250" s="1"/>
      <c r="N3250" s="1"/>
    </row>
    <row r="3251" ht="14.5" spans="2:14">
      <c r="B3251" s="1"/>
      <c r="C3251" s="1"/>
      <c r="D3251" s="1"/>
      <c r="E3251" s="1"/>
      <c r="F3251" s="1"/>
      <c r="G3251" s="1"/>
      <c r="H3251" s="1"/>
      <c r="I3251" s="1"/>
      <c r="J3251" s="1"/>
      <c r="K3251" s="1"/>
      <c r="L3251" s="1"/>
      <c r="M3251" s="1"/>
      <c r="N3251" s="1"/>
    </row>
    <row r="3252" ht="14.5" spans="2:14">
      <c r="B3252" s="1"/>
      <c r="C3252" s="1"/>
      <c r="D3252" s="1"/>
      <c r="E3252" s="1"/>
      <c r="F3252" s="1"/>
      <c r="G3252" s="1"/>
      <c r="H3252" s="1"/>
      <c r="I3252" s="1"/>
      <c r="J3252" s="1"/>
      <c r="K3252" s="1"/>
      <c r="L3252" s="1"/>
      <c r="M3252" s="1"/>
      <c r="N3252" s="1"/>
    </row>
    <row r="3253" ht="14.5" spans="2:14">
      <c r="B3253" s="1"/>
      <c r="C3253" s="1"/>
      <c r="D3253" s="1"/>
      <c r="E3253" s="1"/>
      <c r="F3253" s="1"/>
      <c r="G3253" s="1"/>
      <c r="H3253" s="1"/>
      <c r="I3253" s="1"/>
      <c r="J3253" s="1"/>
      <c r="K3253" s="1"/>
      <c r="L3253" s="1"/>
      <c r="M3253" s="1"/>
      <c r="N3253" s="1"/>
    </row>
    <row r="3254" ht="14.5" spans="2:14">
      <c r="B3254" s="1"/>
      <c r="C3254" s="1"/>
      <c r="D3254" s="1"/>
      <c r="E3254" s="1"/>
      <c r="F3254" s="1"/>
      <c r="G3254" s="1"/>
      <c r="H3254" s="1"/>
      <c r="I3254" s="1"/>
      <c r="J3254" s="1"/>
      <c r="K3254" s="1"/>
      <c r="L3254" s="1"/>
      <c r="M3254" s="1"/>
      <c r="N3254" s="1"/>
    </row>
    <row r="3255" ht="14.5" spans="2:14">
      <c r="B3255" s="1"/>
      <c r="C3255" s="1"/>
      <c r="D3255" s="1"/>
      <c r="E3255" s="1"/>
      <c r="F3255" s="1"/>
      <c r="G3255" s="1"/>
      <c r="H3255" s="1"/>
      <c r="I3255" s="1"/>
      <c r="J3255" s="1"/>
      <c r="K3255" s="1"/>
      <c r="L3255" s="1"/>
      <c r="M3255" s="1"/>
      <c r="N3255" s="1"/>
    </row>
    <row r="3256" ht="14.5" spans="2:14">
      <c r="B3256" s="1"/>
      <c r="C3256" s="1"/>
      <c r="D3256" s="1"/>
      <c r="E3256" s="1"/>
      <c r="F3256" s="1"/>
      <c r="G3256" s="1"/>
      <c r="H3256" s="1"/>
      <c r="I3256" s="1"/>
      <c r="J3256" s="1"/>
      <c r="K3256" s="1"/>
      <c r="L3256" s="1"/>
      <c r="M3256" s="1"/>
      <c r="N3256" s="1"/>
    </row>
    <row r="3257" ht="14.5" spans="2:14">
      <c r="B3257" s="1"/>
      <c r="C3257" s="1"/>
      <c r="D3257" s="1"/>
      <c r="E3257" s="1"/>
      <c r="F3257" s="1"/>
      <c r="G3257" s="1"/>
      <c r="H3257" s="1"/>
      <c r="I3257" s="1"/>
      <c r="J3257" s="1"/>
      <c r="K3257" s="1"/>
      <c r="L3257" s="1"/>
      <c r="M3257" s="1"/>
      <c r="N3257" s="1"/>
    </row>
    <row r="3258" ht="14.5" spans="2:14">
      <c r="B3258" s="1"/>
      <c r="C3258" s="1"/>
      <c r="D3258" s="1"/>
      <c r="E3258" s="1"/>
      <c r="F3258" s="1"/>
      <c r="G3258" s="1"/>
      <c r="H3258" s="1"/>
      <c r="I3258" s="1"/>
      <c r="J3258" s="1"/>
      <c r="K3258" s="1"/>
      <c r="L3258" s="1"/>
      <c r="M3258" s="1"/>
      <c r="N3258" s="1"/>
    </row>
    <row r="3259" ht="14.5" spans="2:14">
      <c r="B3259" s="1"/>
      <c r="C3259" s="1"/>
      <c r="D3259" s="1"/>
      <c r="E3259" s="1"/>
      <c r="F3259" s="1"/>
      <c r="G3259" s="1"/>
      <c r="H3259" s="1"/>
      <c r="I3259" s="1"/>
      <c r="J3259" s="1"/>
      <c r="K3259" s="1"/>
      <c r="L3259" s="1"/>
      <c r="M3259" s="1"/>
      <c r="N3259" s="1"/>
    </row>
    <row r="3260" ht="14.5" spans="2:14">
      <c r="B3260" s="1"/>
      <c r="C3260" s="1"/>
      <c r="D3260" s="1"/>
      <c r="E3260" s="1"/>
      <c r="F3260" s="1"/>
      <c r="G3260" s="1"/>
      <c r="H3260" s="1"/>
      <c r="I3260" s="1"/>
      <c r="J3260" s="1"/>
      <c r="K3260" s="1"/>
      <c r="L3260" s="1"/>
      <c r="M3260" s="1"/>
      <c r="N3260" s="1"/>
    </row>
    <row r="3261" ht="14.5" spans="2:14">
      <c r="B3261" s="1"/>
      <c r="C3261" s="1"/>
      <c r="D3261" s="1"/>
      <c r="E3261" s="1"/>
      <c r="F3261" s="1"/>
      <c r="G3261" s="1"/>
      <c r="H3261" s="1"/>
      <c r="I3261" s="1"/>
      <c r="J3261" s="1"/>
      <c r="K3261" s="1"/>
      <c r="L3261" s="1"/>
      <c r="M3261" s="1"/>
      <c r="N3261" s="1"/>
    </row>
    <row r="3262" ht="14.5" spans="2:14">
      <c r="B3262" s="1"/>
      <c r="C3262" s="1"/>
      <c r="D3262" s="1"/>
      <c r="E3262" s="1"/>
      <c r="F3262" s="1"/>
      <c r="G3262" s="1"/>
      <c r="H3262" s="1"/>
      <c r="I3262" s="1"/>
      <c r="J3262" s="1"/>
      <c r="K3262" s="1"/>
      <c r="L3262" s="1"/>
      <c r="M3262" s="1"/>
      <c r="N3262" s="1"/>
    </row>
    <row r="3263" ht="14.5" spans="2:14">
      <c r="B3263" s="1"/>
      <c r="C3263" s="1"/>
      <c r="D3263" s="1"/>
      <c r="E3263" s="1"/>
      <c r="F3263" s="1"/>
      <c r="G3263" s="1"/>
      <c r="H3263" s="1"/>
      <c r="I3263" s="1"/>
      <c r="J3263" s="1"/>
      <c r="K3263" s="1"/>
      <c r="L3263" s="1"/>
      <c r="M3263" s="1"/>
      <c r="N3263" s="1"/>
    </row>
    <row r="3264" ht="14.5" spans="2:14">
      <c r="B3264" s="1"/>
      <c r="C3264" s="1"/>
      <c r="D3264" s="1"/>
      <c r="E3264" s="1"/>
      <c r="F3264" s="1"/>
      <c r="G3264" s="1"/>
      <c r="H3264" s="1"/>
      <c r="I3264" s="1"/>
      <c r="J3264" s="1"/>
      <c r="K3264" s="1"/>
      <c r="L3264" s="1"/>
      <c r="M3264" s="1"/>
      <c r="N3264" s="1"/>
    </row>
    <row r="3265" ht="14.5" spans="2:14">
      <c r="B3265" s="1"/>
      <c r="C3265" s="1"/>
      <c r="D3265" s="1"/>
      <c r="E3265" s="1"/>
      <c r="F3265" s="1"/>
      <c r="G3265" s="1"/>
      <c r="H3265" s="1"/>
      <c r="I3265" s="1"/>
      <c r="J3265" s="1"/>
      <c r="K3265" s="1"/>
      <c r="L3265" s="1"/>
      <c r="M3265" s="1"/>
      <c r="N3265" s="1"/>
    </row>
    <row r="3266" ht="14.5" spans="2:14">
      <c r="B3266" s="1"/>
      <c r="C3266" s="1"/>
      <c r="D3266" s="1"/>
      <c r="E3266" s="1"/>
      <c r="F3266" s="1"/>
      <c r="G3266" s="1"/>
      <c r="H3266" s="1"/>
      <c r="I3266" s="1"/>
      <c r="J3266" s="1"/>
      <c r="K3266" s="1"/>
      <c r="L3266" s="1"/>
      <c r="M3266" s="1"/>
      <c r="N3266" s="1"/>
    </row>
    <row r="3267" ht="14.5" spans="2:14">
      <c r="B3267" s="1"/>
      <c r="C3267" s="1"/>
      <c r="D3267" s="1"/>
      <c r="E3267" s="1"/>
      <c r="F3267" s="1"/>
      <c r="G3267" s="1"/>
      <c r="H3267" s="1"/>
      <c r="I3267" s="1"/>
      <c r="J3267" s="1"/>
      <c r="K3267" s="1"/>
      <c r="L3267" s="1"/>
      <c r="M3267" s="1"/>
      <c r="N3267" s="1"/>
    </row>
    <row r="3268" ht="14.5" spans="2:14">
      <c r="B3268" s="1"/>
      <c r="C3268" s="1"/>
      <c r="D3268" s="1"/>
      <c r="E3268" s="1"/>
      <c r="F3268" s="1"/>
      <c r="G3268" s="1"/>
      <c r="H3268" s="1"/>
      <c r="I3268" s="1"/>
      <c r="J3268" s="1"/>
      <c r="K3268" s="1"/>
      <c r="L3268" s="1"/>
      <c r="M3268" s="1"/>
      <c r="N3268" s="1"/>
    </row>
    <row r="3269" ht="14.5" spans="2:14">
      <c r="B3269" s="1"/>
      <c r="C3269" s="1"/>
      <c r="D3269" s="1"/>
      <c r="E3269" s="1"/>
      <c r="F3269" s="1"/>
      <c r="G3269" s="1"/>
      <c r="H3269" s="1"/>
      <c r="I3269" s="1"/>
      <c r="J3269" s="1"/>
      <c r="K3269" s="1"/>
      <c r="L3269" s="1"/>
      <c r="M3269" s="1"/>
      <c r="N3269" s="1"/>
    </row>
    <row r="3270" ht="14.5" spans="2:14">
      <c r="B3270" s="1"/>
      <c r="C3270" s="1"/>
      <c r="D3270" s="1"/>
      <c r="E3270" s="1"/>
      <c r="F3270" s="1"/>
      <c r="G3270" s="1"/>
      <c r="H3270" s="1"/>
      <c r="I3270" s="1"/>
      <c r="J3270" s="1"/>
      <c r="K3270" s="1"/>
      <c r="L3270" s="1"/>
      <c r="M3270" s="1"/>
      <c r="N3270" s="1"/>
    </row>
    <row r="3271" ht="14.5" spans="2:14">
      <c r="B3271" s="1"/>
      <c r="C3271" s="1"/>
      <c r="D3271" s="1"/>
      <c r="E3271" s="1"/>
      <c r="F3271" s="1"/>
      <c r="G3271" s="1"/>
      <c r="H3271" s="1"/>
      <c r="I3271" s="1"/>
      <c r="J3271" s="1"/>
      <c r="K3271" s="1"/>
      <c r="L3271" s="1"/>
      <c r="M3271" s="1"/>
      <c r="N3271" s="1"/>
    </row>
    <row r="3272" ht="14.5" spans="2:14">
      <c r="B3272" s="1"/>
      <c r="C3272" s="1"/>
      <c r="D3272" s="1"/>
      <c r="E3272" s="1"/>
      <c r="F3272" s="1"/>
      <c r="G3272" s="1"/>
      <c r="H3272" s="1"/>
      <c r="I3272" s="1"/>
      <c r="J3272" s="1"/>
      <c r="K3272" s="1"/>
      <c r="L3272" s="1"/>
      <c r="M3272" s="1"/>
      <c r="N3272" s="1"/>
    </row>
    <row r="3273" ht="14.5" spans="2:14">
      <c r="B3273" s="1"/>
      <c r="C3273" s="1"/>
      <c r="D3273" s="1"/>
      <c r="E3273" s="1"/>
      <c r="F3273" s="1"/>
      <c r="G3273" s="1"/>
      <c r="H3273" s="1"/>
      <c r="I3273" s="1"/>
      <c r="J3273" s="1"/>
      <c r="K3273" s="1"/>
      <c r="L3273" s="1"/>
      <c r="M3273" s="1"/>
      <c r="N3273" s="1"/>
    </row>
    <row r="3274" ht="14.5" spans="2:14">
      <c r="B3274" s="1"/>
      <c r="C3274" s="1"/>
      <c r="D3274" s="1"/>
      <c r="E3274" s="1"/>
      <c r="F3274" s="1"/>
      <c r="G3274" s="1"/>
      <c r="H3274" s="1"/>
      <c r="I3274" s="1"/>
      <c r="J3274" s="1"/>
      <c r="K3274" s="1"/>
      <c r="L3274" s="1"/>
      <c r="M3274" s="1"/>
      <c r="N3274" s="1"/>
    </row>
    <row r="3275" ht="14.5" spans="2:14">
      <c r="B3275" s="1"/>
      <c r="C3275" s="1"/>
      <c r="D3275" s="1"/>
      <c r="E3275" s="1"/>
      <c r="F3275" s="1"/>
      <c r="G3275" s="1"/>
      <c r="H3275" s="1"/>
      <c r="I3275" s="1"/>
      <c r="J3275" s="1"/>
      <c r="K3275" s="1"/>
      <c r="L3275" s="1"/>
      <c r="M3275" s="1"/>
      <c r="N3275" s="1"/>
    </row>
    <row r="3276" ht="14.5" spans="2:14">
      <c r="B3276" s="1"/>
      <c r="C3276" s="1"/>
      <c r="D3276" s="1"/>
      <c r="E3276" s="1"/>
      <c r="F3276" s="1"/>
      <c r="G3276" s="1"/>
      <c r="H3276" s="1"/>
      <c r="I3276" s="1"/>
      <c r="J3276" s="1"/>
      <c r="K3276" s="1"/>
      <c r="L3276" s="1"/>
      <c r="M3276" s="1"/>
      <c r="N3276" s="1"/>
    </row>
    <row r="3277" ht="14.5" spans="2:14">
      <c r="B3277" s="1"/>
      <c r="C3277" s="1"/>
      <c r="D3277" s="1"/>
      <c r="E3277" s="1"/>
      <c r="F3277" s="1"/>
      <c r="G3277" s="1"/>
      <c r="H3277" s="1"/>
      <c r="I3277" s="1"/>
      <c r="J3277" s="1"/>
      <c r="K3277" s="1"/>
      <c r="L3277" s="1"/>
      <c r="M3277" s="1"/>
      <c r="N3277" s="1"/>
    </row>
    <row r="3278" ht="14.5" spans="2:14">
      <c r="B3278" s="1"/>
      <c r="C3278" s="1"/>
      <c r="D3278" s="1"/>
      <c r="E3278" s="1"/>
      <c r="F3278" s="1"/>
      <c r="G3278" s="1"/>
      <c r="H3278" s="1"/>
      <c r="I3278" s="1"/>
      <c r="J3278" s="1"/>
      <c r="K3278" s="1"/>
      <c r="L3278" s="1"/>
      <c r="M3278" s="1"/>
      <c r="N3278" s="1"/>
    </row>
    <row r="3279" ht="14.5" spans="2:14">
      <c r="B3279" s="1"/>
      <c r="C3279" s="1"/>
      <c r="D3279" s="1"/>
      <c r="E3279" s="1"/>
      <c r="F3279" s="1"/>
      <c r="G3279" s="1"/>
      <c r="H3279" s="1"/>
      <c r="I3279" s="1"/>
      <c r="J3279" s="1"/>
      <c r="K3279" s="1"/>
      <c r="L3279" s="1"/>
      <c r="M3279" s="1"/>
      <c r="N3279" s="1"/>
    </row>
    <row r="3280" ht="14.5" spans="2:14">
      <c r="B3280" s="1"/>
      <c r="C3280" s="1"/>
      <c r="D3280" s="1"/>
      <c r="E3280" s="1"/>
      <c r="F3280" s="1"/>
      <c r="G3280" s="1"/>
      <c r="H3280" s="1"/>
      <c r="I3280" s="1"/>
      <c r="J3280" s="1"/>
      <c r="K3280" s="1"/>
      <c r="L3280" s="1"/>
      <c r="M3280" s="1"/>
      <c r="N3280" s="1"/>
    </row>
    <row r="3281" ht="14.5" spans="2:14">
      <c r="B3281" s="1"/>
      <c r="C3281" s="1"/>
      <c r="D3281" s="1"/>
      <c r="E3281" s="1"/>
      <c r="F3281" s="1"/>
      <c r="G3281" s="1"/>
      <c r="H3281" s="1"/>
      <c r="I3281" s="1"/>
      <c r="J3281" s="1"/>
      <c r="K3281" s="1"/>
      <c r="L3281" s="1"/>
      <c r="M3281" s="1"/>
      <c r="N3281" s="1"/>
    </row>
    <row r="3282" ht="14.5" spans="2:14">
      <c r="B3282" s="1"/>
      <c r="C3282" s="1"/>
      <c r="D3282" s="1"/>
      <c r="E3282" s="1"/>
      <c r="F3282" s="1"/>
      <c r="G3282" s="1"/>
      <c r="H3282" s="1"/>
      <c r="I3282" s="1"/>
      <c r="J3282" s="1"/>
      <c r="K3282" s="1"/>
      <c r="L3282" s="1"/>
      <c r="M3282" s="1"/>
      <c r="N3282" s="1"/>
    </row>
    <row r="3283" ht="14.5" spans="2:14">
      <c r="B3283" s="1"/>
      <c r="C3283" s="1"/>
      <c r="D3283" s="1"/>
      <c r="E3283" s="1"/>
      <c r="F3283" s="1"/>
      <c r="G3283" s="1"/>
      <c r="H3283" s="1"/>
      <c r="I3283" s="1"/>
      <c r="J3283" s="1"/>
      <c r="K3283" s="1"/>
      <c r="L3283" s="1"/>
      <c r="M3283" s="1"/>
      <c r="N3283" s="1"/>
    </row>
    <row r="3284" ht="14.5" spans="2:14">
      <c r="B3284" s="1"/>
      <c r="C3284" s="1"/>
      <c r="D3284" s="1"/>
      <c r="E3284" s="1"/>
      <c r="F3284" s="1"/>
      <c r="G3284" s="1"/>
      <c r="H3284" s="1"/>
      <c r="I3284" s="1"/>
      <c r="J3284" s="1"/>
      <c r="K3284" s="1"/>
      <c r="L3284" s="1"/>
      <c r="M3284" s="1"/>
      <c r="N3284" s="1"/>
    </row>
    <row r="3285" ht="14.5" spans="2:14">
      <c r="B3285" s="1"/>
      <c r="C3285" s="1"/>
      <c r="D3285" s="1"/>
      <c r="E3285" s="1"/>
      <c r="F3285" s="1"/>
      <c r="G3285" s="1"/>
      <c r="H3285" s="1"/>
      <c r="I3285" s="1"/>
      <c r="J3285" s="1"/>
      <c r="K3285" s="1"/>
      <c r="L3285" s="1"/>
      <c r="M3285" s="1"/>
      <c r="N3285" s="1"/>
    </row>
    <row r="3286" ht="14.5" spans="2:14">
      <c r="B3286" s="1"/>
      <c r="C3286" s="1"/>
      <c r="D3286" s="1"/>
      <c r="E3286" s="1"/>
      <c r="F3286" s="1"/>
      <c r="G3286" s="1"/>
      <c r="H3286" s="1"/>
      <c r="I3286" s="1"/>
      <c r="J3286" s="1"/>
      <c r="K3286" s="1"/>
      <c r="L3286" s="1"/>
      <c r="M3286" s="1"/>
      <c r="N3286" s="1"/>
    </row>
    <row r="3287" ht="14.5" spans="2:14">
      <c r="B3287" s="1"/>
      <c r="C3287" s="1"/>
      <c r="D3287" s="1"/>
      <c r="E3287" s="1"/>
      <c r="F3287" s="1"/>
      <c r="G3287" s="1"/>
      <c r="H3287" s="1"/>
      <c r="I3287" s="1"/>
      <c r="J3287" s="1"/>
      <c r="K3287" s="1"/>
      <c r="L3287" s="1"/>
      <c r="M3287" s="1"/>
      <c r="N3287" s="1"/>
    </row>
    <row r="3288" ht="14.5" spans="2:14">
      <c r="B3288" s="1"/>
      <c r="C3288" s="1"/>
      <c r="D3288" s="1"/>
      <c r="E3288" s="1"/>
      <c r="F3288" s="1"/>
      <c r="G3288" s="1"/>
      <c r="H3288" s="1"/>
      <c r="I3288" s="1"/>
      <c r="J3288" s="1"/>
      <c r="K3288" s="1"/>
      <c r="L3288" s="1"/>
      <c r="M3288" s="1"/>
      <c r="N3288" s="1"/>
    </row>
    <row r="3289" ht="14.5" spans="2:14">
      <c r="B3289" s="1"/>
      <c r="C3289" s="1"/>
      <c r="D3289" s="1"/>
      <c r="E3289" s="1"/>
      <c r="F3289" s="1"/>
      <c r="G3289" s="1"/>
      <c r="H3289" s="1"/>
      <c r="I3289" s="1"/>
      <c r="J3289" s="1"/>
      <c r="K3289" s="1"/>
      <c r="L3289" s="1"/>
      <c r="M3289" s="1"/>
      <c r="N3289" s="1"/>
    </row>
    <row r="3290" ht="14.5" spans="2:14">
      <c r="B3290" s="1"/>
      <c r="C3290" s="1"/>
      <c r="D3290" s="1"/>
      <c r="E3290" s="1"/>
      <c r="F3290" s="1"/>
      <c r="G3290" s="1"/>
      <c r="H3290" s="1"/>
      <c r="I3290" s="1"/>
      <c r="J3290" s="1"/>
      <c r="K3290" s="1"/>
      <c r="L3290" s="1"/>
      <c r="M3290" s="1"/>
      <c r="N3290" s="1"/>
    </row>
    <row r="3291" ht="14.5" spans="2:14">
      <c r="B3291" s="1"/>
      <c r="C3291" s="1"/>
      <c r="D3291" s="1"/>
      <c r="E3291" s="1"/>
      <c r="F3291" s="1"/>
      <c r="G3291" s="1"/>
      <c r="H3291" s="1"/>
      <c r="I3291" s="1"/>
      <c r="J3291" s="1"/>
      <c r="K3291" s="1"/>
      <c r="L3291" s="1"/>
      <c r="M3291" s="1"/>
      <c r="N3291" s="1"/>
    </row>
    <row r="3292" ht="14.5" spans="2:14">
      <c r="B3292" s="1"/>
      <c r="C3292" s="1"/>
      <c r="D3292" s="1"/>
      <c r="E3292" s="1"/>
      <c r="F3292" s="1"/>
      <c r="G3292" s="1"/>
      <c r="H3292" s="1"/>
      <c r="I3292" s="1"/>
      <c r="J3292" s="1"/>
      <c r="K3292" s="1"/>
      <c r="L3292" s="1"/>
      <c r="M3292" s="1"/>
      <c r="N3292" s="1"/>
    </row>
    <row r="3293" ht="14.5" spans="2:14">
      <c r="B3293" s="1"/>
      <c r="C3293" s="1"/>
      <c r="D3293" s="1"/>
      <c r="E3293" s="1"/>
      <c r="F3293" s="1"/>
      <c r="G3293" s="1"/>
      <c r="H3293" s="1"/>
      <c r="I3293" s="1"/>
      <c r="J3293" s="1"/>
      <c r="K3293" s="1"/>
      <c r="L3293" s="1"/>
      <c r="M3293" s="1"/>
      <c r="N3293" s="1"/>
    </row>
    <row r="3294" ht="14.5" spans="2:14">
      <c r="B3294" s="1"/>
      <c r="C3294" s="1"/>
      <c r="D3294" s="1"/>
      <c r="E3294" s="1"/>
      <c r="F3294" s="1"/>
      <c r="G3294" s="1"/>
      <c r="H3294" s="1"/>
      <c r="I3294" s="1"/>
      <c r="J3294" s="1"/>
      <c r="K3294" s="1"/>
      <c r="L3294" s="1"/>
      <c r="M3294" s="1"/>
      <c r="N3294" s="1"/>
    </row>
    <row r="3295" ht="14.5" spans="2:14">
      <c r="B3295" s="1"/>
      <c r="C3295" s="1"/>
      <c r="D3295" s="1"/>
      <c r="E3295" s="1"/>
      <c r="F3295" s="1"/>
      <c r="G3295" s="1"/>
      <c r="H3295" s="1"/>
      <c r="I3295" s="1"/>
      <c r="J3295" s="1"/>
      <c r="K3295" s="1"/>
      <c r="L3295" s="1"/>
      <c r="M3295" s="1"/>
      <c r="N3295" s="1"/>
    </row>
    <row r="3296" ht="14.5" spans="2:14">
      <c r="B3296" s="1"/>
      <c r="C3296" s="1"/>
      <c r="D3296" s="1"/>
      <c r="E3296" s="1"/>
      <c r="F3296" s="1"/>
      <c r="G3296" s="1"/>
      <c r="H3296" s="1"/>
      <c r="I3296" s="1"/>
      <c r="J3296" s="1"/>
      <c r="K3296" s="1"/>
      <c r="L3296" s="1"/>
      <c r="M3296" s="1"/>
      <c r="N3296" s="1"/>
    </row>
    <row r="3297" ht="14.5" spans="2:14">
      <c r="B3297" s="1"/>
      <c r="C3297" s="1"/>
      <c r="D3297" s="1"/>
      <c r="E3297" s="1"/>
      <c r="F3297" s="1"/>
      <c r="G3297" s="1"/>
      <c r="H3297" s="1"/>
      <c r="I3297" s="1"/>
      <c r="J3297" s="1"/>
      <c r="K3297" s="1"/>
      <c r="L3297" s="1"/>
      <c r="M3297" s="1"/>
      <c r="N3297" s="1"/>
    </row>
    <row r="3298" ht="14.5" spans="2:14">
      <c r="B3298" s="1"/>
      <c r="C3298" s="1"/>
      <c r="D3298" s="1"/>
      <c r="E3298" s="1"/>
      <c r="F3298" s="1"/>
      <c r="G3298" s="1"/>
      <c r="H3298" s="1"/>
      <c r="I3298" s="1"/>
      <c r="J3298" s="1"/>
      <c r="K3298" s="1"/>
      <c r="L3298" s="1"/>
      <c r="M3298" s="1"/>
      <c r="N3298" s="1"/>
    </row>
    <row r="3299" ht="14.5" spans="2:14">
      <c r="B3299" s="1"/>
      <c r="C3299" s="1"/>
      <c r="D3299" s="1"/>
      <c r="E3299" s="1"/>
      <c r="F3299" s="1"/>
      <c r="G3299" s="1"/>
      <c r="H3299" s="1"/>
      <c r="I3299" s="1"/>
      <c r="J3299" s="1"/>
      <c r="K3299" s="1"/>
      <c r="L3299" s="1"/>
      <c r="M3299" s="1"/>
      <c r="N3299" s="1"/>
    </row>
    <row r="3300" ht="14.5" spans="2:14">
      <c r="B3300" s="1"/>
      <c r="C3300" s="1"/>
      <c r="D3300" s="1"/>
      <c r="E3300" s="1"/>
      <c r="F3300" s="1"/>
      <c r="G3300" s="1"/>
      <c r="H3300" s="1"/>
      <c r="I3300" s="1"/>
      <c r="J3300" s="1"/>
      <c r="K3300" s="1"/>
      <c r="L3300" s="1"/>
      <c r="M3300" s="1"/>
      <c r="N3300" s="1"/>
    </row>
    <row r="3301" ht="14.5" spans="2:14">
      <c r="B3301" s="1"/>
      <c r="C3301" s="1"/>
      <c r="D3301" s="1"/>
      <c r="E3301" s="1"/>
      <c r="F3301" s="1"/>
      <c r="G3301" s="1"/>
      <c r="H3301" s="1"/>
      <c r="I3301" s="1"/>
      <c r="J3301" s="1"/>
      <c r="K3301" s="1"/>
      <c r="L3301" s="1"/>
      <c r="M3301" s="1"/>
      <c r="N3301" s="1"/>
    </row>
    <row r="3302" ht="14.5" spans="2:14">
      <c r="B3302" s="1"/>
      <c r="C3302" s="1"/>
      <c r="D3302" s="1"/>
      <c r="E3302" s="1"/>
      <c r="F3302" s="1"/>
      <c r="G3302" s="1"/>
      <c r="H3302" s="1"/>
      <c r="I3302" s="1"/>
      <c r="J3302" s="1"/>
      <c r="K3302" s="1"/>
      <c r="L3302" s="1"/>
      <c r="M3302" s="1"/>
      <c r="N3302" s="1"/>
    </row>
    <row r="3303" ht="14.5" spans="2:14">
      <c r="B3303" s="1"/>
      <c r="C3303" s="1"/>
      <c r="D3303" s="1"/>
      <c r="E3303" s="1"/>
      <c r="F3303" s="1"/>
      <c r="G3303" s="1"/>
      <c r="H3303" s="1"/>
      <c r="I3303" s="1"/>
      <c r="J3303" s="1"/>
      <c r="K3303" s="1"/>
      <c r="L3303" s="1"/>
      <c r="M3303" s="1"/>
      <c r="N3303" s="1"/>
    </row>
    <row r="3304" ht="14.5" spans="2:14">
      <c r="B3304" s="1"/>
      <c r="C3304" s="1"/>
      <c r="D3304" s="1"/>
      <c r="E3304" s="1"/>
      <c r="F3304" s="1"/>
      <c r="G3304" s="1"/>
      <c r="H3304" s="1"/>
      <c r="I3304" s="1"/>
      <c r="J3304" s="1"/>
      <c r="K3304" s="1"/>
      <c r="L3304" s="1"/>
      <c r="M3304" s="1"/>
      <c r="N3304" s="1"/>
    </row>
    <row r="3305" ht="14.5" spans="2:14">
      <c r="B3305" s="1"/>
      <c r="C3305" s="1"/>
      <c r="D3305" s="1"/>
      <c r="E3305" s="1"/>
      <c r="F3305" s="1"/>
      <c r="G3305" s="1"/>
      <c r="H3305" s="1"/>
      <c r="I3305" s="1"/>
      <c r="J3305" s="1"/>
      <c r="K3305" s="1"/>
      <c r="L3305" s="1"/>
      <c r="M3305" s="1"/>
      <c r="N3305" s="1"/>
    </row>
    <row r="3306" ht="14.5" spans="2:14">
      <c r="B3306" s="1"/>
      <c r="C3306" s="1"/>
      <c r="D3306" s="1"/>
      <c r="E3306" s="1"/>
      <c r="F3306" s="1"/>
      <c r="G3306" s="1"/>
      <c r="H3306" s="1"/>
      <c r="I3306" s="1"/>
      <c r="J3306" s="1"/>
      <c r="K3306" s="1"/>
      <c r="L3306" s="1"/>
      <c r="M3306" s="1"/>
      <c r="N3306" s="1"/>
    </row>
    <row r="3307" ht="14.5" spans="2:14">
      <c r="B3307" s="1"/>
      <c r="C3307" s="1"/>
      <c r="D3307" s="1"/>
      <c r="E3307" s="1"/>
      <c r="F3307" s="1"/>
      <c r="G3307" s="1"/>
      <c r="H3307" s="1"/>
      <c r="I3307" s="1"/>
      <c r="J3307" s="1"/>
      <c r="K3307" s="1"/>
      <c r="L3307" s="1"/>
      <c r="M3307" s="1"/>
      <c r="N3307" s="1"/>
    </row>
    <row r="3308" ht="14.5" spans="2:14">
      <c r="B3308" s="1"/>
      <c r="C3308" s="1"/>
      <c r="D3308" s="1"/>
      <c r="E3308" s="1"/>
      <c r="F3308" s="1"/>
      <c r="G3308" s="1"/>
      <c r="H3308" s="1"/>
      <c r="I3308" s="1"/>
      <c r="J3308" s="1"/>
      <c r="K3308" s="1"/>
      <c r="L3308" s="1"/>
      <c r="M3308" s="1"/>
      <c r="N3308" s="1"/>
    </row>
    <row r="3309" ht="14.5" spans="2:14">
      <c r="B3309" s="1"/>
      <c r="C3309" s="1"/>
      <c r="D3309" s="1"/>
      <c r="E3309" s="1"/>
      <c r="F3309" s="1"/>
      <c r="G3309" s="1"/>
      <c r="H3309" s="1"/>
      <c r="I3309" s="1"/>
      <c r="J3309" s="1"/>
      <c r="K3309" s="1"/>
      <c r="L3309" s="1"/>
      <c r="M3309" s="1"/>
      <c r="N3309" s="1"/>
    </row>
    <row r="3310" ht="14.5" spans="2:14">
      <c r="B3310" s="1"/>
      <c r="C3310" s="1"/>
      <c r="D3310" s="1"/>
      <c r="E3310" s="1"/>
      <c r="F3310" s="1"/>
      <c r="G3310" s="1"/>
      <c r="H3310" s="1"/>
      <c r="I3310" s="1"/>
      <c r="J3310" s="1"/>
      <c r="K3310" s="1"/>
      <c r="L3310" s="1"/>
      <c r="M3310" s="1"/>
      <c r="N3310" s="1"/>
    </row>
    <row r="3311" ht="14.5" spans="2:14">
      <c r="B3311" s="1"/>
      <c r="C3311" s="1"/>
      <c r="D3311" s="1"/>
      <c r="E3311" s="1"/>
      <c r="F3311" s="1"/>
      <c r="G3311" s="1"/>
      <c r="H3311" s="1"/>
      <c r="I3311" s="1"/>
      <c r="J3311" s="1"/>
      <c r="K3311" s="1"/>
      <c r="L3311" s="1"/>
      <c r="M3311" s="1"/>
      <c r="N3311" s="1"/>
    </row>
    <row r="3312" ht="14.5" spans="2:14">
      <c r="B3312" s="1"/>
      <c r="C3312" s="1"/>
      <c r="D3312" s="1"/>
      <c r="E3312" s="1"/>
      <c r="F3312" s="1"/>
      <c r="G3312" s="1"/>
      <c r="H3312" s="1"/>
      <c r="I3312" s="1"/>
      <c r="J3312" s="1"/>
      <c r="K3312" s="1"/>
      <c r="L3312" s="1"/>
      <c r="M3312" s="1"/>
      <c r="N3312" s="1"/>
    </row>
    <row r="3313" ht="14.5" spans="2:14">
      <c r="B3313" s="1"/>
      <c r="C3313" s="1"/>
      <c r="D3313" s="1"/>
      <c r="E3313" s="1"/>
      <c r="F3313" s="1"/>
      <c r="G3313" s="1"/>
      <c r="H3313" s="1"/>
      <c r="I3313" s="1"/>
      <c r="J3313" s="1"/>
      <c r="K3313" s="1"/>
      <c r="L3313" s="1"/>
      <c r="M3313" s="1"/>
      <c r="N3313" s="1"/>
    </row>
    <row r="3314" ht="14.5" spans="2:14">
      <c r="B3314" s="1"/>
      <c r="C3314" s="1"/>
      <c r="D3314" s="1"/>
      <c r="E3314" s="1"/>
      <c r="F3314" s="1"/>
      <c r="G3314" s="1"/>
      <c r="H3314" s="1"/>
      <c r="I3314" s="1"/>
      <c r="J3314" s="1"/>
      <c r="K3314" s="1"/>
      <c r="L3314" s="1"/>
      <c r="M3314" s="1"/>
      <c r="N3314" s="1"/>
    </row>
    <row r="3315" ht="14.5" spans="2:14">
      <c r="B3315" s="1"/>
      <c r="C3315" s="1"/>
      <c r="D3315" s="1"/>
      <c r="E3315" s="1"/>
      <c r="F3315" s="1"/>
      <c r="G3315" s="1"/>
      <c r="H3315" s="1"/>
      <c r="I3315" s="1"/>
      <c r="J3315" s="1"/>
      <c r="K3315" s="1"/>
      <c r="L3315" s="1"/>
      <c r="M3315" s="1"/>
      <c r="N3315" s="1"/>
    </row>
    <row r="3316" ht="14.5" spans="2:14">
      <c r="B3316" s="1"/>
      <c r="C3316" s="1"/>
      <c r="D3316" s="1"/>
      <c r="E3316" s="1"/>
      <c r="F3316" s="1"/>
      <c r="G3316" s="1"/>
      <c r="H3316" s="1"/>
      <c r="I3316" s="1"/>
      <c r="J3316" s="1"/>
      <c r="K3316" s="1"/>
      <c r="L3316" s="1"/>
      <c r="M3316" s="1"/>
      <c r="N3316" s="1"/>
    </row>
    <row r="3317" ht="14.5" spans="2:14">
      <c r="B3317" s="1"/>
      <c r="C3317" s="1"/>
      <c r="D3317" s="1"/>
      <c r="E3317" s="1"/>
      <c r="F3317" s="1"/>
      <c r="G3317" s="1"/>
      <c r="H3317" s="1"/>
      <c r="I3317" s="1"/>
      <c r="J3317" s="1"/>
      <c r="K3317" s="1"/>
      <c r="L3317" s="1"/>
      <c r="M3317" s="1"/>
      <c r="N3317" s="1"/>
    </row>
    <row r="3318" ht="14.5" spans="2:14">
      <c r="B3318" s="1"/>
      <c r="C3318" s="1"/>
      <c r="D3318" s="1"/>
      <c r="E3318" s="1"/>
      <c r="F3318" s="1"/>
      <c r="G3318" s="1"/>
      <c r="H3318" s="1"/>
      <c r="I3318" s="1"/>
      <c r="J3318" s="1"/>
      <c r="K3318" s="1"/>
      <c r="L3318" s="1"/>
      <c r="M3318" s="1"/>
      <c r="N3318" s="1"/>
    </row>
    <row r="3319" ht="14.5" spans="2:14">
      <c r="B3319" s="1"/>
      <c r="C3319" s="1"/>
      <c r="D3319" s="1"/>
      <c r="E3319" s="1"/>
      <c r="F3319" s="1"/>
      <c r="G3319" s="1"/>
      <c r="H3319" s="1"/>
      <c r="I3319" s="1"/>
      <c r="J3319" s="1"/>
      <c r="K3319" s="1"/>
      <c r="L3319" s="1"/>
      <c r="M3319" s="1"/>
      <c r="N3319" s="1"/>
    </row>
    <row r="3320" ht="14.5" spans="2:14">
      <c r="B3320" s="1"/>
      <c r="C3320" s="1"/>
      <c r="D3320" s="1"/>
      <c r="E3320" s="1"/>
      <c r="F3320" s="1"/>
      <c r="G3320" s="1"/>
      <c r="H3320" s="1"/>
      <c r="I3320" s="1"/>
      <c r="J3320" s="1"/>
      <c r="K3320" s="1"/>
      <c r="L3320" s="1"/>
      <c r="M3320" s="1"/>
      <c r="N3320" s="1"/>
    </row>
    <row r="3321" ht="14.5" spans="2:14">
      <c r="B3321" s="1"/>
      <c r="C3321" s="1"/>
      <c r="D3321" s="1"/>
      <c r="E3321" s="1"/>
      <c r="F3321" s="1"/>
      <c r="G3321" s="1"/>
      <c r="H3321" s="1"/>
      <c r="I3321" s="1"/>
      <c r="J3321" s="1"/>
      <c r="K3321" s="1"/>
      <c r="L3321" s="1"/>
      <c r="M3321" s="1"/>
      <c r="N3321" s="1"/>
    </row>
    <row r="3322" ht="14.5" spans="2:14">
      <c r="B3322" s="1"/>
      <c r="C3322" s="1"/>
      <c r="D3322" s="1"/>
      <c r="E3322" s="1"/>
      <c r="F3322" s="1"/>
      <c r="G3322" s="1"/>
      <c r="H3322" s="1"/>
      <c r="I3322" s="1"/>
      <c r="J3322" s="1"/>
      <c r="K3322" s="1"/>
      <c r="L3322" s="1"/>
      <c r="M3322" s="1"/>
      <c r="N3322" s="1"/>
    </row>
    <row r="3323" ht="14.5" spans="2:14">
      <c r="B3323" s="1"/>
      <c r="C3323" s="1"/>
      <c r="D3323" s="1"/>
      <c r="E3323" s="1"/>
      <c r="F3323" s="1"/>
      <c r="G3323" s="1"/>
      <c r="H3323" s="1"/>
      <c r="I3323" s="1"/>
      <c r="J3323" s="1"/>
      <c r="K3323" s="1"/>
      <c r="L3323" s="1"/>
      <c r="M3323" s="1"/>
      <c r="N3323" s="1"/>
    </row>
    <row r="3324" ht="14.5" spans="2:14">
      <c r="B3324" s="1"/>
      <c r="C3324" s="1"/>
      <c r="D3324" s="1"/>
      <c r="E3324" s="1"/>
      <c r="F3324" s="1"/>
      <c r="G3324" s="1"/>
      <c r="H3324" s="1"/>
      <c r="I3324" s="1"/>
      <c r="J3324" s="1"/>
      <c r="K3324" s="1"/>
      <c r="L3324" s="1"/>
      <c r="M3324" s="1"/>
      <c r="N3324" s="1"/>
    </row>
    <row r="3325" ht="14.5" spans="2:14">
      <c r="B3325" s="1"/>
      <c r="C3325" s="1"/>
      <c r="D3325" s="1"/>
      <c r="E3325" s="1"/>
      <c r="F3325" s="1"/>
      <c r="G3325" s="1"/>
      <c r="H3325" s="1"/>
      <c r="I3325" s="1"/>
      <c r="J3325" s="1"/>
      <c r="K3325" s="1"/>
      <c r="L3325" s="1"/>
      <c r="M3325" s="1"/>
      <c r="N3325" s="1"/>
    </row>
    <row r="3326" ht="14.5" spans="2:14">
      <c r="B3326" s="1"/>
      <c r="C3326" s="1"/>
      <c r="D3326" s="1"/>
      <c r="E3326" s="1"/>
      <c r="F3326" s="1"/>
      <c r="G3326" s="1"/>
      <c r="H3326" s="1"/>
      <c r="I3326" s="1"/>
      <c r="J3326" s="1"/>
      <c r="K3326" s="1"/>
      <c r="L3326" s="1"/>
      <c r="M3326" s="1"/>
      <c r="N3326" s="1"/>
    </row>
    <row r="3327" ht="14.5" spans="2:14">
      <c r="B3327" s="1"/>
      <c r="C3327" s="1"/>
      <c r="D3327" s="1"/>
      <c r="E3327" s="1"/>
      <c r="F3327" s="1"/>
      <c r="G3327" s="1"/>
      <c r="H3327" s="1"/>
      <c r="I3327" s="1"/>
      <c r="J3327" s="1"/>
      <c r="K3327" s="1"/>
      <c r="L3327" s="1"/>
      <c r="M3327" s="1"/>
      <c r="N3327" s="1"/>
    </row>
    <row r="3328" ht="14.5" spans="2:14">
      <c r="B3328" s="1"/>
      <c r="C3328" s="1"/>
      <c r="D3328" s="1"/>
      <c r="E3328" s="1"/>
      <c r="F3328" s="1"/>
      <c r="G3328" s="1"/>
      <c r="H3328" s="1"/>
      <c r="I3328" s="1"/>
      <c r="J3328" s="1"/>
      <c r="K3328" s="1"/>
      <c r="L3328" s="1"/>
      <c r="M3328" s="1"/>
      <c r="N3328" s="1"/>
    </row>
    <row r="3329" ht="14.5" spans="2:14">
      <c r="B3329" s="1"/>
      <c r="C3329" s="1"/>
      <c r="D3329" s="1"/>
      <c r="E3329" s="1"/>
      <c r="F3329" s="1"/>
      <c r="G3329" s="1"/>
      <c r="H3329" s="1"/>
      <c r="I3329" s="1"/>
      <c r="J3329" s="1"/>
      <c r="K3329" s="1"/>
      <c r="L3329" s="1"/>
      <c r="M3329" s="1"/>
      <c r="N3329" s="1"/>
    </row>
    <row r="3330" ht="14.5" spans="2:14">
      <c r="B3330" s="1"/>
      <c r="C3330" s="1"/>
      <c r="D3330" s="1"/>
      <c r="E3330" s="1"/>
      <c r="F3330" s="1"/>
      <c r="G3330" s="1"/>
      <c r="H3330" s="1"/>
      <c r="I3330" s="1"/>
      <c r="J3330" s="1"/>
      <c r="K3330" s="1"/>
      <c r="L3330" s="1"/>
      <c r="M3330" s="1"/>
      <c r="N3330" s="1"/>
    </row>
    <row r="3331" ht="14.5" spans="2:14">
      <c r="B3331" s="1"/>
      <c r="C3331" s="1"/>
      <c r="D3331" s="1"/>
      <c r="E3331" s="1"/>
      <c r="F3331" s="1"/>
      <c r="G3331" s="1"/>
      <c r="H3331" s="1"/>
      <c r="I3331" s="1"/>
      <c r="J3331" s="1"/>
      <c r="K3331" s="1"/>
      <c r="L3331" s="1"/>
      <c r="M3331" s="1"/>
      <c r="N3331" s="1"/>
    </row>
    <row r="3332" ht="14.5" spans="2:14">
      <c r="B3332" s="1"/>
      <c r="C3332" s="1"/>
      <c r="D3332" s="1"/>
      <c r="E3332" s="1"/>
      <c r="F3332" s="1"/>
      <c r="G3332" s="1"/>
      <c r="H3332" s="1"/>
      <c r="I3332" s="1"/>
      <c r="J3332" s="1"/>
      <c r="K3332" s="1"/>
      <c r="L3332" s="1"/>
      <c r="M3332" s="1"/>
      <c r="N3332" s="1"/>
    </row>
    <row r="3333" ht="14.5" spans="2:14">
      <c r="B3333" s="1"/>
      <c r="C3333" s="1"/>
      <c r="D3333" s="1"/>
      <c r="E3333" s="1"/>
      <c r="F3333" s="1"/>
      <c r="G3333" s="1"/>
      <c r="H3333" s="1"/>
      <c r="I3333" s="1"/>
      <c r="J3333" s="1"/>
      <c r="K3333" s="1"/>
      <c r="L3333" s="1"/>
      <c r="M3333" s="1"/>
      <c r="N3333" s="1"/>
    </row>
    <row r="3334" ht="14.5" spans="2:14">
      <c r="B3334" s="1"/>
      <c r="C3334" s="1"/>
      <c r="D3334" s="1"/>
      <c r="E3334" s="1"/>
      <c r="F3334" s="1"/>
      <c r="G3334" s="1"/>
      <c r="H3334" s="1"/>
      <c r="I3334" s="1"/>
      <c r="J3334" s="1"/>
      <c r="K3334" s="1"/>
      <c r="L3334" s="1"/>
      <c r="M3334" s="1"/>
      <c r="N3334" s="1"/>
    </row>
    <row r="3335" ht="14.5" spans="2:14">
      <c r="B3335" s="1"/>
      <c r="C3335" s="1"/>
      <c r="D3335" s="1"/>
      <c r="E3335" s="1"/>
      <c r="F3335" s="1"/>
      <c r="G3335" s="1"/>
      <c r="H3335" s="1"/>
      <c r="I3335" s="1"/>
      <c r="J3335" s="1"/>
      <c r="K3335" s="1"/>
      <c r="L3335" s="1"/>
      <c r="M3335" s="1"/>
      <c r="N3335" s="1"/>
    </row>
    <row r="3336" ht="14.5" spans="2:14">
      <c r="B3336" s="1"/>
      <c r="C3336" s="1"/>
      <c r="D3336" s="1"/>
      <c r="E3336" s="1"/>
      <c r="F3336" s="1"/>
      <c r="G3336" s="1"/>
      <c r="H3336" s="1"/>
      <c r="I3336" s="1"/>
      <c r="J3336" s="1"/>
      <c r="K3336" s="1"/>
      <c r="L3336" s="1"/>
      <c r="M3336" s="1"/>
      <c r="N3336" s="1"/>
    </row>
    <row r="3337" ht="14.5" spans="2:14">
      <c r="B3337" s="1"/>
      <c r="C3337" s="1"/>
      <c r="D3337" s="1"/>
      <c r="E3337" s="1"/>
      <c r="F3337" s="1"/>
      <c r="G3337" s="1"/>
      <c r="H3337" s="1"/>
      <c r="I3337" s="1"/>
      <c r="J3337" s="1"/>
      <c r="K3337" s="1"/>
      <c r="L3337" s="1"/>
      <c r="M3337" s="1"/>
      <c r="N3337" s="1"/>
    </row>
    <row r="3338" ht="14.5" spans="2:14">
      <c r="B3338" s="1"/>
      <c r="C3338" s="1"/>
      <c r="D3338" s="1"/>
      <c r="E3338" s="1"/>
      <c r="F3338" s="1"/>
      <c r="G3338" s="1"/>
      <c r="H3338" s="1"/>
      <c r="I3338" s="1"/>
      <c r="J3338" s="1"/>
      <c r="K3338" s="1"/>
      <c r="L3338" s="1"/>
      <c r="M3338" s="1"/>
      <c r="N3338" s="1"/>
    </row>
    <row r="3339" ht="14.5" spans="2:14">
      <c r="B3339" s="1"/>
      <c r="C3339" s="1"/>
      <c r="D3339" s="1"/>
      <c r="E3339" s="1"/>
      <c r="F3339" s="1"/>
      <c r="G3339" s="1"/>
      <c r="H3339" s="1"/>
      <c r="I3339" s="1"/>
      <c r="J3339" s="1"/>
      <c r="K3339" s="1"/>
      <c r="L3339" s="1"/>
      <c r="M3339" s="1"/>
      <c r="N3339" s="1"/>
    </row>
    <row r="3340" ht="14.5" spans="2:14">
      <c r="B3340" s="1"/>
      <c r="C3340" s="1"/>
      <c r="D3340" s="1"/>
      <c r="E3340" s="1"/>
      <c r="F3340" s="1"/>
      <c r="G3340" s="1"/>
      <c r="H3340" s="1"/>
      <c r="I3340" s="1"/>
      <c r="J3340" s="1"/>
      <c r="K3340" s="1"/>
      <c r="L3340" s="1"/>
      <c r="M3340" s="1"/>
      <c r="N3340" s="1"/>
    </row>
    <row r="3341" ht="14.5" spans="2:14">
      <c r="B3341" s="1"/>
      <c r="C3341" s="1"/>
      <c r="D3341" s="1"/>
      <c r="E3341" s="1"/>
      <c r="F3341" s="1"/>
      <c r="G3341" s="1"/>
      <c r="H3341" s="1"/>
      <c r="I3341" s="1"/>
      <c r="J3341" s="1"/>
      <c r="K3341" s="1"/>
      <c r="L3341" s="1"/>
      <c r="M3341" s="1"/>
      <c r="N3341" s="1"/>
    </row>
    <row r="3342" ht="14.5" spans="2:14">
      <c r="B3342" s="1"/>
      <c r="C3342" s="1"/>
      <c r="D3342" s="1"/>
      <c r="E3342" s="1"/>
      <c r="F3342" s="1"/>
      <c r="G3342" s="1"/>
      <c r="H3342" s="1"/>
      <c r="I3342" s="1"/>
      <c r="J3342" s="1"/>
      <c r="K3342" s="1"/>
      <c r="L3342" s="1"/>
      <c r="M3342" s="1"/>
      <c r="N3342" s="1"/>
    </row>
    <row r="3343" ht="14.5" spans="2:14">
      <c r="B3343" s="1"/>
      <c r="C3343" s="1"/>
      <c r="D3343" s="1"/>
      <c r="E3343" s="1"/>
      <c r="F3343" s="1"/>
      <c r="G3343" s="1"/>
      <c r="H3343" s="1"/>
      <c r="I3343" s="1"/>
      <c r="J3343" s="1"/>
      <c r="K3343" s="1"/>
      <c r="L3343" s="1"/>
      <c r="M3343" s="1"/>
      <c r="N3343" s="1"/>
    </row>
    <row r="3344" ht="14.5" spans="2:14">
      <c r="B3344" s="1"/>
      <c r="C3344" s="1"/>
      <c r="D3344" s="1"/>
      <c r="E3344" s="1"/>
      <c r="F3344" s="1"/>
      <c r="G3344" s="1"/>
      <c r="H3344" s="1"/>
      <c r="I3344" s="1"/>
      <c r="J3344" s="1"/>
      <c r="K3344" s="1"/>
      <c r="L3344" s="1"/>
      <c r="M3344" s="1"/>
      <c r="N3344" s="1"/>
    </row>
    <row r="3345" ht="14.5" spans="2:14">
      <c r="B3345" s="1"/>
      <c r="C3345" s="1"/>
      <c r="D3345" s="1"/>
      <c r="E3345" s="1"/>
      <c r="F3345" s="1"/>
      <c r="G3345" s="1"/>
      <c r="H3345" s="1"/>
      <c r="I3345" s="1"/>
      <c r="J3345" s="1"/>
      <c r="K3345" s="1"/>
      <c r="L3345" s="1"/>
      <c r="M3345" s="1"/>
      <c r="N3345" s="1"/>
    </row>
    <row r="3346" ht="14.5" spans="2:14">
      <c r="B3346" s="1"/>
      <c r="C3346" s="1"/>
      <c r="D3346" s="1"/>
      <c r="E3346" s="1"/>
      <c r="F3346" s="1"/>
      <c r="G3346" s="1"/>
      <c r="H3346" s="1"/>
      <c r="I3346" s="1"/>
      <c r="J3346" s="1"/>
      <c r="K3346" s="1"/>
      <c r="L3346" s="1"/>
      <c r="M3346" s="1"/>
      <c r="N3346" s="1"/>
    </row>
    <row r="3347" ht="14.5" spans="2:14">
      <c r="B3347" s="1"/>
      <c r="C3347" s="1"/>
      <c r="D3347" s="1"/>
      <c r="E3347" s="1"/>
      <c r="F3347" s="1"/>
      <c r="G3347" s="1"/>
      <c r="H3347" s="1"/>
      <c r="I3347" s="1"/>
      <c r="J3347" s="1"/>
      <c r="K3347" s="1"/>
      <c r="L3347" s="1"/>
      <c r="M3347" s="1"/>
      <c r="N3347" s="1"/>
    </row>
    <row r="3348" ht="14.5" spans="2:14">
      <c r="B3348" s="1"/>
      <c r="C3348" s="1"/>
      <c r="D3348" s="1"/>
      <c r="E3348" s="1"/>
      <c r="F3348" s="1"/>
      <c r="G3348" s="1"/>
      <c r="H3348" s="1"/>
      <c r="I3348" s="1"/>
      <c r="J3348" s="1"/>
      <c r="K3348" s="1"/>
      <c r="L3348" s="1"/>
      <c r="M3348" s="1"/>
      <c r="N3348" s="1"/>
    </row>
    <row r="3349" ht="14.5" spans="2:14">
      <c r="B3349" s="1"/>
      <c r="C3349" s="1"/>
      <c r="D3349" s="1"/>
      <c r="E3349" s="1"/>
      <c r="F3349" s="1"/>
      <c r="G3349" s="1"/>
      <c r="H3349" s="1"/>
      <c r="I3349" s="1"/>
      <c r="J3349" s="1"/>
      <c r="K3349" s="1"/>
      <c r="L3349" s="1"/>
      <c r="M3349" s="1"/>
      <c r="N3349" s="1"/>
    </row>
    <row r="3350" ht="14.5" spans="2:14">
      <c r="B3350" s="1"/>
      <c r="C3350" s="1"/>
      <c r="D3350" s="1"/>
      <c r="E3350" s="1"/>
      <c r="F3350" s="1"/>
      <c r="G3350" s="1"/>
      <c r="H3350" s="1"/>
      <c r="I3350" s="1"/>
      <c r="J3350" s="1"/>
      <c r="K3350" s="1"/>
      <c r="L3350" s="1"/>
      <c r="M3350" s="1"/>
      <c r="N3350" s="1"/>
    </row>
    <row r="3351" ht="14.5" spans="2:14">
      <c r="B3351" s="1"/>
      <c r="C3351" s="1"/>
      <c r="D3351" s="1"/>
      <c r="E3351" s="1"/>
      <c r="F3351" s="1"/>
      <c r="G3351" s="1"/>
      <c r="H3351" s="1"/>
      <c r="I3351" s="1"/>
      <c r="J3351" s="1"/>
      <c r="K3351" s="1"/>
      <c r="L3351" s="1"/>
      <c r="M3351" s="1"/>
      <c r="N3351" s="1"/>
    </row>
    <row r="3352" ht="14.5" spans="2:14">
      <c r="B3352" s="1"/>
      <c r="C3352" s="1"/>
      <c r="D3352" s="1"/>
      <c r="E3352" s="1"/>
      <c r="F3352" s="1"/>
      <c r="G3352" s="1"/>
      <c r="H3352" s="1"/>
      <c r="I3352" s="1"/>
      <c r="J3352" s="1"/>
      <c r="K3352" s="1"/>
      <c r="L3352" s="1"/>
      <c r="M3352" s="1"/>
      <c r="N3352" s="1"/>
    </row>
    <row r="3353" ht="14.5" spans="2:14">
      <c r="B3353" s="1"/>
      <c r="C3353" s="1"/>
      <c r="D3353" s="1"/>
      <c r="E3353" s="1"/>
      <c r="F3353" s="1"/>
      <c r="G3353" s="1"/>
      <c r="H3353" s="1"/>
      <c r="I3353" s="1"/>
      <c r="J3353" s="1"/>
      <c r="K3353" s="1"/>
      <c r="L3353" s="1"/>
      <c r="M3353" s="1"/>
      <c r="N3353" s="1"/>
    </row>
    <row r="3354" ht="14.5" spans="2:14">
      <c r="B3354" s="1"/>
      <c r="C3354" s="1"/>
      <c r="D3354" s="1"/>
      <c r="E3354" s="1"/>
      <c r="F3354" s="1"/>
      <c r="G3354" s="1"/>
      <c r="H3354" s="1"/>
      <c r="I3354" s="1"/>
      <c r="J3354" s="1"/>
      <c r="K3354" s="1"/>
      <c r="L3354" s="1"/>
      <c r="M3354" s="1"/>
      <c r="N3354" s="1"/>
    </row>
    <row r="3355" ht="14.5" spans="2:14">
      <c r="B3355" s="1"/>
      <c r="C3355" s="1"/>
      <c r="D3355" s="1"/>
      <c r="E3355" s="1"/>
      <c r="F3355" s="1"/>
      <c r="G3355" s="1"/>
      <c r="H3355" s="1"/>
      <c r="I3355" s="1"/>
      <c r="J3355" s="1"/>
      <c r="K3355" s="1"/>
      <c r="L3355" s="1"/>
      <c r="M3355" s="1"/>
      <c r="N3355" s="1"/>
    </row>
    <row r="3356" ht="14.5" spans="2:14">
      <c r="B3356" s="1"/>
      <c r="C3356" s="1"/>
      <c r="D3356" s="1"/>
      <c r="E3356" s="1"/>
      <c r="F3356" s="1"/>
      <c r="G3356" s="1"/>
      <c r="H3356" s="1"/>
      <c r="I3356" s="1"/>
      <c r="J3356" s="1"/>
      <c r="K3356" s="1"/>
      <c r="L3356" s="1"/>
      <c r="M3356" s="1"/>
      <c r="N3356" s="1"/>
    </row>
    <row r="3357" ht="14.5" spans="2:14">
      <c r="B3357" s="1"/>
      <c r="C3357" s="1"/>
      <c r="D3357" s="1"/>
      <c r="E3357" s="1"/>
      <c r="F3357" s="1"/>
      <c r="G3357" s="1"/>
      <c r="H3357" s="1"/>
      <c r="I3357" s="1"/>
      <c r="J3357" s="1"/>
      <c r="K3357" s="1"/>
      <c r="L3357" s="1"/>
      <c r="M3357" s="1"/>
      <c r="N3357" s="1"/>
    </row>
    <row r="3358" ht="14.5" spans="2:14">
      <c r="B3358" s="1"/>
      <c r="C3358" s="1"/>
      <c r="D3358" s="1"/>
      <c r="E3358" s="1"/>
      <c r="F3358" s="1"/>
      <c r="G3358" s="1"/>
      <c r="H3358" s="1"/>
      <c r="I3358" s="1"/>
      <c r="J3358" s="1"/>
      <c r="K3358" s="1"/>
      <c r="L3358" s="1"/>
      <c r="M3358" s="1"/>
      <c r="N3358" s="1"/>
    </row>
    <row r="3359" ht="14.5" spans="2:14">
      <c r="B3359" s="1"/>
      <c r="C3359" s="1"/>
      <c r="D3359" s="1"/>
      <c r="E3359" s="1"/>
      <c r="F3359" s="1"/>
      <c r="G3359" s="1"/>
      <c r="H3359" s="1"/>
      <c r="I3359" s="1"/>
      <c r="J3359" s="1"/>
      <c r="K3359" s="1"/>
      <c r="L3359" s="1"/>
      <c r="M3359" s="1"/>
      <c r="N3359" s="1"/>
    </row>
    <row r="3360" ht="14.5" spans="2:14">
      <c r="B3360" s="1"/>
      <c r="C3360" s="1"/>
      <c r="D3360" s="1"/>
      <c r="E3360" s="1"/>
      <c r="F3360" s="1"/>
      <c r="G3360" s="1"/>
      <c r="H3360" s="1"/>
      <c r="I3360" s="1"/>
      <c r="J3360" s="1"/>
      <c r="K3360" s="1"/>
      <c r="L3360" s="1"/>
      <c r="M3360" s="1"/>
      <c r="N3360" s="1"/>
    </row>
    <row r="3361" ht="14.5" spans="2:14">
      <c r="B3361" s="1"/>
      <c r="C3361" s="1"/>
      <c r="D3361" s="1"/>
      <c r="E3361" s="1"/>
      <c r="F3361" s="1"/>
      <c r="G3361" s="1"/>
      <c r="H3361" s="1"/>
      <c r="I3361" s="1"/>
      <c r="J3361" s="1"/>
      <c r="K3361" s="1"/>
      <c r="L3361" s="1"/>
      <c r="M3361" s="1"/>
      <c r="N3361" s="1"/>
    </row>
    <row r="3362" ht="14.5" spans="2:14">
      <c r="B3362" s="1"/>
      <c r="C3362" s="1"/>
      <c r="D3362" s="1"/>
      <c r="E3362" s="1"/>
      <c r="F3362" s="1"/>
      <c r="G3362" s="1"/>
      <c r="H3362" s="1"/>
      <c r="I3362" s="1"/>
      <c r="J3362" s="1"/>
      <c r="K3362" s="1"/>
      <c r="L3362" s="1"/>
      <c r="M3362" s="1"/>
      <c r="N3362" s="1"/>
    </row>
    <row r="3363" ht="14.5" spans="2:14">
      <c r="B3363" s="1"/>
      <c r="C3363" s="1"/>
      <c r="D3363" s="1"/>
      <c r="E3363" s="1"/>
      <c r="F3363" s="1"/>
      <c r="G3363" s="1"/>
      <c r="H3363" s="1"/>
      <c r="I3363" s="1"/>
      <c r="J3363" s="1"/>
      <c r="K3363" s="1"/>
      <c r="L3363" s="1"/>
      <c r="M3363" s="1"/>
      <c r="N3363" s="1"/>
    </row>
    <row r="3364" ht="14.5" spans="2:14">
      <c r="B3364" s="1"/>
      <c r="C3364" s="1"/>
      <c r="D3364" s="1"/>
      <c r="E3364" s="1"/>
      <c r="F3364" s="1"/>
      <c r="G3364" s="1"/>
      <c r="H3364" s="1"/>
      <c r="I3364" s="1"/>
      <c r="J3364" s="1"/>
      <c r="K3364" s="1"/>
      <c r="L3364" s="1"/>
      <c r="M3364" s="1"/>
      <c r="N3364" s="1"/>
    </row>
    <row r="3365" ht="14.5" spans="2:14">
      <c r="B3365" s="1"/>
      <c r="C3365" s="1"/>
      <c r="D3365" s="1"/>
      <c r="E3365" s="1"/>
      <c r="F3365" s="1"/>
      <c r="G3365" s="1"/>
      <c r="H3365" s="1"/>
      <c r="I3365" s="1"/>
      <c r="J3365" s="1"/>
      <c r="K3365" s="1"/>
      <c r="L3365" s="1"/>
      <c r="M3365" s="1"/>
      <c r="N3365" s="1"/>
    </row>
    <row r="3366" ht="14.5" spans="2:14">
      <c r="B3366" s="1"/>
      <c r="C3366" s="1"/>
      <c r="D3366" s="1"/>
      <c r="E3366" s="1"/>
      <c r="F3366" s="1"/>
      <c r="G3366" s="1"/>
      <c r="H3366" s="1"/>
      <c r="I3366" s="1"/>
      <c r="J3366" s="1"/>
      <c r="K3366" s="1"/>
      <c r="L3366" s="1"/>
      <c r="M3366" s="1"/>
      <c r="N3366" s="1"/>
    </row>
    <row r="3367" ht="14.5" spans="2:14">
      <c r="B3367" s="1"/>
      <c r="C3367" s="1"/>
      <c r="D3367" s="1"/>
      <c r="E3367" s="1"/>
      <c r="F3367" s="1"/>
      <c r="G3367" s="1"/>
      <c r="H3367" s="1"/>
      <c r="I3367" s="1"/>
      <c r="J3367" s="1"/>
      <c r="K3367" s="1"/>
      <c r="L3367" s="1"/>
      <c r="M3367" s="1"/>
      <c r="N3367" s="1"/>
    </row>
    <row r="3368" ht="14.5" spans="2:14">
      <c r="B3368" s="1"/>
      <c r="C3368" s="1"/>
      <c r="D3368" s="1"/>
      <c r="E3368" s="1"/>
      <c r="F3368" s="1"/>
      <c r="G3368" s="1"/>
      <c r="H3368" s="1"/>
      <c r="I3368" s="1"/>
      <c r="J3368" s="1"/>
      <c r="K3368" s="1"/>
      <c r="L3368" s="1"/>
      <c r="M3368" s="1"/>
      <c r="N3368" s="1"/>
    </row>
    <row r="3369" ht="14.5" spans="2:14">
      <c r="B3369" s="1"/>
      <c r="C3369" s="1"/>
      <c r="D3369" s="1"/>
      <c r="E3369" s="1"/>
      <c r="F3369" s="1"/>
      <c r="G3369" s="1"/>
      <c r="H3369" s="1"/>
      <c r="I3369" s="1"/>
      <c r="J3369" s="1"/>
      <c r="K3369" s="1"/>
      <c r="L3369" s="1"/>
      <c r="M3369" s="1"/>
      <c r="N3369" s="1"/>
    </row>
    <row r="3370" ht="14.5" spans="2:14">
      <c r="B3370" s="1"/>
      <c r="C3370" s="1"/>
      <c r="D3370" s="1"/>
      <c r="E3370" s="1"/>
      <c r="F3370" s="1"/>
      <c r="G3370" s="1"/>
      <c r="H3370" s="1"/>
      <c r="I3370" s="1"/>
      <c r="J3370" s="1"/>
      <c r="K3370" s="1"/>
      <c r="L3370" s="1"/>
      <c r="M3370" s="1"/>
      <c r="N3370" s="1"/>
    </row>
    <row r="3371" ht="14.5" spans="2:14">
      <c r="B3371" s="1"/>
      <c r="C3371" s="1"/>
      <c r="D3371" s="1"/>
      <c r="E3371" s="1"/>
      <c r="F3371" s="1"/>
      <c r="G3371" s="1"/>
      <c r="H3371" s="1"/>
      <c r="I3371" s="1"/>
      <c r="J3371" s="1"/>
      <c r="K3371" s="1"/>
      <c r="L3371" s="1"/>
      <c r="M3371" s="1"/>
      <c r="N3371" s="1"/>
    </row>
    <row r="3372" ht="14.5" spans="2:14">
      <c r="B3372" s="1"/>
      <c r="C3372" s="1"/>
      <c r="D3372" s="1"/>
      <c r="E3372" s="1"/>
      <c r="F3372" s="1"/>
      <c r="G3372" s="1"/>
      <c r="H3372" s="1"/>
      <c r="I3372" s="1"/>
      <c r="J3372" s="1"/>
      <c r="K3372" s="1"/>
      <c r="L3372" s="1"/>
      <c r="M3372" s="1"/>
      <c r="N3372" s="1"/>
    </row>
    <row r="3373" ht="14.5" spans="2:14">
      <c r="B3373" s="1"/>
      <c r="C3373" s="1"/>
      <c r="D3373" s="1"/>
      <c r="E3373" s="1"/>
      <c r="F3373" s="1"/>
      <c r="G3373" s="1"/>
      <c r="H3373" s="1"/>
      <c r="I3373" s="1"/>
      <c r="J3373" s="1"/>
      <c r="K3373" s="1"/>
      <c r="L3373" s="1"/>
      <c r="M3373" s="1"/>
      <c r="N3373" s="1"/>
    </row>
    <row r="3374" ht="14.5" spans="2:14">
      <c r="B3374" s="1"/>
      <c r="C3374" s="1"/>
      <c r="D3374" s="1"/>
      <c r="E3374" s="1"/>
      <c r="F3374" s="1"/>
      <c r="G3374" s="1"/>
      <c r="H3374" s="1"/>
      <c r="I3374" s="1"/>
      <c r="J3374" s="1"/>
      <c r="K3374" s="1"/>
      <c r="L3374" s="1"/>
      <c r="M3374" s="1"/>
      <c r="N3374" s="1"/>
    </row>
    <row r="3375" ht="14.5" spans="2:14">
      <c r="B3375" s="1"/>
      <c r="C3375" s="1"/>
      <c r="D3375" s="1"/>
      <c r="E3375" s="1"/>
      <c r="F3375" s="1"/>
      <c r="G3375" s="1"/>
      <c r="H3375" s="1"/>
      <c r="I3375" s="1"/>
      <c r="J3375" s="1"/>
      <c r="K3375" s="1"/>
      <c r="L3375" s="1"/>
      <c r="M3375" s="1"/>
      <c r="N3375" s="1"/>
    </row>
    <row r="3376" ht="14.5" spans="2:14">
      <c r="B3376" s="1"/>
      <c r="C3376" s="1"/>
      <c r="D3376" s="1"/>
      <c r="E3376" s="1"/>
      <c r="F3376" s="1"/>
      <c r="G3376" s="1"/>
      <c r="H3376" s="1"/>
      <c r="I3376" s="1"/>
      <c r="J3376" s="1"/>
      <c r="K3376" s="1"/>
      <c r="L3376" s="1"/>
      <c r="M3376" s="1"/>
      <c r="N3376" s="1"/>
    </row>
    <row r="3377" ht="14.5" spans="2:14">
      <c r="B3377" s="1"/>
      <c r="C3377" s="1"/>
      <c r="D3377" s="1"/>
      <c r="E3377" s="1"/>
      <c r="F3377" s="1"/>
      <c r="G3377" s="1"/>
      <c r="H3377" s="1"/>
      <c r="I3377" s="1"/>
      <c r="J3377" s="1"/>
      <c r="K3377" s="1"/>
      <c r="L3377" s="1"/>
      <c r="M3377" s="1"/>
      <c r="N3377" s="1"/>
    </row>
    <row r="3378" ht="14.5" spans="2:14">
      <c r="B3378" s="1"/>
      <c r="C3378" s="1"/>
      <c r="D3378" s="1"/>
      <c r="E3378" s="1"/>
      <c r="F3378" s="1"/>
      <c r="G3378" s="1"/>
      <c r="H3378" s="1"/>
      <c r="I3378" s="1"/>
      <c r="J3378" s="1"/>
      <c r="K3378" s="1"/>
      <c r="L3378" s="1"/>
      <c r="M3378" s="1"/>
      <c r="N3378" s="1"/>
    </row>
    <row r="3379" ht="14.5" spans="2:14">
      <c r="B3379" s="1"/>
      <c r="C3379" s="1"/>
      <c r="D3379" s="1"/>
      <c r="E3379" s="1"/>
      <c r="F3379" s="1"/>
      <c r="G3379" s="1"/>
      <c r="H3379" s="1"/>
      <c r="I3379" s="1"/>
      <c r="J3379" s="1"/>
      <c r="K3379" s="1"/>
      <c r="L3379" s="1"/>
      <c r="M3379" s="1"/>
      <c r="N3379" s="1"/>
    </row>
    <row r="3380" ht="14.5" spans="2:14">
      <c r="B3380" s="1"/>
      <c r="C3380" s="1"/>
      <c r="D3380" s="1"/>
      <c r="E3380" s="1"/>
      <c r="F3380" s="1"/>
      <c r="G3380" s="1"/>
      <c r="H3380" s="1"/>
      <c r="I3380" s="1"/>
      <c r="J3380" s="1"/>
      <c r="K3380" s="1"/>
      <c r="L3380" s="1"/>
      <c r="M3380" s="1"/>
      <c r="N3380" s="1"/>
    </row>
    <row r="3381" ht="14.5" spans="2:14">
      <c r="B3381" s="1"/>
      <c r="C3381" s="1"/>
      <c r="D3381" s="1"/>
      <c r="E3381" s="1"/>
      <c r="F3381" s="1"/>
      <c r="G3381" s="1"/>
      <c r="H3381" s="1"/>
      <c r="I3381" s="1"/>
      <c r="J3381" s="1"/>
      <c r="K3381" s="1"/>
      <c r="L3381" s="1"/>
      <c r="M3381" s="1"/>
      <c r="N3381" s="1"/>
    </row>
    <row r="3382" ht="14.5" spans="2:14">
      <c r="B3382" s="1"/>
      <c r="C3382" s="1"/>
      <c r="D3382" s="1"/>
      <c r="E3382" s="1"/>
      <c r="F3382" s="1"/>
      <c r="G3382" s="1"/>
      <c r="H3382" s="1"/>
      <c r="I3382" s="1"/>
      <c r="J3382" s="1"/>
      <c r="K3382" s="1"/>
      <c r="L3382" s="1"/>
      <c r="M3382" s="1"/>
      <c r="N3382" s="1"/>
    </row>
    <row r="3383" ht="14.5" spans="2:14">
      <c r="B3383" s="1"/>
      <c r="C3383" s="1"/>
      <c r="D3383" s="1"/>
      <c r="E3383" s="1"/>
      <c r="F3383" s="1"/>
      <c r="G3383" s="1"/>
      <c r="H3383" s="1"/>
      <c r="I3383" s="1"/>
      <c r="J3383" s="1"/>
      <c r="K3383" s="1"/>
      <c r="L3383" s="1"/>
      <c r="M3383" s="1"/>
      <c r="N3383" s="1"/>
    </row>
    <row r="3384" ht="14.5" spans="2:14">
      <c r="B3384" s="1"/>
      <c r="C3384" s="1"/>
      <c r="D3384" s="1"/>
      <c r="E3384" s="1"/>
      <c r="F3384" s="1"/>
      <c r="G3384" s="1"/>
      <c r="H3384" s="1"/>
      <c r="I3384" s="1"/>
      <c r="J3384" s="1"/>
      <c r="K3384" s="1"/>
      <c r="L3384" s="1"/>
      <c r="M3384" s="1"/>
      <c r="N3384" s="1"/>
    </row>
    <row r="3385" ht="14.5" spans="2:14">
      <c r="B3385" s="1"/>
      <c r="C3385" s="1"/>
      <c r="D3385" s="1"/>
      <c r="E3385" s="1"/>
      <c r="F3385" s="1"/>
      <c r="G3385" s="1"/>
      <c r="H3385" s="1"/>
      <c r="I3385" s="1"/>
      <c r="J3385" s="1"/>
      <c r="K3385" s="1"/>
      <c r="L3385" s="1"/>
      <c r="M3385" s="1"/>
      <c r="N3385" s="1"/>
    </row>
    <row r="3386" ht="14.5" spans="2:14">
      <c r="B3386" s="1"/>
      <c r="C3386" s="1"/>
      <c r="D3386" s="1"/>
      <c r="E3386" s="1"/>
      <c r="F3386" s="1"/>
      <c r="G3386" s="1"/>
      <c r="H3386" s="1"/>
      <c r="I3386" s="1"/>
      <c r="J3386" s="1"/>
      <c r="K3386" s="1"/>
      <c r="L3386" s="1"/>
      <c r="M3386" s="1"/>
      <c r="N3386" s="1"/>
    </row>
    <row r="3387" ht="14.5" spans="2:14">
      <c r="B3387" s="1"/>
      <c r="C3387" s="1"/>
      <c r="D3387" s="1"/>
      <c r="E3387" s="1"/>
      <c r="F3387" s="1"/>
      <c r="G3387" s="1"/>
      <c r="H3387" s="1"/>
      <c r="I3387" s="1"/>
      <c r="J3387" s="1"/>
      <c r="K3387" s="1"/>
      <c r="L3387" s="1"/>
      <c r="M3387" s="1"/>
      <c r="N3387" s="1"/>
    </row>
    <row r="3388" ht="14.5" spans="2:14">
      <c r="B3388" s="1"/>
      <c r="C3388" s="1"/>
      <c r="D3388" s="1"/>
      <c r="E3388" s="1"/>
      <c r="F3388" s="1"/>
      <c r="G3388" s="1"/>
      <c r="H3388" s="1"/>
      <c r="I3388" s="1"/>
      <c r="J3388" s="1"/>
      <c r="K3388" s="1"/>
      <c r="L3388" s="1"/>
      <c r="M3388" s="1"/>
      <c r="N3388" s="1"/>
    </row>
    <row r="3389" ht="14.5" spans="2:14">
      <c r="B3389" s="1"/>
      <c r="C3389" s="1"/>
      <c r="D3389" s="1"/>
      <c r="E3389" s="1"/>
      <c r="F3389" s="1"/>
      <c r="G3389" s="1"/>
      <c r="H3389" s="1"/>
      <c r="I3389" s="1"/>
      <c r="J3389" s="1"/>
      <c r="K3389" s="1"/>
      <c r="L3389" s="1"/>
      <c r="M3389" s="1"/>
      <c r="N3389" s="1"/>
    </row>
    <row r="3390" ht="14.5" spans="2:14">
      <c r="B3390" s="1"/>
      <c r="C3390" s="1"/>
      <c r="D3390" s="1"/>
      <c r="E3390" s="1"/>
      <c r="F3390" s="1"/>
      <c r="G3390" s="1"/>
      <c r="H3390" s="1"/>
      <c r="I3390" s="1"/>
      <c r="J3390" s="1"/>
      <c r="K3390" s="1"/>
      <c r="L3390" s="1"/>
      <c r="M3390" s="1"/>
      <c r="N3390" s="1"/>
    </row>
    <row r="3391" ht="14.5" spans="2:14">
      <c r="B3391" s="1"/>
      <c r="C3391" s="1"/>
      <c r="D3391" s="1"/>
      <c r="E3391" s="1"/>
      <c r="F3391" s="1"/>
      <c r="G3391" s="1"/>
      <c r="H3391" s="1"/>
      <c r="I3391" s="1"/>
      <c r="J3391" s="1"/>
      <c r="K3391" s="1"/>
      <c r="L3391" s="1"/>
      <c r="M3391" s="1"/>
      <c r="N3391" s="1"/>
    </row>
    <row r="3392" ht="14.5" spans="2:14">
      <c r="B3392" s="1"/>
      <c r="C3392" s="1"/>
      <c r="D3392" s="1"/>
      <c r="E3392" s="1"/>
      <c r="F3392" s="1"/>
      <c r="G3392" s="1"/>
      <c r="H3392" s="1"/>
      <c r="I3392" s="1"/>
      <c r="J3392" s="1"/>
      <c r="K3392" s="1"/>
      <c r="L3392" s="1"/>
      <c r="M3392" s="1"/>
      <c r="N3392" s="1"/>
    </row>
    <row r="3393" ht="14.5" spans="2:14">
      <c r="B3393" s="1"/>
      <c r="C3393" s="1"/>
      <c r="D3393" s="1"/>
      <c r="E3393" s="1"/>
      <c r="F3393" s="1"/>
      <c r="G3393" s="1"/>
      <c r="H3393" s="1"/>
      <c r="I3393" s="1"/>
      <c r="J3393" s="1"/>
      <c r="K3393" s="1"/>
      <c r="L3393" s="1"/>
      <c r="M3393" s="1"/>
      <c r="N3393" s="1"/>
    </row>
    <row r="3394" ht="14.5" spans="2:14">
      <c r="B3394" s="1"/>
      <c r="C3394" s="1"/>
      <c r="D3394" s="1"/>
      <c r="E3394" s="1"/>
      <c r="F3394" s="1"/>
      <c r="G3394" s="1"/>
      <c r="H3394" s="1"/>
      <c r="I3394" s="1"/>
      <c r="J3394" s="1"/>
      <c r="K3394" s="1"/>
      <c r="L3394" s="1"/>
      <c r="M3394" s="1"/>
      <c r="N3394" s="1"/>
    </row>
    <row r="3395" ht="14.5" spans="2:14">
      <c r="B3395" s="1"/>
      <c r="C3395" s="1"/>
      <c r="D3395" s="1"/>
      <c r="E3395" s="1"/>
      <c r="F3395" s="1"/>
      <c r="G3395" s="1"/>
      <c r="H3395" s="1"/>
      <c r="I3395" s="1"/>
      <c r="J3395" s="1"/>
      <c r="K3395" s="1"/>
      <c r="L3395" s="1"/>
      <c r="M3395" s="1"/>
      <c r="N3395" s="1"/>
    </row>
    <row r="3396" ht="14.5" spans="2:14">
      <c r="B3396" s="1"/>
      <c r="C3396" s="1"/>
      <c r="D3396" s="1"/>
      <c r="E3396" s="1"/>
      <c r="F3396" s="1"/>
      <c r="G3396" s="1"/>
      <c r="H3396" s="1"/>
      <c r="I3396" s="1"/>
      <c r="J3396" s="1"/>
      <c r="K3396" s="1"/>
      <c r="L3396" s="1"/>
      <c r="M3396" s="1"/>
      <c r="N3396" s="1"/>
    </row>
    <row r="3397" ht="14.5" spans="2:14">
      <c r="B3397" s="1"/>
      <c r="C3397" s="1"/>
      <c r="D3397" s="1"/>
      <c r="E3397" s="1"/>
      <c r="F3397" s="1"/>
      <c r="G3397" s="1"/>
      <c r="H3397" s="1"/>
      <c r="I3397" s="1"/>
      <c r="J3397" s="1"/>
      <c r="K3397" s="1"/>
      <c r="L3397" s="1"/>
      <c r="M3397" s="1"/>
      <c r="N3397" s="1"/>
    </row>
    <row r="3398" ht="14.5" spans="2:14">
      <c r="B3398" s="1"/>
      <c r="C3398" s="1"/>
      <c r="D3398" s="1"/>
      <c r="E3398" s="1"/>
      <c r="F3398" s="1"/>
      <c r="G3398" s="1"/>
      <c r="H3398" s="1"/>
      <c r="I3398" s="1"/>
      <c r="J3398" s="1"/>
      <c r="K3398" s="1"/>
      <c r="L3398" s="1"/>
      <c r="M3398" s="1"/>
      <c r="N3398" s="1"/>
    </row>
    <row r="3399" ht="14.5" spans="2:14">
      <c r="B3399" s="1"/>
      <c r="C3399" s="1"/>
      <c r="D3399" s="1"/>
      <c r="E3399" s="1"/>
      <c r="F3399" s="1"/>
      <c r="G3399" s="1"/>
      <c r="H3399" s="1"/>
      <c r="I3399" s="1"/>
      <c r="J3399" s="1"/>
      <c r="K3399" s="1"/>
      <c r="L3399" s="1"/>
      <c r="M3399" s="1"/>
      <c r="N3399" s="1"/>
    </row>
    <row r="3400" ht="14.5" spans="2:14">
      <c r="B3400" s="1"/>
      <c r="C3400" s="1"/>
      <c r="D3400" s="1"/>
      <c r="E3400" s="1"/>
      <c r="F3400" s="1"/>
      <c r="G3400" s="1"/>
      <c r="H3400" s="1"/>
      <c r="I3400" s="1"/>
      <c r="J3400" s="1"/>
      <c r="K3400" s="1"/>
      <c r="L3400" s="1"/>
      <c r="M3400" s="1"/>
      <c r="N3400" s="1"/>
    </row>
    <row r="3401" ht="14.5" spans="2:14">
      <c r="B3401" s="1"/>
      <c r="C3401" s="1"/>
      <c r="D3401" s="1"/>
      <c r="E3401" s="1"/>
      <c r="F3401" s="1"/>
      <c r="G3401" s="1"/>
      <c r="H3401" s="1"/>
      <c r="I3401" s="1"/>
      <c r="J3401" s="1"/>
      <c r="K3401" s="1"/>
      <c r="L3401" s="1"/>
      <c r="M3401" s="1"/>
      <c r="N3401" s="1"/>
    </row>
    <row r="3402" ht="14.5" spans="2:14">
      <c r="B3402" s="1"/>
      <c r="C3402" s="1"/>
      <c r="D3402" s="1"/>
      <c r="E3402" s="1"/>
      <c r="F3402" s="1"/>
      <c r="G3402" s="1"/>
      <c r="H3402" s="1"/>
      <c r="I3402" s="1"/>
      <c r="J3402" s="1"/>
      <c r="K3402" s="1"/>
      <c r="L3402" s="1"/>
      <c r="M3402" s="1"/>
      <c r="N3402" s="1"/>
    </row>
    <row r="3403" ht="14.5" spans="2:14">
      <c r="B3403" s="1"/>
      <c r="C3403" s="1"/>
      <c r="D3403" s="1"/>
      <c r="E3403" s="1"/>
      <c r="F3403" s="1"/>
      <c r="G3403" s="1"/>
      <c r="H3403" s="1"/>
      <c r="I3403" s="1"/>
      <c r="J3403" s="1"/>
      <c r="K3403" s="1"/>
      <c r="L3403" s="1"/>
      <c r="M3403" s="1"/>
      <c r="N3403" s="1"/>
    </row>
    <row r="3404" ht="14.5" spans="2:14">
      <c r="B3404" s="1"/>
      <c r="C3404" s="1"/>
      <c r="D3404" s="1"/>
      <c r="E3404" s="1"/>
      <c r="F3404" s="1"/>
      <c r="G3404" s="1"/>
      <c r="H3404" s="1"/>
      <c r="I3404" s="1"/>
      <c r="J3404" s="1"/>
      <c r="K3404" s="1"/>
      <c r="L3404" s="1"/>
      <c r="M3404" s="1"/>
      <c r="N3404" s="1"/>
    </row>
    <row r="3405" ht="14.5" spans="2:14">
      <c r="B3405" s="1"/>
      <c r="C3405" s="1"/>
      <c r="D3405" s="1"/>
      <c r="E3405" s="1"/>
      <c r="F3405" s="1"/>
      <c r="G3405" s="1"/>
      <c r="H3405" s="1"/>
      <c r="I3405" s="1"/>
      <c r="J3405" s="1"/>
      <c r="K3405" s="1"/>
      <c r="L3405" s="1"/>
      <c r="M3405" s="1"/>
      <c r="N3405" s="1"/>
    </row>
    <row r="3406" ht="14.5" spans="2:14">
      <c r="B3406" s="1"/>
      <c r="C3406" s="1"/>
      <c r="D3406" s="1"/>
      <c r="E3406" s="1"/>
      <c r="F3406" s="1"/>
      <c r="G3406" s="1"/>
      <c r="H3406" s="1"/>
      <c r="I3406" s="1"/>
      <c r="J3406" s="1"/>
      <c r="K3406" s="1"/>
      <c r="L3406" s="1"/>
      <c r="M3406" s="1"/>
      <c r="N3406" s="1"/>
    </row>
    <row r="3407" ht="14.5" spans="2:14">
      <c r="B3407" s="1"/>
      <c r="C3407" s="1"/>
      <c r="D3407" s="1"/>
      <c r="E3407" s="1"/>
      <c r="F3407" s="1"/>
      <c r="G3407" s="1"/>
      <c r="H3407" s="1"/>
      <c r="I3407" s="1"/>
      <c r="J3407" s="1"/>
      <c r="K3407" s="1"/>
      <c r="L3407" s="1"/>
      <c r="M3407" s="1"/>
      <c r="N3407" s="1"/>
    </row>
    <row r="3408" ht="14.5" spans="2:14">
      <c r="B3408" s="1"/>
      <c r="C3408" s="1"/>
      <c r="D3408" s="1"/>
      <c r="E3408" s="1"/>
      <c r="F3408" s="1"/>
      <c r="G3408" s="1"/>
      <c r="H3408" s="1"/>
      <c r="I3408" s="1"/>
      <c r="J3408" s="1"/>
      <c r="K3408" s="1"/>
      <c r="L3408" s="1"/>
      <c r="M3408" s="1"/>
      <c r="N3408" s="1"/>
    </row>
    <row r="3409" ht="14.5" spans="2:14">
      <c r="B3409" s="1"/>
      <c r="C3409" s="1"/>
      <c r="D3409" s="1"/>
      <c r="E3409" s="1"/>
      <c r="F3409" s="1"/>
      <c r="G3409" s="1"/>
      <c r="H3409" s="1"/>
      <c r="I3409" s="1"/>
      <c r="J3409" s="1"/>
      <c r="K3409" s="1"/>
      <c r="L3409" s="1"/>
      <c r="M3409" s="1"/>
      <c r="N3409" s="1"/>
    </row>
    <row r="3410" ht="14.5" spans="2:14">
      <c r="B3410" s="1"/>
      <c r="C3410" s="1"/>
      <c r="D3410" s="1"/>
      <c r="E3410" s="1"/>
      <c r="F3410" s="1"/>
      <c r="G3410" s="1"/>
      <c r="H3410" s="1"/>
      <c r="I3410" s="1"/>
      <c r="J3410" s="1"/>
      <c r="K3410" s="1"/>
      <c r="L3410" s="1"/>
      <c r="M3410" s="1"/>
      <c r="N3410" s="1"/>
    </row>
    <row r="3411" ht="14.5" spans="2:14">
      <c r="B3411" s="1"/>
      <c r="C3411" s="1"/>
      <c r="D3411" s="1"/>
      <c r="E3411" s="1"/>
      <c r="F3411" s="1"/>
      <c r="G3411" s="1"/>
      <c r="H3411" s="1"/>
      <c r="I3411" s="1"/>
      <c r="J3411" s="1"/>
      <c r="K3411" s="1"/>
      <c r="L3411" s="1"/>
      <c r="M3411" s="1"/>
      <c r="N3411" s="1"/>
    </row>
    <row r="3412" ht="14.5" spans="2:14">
      <c r="B3412" s="1"/>
      <c r="C3412" s="1"/>
      <c r="D3412" s="1"/>
      <c r="E3412" s="1"/>
      <c r="F3412" s="1"/>
      <c r="G3412" s="1"/>
      <c r="H3412" s="1"/>
      <c r="I3412" s="1"/>
      <c r="J3412" s="1"/>
      <c r="K3412" s="1"/>
      <c r="L3412" s="1"/>
      <c r="M3412" s="1"/>
      <c r="N3412" s="1"/>
    </row>
    <row r="3413" ht="14.5" spans="2:14">
      <c r="B3413" s="1"/>
      <c r="C3413" s="1"/>
      <c r="D3413" s="1"/>
      <c r="E3413" s="1"/>
      <c r="F3413" s="1"/>
      <c r="G3413" s="1"/>
      <c r="H3413" s="1"/>
      <c r="I3413" s="1"/>
      <c r="J3413" s="1"/>
      <c r="K3413" s="1"/>
      <c r="L3413" s="1"/>
      <c r="M3413" s="1"/>
      <c r="N3413" s="1"/>
    </row>
    <row r="3414" ht="14.5" spans="2:14">
      <c r="B3414" s="1"/>
      <c r="C3414" s="1"/>
      <c r="D3414" s="1"/>
      <c r="E3414" s="1"/>
      <c r="F3414" s="1"/>
      <c r="G3414" s="1"/>
      <c r="H3414" s="1"/>
      <c r="I3414" s="1"/>
      <c r="J3414" s="1"/>
      <c r="K3414" s="1"/>
      <c r="L3414" s="1"/>
      <c r="M3414" s="1"/>
      <c r="N3414" s="1"/>
    </row>
    <row r="3415" ht="14.5" spans="2:14">
      <c r="B3415" s="1"/>
      <c r="C3415" s="1"/>
      <c r="D3415" s="1"/>
      <c r="E3415" s="1"/>
      <c r="F3415" s="1"/>
      <c r="G3415" s="1"/>
      <c r="H3415" s="1"/>
      <c r="I3415" s="1"/>
      <c r="J3415" s="1"/>
      <c r="K3415" s="1"/>
      <c r="L3415" s="1"/>
      <c r="M3415" s="1"/>
      <c r="N3415" s="1"/>
    </row>
    <row r="3416" ht="14.5" spans="2:14">
      <c r="B3416" s="1"/>
      <c r="C3416" s="1"/>
      <c r="D3416" s="1"/>
      <c r="E3416" s="1"/>
      <c r="F3416" s="1"/>
      <c r="G3416" s="1"/>
      <c r="H3416" s="1"/>
      <c r="I3416" s="1"/>
      <c r="J3416" s="1"/>
      <c r="K3416" s="1"/>
      <c r="L3416" s="1"/>
      <c r="M3416" s="1"/>
      <c r="N3416" s="1"/>
    </row>
    <row r="3417" ht="14.5" spans="2:14">
      <c r="B3417" s="1"/>
      <c r="C3417" s="1"/>
      <c r="D3417" s="1"/>
      <c r="E3417" s="1"/>
      <c r="F3417" s="1"/>
      <c r="G3417" s="1"/>
      <c r="H3417" s="1"/>
      <c r="I3417" s="1"/>
      <c r="J3417" s="1"/>
      <c r="K3417" s="1"/>
      <c r="L3417" s="1"/>
      <c r="M3417" s="1"/>
      <c r="N3417" s="1"/>
    </row>
    <row r="3418" ht="14.5" spans="2:14">
      <c r="B3418" s="1"/>
      <c r="C3418" s="1"/>
      <c r="D3418" s="1"/>
      <c r="E3418" s="1"/>
      <c r="F3418" s="1"/>
      <c r="G3418" s="1"/>
      <c r="H3418" s="1"/>
      <c r="I3418" s="1"/>
      <c r="J3418" s="1"/>
      <c r="K3418" s="1"/>
      <c r="L3418" s="1"/>
      <c r="M3418" s="1"/>
      <c r="N3418" s="1"/>
    </row>
    <row r="3419" ht="14.5" spans="2:14">
      <c r="B3419" s="1"/>
      <c r="C3419" s="1"/>
      <c r="D3419" s="1"/>
      <c r="E3419" s="1"/>
      <c r="F3419" s="1"/>
      <c r="G3419" s="1"/>
      <c r="H3419" s="1"/>
      <c r="I3419" s="1"/>
      <c r="J3419" s="1"/>
      <c r="K3419" s="1"/>
      <c r="L3419" s="1"/>
      <c r="M3419" s="1"/>
      <c r="N3419" s="1"/>
    </row>
    <row r="3420" ht="14.5" spans="2:14">
      <c r="B3420" s="1"/>
      <c r="C3420" s="1"/>
      <c r="D3420" s="1"/>
      <c r="E3420" s="1"/>
      <c r="F3420" s="1"/>
      <c r="G3420" s="1"/>
      <c r="H3420" s="1"/>
      <c r="I3420" s="1"/>
      <c r="J3420" s="1"/>
      <c r="K3420" s="1"/>
      <c r="L3420" s="1"/>
      <c r="M3420" s="1"/>
      <c r="N3420" s="1"/>
    </row>
    <row r="3421" ht="14.5" spans="2:14">
      <c r="B3421" s="1"/>
      <c r="C3421" s="1"/>
      <c r="D3421" s="1"/>
      <c r="E3421" s="1"/>
      <c r="F3421" s="1"/>
      <c r="G3421" s="1"/>
      <c r="H3421" s="1"/>
      <c r="I3421" s="1"/>
      <c r="J3421" s="1"/>
      <c r="K3421" s="1"/>
      <c r="L3421" s="1"/>
      <c r="M3421" s="1"/>
      <c r="N3421" s="1"/>
    </row>
    <row r="3422" ht="14.5" spans="2:14">
      <c r="B3422" s="1"/>
      <c r="C3422" s="1"/>
      <c r="D3422" s="1"/>
      <c r="E3422" s="1"/>
      <c r="F3422" s="1"/>
      <c r="G3422" s="1"/>
      <c r="H3422" s="1"/>
      <c r="I3422" s="1"/>
      <c r="J3422" s="1"/>
      <c r="K3422" s="1"/>
      <c r="L3422" s="1"/>
      <c r="M3422" s="1"/>
      <c r="N3422" s="1"/>
    </row>
    <row r="3423" ht="14.5" spans="2:14">
      <c r="B3423" s="1"/>
      <c r="C3423" s="1"/>
      <c r="D3423" s="1"/>
      <c r="E3423" s="1"/>
      <c r="F3423" s="1"/>
      <c r="G3423" s="1"/>
      <c r="H3423" s="1"/>
      <c r="I3423" s="1"/>
      <c r="J3423" s="1"/>
      <c r="K3423" s="1"/>
      <c r="L3423" s="1"/>
      <c r="M3423" s="1"/>
      <c r="N3423" s="1"/>
    </row>
    <row r="3424" ht="14.5" spans="2:14">
      <c r="B3424" s="1"/>
      <c r="C3424" s="1"/>
      <c r="D3424" s="1"/>
      <c r="E3424" s="1"/>
      <c r="F3424" s="1"/>
      <c r="G3424" s="1"/>
      <c r="H3424" s="1"/>
      <c r="I3424" s="1"/>
      <c r="J3424" s="1"/>
      <c r="K3424" s="1"/>
      <c r="L3424" s="1"/>
      <c r="M3424" s="1"/>
      <c r="N3424" s="1"/>
    </row>
    <row r="3425" ht="14.5" spans="2:14">
      <c r="B3425" s="1"/>
      <c r="C3425" s="1"/>
      <c r="D3425" s="1"/>
      <c r="E3425" s="1"/>
      <c r="F3425" s="1"/>
      <c r="G3425" s="1"/>
      <c r="H3425" s="1"/>
      <c r="I3425" s="1"/>
      <c r="J3425" s="1"/>
      <c r="K3425" s="1"/>
      <c r="L3425" s="1"/>
      <c r="M3425" s="1"/>
      <c r="N3425" s="1"/>
    </row>
    <row r="3426" ht="14.5" spans="2:14">
      <c r="B3426" s="1"/>
      <c r="C3426" s="1"/>
      <c r="D3426" s="1"/>
      <c r="E3426" s="1"/>
      <c r="F3426" s="1"/>
      <c r="G3426" s="1"/>
      <c r="H3426" s="1"/>
      <c r="I3426" s="1"/>
      <c r="J3426" s="1"/>
      <c r="K3426" s="1"/>
      <c r="L3426" s="1"/>
      <c r="M3426" s="1"/>
      <c r="N3426" s="1"/>
    </row>
    <row r="3427" ht="14.5" spans="2:14">
      <c r="B3427" s="1"/>
      <c r="C3427" s="1"/>
      <c r="D3427" s="1"/>
      <c r="E3427" s="1"/>
      <c r="F3427" s="1"/>
      <c r="G3427" s="1"/>
      <c r="H3427" s="1"/>
      <c r="I3427" s="1"/>
      <c r="J3427" s="1"/>
      <c r="K3427" s="1"/>
      <c r="L3427" s="1"/>
      <c r="M3427" s="1"/>
      <c r="N3427" s="1"/>
    </row>
    <row r="3428" ht="14.5" spans="2:14">
      <c r="B3428" s="1"/>
      <c r="C3428" s="1"/>
      <c r="D3428" s="1"/>
      <c r="E3428" s="1"/>
      <c r="F3428" s="1"/>
      <c r="G3428" s="1"/>
      <c r="H3428" s="1"/>
      <c r="I3428" s="1"/>
      <c r="J3428" s="1"/>
      <c r="K3428" s="1"/>
      <c r="L3428" s="1"/>
      <c r="M3428" s="1"/>
      <c r="N3428" s="1"/>
    </row>
    <row r="3429" ht="14.5" spans="2:14">
      <c r="B3429" s="1"/>
      <c r="C3429" s="1"/>
      <c r="D3429" s="1"/>
      <c r="E3429" s="1"/>
      <c r="F3429" s="1"/>
      <c r="G3429" s="1"/>
      <c r="H3429" s="1"/>
      <c r="I3429" s="1"/>
      <c r="J3429" s="1"/>
      <c r="K3429" s="1"/>
      <c r="L3429" s="1"/>
      <c r="M3429" s="1"/>
      <c r="N3429" s="1"/>
    </row>
    <row r="3430" ht="14.5" spans="2:14">
      <c r="B3430" s="1"/>
      <c r="C3430" s="1"/>
      <c r="D3430" s="1"/>
      <c r="E3430" s="1"/>
      <c r="F3430" s="1"/>
      <c r="G3430" s="1"/>
      <c r="H3430" s="1"/>
      <c r="I3430" s="1"/>
      <c r="J3430" s="1"/>
      <c r="K3430" s="1"/>
      <c r="L3430" s="1"/>
      <c r="M3430" s="1"/>
      <c r="N3430" s="1"/>
    </row>
    <row r="3431" ht="14.5" spans="2:14">
      <c r="B3431" s="1"/>
      <c r="C3431" s="1"/>
      <c r="D3431" s="1"/>
      <c r="E3431" s="1"/>
      <c r="F3431" s="1"/>
      <c r="G3431" s="1"/>
      <c r="H3431" s="1"/>
      <c r="I3431" s="1"/>
      <c r="J3431" s="1"/>
      <c r="K3431" s="1"/>
      <c r="L3431" s="1"/>
      <c r="M3431" s="1"/>
      <c r="N3431" s="1"/>
    </row>
    <row r="3432" ht="14.5" spans="2:14">
      <c r="B3432" s="1"/>
      <c r="C3432" s="1"/>
      <c r="D3432" s="1"/>
      <c r="E3432" s="1"/>
      <c r="F3432" s="1"/>
      <c r="G3432" s="1"/>
      <c r="H3432" s="1"/>
      <c r="I3432" s="1"/>
      <c r="J3432" s="1"/>
      <c r="K3432" s="1"/>
      <c r="L3432" s="1"/>
      <c r="M3432" s="1"/>
      <c r="N3432" s="1"/>
    </row>
    <row r="3433" ht="14.5" spans="2:14">
      <c r="B3433" s="1"/>
      <c r="C3433" s="1"/>
      <c r="D3433" s="1"/>
      <c r="E3433" s="1"/>
      <c r="F3433" s="1"/>
      <c r="G3433" s="1"/>
      <c r="H3433" s="1"/>
      <c r="I3433" s="1"/>
      <c r="J3433" s="1"/>
      <c r="K3433" s="1"/>
      <c r="L3433" s="1"/>
      <c r="M3433" s="1"/>
      <c r="N3433" s="1"/>
    </row>
    <row r="3434" ht="14.5" spans="2:14">
      <c r="B3434" s="1"/>
      <c r="C3434" s="1"/>
      <c r="D3434" s="1"/>
      <c r="E3434" s="1"/>
      <c r="F3434" s="1"/>
      <c r="G3434" s="1"/>
      <c r="H3434" s="1"/>
      <c r="I3434" s="1"/>
      <c r="J3434" s="1"/>
      <c r="K3434" s="1"/>
      <c r="L3434" s="1"/>
      <c r="M3434" s="1"/>
      <c r="N3434" s="1"/>
    </row>
    <row r="3435" ht="14.5" spans="2:14">
      <c r="B3435" s="1"/>
      <c r="C3435" s="1"/>
      <c r="D3435" s="1"/>
      <c r="E3435" s="1"/>
      <c r="F3435" s="1"/>
      <c r="G3435" s="1"/>
      <c r="H3435" s="1"/>
      <c r="I3435" s="1"/>
      <c r="J3435" s="1"/>
      <c r="K3435" s="1"/>
      <c r="L3435" s="1"/>
      <c r="M3435" s="1"/>
      <c r="N3435" s="1"/>
    </row>
    <row r="3436" ht="14.5" spans="2:14">
      <c r="B3436" s="1"/>
      <c r="C3436" s="1"/>
      <c r="D3436" s="1"/>
      <c r="E3436" s="1"/>
      <c r="F3436" s="1"/>
      <c r="G3436" s="1"/>
      <c r="H3436" s="1"/>
      <c r="I3436" s="1"/>
      <c r="J3436" s="1"/>
      <c r="K3436" s="1"/>
      <c r="L3436" s="1"/>
      <c r="M3436" s="1"/>
      <c r="N3436" s="1"/>
    </row>
    <row r="3437" ht="14.5" spans="2:14">
      <c r="B3437" s="1"/>
      <c r="C3437" s="1"/>
      <c r="D3437" s="1"/>
      <c r="E3437" s="1"/>
      <c r="F3437" s="1"/>
      <c r="G3437" s="1"/>
      <c r="H3437" s="1"/>
      <c r="I3437" s="1"/>
      <c r="J3437" s="1"/>
      <c r="K3437" s="1"/>
      <c r="L3437" s="1"/>
      <c r="M3437" s="1"/>
      <c r="N3437" s="1"/>
    </row>
    <row r="3438" ht="14.5" spans="2:14">
      <c r="B3438" s="1"/>
      <c r="C3438" s="1"/>
      <c r="D3438" s="1"/>
      <c r="E3438" s="1"/>
      <c r="F3438" s="1"/>
      <c r="G3438" s="1"/>
      <c r="H3438" s="1"/>
      <c r="I3438" s="1"/>
      <c r="J3438" s="1"/>
      <c r="K3438" s="1"/>
      <c r="L3438" s="1"/>
      <c r="M3438" s="1"/>
      <c r="N3438" s="1"/>
    </row>
    <row r="3439" ht="14.5" spans="2:14">
      <c r="B3439" s="1"/>
      <c r="C3439" s="1"/>
      <c r="D3439" s="1"/>
      <c r="E3439" s="1"/>
      <c r="F3439" s="1"/>
      <c r="G3439" s="1"/>
      <c r="H3439" s="1"/>
      <c r="I3439" s="1"/>
      <c r="J3439" s="1"/>
      <c r="K3439" s="1"/>
      <c r="L3439" s="1"/>
      <c r="M3439" s="1"/>
      <c r="N3439" s="1"/>
    </row>
    <row r="3440" ht="14.5" spans="2:14">
      <c r="B3440" s="1"/>
      <c r="C3440" s="1"/>
      <c r="D3440" s="1"/>
      <c r="E3440" s="1"/>
      <c r="F3440" s="1"/>
      <c r="G3440" s="1"/>
      <c r="H3440" s="1"/>
      <c r="I3440" s="1"/>
      <c r="J3440" s="1"/>
      <c r="K3440" s="1"/>
      <c r="L3440" s="1"/>
      <c r="M3440" s="1"/>
      <c r="N3440" s="1"/>
    </row>
    <row r="3441" ht="14.5" spans="2:14">
      <c r="B3441" s="1"/>
      <c r="C3441" s="1"/>
      <c r="D3441" s="1"/>
      <c r="E3441" s="1"/>
      <c r="F3441" s="1"/>
      <c r="G3441" s="1"/>
      <c r="H3441" s="1"/>
      <c r="I3441" s="1"/>
      <c r="J3441" s="1"/>
      <c r="K3441" s="1"/>
      <c r="L3441" s="1"/>
      <c r="M3441" s="1"/>
      <c r="N3441" s="1"/>
    </row>
    <row r="3442" ht="14.5" spans="2:14">
      <c r="B3442" s="1"/>
      <c r="C3442" s="1"/>
      <c r="D3442" s="1"/>
      <c r="E3442" s="1"/>
      <c r="F3442" s="1"/>
      <c r="G3442" s="1"/>
      <c r="H3442" s="1"/>
      <c r="I3442" s="1"/>
      <c r="J3442" s="1"/>
      <c r="K3442" s="1"/>
      <c r="L3442" s="1"/>
      <c r="M3442" s="1"/>
      <c r="N3442" s="1"/>
    </row>
    <row r="3443" ht="14.5" spans="2:14">
      <c r="B3443" s="1"/>
      <c r="C3443" s="1"/>
      <c r="D3443" s="1"/>
      <c r="E3443" s="1"/>
      <c r="F3443" s="1"/>
      <c r="G3443" s="1"/>
      <c r="H3443" s="1"/>
      <c r="I3443" s="1"/>
      <c r="J3443" s="1"/>
      <c r="K3443" s="1"/>
      <c r="L3443" s="1"/>
      <c r="M3443" s="1"/>
      <c r="N3443" s="1"/>
    </row>
    <row r="3444" ht="14.5" spans="2:14">
      <c r="B3444" s="1"/>
      <c r="C3444" s="1"/>
      <c r="D3444" s="1"/>
      <c r="E3444" s="1"/>
      <c r="F3444" s="1"/>
      <c r="G3444" s="1"/>
      <c r="H3444" s="1"/>
      <c r="I3444" s="1"/>
      <c r="J3444" s="1"/>
      <c r="K3444" s="1"/>
      <c r="L3444" s="1"/>
      <c r="M3444" s="1"/>
      <c r="N3444" s="1"/>
    </row>
    <row r="3445" ht="14.5" spans="2:14">
      <c r="B3445" s="1"/>
      <c r="C3445" s="1"/>
      <c r="D3445" s="1"/>
      <c r="E3445" s="1"/>
      <c r="F3445" s="1"/>
      <c r="G3445" s="1"/>
      <c r="H3445" s="1"/>
      <c r="I3445" s="1"/>
      <c r="J3445" s="1"/>
      <c r="K3445" s="1"/>
      <c r="L3445" s="1"/>
      <c r="M3445" s="1"/>
      <c r="N3445" s="1"/>
    </row>
    <row r="3446" ht="14.5" spans="2:14">
      <c r="B3446" s="1"/>
      <c r="C3446" s="1"/>
      <c r="D3446" s="1"/>
      <c r="E3446" s="1"/>
      <c r="F3446" s="1"/>
      <c r="G3446" s="1"/>
      <c r="H3446" s="1"/>
      <c r="I3446" s="1"/>
      <c r="J3446" s="1"/>
      <c r="K3446" s="1"/>
      <c r="L3446" s="1"/>
      <c r="M3446" s="1"/>
      <c r="N3446" s="1"/>
    </row>
    <row r="3447" ht="14.5" spans="2:14">
      <c r="B3447" s="1"/>
      <c r="C3447" s="1"/>
      <c r="D3447" s="1"/>
      <c r="E3447" s="1"/>
      <c r="F3447" s="1"/>
      <c r="G3447" s="1"/>
      <c r="H3447" s="1"/>
      <c r="I3447" s="1"/>
      <c r="J3447" s="1"/>
      <c r="K3447" s="1"/>
      <c r="L3447" s="1"/>
      <c r="M3447" s="1"/>
      <c r="N3447" s="1"/>
    </row>
    <row r="3448" ht="14.5" spans="2:14">
      <c r="B3448" s="1"/>
      <c r="C3448" s="1"/>
      <c r="D3448" s="1"/>
      <c r="E3448" s="1"/>
      <c r="F3448" s="1"/>
      <c r="G3448" s="1"/>
      <c r="H3448" s="1"/>
      <c r="I3448" s="1"/>
      <c r="J3448" s="1"/>
      <c r="K3448" s="1"/>
      <c r="L3448" s="1"/>
      <c r="M3448" s="1"/>
      <c r="N3448" s="1"/>
    </row>
    <row r="3449" ht="14.5" spans="2:14">
      <c r="B3449" s="1"/>
      <c r="C3449" s="1"/>
      <c r="D3449" s="1"/>
      <c r="E3449" s="1"/>
      <c r="F3449" s="1"/>
      <c r="G3449" s="1"/>
      <c r="H3449" s="1"/>
      <c r="I3449" s="1"/>
      <c r="J3449" s="1"/>
      <c r="K3449" s="1"/>
      <c r="L3449" s="1"/>
      <c r="M3449" s="1"/>
      <c r="N3449" s="1"/>
    </row>
    <row r="3450" ht="14.5" spans="2:14">
      <c r="B3450" s="1"/>
      <c r="C3450" s="1"/>
      <c r="D3450" s="1"/>
      <c r="E3450" s="1"/>
      <c r="F3450" s="1"/>
      <c r="G3450" s="1"/>
      <c r="H3450" s="1"/>
      <c r="I3450" s="1"/>
      <c r="J3450" s="1"/>
      <c r="K3450" s="1"/>
      <c r="L3450" s="1"/>
      <c r="M3450" s="1"/>
      <c r="N3450" s="1"/>
    </row>
    <row r="3451" ht="14.5" spans="2:14">
      <c r="B3451" s="1"/>
      <c r="C3451" s="1"/>
      <c r="D3451" s="1"/>
      <c r="E3451" s="1"/>
      <c r="F3451" s="1"/>
      <c r="G3451" s="1"/>
      <c r="H3451" s="1"/>
      <c r="I3451" s="1"/>
      <c r="J3451" s="1"/>
      <c r="K3451" s="1"/>
      <c r="L3451" s="1"/>
      <c r="M3451" s="1"/>
      <c r="N3451" s="1"/>
    </row>
    <row r="3452" ht="14.5" spans="2:14">
      <c r="B3452" s="1"/>
      <c r="C3452" s="1"/>
      <c r="D3452" s="1"/>
      <c r="E3452" s="1"/>
      <c r="F3452" s="1"/>
      <c r="G3452" s="1"/>
      <c r="H3452" s="1"/>
      <c r="I3452" s="1"/>
      <c r="J3452" s="1"/>
      <c r="K3452" s="1"/>
      <c r="L3452" s="1"/>
      <c r="M3452" s="1"/>
      <c r="N3452" s="1"/>
    </row>
    <row r="3453" ht="14.5" spans="2:14">
      <c r="B3453" s="1"/>
      <c r="C3453" s="1"/>
      <c r="D3453" s="1"/>
      <c r="E3453" s="1"/>
      <c r="F3453" s="1"/>
      <c r="G3453" s="1"/>
      <c r="H3453" s="1"/>
      <c r="I3453" s="1"/>
      <c r="J3453" s="1"/>
      <c r="K3453" s="1"/>
      <c r="L3453" s="1"/>
      <c r="M3453" s="1"/>
      <c r="N3453" s="1"/>
    </row>
    <row r="3454" ht="14.5" spans="2:14">
      <c r="B3454" s="1"/>
      <c r="C3454" s="1"/>
      <c r="D3454" s="1"/>
      <c r="E3454" s="1"/>
      <c r="F3454" s="1"/>
      <c r="G3454" s="1"/>
      <c r="H3454" s="1"/>
      <c r="I3454" s="1"/>
      <c r="J3454" s="1"/>
      <c r="K3454" s="1"/>
      <c r="L3454" s="1"/>
      <c r="M3454" s="1"/>
      <c r="N3454" s="1"/>
    </row>
    <row r="3455" ht="14.5" spans="2:14">
      <c r="B3455" s="1"/>
      <c r="C3455" s="1"/>
      <c r="D3455" s="1"/>
      <c r="E3455" s="1"/>
      <c r="F3455" s="1"/>
      <c r="G3455" s="1"/>
      <c r="H3455" s="1"/>
      <c r="I3455" s="1"/>
      <c r="J3455" s="1"/>
      <c r="K3455" s="1"/>
      <c r="L3455" s="1"/>
      <c r="M3455" s="1"/>
      <c r="N3455" s="1"/>
    </row>
    <row r="3456" ht="14.5" spans="2:14">
      <c r="B3456" s="1"/>
      <c r="C3456" s="1"/>
      <c r="D3456" s="1"/>
      <c r="E3456" s="1"/>
      <c r="F3456" s="1"/>
      <c r="G3456" s="1"/>
      <c r="H3456" s="1"/>
      <c r="I3456" s="1"/>
      <c r="J3456" s="1"/>
      <c r="K3456" s="1"/>
      <c r="L3456" s="1"/>
      <c r="M3456" s="1"/>
      <c r="N3456" s="1"/>
    </row>
    <row r="3457" ht="14.5" spans="2:14">
      <c r="B3457" s="1"/>
      <c r="C3457" s="1"/>
      <c r="D3457" s="1"/>
      <c r="E3457" s="1"/>
      <c r="F3457" s="1"/>
      <c r="G3457" s="1"/>
      <c r="H3457" s="1"/>
      <c r="I3457" s="1"/>
      <c r="J3457" s="1"/>
      <c r="K3457" s="1"/>
      <c r="L3457" s="1"/>
      <c r="M3457" s="1"/>
      <c r="N3457" s="1"/>
    </row>
    <row r="3458" ht="14.5" spans="2:14">
      <c r="B3458" s="1"/>
      <c r="C3458" s="1"/>
      <c r="D3458" s="1"/>
      <c r="E3458" s="1"/>
      <c r="F3458" s="1"/>
      <c r="G3458" s="1"/>
      <c r="H3458" s="1"/>
      <c r="I3458" s="1"/>
      <c r="J3458" s="1"/>
      <c r="K3458" s="1"/>
      <c r="L3458" s="1"/>
      <c r="M3458" s="1"/>
      <c r="N3458" s="1"/>
    </row>
    <row r="3459" ht="14.5" spans="2:14">
      <c r="B3459" s="1"/>
      <c r="C3459" s="1"/>
      <c r="D3459" s="1"/>
      <c r="E3459" s="1"/>
      <c r="F3459" s="1"/>
      <c r="G3459" s="1"/>
      <c r="H3459" s="1"/>
      <c r="I3459" s="1"/>
      <c r="J3459" s="1"/>
      <c r="K3459" s="1"/>
      <c r="L3459" s="1"/>
      <c r="M3459" s="1"/>
      <c r="N3459" s="1"/>
    </row>
    <row r="3460" ht="14.5" spans="2:14">
      <c r="B3460" s="1"/>
      <c r="C3460" s="1"/>
      <c r="D3460" s="1"/>
      <c r="E3460" s="1"/>
      <c r="F3460" s="1"/>
      <c r="G3460" s="1"/>
      <c r="H3460" s="1"/>
      <c r="I3460" s="1"/>
      <c r="J3460" s="1"/>
      <c r="K3460" s="1"/>
      <c r="L3460" s="1"/>
      <c r="M3460" s="1"/>
      <c r="N3460" s="1"/>
    </row>
    <row r="3461" ht="14.5" spans="2:14">
      <c r="B3461" s="1"/>
      <c r="C3461" s="1"/>
      <c r="D3461" s="1"/>
      <c r="E3461" s="1"/>
      <c r="F3461" s="1"/>
      <c r="G3461" s="1"/>
      <c r="H3461" s="1"/>
      <c r="I3461" s="1"/>
      <c r="J3461" s="1"/>
      <c r="K3461" s="1"/>
      <c r="L3461" s="1"/>
      <c r="M3461" s="1"/>
      <c r="N3461" s="1"/>
    </row>
    <row r="3462" ht="14.5" spans="2:14">
      <c r="B3462" s="1"/>
      <c r="C3462" s="1"/>
      <c r="D3462" s="1"/>
      <c r="E3462" s="1"/>
      <c r="F3462" s="1"/>
      <c r="G3462" s="1"/>
      <c r="H3462" s="1"/>
      <c r="I3462" s="1"/>
      <c r="J3462" s="1"/>
      <c r="K3462" s="1"/>
      <c r="L3462" s="1"/>
      <c r="M3462" s="1"/>
      <c r="N3462" s="1"/>
    </row>
    <row r="3463" ht="14.5" spans="2:14">
      <c r="B3463" s="1"/>
      <c r="C3463" s="1"/>
      <c r="D3463" s="1"/>
      <c r="E3463" s="1"/>
      <c r="F3463" s="1"/>
      <c r="G3463" s="1"/>
      <c r="H3463" s="1"/>
      <c r="I3463" s="1"/>
      <c r="J3463" s="1"/>
      <c r="K3463" s="1"/>
      <c r="L3463" s="1"/>
      <c r="M3463" s="1"/>
      <c r="N3463" s="1"/>
    </row>
    <row r="3464" ht="14.5" spans="2:14">
      <c r="B3464" s="1"/>
      <c r="C3464" s="1"/>
      <c r="D3464" s="1"/>
      <c r="E3464" s="1"/>
      <c r="F3464" s="1"/>
      <c r="G3464" s="1"/>
      <c r="H3464" s="1"/>
      <c r="I3464" s="1"/>
      <c r="J3464" s="1"/>
      <c r="K3464" s="1"/>
      <c r="L3464" s="1"/>
      <c r="M3464" s="1"/>
      <c r="N3464" s="1"/>
    </row>
    <row r="3465" ht="14.5" spans="2:14">
      <c r="B3465" s="1"/>
      <c r="C3465" s="1"/>
      <c r="D3465" s="1"/>
      <c r="E3465" s="1"/>
      <c r="F3465" s="1"/>
      <c r="G3465" s="1"/>
      <c r="H3465" s="1"/>
      <c r="I3465" s="1"/>
      <c r="J3465" s="1"/>
      <c r="K3465" s="1"/>
      <c r="L3465" s="1"/>
      <c r="M3465" s="1"/>
      <c r="N3465" s="1"/>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RTT</vt:lpstr>
      <vt:lpstr>TimePeriods</vt:lpstr>
      <vt:lpstr>System Settings</vt:lpstr>
      <vt:lpstr>Constants</vt:lpstr>
      <vt:lpstr>reporting options</vt:lpstr>
      <vt:lpstr>CommGrp</vt:lpstr>
      <vt:lpstr>Comm</vt:lpstr>
      <vt:lpstr>Comm+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2026-08-14T14:23:49Z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554694757842944</vt:r8>
  </property>
  <property fmtid="{D5CDD505-2E9C-101B-9397-08002B2CF9AE}" pid="3" name="{A44787D4-0540-4523-9961-78E4036D8C6D}">
    <vt:lpwstr>{A39C8D83-5663-4EF8-B7A7-7AE47CFA36FA}</vt:lpwstr>
  </property>
  <property fmtid="{D5CDD505-2E9C-101B-9397-08002B2CF9AE}" pid="4" name="ICV">
    <vt:lpwstr>3771535884CB45EC9C889095B54F28AA_12</vt:lpwstr>
  </property>
  <property fmtid="{D5CDD505-2E9C-101B-9397-08002B2CF9AE}" pid="5" name="KSOProductBuildVer">
    <vt:lpwstr>1033-12.1.0.28032</vt:lpwstr>
  </property>
  <property fmtid="{D5CDD505-2E9C-101B-9397-08002B2CF9AE}" pid="6" name="CalculationRule">
    <vt:i4>0</vt:i4>
  </property>
</Properties>
</file>