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18350" windowHeight="8710" tabRatio="853" activeTab="1"/>
  </bookViews>
  <sheets>
    <sheet name="RTT" sheetId="16" r:id="rId1"/>
    <sheet name="TimePeriods" sheetId="20" r:id="rId2"/>
    <sheet name="System Settings" sheetId="14" r:id="rId3"/>
    <sheet name="Constants" sheetId="17" r:id="rId4"/>
    <sheet name="reporting options" sheetId="24" r:id="rId5"/>
    <sheet name="CommGrp" sheetId="21" r:id="rId6"/>
    <sheet name="Comm" sheetId="23" r:id="rId7"/>
    <sheet name="Comm+" sheetId="2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E2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Xiao enlarged it to avoid IMPNRGZ in 2019</t>
        </r>
      </text>
    </comment>
  </commentList>
</comments>
</file>

<file path=xl/sharedStrings.xml><?xml version="1.0" encoding="utf-8"?>
<sst xmlns="http://schemas.openxmlformats.org/spreadsheetml/2006/main" count="3820" uniqueCount="1574">
  <si>
    <t>~BookRegions_Map</t>
  </si>
  <si>
    <t>~TimeSlices</t>
  </si>
  <si>
    <t>BookName</t>
  </si>
  <si>
    <t>Region</t>
  </si>
  <si>
    <t>Season</t>
  </si>
  <si>
    <t>Weekly</t>
  </si>
  <si>
    <t>DayNite</t>
  </si>
  <si>
    <t>KiNESYS</t>
  </si>
  <si>
    <t>Africa_North</t>
  </si>
  <si>
    <t>S</t>
  </si>
  <si>
    <t>h01</t>
  </si>
  <si>
    <t>Africa_Other</t>
  </si>
  <si>
    <t>W</t>
  </si>
  <si>
    <t>h02</t>
  </si>
  <si>
    <t>Australia</t>
  </si>
  <si>
    <t>h03</t>
  </si>
  <si>
    <t>Austria</t>
  </si>
  <si>
    <t>h04</t>
  </si>
  <si>
    <t>Baltics</t>
  </si>
  <si>
    <t>h05</t>
  </si>
  <si>
    <t>BeNeLux</t>
  </si>
  <si>
    <t>h06</t>
  </si>
  <si>
    <t>Brazil</t>
  </si>
  <si>
    <t>h07</t>
  </si>
  <si>
    <t>China</t>
  </si>
  <si>
    <t>h08</t>
  </si>
  <si>
    <t>CroSloven</t>
  </si>
  <si>
    <t>h09</t>
  </si>
  <si>
    <t>CzechSlovak</t>
  </si>
  <si>
    <t>h10</t>
  </si>
  <si>
    <t>France</t>
  </si>
  <si>
    <t>h11</t>
  </si>
  <si>
    <t>Germany</t>
  </si>
  <si>
    <t>h12</t>
  </si>
  <si>
    <t>GreeceCyp</t>
  </si>
  <si>
    <t>h13</t>
  </si>
  <si>
    <t>HunRomBul</t>
  </si>
  <si>
    <t>h14</t>
  </si>
  <si>
    <t>Iceland</t>
  </si>
  <si>
    <t>h15</t>
  </si>
  <si>
    <t>~regiongroup_map</t>
  </si>
  <si>
    <t>India</t>
  </si>
  <si>
    <t>h16</t>
  </si>
  <si>
    <t>regiongroup</t>
  </si>
  <si>
    <t>Ireland</t>
  </si>
  <si>
    <t>h17</t>
  </si>
  <si>
    <t>ieapg_africa</t>
  </si>
  <si>
    <t>ItalyMal</t>
  </si>
  <si>
    <t>h18</t>
  </si>
  <si>
    <t>Japan</t>
  </si>
  <si>
    <t>h19</t>
  </si>
  <si>
    <t>ieapg_united_states</t>
  </si>
  <si>
    <t>LatAm</t>
  </si>
  <si>
    <t>h20</t>
  </si>
  <si>
    <t>ieapg_european_union</t>
  </si>
  <si>
    <t>MidEast</t>
  </si>
  <si>
    <t>h21</t>
  </si>
  <si>
    <t>NorthAm</t>
  </si>
  <si>
    <t>h22</t>
  </si>
  <si>
    <t>Norway</t>
  </si>
  <si>
    <t>h23</t>
  </si>
  <si>
    <t>ieapg_brazil</t>
  </si>
  <si>
    <t>Poland</t>
  </si>
  <si>
    <t>h24</t>
  </si>
  <si>
    <t>ieapg_china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</si>
  <si>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</si>
  <si>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</si>
  <si>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</si>
  <si>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</si>
  <si>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</si>
  <si>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</si>
  <si>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</si>
  <si>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</si>
  <si>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ieapg_india</t>
  </si>
  <si>
    <t>UK</t>
  </si>
  <si>
    <t>Ukraine</t>
  </si>
  <si>
    <t>WestBalkans</t>
  </si>
  <si>
    <t>ieapg_japan</t>
  </si>
  <si>
    <t>ieapg_middle_east</t>
  </si>
  <si>
    <t>ieapg_russia</t>
  </si>
  <si>
    <t>*Ground year is 2020, base year is 2019 no problem</t>
  </si>
  <si>
    <t>~StartYear</t>
  </si>
  <si>
    <t>~ActivePDef</t>
  </si>
  <si>
    <t>~TimePeriods</t>
  </si>
  <si>
    <t>~Milestoneyears</t>
  </si>
  <si>
    <t>Pdef_9p-2100</t>
  </si>
  <si>
    <t>type</t>
  </si>
  <si>
    <t>msy14_2080</t>
  </si>
  <si>
    <t>msy18_2100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</si>
  <si>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</si>
  <si>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</si>
  <si>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</si>
  <si>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</si>
  <si>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</si>
  <si>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</si>
  <si>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</si>
  <si>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</si>
  <si>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</si>
  <si>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</si>
  <si>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</si>
  <si>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</si>
  <si>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Pset_set</t>
  </si>
  <si>
    <t>~NOPCOL</t>
  </si>
  <si>
    <t>Share</t>
  </si>
  <si>
    <t>Name</t>
  </si>
  <si>
    <t>FX</t>
  </si>
  <si>
    <t>Con_Eff</t>
  </si>
  <si>
    <t>UP,LO</t>
  </si>
  <si>
    <t>CAP_BND</t>
  </si>
  <si>
    <t>Env_inv</t>
  </si>
  <si>
    <t>NCAP_BND</t>
  </si>
  <si>
    <t>TechDesc</t>
  </si>
  <si>
    <t>ACT_BND</t>
  </si>
  <si>
    <t>ISO</t>
  </si>
  <si>
    <t>COM_ELAST</t>
  </si>
  <si>
    <t>DEM</t>
  </si>
  <si>
    <t>Country</t>
  </si>
  <si>
    <t>COM_AGG</t>
  </si>
  <si>
    <t>Sets</t>
  </si>
  <si>
    <t>FLO_MARK</t>
  </si>
  <si>
    <t>FLO_FR</t>
  </si>
  <si>
    <t>LO</t>
  </si>
  <si>
    <t>AFA</t>
  </si>
  <si>
    <t>ELE,CHP</t>
  </si>
  <si>
    <t>AF</t>
  </si>
  <si>
    <t>ELCSPV,ELCWIN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</si>
  <si>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</si>
  <si>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</si>
  <si>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</si>
  <si>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</si>
  <si>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</si>
  <si>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</si>
  <si>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</si>
  <si>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</si>
  <si>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</si>
  <si>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~TFM_INS-txt</t>
  </si>
  <si>
    <t>attribute</t>
  </si>
  <si>
    <t>pset_set</t>
  </si>
  <si>
    <t>pset_ci</t>
  </si>
  <si>
    <t>pset_co</t>
  </si>
  <si>
    <t>cset_cn</t>
  </si>
  <si>
    <t>value</t>
  </si>
  <si>
    <t>t_neg_andor</t>
  </si>
  <si>
    <t>PRC_TSL</t>
  </si>
  <si>
    <t>IRE</t>
  </si>
  <si>
    <t>*HH2*</t>
  </si>
  <si>
    <t>ANNUAL</t>
  </si>
  <si>
    <t>pset_pn</t>
  </si>
  <si>
    <t>timeslice</t>
  </si>
  <si>
    <t>-*Z,-*blend*</t>
  </si>
  <si>
    <t>GASNGA,ELCNGA,RESNGA,COMNGA,SUPNGA,GAS[_]???,GASLNG</t>
  </si>
  <si>
    <t>SEASON</t>
  </si>
  <si>
    <t>COM_TSL</t>
  </si>
  <si>
    <t>ELCNGA,RESNGA,COMNGA,GASNGA,SUPNGA,GAS[_]???,GASLNG</t>
  </si>
  <si>
    <t>COM_PKTS</t>
  </si>
  <si>
    <t>ELC</t>
  </si>
  <si>
    <t>~Currencies</t>
  </si>
  <si>
    <t>Tech_Comm_Info</t>
  </si>
  <si>
    <t>CURR</t>
  </si>
  <si>
    <t>Other_Indexes</t>
  </si>
  <si>
    <t>Currency</t>
  </si>
  <si>
    <t>G_DYEAR</t>
  </si>
  <si>
    <t>USD00</t>
  </si>
  <si>
    <t>EUR15</t>
  </si>
  <si>
    <t>EUR20</t>
  </si>
  <si>
    <t>USD01</t>
  </si>
  <si>
    <t>USD02</t>
  </si>
  <si>
    <t>USD03</t>
  </si>
  <si>
    <t>~UnitConversion</t>
  </si>
  <si>
    <t>USD04</t>
  </si>
  <si>
    <t>from_unit</t>
  </si>
  <si>
    <t>to_unit</t>
  </si>
  <si>
    <t>multiplier</t>
  </si>
  <si>
    <t>USD05</t>
  </si>
  <si>
    <t>QBtu</t>
  </si>
  <si>
    <t>PJ</t>
  </si>
  <si>
    <t>USD06</t>
  </si>
  <si>
    <t>Billion Kwh</t>
  </si>
  <si>
    <t>USD07</t>
  </si>
  <si>
    <t>Mt</t>
  </si>
  <si>
    <t>Kt</t>
  </si>
  <si>
    <t>USD08</t>
  </si>
  <si>
    <t>B$</t>
  </si>
  <si>
    <t>m$</t>
  </si>
  <si>
    <t>USD09</t>
  </si>
  <si>
    <t>TBtu</t>
  </si>
  <si>
    <t>USD10</t>
  </si>
  <si>
    <t>ktoe</t>
  </si>
  <si>
    <t>USD11</t>
  </si>
  <si>
    <t>mtoe</t>
  </si>
  <si>
    <t>USD12</t>
  </si>
  <si>
    <t>Gwh</t>
  </si>
  <si>
    <t>USD13</t>
  </si>
  <si>
    <t>Gt</t>
  </si>
  <si>
    <t>USD14</t>
  </si>
  <si>
    <t>bEur</t>
  </si>
  <si>
    <t>mEur</t>
  </si>
  <si>
    <t>USD15</t>
  </si>
  <si>
    <t>$/GJ</t>
  </si>
  <si>
    <t>$/bbl</t>
  </si>
  <si>
    <t>USD16</t>
  </si>
  <si>
    <t>$/ton</t>
  </si>
  <si>
    <t>m$/kt</t>
  </si>
  <si>
    <t>USD17</t>
  </si>
  <si>
    <t>EJ</t>
  </si>
  <si>
    <t>USD18</t>
  </si>
  <si>
    <t>bcm</t>
  </si>
  <si>
    <t>USD19</t>
  </si>
  <si>
    <t>mbpd</t>
  </si>
  <si>
    <t>USD20</t>
  </si>
  <si>
    <t>Cents per Kwh</t>
  </si>
  <si>
    <t>$ per GJ</t>
  </si>
  <si>
    <t>USD21</t>
  </si>
  <si>
    <t>Twh</t>
  </si>
  <si>
    <t>USD22</t>
  </si>
  <si>
    <t>USD23</t>
  </si>
  <si>
    <t>GWp</t>
  </si>
  <si>
    <t>USD24</t>
  </si>
  <si>
    <t>mt H2</t>
  </si>
  <si>
    <t>USD25</t>
  </si>
  <si>
    <t>mboe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</si>
  <si>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</si>
  <si>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</si>
  <si>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</si>
  <si>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</si>
  <si>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</si>
  <si>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</si>
  <si>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</si>
  <si>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</si>
  <si>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</si>
  <si>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</si>
  <si>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</si>
  <si>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</si>
  <si>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</si>
  <si>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</si>
  <si>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</si>
  <si>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</si>
  <si>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</si>
  <si>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</si>
  <si>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</si>
  <si>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</si>
  <si>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</si>
  <si>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</si>
  <si>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</si>
  <si>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</si>
  <si>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</si>
  <si>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</si>
  <si>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</si>
  <si>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</si>
  <si>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</si>
  <si>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</si>
  <si>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</si>
  <si>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</si>
  <si>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</si>
  <si>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~md_dimensions</t>
  </si>
  <si>
    <t>dimension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</si>
  <si>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</si>
  <si>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</si>
  <si>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</si>
  <si>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</si>
  <si>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</si>
  <si>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</si>
  <si>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</si>
  <si>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</si>
  <si>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</si>
  <si>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~TFM_COMGRP</t>
  </si>
  <si>
    <t>Description</t>
  </si>
  <si>
    <t>Cset_CD</t>
  </si>
  <si>
    <t>IIS_Gases</t>
  </si>
  <si>
    <t>IIS CommGrp for gases</t>
  </si>
  <si>
    <t>y</t>
  </si>
  <si>
    <t>INDNGA, INDIIS, INDCOG, INCOP</t>
  </si>
  <si>
    <t>ELC_gc</t>
  </si>
  <si>
    <t>Electricity - grid + curtailed</t>
  </si>
  <si>
    <t>ELC,ELCCurt</t>
  </si>
  <si>
    <t>cg_NGAHH2</t>
  </si>
  <si>
    <t>Nat gas + Hydrogen - primary</t>
  </si>
  <si>
    <t>GASNGA,HH2</t>
  </si>
  <si>
    <t>cg_NAPBIO</t>
  </si>
  <si>
    <t>Naphtha + biofuels - primary</t>
  </si>
  <si>
    <t>OILNAP,BIOGSL,BIODST</t>
  </si>
  <si>
    <t>cg_OIL</t>
  </si>
  <si>
    <t>Oil commodities for WEO demand</t>
  </si>
  <si>
    <t>OILASP,OILDST,OILGSL,OILHFO,OILJTK,OILKER,OILLPG,OILLUB,OILNAP,OILNGL,OILNSP,OILPTC</t>
  </si>
  <si>
    <t>cg_Other solid fuels</t>
  </si>
  <si>
    <t>Other solid fuels for WEO demand</t>
  </si>
  <si>
    <t>BIOBIN,BIOBMU,BIOCHR,BIOBSL,COABCO,COACOK</t>
  </si>
  <si>
    <t>cg_Other gases</t>
  </si>
  <si>
    <t>Other gaseous fuels for WEO demand</t>
  </si>
  <si>
    <t>GASRFG,BIOGAS,BIOSNG</t>
  </si>
  <si>
    <t>cg_Oil_synthetic</t>
  </si>
  <si>
    <t>Synthetic oil for WEO demand</t>
  </si>
  <si>
    <t>OILDSTs,OILGSLs,OILLPGs,OILHFOs,OILJTKs</t>
  </si>
  <si>
    <t>cg_Bioliq</t>
  </si>
  <si>
    <t>Bio liquids for WEO demand</t>
  </si>
  <si>
    <t>BIOGSL,BIODST,BIOJTK</t>
  </si>
  <si>
    <t>cg_COA</t>
  </si>
  <si>
    <t>COA*,-Coalbio*</t>
  </si>
  <si>
    <t>cg_Other liquids</t>
  </si>
  <si>
    <t>Other liquid fuels for WEO demand</t>
  </si>
  <si>
    <t>OILASP,OILKER,OILLUB,OILNAP,OILNGL,OILNSP,OILPTC</t>
  </si>
  <si>
    <t>coalbio</t>
  </si>
  <si>
    <t>coal plus biomass - for cofiring</t>
  </si>
  <si>
    <t>NRG</t>
  </si>
  <si>
    <t>INDCOA,INDBIO</t>
  </si>
  <si>
    <t>CoalBioH2Oil</t>
  </si>
  <si>
    <t>Blast furnace input</t>
  </si>
  <si>
    <t>INDCOA,INDBIO,INDHH2,INDOIL</t>
  </si>
  <si>
    <t>CoalBioOil</t>
  </si>
  <si>
    <t>INDCOA,INDBIO,INDOIL</t>
  </si>
  <si>
    <t>~FI_Comm</t>
  </si>
  <si>
    <t>Csets</t>
  </si>
  <si>
    <t>CommName</t>
  </si>
  <si>
    <t>CommDesc</t>
  </si>
  <si>
    <t>Unit</t>
  </si>
  <si>
    <t>CTSLvl</t>
  </si>
  <si>
    <t>PeakTS</t>
  </si>
  <si>
    <t>Ctype</t>
  </si>
  <si>
    <t>CSet</t>
  </si>
  <si>
    <t>\I: Emissions commodities</t>
  </si>
  <si>
    <t>OILFEE</t>
  </si>
  <si>
    <t>Refinery feeds</t>
  </si>
  <si>
    <t>ENV</t>
  </si>
  <si>
    <t>TRACH4N</t>
  </si>
  <si>
    <t>Transport Methan Emissions</t>
  </si>
  <si>
    <t>t</t>
  </si>
  <si>
    <t>OILNCR</t>
  </si>
  <si>
    <t>Non-crude</t>
  </si>
  <si>
    <t>AGRCH4N</t>
  </si>
  <si>
    <t>Agriculture Methan Emissions</t>
  </si>
  <si>
    <t>TRAN2ON</t>
  </si>
  <si>
    <t>Transport N2O Emissions</t>
  </si>
  <si>
    <t>kt</t>
  </si>
  <si>
    <t>CO2Captured</t>
  </si>
  <si>
    <t>CO2 Captured from fossil fuels combustion</t>
  </si>
  <si>
    <t>AGRN2ON</t>
  </si>
  <si>
    <t>Agriculture N2O Emissions</t>
  </si>
  <si>
    <t>*</t>
  </si>
  <si>
    <t>TRACO2N</t>
  </si>
  <si>
    <t>Transport Carbon Dioxide Combustion Emissions</t>
  </si>
  <si>
    <t>CO2Captured_bio</t>
  </si>
  <si>
    <t>CO2 Captured from bioenergy combustion</t>
  </si>
  <si>
    <t>AGRCO2P</t>
  </si>
  <si>
    <t>Agriculture Carbon Dioxide Process Emissions</t>
  </si>
  <si>
    <t>TRACH4I</t>
  </si>
  <si>
    <t>Transport Methan Emissions International Avi-Nav</t>
  </si>
  <si>
    <t>CO2ForStorage</t>
  </si>
  <si>
    <t>CO2 after transportation - for storage</t>
  </si>
  <si>
    <t>COMCH4N</t>
  </si>
  <si>
    <t>Commercial Methan Emissions</t>
  </si>
  <si>
    <t>TRAN2OI</t>
  </si>
  <si>
    <t>Transport N2O Emissions International Avi-Nav</t>
  </si>
  <si>
    <t>ELCCO2-Seq</t>
  </si>
  <si>
    <t>CO2 sequestered from electricity generation (for accounting)</t>
  </si>
  <si>
    <t>COMN2ON</t>
  </si>
  <si>
    <t>Commercial N2O Emissions</t>
  </si>
  <si>
    <t>TRACO2I</t>
  </si>
  <si>
    <t>Transport Carbon Dioxide Combustion Emissions International Avi-Nav</t>
  </si>
  <si>
    <t>ELCCO2Net</t>
  </si>
  <si>
    <t>Net CO2 from electricity generation</t>
  </si>
  <si>
    <t>mt</t>
  </si>
  <si>
    <t>RESCH4N</t>
  </si>
  <si>
    <t>Residential Methan Emissions</t>
  </si>
  <si>
    <t>AGRCO2Nc</t>
  </si>
  <si>
    <t>CO2 emission from COAL use in AGR sector</t>
  </si>
  <si>
    <t>DumGrid</t>
  </si>
  <si>
    <t>dummy commodity</t>
  </si>
  <si>
    <t>RESN2ON</t>
  </si>
  <si>
    <t>Residential N2O Emissions</t>
  </si>
  <si>
    <t>AGRCO2No</t>
  </si>
  <si>
    <t>CO2 emission from OIL use in AGR sector</t>
  </si>
  <si>
    <t>ELCCurt</t>
  </si>
  <si>
    <t>curtailed electricity</t>
  </si>
  <si>
    <t>DAYNITE</t>
  </si>
  <si>
    <t>RESCO2P</t>
  </si>
  <si>
    <t>Residential Carbon Dioxide Process Emissions</t>
  </si>
  <si>
    <t>AGRCO2Ng</t>
  </si>
  <si>
    <t>CO2 emission from GAS use in AGR sector</t>
  </si>
  <si>
    <t>HH2</t>
  </si>
  <si>
    <t>Hydrogen</t>
  </si>
  <si>
    <t>CO2_DAC</t>
  </si>
  <si>
    <t>CO2 from direct air capture</t>
  </si>
  <si>
    <t>COMCO2Nc</t>
  </si>
  <si>
    <t>CO2 emission from COAL use in COM sector</t>
  </si>
  <si>
    <t>LH2</t>
  </si>
  <si>
    <t>Liquid Hydrogen (for trading)</t>
  </si>
  <si>
    <t>COMCO2No</t>
  </si>
  <si>
    <t>CO2 emission from OIL use in COM sector</t>
  </si>
  <si>
    <t>NetCO2_ELC</t>
  </si>
  <si>
    <t>COMCO2Ng</t>
  </si>
  <si>
    <t>CO2 emission from GAS use in COM sector</t>
  </si>
  <si>
    <t>NetCO2_SUP</t>
  </si>
  <si>
    <t>Net CO2 from energy sector</t>
  </si>
  <si>
    <t>ELCCO2Nc</t>
  </si>
  <si>
    <t>CO2 emission from COAL use in ELC sector</t>
  </si>
  <si>
    <t>NetCO2_TRA</t>
  </si>
  <si>
    <t>Net CO2 from transport</t>
  </si>
  <si>
    <t>ELCCO2Ng</t>
  </si>
  <si>
    <t>CO2 emission from GAS use in ELC sector</t>
  </si>
  <si>
    <t>NetCO2_Bldg</t>
  </si>
  <si>
    <t>Net CO2 from Residential and Commercial</t>
  </si>
  <si>
    <t>ELCCO2No</t>
  </si>
  <si>
    <t>CO2 emission from OIL use in ELC sector</t>
  </si>
  <si>
    <t>NetCO2_IND</t>
  </si>
  <si>
    <t>Net CO2 from Industry</t>
  </si>
  <si>
    <t>ELCCO2Nw</t>
  </si>
  <si>
    <t>CO2 emission from WASTE use in ELC sector</t>
  </si>
  <si>
    <t>CO2Captured_elc</t>
  </si>
  <si>
    <t>CO2 Captured in the Power sector</t>
  </si>
  <si>
    <t>INDCO2Nc</t>
  </si>
  <si>
    <t>CO2 emission from COAL use in IND sector</t>
  </si>
  <si>
    <t>CO2Captured_sup</t>
  </si>
  <si>
    <t>CO2 Captured in Energy sector (bioref and H2 production)</t>
  </si>
  <si>
    <t>ELCCO2Nb</t>
  </si>
  <si>
    <t>CO2 emission from BIOMASS use in ELC sector</t>
  </si>
  <si>
    <t>CO2Captured_ind</t>
  </si>
  <si>
    <t>CO2 Captured in Industry</t>
  </si>
  <si>
    <t>INDCO2Nb</t>
  </si>
  <si>
    <t>CO2 emission from BIOMASS use in IND sector</t>
  </si>
  <si>
    <t>CO2Captured_ccu</t>
  </si>
  <si>
    <t>CO2 Captured from bioenergy combustion and DAC (which CAN be used for power to liq)</t>
  </si>
  <si>
    <t>INDCO2No</t>
  </si>
  <si>
    <t>CO2 emission from OIL use in IND sector</t>
  </si>
  <si>
    <t>CO2Used_ccu</t>
  </si>
  <si>
    <t>Captured CO2 used for liquid fuels etc - to be emitted eventually</t>
  </si>
  <si>
    <t>INDCO2Ng</t>
  </si>
  <si>
    <t>CO2 emission from GAS use in IND sector</t>
  </si>
  <si>
    <t>ELCDem</t>
  </si>
  <si>
    <t>Non-Transport electricity demand</t>
  </si>
  <si>
    <t>RESCO2Nc</t>
  </si>
  <si>
    <t>CO2 emission from COAL use in RES sector</t>
  </si>
  <si>
    <t>RESCO2No</t>
  </si>
  <si>
    <t>CO2 emission from OIL use in RES sector</t>
  </si>
  <si>
    <t>RESCO2Ng</t>
  </si>
  <si>
    <t>CO2 emission from GAS use in RES sector</t>
  </si>
  <si>
    <t>SUPCO2Nc</t>
  </si>
  <si>
    <t>CO2 emission from COAL use in SUP sector</t>
  </si>
  <si>
    <t>~fi_comm</t>
  </si>
  <si>
    <t>SUPCO2Nb</t>
  </si>
  <si>
    <t>CO2 emission from BIOMASS use in SUP sector</t>
  </si>
  <si>
    <t>set</t>
  </si>
  <si>
    <t>commodity</t>
  </si>
  <si>
    <t>description</t>
  </si>
  <si>
    <t>timeslicelevel</t>
  </si>
  <si>
    <t>unit</t>
  </si>
  <si>
    <t>ctype</t>
  </si>
  <si>
    <t>SUPCO2Ng</t>
  </si>
  <si>
    <t>CO2 emission from GAS use in SUP sector</t>
  </si>
  <si>
    <t>ELC4H</t>
  </si>
  <si>
    <t>First 5 hours of surplus electricity from VRE generation</t>
  </si>
  <si>
    <t>SUPCO2No</t>
  </si>
  <si>
    <t>CO2 emission from OIL use in SUP sector</t>
  </si>
  <si>
    <t>ELC8H</t>
  </si>
  <si>
    <t>6-10 hours of surplus electricity from VRE generation</t>
  </si>
  <si>
    <t>HH2CO2Nc</t>
  </si>
  <si>
    <t>CO2 emission from COAL use in HH2 sector</t>
  </si>
  <si>
    <t>DEF_E</t>
  </si>
  <si>
    <t>Electricity that was missing at the hourly level</t>
  </si>
  <si>
    <t>HH2CO2Nb</t>
  </si>
  <si>
    <t>CO2 emission from BIOMASS use in HH2 sector</t>
  </si>
  <si>
    <t>DEF_C</t>
  </si>
  <si>
    <t>VRE Capacity deficit to be covered by dispatchable techs</t>
  </si>
  <si>
    <t>GW</t>
  </si>
  <si>
    <t>HH2CO2Ng</t>
  </si>
  <si>
    <t>CO2 emission from GAS use in HH2 sector</t>
  </si>
  <si>
    <t>HH2CO2No</t>
  </si>
  <si>
    <t>CO2 emission from OIL use in HH2 sector</t>
  </si>
  <si>
    <t>TRACO2Nc</t>
  </si>
  <si>
    <t>CO2 emission from COAL use in TRA sector</t>
  </si>
  <si>
    <t>TRACO2No</t>
  </si>
  <si>
    <t>CO2 emission from OIL use in TRA sector</t>
  </si>
  <si>
    <t>TRACO2Ng</t>
  </si>
  <si>
    <t>CO2 emission from GAS use in TRA sector</t>
  </si>
  <si>
    <t>TOTCO2</t>
  </si>
  <si>
    <t>Total NET energy sector CO2</t>
  </si>
  <si>
    <t>INDNUC</t>
  </si>
  <si>
    <t>GASLNG</t>
  </si>
  <si>
    <t>Liquid Natural Gas</t>
  </si>
  <si>
    <t>repuc_unity</t>
  </si>
  <si>
    <t>dummy to create unit flow - for reporting Ucs</t>
  </si>
  <si>
    <t>misc</t>
  </si>
  <si>
    <t>N</t>
  </si>
  <si>
    <t>Set</t>
  </si>
  <si>
    <t>Commodity</t>
  </si>
  <si>
    <t>TSlvl</t>
  </si>
  <si>
    <t>Type</t>
  </si>
  <si>
    <t>*Commodity</t>
  </si>
  <si>
    <t>BIOBIN</t>
  </si>
  <si>
    <t>IEA Product: INDWASTE</t>
  </si>
  <si>
    <t>AGRBIO</t>
  </si>
  <si>
    <t>Agriculture sector use of: BIODIESEL,BIOGASOL,BIOJETKERO,CHARCOAL,INDWASTE,MUNWASTEN,MUNWASTER,OBIOLIQ,PRIMSBIO,RENEWNS</t>
  </si>
  <si>
    <t>TRAGH2</t>
  </si>
  <si>
    <t>Gaseous H2 for transport</t>
  </si>
  <si>
    <t>BIOBMU</t>
  </si>
  <si>
    <t>IEA Product: MUNWASTEN,MUNWASTER</t>
  </si>
  <si>
    <t>AGRCOA</t>
  </si>
  <si>
    <t>Agriculture sector use of: ANTCOAL,BITCOAL,BKB,BROWN,COALTAR,COKCOAL,GASCOKE,HARDCOAL,LIGNITE,OILSHALE,OTHER,OVENCOKE,PATFUEL,PEAT,PEATPROD,SUBCOAL</t>
  </si>
  <si>
    <t>TRALH2</t>
  </si>
  <si>
    <t>Liquid H2 for transport</t>
  </si>
  <si>
    <t>BIOBSL</t>
  </si>
  <si>
    <t>IEA Product: PRIMSBIO</t>
  </si>
  <si>
    <t>AGRCRD</t>
  </si>
  <si>
    <t>Agriculture sector use of: ADDITIVE</t>
  </si>
  <si>
    <t>\I:</t>
  </si>
  <si>
    <t>COMHH2</t>
  </si>
  <si>
    <t>Hydrogen - to blend with gas - COM</t>
  </si>
  <si>
    <t>BIOCHR</t>
  </si>
  <si>
    <t>IEA Product: CHARCOAL</t>
  </si>
  <si>
    <t>AGRELC</t>
  </si>
  <si>
    <t>Agriculture sector use of: ELECTR</t>
  </si>
  <si>
    <t>RESHH2</t>
  </si>
  <si>
    <t>Hydrogen - to blend with gas - RES</t>
  </si>
  <si>
    <t>BIODST</t>
  </si>
  <si>
    <t>IEA Product: BIODIESEL,OBIOLIQ</t>
  </si>
  <si>
    <t>AGRGEO</t>
  </si>
  <si>
    <t>Agriculture sector use of: GEOTHERM</t>
  </si>
  <si>
    <t>INDHH2</t>
  </si>
  <si>
    <t>Hydrogen - to blend with gas - IND</t>
  </si>
  <si>
    <t>BIOGAS</t>
  </si>
  <si>
    <t>IEA Product: BIOGASES</t>
  </si>
  <si>
    <t>AGRHET</t>
  </si>
  <si>
    <t>Agriculture sector use of: HEAT,HEATNS</t>
  </si>
  <si>
    <t>LTHEAT</t>
  </si>
  <si>
    <t>ELCHH2</t>
  </si>
  <si>
    <t>Hydrogen - to blend with gas - ELC</t>
  </si>
  <si>
    <t>BIOGSL</t>
  </si>
  <si>
    <t>IEA Product: BIOGASOL</t>
  </si>
  <si>
    <t>AGRHYD</t>
  </si>
  <si>
    <t>Agriculture sector use of: HYDRO</t>
  </si>
  <si>
    <t>BIOKER</t>
  </si>
  <si>
    <t>IEA Product: BIOJETKERO</t>
  </si>
  <si>
    <t>AGRKER</t>
  </si>
  <si>
    <t>Agriculture sector use of: AVGAS,JETGAS,NONBIOJETK,OTHKERO</t>
  </si>
  <si>
    <t>BIOREN</t>
  </si>
  <si>
    <t>IEA Product: RENEWNS</t>
  </si>
  <si>
    <t>AGRLPG</t>
  </si>
  <si>
    <t>Agriculture sector use of: LPG</t>
  </si>
  <si>
    <t>COABCO</t>
  </si>
  <si>
    <t>IEA Product: BKB,BROWN,LIGNITE,OTHER,PEAT,PEATPROD,SUBCOAL</t>
  </si>
  <si>
    <t>AGRNAP</t>
  </si>
  <si>
    <t>Agriculture sector use of: NAPHTHA</t>
  </si>
  <si>
    <t>COACOK</t>
  </si>
  <si>
    <t>IEA Product: COKCOAL,GASCOKE</t>
  </si>
  <si>
    <t>AGRNGA</t>
  </si>
  <si>
    <t>Agriculture sector use of: BIOGASES,BLFURGS,COKEOVGS,ETHANE,GASWKSGS,NATGAS,OGASES,REFINGAS</t>
  </si>
  <si>
    <t>tslvl</t>
  </si>
  <si>
    <t>COAHCO</t>
  </si>
  <si>
    <t>IEA Product: ANTCOAL,BITCOAL,HARDCOAL,OILSHALE,PATFUEL</t>
  </si>
  <si>
    <t>AGRNGL</t>
  </si>
  <si>
    <t>Agriculture sector use of: NGL</t>
  </si>
  <si>
    <t>ELC_Sol-DZA</t>
  </si>
  <si>
    <t>Solar electricity produced in - Algeria</t>
  </si>
  <si>
    <t>COAOVC</t>
  </si>
  <si>
    <t>IEA Product: OVENCOKE</t>
  </si>
  <si>
    <t>AGRNUC</t>
  </si>
  <si>
    <t>Agriculture sector use of: NUCLEAR</t>
  </si>
  <si>
    <t>ELC_Sol-EGY</t>
  </si>
  <si>
    <t>Solar electricity produced in - Egypt</t>
  </si>
  <si>
    <t>COATAR</t>
  </si>
  <si>
    <t>IEA Product: COALTAR</t>
  </si>
  <si>
    <t>AGROIL</t>
  </si>
  <si>
    <t>Agriculture sector use of: BITUMEN,CRNGFEED,CRUDEOIL,LUBRIC,NONBIODIES,NONBIOGASO,NONCRUDE,ONONSPEC,PARWAX,PETCOKE,REFFEEDS,RESFUEL,WHITESP</t>
  </si>
  <si>
    <t>ELC_Sol-LBY</t>
  </si>
  <si>
    <t>Solar electricity produced in - Libya</t>
  </si>
  <si>
    <t>IEA Product: ELECTR</t>
  </si>
  <si>
    <t>AGRSPV</t>
  </si>
  <si>
    <t>Agriculture sector use of: SOLARPV</t>
  </si>
  <si>
    <t>ELC_Sol-MAR</t>
  </si>
  <si>
    <t>Solar electricity produced in - Morocco</t>
  </si>
  <si>
    <t>GASBFG</t>
  </si>
  <si>
    <t>IEA Product: BLFURGS,OGASES</t>
  </si>
  <si>
    <t>AGRSTH</t>
  </si>
  <si>
    <t>Agriculture sector use of: SOLARTH</t>
  </si>
  <si>
    <t>ELC_Sol-TUN</t>
  </si>
  <si>
    <t>Solar electricity produced in - Tunisia</t>
  </si>
  <si>
    <t>GASCOG</t>
  </si>
  <si>
    <t>IEA Product: COKEOVGS</t>
  </si>
  <si>
    <t>AGRTDL</t>
  </si>
  <si>
    <t>Agriculture sector use of: TIDE</t>
  </si>
  <si>
    <t>ELC_Win-DZA</t>
  </si>
  <si>
    <t>Wind electricity produced in - Algeria</t>
  </si>
  <si>
    <t>GASETH</t>
  </si>
  <si>
    <t>IEA Product: ETHANE</t>
  </si>
  <si>
    <t>AGRWIN</t>
  </si>
  <si>
    <t>Agriculture sector use of: WIND</t>
  </si>
  <si>
    <t>ELC_Win-EGY</t>
  </si>
  <si>
    <t>Wind electricity produced in - Egypt</t>
  </si>
  <si>
    <t>GASGWG</t>
  </si>
  <si>
    <t>IEA Product: GASWKSGS</t>
  </si>
  <si>
    <t>COMASP</t>
  </si>
  <si>
    <t>Commercial sector use of: BITUMEN</t>
  </si>
  <si>
    <t>ELC_Win-LBY</t>
  </si>
  <si>
    <t>Wind electricity produced in - Libya</t>
  </si>
  <si>
    <t>GASNGA</t>
  </si>
  <si>
    <t>IEA Product: NATGAS</t>
  </si>
  <si>
    <t>COMBIO</t>
  </si>
  <si>
    <t>Commercial sector use of: BIODIESEL,BIOGASOL,BIOJETKERO,CHARCOAL,INDWASTE,MUNWASTEN,MUNWASTER,OBIOLIQ,PRIMSBIO,RENEWNS</t>
  </si>
  <si>
    <t>ELC_Win-MAR</t>
  </si>
  <si>
    <t>Wind electricity produced in - Morocco</t>
  </si>
  <si>
    <t>GASRFG</t>
  </si>
  <si>
    <t>IEA Product: REFINGAS</t>
  </si>
  <si>
    <t>COMCOA</t>
  </si>
  <si>
    <t>Commercial sector use of: ANTCOAL,BITCOAL,BKB,BROWN,COALTAR,COKCOAL,GASCOKE,HARDCOAL,LIGNITE,OILSHALE,OTHER,OVENCOKE,PATFUEL,PEAT,PEATPROD,SUBCOAL</t>
  </si>
  <si>
    <t>ELC_Win-TUN</t>
  </si>
  <si>
    <t>Wind electricity produced in - Tunisia</t>
  </si>
  <si>
    <t>GEO</t>
  </si>
  <si>
    <t>IEA Product: GEOTHERM</t>
  </si>
  <si>
    <t>COMCRD</t>
  </si>
  <si>
    <t>Commercial sector use of: ADDITIVE</t>
  </si>
  <si>
    <t>ELC_Sol-AGO</t>
  </si>
  <si>
    <t>Solar electricity produced in - Angola</t>
  </si>
  <si>
    <t>HET</t>
  </si>
  <si>
    <t>IEA Product: HEAT,HEATNS</t>
  </si>
  <si>
    <t>COMELC</t>
  </si>
  <si>
    <t>Commercial sector use of: ELECTR</t>
  </si>
  <si>
    <t>ELC_Sol-BDI</t>
  </si>
  <si>
    <t>Solar electricity produced in - Burundi</t>
  </si>
  <si>
    <t>HYD</t>
  </si>
  <si>
    <t>IEA Product: HYDRO</t>
  </si>
  <si>
    <t>COMGEO</t>
  </si>
  <si>
    <t>Commercial sector use of: GEOTHERM</t>
  </si>
  <si>
    <t>ELC_Sol-BEN</t>
  </si>
  <si>
    <t>Solar electricity produced in - Benin</t>
  </si>
  <si>
    <t>NUC</t>
  </si>
  <si>
    <t>IEA Product: NUCLEAR</t>
  </si>
  <si>
    <t>COMHET</t>
  </si>
  <si>
    <t>Commercial sector use of: HEAT,HEATNS</t>
  </si>
  <si>
    <t>ELC_Sol-BFA</t>
  </si>
  <si>
    <t>Solar electricity produced in - Burkina Faso</t>
  </si>
  <si>
    <t>OILASP</t>
  </si>
  <si>
    <t>IEA Product: BITUMEN</t>
  </si>
  <si>
    <t>COMHYD</t>
  </si>
  <si>
    <t>Commercial sector use of: HYDRO</t>
  </si>
  <si>
    <t>ELC_Sol-BWA</t>
  </si>
  <si>
    <t>Solar electricity produced in - Botswana</t>
  </si>
  <si>
    <t>OILCRD</t>
  </si>
  <si>
    <t>IEA Product: ADDITIVE,CRNGFEED,CRUDEOIL</t>
  </si>
  <si>
    <t>COMKER</t>
  </si>
  <si>
    <t>Commercial sector use of: AVGAS,JETGAS,NONBIOJETK,OTHKERO</t>
  </si>
  <si>
    <t>ELC_Sol-CAF</t>
  </si>
  <si>
    <t>Solar electricity produced in - Central African Republic</t>
  </si>
  <si>
    <t>OILDST</t>
  </si>
  <si>
    <t>IEA Product: NONBIODIES</t>
  </si>
  <si>
    <t>COMLPG</t>
  </si>
  <si>
    <t>Commercial sector use of: LPG</t>
  </si>
  <si>
    <t>ELC_Sol-CIV</t>
  </si>
  <si>
    <t>Solar electricity produced in - Ivory Coast</t>
  </si>
  <si>
    <t>IEA Product: REFFEEDS</t>
  </si>
  <si>
    <t>COMNAP</t>
  </si>
  <si>
    <t>Commercial sector use of: NAPHTHA</t>
  </si>
  <si>
    <t>ELC_Sol-CMR</t>
  </si>
  <si>
    <t>Solar electricity produced in - Cameroon</t>
  </si>
  <si>
    <t>OILGSL</t>
  </si>
  <si>
    <t>IEA Product: NONBIOGASO</t>
  </si>
  <si>
    <t>COMNGA</t>
  </si>
  <si>
    <t>Commercial sector use of: BIOGASES,BLFURGS,COKEOVGS,ETHANE,GASWKSGS,NATGAS,OGASES,REFINGAS</t>
  </si>
  <si>
    <t>ELC_Sol-COD</t>
  </si>
  <si>
    <t>Solar electricity produced in - Democratic Republic of Congo</t>
  </si>
  <si>
    <t>OILHFO</t>
  </si>
  <si>
    <t>IEA Product: RESFUEL</t>
  </si>
  <si>
    <t>COMNGL</t>
  </si>
  <si>
    <t>Commercial sector use of: NGL</t>
  </si>
  <si>
    <t>ELC_Sol-COG</t>
  </si>
  <si>
    <t>Solar electricity produced in - Republic of Congo</t>
  </si>
  <si>
    <t>OILJTK</t>
  </si>
  <si>
    <t>IEA Product: AVGAS,JETGAS,NONBIOJETK</t>
  </si>
  <si>
    <t>COMNUC</t>
  </si>
  <si>
    <t>Commercial sector use of: NUCLEAR</t>
  </si>
  <si>
    <t>ELC_Sol-COM</t>
  </si>
  <si>
    <t>Solar electricity produced in - Comoros</t>
  </si>
  <si>
    <t>OILKER</t>
  </si>
  <si>
    <t>IEA Product: OTHKERO</t>
  </si>
  <si>
    <t>COMOIL</t>
  </si>
  <si>
    <t>Commercial sector use of: CRNGFEED,CRUDEOIL,LUBRIC,NONBIODIES,NONBIOGASO,NONCRUDE,ONONSPEC,PARWAX,PETCOKE,REFFEEDS,RESFUEL,WHITESP</t>
  </si>
  <si>
    <t>ELC_Sol-CPV</t>
  </si>
  <si>
    <t>Solar electricity produced in - Cape Verde</t>
  </si>
  <si>
    <t>OILLPG</t>
  </si>
  <si>
    <t>IEA Product: LPG</t>
  </si>
  <si>
    <t>COMSPV</t>
  </si>
  <si>
    <t>Commercial sector use of: SOLARPV</t>
  </si>
  <si>
    <t>ELC_Sol-DJI</t>
  </si>
  <si>
    <t>Solar electricity produced in - Djibouti</t>
  </si>
  <si>
    <t>OILLUB</t>
  </si>
  <si>
    <t>IEA Product: LUBRIC,PARWAX,WHITESP</t>
  </si>
  <si>
    <t>COMSTH</t>
  </si>
  <si>
    <t>Commercial sector use of: SOLARTH</t>
  </si>
  <si>
    <t>ELC_Sol-ERI</t>
  </si>
  <si>
    <t>Solar electricity produced in - Eritrea</t>
  </si>
  <si>
    <t>OILNAP</t>
  </si>
  <si>
    <t>IEA Product: NAPHTHA</t>
  </si>
  <si>
    <t>COMTDL</t>
  </si>
  <si>
    <t>Commercial sector use of: TIDE</t>
  </si>
  <si>
    <t>ELC_Sol-ETH</t>
  </si>
  <si>
    <t>Solar electricity produced in - Ethiopia</t>
  </si>
  <si>
    <t>IEA Product: NONCRUDE</t>
  </si>
  <si>
    <t>COMWIN</t>
  </si>
  <si>
    <t>Commercial sector use of: WIND</t>
  </si>
  <si>
    <t>ELC_Sol-GAB</t>
  </si>
  <si>
    <t>Solar electricity produced in - Gabon</t>
  </si>
  <si>
    <t>OILNGL</t>
  </si>
  <si>
    <t>IEA Product: NGL</t>
  </si>
  <si>
    <t>INDBFG</t>
  </si>
  <si>
    <t>Industry sector use of: OGASES</t>
  </si>
  <si>
    <t>ELC_Sol-GHA</t>
  </si>
  <si>
    <t>Solar electricity produced in - Ghana</t>
  </si>
  <si>
    <t>OILNSP</t>
  </si>
  <si>
    <t>IEA Product: ONONSPEC</t>
  </si>
  <si>
    <t>INDBIO</t>
  </si>
  <si>
    <t>Industry sector use of: BIODIESEL,BIOGASES,BIOGASOL,BIOJETKERO,CHARCOAL,INDWASTE,MUNWASTEN,MUNWASTER,OBIOLIQ,PRIMSBIO,RENEWNS</t>
  </si>
  <si>
    <t>ELC_Sol-GIN</t>
  </si>
  <si>
    <t>Solar electricity produced in - Guinea</t>
  </si>
  <si>
    <t>OILPTC</t>
  </si>
  <si>
    <t>IEA Product: PETCOKE</t>
  </si>
  <si>
    <t>INDCOA</t>
  </si>
  <si>
    <t>Industry sector use of: ANTCOAL,BITCOAL,BKB,BROWN,COALTAR,COKCOAL,GASCOKE,HARDCOAL,LIGNITE,OILSHALE,OTHER,OVENCOKE,PATFUEL,PEAT,PEATPROD,SUBCOAL</t>
  </si>
  <si>
    <t>ELC_Sol-GMB</t>
  </si>
  <si>
    <t>Solar electricity produced in - The Gambia</t>
  </si>
  <si>
    <t>SPV</t>
  </si>
  <si>
    <t>IEA Product: SOLARPV</t>
  </si>
  <si>
    <t>INDELC</t>
  </si>
  <si>
    <t>Industry sector use of: ELECTR</t>
  </si>
  <si>
    <t>ELC_Sol-GNB</t>
  </si>
  <si>
    <t>Solar electricity produced in - Guinea-Bissau</t>
  </si>
  <si>
    <t>STH</t>
  </si>
  <si>
    <t>IEA Product: SOLARTH</t>
  </si>
  <si>
    <t>INDGEO</t>
  </si>
  <si>
    <t>Industry sector use of: GEOTHERM</t>
  </si>
  <si>
    <t>ELC_Sol-GNQ</t>
  </si>
  <si>
    <t>Solar electricity produced in - Equatorial Guinea</t>
  </si>
  <si>
    <t>TID</t>
  </si>
  <si>
    <t>IEA Product: TIDE</t>
  </si>
  <si>
    <t>INDHET</t>
  </si>
  <si>
    <t>Industry sector use of: HEAT,HEATNS</t>
  </si>
  <si>
    <t>ELC_Sol-KEN</t>
  </si>
  <si>
    <t>Solar electricity produced in - Kenya</t>
  </si>
  <si>
    <t>WIN</t>
  </si>
  <si>
    <t>IEA Product: WIND</t>
  </si>
  <si>
    <t>INDHYD</t>
  </si>
  <si>
    <t>Industry sector use of: HYDRO</t>
  </si>
  <si>
    <t>ELC_Sol-LBR</t>
  </si>
  <si>
    <t>Solar electricity produced in - Liberia</t>
  </si>
  <si>
    <t>INDNGA</t>
  </si>
  <si>
    <t>Industry sector use of: BLFURGS,COKEOVGS,ETHANE,GASWKSGS,NATGAS,REFINGAS</t>
  </si>
  <si>
    <t>ELC_Sol-LSO</t>
  </si>
  <si>
    <t>Solar electricity produced in - Lesotho</t>
  </si>
  <si>
    <t>Industry sector use of: NUCLEAR</t>
  </si>
  <si>
    <t>ELC_Sol-MDG</t>
  </si>
  <si>
    <t>Solar electricity produced in - Madagascar</t>
  </si>
  <si>
    <t>INDOIL</t>
  </si>
  <si>
    <t>Industry sector use of: ADDITIVE,AVGAS,BITUMEN,CRNGFEED,CRUDEOIL,JETGAS,LPG,LUBRIC,NAPHTHA,NGL,NONBIODIES,NONBIOGASO,NONBIOJETK,NONCRUDE,ONONSPEC,OTHKERO,PARWAX,PETCOKE,REFFEEDS,RESFUEL,WHITESP</t>
  </si>
  <si>
    <t>ELC_Sol-MLI</t>
  </si>
  <si>
    <t>Solar electricity produced in - Mali</t>
  </si>
  <si>
    <t>INDSPV</t>
  </si>
  <si>
    <t>Industry sector use of: SOLARPV</t>
  </si>
  <si>
    <t>ELC_Sol-MOZ</t>
  </si>
  <si>
    <t>Solar electricity produced in - Mozambique</t>
  </si>
  <si>
    <t>INDSTH</t>
  </si>
  <si>
    <t>Industry sector use of: SOLARTH</t>
  </si>
  <si>
    <t>ELC_Sol-MRT</t>
  </si>
  <si>
    <t>Solar electricity produced in - Mauritania</t>
  </si>
  <si>
    <t>INDTID</t>
  </si>
  <si>
    <t>Industry sector use of: TIDE</t>
  </si>
  <si>
    <t>ELC_Sol-MUS</t>
  </si>
  <si>
    <t>Solar electricity produced in - Mauritius</t>
  </si>
  <si>
    <t>INDWIN</t>
  </si>
  <si>
    <t>Industry sector use of: WIND</t>
  </si>
  <si>
    <t>ELC_Sol-MWI</t>
  </si>
  <si>
    <t>Solar electricity produced in - Malawi</t>
  </si>
  <si>
    <t>RESASP</t>
  </si>
  <si>
    <t>Residential sector use of: BITUMEN</t>
  </si>
  <si>
    <t>ELC_Sol-MYT</t>
  </si>
  <si>
    <t>Solar electricity produced in - Mayotte</t>
  </si>
  <si>
    <t>RESBIO</t>
  </si>
  <si>
    <t>Residential sector use of: BIODIESEL,BIOGASOL,BIOJETKERO,CHARCOAL,INDWASTE,MUNWASTEN,MUNWASTER,OBIOLIQ,PRIMSBIO,RENEWNS</t>
  </si>
  <si>
    <t>ELC_Sol-NAM</t>
  </si>
  <si>
    <t>Solar electricity produced in - Namibia</t>
  </si>
  <si>
    <t>RESCOA</t>
  </si>
  <si>
    <t>Residential sector use of: ANTCOAL,BITCOAL,BKB,BROWN,COALTAR,COKCOAL,GASCOKE,HARDCOAL,LIGNITE,OILSHALE,OTHER,OVENCOKE,PATFUEL,PEAT,PEATPROD,SUBCOAL</t>
  </si>
  <si>
    <t>ELC_Sol-NER</t>
  </si>
  <si>
    <t>Solar electricity produced in - Niger</t>
  </si>
  <si>
    <t>RESCRD</t>
  </si>
  <si>
    <t>Residential sector use of: ADDITIVE</t>
  </si>
  <si>
    <t>ELC_Sol-NGA</t>
  </si>
  <si>
    <t>Solar electricity produced in - Nigeria</t>
  </si>
  <si>
    <t>RESELC</t>
  </si>
  <si>
    <t>Residential sector use of: ELECTR</t>
  </si>
  <si>
    <t>ELC_Sol-RWA</t>
  </si>
  <si>
    <t>Solar electricity produced in - Rwanda</t>
  </si>
  <si>
    <t>RESGEO</t>
  </si>
  <si>
    <t>Residential sector use of: GEOTHERM</t>
  </si>
  <si>
    <t>ELC_Sol-SDN</t>
  </si>
  <si>
    <t>Solar electricity produced in - Sudan</t>
  </si>
  <si>
    <t>RESHET</t>
  </si>
  <si>
    <t>Residential sector use of: HEAT,HEATNS</t>
  </si>
  <si>
    <t>ELC_Sol-SEN</t>
  </si>
  <si>
    <t>Solar electricity produced in - Senegal</t>
  </si>
  <si>
    <t>RESHYD</t>
  </si>
  <si>
    <t>Residential sector use of: HYDRO</t>
  </si>
  <si>
    <t>ELC_Sol-SLE</t>
  </si>
  <si>
    <t>Solar electricity produced in - Sierra Leone</t>
  </si>
  <si>
    <t>RESKER</t>
  </si>
  <si>
    <t>Residential sector use of: AVGAS,JETGAS,NONBIOJETK,OTHKERO</t>
  </si>
  <si>
    <t>ELC_Sol-SOM</t>
  </si>
  <si>
    <t>Solar electricity produced in - Somalia</t>
  </si>
  <si>
    <t>RESLPG</t>
  </si>
  <si>
    <t>Residential sector use of: LPG</t>
  </si>
  <si>
    <t>ELC_Sol-SSD</t>
  </si>
  <si>
    <t>Solar electricity produced in - South Sudan</t>
  </si>
  <si>
    <t>RESNAP</t>
  </si>
  <si>
    <t>Residential sector use of: NAPHTHA</t>
  </si>
  <si>
    <t>ELC_Sol-STP</t>
  </si>
  <si>
    <t>Solar electricity produced in - Sao Tome and Principe</t>
  </si>
  <si>
    <t>RESNGA</t>
  </si>
  <si>
    <t>Residential sector use of: BIOGASES,BLFURGS,COKEOVGS,ETHANE,GASWKSGS,NATGAS,OGASES,REFINGAS</t>
  </si>
  <si>
    <t>ELC_Sol-SWZ</t>
  </si>
  <si>
    <t>Solar electricity produced in - Swaziland</t>
  </si>
  <si>
    <t>RESNGL</t>
  </si>
  <si>
    <t>Residential sector use of: NGL</t>
  </si>
  <si>
    <t>ELC_Sol-SYC</t>
  </si>
  <si>
    <t>Solar electricity produced in - Seychelles</t>
  </si>
  <si>
    <t>RESNUC</t>
  </si>
  <si>
    <t>Residential sector use of: NUCLEAR</t>
  </si>
  <si>
    <t>ELC_Sol-TCD</t>
  </si>
  <si>
    <t>Solar electricity produced in - Chad</t>
  </si>
  <si>
    <t>RESOIL</t>
  </si>
  <si>
    <t>Residential sector use of: CRNGFEED,CRUDEOIL,LUBRIC,NONBIODIES,NONBIOGASO,NONCRUDE,ONONSPEC,PARWAX,PETCOKE,REFFEEDS,RESFUEL,WHITESP</t>
  </si>
  <si>
    <t>ELC_Sol-TGO</t>
  </si>
  <si>
    <t>Solar electricity produced in - Togo</t>
  </si>
  <si>
    <t>RESSPV</t>
  </si>
  <si>
    <t>Residential sector use of: SOLARPV</t>
  </si>
  <si>
    <t>ELC_Sol-TZA</t>
  </si>
  <si>
    <t>Solar electricity produced in - Tanzania</t>
  </si>
  <si>
    <t>RESSTH</t>
  </si>
  <si>
    <t>Residential sector use of: SOLARTH</t>
  </si>
  <si>
    <t>ELC_Sol-UGA</t>
  </si>
  <si>
    <t>Solar electricity produced in - Uganda</t>
  </si>
  <si>
    <t>RESTDL</t>
  </si>
  <si>
    <t>Residential sector use of: TIDE</t>
  </si>
  <si>
    <t>ELC_Sol-ZMB</t>
  </si>
  <si>
    <t>Solar electricity produced in - Zambia</t>
  </si>
  <si>
    <t>RESWIN</t>
  </si>
  <si>
    <t>Residential sector use of: WIND</t>
  </si>
  <si>
    <t>ELC_Sol-ZWE</t>
  </si>
  <si>
    <t>Solar electricity produced in - Zimbabwe</t>
  </si>
  <si>
    <t>TRABDS</t>
  </si>
  <si>
    <t>Transport sector use of: BIODIESEL,OBIOLIQ</t>
  </si>
  <si>
    <t>ELC_Win-AGO</t>
  </si>
  <si>
    <t>Wind electricity produced in - Angola</t>
  </si>
  <si>
    <t>TRABGS</t>
  </si>
  <si>
    <t>Transport sector use of: BIOGASOL,RENEWNS</t>
  </si>
  <si>
    <t>ELC_Win-BDI</t>
  </si>
  <si>
    <t>Wind electricity produced in - Burundi</t>
  </si>
  <si>
    <t>TRABJK</t>
  </si>
  <si>
    <t>Transport sector use of: BIOJETKERO</t>
  </si>
  <si>
    <t>ELC_Win-BEN</t>
  </si>
  <si>
    <t>Wind electricity produced in - Benin</t>
  </si>
  <si>
    <t>TRABSL</t>
  </si>
  <si>
    <t>Transport sector use of: CHARCOAL,PRIMSBIO</t>
  </si>
  <si>
    <t>ELC_Win-BFA</t>
  </si>
  <si>
    <t>Wind electricity produced in - Burkina Faso</t>
  </si>
  <si>
    <t>TRACOA</t>
  </si>
  <si>
    <t>Transport sector use of: ANTCOAL,BITCOAL,BKB,BROWN,COALTAR,COKCOAL,GASCOKE,HARDCOAL,LIGNITE,OTHER,OVENCOKE,PATFUEL,PEAT,PEATPROD,SUBCOAL</t>
  </si>
  <si>
    <t>ELC_Win-BWA</t>
  </si>
  <si>
    <t>Wind electricity produced in - Botswana</t>
  </si>
  <si>
    <t>TRADST</t>
  </si>
  <si>
    <t>Transport sector use of: NONBIODIES</t>
  </si>
  <si>
    <t>ELC_Win-CAF</t>
  </si>
  <si>
    <t>Wind electricity produced in - Central African Republic</t>
  </si>
  <si>
    <t>TRAELC</t>
  </si>
  <si>
    <t>Transport sector use of: ELECTR,SOLARPV,SOLARTH,TIDE,WIND</t>
  </si>
  <si>
    <t>ELC_Win-CIV</t>
  </si>
  <si>
    <t>Wind electricity produced in - Ivory Coast</t>
  </si>
  <si>
    <t>TRAGSL</t>
  </si>
  <si>
    <t>Transport sector use of: ADDITIVE,BITUMEN,CRNGFEED,CRUDEOIL,NAPHTHA,NONBIOGASO,PARWAX,PETCOKE,REFFEEDS,WHITESP</t>
  </si>
  <si>
    <t>ELC_Win-CMR</t>
  </si>
  <si>
    <t>Wind electricity produced in - Cameroon</t>
  </si>
  <si>
    <t>TRAHFO</t>
  </si>
  <si>
    <t>Transport sector use of: LUBRIC,NGL,ONONSPEC,RESFUEL</t>
  </si>
  <si>
    <t>ELC_Win-COD</t>
  </si>
  <si>
    <t>Wind electricity produced in - Democratic Republic of Congo</t>
  </si>
  <si>
    <t>TRAJTK</t>
  </si>
  <si>
    <t>Transport sector use of: AVGAS,JETGAS,NONBIOJETK,OTHKERO</t>
  </si>
  <si>
    <t>ELC_Win-COG</t>
  </si>
  <si>
    <t>Wind electricity produced in - Republic of Congo</t>
  </si>
  <si>
    <t>TRALPG</t>
  </si>
  <si>
    <t>Transport sector use of: LPG</t>
  </si>
  <si>
    <t>ELC_Win-COM</t>
  </si>
  <si>
    <t>Wind electricity produced in - Comoros</t>
  </si>
  <si>
    <t>TRANGA</t>
  </si>
  <si>
    <t>Transport sector use of: BIOGASES,BLFURGS,COKEOVGS,ETHANE,GASWKSGS,NATGAS,REFINGAS</t>
  </si>
  <si>
    <t>ELC_Win-CPV</t>
  </si>
  <si>
    <t>Wind electricity produced in - Cape Verde</t>
  </si>
  <si>
    <t>Electricity from Vehicle batteries</t>
  </si>
  <si>
    <t>TRDELC</t>
  </si>
  <si>
    <t>ELC_Win-DJI</t>
  </si>
  <si>
    <t>Wind electricity produced in - Djibouti</t>
  </si>
  <si>
    <t>ELC_Win-ERI</t>
  </si>
  <si>
    <t>Wind electricity produced in - Eritrea</t>
  </si>
  <si>
    <t>ELC_Win-ETH</t>
  </si>
  <si>
    <t>Wind electricity produced in - Ethiopia</t>
  </si>
  <si>
    <t>ELC_Win-GAB</t>
  </si>
  <si>
    <t>Wind electricity produced in - Gabon</t>
  </si>
  <si>
    <t>ELC_Win-GHA</t>
  </si>
  <si>
    <t>Wind electricity produced in - Ghana</t>
  </si>
  <si>
    <t>ELC_Win-GIN</t>
  </si>
  <si>
    <t>Wind electricity produced in - Guinea</t>
  </si>
  <si>
    <t>ELC_Win-GMB</t>
  </si>
  <si>
    <t>Wind electricity produced in - The Gambia</t>
  </si>
  <si>
    <t>ELC_Win-GNB</t>
  </si>
  <si>
    <t>Wind electricity produced in - Guinea-Bissau</t>
  </si>
  <si>
    <t>ELCBSL</t>
  </si>
  <si>
    <t>Power sector use of: CHARCOAL,INDWASTE,MUNWASTEN,MUNWASTER,PRIMSBIO,RENEWNS</t>
  </si>
  <si>
    <t>ELC_Win-GNQ</t>
  </si>
  <si>
    <t>Wind electricity produced in - Equatorial Guinea</t>
  </si>
  <si>
    <t>ELCCOA</t>
  </si>
  <si>
    <t>Power sector use of: ANTCOAL,BITCOAL,COALTAR,COKCOAL,GASCOKE,HARDCOAL,OILSHALE,OVENCOKE,PATFUEL</t>
  </si>
  <si>
    <t>ELC_Win-KEN</t>
  </si>
  <si>
    <t>Wind electricity produced in - Kenya</t>
  </si>
  <si>
    <t>ELCCOB</t>
  </si>
  <si>
    <t>Power sector use of: BKB,BROWN,LIGNITE,OTHER,PEAT,PEATPROD,SUBCOAL</t>
  </si>
  <si>
    <t>ELC_Win-LBR</t>
  </si>
  <si>
    <t>Wind electricity produced in - Liberia</t>
  </si>
  <si>
    <t>ELCGEO</t>
  </si>
  <si>
    <t>Power sector use of: GEOTHERM</t>
  </si>
  <si>
    <t>ELC_Win-LSO</t>
  </si>
  <si>
    <t>Wind electricity produced in - Lesotho</t>
  </si>
  <si>
    <t>ELCHYD</t>
  </si>
  <si>
    <t>Power sector use of: HYDRO</t>
  </si>
  <si>
    <t>ELC_Win-MDG</t>
  </si>
  <si>
    <t>Wind electricity produced in - Madagascar</t>
  </si>
  <si>
    <t>ELCNGA</t>
  </si>
  <si>
    <t>Power sector use of: BIOGASES,BLFURGS,COKEOVGS,ETHANE,GASWKSGS,NATGAS,OGASES,REFINGAS</t>
  </si>
  <si>
    <t>ELC_Win-MLI</t>
  </si>
  <si>
    <t>Wind electricity produced in - Mali</t>
  </si>
  <si>
    <t>ELCNUC</t>
  </si>
  <si>
    <t>Power sector use of: NUCLEAR</t>
  </si>
  <si>
    <t>ELC_Win-MOZ</t>
  </si>
  <si>
    <t>Wind electricity produced in - Mozambique</t>
  </si>
  <si>
    <t>ELCOIL</t>
  </si>
  <si>
    <t>Power sector use of: ADDITIVE,AVGAS,BIODIESEL,BIOGASOL,BIOJETKERO,BITUMEN,JETGAS,LPG,LUBRIC,NAPHTHA,NGL,NONBIOGASO,NONBIOJETK,NONCRUDE,OBIOLIQ,ONONSPEC,OTHKERO,PARWAX,PETCOKE,RESFUEL,WHITESP</t>
  </si>
  <si>
    <t>ELC_Win-MRT</t>
  </si>
  <si>
    <t>Wind electricity produced in - Mauritania</t>
  </si>
  <si>
    <t>ELCOIL_CRD</t>
  </si>
  <si>
    <t>Power sector use of: CRNGFEED,CRUDEOIL,REFFEEDS</t>
  </si>
  <si>
    <t>ELC_Win-MUS</t>
  </si>
  <si>
    <t>Wind electricity produced in - Mauritius</t>
  </si>
  <si>
    <t>ELCOIL_DST</t>
  </si>
  <si>
    <t>Power sector use of: NONBIODIES</t>
  </si>
  <si>
    <t>ELC_Win-MWI</t>
  </si>
  <si>
    <t>Wind electricity produced in - Malawi</t>
  </si>
  <si>
    <t>ELCSPV</t>
  </si>
  <si>
    <t>Power sector use of: SOLARPV</t>
  </si>
  <si>
    <t>ELC_Win-MYT</t>
  </si>
  <si>
    <t>Wind electricity produced in - Mayotte</t>
  </si>
  <si>
    <t>ELCSTH</t>
  </si>
  <si>
    <t>Power sector use of: SOLARTH</t>
  </si>
  <si>
    <t>ELC_Win-NAM</t>
  </si>
  <si>
    <t>Wind electricity produced in - Namibia</t>
  </si>
  <si>
    <t>ELCTDL</t>
  </si>
  <si>
    <t>Power sector use of: TIDE</t>
  </si>
  <si>
    <t>ELC_Win-NER</t>
  </si>
  <si>
    <t>Wind electricity produced in - Niger</t>
  </si>
  <si>
    <t>ELCWIN</t>
  </si>
  <si>
    <t>Power sector use of: WIND</t>
  </si>
  <si>
    <t>ELC_Win-NGA</t>
  </si>
  <si>
    <t>Wind electricity produced in - Nigeria</t>
  </si>
  <si>
    <t>ELC_Win-RWA</t>
  </si>
  <si>
    <t>Wind electricity produced in - Rwanda</t>
  </si>
  <si>
    <t>ELC_Win-SDN</t>
  </si>
  <si>
    <t>Wind electricity produced in - Sudan</t>
  </si>
  <si>
    <t>ELC_Win-SEN</t>
  </si>
  <si>
    <t>Wind electricity produced in - Senegal</t>
  </si>
  <si>
    <t>ELC_Win-SLE</t>
  </si>
  <si>
    <t>Wind electricity produced in - Sierra Leone</t>
  </si>
  <si>
    <t>ELC_Win-SOM</t>
  </si>
  <si>
    <t>Wind electricity produced in - Somalia</t>
  </si>
  <si>
    <t>ELC_Win-SSD</t>
  </si>
  <si>
    <t>Wind electricity produced in - South Sudan</t>
  </si>
  <si>
    <t>ELC_Win-STP</t>
  </si>
  <si>
    <t>Wind electricity produced in - Sao Tome and Principe</t>
  </si>
  <si>
    <t>ELC_Win-SWZ</t>
  </si>
  <si>
    <t>Wind electricity produced in - Swaziland</t>
  </si>
  <si>
    <t>ELC_Win-SYC</t>
  </si>
  <si>
    <t>Wind electricity produced in - Seychelles</t>
  </si>
  <si>
    <t>ELC_Win-TCD</t>
  </si>
  <si>
    <t>Wind electricity produced in - Chad</t>
  </si>
  <si>
    <t>ELC_Win-TGO</t>
  </si>
  <si>
    <t>Wind electricity produced in - Togo</t>
  </si>
  <si>
    <t>ELC_Win-TZA</t>
  </si>
  <si>
    <t>Wind electricity produced in - Tanzania</t>
  </si>
  <si>
    <t>ELC_Win-UGA</t>
  </si>
  <si>
    <t>Wind electricity produced in - Uganda</t>
  </si>
  <si>
    <t>ELC_Win-ZMB</t>
  </si>
  <si>
    <t>Wind electricity produced in - Zambia</t>
  </si>
  <si>
    <t>ELC_Win-ZWE</t>
  </si>
  <si>
    <t>Wind electricity produced in - Zimbabwe</t>
  </si>
  <si>
    <t>ELC_Sol-AUS</t>
  </si>
  <si>
    <t>Solar electricity produced in - Australia</t>
  </si>
  <si>
    <t>ELC_Win-AUS</t>
  </si>
  <si>
    <t>Wind electricity produced in - Australia</t>
  </si>
  <si>
    <t>ELC_Sol-AUT</t>
  </si>
  <si>
    <t>Solar electricity produced in - Austria</t>
  </si>
  <si>
    <t>ELC_Win-AUT</t>
  </si>
  <si>
    <t>Wind electricity produced in - Austria</t>
  </si>
  <si>
    <t>ELC_Sol-EST</t>
  </si>
  <si>
    <t>Solar electricity produced in - Estonia</t>
  </si>
  <si>
    <t>ELC_Sol-LTU</t>
  </si>
  <si>
    <t>Solar electricity produced in - Lithuania</t>
  </si>
  <si>
    <t>ELC_Sol-LVA</t>
  </si>
  <si>
    <t>Solar electricity produced in - Latvia</t>
  </si>
  <si>
    <t>ELC_Win-EST</t>
  </si>
  <si>
    <t>Wind electricity produced in - Estonia</t>
  </si>
  <si>
    <t>ELC_Win-LTU</t>
  </si>
  <si>
    <t>Wind electricity produced in - Lithuania</t>
  </si>
  <si>
    <t>ELC_Win-LVA</t>
  </si>
  <si>
    <t>Wind electricity produced in - Latvia</t>
  </si>
  <si>
    <t>ELC_Sol-BEL</t>
  </si>
  <si>
    <t>Solar electricity produced in - Belgium</t>
  </si>
  <si>
    <t>ELC_Sol-LUX</t>
  </si>
  <si>
    <t>Solar electricity produced in - Luxembourg</t>
  </si>
  <si>
    <t>ELC_Sol-NLD</t>
  </si>
  <si>
    <t>Solar electricity produced in - Netherlands</t>
  </si>
  <si>
    <t>ELC_Win-BEL</t>
  </si>
  <si>
    <t>Wind electricity produced in - Belgium</t>
  </si>
  <si>
    <t>ELC_Win-LUX</t>
  </si>
  <si>
    <t>Wind electricity produced in - Luxembourg</t>
  </si>
  <si>
    <t>ELC_Win-NLD</t>
  </si>
  <si>
    <t>Wind electricity produced in - Netherlands</t>
  </si>
  <si>
    <t>ELC_Sol-BRA</t>
  </si>
  <si>
    <t>Solar electricity produced in - Brazil</t>
  </si>
  <si>
    <t>ELC_Win-BRA</t>
  </si>
  <si>
    <t>Wind electricity produced in - Brazil</t>
  </si>
  <si>
    <t>ELC_Sol-CHN</t>
  </si>
  <si>
    <t>Solar electricity produced in - China</t>
  </si>
  <si>
    <t>ELC_Win-CHN</t>
  </si>
  <si>
    <t>Wind electricity produced in - China</t>
  </si>
  <si>
    <t>ELC_Sol-HRV</t>
  </si>
  <si>
    <t>Solar electricity produced in - Croatia</t>
  </si>
  <si>
    <t>ELC_Sol-SVN</t>
  </si>
  <si>
    <t>Solar electricity produced in - Slovenia</t>
  </si>
  <si>
    <t>ELC_Win-HRV</t>
  </si>
  <si>
    <t>Wind electricity produced in - Croatia</t>
  </si>
  <si>
    <t>ELC_Win-SVN</t>
  </si>
  <si>
    <t>Wind electricity produced in - Slovenia</t>
  </si>
  <si>
    <t>ELC_Sol-CZE</t>
  </si>
  <si>
    <t>Solar electricity produced in - Czech Republic</t>
  </si>
  <si>
    <t>ELC_Sol-SVK</t>
  </si>
  <si>
    <t>Solar electricity produced in - Slovak Republic</t>
  </si>
  <si>
    <t>ELC_Win-CZE</t>
  </si>
  <si>
    <t>Wind electricity produced in - Czech Republic</t>
  </si>
  <si>
    <t>ELC_Win-SVK</t>
  </si>
  <si>
    <t>Wind electricity produced in - Slovak Republic</t>
  </si>
  <si>
    <t>ELC_Sol-FRA</t>
  </si>
  <si>
    <t>Solar electricity produced in - France</t>
  </si>
  <si>
    <t>ELC_Win-FRA</t>
  </si>
  <si>
    <t>Wind electricity produced in - France</t>
  </si>
  <si>
    <t>ELC_Sol-DEU</t>
  </si>
  <si>
    <t>Solar electricity produced in - Germany</t>
  </si>
  <si>
    <t>ELC_Win-DEU</t>
  </si>
  <si>
    <t>Wind electricity produced in - Germany</t>
  </si>
  <si>
    <t>ELC_Sol-CYP</t>
  </si>
  <si>
    <t>Solar electricity produced in - Cyprus</t>
  </si>
  <si>
    <t>ELC_Sol-GRC</t>
  </si>
  <si>
    <t>Solar electricity produced in - Greece</t>
  </si>
  <si>
    <t>ELC_Win-CYP</t>
  </si>
  <si>
    <t>Wind electricity produced in - Cyprus</t>
  </si>
  <si>
    <t>ELC_Win-GRC</t>
  </si>
  <si>
    <t>Wind electricity produced in - Greece</t>
  </si>
  <si>
    <t>ELC_Sol-BGR</t>
  </si>
  <si>
    <t>Solar electricity produced in - Bulgaria</t>
  </si>
  <si>
    <t>ELC_Sol-HUN</t>
  </si>
  <si>
    <t>Solar electricity produced in - Hungary</t>
  </si>
  <si>
    <t>ELC_Sol-ROU</t>
  </si>
  <si>
    <t>Solar electricity produced in - Romania</t>
  </si>
  <si>
    <t>ELC_Win-BGR</t>
  </si>
  <si>
    <t>Wind electricity produced in - Bulgaria</t>
  </si>
  <si>
    <t>ELC_Win-HUN</t>
  </si>
  <si>
    <t>Wind electricity produced in - Hungary</t>
  </si>
  <si>
    <t>ELC_Win-ROU</t>
  </si>
  <si>
    <t>Wind electricity produced in - Romania</t>
  </si>
  <si>
    <t>ELC_Sol-ISL</t>
  </si>
  <si>
    <t>Solar electricity produced in - Iceland</t>
  </si>
  <si>
    <t>ELC_Win-ISL</t>
  </si>
  <si>
    <t>Wind electricity produced in - Iceland</t>
  </si>
  <si>
    <t>ELC_Sol-IND</t>
  </si>
  <si>
    <t>Solar electricity produced in - India</t>
  </si>
  <si>
    <t>ELC_Win-IND</t>
  </si>
  <si>
    <t>Wind electricity produced in - India</t>
  </si>
  <si>
    <t>ELC_Sol-IRL</t>
  </si>
  <si>
    <t>Solar electricity produced in - Ireland</t>
  </si>
  <si>
    <t>ELC_Win-IRL</t>
  </si>
  <si>
    <t>Wind electricity produced in - Ireland</t>
  </si>
  <si>
    <t>ELC_Sol-ITA</t>
  </si>
  <si>
    <t>Solar electricity produced in - Italy</t>
  </si>
  <si>
    <t>ELC_Sol-MLT</t>
  </si>
  <si>
    <t>Solar electricity produced in - Malta</t>
  </si>
  <si>
    <t>ELC_Win-ITA</t>
  </si>
  <si>
    <t>Wind electricity produced in - Italy</t>
  </si>
  <si>
    <t>ELC_Win-MLT</t>
  </si>
  <si>
    <t>Wind electricity produced in - Malta</t>
  </si>
  <si>
    <t>ELC_Sol-JPN</t>
  </si>
  <si>
    <t>Solar electricity produced in - Japan</t>
  </si>
  <si>
    <t>ELC_Win-JPN</t>
  </si>
  <si>
    <t>Wind electricity produced in - Japan</t>
  </si>
  <si>
    <t>ELC_Sol-ABW</t>
  </si>
  <si>
    <t>Solar electricity produced in - Aruba</t>
  </si>
  <si>
    <t>ELC_Sol-ARG</t>
  </si>
  <si>
    <t>Solar electricity produced in - Argentina</t>
  </si>
  <si>
    <t>ELC_Sol-ATG</t>
  </si>
  <si>
    <t>Solar electricity produced in - Antigua and Barbuda</t>
  </si>
  <si>
    <t>ELC_Sol-BHS</t>
  </si>
  <si>
    <t>Solar electricity produced in - The Bahamas</t>
  </si>
  <si>
    <t>ELC_Sol-BLZ</t>
  </si>
  <si>
    <t>Solar electricity produced in - Belize</t>
  </si>
  <si>
    <t>ELC_Sol-BOL</t>
  </si>
  <si>
    <t>Solar electricity produced in - Bolivia</t>
  </si>
  <si>
    <t>ELC_Sol-BRB</t>
  </si>
  <si>
    <t>Solar electricity produced in - Barbados</t>
  </si>
  <si>
    <t>ELC_Sol-CHL</t>
  </si>
  <si>
    <t>Solar electricity produced in - Chile</t>
  </si>
  <si>
    <t>ELC_Sol-COL</t>
  </si>
  <si>
    <t>Solar electricity produced in - Colombia</t>
  </si>
  <si>
    <t>ELC_Sol-CRI</t>
  </si>
  <si>
    <t>Solar electricity produced in - Costa Rica</t>
  </si>
  <si>
    <t>ELC_Sol-CUB</t>
  </si>
  <si>
    <t>Solar electricity produced in - Cuba</t>
  </si>
  <si>
    <t>ELC_Sol-CYM</t>
  </si>
  <si>
    <t>Solar electricity produced in - Cayman Islands</t>
  </si>
  <si>
    <t>ELC_Sol-DMA</t>
  </si>
  <si>
    <t>Solar electricity produced in - Dominica</t>
  </si>
  <si>
    <t>ELC_Sol-DOM</t>
  </si>
  <si>
    <t>Solar electricity produced in - Dominican Republic</t>
  </si>
  <si>
    <t>ELC_Sol-ECU</t>
  </si>
  <si>
    <t>Solar electricity produced in - Ecuador</t>
  </si>
  <si>
    <t>ELC_Sol-GRD</t>
  </si>
  <si>
    <t>Solar electricity produced in - Grenada</t>
  </si>
  <si>
    <t>ELC_Sol-GTM</t>
  </si>
  <si>
    <t>Solar electricity produced in - Guatemala</t>
  </si>
  <si>
    <t>ELC_Sol-GUF</t>
  </si>
  <si>
    <t>Solar electricity produced in - French Guiana</t>
  </si>
  <si>
    <t>ELC_Sol-GUY</t>
  </si>
  <si>
    <t>Solar electricity produced in - Guyana</t>
  </si>
  <si>
    <t>ELC_Sol-HND</t>
  </si>
  <si>
    <t>Solar electricity produced in - Honduras</t>
  </si>
  <si>
    <t>ELC_Sol-HTI</t>
  </si>
  <si>
    <t>Solar electricity produced in - Haiti</t>
  </si>
  <si>
    <t>ELC_Sol-JAM</t>
  </si>
  <si>
    <t>Solar electricity produced in - Jamaica</t>
  </si>
  <si>
    <t>ELC_Sol-KNA</t>
  </si>
  <si>
    <t>Solar electricity produced in - St. Kitts and Nevis</t>
  </si>
  <si>
    <t>ELC_Sol-LCA</t>
  </si>
  <si>
    <t>Solar electricity produced in - St. Lucia</t>
  </si>
  <si>
    <t>ELC_Sol-MSR</t>
  </si>
  <si>
    <t>Solar electricity produced in - Montserrat</t>
  </si>
  <si>
    <t>ELC_Sol-NIC</t>
  </si>
  <si>
    <t>Solar electricity produced in - Nicaragua</t>
  </si>
  <si>
    <t>ELC_Sol-PAN</t>
  </si>
  <si>
    <t>Solar electricity produced in - Panama</t>
  </si>
  <si>
    <t>ELC_Sol-PER</t>
  </si>
  <si>
    <t>Solar electricity produced in - Peru</t>
  </si>
  <si>
    <t>ELC_Sol-PRI</t>
  </si>
  <si>
    <t>Solar electricity produced in - Puerto Rico</t>
  </si>
  <si>
    <t>ELC_Sol-PRY</t>
  </si>
  <si>
    <t>Solar electricity produced in - Paraguay</t>
  </si>
  <si>
    <t>ELC_Sol-SLV</t>
  </si>
  <si>
    <t>Solar electricity produced in - El Salvador</t>
  </si>
  <si>
    <t>ELC_Sol-SUR</t>
  </si>
  <si>
    <t>Solar electricity produced in - Suriname</t>
  </si>
  <si>
    <t>ELC_Sol-TCA</t>
  </si>
  <si>
    <t>Solar electricity produced in - Turks and Caicos Islands</t>
  </si>
  <si>
    <t>ELC_Sol-TTO</t>
  </si>
  <si>
    <t>Solar electricity produced in - Trinidad and Tobago</t>
  </si>
  <si>
    <t>ELC_Sol-URY</t>
  </si>
  <si>
    <t>Solar electricity produced in - Uruguay</t>
  </si>
  <si>
    <t>ELC_Sol-VCT</t>
  </si>
  <si>
    <t>Solar electricity produced in - St. Vincent and the Grenadines</t>
  </si>
  <si>
    <t>ELC_Sol-VEN</t>
  </si>
  <si>
    <t>Solar electricity produced in - Venezuela</t>
  </si>
  <si>
    <t>ELC_Sol-VIR</t>
  </si>
  <si>
    <t>Solar electricity produced in - Virgin Islands</t>
  </si>
  <si>
    <t>ELC_Win-ABW</t>
  </si>
  <si>
    <t>Wind electricity produced in - Aruba</t>
  </si>
  <si>
    <t>ELC_Win-ARG</t>
  </si>
  <si>
    <t>Wind electricity produced in - Argentina</t>
  </si>
  <si>
    <t>ELC_Win-ATG</t>
  </si>
  <si>
    <t>Wind electricity produced in - Antigua and Barbuda</t>
  </si>
  <si>
    <t>ELC_Win-BHS</t>
  </si>
  <si>
    <t>Wind electricity produced in - The Bahamas</t>
  </si>
  <si>
    <t>ELC_Win-BLZ</t>
  </si>
  <si>
    <t>Wind electricity produced in - Belize</t>
  </si>
  <si>
    <t>ELC_Win-BOL</t>
  </si>
  <si>
    <t>Wind electricity produced in - Bolivia</t>
  </si>
  <si>
    <t>ELC_Win-BRB</t>
  </si>
  <si>
    <t>Wind electricity produced in - Barbados</t>
  </si>
  <si>
    <t>ELC_Win-CHL</t>
  </si>
  <si>
    <t>Wind electricity produced in - Chile</t>
  </si>
  <si>
    <t>ELC_Win-COL</t>
  </si>
  <si>
    <t>Wind electricity produced in - Colombia</t>
  </si>
  <si>
    <t>ELC_Win-CRI</t>
  </si>
  <si>
    <t>Wind electricity produced in - Costa Rica</t>
  </si>
  <si>
    <t>ELC_Win-CUB</t>
  </si>
  <si>
    <t>Wind electricity produced in - Cuba</t>
  </si>
  <si>
    <t>ELC_Win-CYM</t>
  </si>
  <si>
    <t>Wind electricity produced in - Cayman Islands</t>
  </si>
  <si>
    <t>ELC_Win-DMA</t>
  </si>
  <si>
    <t>Wind electricity produced in - Dominica</t>
  </si>
  <si>
    <t>ELC_Win-DOM</t>
  </si>
  <si>
    <t>Wind electricity produced in - Dominican Republic</t>
  </si>
  <si>
    <t>ELC_Win-ECU</t>
  </si>
  <si>
    <t>Wind electricity produced in - Ecuador</t>
  </si>
  <si>
    <t>ELC_Win-GRD</t>
  </si>
  <si>
    <t>Wind electricity produced in - Grenada</t>
  </si>
  <si>
    <t>ELC_Win-GTM</t>
  </si>
  <si>
    <t>Wind electricity produced in - Guatemala</t>
  </si>
  <si>
    <t>ELC_Win-GUF</t>
  </si>
  <si>
    <t>Wind electricity produced in - French Guiana</t>
  </si>
  <si>
    <t>ELC_Win-GUY</t>
  </si>
  <si>
    <t>Wind electricity produced in - Guyana</t>
  </si>
  <si>
    <t>ELC_Win-HND</t>
  </si>
  <si>
    <t>Wind electricity produced in - Honduras</t>
  </si>
  <si>
    <t>ELC_Win-HTI</t>
  </si>
  <si>
    <t>Wind electricity produced in - Haiti</t>
  </si>
  <si>
    <t>ELC_Win-JAM</t>
  </si>
  <si>
    <t>Wind electricity produced in - Jamaica</t>
  </si>
  <si>
    <t>ELC_Win-KNA</t>
  </si>
  <si>
    <t>Wind electricity produced in - St. Kitts and Nevis</t>
  </si>
  <si>
    <t>ELC_Win-LCA</t>
  </si>
  <si>
    <t>Wind electricity produced in - St. Lucia</t>
  </si>
  <si>
    <t>ELC_Win-MSR</t>
  </si>
  <si>
    <t>Wind electricity produced in - Montserrat</t>
  </si>
  <si>
    <t>ELC_Win-NIC</t>
  </si>
  <si>
    <t>Wind electricity produced in - Nicaragua</t>
  </si>
  <si>
    <t>ELC_Win-PAN</t>
  </si>
  <si>
    <t>Wind electricity produced in - Panama</t>
  </si>
  <si>
    <t>ELC_Win-PER</t>
  </si>
  <si>
    <t>Wind electricity produced in - Peru</t>
  </si>
  <si>
    <t>ELC_Win-PRI</t>
  </si>
  <si>
    <t>Wind electricity produced in - Puerto Rico</t>
  </si>
  <si>
    <t>ELC_Win-PRY</t>
  </si>
  <si>
    <t>Wind electricity produced in - Paraguay</t>
  </si>
  <si>
    <t>ELC_Win-SLV</t>
  </si>
  <si>
    <t>Wind electricity produced in - El Salvador</t>
  </si>
  <si>
    <t>ELC_Win-SUR</t>
  </si>
  <si>
    <t>Wind electricity produced in - Suriname</t>
  </si>
  <si>
    <t>ELC_Win-TCA</t>
  </si>
  <si>
    <t>Wind electricity produced in - Turks and Caicos Islands</t>
  </si>
  <si>
    <t>ELC_Win-TTO</t>
  </si>
  <si>
    <t>Wind electricity produced in - Trinidad and Tobago</t>
  </si>
  <si>
    <t>ELC_Win-URY</t>
  </si>
  <si>
    <t>Wind electricity produced in - Uruguay</t>
  </si>
  <si>
    <t>ELC_Win-VCT</t>
  </si>
  <si>
    <t>Wind electricity produced in - St. Vincent and the Grenadines</t>
  </si>
  <si>
    <t>ELC_Win-VEN</t>
  </si>
  <si>
    <t>Wind electricity produced in - Venezuela</t>
  </si>
  <si>
    <t>ELC_Win-VIR</t>
  </si>
  <si>
    <t>Wind electricity produced in - Virgin Islands</t>
  </si>
  <si>
    <t>ELC_Sol-ARE</t>
  </si>
  <si>
    <t>Solar electricity produced in - United Arab Emirates</t>
  </si>
  <si>
    <t>ELC_Sol-BHR</t>
  </si>
  <si>
    <t>Solar electricity produced in - Bahrain</t>
  </si>
  <si>
    <t>ELC_Sol-IRN</t>
  </si>
  <si>
    <t>Solar electricity produced in - Iran</t>
  </si>
  <si>
    <t>ELC_Sol-IRQ</t>
  </si>
  <si>
    <t>Solar electricity produced in - Iraq</t>
  </si>
  <si>
    <t>ELC_Sol-ISR</t>
  </si>
  <si>
    <t>Solar electricity produced in - Israel</t>
  </si>
  <si>
    <t>ELC_Sol-JOR</t>
  </si>
  <si>
    <t>Solar electricity produced in - Jordan</t>
  </si>
  <si>
    <t>ELC_Sol-KWT</t>
  </si>
  <si>
    <t>Solar electricity produced in - Kuwait</t>
  </si>
  <si>
    <t>ELC_Sol-LBN</t>
  </si>
  <si>
    <t>Solar electricity produced in - Lebanon</t>
  </si>
  <si>
    <t>ELC_Sol-OMN</t>
  </si>
  <si>
    <t>Solar electricity produced in - Oman</t>
  </si>
  <si>
    <t>ELC_Sol-PSE</t>
  </si>
  <si>
    <t>Solar electricity produced in - Palestine</t>
  </si>
  <si>
    <t>ELC_Sol-QAT</t>
  </si>
  <si>
    <t>Solar electricity produced in - Qatar</t>
  </si>
  <si>
    <t>ELC_Sol-SYR</t>
  </si>
  <si>
    <t>Solar electricity produced in - Syrian Arab Republic</t>
  </si>
  <si>
    <t>ELC_Sol-YEM</t>
  </si>
  <si>
    <t>Solar electricity produced in - Yemen</t>
  </si>
  <si>
    <t>ELC_Win-ARE</t>
  </si>
  <si>
    <t>Wind electricity produced in - United Arab Emirates</t>
  </si>
  <si>
    <t>ELC_Win-BHR</t>
  </si>
  <si>
    <t>Wind electricity produced in - Bahrain</t>
  </si>
  <si>
    <t>ELC_Win-IRN</t>
  </si>
  <si>
    <t>Wind electricity produced in - Iran</t>
  </si>
  <si>
    <t>ELC_Win-IRQ</t>
  </si>
  <si>
    <t>Wind electricity produced in - Iraq</t>
  </si>
  <si>
    <t>ELC_Win-ISR</t>
  </si>
  <si>
    <t>Wind electricity produced in - Israel</t>
  </si>
  <si>
    <t>ELC_Win-JOR</t>
  </si>
  <si>
    <t>Wind electricity produced in - Jordan</t>
  </si>
  <si>
    <t>ELC_Win-KWT</t>
  </si>
  <si>
    <t>Wind electricity produced in - Kuwait</t>
  </si>
  <si>
    <t>ELC_Win-LBN</t>
  </si>
  <si>
    <t>Wind electricity produced in - Lebanon</t>
  </si>
  <si>
    <t>ELC_Win-OMN</t>
  </si>
  <si>
    <t>Wind electricity produced in - Oman</t>
  </si>
  <si>
    <t>ELC_Win-PSE</t>
  </si>
  <si>
    <t>Wind electricity produced in - Palestine</t>
  </si>
  <si>
    <t>ELC_Win-QAT</t>
  </si>
  <si>
    <t>Wind electricity produced in - Qatar</t>
  </si>
  <si>
    <t>ELC_Win-SYR</t>
  </si>
  <si>
    <t>Wind electricity produced in - Syrian Arab Republic</t>
  </si>
  <si>
    <t>ELC_Win-YEM</t>
  </si>
  <si>
    <t>Wind electricity produced in - Yemen</t>
  </si>
  <si>
    <t>ELC_Sol-CAN</t>
  </si>
  <si>
    <t>Solar electricity produced in - Canada</t>
  </si>
  <si>
    <t>ELC_Sol-MEX</t>
  </si>
  <si>
    <t>Solar electricity produced in - Mexico</t>
  </si>
  <si>
    <t>ELC_Sol-USA</t>
  </si>
  <si>
    <t>Solar electricity produced in - United States</t>
  </si>
  <si>
    <t>ELC_Win-CAN</t>
  </si>
  <si>
    <t>Wind electricity produced in - Canada</t>
  </si>
  <si>
    <t>ELC_Win-MEX</t>
  </si>
  <si>
    <t>Wind electricity produced in - Mexico</t>
  </si>
  <si>
    <t>ELC_Win-USA</t>
  </si>
  <si>
    <t>Wind electricity produced in - United States</t>
  </si>
  <si>
    <t>ELC_Sol-NOR</t>
  </si>
  <si>
    <t>Solar electricity produced in - Norway</t>
  </si>
  <si>
    <t>ELC_Win-NOR</t>
  </si>
  <si>
    <t>Wind electricity produced in - Norway</t>
  </si>
  <si>
    <t>ELC_Sol-POL</t>
  </si>
  <si>
    <t>Solar electricity produced in - Poland</t>
  </si>
  <si>
    <t>ELC_Win-POL</t>
  </si>
  <si>
    <t>Wind electricity produced in - Poland</t>
  </si>
  <si>
    <t>ELC_Sol-AFG</t>
  </si>
  <si>
    <t>Solar electricity produced in - Afghanistan</t>
  </si>
  <si>
    <t>ELC_Sol-ARM</t>
  </si>
  <si>
    <t>Solar electricity produced in - Armenia</t>
  </si>
  <si>
    <t>ELC_Sol-ASM</t>
  </si>
  <si>
    <t>Solar electricity produced in - American Samoa</t>
  </si>
  <si>
    <t>ELC_Sol-AZE</t>
  </si>
  <si>
    <t>Solar electricity produced in - Azerbaijan</t>
  </si>
  <si>
    <t>ELC_Sol-BGD</t>
  </si>
  <si>
    <t>Solar electricity produced in - Bangladesh</t>
  </si>
  <si>
    <t>ELC_Sol-BRN</t>
  </si>
  <si>
    <t>Solar electricity produced in - Brunei</t>
  </si>
  <si>
    <t>ELC_Sol-BTN</t>
  </si>
  <si>
    <t>Solar electricity produced in - Bhutan</t>
  </si>
  <si>
    <t>ELC_Sol-COK</t>
  </si>
  <si>
    <t>Solar electricity produced in - Cook Islands</t>
  </si>
  <si>
    <t>ELC_Sol-FJI</t>
  </si>
  <si>
    <t>Solar electricity produced in - Fiji</t>
  </si>
  <si>
    <t>ELC_Sol-GEO</t>
  </si>
  <si>
    <t>Solar electricity produced in - Georgia</t>
  </si>
  <si>
    <t>ELC_Sol-HKG</t>
  </si>
  <si>
    <t>Solar electricity produced in - Hong Kong SAR, China</t>
  </si>
  <si>
    <t>ELC_Sol-IDN</t>
  </si>
  <si>
    <t>Solar electricity produced in - Indonesia</t>
  </si>
  <si>
    <t>ELC_Sol-KAZ</t>
  </si>
  <si>
    <t>Solar electricity produced in - Kazakhstan</t>
  </si>
  <si>
    <t>ELC_Sol-KGZ</t>
  </si>
  <si>
    <t>Solar electricity produced in - Kyrgyz Republic</t>
  </si>
  <si>
    <t>ELC_Sol-KHM</t>
  </si>
  <si>
    <t>Solar electricity produced in - Cambodia</t>
  </si>
  <si>
    <t>ELC_Sol-KIR</t>
  </si>
  <si>
    <t>Solar electricity produced in - Kiribati</t>
  </si>
  <si>
    <t>ELC_Sol-KOR</t>
  </si>
  <si>
    <t>Solar electricity produced in - South Korea</t>
  </si>
  <si>
    <t>ELC_Sol-LAO</t>
  </si>
  <si>
    <t>Solar electricity produced in - Laos</t>
  </si>
  <si>
    <t>ELC_Sol-LKA</t>
  </si>
  <si>
    <t>Solar electricity produced in - Sri Lanka</t>
  </si>
  <si>
    <t>ELC_Sol-MDV</t>
  </si>
  <si>
    <t>Solar electricity produced in - Maldives</t>
  </si>
  <si>
    <t>ELC_Sol-MMR</t>
  </si>
  <si>
    <t>Solar electricity produced in - Myanmar</t>
  </si>
  <si>
    <t>ELC_Sol-MNG</t>
  </si>
  <si>
    <t>Solar electricity produced in - Mongolia</t>
  </si>
  <si>
    <t>ELC_Sol-MYS</t>
  </si>
  <si>
    <t>Solar electricity produced in - Malaysia</t>
  </si>
  <si>
    <t>ELC_Sol-NCL</t>
  </si>
  <si>
    <t>Solar electricity produced in - New Caledonia</t>
  </si>
  <si>
    <t>ELC_Sol-NPL</t>
  </si>
  <si>
    <t>Solar electricity produced in - Nepal</t>
  </si>
  <si>
    <t>ELC_Sol-NZL</t>
  </si>
  <si>
    <t>Solar electricity produced in - New Zealand</t>
  </si>
  <si>
    <t>ELC_Sol-PAK</t>
  </si>
  <si>
    <t>Solar electricity produced in - Pakistan</t>
  </si>
  <si>
    <t>ELC_Sol-PHL</t>
  </si>
  <si>
    <t>Solar electricity produced in - Philippines</t>
  </si>
  <si>
    <t>ELC_Sol-PLW</t>
  </si>
  <si>
    <t>Solar electricity produced in - Palau</t>
  </si>
  <si>
    <t>ELC_Sol-PNG</t>
  </si>
  <si>
    <t>Solar electricity produced in - Papua New Guinea</t>
  </si>
  <si>
    <t>ELC_Sol-PRK</t>
  </si>
  <si>
    <t>Solar electricity produced in - Dem. People^s Rep. Korea</t>
  </si>
  <si>
    <t>ELC_Sol-PYF</t>
  </si>
  <si>
    <t>Solar electricity produced in - French Polynesia</t>
  </si>
  <si>
    <t>ELC_Sol-SGP</t>
  </si>
  <si>
    <t>Solar electricity produced in - Singapore</t>
  </si>
  <si>
    <t>ELC_Sol-SLB</t>
  </si>
  <si>
    <t>Solar electricity produced in - Solomon Islands</t>
  </si>
  <si>
    <t>ELC_Sol-THA</t>
  </si>
  <si>
    <t>Solar electricity produced in - Thailand</t>
  </si>
  <si>
    <t>ELC_Sol-TJK</t>
  </si>
  <si>
    <t>Solar electricity produced in - Tajikistan</t>
  </si>
  <si>
    <t>ELC_Sol-TON</t>
  </si>
  <si>
    <t>Solar electricity produced in - Tonga</t>
  </si>
  <si>
    <t>ELC_Sol-TWN</t>
  </si>
  <si>
    <t>Solar electricity produced in - Taiwan</t>
  </si>
  <si>
    <t>ELC_Sol-UZB</t>
  </si>
  <si>
    <t>Solar electricity produced in - Uzbekistan</t>
  </si>
  <si>
    <t>ELC_Sol-VNM</t>
  </si>
  <si>
    <t>Solar electricity produced in - Vietnam</t>
  </si>
  <si>
    <t>ELC_Sol-VUT</t>
  </si>
  <si>
    <t>Solar electricity produced in - Vanuatu</t>
  </si>
  <si>
    <t>ELC_Win-AFG</t>
  </si>
  <si>
    <t>Wind electricity produced in - Afghanistan</t>
  </si>
  <si>
    <t>ELC_Win-ARM</t>
  </si>
  <si>
    <t>Wind electricity produced in - Armenia</t>
  </si>
  <si>
    <t>ELC_Win-ASM</t>
  </si>
  <si>
    <t>Wind electricity produced in - American Samoa</t>
  </si>
  <si>
    <t>ELC_Win-AZE</t>
  </si>
  <si>
    <t>Wind electricity produced in - Azerbaijan</t>
  </si>
  <si>
    <t>ELC_Win-BGD</t>
  </si>
  <si>
    <t>Wind electricity produced in - Bangladesh</t>
  </si>
  <si>
    <t>ELC_Win-BRN</t>
  </si>
  <si>
    <t>Wind electricity produced in - Brunei</t>
  </si>
  <si>
    <t>ELC_Win-BTN</t>
  </si>
  <si>
    <t>Wind electricity produced in - Bhutan</t>
  </si>
  <si>
    <t>ELC_Win-COK</t>
  </si>
  <si>
    <t>Wind electricity produced in - Cook Islands</t>
  </si>
  <si>
    <t>ELC_Win-FJI</t>
  </si>
  <si>
    <t>Wind electricity produced in - Fiji</t>
  </si>
  <si>
    <t>ELC_Win-GEO</t>
  </si>
  <si>
    <t>Wind electricity produced in - Georgia</t>
  </si>
  <si>
    <t>ELC_Win-HKG</t>
  </si>
  <si>
    <t>Wind electricity produced in - Hong Kong SAR, China</t>
  </si>
  <si>
    <t>ELC_Win-IDN</t>
  </si>
  <si>
    <t>Wind electricity produced in - Indonesia</t>
  </si>
  <si>
    <t>ELC_Win-KAZ</t>
  </si>
  <si>
    <t>Wind electricity produced in - Kazakhstan</t>
  </si>
  <si>
    <t>ELC_Win-KGZ</t>
  </si>
  <si>
    <t>Wind electricity produced in - Kyrgyz Republic</t>
  </si>
  <si>
    <t>ELC_Win-KHM</t>
  </si>
  <si>
    <t>Wind electricity produced in - Cambodia</t>
  </si>
  <si>
    <t>ELC_Win-KIR</t>
  </si>
  <si>
    <t>Wind electricity produced in - Kiribati</t>
  </si>
  <si>
    <t>ELC_Win-KOR</t>
  </si>
  <si>
    <t>Wind electricity produced in - South Korea</t>
  </si>
  <si>
    <t>ELC_Win-LAO</t>
  </si>
  <si>
    <t>Wind electricity produced in - Laos</t>
  </si>
  <si>
    <t>ELC_Win-LKA</t>
  </si>
  <si>
    <t>Wind electricity produced in - Sri Lanka</t>
  </si>
  <si>
    <t>ELC_Win-MDV</t>
  </si>
  <si>
    <t>Wind electricity produced in - Maldives</t>
  </si>
  <si>
    <t>ELC_Win-MMR</t>
  </si>
  <si>
    <t>Wind electricity produced in - Myanmar</t>
  </si>
  <si>
    <t>ELC_Win-MNG</t>
  </si>
  <si>
    <t>Wind electricity produced in - Mongolia</t>
  </si>
  <si>
    <t>ELC_Win-MYS</t>
  </si>
  <si>
    <t>Wind electricity produced in - Malaysia</t>
  </si>
  <si>
    <t>ELC_Win-NCL</t>
  </si>
  <si>
    <t>Wind electricity produced in - New Caledonia</t>
  </si>
  <si>
    <t>ELC_Win-NPL</t>
  </si>
  <si>
    <t>Wind electricity produced in - Nepal</t>
  </si>
  <si>
    <t>ELC_Win-NZL</t>
  </si>
  <si>
    <t>Wind electricity produced in - New Zealand</t>
  </si>
  <si>
    <t>ELC_Win-PAK</t>
  </si>
  <si>
    <t>Wind electricity produced in - Pakistan</t>
  </si>
  <si>
    <t>ELC_Win-PHL</t>
  </si>
  <si>
    <t>Wind electricity produced in - Philippines</t>
  </si>
  <si>
    <t>ELC_Win-PLW</t>
  </si>
  <si>
    <t>Wind electricity produced in - Palau</t>
  </si>
  <si>
    <t>ELC_Win-PNG</t>
  </si>
  <si>
    <t>Wind electricity produced in - Papua New Guinea</t>
  </si>
  <si>
    <t>ELC_Win-PRK</t>
  </si>
  <si>
    <t>Wind electricity produced in - Dem. People^s Rep. Korea</t>
  </si>
  <si>
    <t>ELC_Win-PYF</t>
  </si>
  <si>
    <t>Wind electricity produced in - French Polynesia</t>
  </si>
  <si>
    <t>ELC_Win-SGP</t>
  </si>
  <si>
    <t>Wind electricity produced in - Singapore</t>
  </si>
  <si>
    <t>ELC_Win-SLB</t>
  </si>
  <si>
    <t>Wind electricity produced in - Solomon Islands</t>
  </si>
  <si>
    <t>ELC_Win-THA</t>
  </si>
  <si>
    <t>Wind electricity produced in - Thailand</t>
  </si>
  <si>
    <t>ELC_Win-TJK</t>
  </si>
  <si>
    <t>Wind electricity produced in - Tajikistan</t>
  </si>
  <si>
    <t>ELC_Win-TKM</t>
  </si>
  <si>
    <t>Wind electricity produced in - Turkmenistan</t>
  </si>
  <si>
    <t>ELC_Win-TON</t>
  </si>
  <si>
    <t>Wind electricity produced in - Tonga</t>
  </si>
  <si>
    <t>ELC_Win-TWN</t>
  </si>
  <si>
    <t>Wind electricity produced in - Taiwan</t>
  </si>
  <si>
    <t>ELC_Win-UZB</t>
  </si>
  <si>
    <t>Wind electricity produced in - Uzbekistan</t>
  </si>
  <si>
    <t>ELC_Win-VNM</t>
  </si>
  <si>
    <t>Wind electricity produced in - Vietnam</t>
  </si>
  <si>
    <t>ELC_Win-VUT</t>
  </si>
  <si>
    <t>Wind electricity produced in - Vanuatu</t>
  </si>
  <si>
    <t>ELC_Sol-BLR</t>
  </si>
  <si>
    <t>Solar electricity produced in - Belarus</t>
  </si>
  <si>
    <t>ELC_Sol-RUS</t>
  </si>
  <si>
    <t>Solar electricity produced in - Russia</t>
  </si>
  <si>
    <t>ELC_Win-BLR</t>
  </si>
  <si>
    <t>Wind electricity produced in - Belarus</t>
  </si>
  <si>
    <t>ELC_Win-RUS</t>
  </si>
  <si>
    <t>Wind electricity produced in - Russia</t>
  </si>
  <si>
    <t>ELC_Sol-SAU</t>
  </si>
  <si>
    <t>Solar electricity produced in - Saudi Arabia</t>
  </si>
  <si>
    <t>ELC_Win-SAU</t>
  </si>
  <si>
    <t>Wind electricity produced in - Saudi Arabia</t>
  </si>
  <si>
    <t>ELC_Sol-ZAF</t>
  </si>
  <si>
    <t>Solar electricity produced in - South Africa</t>
  </si>
  <si>
    <t>ELC_Win-ZAF</t>
  </si>
  <si>
    <t>Wind electricity produced in - South Africa</t>
  </si>
  <si>
    <t>ELC_Sol-ESP</t>
  </si>
  <si>
    <t>Solar electricity produced in - Spain</t>
  </si>
  <si>
    <t>ELC_Sol-PRT</t>
  </si>
  <si>
    <t>Solar electricity produced in - Portugal</t>
  </si>
  <si>
    <t>ELC_Win-ESP</t>
  </si>
  <si>
    <t>Wind electricity produced in - Spain</t>
  </si>
  <si>
    <t>ELC_Win-PRT</t>
  </si>
  <si>
    <t>Wind electricity produced in - Portugal</t>
  </si>
  <si>
    <t>ELC_Sol-DNK</t>
  </si>
  <si>
    <t>Solar electricity produced in - Denmark</t>
  </si>
  <si>
    <t>ELC_Sol-FIN</t>
  </si>
  <si>
    <t>Solar electricity produced in - Finland</t>
  </si>
  <si>
    <t>ELC_Sol-SWE</t>
  </si>
  <si>
    <t>Solar electricity produced in - Sweden</t>
  </si>
  <si>
    <t>ELC_Win-DNK</t>
  </si>
  <si>
    <t>Wind electricity produced in - Denmark</t>
  </si>
  <si>
    <t>ELC_Win-FIN</t>
  </si>
  <si>
    <t>Wind electricity produced in - Finland</t>
  </si>
  <si>
    <t>ELC_Win-SWE</t>
  </si>
  <si>
    <t>Wind electricity produced in - Sweden</t>
  </si>
  <si>
    <t>ELC_Sol-CHE</t>
  </si>
  <si>
    <t>Solar electricity produced in - Switzerland</t>
  </si>
  <si>
    <t>ELC_Win-CHE</t>
  </si>
  <si>
    <t>Wind electricity produced in - Switzerland</t>
  </si>
  <si>
    <t>ELC_Sol-TUR</t>
  </si>
  <si>
    <t>Solar electricity produced in - Turkey</t>
  </si>
  <si>
    <t>ELC_Win-TUR</t>
  </si>
  <si>
    <t>Wind electricity produced in - Turkey</t>
  </si>
  <si>
    <t>ELC_Sol-GBR</t>
  </si>
  <si>
    <t>Solar electricity produced in - United Kingdom</t>
  </si>
  <si>
    <t>ELC_Win-GBR</t>
  </si>
  <si>
    <t>Wind electricity produced in - United Kingdom</t>
  </si>
  <si>
    <t>ELC_Sol-MDA</t>
  </si>
  <si>
    <t>Solar electricity produced in - Moldova</t>
  </si>
  <si>
    <t>ELC_Sol-UKR</t>
  </si>
  <si>
    <t>Solar electricity produced in - Ukraine</t>
  </si>
  <si>
    <t>ELC_Win-MDA</t>
  </si>
  <si>
    <t>Wind electricity produced in - Moldova</t>
  </si>
  <si>
    <t>ELC_Win-UKR</t>
  </si>
  <si>
    <t>Wind electricity produced in - Ukraine</t>
  </si>
  <si>
    <t>ELC_Sol-ALB</t>
  </si>
  <si>
    <t>Solar electricity produced in - Albania</t>
  </si>
  <si>
    <t>ELC_Sol-BIH</t>
  </si>
  <si>
    <t>Solar electricity produced in - Bosnia and Herzegovina</t>
  </si>
  <si>
    <t>ELC_Sol-MKD</t>
  </si>
  <si>
    <t>Solar electricity produced in - Macedonia</t>
  </si>
  <si>
    <t>ELC_Sol-MNE</t>
  </si>
  <si>
    <t>Solar electricity produced in - Montenegro</t>
  </si>
  <si>
    <t>ELC_Sol-SRB</t>
  </si>
  <si>
    <t>Solar electricity produced in - Serbia</t>
  </si>
  <si>
    <t>ELC_Sol-XXK</t>
  </si>
  <si>
    <t>Solar electricity produced in - Kosovo</t>
  </si>
  <si>
    <t>ELC_Win-ALB</t>
  </si>
  <si>
    <t>Wind electricity produced in - Albania</t>
  </si>
  <si>
    <t>ELC_Win-BIH</t>
  </si>
  <si>
    <t>Wind electricity produced in - Bosnia and Herzegovina</t>
  </si>
  <si>
    <t>ELC_Win-MKD</t>
  </si>
  <si>
    <t>Wind electricity produced in - Macedonia</t>
  </si>
  <si>
    <t>ELC_Win-MNE</t>
  </si>
  <si>
    <t>Wind electricity produced in - Montenegro</t>
  </si>
  <si>
    <t>ELC_Win-SRB</t>
  </si>
  <si>
    <t>Wind electricity produced in - Serbia</t>
  </si>
  <si>
    <t>ELC_Win-XXK</t>
  </si>
  <si>
    <t>Wind electricity produced in - Kosovo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</si>
</sst>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(* #,##0.00_);_(* \(#,##0.00\);_(* &quot;-&quot;??_);_(@_)"/>
    <numFmt numFmtId="195" formatCode="_(* #,##0_);_(* \(#,##0\);_(* &quot;-&quot;_);_(@_)"/>
    <numFmt numFmtId="196" formatCode="_ &quot;kr&quot;\ * #,##0_ ;_ &quot;kr&quot;\ * \-#,##0_ ;_ &quot;kr&quot;\ * &quot;-&quot;_ ;_ @_ "/>
    <numFmt numFmtId="197" formatCode="yyyy"/>
    <numFmt numFmtId="198" formatCode="#,##0.0"/>
    <numFmt numFmtId="199" formatCode="_ &quot;kr&quot;\ * #,##0.00_ ;_ &quot;kr&quot;\ * \-#,##0.00_ ;_ &quot;kr&quot;\ * &quot;-&quot;??_ ;_ @_ "/>
    <numFmt numFmtId="200" formatCode="\Te\x\t"/>
  </numFmts>
  <fonts count="85">
    <font>
      <sz val="10"/>
      <name val="Arial"/>
      <charset val="134"/>
    </font>
    <font>
      <sz val="11"/>
      <color rgb="FF000000"/>
      <name val="Calibri"/>
      <charset val="134"/>
    </font>
    <font>
      <b/>
      <sz val="11"/>
      <color rgb="FF44546A"/>
      <name val="Calibri"/>
      <charset val="134"/>
    </font>
    <font>
      <sz val="11"/>
      <color theme="1"/>
      <name val="Calibri"/>
      <charset val="134"/>
      <scheme val="minor"/>
    </font>
    <font>
      <b/>
      <sz val="11"/>
      <color rgb="FF000000"/>
      <name val="Calibri"/>
      <charset val="134"/>
    </font>
    <font>
      <b/>
      <sz val="11"/>
      <color theme="3"/>
      <name val="Calibri"/>
      <charset val="134"/>
      <scheme val="minor"/>
    </font>
    <font>
      <sz val="10"/>
      <color rgb="FFFF0000"/>
      <name val="Arial"/>
      <charset val="134"/>
    </font>
    <font>
      <b/>
      <sz val="11"/>
      <color theme="1"/>
      <name val="Calibri"/>
      <charset val="134"/>
      <scheme val="minor"/>
    </font>
    <font>
      <sz val="9"/>
      <name val="Arial"/>
      <charset val="134"/>
    </font>
    <font>
      <sz val="10"/>
      <name val="Calibri"/>
      <charset val="134"/>
      <scheme val="minor"/>
    </font>
    <font>
      <sz val="9"/>
      <name val="Calibri"/>
      <charset val="134"/>
      <scheme val="minor"/>
    </font>
    <font>
      <sz val="10"/>
      <color indexed="8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rgb="FF5F6368"/>
      <name val="Calibri"/>
      <charset val="134"/>
      <scheme val="minor"/>
    </font>
    <font>
      <sz val="9"/>
      <color indexed="53"/>
      <name val="Arial"/>
      <charset val="134"/>
    </font>
    <font>
      <sz val="10"/>
      <color indexed="12"/>
      <name val="Arial"/>
      <charset val="134"/>
    </font>
    <font>
      <sz val="10"/>
      <color indexed="8"/>
      <name val="Calibri"/>
      <charset val="134"/>
    </font>
    <font>
      <b/>
      <sz val="10"/>
      <name val="Arial"/>
      <charset val="134"/>
    </font>
    <font>
      <b/>
      <i/>
      <sz val="10"/>
      <name val="Arial"/>
      <charset val="134"/>
    </font>
    <font>
      <sz val="11"/>
      <color indexed="8"/>
      <name val="Calibri"/>
      <charset val="134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  <charset val="134"/>
    </font>
    <font>
      <sz val="9"/>
      <name val="Times New Roman"/>
      <charset val="134"/>
    </font>
  </fonts>
  <fills count="6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/>
      <right/>
      <top/>
      <bottom style="medium">
        <color rgb="FF8EA9DB"/>
      </bottom>
      <diagonal/>
    </border>
    <border>
      <left/>
      <right/>
      <top/>
      <bottom style="medium">
        <color theme="4" tint="0.39991454817346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659">
    <xf numFmtId="0" fontId="0" fillId="0" borderId="0"/>
    <xf numFmtId="43" fontId="3" fillId="0" borderId="0" applyFont="0" applyFill="0" applyBorder="0" applyAlignment="0" applyProtection="0">
      <alignment vertical="center"/>
    </xf>
    <xf numFmtId="176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3" fillId="11" borderId="6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7" applyNumberFormat="0" applyFill="0" applyAlignment="0" applyProtection="0">
      <alignment vertical="center"/>
    </xf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>
      <alignment vertical="center"/>
    </xf>
    <xf numFmtId="0" fontId="28" fillId="12" borderId="8" applyNumberFormat="0" applyAlignment="0" applyProtection="0">
      <alignment vertical="center"/>
    </xf>
    <xf numFmtId="0" fontId="29" fillId="13" borderId="9" applyNumberFormat="0" applyAlignment="0" applyProtection="0">
      <alignment vertical="center"/>
    </xf>
    <xf numFmtId="0" fontId="30" fillId="13" borderId="8" applyNumberFormat="0" applyAlignment="0" applyProtection="0">
      <alignment vertical="center"/>
    </xf>
    <xf numFmtId="0" fontId="31" fillId="14" borderId="10" applyNumberFormat="0" applyAlignment="0" applyProtection="0">
      <alignment vertical="center"/>
    </xf>
    <xf numFmtId="0" fontId="32" fillId="0" borderId="11" applyNumberFormat="0" applyFill="0" applyAlignment="0" applyProtection="0">
      <alignment vertical="center"/>
    </xf>
    <xf numFmtId="0" fontId="33" fillId="0" borderId="12" applyNumberFormat="0" applyFill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6" fillId="17" borderId="0" applyNumberFormat="0" applyBorder="0" applyAlignment="0" applyProtection="0">
      <alignment vertical="center"/>
    </xf>
    <xf numFmtId="0" fontId="37" fillId="9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8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8" fillId="39" borderId="0" applyNumberFormat="0" applyBorder="0" applyAlignment="0" applyProtection="0">
      <alignment vertical="center"/>
    </xf>
    <xf numFmtId="0" fontId="37" fillId="40" borderId="0" applyNumberFormat="0" applyBorder="0" applyAlignment="0" applyProtection="0">
      <alignment vertical="center"/>
    </xf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4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44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44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6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46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42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2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48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48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45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2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2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4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0" fillId="0" borderId="0" applyNumberFormat="0" applyFont="0" applyFill="0" applyBorder="0" applyProtection="0">
      <alignment horizontal="left" vertical="center" indent="5"/>
    </xf>
    <xf numFmtId="0" fontId="0" fillId="0" borderId="0" applyNumberFormat="0" applyFont="0" applyFill="0" applyBorder="0" applyProtection="0">
      <alignment horizontal="left" vertical="center" indent="5"/>
    </xf>
    <xf numFmtId="0" fontId="0" fillId="0" borderId="0" applyNumberFormat="0" applyFont="0" applyFill="0" applyBorder="0" applyProtection="0">
      <alignment horizontal="left" vertical="center" indent="5"/>
    </xf>
    <xf numFmtId="0" fontId="0" fillId="0" borderId="0" applyNumberFormat="0" applyFont="0" applyFill="0" applyBorder="0" applyProtection="0">
      <alignment horizontal="left" vertical="center" indent="5"/>
    </xf>
    <xf numFmtId="0" fontId="39" fillId="49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9" borderId="0" applyNumberFormat="0" applyBorder="0" applyAlignment="0" applyProtection="0"/>
    <xf numFmtId="0" fontId="39" fillId="47" borderId="0" applyNumberFormat="0" applyBorder="0" applyAlignment="0" applyProtection="0"/>
    <xf numFmtId="0" fontId="39" fillId="3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3" borderId="0" applyNumberFormat="0" applyBorder="0" applyAlignment="0" applyProtection="0"/>
    <xf numFmtId="0" fontId="39" fillId="50" borderId="0" applyNumberFormat="0" applyBorder="0" applyAlignment="0" applyProtection="0"/>
    <xf numFmtId="0" fontId="39" fillId="48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8" borderId="0" applyNumberFormat="0" applyBorder="0" applyAlignment="0" applyProtection="0"/>
    <xf numFmtId="0" fontId="39" fillId="4" borderId="0" applyNumberFormat="0" applyBorder="0" applyAlignment="0" applyProtection="0"/>
    <xf numFmtId="0" fontId="39" fillId="51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51" borderId="0" applyNumberFormat="0" applyBorder="0" applyAlignment="0" applyProtection="0"/>
    <xf numFmtId="0" fontId="39" fillId="43" borderId="0" applyNumberFormat="0" applyBorder="0" applyAlignment="0" applyProtection="0"/>
    <xf numFmtId="0" fontId="39" fillId="52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52" borderId="0" applyNumberFormat="0" applyBorder="0" applyAlignment="0" applyProtection="0"/>
    <xf numFmtId="0" fontId="39" fillId="47" borderId="0" applyNumberFormat="0" applyBorder="0" applyAlignment="0" applyProtection="0"/>
    <xf numFmtId="0" fontId="39" fillId="5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53" borderId="0" applyNumberFormat="0" applyBorder="0" applyAlignment="0" applyProtection="0"/>
    <xf numFmtId="0" fontId="39" fillId="3" borderId="0" applyNumberFormat="0" applyBorder="0" applyAlignment="0" applyProtection="0"/>
    <xf numFmtId="0" fontId="39" fillId="54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4" borderId="0" applyNumberFormat="0" applyBorder="0" applyAlignment="0" applyProtection="0"/>
    <xf numFmtId="0" fontId="39" fillId="55" borderId="0" applyNumberFormat="0" applyBorder="0" applyAlignment="0" applyProtection="0"/>
    <xf numFmtId="0" fontId="39" fillId="56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6" borderId="0" applyNumberFormat="0" applyBorder="0" applyAlignment="0" applyProtection="0"/>
    <xf numFmtId="0" fontId="39" fillId="50" borderId="0" applyNumberFormat="0" applyBorder="0" applyAlignment="0" applyProtection="0"/>
    <xf numFmtId="0" fontId="39" fillId="57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57" borderId="0" applyNumberFormat="0" applyBorder="0" applyAlignment="0" applyProtection="0"/>
    <xf numFmtId="0" fontId="39" fillId="4" borderId="0" applyNumberFormat="0" applyBorder="0" applyAlignment="0" applyProtection="0"/>
    <xf numFmtId="0" fontId="39" fillId="51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1" borderId="0" applyNumberFormat="0" applyBorder="0" applyAlignment="0" applyProtection="0"/>
    <xf numFmtId="0" fontId="39" fillId="58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0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0" borderId="0" applyNumberFormat="0" applyBorder="0" applyAlignment="0" applyProtection="0"/>
    <xf numFmtId="0" fontId="39" fillId="56" borderId="0" applyNumberFormat="0" applyBorder="0" applyAlignment="0" applyProtection="0"/>
    <xf numFmtId="4" fontId="40" fillId="46" borderId="13">
      <alignment horizontal="right" vertical="center"/>
    </xf>
    <xf numFmtId="4" fontId="40" fillId="46" borderId="13">
      <alignment horizontal="right" vertical="center"/>
    </xf>
    <xf numFmtId="0" fontId="41" fillId="43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3" borderId="0" applyNumberFormat="0" applyBorder="0" applyAlignment="0" applyProtection="0"/>
    <xf numFmtId="0" fontId="41" fillId="45" borderId="0" applyNumberFormat="0" applyBorder="0" applyAlignment="0" applyProtection="0"/>
    <xf numFmtId="0" fontId="42" fillId="10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2" fillId="10" borderId="14" applyNumberFormat="0" applyAlignment="0" applyProtection="0"/>
    <xf numFmtId="0" fontId="43" fillId="59" borderId="14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49" fontId="0" fillId="47" borderId="16">
      <alignment vertical="top" wrapText="1"/>
    </xf>
    <xf numFmtId="49" fontId="0" fillId="47" borderId="16">
      <alignment vertical="top" wrapText="1"/>
    </xf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0" fontId="45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0" fontId="45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80" fontId="0" fillId="0" borderId="0" applyFont="0" applyFill="0" applyBorder="0" applyAlignment="0" applyProtection="0"/>
    <xf numFmtId="180" fontId="0" fillId="0" borderId="0" applyFont="0" applyFill="0" applyBorder="0" applyAlignment="0" applyProtection="0"/>
    <xf numFmtId="0" fontId="46" fillId="0" borderId="17">
      <alignment horizontal="left" vertical="center" wrapText="1" indent="2"/>
    </xf>
    <xf numFmtId="181" fontId="47" fillId="0" borderId="0">
      <protection locked="0"/>
    </xf>
    <xf numFmtId="181" fontId="47" fillId="0" borderId="0">
      <protection locked="0"/>
    </xf>
    <xf numFmtId="3" fontId="48" fillId="0" borderId="16">
      <alignment horizontal="right" vertical="top"/>
    </xf>
    <xf numFmtId="0" fontId="17" fillId="52" borderId="13">
      <alignment horizontal="centerContinuous" vertical="top" wrapText="1"/>
    </xf>
    <xf numFmtId="0" fontId="49" fillId="0" borderId="0">
      <alignment vertical="top" wrapText="1"/>
    </xf>
    <xf numFmtId="182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185" fontId="0" fillId="0" borderId="0" applyFont="0" applyFill="0" applyBorder="0" applyAlignment="0" applyProtection="0"/>
    <xf numFmtId="186" fontId="0" fillId="0" borderId="0" applyFont="0" applyFill="0" applyBorder="0" applyAlignment="0" applyProtection="0"/>
    <xf numFmtId="186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7" fontId="47" fillId="0" borderId="0">
      <protection locked="0"/>
    </xf>
    <xf numFmtId="187" fontId="47" fillId="0" borderId="0">
      <protection locked="0"/>
    </xf>
    <xf numFmtId="11" fontId="0" fillId="0" borderId="0" applyFont="0" applyFill="0" applyBorder="0" applyAlignment="0" applyProtection="0"/>
    <xf numFmtId="11" fontId="0" fillId="0" borderId="0" applyFont="0" applyFill="0" applyBorder="0" applyAlignment="0" applyProtection="0"/>
    <xf numFmtId="0" fontId="51" fillId="44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4" borderId="0" applyNumberFormat="0" applyBorder="0" applyAlignment="0" applyProtection="0"/>
    <xf numFmtId="0" fontId="51" fillId="47" borderId="0" applyNumberFormat="0" applyBorder="0" applyAlignment="0" applyProtection="0"/>
    <xf numFmtId="0" fontId="52" fillId="0" borderId="18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2" fillId="0" borderId="18" applyNumberFormat="0" applyFill="0" applyAlignment="0" applyProtection="0"/>
    <xf numFmtId="0" fontId="53" fillId="0" borderId="19" applyNumberFormat="0" applyFill="0" applyAlignment="0" applyProtection="0"/>
    <xf numFmtId="0" fontId="54" fillId="0" borderId="20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4" fillId="0" borderId="20" applyNumberFormat="0" applyFill="0" applyAlignment="0" applyProtection="0"/>
    <xf numFmtId="0" fontId="55" fillId="0" borderId="21" applyNumberFormat="0" applyFill="0" applyAlignment="0" applyProtection="0"/>
    <xf numFmtId="0" fontId="56" fillId="0" borderId="22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6" fillId="0" borderId="22" applyNumberFormat="0" applyFill="0" applyAlignment="0" applyProtection="0"/>
    <xf numFmtId="0" fontId="57" fillId="0" borderId="23" applyNumberFormat="0" applyFill="0" applyAlignment="0" applyProtection="0"/>
    <xf numFmtId="0" fontId="56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188" fontId="58" fillId="0" borderId="0">
      <protection locked="0"/>
    </xf>
    <xf numFmtId="188" fontId="58" fillId="0" borderId="0">
      <protection locked="0"/>
    </xf>
    <xf numFmtId="188" fontId="58" fillId="0" borderId="0">
      <protection locked="0"/>
    </xf>
    <xf numFmtId="188" fontId="58" fillId="0" borderId="0">
      <protection locked="0"/>
    </xf>
    <xf numFmtId="0" fontId="59" fillId="0" borderId="0" applyNumberFormat="0" applyFill="0" applyBorder="0" applyAlignment="0" applyProtection="0">
      <alignment vertical="top"/>
      <protection locked="0"/>
    </xf>
    <xf numFmtId="0" fontId="60" fillId="46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46" borderId="14" applyNumberFormat="0" applyAlignment="0" applyProtection="0"/>
    <xf numFmtId="0" fontId="60" fillId="7" borderId="14" applyNumberFormat="0" applyAlignment="0" applyProtection="0"/>
    <xf numFmtId="4" fontId="46" fillId="0" borderId="0" applyBorder="0">
      <alignment horizontal="right" vertical="center"/>
    </xf>
    <xf numFmtId="0" fontId="61" fillId="0" borderId="0"/>
    <xf numFmtId="0" fontId="62" fillId="0" borderId="24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2" fillId="0" borderId="24" applyNumberFormat="0" applyFill="0" applyAlignment="0" applyProtection="0"/>
    <xf numFmtId="0" fontId="63" fillId="0" borderId="25" applyNumberFormat="0" applyFill="0" applyAlignment="0" applyProtection="0"/>
    <xf numFmtId="189" fontId="0" fillId="0" borderId="0" applyFont="0" applyFill="0" applyBorder="0" applyAlignment="0" applyProtection="0"/>
    <xf numFmtId="0" fontId="64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6" fillId="7" borderId="0" applyNumberFormat="0" applyBorder="0" applyAlignment="0" applyProtection="0"/>
    <xf numFmtId="0" fontId="65" fillId="7" borderId="0" applyNumberFormat="0" applyBorder="0" applyAlignment="0" applyProtection="0"/>
    <xf numFmtId="0" fontId="64" fillId="7" borderId="0" applyNumberFormat="0" applyBorder="0" applyAlignment="0" applyProtection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90" fontId="67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90" fontId="67" fillId="0" borderId="0">
      <alignment vertical="center"/>
    </xf>
    <xf numFmtId="190" fontId="67" fillId="0" borderId="0">
      <alignment vertical="center"/>
    </xf>
    <xf numFmtId="190" fontId="67" fillId="0" borderId="0">
      <alignment vertical="center"/>
    </xf>
    <xf numFmtId="190" fontId="67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90" fontId="67" fillId="0" borderId="0">
      <alignment vertical="center"/>
    </xf>
    <xf numFmtId="190" fontId="67" fillId="0" borderId="0">
      <alignment vertical="center"/>
    </xf>
    <xf numFmtId="190" fontId="67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90" fontId="67" fillId="0" borderId="0">
      <alignment vertical="center"/>
    </xf>
    <xf numFmtId="190" fontId="67" fillId="0" borderId="0">
      <alignment vertical="center"/>
    </xf>
    <xf numFmtId="190" fontId="67" fillId="0" borderId="0">
      <alignment vertical="center"/>
    </xf>
    <xf numFmtId="190" fontId="67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8" fontId="67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7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9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67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19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 applyNumberFormat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4" fontId="46" fillId="0" borderId="13" applyFill="0" applyBorder="0" applyProtection="0">
      <alignment horizontal="right" vertical="center"/>
    </xf>
    <xf numFmtId="0" fontId="68" fillId="0" borderId="0" applyNumberFormat="0" applyFill="0" applyBorder="0" applyProtection="0">
      <alignment horizontal="left" vertical="center"/>
    </xf>
    <xf numFmtId="0" fontId="0" fillId="60" borderId="0" applyNumberFormat="0" applyFont="0" applyBorder="0" applyAlignment="0" applyProtection="0"/>
    <xf numFmtId="0" fontId="0" fillId="60" borderId="0" applyNumberFormat="0" applyFont="0" applyBorder="0" applyAlignment="0" applyProtection="0"/>
    <xf numFmtId="0" fontId="0" fillId="60" borderId="0" applyNumberFormat="0" applyFont="0" applyBorder="0" applyAlignment="0" applyProtection="0"/>
    <xf numFmtId="0" fontId="0" fillId="60" borderId="0" applyNumberFormat="0" applyFont="0" applyBorder="0" applyAlignment="0" applyProtection="0"/>
    <xf numFmtId="0" fontId="69" fillId="0" borderId="0"/>
    <xf numFmtId="0" fontId="19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19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19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192" fontId="70" fillId="0" borderId="0">
      <alignment horizontal="right"/>
    </xf>
    <xf numFmtId="193" fontId="0" fillId="0" borderId="0" applyFont="0" applyFill="0" applyBorder="0" applyAlignment="0" applyProtection="0"/>
    <xf numFmtId="193" fontId="0" fillId="0" borderId="0" applyFont="0" applyFill="0" applyBorder="0" applyAlignment="0" applyProtection="0"/>
    <xf numFmtId="0" fontId="71" fillId="10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10" borderId="27" applyNumberFormat="0" applyAlignment="0" applyProtection="0"/>
    <xf numFmtId="0" fontId="71" fillId="59" borderId="27" applyNumberFormat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194" fontId="72" fillId="0" borderId="0" applyFont="0" applyFill="0" applyBorder="0" applyAlignment="0" applyProtection="0"/>
    <xf numFmtId="195" fontId="72" fillId="0" borderId="0" applyFont="0" applyFill="0" applyBorder="0" applyAlignment="0" applyProtection="0"/>
    <xf numFmtId="196" fontId="72" fillId="0" borderId="0" applyFont="0" applyFill="0" applyBorder="0" applyAlignment="0" applyProtection="0"/>
    <xf numFmtId="0" fontId="49" fillId="0" borderId="0">
      <alignment vertical="top" wrapText="1"/>
    </xf>
    <xf numFmtId="0" fontId="0" fillId="0" borderId="0"/>
    <xf numFmtId="0" fontId="0" fillId="0" borderId="13" applyNumberFormat="0" applyFill="0" applyProtection="0">
      <alignment horizontal="right"/>
    </xf>
    <xf numFmtId="0" fontId="0" fillId="0" borderId="13" applyNumberFormat="0" applyFill="0" applyProtection="0">
      <alignment horizontal="right"/>
    </xf>
    <xf numFmtId="0" fontId="17" fillId="61" borderId="13" applyNumberFormat="0" applyProtection="0">
      <alignment horizontal="right"/>
    </xf>
    <xf numFmtId="0" fontId="73" fillId="61" borderId="0" applyNumberFormat="0" applyBorder="0" applyProtection="0">
      <alignment horizontal="left"/>
    </xf>
    <xf numFmtId="0" fontId="17" fillId="61" borderId="13" applyNumberFormat="0" applyProtection="0">
      <alignment horizontal="left"/>
    </xf>
    <xf numFmtId="0" fontId="0" fillId="0" borderId="13" applyNumberFormat="0" applyFill="0" applyProtection="0">
      <alignment horizontal="right"/>
    </xf>
    <xf numFmtId="0" fontId="0" fillId="0" borderId="13" applyNumberFormat="0" applyFill="0" applyProtection="0">
      <alignment horizontal="right"/>
    </xf>
    <xf numFmtId="0" fontId="74" fillId="54" borderId="0" applyNumberFormat="0" applyBorder="0" applyProtection="0">
      <alignment horizontal="left"/>
    </xf>
    <xf numFmtId="197" fontId="0" fillId="0" borderId="0" applyFill="0" applyBorder="0" applyAlignment="0" applyProtection="0">
      <alignment wrapText="1"/>
    </xf>
    <xf numFmtId="197" fontId="0" fillId="0" borderId="0" applyFill="0" applyBorder="0" applyAlignment="0" applyProtection="0">
      <alignment wrapText="1"/>
    </xf>
    <xf numFmtId="197" fontId="0" fillId="0" borderId="0" applyFill="0" applyBorder="0" applyAlignment="0" applyProtection="0">
      <alignment wrapText="1"/>
    </xf>
    <xf numFmtId="197" fontId="0" fillId="0" borderId="0" applyFill="0" applyBorder="0" applyAlignment="0" applyProtection="0">
      <alignment wrapText="1"/>
    </xf>
    <xf numFmtId="0" fontId="17" fillId="0" borderId="0" applyNumberFormat="0" applyFill="0" applyBorder="0">
      <alignment horizontal="center" wrapText="1"/>
    </xf>
    <xf numFmtId="0" fontId="17" fillId="0" borderId="0" applyNumberFormat="0" applyFill="0" applyBorder="0">
      <alignment horizontal="center" wrapText="1"/>
    </xf>
    <xf numFmtId="0" fontId="17" fillId="0" borderId="0" applyNumberFormat="0" applyFill="0" applyBorder="0">
      <alignment horizontal="center" wrapText="1"/>
    </xf>
    <xf numFmtId="0" fontId="17" fillId="0" borderId="0" applyNumberFormat="0" applyFill="0" applyBorder="0">
      <alignment horizontal="center" wrapText="1"/>
    </xf>
    <xf numFmtId="198" fontId="75" fillId="62" borderId="28">
      <alignment vertical="center"/>
    </xf>
    <xf numFmtId="178" fontId="76" fillId="62" borderId="28">
      <alignment vertical="center"/>
    </xf>
    <xf numFmtId="198" fontId="77" fillId="63" borderId="28">
      <alignment vertical="center"/>
    </xf>
    <xf numFmtId="0" fontId="0" fillId="64" borderId="29" applyBorder="0">
      <alignment horizontal="left" vertical="center"/>
    </xf>
    <xf numFmtId="0" fontId="0" fillId="64" borderId="29" applyBorder="0">
      <alignment horizontal="left" vertical="center"/>
    </xf>
    <xf numFmtId="49" fontId="0" fillId="65" borderId="13">
      <alignment vertical="center" wrapText="1"/>
    </xf>
    <xf numFmtId="49" fontId="0" fillId="65" borderId="13">
      <alignment vertical="center" wrapText="1"/>
    </xf>
    <xf numFmtId="0" fontId="0" fillId="66" borderId="5">
      <alignment horizontal="left" vertical="center" wrapText="1"/>
    </xf>
    <xf numFmtId="0" fontId="0" fillId="66" borderId="5">
      <alignment horizontal="left" vertical="center" wrapText="1"/>
    </xf>
    <xf numFmtId="0" fontId="78" fillId="67" borderId="13">
      <alignment horizontal="left" vertical="center" wrapText="1"/>
    </xf>
    <xf numFmtId="0" fontId="0" fillId="53" borderId="13">
      <alignment horizontal="left" vertical="center" wrapText="1"/>
    </xf>
    <xf numFmtId="0" fontId="0" fillId="53" borderId="13">
      <alignment horizontal="left" vertical="center" wrapText="1"/>
    </xf>
    <xf numFmtId="0" fontId="0" fillId="68" borderId="13">
      <alignment horizontal="left" vertical="center" wrapText="1"/>
    </xf>
    <xf numFmtId="0" fontId="0" fillId="68" borderId="13">
      <alignment horizontal="left" vertical="center" wrapText="1"/>
    </xf>
    <xf numFmtId="0" fontId="79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1" fillId="0" borderId="30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0" applyNumberFormat="0" applyFill="0" applyAlignment="0" applyProtection="0"/>
    <xf numFmtId="0" fontId="81" fillId="0" borderId="31" applyNumberFormat="0" applyFill="0" applyAlignment="0" applyProtection="0"/>
    <xf numFmtId="199" fontId="72" fillId="0" borderId="0" applyFon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4" fontId="46" fillId="0" borderId="0"/>
    <xf numFmtId="0" fontId="82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0" fontId="1" fillId="0" borderId="0" xfId="0" applyFont="1"/>
    <xf numFmtId="0" fontId="2" fillId="0" borderId="1" xfId="14" applyFont="1" applyFill="1" applyBorder="1"/>
    <xf numFmtId="0" fontId="3" fillId="0" borderId="0" xfId="1528"/>
    <xf numFmtId="0" fontId="4" fillId="0" borderId="0" xfId="0" applyFont="1"/>
    <xf numFmtId="0" fontId="5" fillId="0" borderId="2" xfId="14"/>
    <xf numFmtId="200" fontId="0" fillId="0" borderId="0" xfId="0" applyNumberFormat="1"/>
    <xf numFmtId="0" fontId="6" fillId="2" borderId="0" xfId="0" applyFont="1" applyFill="1"/>
    <xf numFmtId="0" fontId="3" fillId="0" borderId="0" xfId="2195"/>
    <xf numFmtId="0" fontId="7" fillId="0" borderId="0" xfId="2195" applyFont="1"/>
    <xf numFmtId="0" fontId="0" fillId="2" borderId="0" xfId="0" applyFill="1"/>
    <xf numFmtId="0" fontId="0" fillId="0" borderId="0" xfId="1140"/>
    <xf numFmtId="0" fontId="3" fillId="0" borderId="0" xfId="2179"/>
    <xf numFmtId="11" fontId="0" fillId="0" borderId="0" xfId="0" applyNumberFormat="1"/>
    <xf numFmtId="0" fontId="8" fillId="0" borderId="0" xfId="0" applyFont="1"/>
    <xf numFmtId="0" fontId="9" fillId="0" borderId="0" xfId="0" applyFont="1"/>
    <xf numFmtId="0" fontId="9" fillId="3" borderId="0" xfId="0" applyFont="1" applyFill="1"/>
    <xf numFmtId="0" fontId="10" fillId="0" borderId="0" xfId="0" applyFont="1"/>
    <xf numFmtId="0" fontId="11" fillId="4" borderId="0" xfId="0" applyFont="1" applyFill="1"/>
    <xf numFmtId="0" fontId="11" fillId="5" borderId="0" xfId="0" applyFont="1" applyFill="1"/>
    <xf numFmtId="0" fontId="9" fillId="6" borderId="0" xfId="0" applyFont="1" applyFill="1"/>
    <xf numFmtId="0" fontId="9" fillId="7" borderId="3" xfId="0" applyFont="1" applyFill="1" applyBorder="1" applyAlignment="1">
      <alignment horizontal="left" vertical="center" wrapText="1"/>
    </xf>
    <xf numFmtId="0" fontId="9" fillId="0" borderId="4" xfId="0" applyFont="1" applyBorder="1"/>
    <xf numFmtId="0" fontId="12" fillId="0" borderId="0" xfId="0" applyFont="1"/>
    <xf numFmtId="11" fontId="13" fillId="0" borderId="0" xfId="0" applyNumberFormat="1" applyFont="1"/>
    <xf numFmtId="11" fontId="10" fillId="0" borderId="0" xfId="0" applyNumberFormat="1" applyFont="1"/>
    <xf numFmtId="0" fontId="14" fillId="0" borderId="0" xfId="0" applyFont="1"/>
    <xf numFmtId="0" fontId="15" fillId="0" borderId="0" xfId="0" applyFont="1" applyAlignment="1">
      <alignment horizontal="left"/>
    </xf>
    <xf numFmtId="0" fontId="15" fillId="0" borderId="0" xfId="0" applyFont="1"/>
    <xf numFmtId="0" fontId="16" fillId="8" borderId="0" xfId="170" applyFont="1" applyBorder="1"/>
    <xf numFmtId="0" fontId="17" fillId="0" borderId="0" xfId="0" applyFont="1"/>
    <xf numFmtId="0" fontId="18" fillId="0" borderId="0" xfId="0" applyFont="1"/>
    <xf numFmtId="0" fontId="0" fillId="9" borderId="0" xfId="0" applyFill="1"/>
    <xf numFmtId="0" fontId="19" fillId="8" borderId="5" xfId="97" applyBorder="1"/>
    <xf numFmtId="0" fontId="19" fillId="8" borderId="0" xfId="97" applyBorder="1"/>
    <xf numFmtId="0" fontId="19" fillId="2" borderId="0" xfId="97" applyFill="1" applyBorder="1"/>
    <xf numFmtId="0" fontId="19" fillId="8" borderId="0" xfId="94"/>
    <xf numFmtId="0" fontId="20" fillId="0" borderId="0" xfId="0" applyFont="1"/>
    <xf numFmtId="0" fontId="17" fillId="5" borderId="0" xfId="0" applyFont="1" applyFill="1"/>
    <xf numFmtId="0" fontId="17" fillId="10" borderId="0" xfId="0" applyFont="1" applyFill="1"/>
    <xf numFmtId="0" fontId="0" fillId="0" borderId="0" xfId="0" quotePrefix="1"/>
  </cellXfs>
  <cellStyles count="36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Calculation 2" xfId="472"/>
    <cellStyle name="Calculation 2 10" xfId="473"/>
    <cellStyle name="Calculation 2 2" xfId="474"/>
    <cellStyle name="Calculation 2 3" xfId="475"/>
    <cellStyle name="Calculation 2 4" xfId="476"/>
    <cellStyle name="Calculation 2 5" xfId="477"/>
    <cellStyle name="Calculation 2 6" xfId="478"/>
    <cellStyle name="Calculation 2 7" xfId="479"/>
    <cellStyle name="Calculation 2 8" xfId="480"/>
    <cellStyle name="Calculation 2 9" xfId="481"/>
    <cellStyle name="Calculation 3" xfId="482"/>
    <cellStyle name="Calculation 3 2" xfId="483"/>
    <cellStyle name="Check Cell 2" xfId="484"/>
    <cellStyle name="Check Cell 2 10" xfId="485"/>
    <cellStyle name="Check Cell 2 2" xfId="486"/>
    <cellStyle name="Check Cell 2 3" xfId="487"/>
    <cellStyle name="Check Cell 2 4" xfId="488"/>
    <cellStyle name="Check Cell 2 5" xfId="489"/>
    <cellStyle name="Check Cell 2 6" xfId="490"/>
    <cellStyle name="Check Cell 2 7" xfId="491"/>
    <cellStyle name="Check Cell 2 8" xfId="492"/>
    <cellStyle name="Check Cell 2 9" xfId="493"/>
    <cellStyle name="Check Cell 3" xfId="494"/>
    <cellStyle name="coin" xfId="495"/>
    <cellStyle name="coin 2" xfId="496"/>
    <cellStyle name="Comma [0] 2 10" xfId="497"/>
    <cellStyle name="Comma [0] 2 10 2" xfId="498"/>
    <cellStyle name="Comma [0] 2 2" xfId="499"/>
    <cellStyle name="Comma [0] 2 2 2" xfId="500"/>
    <cellStyle name="Comma [0] 2 3" xfId="501"/>
    <cellStyle name="Comma [0] 2 3 2" xfId="502"/>
    <cellStyle name="Comma [0] 2 4" xfId="503"/>
    <cellStyle name="Comma [0] 2 4 2" xfId="504"/>
    <cellStyle name="Comma [0] 2 5" xfId="505"/>
    <cellStyle name="Comma [0] 2 5 2" xfId="506"/>
    <cellStyle name="Comma [0] 2 6" xfId="507"/>
    <cellStyle name="Comma [0] 2 6 2" xfId="508"/>
    <cellStyle name="Comma [0] 2 7" xfId="509"/>
    <cellStyle name="Comma [0] 2 7 2" xfId="510"/>
    <cellStyle name="Comma [0] 2 8" xfId="511"/>
    <cellStyle name="Comma [0] 2 8 2" xfId="512"/>
    <cellStyle name="Comma [0] 2 9" xfId="513"/>
    <cellStyle name="Comma [0] 2 9 2" xfId="514"/>
    <cellStyle name="Comma 10 2" xfId="515"/>
    <cellStyle name="Comma 10 2 10" xfId="516"/>
    <cellStyle name="Comma 10 2 10 2" xfId="517"/>
    <cellStyle name="Comma 10 2 11" xfId="518"/>
    <cellStyle name="Comma 10 2 11 2" xfId="519"/>
    <cellStyle name="Comma 10 2 12" xfId="520"/>
    <cellStyle name="Comma 10 2 12 2" xfId="521"/>
    <cellStyle name="Comma 10 2 13" xfId="522"/>
    <cellStyle name="Comma 10 2 13 2" xfId="523"/>
    <cellStyle name="Comma 10 2 14" xfId="524"/>
    <cellStyle name="Comma 10 2 14 2" xfId="525"/>
    <cellStyle name="Comma 10 2 15" xfId="526"/>
    <cellStyle name="Comma 10 2 15 2" xfId="527"/>
    <cellStyle name="Comma 10 2 16" xfId="528"/>
    <cellStyle name="Comma 10 2 16 2" xfId="529"/>
    <cellStyle name="Comma 10 2 17" xfId="530"/>
    <cellStyle name="Comma 10 2 17 2" xfId="531"/>
    <cellStyle name="Comma 10 2 18" xfId="532"/>
    <cellStyle name="Comma 10 2 2" xfId="533"/>
    <cellStyle name="Comma 10 2 2 2" xfId="534"/>
    <cellStyle name="Comma 10 2 3" xfId="535"/>
    <cellStyle name="Comma 10 2 3 2" xfId="536"/>
    <cellStyle name="Comma 10 2 4" xfId="537"/>
    <cellStyle name="Comma 10 2 4 2" xfId="538"/>
    <cellStyle name="Comma 10 2 5" xfId="539"/>
    <cellStyle name="Comma 10 2 5 2" xfId="540"/>
    <cellStyle name="Comma 10 2 6" xfId="541"/>
    <cellStyle name="Comma 10 2 6 2" xfId="542"/>
    <cellStyle name="Comma 10 2 7" xfId="543"/>
    <cellStyle name="Comma 10 2 7 2" xfId="544"/>
    <cellStyle name="Comma 10 2 8" xfId="545"/>
    <cellStyle name="Comma 10 2 8 2" xfId="546"/>
    <cellStyle name="Comma 10 2 9" xfId="547"/>
    <cellStyle name="Comma 10 2 9 2" xfId="548"/>
    <cellStyle name="Comma 10 3" xfId="549"/>
    <cellStyle name="Comma 10 3 10" xfId="550"/>
    <cellStyle name="Comma 10 3 10 2" xfId="551"/>
    <cellStyle name="Comma 10 3 11" xfId="552"/>
    <cellStyle name="Comma 10 3 11 2" xfId="553"/>
    <cellStyle name="Comma 10 3 12" xfId="554"/>
    <cellStyle name="Comma 10 3 12 2" xfId="555"/>
    <cellStyle name="Comma 10 3 13" xfId="556"/>
    <cellStyle name="Comma 10 3 13 2" xfId="557"/>
    <cellStyle name="Comma 10 3 14" xfId="558"/>
    <cellStyle name="Comma 10 3 14 2" xfId="559"/>
    <cellStyle name="Comma 10 3 15" xfId="560"/>
    <cellStyle name="Comma 10 3 15 2" xfId="561"/>
    <cellStyle name="Comma 10 3 16" xfId="562"/>
    <cellStyle name="Comma 10 3 16 2" xfId="563"/>
    <cellStyle name="Comma 10 3 17" xfId="564"/>
    <cellStyle name="Comma 10 3 17 2" xfId="565"/>
    <cellStyle name="Comma 10 3 18" xfId="566"/>
    <cellStyle name="Comma 10 3 2" xfId="567"/>
    <cellStyle name="Comma 10 3 2 2" xfId="568"/>
    <cellStyle name="Comma 10 3 3" xfId="569"/>
    <cellStyle name="Comma 10 3 3 2" xfId="570"/>
    <cellStyle name="Comma 10 3 4" xfId="571"/>
    <cellStyle name="Comma 10 3 4 2" xfId="572"/>
    <cellStyle name="Comma 10 3 5" xfId="573"/>
    <cellStyle name="Comma 10 3 5 2" xfId="574"/>
    <cellStyle name="Comma 10 3 6" xfId="575"/>
    <cellStyle name="Comma 10 3 6 2" xfId="576"/>
    <cellStyle name="Comma 10 3 7" xfId="577"/>
    <cellStyle name="Comma 10 3 7 2" xfId="578"/>
    <cellStyle name="Comma 10 3 8" xfId="579"/>
    <cellStyle name="Comma 10 3 8 2" xfId="580"/>
    <cellStyle name="Comma 10 3 9" xfId="581"/>
    <cellStyle name="Comma 10 3 9 2" xfId="582"/>
    <cellStyle name="Comma 10 4" xfId="583"/>
    <cellStyle name="Comma 10 4 10" xfId="584"/>
    <cellStyle name="Comma 10 4 10 2" xfId="585"/>
    <cellStyle name="Comma 10 4 11" xfId="586"/>
    <cellStyle name="Comma 10 4 11 2" xfId="587"/>
    <cellStyle name="Comma 10 4 12" xfId="588"/>
    <cellStyle name="Comma 10 4 12 2" xfId="589"/>
    <cellStyle name="Comma 10 4 13" xfId="590"/>
    <cellStyle name="Comma 10 4 13 2" xfId="591"/>
    <cellStyle name="Comma 10 4 14" xfId="592"/>
    <cellStyle name="Comma 10 4 14 2" xfId="593"/>
    <cellStyle name="Comma 10 4 15" xfId="594"/>
    <cellStyle name="Comma 10 4 15 2" xfId="595"/>
    <cellStyle name="Comma 10 4 16" xfId="596"/>
    <cellStyle name="Comma 10 4 16 2" xfId="597"/>
    <cellStyle name="Comma 10 4 17" xfId="598"/>
    <cellStyle name="Comma 10 4 17 2" xfId="599"/>
    <cellStyle name="Comma 10 4 18" xfId="600"/>
    <cellStyle name="Comma 10 4 2" xfId="601"/>
    <cellStyle name="Comma 10 4 2 2" xfId="602"/>
    <cellStyle name="Comma 10 4 3" xfId="603"/>
    <cellStyle name="Comma 10 4 3 2" xfId="604"/>
    <cellStyle name="Comma 10 4 4" xfId="605"/>
    <cellStyle name="Comma 10 4 4 2" xfId="606"/>
    <cellStyle name="Comma 10 4 5" xfId="607"/>
    <cellStyle name="Comma 10 4 5 2" xfId="608"/>
    <cellStyle name="Comma 10 4 6" xfId="609"/>
    <cellStyle name="Comma 10 4 6 2" xfId="610"/>
    <cellStyle name="Comma 10 4 7" xfId="611"/>
    <cellStyle name="Comma 10 4 7 2" xfId="612"/>
    <cellStyle name="Comma 10 4 8" xfId="613"/>
    <cellStyle name="Comma 10 4 8 2" xfId="614"/>
    <cellStyle name="Comma 10 4 9" xfId="615"/>
    <cellStyle name="Comma 10 4 9 2" xfId="616"/>
    <cellStyle name="Comma 10 5" xfId="617"/>
    <cellStyle name="Comma 10 5 10" xfId="618"/>
    <cellStyle name="Comma 10 5 10 2" xfId="619"/>
    <cellStyle name="Comma 10 5 11" xfId="620"/>
    <cellStyle name="Comma 10 5 11 2" xfId="621"/>
    <cellStyle name="Comma 10 5 12" xfId="622"/>
    <cellStyle name="Comma 10 5 12 2" xfId="623"/>
    <cellStyle name="Comma 10 5 13" xfId="624"/>
    <cellStyle name="Comma 10 5 13 2" xfId="625"/>
    <cellStyle name="Comma 10 5 14" xfId="626"/>
    <cellStyle name="Comma 10 5 14 2" xfId="627"/>
    <cellStyle name="Comma 10 5 15" xfId="628"/>
    <cellStyle name="Comma 10 5 15 2" xfId="629"/>
    <cellStyle name="Comma 10 5 16" xfId="630"/>
    <cellStyle name="Comma 10 5 16 2" xfId="631"/>
    <cellStyle name="Comma 10 5 17" xfId="632"/>
    <cellStyle name="Comma 10 5 17 2" xfId="633"/>
    <cellStyle name="Comma 10 5 18" xfId="634"/>
    <cellStyle name="Comma 10 5 2" xfId="635"/>
    <cellStyle name="Comma 10 5 2 2" xfId="636"/>
    <cellStyle name="Comma 10 5 3" xfId="637"/>
    <cellStyle name="Comma 10 5 3 2" xfId="638"/>
    <cellStyle name="Comma 10 5 4" xfId="639"/>
    <cellStyle name="Comma 10 5 4 2" xfId="640"/>
    <cellStyle name="Comma 10 5 5" xfId="641"/>
    <cellStyle name="Comma 10 5 5 2" xfId="642"/>
    <cellStyle name="Comma 10 5 6" xfId="643"/>
    <cellStyle name="Comma 10 5 6 2" xfId="644"/>
    <cellStyle name="Comma 10 5 7" xfId="645"/>
    <cellStyle name="Comma 10 5 7 2" xfId="646"/>
    <cellStyle name="Comma 10 5 8" xfId="647"/>
    <cellStyle name="Comma 10 5 8 2" xfId="648"/>
    <cellStyle name="Comma 10 5 9" xfId="649"/>
    <cellStyle name="Comma 10 5 9 2" xfId="650"/>
    <cellStyle name="Comma 10 6" xfId="651"/>
    <cellStyle name="Comma 10 6 10" xfId="652"/>
    <cellStyle name="Comma 10 6 10 2" xfId="653"/>
    <cellStyle name="Comma 10 6 11" xfId="654"/>
    <cellStyle name="Comma 10 6 11 2" xfId="655"/>
    <cellStyle name="Comma 10 6 12" xfId="656"/>
    <cellStyle name="Comma 10 6 12 2" xfId="657"/>
    <cellStyle name="Comma 10 6 13" xfId="658"/>
    <cellStyle name="Comma 10 6 13 2" xfId="659"/>
    <cellStyle name="Comma 10 6 14" xfId="660"/>
    <cellStyle name="Comma 10 6 14 2" xfId="661"/>
    <cellStyle name="Comma 10 6 15" xfId="662"/>
    <cellStyle name="Comma 10 6 15 2" xfId="663"/>
    <cellStyle name="Comma 10 6 16" xfId="664"/>
    <cellStyle name="Comma 10 6 16 2" xfId="665"/>
    <cellStyle name="Comma 10 6 17" xfId="666"/>
    <cellStyle name="Comma 10 6 17 2" xfId="667"/>
    <cellStyle name="Comma 10 6 18" xfId="668"/>
    <cellStyle name="Comma 10 6 2" xfId="669"/>
    <cellStyle name="Comma 10 6 2 2" xfId="670"/>
    <cellStyle name="Comma 10 6 3" xfId="671"/>
    <cellStyle name="Comma 10 6 3 2" xfId="672"/>
    <cellStyle name="Comma 10 6 4" xfId="673"/>
    <cellStyle name="Comma 10 6 4 2" xfId="674"/>
    <cellStyle name="Comma 10 6 5" xfId="675"/>
    <cellStyle name="Comma 10 6 5 2" xfId="676"/>
    <cellStyle name="Comma 10 6 6" xfId="677"/>
    <cellStyle name="Comma 10 6 6 2" xfId="678"/>
    <cellStyle name="Comma 10 6 7" xfId="679"/>
    <cellStyle name="Comma 10 6 7 2" xfId="680"/>
    <cellStyle name="Comma 10 6 8" xfId="681"/>
    <cellStyle name="Comma 10 6 8 2" xfId="682"/>
    <cellStyle name="Comma 10 6 9" xfId="683"/>
    <cellStyle name="Comma 10 6 9 2" xfId="684"/>
    <cellStyle name="Comma 10 7" xfId="685"/>
    <cellStyle name="Comma 10 7 10" xfId="686"/>
    <cellStyle name="Comma 10 7 10 2" xfId="687"/>
    <cellStyle name="Comma 10 7 11" xfId="688"/>
    <cellStyle name="Comma 10 7 11 2" xfId="689"/>
    <cellStyle name="Comma 10 7 12" xfId="690"/>
    <cellStyle name="Comma 10 7 12 2" xfId="691"/>
    <cellStyle name="Comma 10 7 13" xfId="692"/>
    <cellStyle name="Comma 10 7 13 2" xfId="693"/>
    <cellStyle name="Comma 10 7 14" xfId="694"/>
    <cellStyle name="Comma 10 7 14 2" xfId="695"/>
    <cellStyle name="Comma 10 7 15" xfId="696"/>
    <cellStyle name="Comma 10 7 15 2" xfId="697"/>
    <cellStyle name="Comma 10 7 16" xfId="698"/>
    <cellStyle name="Comma 10 7 16 2" xfId="699"/>
    <cellStyle name="Comma 10 7 17" xfId="700"/>
    <cellStyle name="Comma 10 7 17 2" xfId="701"/>
    <cellStyle name="Comma 10 7 18" xfId="702"/>
    <cellStyle name="Comma 10 7 2" xfId="703"/>
    <cellStyle name="Comma 10 7 2 2" xfId="704"/>
    <cellStyle name="Comma 10 7 3" xfId="705"/>
    <cellStyle name="Comma 10 7 3 2" xfId="706"/>
    <cellStyle name="Comma 10 7 4" xfId="707"/>
    <cellStyle name="Comma 10 7 4 2" xfId="708"/>
    <cellStyle name="Comma 10 7 5" xfId="709"/>
    <cellStyle name="Comma 10 7 5 2" xfId="710"/>
    <cellStyle name="Comma 10 7 6" xfId="711"/>
    <cellStyle name="Comma 10 7 6 2" xfId="712"/>
    <cellStyle name="Comma 10 7 7" xfId="713"/>
    <cellStyle name="Comma 10 7 7 2" xfId="714"/>
    <cellStyle name="Comma 10 7 8" xfId="715"/>
    <cellStyle name="Comma 10 7 8 2" xfId="716"/>
    <cellStyle name="Comma 10 7 9" xfId="717"/>
    <cellStyle name="Comma 10 7 9 2" xfId="718"/>
    <cellStyle name="Comma 10 8" xfId="719"/>
    <cellStyle name="Comma 10 8 10" xfId="720"/>
    <cellStyle name="Comma 10 8 10 2" xfId="721"/>
    <cellStyle name="Comma 10 8 11" xfId="722"/>
    <cellStyle name="Comma 10 8 11 2" xfId="723"/>
    <cellStyle name="Comma 10 8 12" xfId="724"/>
    <cellStyle name="Comma 10 8 12 2" xfId="725"/>
    <cellStyle name="Comma 10 8 13" xfId="726"/>
    <cellStyle name="Comma 10 8 13 2" xfId="727"/>
    <cellStyle name="Comma 10 8 14" xfId="728"/>
    <cellStyle name="Comma 10 8 14 2" xfId="729"/>
    <cellStyle name="Comma 10 8 15" xfId="730"/>
    <cellStyle name="Comma 10 8 15 2" xfId="731"/>
    <cellStyle name="Comma 10 8 16" xfId="732"/>
    <cellStyle name="Comma 10 8 16 2" xfId="733"/>
    <cellStyle name="Comma 10 8 17" xfId="734"/>
    <cellStyle name="Comma 10 8 17 2" xfId="735"/>
    <cellStyle name="Comma 10 8 18" xfId="736"/>
    <cellStyle name="Comma 10 8 2" xfId="737"/>
    <cellStyle name="Comma 10 8 2 2" xfId="738"/>
    <cellStyle name="Comma 10 8 3" xfId="739"/>
    <cellStyle name="Comma 10 8 3 2" xfId="740"/>
    <cellStyle name="Comma 10 8 4" xfId="741"/>
    <cellStyle name="Comma 10 8 4 2" xfId="742"/>
    <cellStyle name="Comma 10 8 5" xfId="743"/>
    <cellStyle name="Comma 10 8 5 2" xfId="744"/>
    <cellStyle name="Comma 10 8 6" xfId="745"/>
    <cellStyle name="Comma 10 8 6 2" xfId="746"/>
    <cellStyle name="Comma 10 8 7" xfId="747"/>
    <cellStyle name="Comma 10 8 7 2" xfId="748"/>
    <cellStyle name="Comma 10 8 8" xfId="749"/>
    <cellStyle name="Comma 10 8 8 2" xfId="750"/>
    <cellStyle name="Comma 10 8 9" xfId="751"/>
    <cellStyle name="Comma 10 8 9 2" xfId="752"/>
    <cellStyle name="Comma 2" xfId="753"/>
    <cellStyle name="Comma 2 10" xfId="754"/>
    <cellStyle name="Comma 2 10 2" xfId="755"/>
    <cellStyle name="Comma 2 11" xfId="756"/>
    <cellStyle name="Comma 2 11 2" xfId="757"/>
    <cellStyle name="Comma 2 12" xfId="758"/>
    <cellStyle name="Comma 2 12 2" xfId="759"/>
    <cellStyle name="Comma 2 13" xfId="760"/>
    <cellStyle name="Comma 2 13 2" xfId="761"/>
    <cellStyle name="Comma 2 14" xfId="762"/>
    <cellStyle name="Comma 2 14 2" xfId="763"/>
    <cellStyle name="Comma 2 15" xfId="764"/>
    <cellStyle name="Comma 2 15 2" xfId="765"/>
    <cellStyle name="Comma 2 16" xfId="766"/>
    <cellStyle name="Comma 2 16 2" xfId="767"/>
    <cellStyle name="Comma 2 17" xfId="768"/>
    <cellStyle name="Comma 2 17 2" xfId="769"/>
    <cellStyle name="Comma 2 17 3" xfId="770"/>
    <cellStyle name="Comma 2 17 4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1 2 4" xfId="861"/>
    <cellStyle name="Comma 7 12" xfId="862"/>
    <cellStyle name="Comma 7 12 2" xfId="863"/>
    <cellStyle name="Comma 7 13" xfId="864"/>
    <cellStyle name="Comma 7 13 2" xfId="865"/>
    <cellStyle name="Comma 7 14" xfId="866"/>
    <cellStyle name="Comma 7 14 2" xfId="867"/>
    <cellStyle name="Comma 7 15" xfId="868"/>
    <cellStyle name="Comma 7 15 2" xfId="869"/>
    <cellStyle name="Comma 7 16" xfId="870"/>
    <cellStyle name="Comma 7 16 2" xfId="871"/>
    <cellStyle name="Comma 7 16 2 2" xfId="872"/>
    <cellStyle name="Comma 7 16 2 3" xfId="873"/>
    <cellStyle name="Comma 7 16 2 4" xfId="874"/>
    <cellStyle name="Comma 7 17" xfId="875"/>
    <cellStyle name="Comma 7 17 2" xfId="876"/>
    <cellStyle name="Comma 7 17 2 2" xfId="877"/>
    <cellStyle name="Comma 7 17 2 3" xfId="878"/>
    <cellStyle name="Comma 7 17 2 4" xfId="879"/>
    <cellStyle name="Comma 7 18" xfId="880"/>
    <cellStyle name="Comma 7 18 2" xfId="881"/>
    <cellStyle name="Comma 7 18 2 2" xfId="882"/>
    <cellStyle name="Comma 7 18 2 3" xfId="883"/>
    <cellStyle name="Comma 7 18 2 4" xfId="884"/>
    <cellStyle name="Comma 7 19" xfId="885"/>
    <cellStyle name="Comma 7 19 2" xfId="886"/>
    <cellStyle name="Comma 7 19 2 2" xfId="887"/>
    <cellStyle name="Comma 7 19 2 3" xfId="888"/>
    <cellStyle name="Comma 7 19 2 4" xfId="889"/>
    <cellStyle name="Comma 7 2" xfId="890"/>
    <cellStyle name="Comma 7 2 2" xfId="891"/>
    <cellStyle name="Comma 7 20" xfId="892"/>
    <cellStyle name="Comma 7 20 2" xfId="893"/>
    <cellStyle name="Comma 7 20 2 2" xfId="894"/>
    <cellStyle name="Comma 7 20 2 3" xfId="895"/>
    <cellStyle name="Comma 7 20 2 4" xfId="896"/>
    <cellStyle name="Comma 7 21" xfId="897"/>
    <cellStyle name="Comma 7 21 2" xfId="898"/>
    <cellStyle name="Comma 7 21 2 2" xfId="899"/>
    <cellStyle name="Comma 7 21 2 3" xfId="900"/>
    <cellStyle name="Comma 7 21 2 4" xfId="901"/>
    <cellStyle name="Comma 7 3" xfId="902"/>
    <cellStyle name="Comma 7 3 10" xfId="903"/>
    <cellStyle name="Comma 7 3 10 2" xfId="904"/>
    <cellStyle name="Comma 7 3 11" xfId="905"/>
    <cellStyle name="Comma 7 3 11 2" xfId="906"/>
    <cellStyle name="Comma 7 3 12" xfId="907"/>
    <cellStyle name="Comma 7 3 12 2" xfId="908"/>
    <cellStyle name="Comma 7 3 13" xfId="909"/>
    <cellStyle name="Comma 7 3 13 2" xfId="910"/>
    <cellStyle name="Comma 7 3 14" xfId="911"/>
    <cellStyle name="Comma 7 3 14 2" xfId="912"/>
    <cellStyle name="Comma 7 3 15" xfId="913"/>
    <cellStyle name="Comma 7 3 15 2" xfId="914"/>
    <cellStyle name="Comma 7 3 16" xfId="915"/>
    <cellStyle name="Comma 7 3 16 2" xfId="916"/>
    <cellStyle name="Comma 7 3 16 3" xfId="917"/>
    <cellStyle name="Comma 7 3 16 4" xfId="918"/>
    <cellStyle name="Comma 7 3 2" xfId="919"/>
    <cellStyle name="Comma 7 3 2 2" xfId="920"/>
    <cellStyle name="Comma 7 3 3" xfId="921"/>
    <cellStyle name="Comma 7 3 3 2" xfId="922"/>
    <cellStyle name="Comma 7 3 4" xfId="923"/>
    <cellStyle name="Comma 7 3 4 2" xfId="924"/>
    <cellStyle name="Comma 7 3 5" xfId="925"/>
    <cellStyle name="Comma 7 3 5 2" xfId="926"/>
    <cellStyle name="Comma 7 3 6" xfId="927"/>
    <cellStyle name="Comma 7 3 6 2" xfId="928"/>
    <cellStyle name="Comma 7 3 7" xfId="929"/>
    <cellStyle name="Comma 7 3 7 2" xfId="930"/>
    <cellStyle name="Comma 7 3 8" xfId="931"/>
    <cellStyle name="Comma 7 3 8 2" xfId="932"/>
    <cellStyle name="Comma 7 3 9" xfId="933"/>
    <cellStyle name="Comma 7 3 9 2" xfId="934"/>
    <cellStyle name="Comma 7 4" xfId="935"/>
    <cellStyle name="Comma 7 4 2" xfId="936"/>
    <cellStyle name="Comma 7 5" xfId="937"/>
    <cellStyle name="Comma 7 5 2" xfId="938"/>
    <cellStyle name="Comma 7 6" xfId="939"/>
    <cellStyle name="Comma 7 6 2" xfId="940"/>
    <cellStyle name="Comma 7 7" xfId="941"/>
    <cellStyle name="Comma 7 7 2" xfId="942"/>
    <cellStyle name="Comma 7 8" xfId="943"/>
    <cellStyle name="Comma 7 8 2" xfId="944"/>
    <cellStyle name="Comma 7 9" xfId="945"/>
    <cellStyle name="Comma 7 9 2" xfId="946"/>
    <cellStyle name="Comma 8" xfId="947"/>
    <cellStyle name="Comma 8 2" xfId="948"/>
    <cellStyle name="Comma 8 2 2" xfId="949"/>
    <cellStyle name="Comma 8 2 2 2" xfId="950"/>
    <cellStyle name="Comma 8 2 2 3" xfId="951"/>
    <cellStyle name="Comma 8 2 2 4" xfId="952"/>
    <cellStyle name="Comma 8 3" xfId="953"/>
    <cellStyle name="Comma 8 3 2" xfId="954"/>
    <cellStyle name="Comma 8 3 2 2" xfId="955"/>
    <cellStyle name="Comma 8 3 2 3" xfId="956"/>
    <cellStyle name="Comma 8 3 2 4" xfId="957"/>
    <cellStyle name="Comma 8 4" xfId="958"/>
    <cellStyle name="Comma 8 4 2" xfId="959"/>
    <cellStyle name="Comma 8 4 2 2" xfId="960"/>
    <cellStyle name="Comma 8 4 2 3" xfId="961"/>
    <cellStyle name="Comma 8 4 2 4" xfId="962"/>
    <cellStyle name="Comma 8 5" xfId="963"/>
    <cellStyle name="Comma 8 5 2" xfId="964"/>
    <cellStyle name="Comma 8 5 2 2" xfId="965"/>
    <cellStyle name="Comma 8 5 2 3" xfId="966"/>
    <cellStyle name="Comma 8 5 2 4" xfId="967"/>
    <cellStyle name="Comma 8 6" xfId="968"/>
    <cellStyle name="Comma 8 6 2" xfId="969"/>
    <cellStyle name="Comma 8 6 2 2" xfId="970"/>
    <cellStyle name="Comma 8 6 2 3" xfId="971"/>
    <cellStyle name="Comma 8 6 2 4" xfId="972"/>
    <cellStyle name="Comma 8 7" xfId="973"/>
    <cellStyle name="Comma 8 7 2" xfId="974"/>
    <cellStyle name="Comma 8 7 2 2" xfId="975"/>
    <cellStyle name="Comma 8 7 2 3" xfId="976"/>
    <cellStyle name="Comma 8 7 2 4" xfId="977"/>
    <cellStyle name="Comma 8 8" xfId="978"/>
    <cellStyle name="Comma 8 8 2" xfId="979"/>
    <cellStyle name="Comma 8 8 2 2" xfId="980"/>
    <cellStyle name="Comma 8 8 2 3" xfId="981"/>
    <cellStyle name="Comma 8 8 2 4" xfId="982"/>
    <cellStyle name="Comma 9" xfId="983"/>
    <cellStyle name="Comma 9 2" xfId="984"/>
    <cellStyle name="Comma 9 2 2" xfId="985"/>
    <cellStyle name="Comma 9 3" xfId="986"/>
    <cellStyle name="Comma 9 4" xfId="987"/>
    <cellStyle name="Comma 9 5" xfId="988"/>
    <cellStyle name="Comma 9 6" xfId="989"/>
    <cellStyle name="Comma 9 7" xfId="990"/>
    <cellStyle name="Comma 9 8" xfId="991"/>
    <cellStyle name="Comma 9 9" xfId="992"/>
    <cellStyle name="Currency 2 2" xfId="993"/>
    <cellStyle name="Currency 2 2 2" xfId="994"/>
    <cellStyle name="CustomizationCells" xfId="995"/>
    <cellStyle name="Date" xfId="996"/>
    <cellStyle name="Date 2" xfId="997"/>
    <cellStyle name="donn_normal" xfId="998"/>
    <cellStyle name="ent_col_ser" xfId="999"/>
    <cellStyle name="entete_source" xfId="1000"/>
    <cellStyle name="Euro" xfId="1001"/>
    <cellStyle name="Euro 2" xfId="1002"/>
    <cellStyle name="Euro 2 2" xfId="1003"/>
    <cellStyle name="Euro 2 2 2" xfId="1004"/>
    <cellStyle name="Euro 2 2 2 2" xfId="1005"/>
    <cellStyle name="Euro 2 2 2 3" xfId="1006"/>
    <cellStyle name="Euro 2 2 3" xfId="1007"/>
    <cellStyle name="Euro 2 2 4" xfId="1008"/>
    <cellStyle name="Euro 2 3" xfId="1009"/>
    <cellStyle name="Euro 2 3 2" xfId="1010"/>
    <cellStyle name="Euro 2 4" xfId="1011"/>
    <cellStyle name="Euro 2 5" xfId="1012"/>
    <cellStyle name="Euro 3" xfId="1013"/>
    <cellStyle name="Euro 3 2" xfId="1014"/>
    <cellStyle name="Euro 3 3" xfId="1015"/>
    <cellStyle name="Euro 4" xfId="1016"/>
    <cellStyle name="Euro 4 2" xfId="1017"/>
    <cellStyle name="Euro 4 3" xfId="1018"/>
    <cellStyle name="Euro 5" xfId="1019"/>
    <cellStyle name="Explanatory Text 2" xfId="1020"/>
    <cellStyle name="Explanatory Text 2 10" xfId="1021"/>
    <cellStyle name="Explanatory Text 2 2" xfId="1022"/>
    <cellStyle name="Explanatory Text 2 3" xfId="1023"/>
    <cellStyle name="Explanatory Text 2 4" xfId="1024"/>
    <cellStyle name="Explanatory Text 2 5" xfId="1025"/>
    <cellStyle name="Explanatory Text 2 6" xfId="1026"/>
    <cellStyle name="Explanatory Text 2 7" xfId="1027"/>
    <cellStyle name="Explanatory Text 2 8" xfId="1028"/>
    <cellStyle name="Explanatory Text 2 9" xfId="1029"/>
    <cellStyle name="Explanatory Text 3" xfId="1030"/>
    <cellStyle name="Fixed" xfId="1031"/>
    <cellStyle name="Fixed 2" xfId="1032"/>
    <cellStyle name="Float" xfId="1033"/>
    <cellStyle name="Float 2" xfId="1034"/>
    <cellStyle name="Good 2" xfId="1035"/>
    <cellStyle name="Good 2 10" xfId="1036"/>
    <cellStyle name="Good 2 2" xfId="1037"/>
    <cellStyle name="Good 2 3" xfId="1038"/>
    <cellStyle name="Good 2 4" xfId="1039"/>
    <cellStyle name="Good 2 5" xfId="1040"/>
    <cellStyle name="Good 2 6" xfId="1041"/>
    <cellStyle name="Good 2 7" xfId="1042"/>
    <cellStyle name="Good 2 8" xfId="1043"/>
    <cellStyle name="Good 2 9" xfId="1044"/>
    <cellStyle name="Good 3" xfId="1045"/>
    <cellStyle name="Good 3 2" xfId="1046"/>
    <cellStyle name="Heading 1 2" xfId="1047"/>
    <cellStyle name="Heading 1 2 10" xfId="1048"/>
    <cellStyle name="Heading 1 2 2" xfId="1049"/>
    <cellStyle name="Heading 1 2 3" xfId="1050"/>
    <cellStyle name="Heading 1 2 4" xfId="1051"/>
    <cellStyle name="Heading 1 2 5" xfId="1052"/>
    <cellStyle name="Heading 1 2 6" xfId="1053"/>
    <cellStyle name="Heading 1 2 7" xfId="1054"/>
    <cellStyle name="Heading 1 2 8" xfId="1055"/>
    <cellStyle name="Heading 1 2 9" xfId="1056"/>
    <cellStyle name="Heading 1 3" xfId="1057"/>
    <cellStyle name="Heading 1 3 2" xfId="1058"/>
    <cellStyle name="Heading 2 2" xfId="1059"/>
    <cellStyle name="Heading 2 2 10" xfId="1060"/>
    <cellStyle name="Heading 2 2 2" xfId="1061"/>
    <cellStyle name="Heading 2 2 3" xfId="1062"/>
    <cellStyle name="Heading 2 2 4" xfId="1063"/>
    <cellStyle name="Heading 2 2 5" xfId="1064"/>
    <cellStyle name="Heading 2 2 6" xfId="1065"/>
    <cellStyle name="Heading 2 2 7" xfId="1066"/>
    <cellStyle name="Heading 2 2 8" xfId="1067"/>
    <cellStyle name="Heading 2 2 9" xfId="1068"/>
    <cellStyle name="Heading 2 3" xfId="1069"/>
    <cellStyle name="Heading 2 3 2" xfId="1070"/>
    <cellStyle name="Heading 3 2" xfId="1071"/>
    <cellStyle name="Heading 3 2 10" xfId="1072"/>
    <cellStyle name="Heading 3 2 2" xfId="1073"/>
    <cellStyle name="Heading 3 2 3" xfId="1074"/>
    <cellStyle name="Heading 3 2 4" xfId="1075"/>
    <cellStyle name="Heading 3 2 5" xfId="1076"/>
    <cellStyle name="Heading 3 2 6" xfId="1077"/>
    <cellStyle name="Heading 3 2 7" xfId="1078"/>
    <cellStyle name="Heading 3 2 8" xfId="1079"/>
    <cellStyle name="Heading 3 2 9" xfId="1080"/>
    <cellStyle name="Heading 3 3" xfId="1081"/>
    <cellStyle name="Heading 3 3 2" xfId="1082"/>
    <cellStyle name="Heading 4 2" xfId="1083"/>
    <cellStyle name="Heading 4 2 10" xfId="1084"/>
    <cellStyle name="Heading 4 2 2" xfId="1085"/>
    <cellStyle name="Heading 4 2 3" xfId="1086"/>
    <cellStyle name="Heading 4 2 4" xfId="1087"/>
    <cellStyle name="Heading 4 2 5" xfId="1088"/>
    <cellStyle name="Heading 4 2 6" xfId="1089"/>
    <cellStyle name="Heading 4 2 7" xfId="1090"/>
    <cellStyle name="Heading 4 2 8" xfId="1091"/>
    <cellStyle name="Heading 4 2 9" xfId="1092"/>
    <cellStyle name="Heading 4 3" xfId="1093"/>
    <cellStyle name="Heading 4 3 2" xfId="1094"/>
    <cellStyle name="Heading1" xfId="1095"/>
    <cellStyle name="Heading1 2" xfId="1096"/>
    <cellStyle name="Heading2" xfId="1097"/>
    <cellStyle name="Heading2 2" xfId="1098"/>
    <cellStyle name="Hyperlink 2" xfId="1099"/>
    <cellStyle name="Input 2" xfId="1100"/>
    <cellStyle name="Input 2 10" xfId="1101"/>
    <cellStyle name="Input 2 2" xfId="1102"/>
    <cellStyle name="Input 2 3" xfId="1103"/>
    <cellStyle name="Input 2 4" xfId="1104"/>
    <cellStyle name="Input 2 5" xfId="1105"/>
    <cellStyle name="Input 2 6" xfId="1106"/>
    <cellStyle name="Input 2 7" xfId="1107"/>
    <cellStyle name="Input 2 8" xfId="1108"/>
    <cellStyle name="Input 2 9" xfId="1109"/>
    <cellStyle name="Input 3" xfId="1110"/>
    <cellStyle name="Input 3 2" xfId="1111"/>
    <cellStyle name="InputCells" xfId="1112"/>
    <cellStyle name="ligne_titre_0" xfId="1113"/>
    <cellStyle name="Linked Cell 2" xfId="1114"/>
    <cellStyle name="Linked Cell 2 10" xfId="1115"/>
    <cellStyle name="Linked Cell 2 2" xfId="1116"/>
    <cellStyle name="Linked Cell 2 3" xfId="1117"/>
    <cellStyle name="Linked Cell 2 4" xfId="1118"/>
    <cellStyle name="Linked Cell 2 5" xfId="1119"/>
    <cellStyle name="Linked Cell 2 6" xfId="1120"/>
    <cellStyle name="Linked Cell 2 7" xfId="1121"/>
    <cellStyle name="Linked Cell 2 8" xfId="1122"/>
    <cellStyle name="Linked Cell 2 9" xfId="1123"/>
    <cellStyle name="Linked Cell 3" xfId="1124"/>
    <cellStyle name="Linked Cell 3 2" xfId="1125"/>
    <cellStyle name="Migliaia_Oil&amp;Gas IFE ARC POLITO" xfId="1126"/>
    <cellStyle name="Neutral 2" xfId="1127"/>
    <cellStyle name="Neutral 2 10" xfId="1128"/>
    <cellStyle name="Neutral 2 2" xfId="1129"/>
    <cellStyle name="Neutral 2 3" xfId="1130"/>
    <cellStyle name="Neutral 2 4" xfId="1131"/>
    <cellStyle name="Neutral 2 5" xfId="1132"/>
    <cellStyle name="Neutral 2 6" xfId="1133"/>
    <cellStyle name="Neutral 2 7" xfId="1134"/>
    <cellStyle name="Neutral 2 8" xfId="1135"/>
    <cellStyle name="Neutral 2 9" xfId="1136"/>
    <cellStyle name="Neutral 3" xfId="1137"/>
    <cellStyle name="Neutral 3 2" xfId="1138"/>
    <cellStyle name="Neutral 3 3" xfId="1139"/>
    <cellStyle name="Normal 10" xfId="1140"/>
    <cellStyle name="Normal 10 2" xfId="1141"/>
    <cellStyle name="Normal 10 2 2" xfId="1142"/>
    <cellStyle name="Normal 10 3" xfId="1143"/>
    <cellStyle name="Normal 10 3 2" xfId="1144"/>
    <cellStyle name="Normal 10 4" xfId="1145"/>
    <cellStyle name="Normal 10 4 2" xfId="1146"/>
    <cellStyle name="Normal 10 5" xfId="1147"/>
    <cellStyle name="Normal 10 5 2" xfId="1148"/>
    <cellStyle name="Normal 10 6" xfId="1149"/>
    <cellStyle name="Normal 10 6 2" xfId="1150"/>
    <cellStyle name="Normal 10 7" xfId="1151"/>
    <cellStyle name="Normal 10 7 2" xfId="1152"/>
    <cellStyle name="Normal 10 8" xfId="1153"/>
    <cellStyle name="Normal 10 8 2" xfId="1154"/>
    <cellStyle name="Normal 10 9" xfId="1155"/>
    <cellStyle name="Normal 11" xfId="1156"/>
    <cellStyle name="Normal 11 10" xfId="1157"/>
    <cellStyle name="Normal 11 2" xfId="1158"/>
    <cellStyle name="Normal 11 2 2" xfId="1159"/>
    <cellStyle name="Normal 11 3" xfId="1160"/>
    <cellStyle name="Normal 11 3 2" xfId="1161"/>
    <cellStyle name="Normal 11 4" xfId="1162"/>
    <cellStyle name="Normal 11 4 2" xfId="1163"/>
    <cellStyle name="Normal 11 5" xfId="1164"/>
    <cellStyle name="Normal 11 5 2" xfId="1165"/>
    <cellStyle name="Normal 11 6" xfId="1166"/>
    <cellStyle name="Normal 11 6 2" xfId="1167"/>
    <cellStyle name="Normal 11 7" xfId="1168"/>
    <cellStyle name="Normal 11 7 2" xfId="1169"/>
    <cellStyle name="Normal 11 8" xfId="1170"/>
    <cellStyle name="Normal 11 8 2" xfId="1171"/>
    <cellStyle name="Normal 11 9" xfId="1172"/>
    <cellStyle name="Normal 12" xfId="1173"/>
    <cellStyle name="Normal 12 10" xfId="1174"/>
    <cellStyle name="Normal 12 2" xfId="1175"/>
    <cellStyle name="Normal 12 2 2" xfId="1176"/>
    <cellStyle name="Normal 12 3" xfId="1177"/>
    <cellStyle name="Normal 12 3 2" xfId="1178"/>
    <cellStyle name="Normal 12 4" xfId="1179"/>
    <cellStyle name="Normal 12 4 2" xfId="1180"/>
    <cellStyle name="Normal 12 5" xfId="1181"/>
    <cellStyle name="Normal 12 5 2" xfId="1182"/>
    <cellStyle name="Normal 12 6" xfId="1183"/>
    <cellStyle name="Normal 12 6 2" xfId="1184"/>
    <cellStyle name="Normal 12 7" xfId="1185"/>
    <cellStyle name="Normal 12 7 2" xfId="1186"/>
    <cellStyle name="Normal 12 8" xfId="1187"/>
    <cellStyle name="Normal 12 8 2" xfId="1188"/>
    <cellStyle name="Normal 12 9" xfId="1189"/>
    <cellStyle name="Normal 13" xfId="1190"/>
    <cellStyle name="Normal 13 10" xfId="1191"/>
    <cellStyle name="Normal 13 10 2" xfId="1192"/>
    <cellStyle name="Normal 13 10 2 2" xfId="1193"/>
    <cellStyle name="Normal 13 10 2 3" xfId="1194"/>
    <cellStyle name="Normal 13 10 2 4" xfId="1195"/>
    <cellStyle name="Normal 13 10 3" xfId="1196"/>
    <cellStyle name="Normal 13 10 4" xfId="1197"/>
    <cellStyle name="Normal 13 10 5" xfId="1198"/>
    <cellStyle name="Normal 13 11" xfId="1199"/>
    <cellStyle name="Normal 13 11 2" xfId="1200"/>
    <cellStyle name="Normal 13 11 2 2" xfId="1201"/>
    <cellStyle name="Normal 13 11 2 3" xfId="1202"/>
    <cellStyle name="Normal 13 11 2 4" xfId="1203"/>
    <cellStyle name="Normal 13 11 3" xfId="1204"/>
    <cellStyle name="Normal 13 11 4" xfId="1205"/>
    <cellStyle name="Normal 13 11 5" xfId="1206"/>
    <cellStyle name="Normal 13 12" xfId="1207"/>
    <cellStyle name="Normal 13 13" xfId="1208"/>
    <cellStyle name="Normal 13 13 2" xfId="1209"/>
    <cellStyle name="Normal 13 13 2 2" xfId="1210"/>
    <cellStyle name="Normal 13 13 2 3" xfId="1211"/>
    <cellStyle name="Normal 13 13 2 4" xfId="1212"/>
    <cellStyle name="Normal 13 13 3" xfId="1213"/>
    <cellStyle name="Normal 13 13 4" xfId="1214"/>
    <cellStyle name="Normal 13 13 5" xfId="1215"/>
    <cellStyle name="Normal 13 14" xfId="1216"/>
    <cellStyle name="Normal 13 14 2" xfId="1217"/>
    <cellStyle name="Normal 13 14 2 2" xfId="1218"/>
    <cellStyle name="Normal 13 14 2 3" xfId="1219"/>
    <cellStyle name="Normal 13 14 2 4" xfId="1220"/>
    <cellStyle name="Normal 13 14 3" xfId="1221"/>
    <cellStyle name="Normal 13 14 4" xfId="1222"/>
    <cellStyle name="Normal 13 14 5" xfId="1223"/>
    <cellStyle name="Normal 13 15" xfId="1224"/>
    <cellStyle name="Normal 13 15 2" xfId="1225"/>
    <cellStyle name="Normal 13 15 2 2" xfId="1226"/>
    <cellStyle name="Normal 13 15 2 3" xfId="1227"/>
    <cellStyle name="Normal 13 15 2 4" xfId="1228"/>
    <cellStyle name="Normal 13 15 3" xfId="1229"/>
    <cellStyle name="Normal 13 15 4" xfId="1230"/>
    <cellStyle name="Normal 13 15 5" xfId="1231"/>
    <cellStyle name="Normal 13 16" xfId="1232"/>
    <cellStyle name="Normal 13 16 2" xfId="1233"/>
    <cellStyle name="Normal 13 16 2 2" xfId="1234"/>
    <cellStyle name="Normal 13 16 2 3" xfId="1235"/>
    <cellStyle name="Normal 13 16 2 4" xfId="1236"/>
    <cellStyle name="Normal 13 16 3" xfId="1237"/>
    <cellStyle name="Normal 13 16 4" xfId="1238"/>
    <cellStyle name="Normal 13 16 5" xfId="1239"/>
    <cellStyle name="Normal 13 17" xfId="1240"/>
    <cellStyle name="Normal 13 18" xfId="1241"/>
    <cellStyle name="Normal 13 19" xfId="1242"/>
    <cellStyle name="Normal 13 2" xfId="1243"/>
    <cellStyle name="Normal 13 2 2" xfId="1244"/>
    <cellStyle name="Normal 13 2 2 2" xfId="1245"/>
    <cellStyle name="Normal 13 2 2 2 2" xfId="1246"/>
    <cellStyle name="Normal 13 2 2 2 3" xfId="1247"/>
    <cellStyle name="Normal 13 2 2 2 4" xfId="1248"/>
    <cellStyle name="Normal 13 2 2 3" xfId="1249"/>
    <cellStyle name="Normal 13 2 2 4" xfId="1250"/>
    <cellStyle name="Normal 13 2 2 5" xfId="1251"/>
    <cellStyle name="Normal 13 2 3" xfId="1252"/>
    <cellStyle name="Normal 13 2 3 2" xfId="1253"/>
    <cellStyle name="Normal 13 2 3 2 2" xfId="1254"/>
    <cellStyle name="Normal 13 2 3 2 3" xfId="1255"/>
    <cellStyle name="Normal 13 2 3 2 4" xfId="1256"/>
    <cellStyle name="Normal 13 2 3 3" xfId="1257"/>
    <cellStyle name="Normal 13 2 3 4" xfId="1258"/>
    <cellStyle name="Normal 13 2 3 5" xfId="1259"/>
    <cellStyle name="Normal 13 2 4" xfId="1260"/>
    <cellStyle name="Normal 13 2 4 2" xfId="1261"/>
    <cellStyle name="Normal 13 2 4 2 2" xfId="1262"/>
    <cellStyle name="Normal 13 2 4 2 3" xfId="1263"/>
    <cellStyle name="Normal 13 2 4 2 4" xfId="1264"/>
    <cellStyle name="Normal 13 2 4 3" xfId="1265"/>
    <cellStyle name="Normal 13 2 4 4" xfId="1266"/>
    <cellStyle name="Normal 13 2 4 5" xfId="1267"/>
    <cellStyle name="Normal 13 2 5" xfId="1268"/>
    <cellStyle name="Normal 13 2 5 2" xfId="1269"/>
    <cellStyle name="Normal 13 2 5 2 2" xfId="1270"/>
    <cellStyle name="Normal 13 2 5 2 3" xfId="1271"/>
    <cellStyle name="Normal 13 2 5 2 4" xfId="1272"/>
    <cellStyle name="Normal 13 2 5 3" xfId="1273"/>
    <cellStyle name="Normal 13 2 5 4" xfId="1274"/>
    <cellStyle name="Normal 13 2 5 5" xfId="1275"/>
    <cellStyle name="Normal 13 2 6" xfId="1276"/>
    <cellStyle name="Normal 13 2 6 2" xfId="1277"/>
    <cellStyle name="Normal 13 2 6 2 2" xfId="1278"/>
    <cellStyle name="Normal 13 2 6 2 3" xfId="1279"/>
    <cellStyle name="Normal 13 2 6 2 4" xfId="1280"/>
    <cellStyle name="Normal 13 2 6 3" xfId="1281"/>
    <cellStyle name="Normal 13 2 6 4" xfId="1282"/>
    <cellStyle name="Normal 13 2 6 5" xfId="1283"/>
    <cellStyle name="Normal 13 2 7" xfId="1284"/>
    <cellStyle name="Normal 13 2 7 2" xfId="1285"/>
    <cellStyle name="Normal 13 2 7 2 2" xfId="1286"/>
    <cellStyle name="Normal 13 2 7 2 3" xfId="1287"/>
    <cellStyle name="Normal 13 2 7 2 4" xfId="1288"/>
    <cellStyle name="Normal 13 2 7 3" xfId="1289"/>
    <cellStyle name="Normal 13 2 7 4" xfId="1290"/>
    <cellStyle name="Normal 13 2 7 5" xfId="1291"/>
    <cellStyle name="Normal 13 2 8" xfId="1292"/>
    <cellStyle name="Normal 13 2 8 2" xfId="1293"/>
    <cellStyle name="Normal 13 2 8 2 2" xfId="1294"/>
    <cellStyle name="Normal 13 2 8 2 3" xfId="1295"/>
    <cellStyle name="Normal 13 2 8 2 4" xfId="1296"/>
    <cellStyle name="Normal 13 2 8 3" xfId="1297"/>
    <cellStyle name="Normal 13 2 8 4" xfId="1298"/>
    <cellStyle name="Normal 13 2 8 5" xfId="1299"/>
    <cellStyle name="Normal 13 20" xfId="1300"/>
    <cellStyle name="Normal 13 21" xfId="1301"/>
    <cellStyle name="Normal 13 22" xfId="1302"/>
    <cellStyle name="Normal 13 23" xfId="1303"/>
    <cellStyle name="Normal 13 23 2" xfId="1304"/>
    <cellStyle name="Normal 13 24" xfId="1305"/>
    <cellStyle name="Normal 13 24 2" xfId="1306"/>
    <cellStyle name="Normal 13 25" xfId="1307"/>
    <cellStyle name="Normal 13 25 2" xfId="1308"/>
    <cellStyle name="Normal 13 26" xfId="1309"/>
    <cellStyle name="Normal 13 26 2" xfId="1310"/>
    <cellStyle name="Normal 13 27" xfId="1311"/>
    <cellStyle name="Normal 13 27 2" xfId="1312"/>
    <cellStyle name="Normal 13 28" xfId="1313"/>
    <cellStyle name="Normal 13 28 2" xfId="1314"/>
    <cellStyle name="Normal 13 29" xfId="1315"/>
    <cellStyle name="Normal 13 29 2" xfId="1316"/>
    <cellStyle name="Normal 13 3" xfId="1317"/>
    <cellStyle name="Normal 13 3 2" xfId="1318"/>
    <cellStyle name="Normal 13 3 2 2" xfId="1319"/>
    <cellStyle name="Normal 13 3 2 3" xfId="1320"/>
    <cellStyle name="Normal 13 3 2 4" xfId="1321"/>
    <cellStyle name="Normal 13 3 3" xfId="1322"/>
    <cellStyle name="Normal 13 3 4" xfId="1323"/>
    <cellStyle name="Normal 13 3 5" xfId="1324"/>
    <cellStyle name="Normal 13 30" xfId="1325"/>
    <cellStyle name="Normal 13 30 2" xfId="1326"/>
    <cellStyle name="Normal 13 31" xfId="1327"/>
    <cellStyle name="Normal 13 31 2" xfId="1328"/>
    <cellStyle name="Normal 13 32" xfId="1329"/>
    <cellStyle name="Normal 13 32 2" xfId="1330"/>
    <cellStyle name="Normal 13 33" xfId="1331"/>
    <cellStyle name="Normal 13 33 2" xfId="1332"/>
    <cellStyle name="Normal 13 34" xfId="1333"/>
    <cellStyle name="Normal 13 34 2" xfId="1334"/>
    <cellStyle name="Normal 13 35" xfId="1335"/>
    <cellStyle name="Normal 13 35 2" xfId="1336"/>
    <cellStyle name="Normal 13 36" xfId="1337"/>
    <cellStyle name="Normal 13 36 2" xfId="1338"/>
    <cellStyle name="Normal 13 37" xfId="1339"/>
    <cellStyle name="Normal 13 37 2" xfId="1340"/>
    <cellStyle name="Normal 13 38" xfId="1341"/>
    <cellStyle name="Normal 13 38 2" xfId="1342"/>
    <cellStyle name="Normal 13 39" xfId="1343"/>
    <cellStyle name="Normal 13 4" xfId="1344"/>
    <cellStyle name="Normal 13 4 2" xfId="1345"/>
    <cellStyle name="Normal 13 4 2 2" xfId="1346"/>
    <cellStyle name="Normal 13 4 2 3" xfId="1347"/>
    <cellStyle name="Normal 13 4 2 4" xfId="1348"/>
    <cellStyle name="Normal 13 4 3" xfId="1349"/>
    <cellStyle name="Normal 13 4 4" xfId="1350"/>
    <cellStyle name="Normal 13 4 5" xfId="1351"/>
    <cellStyle name="Normal 13 5" xfId="1352"/>
    <cellStyle name="Normal 13 6" xfId="1353"/>
    <cellStyle name="Normal 13 7" xfId="1354"/>
    <cellStyle name="Normal 13 8" xfId="1355"/>
    <cellStyle name="Normal 13 9" xfId="1356"/>
    <cellStyle name="Normal 13 9 2" xfId="1357"/>
    <cellStyle name="Normal 13 9 2 2" xfId="1358"/>
    <cellStyle name="Normal 13 9 2 3" xfId="1359"/>
    <cellStyle name="Normal 13 9 2 4" xfId="1360"/>
    <cellStyle name="Normal 13 9 3" xfId="1361"/>
    <cellStyle name="Normal 13 9 4" xfId="1362"/>
    <cellStyle name="Normal 13 9 5" xfId="1363"/>
    <cellStyle name="Normal 14" xfId="1364"/>
    <cellStyle name="Normal 14 10" xfId="1365"/>
    <cellStyle name="Normal 14 10 2" xfId="1366"/>
    <cellStyle name="Normal 14 10 2 2" xfId="1367"/>
    <cellStyle name="Normal 14 10 2 3" xfId="1368"/>
    <cellStyle name="Normal 14 10 2 4" xfId="1369"/>
    <cellStyle name="Normal 14 10 3" xfId="1370"/>
    <cellStyle name="Normal 14 10 4" xfId="1371"/>
    <cellStyle name="Normal 14 10 5" xfId="1372"/>
    <cellStyle name="Normal 14 11" xfId="1373"/>
    <cellStyle name="Normal 14 11 2" xfId="1374"/>
    <cellStyle name="Normal 14 11 2 2" xfId="1375"/>
    <cellStyle name="Normal 14 11 2 3" xfId="1376"/>
    <cellStyle name="Normal 14 11 2 4" xfId="1377"/>
    <cellStyle name="Normal 14 11 3" xfId="1378"/>
    <cellStyle name="Normal 14 11 4" xfId="1379"/>
    <cellStyle name="Normal 14 11 5" xfId="1380"/>
    <cellStyle name="Normal 14 12" xfId="1381"/>
    <cellStyle name="Normal 14 12 2" xfId="1382"/>
    <cellStyle name="Normal 14 12 2 2" xfId="1383"/>
    <cellStyle name="Normal 14 12 2 3" xfId="1384"/>
    <cellStyle name="Normal 14 12 2 4" xfId="1385"/>
    <cellStyle name="Normal 14 12 3" xfId="1386"/>
    <cellStyle name="Normal 14 12 4" xfId="1387"/>
    <cellStyle name="Normal 14 12 5" xfId="1388"/>
    <cellStyle name="Normal 14 13" xfId="1389"/>
    <cellStyle name="Normal 14 13 2" xfId="1390"/>
    <cellStyle name="Normal 14 13 2 2" xfId="1391"/>
    <cellStyle name="Normal 14 13 2 3" xfId="1392"/>
    <cellStyle name="Normal 14 13 2 4" xfId="1393"/>
    <cellStyle name="Normal 14 13 3" xfId="1394"/>
    <cellStyle name="Normal 14 13 4" xfId="1395"/>
    <cellStyle name="Normal 14 13 5" xfId="1396"/>
    <cellStyle name="Normal 14 14" xfId="1397"/>
    <cellStyle name="Normal 14 14 2" xfId="1398"/>
    <cellStyle name="Normal 14 14 2 2" xfId="1399"/>
    <cellStyle name="Normal 14 14 2 3" xfId="1400"/>
    <cellStyle name="Normal 14 14 2 4" xfId="1401"/>
    <cellStyle name="Normal 14 14 3" xfId="1402"/>
    <cellStyle name="Normal 14 14 4" xfId="1403"/>
    <cellStyle name="Normal 14 14 5" xfId="1404"/>
    <cellStyle name="Normal 14 15" xfId="1405"/>
    <cellStyle name="Normal 14 15 2" xfId="1406"/>
    <cellStyle name="Normal 14 15 2 2" xfId="1407"/>
    <cellStyle name="Normal 14 15 2 3" xfId="1408"/>
    <cellStyle name="Normal 14 15 2 4" xfId="1409"/>
    <cellStyle name="Normal 14 15 3" xfId="1410"/>
    <cellStyle name="Normal 14 15 4" xfId="1411"/>
    <cellStyle name="Normal 14 15 5" xfId="1412"/>
    <cellStyle name="Normal 14 2" xfId="1413"/>
    <cellStyle name="Normal 14 2 10" xfId="1414"/>
    <cellStyle name="Normal 14 2 11" xfId="1415"/>
    <cellStyle name="Normal 14 2 2" xfId="1416"/>
    <cellStyle name="Normal 14 2 2 2" xfId="1417"/>
    <cellStyle name="Normal 14 2 3" xfId="1418"/>
    <cellStyle name="Normal 14 2 3 2" xfId="1419"/>
    <cellStyle name="Normal 14 2 4" xfId="1420"/>
    <cellStyle name="Normal 14 2 4 2" xfId="1421"/>
    <cellStyle name="Normal 14 2 5" xfId="1422"/>
    <cellStyle name="Normal 14 2 5 2" xfId="1423"/>
    <cellStyle name="Normal 14 2 6" xfId="1424"/>
    <cellStyle name="Normal 14 2 6 2" xfId="1425"/>
    <cellStyle name="Normal 14 2 7" xfId="1426"/>
    <cellStyle name="Normal 14 2 7 2" xfId="1427"/>
    <cellStyle name="Normal 14 2 8" xfId="1428"/>
    <cellStyle name="Normal 14 2 8 2" xfId="1429"/>
    <cellStyle name="Normal 14 2 8 3" xfId="1430"/>
    <cellStyle name="Normal 14 2 8 4" xfId="1431"/>
    <cellStyle name="Normal 14 2 9" xfId="1432"/>
    <cellStyle name="Normal 14 3" xfId="1433"/>
    <cellStyle name="Normal 14 3 2" xfId="1434"/>
    <cellStyle name="Normal 14 4" xfId="1435"/>
    <cellStyle name="Normal 14 4 2" xfId="1436"/>
    <cellStyle name="Normal 14 4 2 2" xfId="1437"/>
    <cellStyle name="Normal 14 4 2 3" xfId="1438"/>
    <cellStyle name="Normal 14 4 2 4" xfId="1439"/>
    <cellStyle name="Normal 14 4 3" xfId="1440"/>
    <cellStyle name="Normal 14 4 4" xfId="1441"/>
    <cellStyle name="Normal 14 4 5" xfId="1442"/>
    <cellStyle name="Normal 14 5" xfId="1443"/>
    <cellStyle name="Normal 14 5 2" xfId="1444"/>
    <cellStyle name="Normal 14 5 2 2" xfId="1445"/>
    <cellStyle name="Normal 14 5 2 3" xfId="1446"/>
    <cellStyle name="Normal 14 5 2 4" xfId="1447"/>
    <cellStyle name="Normal 14 5 3" xfId="1448"/>
    <cellStyle name="Normal 14 5 4" xfId="1449"/>
    <cellStyle name="Normal 14 5 5" xfId="1450"/>
    <cellStyle name="Normal 14 6" xfId="1451"/>
    <cellStyle name="Normal 14 6 2" xfId="1452"/>
    <cellStyle name="Normal 14 7" xfId="1453"/>
    <cellStyle name="Normal 14 7 2" xfId="1454"/>
    <cellStyle name="Normal 14 8" xfId="1455"/>
    <cellStyle name="Normal 14 8 2" xfId="1456"/>
    <cellStyle name="Normal 14 9" xfId="1457"/>
    <cellStyle name="Normal 14 9 2" xfId="1458"/>
    <cellStyle name="Normal 15" xfId="1459"/>
    <cellStyle name="Normal 15 2" xfId="1460"/>
    <cellStyle name="Normal 15 2 2" xfId="1461"/>
    <cellStyle name="Normal 15 3" xfId="1462"/>
    <cellStyle name="Normal 15 3 2" xfId="1463"/>
    <cellStyle name="Normal 15 4" xfId="1464"/>
    <cellStyle name="Normal 15 4 2" xfId="1465"/>
    <cellStyle name="Normal 15 5" xfId="1466"/>
    <cellStyle name="Normal 15 5 2" xfId="1467"/>
    <cellStyle name="Normal 15 6" xfId="1468"/>
    <cellStyle name="Normal 15 6 2" xfId="1469"/>
    <cellStyle name="Normal 16" xfId="1470"/>
    <cellStyle name="Normal 16 10" xfId="1471"/>
    <cellStyle name="Normal 16 2" xfId="1472"/>
    <cellStyle name="Normal 16 2 2" xfId="1473"/>
    <cellStyle name="Normal 16 3" xfId="1474"/>
    <cellStyle name="Normal 16 3 2" xfId="1475"/>
    <cellStyle name="Normal 16 4" xfId="1476"/>
    <cellStyle name="Normal 16 4 2" xfId="1477"/>
    <cellStyle name="Normal 16 5" xfId="1478"/>
    <cellStyle name="Normal 16 5 2" xfId="1479"/>
    <cellStyle name="Normal 16 6" xfId="1480"/>
    <cellStyle name="Normal 16 6 2" xfId="1481"/>
    <cellStyle name="Normal 16 7" xfId="1482"/>
    <cellStyle name="Normal 16 7 2" xfId="1483"/>
    <cellStyle name="Normal 16 7 3" xfId="1484"/>
    <cellStyle name="Normal 16 7 4" xfId="1485"/>
    <cellStyle name="Normal 16 8" xfId="1486"/>
    <cellStyle name="Normal 16 9" xfId="1487"/>
    <cellStyle name="Normal 17" xfId="1488"/>
    <cellStyle name="Normal 17 10" xfId="1489"/>
    <cellStyle name="Normal 17 10 2" xfId="1490"/>
    <cellStyle name="Normal 17 11" xfId="1491"/>
    <cellStyle name="Normal 17 11 2" xfId="1492"/>
    <cellStyle name="Normal 17 12" xfId="1493"/>
    <cellStyle name="Normal 17 12 2" xfId="1494"/>
    <cellStyle name="Normal 17 13" xfId="1495"/>
    <cellStyle name="Normal 17 13 2" xfId="1496"/>
    <cellStyle name="Normal 17 14" xfId="1497"/>
    <cellStyle name="Normal 17 14 2" xfId="1498"/>
    <cellStyle name="Normal 17 14 3" xfId="1499"/>
    <cellStyle name="Normal 17 14 4" xfId="1500"/>
    <cellStyle name="Normal 17 15" xfId="1501"/>
    <cellStyle name="Normal 17 16" xfId="1502"/>
    <cellStyle name="Normal 17 17" xfId="1503"/>
    <cellStyle name="Normal 17 2" xfId="1504"/>
    <cellStyle name="Normal 17 2 2" xfId="1505"/>
    <cellStyle name="Normal 17 3" xfId="1506"/>
    <cellStyle name="Normal 17 3 2" xfId="1507"/>
    <cellStyle name="Normal 17 4" xfId="1508"/>
    <cellStyle name="Normal 17 4 2" xfId="1509"/>
    <cellStyle name="Normal 17 5" xfId="1510"/>
    <cellStyle name="Normal 17 5 2" xfId="1511"/>
    <cellStyle name="Normal 17 6" xfId="1512"/>
    <cellStyle name="Normal 17 6 2" xfId="1513"/>
    <cellStyle name="Normal 17 7" xfId="1514"/>
    <cellStyle name="Normal 17 7 2" xfId="1515"/>
    <cellStyle name="Normal 17 8" xfId="1516"/>
    <cellStyle name="Normal 17 8 2" xfId="1517"/>
    <cellStyle name="Normal 17 9" xfId="1518"/>
    <cellStyle name="Normal 17 9 2" xfId="1519"/>
    <cellStyle name="Normal 18" xfId="1520"/>
    <cellStyle name="Normal 18 2" xfId="1521"/>
    <cellStyle name="Normal 18 2 2" xfId="1522"/>
    <cellStyle name="Normal 18 2 3" xfId="1523"/>
    <cellStyle name="Normal 18 2 4" xfId="1524"/>
    <cellStyle name="Normal 18 3" xfId="1525"/>
    <cellStyle name="Normal 18 4" xfId="1526"/>
    <cellStyle name="Normal 18 5" xfId="1527"/>
    <cellStyle name="Normal 19" xfId="1528"/>
    <cellStyle name="Normal 2" xfId="1529"/>
    <cellStyle name="Normal 2 10" xfId="1530"/>
    <cellStyle name="Normal 2 10 2" xfId="1531"/>
    <cellStyle name="Normal 2 11" xfId="1532"/>
    <cellStyle name="Normal 2 11 2" xfId="1533"/>
    <cellStyle name="Normal 2 12" xfId="1534"/>
    <cellStyle name="Normal 2 12 2" xfId="1535"/>
    <cellStyle name="Normal 2 13" xfId="1536"/>
    <cellStyle name="Normal 2 13 2" xfId="1537"/>
    <cellStyle name="Normal 2 14" xfId="1538"/>
    <cellStyle name="Normal 2 14 2" xfId="1539"/>
    <cellStyle name="Normal 2 15" xfId="1540"/>
    <cellStyle name="Normal 2 15 2" xfId="1541"/>
    <cellStyle name="Normal 2 16" xfId="1542"/>
    <cellStyle name="Normal 2 16 2" xfId="1543"/>
    <cellStyle name="Normal 2 17" xfId="1544"/>
    <cellStyle name="Normal 2 17 2" xfId="1545"/>
    <cellStyle name="Normal 2 18" xfId="1546"/>
    <cellStyle name="Normal 2 18 2" xfId="1547"/>
    <cellStyle name="Normal 2 18 3" xfId="1548"/>
    <cellStyle name="Normal 2 18 4" xfId="1549"/>
    <cellStyle name="Normal 2 19" xfId="1550"/>
    <cellStyle name="Normal 2 2" xfId="1551"/>
    <cellStyle name="Normal 2 2 10" xfId="1552"/>
    <cellStyle name="Normal 2 2 10 2" xfId="1553"/>
    <cellStyle name="Normal 2 2 10 2 2" xfId="1554"/>
    <cellStyle name="Normal 2 2 10 2 3" xfId="1555"/>
    <cellStyle name="Normal 2 2 10 2 4" xfId="1556"/>
    <cellStyle name="Normal 2 2 10 3" xfId="1557"/>
    <cellStyle name="Normal 2 2 10 4" xfId="1558"/>
    <cellStyle name="Normal 2 2 10 5" xfId="1559"/>
    <cellStyle name="Normal 2 2 11" xfId="1560"/>
    <cellStyle name="Normal 2 2 11 2" xfId="1561"/>
    <cellStyle name="Normal 2 2 11 2 2" xfId="1562"/>
    <cellStyle name="Normal 2 2 11 2 3" xfId="1563"/>
    <cellStyle name="Normal 2 2 11 2 4" xfId="1564"/>
    <cellStyle name="Normal 2 2 11 3" xfId="1565"/>
    <cellStyle name="Normal 2 2 11 4" xfId="1566"/>
    <cellStyle name="Normal 2 2 11 5" xfId="1567"/>
    <cellStyle name="Normal 2 2 12" xfId="1568"/>
    <cellStyle name="Normal 2 2 12 2" xfId="1569"/>
    <cellStyle name="Normal 2 2 12 2 2" xfId="1570"/>
    <cellStyle name="Normal 2 2 12 2 3" xfId="1571"/>
    <cellStyle name="Normal 2 2 12 2 4" xfId="1572"/>
    <cellStyle name="Normal 2 2 12 3" xfId="1573"/>
    <cellStyle name="Normal 2 2 12 4" xfId="1574"/>
    <cellStyle name="Normal 2 2 12 5" xfId="1575"/>
    <cellStyle name="Normal 2 2 13" xfId="1576"/>
    <cellStyle name="Normal 2 2 13 2" xfId="1577"/>
    <cellStyle name="Normal 2 2 13 2 2" xfId="1578"/>
    <cellStyle name="Normal 2 2 13 2 3" xfId="1579"/>
    <cellStyle name="Normal 2 2 13 2 4" xfId="1580"/>
    <cellStyle name="Normal 2 2 13 3" xfId="1581"/>
    <cellStyle name="Normal 2 2 13 4" xfId="1582"/>
    <cellStyle name="Normal 2 2 13 5" xfId="1583"/>
    <cellStyle name="Normal 2 2 14" xfId="1584"/>
    <cellStyle name="Normal 2 2 14 2" xfId="1585"/>
    <cellStyle name="Normal 2 2 15" xfId="1586"/>
    <cellStyle name="Normal 2 2 16" xfId="1587"/>
    <cellStyle name="Normal 2 2 2" xfId="1588"/>
    <cellStyle name="Normal 2 2 2 2" xfId="1589"/>
    <cellStyle name="Normal 2 2 2 2 2" xfId="1590"/>
    <cellStyle name="Normal 2 2 2 2 3" xfId="1591"/>
    <cellStyle name="Normal 2 2 2 2 4" xfId="1592"/>
    <cellStyle name="Normal 2 2 2 3" xfId="1593"/>
    <cellStyle name="Normal 2 2 2 4" xfId="1594"/>
    <cellStyle name="Normal 2 2 2 5" xfId="1595"/>
    <cellStyle name="Normal 2 2 2 6" xfId="1596"/>
    <cellStyle name="Normal 2 2 3" xfId="1597"/>
    <cellStyle name="Normal 2 2 3 2" xfId="1598"/>
    <cellStyle name="Normal 2 2 3 2 2" xfId="1599"/>
    <cellStyle name="Normal 2 2 3 2 3" xfId="1600"/>
    <cellStyle name="Normal 2 2 3 2 4" xfId="1601"/>
    <cellStyle name="Normal 2 2 3 3" xfId="1602"/>
    <cellStyle name="Normal 2 2 3 4" xfId="1603"/>
    <cellStyle name="Normal 2 2 3 5" xfId="1604"/>
    <cellStyle name="Normal 2 2 3 6" xfId="1605"/>
    <cellStyle name="Normal 2 2 4" xfId="1606"/>
    <cellStyle name="Normal 2 2 4 2" xfId="1607"/>
    <cellStyle name="Normal 2 2 4 2 2" xfId="1608"/>
    <cellStyle name="Normal 2 2 4 2 3" xfId="1609"/>
    <cellStyle name="Normal 2 2 4 2 4" xfId="1610"/>
    <cellStyle name="Normal 2 2 4 3" xfId="1611"/>
    <cellStyle name="Normal 2 2 4 4" xfId="1612"/>
    <cellStyle name="Normal 2 2 4 5" xfId="1613"/>
    <cellStyle name="Normal 2 2 5" xfId="1614"/>
    <cellStyle name="Normal 2 2 5 2" xfId="1615"/>
    <cellStyle name="Normal 2 2 5 2 2" xfId="1616"/>
    <cellStyle name="Normal 2 2 5 2 3" xfId="1617"/>
    <cellStyle name="Normal 2 2 5 2 4" xfId="1618"/>
    <cellStyle name="Normal 2 2 5 3" xfId="1619"/>
    <cellStyle name="Normal 2 2 5 4" xfId="1620"/>
    <cellStyle name="Normal 2 2 5 5" xfId="1621"/>
    <cellStyle name="Normal 2 2 6" xfId="1622"/>
    <cellStyle name="Normal 2 2 6 2" xfId="1623"/>
    <cellStyle name="Normal 2 2 6 2 2" xfId="1624"/>
    <cellStyle name="Normal 2 2 6 2 3" xfId="1625"/>
    <cellStyle name="Normal 2 2 6 2 4" xfId="1626"/>
    <cellStyle name="Normal 2 2 6 3" xfId="1627"/>
    <cellStyle name="Normal 2 2 6 4" xfId="1628"/>
    <cellStyle name="Normal 2 2 6 5" xfId="1629"/>
    <cellStyle name="Normal 2 2 7" xfId="1630"/>
    <cellStyle name="Normal 2 2 7 2" xfId="1631"/>
    <cellStyle name="Normal 2 2 7 2 2" xfId="1632"/>
    <cellStyle name="Normal 2 2 7 2 3" xfId="1633"/>
    <cellStyle name="Normal 2 2 7 2 4" xfId="1634"/>
    <cellStyle name="Normal 2 2 7 3" xfId="1635"/>
    <cellStyle name="Normal 2 2 7 4" xfId="1636"/>
    <cellStyle name="Normal 2 2 7 5" xfId="1637"/>
    <cellStyle name="Normal 2 2 8" xfId="1638"/>
    <cellStyle name="Normal 2 2 8 2" xfId="1639"/>
    <cellStyle name="Normal 2 2 8 2 2" xfId="1640"/>
    <cellStyle name="Normal 2 2 8 2 3" xfId="1641"/>
    <cellStyle name="Normal 2 2 8 2 4" xfId="1642"/>
    <cellStyle name="Normal 2 2 8 3" xfId="1643"/>
    <cellStyle name="Normal 2 2 8 4" xfId="1644"/>
    <cellStyle name="Normal 2 2 8 5" xfId="1645"/>
    <cellStyle name="Normal 2 2 9" xfId="1646"/>
    <cellStyle name="Normal 2 2 9 2" xfId="1647"/>
    <cellStyle name="Normal 2 2 9 2 2" xfId="1648"/>
    <cellStyle name="Normal 2 2 9 2 3" xfId="1649"/>
    <cellStyle name="Normal 2 2 9 2 4" xfId="1650"/>
    <cellStyle name="Normal 2 2 9 3" xfId="1651"/>
    <cellStyle name="Normal 2 2 9 4" xfId="1652"/>
    <cellStyle name="Normal 2 2 9 5" xfId="1653"/>
    <cellStyle name="Normal 2 20" xfId="1654"/>
    <cellStyle name="Normal 2 21" xfId="1655"/>
    <cellStyle name="Normal 2 22" xfId="1656"/>
    <cellStyle name="Normal 2 23" xfId="1657"/>
    <cellStyle name="Normal 2 3" xfId="1658"/>
    <cellStyle name="Normal 2 3 10" xfId="1659"/>
    <cellStyle name="Normal 2 3 10 2" xfId="1660"/>
    <cellStyle name="Normal 2 3 10 2 2" xfId="1661"/>
    <cellStyle name="Normal 2 3 10 2 3" xfId="1662"/>
    <cellStyle name="Normal 2 3 10 2 4" xfId="1663"/>
    <cellStyle name="Normal 2 3 10 3" xfId="1664"/>
    <cellStyle name="Normal 2 3 10 4" xfId="1665"/>
    <cellStyle name="Normal 2 3 10 5" xfId="1666"/>
    <cellStyle name="Normal 2 3 11" xfId="1667"/>
    <cellStyle name="Normal 2 3 11 2" xfId="1668"/>
    <cellStyle name="Normal 2 3 11 2 2" xfId="1669"/>
    <cellStyle name="Normal 2 3 11 2 3" xfId="1670"/>
    <cellStyle name="Normal 2 3 11 2 4" xfId="1671"/>
    <cellStyle name="Normal 2 3 11 3" xfId="1672"/>
    <cellStyle name="Normal 2 3 11 4" xfId="1673"/>
    <cellStyle name="Normal 2 3 11 5" xfId="1674"/>
    <cellStyle name="Normal 2 3 12" xfId="1675"/>
    <cellStyle name="Normal 2 3 12 2" xfId="1676"/>
    <cellStyle name="Normal 2 3 12 2 2" xfId="1677"/>
    <cellStyle name="Normal 2 3 12 2 3" xfId="1678"/>
    <cellStyle name="Normal 2 3 12 2 4" xfId="1679"/>
    <cellStyle name="Normal 2 3 12 3" xfId="1680"/>
    <cellStyle name="Normal 2 3 12 4" xfId="1681"/>
    <cellStyle name="Normal 2 3 12 5" xfId="1682"/>
    <cellStyle name="Normal 2 3 13" xfId="1683"/>
    <cellStyle name="Normal 2 3 13 2" xfId="1684"/>
    <cellStyle name="Normal 2 3 13 2 2" xfId="1685"/>
    <cellStyle name="Normal 2 3 13 2 3" xfId="1686"/>
    <cellStyle name="Normal 2 3 13 2 4" xfId="1687"/>
    <cellStyle name="Normal 2 3 13 3" xfId="1688"/>
    <cellStyle name="Normal 2 3 13 4" xfId="1689"/>
    <cellStyle name="Normal 2 3 13 5" xfId="1690"/>
    <cellStyle name="Normal 2 3 14" xfId="1691"/>
    <cellStyle name="Normal 2 3 15" xfId="1692"/>
    <cellStyle name="Normal 2 3 2" xfId="1693"/>
    <cellStyle name="Normal 2 3 2 2" xfId="1694"/>
    <cellStyle name="Normal 2 3 2 2 2" xfId="1695"/>
    <cellStyle name="Normal 2 3 2 2 3" xfId="1696"/>
    <cellStyle name="Normal 2 3 2 2 4" xfId="1697"/>
    <cellStyle name="Normal 2 3 2 3" xfId="1698"/>
    <cellStyle name="Normal 2 3 2 4" xfId="1699"/>
    <cellStyle name="Normal 2 3 2 5" xfId="1700"/>
    <cellStyle name="Normal 2 3 2 6" xfId="1701"/>
    <cellStyle name="Normal 2 3 3" xfId="1702"/>
    <cellStyle name="Normal 2 3 3 2" xfId="1703"/>
    <cellStyle name="Normal 2 3 3 2 2" xfId="1704"/>
    <cellStyle name="Normal 2 3 3 2 3" xfId="1705"/>
    <cellStyle name="Normal 2 3 3 2 4" xfId="1706"/>
    <cellStyle name="Normal 2 3 3 3" xfId="1707"/>
    <cellStyle name="Normal 2 3 3 4" xfId="1708"/>
    <cellStyle name="Normal 2 3 3 5" xfId="1709"/>
    <cellStyle name="Normal 2 3 3 6" xfId="1710"/>
    <cellStyle name="Normal 2 3 4" xfId="1711"/>
    <cellStyle name="Normal 2 3 4 2" xfId="1712"/>
    <cellStyle name="Normal 2 3 4 2 2" xfId="1713"/>
    <cellStyle name="Normal 2 3 4 2 3" xfId="1714"/>
    <cellStyle name="Normal 2 3 4 2 4" xfId="1715"/>
    <cellStyle name="Normal 2 3 4 3" xfId="1716"/>
    <cellStyle name="Normal 2 3 4 4" xfId="1717"/>
    <cellStyle name="Normal 2 3 4 5" xfId="1718"/>
    <cellStyle name="Normal 2 3 5" xfId="1719"/>
    <cellStyle name="Normal 2 3 5 2" xfId="1720"/>
    <cellStyle name="Normal 2 3 5 2 2" xfId="1721"/>
    <cellStyle name="Normal 2 3 5 2 3" xfId="1722"/>
    <cellStyle name="Normal 2 3 5 2 4" xfId="1723"/>
    <cellStyle name="Normal 2 3 5 3" xfId="1724"/>
    <cellStyle name="Normal 2 3 5 4" xfId="1725"/>
    <cellStyle name="Normal 2 3 5 5" xfId="1726"/>
    <cellStyle name="Normal 2 3 6" xfId="1727"/>
    <cellStyle name="Normal 2 3 6 2" xfId="1728"/>
    <cellStyle name="Normal 2 3 6 2 2" xfId="1729"/>
    <cellStyle name="Normal 2 3 6 2 3" xfId="1730"/>
    <cellStyle name="Normal 2 3 6 2 4" xfId="1731"/>
    <cellStyle name="Normal 2 3 6 3" xfId="1732"/>
    <cellStyle name="Normal 2 3 6 4" xfId="1733"/>
    <cellStyle name="Normal 2 3 6 5" xfId="1734"/>
    <cellStyle name="Normal 2 3 7" xfId="1735"/>
    <cellStyle name="Normal 2 3 7 2" xfId="1736"/>
    <cellStyle name="Normal 2 3 7 2 2" xfId="1737"/>
    <cellStyle name="Normal 2 3 7 2 3" xfId="1738"/>
    <cellStyle name="Normal 2 3 7 2 4" xfId="1739"/>
    <cellStyle name="Normal 2 3 7 3" xfId="1740"/>
    <cellStyle name="Normal 2 3 7 4" xfId="1741"/>
    <cellStyle name="Normal 2 3 7 5" xfId="1742"/>
    <cellStyle name="Normal 2 3 8" xfId="1743"/>
    <cellStyle name="Normal 2 3 8 2" xfId="1744"/>
    <cellStyle name="Normal 2 3 8 2 2" xfId="1745"/>
    <cellStyle name="Normal 2 3 8 2 3" xfId="1746"/>
    <cellStyle name="Normal 2 3 8 2 4" xfId="1747"/>
    <cellStyle name="Normal 2 3 8 3" xfId="1748"/>
    <cellStyle name="Normal 2 3 8 4" xfId="1749"/>
    <cellStyle name="Normal 2 3 8 5" xfId="1750"/>
    <cellStyle name="Normal 2 3 9" xfId="1751"/>
    <cellStyle name="Normal 2 3 9 2" xfId="1752"/>
    <cellStyle name="Normal 2 3 9 2 2" xfId="1753"/>
    <cellStyle name="Normal 2 3 9 2 3" xfId="1754"/>
    <cellStyle name="Normal 2 3 9 2 4" xfId="1755"/>
    <cellStyle name="Normal 2 3 9 3" xfId="1756"/>
    <cellStyle name="Normal 2 3 9 4" xfId="1757"/>
    <cellStyle name="Normal 2 3 9 5" xfId="1758"/>
    <cellStyle name="Normal 2 4" xfId="1759"/>
    <cellStyle name="Normal 2 4 10" xfId="1760"/>
    <cellStyle name="Normal 2 4 10 2" xfId="1761"/>
    <cellStyle name="Normal 2 4 10 2 2" xfId="1762"/>
    <cellStyle name="Normal 2 4 10 2 3" xfId="1763"/>
    <cellStyle name="Normal 2 4 10 2 4" xfId="1764"/>
    <cellStyle name="Normal 2 4 10 3" xfId="1765"/>
    <cellStyle name="Normal 2 4 10 4" xfId="1766"/>
    <cellStyle name="Normal 2 4 10 5" xfId="1767"/>
    <cellStyle name="Normal 2 4 11" xfId="1768"/>
    <cellStyle name="Normal 2 4 11 2" xfId="1769"/>
    <cellStyle name="Normal 2 4 11 2 2" xfId="1770"/>
    <cellStyle name="Normal 2 4 11 2 3" xfId="1771"/>
    <cellStyle name="Normal 2 4 11 2 4" xfId="1772"/>
    <cellStyle name="Normal 2 4 11 3" xfId="1773"/>
    <cellStyle name="Normal 2 4 11 4" xfId="1774"/>
    <cellStyle name="Normal 2 4 11 5" xfId="1775"/>
    <cellStyle name="Normal 2 4 12" xfId="1776"/>
    <cellStyle name="Normal 2 4 12 2" xfId="1777"/>
    <cellStyle name="Normal 2 4 12 2 2" xfId="1778"/>
    <cellStyle name="Normal 2 4 12 2 3" xfId="1779"/>
    <cellStyle name="Normal 2 4 12 2 4" xfId="1780"/>
    <cellStyle name="Normal 2 4 12 3" xfId="1781"/>
    <cellStyle name="Normal 2 4 12 4" xfId="1782"/>
    <cellStyle name="Normal 2 4 12 5" xfId="1783"/>
    <cellStyle name="Normal 2 4 13" xfId="1784"/>
    <cellStyle name="Normal 2 4 13 2" xfId="1785"/>
    <cellStyle name="Normal 2 4 13 2 2" xfId="1786"/>
    <cellStyle name="Normal 2 4 13 2 3" xfId="1787"/>
    <cellStyle name="Normal 2 4 13 2 4" xfId="1788"/>
    <cellStyle name="Normal 2 4 13 3" xfId="1789"/>
    <cellStyle name="Normal 2 4 13 4" xfId="1790"/>
    <cellStyle name="Normal 2 4 13 5" xfId="1791"/>
    <cellStyle name="Normal 2 4 14" xfId="1792"/>
    <cellStyle name="Normal 2 4 15" xfId="1793"/>
    <cellStyle name="Normal 2 4 2" xfId="1794"/>
    <cellStyle name="Normal 2 4 2 2" xfId="1795"/>
    <cellStyle name="Normal 2 4 2 2 2" xfId="1796"/>
    <cellStyle name="Normal 2 4 2 2 3" xfId="1797"/>
    <cellStyle name="Normal 2 4 2 2 4" xfId="1798"/>
    <cellStyle name="Normal 2 4 2 3" xfId="1799"/>
    <cellStyle name="Normal 2 4 2 4" xfId="1800"/>
    <cellStyle name="Normal 2 4 2 5" xfId="1801"/>
    <cellStyle name="Normal 2 4 3" xfId="1802"/>
    <cellStyle name="Normal 2 4 3 2" xfId="1803"/>
    <cellStyle name="Normal 2 4 3 2 2" xfId="1804"/>
    <cellStyle name="Normal 2 4 3 2 3" xfId="1805"/>
    <cellStyle name="Normal 2 4 3 2 4" xfId="1806"/>
    <cellStyle name="Normal 2 4 3 3" xfId="1807"/>
    <cellStyle name="Normal 2 4 3 4" xfId="1808"/>
    <cellStyle name="Normal 2 4 3 5" xfId="1809"/>
    <cellStyle name="Normal 2 4 4" xfId="1810"/>
    <cellStyle name="Normal 2 4 4 2" xfId="1811"/>
    <cellStyle name="Normal 2 4 4 2 2" xfId="1812"/>
    <cellStyle name="Normal 2 4 4 2 3" xfId="1813"/>
    <cellStyle name="Normal 2 4 4 2 4" xfId="1814"/>
    <cellStyle name="Normal 2 4 4 3" xfId="1815"/>
    <cellStyle name="Normal 2 4 4 4" xfId="1816"/>
    <cellStyle name="Normal 2 4 4 5" xfId="1817"/>
    <cellStyle name="Normal 2 4 5" xfId="1818"/>
    <cellStyle name="Normal 2 4 5 2" xfId="1819"/>
    <cellStyle name="Normal 2 4 5 2 2" xfId="1820"/>
    <cellStyle name="Normal 2 4 5 2 3" xfId="1821"/>
    <cellStyle name="Normal 2 4 5 2 4" xfId="1822"/>
    <cellStyle name="Normal 2 4 5 3" xfId="1823"/>
    <cellStyle name="Normal 2 4 5 4" xfId="1824"/>
    <cellStyle name="Normal 2 4 5 5" xfId="1825"/>
    <cellStyle name="Normal 2 4 6" xfId="1826"/>
    <cellStyle name="Normal 2 4 6 2" xfId="1827"/>
    <cellStyle name="Normal 2 4 6 2 2" xfId="1828"/>
    <cellStyle name="Normal 2 4 6 2 3" xfId="1829"/>
    <cellStyle name="Normal 2 4 6 2 4" xfId="1830"/>
    <cellStyle name="Normal 2 4 6 3" xfId="1831"/>
    <cellStyle name="Normal 2 4 6 4" xfId="1832"/>
    <cellStyle name="Normal 2 4 6 5" xfId="1833"/>
    <cellStyle name="Normal 2 4 7" xfId="1834"/>
    <cellStyle name="Normal 2 4 7 2" xfId="1835"/>
    <cellStyle name="Normal 2 4 7 2 2" xfId="1836"/>
    <cellStyle name="Normal 2 4 7 2 3" xfId="1837"/>
    <cellStyle name="Normal 2 4 7 2 4" xfId="1838"/>
    <cellStyle name="Normal 2 4 7 3" xfId="1839"/>
    <cellStyle name="Normal 2 4 7 4" xfId="1840"/>
    <cellStyle name="Normal 2 4 7 5" xfId="1841"/>
    <cellStyle name="Normal 2 4 8" xfId="1842"/>
    <cellStyle name="Normal 2 4 8 2" xfId="1843"/>
    <cellStyle name="Normal 2 4 8 2 2" xfId="1844"/>
    <cellStyle name="Normal 2 4 8 2 3" xfId="1845"/>
    <cellStyle name="Normal 2 4 8 2 4" xfId="1846"/>
    <cellStyle name="Normal 2 4 8 3" xfId="1847"/>
    <cellStyle name="Normal 2 4 8 4" xfId="1848"/>
    <cellStyle name="Normal 2 4 8 5" xfId="1849"/>
    <cellStyle name="Normal 2 4 9" xfId="1850"/>
    <cellStyle name="Normal 2 4 9 2" xfId="1851"/>
    <cellStyle name="Normal 2 4 9 2 2" xfId="1852"/>
    <cellStyle name="Normal 2 4 9 2 3" xfId="1853"/>
    <cellStyle name="Normal 2 4 9 2 4" xfId="1854"/>
    <cellStyle name="Normal 2 4 9 3" xfId="1855"/>
    <cellStyle name="Normal 2 4 9 4" xfId="1856"/>
    <cellStyle name="Normal 2 4 9 5" xfId="1857"/>
    <cellStyle name="Normal 2 5" xfId="1858"/>
    <cellStyle name="Normal 2 5 2" xfId="1859"/>
    <cellStyle name="Normal 2 5 3" xfId="1860"/>
    <cellStyle name="Normal 2 6" xfId="1861"/>
    <cellStyle name="Normal 2 6 2" xfId="1862"/>
    <cellStyle name="Normal 2 6 3" xfId="1863"/>
    <cellStyle name="Normal 2 7" xfId="1864"/>
    <cellStyle name="Normal 2 7 2" xfId="1865"/>
    <cellStyle name="Normal 2 7 3" xfId="1866"/>
    <cellStyle name="Normal 2 8" xfId="1867"/>
    <cellStyle name="Normal 2 8 2" xfId="1868"/>
    <cellStyle name="Normal 2 8 3" xfId="1869"/>
    <cellStyle name="Normal 2 9" xfId="1870"/>
    <cellStyle name="Normal 2 9 2" xfId="1871"/>
    <cellStyle name="Normal 2_OTHsectors" xfId="1872"/>
    <cellStyle name="Normal 20" xfId="1873"/>
    <cellStyle name="Normal 21" xfId="1874"/>
    <cellStyle name="Normal 21 2" xfId="1875"/>
    <cellStyle name="Normal 26" xfId="1876"/>
    <cellStyle name="Normal 26 2" xfId="1877"/>
    <cellStyle name="Normal 3" xfId="1878"/>
    <cellStyle name="Normal 3 10" xfId="1879"/>
    <cellStyle name="Normal 3 10 2" xfId="1880"/>
    <cellStyle name="Normal 3 11" xfId="1881"/>
    <cellStyle name="Normal 3 11 2" xfId="1882"/>
    <cellStyle name="Normal 3 12" xfId="1883"/>
    <cellStyle name="Normal 3 12 2" xfId="1884"/>
    <cellStyle name="Normal 3 13" xfId="1885"/>
    <cellStyle name="Normal 3 13 2" xfId="1886"/>
    <cellStyle name="Normal 3 14" xfId="1887"/>
    <cellStyle name="Normal 3 14 2" xfId="1888"/>
    <cellStyle name="Normal 3 14 3" xfId="1889"/>
    <cellStyle name="Normal 3 14 4" xfId="1890"/>
    <cellStyle name="Normal 3 15" xfId="1891"/>
    <cellStyle name="Normal 3 16" xfId="1892"/>
    <cellStyle name="Normal 3 17" xfId="1893"/>
    <cellStyle name="Normal 3 18" xfId="1894"/>
    <cellStyle name="Normal 3 2" xfId="1895"/>
    <cellStyle name="Normal 3 2 10" xfId="1896"/>
    <cellStyle name="Normal 3 2 2" xfId="1897"/>
    <cellStyle name="Normal 3 2 2 2" xfId="1898"/>
    <cellStyle name="Normal 3 2 2 3" xfId="1899"/>
    <cellStyle name="Normal 3 2 3" xfId="1900"/>
    <cellStyle name="Normal 3 2 3 2" xfId="1901"/>
    <cellStyle name="Normal 3 2 4" xfId="1902"/>
    <cellStyle name="Normal 3 2 4 2" xfId="1903"/>
    <cellStyle name="Normal 3 2 5" xfId="1904"/>
    <cellStyle name="Normal 3 2 5 2" xfId="1905"/>
    <cellStyle name="Normal 3 2 6" xfId="1906"/>
    <cellStyle name="Normal 3 2 6 2" xfId="1907"/>
    <cellStyle name="Normal 3 2 7" xfId="1908"/>
    <cellStyle name="Normal 3 2 7 2" xfId="1909"/>
    <cellStyle name="Normal 3 2 8" xfId="1910"/>
    <cellStyle name="Normal 3 2 8 2" xfId="1911"/>
    <cellStyle name="Normal 3 2 9" xfId="1912"/>
    <cellStyle name="Normal 3 3" xfId="1913"/>
    <cellStyle name="Normal 3 3 10" xfId="1914"/>
    <cellStyle name="Normal 3 3 2" xfId="1915"/>
    <cellStyle name="Normal 3 3 2 2" xfId="1916"/>
    <cellStyle name="Normal 3 3 3" xfId="1917"/>
    <cellStyle name="Normal 3 3 3 2" xfId="1918"/>
    <cellStyle name="Normal 3 3 4" xfId="1919"/>
    <cellStyle name="Normal 3 3 4 2" xfId="1920"/>
    <cellStyle name="Normal 3 3 5" xfId="1921"/>
    <cellStyle name="Normal 3 3 5 2" xfId="1922"/>
    <cellStyle name="Normal 3 3 6" xfId="1923"/>
    <cellStyle name="Normal 3 3 6 2" xfId="1924"/>
    <cellStyle name="Normal 3 3 7" xfId="1925"/>
    <cellStyle name="Normal 3 3 7 2" xfId="1926"/>
    <cellStyle name="Normal 3 3 8" xfId="1927"/>
    <cellStyle name="Normal 3 3 8 2" xfId="1928"/>
    <cellStyle name="Normal 3 3 9" xfId="1929"/>
    <cellStyle name="Normal 3 4" xfId="1930"/>
    <cellStyle name="Normal 3 4 10" xfId="1931"/>
    <cellStyle name="Normal 3 4 2" xfId="1932"/>
    <cellStyle name="Normal 3 4 2 2" xfId="1933"/>
    <cellStyle name="Normal 3 4 2 3" xfId="1934"/>
    <cellStyle name="Normal 3 4 3" xfId="1935"/>
    <cellStyle name="Normal 3 4 3 2" xfId="1936"/>
    <cellStyle name="Normal 3 4 4" xfId="1937"/>
    <cellStyle name="Normal 3 4 4 2" xfId="1938"/>
    <cellStyle name="Normal 3 4 5" xfId="1939"/>
    <cellStyle name="Normal 3 4 5 2" xfId="1940"/>
    <cellStyle name="Normal 3 4 6" xfId="1941"/>
    <cellStyle name="Normal 3 4 6 2" xfId="1942"/>
    <cellStyle name="Normal 3 4 7" xfId="1943"/>
    <cellStyle name="Normal 3 4 7 2" xfId="1944"/>
    <cellStyle name="Normal 3 4 8" xfId="1945"/>
    <cellStyle name="Normal 3 4 8 2" xfId="1946"/>
    <cellStyle name="Normal 3 4 9" xfId="1947"/>
    <cellStyle name="Normal 3 5" xfId="1948"/>
    <cellStyle name="Normal 3 5 10" xfId="1949"/>
    <cellStyle name="Normal 3 5 2" xfId="1950"/>
    <cellStyle name="Normal 3 5 2 2" xfId="1951"/>
    <cellStyle name="Normal 3 5 3" xfId="1952"/>
    <cellStyle name="Normal 3 5 3 2" xfId="1953"/>
    <cellStyle name="Normal 3 5 4" xfId="1954"/>
    <cellStyle name="Normal 3 5 4 2" xfId="1955"/>
    <cellStyle name="Normal 3 5 5" xfId="1956"/>
    <cellStyle name="Normal 3 5 5 2" xfId="1957"/>
    <cellStyle name="Normal 3 5 6" xfId="1958"/>
    <cellStyle name="Normal 3 5 6 2" xfId="1959"/>
    <cellStyle name="Normal 3 5 7" xfId="1960"/>
    <cellStyle name="Normal 3 5 7 2" xfId="1961"/>
    <cellStyle name="Normal 3 5 8" xfId="1962"/>
    <cellStyle name="Normal 3 5 8 2" xfId="1963"/>
    <cellStyle name="Normal 3 5 9" xfId="1964"/>
    <cellStyle name="Normal 3 6" xfId="1965"/>
    <cellStyle name="Normal 3 6 2" xfId="1966"/>
    <cellStyle name="Normal 3 6 3" xfId="1967"/>
    <cellStyle name="Normal 3 7" xfId="1968"/>
    <cellStyle name="Normal 3 7 2" xfId="1969"/>
    <cellStyle name="Normal 3 8" xfId="1970"/>
    <cellStyle name="Normal 3 8 2" xfId="1971"/>
    <cellStyle name="Normal 3 9" xfId="1972"/>
    <cellStyle name="Normal 3 9 2" xfId="1973"/>
    <cellStyle name="Normal 4" xfId="1974"/>
    <cellStyle name="Normal 4 10" xfId="1975"/>
    <cellStyle name="Normal 4 10 2" xfId="1976"/>
    <cellStyle name="Normal 4 11" xfId="1977"/>
    <cellStyle name="Normal 4 11 2" xfId="1978"/>
    <cellStyle name="Normal 4 12" xfId="1979"/>
    <cellStyle name="Normal 4 12 2" xfId="1980"/>
    <cellStyle name="Normal 4 13" xfId="1981"/>
    <cellStyle name="Normal 4 14" xfId="1982"/>
    <cellStyle name="Normal 4 15" xfId="1983"/>
    <cellStyle name="Normal 4 2" xfId="1984"/>
    <cellStyle name="Normal 4 2 10" xfId="1985"/>
    <cellStyle name="Normal 4 2 2" xfId="1986"/>
    <cellStyle name="Normal 4 2 2 10" xfId="1987"/>
    <cellStyle name="Normal 4 2 2 10 2" xfId="1988"/>
    <cellStyle name="Normal 4 2 2 10 2 2" xfId="1989"/>
    <cellStyle name="Normal 4 2 2 10 2 3" xfId="1990"/>
    <cellStyle name="Normal 4 2 2 10 2 4" xfId="1991"/>
    <cellStyle name="Normal 4 2 2 10 3" xfId="1992"/>
    <cellStyle name="Normal 4 2 2 10 4" xfId="1993"/>
    <cellStyle name="Normal 4 2 2 10 5" xfId="1994"/>
    <cellStyle name="Normal 4 2 2 11" xfId="1995"/>
    <cellStyle name="Normal 4 2 2 11 2" xfId="1996"/>
    <cellStyle name="Normal 4 2 2 11 2 2" xfId="1997"/>
    <cellStyle name="Normal 4 2 2 11 2 3" xfId="1998"/>
    <cellStyle name="Normal 4 2 2 11 2 4" xfId="1999"/>
    <cellStyle name="Normal 4 2 2 11 3" xfId="2000"/>
    <cellStyle name="Normal 4 2 2 11 4" xfId="2001"/>
    <cellStyle name="Normal 4 2 2 11 5" xfId="2002"/>
    <cellStyle name="Normal 4 2 2 12" xfId="2003"/>
    <cellStyle name="Normal 4 2 2 12 2" xfId="2004"/>
    <cellStyle name="Normal 4 2 2 12 2 2" xfId="2005"/>
    <cellStyle name="Normal 4 2 2 12 2 3" xfId="2006"/>
    <cellStyle name="Normal 4 2 2 12 2 4" xfId="2007"/>
    <cellStyle name="Normal 4 2 2 12 3" xfId="2008"/>
    <cellStyle name="Normal 4 2 2 12 4" xfId="2009"/>
    <cellStyle name="Normal 4 2 2 12 5" xfId="2010"/>
    <cellStyle name="Normal 4 2 2 13" xfId="2011"/>
    <cellStyle name="Normal 4 2 2 13 2" xfId="2012"/>
    <cellStyle name="Normal 4 2 2 13 2 2" xfId="2013"/>
    <cellStyle name="Normal 4 2 2 13 2 3" xfId="2014"/>
    <cellStyle name="Normal 4 2 2 13 2 4" xfId="2015"/>
    <cellStyle name="Normal 4 2 2 13 3" xfId="2016"/>
    <cellStyle name="Normal 4 2 2 13 4" xfId="2017"/>
    <cellStyle name="Normal 4 2 2 13 5" xfId="2018"/>
    <cellStyle name="Normal 4 2 2 14" xfId="2019"/>
    <cellStyle name="Normal 4 2 2 2" xfId="2020"/>
    <cellStyle name="Normal 4 2 2 2 10" xfId="2021"/>
    <cellStyle name="Normal 4 2 2 2 10 2" xfId="2022"/>
    <cellStyle name="Normal 4 2 2 2 11" xfId="2023"/>
    <cellStyle name="Normal 4 2 2 2 11 2" xfId="2024"/>
    <cellStyle name="Normal 4 2 2 2 12" xfId="2025"/>
    <cellStyle name="Normal 4 2 2 2 12 2" xfId="2026"/>
    <cellStyle name="Normal 4 2 2 2 13" xfId="2027"/>
    <cellStyle name="Normal 4 2 2 2 13 2" xfId="2028"/>
    <cellStyle name="Normal 4 2 2 2 14" xfId="2029"/>
    <cellStyle name="Normal 4 2 2 2 14 2" xfId="2030"/>
    <cellStyle name="Normal 4 2 2 2 14 3" xfId="2031"/>
    <cellStyle name="Normal 4 2 2 2 14 4" xfId="2032"/>
    <cellStyle name="Normal 4 2 2 2 15" xfId="2033"/>
    <cellStyle name="Normal 4 2 2 2 16" xfId="2034"/>
    <cellStyle name="Normal 4 2 2 2 17" xfId="2035"/>
    <cellStyle name="Normal 4 2 2 2 2" xfId="2036"/>
    <cellStyle name="Normal 4 2 2 2 2 2" xfId="2037"/>
    <cellStyle name="Normal 4 2 2 2 3" xfId="2038"/>
    <cellStyle name="Normal 4 2 2 2 3 2" xfId="2039"/>
    <cellStyle name="Normal 4 2 2 2 4" xfId="2040"/>
    <cellStyle name="Normal 4 2 2 2 4 2" xfId="2041"/>
    <cellStyle name="Normal 4 2 2 2 5" xfId="2042"/>
    <cellStyle name="Normal 4 2 2 2 5 2" xfId="2043"/>
    <cellStyle name="Normal 4 2 2 2 6" xfId="2044"/>
    <cellStyle name="Normal 4 2 2 2 6 2" xfId="2045"/>
    <cellStyle name="Normal 4 2 2 2 7" xfId="2046"/>
    <cellStyle name="Normal 4 2 2 2 7 2" xfId="2047"/>
    <cellStyle name="Normal 4 2 2 2 8" xfId="2048"/>
    <cellStyle name="Normal 4 2 2 2 8 2" xfId="2049"/>
    <cellStyle name="Normal 4 2 2 2 9" xfId="2050"/>
    <cellStyle name="Normal 4 2 2 2 9 2" xfId="2051"/>
    <cellStyle name="Normal 4 2 2 3" xfId="2052"/>
    <cellStyle name="Normal 4 2 2 3 2" xfId="2053"/>
    <cellStyle name="Normal 4 2 2 3 2 2" xfId="2054"/>
    <cellStyle name="Normal 4 2 2 3 2 3" xfId="2055"/>
    <cellStyle name="Normal 4 2 2 3 2 4" xfId="2056"/>
    <cellStyle name="Normal 4 2 2 3 3" xfId="2057"/>
    <cellStyle name="Normal 4 2 2 3 4" xfId="2058"/>
    <cellStyle name="Normal 4 2 2 3 5" xfId="2059"/>
    <cellStyle name="Normal 4 2 2 4" xfId="2060"/>
    <cellStyle name="Normal 4 2 2 4 2" xfId="2061"/>
    <cellStyle name="Normal 4 2 2 4 2 2" xfId="2062"/>
    <cellStyle name="Normal 4 2 2 4 2 3" xfId="2063"/>
    <cellStyle name="Normal 4 2 2 4 2 4" xfId="2064"/>
    <cellStyle name="Normal 4 2 2 4 3" xfId="2065"/>
    <cellStyle name="Normal 4 2 2 4 4" xfId="2066"/>
    <cellStyle name="Normal 4 2 2 4 5" xfId="2067"/>
    <cellStyle name="Normal 4 2 2 5" xfId="2068"/>
    <cellStyle name="Normal 4 2 2 5 2" xfId="2069"/>
    <cellStyle name="Normal 4 2 2 5 2 2" xfId="2070"/>
    <cellStyle name="Normal 4 2 2 5 2 3" xfId="2071"/>
    <cellStyle name="Normal 4 2 2 5 2 4" xfId="2072"/>
    <cellStyle name="Normal 4 2 2 5 3" xfId="2073"/>
    <cellStyle name="Normal 4 2 2 5 4" xfId="2074"/>
    <cellStyle name="Normal 4 2 2 5 5" xfId="2075"/>
    <cellStyle name="Normal 4 2 2 6" xfId="2076"/>
    <cellStyle name="Normal 4 2 2 6 2" xfId="2077"/>
    <cellStyle name="Normal 4 2 2 6 2 2" xfId="2078"/>
    <cellStyle name="Normal 4 2 2 6 2 3" xfId="2079"/>
    <cellStyle name="Normal 4 2 2 6 2 4" xfId="2080"/>
    <cellStyle name="Normal 4 2 2 6 3" xfId="2081"/>
    <cellStyle name="Normal 4 2 2 6 4" xfId="2082"/>
    <cellStyle name="Normal 4 2 2 6 5" xfId="2083"/>
    <cellStyle name="Normal 4 2 2 7" xfId="2084"/>
    <cellStyle name="Normal 4 2 2 7 2" xfId="2085"/>
    <cellStyle name="Normal 4 2 2 7 2 2" xfId="2086"/>
    <cellStyle name="Normal 4 2 2 7 2 3" xfId="2087"/>
    <cellStyle name="Normal 4 2 2 7 2 4" xfId="2088"/>
    <cellStyle name="Normal 4 2 2 7 3" xfId="2089"/>
    <cellStyle name="Normal 4 2 2 7 4" xfId="2090"/>
    <cellStyle name="Normal 4 2 2 7 5" xfId="2091"/>
    <cellStyle name="Normal 4 2 2 8" xfId="2092"/>
    <cellStyle name="Normal 4 2 2 8 2" xfId="2093"/>
    <cellStyle name="Normal 4 2 2 8 2 2" xfId="2094"/>
    <cellStyle name="Normal 4 2 2 8 2 3" xfId="2095"/>
    <cellStyle name="Normal 4 2 2 8 2 4" xfId="2096"/>
    <cellStyle name="Normal 4 2 2 8 3" xfId="2097"/>
    <cellStyle name="Normal 4 2 2 8 4" xfId="2098"/>
    <cellStyle name="Normal 4 2 2 8 5" xfId="2099"/>
    <cellStyle name="Normal 4 2 2 9" xfId="2100"/>
    <cellStyle name="Normal 4 2 2 9 2" xfId="2101"/>
    <cellStyle name="Normal 4 2 2 9 2 2" xfId="2102"/>
    <cellStyle name="Normal 4 2 2 9 2 3" xfId="2103"/>
    <cellStyle name="Normal 4 2 2 9 2 4" xfId="2104"/>
    <cellStyle name="Normal 4 2 2 9 3" xfId="2105"/>
    <cellStyle name="Normal 4 2 2 9 4" xfId="2106"/>
    <cellStyle name="Normal 4 2 2 9 5" xfId="2107"/>
    <cellStyle name="Normal 4 2 3" xfId="2108"/>
    <cellStyle name="Normal 4 2 3 2" xfId="2109"/>
    <cellStyle name="Normal 4 2 4" xfId="2110"/>
    <cellStyle name="Normal 4 2 4 2" xfId="2111"/>
    <cellStyle name="Normal 4 2 5" xfId="2112"/>
    <cellStyle name="Normal 4 2 5 2" xfId="2113"/>
    <cellStyle name="Normal 4 2 6" xfId="2114"/>
    <cellStyle name="Normal 4 2 6 2" xfId="2115"/>
    <cellStyle name="Normal 4 2 7" xfId="2116"/>
    <cellStyle name="Normal 4 2 7 2" xfId="2117"/>
    <cellStyle name="Normal 4 2 8" xfId="2118"/>
    <cellStyle name="Normal 4 2 8 2" xfId="2119"/>
    <cellStyle name="Normal 4 2 9" xfId="2120"/>
    <cellStyle name="Normal 4 3" xfId="2121"/>
    <cellStyle name="Normal 4 3 10" xfId="2122"/>
    <cellStyle name="Normal 4 3 2" xfId="2123"/>
    <cellStyle name="Normal 4 3 2 2" xfId="2124"/>
    <cellStyle name="Normal 4 3 3" xfId="2125"/>
    <cellStyle name="Normal 4 3 3 2" xfId="2126"/>
    <cellStyle name="Normal 4 3 4" xfId="2127"/>
    <cellStyle name="Normal 4 3 4 2" xfId="2128"/>
    <cellStyle name="Normal 4 3 5" xfId="2129"/>
    <cellStyle name="Normal 4 3 5 2" xfId="2130"/>
    <cellStyle name="Normal 4 3 6" xfId="2131"/>
    <cellStyle name="Normal 4 3 6 2" xfId="2132"/>
    <cellStyle name="Normal 4 3 7" xfId="2133"/>
    <cellStyle name="Normal 4 3 7 2" xfId="2134"/>
    <cellStyle name="Normal 4 3 8" xfId="2135"/>
    <cellStyle name="Normal 4 3 8 2" xfId="2136"/>
    <cellStyle name="Normal 4 3 9" xfId="2137"/>
    <cellStyle name="Normal 4 4" xfId="2138"/>
    <cellStyle name="Normal 4 4 10" xfId="2139"/>
    <cellStyle name="Normal 4 4 2" xfId="2140"/>
    <cellStyle name="Normal 4 4 2 2" xfId="2141"/>
    <cellStyle name="Normal 4 4 3" xfId="2142"/>
    <cellStyle name="Normal 4 4 3 2" xfId="2143"/>
    <cellStyle name="Normal 4 4 4" xfId="2144"/>
    <cellStyle name="Normal 4 4 4 2" xfId="2145"/>
    <cellStyle name="Normal 4 4 5" xfId="2146"/>
    <cellStyle name="Normal 4 4 5 2" xfId="2147"/>
    <cellStyle name="Normal 4 4 6" xfId="2148"/>
    <cellStyle name="Normal 4 4 6 2" xfId="2149"/>
    <cellStyle name="Normal 4 4 7" xfId="2150"/>
    <cellStyle name="Normal 4 4 7 2" xfId="2151"/>
    <cellStyle name="Normal 4 4 8" xfId="2152"/>
    <cellStyle name="Normal 4 4 8 2" xfId="2153"/>
    <cellStyle name="Normal 4 4 9" xfId="2154"/>
    <cellStyle name="Normal 4 5" xfId="2155"/>
    <cellStyle name="Normal 4 5 2" xfId="2156"/>
    <cellStyle name="Normal 4 5 2 2" xfId="2157"/>
    <cellStyle name="Normal 4 5 3" xfId="2158"/>
    <cellStyle name="Normal 4 5 3 2" xfId="2159"/>
    <cellStyle name="Normal 4 5 4" xfId="2160"/>
    <cellStyle name="Normal 4 5 4 2" xfId="2161"/>
    <cellStyle name="Normal 4 5 5" xfId="2162"/>
    <cellStyle name="Normal 4 5 5 2" xfId="2163"/>
    <cellStyle name="Normal 4 5 6" xfId="2164"/>
    <cellStyle name="Normal 4 5 6 2" xfId="2165"/>
    <cellStyle name="Normal 4 5 7" xfId="2166"/>
    <cellStyle name="Normal 4 5 7 2" xfId="2167"/>
    <cellStyle name="Normal 4 5 8" xfId="2168"/>
    <cellStyle name="Normal 4 5 8 2" xfId="2169"/>
    <cellStyle name="Normal 4 5 9" xfId="2170"/>
    <cellStyle name="Normal 4 6" xfId="2171"/>
    <cellStyle name="Normal 4 6 2" xfId="2172"/>
    <cellStyle name="Normal 4 7" xfId="2173"/>
    <cellStyle name="Normal 4 7 2" xfId="2174"/>
    <cellStyle name="Normal 4 8" xfId="2175"/>
    <cellStyle name="Normal 4 8 2" xfId="2176"/>
    <cellStyle name="Normal 4 9" xfId="2177"/>
    <cellStyle name="Normal 4 9 2" xfId="2178"/>
    <cellStyle name="Normal 5" xfId="2179"/>
    <cellStyle name="Normal 5 10" xfId="2180"/>
    <cellStyle name="Normal 5 10 2" xfId="2181"/>
    <cellStyle name="Normal 5 11" xfId="2182"/>
    <cellStyle name="Normal 5 11 2" xfId="2183"/>
    <cellStyle name="Normal 5 12" xfId="2184"/>
    <cellStyle name="Normal 5 12 2" xfId="2185"/>
    <cellStyle name="Normal 5 13" xfId="2186"/>
    <cellStyle name="Normal 5 13 2" xfId="2187"/>
    <cellStyle name="Normal 5 14" xfId="2188"/>
    <cellStyle name="Normal 5 14 2" xfId="2189"/>
    <cellStyle name="Normal 5 14 3" xfId="2190"/>
    <cellStyle name="Normal 5 14 4" xfId="2191"/>
    <cellStyle name="Normal 5 15" xfId="2192"/>
    <cellStyle name="Normal 5 16" xfId="2193"/>
    <cellStyle name="Normal 5 17" xfId="2194"/>
    <cellStyle name="Normal 5 18" xfId="2195"/>
    <cellStyle name="Normal 5 19" xfId="2196"/>
    <cellStyle name="Normal 5 2" xfId="2197"/>
    <cellStyle name="Normal 5 2 10" xfId="2198"/>
    <cellStyle name="Normal 5 2 10 2" xfId="2199"/>
    <cellStyle name="Normal 5 2 10 3" xfId="2200"/>
    <cellStyle name="Normal 5 2 10 4" xfId="2201"/>
    <cellStyle name="Normal 5 2 11" xfId="2202"/>
    <cellStyle name="Normal 5 2 12" xfId="2203"/>
    <cellStyle name="Normal 5 2 13" xfId="2204"/>
    <cellStyle name="Normal 5 2 14" xfId="2205"/>
    <cellStyle name="Normal 5 2 15" xfId="2206"/>
    <cellStyle name="Normal 5 2 2" xfId="2207"/>
    <cellStyle name="Normal 5 2 2 10" xfId="2208"/>
    <cellStyle name="Normal 5 2 2 10 2" xfId="2209"/>
    <cellStyle name="Normal 5 2 2 10 2 2" xfId="2210"/>
    <cellStyle name="Normal 5 2 2 10 2 3" xfId="2211"/>
    <cellStyle name="Normal 5 2 2 10 2 4" xfId="2212"/>
    <cellStyle name="Normal 5 2 2 10 3" xfId="2213"/>
    <cellStyle name="Normal 5 2 2 10 4" xfId="2214"/>
    <cellStyle name="Normal 5 2 2 10 5" xfId="2215"/>
    <cellStyle name="Normal 5 2 2 11" xfId="2216"/>
    <cellStyle name="Normal 5 2 2 11 2" xfId="2217"/>
    <cellStyle name="Normal 5 2 2 11 2 2" xfId="2218"/>
    <cellStyle name="Normal 5 2 2 11 2 3" xfId="2219"/>
    <cellStyle name="Normal 5 2 2 11 2 4" xfId="2220"/>
    <cellStyle name="Normal 5 2 2 11 3" xfId="2221"/>
    <cellStyle name="Normal 5 2 2 11 4" xfId="2222"/>
    <cellStyle name="Normal 5 2 2 11 5" xfId="2223"/>
    <cellStyle name="Normal 5 2 2 12" xfId="2224"/>
    <cellStyle name="Normal 5 2 2 12 2" xfId="2225"/>
    <cellStyle name="Normal 5 2 2 12 2 2" xfId="2226"/>
    <cellStyle name="Normal 5 2 2 12 2 3" xfId="2227"/>
    <cellStyle name="Normal 5 2 2 12 2 4" xfId="2228"/>
    <cellStyle name="Normal 5 2 2 12 3" xfId="2229"/>
    <cellStyle name="Normal 5 2 2 12 4" xfId="2230"/>
    <cellStyle name="Normal 5 2 2 12 5" xfId="2231"/>
    <cellStyle name="Normal 5 2 2 13" xfId="2232"/>
    <cellStyle name="Normal 5 2 2 13 2" xfId="2233"/>
    <cellStyle name="Normal 5 2 2 13 2 2" xfId="2234"/>
    <cellStyle name="Normal 5 2 2 13 2 3" xfId="2235"/>
    <cellStyle name="Normal 5 2 2 13 2 4" xfId="2236"/>
    <cellStyle name="Normal 5 2 2 13 3" xfId="2237"/>
    <cellStyle name="Normal 5 2 2 13 4" xfId="2238"/>
    <cellStyle name="Normal 5 2 2 13 5" xfId="2239"/>
    <cellStyle name="Normal 5 2 2 14" xfId="2240"/>
    <cellStyle name="Normal 5 2 2 2" xfId="2241"/>
    <cellStyle name="Normal 5 2 2 2 10" xfId="2242"/>
    <cellStyle name="Normal 5 2 2 2 10 2" xfId="2243"/>
    <cellStyle name="Normal 5 2 2 2 11" xfId="2244"/>
    <cellStyle name="Normal 5 2 2 2 11 2" xfId="2245"/>
    <cellStyle name="Normal 5 2 2 2 12" xfId="2246"/>
    <cellStyle name="Normal 5 2 2 2 12 2" xfId="2247"/>
    <cellStyle name="Normal 5 2 2 2 13" xfId="2248"/>
    <cellStyle name="Normal 5 2 2 2 13 2" xfId="2249"/>
    <cellStyle name="Normal 5 2 2 2 14" xfId="2250"/>
    <cellStyle name="Normal 5 2 2 2 14 2" xfId="2251"/>
    <cellStyle name="Normal 5 2 2 2 14 3" xfId="2252"/>
    <cellStyle name="Normal 5 2 2 2 14 4" xfId="2253"/>
    <cellStyle name="Normal 5 2 2 2 15" xfId="2254"/>
    <cellStyle name="Normal 5 2 2 2 16" xfId="2255"/>
    <cellStyle name="Normal 5 2 2 2 17" xfId="2256"/>
    <cellStyle name="Normal 5 2 2 2 2" xfId="2257"/>
    <cellStyle name="Normal 5 2 2 2 2 2" xfId="2258"/>
    <cellStyle name="Normal 5 2 2 2 3" xfId="2259"/>
    <cellStyle name="Normal 5 2 2 2 3 2" xfId="2260"/>
    <cellStyle name="Normal 5 2 2 2 4" xfId="2261"/>
    <cellStyle name="Normal 5 2 2 2 4 2" xfId="2262"/>
    <cellStyle name="Normal 5 2 2 2 5" xfId="2263"/>
    <cellStyle name="Normal 5 2 2 2 5 2" xfId="2264"/>
    <cellStyle name="Normal 5 2 2 2 6" xfId="2265"/>
    <cellStyle name="Normal 5 2 2 2 6 2" xfId="2266"/>
    <cellStyle name="Normal 5 2 2 2 7" xfId="2267"/>
    <cellStyle name="Normal 5 2 2 2 7 2" xfId="2268"/>
    <cellStyle name="Normal 5 2 2 2 8" xfId="2269"/>
    <cellStyle name="Normal 5 2 2 2 8 2" xfId="2270"/>
    <cellStyle name="Normal 5 2 2 2 9" xfId="2271"/>
    <cellStyle name="Normal 5 2 2 2 9 2" xfId="2272"/>
    <cellStyle name="Normal 5 2 2 3" xfId="2273"/>
    <cellStyle name="Normal 5 2 2 3 2" xfId="2274"/>
    <cellStyle name="Normal 5 2 2 3 2 2" xfId="2275"/>
    <cellStyle name="Normal 5 2 2 3 2 3" xfId="2276"/>
    <cellStyle name="Normal 5 2 2 3 2 4" xfId="2277"/>
    <cellStyle name="Normal 5 2 2 3 3" xfId="2278"/>
    <cellStyle name="Normal 5 2 2 3 4" xfId="2279"/>
    <cellStyle name="Normal 5 2 2 3 5" xfId="2280"/>
    <cellStyle name="Normal 5 2 2 4" xfId="2281"/>
    <cellStyle name="Normal 5 2 2 4 2" xfId="2282"/>
    <cellStyle name="Normal 5 2 2 4 2 2" xfId="2283"/>
    <cellStyle name="Normal 5 2 2 4 2 3" xfId="2284"/>
    <cellStyle name="Normal 5 2 2 4 2 4" xfId="2285"/>
    <cellStyle name="Normal 5 2 2 4 3" xfId="2286"/>
    <cellStyle name="Normal 5 2 2 4 4" xfId="2287"/>
    <cellStyle name="Normal 5 2 2 4 5" xfId="2288"/>
    <cellStyle name="Normal 5 2 2 5" xfId="2289"/>
    <cellStyle name="Normal 5 2 2 5 2" xfId="2290"/>
    <cellStyle name="Normal 5 2 2 5 2 2" xfId="2291"/>
    <cellStyle name="Normal 5 2 2 5 2 3" xfId="2292"/>
    <cellStyle name="Normal 5 2 2 5 2 4" xfId="2293"/>
    <cellStyle name="Normal 5 2 2 5 3" xfId="2294"/>
    <cellStyle name="Normal 5 2 2 5 4" xfId="2295"/>
    <cellStyle name="Normal 5 2 2 5 5" xfId="2296"/>
    <cellStyle name="Normal 5 2 2 6" xfId="2297"/>
    <cellStyle name="Normal 5 2 2 6 2" xfId="2298"/>
    <cellStyle name="Normal 5 2 2 6 2 2" xfId="2299"/>
    <cellStyle name="Normal 5 2 2 6 2 3" xfId="2300"/>
    <cellStyle name="Normal 5 2 2 6 2 4" xfId="2301"/>
    <cellStyle name="Normal 5 2 2 6 3" xfId="2302"/>
    <cellStyle name="Normal 5 2 2 6 4" xfId="2303"/>
    <cellStyle name="Normal 5 2 2 6 5" xfId="2304"/>
    <cellStyle name="Normal 5 2 2 7" xfId="2305"/>
    <cellStyle name="Normal 5 2 2 7 2" xfId="2306"/>
    <cellStyle name="Normal 5 2 2 7 2 2" xfId="2307"/>
    <cellStyle name="Normal 5 2 2 7 2 3" xfId="2308"/>
    <cellStyle name="Normal 5 2 2 7 2 4" xfId="2309"/>
    <cellStyle name="Normal 5 2 2 7 3" xfId="2310"/>
    <cellStyle name="Normal 5 2 2 7 4" xfId="2311"/>
    <cellStyle name="Normal 5 2 2 7 5" xfId="2312"/>
    <cellStyle name="Normal 5 2 2 8" xfId="2313"/>
    <cellStyle name="Normal 5 2 2 8 2" xfId="2314"/>
    <cellStyle name="Normal 5 2 2 8 2 2" xfId="2315"/>
    <cellStyle name="Normal 5 2 2 8 2 3" xfId="2316"/>
    <cellStyle name="Normal 5 2 2 8 2 4" xfId="2317"/>
    <cellStyle name="Normal 5 2 2 8 3" xfId="2318"/>
    <cellStyle name="Normal 5 2 2 8 4" xfId="2319"/>
    <cellStyle name="Normal 5 2 2 8 5" xfId="2320"/>
    <cellStyle name="Normal 5 2 2 9" xfId="2321"/>
    <cellStyle name="Normal 5 2 2 9 2" xfId="2322"/>
    <cellStyle name="Normal 5 2 2 9 2 2" xfId="2323"/>
    <cellStyle name="Normal 5 2 2 9 2 3" xfId="2324"/>
    <cellStyle name="Normal 5 2 2 9 2 4" xfId="2325"/>
    <cellStyle name="Normal 5 2 2 9 3" xfId="2326"/>
    <cellStyle name="Normal 5 2 2 9 4" xfId="2327"/>
    <cellStyle name="Normal 5 2 2 9 5" xfId="2328"/>
    <cellStyle name="Normal 5 2 3" xfId="2329"/>
    <cellStyle name="Normal 5 2 3 2" xfId="2330"/>
    <cellStyle name="Normal 5 2 4" xfId="2331"/>
    <cellStyle name="Normal 5 2 4 2" xfId="2332"/>
    <cellStyle name="Normal 5 2 5" xfId="2333"/>
    <cellStyle name="Normal 5 2 5 2" xfId="2334"/>
    <cellStyle name="Normal 5 2 6" xfId="2335"/>
    <cellStyle name="Normal 5 2 6 2" xfId="2336"/>
    <cellStyle name="Normal 5 2 7" xfId="2337"/>
    <cellStyle name="Normal 5 2 7 2" xfId="2338"/>
    <cellStyle name="Normal 5 2 8" xfId="2339"/>
    <cellStyle name="Normal 5 2 8 2" xfId="2340"/>
    <cellStyle name="Normal 5 2 9" xfId="2341"/>
    <cellStyle name="Normal 5 2 9 2" xfId="2342"/>
    <cellStyle name="Normal 5 3" xfId="2343"/>
    <cellStyle name="Normal 5 3 10" xfId="2344"/>
    <cellStyle name="Normal 5 3 2" xfId="2345"/>
    <cellStyle name="Normal 5 3 2 2" xfId="2346"/>
    <cellStyle name="Normal 5 3 3" xfId="2347"/>
    <cellStyle name="Normal 5 3 3 2" xfId="2348"/>
    <cellStyle name="Normal 5 3 4" xfId="2349"/>
    <cellStyle name="Normal 5 3 4 2" xfId="2350"/>
    <cellStyle name="Normal 5 3 5" xfId="2351"/>
    <cellStyle name="Normal 5 3 5 2" xfId="2352"/>
    <cellStyle name="Normal 5 3 6" xfId="2353"/>
    <cellStyle name="Normal 5 3 6 2" xfId="2354"/>
    <cellStyle name="Normal 5 3 7" xfId="2355"/>
    <cellStyle name="Normal 5 3 7 2" xfId="2356"/>
    <cellStyle name="Normal 5 3 8" xfId="2357"/>
    <cellStyle name="Normal 5 3 8 2" xfId="2358"/>
    <cellStyle name="Normal 5 3 9" xfId="2359"/>
    <cellStyle name="Normal 5 4" xfId="2360"/>
    <cellStyle name="Normal 5 4 10" xfId="2361"/>
    <cellStyle name="Normal 5 4 2" xfId="2362"/>
    <cellStyle name="Normal 5 4 2 2" xfId="2363"/>
    <cellStyle name="Normal 5 4 3" xfId="2364"/>
    <cellStyle name="Normal 5 4 3 2" xfId="2365"/>
    <cellStyle name="Normal 5 4 4" xfId="2366"/>
    <cellStyle name="Normal 5 4 4 2" xfId="2367"/>
    <cellStyle name="Normal 5 4 5" xfId="2368"/>
    <cellStyle name="Normal 5 4 5 2" xfId="2369"/>
    <cellStyle name="Normal 5 4 6" xfId="2370"/>
    <cellStyle name="Normal 5 4 6 2" xfId="2371"/>
    <cellStyle name="Normal 5 4 7" xfId="2372"/>
    <cellStyle name="Normal 5 4 7 2" xfId="2373"/>
    <cellStyle name="Normal 5 4 8" xfId="2374"/>
    <cellStyle name="Normal 5 4 8 2" xfId="2375"/>
    <cellStyle name="Normal 5 4 9" xfId="2376"/>
    <cellStyle name="Normal 5 5" xfId="2377"/>
    <cellStyle name="Normal 5 5 2" xfId="2378"/>
    <cellStyle name="Normal 5 5 2 2" xfId="2379"/>
    <cellStyle name="Normal 5 5 3" xfId="2380"/>
    <cellStyle name="Normal 5 5 3 2" xfId="2381"/>
    <cellStyle name="Normal 5 5 4" xfId="2382"/>
    <cellStyle name="Normal 5 5 4 2" xfId="2383"/>
    <cellStyle name="Normal 5 5 5" xfId="2384"/>
    <cellStyle name="Normal 5 5 5 2" xfId="2385"/>
    <cellStyle name="Normal 5 5 6" xfId="2386"/>
    <cellStyle name="Normal 5 5 6 2" xfId="2387"/>
    <cellStyle name="Normal 5 5 7" xfId="2388"/>
    <cellStyle name="Normal 5 5 7 2" xfId="2389"/>
    <cellStyle name="Normal 5 5 8" xfId="2390"/>
    <cellStyle name="Normal 5 5 8 2" xfId="2391"/>
    <cellStyle name="Normal 5 5 9" xfId="2392"/>
    <cellStyle name="Normal 5 6" xfId="2393"/>
    <cellStyle name="Normal 5 6 2" xfId="2394"/>
    <cellStyle name="Normal 5 7" xfId="2395"/>
    <cellStyle name="Normal 5 7 2" xfId="2396"/>
    <cellStyle name="Normal 5 8" xfId="2397"/>
    <cellStyle name="Normal 5 8 2" xfId="2398"/>
    <cellStyle name="Normal 5 9" xfId="2399"/>
    <cellStyle name="Normal 5 9 2" xfId="2400"/>
    <cellStyle name="Normal 6" xfId="2401"/>
    <cellStyle name="Normal 6 10" xfId="2402"/>
    <cellStyle name="Normal 6 10 2" xfId="2403"/>
    <cellStyle name="Normal 6 11" xfId="2404"/>
    <cellStyle name="Normal 6 11 2" xfId="2405"/>
    <cellStyle name="Normal 6 12" xfId="2406"/>
    <cellStyle name="Normal 6 12 2" xfId="2407"/>
    <cellStyle name="Normal 6 13" xfId="2408"/>
    <cellStyle name="Normal 6 13 2" xfId="2409"/>
    <cellStyle name="Normal 6 14" xfId="2410"/>
    <cellStyle name="Normal 6 15" xfId="2411"/>
    <cellStyle name="Normal 6 2" xfId="2412"/>
    <cellStyle name="Normal 6 2 10" xfId="2413"/>
    <cellStyle name="Normal 6 2 2" xfId="2414"/>
    <cellStyle name="Normal 6 2 2 10" xfId="2415"/>
    <cellStyle name="Normal 6 2 2 10 2" xfId="2416"/>
    <cellStyle name="Normal 6 2 2 10 2 2" xfId="2417"/>
    <cellStyle name="Normal 6 2 2 10 2 3" xfId="2418"/>
    <cellStyle name="Normal 6 2 2 10 2 4" xfId="2419"/>
    <cellStyle name="Normal 6 2 2 10 3" xfId="2420"/>
    <cellStyle name="Normal 6 2 2 10 4" xfId="2421"/>
    <cellStyle name="Normal 6 2 2 10 5" xfId="2422"/>
    <cellStyle name="Normal 6 2 2 11" xfId="2423"/>
    <cellStyle name="Normal 6 2 2 11 2" xfId="2424"/>
    <cellStyle name="Normal 6 2 2 11 2 2" xfId="2425"/>
    <cellStyle name="Normal 6 2 2 11 2 3" xfId="2426"/>
    <cellStyle name="Normal 6 2 2 11 2 4" xfId="2427"/>
    <cellStyle name="Normal 6 2 2 11 3" xfId="2428"/>
    <cellStyle name="Normal 6 2 2 11 4" xfId="2429"/>
    <cellStyle name="Normal 6 2 2 11 5" xfId="2430"/>
    <cellStyle name="Normal 6 2 2 12" xfId="2431"/>
    <cellStyle name="Normal 6 2 2 12 2" xfId="2432"/>
    <cellStyle name="Normal 6 2 2 12 2 2" xfId="2433"/>
    <cellStyle name="Normal 6 2 2 12 2 3" xfId="2434"/>
    <cellStyle name="Normal 6 2 2 12 2 4" xfId="2435"/>
    <cellStyle name="Normal 6 2 2 12 3" xfId="2436"/>
    <cellStyle name="Normal 6 2 2 12 4" xfId="2437"/>
    <cellStyle name="Normal 6 2 2 12 5" xfId="2438"/>
    <cellStyle name="Normal 6 2 2 13" xfId="2439"/>
    <cellStyle name="Normal 6 2 2 13 2" xfId="2440"/>
    <cellStyle name="Normal 6 2 2 13 2 2" xfId="2441"/>
    <cellStyle name="Normal 6 2 2 13 2 3" xfId="2442"/>
    <cellStyle name="Normal 6 2 2 13 2 4" xfId="2443"/>
    <cellStyle name="Normal 6 2 2 13 3" xfId="2444"/>
    <cellStyle name="Normal 6 2 2 13 4" xfId="2445"/>
    <cellStyle name="Normal 6 2 2 13 5" xfId="2446"/>
    <cellStyle name="Normal 6 2 2 14" xfId="2447"/>
    <cellStyle name="Normal 6 2 2 15" xfId="2448"/>
    <cellStyle name="Normal 6 2 2 2" xfId="2449"/>
    <cellStyle name="Normal 6 2 2 2 2" xfId="2450"/>
    <cellStyle name="Normal 6 2 2 2 2 2" xfId="2451"/>
    <cellStyle name="Normal 6 2 2 2 2 3" xfId="2452"/>
    <cellStyle name="Normal 6 2 2 2 2 4" xfId="2453"/>
    <cellStyle name="Normal 6 2 2 2 3" xfId="2454"/>
    <cellStyle name="Normal 6 2 2 2 4" xfId="2455"/>
    <cellStyle name="Normal 6 2 2 2 5" xfId="2456"/>
    <cellStyle name="Normal 6 2 2 3" xfId="2457"/>
    <cellStyle name="Normal 6 2 2 3 2" xfId="2458"/>
    <cellStyle name="Normal 6 2 2 3 2 2" xfId="2459"/>
    <cellStyle name="Normal 6 2 2 3 2 3" xfId="2460"/>
    <cellStyle name="Normal 6 2 2 3 2 4" xfId="2461"/>
    <cellStyle name="Normal 6 2 2 3 3" xfId="2462"/>
    <cellStyle name="Normal 6 2 2 3 4" xfId="2463"/>
    <cellStyle name="Normal 6 2 2 3 5" xfId="2464"/>
    <cellStyle name="Normal 6 2 2 4" xfId="2465"/>
    <cellStyle name="Normal 6 2 2 4 2" xfId="2466"/>
    <cellStyle name="Normal 6 2 2 4 2 2" xfId="2467"/>
    <cellStyle name="Normal 6 2 2 4 2 3" xfId="2468"/>
    <cellStyle name="Normal 6 2 2 4 2 4" xfId="2469"/>
    <cellStyle name="Normal 6 2 2 4 3" xfId="2470"/>
    <cellStyle name="Normal 6 2 2 4 4" xfId="2471"/>
    <cellStyle name="Normal 6 2 2 4 5" xfId="2472"/>
    <cellStyle name="Normal 6 2 2 5" xfId="2473"/>
    <cellStyle name="Normal 6 2 2 5 2" xfId="2474"/>
    <cellStyle name="Normal 6 2 2 5 2 2" xfId="2475"/>
    <cellStyle name="Normal 6 2 2 5 2 3" xfId="2476"/>
    <cellStyle name="Normal 6 2 2 5 2 4" xfId="2477"/>
    <cellStyle name="Normal 6 2 2 5 3" xfId="2478"/>
    <cellStyle name="Normal 6 2 2 5 4" xfId="2479"/>
    <cellStyle name="Normal 6 2 2 5 5" xfId="2480"/>
    <cellStyle name="Normal 6 2 2 6" xfId="2481"/>
    <cellStyle name="Normal 6 2 2 6 2" xfId="2482"/>
    <cellStyle name="Normal 6 2 2 6 2 2" xfId="2483"/>
    <cellStyle name="Normal 6 2 2 6 2 3" xfId="2484"/>
    <cellStyle name="Normal 6 2 2 6 2 4" xfId="2485"/>
    <cellStyle name="Normal 6 2 2 6 3" xfId="2486"/>
    <cellStyle name="Normal 6 2 2 6 4" xfId="2487"/>
    <cellStyle name="Normal 6 2 2 6 5" xfId="2488"/>
    <cellStyle name="Normal 6 2 2 7" xfId="2489"/>
    <cellStyle name="Normal 6 2 2 7 2" xfId="2490"/>
    <cellStyle name="Normal 6 2 2 7 2 2" xfId="2491"/>
    <cellStyle name="Normal 6 2 2 7 2 3" xfId="2492"/>
    <cellStyle name="Normal 6 2 2 7 2 4" xfId="2493"/>
    <cellStyle name="Normal 6 2 2 7 3" xfId="2494"/>
    <cellStyle name="Normal 6 2 2 7 4" xfId="2495"/>
    <cellStyle name="Normal 6 2 2 7 5" xfId="2496"/>
    <cellStyle name="Normal 6 2 2 8" xfId="2497"/>
    <cellStyle name="Normal 6 2 2 8 2" xfId="2498"/>
    <cellStyle name="Normal 6 2 2 8 2 2" xfId="2499"/>
    <cellStyle name="Normal 6 2 2 8 2 3" xfId="2500"/>
    <cellStyle name="Normal 6 2 2 8 2 4" xfId="2501"/>
    <cellStyle name="Normal 6 2 2 8 3" xfId="2502"/>
    <cellStyle name="Normal 6 2 2 8 4" xfId="2503"/>
    <cellStyle name="Normal 6 2 2 8 5" xfId="2504"/>
    <cellStyle name="Normal 6 2 2 9" xfId="2505"/>
    <cellStyle name="Normal 6 2 2 9 2" xfId="2506"/>
    <cellStyle name="Normal 6 2 2 9 2 2" xfId="2507"/>
    <cellStyle name="Normal 6 2 2 9 2 3" xfId="2508"/>
    <cellStyle name="Normal 6 2 2 9 2 4" xfId="2509"/>
    <cellStyle name="Normal 6 2 2 9 3" xfId="2510"/>
    <cellStyle name="Normal 6 2 2 9 4" xfId="2511"/>
    <cellStyle name="Normal 6 2 2 9 5" xfId="2512"/>
    <cellStyle name="Normal 6 2 3" xfId="2513"/>
    <cellStyle name="Normal 6 2 3 2" xfId="2514"/>
    <cellStyle name="Normal 6 2 4" xfId="2515"/>
    <cellStyle name="Normal 6 2 4 2" xfId="2516"/>
    <cellStyle name="Normal 6 2 5" xfId="2517"/>
    <cellStyle name="Normal 6 2 5 2" xfId="2518"/>
    <cellStyle name="Normal 6 2 6" xfId="2519"/>
    <cellStyle name="Normal 6 2 6 2" xfId="2520"/>
    <cellStyle name="Normal 6 2 7" xfId="2521"/>
    <cellStyle name="Normal 6 2 7 2" xfId="2522"/>
    <cellStyle name="Normal 6 2 8" xfId="2523"/>
    <cellStyle name="Normal 6 2 8 2" xfId="2524"/>
    <cellStyle name="Normal 6 2 9" xfId="2525"/>
    <cellStyle name="Normal 6 3" xfId="2526"/>
    <cellStyle name="Normal 6 3 10" xfId="2527"/>
    <cellStyle name="Normal 6 3 2" xfId="2528"/>
    <cellStyle name="Normal 6 3 2 2" xfId="2529"/>
    <cellStyle name="Normal 6 3 3" xfId="2530"/>
    <cellStyle name="Normal 6 3 3 2" xfId="2531"/>
    <cellStyle name="Normal 6 3 4" xfId="2532"/>
    <cellStyle name="Normal 6 3 4 2" xfId="2533"/>
    <cellStyle name="Normal 6 3 5" xfId="2534"/>
    <cellStyle name="Normal 6 3 5 2" xfId="2535"/>
    <cellStyle name="Normal 6 3 6" xfId="2536"/>
    <cellStyle name="Normal 6 3 6 2" xfId="2537"/>
    <cellStyle name="Normal 6 3 7" xfId="2538"/>
    <cellStyle name="Normal 6 3 7 2" xfId="2539"/>
    <cellStyle name="Normal 6 3 8" xfId="2540"/>
    <cellStyle name="Normal 6 3 8 2" xfId="2541"/>
    <cellStyle name="Normal 6 3 9" xfId="2542"/>
    <cellStyle name="Normal 6 4" xfId="2543"/>
    <cellStyle name="Normal 6 4 10" xfId="2544"/>
    <cellStyle name="Normal 6 4 2" xfId="2545"/>
    <cellStyle name="Normal 6 4 2 2" xfId="2546"/>
    <cellStyle name="Normal 6 4 3" xfId="2547"/>
    <cellStyle name="Normal 6 4 3 2" xfId="2548"/>
    <cellStyle name="Normal 6 4 4" xfId="2549"/>
    <cellStyle name="Normal 6 4 4 2" xfId="2550"/>
    <cellStyle name="Normal 6 4 5" xfId="2551"/>
    <cellStyle name="Normal 6 4 5 2" xfId="2552"/>
    <cellStyle name="Normal 6 4 6" xfId="2553"/>
    <cellStyle name="Normal 6 4 6 2" xfId="2554"/>
    <cellStyle name="Normal 6 4 7" xfId="2555"/>
    <cellStyle name="Normal 6 4 7 2" xfId="2556"/>
    <cellStyle name="Normal 6 4 8" xfId="2557"/>
    <cellStyle name="Normal 6 4 8 2" xfId="2558"/>
    <cellStyle name="Normal 6 4 9" xfId="2559"/>
    <cellStyle name="Normal 6 5" xfId="2560"/>
    <cellStyle name="Normal 6 5 2" xfId="2561"/>
    <cellStyle name="Normal 6 5 2 2" xfId="2562"/>
    <cellStyle name="Normal 6 5 3" xfId="2563"/>
    <cellStyle name="Normal 6 5 3 2" xfId="2564"/>
    <cellStyle name="Normal 6 5 4" xfId="2565"/>
    <cellStyle name="Normal 6 5 4 2" xfId="2566"/>
    <cellStyle name="Normal 6 5 5" xfId="2567"/>
    <cellStyle name="Normal 6 5 5 2" xfId="2568"/>
    <cellStyle name="Normal 6 5 6" xfId="2569"/>
    <cellStyle name="Normal 6 5 6 2" xfId="2570"/>
    <cellStyle name="Normal 6 5 7" xfId="2571"/>
    <cellStyle name="Normal 6 5 7 2" xfId="2572"/>
    <cellStyle name="Normal 6 5 8" xfId="2573"/>
    <cellStyle name="Normal 6 5 8 2" xfId="2574"/>
    <cellStyle name="Normal 6 5 9" xfId="2575"/>
    <cellStyle name="Normal 6 6" xfId="2576"/>
    <cellStyle name="Normal 6 6 2" xfId="2577"/>
    <cellStyle name="Normal 6 7" xfId="2578"/>
    <cellStyle name="Normal 6 7 2" xfId="2579"/>
    <cellStyle name="Normal 6 8" xfId="2580"/>
    <cellStyle name="Normal 6 8 2" xfId="2581"/>
    <cellStyle name="Normal 6 9" xfId="2582"/>
    <cellStyle name="Normal 6 9 2" xfId="2583"/>
    <cellStyle name="Normal 7" xfId="2584"/>
    <cellStyle name="Normal 7 10" xfId="2585"/>
    <cellStyle name="Normal 7 10 2" xfId="2586"/>
    <cellStyle name="Normal 7 11" xfId="2587"/>
    <cellStyle name="Normal 7 11 2" xfId="2588"/>
    <cellStyle name="Normal 7 12" xfId="2589"/>
    <cellStyle name="Normal 7 12 2" xfId="2590"/>
    <cellStyle name="Normal 7 13" xfId="2591"/>
    <cellStyle name="Normal 7 14" xfId="2592"/>
    <cellStyle name="Normal 7 2" xfId="2593"/>
    <cellStyle name="Normal 7 2 10" xfId="2594"/>
    <cellStyle name="Normal 7 2 2" xfId="2595"/>
    <cellStyle name="Normal 7 2 2 2" xfId="2596"/>
    <cellStyle name="Normal 7 2 3" xfId="2597"/>
    <cellStyle name="Normal 7 2 3 2" xfId="2598"/>
    <cellStyle name="Normal 7 2 4" xfId="2599"/>
    <cellStyle name="Normal 7 2 4 2" xfId="2600"/>
    <cellStyle name="Normal 7 2 5" xfId="2601"/>
    <cellStyle name="Normal 7 2 5 2" xfId="2602"/>
    <cellStyle name="Normal 7 2 6" xfId="2603"/>
    <cellStyle name="Normal 7 2 6 2" xfId="2604"/>
    <cellStyle name="Normal 7 2 7" xfId="2605"/>
    <cellStyle name="Normal 7 2 7 2" xfId="2606"/>
    <cellStyle name="Normal 7 2 8" xfId="2607"/>
    <cellStyle name="Normal 7 2 8 2" xfId="2608"/>
    <cellStyle name="Normal 7 2 9" xfId="2609"/>
    <cellStyle name="Normal 7 3" xfId="2610"/>
    <cellStyle name="Normal 7 3 2" xfId="2611"/>
    <cellStyle name="Normal 7 3 2 2" xfId="2612"/>
    <cellStyle name="Normal 7 3 3" xfId="2613"/>
    <cellStyle name="Normal 7 3 3 2" xfId="2614"/>
    <cellStyle name="Normal 7 3 4" xfId="2615"/>
    <cellStyle name="Normal 7 3 4 2" xfId="2616"/>
    <cellStyle name="Normal 7 3 5" xfId="2617"/>
    <cellStyle name="Normal 7 3 5 2" xfId="2618"/>
    <cellStyle name="Normal 7 3 6" xfId="2619"/>
    <cellStyle name="Normal 7 3 6 2" xfId="2620"/>
    <cellStyle name="Normal 7 3 7" xfId="2621"/>
    <cellStyle name="Normal 7 3 7 2" xfId="2622"/>
    <cellStyle name="Normal 7 3 8" xfId="2623"/>
    <cellStyle name="Normal 7 3 8 2" xfId="2624"/>
    <cellStyle name="Normal 7 3 9" xfId="2625"/>
    <cellStyle name="Normal 7 4" xfId="2626"/>
    <cellStyle name="Normal 7 4 2" xfId="2627"/>
    <cellStyle name="Normal 7 4 2 2" xfId="2628"/>
    <cellStyle name="Normal 7 4 3" xfId="2629"/>
    <cellStyle name="Normal 7 4 3 2" xfId="2630"/>
    <cellStyle name="Normal 7 4 4" xfId="2631"/>
    <cellStyle name="Normal 7 4 4 2" xfId="2632"/>
    <cellStyle name="Normal 7 4 5" xfId="2633"/>
    <cellStyle name="Normal 7 4 5 2" xfId="2634"/>
    <cellStyle name="Normal 7 4 6" xfId="2635"/>
    <cellStyle name="Normal 7 4 6 2" xfId="2636"/>
    <cellStyle name="Normal 7 4 7" xfId="2637"/>
    <cellStyle name="Normal 7 4 7 2" xfId="2638"/>
    <cellStyle name="Normal 7 4 8" xfId="2639"/>
    <cellStyle name="Normal 7 4 8 2" xfId="2640"/>
    <cellStyle name="Normal 7 4 9" xfId="2641"/>
    <cellStyle name="Normal 7 5" xfId="2642"/>
    <cellStyle name="Normal 7 5 2" xfId="2643"/>
    <cellStyle name="Normal 7 5 2 2" xfId="2644"/>
    <cellStyle name="Normal 7 5 3" xfId="2645"/>
    <cellStyle name="Normal 7 5 3 2" xfId="2646"/>
    <cellStyle name="Normal 7 5 4" xfId="2647"/>
    <cellStyle name="Normal 7 5 4 2" xfId="2648"/>
    <cellStyle name="Normal 7 5 5" xfId="2649"/>
    <cellStyle name="Normal 7 5 5 2" xfId="2650"/>
    <cellStyle name="Normal 7 5 6" xfId="2651"/>
    <cellStyle name="Normal 7 5 6 2" xfId="2652"/>
    <cellStyle name="Normal 7 5 7" xfId="2653"/>
    <cellStyle name="Normal 7 5 7 2" xfId="2654"/>
    <cellStyle name="Normal 7 5 8" xfId="2655"/>
    <cellStyle name="Normal 7 5 8 2" xfId="2656"/>
    <cellStyle name="Normal 7 5 9" xfId="2657"/>
    <cellStyle name="Normal 7 6" xfId="2658"/>
    <cellStyle name="Normal 7 6 2" xfId="2659"/>
    <cellStyle name="Normal 7 7" xfId="2660"/>
    <cellStyle name="Normal 7 7 2" xfId="2661"/>
    <cellStyle name="Normal 7 8" xfId="2662"/>
    <cellStyle name="Normal 7 8 2" xfId="2663"/>
    <cellStyle name="Normal 7 9" xfId="2664"/>
    <cellStyle name="Normal 7 9 2" xfId="2665"/>
    <cellStyle name="Normal 8" xfId="2666"/>
    <cellStyle name="Normal 8 10" xfId="2667"/>
    <cellStyle name="Normal 8 10 2" xfId="2668"/>
    <cellStyle name="Normal 8 11" xfId="2669"/>
    <cellStyle name="Normal 8 11 2" xfId="2670"/>
    <cellStyle name="Normal 8 12" xfId="2671"/>
    <cellStyle name="Normal 8 12 2" xfId="2672"/>
    <cellStyle name="Normal 8 13" xfId="2673"/>
    <cellStyle name="Normal 8 14" xfId="2674"/>
    <cellStyle name="Normal 8 2" xfId="2675"/>
    <cellStyle name="Normal 8 2 10" xfId="2676"/>
    <cellStyle name="Normal 8 2 2" xfId="2677"/>
    <cellStyle name="Normal 8 2 2 2" xfId="2678"/>
    <cellStyle name="Normal 8 2 3" xfId="2679"/>
    <cellStyle name="Normal 8 2 3 2" xfId="2680"/>
    <cellStyle name="Normal 8 2 4" xfId="2681"/>
    <cellStyle name="Normal 8 2 4 2" xfId="2682"/>
    <cellStyle name="Normal 8 2 5" xfId="2683"/>
    <cellStyle name="Normal 8 2 5 2" xfId="2684"/>
    <cellStyle name="Normal 8 2 6" xfId="2685"/>
    <cellStyle name="Normal 8 2 6 2" xfId="2686"/>
    <cellStyle name="Normal 8 2 7" xfId="2687"/>
    <cellStyle name="Normal 8 2 7 2" xfId="2688"/>
    <cellStyle name="Normal 8 2 8" xfId="2689"/>
    <cellStyle name="Normal 8 2 8 2" xfId="2690"/>
    <cellStyle name="Normal 8 2 9" xfId="2691"/>
    <cellStyle name="Normal 8 3" xfId="2692"/>
    <cellStyle name="Normal 8 3 2" xfId="2693"/>
    <cellStyle name="Normal 8 3 2 2" xfId="2694"/>
    <cellStyle name="Normal 8 3 3" xfId="2695"/>
    <cellStyle name="Normal 8 3 3 2" xfId="2696"/>
    <cellStyle name="Normal 8 3 4" xfId="2697"/>
    <cellStyle name="Normal 8 3 4 2" xfId="2698"/>
    <cellStyle name="Normal 8 3 5" xfId="2699"/>
    <cellStyle name="Normal 8 3 5 2" xfId="2700"/>
    <cellStyle name="Normal 8 3 6" xfId="2701"/>
    <cellStyle name="Normal 8 3 6 2" xfId="2702"/>
    <cellStyle name="Normal 8 3 7" xfId="2703"/>
    <cellStyle name="Normal 8 3 7 2" xfId="2704"/>
    <cellStyle name="Normal 8 3 8" xfId="2705"/>
    <cellStyle name="Normal 8 3 8 2" xfId="2706"/>
    <cellStyle name="Normal 8 3 9" xfId="2707"/>
    <cellStyle name="Normal 8 4" xfId="2708"/>
    <cellStyle name="Normal 8 4 2" xfId="2709"/>
    <cellStyle name="Normal 8 4 2 2" xfId="2710"/>
    <cellStyle name="Normal 8 4 3" xfId="2711"/>
    <cellStyle name="Normal 8 4 3 2" xfId="2712"/>
    <cellStyle name="Normal 8 4 4" xfId="2713"/>
    <cellStyle name="Normal 8 4 4 2" xfId="2714"/>
    <cellStyle name="Normal 8 4 5" xfId="2715"/>
    <cellStyle name="Normal 8 4 5 2" xfId="2716"/>
    <cellStyle name="Normal 8 4 6" xfId="2717"/>
    <cellStyle name="Normal 8 4 6 2" xfId="2718"/>
    <cellStyle name="Normal 8 4 7" xfId="2719"/>
    <cellStyle name="Normal 8 4 7 2" xfId="2720"/>
    <cellStyle name="Normal 8 4 8" xfId="2721"/>
    <cellStyle name="Normal 8 4 8 2" xfId="2722"/>
    <cellStyle name="Normal 8 4 9" xfId="2723"/>
    <cellStyle name="Normal 8 5" xfId="2724"/>
    <cellStyle name="Normal 8 5 2" xfId="2725"/>
    <cellStyle name="Normal 8 5 2 2" xfId="2726"/>
    <cellStyle name="Normal 8 5 3" xfId="2727"/>
    <cellStyle name="Normal 8 5 3 2" xfId="2728"/>
    <cellStyle name="Normal 8 5 4" xfId="2729"/>
    <cellStyle name="Normal 8 5 4 2" xfId="2730"/>
    <cellStyle name="Normal 8 5 5" xfId="2731"/>
    <cellStyle name="Normal 8 5 5 2" xfId="2732"/>
    <cellStyle name="Normal 8 5 6" xfId="2733"/>
    <cellStyle name="Normal 8 5 6 2" xfId="2734"/>
    <cellStyle name="Normal 8 5 7" xfId="2735"/>
    <cellStyle name="Normal 8 5 7 2" xfId="2736"/>
    <cellStyle name="Normal 8 5 8" xfId="2737"/>
    <cellStyle name="Normal 8 5 8 2" xfId="2738"/>
    <cellStyle name="Normal 8 5 9" xfId="2739"/>
    <cellStyle name="Normal 8 6" xfId="2740"/>
    <cellStyle name="Normal 8 6 2" xfId="2741"/>
    <cellStyle name="Normal 8 7" xfId="2742"/>
    <cellStyle name="Normal 8 7 2" xfId="2743"/>
    <cellStyle name="Normal 8 8" xfId="2744"/>
    <cellStyle name="Normal 8 8 2" xfId="2745"/>
    <cellStyle name="Normal 8 9" xfId="2746"/>
    <cellStyle name="Normal 8 9 2" xfId="2747"/>
    <cellStyle name="Normal 9" xfId="2748"/>
    <cellStyle name="Normal 9 10" xfId="2749"/>
    <cellStyle name="Normal 9 2" xfId="2750"/>
    <cellStyle name="Normal 9 2 2" xfId="2751"/>
    <cellStyle name="Normal 9 3" xfId="2752"/>
    <cellStyle name="Normal 9 3 2" xfId="2753"/>
    <cellStyle name="Normal 9 4" xfId="2754"/>
    <cellStyle name="Normal 9 4 2" xfId="2755"/>
    <cellStyle name="Normal 9 5" xfId="2756"/>
    <cellStyle name="Normal 9 5 2" xfId="2757"/>
    <cellStyle name="Normal 9 6" xfId="2758"/>
    <cellStyle name="Normal 9 6 2" xfId="2759"/>
    <cellStyle name="Normal 9 7" xfId="2760"/>
    <cellStyle name="Normal 9 7 2" xfId="2761"/>
    <cellStyle name="Normal 9 8" xfId="2762"/>
    <cellStyle name="Normal 9 8 2" xfId="2763"/>
    <cellStyle name="Normal 9 9" xfId="2764"/>
    <cellStyle name="Normal GHG Numbers (0.00)" xfId="2765"/>
    <cellStyle name="Normal GHG Textfiels Bold" xfId="2766"/>
    <cellStyle name="Normal GHG-Shade" xfId="2767"/>
    <cellStyle name="Normal GHG-Shade 2" xfId="2768"/>
    <cellStyle name="Normal GHG-Shade 2 2" xfId="2769"/>
    <cellStyle name="Normal GHG-Shade 3" xfId="2770"/>
    <cellStyle name="Normale_B2020" xfId="2771"/>
    <cellStyle name="Note 2" xfId="2772"/>
    <cellStyle name="Note 2 10" xfId="2773"/>
    <cellStyle name="Note 2 10 2" xfId="2774"/>
    <cellStyle name="Note 2 11" xfId="2775"/>
    <cellStyle name="Note 2 11 2" xfId="2776"/>
    <cellStyle name="Note 2 12" xfId="2777"/>
    <cellStyle name="Note 2 12 2" xfId="2778"/>
    <cellStyle name="Note 2 13" xfId="2779"/>
    <cellStyle name="Note 2 13 2" xfId="2780"/>
    <cellStyle name="Note 2 14" xfId="2781"/>
    <cellStyle name="Note 2 14 2" xfId="2782"/>
    <cellStyle name="Note 2 15" xfId="2783"/>
    <cellStyle name="Note 2 15 2" xfId="2784"/>
    <cellStyle name="Note 2 16" xfId="2785"/>
    <cellStyle name="Note 2 17" xfId="2786"/>
    <cellStyle name="Note 2 2" xfId="2787"/>
    <cellStyle name="Note 2 2 2" xfId="2788"/>
    <cellStyle name="Note 2 2 2 2" xfId="2789"/>
    <cellStyle name="Note 2 3" xfId="2790"/>
    <cellStyle name="Note 2 3 2" xfId="2791"/>
    <cellStyle name="Note 2 4" xfId="2792"/>
    <cellStyle name="Note 2 4 2" xfId="2793"/>
    <cellStyle name="Note 2 5" xfId="2794"/>
    <cellStyle name="Note 2 5 2" xfId="2795"/>
    <cellStyle name="Note 2 6" xfId="2796"/>
    <cellStyle name="Note 2 6 2" xfId="2797"/>
    <cellStyle name="Note 2 7" xfId="2798"/>
    <cellStyle name="Note 2 7 2" xfId="2799"/>
    <cellStyle name="Note 2 8" xfId="2800"/>
    <cellStyle name="Note 2 8 2" xfId="2801"/>
    <cellStyle name="Note 2 9" xfId="2802"/>
    <cellStyle name="Note 2 9 2" xfId="2803"/>
    <cellStyle name="Note 3" xfId="2804"/>
    <cellStyle name="Note 3 2" xfId="2805"/>
    <cellStyle name="Note 3 2 2" xfId="2806"/>
    <cellStyle name="Note 3 2 3" xfId="2807"/>
    <cellStyle name="Note 3 3" xfId="2808"/>
    <cellStyle name="Note 4" xfId="2809"/>
    <cellStyle name="Note 4 2" xfId="2810"/>
    <cellStyle name="Note 5" xfId="2811"/>
    <cellStyle name="Note 5 2" xfId="2812"/>
    <cellStyle name="Note 6" xfId="2813"/>
    <cellStyle name="Note 6 2" xfId="2814"/>
    <cellStyle name="Note 7" xfId="2815"/>
    <cellStyle name="Note 7 2" xfId="2816"/>
    <cellStyle name="Note 8" xfId="2817"/>
    <cellStyle name="Note 8 2" xfId="2818"/>
    <cellStyle name="num_note" xfId="2819"/>
    <cellStyle name="Nuovo" xfId="2820"/>
    <cellStyle name="Nuovo 2" xfId="2821"/>
    <cellStyle name="Output 2" xfId="2822"/>
    <cellStyle name="Output 2 10" xfId="2823"/>
    <cellStyle name="Output 2 2" xfId="2824"/>
    <cellStyle name="Output 2 3" xfId="2825"/>
    <cellStyle name="Output 2 4" xfId="2826"/>
    <cellStyle name="Output 2 5" xfId="2827"/>
    <cellStyle name="Output 2 6" xfId="2828"/>
    <cellStyle name="Output 2 7" xfId="2829"/>
    <cellStyle name="Output 2 8" xfId="2830"/>
    <cellStyle name="Output 2 9" xfId="2831"/>
    <cellStyle name="Output 3" xfId="2832"/>
    <cellStyle name="Output 3 2" xfId="2833"/>
    <cellStyle name="Percent 10" xfId="2834"/>
    <cellStyle name="Percent 10 2" xfId="2835"/>
    <cellStyle name="Percent 10 2 2" xfId="2836"/>
    <cellStyle name="Percent 10 3" xfId="2837"/>
    <cellStyle name="Percent 10 3 2" xfId="2838"/>
    <cellStyle name="Percent 10 4" xfId="2839"/>
    <cellStyle name="Percent 10 4 2" xfId="2840"/>
    <cellStyle name="Percent 10 5" xfId="2841"/>
    <cellStyle name="Percent 10 5 2" xfId="2842"/>
    <cellStyle name="Percent 10 6" xfId="2843"/>
    <cellStyle name="Percent 10 6 2" xfId="2844"/>
    <cellStyle name="Percent 10 7" xfId="2845"/>
    <cellStyle name="Percent 10 7 2" xfId="2846"/>
    <cellStyle name="Percent 10 8" xfId="2847"/>
    <cellStyle name="Percent 10 8 2" xfId="2848"/>
    <cellStyle name="Percent 10 9" xfId="2849"/>
    <cellStyle name="Percent 11" xfId="2850"/>
    <cellStyle name="Percent 11 2" xfId="2851"/>
    <cellStyle name="Percent 11 2 2" xfId="2852"/>
    <cellStyle name="Percent 11 3" xfId="2853"/>
    <cellStyle name="Percent 11 3 2" xfId="2854"/>
    <cellStyle name="Percent 11 4" xfId="2855"/>
    <cellStyle name="Percent 11 4 2" xfId="2856"/>
    <cellStyle name="Percent 11 5" xfId="2857"/>
    <cellStyle name="Percent 11 5 2" xfId="2858"/>
    <cellStyle name="Percent 11 6" xfId="2859"/>
    <cellStyle name="Percent 11 6 2" xfId="2860"/>
    <cellStyle name="Percent 11 7" xfId="2861"/>
    <cellStyle name="Percent 11 7 2" xfId="2862"/>
    <cellStyle name="Percent 11 8" xfId="2863"/>
    <cellStyle name="Percent 11 8 2" xfId="2864"/>
    <cellStyle name="Percent 11 9" xfId="2865"/>
    <cellStyle name="Percent 12" xfId="2866"/>
    <cellStyle name="Percent 12 2" xfId="2867"/>
    <cellStyle name="Percent 12 2 2" xfId="2868"/>
    <cellStyle name="Percent 12 3" xfId="2869"/>
    <cellStyle name="Percent 12 3 2" xfId="2870"/>
    <cellStyle name="Percent 12 4" xfId="2871"/>
    <cellStyle name="Percent 12 4 2" xfId="2872"/>
    <cellStyle name="Percent 12 5" xfId="2873"/>
    <cellStyle name="Percent 12 5 2" xfId="2874"/>
    <cellStyle name="Percent 12 6" xfId="2875"/>
    <cellStyle name="Percent 12 6 2" xfId="2876"/>
    <cellStyle name="Percent 12 7" xfId="2877"/>
    <cellStyle name="Percent 12 7 2" xfId="2878"/>
    <cellStyle name="Percent 12 8" xfId="2879"/>
    <cellStyle name="Percent 12 8 2" xfId="2880"/>
    <cellStyle name="Percent 12 9" xfId="2881"/>
    <cellStyle name="Percent 13" xfId="2882"/>
    <cellStyle name="Percent 13 2" xfId="2883"/>
    <cellStyle name="Percent 13 2 2" xfId="2884"/>
    <cellStyle name="Percent 13 3" xfId="2885"/>
    <cellStyle name="Percent 13 3 2" xfId="2886"/>
    <cellStyle name="Percent 13 4" xfId="2887"/>
    <cellStyle name="Percent 13 4 2" xfId="2888"/>
    <cellStyle name="Percent 13 5" xfId="2889"/>
    <cellStyle name="Percent 13 5 2" xfId="2890"/>
    <cellStyle name="Percent 13 6" xfId="2891"/>
    <cellStyle name="Percent 13 6 2" xfId="2892"/>
    <cellStyle name="Percent 13 7" xfId="2893"/>
    <cellStyle name="Percent 13 7 2" xfId="2894"/>
    <cellStyle name="Percent 13 8" xfId="2895"/>
    <cellStyle name="Percent 13 8 2" xfId="2896"/>
    <cellStyle name="Percent 13 9" xfId="2897"/>
    <cellStyle name="Percent 14" xfId="2898"/>
    <cellStyle name="Percent 14 2" xfId="2899"/>
    <cellStyle name="Percent 14 2 2" xfId="2900"/>
    <cellStyle name="Percent 14 3" xfId="2901"/>
    <cellStyle name="Percent 14 3 2" xfId="2902"/>
    <cellStyle name="Percent 14 4" xfId="2903"/>
    <cellStyle name="Percent 14 4 2" xfId="2904"/>
    <cellStyle name="Percent 14 5" xfId="2905"/>
    <cellStyle name="Percent 14 5 2" xfId="2906"/>
    <cellStyle name="Percent 14 6" xfId="2907"/>
    <cellStyle name="Percent 14 6 2" xfId="2908"/>
    <cellStyle name="Percent 14 7" xfId="2909"/>
    <cellStyle name="Percent 14 7 2" xfId="2910"/>
    <cellStyle name="Percent 14 8" xfId="2911"/>
    <cellStyle name="Percent 14 8 2" xfId="2912"/>
    <cellStyle name="Percent 14 9" xfId="2913"/>
    <cellStyle name="Percent 15" xfId="2914"/>
    <cellStyle name="Percent 15 10" xfId="2915"/>
    <cellStyle name="Percent 15 10 2" xfId="2916"/>
    <cellStyle name="Percent 15 11" xfId="2917"/>
    <cellStyle name="Percent 15 11 2" xfId="2918"/>
    <cellStyle name="Percent 15 12" xfId="2919"/>
    <cellStyle name="Percent 15 12 2" xfId="2920"/>
    <cellStyle name="Percent 15 13" xfId="2921"/>
    <cellStyle name="Percent 15 13 2" xfId="2922"/>
    <cellStyle name="Percent 15 14" xfId="2923"/>
    <cellStyle name="Percent 15 14 2" xfId="2924"/>
    <cellStyle name="Percent 15 2" xfId="2925"/>
    <cellStyle name="Percent 15 2 2" xfId="2926"/>
    <cellStyle name="Percent 15 2 3" xfId="2927"/>
    <cellStyle name="Percent 15 2 4" xfId="2928"/>
    <cellStyle name="Percent 15 2 5" xfId="2929"/>
    <cellStyle name="Percent 15 2 6" xfId="2930"/>
    <cellStyle name="Percent 15 2 7" xfId="2931"/>
    <cellStyle name="Percent 15 2 8" xfId="2932"/>
    <cellStyle name="Percent 15 3" xfId="2933"/>
    <cellStyle name="Percent 15 4" xfId="2934"/>
    <cellStyle name="Percent 15 4 2" xfId="2935"/>
    <cellStyle name="Percent 15 5" xfId="2936"/>
    <cellStyle name="Percent 15 6" xfId="2937"/>
    <cellStyle name="Percent 15 7" xfId="2938"/>
    <cellStyle name="Percent 15 8" xfId="2939"/>
    <cellStyle name="Percent 15 9" xfId="2940"/>
    <cellStyle name="Percent 15 9 2" xfId="2941"/>
    <cellStyle name="Percent 16 2" xfId="2942"/>
    <cellStyle name="Percent 16 3" xfId="2943"/>
    <cellStyle name="Percent 16 3 10" xfId="2944"/>
    <cellStyle name="Percent 16 3 10 2" xfId="2945"/>
    <cellStyle name="Percent 16 3 11" xfId="2946"/>
    <cellStyle name="Percent 16 3 11 2" xfId="2947"/>
    <cellStyle name="Percent 16 3 12" xfId="2948"/>
    <cellStyle name="Percent 16 3 12 2" xfId="2949"/>
    <cellStyle name="Percent 16 3 13" xfId="2950"/>
    <cellStyle name="Percent 16 3 13 2" xfId="2951"/>
    <cellStyle name="Percent 16 3 14" xfId="2952"/>
    <cellStyle name="Percent 16 3 14 2" xfId="2953"/>
    <cellStyle name="Percent 16 3 15" xfId="2954"/>
    <cellStyle name="Percent 16 3 15 2" xfId="2955"/>
    <cellStyle name="Percent 16 3 16" xfId="2956"/>
    <cellStyle name="Percent 16 3 16 2" xfId="2957"/>
    <cellStyle name="Percent 16 3 17" xfId="2958"/>
    <cellStyle name="Percent 16 3 17 2" xfId="2959"/>
    <cellStyle name="Percent 16 3 18" xfId="2960"/>
    <cellStyle name="Percent 16 3 2" xfId="2961"/>
    <cellStyle name="Percent 16 3 2 2" xfId="2962"/>
    <cellStyle name="Percent 16 3 3" xfId="2963"/>
    <cellStyle name="Percent 16 3 3 2" xfId="2964"/>
    <cellStyle name="Percent 16 3 4" xfId="2965"/>
    <cellStyle name="Percent 16 3 4 2" xfId="2966"/>
    <cellStyle name="Percent 16 3 5" xfId="2967"/>
    <cellStyle name="Percent 16 3 5 2" xfId="2968"/>
    <cellStyle name="Percent 16 3 6" xfId="2969"/>
    <cellStyle name="Percent 16 3 6 2" xfId="2970"/>
    <cellStyle name="Percent 16 3 7" xfId="2971"/>
    <cellStyle name="Percent 16 3 7 2" xfId="2972"/>
    <cellStyle name="Percent 16 3 8" xfId="2973"/>
    <cellStyle name="Percent 16 3 8 2" xfId="2974"/>
    <cellStyle name="Percent 16 3 9" xfId="2975"/>
    <cellStyle name="Percent 16 3 9 2" xfId="2976"/>
    <cellStyle name="Percent 16 4" xfId="2977"/>
    <cellStyle name="Percent 16 4 10" xfId="2978"/>
    <cellStyle name="Percent 16 4 10 2" xfId="2979"/>
    <cellStyle name="Percent 16 4 11" xfId="2980"/>
    <cellStyle name="Percent 16 4 11 2" xfId="2981"/>
    <cellStyle name="Percent 16 4 12" xfId="2982"/>
    <cellStyle name="Percent 16 4 12 2" xfId="2983"/>
    <cellStyle name="Percent 16 4 13" xfId="2984"/>
    <cellStyle name="Percent 16 4 13 2" xfId="2985"/>
    <cellStyle name="Percent 16 4 14" xfId="2986"/>
    <cellStyle name="Percent 16 4 14 2" xfId="2987"/>
    <cellStyle name="Percent 16 4 15" xfId="2988"/>
    <cellStyle name="Percent 16 4 15 2" xfId="2989"/>
    <cellStyle name="Percent 16 4 16" xfId="2990"/>
    <cellStyle name="Percent 16 4 16 2" xfId="2991"/>
    <cellStyle name="Percent 16 4 17" xfId="2992"/>
    <cellStyle name="Percent 16 4 17 2" xfId="2993"/>
    <cellStyle name="Percent 16 4 18" xfId="2994"/>
    <cellStyle name="Percent 16 4 2" xfId="2995"/>
    <cellStyle name="Percent 16 4 2 2" xfId="2996"/>
    <cellStyle name="Percent 16 4 3" xfId="2997"/>
    <cellStyle name="Percent 16 4 3 2" xfId="2998"/>
    <cellStyle name="Percent 16 4 4" xfId="2999"/>
    <cellStyle name="Percent 16 4 4 2" xfId="3000"/>
    <cellStyle name="Percent 16 4 5" xfId="3001"/>
    <cellStyle name="Percent 16 4 5 2" xfId="3002"/>
    <cellStyle name="Percent 16 4 6" xfId="3003"/>
    <cellStyle name="Percent 16 4 6 2" xfId="3004"/>
    <cellStyle name="Percent 16 4 7" xfId="3005"/>
    <cellStyle name="Percent 16 4 7 2" xfId="3006"/>
    <cellStyle name="Percent 16 4 8" xfId="3007"/>
    <cellStyle name="Percent 16 4 8 2" xfId="3008"/>
    <cellStyle name="Percent 16 4 9" xfId="3009"/>
    <cellStyle name="Percent 16 4 9 2" xfId="3010"/>
    <cellStyle name="Percent 16 5" xfId="3011"/>
    <cellStyle name="Percent 16 5 10" xfId="3012"/>
    <cellStyle name="Percent 16 5 10 2" xfId="3013"/>
    <cellStyle name="Percent 16 5 11" xfId="3014"/>
    <cellStyle name="Percent 16 5 11 2" xfId="3015"/>
    <cellStyle name="Percent 16 5 12" xfId="3016"/>
    <cellStyle name="Percent 16 5 12 2" xfId="3017"/>
    <cellStyle name="Percent 16 5 13" xfId="3018"/>
    <cellStyle name="Percent 16 5 13 2" xfId="3019"/>
    <cellStyle name="Percent 16 5 14" xfId="3020"/>
    <cellStyle name="Percent 16 5 14 2" xfId="3021"/>
    <cellStyle name="Percent 16 5 15" xfId="3022"/>
    <cellStyle name="Percent 16 5 15 2" xfId="3023"/>
    <cellStyle name="Percent 16 5 16" xfId="3024"/>
    <cellStyle name="Percent 16 5 16 2" xfId="3025"/>
    <cellStyle name="Percent 16 5 17" xfId="3026"/>
    <cellStyle name="Percent 16 5 17 2" xfId="3027"/>
    <cellStyle name="Percent 16 5 18" xfId="3028"/>
    <cellStyle name="Percent 16 5 2" xfId="3029"/>
    <cellStyle name="Percent 16 5 2 2" xfId="3030"/>
    <cellStyle name="Percent 16 5 3" xfId="3031"/>
    <cellStyle name="Percent 16 5 3 2" xfId="3032"/>
    <cellStyle name="Percent 16 5 4" xfId="3033"/>
    <cellStyle name="Percent 16 5 4 2" xfId="3034"/>
    <cellStyle name="Percent 16 5 5" xfId="3035"/>
    <cellStyle name="Percent 16 5 5 2" xfId="3036"/>
    <cellStyle name="Percent 16 5 6" xfId="3037"/>
    <cellStyle name="Percent 16 5 6 2" xfId="3038"/>
    <cellStyle name="Percent 16 5 7" xfId="3039"/>
    <cellStyle name="Percent 16 5 7 2" xfId="3040"/>
    <cellStyle name="Percent 16 5 8" xfId="3041"/>
    <cellStyle name="Percent 16 5 8 2" xfId="3042"/>
    <cellStyle name="Percent 16 5 9" xfId="3043"/>
    <cellStyle name="Percent 16 5 9 2" xfId="3044"/>
    <cellStyle name="Percent 16 6" xfId="3045"/>
    <cellStyle name="Percent 16 6 10" xfId="3046"/>
    <cellStyle name="Percent 16 6 10 2" xfId="3047"/>
    <cellStyle name="Percent 16 6 11" xfId="3048"/>
    <cellStyle name="Percent 16 6 11 2" xfId="3049"/>
    <cellStyle name="Percent 16 6 12" xfId="3050"/>
    <cellStyle name="Percent 16 6 12 2" xfId="3051"/>
    <cellStyle name="Percent 16 6 13" xfId="3052"/>
    <cellStyle name="Percent 16 6 13 2" xfId="3053"/>
    <cellStyle name="Percent 16 6 14" xfId="3054"/>
    <cellStyle name="Percent 16 6 14 2" xfId="3055"/>
    <cellStyle name="Percent 16 6 15" xfId="3056"/>
    <cellStyle name="Percent 16 6 15 2" xfId="3057"/>
    <cellStyle name="Percent 16 6 16" xfId="3058"/>
    <cellStyle name="Percent 16 6 16 2" xfId="3059"/>
    <cellStyle name="Percent 16 6 17" xfId="3060"/>
    <cellStyle name="Percent 16 6 17 2" xfId="3061"/>
    <cellStyle name="Percent 16 6 18" xfId="3062"/>
    <cellStyle name="Percent 16 6 2" xfId="3063"/>
    <cellStyle name="Percent 16 6 2 2" xfId="3064"/>
    <cellStyle name="Percent 16 6 3" xfId="3065"/>
    <cellStyle name="Percent 16 6 3 2" xfId="3066"/>
    <cellStyle name="Percent 16 6 4" xfId="3067"/>
    <cellStyle name="Percent 16 6 4 2" xfId="3068"/>
    <cellStyle name="Percent 16 6 5" xfId="3069"/>
    <cellStyle name="Percent 16 6 5 2" xfId="3070"/>
    <cellStyle name="Percent 16 6 6" xfId="3071"/>
    <cellStyle name="Percent 16 6 6 2" xfId="3072"/>
    <cellStyle name="Percent 16 6 7" xfId="3073"/>
    <cellStyle name="Percent 16 6 7 2" xfId="3074"/>
    <cellStyle name="Percent 16 6 8" xfId="3075"/>
    <cellStyle name="Percent 16 6 8 2" xfId="3076"/>
    <cellStyle name="Percent 16 6 9" xfId="3077"/>
    <cellStyle name="Percent 16 6 9 2" xfId="3078"/>
    <cellStyle name="Percent 16 7" xfId="3079"/>
    <cellStyle name="Percent 16 7 10" xfId="3080"/>
    <cellStyle name="Percent 16 7 10 2" xfId="3081"/>
    <cellStyle name="Percent 16 7 11" xfId="3082"/>
    <cellStyle name="Percent 16 7 11 2" xfId="3083"/>
    <cellStyle name="Percent 16 7 12" xfId="3084"/>
    <cellStyle name="Percent 16 7 12 2" xfId="3085"/>
    <cellStyle name="Percent 16 7 13" xfId="3086"/>
    <cellStyle name="Percent 16 7 13 2" xfId="3087"/>
    <cellStyle name="Percent 16 7 14" xfId="3088"/>
    <cellStyle name="Percent 16 7 14 2" xfId="3089"/>
    <cellStyle name="Percent 16 7 15" xfId="3090"/>
    <cellStyle name="Percent 16 7 15 2" xfId="3091"/>
    <cellStyle name="Percent 16 7 16" xfId="3092"/>
    <cellStyle name="Percent 16 7 16 2" xfId="3093"/>
    <cellStyle name="Percent 16 7 17" xfId="3094"/>
    <cellStyle name="Percent 16 7 17 2" xfId="3095"/>
    <cellStyle name="Percent 16 7 18" xfId="3096"/>
    <cellStyle name="Percent 16 7 2" xfId="3097"/>
    <cellStyle name="Percent 16 7 2 2" xfId="3098"/>
    <cellStyle name="Percent 16 7 3" xfId="3099"/>
    <cellStyle name="Percent 16 7 3 2" xfId="3100"/>
    <cellStyle name="Percent 16 7 4" xfId="3101"/>
    <cellStyle name="Percent 16 7 4 2" xfId="3102"/>
    <cellStyle name="Percent 16 7 5" xfId="3103"/>
    <cellStyle name="Percent 16 7 5 2" xfId="3104"/>
    <cellStyle name="Percent 16 7 6" xfId="3105"/>
    <cellStyle name="Percent 16 7 6 2" xfId="3106"/>
    <cellStyle name="Percent 16 7 7" xfId="3107"/>
    <cellStyle name="Percent 16 7 7 2" xfId="3108"/>
    <cellStyle name="Percent 16 7 8" xfId="3109"/>
    <cellStyle name="Percent 16 7 8 2" xfId="3110"/>
    <cellStyle name="Percent 16 7 9" xfId="3111"/>
    <cellStyle name="Percent 16 7 9 2" xfId="3112"/>
    <cellStyle name="Percent 16 8" xfId="3113"/>
    <cellStyle name="Percent 16 8 10" xfId="3114"/>
    <cellStyle name="Percent 16 8 10 2" xfId="3115"/>
    <cellStyle name="Percent 16 8 11" xfId="3116"/>
    <cellStyle name="Percent 16 8 11 2" xfId="3117"/>
    <cellStyle name="Percent 16 8 12" xfId="3118"/>
    <cellStyle name="Percent 16 8 12 2" xfId="3119"/>
    <cellStyle name="Percent 16 8 13" xfId="3120"/>
    <cellStyle name="Percent 16 8 13 2" xfId="3121"/>
    <cellStyle name="Percent 16 8 14" xfId="3122"/>
    <cellStyle name="Percent 16 8 14 2" xfId="3123"/>
    <cellStyle name="Percent 16 8 15" xfId="3124"/>
    <cellStyle name="Percent 16 8 15 2" xfId="3125"/>
    <cellStyle name="Percent 16 8 16" xfId="3126"/>
    <cellStyle name="Percent 16 8 16 2" xfId="3127"/>
    <cellStyle name="Percent 16 8 17" xfId="3128"/>
    <cellStyle name="Percent 16 8 17 2" xfId="3129"/>
    <cellStyle name="Percent 16 8 18" xfId="3130"/>
    <cellStyle name="Percent 16 8 2" xfId="3131"/>
    <cellStyle name="Percent 16 8 2 2" xfId="3132"/>
    <cellStyle name="Percent 16 8 3" xfId="3133"/>
    <cellStyle name="Percent 16 8 3 2" xfId="3134"/>
    <cellStyle name="Percent 16 8 4" xfId="3135"/>
    <cellStyle name="Percent 16 8 4 2" xfId="3136"/>
    <cellStyle name="Percent 16 8 5" xfId="3137"/>
    <cellStyle name="Percent 16 8 5 2" xfId="3138"/>
    <cellStyle name="Percent 16 8 6" xfId="3139"/>
    <cellStyle name="Percent 16 8 6 2" xfId="3140"/>
    <cellStyle name="Percent 16 8 7" xfId="3141"/>
    <cellStyle name="Percent 16 8 7 2" xfId="3142"/>
    <cellStyle name="Percent 16 8 8" xfId="3143"/>
    <cellStyle name="Percent 16 8 8 2" xfId="3144"/>
    <cellStyle name="Percent 16 8 9" xfId="3145"/>
    <cellStyle name="Percent 16 8 9 2" xfId="3146"/>
    <cellStyle name="Percent 16 9" xfId="3147"/>
    <cellStyle name="Percent 16 9 10" xfId="3148"/>
    <cellStyle name="Percent 16 9 10 2" xfId="3149"/>
    <cellStyle name="Percent 16 9 11" xfId="3150"/>
    <cellStyle name="Percent 16 9 11 2" xfId="3151"/>
    <cellStyle name="Percent 16 9 12" xfId="3152"/>
    <cellStyle name="Percent 16 9 12 2" xfId="3153"/>
    <cellStyle name="Percent 16 9 13" xfId="3154"/>
    <cellStyle name="Percent 16 9 13 2" xfId="3155"/>
    <cellStyle name="Percent 16 9 14" xfId="3156"/>
    <cellStyle name="Percent 16 9 14 2" xfId="3157"/>
    <cellStyle name="Percent 16 9 15" xfId="3158"/>
    <cellStyle name="Percent 16 9 15 2" xfId="3159"/>
    <cellStyle name="Percent 16 9 16" xfId="3160"/>
    <cellStyle name="Percent 16 9 16 2" xfId="3161"/>
    <cellStyle name="Percent 16 9 17" xfId="3162"/>
    <cellStyle name="Percent 16 9 17 2" xfId="3163"/>
    <cellStyle name="Percent 16 9 18" xfId="3164"/>
    <cellStyle name="Percent 16 9 2" xfId="3165"/>
    <cellStyle name="Percent 16 9 2 2" xfId="3166"/>
    <cellStyle name="Percent 16 9 3" xfId="3167"/>
    <cellStyle name="Percent 16 9 3 2" xfId="3168"/>
    <cellStyle name="Percent 16 9 4" xfId="3169"/>
    <cellStyle name="Percent 16 9 4 2" xfId="3170"/>
    <cellStyle name="Percent 16 9 5" xfId="3171"/>
    <cellStyle name="Percent 16 9 5 2" xfId="3172"/>
    <cellStyle name="Percent 16 9 6" xfId="3173"/>
    <cellStyle name="Percent 16 9 6 2" xfId="3174"/>
    <cellStyle name="Percent 16 9 7" xfId="3175"/>
    <cellStyle name="Percent 16 9 7 2" xfId="3176"/>
    <cellStyle name="Percent 16 9 8" xfId="3177"/>
    <cellStyle name="Percent 16 9 8 2" xfId="3178"/>
    <cellStyle name="Percent 16 9 9" xfId="3179"/>
    <cellStyle name="Percent 16 9 9 2" xfId="3180"/>
    <cellStyle name="Percent 17" xfId="3181"/>
    <cellStyle name="Percent 17 2" xfId="3182"/>
    <cellStyle name="Percent 2" xfId="3183"/>
    <cellStyle name="Percent 2 10" xfId="3184"/>
    <cellStyle name="Percent 2 10 2" xfId="3185"/>
    <cellStyle name="Percent 2 10 2 2" xfId="3186"/>
    <cellStyle name="Percent 2 10 3" xfId="3187"/>
    <cellStyle name="Percent 2 10 3 2" xfId="3188"/>
    <cellStyle name="Percent 2 10 4" xfId="3189"/>
    <cellStyle name="Percent 2 10 4 2" xfId="3190"/>
    <cellStyle name="Percent 2 10 5" xfId="3191"/>
    <cellStyle name="Percent 2 10 5 2" xfId="3192"/>
    <cellStyle name="Percent 2 10 6" xfId="3193"/>
    <cellStyle name="Percent 2 10 6 2" xfId="3194"/>
    <cellStyle name="Percent 2 10 7" xfId="3195"/>
    <cellStyle name="Percent 2 10 7 2" xfId="3196"/>
    <cellStyle name="Percent 2 10 8" xfId="3197"/>
    <cellStyle name="Percent 2 10 8 2" xfId="3198"/>
    <cellStyle name="Percent 2 10 9" xfId="3199"/>
    <cellStyle name="Percent 2 11" xfId="3200"/>
    <cellStyle name="Percent 2 11 2" xfId="3201"/>
    <cellStyle name="Percent 2 11 2 2" xfId="3202"/>
    <cellStyle name="Percent 2 11 3" xfId="3203"/>
    <cellStyle name="Percent 2 11 3 2" xfId="3204"/>
    <cellStyle name="Percent 2 11 4" xfId="3205"/>
    <cellStyle name="Percent 2 11 4 2" xfId="3206"/>
    <cellStyle name="Percent 2 11 5" xfId="3207"/>
    <cellStyle name="Percent 2 11 5 2" xfId="3208"/>
    <cellStyle name="Percent 2 11 6" xfId="3209"/>
    <cellStyle name="Percent 2 11 6 2" xfId="3210"/>
    <cellStyle name="Percent 2 11 7" xfId="3211"/>
    <cellStyle name="Percent 2 11 7 2" xfId="3212"/>
    <cellStyle name="Percent 2 11 8" xfId="3213"/>
    <cellStyle name="Percent 2 11 8 2" xfId="3214"/>
    <cellStyle name="Percent 2 11 9" xfId="3215"/>
    <cellStyle name="Percent 2 12" xfId="3216"/>
    <cellStyle name="Percent 2 12 2" xfId="3217"/>
    <cellStyle name="Percent 2 13" xfId="3218"/>
    <cellStyle name="Percent 2 13 2" xfId="3219"/>
    <cellStyle name="Percent 2 14" xfId="3220"/>
    <cellStyle name="Percent 2 14 2" xfId="3221"/>
    <cellStyle name="Percent 2 15" xfId="3222"/>
    <cellStyle name="Percent 2 15 2" xfId="3223"/>
    <cellStyle name="Percent 2 16" xfId="3224"/>
    <cellStyle name="Percent 2 16 2" xfId="3225"/>
    <cellStyle name="Percent 2 17" xfId="3226"/>
    <cellStyle name="Percent 2 17 2" xfId="3227"/>
    <cellStyle name="Percent 2 18" xfId="3228"/>
    <cellStyle name="Percent 2 18 2" xfId="3229"/>
    <cellStyle name="Percent 2 19" xfId="3230"/>
    <cellStyle name="Percent 2 2" xfId="3231"/>
    <cellStyle name="Percent 2 2 10" xfId="3232"/>
    <cellStyle name="Percent 2 2 2" xfId="3233"/>
    <cellStyle name="Percent 2 2 2 2" xfId="3234"/>
    <cellStyle name="Percent 2 2 2 3" xfId="3235"/>
    <cellStyle name="Percent 2 2 3" xfId="3236"/>
    <cellStyle name="Percent 2 2 3 2" xfId="3237"/>
    <cellStyle name="Percent 2 2 3 2 2" xfId="3238"/>
    <cellStyle name="Percent 2 2 3 3" xfId="3239"/>
    <cellStyle name="Percent 2 2 4" xfId="3240"/>
    <cellStyle name="Percent 2 2 4 2" xfId="3241"/>
    <cellStyle name="Percent 2 2 5" xfId="3242"/>
    <cellStyle name="Percent 2 2 5 2" xfId="3243"/>
    <cellStyle name="Percent 2 2 6" xfId="3244"/>
    <cellStyle name="Percent 2 2 6 2" xfId="3245"/>
    <cellStyle name="Percent 2 2 7" xfId="3246"/>
    <cellStyle name="Percent 2 2 7 2" xfId="3247"/>
    <cellStyle name="Percent 2 2 8" xfId="3248"/>
    <cellStyle name="Percent 2 2 8 2" xfId="3249"/>
    <cellStyle name="Percent 2 2 9" xfId="3250"/>
    <cellStyle name="Percent 2 20" xfId="3251"/>
    <cellStyle name="Percent 2 3" xfId="3252"/>
    <cellStyle name="Percent 2 3 10" xfId="3253"/>
    <cellStyle name="Percent 2 3 2" xfId="3254"/>
    <cellStyle name="Percent 2 3 2 2" xfId="3255"/>
    <cellStyle name="Percent 2 3 2 3" xfId="3256"/>
    <cellStyle name="Percent 2 3 3" xfId="3257"/>
    <cellStyle name="Percent 2 3 3 2" xfId="3258"/>
    <cellStyle name="Percent 2 3 3 2 2" xfId="3259"/>
    <cellStyle name="Percent 2 3 3 3" xfId="3260"/>
    <cellStyle name="Percent 2 3 4" xfId="3261"/>
    <cellStyle name="Percent 2 3 4 2" xfId="3262"/>
    <cellStyle name="Percent 2 3 5" xfId="3263"/>
    <cellStyle name="Percent 2 3 5 2" xfId="3264"/>
    <cellStyle name="Percent 2 3 6" xfId="3265"/>
    <cellStyle name="Percent 2 3 6 2" xfId="3266"/>
    <cellStyle name="Percent 2 3 7" xfId="3267"/>
    <cellStyle name="Percent 2 3 7 2" xfId="3268"/>
    <cellStyle name="Percent 2 3 8" xfId="3269"/>
    <cellStyle name="Percent 2 3 8 2" xfId="3270"/>
    <cellStyle name="Percent 2 3 9" xfId="3271"/>
    <cellStyle name="Percent 2 4" xfId="3272"/>
    <cellStyle name="Percent 2 4 10" xfId="3273"/>
    <cellStyle name="Percent 2 4 2" xfId="3274"/>
    <cellStyle name="Percent 2 4 2 2" xfId="3275"/>
    <cellStyle name="Percent 2 4 3" xfId="3276"/>
    <cellStyle name="Percent 2 4 3 2" xfId="3277"/>
    <cellStyle name="Percent 2 4 4" xfId="3278"/>
    <cellStyle name="Percent 2 4 4 2" xfId="3279"/>
    <cellStyle name="Percent 2 4 5" xfId="3280"/>
    <cellStyle name="Percent 2 4 5 2" xfId="3281"/>
    <cellStyle name="Percent 2 4 6" xfId="3282"/>
    <cellStyle name="Percent 2 4 6 2" xfId="3283"/>
    <cellStyle name="Percent 2 4 7" xfId="3284"/>
    <cellStyle name="Percent 2 4 7 2" xfId="3285"/>
    <cellStyle name="Percent 2 4 8" xfId="3286"/>
    <cellStyle name="Percent 2 4 8 2" xfId="3287"/>
    <cellStyle name="Percent 2 4 9" xfId="3288"/>
    <cellStyle name="Percent 2 5" xfId="3289"/>
    <cellStyle name="Percent 2 5 2" xfId="3290"/>
    <cellStyle name="Percent 2 5 2 2" xfId="3291"/>
    <cellStyle name="Percent 2 5 3" xfId="3292"/>
    <cellStyle name="Percent 2 5 3 2" xfId="3293"/>
    <cellStyle name="Percent 2 5 4" xfId="3294"/>
    <cellStyle name="Percent 2 5 4 2" xfId="3295"/>
    <cellStyle name="Percent 2 5 5" xfId="3296"/>
    <cellStyle name="Percent 2 5 5 2" xfId="3297"/>
    <cellStyle name="Percent 2 5 6" xfId="3298"/>
    <cellStyle name="Percent 2 5 6 2" xfId="3299"/>
    <cellStyle name="Percent 2 5 7" xfId="3300"/>
    <cellStyle name="Percent 2 5 7 2" xfId="3301"/>
    <cellStyle name="Percent 2 5 8" xfId="3302"/>
    <cellStyle name="Percent 2 5 8 2" xfId="3303"/>
    <cellStyle name="Percent 2 5 9" xfId="3304"/>
    <cellStyle name="Percent 2 6" xfId="3305"/>
    <cellStyle name="Percent 2 6 2" xfId="3306"/>
    <cellStyle name="Percent 2 6 2 2" xfId="3307"/>
    <cellStyle name="Percent 2 6 3" xfId="3308"/>
    <cellStyle name="Percent 2 6 3 2" xfId="3309"/>
    <cellStyle name="Percent 2 6 4" xfId="3310"/>
    <cellStyle name="Percent 2 6 4 2" xfId="3311"/>
    <cellStyle name="Percent 2 6 5" xfId="3312"/>
    <cellStyle name="Percent 2 6 5 2" xfId="3313"/>
    <cellStyle name="Percent 2 6 6" xfId="3314"/>
    <cellStyle name="Percent 2 6 6 2" xfId="3315"/>
    <cellStyle name="Percent 2 6 7" xfId="3316"/>
    <cellStyle name="Percent 2 6 7 2" xfId="3317"/>
    <cellStyle name="Percent 2 6 8" xfId="3318"/>
    <cellStyle name="Percent 2 6 8 2" xfId="3319"/>
    <cellStyle name="Percent 2 6 9" xfId="3320"/>
    <cellStyle name="Percent 2 7" xfId="3321"/>
    <cellStyle name="Percent 2 7 2" xfId="3322"/>
    <cellStyle name="Percent 2 7 2 2" xfId="3323"/>
    <cellStyle name="Percent 2 7 3" xfId="3324"/>
    <cellStyle name="Percent 2 7 3 2" xfId="3325"/>
    <cellStyle name="Percent 2 7 4" xfId="3326"/>
    <cellStyle name="Percent 2 7 4 2" xfId="3327"/>
    <cellStyle name="Percent 2 7 5" xfId="3328"/>
    <cellStyle name="Percent 2 7 5 2" xfId="3329"/>
    <cellStyle name="Percent 2 7 6" xfId="3330"/>
    <cellStyle name="Percent 2 7 6 2" xfId="3331"/>
    <cellStyle name="Percent 2 7 7" xfId="3332"/>
    <cellStyle name="Percent 2 7 7 2" xfId="3333"/>
    <cellStyle name="Percent 2 7 8" xfId="3334"/>
    <cellStyle name="Percent 2 7 8 2" xfId="3335"/>
    <cellStyle name="Percent 2 7 9" xfId="3336"/>
    <cellStyle name="Percent 2 8" xfId="3337"/>
    <cellStyle name="Percent 2 8 2" xfId="3338"/>
    <cellStyle name="Percent 2 8 2 2" xfId="3339"/>
    <cellStyle name="Percent 2 8 3" xfId="3340"/>
    <cellStyle name="Percent 2 8 3 2" xfId="3341"/>
    <cellStyle name="Percent 2 8 4" xfId="3342"/>
    <cellStyle name="Percent 2 8 4 2" xfId="3343"/>
    <cellStyle name="Percent 2 8 5" xfId="3344"/>
    <cellStyle name="Percent 2 8 5 2" xfId="3345"/>
    <cellStyle name="Percent 2 8 6" xfId="3346"/>
    <cellStyle name="Percent 2 8 6 2" xfId="3347"/>
    <cellStyle name="Percent 2 8 7" xfId="3348"/>
    <cellStyle name="Percent 2 8 7 2" xfId="3349"/>
    <cellStyle name="Percent 2 8 8" xfId="3350"/>
    <cellStyle name="Percent 2 8 8 2" xfId="3351"/>
    <cellStyle name="Percent 2 8 9" xfId="3352"/>
    <cellStyle name="Percent 2 9" xfId="3353"/>
    <cellStyle name="Percent 2 9 2" xfId="3354"/>
    <cellStyle name="Percent 2 9 2 2" xfId="3355"/>
    <cellStyle name="Percent 2 9 3" xfId="3356"/>
    <cellStyle name="Percent 2 9 3 2" xfId="3357"/>
    <cellStyle name="Percent 2 9 4" xfId="3358"/>
    <cellStyle name="Percent 2 9 4 2" xfId="3359"/>
    <cellStyle name="Percent 2 9 5" xfId="3360"/>
    <cellStyle name="Percent 2 9 5 2" xfId="3361"/>
    <cellStyle name="Percent 2 9 6" xfId="3362"/>
    <cellStyle name="Percent 2 9 6 2" xfId="3363"/>
    <cellStyle name="Percent 2 9 7" xfId="3364"/>
    <cellStyle name="Percent 2 9 7 2" xfId="3365"/>
    <cellStyle name="Percent 2 9 8" xfId="3366"/>
    <cellStyle name="Percent 2 9 8 2" xfId="3367"/>
    <cellStyle name="Percent 2 9 9" xfId="3368"/>
    <cellStyle name="Percent 3" xfId="3369"/>
    <cellStyle name="Percent 3 10" xfId="3370"/>
    <cellStyle name="Percent 3 11" xfId="3371"/>
    <cellStyle name="Percent 3 12" xfId="3372"/>
    <cellStyle name="Percent 3 13" xfId="3373"/>
    <cellStyle name="Percent 3 2" xfId="3374"/>
    <cellStyle name="Percent 3 2 2" xfId="3375"/>
    <cellStyle name="Percent 3 2 2 2" xfId="3376"/>
    <cellStyle name="Percent 3 2 3" xfId="3377"/>
    <cellStyle name="Percent 3 2 4" xfId="3378"/>
    <cellStyle name="Percent 3 3" xfId="3379"/>
    <cellStyle name="Percent 3 3 2" xfId="3380"/>
    <cellStyle name="Percent 3 3 2 2" xfId="3381"/>
    <cellStyle name="Percent 3 3 3" xfId="3382"/>
    <cellStyle name="Percent 3 3 3 2" xfId="3383"/>
    <cellStyle name="Percent 3 3 4" xfId="3384"/>
    <cellStyle name="Percent 3 4" xfId="3385"/>
    <cellStyle name="Percent 3 4 2" xfId="3386"/>
    <cellStyle name="Percent 3 4 2 2" xfId="3387"/>
    <cellStyle name="Percent 3 4 3" xfId="3388"/>
    <cellStyle name="Percent 3 5" xfId="3389"/>
    <cellStyle name="Percent 3 5 2" xfId="3390"/>
    <cellStyle name="Percent 3 5 3" xfId="3391"/>
    <cellStyle name="Percent 3 6" xfId="3392"/>
    <cellStyle name="Percent 3 6 2" xfId="3393"/>
    <cellStyle name="Percent 3 7" xfId="3394"/>
    <cellStyle name="Percent 3 7 2" xfId="3395"/>
    <cellStyle name="Percent 3 8" xfId="3396"/>
    <cellStyle name="Percent 3 8 2" xfId="3397"/>
    <cellStyle name="Percent 3 9" xfId="3398"/>
    <cellStyle name="Percent 3 9 2" xfId="3399"/>
    <cellStyle name="Percent 3 9 3" xfId="3400"/>
    <cellStyle name="Percent 3 9 4" xfId="3401"/>
    <cellStyle name="Percent 4" xfId="3402"/>
    <cellStyle name="Percent 4 10" xfId="3403"/>
    <cellStyle name="Percent 4 10 2" xfId="3404"/>
    <cellStyle name="Percent 4 11" xfId="3405"/>
    <cellStyle name="Percent 4 11 2" xfId="3406"/>
    <cellStyle name="Percent 4 12" xfId="3407"/>
    <cellStyle name="Percent 4 12 2" xfId="3408"/>
    <cellStyle name="Percent 4 13" xfId="3409"/>
    <cellStyle name="Percent 4 13 2" xfId="3410"/>
    <cellStyle name="Percent 4 14" xfId="3411"/>
    <cellStyle name="Percent 4 15" xfId="3412"/>
    <cellStyle name="Percent 4 2" xfId="3413"/>
    <cellStyle name="Percent 4 2 10" xfId="3414"/>
    <cellStyle name="Percent 4 2 2" xfId="3415"/>
    <cellStyle name="Percent 4 2 2 2" xfId="3416"/>
    <cellStyle name="Percent 4 2 2 3" xfId="3417"/>
    <cellStyle name="Percent 4 2 3" xfId="3418"/>
    <cellStyle name="Percent 4 2 3 2" xfId="3419"/>
    <cellStyle name="Percent 4 2 4" xfId="3420"/>
    <cellStyle name="Percent 4 2 4 2" xfId="3421"/>
    <cellStyle name="Percent 4 2 5" xfId="3422"/>
    <cellStyle name="Percent 4 2 5 2" xfId="3423"/>
    <cellStyle name="Percent 4 2 6" xfId="3424"/>
    <cellStyle name="Percent 4 2 6 2" xfId="3425"/>
    <cellStyle name="Percent 4 2 7" xfId="3426"/>
    <cellStyle name="Percent 4 2 7 2" xfId="3427"/>
    <cellStyle name="Percent 4 2 8" xfId="3428"/>
    <cellStyle name="Percent 4 2 8 2" xfId="3429"/>
    <cellStyle name="Percent 4 2 9" xfId="3430"/>
    <cellStyle name="Percent 4 3" xfId="3431"/>
    <cellStyle name="Percent 4 3 10" xfId="3432"/>
    <cellStyle name="Percent 4 3 2" xfId="3433"/>
    <cellStyle name="Percent 4 3 2 2" xfId="3434"/>
    <cellStyle name="Percent 4 3 3" xfId="3435"/>
    <cellStyle name="Percent 4 3 3 2" xfId="3436"/>
    <cellStyle name="Percent 4 3 4" xfId="3437"/>
    <cellStyle name="Percent 4 3 4 2" xfId="3438"/>
    <cellStyle name="Percent 4 3 5" xfId="3439"/>
    <cellStyle name="Percent 4 3 5 2" xfId="3440"/>
    <cellStyle name="Percent 4 3 6" xfId="3441"/>
    <cellStyle name="Percent 4 3 6 2" xfId="3442"/>
    <cellStyle name="Percent 4 3 7" xfId="3443"/>
    <cellStyle name="Percent 4 3 7 2" xfId="3444"/>
    <cellStyle name="Percent 4 3 8" xfId="3445"/>
    <cellStyle name="Percent 4 3 8 2" xfId="3446"/>
    <cellStyle name="Percent 4 3 9" xfId="3447"/>
    <cellStyle name="Percent 4 4" xfId="3448"/>
    <cellStyle name="Percent 4 4 10" xfId="3449"/>
    <cellStyle name="Percent 4 4 2" xfId="3450"/>
    <cellStyle name="Percent 4 4 2 2" xfId="3451"/>
    <cellStyle name="Percent 4 4 3" xfId="3452"/>
    <cellStyle name="Percent 4 4 3 2" xfId="3453"/>
    <cellStyle name="Percent 4 4 4" xfId="3454"/>
    <cellStyle name="Percent 4 4 4 2" xfId="3455"/>
    <cellStyle name="Percent 4 4 5" xfId="3456"/>
    <cellStyle name="Percent 4 4 5 2" xfId="3457"/>
    <cellStyle name="Percent 4 4 6" xfId="3458"/>
    <cellStyle name="Percent 4 4 6 2" xfId="3459"/>
    <cellStyle name="Percent 4 4 7" xfId="3460"/>
    <cellStyle name="Percent 4 4 7 2" xfId="3461"/>
    <cellStyle name="Percent 4 4 8" xfId="3462"/>
    <cellStyle name="Percent 4 4 8 2" xfId="3463"/>
    <cellStyle name="Percent 4 4 9" xfId="3464"/>
    <cellStyle name="Percent 4 5" xfId="3465"/>
    <cellStyle name="Percent 4 5 2" xfId="3466"/>
    <cellStyle name="Percent 4 5 2 2" xfId="3467"/>
    <cellStyle name="Percent 4 5 3" xfId="3468"/>
    <cellStyle name="Percent 4 5 3 2" xfId="3469"/>
    <cellStyle name="Percent 4 5 4" xfId="3470"/>
    <cellStyle name="Percent 4 5 4 2" xfId="3471"/>
    <cellStyle name="Percent 4 5 5" xfId="3472"/>
    <cellStyle name="Percent 4 5 5 2" xfId="3473"/>
    <cellStyle name="Percent 4 5 6" xfId="3474"/>
    <cellStyle name="Percent 4 5 6 2" xfId="3475"/>
    <cellStyle name="Percent 4 5 7" xfId="3476"/>
    <cellStyle name="Percent 4 5 7 2" xfId="3477"/>
    <cellStyle name="Percent 4 5 8" xfId="3478"/>
    <cellStyle name="Percent 4 5 8 2" xfId="3479"/>
    <cellStyle name="Percent 4 5 9" xfId="3480"/>
    <cellStyle name="Percent 4 6" xfId="3481"/>
    <cellStyle name="Percent 4 6 2" xfId="3482"/>
    <cellStyle name="Percent 4 6 2 2" xfId="3483"/>
    <cellStyle name="Percent 4 6 3" xfId="3484"/>
    <cellStyle name="Percent 4 6 3 2" xfId="3485"/>
    <cellStyle name="Percent 4 6 4" xfId="3486"/>
    <cellStyle name="Percent 4 6 4 2" xfId="3487"/>
    <cellStyle name="Percent 4 6 5" xfId="3488"/>
    <cellStyle name="Percent 4 6 5 2" xfId="3489"/>
    <cellStyle name="Percent 4 6 6" xfId="3490"/>
    <cellStyle name="Percent 4 6 6 2" xfId="3491"/>
    <cellStyle name="Percent 4 6 7" xfId="3492"/>
    <cellStyle name="Percent 4 6 7 2" xfId="3493"/>
    <cellStyle name="Percent 4 6 8" xfId="3494"/>
    <cellStyle name="Percent 4 6 8 2" xfId="3495"/>
    <cellStyle name="Percent 4 6 9" xfId="3496"/>
    <cellStyle name="Percent 4 7" xfId="3497"/>
    <cellStyle name="Percent 4 7 2" xfId="3498"/>
    <cellStyle name="Percent 4 8" xfId="3499"/>
    <cellStyle name="Percent 4 8 2" xfId="3500"/>
    <cellStyle name="Percent 4 9" xfId="3501"/>
    <cellStyle name="Percent 4 9 2" xfId="3502"/>
    <cellStyle name="Percent 5" xfId="3503"/>
    <cellStyle name="Percent 5 10" xfId="3504"/>
    <cellStyle name="Percent 5 2" xfId="3505"/>
    <cellStyle name="Percent 5 2 2" xfId="3506"/>
    <cellStyle name="Percent 5 2 3" xfId="3507"/>
    <cellStyle name="Percent 5 3" xfId="3508"/>
    <cellStyle name="Percent 5 3 2" xfId="3509"/>
    <cellStyle name="Percent 5 4" xfId="3510"/>
    <cellStyle name="Percent 5 4 2" xfId="3511"/>
    <cellStyle name="Percent 5 5" xfId="3512"/>
    <cellStyle name="Percent 5 5 2" xfId="3513"/>
    <cellStyle name="Percent 5 6" xfId="3514"/>
    <cellStyle name="Percent 5 6 2" xfId="3515"/>
    <cellStyle name="Percent 5 7" xfId="3516"/>
    <cellStyle name="Percent 5 7 2" xfId="3517"/>
    <cellStyle name="Percent 5 8" xfId="3518"/>
    <cellStyle name="Percent 5 8 2" xfId="3519"/>
    <cellStyle name="Percent 5 9" xfId="3520"/>
    <cellStyle name="Percent 6" xfId="3521"/>
    <cellStyle name="Percent 6 10" xfId="3522"/>
    <cellStyle name="Percent 6 2" xfId="3523"/>
    <cellStyle name="Percent 6 2 2" xfId="3524"/>
    <cellStyle name="Percent 6 3" xfId="3525"/>
    <cellStyle name="Percent 6 3 2" xfId="3526"/>
    <cellStyle name="Percent 6 4" xfId="3527"/>
    <cellStyle name="Percent 6 4 2" xfId="3528"/>
    <cellStyle name="Percent 6 5" xfId="3529"/>
    <cellStyle name="Percent 6 5 2" xfId="3530"/>
    <cellStyle name="Percent 6 6" xfId="3531"/>
    <cellStyle name="Percent 6 6 2" xfId="3532"/>
    <cellStyle name="Percent 6 7" xfId="3533"/>
    <cellStyle name="Percent 6 7 2" xfId="3534"/>
    <cellStyle name="Percent 6 8" xfId="3535"/>
    <cellStyle name="Percent 6 8 2" xfId="3536"/>
    <cellStyle name="Percent 6 9" xfId="3537"/>
    <cellStyle name="Percent 7" xfId="3538"/>
    <cellStyle name="Percent 7 2" xfId="3539"/>
    <cellStyle name="Percent 7 2 2" xfId="3540"/>
    <cellStyle name="Percent 7 3" xfId="3541"/>
    <cellStyle name="Percent 7 3 2" xfId="3542"/>
    <cellStyle name="Percent 7 4" xfId="3543"/>
    <cellStyle name="Percent 7 4 2" xfId="3544"/>
    <cellStyle name="Percent 7 5" xfId="3545"/>
    <cellStyle name="Percent 7 5 2" xfId="3546"/>
    <cellStyle name="Percent 7 6" xfId="3547"/>
    <cellStyle name="Percent 7 6 2" xfId="3548"/>
    <cellStyle name="Percent 7 7" xfId="3549"/>
    <cellStyle name="Percent 7 7 2" xfId="3550"/>
    <cellStyle name="Percent 7 8" xfId="3551"/>
    <cellStyle name="Percent 7 8 2" xfId="3552"/>
    <cellStyle name="Percent 7 9" xfId="3553"/>
    <cellStyle name="Percent 8" xfId="3554"/>
    <cellStyle name="Percent 8 2" xfId="3555"/>
    <cellStyle name="Percent 8 2 2" xfId="3556"/>
    <cellStyle name="Percent 8 3" xfId="3557"/>
    <cellStyle name="Percent 8 3 2" xfId="3558"/>
    <cellStyle name="Percent 8 4" xfId="3559"/>
    <cellStyle name="Percent 8 4 2" xfId="3560"/>
    <cellStyle name="Percent 8 5" xfId="3561"/>
    <cellStyle name="Percent 8 5 2" xfId="3562"/>
    <cellStyle name="Percent 8 6" xfId="3563"/>
    <cellStyle name="Percent 8 6 2" xfId="3564"/>
    <cellStyle name="Percent 8 7" xfId="3565"/>
    <cellStyle name="Percent 8 7 2" xfId="3566"/>
    <cellStyle name="Percent 8 8" xfId="3567"/>
    <cellStyle name="Percent 8 8 2" xfId="3568"/>
    <cellStyle name="Percent 8 9" xfId="3569"/>
    <cellStyle name="Percent 9" xfId="3570"/>
    <cellStyle name="Percent 9 2" xfId="3571"/>
    <cellStyle name="Percent 9 2 2" xfId="3572"/>
    <cellStyle name="Percent 9 3" xfId="3573"/>
    <cellStyle name="Percent 9 3 2" xfId="3574"/>
    <cellStyle name="Percent 9 4" xfId="3575"/>
    <cellStyle name="Percent 9 4 2" xfId="3576"/>
    <cellStyle name="Percent 9 5" xfId="3577"/>
    <cellStyle name="Percent 9 5 2" xfId="3578"/>
    <cellStyle name="Percent 9 6" xfId="3579"/>
    <cellStyle name="Percent 9 6 2" xfId="3580"/>
    <cellStyle name="Percent 9 7" xfId="3581"/>
    <cellStyle name="Percent 9 7 2" xfId="3582"/>
    <cellStyle name="Percent 9 8" xfId="3583"/>
    <cellStyle name="Percent 9 8 2" xfId="3584"/>
    <cellStyle name="Percent 9 9" xfId="3585"/>
    <cellStyle name="Pilkku_Layo9704" xfId="3586"/>
    <cellStyle name="Pyör. luku_Layo9704" xfId="3587"/>
    <cellStyle name="Pyör. valuutta_Layo9704" xfId="3588"/>
    <cellStyle name="source" xfId="3589"/>
    <cellStyle name="Standard_Sce_D_Extraction" xfId="3590"/>
    <cellStyle name="Style 21" xfId="3591"/>
    <cellStyle name="Style 21 2" xfId="3592"/>
    <cellStyle name="Style 22" xfId="3593"/>
    <cellStyle name="Style 23" xfId="3594"/>
    <cellStyle name="Style 24" xfId="3595"/>
    <cellStyle name="Style 25" xfId="3596"/>
    <cellStyle name="Style 25 2" xfId="3597"/>
    <cellStyle name="Style 26" xfId="3598"/>
    <cellStyle name="Style 29" xfId="3599"/>
    <cellStyle name="Style 29 2" xfId="3600"/>
    <cellStyle name="Style 29 2 2" xfId="3601"/>
    <cellStyle name="Style 29 3" xfId="3602"/>
    <cellStyle name="Style 35" xfId="3603"/>
    <cellStyle name="Style 35 2" xfId="3604"/>
    <cellStyle name="Style 36" xfId="3605"/>
    <cellStyle name="Style 36 2" xfId="3606"/>
    <cellStyle name="tableau | cellule | normal | decimal 1" xfId="3607"/>
    <cellStyle name="tableau | cellule | normal | pourcentage | decimal 1" xfId="3608"/>
    <cellStyle name="tableau | cellule | total | decimal 1" xfId="3609"/>
    <cellStyle name="tableau | coin superieur gauche" xfId="3610"/>
    <cellStyle name="tableau | coin superieur gauche 2" xfId="3611"/>
    <cellStyle name="tableau | entete-colonne | series" xfId="3612"/>
    <cellStyle name="tableau | entete-colonne | series 2" xfId="3613"/>
    <cellStyle name="tableau | entete-ligne | normal" xfId="3614"/>
    <cellStyle name="tableau | entete-ligne | normal 2" xfId="3615"/>
    <cellStyle name="tableau | entete-ligne | total" xfId="3616"/>
    <cellStyle name="tableau | ligne-titre | niveau1" xfId="3617"/>
    <cellStyle name="tableau | ligne-titre | niveau1 2" xfId="3618"/>
    <cellStyle name="tableau | ligne-titre | niveau2" xfId="3619"/>
    <cellStyle name="tableau | ligne-titre | niveau2 2" xfId="3620"/>
    <cellStyle name="Title 2" xfId="3621"/>
    <cellStyle name="Title 2 10" xfId="3622"/>
    <cellStyle name="Title 2 2" xfId="3623"/>
    <cellStyle name="Title 2 3" xfId="3624"/>
    <cellStyle name="Title 2 4" xfId="3625"/>
    <cellStyle name="Title 2 5" xfId="3626"/>
    <cellStyle name="Title 2 6" xfId="3627"/>
    <cellStyle name="Title 2 7" xfId="3628"/>
    <cellStyle name="Title 2 8" xfId="3629"/>
    <cellStyle name="Title 2 9" xfId="3630"/>
    <cellStyle name="Title 3" xfId="3631"/>
    <cellStyle name="Title 3 2" xfId="3632"/>
    <cellStyle name="Total 2" xfId="3633"/>
    <cellStyle name="Total 2 10" xfId="3634"/>
    <cellStyle name="Total 2 2" xfId="3635"/>
    <cellStyle name="Total 2 3" xfId="3636"/>
    <cellStyle name="Total 2 4" xfId="3637"/>
    <cellStyle name="Total 2 5" xfId="3638"/>
    <cellStyle name="Total 2 6" xfId="3639"/>
    <cellStyle name="Total 2 7" xfId="3640"/>
    <cellStyle name="Total 2 8" xfId="3641"/>
    <cellStyle name="Total 2 9" xfId="3642"/>
    <cellStyle name="Total 3" xfId="3643"/>
    <cellStyle name="Total 3 2" xfId="3644"/>
    <cellStyle name="Valuutta_Layo9704" xfId="3645"/>
    <cellStyle name="Warning Text 2" xfId="3646"/>
    <cellStyle name="Warning Text 2 10" xfId="3647"/>
    <cellStyle name="Warning Text 2 2" xfId="3648"/>
    <cellStyle name="Warning Text 2 3" xfId="3649"/>
    <cellStyle name="Warning Text 2 4" xfId="3650"/>
    <cellStyle name="Warning Text 2 5" xfId="3651"/>
    <cellStyle name="Warning Text 2 6" xfId="3652"/>
    <cellStyle name="Warning Text 2 7" xfId="3653"/>
    <cellStyle name="Warning Text 2 8" xfId="3654"/>
    <cellStyle name="Warning Text 2 9" xfId="3655"/>
    <cellStyle name="Warning Text 3" xfId="3656"/>
    <cellStyle name="Обычный_CRF2002 (1)" xfId="3657"/>
    <cellStyle name="已访问的超链接" xfId="3658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465445" y="168275"/>
          <a:ext cx="4876800" cy="5035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3"/>
  <sheetViews>
    <sheetView zoomScale="73" zoomScaleNormal="73" workbookViewId="0">
      <selection activeCell="F42" sqref="F42"/>
    </sheetView>
  </sheetViews>
  <sheetFormatPr defaultColWidth="11.4636363636364" defaultRowHeight="12.5"/>
  <cols>
    <col min="1" max="1" width="19.0636363636364" customWidth="1"/>
    <col min="2" max="2" width="12.2636363636364" customWidth="1"/>
    <col min="3" max="3" width="9.06363636363636" customWidth="1"/>
    <col min="4" max="4" width="13.7272727272727" customWidth="1"/>
    <col min="5" max="5" width="9.06363636363636" customWidth="1"/>
    <col min="6" max="6" width="20.0636363636364" customWidth="1"/>
    <col min="7" max="7" width="13" customWidth="1"/>
    <col min="9" max="10" width="7.72727272727273" customWidth="1"/>
  </cols>
  <sheetData>
    <row r="1" ht="13" spans="1:10">
      <c r="A1" s="37" t="s">
        <v>0</v>
      </c>
      <c r="H1" s="37" t="s">
        <v>1</v>
      </c>
      <c r="I1" s="30"/>
      <c r="J1" s="30"/>
    </row>
    <row r="2" ht="13" spans="1:10">
      <c r="A2" s="38" t="s">
        <v>2</v>
      </c>
      <c r="B2" s="38" t="s">
        <v>3</v>
      </c>
      <c r="H2" s="38" t="s">
        <v>4</v>
      </c>
      <c r="I2" s="38" t="s">
        <v>5</v>
      </c>
      <c r="J2" s="38" t="s">
        <v>6</v>
      </c>
    </row>
    <row r="3" ht="13" spans="1:10">
      <c r="A3" s="39" t="s">
        <v>7</v>
      </c>
      <c r="B3" t="s">
        <v>8</v>
      </c>
      <c r="H3" t="s">
        <v>9</v>
      </c>
      <c r="J3" t="s">
        <v>10</v>
      </c>
    </row>
    <row r="4" spans="1:10">
      <c r="B4" t="s">
        <v>11</v>
      </c>
      <c r="H4" t="s">
        <v>12</v>
      </c>
      <c r="J4" t="s">
        <v>13</v>
      </c>
    </row>
    <row r="5" spans="1:10">
      <c r="B5" t="s">
        <v>14</v>
      </c>
      <c r="J5" t="s">
        <v>15</v>
      </c>
    </row>
    <row r="6" spans="1:10">
      <c r="B6" t="s">
        <v>16</v>
      </c>
      <c r="J6" t="s">
        <v>17</v>
      </c>
    </row>
    <row r="7" spans="1:10">
      <c r="B7" t="s">
        <v>18</v>
      </c>
      <c r="J7" t="s">
        <v>19</v>
      </c>
    </row>
    <row r="8" spans="1:10">
      <c r="B8" t="s">
        <v>20</v>
      </c>
      <c r="J8" t="s">
        <v>21</v>
      </c>
    </row>
    <row r="9" spans="1:10">
      <c r="B9" t="s">
        <v>22</v>
      </c>
      <c r="J9" t="s">
        <v>23</v>
      </c>
    </row>
    <row r="10" spans="1:10">
      <c r="B10" t="s">
        <v>24</v>
      </c>
      <c r="J10" t="s">
        <v>25</v>
      </c>
    </row>
    <row r="11" spans="1:10">
      <c r="B11" t="s">
        <v>26</v>
      </c>
      <c r="J11" t="s">
        <v>27</v>
      </c>
    </row>
    <row r="12" spans="1:10">
      <c r="B12" t="s">
        <v>28</v>
      </c>
      <c r="J12" t="s">
        <v>29</v>
      </c>
    </row>
    <row r="13" spans="1:10">
      <c r="B13" t="s">
        <v>30</v>
      </c>
      <c r="J13" t="s">
        <v>31</v>
      </c>
    </row>
    <row r="14" spans="1:10">
      <c r="B14" t="s">
        <v>32</v>
      </c>
      <c r="J14" t="s">
        <v>33</v>
      </c>
    </row>
    <row r="15" spans="1:10">
      <c r="B15" t="s">
        <v>34</v>
      </c>
      <c r="J15" t="s">
        <v>35</v>
      </c>
    </row>
    <row r="16" spans="1:10">
      <c r="B16" t="s">
        <v>36</v>
      </c>
      <c r="J16" t="s">
        <v>37</v>
      </c>
    </row>
    <row r="17" spans="2:16">
      <c r="B17" t="s">
        <v>38</v>
      </c>
      <c r="J17" t="s">
        <v>39</v>
      </c>
      <c r="O17" t="s">
        <v>40</v>
      </c>
    </row>
    <row r="18" spans="2:16">
      <c r="B18" t="s">
        <v>41</v>
      </c>
      <c r="J18" t="s">
        <v>42</v>
      </c>
      <c r="O18" t="s">
        <v>3</v>
      </c>
      <c r="P18" t="s">
        <v>43</v>
      </c>
    </row>
    <row r="19" spans="2:16">
      <c r="B19" t="s">
        <v>44</v>
      </c>
      <c r="J19" t="s">
        <v>45</v>
      </c>
      <c r="O19" t="s">
        <v>8</v>
      </c>
      <c r="P19" t="s">
        <v>46</v>
      </c>
    </row>
    <row r="20" spans="2:16">
      <c r="B20" t="s">
        <v>47</v>
      </c>
      <c r="J20" t="s">
        <v>48</v>
      </c>
      <c r="O20" t="s">
        <v>11</v>
      </c>
      <c r="P20" t="s">
        <v>46</v>
      </c>
    </row>
    <row r="21" spans="2:16">
      <c r="B21" t="s">
        <v>49</v>
      </c>
      <c r="J21" t="s">
        <v>50</v>
      </c>
      <c r="O21" t="s">
        <v>14</v>
      </c>
      <c r="P21" t="s">
        <v>51</v>
      </c>
    </row>
    <row r="22" spans="2:16">
      <c r="B22" t="s">
        <v>52</v>
      </c>
      <c r="J22" t="s">
        <v>53</v>
      </c>
      <c r="O22" t="s">
        <v>16</v>
      </c>
      <c r="P22" t="s">
        <v>54</v>
      </c>
    </row>
    <row r="23" spans="2:16">
      <c r="B23" t="s">
        <v>55</v>
      </c>
      <c r="J23" t="s">
        <v>56</v>
      </c>
      <c r="O23" t="s">
        <v>18</v>
      </c>
      <c r="P23" t="s">
        <v>54</v>
      </c>
    </row>
    <row r="24" spans="2:16">
      <c r="B24" t="s">
        <v>57</v>
      </c>
      <c r="J24" t="s">
        <v>58</v>
      </c>
      <c r="O24" t="s">
        <v>20</v>
      </c>
      <c r="P24" t="s">
        <v>54</v>
      </c>
    </row>
    <row r="25" spans="2:16">
      <c r="B25" t="s">
        <v>59</v>
      </c>
      <c r="J25" t="s">
        <v>60</v>
      </c>
      <c r="O25" t="s">
        <v>22</v>
      </c>
      <c r="P25" t="s">
        <v>61</v>
      </c>
    </row>
    <row r="26" spans="2:16">
      <c r="B26" t="s">
        <v>62</v>
      </c>
      <c r="J26" t="s">
        <v>63</v>
      </c>
      <c r="O26" t="s">
        <v>24</v>
      </c>
      <c r="P26" t="s">
        <v>64</v>
      </c>
    </row>
    <row r="27" spans="2:16">
      <c r="B27" t="s">
        <v>65</v>
      </c>
      <c r="O27" t="s">
        <v>26</v>
      </c>
      <c r="P27" t="s">
        <v>54</v>
      </c>
    </row>
    <row r="28" spans="2:16">
      <c r="B28" t="s">
        <v>66</v>
      </c>
      <c r="O28" t="s">
        <v>28</v>
      </c>
      <c r="P28" t="s">
        <v>54</v>
      </c>
    </row>
    <row r="29" spans="2:16">
      <c r="B29" t="s">
        <v>67</v>
      </c>
      <c r="O29" t="s">
        <v>30</v>
      </c>
      <c r="P29" t="s">
        <v>54</v>
      </c>
    </row>
    <row r="30" spans="2:16">
      <c r="B30" t="s">
        <v>68</v>
      </c>
      <c r="O30" t="s">
        <v>32</v>
      </c>
      <c r="P30" t="s">
        <v>54</v>
      </c>
    </row>
    <row r="31" spans="2:16">
      <c r="B31" t="s">
        <v>69</v>
      </c>
      <c r="O31" t="s">
        <v>34</v>
      </c>
      <c r="P31" t="s">
        <v>54</v>
      </c>
    </row>
    <row r="32" spans="2:16">
      <c r="B32" t="s">
        <v>70</v>
      </c>
      <c r="O32" t="s">
        <v>36</v>
      </c>
      <c r="P32" t="s">
        <v>54</v>
      </c>
    </row>
    <row r="33" spans="2:16">
      <c r="B33" t="s">
        <v>71</v>
      </c>
      <c r="O33" t="s">
        <v>38</v>
      </c>
      <c r="P33" t="s">
        <v>54</v>
      </c>
    </row>
    <row r="34" spans="2:16">
      <c r="B34" t="s">
        <v>72</v>
      </c>
      <c r="O34" t="s">
        <v>41</v>
      </c>
      <c r="P34" t="s">
        <v>73</v>
      </c>
    </row>
    <row r="35" spans="2:16">
      <c r="B35" t="s">
        <v>74</v>
      </c>
      <c r="O35" t="s">
        <v>44</v>
      </c>
      <c r="P35" t="s">
        <v>54</v>
      </c>
    </row>
    <row r="36" spans="2:16">
      <c r="B36" t="s">
        <v>75</v>
      </c>
      <c r="O36" t="s">
        <v>47</v>
      </c>
      <c r="P36" t="s">
        <v>54</v>
      </c>
    </row>
    <row r="37" spans="2:16">
      <c r="B37" t="s">
        <v>76</v>
      </c>
      <c r="O37" t="s">
        <v>49</v>
      </c>
      <c r="P37" t="s">
        <v>77</v>
      </c>
    </row>
    <row r="38" spans="2:16">
      <c r="O38" t="s">
        <v>52</v>
      </c>
      <c r="P38" t="s">
        <v>61</v>
      </c>
    </row>
    <row r="39" spans="2:16">
      <c r="O39" t="s">
        <v>55</v>
      </c>
      <c r="P39" t="s">
        <v>78</v>
      </c>
    </row>
    <row r="40" spans="2:16">
      <c r="O40" t="s">
        <v>57</v>
      </c>
      <c r="P40" t="s">
        <v>51</v>
      </c>
    </row>
    <row r="41" spans="2:16">
      <c r="O41" t="s">
        <v>59</v>
      </c>
      <c r="P41" t="s">
        <v>54</v>
      </c>
    </row>
    <row r="42" spans="2:16">
      <c r="O42" t="s">
        <v>62</v>
      </c>
      <c r="P42" t="s">
        <v>54</v>
      </c>
    </row>
    <row r="43" spans="2:16">
      <c r="O43" t="s">
        <v>65</v>
      </c>
      <c r="P43" t="s">
        <v>73</v>
      </c>
    </row>
    <row r="44" spans="2:16">
      <c r="O44" t="s">
        <v>66</v>
      </c>
      <c r="P44" t="s">
        <v>79</v>
      </c>
    </row>
    <row r="45" spans="2:16">
      <c r="O45" t="s">
        <v>67</v>
      </c>
      <c r="P45" t="s">
        <v>78</v>
      </c>
    </row>
    <row r="46" spans="2:16">
      <c r="O46" t="s">
        <v>68</v>
      </c>
      <c r="P46" t="s">
        <v>46</v>
      </c>
    </row>
    <row r="47" spans="2:16">
      <c r="O47" t="s">
        <v>69</v>
      </c>
      <c r="P47" t="s">
        <v>54</v>
      </c>
    </row>
    <row r="48" spans="2:16">
      <c r="O48" t="s">
        <v>70</v>
      </c>
      <c r="P48" t="s">
        <v>54</v>
      </c>
    </row>
    <row r="49" spans="15:16">
      <c r="O49" t="s">
        <v>71</v>
      </c>
      <c r="P49" t="s">
        <v>54</v>
      </c>
    </row>
    <row r="50" spans="15:16">
      <c r="O50" t="s">
        <v>72</v>
      </c>
      <c r="P50" t="s">
        <v>54</v>
      </c>
    </row>
    <row r="51" spans="15:16">
      <c r="O51" t="s">
        <v>74</v>
      </c>
      <c r="P51" t="s">
        <v>54</v>
      </c>
    </row>
    <row r="52" spans="15:16">
      <c r="O52" t="s">
        <v>75</v>
      </c>
      <c r="P52" t="s">
        <v>54</v>
      </c>
    </row>
    <row r="53" spans="15:16">
      <c r="O53" t="s">
        <v>76</v>
      </c>
      <c r="P53" t="s">
        <v>54</v>
      </c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R33"/>
  <sheetViews>
    <sheetView tabSelected="1" zoomScale="93" zoomScaleNormal="93" topLeftCell="F1" workbookViewId="0">
      <selection activeCell="P28" sqref="P28"/>
    </sheetView>
  </sheetViews>
  <sheetFormatPr defaultColWidth="11.4636363636364" defaultRowHeight="12.5"/>
  <cols>
    <col min="1" max="1" width="9.06363636363636" customWidth="1"/>
    <col min="2" max="2" width="13.7272727272727" customWidth="1"/>
    <col min="4" max="4" width="14.0636363636364" customWidth="1"/>
    <col min="5" max="7" width="9.8" customWidth="1"/>
    <col min="8" max="8" width="10.8" customWidth="1"/>
    <col min="9" max="10" width="9.8" customWidth="1"/>
    <col min="14" max="14" width="11.4636363636364" style="10"/>
  </cols>
  <sheetData>
    <row r="1" spans="2:18">
      <c r="D1" t="s">
        <v>80</v>
      </c>
    </row>
    <row r="3" spans="2:18">
      <c r="B3" t="s">
        <v>81</v>
      </c>
    </row>
    <row r="4" spans="2:18">
      <c r="B4" s="32">
        <v>2019</v>
      </c>
    </row>
    <row r="7" spans="2:18">
      <c r="B7" t="s">
        <v>82</v>
      </c>
    </row>
    <row r="8" spans="2:18">
      <c r="B8" t="str">
        <f>B12</f>
        <v>Pdef_9p-2100</v>
      </c>
    </row>
    <row r="11" spans="2:18">
      <c r="B11" t="s">
        <v>83</v>
      </c>
      <c r="D11" t="s">
        <v>84</v>
      </c>
    </row>
    <row r="12" ht="14.5" spans="2:18">
      <c r="B12" s="33" t="s">
        <v>85</v>
      </c>
      <c r="D12" s="34" t="s">
        <v>86</v>
      </c>
      <c r="E12" s="34" t="str">
        <f t="shared" ref="E12:J12" si="0">"msy"&amp;COUNT(E14:E46)&amp;"_"&amp;MAX(E14:E46)</f>
        <v>msy4_2050</v>
      </c>
      <c r="F12" s="34" t="str">
        <f t="shared" si="0"/>
        <v>msy6_2050</v>
      </c>
      <c r="G12" s="34" t="str">
        <f t="shared" si="0"/>
        <v>msy9_2050</v>
      </c>
      <c r="H12" s="34" t="str">
        <f t="shared" si="0"/>
        <v>msy14_2050</v>
      </c>
      <c r="I12" s="34" t="str">
        <f t="shared" si="0"/>
        <v>msy1_2050</v>
      </c>
      <c r="J12" s="34" t="str">
        <f t="shared" si="0"/>
        <v>msy1_2040</v>
      </c>
      <c r="K12" s="34" t="str">
        <f t="shared" ref="K12" si="1">"msy"&amp;COUNT(K14:K46)&amp;"_"&amp;MAX(K14:K46)</f>
        <v>msy10_2099</v>
      </c>
      <c r="L12" t="s">
        <v>87</v>
      </c>
      <c r="M12" t="s">
        <v>88</v>
      </c>
      <c r="N12" s="35" t="str">
        <f>"msy"&amp;COUNT(N14:N46)&amp;"_"&amp;MAX(N14:N46)</f>
        <v>msy13_2130</v>
      </c>
      <c r="O12" s="35" t="str">
        <f>"msy"&amp;COUNT(O14:O46)&amp;"_"&amp;MAX(O14:O46)</f>
        <v>msy5_2100</v>
      </c>
      <c r="P12" s="35" t="str">
        <f>"msy"&amp;COUNT(P14:P46)&amp;"_"&amp;MAX(P14:P46)</f>
        <v>msy3_2100</v>
      </c>
      <c r="Q12" s="35" t="str">
        <f>"msy"&amp;COUNT(Q14:Q46)&amp;"_"&amp;MAX(Q14:Q46)</f>
        <v>msy7_2130</v>
      </c>
      <c r="R12" s="35" t="str">
        <f>"msy"&amp;COUNT(R14:R46)&amp;"_"&amp;MAX(R14:R46)</f>
        <v>msy5_2130</v>
      </c>
    </row>
    <row r="13" ht="14.5" spans="2:18">
      <c r="B13" s="36">
        <v>1</v>
      </c>
      <c r="D13" t="s">
        <v>89</v>
      </c>
      <c r="O13" s="10"/>
    </row>
    <row r="14" ht="14.5" spans="2:18">
      <c r="B14" s="36">
        <v>2</v>
      </c>
      <c r="D14" t="s">
        <v>90</v>
      </c>
      <c r="E14">
        <f t="shared" ref="E14:H14" si="2">$B$4</f>
        <v>2019</v>
      </c>
      <c r="F14">
        <f t="shared" si="2"/>
        <v>2019</v>
      </c>
      <c r="G14">
        <f t="shared" si="2"/>
        <v>2019</v>
      </c>
      <c r="H14">
        <f t="shared" si="2"/>
        <v>2019</v>
      </c>
      <c r="I14">
        <v>2050</v>
      </c>
      <c r="J14">
        <v>2040</v>
      </c>
      <c r="K14">
        <f t="shared" ref="K14" si="3">$B$4</f>
        <v>2019</v>
      </c>
      <c r="L14">
        <f>K14</f>
        <v>2019</v>
      </c>
      <c r="M14">
        <f>L14</f>
        <v>2019</v>
      </c>
      <c r="N14" s="10">
        <f>$B$4</f>
        <v>2019</v>
      </c>
      <c r="O14" s="10">
        <f>$B$4</f>
        <v>2019</v>
      </c>
      <c r="P14">
        <f>O14</f>
        <v>2019</v>
      </c>
      <c r="Q14">
        <v>2019</v>
      </c>
      <c r="R14">
        <v>2019</v>
      </c>
    </row>
    <row r="15" ht="14.5" spans="2:18">
      <c r="B15" s="36">
        <v>7</v>
      </c>
      <c r="D15" t="s">
        <v>90</v>
      </c>
      <c r="E15">
        <v>2030</v>
      </c>
      <c r="F15">
        <v>2020</v>
      </c>
      <c r="G15">
        <v>2020</v>
      </c>
      <c r="H15">
        <v>2020</v>
      </c>
      <c r="K15">
        <v>2020</v>
      </c>
      <c r="L15">
        <v>2020</v>
      </c>
      <c r="M15">
        <v>2020</v>
      </c>
      <c r="N15" s="10">
        <v>2020</v>
      </c>
      <c r="O15" s="10">
        <v>2020</v>
      </c>
      <c r="P15">
        <v>2050</v>
      </c>
      <c r="Q15">
        <v>2020</v>
      </c>
      <c r="R15">
        <v>2020</v>
      </c>
    </row>
    <row r="16" ht="14.5" spans="2:18">
      <c r="B16" s="36">
        <v>7</v>
      </c>
      <c r="D16" t="s">
        <v>90</v>
      </c>
      <c r="E16">
        <v>2040</v>
      </c>
      <c r="F16">
        <v>2025</v>
      </c>
      <c r="G16">
        <v>2023</v>
      </c>
      <c r="H16">
        <v>2023</v>
      </c>
      <c r="K16">
        <f>K15-1+10</f>
        <v>2029</v>
      </c>
      <c r="L16">
        <v>2025</v>
      </c>
      <c r="M16">
        <v>2025</v>
      </c>
      <c r="N16" s="10">
        <v>2025</v>
      </c>
      <c r="O16" s="10">
        <v>2050</v>
      </c>
      <c r="P16">
        <v>2100</v>
      </c>
      <c r="Q16">
        <v>2040</v>
      </c>
      <c r="R16">
        <v>2050</v>
      </c>
    </row>
    <row r="17" ht="14.5" spans="2:18">
      <c r="B17" s="36">
        <v>9</v>
      </c>
      <c r="D17" t="s">
        <v>90</v>
      </c>
      <c r="E17">
        <v>2050</v>
      </c>
      <c r="F17">
        <v>2030</v>
      </c>
      <c r="G17">
        <v>2025</v>
      </c>
      <c r="H17">
        <v>2025</v>
      </c>
      <c r="K17">
        <f t="shared" ref="K17:K23" si="4">K16+10</f>
        <v>2039</v>
      </c>
      <c r="L17">
        <v>2030</v>
      </c>
      <c r="M17">
        <v>2030</v>
      </c>
      <c r="N17" s="10">
        <f>N15+10</f>
        <v>2030</v>
      </c>
      <c r="O17" s="10">
        <v>2080</v>
      </c>
      <c r="Q17">
        <v>2060</v>
      </c>
      <c r="R17">
        <v>2100</v>
      </c>
    </row>
    <row r="18" ht="14.5" spans="2:18">
      <c r="B18" s="36">
        <v>12</v>
      </c>
      <c r="D18" t="s">
        <v>90</v>
      </c>
      <c r="F18">
        <v>2040</v>
      </c>
      <c r="G18">
        <f t="shared" ref="G18:G22" si="5">G17+5</f>
        <v>2030</v>
      </c>
      <c r="H18">
        <f>H17+3</f>
        <v>2028</v>
      </c>
      <c r="K18">
        <f t="shared" si="4"/>
        <v>2049</v>
      </c>
      <c r="L18">
        <v>2035</v>
      </c>
      <c r="M18">
        <v>2035</v>
      </c>
      <c r="N18" s="10">
        <v>2035</v>
      </c>
      <c r="O18" s="10">
        <v>2100</v>
      </c>
      <c r="Q18">
        <v>2080</v>
      </c>
      <c r="R18">
        <v>2130</v>
      </c>
    </row>
    <row r="19" ht="14.5" spans="2:18">
      <c r="B19" s="36">
        <v>18</v>
      </c>
      <c r="D19" t="s">
        <v>90</v>
      </c>
      <c r="F19">
        <v>2050</v>
      </c>
      <c r="G19">
        <f t="shared" si="5"/>
        <v>2035</v>
      </c>
      <c r="H19">
        <f>H18+2</f>
        <v>2030</v>
      </c>
      <c r="K19">
        <f t="shared" si="4"/>
        <v>2059</v>
      </c>
      <c r="L19">
        <v>2040</v>
      </c>
      <c r="M19">
        <v>2040</v>
      </c>
      <c r="N19" s="10">
        <f>N17+10</f>
        <v>2040</v>
      </c>
      <c r="O19" s="10"/>
      <c r="Q19">
        <v>2100</v>
      </c>
    </row>
    <row r="20" ht="14.5" spans="2:18">
      <c r="B20" s="36">
        <v>20</v>
      </c>
      <c r="D20" t="s">
        <v>90</v>
      </c>
      <c r="G20">
        <f t="shared" si="5"/>
        <v>2040</v>
      </c>
      <c r="H20">
        <f>H19+3</f>
        <v>2033</v>
      </c>
      <c r="K20">
        <f t="shared" si="4"/>
        <v>2069</v>
      </c>
      <c r="L20">
        <v>2045</v>
      </c>
      <c r="M20">
        <v>2045</v>
      </c>
      <c r="N20" s="10">
        <f t="shared" ref="N19:N25" si="6">N19+10</f>
        <v>2050</v>
      </c>
      <c r="O20" s="10"/>
      <c r="Q20">
        <v>2130</v>
      </c>
    </row>
    <row r="21" ht="14.5" spans="2:18">
      <c r="B21" s="36">
        <v>12</v>
      </c>
      <c r="D21" t="s">
        <v>90</v>
      </c>
      <c r="G21">
        <f t="shared" si="5"/>
        <v>2045</v>
      </c>
      <c r="H21">
        <f>H20+2</f>
        <v>2035</v>
      </c>
      <c r="K21">
        <f t="shared" si="4"/>
        <v>2079</v>
      </c>
      <c r="L21">
        <v>2050</v>
      </c>
      <c r="M21">
        <v>2050</v>
      </c>
      <c r="N21" s="10">
        <f t="shared" si="6"/>
        <v>2060</v>
      </c>
      <c r="O21" s="10"/>
    </row>
    <row r="22" ht="14.5" spans="2:18">
      <c r="B22" s="36"/>
      <c r="D22" t="s">
        <v>90</v>
      </c>
      <c r="G22">
        <f t="shared" si="5"/>
        <v>2050</v>
      </c>
      <c r="H22">
        <f>H21+3</f>
        <v>2038</v>
      </c>
      <c r="K22">
        <f t="shared" si="4"/>
        <v>2089</v>
      </c>
      <c r="L22">
        <v>2055</v>
      </c>
      <c r="M22">
        <v>2055</v>
      </c>
      <c r="N22" s="10">
        <f t="shared" si="6"/>
        <v>2070</v>
      </c>
      <c r="O22" s="10"/>
    </row>
    <row r="23" ht="14.5" spans="2:18">
      <c r="B23" s="36"/>
      <c r="D23" t="s">
        <v>90</v>
      </c>
      <c r="H23">
        <f>H22+2</f>
        <v>2040</v>
      </c>
      <c r="K23">
        <f t="shared" si="4"/>
        <v>2099</v>
      </c>
      <c r="L23">
        <v>2060</v>
      </c>
      <c r="M23">
        <v>2060</v>
      </c>
      <c r="N23" s="10">
        <f t="shared" si="6"/>
        <v>2080</v>
      </c>
      <c r="O23" s="10"/>
    </row>
    <row r="24" ht="14.5" spans="2:18">
      <c r="B24" s="36"/>
      <c r="D24" t="s">
        <v>90</v>
      </c>
      <c r="H24">
        <f>H23+3</f>
        <v>2043</v>
      </c>
      <c r="L24">
        <v>2065</v>
      </c>
      <c r="M24">
        <v>2065</v>
      </c>
      <c r="N24" s="10">
        <f t="shared" si="6"/>
        <v>2090</v>
      </c>
      <c r="O24" s="10"/>
    </row>
    <row r="25" ht="14.5" spans="2:18">
      <c r="B25" s="36"/>
      <c r="D25" t="s">
        <v>90</v>
      </c>
      <c r="H25">
        <f>H24+2</f>
        <v>2045</v>
      </c>
      <c r="L25">
        <v>2070</v>
      </c>
      <c r="M25">
        <v>2070</v>
      </c>
      <c r="N25" s="10">
        <f t="shared" si="6"/>
        <v>2100</v>
      </c>
    </row>
    <row r="26" ht="14.5" spans="2:18">
      <c r="B26" s="36"/>
      <c r="D26" t="s">
        <v>90</v>
      </c>
      <c r="H26">
        <f>H25+3</f>
        <v>2048</v>
      </c>
      <c r="L26">
        <v>2075</v>
      </c>
      <c r="M26">
        <v>2075</v>
      </c>
      <c r="N26" s="10">
        <v>2130</v>
      </c>
    </row>
    <row r="27" ht="14.5" spans="2:18">
      <c r="B27" s="36"/>
      <c r="D27" t="s">
        <v>90</v>
      </c>
      <c r="H27">
        <f>H26+2</f>
        <v>2050</v>
      </c>
      <c r="L27">
        <v>2080</v>
      </c>
      <c r="M27">
        <v>2080</v>
      </c>
    </row>
    <row r="28" ht="14.5" spans="2:18">
      <c r="B28" s="36"/>
      <c r="D28" t="s">
        <v>90</v>
      </c>
      <c r="M28">
        <v>2085</v>
      </c>
    </row>
    <row r="29" ht="14.5" spans="2:18">
      <c r="B29" s="36"/>
      <c r="D29" t="s">
        <v>90</v>
      </c>
      <c r="M29">
        <v>2090</v>
      </c>
    </row>
    <row r="30" ht="14.5" spans="2:18">
      <c r="B30" s="36"/>
      <c r="D30" t="s">
        <v>90</v>
      </c>
      <c r="M30">
        <v>2095</v>
      </c>
    </row>
    <row r="31" ht="14.5" spans="2:18">
      <c r="B31" s="36"/>
      <c r="D31" t="s">
        <v>90</v>
      </c>
      <c r="M31">
        <v>2100</v>
      </c>
    </row>
    <row r="32" ht="14.5" spans="2:18">
      <c r="B32" s="36"/>
    </row>
    <row r="33" ht="14.5" spans="2:2">
      <c r="B33" s="36"/>
    </row>
  </sheetData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5"/>
  <sheetViews>
    <sheetView zoomScale="73" zoomScaleNormal="73" workbookViewId="0">
      <selection activeCell="G41" sqref="G41"/>
    </sheetView>
  </sheetViews>
  <sheetFormatPr defaultColWidth="11.4636363636364" defaultRowHeight="11.5"/>
  <cols>
    <col min="1" max="1" width="9.06363636363636" style="14" customWidth="1"/>
    <col min="2" max="2" width="8.46363636363636" style="14" customWidth="1"/>
    <col min="3" max="4" width="14.7272727272727" style="14" customWidth="1"/>
    <col min="5" max="5" width="10.4636363636364" style="14" customWidth="1"/>
    <col min="6" max="6" width="16.0636363636364" style="14" customWidth="1"/>
    <col min="7" max="7" width="8.26363636363636" style="14" customWidth="1"/>
    <col min="8" max="8" width="8.46363636363636" style="14" customWidth="1"/>
    <col min="9" max="9" width="8.72727272727273" style="14" customWidth="1"/>
    <col min="10" max="16384" width="11.4636363636364" style="14"/>
  </cols>
  <sheetData>
    <row r="1" ht="12.5" spans="1:13">
      <c r="A1"/>
      <c r="B1" s="26"/>
    </row>
    <row r="2" ht="12.5" spans="1:13">
      <c r="A2" s="27"/>
      <c r="B2"/>
      <c r="C2"/>
      <c r="D2"/>
      <c r="E2"/>
      <c r="F2"/>
      <c r="G2"/>
      <c r="H2"/>
      <c r="I2"/>
    </row>
    <row r="3" ht="12.5" spans="1:13">
      <c r="A3"/>
      <c r="B3"/>
      <c r="C3"/>
      <c r="D3"/>
      <c r="E3"/>
      <c r="F3"/>
      <c r="G3"/>
      <c r="H3"/>
      <c r="I3"/>
    </row>
    <row r="4" ht="12.5" spans="1:13">
      <c r="A4" s="28" t="s">
        <v>91</v>
      </c>
      <c r="B4"/>
      <c r="C4"/>
      <c r="D4"/>
      <c r="E4"/>
      <c r="F4" s="28"/>
      <c r="G4" s="28"/>
      <c r="H4" s="28"/>
      <c r="I4"/>
      <c r="M4"/>
    </row>
    <row r="5" ht="13" spans="1:13">
      <c r="A5" s="29" t="s">
        <v>92</v>
      </c>
      <c r="B5" s="29" t="s">
        <v>93</v>
      </c>
      <c r="C5" s="29" t="s">
        <v>94</v>
      </c>
      <c r="D5" s="29" t="s">
        <v>95</v>
      </c>
      <c r="E5" s="29" t="s">
        <v>96</v>
      </c>
      <c r="F5" s="29" t="s">
        <v>97</v>
      </c>
      <c r="G5" s="29" t="s">
        <v>98</v>
      </c>
      <c r="H5" s="29" t="s">
        <v>99</v>
      </c>
      <c r="I5" s="29" t="s">
        <v>100</v>
      </c>
      <c r="J5" s="29" t="s">
        <v>101</v>
      </c>
      <c r="M5" s="30" t="s">
        <v>102</v>
      </c>
    </row>
    <row r="6" ht="13" spans="1:13">
      <c r="A6"/>
      <c r="B6"/>
      <c r="C6" t="s">
        <v>103</v>
      </c>
      <c r="D6">
        <v>0</v>
      </c>
      <c r="E6">
        <v>3</v>
      </c>
      <c r="F6"/>
      <c r="G6"/>
      <c r="H6"/>
      <c r="I6"/>
      <c r="J6"/>
      <c r="M6" s="31" t="s">
        <v>104</v>
      </c>
    </row>
    <row r="7" ht="12.5" spans="1:13">
      <c r="A7"/>
      <c r="B7" t="s">
        <v>105</v>
      </c>
      <c r="C7" t="s">
        <v>103</v>
      </c>
      <c r="D7">
        <v>0</v>
      </c>
      <c r="E7">
        <v>0</v>
      </c>
      <c r="F7"/>
      <c r="G7"/>
      <c r="H7"/>
      <c r="I7"/>
      <c r="J7"/>
      <c r="M7" t="s">
        <v>106</v>
      </c>
    </row>
    <row r="8" ht="12.5" spans="1:13">
      <c r="A8"/>
      <c r="B8" t="s">
        <v>107</v>
      </c>
      <c r="C8" t="s">
        <v>108</v>
      </c>
      <c r="D8">
        <v>0</v>
      </c>
      <c r="E8">
        <v>3</v>
      </c>
      <c r="F8"/>
      <c r="G8"/>
      <c r="H8"/>
      <c r="I8"/>
      <c r="J8"/>
      <c r="M8" t="s">
        <v>109</v>
      </c>
    </row>
    <row r="9" ht="12.5" spans="1:13">
      <c r="A9"/>
      <c r="B9" t="s">
        <v>107</v>
      </c>
      <c r="C9" t="s">
        <v>110</v>
      </c>
      <c r="D9">
        <v>0</v>
      </c>
      <c r="E9">
        <v>1</v>
      </c>
      <c r="F9"/>
      <c r="G9"/>
      <c r="H9"/>
      <c r="I9"/>
      <c r="J9"/>
      <c r="M9" t="s">
        <v>111</v>
      </c>
    </row>
    <row r="10" ht="12.5" spans="1:13">
      <c r="A10"/>
      <c r="B10" t="s">
        <v>107</v>
      </c>
      <c r="C10" t="s">
        <v>112</v>
      </c>
      <c r="D10">
        <v>0</v>
      </c>
      <c r="E10">
        <v>3</v>
      </c>
      <c r="F10"/>
      <c r="G10"/>
      <c r="H10"/>
      <c r="I10"/>
      <c r="J10"/>
      <c r="M10" t="s">
        <v>113</v>
      </c>
    </row>
    <row r="11" ht="12.5" spans="1:13">
      <c r="A11"/>
      <c r="B11"/>
      <c r="C11" t="s">
        <v>114</v>
      </c>
      <c r="D11">
        <v>0</v>
      </c>
      <c r="E11">
        <v>15</v>
      </c>
      <c r="F11"/>
      <c r="G11"/>
      <c r="H11"/>
      <c r="I11" t="s">
        <v>115</v>
      </c>
      <c r="J11"/>
      <c r="M11" t="s">
        <v>116</v>
      </c>
    </row>
    <row r="12" ht="12.5" spans="1:13">
      <c r="A12"/>
      <c r="B12"/>
      <c r="C12" t="s">
        <v>117</v>
      </c>
      <c r="D12">
        <v>0</v>
      </c>
      <c r="E12">
        <v>3</v>
      </c>
      <c r="F12"/>
      <c r="G12"/>
      <c r="H12"/>
      <c r="I12"/>
      <c r="J12"/>
      <c r="M12" t="s">
        <v>118</v>
      </c>
    </row>
    <row r="13" ht="12.5" spans="1:13">
      <c r="A13"/>
      <c r="B13"/>
      <c r="C13" t="s">
        <v>119</v>
      </c>
      <c r="D13">
        <v>0</v>
      </c>
      <c r="E13">
        <v>3</v>
      </c>
      <c r="F13"/>
      <c r="G13"/>
      <c r="H13"/>
      <c r="I13"/>
      <c r="J13"/>
      <c r="M13"/>
    </row>
    <row r="14" ht="12.5" spans="1:13">
      <c r="A14"/>
      <c r="B14"/>
      <c r="C14" t="s">
        <v>120</v>
      </c>
      <c r="D14">
        <v>0</v>
      </c>
      <c r="E14">
        <v>3</v>
      </c>
      <c r="F14"/>
      <c r="G14"/>
      <c r="H14"/>
      <c r="I14"/>
      <c r="J14"/>
    </row>
    <row r="15" ht="12.5" spans="1:13">
      <c r="A15"/>
      <c r="B15" t="s">
        <v>121</v>
      </c>
      <c r="C15" t="s">
        <v>122</v>
      </c>
      <c r="D15">
        <v>0</v>
      </c>
      <c r="E15">
        <v>3</v>
      </c>
      <c r="F15"/>
      <c r="G15"/>
      <c r="H15"/>
      <c r="I15"/>
      <c r="J15" t="s">
        <v>123</v>
      </c>
    </row>
    <row r="16" ht="12.5" spans="1:13">
      <c r="A16"/>
      <c r="B16" t="s">
        <v>105</v>
      </c>
      <c r="C16" t="s">
        <v>124</v>
      </c>
      <c r="D16">
        <v>0</v>
      </c>
      <c r="E16">
        <v>3</v>
      </c>
      <c r="F16" t="s">
        <v>125</v>
      </c>
      <c r="G16"/>
      <c r="H16"/>
      <c r="I16"/>
      <c r="J16"/>
    </row>
    <row r="17" ht="12.5" spans="1:10">
      <c r="A17"/>
      <c r="B17"/>
      <c r="C17" s="10"/>
      <c r="D17" s="10"/>
      <c r="E17" s="10"/>
      <c r="F17"/>
      <c r="G17"/>
      <c r="H17"/>
      <c r="I17"/>
      <c r="J17"/>
    </row>
    <row r="19" ht="12.5" spans="1:10">
      <c r="A19"/>
      <c r="B19"/>
      <c r="C19" t="s">
        <v>126</v>
      </c>
      <c r="D19">
        <v>0</v>
      </c>
      <c r="E19">
        <v>3</v>
      </c>
      <c r="F19"/>
      <c r="G19"/>
      <c r="H19"/>
      <c r="I19"/>
      <c r="J19"/>
    </row>
    <row r="20" ht="12.5" spans="1:10">
      <c r="A20"/>
      <c r="B20"/>
      <c r="C20" t="s">
        <v>127</v>
      </c>
      <c r="D20">
        <v>0</v>
      </c>
      <c r="E20">
        <v>3</v>
      </c>
      <c r="F20"/>
      <c r="G20"/>
      <c r="H20"/>
      <c r="I20"/>
      <c r="J20"/>
    </row>
    <row r="21" ht="12.5" spans="1:10">
      <c r="A21"/>
      <c r="B21"/>
      <c r="C21" t="s">
        <v>128</v>
      </c>
      <c r="D21">
        <v>0</v>
      </c>
      <c r="E21">
        <v>3</v>
      </c>
      <c r="F21"/>
      <c r="G21"/>
      <c r="H21"/>
      <c r="I21"/>
      <c r="J21"/>
    </row>
    <row r="22" ht="12.5" spans="1:10">
      <c r="A22"/>
      <c r="B22"/>
      <c r="F22"/>
      <c r="G22"/>
      <c r="H22"/>
      <c r="I22"/>
    </row>
    <row r="23" ht="12.5" spans="1:10">
      <c r="A23"/>
      <c r="B23"/>
      <c r="C23"/>
      <c r="D23"/>
      <c r="E23"/>
      <c r="F23"/>
      <c r="G23"/>
      <c r="H23"/>
      <c r="I23"/>
    </row>
    <row r="24" ht="12.5" spans="1:10">
      <c r="A24" s="28" t="s">
        <v>129</v>
      </c>
      <c r="B24"/>
      <c r="C24"/>
      <c r="D24"/>
      <c r="E24"/>
      <c r="F24" s="28"/>
      <c r="G24" s="28"/>
      <c r="H24" s="28"/>
      <c r="I24"/>
    </row>
    <row r="25" ht="13" spans="1:10">
      <c r="A25" s="29" t="s">
        <v>92</v>
      </c>
      <c r="B25" s="29" t="s">
        <v>93</v>
      </c>
      <c r="C25" s="29" t="s">
        <v>94</v>
      </c>
      <c r="D25" s="29" t="s">
        <v>130</v>
      </c>
      <c r="E25" s="29" t="s">
        <v>96</v>
      </c>
      <c r="F25" s="29" t="s">
        <v>131</v>
      </c>
      <c r="G25" s="29" t="s">
        <v>98</v>
      </c>
      <c r="H25" s="29" t="s">
        <v>99</v>
      </c>
      <c r="I25"/>
    </row>
    <row r="26" ht="12.5" spans="1:10">
      <c r="A26"/>
      <c r="B26"/>
      <c r="C26" t="s">
        <v>132</v>
      </c>
      <c r="D26"/>
      <c r="E26">
        <v>8888</v>
      </c>
      <c r="F26" t="s">
        <v>133</v>
      </c>
      <c r="G26"/>
      <c r="H26"/>
      <c r="I26"/>
    </row>
    <row r="27" ht="12.5" spans="1:10">
      <c r="A27"/>
      <c r="B27"/>
      <c r="C27" t="s">
        <v>132</v>
      </c>
      <c r="D27"/>
      <c r="E27">
        <f>E26*2</f>
        <v>17776</v>
      </c>
      <c r="F27" t="s">
        <v>134</v>
      </c>
      <c r="G27"/>
      <c r="H27"/>
      <c r="I27"/>
    </row>
    <row r="28" ht="12.5" spans="1:10">
      <c r="A28"/>
      <c r="B28"/>
      <c r="C28"/>
      <c r="D28"/>
      <c r="E28"/>
      <c r="F28"/>
      <c r="G28"/>
      <c r="H28"/>
      <c r="I28"/>
    </row>
    <row r="29" ht="12.5" spans="1:10">
      <c r="A29"/>
      <c r="B29"/>
      <c r="C29"/>
      <c r="D29"/>
      <c r="E29"/>
      <c r="F29"/>
      <c r="G29"/>
      <c r="H29"/>
      <c r="I29"/>
    </row>
    <row r="30" ht="12.5" spans="1:10">
      <c r="A30"/>
      <c r="B30"/>
      <c r="C30"/>
      <c r="D30"/>
      <c r="E30"/>
      <c r="F30"/>
      <c r="G30"/>
      <c r="H30"/>
      <c r="I30"/>
    </row>
    <row r="31" ht="12.5" spans="1:10">
      <c r="A31" t="s">
        <v>135</v>
      </c>
      <c r="B31"/>
      <c r="C31"/>
      <c r="D31"/>
      <c r="E31"/>
      <c r="F31"/>
      <c r="G31"/>
      <c r="H31"/>
      <c r="I31"/>
    </row>
    <row r="32" ht="12.5" spans="1:10">
      <c r="A32" t="s">
        <v>136</v>
      </c>
      <c r="B32" t="s">
        <v>137</v>
      </c>
      <c r="C32" t="s">
        <v>138</v>
      </c>
      <c r="D32" t="s">
        <v>139</v>
      </c>
      <c r="E32" t="s">
        <v>140</v>
      </c>
      <c r="F32" t="s">
        <v>141</v>
      </c>
      <c r="G32" t="s">
        <v>142</v>
      </c>
      <c r="H32"/>
      <c r="I32"/>
    </row>
    <row r="33" ht="12.5" spans="1:9">
      <c r="A33" t="s">
        <v>143</v>
      </c>
      <c r="B33" t="s">
        <v>144</v>
      </c>
      <c r="C33" t="s">
        <v>145</v>
      </c>
      <c r="D33" t="s">
        <v>145</v>
      </c>
      <c r="E33"/>
      <c r="F33" t="s">
        <v>146</v>
      </c>
      <c r="G33"/>
      <c r="H33"/>
      <c r="I33"/>
    </row>
    <row r="34" ht="12.5" spans="1:9">
      <c r="A34"/>
      <c r="B34"/>
      <c r="C34"/>
      <c r="D34"/>
      <c r="E34"/>
      <c r="F34"/>
      <c r="G34"/>
      <c r="H34"/>
      <c r="I34"/>
    </row>
    <row r="35" ht="12.5" spans="1:9">
      <c r="A35"/>
      <c r="B35"/>
      <c r="C35"/>
      <c r="D35"/>
      <c r="E35"/>
      <c r="F35"/>
      <c r="G35"/>
      <c r="H35"/>
      <c r="I35"/>
    </row>
    <row r="36" ht="12.5" spans="1:9">
      <c r="A36"/>
      <c r="B36"/>
      <c r="C36"/>
      <c r="D36"/>
      <c r="E36"/>
      <c r="F36"/>
      <c r="G36"/>
      <c r="H36"/>
      <c r="I36"/>
    </row>
    <row r="37" ht="12.5" spans="1:9">
      <c r="A37" t="s">
        <v>135</v>
      </c>
      <c r="B37"/>
      <c r="C37"/>
      <c r="D37"/>
      <c r="E37"/>
      <c r="F37"/>
      <c r="G37"/>
      <c r="H37"/>
      <c r="I37"/>
    </row>
    <row r="38" ht="12.5" spans="1:9">
      <c r="A38" t="s">
        <v>136</v>
      </c>
      <c r="B38" t="s">
        <v>137</v>
      </c>
      <c r="C38" t="s">
        <v>147</v>
      </c>
      <c r="D38" t="s">
        <v>140</v>
      </c>
      <c r="E38" t="s">
        <v>139</v>
      </c>
      <c r="F38" t="s">
        <v>138</v>
      </c>
      <c r="G38" t="s">
        <v>141</v>
      </c>
      <c r="H38" t="s">
        <v>148</v>
      </c>
      <c r="I38"/>
    </row>
    <row r="39" ht="12.5" spans="1:9">
      <c r="A39" t="s">
        <v>143</v>
      </c>
      <c r="B39"/>
      <c r="C39" s="40" t="s">
        <v>149</v>
      </c>
      <c r="D39"/>
      <c r="E39" t="s">
        <v>150</v>
      </c>
      <c r="F39"/>
      <c r="G39" t="s">
        <v>151</v>
      </c>
      <c r="H39"/>
      <c r="I39"/>
    </row>
    <row r="40" ht="12.5" spans="1:9">
      <c r="A40" t="s">
        <v>152</v>
      </c>
      <c r="B40"/>
      <c r="C40"/>
      <c r="D40" t="s">
        <v>153</v>
      </c>
      <c r="E40"/>
      <c r="F40"/>
      <c r="G40" t="s">
        <v>151</v>
      </c>
      <c r="H40"/>
      <c r="I40"/>
    </row>
    <row r="41" ht="12.5" spans="1:9">
      <c r="A41" t="s">
        <v>154</v>
      </c>
      <c r="B41"/>
      <c r="C41"/>
      <c r="D41" t="s">
        <v>155</v>
      </c>
      <c r="E41"/>
      <c r="F41"/>
      <c r="G41" s="14">
        <v>1</v>
      </c>
      <c r="H41" t="s">
        <v>146</v>
      </c>
      <c r="I41"/>
    </row>
    <row r="42" ht="12.5" spans="1:9">
      <c r="A42"/>
      <c r="B42"/>
      <c r="C42"/>
      <c r="D42"/>
      <c r="E42"/>
      <c r="F42"/>
      <c r="G42"/>
      <c r="H42"/>
      <c r="I42"/>
    </row>
    <row r="43" ht="12.5" spans="1:9">
      <c r="A43"/>
      <c r="B43"/>
      <c r="C43"/>
      <c r="D43"/>
      <c r="E43"/>
      <c r="F43"/>
      <c r="G43"/>
      <c r="H43"/>
      <c r="I43"/>
    </row>
    <row r="44" ht="12.5" spans="1:9">
      <c r="A44"/>
      <c r="B44"/>
      <c r="C44"/>
      <c r="D44"/>
      <c r="E44"/>
      <c r="F44"/>
      <c r="G44"/>
      <c r="H44"/>
      <c r="I44"/>
    </row>
    <row r="45" ht="12.5" spans="1:9">
      <c r="A45"/>
      <c r="B45"/>
      <c r="C45"/>
      <c r="D45"/>
      <c r="E45"/>
      <c r="F45"/>
      <c r="G45"/>
      <c r="H45"/>
      <c r="I45"/>
    </row>
  </sheetData>
  <pageMargins left="0.75" right="0.75" top="1" bottom="1" header="0.5" footer="0.5"/>
  <pageSetup paperSize="9" orientation="portrait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49"/>
  <sheetViews>
    <sheetView zoomScale="73" zoomScaleNormal="73" workbookViewId="0">
      <selection activeCell="I26" sqref="I26"/>
    </sheetView>
  </sheetViews>
  <sheetFormatPr defaultColWidth="11.4636363636364" defaultRowHeight="11.5"/>
  <cols>
    <col min="1" max="1" width="9.06363636363636" style="14" customWidth="1"/>
    <col min="2" max="2" width="11" style="14" customWidth="1"/>
    <col min="3" max="3" width="7.26363636363636" style="14" customWidth="1"/>
    <col min="4" max="4" width="14.2636363636364" style="14" customWidth="1"/>
    <col min="5" max="5" width="8.52727272727273" style="14" customWidth="1"/>
    <col min="6" max="6" width="9.06363636363636" style="14" customWidth="1"/>
    <col min="7" max="7" width="9.46363636363636" style="14" customWidth="1"/>
    <col min="8" max="8" width="7.06363636363636" style="14" customWidth="1"/>
    <col min="9" max="9" width="10.4636363636364" style="14" customWidth="1"/>
    <col min="10" max="10" width="12.2636363636364" style="14" customWidth="1"/>
    <col min="11" max="16384" width="11.4636363636364" style="14"/>
  </cols>
  <sheetData>
    <row r="2" ht="13" spans="2:14">
      <c r="B2" s="15" t="s">
        <v>129</v>
      </c>
      <c r="C2" s="15"/>
      <c r="D2" s="15"/>
      <c r="E2" s="15"/>
      <c r="F2" s="15"/>
      <c r="G2" s="15"/>
      <c r="H2" s="15"/>
      <c r="I2" s="15"/>
      <c r="J2" s="15"/>
      <c r="K2" s="15"/>
      <c r="L2" s="16" t="s">
        <v>156</v>
      </c>
      <c r="M2" s="17"/>
      <c r="N2" s="17"/>
    </row>
    <row r="3" ht="13" spans="2:14">
      <c r="B3" s="18" t="s">
        <v>92</v>
      </c>
      <c r="C3" s="18" t="s">
        <v>93</v>
      </c>
      <c r="D3" s="18" t="s">
        <v>94</v>
      </c>
      <c r="E3" s="18" t="s">
        <v>130</v>
      </c>
      <c r="F3" s="19" t="s">
        <v>157</v>
      </c>
      <c r="G3" s="19" t="s">
        <v>96</v>
      </c>
      <c r="H3" s="18" t="s">
        <v>99</v>
      </c>
      <c r="I3" s="20" t="s">
        <v>158</v>
      </c>
      <c r="J3" s="18" t="s">
        <v>159</v>
      </c>
      <c r="K3" s="15"/>
      <c r="L3" s="21" t="s">
        <v>160</v>
      </c>
      <c r="M3" s="17"/>
      <c r="N3" s="17"/>
    </row>
    <row r="4" ht="14.5" spans="2:14">
      <c r="B4" s="22"/>
      <c r="C4" s="22"/>
      <c r="D4" s="22" t="s">
        <v>161</v>
      </c>
      <c r="E4" s="22"/>
      <c r="F4" s="22"/>
      <c r="G4" s="22">
        <v>2020</v>
      </c>
      <c r="H4" s="22"/>
      <c r="I4" s="22"/>
      <c r="J4" s="22"/>
      <c r="K4" s="15"/>
      <c r="L4" s="23" t="s">
        <v>162</v>
      </c>
      <c r="M4" s="15"/>
      <c r="N4" s="17"/>
    </row>
    <row r="5" ht="14.5" spans="2:14">
      <c r="B5" s="15"/>
      <c r="C5" s="15"/>
      <c r="D5" s="15"/>
      <c r="E5" s="15"/>
      <c r="F5" s="15"/>
      <c r="G5" s="15"/>
      <c r="H5" s="15"/>
      <c r="I5" s="15"/>
      <c r="J5" s="15"/>
      <c r="K5" s="15"/>
      <c r="L5" s="23" t="s">
        <v>163</v>
      </c>
      <c r="M5" s="17"/>
      <c r="N5" s="17"/>
    </row>
    <row r="6" ht="14.5" spans="2:14">
      <c r="B6" s="17"/>
      <c r="C6" s="17"/>
      <c r="D6" s="15"/>
      <c r="E6" s="15"/>
      <c r="F6" s="15"/>
      <c r="G6" s="15"/>
      <c r="H6" s="15"/>
      <c r="I6" s="15"/>
      <c r="J6" s="15"/>
      <c r="K6" s="15"/>
      <c r="L6" s="23" t="s">
        <v>164</v>
      </c>
      <c r="M6" s="17"/>
      <c r="N6" s="17"/>
    </row>
    <row r="7" ht="14.5" spans="2:14">
      <c r="B7" s="17"/>
      <c r="C7" s="17"/>
      <c r="D7" s="17"/>
      <c r="E7" s="17"/>
      <c r="F7" s="17"/>
      <c r="G7" s="17"/>
      <c r="H7" s="17"/>
      <c r="I7" s="17"/>
      <c r="J7" s="15"/>
      <c r="K7" s="15"/>
      <c r="L7" s="23" t="s">
        <v>165</v>
      </c>
      <c r="M7" s="17"/>
      <c r="N7" s="17"/>
    </row>
    <row r="8" ht="14.5" spans="2:14">
      <c r="B8" s="17"/>
      <c r="C8" s="17"/>
      <c r="D8" s="17"/>
      <c r="E8" s="17"/>
      <c r="F8" s="17"/>
      <c r="G8" s="17"/>
      <c r="H8" s="17"/>
      <c r="I8" s="17"/>
      <c r="J8" s="15"/>
      <c r="K8" s="15"/>
      <c r="L8" s="23" t="s">
        <v>166</v>
      </c>
      <c r="M8" s="17"/>
      <c r="N8" s="17"/>
    </row>
    <row r="9" ht="14.5" spans="2:14">
      <c r="B9" s="17"/>
      <c r="C9" s="17"/>
      <c r="D9" s="17"/>
      <c r="E9" s="17"/>
      <c r="F9" s="17"/>
      <c r="G9" s="17"/>
      <c r="H9" s="17"/>
      <c r="I9" s="17"/>
      <c r="J9" s="15"/>
      <c r="K9" s="15"/>
      <c r="L9" s="23" t="s">
        <v>167</v>
      </c>
      <c r="M9" s="17"/>
      <c r="N9" s="17"/>
    </row>
    <row r="10" ht="14.5" spans="2:14">
      <c r="B10" s="17"/>
      <c r="C10" s="17"/>
      <c r="D10" s="23" t="s">
        <v>168</v>
      </c>
      <c r="E10" s="23"/>
      <c r="F10" s="23"/>
      <c r="G10" s="17"/>
      <c r="H10" s="17"/>
      <c r="I10" s="17"/>
      <c r="J10" s="15"/>
      <c r="K10" s="15"/>
      <c r="L10" s="23" t="s">
        <v>169</v>
      </c>
      <c r="M10" s="17"/>
      <c r="N10" s="17"/>
    </row>
    <row r="11" ht="14.5" spans="2:14">
      <c r="B11" s="17"/>
      <c r="C11" s="17"/>
      <c r="D11" s="23" t="s">
        <v>170</v>
      </c>
      <c r="E11" s="23" t="s">
        <v>171</v>
      </c>
      <c r="F11" s="23" t="s">
        <v>172</v>
      </c>
      <c r="G11" s="17"/>
      <c r="H11" s="17"/>
      <c r="I11" s="17"/>
      <c r="J11" s="15"/>
      <c r="K11" s="15"/>
      <c r="L11" s="23" t="s">
        <v>173</v>
      </c>
      <c r="M11" s="17"/>
      <c r="N11" s="17"/>
    </row>
    <row r="12" ht="14.5" spans="2:14">
      <c r="B12" s="17"/>
      <c r="C12" s="17"/>
      <c r="D12" s="23" t="s">
        <v>174</v>
      </c>
      <c r="E12" s="23" t="s">
        <v>175</v>
      </c>
      <c r="F12" s="23">
        <v>1055.55</v>
      </c>
      <c r="G12" s="17"/>
      <c r="H12" s="17"/>
      <c r="I12" s="17"/>
      <c r="J12" s="17"/>
      <c r="K12" s="15"/>
      <c r="L12" s="23" t="s">
        <v>176</v>
      </c>
      <c r="M12" s="17"/>
      <c r="N12" s="17"/>
    </row>
    <row r="13" ht="14.5" spans="2:14">
      <c r="B13" s="17"/>
      <c r="C13" s="17"/>
      <c r="D13" s="23" t="s">
        <v>177</v>
      </c>
      <c r="E13" s="23" t="s">
        <v>175</v>
      </c>
      <c r="F13" s="23">
        <v>3.6</v>
      </c>
      <c r="G13" s="17"/>
      <c r="H13" s="17"/>
      <c r="I13" s="17"/>
      <c r="J13" s="17"/>
      <c r="K13" s="15"/>
      <c r="L13" s="23" t="s">
        <v>178</v>
      </c>
      <c r="M13" s="17"/>
      <c r="N13" s="17"/>
    </row>
    <row r="14" ht="14.5" spans="2:14">
      <c r="B14" s="15"/>
      <c r="C14" s="17"/>
      <c r="D14" s="23" t="s">
        <v>179</v>
      </c>
      <c r="E14" s="23" t="s">
        <v>180</v>
      </c>
      <c r="F14" s="23">
        <v>1000</v>
      </c>
      <c r="G14" s="17"/>
      <c r="H14" s="17"/>
      <c r="I14" s="17"/>
      <c r="J14" s="17"/>
      <c r="K14" s="15"/>
      <c r="L14" s="23" t="s">
        <v>181</v>
      </c>
      <c r="M14" s="17"/>
      <c r="N14" s="17"/>
    </row>
    <row r="15" ht="14.5" spans="2:14">
      <c r="B15" s="15"/>
      <c r="C15" s="17"/>
      <c r="D15" s="23" t="s">
        <v>182</v>
      </c>
      <c r="E15" s="23" t="s">
        <v>183</v>
      </c>
      <c r="F15" s="23">
        <v>1000</v>
      </c>
      <c r="G15" s="17"/>
      <c r="H15" s="17"/>
      <c r="I15" s="17"/>
      <c r="J15" s="17"/>
      <c r="K15" s="15"/>
      <c r="L15" s="23" t="s">
        <v>184</v>
      </c>
      <c r="M15" s="17"/>
      <c r="N15" s="17"/>
    </row>
    <row r="16" ht="14.5" spans="2:14">
      <c r="B16" s="15"/>
      <c r="C16" s="17"/>
      <c r="D16" s="23" t="s">
        <v>185</v>
      </c>
      <c r="E16" s="23" t="s">
        <v>175</v>
      </c>
      <c r="F16" s="23">
        <v>1.05555</v>
      </c>
      <c r="G16" s="17"/>
      <c r="H16" s="17"/>
      <c r="I16" s="17"/>
      <c r="J16" s="17"/>
      <c r="K16" s="15"/>
      <c r="L16" s="23" t="s">
        <v>186</v>
      </c>
      <c r="M16" s="17"/>
      <c r="N16" s="17"/>
    </row>
    <row r="17" ht="14.5" spans="2:14">
      <c r="B17" s="17"/>
      <c r="C17" s="17"/>
      <c r="D17" s="23" t="s">
        <v>187</v>
      </c>
      <c r="E17" s="23" t="s">
        <v>175</v>
      </c>
      <c r="F17" s="23">
        <v>0.041868</v>
      </c>
      <c r="G17" s="17"/>
      <c r="H17" s="17"/>
      <c r="I17" s="17"/>
      <c r="J17" s="17"/>
      <c r="K17" s="15"/>
      <c r="L17" s="23" t="s">
        <v>188</v>
      </c>
      <c r="M17" s="17"/>
      <c r="N17" s="17"/>
    </row>
    <row r="18" ht="14.5" spans="2:14">
      <c r="B18" s="17"/>
      <c r="C18" s="17"/>
      <c r="D18" s="23" t="s">
        <v>189</v>
      </c>
      <c r="E18" s="23" t="s">
        <v>175</v>
      </c>
      <c r="F18" s="23">
        <v>41.868</v>
      </c>
      <c r="G18" s="17"/>
      <c r="H18" s="17"/>
      <c r="I18" s="17"/>
      <c r="J18" s="17"/>
      <c r="K18" s="17"/>
      <c r="L18" s="23" t="s">
        <v>190</v>
      </c>
      <c r="M18" s="17"/>
      <c r="N18" s="17"/>
    </row>
    <row r="19" ht="14.5" spans="2:14">
      <c r="B19" s="17"/>
      <c r="C19" s="17"/>
      <c r="D19" s="23" t="s">
        <v>191</v>
      </c>
      <c r="E19" s="23" t="s">
        <v>175</v>
      </c>
      <c r="F19" s="23">
        <v>0.0036</v>
      </c>
      <c r="G19" s="17"/>
      <c r="H19" s="17"/>
      <c r="I19" s="17"/>
      <c r="J19" s="17"/>
      <c r="K19" s="17"/>
      <c r="L19" s="23" t="s">
        <v>192</v>
      </c>
      <c r="M19" s="17"/>
      <c r="N19" s="17"/>
    </row>
    <row r="20" ht="14.5" spans="2:14">
      <c r="B20" s="17"/>
      <c r="C20" s="17"/>
      <c r="D20" s="23" t="s">
        <v>193</v>
      </c>
      <c r="E20" s="23" t="s">
        <v>180</v>
      </c>
      <c r="F20" s="23">
        <v>1000000</v>
      </c>
      <c r="G20" s="17"/>
      <c r="H20" s="17"/>
      <c r="I20" s="17"/>
      <c r="J20" s="17"/>
      <c r="K20" s="17"/>
      <c r="L20" s="23" t="s">
        <v>194</v>
      </c>
      <c r="M20" s="17"/>
      <c r="N20" s="17"/>
    </row>
    <row r="21" ht="14.5" spans="2:14">
      <c r="B21" s="17"/>
      <c r="C21" s="17"/>
      <c r="D21" s="23" t="s">
        <v>195</v>
      </c>
      <c r="E21" s="23" t="s">
        <v>196</v>
      </c>
      <c r="F21" s="23">
        <v>1000</v>
      </c>
      <c r="G21" s="17"/>
      <c r="H21" s="17"/>
      <c r="I21" s="17"/>
      <c r="J21" s="17"/>
      <c r="K21" s="17"/>
      <c r="L21" s="23" t="s">
        <v>197</v>
      </c>
      <c r="M21" s="17"/>
      <c r="N21" s="17"/>
    </row>
    <row r="22" ht="14.5" spans="2:14">
      <c r="B22" s="17"/>
      <c r="C22" s="17"/>
      <c r="D22" s="23" t="s">
        <v>198</v>
      </c>
      <c r="E22" s="23" t="s">
        <v>199</v>
      </c>
      <c r="F22" s="23">
        <v>5.86152</v>
      </c>
      <c r="G22" s="17"/>
      <c r="H22" s="17"/>
      <c r="I22" s="17"/>
      <c r="J22" s="17"/>
      <c r="K22" s="17"/>
      <c r="L22" s="23" t="s">
        <v>200</v>
      </c>
      <c r="M22" s="17"/>
      <c r="N22" s="17"/>
    </row>
    <row r="23" ht="14.5" spans="2:14">
      <c r="B23" s="17"/>
      <c r="C23" s="17"/>
      <c r="D23" s="23" t="s">
        <v>201</v>
      </c>
      <c r="E23" s="23" t="s">
        <v>202</v>
      </c>
      <c r="F23" s="23">
        <v>0.001</v>
      </c>
      <c r="G23" s="17"/>
      <c r="H23" s="17"/>
      <c r="I23" s="17"/>
      <c r="J23" s="17"/>
      <c r="K23" s="17"/>
      <c r="L23" s="23" t="s">
        <v>203</v>
      </c>
      <c r="M23" s="17"/>
      <c r="N23" s="17"/>
    </row>
    <row r="24" ht="14.5" spans="2:14">
      <c r="B24" s="17"/>
      <c r="C24" s="17"/>
      <c r="D24" s="23" t="s">
        <v>204</v>
      </c>
      <c r="E24" s="23" t="s">
        <v>175</v>
      </c>
      <c r="F24" s="23">
        <v>1000</v>
      </c>
      <c r="G24" s="17"/>
      <c r="H24" s="17"/>
      <c r="I24" s="17"/>
      <c r="J24" s="17"/>
      <c r="K24" s="17"/>
      <c r="L24" s="23" t="s">
        <v>205</v>
      </c>
      <c r="M24" s="17"/>
      <c r="N24" s="17"/>
    </row>
    <row r="25" ht="14.5" spans="2:14">
      <c r="B25" s="17"/>
      <c r="C25" s="17"/>
      <c r="D25" s="23" t="s">
        <v>206</v>
      </c>
      <c r="E25" s="23" t="s">
        <v>175</v>
      </c>
      <c r="F25" s="23">
        <v>37.68</v>
      </c>
      <c r="G25" s="17"/>
      <c r="H25" s="17"/>
      <c r="I25" s="17"/>
      <c r="J25" s="17"/>
      <c r="K25" s="17"/>
      <c r="L25" s="23" t="s">
        <v>207</v>
      </c>
      <c r="M25" s="17"/>
      <c r="N25" s="17"/>
    </row>
    <row r="26" ht="14.5" spans="2:14">
      <c r="B26" s="17"/>
      <c r="C26" s="17"/>
      <c r="D26" s="23" t="s">
        <v>208</v>
      </c>
      <c r="E26" s="23" t="s">
        <v>175</v>
      </c>
      <c r="F26" s="23">
        <v>2139.4548</v>
      </c>
      <c r="G26" s="17"/>
      <c r="H26" s="17"/>
      <c r="I26" s="17"/>
      <c r="J26" s="17"/>
      <c r="K26" s="17"/>
      <c r="L26" s="23" t="s">
        <v>209</v>
      </c>
      <c r="M26" s="17"/>
      <c r="N26" s="17"/>
    </row>
    <row r="27" ht="14.5" spans="2:14">
      <c r="B27" s="17"/>
      <c r="C27" s="17"/>
      <c r="D27" s="23" t="s">
        <v>210</v>
      </c>
      <c r="E27" s="23" t="s">
        <v>211</v>
      </c>
      <c r="F27" s="23">
        <v>2.78</v>
      </c>
      <c r="G27" s="17"/>
      <c r="H27" s="17"/>
      <c r="I27" s="17"/>
      <c r="J27" s="17"/>
      <c r="K27" s="17"/>
      <c r="L27" s="23" t="s">
        <v>212</v>
      </c>
      <c r="M27" s="17"/>
      <c r="N27" s="17"/>
    </row>
    <row r="28" ht="14.5" spans="2:14">
      <c r="B28" s="17"/>
      <c r="C28" s="17"/>
      <c r="D28" s="23" t="s">
        <v>213</v>
      </c>
      <c r="E28" s="23" t="s">
        <v>175</v>
      </c>
      <c r="F28" s="23">
        <v>3.6</v>
      </c>
      <c r="G28" s="17"/>
      <c r="H28" s="17"/>
      <c r="I28" s="17"/>
      <c r="J28" s="17"/>
      <c r="K28" s="17"/>
      <c r="L28" s="23" t="s">
        <v>214</v>
      </c>
      <c r="M28" s="17"/>
      <c r="N28" s="17"/>
    </row>
    <row r="29" ht="14.5" spans="2:14">
      <c r="B29" s="17"/>
      <c r="C29" s="17"/>
      <c r="D29" s="23" t="s">
        <v>175</v>
      </c>
      <c r="E29" s="23" t="s">
        <v>175</v>
      </c>
      <c r="F29" s="23">
        <v>1</v>
      </c>
      <c r="G29" s="17"/>
      <c r="H29" s="17"/>
      <c r="I29" s="17"/>
      <c r="J29" s="17"/>
      <c r="K29" s="17"/>
      <c r="L29" s="23" t="s">
        <v>215</v>
      </c>
      <c r="M29" s="17"/>
      <c r="N29" s="17"/>
    </row>
    <row r="30" ht="14.5" spans="2:14">
      <c r="B30" s="17"/>
      <c r="C30" s="17"/>
      <c r="D30" s="23" t="s">
        <v>216</v>
      </c>
      <c r="E30" s="23" t="s">
        <v>175</v>
      </c>
      <c r="F30" s="23">
        <v>31.536</v>
      </c>
      <c r="G30" s="17"/>
      <c r="H30" s="17"/>
      <c r="I30" s="17"/>
      <c r="J30" s="17"/>
      <c r="K30" s="17"/>
      <c r="L30" s="23" t="s">
        <v>217</v>
      </c>
      <c r="M30" s="17"/>
      <c r="N30" s="17"/>
    </row>
    <row r="31" ht="14.5" spans="2:14">
      <c r="B31" s="17"/>
      <c r="C31" s="17"/>
      <c r="D31" s="23" t="s">
        <v>218</v>
      </c>
      <c r="E31" s="23" t="s">
        <v>175</v>
      </c>
      <c r="F31" s="23">
        <v>120</v>
      </c>
      <c r="G31" s="17"/>
      <c r="H31" s="17"/>
      <c r="I31" s="17"/>
      <c r="J31" s="17"/>
      <c r="K31" s="17"/>
      <c r="L31" s="23" t="s">
        <v>219</v>
      </c>
      <c r="M31" s="17"/>
      <c r="N31" s="17"/>
    </row>
    <row r="32" ht="14.5" spans="2:14">
      <c r="B32" s="17"/>
      <c r="C32" s="17"/>
      <c r="D32" s="23" t="s">
        <v>220</v>
      </c>
      <c r="E32" s="23" t="s">
        <v>175</v>
      </c>
      <c r="F32" s="23">
        <v>5.86152</v>
      </c>
      <c r="G32" s="17"/>
      <c r="H32" s="17"/>
      <c r="I32" s="17"/>
      <c r="J32" s="17"/>
      <c r="K32" s="17"/>
      <c r="L32" s="23" t="s">
        <v>221</v>
      </c>
      <c r="M32" s="17"/>
      <c r="N32" s="17"/>
    </row>
    <row r="33" ht="14.5" spans="2:14"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23" t="s">
        <v>222</v>
      </c>
      <c r="M33" s="17"/>
      <c r="N33" s="17"/>
    </row>
    <row r="34" ht="14.5" spans="2:14"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23" t="s">
        <v>223</v>
      </c>
      <c r="M34" s="17"/>
      <c r="N34" s="17"/>
    </row>
    <row r="35" ht="14.5" spans="2:14"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23" t="s">
        <v>224</v>
      </c>
      <c r="M35" s="17"/>
      <c r="N35" s="17"/>
    </row>
    <row r="36" ht="14.5" spans="2:14"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23" t="s">
        <v>225</v>
      </c>
      <c r="M36" s="17"/>
      <c r="N36" s="17"/>
    </row>
    <row r="37" ht="14.5" spans="2:14">
      <c r="B37" s="17"/>
      <c r="C37" s="17"/>
      <c r="D37" s="24"/>
      <c r="E37" s="25"/>
      <c r="F37" s="17"/>
      <c r="G37" s="17"/>
      <c r="H37" s="17"/>
      <c r="I37" s="17"/>
      <c r="J37" s="17"/>
      <c r="K37" s="17"/>
      <c r="L37" s="23" t="s">
        <v>226</v>
      </c>
      <c r="M37" s="17"/>
      <c r="N37" s="17"/>
    </row>
    <row r="38" ht="14.5" spans="2:14"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23" t="s">
        <v>227</v>
      </c>
      <c r="M38" s="17"/>
      <c r="N38" s="17"/>
    </row>
    <row r="39" ht="14.5" spans="2:14"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23" t="s">
        <v>228</v>
      </c>
      <c r="M39" s="17"/>
      <c r="N39" s="17"/>
    </row>
    <row r="40" ht="14.5" spans="2:14"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23" t="s">
        <v>229</v>
      </c>
      <c r="M40" s="17"/>
      <c r="N40" s="17"/>
    </row>
    <row r="41" ht="14.5" spans="2:14"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23" t="s">
        <v>230</v>
      </c>
      <c r="M41" s="17"/>
      <c r="N41" s="17"/>
    </row>
    <row r="42" ht="14.5" spans="2:14"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23" t="s">
        <v>231</v>
      </c>
      <c r="M42" s="17"/>
      <c r="N42" s="17"/>
    </row>
    <row r="43" ht="14.5" spans="2:14"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23" t="s">
        <v>232</v>
      </c>
      <c r="M43" s="17"/>
      <c r="N43" s="17"/>
    </row>
    <row r="44" ht="14.5" spans="2:14"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23" t="s">
        <v>233</v>
      </c>
      <c r="M44" s="17"/>
      <c r="N44" s="17"/>
    </row>
    <row r="45" ht="14.5" spans="2:14"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23" t="s">
        <v>234</v>
      </c>
      <c r="M45" s="17"/>
      <c r="N45" s="17"/>
    </row>
    <row r="46" ht="14.5" spans="2:14"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23" t="s">
        <v>235</v>
      </c>
      <c r="M46" s="17"/>
      <c r="N46" s="17"/>
    </row>
    <row r="47" ht="14.5" spans="2:14"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23" t="s">
        <v>236</v>
      </c>
      <c r="M47" s="17"/>
      <c r="N47" s="17"/>
    </row>
    <row r="48" ht="14.5" spans="2:14"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23" t="s">
        <v>237</v>
      </c>
      <c r="M48" s="17"/>
      <c r="N48" s="17"/>
    </row>
    <row r="49" spans="12:12">
      <c r="L49" s="14" t="s">
        <v>238</v>
      </c>
    </row>
  </sheetData>
  <sortState ref="L5:L47">
    <sortCondition ref="L5:L47"/>
  </sortState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D33"/>
  <sheetViews>
    <sheetView zoomScale="50" zoomScaleNormal="50" workbookViewId="0">
      <selection activeCell="A1" sqref="A1"/>
    </sheetView>
  </sheetViews>
  <sheetFormatPr defaultColWidth="9" defaultRowHeight="12.5" outlineLevelCol="3"/>
  <cols>
    <col min="3" max="3" width="13.0636363636364" customWidth="1"/>
  </cols>
  <sheetData>
    <row r="3" spans="2:4">
      <c r="B3" t="s">
        <v>129</v>
      </c>
    </row>
    <row r="4" spans="2:4">
      <c r="B4" t="s">
        <v>94</v>
      </c>
      <c r="C4" t="s">
        <v>159</v>
      </c>
      <c r="D4" t="s">
        <v>96</v>
      </c>
    </row>
    <row r="5" spans="2:4">
      <c r="B5" t="s">
        <v>239</v>
      </c>
      <c r="C5" t="s">
        <v>240</v>
      </c>
      <c r="D5">
        <v>-1</v>
      </c>
    </row>
    <row r="6" spans="2:4">
      <c r="B6" t="s">
        <v>239</v>
      </c>
      <c r="C6" t="s">
        <v>241</v>
      </c>
      <c r="D6">
        <v>1</v>
      </c>
    </row>
    <row r="7" spans="2:4">
      <c r="B7" t="s">
        <v>239</v>
      </c>
      <c r="C7" t="s">
        <v>242</v>
      </c>
      <c r="D7">
        <v>1</v>
      </c>
    </row>
    <row r="8" spans="2:4">
      <c r="B8" t="s">
        <v>239</v>
      </c>
      <c r="C8" t="s">
        <v>243</v>
      </c>
      <c r="D8">
        <v>1</v>
      </c>
    </row>
    <row r="9" spans="2:4">
      <c r="B9" t="s">
        <v>239</v>
      </c>
      <c r="C9" t="s">
        <v>244</v>
      </c>
      <c r="D9">
        <v>1</v>
      </c>
    </row>
    <row r="10" spans="2:4">
      <c r="B10" t="s">
        <v>239</v>
      </c>
      <c r="C10" t="s">
        <v>245</v>
      </c>
      <c r="D10">
        <v>1</v>
      </c>
    </row>
    <row r="11" spans="2:4">
      <c r="B11" t="s">
        <v>239</v>
      </c>
      <c r="C11" t="s">
        <v>246</v>
      </c>
      <c r="D11">
        <v>1</v>
      </c>
    </row>
    <row r="12" spans="2:4">
      <c r="B12" t="s">
        <v>239</v>
      </c>
      <c r="C12" t="s">
        <v>241</v>
      </c>
      <c r="D12">
        <v>1</v>
      </c>
    </row>
    <row r="13" spans="2:4">
      <c r="B13" t="s">
        <v>239</v>
      </c>
      <c r="C13" t="s">
        <v>247</v>
      </c>
      <c r="D13">
        <v>1</v>
      </c>
    </row>
    <row r="14" spans="2:4">
      <c r="B14" t="s">
        <v>239</v>
      </c>
      <c r="C14" t="s">
        <v>248</v>
      </c>
      <c r="D14">
        <v>2</v>
      </c>
    </row>
    <row r="15" spans="2:4">
      <c r="B15" t="s">
        <v>239</v>
      </c>
      <c r="C15" t="s">
        <v>249</v>
      </c>
      <c r="D15">
        <v>1</v>
      </c>
    </row>
    <row r="16" spans="2:4">
      <c r="B16" t="s">
        <v>239</v>
      </c>
      <c r="C16" t="s">
        <v>250</v>
      </c>
      <c r="D16" s="13">
        <v>1e-6</v>
      </c>
    </row>
    <row r="17" spans="2:4">
      <c r="B17" t="s">
        <v>239</v>
      </c>
      <c r="C17" t="s">
        <v>251</v>
      </c>
      <c r="D17" s="13">
        <v>1e-6</v>
      </c>
    </row>
    <row r="18" spans="2:4">
      <c r="B18" t="s">
        <v>239</v>
      </c>
      <c r="C18" t="s">
        <v>252</v>
      </c>
      <c r="D18" s="13">
        <v>1e-6</v>
      </c>
    </row>
    <row r="19" spans="2:4">
      <c r="B19" t="s">
        <v>239</v>
      </c>
      <c r="C19" t="s">
        <v>253</v>
      </c>
      <c r="D19" s="13">
        <v>1e-6</v>
      </c>
    </row>
    <row r="25" spans="2:4">
      <c r="B25" t="s">
        <v>254</v>
      </c>
    </row>
    <row r="26" spans="2:4">
      <c r="B26" t="s">
        <v>255</v>
      </c>
      <c r="C26" t="s">
        <v>256</v>
      </c>
    </row>
    <row r="27" spans="2:4">
      <c r="B27" t="s">
        <v>257</v>
      </c>
      <c r="C27" t="s">
        <v>258</v>
      </c>
    </row>
    <row r="28" spans="2:4">
      <c r="B28" t="s">
        <v>259</v>
      </c>
      <c r="C28" t="s">
        <v>258</v>
      </c>
    </row>
    <row r="29" spans="2:4">
      <c r="B29" t="s">
        <v>260</v>
      </c>
      <c r="C29" t="s">
        <v>258</v>
      </c>
    </row>
    <row r="30" spans="2:4">
      <c r="B30" t="s">
        <v>261</v>
      </c>
      <c r="C30" t="s">
        <v>258</v>
      </c>
    </row>
    <row r="31" spans="2:4">
      <c r="B31" t="s">
        <v>262</v>
      </c>
      <c r="C31" t="s">
        <v>258</v>
      </c>
    </row>
    <row r="32" spans="2:4">
      <c r="B32" t="s">
        <v>263</v>
      </c>
    </row>
    <row r="33" spans="2:3">
      <c r="B33" t="s">
        <v>264</v>
      </c>
      <c r="C33" t="s">
        <v>258</v>
      </c>
    </row>
  </sheetData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25"/>
  <sheetViews>
    <sheetView zoomScale="52" zoomScaleNormal="52" workbookViewId="0">
      <selection activeCell="L28" sqref="L28"/>
    </sheetView>
  </sheetViews>
  <sheetFormatPr defaultColWidth="11.4636363636364" defaultRowHeight="12.5" outlineLevelCol="6"/>
  <cols>
    <col min="1" max="1" width="9.06363636363636" customWidth="1"/>
    <col min="2" max="2" width="15.2636363636364" customWidth="1"/>
    <col min="3" max="3" width="30.2636363636364" customWidth="1"/>
    <col min="4" max="5" width="9.06363636363636" customWidth="1"/>
    <col min="6" max="6" width="15.4636363636364" customWidth="1"/>
  </cols>
  <sheetData>
    <row r="2" spans="2:7">
      <c r="B2" t="s">
        <v>265</v>
      </c>
    </row>
    <row r="3" spans="2:7">
      <c r="B3" s="10" t="s">
        <v>104</v>
      </c>
      <c r="C3" s="10" t="s">
        <v>266</v>
      </c>
      <c r="D3" s="10" t="s">
        <v>96</v>
      </c>
      <c r="E3" s="10" t="s">
        <v>100</v>
      </c>
      <c r="F3" s="10" t="s">
        <v>99</v>
      </c>
      <c r="G3" s="10" t="s">
        <v>267</v>
      </c>
    </row>
    <row r="4" ht="14.5" spans="2:7">
      <c r="B4" s="11" t="s">
        <v>268</v>
      </c>
      <c r="C4" s="11" t="s">
        <v>269</v>
      </c>
      <c r="D4" s="12" t="s">
        <v>270</v>
      </c>
      <c r="F4" s="11" t="s">
        <v>271</v>
      </c>
    </row>
    <row r="5" spans="2:7">
      <c r="B5" s="11" t="s">
        <v>272</v>
      </c>
      <c r="C5" t="s">
        <v>273</v>
      </c>
      <c r="D5" t="s">
        <v>270</v>
      </c>
      <c r="F5" t="s">
        <v>274</v>
      </c>
    </row>
    <row r="6" spans="2:7">
      <c r="B6" t="s">
        <v>275</v>
      </c>
      <c r="C6" t="s">
        <v>276</v>
      </c>
      <c r="D6" t="s">
        <v>270</v>
      </c>
      <c r="F6" t="s">
        <v>277</v>
      </c>
    </row>
    <row r="7" spans="2:7">
      <c r="B7" t="s">
        <v>278</v>
      </c>
      <c r="C7" t="s">
        <v>279</v>
      </c>
      <c r="D7" t="s">
        <v>270</v>
      </c>
      <c r="F7" t="s">
        <v>280</v>
      </c>
    </row>
    <row r="8" spans="2:7">
      <c r="B8" t="s">
        <v>281</v>
      </c>
      <c r="C8" t="s">
        <v>282</v>
      </c>
      <c r="D8" t="s">
        <v>270</v>
      </c>
      <c r="F8" t="s">
        <v>283</v>
      </c>
    </row>
    <row r="9" spans="2:7">
      <c r="B9" t="s">
        <v>284</v>
      </c>
      <c r="C9" t="s">
        <v>285</v>
      </c>
      <c r="D9" t="s">
        <v>270</v>
      </c>
      <c r="F9" t="s">
        <v>286</v>
      </c>
    </row>
    <row r="10" spans="2:7">
      <c r="B10" t="s">
        <v>287</v>
      </c>
      <c r="C10" t="s">
        <v>288</v>
      </c>
      <c r="D10" t="s">
        <v>270</v>
      </c>
      <c r="F10" t="s">
        <v>289</v>
      </c>
    </row>
    <row r="11" spans="2:7">
      <c r="B11" t="s">
        <v>290</v>
      </c>
      <c r="C11" t="s">
        <v>291</v>
      </c>
      <c r="D11" t="s">
        <v>270</v>
      </c>
      <c r="F11" t="s">
        <v>292</v>
      </c>
    </row>
    <row r="12" spans="2:7">
      <c r="B12" t="s">
        <v>293</v>
      </c>
      <c r="C12" t="s">
        <v>294</v>
      </c>
      <c r="D12" t="s">
        <v>270</v>
      </c>
      <c r="F12" t="s">
        <v>295</v>
      </c>
    </row>
    <row r="13" spans="2:7">
      <c r="B13" t="s">
        <v>296</v>
      </c>
      <c r="D13" t="s">
        <v>270</v>
      </c>
      <c r="F13" t="s">
        <v>297</v>
      </c>
    </row>
    <row r="16" spans="2:7">
      <c r="B16" t="s">
        <v>298</v>
      </c>
      <c r="C16" t="s">
        <v>299</v>
      </c>
      <c r="D16" t="s">
        <v>270</v>
      </c>
      <c r="F16" t="s">
        <v>300</v>
      </c>
    </row>
    <row r="21" spans="2:7">
      <c r="B21" t="s">
        <v>265</v>
      </c>
    </row>
    <row r="22" spans="2:7">
      <c r="B22" t="s">
        <v>104</v>
      </c>
      <c r="C22" t="s">
        <v>266</v>
      </c>
      <c r="D22" t="s">
        <v>96</v>
      </c>
      <c r="E22" t="s">
        <v>100</v>
      </c>
      <c r="F22" t="s">
        <v>99</v>
      </c>
      <c r="G22" t="s">
        <v>267</v>
      </c>
    </row>
    <row r="23" spans="2:7">
      <c r="B23" t="s">
        <v>301</v>
      </c>
      <c r="C23" t="s">
        <v>302</v>
      </c>
      <c r="D23" t="s">
        <v>258</v>
      </c>
      <c r="E23" t="s">
        <v>303</v>
      </c>
      <c r="F23" t="s">
        <v>304</v>
      </c>
    </row>
    <row r="24" spans="2:7">
      <c r="B24" t="s">
        <v>305</v>
      </c>
      <c r="C24" t="s">
        <v>306</v>
      </c>
      <c r="D24" t="s">
        <v>258</v>
      </c>
      <c r="E24" t="s">
        <v>303</v>
      </c>
      <c r="F24" t="s">
        <v>307</v>
      </c>
    </row>
    <row r="25" spans="2:7">
      <c r="B25" t="s">
        <v>308</v>
      </c>
      <c r="C25" t="s">
        <v>302</v>
      </c>
      <c r="D25" t="s">
        <v>258</v>
      </c>
      <c r="E25" t="s">
        <v>303</v>
      </c>
      <c r="F25" t="s">
        <v>309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48"/>
  <sheetViews>
    <sheetView zoomScale="66" zoomScaleNormal="66" topLeftCell="L1" workbookViewId="0">
      <selection activeCell="A1" sqref="A1"/>
    </sheetView>
  </sheetViews>
  <sheetFormatPr defaultColWidth="9" defaultRowHeight="12.5"/>
  <cols>
    <col min="2" max="2" width="10.0636363636364" customWidth="1"/>
    <col min="3" max="3" width="11.2636363636364" customWidth="1"/>
    <col min="4" max="4" width="30" customWidth="1"/>
    <col min="5" max="5" width="6.06363636363636" customWidth="1"/>
    <col min="6" max="7" width="8.8" customWidth="1"/>
    <col min="8" max="8" width="7.52727272727273" customWidth="1"/>
    <col min="9" max="9" width="5.8" customWidth="1"/>
    <col min="11" max="11" width="7" customWidth="1"/>
    <col min="12" max="12" width="16" customWidth="1"/>
    <col min="13" max="13" width="52" customWidth="1"/>
    <col min="20" max="20" width="9.06363636363636" customWidth="1"/>
    <col min="21" max="21" width="15.7272727272727" customWidth="1"/>
    <col min="22" max="22" width="44.8" customWidth="1"/>
    <col min="23" max="23" width="4.26363636363636" customWidth="1"/>
    <col min="24" max="24" width="8" customWidth="1"/>
    <col min="25" max="25" width="8.8" customWidth="1"/>
    <col min="26" max="26" width="7.52727272727273" customWidth="1"/>
    <col min="27" max="27" width="7.8" customWidth="1"/>
  </cols>
  <sheetData>
    <row r="3" spans="2:27">
      <c r="B3" t="s">
        <v>310</v>
      </c>
      <c r="K3" s="6" t="s">
        <v>310</v>
      </c>
      <c r="L3" s="6"/>
      <c r="M3" s="6"/>
      <c r="N3" s="6"/>
      <c r="O3" s="6"/>
      <c r="P3" s="6"/>
      <c r="Q3" s="6"/>
      <c r="R3" s="6"/>
      <c r="T3" t="s">
        <v>310</v>
      </c>
    </row>
    <row r="4" spans="2:27">
      <c r="B4" t="s">
        <v>311</v>
      </c>
      <c r="C4" t="s">
        <v>312</v>
      </c>
      <c r="D4" t="s">
        <v>313</v>
      </c>
      <c r="E4" t="s">
        <v>314</v>
      </c>
      <c r="F4" t="s">
        <v>93</v>
      </c>
      <c r="G4" t="s">
        <v>315</v>
      </c>
      <c r="H4" t="s">
        <v>316</v>
      </c>
      <c r="I4" t="s">
        <v>317</v>
      </c>
      <c r="K4" s="6" t="s">
        <v>318</v>
      </c>
      <c r="L4" s="6" t="s">
        <v>312</v>
      </c>
      <c r="M4" s="6" t="s">
        <v>313</v>
      </c>
      <c r="N4" s="6" t="s">
        <v>314</v>
      </c>
      <c r="O4" s="6" t="s">
        <v>93</v>
      </c>
      <c r="P4" s="6" t="s">
        <v>315</v>
      </c>
      <c r="Q4" s="6" t="s">
        <v>316</v>
      </c>
      <c r="R4" s="6" t="s">
        <v>317</v>
      </c>
      <c r="T4" t="s">
        <v>311</v>
      </c>
      <c r="U4" t="s">
        <v>312</v>
      </c>
      <c r="V4" t="s">
        <v>313</v>
      </c>
      <c r="W4" t="s">
        <v>314</v>
      </c>
      <c r="X4" t="s">
        <v>93</v>
      </c>
      <c r="Y4" t="s">
        <v>315</v>
      </c>
      <c r="Z4" t="s">
        <v>316</v>
      </c>
      <c r="AA4" t="s">
        <v>317</v>
      </c>
    </row>
    <row r="5" spans="2:27">
      <c r="B5" t="s">
        <v>319</v>
      </c>
      <c r="K5" t="s">
        <v>303</v>
      </c>
      <c r="L5" s="6" t="s">
        <v>320</v>
      </c>
      <c r="M5" s="6" t="s">
        <v>321</v>
      </c>
      <c r="N5" s="6" t="s">
        <v>175</v>
      </c>
      <c r="O5" s="6"/>
      <c r="P5" s="6"/>
      <c r="Q5" s="6"/>
      <c r="R5" s="6"/>
      <c r="T5" t="s">
        <v>319</v>
      </c>
    </row>
    <row r="6" spans="2:27">
      <c r="B6" t="s">
        <v>322</v>
      </c>
      <c r="C6" t="s">
        <v>323</v>
      </c>
      <c r="D6" t="s">
        <v>324</v>
      </c>
      <c r="E6" t="s">
        <v>325</v>
      </c>
      <c r="K6" s="6"/>
      <c r="L6" s="6" t="s">
        <v>326</v>
      </c>
      <c r="M6" s="6" t="s">
        <v>327</v>
      </c>
      <c r="N6" s="6" t="s">
        <v>175</v>
      </c>
      <c r="O6" s="6"/>
      <c r="P6" s="6"/>
      <c r="Q6" s="6"/>
      <c r="T6" t="s">
        <v>322</v>
      </c>
      <c r="U6" t="s">
        <v>328</v>
      </c>
      <c r="V6" t="s">
        <v>329</v>
      </c>
      <c r="W6" t="s">
        <v>325</v>
      </c>
    </row>
    <row r="7" spans="2:27">
      <c r="B7" t="s">
        <v>322</v>
      </c>
      <c r="C7" t="s">
        <v>330</v>
      </c>
      <c r="D7" t="s">
        <v>331</v>
      </c>
      <c r="E7" t="s">
        <v>332</v>
      </c>
      <c r="K7" t="s">
        <v>322</v>
      </c>
      <c r="L7" t="s">
        <v>333</v>
      </c>
      <c r="M7" s="6" t="s">
        <v>334</v>
      </c>
      <c r="N7" s="6" t="s">
        <v>332</v>
      </c>
      <c r="O7" t="s">
        <v>105</v>
      </c>
      <c r="T7" t="s">
        <v>322</v>
      </c>
      <c r="U7" t="s">
        <v>335</v>
      </c>
      <c r="V7" t="s">
        <v>336</v>
      </c>
      <c r="W7" t="s">
        <v>332</v>
      </c>
    </row>
    <row r="8" spans="2:27">
      <c r="B8" t="s">
        <v>337</v>
      </c>
      <c r="C8" t="s">
        <v>338</v>
      </c>
      <c r="D8" t="s">
        <v>339</v>
      </c>
      <c r="E8" t="s">
        <v>332</v>
      </c>
      <c r="L8" t="s">
        <v>340</v>
      </c>
      <c r="M8" s="6" t="s">
        <v>341</v>
      </c>
      <c r="N8" s="6" t="s">
        <v>332</v>
      </c>
      <c r="O8" t="s">
        <v>105</v>
      </c>
      <c r="T8" t="s">
        <v>322</v>
      </c>
      <c r="U8" t="s">
        <v>342</v>
      </c>
      <c r="V8" t="s">
        <v>343</v>
      </c>
      <c r="W8" t="s">
        <v>332</v>
      </c>
    </row>
    <row r="9" spans="2:27">
      <c r="B9" t="s">
        <v>322</v>
      </c>
      <c r="C9" t="s">
        <v>344</v>
      </c>
      <c r="D9" t="s">
        <v>345</v>
      </c>
      <c r="E9" t="s">
        <v>325</v>
      </c>
      <c r="L9" t="s">
        <v>346</v>
      </c>
      <c r="M9" s="6" t="s">
        <v>347</v>
      </c>
      <c r="N9" s="6" t="s">
        <v>332</v>
      </c>
      <c r="O9" t="s">
        <v>105</v>
      </c>
      <c r="T9" t="s">
        <v>322</v>
      </c>
      <c r="U9" t="s">
        <v>348</v>
      </c>
      <c r="V9" t="s">
        <v>349</v>
      </c>
      <c r="W9" t="s">
        <v>325</v>
      </c>
    </row>
    <row r="10" spans="2:27">
      <c r="B10" t="s">
        <v>322</v>
      </c>
      <c r="C10" t="s">
        <v>350</v>
      </c>
      <c r="D10" t="s">
        <v>351</v>
      </c>
      <c r="E10" t="s">
        <v>332</v>
      </c>
      <c r="L10" t="s">
        <v>352</v>
      </c>
      <c r="M10" s="6" t="s">
        <v>353</v>
      </c>
      <c r="N10" s="6" t="s">
        <v>332</v>
      </c>
      <c r="T10" t="s">
        <v>322</v>
      </c>
      <c r="U10" t="s">
        <v>354</v>
      </c>
      <c r="V10" t="s">
        <v>355</v>
      </c>
      <c r="W10" t="s">
        <v>332</v>
      </c>
    </row>
    <row r="11" spans="2:27">
      <c r="B11" t="s">
        <v>322</v>
      </c>
      <c r="C11" t="s">
        <v>356</v>
      </c>
      <c r="D11" t="s">
        <v>357</v>
      </c>
      <c r="E11" t="s">
        <v>325</v>
      </c>
      <c r="L11" t="s">
        <v>358</v>
      </c>
      <c r="M11" s="6" t="s">
        <v>359</v>
      </c>
      <c r="N11" s="6" t="s">
        <v>360</v>
      </c>
      <c r="T11" t="s">
        <v>322</v>
      </c>
      <c r="U11" t="s">
        <v>361</v>
      </c>
      <c r="V11" t="s">
        <v>362</v>
      </c>
      <c r="W11" t="s">
        <v>325</v>
      </c>
    </row>
    <row r="12" spans="2:27">
      <c r="C12" t="s">
        <v>363</v>
      </c>
      <c r="D12" t="s">
        <v>364</v>
      </c>
      <c r="E12" t="s">
        <v>332</v>
      </c>
      <c r="K12" t="s">
        <v>303</v>
      </c>
      <c r="L12" t="s">
        <v>365</v>
      </c>
      <c r="M12" t="s">
        <v>366</v>
      </c>
      <c r="N12" t="s">
        <v>175</v>
      </c>
      <c r="T12" t="s">
        <v>322</v>
      </c>
      <c r="U12" t="s">
        <v>367</v>
      </c>
      <c r="V12" t="s">
        <v>368</v>
      </c>
      <c r="W12" t="s">
        <v>332</v>
      </c>
    </row>
    <row r="13" spans="2:27">
      <c r="C13" t="s">
        <v>369</v>
      </c>
      <c r="D13" t="s">
        <v>370</v>
      </c>
      <c r="E13" t="s">
        <v>332</v>
      </c>
      <c r="K13" t="s">
        <v>303</v>
      </c>
      <c r="L13" t="s">
        <v>371</v>
      </c>
      <c r="M13" t="s">
        <v>372</v>
      </c>
      <c r="N13" t="s">
        <v>175</v>
      </c>
      <c r="P13" t="s">
        <v>373</v>
      </c>
      <c r="R13" t="s">
        <v>155</v>
      </c>
      <c r="T13" t="s">
        <v>322</v>
      </c>
      <c r="U13" t="s">
        <v>374</v>
      </c>
      <c r="V13" t="s">
        <v>375</v>
      </c>
      <c r="W13" t="s">
        <v>332</v>
      </c>
    </row>
    <row r="14" spans="2:27">
      <c r="C14" t="s">
        <v>376</v>
      </c>
      <c r="D14" t="s">
        <v>377</v>
      </c>
      <c r="E14" t="s">
        <v>332</v>
      </c>
      <c r="K14" t="s">
        <v>303</v>
      </c>
      <c r="L14" t="s">
        <v>378</v>
      </c>
      <c r="M14" t="s">
        <v>379</v>
      </c>
      <c r="N14" t="s">
        <v>175</v>
      </c>
      <c r="P14" t="s">
        <v>373</v>
      </c>
      <c r="U14" t="s">
        <v>380</v>
      </c>
      <c r="V14" t="s">
        <v>381</v>
      </c>
      <c r="W14" t="s">
        <v>332</v>
      </c>
      <c r="X14" t="s">
        <v>105</v>
      </c>
    </row>
    <row r="15" spans="2:27">
      <c r="C15" t="s">
        <v>382</v>
      </c>
      <c r="D15" t="s">
        <v>383</v>
      </c>
      <c r="E15" t="s">
        <v>332</v>
      </c>
      <c r="L15" t="s">
        <v>384</v>
      </c>
      <c r="M15" t="s">
        <v>385</v>
      </c>
      <c r="N15" t="s">
        <v>175</v>
      </c>
    </row>
    <row r="16" spans="2:27">
      <c r="C16" t="s">
        <v>386</v>
      </c>
      <c r="D16" t="s">
        <v>387</v>
      </c>
      <c r="E16" t="s">
        <v>332</v>
      </c>
      <c r="K16" t="s">
        <v>322</v>
      </c>
      <c r="L16" t="s">
        <v>388</v>
      </c>
      <c r="M16" t="s">
        <v>359</v>
      </c>
      <c r="N16" t="s">
        <v>360</v>
      </c>
    </row>
    <row r="17" spans="3:16">
      <c r="C17" t="s">
        <v>389</v>
      </c>
      <c r="D17" t="s">
        <v>390</v>
      </c>
      <c r="E17" t="s">
        <v>332</v>
      </c>
      <c r="L17" t="s">
        <v>391</v>
      </c>
      <c r="M17" t="s">
        <v>392</v>
      </c>
      <c r="N17" t="s">
        <v>360</v>
      </c>
    </row>
    <row r="18" spans="3:16">
      <c r="C18" t="s">
        <v>393</v>
      </c>
      <c r="D18" t="s">
        <v>394</v>
      </c>
      <c r="E18" t="s">
        <v>332</v>
      </c>
      <c r="L18" t="s">
        <v>395</v>
      </c>
      <c r="M18" t="s">
        <v>396</v>
      </c>
      <c r="N18" t="s">
        <v>360</v>
      </c>
    </row>
    <row r="19" spans="3:16">
      <c r="C19" t="s">
        <v>397</v>
      </c>
      <c r="D19" t="s">
        <v>398</v>
      </c>
      <c r="E19" t="s">
        <v>332</v>
      </c>
      <c r="L19" t="s">
        <v>399</v>
      </c>
      <c r="M19" t="s">
        <v>400</v>
      </c>
      <c r="N19" t="s">
        <v>360</v>
      </c>
    </row>
    <row r="20" spans="3:16">
      <c r="C20" t="s">
        <v>401</v>
      </c>
      <c r="D20" t="s">
        <v>402</v>
      </c>
      <c r="E20" t="s">
        <v>332</v>
      </c>
      <c r="L20" t="s">
        <v>403</v>
      </c>
      <c r="M20" t="s">
        <v>404</v>
      </c>
      <c r="N20" t="s">
        <v>360</v>
      </c>
    </row>
    <row r="21" spans="3:16">
      <c r="C21" t="s">
        <v>405</v>
      </c>
      <c r="D21" t="s">
        <v>406</v>
      </c>
      <c r="E21" t="s">
        <v>332</v>
      </c>
      <c r="L21" t="s">
        <v>407</v>
      </c>
      <c r="M21" t="s">
        <v>408</v>
      </c>
      <c r="N21" t="s">
        <v>332</v>
      </c>
      <c r="O21" t="s">
        <v>105</v>
      </c>
    </row>
    <row r="22" spans="3:16">
      <c r="C22" t="s">
        <v>409</v>
      </c>
      <c r="D22" t="s">
        <v>410</v>
      </c>
      <c r="E22" t="s">
        <v>332</v>
      </c>
      <c r="L22" t="s">
        <v>411</v>
      </c>
      <c r="M22" t="s">
        <v>412</v>
      </c>
      <c r="N22" t="s">
        <v>332</v>
      </c>
      <c r="O22" t="s">
        <v>105</v>
      </c>
    </row>
    <row r="23" spans="3:16">
      <c r="C23" t="s">
        <v>413</v>
      </c>
      <c r="D23" t="s">
        <v>414</v>
      </c>
      <c r="E23" t="s">
        <v>332</v>
      </c>
      <c r="L23" t="s">
        <v>415</v>
      </c>
      <c r="M23" t="s">
        <v>416</v>
      </c>
      <c r="N23" t="s">
        <v>332</v>
      </c>
      <c r="O23" t="s">
        <v>105</v>
      </c>
    </row>
    <row r="24" spans="3:16">
      <c r="C24" t="s">
        <v>417</v>
      </c>
      <c r="D24" t="s">
        <v>418</v>
      </c>
      <c r="E24" t="s">
        <v>332</v>
      </c>
      <c r="L24" t="s">
        <v>419</v>
      </c>
      <c r="M24" t="s">
        <v>420</v>
      </c>
      <c r="N24" t="s">
        <v>332</v>
      </c>
      <c r="O24" t="s">
        <v>105</v>
      </c>
    </row>
    <row r="25" spans="3:16">
      <c r="C25" t="s">
        <v>421</v>
      </c>
      <c r="D25" t="s">
        <v>422</v>
      </c>
      <c r="E25" t="s">
        <v>332</v>
      </c>
      <c r="L25" t="s">
        <v>423</v>
      </c>
      <c r="M25" t="s">
        <v>424</v>
      </c>
      <c r="N25" t="s">
        <v>332</v>
      </c>
    </row>
    <row r="26" spans="3:16">
      <c r="C26" t="s">
        <v>425</v>
      </c>
      <c r="D26" t="s">
        <v>426</v>
      </c>
      <c r="E26" t="s">
        <v>332</v>
      </c>
      <c r="K26" t="s">
        <v>115</v>
      </c>
      <c r="L26" t="s">
        <v>427</v>
      </c>
      <c r="M26" t="s">
        <v>428</v>
      </c>
      <c r="N26" t="s">
        <v>175</v>
      </c>
      <c r="P26" s="7" t="str">
        <f>P14</f>
        <v>DAYNITE</v>
      </c>
    </row>
    <row r="27" spans="3:16">
      <c r="C27" t="s">
        <v>429</v>
      </c>
      <c r="D27" t="s">
        <v>430</v>
      </c>
      <c r="E27" t="s">
        <v>332</v>
      </c>
    </row>
    <row r="28" spans="3:16">
      <c r="C28" t="s">
        <v>431</v>
      </c>
      <c r="D28" t="s">
        <v>432</v>
      </c>
      <c r="E28" t="s">
        <v>332</v>
      </c>
    </row>
    <row r="29" spans="3:16">
      <c r="C29" t="s">
        <v>433</v>
      </c>
      <c r="D29" t="s">
        <v>434</v>
      </c>
      <c r="E29" t="s">
        <v>332</v>
      </c>
    </row>
    <row r="30" spans="3:16">
      <c r="C30" t="s">
        <v>435</v>
      </c>
      <c r="D30" t="s">
        <v>436</v>
      </c>
      <c r="E30" t="s">
        <v>332</v>
      </c>
      <c r="K30" t="s">
        <v>437</v>
      </c>
    </row>
    <row r="31" spans="3:16">
      <c r="C31" t="s">
        <v>438</v>
      </c>
      <c r="D31" t="s">
        <v>439</v>
      </c>
      <c r="E31" t="s">
        <v>332</v>
      </c>
      <c r="K31" t="s">
        <v>440</v>
      </c>
      <c r="L31" t="s">
        <v>441</v>
      </c>
      <c r="M31" t="s">
        <v>442</v>
      </c>
      <c r="N31" t="s">
        <v>443</v>
      </c>
      <c r="O31" t="s">
        <v>444</v>
      </c>
      <c r="P31" t="s">
        <v>445</v>
      </c>
    </row>
    <row r="32" spans="3:16">
      <c r="C32" t="s">
        <v>446</v>
      </c>
      <c r="D32" t="s">
        <v>447</v>
      </c>
      <c r="E32" t="s">
        <v>332</v>
      </c>
      <c r="K32" t="s">
        <v>303</v>
      </c>
      <c r="L32" t="s">
        <v>448</v>
      </c>
      <c r="M32" t="s">
        <v>449</v>
      </c>
      <c r="N32" t="s">
        <v>373</v>
      </c>
      <c r="O32" t="s">
        <v>175</v>
      </c>
      <c r="P32" t="s">
        <v>155</v>
      </c>
    </row>
    <row r="33" spans="2:16">
      <c r="C33" t="s">
        <v>450</v>
      </c>
      <c r="D33" t="s">
        <v>451</v>
      </c>
      <c r="E33" t="s">
        <v>332</v>
      </c>
      <c r="L33" t="s">
        <v>452</v>
      </c>
      <c r="M33" t="s">
        <v>453</v>
      </c>
      <c r="N33" t="s">
        <v>373</v>
      </c>
      <c r="O33" t="s">
        <v>175</v>
      </c>
      <c r="P33" t="s">
        <v>155</v>
      </c>
    </row>
    <row r="34" spans="2:16">
      <c r="C34" t="s">
        <v>454</v>
      </c>
      <c r="D34" t="s">
        <v>455</v>
      </c>
      <c r="E34" t="s">
        <v>332</v>
      </c>
      <c r="K34" t="s">
        <v>322</v>
      </c>
      <c r="L34" t="s">
        <v>456</v>
      </c>
      <c r="M34" t="s">
        <v>457</v>
      </c>
      <c r="N34" t="s">
        <v>373</v>
      </c>
      <c r="O34" t="s">
        <v>175</v>
      </c>
    </row>
    <row r="35" spans="2:16">
      <c r="C35" t="s">
        <v>458</v>
      </c>
      <c r="D35" t="s">
        <v>459</v>
      </c>
      <c r="E35" t="s">
        <v>332</v>
      </c>
      <c r="L35" t="s">
        <v>460</v>
      </c>
      <c r="M35" t="s">
        <v>461</v>
      </c>
      <c r="N35" t="s">
        <v>146</v>
      </c>
      <c r="O35" t="s">
        <v>462</v>
      </c>
    </row>
    <row r="36" spans="2:16">
      <c r="C36" t="s">
        <v>463</v>
      </c>
      <c r="D36" t="s">
        <v>464</v>
      </c>
      <c r="E36" t="s">
        <v>332</v>
      </c>
    </row>
    <row r="37" spans="2:16">
      <c r="C37" t="s">
        <v>465</v>
      </c>
      <c r="D37" t="s">
        <v>466</v>
      </c>
      <c r="E37" t="s">
        <v>332</v>
      </c>
    </row>
    <row r="38" spans="2:16">
      <c r="C38" t="s">
        <v>467</v>
      </c>
      <c r="D38" t="s">
        <v>468</v>
      </c>
      <c r="E38" t="s">
        <v>332</v>
      </c>
    </row>
    <row r="39" spans="2:16">
      <c r="C39" t="s">
        <v>469</v>
      </c>
      <c r="D39" t="s">
        <v>470</v>
      </c>
      <c r="E39" t="s">
        <v>332</v>
      </c>
    </row>
    <row r="40" spans="2:16">
      <c r="C40" t="s">
        <v>471</v>
      </c>
      <c r="D40" t="s">
        <v>472</v>
      </c>
      <c r="E40" t="s">
        <v>332</v>
      </c>
    </row>
    <row r="41" spans="2:16">
      <c r="C41" t="s">
        <v>473</v>
      </c>
      <c r="D41" t="s">
        <v>474</v>
      </c>
      <c r="E41" t="s">
        <v>360</v>
      </c>
    </row>
    <row r="42" spans="2:16">
      <c r="B42" t="s">
        <v>303</v>
      </c>
      <c r="C42" t="s">
        <v>475</v>
      </c>
      <c r="E42" t="s">
        <v>175</v>
      </c>
    </row>
    <row r="45" ht="14.5" spans="2:16">
      <c r="B45" s="8" t="s">
        <v>310</v>
      </c>
    </row>
    <row r="46" ht="14.5" spans="2:16">
      <c r="B46" s="8" t="s">
        <v>318</v>
      </c>
      <c r="C46" s="8" t="s">
        <v>312</v>
      </c>
      <c r="D46" s="8" t="s">
        <v>313</v>
      </c>
      <c r="E46" s="8" t="s">
        <v>314</v>
      </c>
      <c r="F46" t="s">
        <v>315</v>
      </c>
      <c r="G46" s="8" t="s">
        <v>93</v>
      </c>
    </row>
    <row r="47" ht="14.5" spans="2:16">
      <c r="C47" s="8" t="s">
        <v>476</v>
      </c>
      <c r="D47" t="s">
        <v>477</v>
      </c>
      <c r="E47" s="8" t="s">
        <v>175</v>
      </c>
    </row>
    <row r="48" ht="14.5" spans="2:16">
      <c r="B48" t="s">
        <v>322</v>
      </c>
      <c r="C48" s="8" t="s">
        <v>478</v>
      </c>
      <c r="D48" t="s">
        <v>479</v>
      </c>
      <c r="E48" s="8" t="s">
        <v>480</v>
      </c>
      <c r="F48" t="s">
        <v>373</v>
      </c>
      <c r="G48" s="9" t="s">
        <v>481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W3465"/>
  <sheetViews>
    <sheetView zoomScale="44" zoomScaleNormal="44" topLeftCell="T1" workbookViewId="0">
      <selection activeCell="C18" sqref="C18"/>
    </sheetView>
  </sheetViews>
  <sheetFormatPr defaultColWidth="9" defaultRowHeight="12.5"/>
  <cols>
    <col min="2" max="2" width="10.2636363636364" customWidth="1"/>
    <col min="3" max="3" width="11.2636363636364" customWidth="1"/>
    <col min="4" max="4" width="62.2636363636364" customWidth="1"/>
    <col min="5" max="5" width="4.8" customWidth="1"/>
    <col min="6" max="6" width="8.52727272727273" customWidth="1"/>
    <col min="7" max="7" width="7.46363636363636" customWidth="1"/>
    <col min="9" max="9" width="10.2636363636364" customWidth="1"/>
    <col min="10" max="10" width="11.4636363636364" customWidth="1"/>
    <col min="11" max="11" width="57.0636363636364" customWidth="1"/>
    <col min="12" max="12" width="4.8" customWidth="1"/>
    <col min="13" max="13" width="8.52727272727273" customWidth="1"/>
    <col min="14" max="14" width="7.46363636363636" customWidth="1"/>
    <col min="19" max="19" width="12.4636363636364" customWidth="1"/>
    <col min="20" max="20" width="20.5272727272727" customWidth="1"/>
  </cols>
  <sheetData>
    <row r="2" ht="14.5" spans="2:23">
      <c r="B2" s="1" t="s">
        <v>310</v>
      </c>
      <c r="C2" s="1"/>
      <c r="D2" s="1"/>
      <c r="E2" s="1"/>
      <c r="F2" s="1"/>
      <c r="G2" s="1"/>
      <c r="H2" s="1"/>
      <c r="I2" s="1" t="s">
        <v>310</v>
      </c>
      <c r="J2" s="1"/>
      <c r="K2" s="1"/>
      <c r="L2" s="1"/>
      <c r="M2" s="1"/>
      <c r="N2" s="1"/>
      <c r="R2" t="s">
        <v>310</v>
      </c>
    </row>
    <row r="3" ht="15.25" spans="2:23">
      <c r="B3" s="2" t="s">
        <v>482</v>
      </c>
      <c r="C3" s="2" t="s">
        <v>483</v>
      </c>
      <c r="D3" s="2" t="s">
        <v>266</v>
      </c>
      <c r="E3" s="2" t="s">
        <v>314</v>
      </c>
      <c r="F3" s="2" t="s">
        <v>484</v>
      </c>
      <c r="G3" s="2" t="s">
        <v>485</v>
      </c>
      <c r="H3" s="1"/>
      <c r="I3" s="2" t="s">
        <v>482</v>
      </c>
      <c r="J3" s="2" t="s">
        <v>486</v>
      </c>
      <c r="K3" s="2" t="s">
        <v>266</v>
      </c>
      <c r="L3" s="2" t="s">
        <v>314</v>
      </c>
      <c r="M3" s="2" t="s">
        <v>484</v>
      </c>
      <c r="N3" s="2" t="s">
        <v>485</v>
      </c>
      <c r="O3" t="s">
        <v>483</v>
      </c>
      <c r="R3" t="s">
        <v>318</v>
      </c>
      <c r="S3" t="s">
        <v>312</v>
      </c>
      <c r="T3" t="s">
        <v>313</v>
      </c>
      <c r="U3" t="s">
        <v>314</v>
      </c>
      <c r="V3" t="s">
        <v>315</v>
      </c>
    </row>
    <row r="4" ht="14.5" spans="2:23">
      <c r="B4" s="1" t="s">
        <v>303</v>
      </c>
      <c r="C4" s="1" t="s">
        <v>487</v>
      </c>
      <c r="D4" s="1" t="s">
        <v>488</v>
      </c>
      <c r="E4" s="1" t="s">
        <v>175</v>
      </c>
      <c r="F4" s="1"/>
      <c r="G4" s="1"/>
      <c r="H4" s="1"/>
      <c r="I4" s="1" t="s">
        <v>303</v>
      </c>
      <c r="J4" s="1" t="s">
        <v>489</v>
      </c>
      <c r="K4" s="1" t="s">
        <v>490</v>
      </c>
      <c r="L4" s="1" t="s">
        <v>175</v>
      </c>
      <c r="M4" s="1"/>
      <c r="N4" s="1"/>
      <c r="O4" t="s">
        <v>489</v>
      </c>
      <c r="R4" t="s">
        <v>303</v>
      </c>
      <c r="S4" t="s">
        <v>491</v>
      </c>
      <c r="T4" t="s">
        <v>492</v>
      </c>
      <c r="U4" t="s">
        <v>175</v>
      </c>
      <c r="V4" t="s">
        <v>373</v>
      </c>
    </row>
    <row r="5" ht="14.5" spans="2:23">
      <c r="B5" s="1" t="s">
        <v>303</v>
      </c>
      <c r="C5" s="1" t="s">
        <v>493</v>
      </c>
      <c r="D5" s="1" t="s">
        <v>494</v>
      </c>
      <c r="E5" s="1" t="s">
        <v>175</v>
      </c>
      <c r="F5" s="1"/>
      <c r="G5" s="1"/>
      <c r="H5" s="1"/>
      <c r="I5" s="1"/>
      <c r="J5" s="1" t="s">
        <v>495</v>
      </c>
      <c r="K5" s="1" t="s">
        <v>496</v>
      </c>
      <c r="L5" s="1" t="s">
        <v>175</v>
      </c>
      <c r="M5" s="1"/>
      <c r="N5" s="1"/>
      <c r="O5" t="s">
        <v>495</v>
      </c>
      <c r="S5" t="s">
        <v>497</v>
      </c>
      <c r="T5" t="s">
        <v>498</v>
      </c>
      <c r="U5" t="s">
        <v>175</v>
      </c>
    </row>
    <row r="6" ht="14.5" spans="2:23">
      <c r="B6" s="1" t="s">
        <v>303</v>
      </c>
      <c r="C6" s="1" t="s">
        <v>499</v>
      </c>
      <c r="D6" s="1" t="s">
        <v>500</v>
      </c>
      <c r="E6" s="1" t="s">
        <v>175</v>
      </c>
      <c r="F6" s="1"/>
      <c r="G6" s="1"/>
      <c r="H6" s="1"/>
      <c r="I6" s="1"/>
      <c r="J6" s="1" t="s">
        <v>501</v>
      </c>
      <c r="K6" s="1" t="s">
        <v>502</v>
      </c>
      <c r="L6" s="1" t="s">
        <v>175</v>
      </c>
      <c r="M6" s="1"/>
      <c r="N6" s="1"/>
      <c r="O6" t="s">
        <v>503</v>
      </c>
      <c r="S6" t="s">
        <v>504</v>
      </c>
      <c r="T6" t="s">
        <v>505</v>
      </c>
      <c r="U6" t="s">
        <v>175</v>
      </c>
      <c r="V6" t="s">
        <v>373</v>
      </c>
    </row>
    <row r="7" ht="14.5" spans="2:23">
      <c r="B7" s="1" t="s">
        <v>303</v>
      </c>
      <c r="C7" s="1" t="s">
        <v>506</v>
      </c>
      <c r="D7" s="1" t="s">
        <v>507</v>
      </c>
      <c r="E7" s="1" t="s">
        <v>175</v>
      </c>
      <c r="F7" s="1"/>
      <c r="G7" s="1"/>
      <c r="H7" s="1"/>
      <c r="I7" s="1"/>
      <c r="J7" s="1" t="s">
        <v>508</v>
      </c>
      <c r="K7" s="1" t="s">
        <v>509</v>
      </c>
      <c r="L7" s="1" t="s">
        <v>175</v>
      </c>
      <c r="M7" s="1" t="s">
        <v>373</v>
      </c>
      <c r="N7" s="1" t="s">
        <v>155</v>
      </c>
      <c r="O7" t="s">
        <v>508</v>
      </c>
      <c r="S7" t="s">
        <v>510</v>
      </c>
      <c r="T7" t="s">
        <v>511</v>
      </c>
      <c r="U7" t="s">
        <v>175</v>
      </c>
      <c r="V7" t="s">
        <v>373</v>
      </c>
    </row>
    <row r="8" ht="14.5" spans="2:23">
      <c r="B8" s="1" t="s">
        <v>303</v>
      </c>
      <c r="C8" s="1" t="s">
        <v>512</v>
      </c>
      <c r="D8" s="1" t="s">
        <v>513</v>
      </c>
      <c r="E8" s="1" t="s">
        <v>175</v>
      </c>
      <c r="F8" s="1"/>
      <c r="G8" s="1"/>
      <c r="H8" s="1"/>
      <c r="I8" s="1"/>
      <c r="J8" s="1" t="s">
        <v>514</v>
      </c>
      <c r="K8" s="1" t="s">
        <v>515</v>
      </c>
      <c r="L8" s="1" t="s">
        <v>175</v>
      </c>
      <c r="M8" s="1"/>
      <c r="N8" s="1"/>
      <c r="O8" t="s">
        <v>514</v>
      </c>
      <c r="S8" t="s">
        <v>516</v>
      </c>
      <c r="T8" t="s">
        <v>517</v>
      </c>
      <c r="U8" t="s">
        <v>175</v>
      </c>
      <c r="V8" t="s">
        <v>373</v>
      </c>
    </row>
    <row r="9" ht="14.5" spans="2:23">
      <c r="B9" s="1" t="s">
        <v>303</v>
      </c>
      <c r="C9" s="1" t="s">
        <v>518</v>
      </c>
      <c r="D9" s="1" t="s">
        <v>519</v>
      </c>
      <c r="E9" s="1" t="s">
        <v>175</v>
      </c>
      <c r="F9" s="1"/>
      <c r="G9" s="1"/>
      <c r="H9" s="1"/>
      <c r="I9" s="1"/>
      <c r="J9" s="1" t="s">
        <v>520</v>
      </c>
      <c r="K9" s="1" t="s">
        <v>521</v>
      </c>
      <c r="L9" s="1" t="s">
        <v>175</v>
      </c>
      <c r="M9" s="1" t="s">
        <v>151</v>
      </c>
      <c r="N9" s="1" t="s">
        <v>522</v>
      </c>
      <c r="O9" t="s">
        <v>520</v>
      </c>
      <c r="S9" t="s">
        <v>523</v>
      </c>
      <c r="T9" t="s">
        <v>524</v>
      </c>
      <c r="U9" t="s">
        <v>175</v>
      </c>
      <c r="V9" t="s">
        <v>373</v>
      </c>
    </row>
    <row r="10" ht="14.5" spans="2:23">
      <c r="B10" s="1" t="s">
        <v>303</v>
      </c>
      <c r="C10" s="1" t="s">
        <v>525</v>
      </c>
      <c r="D10" s="1" t="s">
        <v>526</v>
      </c>
      <c r="E10" s="1" t="s">
        <v>175</v>
      </c>
      <c r="F10" s="1"/>
      <c r="G10" s="1"/>
      <c r="H10" s="1"/>
      <c r="I10" s="1"/>
      <c r="J10" s="1" t="s">
        <v>527</v>
      </c>
      <c r="K10" s="1" t="s">
        <v>528</v>
      </c>
      <c r="L10" s="1" t="s">
        <v>175</v>
      </c>
      <c r="M10" s="1"/>
      <c r="N10" s="1"/>
      <c r="O10" t="s">
        <v>503</v>
      </c>
    </row>
    <row r="11" ht="14.5" spans="2:23">
      <c r="B11" s="1" t="s">
        <v>303</v>
      </c>
      <c r="C11" s="1" t="s">
        <v>529</v>
      </c>
      <c r="D11" s="1" t="s">
        <v>530</v>
      </c>
      <c r="E11" s="1" t="s">
        <v>175</v>
      </c>
      <c r="F11" s="1"/>
      <c r="G11" s="1"/>
      <c r="H11" s="1"/>
      <c r="I11" s="1"/>
      <c r="J11" s="1" t="s">
        <v>531</v>
      </c>
      <c r="K11" s="1" t="s">
        <v>532</v>
      </c>
      <c r="L11" s="1" t="s">
        <v>175</v>
      </c>
      <c r="M11" s="1"/>
      <c r="N11" s="1"/>
      <c r="O11" t="s">
        <v>531</v>
      </c>
    </row>
    <row r="12" ht="14.5" spans="2:23">
      <c r="B12" s="1" t="s">
        <v>303</v>
      </c>
      <c r="C12" s="1" t="s">
        <v>533</v>
      </c>
      <c r="D12" s="1" t="s">
        <v>534</v>
      </c>
      <c r="E12" s="1" t="s">
        <v>175</v>
      </c>
      <c r="F12" s="1"/>
      <c r="G12" s="1"/>
      <c r="H12" s="1"/>
      <c r="I12" s="1"/>
      <c r="J12" s="1" t="s">
        <v>535</v>
      </c>
      <c r="K12" s="1" t="s">
        <v>536</v>
      </c>
      <c r="L12" s="1" t="s">
        <v>175</v>
      </c>
      <c r="M12" s="1"/>
      <c r="N12" s="1"/>
      <c r="O12" t="s">
        <v>535</v>
      </c>
    </row>
    <row r="13" ht="14.5" spans="2:23">
      <c r="B13" s="1" t="s">
        <v>303</v>
      </c>
      <c r="C13" s="1" t="s">
        <v>537</v>
      </c>
      <c r="D13" s="1" t="s">
        <v>538</v>
      </c>
      <c r="E13" s="1" t="s">
        <v>175</v>
      </c>
      <c r="F13" s="1"/>
      <c r="G13" s="1"/>
      <c r="H13" s="1"/>
      <c r="I13" s="1"/>
      <c r="J13" s="1" t="s">
        <v>539</v>
      </c>
      <c r="K13" s="1" t="s">
        <v>540</v>
      </c>
      <c r="L13" s="1" t="s">
        <v>175</v>
      </c>
      <c r="M13" s="1"/>
      <c r="N13" s="1"/>
      <c r="O13" t="s">
        <v>503</v>
      </c>
      <c r="R13" s="3"/>
      <c r="S13" s="3"/>
      <c r="T13" s="3"/>
      <c r="U13" s="3"/>
      <c r="V13" s="3"/>
      <c r="W13" s="3"/>
    </row>
    <row r="14" ht="14.5" spans="2:23">
      <c r="B14" s="1" t="s">
        <v>303</v>
      </c>
      <c r="C14" s="1" t="s">
        <v>541</v>
      </c>
      <c r="D14" s="1" t="s">
        <v>542</v>
      </c>
      <c r="E14" s="1" t="s">
        <v>175</v>
      </c>
      <c r="F14" s="1"/>
      <c r="G14" s="1"/>
      <c r="H14" s="1"/>
      <c r="I14" s="1"/>
      <c r="J14" s="1" t="s">
        <v>543</v>
      </c>
      <c r="K14" s="1" t="s">
        <v>544</v>
      </c>
      <c r="L14" s="1" t="s">
        <v>175</v>
      </c>
      <c r="M14" s="1"/>
      <c r="N14" s="1"/>
      <c r="O14" t="s">
        <v>543</v>
      </c>
      <c r="R14" s="3" t="s">
        <v>482</v>
      </c>
      <c r="S14" s="3" t="s">
        <v>3</v>
      </c>
      <c r="T14" s="3" t="s">
        <v>483</v>
      </c>
      <c r="U14" s="3" t="s">
        <v>545</v>
      </c>
      <c r="V14" s="3" t="s">
        <v>314</v>
      </c>
      <c r="W14" s="3" t="s">
        <v>266</v>
      </c>
    </row>
    <row r="15" ht="14.5" spans="2:23">
      <c r="B15" s="1" t="s">
        <v>303</v>
      </c>
      <c r="C15" s="1" t="s">
        <v>546</v>
      </c>
      <c r="D15" s="1" t="s">
        <v>547</v>
      </c>
      <c r="E15" s="1" t="s">
        <v>175</v>
      </c>
      <c r="F15" s="1"/>
      <c r="G15" s="1"/>
      <c r="H15" s="1"/>
      <c r="I15" s="1"/>
      <c r="J15" s="1" t="s">
        <v>548</v>
      </c>
      <c r="K15" s="1" t="s">
        <v>549</v>
      </c>
      <c r="L15" s="1" t="s">
        <v>175</v>
      </c>
      <c r="M15" s="1"/>
      <c r="N15" s="1"/>
      <c r="O15" t="s">
        <v>503</v>
      </c>
      <c r="R15" s="3" t="s">
        <v>303</v>
      </c>
      <c r="S15" s="3" t="s">
        <v>8</v>
      </c>
      <c r="T15" s="3" t="s">
        <v>550</v>
      </c>
      <c r="U15" s="3" t="s">
        <v>373</v>
      </c>
      <c r="V15" s="3" t="s">
        <v>175</v>
      </c>
      <c r="W15" s="3" t="s">
        <v>551</v>
      </c>
    </row>
    <row r="16" ht="14.5" spans="2:23">
      <c r="B16" s="1" t="s">
        <v>303</v>
      </c>
      <c r="C16" s="1" t="s">
        <v>552</v>
      </c>
      <c r="D16" s="1" t="s">
        <v>553</v>
      </c>
      <c r="E16" s="1" t="s">
        <v>175</v>
      </c>
      <c r="F16" s="1"/>
      <c r="G16" s="1"/>
      <c r="H16" s="1"/>
      <c r="I16" s="1"/>
      <c r="J16" s="1" t="s">
        <v>554</v>
      </c>
      <c r="K16" s="1" t="s">
        <v>555</v>
      </c>
      <c r="L16" s="1" t="s">
        <v>175</v>
      </c>
      <c r="M16" s="1"/>
      <c r="N16" s="1"/>
      <c r="O16" t="s">
        <v>503</v>
      </c>
      <c r="R16" s="3" t="s">
        <v>303</v>
      </c>
      <c r="S16" s="3" t="s">
        <v>8</v>
      </c>
      <c r="T16" s="3" t="s">
        <v>556</v>
      </c>
      <c r="U16" s="3" t="s">
        <v>373</v>
      </c>
      <c r="V16" s="3" t="s">
        <v>175</v>
      </c>
      <c r="W16" s="3" t="s">
        <v>557</v>
      </c>
    </row>
    <row r="17" ht="14.5" spans="2:23">
      <c r="B17" s="1" t="s">
        <v>303</v>
      </c>
      <c r="C17" s="1" t="s">
        <v>558</v>
      </c>
      <c r="D17" s="1" t="s">
        <v>559</v>
      </c>
      <c r="E17" s="1" t="s">
        <v>175</v>
      </c>
      <c r="F17" s="1"/>
      <c r="G17" s="1"/>
      <c r="H17" s="1"/>
      <c r="I17" s="1"/>
      <c r="J17" s="1" t="s">
        <v>560</v>
      </c>
      <c r="K17" s="1" t="s">
        <v>561</v>
      </c>
      <c r="L17" s="1" t="s">
        <v>175</v>
      </c>
      <c r="M17" s="1"/>
      <c r="N17" s="1"/>
      <c r="O17" t="s">
        <v>560</v>
      </c>
      <c r="R17" s="3" t="s">
        <v>303</v>
      </c>
      <c r="S17" s="3" t="s">
        <v>8</v>
      </c>
      <c r="T17" s="3" t="s">
        <v>562</v>
      </c>
      <c r="U17" s="3" t="s">
        <v>373</v>
      </c>
      <c r="V17" s="3" t="s">
        <v>175</v>
      </c>
      <c r="W17" s="3" t="s">
        <v>563</v>
      </c>
    </row>
    <row r="18" ht="14.5" spans="2:23">
      <c r="B18" s="1" t="s">
        <v>303</v>
      </c>
      <c r="C18" s="1" t="s">
        <v>155</v>
      </c>
      <c r="D18" s="1" t="s">
        <v>564</v>
      </c>
      <c r="E18" s="1" t="s">
        <v>175</v>
      </c>
      <c r="F18" s="1" t="s">
        <v>373</v>
      </c>
      <c r="G18" s="1" t="s">
        <v>155</v>
      </c>
      <c r="H18" s="1"/>
      <c r="I18" s="1"/>
      <c r="J18" s="1" t="s">
        <v>565</v>
      </c>
      <c r="K18" s="1" t="s">
        <v>566</v>
      </c>
      <c r="L18" s="1" t="s">
        <v>175</v>
      </c>
      <c r="M18" s="1"/>
      <c r="N18" s="1"/>
      <c r="O18" t="s">
        <v>503</v>
      </c>
      <c r="R18" s="3" t="s">
        <v>303</v>
      </c>
      <c r="S18" s="3" t="s">
        <v>8</v>
      </c>
      <c r="T18" s="3" t="s">
        <v>567</v>
      </c>
      <c r="U18" s="3" t="s">
        <v>373</v>
      </c>
      <c r="V18" s="3" t="s">
        <v>175</v>
      </c>
      <c r="W18" s="3" t="s">
        <v>568</v>
      </c>
    </row>
    <row r="19" ht="14.5" spans="2:23">
      <c r="B19" s="1" t="s">
        <v>303</v>
      </c>
      <c r="C19" s="1" t="s">
        <v>569</v>
      </c>
      <c r="D19" s="1" t="s">
        <v>570</v>
      </c>
      <c r="E19" s="1" t="s">
        <v>175</v>
      </c>
      <c r="F19" s="1"/>
      <c r="G19" s="1"/>
      <c r="H19" s="1"/>
      <c r="I19" s="1"/>
      <c r="J19" s="1" t="s">
        <v>571</v>
      </c>
      <c r="K19" s="1" t="s">
        <v>572</v>
      </c>
      <c r="L19" s="1" t="s">
        <v>175</v>
      </c>
      <c r="M19" s="1"/>
      <c r="N19" s="1"/>
      <c r="O19" t="s">
        <v>571</v>
      </c>
      <c r="R19" s="3" t="s">
        <v>303</v>
      </c>
      <c r="S19" s="3" t="s">
        <v>8</v>
      </c>
      <c r="T19" s="3" t="s">
        <v>573</v>
      </c>
      <c r="U19" s="3" t="s">
        <v>373</v>
      </c>
      <c r="V19" s="3" t="s">
        <v>175</v>
      </c>
      <c r="W19" s="3" t="s">
        <v>574</v>
      </c>
    </row>
    <row r="20" ht="14.5" spans="2:23">
      <c r="B20" s="1" t="s">
        <v>303</v>
      </c>
      <c r="C20" s="1" t="s">
        <v>575</v>
      </c>
      <c r="D20" s="1" t="s">
        <v>576</v>
      </c>
      <c r="E20" s="1" t="s">
        <v>175</v>
      </c>
      <c r="F20" s="1"/>
      <c r="G20" s="1"/>
      <c r="H20" s="1"/>
      <c r="I20" s="1"/>
      <c r="J20" s="1" t="s">
        <v>577</v>
      </c>
      <c r="K20" s="1" t="s">
        <v>578</v>
      </c>
      <c r="L20" s="1" t="s">
        <v>175</v>
      </c>
      <c r="M20" s="1"/>
      <c r="N20" s="1"/>
      <c r="O20" t="s">
        <v>503</v>
      </c>
      <c r="R20" s="3" t="s">
        <v>303</v>
      </c>
      <c r="S20" s="3" t="s">
        <v>8</v>
      </c>
      <c r="T20" s="3" t="s">
        <v>579</v>
      </c>
      <c r="U20" s="3" t="s">
        <v>373</v>
      </c>
      <c r="V20" s="3" t="s">
        <v>175</v>
      </c>
      <c r="W20" s="3" t="s">
        <v>580</v>
      </c>
    </row>
    <row r="21" ht="14.5" spans="2:23">
      <c r="B21" s="1" t="s">
        <v>303</v>
      </c>
      <c r="C21" s="1" t="s">
        <v>581</v>
      </c>
      <c r="D21" s="1" t="s">
        <v>582</v>
      </c>
      <c r="E21" s="1" t="s">
        <v>175</v>
      </c>
      <c r="F21" s="1"/>
      <c r="G21" s="1"/>
      <c r="H21" s="1"/>
      <c r="I21" s="1"/>
      <c r="J21" s="1" t="s">
        <v>583</v>
      </c>
      <c r="K21" s="1" t="s">
        <v>584</v>
      </c>
      <c r="L21" s="1" t="s">
        <v>175</v>
      </c>
      <c r="M21" s="1"/>
      <c r="N21" s="1"/>
      <c r="O21" t="s">
        <v>503</v>
      </c>
      <c r="R21" s="3" t="s">
        <v>303</v>
      </c>
      <c r="S21" s="3" t="s">
        <v>8</v>
      </c>
      <c r="T21" s="3" t="s">
        <v>585</v>
      </c>
      <c r="U21" s="3" t="s">
        <v>373</v>
      </c>
      <c r="V21" s="3" t="s">
        <v>175</v>
      </c>
      <c r="W21" s="3" t="s">
        <v>586</v>
      </c>
    </row>
    <row r="22" ht="14.5" spans="2:23">
      <c r="B22" s="1" t="s">
        <v>303</v>
      </c>
      <c r="C22" s="1" t="s">
        <v>587</v>
      </c>
      <c r="D22" s="1" t="s">
        <v>588</v>
      </c>
      <c r="E22" s="1" t="s">
        <v>175</v>
      </c>
      <c r="F22" s="1"/>
      <c r="G22" s="1"/>
      <c r="H22" s="1"/>
      <c r="I22" s="1"/>
      <c r="J22" s="1" t="s">
        <v>589</v>
      </c>
      <c r="K22" s="1" t="s">
        <v>590</v>
      </c>
      <c r="L22" s="1" t="s">
        <v>175</v>
      </c>
      <c r="M22" s="1"/>
      <c r="N22" s="1"/>
      <c r="O22" t="s">
        <v>503</v>
      </c>
      <c r="R22" s="3" t="s">
        <v>303</v>
      </c>
      <c r="S22" s="3" t="s">
        <v>8</v>
      </c>
      <c r="T22" s="3" t="s">
        <v>591</v>
      </c>
      <c r="U22" s="3" t="s">
        <v>373</v>
      </c>
      <c r="V22" s="3" t="s">
        <v>175</v>
      </c>
      <c r="W22" s="3" t="s">
        <v>592</v>
      </c>
    </row>
    <row r="23" ht="14.5" spans="2:23">
      <c r="B23" s="1" t="s">
        <v>303</v>
      </c>
      <c r="C23" s="1" t="s">
        <v>593</v>
      </c>
      <c r="D23" s="1" t="s">
        <v>594</v>
      </c>
      <c r="E23" s="1" t="s">
        <v>175</v>
      </c>
      <c r="F23" s="1"/>
      <c r="G23" s="1"/>
      <c r="H23" s="1"/>
      <c r="I23" s="1"/>
      <c r="J23" s="1" t="s">
        <v>595</v>
      </c>
      <c r="K23" s="1" t="s">
        <v>596</v>
      </c>
      <c r="L23" s="1" t="s">
        <v>175</v>
      </c>
      <c r="M23" s="1"/>
      <c r="N23" s="1"/>
      <c r="O23" t="s">
        <v>595</v>
      </c>
      <c r="R23" s="3" t="s">
        <v>303</v>
      </c>
      <c r="S23" s="3" t="s">
        <v>8</v>
      </c>
      <c r="T23" s="3" t="s">
        <v>597</v>
      </c>
      <c r="U23" s="3" t="s">
        <v>373</v>
      </c>
      <c r="V23" s="3" t="s">
        <v>175</v>
      </c>
      <c r="W23" s="3" t="s">
        <v>598</v>
      </c>
    </row>
    <row r="24" ht="14.5" spans="2:23">
      <c r="B24" s="1" t="s">
        <v>303</v>
      </c>
      <c r="C24" s="1" t="s">
        <v>599</v>
      </c>
      <c r="D24" s="1" t="s">
        <v>600</v>
      </c>
      <c r="E24" s="1" t="s">
        <v>175</v>
      </c>
      <c r="F24" s="1"/>
      <c r="G24" s="1"/>
      <c r="H24" s="1"/>
      <c r="I24" s="1"/>
      <c r="J24" s="1" t="s">
        <v>601</v>
      </c>
      <c r="K24" s="1" t="s">
        <v>602</v>
      </c>
      <c r="L24" s="1" t="s">
        <v>175</v>
      </c>
      <c r="M24" s="1"/>
      <c r="N24" s="1"/>
      <c r="O24" t="s">
        <v>601</v>
      </c>
      <c r="R24" s="3" t="s">
        <v>303</v>
      </c>
      <c r="S24" s="3" t="s">
        <v>8</v>
      </c>
      <c r="T24" s="3" t="s">
        <v>603</v>
      </c>
      <c r="U24" s="3" t="s">
        <v>373</v>
      </c>
      <c r="V24" s="3" t="s">
        <v>175</v>
      </c>
      <c r="W24" s="3" t="s">
        <v>604</v>
      </c>
    </row>
    <row r="25" ht="14.5" spans="2:23">
      <c r="B25" s="1" t="s">
        <v>303</v>
      </c>
      <c r="C25" s="1" t="s">
        <v>605</v>
      </c>
      <c r="D25" s="1" t="s">
        <v>606</v>
      </c>
      <c r="E25" s="1" t="s">
        <v>175</v>
      </c>
      <c r="F25" s="1"/>
      <c r="G25" s="1"/>
      <c r="H25" s="1"/>
      <c r="I25" s="1"/>
      <c r="J25" s="1" t="s">
        <v>607</v>
      </c>
      <c r="K25" s="1" t="s">
        <v>608</v>
      </c>
      <c r="L25" s="1" t="s">
        <v>175</v>
      </c>
      <c r="M25" s="1"/>
      <c r="N25" s="1"/>
      <c r="O25" t="s">
        <v>503</v>
      </c>
      <c r="R25" s="3" t="s">
        <v>303</v>
      </c>
      <c r="S25" s="3" t="s">
        <v>11</v>
      </c>
      <c r="T25" s="3" t="s">
        <v>609</v>
      </c>
      <c r="U25" s="3" t="s">
        <v>373</v>
      </c>
      <c r="V25" s="3" t="s">
        <v>175</v>
      </c>
      <c r="W25" s="3" t="s">
        <v>610</v>
      </c>
    </row>
    <row r="26" ht="14.5" spans="2:23">
      <c r="B26" s="1" t="s">
        <v>303</v>
      </c>
      <c r="C26" s="1" t="s">
        <v>611</v>
      </c>
      <c r="D26" s="1" t="s">
        <v>612</v>
      </c>
      <c r="E26" s="1" t="s">
        <v>175</v>
      </c>
      <c r="F26" s="1" t="s">
        <v>151</v>
      </c>
      <c r="G26" s="1" t="s">
        <v>522</v>
      </c>
      <c r="H26" s="1"/>
      <c r="I26" s="1"/>
      <c r="J26" s="1" t="s">
        <v>613</v>
      </c>
      <c r="K26" s="1" t="s">
        <v>614</v>
      </c>
      <c r="L26" s="1" t="s">
        <v>175</v>
      </c>
      <c r="M26" s="1" t="s">
        <v>373</v>
      </c>
      <c r="N26" s="1" t="s">
        <v>155</v>
      </c>
      <c r="O26" t="s">
        <v>613</v>
      </c>
      <c r="R26" s="3" t="s">
        <v>303</v>
      </c>
      <c r="S26" s="3" t="s">
        <v>11</v>
      </c>
      <c r="T26" s="3" t="s">
        <v>615</v>
      </c>
      <c r="U26" s="3" t="s">
        <v>373</v>
      </c>
      <c r="V26" s="3" t="s">
        <v>175</v>
      </c>
      <c r="W26" s="3" t="s">
        <v>616</v>
      </c>
    </row>
    <row r="27" ht="14.5" spans="2:23">
      <c r="B27" s="1" t="s">
        <v>303</v>
      </c>
      <c r="C27" s="1" t="s">
        <v>617</v>
      </c>
      <c r="D27" s="1" t="s">
        <v>618</v>
      </c>
      <c r="E27" s="1" t="s">
        <v>175</v>
      </c>
      <c r="F27" s="1"/>
      <c r="G27" s="1"/>
      <c r="H27" s="1"/>
      <c r="I27" s="1"/>
      <c r="J27" s="1" t="s">
        <v>619</v>
      </c>
      <c r="K27" s="1" t="s">
        <v>620</v>
      </c>
      <c r="L27" s="1" t="s">
        <v>175</v>
      </c>
      <c r="M27" s="1"/>
      <c r="N27" s="1"/>
      <c r="O27" t="s">
        <v>619</v>
      </c>
      <c r="R27" s="3" t="s">
        <v>303</v>
      </c>
      <c r="S27" s="3" t="s">
        <v>11</v>
      </c>
      <c r="T27" s="3" t="s">
        <v>621</v>
      </c>
      <c r="U27" s="3" t="s">
        <v>373</v>
      </c>
      <c r="V27" s="3" t="s">
        <v>175</v>
      </c>
      <c r="W27" s="3" t="s">
        <v>622</v>
      </c>
    </row>
    <row r="28" ht="14.5" spans="2:23">
      <c r="B28" s="1" t="s">
        <v>303</v>
      </c>
      <c r="C28" s="1" t="s">
        <v>623</v>
      </c>
      <c r="D28" s="1" t="s">
        <v>624</v>
      </c>
      <c r="E28" s="1" t="s">
        <v>175</v>
      </c>
      <c r="F28" s="1"/>
      <c r="G28" s="1"/>
      <c r="H28" s="1"/>
      <c r="I28" s="1"/>
      <c r="J28" s="1" t="s">
        <v>625</v>
      </c>
      <c r="K28" s="1" t="s">
        <v>626</v>
      </c>
      <c r="L28" s="1" t="s">
        <v>175</v>
      </c>
      <c r="M28" s="1" t="s">
        <v>151</v>
      </c>
      <c r="N28" s="1" t="s">
        <v>522</v>
      </c>
      <c r="O28" t="s">
        <v>625</v>
      </c>
      <c r="R28" s="3" t="s">
        <v>303</v>
      </c>
      <c r="S28" s="3" t="s">
        <v>11</v>
      </c>
      <c r="T28" s="3" t="s">
        <v>627</v>
      </c>
      <c r="U28" s="3" t="s">
        <v>373</v>
      </c>
      <c r="V28" s="3" t="s">
        <v>175</v>
      </c>
      <c r="W28" s="3" t="s">
        <v>628</v>
      </c>
    </row>
    <row r="29" ht="14.5" spans="2:23">
      <c r="B29" s="1" t="s">
        <v>303</v>
      </c>
      <c r="C29" s="1" t="s">
        <v>629</v>
      </c>
      <c r="D29" s="1" t="s">
        <v>630</v>
      </c>
      <c r="E29" s="1" t="s">
        <v>175</v>
      </c>
      <c r="F29" s="1"/>
      <c r="G29" s="1"/>
      <c r="H29" s="1"/>
      <c r="I29" s="1"/>
      <c r="J29" s="1" t="s">
        <v>631</v>
      </c>
      <c r="K29" s="1" t="s">
        <v>632</v>
      </c>
      <c r="L29" s="1" t="s">
        <v>175</v>
      </c>
      <c r="M29" s="1"/>
      <c r="N29" s="1"/>
      <c r="O29" t="s">
        <v>503</v>
      </c>
      <c r="R29" s="3" t="s">
        <v>303</v>
      </c>
      <c r="S29" s="3" t="s">
        <v>11</v>
      </c>
      <c r="T29" s="3" t="s">
        <v>633</v>
      </c>
      <c r="U29" s="3" t="s">
        <v>373</v>
      </c>
      <c r="V29" s="3" t="s">
        <v>175</v>
      </c>
      <c r="W29" s="3" t="s">
        <v>634</v>
      </c>
    </row>
    <row r="30" ht="14.5" spans="2:23">
      <c r="B30" s="1" t="s">
        <v>303</v>
      </c>
      <c r="C30" s="1" t="s">
        <v>635</v>
      </c>
      <c r="D30" s="1" t="s">
        <v>636</v>
      </c>
      <c r="E30" s="1" t="s">
        <v>175</v>
      </c>
      <c r="F30" s="1"/>
      <c r="G30" s="1"/>
      <c r="H30" s="1"/>
      <c r="I30" s="1"/>
      <c r="J30" s="1" t="s">
        <v>637</v>
      </c>
      <c r="K30" s="1" t="s">
        <v>638</v>
      </c>
      <c r="L30" s="1" t="s">
        <v>175</v>
      </c>
      <c r="M30" s="1"/>
      <c r="N30" s="1"/>
      <c r="O30" t="s">
        <v>637</v>
      </c>
      <c r="R30" s="3" t="s">
        <v>303</v>
      </c>
      <c r="S30" s="3" t="s">
        <v>11</v>
      </c>
      <c r="T30" s="3" t="s">
        <v>639</v>
      </c>
      <c r="U30" s="3" t="s">
        <v>373</v>
      </c>
      <c r="V30" s="3" t="s">
        <v>175</v>
      </c>
      <c r="W30" s="3" t="s">
        <v>640</v>
      </c>
    </row>
    <row r="31" ht="14.5" spans="2:23">
      <c r="B31" s="1" t="s">
        <v>303</v>
      </c>
      <c r="C31" s="1" t="s">
        <v>641</v>
      </c>
      <c r="D31" s="1" t="s">
        <v>642</v>
      </c>
      <c r="E31" s="1" t="s">
        <v>175</v>
      </c>
      <c r="F31" s="1"/>
      <c r="G31" s="1"/>
      <c r="H31" s="1"/>
      <c r="I31" s="1"/>
      <c r="J31" s="1" t="s">
        <v>643</v>
      </c>
      <c r="K31" s="1" t="s">
        <v>644</v>
      </c>
      <c r="L31" s="1" t="s">
        <v>175</v>
      </c>
      <c r="M31" s="1"/>
      <c r="N31" s="1"/>
      <c r="O31" t="s">
        <v>643</v>
      </c>
      <c r="R31" s="3" t="s">
        <v>303</v>
      </c>
      <c r="S31" s="3" t="s">
        <v>11</v>
      </c>
      <c r="T31" s="3" t="s">
        <v>645</v>
      </c>
      <c r="U31" s="3" t="s">
        <v>373</v>
      </c>
      <c r="V31" s="3" t="s">
        <v>175</v>
      </c>
      <c r="W31" s="3" t="s">
        <v>646</v>
      </c>
    </row>
    <row r="32" ht="14.5" spans="2:23">
      <c r="B32" s="1" t="s">
        <v>303</v>
      </c>
      <c r="C32" s="1" t="s">
        <v>320</v>
      </c>
      <c r="D32" s="1" t="s">
        <v>647</v>
      </c>
      <c r="E32" s="1" t="s">
        <v>175</v>
      </c>
      <c r="F32" s="1"/>
      <c r="G32" s="1"/>
      <c r="H32" s="1"/>
      <c r="I32" s="1"/>
      <c r="J32" s="1" t="s">
        <v>648</v>
      </c>
      <c r="K32" s="1" t="s">
        <v>649</v>
      </c>
      <c r="L32" s="1" t="s">
        <v>175</v>
      </c>
      <c r="M32" s="1"/>
      <c r="N32" s="1"/>
      <c r="O32" t="s">
        <v>503</v>
      </c>
      <c r="R32" s="3" t="s">
        <v>303</v>
      </c>
      <c r="S32" s="3" t="s">
        <v>11</v>
      </c>
      <c r="T32" s="3" t="s">
        <v>650</v>
      </c>
      <c r="U32" s="3" t="s">
        <v>373</v>
      </c>
      <c r="V32" s="3" t="s">
        <v>175</v>
      </c>
      <c r="W32" s="3" t="s">
        <v>651</v>
      </c>
    </row>
    <row r="33" ht="14.5" spans="2:23">
      <c r="B33" s="1" t="s">
        <v>303</v>
      </c>
      <c r="C33" s="1" t="s">
        <v>652</v>
      </c>
      <c r="D33" s="1" t="s">
        <v>653</v>
      </c>
      <c r="E33" s="1" t="s">
        <v>175</v>
      </c>
      <c r="F33" s="1"/>
      <c r="G33" s="1"/>
      <c r="H33" s="1"/>
      <c r="I33" s="1"/>
      <c r="J33" s="1" t="s">
        <v>654</v>
      </c>
      <c r="K33" s="1" t="s">
        <v>655</v>
      </c>
      <c r="L33" s="1" t="s">
        <v>175</v>
      </c>
      <c r="M33" s="1"/>
      <c r="N33" s="1"/>
      <c r="O33" t="s">
        <v>654</v>
      </c>
      <c r="R33" s="3" t="s">
        <v>303</v>
      </c>
      <c r="S33" s="3" t="s">
        <v>11</v>
      </c>
      <c r="T33" s="3" t="s">
        <v>656</v>
      </c>
      <c r="U33" s="3" t="s">
        <v>373</v>
      </c>
      <c r="V33" s="3" t="s">
        <v>175</v>
      </c>
      <c r="W33" s="3" t="s">
        <v>657</v>
      </c>
    </row>
    <row r="34" ht="14.5" spans="2:23">
      <c r="B34" s="1" t="s">
        <v>303</v>
      </c>
      <c r="C34" s="1" t="s">
        <v>658</v>
      </c>
      <c r="D34" s="1" t="s">
        <v>659</v>
      </c>
      <c r="E34" s="1" t="s">
        <v>175</v>
      </c>
      <c r="F34" s="1"/>
      <c r="G34" s="1"/>
      <c r="H34" s="1"/>
      <c r="I34" s="1"/>
      <c r="J34" s="1" t="s">
        <v>660</v>
      </c>
      <c r="K34" s="1" t="s">
        <v>661</v>
      </c>
      <c r="L34" s="1" t="s">
        <v>175</v>
      </c>
      <c r="M34" s="1"/>
      <c r="N34" s="1"/>
      <c r="O34" t="s">
        <v>503</v>
      </c>
      <c r="R34" s="3" t="s">
        <v>303</v>
      </c>
      <c r="S34" s="3" t="s">
        <v>11</v>
      </c>
      <c r="T34" s="3" t="s">
        <v>662</v>
      </c>
      <c r="U34" s="3" t="s">
        <v>373</v>
      </c>
      <c r="V34" s="3" t="s">
        <v>175</v>
      </c>
      <c r="W34" s="3" t="s">
        <v>663</v>
      </c>
    </row>
    <row r="35" ht="14.5" spans="2:23">
      <c r="B35" s="1" t="s">
        <v>303</v>
      </c>
      <c r="C35" s="1" t="s">
        <v>664</v>
      </c>
      <c r="D35" s="1" t="s">
        <v>665</v>
      </c>
      <c r="E35" s="1" t="s">
        <v>175</v>
      </c>
      <c r="F35" s="1"/>
      <c r="G35" s="1"/>
      <c r="H35" s="1"/>
      <c r="I35" s="1"/>
      <c r="J35" s="1" t="s">
        <v>666</v>
      </c>
      <c r="K35" s="1" t="s">
        <v>667</v>
      </c>
      <c r="L35" s="1" t="s">
        <v>175</v>
      </c>
      <c r="M35" s="1"/>
      <c r="N35" s="1"/>
      <c r="O35" t="s">
        <v>503</v>
      </c>
      <c r="R35" s="3" t="s">
        <v>303</v>
      </c>
      <c r="S35" s="3" t="s">
        <v>11</v>
      </c>
      <c r="T35" s="3" t="s">
        <v>668</v>
      </c>
      <c r="U35" s="3" t="s">
        <v>373</v>
      </c>
      <c r="V35" s="3" t="s">
        <v>175</v>
      </c>
      <c r="W35" s="3" t="s">
        <v>669</v>
      </c>
    </row>
    <row r="36" ht="14.5" spans="2:23">
      <c r="B36" s="1" t="s">
        <v>303</v>
      </c>
      <c r="C36" s="1" t="s">
        <v>670</v>
      </c>
      <c r="D36" s="1" t="s">
        <v>671</v>
      </c>
      <c r="E36" s="1" t="s">
        <v>175</v>
      </c>
      <c r="F36" s="1"/>
      <c r="G36" s="1"/>
      <c r="H36" s="1"/>
      <c r="I36" s="1"/>
      <c r="J36" s="4" t="s">
        <v>672</v>
      </c>
      <c r="K36" s="1" t="s">
        <v>673</v>
      </c>
      <c r="L36" s="1" t="s">
        <v>175</v>
      </c>
      <c r="M36" s="1"/>
      <c r="N36" s="1"/>
      <c r="O36" t="s">
        <v>672</v>
      </c>
      <c r="R36" s="3" t="s">
        <v>303</v>
      </c>
      <c r="S36" s="3" t="s">
        <v>11</v>
      </c>
      <c r="T36" s="3" t="s">
        <v>674</v>
      </c>
      <c r="U36" s="3" t="s">
        <v>373</v>
      </c>
      <c r="V36" s="3" t="s">
        <v>175</v>
      </c>
      <c r="W36" s="3" t="s">
        <v>675</v>
      </c>
    </row>
    <row r="37" ht="14.5" spans="2:23">
      <c r="B37" s="1" t="s">
        <v>303</v>
      </c>
      <c r="C37" s="1" t="s">
        <v>676</v>
      </c>
      <c r="D37" s="1" t="s">
        <v>677</v>
      </c>
      <c r="E37" s="1" t="s">
        <v>175</v>
      </c>
      <c r="F37" s="1"/>
      <c r="G37" s="1"/>
      <c r="H37" s="1"/>
      <c r="I37" s="1"/>
      <c r="J37" s="1" t="s">
        <v>678</v>
      </c>
      <c r="K37" s="1" t="s">
        <v>679</v>
      </c>
      <c r="L37" s="1" t="s">
        <v>175</v>
      </c>
      <c r="M37" s="1"/>
      <c r="N37" s="1"/>
      <c r="O37" t="s">
        <v>503</v>
      </c>
      <c r="R37" s="3" t="s">
        <v>303</v>
      </c>
      <c r="S37" s="3" t="s">
        <v>11</v>
      </c>
      <c r="T37" s="3" t="s">
        <v>680</v>
      </c>
      <c r="U37" s="3" t="s">
        <v>373</v>
      </c>
      <c r="V37" s="3" t="s">
        <v>175</v>
      </c>
      <c r="W37" s="3" t="s">
        <v>681</v>
      </c>
    </row>
    <row r="38" ht="14.5" spans="2:23">
      <c r="B38" s="1" t="s">
        <v>303</v>
      </c>
      <c r="C38" s="1" t="s">
        <v>682</v>
      </c>
      <c r="D38" s="1" t="s">
        <v>683</v>
      </c>
      <c r="E38" s="1" t="s">
        <v>175</v>
      </c>
      <c r="F38" s="1"/>
      <c r="G38" s="1"/>
      <c r="H38" s="1"/>
      <c r="I38" s="1"/>
      <c r="J38" s="1" t="s">
        <v>684</v>
      </c>
      <c r="K38" s="1" t="s">
        <v>685</v>
      </c>
      <c r="L38" s="1" t="s">
        <v>175</v>
      </c>
      <c r="M38" s="1"/>
      <c r="N38" s="1"/>
      <c r="O38" t="s">
        <v>684</v>
      </c>
      <c r="R38" s="3" t="s">
        <v>303</v>
      </c>
      <c r="S38" s="3" t="s">
        <v>11</v>
      </c>
      <c r="T38" s="3" t="s">
        <v>686</v>
      </c>
      <c r="U38" s="3" t="s">
        <v>373</v>
      </c>
      <c r="V38" s="3" t="s">
        <v>175</v>
      </c>
      <c r="W38" s="3" t="s">
        <v>687</v>
      </c>
    </row>
    <row r="39" ht="14.5" spans="2:23">
      <c r="B39" s="1" t="s">
        <v>303</v>
      </c>
      <c r="C39" s="1" t="s">
        <v>688</v>
      </c>
      <c r="D39" s="1" t="s">
        <v>689</v>
      </c>
      <c r="E39" s="1" t="s">
        <v>175</v>
      </c>
      <c r="F39" s="1"/>
      <c r="G39" s="1"/>
      <c r="H39" s="1"/>
      <c r="I39" s="1"/>
      <c r="J39" s="1" t="s">
        <v>690</v>
      </c>
      <c r="K39" s="1" t="s">
        <v>691</v>
      </c>
      <c r="L39" s="1" t="s">
        <v>175</v>
      </c>
      <c r="M39" s="1"/>
      <c r="N39" s="1"/>
      <c r="O39" t="s">
        <v>503</v>
      </c>
      <c r="R39" s="3" t="s">
        <v>303</v>
      </c>
      <c r="S39" s="3" t="s">
        <v>11</v>
      </c>
      <c r="T39" s="3" t="s">
        <v>692</v>
      </c>
      <c r="U39" s="3" t="s">
        <v>373</v>
      </c>
      <c r="V39" s="3" t="s">
        <v>175</v>
      </c>
      <c r="W39" s="3" t="s">
        <v>693</v>
      </c>
    </row>
    <row r="40" ht="14.5" spans="2:23">
      <c r="B40" s="1" t="s">
        <v>303</v>
      </c>
      <c r="C40" s="1" t="s">
        <v>326</v>
      </c>
      <c r="D40" s="1" t="s">
        <v>694</v>
      </c>
      <c r="E40" s="1" t="s">
        <v>175</v>
      </c>
      <c r="F40" s="1"/>
      <c r="G40" s="1"/>
      <c r="H40" s="1"/>
      <c r="I40" s="1"/>
      <c r="J40" s="1" t="s">
        <v>695</v>
      </c>
      <c r="K40" s="1" t="s">
        <v>696</v>
      </c>
      <c r="L40" s="1" t="s">
        <v>175</v>
      </c>
      <c r="M40" s="1"/>
      <c r="N40" s="1"/>
      <c r="O40" t="s">
        <v>503</v>
      </c>
      <c r="R40" s="3" t="s">
        <v>303</v>
      </c>
      <c r="S40" s="3" t="s">
        <v>11</v>
      </c>
      <c r="T40" s="3" t="s">
        <v>697</v>
      </c>
      <c r="U40" s="3" t="s">
        <v>373</v>
      </c>
      <c r="V40" s="3" t="s">
        <v>175</v>
      </c>
      <c r="W40" s="3" t="s">
        <v>698</v>
      </c>
    </row>
    <row r="41" ht="14.5" spans="2:23">
      <c r="B41" s="1" t="s">
        <v>303</v>
      </c>
      <c r="C41" s="1" t="s">
        <v>699</v>
      </c>
      <c r="D41" s="1" t="s">
        <v>700</v>
      </c>
      <c r="E41" s="1" t="s">
        <v>175</v>
      </c>
      <c r="F41" s="1"/>
      <c r="G41" s="1"/>
      <c r="H41" s="1"/>
      <c r="I41" s="1"/>
      <c r="J41" s="1" t="s">
        <v>701</v>
      </c>
      <c r="K41" s="1" t="s">
        <v>702</v>
      </c>
      <c r="L41" s="1" t="s">
        <v>175</v>
      </c>
      <c r="M41" s="1"/>
      <c r="N41" s="1"/>
      <c r="O41" t="s">
        <v>503</v>
      </c>
      <c r="R41" s="3" t="s">
        <v>303</v>
      </c>
      <c r="S41" s="3" t="s">
        <v>11</v>
      </c>
      <c r="T41" s="3" t="s">
        <v>703</v>
      </c>
      <c r="U41" s="3" t="s">
        <v>373</v>
      </c>
      <c r="V41" s="3" t="s">
        <v>175</v>
      </c>
      <c r="W41" s="3" t="s">
        <v>704</v>
      </c>
    </row>
    <row r="42" ht="14.5" spans="2:23">
      <c r="B42" s="1" t="s">
        <v>303</v>
      </c>
      <c r="C42" s="1" t="s">
        <v>705</v>
      </c>
      <c r="D42" s="1" t="s">
        <v>706</v>
      </c>
      <c r="E42" s="1" t="s">
        <v>175</v>
      </c>
      <c r="F42" s="1"/>
      <c r="G42" s="1"/>
      <c r="H42" s="1"/>
      <c r="I42" s="1"/>
      <c r="J42" s="1" t="s">
        <v>707</v>
      </c>
      <c r="K42" s="1" t="s">
        <v>708</v>
      </c>
      <c r="L42" s="1" t="s">
        <v>175</v>
      </c>
      <c r="M42" s="1"/>
      <c r="N42" s="1"/>
      <c r="O42" t="s">
        <v>707</v>
      </c>
      <c r="R42" s="3" t="s">
        <v>303</v>
      </c>
      <c r="S42" s="3" t="s">
        <v>11</v>
      </c>
      <c r="T42" s="3" t="s">
        <v>709</v>
      </c>
      <c r="U42" s="3" t="s">
        <v>373</v>
      </c>
      <c r="V42" s="3" t="s">
        <v>175</v>
      </c>
      <c r="W42" s="3" t="s">
        <v>710</v>
      </c>
    </row>
    <row r="43" ht="14.5" spans="2:23">
      <c r="B43" s="1" t="s">
        <v>303</v>
      </c>
      <c r="C43" s="1" t="s">
        <v>711</v>
      </c>
      <c r="D43" s="1" t="s">
        <v>712</v>
      </c>
      <c r="E43" s="1" t="s">
        <v>175</v>
      </c>
      <c r="F43" s="1"/>
      <c r="G43" s="1"/>
      <c r="H43" s="1"/>
      <c r="I43" s="1"/>
      <c r="J43" s="1" t="s">
        <v>713</v>
      </c>
      <c r="K43" s="1" t="s">
        <v>714</v>
      </c>
      <c r="L43" s="1" t="s">
        <v>175</v>
      </c>
      <c r="M43" s="1"/>
      <c r="N43" s="1"/>
      <c r="O43" t="s">
        <v>713</v>
      </c>
      <c r="R43" s="3" t="s">
        <v>303</v>
      </c>
      <c r="S43" s="3" t="s">
        <v>11</v>
      </c>
      <c r="T43" s="3" t="s">
        <v>715</v>
      </c>
      <c r="U43" s="3" t="s">
        <v>373</v>
      </c>
      <c r="V43" s="3" t="s">
        <v>175</v>
      </c>
      <c r="W43" s="3" t="s">
        <v>716</v>
      </c>
    </row>
    <row r="44" ht="14.5" spans="2:23">
      <c r="B44" s="1" t="s">
        <v>303</v>
      </c>
      <c r="C44" s="1" t="s">
        <v>717</v>
      </c>
      <c r="D44" s="1" t="s">
        <v>718</v>
      </c>
      <c r="E44" s="1" t="s">
        <v>175</v>
      </c>
      <c r="F44" s="1"/>
      <c r="G44" s="1"/>
      <c r="H44" s="1"/>
      <c r="I44" s="1"/>
      <c r="J44" s="1" t="s">
        <v>719</v>
      </c>
      <c r="K44" s="1" t="s">
        <v>720</v>
      </c>
      <c r="L44" s="1" t="s">
        <v>175</v>
      </c>
      <c r="M44" s="1" t="s">
        <v>373</v>
      </c>
      <c r="N44" s="1" t="s">
        <v>155</v>
      </c>
      <c r="O44" t="s">
        <v>719</v>
      </c>
      <c r="R44" s="3" t="s">
        <v>303</v>
      </c>
      <c r="S44" s="3" t="s">
        <v>11</v>
      </c>
      <c r="T44" s="3" t="s">
        <v>721</v>
      </c>
      <c r="U44" s="3" t="s">
        <v>373</v>
      </c>
      <c r="V44" s="3" t="s">
        <v>175</v>
      </c>
      <c r="W44" s="3" t="s">
        <v>722</v>
      </c>
    </row>
    <row r="45" ht="14.5" spans="2:23">
      <c r="B45" s="1" t="s">
        <v>303</v>
      </c>
      <c r="C45" s="1" t="s">
        <v>723</v>
      </c>
      <c r="D45" s="1" t="s">
        <v>724</v>
      </c>
      <c r="E45" s="1" t="s">
        <v>175</v>
      </c>
      <c r="F45" s="1"/>
      <c r="G45" s="1"/>
      <c r="H45" s="1"/>
      <c r="I45" s="1"/>
      <c r="J45" s="1" t="s">
        <v>725</v>
      </c>
      <c r="K45" s="1" t="s">
        <v>726</v>
      </c>
      <c r="L45" s="1" t="s">
        <v>175</v>
      </c>
      <c r="M45" s="1"/>
      <c r="N45" s="1"/>
      <c r="O45" t="s">
        <v>725</v>
      </c>
      <c r="R45" s="3" t="s">
        <v>303</v>
      </c>
      <c r="S45" s="3" t="s">
        <v>11</v>
      </c>
      <c r="T45" s="3" t="s">
        <v>727</v>
      </c>
      <c r="U45" s="3" t="s">
        <v>373</v>
      </c>
      <c r="V45" s="3" t="s">
        <v>175</v>
      </c>
      <c r="W45" s="3" t="s">
        <v>728</v>
      </c>
    </row>
    <row r="46" ht="14.5" spans="2:23">
      <c r="B46" s="1" t="s">
        <v>303</v>
      </c>
      <c r="C46" s="1" t="s">
        <v>729</v>
      </c>
      <c r="D46" s="1" t="s">
        <v>730</v>
      </c>
      <c r="E46" s="1" t="s">
        <v>175</v>
      </c>
      <c r="F46" s="1"/>
      <c r="G46" s="1"/>
      <c r="H46" s="1"/>
      <c r="I46" s="1"/>
      <c r="J46" s="1" t="s">
        <v>731</v>
      </c>
      <c r="K46" s="1" t="s">
        <v>732</v>
      </c>
      <c r="L46" s="1" t="s">
        <v>175</v>
      </c>
      <c r="M46" s="1" t="s">
        <v>151</v>
      </c>
      <c r="N46" s="1" t="s">
        <v>522</v>
      </c>
      <c r="O46" t="s">
        <v>731</v>
      </c>
      <c r="R46" s="3" t="s">
        <v>303</v>
      </c>
      <c r="S46" s="3" t="s">
        <v>11</v>
      </c>
      <c r="T46" s="3" t="s">
        <v>733</v>
      </c>
      <c r="U46" s="3" t="s">
        <v>373</v>
      </c>
      <c r="V46" s="3" t="s">
        <v>175</v>
      </c>
      <c r="W46" s="3" t="s">
        <v>734</v>
      </c>
    </row>
    <row r="47" ht="14.5" spans="2:23">
      <c r="B47" s="1" t="s">
        <v>303</v>
      </c>
      <c r="C47" s="1" t="s">
        <v>735</v>
      </c>
      <c r="D47" s="1" t="s">
        <v>736</v>
      </c>
      <c r="E47" s="1" t="s">
        <v>175</v>
      </c>
      <c r="F47" s="1"/>
      <c r="G47" s="1"/>
      <c r="H47" s="1"/>
      <c r="I47" s="1"/>
      <c r="J47" s="1" t="s">
        <v>737</v>
      </c>
      <c r="K47" s="1" t="s">
        <v>738</v>
      </c>
      <c r="L47" s="1" t="s">
        <v>175</v>
      </c>
      <c r="M47" s="1"/>
      <c r="N47" s="1"/>
      <c r="O47" t="s">
        <v>737</v>
      </c>
      <c r="R47" s="3" t="s">
        <v>303</v>
      </c>
      <c r="S47" s="3" t="s">
        <v>11</v>
      </c>
      <c r="T47" s="3" t="s">
        <v>739</v>
      </c>
      <c r="U47" s="3" t="s">
        <v>373</v>
      </c>
      <c r="V47" s="3" t="s">
        <v>175</v>
      </c>
      <c r="W47" s="3" t="s">
        <v>740</v>
      </c>
    </row>
    <row r="48" ht="14.5" spans="2:23">
      <c r="B48" s="1"/>
      <c r="C48" s="1"/>
      <c r="D48" s="1"/>
      <c r="E48" s="1"/>
      <c r="F48" s="1"/>
      <c r="G48" s="1"/>
      <c r="H48" s="1"/>
      <c r="I48" s="1"/>
      <c r="J48" s="1" t="s">
        <v>741</v>
      </c>
      <c r="K48" s="1" t="s">
        <v>742</v>
      </c>
      <c r="L48" s="1" t="s">
        <v>175</v>
      </c>
      <c r="M48" s="1"/>
      <c r="N48" s="1"/>
      <c r="O48" t="s">
        <v>741</v>
      </c>
      <c r="R48" s="3" t="s">
        <v>303</v>
      </c>
      <c r="S48" s="3" t="s">
        <v>11</v>
      </c>
      <c r="T48" s="3" t="s">
        <v>743</v>
      </c>
      <c r="U48" s="3" t="s">
        <v>373</v>
      </c>
      <c r="V48" s="3" t="s">
        <v>175</v>
      </c>
      <c r="W48" s="3" t="s">
        <v>744</v>
      </c>
    </row>
    <row r="49" ht="14.5" spans="2:23">
      <c r="B49" s="1"/>
      <c r="C49" s="1"/>
      <c r="D49" s="1"/>
      <c r="E49" s="1"/>
      <c r="F49" s="1"/>
      <c r="G49" s="1"/>
      <c r="H49" s="1"/>
      <c r="I49" s="1"/>
      <c r="J49" s="1" t="s">
        <v>475</v>
      </c>
      <c r="K49" s="1" t="s">
        <v>745</v>
      </c>
      <c r="L49" s="1" t="s">
        <v>175</v>
      </c>
      <c r="M49" s="1"/>
      <c r="N49" s="1"/>
      <c r="O49" t="s">
        <v>503</v>
      </c>
      <c r="R49" s="3" t="s">
        <v>303</v>
      </c>
      <c r="S49" s="3" t="s">
        <v>11</v>
      </c>
      <c r="T49" s="3" t="s">
        <v>746</v>
      </c>
      <c r="U49" s="3" t="s">
        <v>373</v>
      </c>
      <c r="V49" s="3" t="s">
        <v>175</v>
      </c>
      <c r="W49" s="3" t="s">
        <v>747</v>
      </c>
    </row>
    <row r="50" ht="14.5" spans="2:23">
      <c r="B50" s="1"/>
      <c r="C50" s="1"/>
      <c r="D50" s="1"/>
      <c r="E50" s="1"/>
      <c r="F50" s="1"/>
      <c r="G50" s="1"/>
      <c r="H50" s="1"/>
      <c r="I50" s="1"/>
      <c r="J50" s="1" t="s">
        <v>748</v>
      </c>
      <c r="K50" s="1" t="s">
        <v>749</v>
      </c>
      <c r="L50" s="1" t="s">
        <v>175</v>
      </c>
      <c r="M50" s="1"/>
      <c r="N50" s="1"/>
      <c r="O50" t="s">
        <v>748</v>
      </c>
      <c r="R50" s="3" t="s">
        <v>303</v>
      </c>
      <c r="S50" s="3" t="s">
        <v>11</v>
      </c>
      <c r="T50" s="3" t="s">
        <v>750</v>
      </c>
      <c r="U50" s="3" t="s">
        <v>373</v>
      </c>
      <c r="V50" s="3" t="s">
        <v>175</v>
      </c>
      <c r="W50" s="3" t="s">
        <v>751</v>
      </c>
    </row>
    <row r="51" ht="14.5" spans="2:23">
      <c r="B51" s="1"/>
      <c r="C51" s="1"/>
      <c r="D51" s="1"/>
      <c r="E51" s="1"/>
      <c r="F51" s="1"/>
      <c r="G51" s="1"/>
      <c r="H51" s="1"/>
      <c r="I51" s="1"/>
      <c r="J51" s="1" t="s">
        <v>752</v>
      </c>
      <c r="K51" s="1" t="s">
        <v>753</v>
      </c>
      <c r="L51" s="1" t="s">
        <v>175</v>
      </c>
      <c r="M51" s="1"/>
      <c r="N51" s="1"/>
      <c r="O51" t="s">
        <v>752</v>
      </c>
      <c r="R51" s="3" t="s">
        <v>303</v>
      </c>
      <c r="S51" s="3" t="s">
        <v>11</v>
      </c>
      <c r="T51" s="3" t="s">
        <v>754</v>
      </c>
      <c r="U51" s="3" t="s">
        <v>373</v>
      </c>
      <c r="V51" s="3" t="s">
        <v>175</v>
      </c>
      <c r="W51" s="3" t="s">
        <v>755</v>
      </c>
    </row>
    <row r="52" ht="14.5" spans="2:23">
      <c r="B52" s="1"/>
      <c r="C52" s="1"/>
      <c r="D52" s="1"/>
      <c r="E52" s="1"/>
      <c r="F52" s="1"/>
      <c r="G52" s="1"/>
      <c r="H52" s="1"/>
      <c r="I52" s="1"/>
      <c r="J52" s="1" t="s">
        <v>756</v>
      </c>
      <c r="K52" s="1" t="s">
        <v>757</v>
      </c>
      <c r="L52" s="1" t="s">
        <v>175</v>
      </c>
      <c r="M52" s="1"/>
      <c r="N52" s="1"/>
      <c r="O52" t="s">
        <v>756</v>
      </c>
      <c r="R52" s="3" t="s">
        <v>303</v>
      </c>
      <c r="S52" s="3" t="s">
        <v>11</v>
      </c>
      <c r="T52" s="3" t="s">
        <v>758</v>
      </c>
      <c r="U52" s="3" t="s">
        <v>373</v>
      </c>
      <c r="V52" s="3" t="s">
        <v>175</v>
      </c>
      <c r="W52" s="3" t="s">
        <v>759</v>
      </c>
    </row>
    <row r="53" ht="14.5" spans="2:23">
      <c r="B53" s="1"/>
      <c r="C53" s="1"/>
      <c r="D53" s="1"/>
      <c r="E53" s="1"/>
      <c r="F53" s="1"/>
      <c r="G53" s="1"/>
      <c r="H53" s="1"/>
      <c r="I53" s="1"/>
      <c r="J53" s="1" t="s">
        <v>760</v>
      </c>
      <c r="K53" s="1" t="s">
        <v>761</v>
      </c>
      <c r="L53" s="1" t="s">
        <v>175</v>
      </c>
      <c r="M53" s="1"/>
      <c r="N53" s="1"/>
      <c r="O53" t="s">
        <v>760</v>
      </c>
      <c r="R53" s="3" t="s">
        <v>303</v>
      </c>
      <c r="S53" s="3" t="s">
        <v>11</v>
      </c>
      <c r="T53" s="3" t="s">
        <v>762</v>
      </c>
      <c r="U53" s="3" t="s">
        <v>373</v>
      </c>
      <c r="V53" s="3" t="s">
        <v>175</v>
      </c>
      <c r="W53" s="3" t="s">
        <v>763</v>
      </c>
    </row>
    <row r="54" ht="14.5" spans="2:23">
      <c r="B54" s="1"/>
      <c r="C54" s="1"/>
      <c r="D54" s="1"/>
      <c r="E54" s="1"/>
      <c r="F54" s="1"/>
      <c r="G54" s="1"/>
      <c r="H54" s="1"/>
      <c r="I54" s="1"/>
      <c r="J54" s="1" t="s">
        <v>764</v>
      </c>
      <c r="K54" s="1" t="s">
        <v>765</v>
      </c>
      <c r="L54" s="1" t="s">
        <v>175</v>
      </c>
      <c r="M54" s="1"/>
      <c r="N54" s="1"/>
      <c r="O54" t="s">
        <v>764</v>
      </c>
      <c r="R54" s="3" t="s">
        <v>303</v>
      </c>
      <c r="S54" s="3" t="s">
        <v>11</v>
      </c>
      <c r="T54" s="3" t="s">
        <v>766</v>
      </c>
      <c r="U54" s="3" t="s">
        <v>373</v>
      </c>
      <c r="V54" s="3" t="s">
        <v>175</v>
      </c>
      <c r="W54" s="3" t="s">
        <v>767</v>
      </c>
    </row>
    <row r="55" ht="14.5" spans="2:23">
      <c r="B55" s="1"/>
      <c r="C55" s="1"/>
      <c r="D55" s="1"/>
      <c r="E55" s="1"/>
      <c r="F55" s="1"/>
      <c r="G55" s="1"/>
      <c r="H55" s="1"/>
      <c r="I55" s="1"/>
      <c r="J55" s="1" t="s">
        <v>768</v>
      </c>
      <c r="K55" s="1" t="s">
        <v>769</v>
      </c>
      <c r="L55" s="1" t="s">
        <v>175</v>
      </c>
      <c r="M55" s="1"/>
      <c r="N55" s="1"/>
      <c r="O55" t="s">
        <v>503</v>
      </c>
      <c r="R55" s="3" t="s">
        <v>303</v>
      </c>
      <c r="S55" s="3" t="s">
        <v>11</v>
      </c>
      <c r="T55" s="3" t="s">
        <v>770</v>
      </c>
      <c r="U55" s="3" t="s">
        <v>373</v>
      </c>
      <c r="V55" s="3" t="s">
        <v>175</v>
      </c>
      <c r="W55" s="3" t="s">
        <v>771</v>
      </c>
    </row>
    <row r="56" ht="14.5" spans="2:23">
      <c r="B56" s="1"/>
      <c r="C56" s="1"/>
      <c r="D56" s="1"/>
      <c r="E56" s="1"/>
      <c r="F56" s="1"/>
      <c r="G56" s="1"/>
      <c r="H56" s="1"/>
      <c r="I56" s="1"/>
      <c r="J56" s="1" t="s">
        <v>772</v>
      </c>
      <c r="K56" s="1" t="s">
        <v>773</v>
      </c>
      <c r="L56" s="1" t="s">
        <v>175</v>
      </c>
      <c r="M56" s="1"/>
      <c r="N56" s="1"/>
      <c r="O56" t="s">
        <v>772</v>
      </c>
      <c r="R56" s="3" t="s">
        <v>303</v>
      </c>
      <c r="S56" s="3" t="s">
        <v>11</v>
      </c>
      <c r="T56" s="3" t="s">
        <v>774</v>
      </c>
      <c r="U56" s="3" t="s">
        <v>373</v>
      </c>
      <c r="V56" s="3" t="s">
        <v>175</v>
      </c>
      <c r="W56" s="3" t="s">
        <v>775</v>
      </c>
    </row>
    <row r="57" ht="14.5" spans="2:23">
      <c r="B57" s="1"/>
      <c r="C57" s="1"/>
      <c r="D57" s="1"/>
      <c r="E57" s="1"/>
      <c r="F57" s="1"/>
      <c r="G57" s="1"/>
      <c r="H57" s="1"/>
      <c r="I57" s="1"/>
      <c r="J57" s="1" t="s">
        <v>776</v>
      </c>
      <c r="K57" s="1" t="s">
        <v>777</v>
      </c>
      <c r="L57" s="1" t="s">
        <v>175</v>
      </c>
      <c r="M57" s="1"/>
      <c r="N57" s="1"/>
      <c r="O57" t="s">
        <v>776</v>
      </c>
      <c r="R57" s="3" t="s">
        <v>303</v>
      </c>
      <c r="S57" s="3" t="s">
        <v>11</v>
      </c>
      <c r="T57" s="3" t="s">
        <v>778</v>
      </c>
      <c r="U57" s="3" t="s">
        <v>373</v>
      </c>
      <c r="V57" s="3" t="s">
        <v>175</v>
      </c>
      <c r="W57" s="3" t="s">
        <v>779</v>
      </c>
    </row>
    <row r="58" ht="14.5" spans="2:23">
      <c r="B58" s="1"/>
      <c r="C58" s="1"/>
      <c r="D58" s="1"/>
      <c r="E58" s="1"/>
      <c r="F58" s="1"/>
      <c r="G58" s="1"/>
      <c r="H58" s="1"/>
      <c r="I58" s="1"/>
      <c r="J58" s="1" t="s">
        <v>780</v>
      </c>
      <c r="K58" s="1" t="s">
        <v>781</v>
      </c>
      <c r="L58" s="1" t="s">
        <v>175</v>
      </c>
      <c r="M58" s="1"/>
      <c r="N58" s="1"/>
      <c r="O58" t="s">
        <v>503</v>
      </c>
      <c r="R58" s="3" t="s">
        <v>303</v>
      </c>
      <c r="S58" s="3" t="s">
        <v>11</v>
      </c>
      <c r="T58" s="3" t="s">
        <v>782</v>
      </c>
      <c r="U58" s="3" t="s">
        <v>373</v>
      </c>
      <c r="V58" s="3" t="s">
        <v>175</v>
      </c>
      <c r="W58" s="3" t="s">
        <v>783</v>
      </c>
    </row>
    <row r="59" ht="14.5" spans="2:23">
      <c r="B59" s="1"/>
      <c r="C59" s="1"/>
      <c r="D59" s="1"/>
      <c r="E59" s="1"/>
      <c r="F59" s="1"/>
      <c r="G59" s="1"/>
      <c r="H59" s="1"/>
      <c r="I59" s="1"/>
      <c r="J59" s="1" t="s">
        <v>784</v>
      </c>
      <c r="K59" s="1" t="s">
        <v>785</v>
      </c>
      <c r="L59" s="1" t="s">
        <v>175</v>
      </c>
      <c r="M59" s="1" t="s">
        <v>373</v>
      </c>
      <c r="N59" s="1" t="s">
        <v>155</v>
      </c>
      <c r="O59" t="s">
        <v>784</v>
      </c>
      <c r="R59" s="3" t="s">
        <v>303</v>
      </c>
      <c r="S59" s="3" t="s">
        <v>11</v>
      </c>
      <c r="T59" s="3" t="s">
        <v>786</v>
      </c>
      <c r="U59" s="3" t="s">
        <v>373</v>
      </c>
      <c r="V59" s="3" t="s">
        <v>175</v>
      </c>
      <c r="W59" s="3" t="s">
        <v>787</v>
      </c>
    </row>
    <row r="60" ht="14.5" spans="2:23">
      <c r="B60" s="1"/>
      <c r="C60" s="1"/>
      <c r="D60" s="1"/>
      <c r="E60" s="1"/>
      <c r="F60" s="1"/>
      <c r="G60" s="1"/>
      <c r="H60" s="1"/>
      <c r="I60" s="1"/>
      <c r="J60" s="1" t="s">
        <v>788</v>
      </c>
      <c r="K60" s="1" t="s">
        <v>789</v>
      </c>
      <c r="L60" s="1" t="s">
        <v>175</v>
      </c>
      <c r="M60" s="1"/>
      <c r="N60" s="1"/>
      <c r="O60" t="s">
        <v>788</v>
      </c>
      <c r="R60" s="3" t="s">
        <v>303</v>
      </c>
      <c r="S60" s="3" t="s">
        <v>11</v>
      </c>
      <c r="T60" s="3" t="s">
        <v>790</v>
      </c>
      <c r="U60" s="3" t="s">
        <v>373</v>
      </c>
      <c r="V60" s="3" t="s">
        <v>175</v>
      </c>
      <c r="W60" s="3" t="s">
        <v>791</v>
      </c>
    </row>
    <row r="61" ht="14.5" spans="2:23">
      <c r="B61" s="1"/>
      <c r="C61" s="1"/>
      <c r="D61" s="1"/>
      <c r="E61" s="1"/>
      <c r="F61" s="1"/>
      <c r="G61" s="1"/>
      <c r="H61" s="1"/>
      <c r="I61" s="1"/>
      <c r="J61" s="1" t="s">
        <v>792</v>
      </c>
      <c r="K61" s="1" t="s">
        <v>793</v>
      </c>
      <c r="L61" s="1" t="s">
        <v>175</v>
      </c>
      <c r="M61" s="1" t="s">
        <v>151</v>
      </c>
      <c r="N61" s="1" t="s">
        <v>522</v>
      </c>
      <c r="O61" t="s">
        <v>792</v>
      </c>
      <c r="R61" s="3" t="s">
        <v>303</v>
      </c>
      <c r="S61" s="3" t="s">
        <v>11</v>
      </c>
      <c r="T61" s="3" t="s">
        <v>794</v>
      </c>
      <c r="U61" s="3" t="s">
        <v>373</v>
      </c>
      <c r="V61" s="3" t="s">
        <v>175</v>
      </c>
      <c r="W61" s="3" t="s">
        <v>795</v>
      </c>
    </row>
    <row r="62" ht="14.5" spans="2:23">
      <c r="B62" s="1"/>
      <c r="C62" s="1"/>
      <c r="D62" s="1"/>
      <c r="E62" s="1"/>
      <c r="F62" s="1"/>
      <c r="G62" s="1"/>
      <c r="H62" s="1"/>
      <c r="I62" s="1"/>
      <c r="J62" s="1" t="s">
        <v>796</v>
      </c>
      <c r="K62" s="1" t="s">
        <v>797</v>
      </c>
      <c r="L62" s="1" t="s">
        <v>175</v>
      </c>
      <c r="M62" s="1"/>
      <c r="N62" s="1"/>
      <c r="O62" t="s">
        <v>503</v>
      </c>
      <c r="R62" s="3" t="s">
        <v>303</v>
      </c>
      <c r="S62" s="3" t="s">
        <v>11</v>
      </c>
      <c r="T62" s="3" t="s">
        <v>798</v>
      </c>
      <c r="U62" s="3" t="s">
        <v>373</v>
      </c>
      <c r="V62" s="3" t="s">
        <v>175</v>
      </c>
      <c r="W62" s="3" t="s">
        <v>799</v>
      </c>
    </row>
    <row r="63" ht="14.5" spans="2:23">
      <c r="B63" s="1"/>
      <c r="C63" s="1"/>
      <c r="D63" s="1"/>
      <c r="E63" s="1"/>
      <c r="F63" s="1"/>
      <c r="G63" s="1"/>
      <c r="H63" s="1"/>
      <c r="I63" s="1"/>
      <c r="J63" s="1" t="s">
        <v>800</v>
      </c>
      <c r="K63" s="1" t="s">
        <v>801</v>
      </c>
      <c r="L63" s="1" t="s">
        <v>175</v>
      </c>
      <c r="M63" s="1"/>
      <c r="N63" s="1"/>
      <c r="O63" t="s">
        <v>800</v>
      </c>
      <c r="R63" s="3" t="s">
        <v>303</v>
      </c>
      <c r="S63" s="3" t="s">
        <v>11</v>
      </c>
      <c r="T63" s="3" t="s">
        <v>802</v>
      </c>
      <c r="U63" s="3" t="s">
        <v>373</v>
      </c>
      <c r="V63" s="3" t="s">
        <v>175</v>
      </c>
      <c r="W63" s="3" t="s">
        <v>803</v>
      </c>
    </row>
    <row r="64" ht="14.5" spans="2:23">
      <c r="B64" s="1"/>
      <c r="C64" s="1"/>
      <c r="D64" s="1"/>
      <c r="E64" s="1"/>
      <c r="F64" s="1"/>
      <c r="G64" s="1"/>
      <c r="H64" s="1"/>
      <c r="I64" s="1"/>
      <c r="J64" s="1" t="s">
        <v>804</v>
      </c>
      <c r="K64" s="1" t="s">
        <v>805</v>
      </c>
      <c r="L64" s="1" t="s">
        <v>175</v>
      </c>
      <c r="M64" s="1"/>
      <c r="N64" s="1"/>
      <c r="O64" t="s">
        <v>804</v>
      </c>
      <c r="R64" s="3" t="s">
        <v>303</v>
      </c>
      <c r="S64" s="3" t="s">
        <v>11</v>
      </c>
      <c r="T64" s="3" t="s">
        <v>806</v>
      </c>
      <c r="U64" s="3" t="s">
        <v>373</v>
      </c>
      <c r="V64" s="3" t="s">
        <v>175</v>
      </c>
      <c r="W64" s="3" t="s">
        <v>807</v>
      </c>
    </row>
    <row r="65" ht="14.5" spans="2:23">
      <c r="B65" s="1"/>
      <c r="C65" s="1"/>
      <c r="D65" s="1"/>
      <c r="E65" s="1"/>
      <c r="F65" s="1"/>
      <c r="G65" s="1"/>
      <c r="H65" s="1"/>
      <c r="I65" s="1"/>
      <c r="J65" s="1" t="s">
        <v>808</v>
      </c>
      <c r="K65" s="1" t="s">
        <v>809</v>
      </c>
      <c r="L65" s="1" t="s">
        <v>175</v>
      </c>
      <c r="M65" s="1"/>
      <c r="N65" s="1"/>
      <c r="O65" t="s">
        <v>503</v>
      </c>
      <c r="R65" s="3" t="s">
        <v>303</v>
      </c>
      <c r="S65" s="3" t="s">
        <v>11</v>
      </c>
      <c r="T65" s="3" t="s">
        <v>810</v>
      </c>
      <c r="U65" s="3" t="s">
        <v>373</v>
      </c>
      <c r="V65" s="3" t="s">
        <v>175</v>
      </c>
      <c r="W65" s="3" t="s">
        <v>811</v>
      </c>
    </row>
    <row r="66" ht="14.5" spans="2:23">
      <c r="B66" s="1"/>
      <c r="C66" s="1"/>
      <c r="D66" s="1"/>
      <c r="E66" s="1"/>
      <c r="F66" s="1"/>
      <c r="G66" s="1"/>
      <c r="H66" s="1"/>
      <c r="I66" s="1"/>
      <c r="J66" s="1" t="s">
        <v>812</v>
      </c>
      <c r="K66" s="1" t="s">
        <v>813</v>
      </c>
      <c r="L66" s="1" t="s">
        <v>175</v>
      </c>
      <c r="M66" s="1"/>
      <c r="N66" s="1"/>
      <c r="O66" t="s">
        <v>812</v>
      </c>
      <c r="R66" s="3" t="s">
        <v>303</v>
      </c>
      <c r="S66" s="3" t="s">
        <v>11</v>
      </c>
      <c r="T66" s="3" t="s">
        <v>814</v>
      </c>
      <c r="U66" s="3" t="s">
        <v>373</v>
      </c>
      <c r="V66" s="3" t="s">
        <v>175</v>
      </c>
      <c r="W66" s="3" t="s">
        <v>815</v>
      </c>
    </row>
    <row r="67" ht="14.5" spans="2:23">
      <c r="B67" s="1"/>
      <c r="C67" s="1"/>
      <c r="D67" s="1"/>
      <c r="E67" s="1"/>
      <c r="F67" s="1"/>
      <c r="G67" s="1"/>
      <c r="H67" s="1"/>
      <c r="I67" s="1"/>
      <c r="J67" s="1" t="s">
        <v>816</v>
      </c>
      <c r="K67" s="1" t="s">
        <v>817</v>
      </c>
      <c r="L67" s="1" t="s">
        <v>175</v>
      </c>
      <c r="M67" s="1"/>
      <c r="N67" s="1"/>
      <c r="O67" t="s">
        <v>503</v>
      </c>
      <c r="R67" s="3" t="s">
        <v>303</v>
      </c>
      <c r="S67" s="3" t="s">
        <v>11</v>
      </c>
      <c r="T67" s="3" t="s">
        <v>818</v>
      </c>
      <c r="U67" s="3" t="s">
        <v>373</v>
      </c>
      <c r="V67" s="3" t="s">
        <v>175</v>
      </c>
      <c r="W67" s="3" t="s">
        <v>819</v>
      </c>
    </row>
    <row r="68" ht="14.5" spans="2:23">
      <c r="B68" s="1"/>
      <c r="C68" s="1"/>
      <c r="D68" s="1"/>
      <c r="E68" s="1"/>
      <c r="F68" s="1"/>
      <c r="G68" s="1"/>
      <c r="H68" s="1"/>
      <c r="I68" s="1"/>
      <c r="J68" s="1" t="s">
        <v>820</v>
      </c>
      <c r="K68" s="1" t="s">
        <v>821</v>
      </c>
      <c r="L68" s="1" t="s">
        <v>175</v>
      </c>
      <c r="M68" s="1"/>
      <c r="N68" s="1"/>
      <c r="O68" t="s">
        <v>503</v>
      </c>
      <c r="R68" s="3" t="s">
        <v>303</v>
      </c>
      <c r="S68" s="3" t="s">
        <v>11</v>
      </c>
      <c r="T68" s="3" t="s">
        <v>822</v>
      </c>
      <c r="U68" s="3" t="s">
        <v>373</v>
      </c>
      <c r="V68" s="3" t="s">
        <v>175</v>
      </c>
      <c r="W68" s="3" t="s">
        <v>823</v>
      </c>
    </row>
    <row r="69" ht="14.5" spans="2:23">
      <c r="B69" s="1"/>
      <c r="C69" s="1"/>
      <c r="D69" s="1"/>
      <c r="E69" s="1"/>
      <c r="F69" s="1"/>
      <c r="G69" s="1"/>
      <c r="H69" s="1"/>
      <c r="I69" s="1"/>
      <c r="J69" s="1" t="s">
        <v>824</v>
      </c>
      <c r="K69" s="1" t="s">
        <v>825</v>
      </c>
      <c r="L69" s="1" t="s">
        <v>175</v>
      </c>
      <c r="M69" s="1"/>
      <c r="N69" s="1"/>
      <c r="O69" t="s">
        <v>824</v>
      </c>
      <c r="R69" s="3" t="s">
        <v>303</v>
      </c>
      <c r="S69" s="3" t="s">
        <v>11</v>
      </c>
      <c r="T69" s="3" t="s">
        <v>826</v>
      </c>
      <c r="U69" s="3" t="s">
        <v>373</v>
      </c>
      <c r="V69" s="3" t="s">
        <v>175</v>
      </c>
      <c r="W69" s="3" t="s">
        <v>827</v>
      </c>
    </row>
    <row r="70" ht="14.5" spans="2:23">
      <c r="B70" s="1"/>
      <c r="C70" s="1"/>
      <c r="D70" s="1"/>
      <c r="E70" s="1"/>
      <c r="F70" s="1"/>
      <c r="G70" s="1"/>
      <c r="H70" s="1"/>
      <c r="I70" s="1"/>
      <c r="J70" s="1" t="s">
        <v>828</v>
      </c>
      <c r="K70" s="1" t="s">
        <v>829</v>
      </c>
      <c r="L70" s="1" t="s">
        <v>175</v>
      </c>
      <c r="M70" s="1"/>
      <c r="N70" s="1"/>
      <c r="O70" t="s">
        <v>503</v>
      </c>
      <c r="R70" s="3" t="s">
        <v>303</v>
      </c>
      <c r="S70" s="3" t="s">
        <v>11</v>
      </c>
      <c r="T70" s="3" t="s">
        <v>830</v>
      </c>
      <c r="U70" s="3" t="s">
        <v>373</v>
      </c>
      <c r="V70" s="3" t="s">
        <v>175</v>
      </c>
      <c r="W70" s="3" t="s">
        <v>831</v>
      </c>
    </row>
    <row r="71" ht="14.5" spans="2:23">
      <c r="B71" s="1"/>
      <c r="C71" s="1"/>
      <c r="D71" s="1"/>
      <c r="E71" s="1"/>
      <c r="F71" s="1"/>
      <c r="G71" s="1"/>
      <c r="H71" s="1"/>
      <c r="I71" s="1"/>
      <c r="J71" s="1" t="s">
        <v>832</v>
      </c>
      <c r="K71" s="1" t="s">
        <v>833</v>
      </c>
      <c r="L71" s="1" t="s">
        <v>175</v>
      </c>
      <c r="M71" s="1"/>
      <c r="N71" s="1"/>
      <c r="O71" t="s">
        <v>832</v>
      </c>
      <c r="R71" s="3" t="s">
        <v>303</v>
      </c>
      <c r="S71" s="3" t="s">
        <v>11</v>
      </c>
      <c r="T71" s="3" t="s">
        <v>834</v>
      </c>
      <c r="U71" s="3" t="s">
        <v>373</v>
      </c>
      <c r="V71" s="3" t="s">
        <v>175</v>
      </c>
      <c r="W71" s="3" t="s">
        <v>835</v>
      </c>
    </row>
    <row r="72" ht="14.5" spans="2:23">
      <c r="B72" s="1"/>
      <c r="C72" s="1"/>
      <c r="D72" s="1"/>
      <c r="E72" s="1"/>
      <c r="F72" s="1"/>
      <c r="G72" s="1"/>
      <c r="H72" s="1"/>
      <c r="I72" s="1"/>
      <c r="J72" s="1" t="s">
        <v>836</v>
      </c>
      <c r="K72" s="1" t="s">
        <v>837</v>
      </c>
      <c r="L72" s="1" t="s">
        <v>175</v>
      </c>
      <c r="M72" s="1"/>
      <c r="N72" s="1"/>
      <c r="O72" t="s">
        <v>503</v>
      </c>
      <c r="R72" s="3" t="s">
        <v>303</v>
      </c>
      <c r="S72" s="3" t="s">
        <v>11</v>
      </c>
      <c r="T72" s="3" t="s">
        <v>838</v>
      </c>
      <c r="U72" s="3" t="s">
        <v>373</v>
      </c>
      <c r="V72" s="3" t="s">
        <v>175</v>
      </c>
      <c r="W72" s="3" t="s">
        <v>839</v>
      </c>
    </row>
    <row r="73" ht="14.5" spans="2:23">
      <c r="B73" s="1"/>
      <c r="C73" s="1"/>
      <c r="D73" s="1"/>
      <c r="E73" s="1"/>
      <c r="F73" s="1"/>
      <c r="G73" s="1"/>
      <c r="H73" s="1"/>
      <c r="I73" s="1"/>
      <c r="J73" s="1" t="s">
        <v>840</v>
      </c>
      <c r="K73" s="1" t="s">
        <v>841</v>
      </c>
      <c r="L73" s="1" t="s">
        <v>175</v>
      </c>
      <c r="M73" s="1"/>
      <c r="N73" s="1"/>
      <c r="O73" t="s">
        <v>503</v>
      </c>
      <c r="R73" s="3" t="s">
        <v>303</v>
      </c>
      <c r="S73" s="3" t="s">
        <v>11</v>
      </c>
      <c r="T73" s="3" t="s">
        <v>842</v>
      </c>
      <c r="U73" s="3" t="s">
        <v>373</v>
      </c>
      <c r="V73" s="3" t="s">
        <v>175</v>
      </c>
      <c r="W73" s="3" t="s">
        <v>843</v>
      </c>
    </row>
    <row r="74" ht="14.5" spans="2:23">
      <c r="B74" s="1"/>
      <c r="C74" s="1"/>
      <c r="D74" s="1"/>
      <c r="E74" s="1"/>
      <c r="F74" s="1"/>
      <c r="G74" s="1"/>
      <c r="H74" s="1"/>
      <c r="I74" s="1"/>
      <c r="J74" s="1" t="s">
        <v>844</v>
      </c>
      <c r="K74" s="1" t="s">
        <v>845</v>
      </c>
      <c r="L74" s="1" t="s">
        <v>175</v>
      </c>
      <c r="M74" s="1"/>
      <c r="N74" s="1"/>
      <c r="O74" t="s">
        <v>844</v>
      </c>
      <c r="R74" s="3" t="s">
        <v>303</v>
      </c>
      <c r="S74" s="3" t="s">
        <v>11</v>
      </c>
      <c r="T74" s="3" t="s">
        <v>846</v>
      </c>
      <c r="U74" s="3" t="s">
        <v>373</v>
      </c>
      <c r="V74" s="3" t="s">
        <v>175</v>
      </c>
      <c r="W74" s="3" t="s">
        <v>847</v>
      </c>
    </row>
    <row r="75" ht="14.5" spans="2:23">
      <c r="B75" s="1"/>
      <c r="C75" s="1"/>
      <c r="D75" s="1"/>
      <c r="E75" s="1"/>
      <c r="F75" s="1"/>
      <c r="G75" s="1"/>
      <c r="H75" s="1"/>
      <c r="I75" s="1"/>
      <c r="J75" s="1" t="s">
        <v>848</v>
      </c>
      <c r="K75" s="1" t="s">
        <v>849</v>
      </c>
      <c r="L75" s="1" t="s">
        <v>175</v>
      </c>
      <c r="M75" s="1"/>
      <c r="N75" s="1"/>
      <c r="O75" t="s">
        <v>848</v>
      </c>
      <c r="R75" s="3" t="s">
        <v>303</v>
      </c>
      <c r="S75" s="3" t="s">
        <v>11</v>
      </c>
      <c r="T75" s="3" t="s">
        <v>850</v>
      </c>
      <c r="U75" s="3" t="s">
        <v>373</v>
      </c>
      <c r="V75" s="3" t="s">
        <v>175</v>
      </c>
      <c r="W75" s="3" t="s">
        <v>851</v>
      </c>
    </row>
    <row r="76" ht="14.5" spans="2:23">
      <c r="B76" s="1"/>
      <c r="C76" s="1"/>
      <c r="D76" s="1"/>
      <c r="E76" s="1"/>
      <c r="F76" s="1"/>
      <c r="G76" s="1"/>
      <c r="H76" s="1"/>
      <c r="I76" s="1"/>
      <c r="J76" s="1" t="s">
        <v>852</v>
      </c>
      <c r="K76" s="1" t="s">
        <v>853</v>
      </c>
      <c r="L76" s="1" t="s">
        <v>175</v>
      </c>
      <c r="M76" s="1"/>
      <c r="N76" s="1"/>
      <c r="O76" t="s">
        <v>503</v>
      </c>
      <c r="R76" s="3" t="s">
        <v>303</v>
      </c>
      <c r="S76" s="3" t="s">
        <v>11</v>
      </c>
      <c r="T76" s="3" t="s">
        <v>854</v>
      </c>
      <c r="U76" s="3" t="s">
        <v>373</v>
      </c>
      <c r="V76" s="3" t="s">
        <v>175</v>
      </c>
      <c r="W76" s="3" t="s">
        <v>855</v>
      </c>
    </row>
    <row r="77" ht="14.5" spans="2:23">
      <c r="B77" s="1"/>
      <c r="C77" s="1"/>
      <c r="D77" s="1"/>
      <c r="E77" s="1"/>
      <c r="F77" s="1"/>
      <c r="G77" s="1"/>
      <c r="H77" s="1"/>
      <c r="I77" s="1"/>
      <c r="J77" s="1" t="s">
        <v>856</v>
      </c>
      <c r="K77" s="1" t="s">
        <v>857</v>
      </c>
      <c r="L77" s="1" t="s">
        <v>175</v>
      </c>
      <c r="M77" s="1"/>
      <c r="N77" s="1"/>
      <c r="O77" t="s">
        <v>856</v>
      </c>
      <c r="R77" s="3" t="s">
        <v>303</v>
      </c>
      <c r="S77" s="3" t="s">
        <v>11</v>
      </c>
      <c r="T77" s="3" t="s">
        <v>858</v>
      </c>
      <c r="U77" s="3" t="s">
        <v>373</v>
      </c>
      <c r="V77" s="3" t="s">
        <v>175</v>
      </c>
      <c r="W77" s="3" t="s">
        <v>859</v>
      </c>
    </row>
    <row r="78" ht="14.5" spans="2:23">
      <c r="B78" s="1"/>
      <c r="C78" s="1"/>
      <c r="D78" s="1"/>
      <c r="E78" s="1"/>
      <c r="F78" s="1"/>
      <c r="G78" s="1"/>
      <c r="H78" s="1"/>
      <c r="I78" s="1"/>
      <c r="J78" s="1" t="s">
        <v>860</v>
      </c>
      <c r="K78" s="1" t="s">
        <v>861</v>
      </c>
      <c r="L78" s="1" t="s">
        <v>175</v>
      </c>
      <c r="M78" s="1"/>
      <c r="N78" s="1"/>
      <c r="O78" t="s">
        <v>860</v>
      </c>
      <c r="R78" s="3" t="s">
        <v>303</v>
      </c>
      <c r="S78" s="3" t="s">
        <v>11</v>
      </c>
      <c r="T78" s="3" t="s">
        <v>862</v>
      </c>
      <c r="U78" s="3" t="s">
        <v>373</v>
      </c>
      <c r="V78" s="3" t="s">
        <v>175</v>
      </c>
      <c r="W78" s="3" t="s">
        <v>863</v>
      </c>
    </row>
    <row r="79" ht="14.5" spans="2:23">
      <c r="B79" s="1"/>
      <c r="C79" s="1"/>
      <c r="D79" s="1"/>
      <c r="E79" s="1"/>
      <c r="F79" s="1"/>
      <c r="G79" s="1"/>
      <c r="H79" s="1"/>
      <c r="I79" s="1"/>
      <c r="J79" s="1" t="s">
        <v>864</v>
      </c>
      <c r="K79" s="1" t="s">
        <v>865</v>
      </c>
      <c r="L79" s="1" t="s">
        <v>175</v>
      </c>
      <c r="M79" s="1"/>
      <c r="N79" s="1"/>
      <c r="O79" t="s">
        <v>864</v>
      </c>
      <c r="R79" s="3" t="s">
        <v>303</v>
      </c>
      <c r="S79" s="3" t="s">
        <v>11</v>
      </c>
      <c r="T79" s="3" t="s">
        <v>866</v>
      </c>
      <c r="U79" s="3" t="s">
        <v>373</v>
      </c>
      <c r="V79" s="3" t="s">
        <v>175</v>
      </c>
      <c r="W79" s="3" t="s">
        <v>867</v>
      </c>
    </row>
    <row r="80" ht="14.5" spans="2:23">
      <c r="B80" s="1"/>
      <c r="C80" s="1"/>
      <c r="D80" s="1"/>
      <c r="E80" s="1"/>
      <c r="F80" s="1"/>
      <c r="G80" s="1"/>
      <c r="H80" s="1"/>
      <c r="I80" s="1"/>
      <c r="J80" s="1" t="s">
        <v>868</v>
      </c>
      <c r="K80" s="1" t="s">
        <v>869</v>
      </c>
      <c r="L80" s="1" t="s">
        <v>175</v>
      </c>
      <c r="M80" s="1" t="s">
        <v>373</v>
      </c>
      <c r="N80" s="1" t="s">
        <v>155</v>
      </c>
      <c r="O80" t="s">
        <v>868</v>
      </c>
      <c r="R80" s="3" t="s">
        <v>303</v>
      </c>
      <c r="S80" s="3" t="s">
        <v>11</v>
      </c>
      <c r="T80" s="3" t="s">
        <v>870</v>
      </c>
      <c r="U80" s="3" t="s">
        <v>373</v>
      </c>
      <c r="V80" s="3" t="s">
        <v>175</v>
      </c>
      <c r="W80" s="3" t="s">
        <v>871</v>
      </c>
    </row>
    <row r="81" ht="14.5" spans="2:23">
      <c r="B81" s="1"/>
      <c r="C81" s="1"/>
      <c r="D81" s="1"/>
      <c r="E81" s="1"/>
      <c r="F81" s="1"/>
      <c r="G81" s="1"/>
      <c r="H81" s="1"/>
      <c r="I81" s="1"/>
      <c r="J81" s="1" t="s">
        <v>872</v>
      </c>
      <c r="K81" s="1" t="s">
        <v>873</v>
      </c>
      <c r="L81" s="1" t="s">
        <v>175</v>
      </c>
      <c r="M81" s="1"/>
      <c r="N81" s="1"/>
      <c r="O81" t="s">
        <v>872</v>
      </c>
      <c r="R81" s="3" t="s">
        <v>303</v>
      </c>
      <c r="S81" s="3" t="s">
        <v>11</v>
      </c>
      <c r="T81" s="3" t="s">
        <v>874</v>
      </c>
      <c r="U81" s="3" t="s">
        <v>373</v>
      </c>
      <c r="V81" s="3" t="s">
        <v>175</v>
      </c>
      <c r="W81" s="3" t="s">
        <v>875</v>
      </c>
    </row>
    <row r="82" ht="14.5" spans="2:23">
      <c r="B82" s="1"/>
      <c r="C82" s="1"/>
      <c r="D82" s="1"/>
      <c r="E82" s="1"/>
      <c r="F82" s="1"/>
      <c r="G82" s="1"/>
      <c r="H82" s="1"/>
      <c r="I82" s="1"/>
      <c r="J82" s="1" t="s">
        <v>876</v>
      </c>
      <c r="K82" s="1" t="s">
        <v>877</v>
      </c>
      <c r="L82" s="1" t="s">
        <v>175</v>
      </c>
      <c r="M82" s="1"/>
      <c r="N82" s="1"/>
      <c r="O82" t="s">
        <v>876</v>
      </c>
      <c r="R82" s="3" t="s">
        <v>303</v>
      </c>
      <c r="S82" s="3" t="s">
        <v>11</v>
      </c>
      <c r="T82" s="3" t="s">
        <v>878</v>
      </c>
      <c r="U82" s="3" t="s">
        <v>373</v>
      </c>
      <c r="V82" s="3" t="s">
        <v>175</v>
      </c>
      <c r="W82" s="3" t="s">
        <v>879</v>
      </c>
    </row>
    <row r="83" ht="14.5" spans="2:23">
      <c r="B83" s="1"/>
      <c r="C83" s="1"/>
      <c r="D83" s="1"/>
      <c r="E83" s="1"/>
      <c r="F83" s="1"/>
      <c r="G83" s="1"/>
      <c r="H83" s="1"/>
      <c r="I83" s="1"/>
      <c r="J83" s="1" t="s">
        <v>880</v>
      </c>
      <c r="K83" s="1" t="s">
        <v>881</v>
      </c>
      <c r="L83" s="1" t="s">
        <v>175</v>
      </c>
      <c r="M83" s="1"/>
      <c r="N83" s="1"/>
      <c r="O83" t="s">
        <v>880</v>
      </c>
      <c r="R83" s="3" t="s">
        <v>303</v>
      </c>
      <c r="S83" s="3" t="s">
        <v>11</v>
      </c>
      <c r="T83" s="3" t="s">
        <v>882</v>
      </c>
      <c r="U83" s="3" t="s">
        <v>373</v>
      </c>
      <c r="V83" s="3" t="s">
        <v>175</v>
      </c>
      <c r="W83" s="3" t="s">
        <v>883</v>
      </c>
    </row>
    <row r="84" ht="14.5" spans="2:23">
      <c r="B84" s="1"/>
      <c r="C84" s="1"/>
      <c r="D84" s="1"/>
      <c r="E84" s="1"/>
      <c r="F84" s="1"/>
      <c r="G84" s="1"/>
      <c r="H84" s="1"/>
      <c r="I84" s="1"/>
      <c r="J84" s="1" t="s">
        <v>884</v>
      </c>
      <c r="K84" s="1" t="s">
        <v>885</v>
      </c>
      <c r="L84" s="1" t="s">
        <v>175</v>
      </c>
      <c r="M84" s="1"/>
      <c r="N84" s="1"/>
      <c r="O84" t="s">
        <v>884</v>
      </c>
      <c r="R84" s="3" t="s">
        <v>303</v>
      </c>
      <c r="S84" s="3" t="s">
        <v>11</v>
      </c>
      <c r="T84" s="3" t="s">
        <v>886</v>
      </c>
      <c r="U84" s="3" t="s">
        <v>373</v>
      </c>
      <c r="V84" s="3" t="s">
        <v>175</v>
      </c>
      <c r="W84" s="3" t="s">
        <v>887</v>
      </c>
    </row>
    <row r="85" ht="14.5" spans="2:23">
      <c r="B85" s="1"/>
      <c r="C85" s="1"/>
      <c r="D85" s="1"/>
      <c r="E85" s="1"/>
      <c r="F85" s="1"/>
      <c r="G85" s="1"/>
      <c r="H85" s="1"/>
      <c r="I85" s="1"/>
      <c r="J85" s="1" t="s">
        <v>888</v>
      </c>
      <c r="K85" s="1" t="s">
        <v>889</v>
      </c>
      <c r="L85" s="1" t="s">
        <v>175</v>
      </c>
      <c r="M85" s="1"/>
      <c r="N85" s="1"/>
      <c r="O85" t="s">
        <v>888</v>
      </c>
      <c r="R85" s="3" t="s">
        <v>303</v>
      </c>
      <c r="S85" s="3" t="s">
        <v>11</v>
      </c>
      <c r="T85" s="3" t="s">
        <v>890</v>
      </c>
      <c r="U85" s="3" t="s">
        <v>373</v>
      </c>
      <c r="V85" s="3" t="s">
        <v>175</v>
      </c>
      <c r="W85" s="3" t="s">
        <v>891</v>
      </c>
    </row>
    <row r="86" ht="14.5" spans="2:23">
      <c r="B86" s="1"/>
      <c r="C86" s="1"/>
      <c r="D86" s="1"/>
      <c r="E86" s="1"/>
      <c r="F86" s="1"/>
      <c r="G86" s="1"/>
      <c r="H86" s="1"/>
      <c r="I86" s="1"/>
      <c r="J86" s="1"/>
      <c r="K86" s="1" t="s">
        <v>892</v>
      </c>
      <c r="L86" s="1" t="s">
        <v>175</v>
      </c>
      <c r="M86" s="1" t="s">
        <v>373</v>
      </c>
      <c r="N86" s="1" t="s">
        <v>155</v>
      </c>
      <c r="O86" t="s">
        <v>893</v>
      </c>
      <c r="R86" s="3" t="s">
        <v>303</v>
      </c>
      <c r="S86" s="3" t="s">
        <v>11</v>
      </c>
      <c r="T86" s="3" t="s">
        <v>894</v>
      </c>
      <c r="U86" s="3" t="s">
        <v>373</v>
      </c>
      <c r="V86" s="3" t="s">
        <v>175</v>
      </c>
      <c r="W86" s="3" t="s">
        <v>895</v>
      </c>
    </row>
    <row r="87" ht="14.5" spans="2:23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R87" s="3" t="s">
        <v>303</v>
      </c>
      <c r="S87" s="3" t="s">
        <v>11</v>
      </c>
      <c r="T87" s="3" t="s">
        <v>896</v>
      </c>
      <c r="U87" s="3" t="s">
        <v>373</v>
      </c>
      <c r="V87" s="3" t="s">
        <v>175</v>
      </c>
      <c r="W87" s="3" t="s">
        <v>897</v>
      </c>
    </row>
    <row r="88" ht="14.5" spans="2:23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R88" s="3" t="s">
        <v>303</v>
      </c>
      <c r="S88" s="3" t="s">
        <v>11</v>
      </c>
      <c r="T88" s="3" t="s">
        <v>898</v>
      </c>
      <c r="U88" s="3" t="s">
        <v>373</v>
      </c>
      <c r="V88" s="3" t="s">
        <v>175</v>
      </c>
      <c r="W88" s="3" t="s">
        <v>899</v>
      </c>
    </row>
    <row r="89" ht="14.5" spans="2:23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R89" s="3" t="s">
        <v>303</v>
      </c>
      <c r="S89" s="3" t="s">
        <v>11</v>
      </c>
      <c r="T89" s="3" t="s">
        <v>900</v>
      </c>
      <c r="U89" s="3" t="s">
        <v>373</v>
      </c>
      <c r="V89" s="3" t="s">
        <v>175</v>
      </c>
      <c r="W89" s="3" t="s">
        <v>901</v>
      </c>
    </row>
    <row r="90" ht="14.5" spans="2:23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R90" s="3" t="s">
        <v>303</v>
      </c>
      <c r="S90" s="3" t="s">
        <v>11</v>
      </c>
      <c r="T90" s="3" t="s">
        <v>902</v>
      </c>
      <c r="U90" s="3" t="s">
        <v>373</v>
      </c>
      <c r="V90" s="3" t="s">
        <v>175</v>
      </c>
      <c r="W90" s="3" t="s">
        <v>903</v>
      </c>
    </row>
    <row r="91" ht="14.5" spans="2:23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R91" s="3" t="s">
        <v>303</v>
      </c>
      <c r="S91" s="3" t="s">
        <v>11</v>
      </c>
      <c r="T91" s="3" t="s">
        <v>904</v>
      </c>
      <c r="U91" s="3" t="s">
        <v>373</v>
      </c>
      <c r="V91" s="3" t="s">
        <v>175</v>
      </c>
      <c r="W91" s="3" t="s">
        <v>905</v>
      </c>
    </row>
    <row r="92" ht="14.5" spans="2:23">
      <c r="B92" s="1"/>
      <c r="C92" s="1"/>
      <c r="D92" s="1"/>
      <c r="E92" s="1"/>
      <c r="F92" s="1"/>
      <c r="G92" s="1"/>
      <c r="H92" s="1"/>
      <c r="I92" t="s">
        <v>310</v>
      </c>
      <c r="R92" s="3" t="s">
        <v>303</v>
      </c>
      <c r="S92" s="3" t="s">
        <v>11</v>
      </c>
      <c r="T92" s="3" t="s">
        <v>906</v>
      </c>
      <c r="U92" s="3" t="s">
        <v>373</v>
      </c>
      <c r="V92" s="3" t="s">
        <v>175</v>
      </c>
      <c r="W92" s="3" t="s">
        <v>907</v>
      </c>
    </row>
    <row r="93" ht="15.25" spans="2:23">
      <c r="B93" s="1"/>
      <c r="C93" s="1"/>
      <c r="D93" s="1"/>
      <c r="E93" s="1"/>
      <c r="F93" s="1"/>
      <c r="G93" s="1"/>
      <c r="H93" s="1"/>
      <c r="I93" s="5" t="s">
        <v>482</v>
      </c>
      <c r="J93" s="5" t="s">
        <v>483</v>
      </c>
      <c r="K93" s="5" t="s">
        <v>266</v>
      </c>
      <c r="L93" s="5" t="s">
        <v>314</v>
      </c>
      <c r="M93" s="5" t="s">
        <v>484</v>
      </c>
      <c r="N93" s="5" t="s">
        <v>485</v>
      </c>
      <c r="R93" s="3" t="s">
        <v>303</v>
      </c>
      <c r="S93" s="3" t="s">
        <v>11</v>
      </c>
      <c r="T93" s="3" t="s">
        <v>908</v>
      </c>
      <c r="U93" s="3" t="s">
        <v>373</v>
      </c>
      <c r="V93" s="3" t="s">
        <v>175</v>
      </c>
      <c r="W93" s="3" t="s">
        <v>909</v>
      </c>
    </row>
    <row r="94" ht="14.5" spans="2:23">
      <c r="B94" s="1"/>
      <c r="C94" s="1"/>
      <c r="D94" s="1"/>
      <c r="E94" s="1"/>
      <c r="F94" s="1"/>
      <c r="G94" s="1"/>
      <c r="H94" s="1"/>
      <c r="I94" t="s">
        <v>303</v>
      </c>
      <c r="J94" t="s">
        <v>910</v>
      </c>
      <c r="K94" t="s">
        <v>911</v>
      </c>
      <c r="L94" t="s">
        <v>175</v>
      </c>
      <c r="R94" s="3" t="s">
        <v>303</v>
      </c>
      <c r="S94" s="3" t="s">
        <v>11</v>
      </c>
      <c r="T94" s="3" t="s">
        <v>912</v>
      </c>
      <c r="U94" s="3" t="s">
        <v>373</v>
      </c>
      <c r="V94" s="3" t="s">
        <v>175</v>
      </c>
      <c r="W94" s="3" t="s">
        <v>913</v>
      </c>
    </row>
    <row r="95" ht="14.5" spans="2:23">
      <c r="B95" s="1"/>
      <c r="C95" s="1"/>
      <c r="D95" s="1"/>
      <c r="E95" s="1"/>
      <c r="F95" s="1"/>
      <c r="G95" s="1"/>
      <c r="H95" s="1"/>
      <c r="I95" t="s">
        <v>303</v>
      </c>
      <c r="J95" t="s">
        <v>914</v>
      </c>
      <c r="K95" t="s">
        <v>915</v>
      </c>
      <c r="L95" t="s">
        <v>175</v>
      </c>
      <c r="R95" s="3" t="s">
        <v>303</v>
      </c>
      <c r="S95" s="3" t="s">
        <v>11</v>
      </c>
      <c r="T95" s="3" t="s">
        <v>916</v>
      </c>
      <c r="U95" s="3" t="s">
        <v>373</v>
      </c>
      <c r="V95" s="3" t="s">
        <v>175</v>
      </c>
      <c r="W95" s="3" t="s">
        <v>917</v>
      </c>
    </row>
    <row r="96" ht="14.5" spans="2:23">
      <c r="B96" s="1"/>
      <c r="C96" s="1"/>
      <c r="D96" s="1"/>
      <c r="E96" s="1"/>
      <c r="F96" s="1"/>
      <c r="G96" s="1"/>
      <c r="H96" s="1"/>
      <c r="I96" t="s">
        <v>303</v>
      </c>
      <c r="J96" t="s">
        <v>918</v>
      </c>
      <c r="K96" t="s">
        <v>919</v>
      </c>
      <c r="L96" t="s">
        <v>175</v>
      </c>
      <c r="R96" s="3" t="s">
        <v>303</v>
      </c>
      <c r="S96" s="3" t="s">
        <v>11</v>
      </c>
      <c r="T96" s="3" t="s">
        <v>920</v>
      </c>
      <c r="U96" s="3" t="s">
        <v>373</v>
      </c>
      <c r="V96" s="3" t="s">
        <v>175</v>
      </c>
      <c r="W96" s="3" t="s">
        <v>921</v>
      </c>
    </row>
    <row r="97" ht="14.5" spans="2:23">
      <c r="B97" s="1"/>
      <c r="C97" s="1"/>
      <c r="D97" s="1"/>
      <c r="E97" s="1"/>
      <c r="F97" s="1"/>
      <c r="G97" s="1"/>
      <c r="H97" s="1"/>
      <c r="I97" t="s">
        <v>303</v>
      </c>
      <c r="J97" t="s">
        <v>922</v>
      </c>
      <c r="K97" t="s">
        <v>923</v>
      </c>
      <c r="L97" t="s">
        <v>175</v>
      </c>
      <c r="R97" s="3" t="s">
        <v>303</v>
      </c>
      <c r="S97" s="3" t="s">
        <v>11</v>
      </c>
      <c r="T97" s="3" t="s">
        <v>924</v>
      </c>
      <c r="U97" s="3" t="s">
        <v>373</v>
      </c>
      <c r="V97" s="3" t="s">
        <v>175</v>
      </c>
      <c r="W97" s="3" t="s">
        <v>925</v>
      </c>
    </row>
    <row r="98" ht="14.5" spans="2:23">
      <c r="B98" s="1"/>
      <c r="C98" s="1"/>
      <c r="D98" s="1"/>
      <c r="E98" s="1"/>
      <c r="F98" s="1"/>
      <c r="G98" s="1"/>
      <c r="H98" s="1"/>
      <c r="I98" t="s">
        <v>303</v>
      </c>
      <c r="J98" t="s">
        <v>926</v>
      </c>
      <c r="K98" t="s">
        <v>927</v>
      </c>
      <c r="L98" t="s">
        <v>175</v>
      </c>
      <c r="R98" s="3" t="s">
        <v>303</v>
      </c>
      <c r="S98" s="3" t="s">
        <v>11</v>
      </c>
      <c r="T98" s="3" t="s">
        <v>928</v>
      </c>
      <c r="U98" s="3" t="s">
        <v>373</v>
      </c>
      <c r="V98" s="3" t="s">
        <v>175</v>
      </c>
      <c r="W98" s="3" t="s">
        <v>929</v>
      </c>
    </row>
    <row r="99" ht="14.5" spans="2:23">
      <c r="B99" s="1"/>
      <c r="C99" s="1"/>
      <c r="D99" s="1"/>
      <c r="E99" s="1"/>
      <c r="F99" s="1"/>
      <c r="G99" s="1"/>
      <c r="H99" s="1"/>
      <c r="I99" t="s">
        <v>303</v>
      </c>
      <c r="J99" t="s">
        <v>930</v>
      </c>
      <c r="K99" t="s">
        <v>931</v>
      </c>
      <c r="L99" t="s">
        <v>175</v>
      </c>
      <c r="R99" s="3" t="s">
        <v>303</v>
      </c>
      <c r="S99" s="3" t="s">
        <v>11</v>
      </c>
      <c r="T99" s="3" t="s">
        <v>932</v>
      </c>
      <c r="U99" s="3" t="s">
        <v>373</v>
      </c>
      <c r="V99" s="3" t="s">
        <v>175</v>
      </c>
      <c r="W99" s="3" t="s">
        <v>933</v>
      </c>
    </row>
    <row r="100" ht="14.5" spans="2:23">
      <c r="B100" s="1"/>
      <c r="C100" s="1"/>
      <c r="D100" s="1"/>
      <c r="E100" s="1"/>
      <c r="F100" s="1"/>
      <c r="G100" s="1"/>
      <c r="H100" s="1"/>
      <c r="I100" t="s">
        <v>303</v>
      </c>
      <c r="J100" t="s">
        <v>934</v>
      </c>
      <c r="K100" t="s">
        <v>935</v>
      </c>
      <c r="L100" t="s">
        <v>175</v>
      </c>
      <c r="R100" s="3" t="s">
        <v>303</v>
      </c>
      <c r="S100" s="3" t="s">
        <v>11</v>
      </c>
      <c r="T100" s="3" t="s">
        <v>936</v>
      </c>
      <c r="U100" s="3" t="s">
        <v>373</v>
      </c>
      <c r="V100" s="3" t="s">
        <v>175</v>
      </c>
      <c r="W100" s="3" t="s">
        <v>937</v>
      </c>
    </row>
    <row r="101" ht="14.5" spans="2:23">
      <c r="B101" s="1"/>
      <c r="C101" s="1"/>
      <c r="D101" s="1"/>
      <c r="E101" s="1"/>
      <c r="F101" s="1"/>
      <c r="G101" s="1"/>
      <c r="H101" s="1"/>
      <c r="I101" t="s">
        <v>303</v>
      </c>
      <c r="J101" t="s">
        <v>938</v>
      </c>
      <c r="K101" t="s">
        <v>939</v>
      </c>
      <c r="L101" t="s">
        <v>175</v>
      </c>
      <c r="R101" s="3" t="s">
        <v>303</v>
      </c>
      <c r="S101" s="3" t="s">
        <v>11</v>
      </c>
      <c r="T101" s="3" t="s">
        <v>940</v>
      </c>
      <c r="U101" s="3" t="s">
        <v>373</v>
      </c>
      <c r="V101" s="3" t="s">
        <v>175</v>
      </c>
      <c r="W101" s="3" t="s">
        <v>941</v>
      </c>
    </row>
    <row r="102" ht="14.5" spans="2:23">
      <c r="B102" s="1"/>
      <c r="C102" s="1"/>
      <c r="D102" s="1"/>
      <c r="E102" s="1"/>
      <c r="F102" s="1"/>
      <c r="G102" s="1"/>
      <c r="H102" s="1"/>
      <c r="I102" t="s">
        <v>303</v>
      </c>
      <c r="J102" t="s">
        <v>942</v>
      </c>
      <c r="K102" t="s">
        <v>943</v>
      </c>
      <c r="L102" t="s">
        <v>175</v>
      </c>
      <c r="R102" s="3" t="s">
        <v>303</v>
      </c>
      <c r="S102" s="3" t="s">
        <v>11</v>
      </c>
      <c r="T102" s="3" t="s">
        <v>944</v>
      </c>
      <c r="U102" s="3" t="s">
        <v>373</v>
      </c>
      <c r="V102" s="3" t="s">
        <v>175</v>
      </c>
      <c r="W102" s="3" t="s">
        <v>945</v>
      </c>
    </row>
    <row r="103" ht="14.5" spans="2:23">
      <c r="B103" s="1"/>
      <c r="C103" s="1"/>
      <c r="D103" s="1"/>
      <c r="E103" s="1"/>
      <c r="F103" s="1"/>
      <c r="G103" s="1"/>
      <c r="H103" s="1"/>
      <c r="I103" t="s">
        <v>303</v>
      </c>
      <c r="J103" t="s">
        <v>946</v>
      </c>
      <c r="K103" t="s">
        <v>947</v>
      </c>
      <c r="L103" t="s">
        <v>175</v>
      </c>
      <c r="R103" s="3" t="s">
        <v>303</v>
      </c>
      <c r="S103" s="3" t="s">
        <v>11</v>
      </c>
      <c r="T103" s="3" t="s">
        <v>948</v>
      </c>
      <c r="U103" s="3" t="s">
        <v>373</v>
      </c>
      <c r="V103" s="3" t="s">
        <v>175</v>
      </c>
      <c r="W103" s="3" t="s">
        <v>949</v>
      </c>
    </row>
    <row r="104" ht="14.5" spans="2:23">
      <c r="B104" s="1"/>
      <c r="C104" s="1"/>
      <c r="D104" s="1"/>
      <c r="E104" s="1"/>
      <c r="F104" s="1"/>
      <c r="G104" s="1"/>
      <c r="H104" s="1"/>
      <c r="I104" t="s">
        <v>303</v>
      </c>
      <c r="J104" t="s">
        <v>950</v>
      </c>
      <c r="K104" t="s">
        <v>951</v>
      </c>
      <c r="L104" t="s">
        <v>175</v>
      </c>
      <c r="R104" s="3" t="s">
        <v>303</v>
      </c>
      <c r="S104" s="3" t="s">
        <v>11</v>
      </c>
      <c r="T104" s="3" t="s">
        <v>952</v>
      </c>
      <c r="U104" s="3" t="s">
        <v>373</v>
      </c>
      <c r="V104" s="3" t="s">
        <v>175</v>
      </c>
      <c r="W104" s="3" t="s">
        <v>953</v>
      </c>
    </row>
    <row r="105" ht="14.5" spans="2:23">
      <c r="B105" s="1"/>
      <c r="C105" s="1"/>
      <c r="D105" s="1"/>
      <c r="E105" s="1"/>
      <c r="F105" s="1"/>
      <c r="G105" s="1"/>
      <c r="H105" s="1"/>
      <c r="I105" t="s">
        <v>303</v>
      </c>
      <c r="J105" t="s">
        <v>954</v>
      </c>
      <c r="K105" t="s">
        <v>955</v>
      </c>
      <c r="L105" t="s">
        <v>175</v>
      </c>
      <c r="R105" s="3" t="s">
        <v>303</v>
      </c>
      <c r="S105" s="3" t="s">
        <v>11</v>
      </c>
      <c r="T105" s="3" t="s">
        <v>956</v>
      </c>
      <c r="U105" s="3" t="s">
        <v>373</v>
      </c>
      <c r="V105" s="3" t="s">
        <v>175</v>
      </c>
      <c r="W105" s="3" t="s">
        <v>957</v>
      </c>
    </row>
    <row r="106" ht="14.5" spans="2:23">
      <c r="B106" s="1"/>
      <c r="C106" s="1"/>
      <c r="D106" s="1"/>
      <c r="E106" s="1"/>
      <c r="F106" s="1"/>
      <c r="G106" s="1"/>
      <c r="H106" s="1"/>
      <c r="I106" t="s">
        <v>303</v>
      </c>
      <c r="J106" t="s">
        <v>958</v>
      </c>
      <c r="K106" t="s">
        <v>959</v>
      </c>
      <c r="L106" t="s">
        <v>175</v>
      </c>
      <c r="R106" s="3" t="s">
        <v>303</v>
      </c>
      <c r="S106" s="3" t="s">
        <v>11</v>
      </c>
      <c r="T106" s="3" t="s">
        <v>960</v>
      </c>
      <c r="U106" s="3" t="s">
        <v>373</v>
      </c>
      <c r="V106" s="3" t="s">
        <v>175</v>
      </c>
      <c r="W106" s="3" t="s">
        <v>961</v>
      </c>
    </row>
    <row r="107" ht="14.5" spans="2:23">
      <c r="B107" s="1"/>
      <c r="C107" s="1"/>
      <c r="D107" s="1"/>
      <c r="E107" s="1"/>
      <c r="F107" s="1"/>
      <c r="G107" s="1"/>
      <c r="H107" s="1"/>
      <c r="I107" t="s">
        <v>303</v>
      </c>
      <c r="J107" t="s">
        <v>962</v>
      </c>
      <c r="K107" t="s">
        <v>963</v>
      </c>
      <c r="L107" t="s">
        <v>175</v>
      </c>
      <c r="R107" s="3" t="s">
        <v>303</v>
      </c>
      <c r="S107" s="3" t="s">
        <v>11</v>
      </c>
      <c r="T107" s="3" t="s">
        <v>964</v>
      </c>
      <c r="U107" s="3" t="s">
        <v>373</v>
      </c>
      <c r="V107" s="3" t="s">
        <v>175</v>
      </c>
      <c r="W107" s="3" t="s">
        <v>965</v>
      </c>
    </row>
    <row r="108" ht="14.5" spans="2:23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R108" s="3" t="s">
        <v>303</v>
      </c>
      <c r="S108" s="3" t="s">
        <v>11</v>
      </c>
      <c r="T108" s="3" t="s">
        <v>966</v>
      </c>
      <c r="U108" s="3" t="s">
        <v>373</v>
      </c>
      <c r="V108" s="3" t="s">
        <v>175</v>
      </c>
      <c r="W108" s="3" t="s">
        <v>967</v>
      </c>
    </row>
    <row r="109" ht="14.5" spans="2:23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R109" s="3" t="s">
        <v>303</v>
      </c>
      <c r="S109" s="3" t="s">
        <v>11</v>
      </c>
      <c r="T109" s="3" t="s">
        <v>968</v>
      </c>
      <c r="U109" s="3" t="s">
        <v>373</v>
      </c>
      <c r="V109" s="3" t="s">
        <v>175</v>
      </c>
      <c r="W109" s="3" t="s">
        <v>969</v>
      </c>
    </row>
    <row r="110" ht="14.5" spans="2:23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R110" s="3" t="s">
        <v>303</v>
      </c>
      <c r="S110" s="3" t="s">
        <v>11</v>
      </c>
      <c r="T110" s="3" t="s">
        <v>970</v>
      </c>
      <c r="U110" s="3" t="s">
        <v>373</v>
      </c>
      <c r="V110" s="3" t="s">
        <v>175</v>
      </c>
      <c r="W110" s="3" t="s">
        <v>971</v>
      </c>
    </row>
    <row r="111" ht="14.5" spans="2:23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R111" s="3" t="s">
        <v>303</v>
      </c>
      <c r="S111" s="3" t="s">
        <v>11</v>
      </c>
      <c r="T111" s="3" t="s">
        <v>972</v>
      </c>
      <c r="U111" s="3" t="s">
        <v>373</v>
      </c>
      <c r="V111" s="3" t="s">
        <v>175</v>
      </c>
      <c r="W111" s="3" t="s">
        <v>973</v>
      </c>
    </row>
    <row r="112" ht="14.5" spans="2:23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R112" s="3" t="s">
        <v>303</v>
      </c>
      <c r="S112" s="3" t="s">
        <v>11</v>
      </c>
      <c r="T112" s="3" t="s">
        <v>974</v>
      </c>
      <c r="U112" s="3" t="s">
        <v>373</v>
      </c>
      <c r="V112" s="3" t="s">
        <v>175</v>
      </c>
      <c r="W112" s="3" t="s">
        <v>975</v>
      </c>
    </row>
    <row r="113" ht="14.5" spans="2:23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R113" s="3" t="s">
        <v>303</v>
      </c>
      <c r="S113" s="3" t="s">
        <v>11</v>
      </c>
      <c r="T113" s="3" t="s">
        <v>976</v>
      </c>
      <c r="U113" s="3" t="s">
        <v>373</v>
      </c>
      <c r="V113" s="3" t="s">
        <v>175</v>
      </c>
      <c r="W113" s="3" t="s">
        <v>977</v>
      </c>
    </row>
    <row r="114" ht="14.5" spans="2:23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R114" s="3" t="s">
        <v>303</v>
      </c>
      <c r="S114" s="3" t="s">
        <v>11</v>
      </c>
      <c r="T114" s="3" t="s">
        <v>978</v>
      </c>
      <c r="U114" s="3" t="s">
        <v>373</v>
      </c>
      <c r="V114" s="3" t="s">
        <v>175</v>
      </c>
      <c r="W114" s="3" t="s">
        <v>979</v>
      </c>
    </row>
    <row r="115" ht="14.5" spans="2:23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R115" s="3" t="s">
        <v>303</v>
      </c>
      <c r="S115" s="3" t="s">
        <v>11</v>
      </c>
      <c r="T115" s="3" t="s">
        <v>980</v>
      </c>
      <c r="U115" s="3" t="s">
        <v>373</v>
      </c>
      <c r="V115" s="3" t="s">
        <v>175</v>
      </c>
      <c r="W115" s="3" t="s">
        <v>981</v>
      </c>
    </row>
    <row r="116" ht="14.5" spans="2:23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R116" s="3" t="s">
        <v>303</v>
      </c>
      <c r="S116" s="3" t="s">
        <v>11</v>
      </c>
      <c r="T116" s="3" t="s">
        <v>982</v>
      </c>
      <c r="U116" s="3" t="s">
        <v>373</v>
      </c>
      <c r="V116" s="3" t="s">
        <v>175</v>
      </c>
      <c r="W116" s="3" t="s">
        <v>983</v>
      </c>
    </row>
    <row r="117" ht="14.5" spans="2:23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R117" s="3" t="s">
        <v>303</v>
      </c>
      <c r="S117" s="3" t="s">
        <v>11</v>
      </c>
      <c r="T117" s="3" t="s">
        <v>984</v>
      </c>
      <c r="U117" s="3" t="s">
        <v>373</v>
      </c>
      <c r="V117" s="3" t="s">
        <v>175</v>
      </c>
      <c r="W117" s="3" t="s">
        <v>985</v>
      </c>
    </row>
    <row r="118" ht="14.5" spans="2:23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R118" s="3" t="s">
        <v>303</v>
      </c>
      <c r="S118" s="3" t="s">
        <v>11</v>
      </c>
      <c r="T118" s="3" t="s">
        <v>986</v>
      </c>
      <c r="U118" s="3" t="s">
        <v>373</v>
      </c>
      <c r="V118" s="3" t="s">
        <v>175</v>
      </c>
      <c r="W118" s="3" t="s">
        <v>987</v>
      </c>
    </row>
    <row r="119" ht="14.5" spans="2:23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R119" s="3" t="s">
        <v>303</v>
      </c>
      <c r="S119" s="3" t="s">
        <v>11</v>
      </c>
      <c r="T119" s="3" t="s">
        <v>988</v>
      </c>
      <c r="U119" s="3" t="s">
        <v>373</v>
      </c>
      <c r="V119" s="3" t="s">
        <v>175</v>
      </c>
      <c r="W119" s="3" t="s">
        <v>989</v>
      </c>
    </row>
    <row r="120" ht="14.5" spans="2:23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R120" s="3" t="s">
        <v>303</v>
      </c>
      <c r="S120" s="3" t="s">
        <v>11</v>
      </c>
      <c r="T120" s="3" t="s">
        <v>990</v>
      </c>
      <c r="U120" s="3" t="s">
        <v>373</v>
      </c>
      <c r="V120" s="3" t="s">
        <v>175</v>
      </c>
      <c r="W120" s="3" t="s">
        <v>991</v>
      </c>
    </row>
    <row r="121" ht="14.5" spans="2:23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R121" s="3" t="s">
        <v>303</v>
      </c>
      <c r="S121" s="3" t="s">
        <v>11</v>
      </c>
      <c r="T121" s="3" t="s">
        <v>992</v>
      </c>
      <c r="U121" s="3" t="s">
        <v>373</v>
      </c>
      <c r="V121" s="3" t="s">
        <v>175</v>
      </c>
      <c r="W121" s="3" t="s">
        <v>993</v>
      </c>
    </row>
    <row r="122" ht="14.5" spans="2:23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R122" s="3" t="s">
        <v>303</v>
      </c>
      <c r="S122" s="3" t="s">
        <v>11</v>
      </c>
      <c r="T122" s="3" t="s">
        <v>994</v>
      </c>
      <c r="U122" s="3" t="s">
        <v>373</v>
      </c>
      <c r="V122" s="3" t="s">
        <v>175</v>
      </c>
      <c r="W122" s="3" t="s">
        <v>995</v>
      </c>
    </row>
    <row r="123" ht="14.5" spans="2:23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R123" s="3" t="s">
        <v>303</v>
      </c>
      <c r="S123" s="3" t="s">
        <v>14</v>
      </c>
      <c r="T123" s="3" t="s">
        <v>996</v>
      </c>
      <c r="U123" s="3" t="s">
        <v>373</v>
      </c>
      <c r="V123" s="3" t="s">
        <v>175</v>
      </c>
      <c r="W123" s="3" t="s">
        <v>997</v>
      </c>
    </row>
    <row r="124" ht="14.5" spans="2:23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R124" s="3" t="s">
        <v>303</v>
      </c>
      <c r="S124" s="3" t="s">
        <v>14</v>
      </c>
      <c r="T124" s="3" t="s">
        <v>998</v>
      </c>
      <c r="U124" s="3" t="s">
        <v>373</v>
      </c>
      <c r="V124" s="3" t="s">
        <v>175</v>
      </c>
      <c r="W124" s="3" t="s">
        <v>999</v>
      </c>
    </row>
    <row r="125" ht="14.5" spans="2:23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R125" s="3" t="s">
        <v>303</v>
      </c>
      <c r="S125" s="3" t="s">
        <v>16</v>
      </c>
      <c r="T125" s="3" t="s">
        <v>1000</v>
      </c>
      <c r="U125" s="3" t="s">
        <v>373</v>
      </c>
      <c r="V125" s="3" t="s">
        <v>175</v>
      </c>
      <c r="W125" s="3" t="s">
        <v>1001</v>
      </c>
    </row>
    <row r="126" ht="14.5" spans="2:23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R126" s="3" t="s">
        <v>303</v>
      </c>
      <c r="S126" s="3" t="s">
        <v>16</v>
      </c>
      <c r="T126" s="3" t="s">
        <v>1002</v>
      </c>
      <c r="U126" s="3" t="s">
        <v>373</v>
      </c>
      <c r="V126" s="3" t="s">
        <v>175</v>
      </c>
      <c r="W126" s="3" t="s">
        <v>1003</v>
      </c>
    </row>
    <row r="127" ht="14.5" spans="2:23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R127" s="3" t="s">
        <v>303</v>
      </c>
      <c r="S127" s="3" t="s">
        <v>18</v>
      </c>
      <c r="T127" s="3" t="s">
        <v>1004</v>
      </c>
      <c r="U127" s="3" t="s">
        <v>373</v>
      </c>
      <c r="V127" s="3" t="s">
        <v>175</v>
      </c>
      <c r="W127" s="3" t="s">
        <v>1005</v>
      </c>
    </row>
    <row r="128" ht="14.5" spans="2:23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R128" s="3" t="s">
        <v>303</v>
      </c>
      <c r="S128" s="3" t="s">
        <v>18</v>
      </c>
      <c r="T128" s="3" t="s">
        <v>1006</v>
      </c>
      <c r="U128" s="3" t="s">
        <v>373</v>
      </c>
      <c r="V128" s="3" t="s">
        <v>175</v>
      </c>
      <c r="W128" s="3" t="s">
        <v>1007</v>
      </c>
    </row>
    <row r="129" ht="14.5" spans="2:23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R129" s="3" t="s">
        <v>303</v>
      </c>
      <c r="S129" s="3" t="s">
        <v>18</v>
      </c>
      <c r="T129" s="3" t="s">
        <v>1008</v>
      </c>
      <c r="U129" s="3" t="s">
        <v>373</v>
      </c>
      <c r="V129" s="3" t="s">
        <v>175</v>
      </c>
      <c r="W129" s="3" t="s">
        <v>1009</v>
      </c>
    </row>
    <row r="130" ht="14.5" spans="2:23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R130" s="3" t="s">
        <v>303</v>
      </c>
      <c r="S130" s="3" t="s">
        <v>18</v>
      </c>
      <c r="T130" s="3" t="s">
        <v>1010</v>
      </c>
      <c r="U130" s="3" t="s">
        <v>373</v>
      </c>
      <c r="V130" s="3" t="s">
        <v>175</v>
      </c>
      <c r="W130" s="3" t="s">
        <v>1011</v>
      </c>
    </row>
    <row r="131" ht="14.5" spans="2:23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R131" s="3" t="s">
        <v>303</v>
      </c>
      <c r="S131" s="3" t="s">
        <v>18</v>
      </c>
      <c r="T131" s="3" t="s">
        <v>1012</v>
      </c>
      <c r="U131" s="3" t="s">
        <v>373</v>
      </c>
      <c r="V131" s="3" t="s">
        <v>175</v>
      </c>
      <c r="W131" s="3" t="s">
        <v>1013</v>
      </c>
    </row>
    <row r="132" ht="14.5" spans="2:23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R132" s="3" t="s">
        <v>303</v>
      </c>
      <c r="S132" s="3" t="s">
        <v>18</v>
      </c>
      <c r="T132" s="3" t="s">
        <v>1014</v>
      </c>
      <c r="U132" s="3" t="s">
        <v>373</v>
      </c>
      <c r="V132" s="3" t="s">
        <v>175</v>
      </c>
      <c r="W132" s="3" t="s">
        <v>1015</v>
      </c>
    </row>
    <row r="133" ht="14.5" spans="2:23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R133" s="3" t="s">
        <v>303</v>
      </c>
      <c r="S133" s="3" t="s">
        <v>20</v>
      </c>
      <c r="T133" s="3" t="s">
        <v>1016</v>
      </c>
      <c r="U133" s="3" t="s">
        <v>373</v>
      </c>
      <c r="V133" s="3" t="s">
        <v>175</v>
      </c>
      <c r="W133" s="3" t="s">
        <v>1017</v>
      </c>
    </row>
    <row r="134" ht="14.5" spans="2:23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R134" s="3" t="s">
        <v>303</v>
      </c>
      <c r="S134" s="3" t="s">
        <v>20</v>
      </c>
      <c r="T134" s="3" t="s">
        <v>1018</v>
      </c>
      <c r="U134" s="3" t="s">
        <v>373</v>
      </c>
      <c r="V134" s="3" t="s">
        <v>175</v>
      </c>
      <c r="W134" s="3" t="s">
        <v>1019</v>
      </c>
    </row>
    <row r="135" ht="14.5" spans="2:23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R135" s="3" t="s">
        <v>303</v>
      </c>
      <c r="S135" s="3" t="s">
        <v>20</v>
      </c>
      <c r="T135" s="3" t="s">
        <v>1020</v>
      </c>
      <c r="U135" s="3" t="s">
        <v>373</v>
      </c>
      <c r="V135" s="3" t="s">
        <v>175</v>
      </c>
      <c r="W135" s="3" t="s">
        <v>1021</v>
      </c>
    </row>
    <row r="136" ht="14.5" spans="2:23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R136" s="3" t="s">
        <v>303</v>
      </c>
      <c r="S136" s="3" t="s">
        <v>20</v>
      </c>
      <c r="T136" s="3" t="s">
        <v>1022</v>
      </c>
      <c r="U136" s="3" t="s">
        <v>373</v>
      </c>
      <c r="V136" s="3" t="s">
        <v>175</v>
      </c>
      <c r="W136" s="3" t="s">
        <v>1023</v>
      </c>
    </row>
    <row r="137" ht="14.5" spans="2:23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R137" s="3" t="s">
        <v>303</v>
      </c>
      <c r="S137" s="3" t="s">
        <v>20</v>
      </c>
      <c r="T137" s="3" t="s">
        <v>1024</v>
      </c>
      <c r="U137" s="3" t="s">
        <v>373</v>
      </c>
      <c r="V137" s="3" t="s">
        <v>175</v>
      </c>
      <c r="W137" s="3" t="s">
        <v>1025</v>
      </c>
    </row>
    <row r="138" ht="14.5" spans="2:23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R138" s="3" t="s">
        <v>303</v>
      </c>
      <c r="S138" s="3" t="s">
        <v>20</v>
      </c>
      <c r="T138" s="3" t="s">
        <v>1026</v>
      </c>
      <c r="U138" s="3" t="s">
        <v>373</v>
      </c>
      <c r="V138" s="3" t="s">
        <v>175</v>
      </c>
      <c r="W138" s="3" t="s">
        <v>1027</v>
      </c>
    </row>
    <row r="139" ht="14.5" spans="2:23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R139" s="3" t="s">
        <v>303</v>
      </c>
      <c r="S139" s="3" t="s">
        <v>22</v>
      </c>
      <c r="T139" s="3" t="s">
        <v>1028</v>
      </c>
      <c r="U139" s="3" t="s">
        <v>373</v>
      </c>
      <c r="V139" s="3" t="s">
        <v>175</v>
      </c>
      <c r="W139" s="3" t="s">
        <v>1029</v>
      </c>
    </row>
    <row r="140" ht="14.5" spans="2:23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R140" s="3" t="s">
        <v>303</v>
      </c>
      <c r="S140" s="3" t="s">
        <v>22</v>
      </c>
      <c r="T140" s="3" t="s">
        <v>1030</v>
      </c>
      <c r="U140" s="3" t="s">
        <v>373</v>
      </c>
      <c r="V140" s="3" t="s">
        <v>175</v>
      </c>
      <c r="W140" s="3" t="s">
        <v>1031</v>
      </c>
    </row>
    <row r="141" ht="14.5" spans="2:23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R141" s="3" t="s">
        <v>303</v>
      </c>
      <c r="S141" s="3" t="s">
        <v>24</v>
      </c>
      <c r="T141" s="3" t="s">
        <v>1032</v>
      </c>
      <c r="U141" s="3" t="s">
        <v>373</v>
      </c>
      <c r="V141" s="3" t="s">
        <v>175</v>
      </c>
      <c r="W141" s="3" t="s">
        <v>1033</v>
      </c>
    </row>
    <row r="142" ht="14.5" spans="2:23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R142" s="3" t="s">
        <v>303</v>
      </c>
      <c r="S142" s="3" t="s">
        <v>24</v>
      </c>
      <c r="T142" s="3" t="s">
        <v>1034</v>
      </c>
      <c r="U142" s="3" t="s">
        <v>373</v>
      </c>
      <c r="V142" s="3" t="s">
        <v>175</v>
      </c>
      <c r="W142" s="3" t="s">
        <v>1035</v>
      </c>
    </row>
    <row r="143" ht="14.5" spans="2:23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R143" s="3" t="s">
        <v>303</v>
      </c>
      <c r="S143" s="3" t="s">
        <v>26</v>
      </c>
      <c r="T143" s="3" t="s">
        <v>1036</v>
      </c>
      <c r="U143" s="3" t="s">
        <v>373</v>
      </c>
      <c r="V143" s="3" t="s">
        <v>175</v>
      </c>
      <c r="W143" s="3" t="s">
        <v>1037</v>
      </c>
    </row>
    <row r="144" ht="14.5" spans="2:23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R144" s="3" t="s">
        <v>303</v>
      </c>
      <c r="S144" s="3" t="s">
        <v>26</v>
      </c>
      <c r="T144" s="3" t="s">
        <v>1038</v>
      </c>
      <c r="U144" s="3" t="s">
        <v>373</v>
      </c>
      <c r="V144" s="3" t="s">
        <v>175</v>
      </c>
      <c r="W144" s="3" t="s">
        <v>1039</v>
      </c>
    </row>
    <row r="145" ht="14.5" spans="2:23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R145" s="3" t="s">
        <v>303</v>
      </c>
      <c r="S145" s="3" t="s">
        <v>26</v>
      </c>
      <c r="T145" s="3" t="s">
        <v>1040</v>
      </c>
      <c r="U145" s="3" t="s">
        <v>373</v>
      </c>
      <c r="V145" s="3" t="s">
        <v>175</v>
      </c>
      <c r="W145" s="3" t="s">
        <v>1041</v>
      </c>
    </row>
    <row r="146" ht="14.5" spans="2:23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R146" s="3" t="s">
        <v>303</v>
      </c>
      <c r="S146" s="3" t="s">
        <v>26</v>
      </c>
      <c r="T146" s="3" t="s">
        <v>1042</v>
      </c>
      <c r="U146" s="3" t="s">
        <v>373</v>
      </c>
      <c r="V146" s="3" t="s">
        <v>175</v>
      </c>
      <c r="W146" s="3" t="s">
        <v>1043</v>
      </c>
    </row>
    <row r="147" ht="14.5" spans="2:23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R147" s="3" t="s">
        <v>303</v>
      </c>
      <c r="S147" s="3" t="s">
        <v>28</v>
      </c>
      <c r="T147" s="3" t="s">
        <v>1044</v>
      </c>
      <c r="U147" s="3" t="s">
        <v>373</v>
      </c>
      <c r="V147" s="3" t="s">
        <v>175</v>
      </c>
      <c r="W147" s="3" t="s">
        <v>1045</v>
      </c>
    </row>
    <row r="148" ht="14.5" spans="2:23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R148" s="3" t="s">
        <v>303</v>
      </c>
      <c r="S148" s="3" t="s">
        <v>28</v>
      </c>
      <c r="T148" s="3" t="s">
        <v>1046</v>
      </c>
      <c r="U148" s="3" t="s">
        <v>373</v>
      </c>
      <c r="V148" s="3" t="s">
        <v>175</v>
      </c>
      <c r="W148" s="3" t="s">
        <v>1047</v>
      </c>
    </row>
    <row r="149" ht="14.5" spans="2:23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R149" s="3" t="s">
        <v>303</v>
      </c>
      <c r="S149" s="3" t="s">
        <v>28</v>
      </c>
      <c r="T149" s="3" t="s">
        <v>1048</v>
      </c>
      <c r="U149" s="3" t="s">
        <v>373</v>
      </c>
      <c r="V149" s="3" t="s">
        <v>175</v>
      </c>
      <c r="W149" s="3" t="s">
        <v>1049</v>
      </c>
    </row>
    <row r="150" ht="14.5" spans="2:23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R150" s="3" t="s">
        <v>303</v>
      </c>
      <c r="S150" s="3" t="s">
        <v>28</v>
      </c>
      <c r="T150" s="3" t="s">
        <v>1050</v>
      </c>
      <c r="U150" s="3" t="s">
        <v>373</v>
      </c>
      <c r="V150" s="3" t="s">
        <v>175</v>
      </c>
      <c r="W150" s="3" t="s">
        <v>1051</v>
      </c>
    </row>
    <row r="151" ht="14.5" spans="2:23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R151" s="3" t="s">
        <v>303</v>
      </c>
      <c r="S151" s="3" t="s">
        <v>30</v>
      </c>
      <c r="T151" s="3" t="s">
        <v>1052</v>
      </c>
      <c r="U151" s="3" t="s">
        <v>373</v>
      </c>
      <c r="V151" s="3" t="s">
        <v>175</v>
      </c>
      <c r="W151" s="3" t="s">
        <v>1053</v>
      </c>
    </row>
    <row r="152" ht="14.5" spans="2:23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R152" s="3" t="s">
        <v>303</v>
      </c>
      <c r="S152" s="3" t="s">
        <v>30</v>
      </c>
      <c r="T152" s="3" t="s">
        <v>1054</v>
      </c>
      <c r="U152" s="3" t="s">
        <v>373</v>
      </c>
      <c r="V152" s="3" t="s">
        <v>175</v>
      </c>
      <c r="W152" s="3" t="s">
        <v>1055</v>
      </c>
    </row>
    <row r="153" ht="14.5" spans="2:23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R153" s="3" t="s">
        <v>303</v>
      </c>
      <c r="S153" s="3" t="s">
        <v>32</v>
      </c>
      <c r="T153" s="3" t="s">
        <v>1056</v>
      </c>
      <c r="U153" s="3" t="s">
        <v>373</v>
      </c>
      <c r="V153" s="3" t="s">
        <v>175</v>
      </c>
      <c r="W153" s="3" t="s">
        <v>1057</v>
      </c>
    </row>
    <row r="154" ht="14.5" spans="2:23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R154" s="3" t="s">
        <v>303</v>
      </c>
      <c r="S154" s="3" t="s">
        <v>32</v>
      </c>
      <c r="T154" s="3" t="s">
        <v>1058</v>
      </c>
      <c r="U154" s="3" t="s">
        <v>373</v>
      </c>
      <c r="V154" s="3" t="s">
        <v>175</v>
      </c>
      <c r="W154" s="3" t="s">
        <v>1059</v>
      </c>
    </row>
    <row r="155" ht="14.5" spans="2:23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R155" s="3" t="s">
        <v>303</v>
      </c>
      <c r="S155" s="3" t="s">
        <v>34</v>
      </c>
      <c r="T155" s="3" t="s">
        <v>1060</v>
      </c>
      <c r="U155" s="3" t="s">
        <v>373</v>
      </c>
      <c r="V155" s="3" t="s">
        <v>175</v>
      </c>
      <c r="W155" s="3" t="s">
        <v>1061</v>
      </c>
    </row>
    <row r="156" ht="14.5" spans="2:23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R156" s="3" t="s">
        <v>303</v>
      </c>
      <c r="S156" s="3" t="s">
        <v>34</v>
      </c>
      <c r="T156" s="3" t="s">
        <v>1062</v>
      </c>
      <c r="U156" s="3" t="s">
        <v>373</v>
      </c>
      <c r="V156" s="3" t="s">
        <v>175</v>
      </c>
      <c r="W156" s="3" t="s">
        <v>1063</v>
      </c>
    </row>
    <row r="157" ht="14.5" spans="2:23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R157" s="3" t="s">
        <v>303</v>
      </c>
      <c r="S157" s="3" t="s">
        <v>34</v>
      </c>
      <c r="T157" s="3" t="s">
        <v>1064</v>
      </c>
      <c r="U157" s="3" t="s">
        <v>373</v>
      </c>
      <c r="V157" s="3" t="s">
        <v>175</v>
      </c>
      <c r="W157" s="3" t="s">
        <v>1065</v>
      </c>
    </row>
    <row r="158" ht="14.5" spans="2:23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R158" s="3" t="s">
        <v>303</v>
      </c>
      <c r="S158" s="3" t="s">
        <v>34</v>
      </c>
      <c r="T158" s="3" t="s">
        <v>1066</v>
      </c>
      <c r="U158" s="3" t="s">
        <v>373</v>
      </c>
      <c r="V158" s="3" t="s">
        <v>175</v>
      </c>
      <c r="W158" s="3" t="s">
        <v>1067</v>
      </c>
    </row>
    <row r="159" ht="14.5" spans="2:23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R159" s="3" t="s">
        <v>303</v>
      </c>
      <c r="S159" s="3" t="s">
        <v>36</v>
      </c>
      <c r="T159" s="3" t="s">
        <v>1068</v>
      </c>
      <c r="U159" s="3" t="s">
        <v>373</v>
      </c>
      <c r="V159" s="3" t="s">
        <v>175</v>
      </c>
      <c r="W159" s="3" t="s">
        <v>1069</v>
      </c>
    </row>
    <row r="160" ht="14.5" spans="2:23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R160" s="3" t="s">
        <v>303</v>
      </c>
      <c r="S160" s="3" t="s">
        <v>36</v>
      </c>
      <c r="T160" s="3" t="s">
        <v>1070</v>
      </c>
      <c r="U160" s="3" t="s">
        <v>373</v>
      </c>
      <c r="V160" s="3" t="s">
        <v>175</v>
      </c>
      <c r="W160" s="3" t="s">
        <v>1071</v>
      </c>
    </row>
    <row r="161" ht="14.5" spans="2:23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R161" s="3" t="s">
        <v>303</v>
      </c>
      <c r="S161" s="3" t="s">
        <v>36</v>
      </c>
      <c r="T161" s="3" t="s">
        <v>1072</v>
      </c>
      <c r="U161" s="3" t="s">
        <v>373</v>
      </c>
      <c r="V161" s="3" t="s">
        <v>175</v>
      </c>
      <c r="W161" s="3" t="s">
        <v>1073</v>
      </c>
    </row>
    <row r="162" ht="14.5" spans="2:23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R162" s="3" t="s">
        <v>303</v>
      </c>
      <c r="S162" s="3" t="s">
        <v>36</v>
      </c>
      <c r="T162" s="3" t="s">
        <v>1074</v>
      </c>
      <c r="U162" s="3" t="s">
        <v>373</v>
      </c>
      <c r="V162" s="3" t="s">
        <v>175</v>
      </c>
      <c r="W162" s="3" t="s">
        <v>1075</v>
      </c>
    </row>
    <row r="163" ht="14.5" spans="2:23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R163" s="3" t="s">
        <v>303</v>
      </c>
      <c r="S163" s="3" t="s">
        <v>36</v>
      </c>
      <c r="T163" s="3" t="s">
        <v>1076</v>
      </c>
      <c r="U163" s="3" t="s">
        <v>373</v>
      </c>
      <c r="V163" s="3" t="s">
        <v>175</v>
      </c>
      <c r="W163" s="3" t="s">
        <v>1077</v>
      </c>
    </row>
    <row r="164" ht="14.5" spans="2:23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R164" s="3" t="s">
        <v>303</v>
      </c>
      <c r="S164" s="3" t="s">
        <v>36</v>
      </c>
      <c r="T164" s="3" t="s">
        <v>1078</v>
      </c>
      <c r="U164" s="3" t="s">
        <v>373</v>
      </c>
      <c r="V164" s="3" t="s">
        <v>175</v>
      </c>
      <c r="W164" s="3" t="s">
        <v>1079</v>
      </c>
    </row>
    <row r="165" ht="14.5" spans="2:23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R165" s="3" t="s">
        <v>303</v>
      </c>
      <c r="S165" s="3" t="s">
        <v>38</v>
      </c>
      <c r="T165" s="3" t="s">
        <v>1080</v>
      </c>
      <c r="U165" s="3" t="s">
        <v>373</v>
      </c>
      <c r="V165" s="3" t="s">
        <v>175</v>
      </c>
      <c r="W165" s="3" t="s">
        <v>1081</v>
      </c>
    </row>
    <row r="166" ht="14.5" spans="2:23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R166" s="3" t="s">
        <v>303</v>
      </c>
      <c r="S166" s="3" t="s">
        <v>38</v>
      </c>
      <c r="T166" s="3" t="s">
        <v>1082</v>
      </c>
      <c r="U166" s="3" t="s">
        <v>373</v>
      </c>
      <c r="V166" s="3" t="s">
        <v>175</v>
      </c>
      <c r="W166" s="3" t="s">
        <v>1083</v>
      </c>
    </row>
    <row r="167" ht="14.5" spans="2:23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R167" s="3" t="s">
        <v>303</v>
      </c>
      <c r="S167" s="3" t="s">
        <v>41</v>
      </c>
      <c r="T167" s="3" t="s">
        <v>1084</v>
      </c>
      <c r="U167" s="3" t="s">
        <v>373</v>
      </c>
      <c r="V167" s="3" t="s">
        <v>175</v>
      </c>
      <c r="W167" s="3" t="s">
        <v>1085</v>
      </c>
    </row>
    <row r="168" ht="14.5" spans="2:23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R168" s="3" t="s">
        <v>303</v>
      </c>
      <c r="S168" s="3" t="s">
        <v>41</v>
      </c>
      <c r="T168" s="3" t="s">
        <v>1086</v>
      </c>
      <c r="U168" s="3" t="s">
        <v>373</v>
      </c>
      <c r="V168" s="3" t="s">
        <v>175</v>
      </c>
      <c r="W168" s="3" t="s">
        <v>1087</v>
      </c>
    </row>
    <row r="169" ht="14.5" spans="2:23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R169" s="3" t="s">
        <v>303</v>
      </c>
      <c r="S169" s="3" t="s">
        <v>44</v>
      </c>
      <c r="T169" s="3" t="s">
        <v>1088</v>
      </c>
      <c r="U169" s="3" t="s">
        <v>373</v>
      </c>
      <c r="V169" s="3" t="s">
        <v>175</v>
      </c>
      <c r="W169" s="3" t="s">
        <v>1089</v>
      </c>
    </row>
    <row r="170" ht="14.5" spans="2:23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R170" s="3" t="s">
        <v>303</v>
      </c>
      <c r="S170" s="3" t="s">
        <v>44</v>
      </c>
      <c r="T170" s="3" t="s">
        <v>1090</v>
      </c>
      <c r="U170" s="3" t="s">
        <v>373</v>
      </c>
      <c r="V170" s="3" t="s">
        <v>175</v>
      </c>
      <c r="W170" s="3" t="s">
        <v>1091</v>
      </c>
    </row>
    <row r="171" ht="14.5" spans="2:23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R171" s="3" t="s">
        <v>303</v>
      </c>
      <c r="S171" s="3" t="s">
        <v>47</v>
      </c>
      <c r="T171" s="3" t="s">
        <v>1092</v>
      </c>
      <c r="U171" s="3" t="s">
        <v>373</v>
      </c>
      <c r="V171" s="3" t="s">
        <v>175</v>
      </c>
      <c r="W171" s="3" t="s">
        <v>1093</v>
      </c>
    </row>
    <row r="172" ht="14.5" spans="2:23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R172" s="3" t="s">
        <v>303</v>
      </c>
      <c r="S172" s="3" t="s">
        <v>47</v>
      </c>
      <c r="T172" s="3" t="s">
        <v>1094</v>
      </c>
      <c r="U172" s="3" t="s">
        <v>373</v>
      </c>
      <c r="V172" s="3" t="s">
        <v>175</v>
      </c>
      <c r="W172" s="3" t="s">
        <v>1095</v>
      </c>
    </row>
    <row r="173" ht="14.5" spans="2:23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R173" s="3" t="s">
        <v>303</v>
      </c>
      <c r="S173" s="3" t="s">
        <v>47</v>
      </c>
      <c r="T173" s="3" t="s">
        <v>1096</v>
      </c>
      <c r="U173" s="3" t="s">
        <v>373</v>
      </c>
      <c r="V173" s="3" t="s">
        <v>175</v>
      </c>
      <c r="W173" s="3" t="s">
        <v>1097</v>
      </c>
    </row>
    <row r="174" ht="14.5" spans="2:23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R174" s="3" t="s">
        <v>303</v>
      </c>
      <c r="S174" s="3" t="s">
        <v>47</v>
      </c>
      <c r="T174" s="3" t="s">
        <v>1098</v>
      </c>
      <c r="U174" s="3" t="s">
        <v>373</v>
      </c>
      <c r="V174" s="3" t="s">
        <v>175</v>
      </c>
      <c r="W174" s="3" t="s">
        <v>1099</v>
      </c>
    </row>
    <row r="175" ht="14.5" spans="2:23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R175" s="3" t="s">
        <v>303</v>
      </c>
      <c r="S175" s="3" t="s">
        <v>49</v>
      </c>
      <c r="T175" s="3" t="s">
        <v>1100</v>
      </c>
      <c r="U175" s="3" t="s">
        <v>373</v>
      </c>
      <c r="V175" s="3" t="s">
        <v>175</v>
      </c>
      <c r="W175" s="3" t="s">
        <v>1101</v>
      </c>
    </row>
    <row r="176" ht="14.5" spans="2:23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R176" s="3" t="s">
        <v>303</v>
      </c>
      <c r="S176" s="3" t="s">
        <v>49</v>
      </c>
      <c r="T176" s="3" t="s">
        <v>1102</v>
      </c>
      <c r="U176" s="3" t="s">
        <v>373</v>
      </c>
      <c r="V176" s="3" t="s">
        <v>175</v>
      </c>
      <c r="W176" s="3" t="s">
        <v>1103</v>
      </c>
    </row>
    <row r="177" ht="14.5" spans="2:23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R177" s="3" t="s">
        <v>303</v>
      </c>
      <c r="S177" s="3" t="s">
        <v>52</v>
      </c>
      <c r="T177" s="3" t="s">
        <v>1104</v>
      </c>
      <c r="U177" s="3" t="s">
        <v>373</v>
      </c>
      <c r="V177" s="3" t="s">
        <v>175</v>
      </c>
      <c r="W177" s="3" t="s">
        <v>1105</v>
      </c>
    </row>
    <row r="178" ht="14.5" spans="2:23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R178" s="3" t="s">
        <v>303</v>
      </c>
      <c r="S178" s="3" t="s">
        <v>52</v>
      </c>
      <c r="T178" s="3" t="s">
        <v>1106</v>
      </c>
      <c r="U178" s="3" t="s">
        <v>373</v>
      </c>
      <c r="V178" s="3" t="s">
        <v>175</v>
      </c>
      <c r="W178" s="3" t="s">
        <v>1107</v>
      </c>
    </row>
    <row r="179" ht="14.5" spans="2:23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R179" s="3" t="s">
        <v>303</v>
      </c>
      <c r="S179" s="3" t="s">
        <v>52</v>
      </c>
      <c r="T179" s="3" t="s">
        <v>1108</v>
      </c>
      <c r="U179" s="3" t="s">
        <v>373</v>
      </c>
      <c r="V179" s="3" t="s">
        <v>175</v>
      </c>
      <c r="W179" s="3" t="s">
        <v>1109</v>
      </c>
    </row>
    <row r="180" ht="14.5" spans="2:23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R180" s="3" t="s">
        <v>303</v>
      </c>
      <c r="S180" s="3" t="s">
        <v>52</v>
      </c>
      <c r="T180" s="3" t="s">
        <v>1110</v>
      </c>
      <c r="U180" s="3" t="s">
        <v>373</v>
      </c>
      <c r="V180" s="3" t="s">
        <v>175</v>
      </c>
      <c r="W180" s="3" t="s">
        <v>1111</v>
      </c>
    </row>
    <row r="181" ht="14.5" spans="2:23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R181" s="3" t="s">
        <v>303</v>
      </c>
      <c r="S181" s="3" t="s">
        <v>52</v>
      </c>
      <c r="T181" s="3" t="s">
        <v>1112</v>
      </c>
      <c r="U181" s="3" t="s">
        <v>373</v>
      </c>
      <c r="V181" s="3" t="s">
        <v>175</v>
      </c>
      <c r="W181" s="3" t="s">
        <v>1113</v>
      </c>
    </row>
    <row r="182" ht="14.5" spans="2:23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R182" s="3" t="s">
        <v>303</v>
      </c>
      <c r="S182" s="3" t="s">
        <v>52</v>
      </c>
      <c r="T182" s="3" t="s">
        <v>1114</v>
      </c>
      <c r="U182" s="3" t="s">
        <v>373</v>
      </c>
      <c r="V182" s="3" t="s">
        <v>175</v>
      </c>
      <c r="W182" s="3" t="s">
        <v>1115</v>
      </c>
    </row>
    <row r="183" ht="14.5" spans="2:23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R183" s="3" t="s">
        <v>303</v>
      </c>
      <c r="S183" s="3" t="s">
        <v>52</v>
      </c>
      <c r="T183" s="3" t="s">
        <v>1116</v>
      </c>
      <c r="U183" s="3" t="s">
        <v>373</v>
      </c>
      <c r="V183" s="3" t="s">
        <v>175</v>
      </c>
      <c r="W183" s="3" t="s">
        <v>1117</v>
      </c>
    </row>
    <row r="184" ht="14.5" spans="2:23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R184" s="3" t="s">
        <v>303</v>
      </c>
      <c r="S184" s="3" t="s">
        <v>52</v>
      </c>
      <c r="T184" s="3" t="s">
        <v>1118</v>
      </c>
      <c r="U184" s="3" t="s">
        <v>373</v>
      </c>
      <c r="V184" s="3" t="s">
        <v>175</v>
      </c>
      <c r="W184" s="3" t="s">
        <v>1119</v>
      </c>
    </row>
    <row r="185" ht="14.5" spans="2:23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R185" s="3" t="s">
        <v>303</v>
      </c>
      <c r="S185" s="3" t="s">
        <v>52</v>
      </c>
      <c r="T185" s="3" t="s">
        <v>1120</v>
      </c>
      <c r="U185" s="3" t="s">
        <v>373</v>
      </c>
      <c r="V185" s="3" t="s">
        <v>175</v>
      </c>
      <c r="W185" s="3" t="s">
        <v>1121</v>
      </c>
    </row>
    <row r="186" ht="14.5" spans="2:23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R186" s="3" t="s">
        <v>303</v>
      </c>
      <c r="S186" s="3" t="s">
        <v>52</v>
      </c>
      <c r="T186" s="3" t="s">
        <v>1122</v>
      </c>
      <c r="U186" s="3" t="s">
        <v>373</v>
      </c>
      <c r="V186" s="3" t="s">
        <v>175</v>
      </c>
      <c r="W186" s="3" t="s">
        <v>1123</v>
      </c>
    </row>
    <row r="187" ht="14.5" spans="2:23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R187" s="3" t="s">
        <v>303</v>
      </c>
      <c r="S187" s="3" t="s">
        <v>52</v>
      </c>
      <c r="T187" s="3" t="s">
        <v>1124</v>
      </c>
      <c r="U187" s="3" t="s">
        <v>373</v>
      </c>
      <c r="V187" s="3" t="s">
        <v>175</v>
      </c>
      <c r="W187" s="3" t="s">
        <v>1125</v>
      </c>
    </row>
    <row r="188" ht="14.5" spans="2:23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R188" s="3" t="s">
        <v>303</v>
      </c>
      <c r="S188" s="3" t="s">
        <v>52</v>
      </c>
      <c r="T188" s="3" t="s">
        <v>1126</v>
      </c>
      <c r="U188" s="3" t="s">
        <v>373</v>
      </c>
      <c r="V188" s="3" t="s">
        <v>175</v>
      </c>
      <c r="W188" s="3" t="s">
        <v>1127</v>
      </c>
    </row>
    <row r="189" ht="14.5" spans="2:23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R189" s="3" t="s">
        <v>303</v>
      </c>
      <c r="S189" s="3" t="s">
        <v>52</v>
      </c>
      <c r="T189" s="3" t="s">
        <v>1128</v>
      </c>
      <c r="U189" s="3" t="s">
        <v>373</v>
      </c>
      <c r="V189" s="3" t="s">
        <v>175</v>
      </c>
      <c r="W189" s="3" t="s">
        <v>1129</v>
      </c>
    </row>
    <row r="190" ht="14.5" spans="2:23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R190" s="3" t="s">
        <v>303</v>
      </c>
      <c r="S190" s="3" t="s">
        <v>52</v>
      </c>
      <c r="T190" s="3" t="s">
        <v>1130</v>
      </c>
      <c r="U190" s="3" t="s">
        <v>373</v>
      </c>
      <c r="V190" s="3" t="s">
        <v>175</v>
      </c>
      <c r="W190" s="3" t="s">
        <v>1131</v>
      </c>
    </row>
    <row r="191" ht="14.5" spans="2:23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R191" s="3" t="s">
        <v>303</v>
      </c>
      <c r="S191" s="3" t="s">
        <v>52</v>
      </c>
      <c r="T191" s="3" t="s">
        <v>1132</v>
      </c>
      <c r="U191" s="3" t="s">
        <v>373</v>
      </c>
      <c r="V191" s="3" t="s">
        <v>175</v>
      </c>
      <c r="W191" s="3" t="s">
        <v>1133</v>
      </c>
    </row>
    <row r="192" ht="14.5" spans="2:23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R192" s="3" t="s">
        <v>303</v>
      </c>
      <c r="S192" s="3" t="s">
        <v>52</v>
      </c>
      <c r="T192" s="3" t="s">
        <v>1134</v>
      </c>
      <c r="U192" s="3" t="s">
        <v>373</v>
      </c>
      <c r="V192" s="3" t="s">
        <v>175</v>
      </c>
      <c r="W192" s="3" t="s">
        <v>1135</v>
      </c>
    </row>
    <row r="193" ht="14.5" spans="2:23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R193" s="3" t="s">
        <v>303</v>
      </c>
      <c r="S193" s="3" t="s">
        <v>52</v>
      </c>
      <c r="T193" s="3" t="s">
        <v>1136</v>
      </c>
      <c r="U193" s="3" t="s">
        <v>373</v>
      </c>
      <c r="V193" s="3" t="s">
        <v>175</v>
      </c>
      <c r="W193" s="3" t="s">
        <v>1137</v>
      </c>
    </row>
    <row r="194" ht="14.5" spans="2:23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R194" s="3" t="s">
        <v>303</v>
      </c>
      <c r="S194" s="3" t="s">
        <v>52</v>
      </c>
      <c r="T194" s="3" t="s">
        <v>1138</v>
      </c>
      <c r="U194" s="3" t="s">
        <v>373</v>
      </c>
      <c r="V194" s="3" t="s">
        <v>175</v>
      </c>
      <c r="W194" s="3" t="s">
        <v>1139</v>
      </c>
    </row>
    <row r="195" ht="14.5" spans="2:23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R195" s="3" t="s">
        <v>303</v>
      </c>
      <c r="S195" s="3" t="s">
        <v>52</v>
      </c>
      <c r="T195" s="3" t="s">
        <v>1140</v>
      </c>
      <c r="U195" s="3" t="s">
        <v>373</v>
      </c>
      <c r="V195" s="3" t="s">
        <v>175</v>
      </c>
      <c r="W195" s="3" t="s">
        <v>1141</v>
      </c>
    </row>
    <row r="196" ht="14.5" spans="2:23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R196" s="3" t="s">
        <v>303</v>
      </c>
      <c r="S196" s="3" t="s">
        <v>52</v>
      </c>
      <c r="T196" s="3" t="s">
        <v>1142</v>
      </c>
      <c r="U196" s="3" t="s">
        <v>373</v>
      </c>
      <c r="V196" s="3" t="s">
        <v>175</v>
      </c>
      <c r="W196" s="3" t="s">
        <v>1143</v>
      </c>
    </row>
    <row r="197" ht="14.5" spans="2:23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R197" s="3" t="s">
        <v>303</v>
      </c>
      <c r="S197" s="3" t="s">
        <v>52</v>
      </c>
      <c r="T197" s="3" t="s">
        <v>1144</v>
      </c>
      <c r="U197" s="3" t="s">
        <v>373</v>
      </c>
      <c r="V197" s="3" t="s">
        <v>175</v>
      </c>
      <c r="W197" s="3" t="s">
        <v>1145</v>
      </c>
    </row>
    <row r="198" ht="14.5" spans="2:23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R198" s="3" t="s">
        <v>303</v>
      </c>
      <c r="S198" s="3" t="s">
        <v>52</v>
      </c>
      <c r="T198" s="3" t="s">
        <v>1146</v>
      </c>
      <c r="U198" s="3" t="s">
        <v>373</v>
      </c>
      <c r="V198" s="3" t="s">
        <v>175</v>
      </c>
      <c r="W198" s="3" t="s">
        <v>1147</v>
      </c>
    </row>
    <row r="199" ht="14.5" spans="2:23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R199" s="3" t="s">
        <v>303</v>
      </c>
      <c r="S199" s="3" t="s">
        <v>52</v>
      </c>
      <c r="T199" s="3" t="s">
        <v>1148</v>
      </c>
      <c r="U199" s="3" t="s">
        <v>373</v>
      </c>
      <c r="V199" s="3" t="s">
        <v>175</v>
      </c>
      <c r="W199" s="3" t="s">
        <v>1149</v>
      </c>
    </row>
    <row r="200" ht="14.5" spans="2:23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R200" s="3" t="s">
        <v>303</v>
      </c>
      <c r="S200" s="3" t="s">
        <v>52</v>
      </c>
      <c r="T200" s="3" t="s">
        <v>1150</v>
      </c>
      <c r="U200" s="3" t="s">
        <v>373</v>
      </c>
      <c r="V200" s="3" t="s">
        <v>175</v>
      </c>
      <c r="W200" s="3" t="s">
        <v>1151</v>
      </c>
    </row>
    <row r="201" ht="14.5" spans="2:23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R201" s="3" t="s">
        <v>303</v>
      </c>
      <c r="S201" s="3" t="s">
        <v>52</v>
      </c>
      <c r="T201" s="3" t="s">
        <v>1152</v>
      </c>
      <c r="U201" s="3" t="s">
        <v>373</v>
      </c>
      <c r="V201" s="3" t="s">
        <v>175</v>
      </c>
      <c r="W201" s="3" t="s">
        <v>1153</v>
      </c>
    </row>
    <row r="202" ht="14.5" spans="2:23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R202" s="3" t="s">
        <v>303</v>
      </c>
      <c r="S202" s="3" t="s">
        <v>52</v>
      </c>
      <c r="T202" s="3" t="s">
        <v>1154</v>
      </c>
      <c r="U202" s="3" t="s">
        <v>373</v>
      </c>
      <c r="V202" s="3" t="s">
        <v>175</v>
      </c>
      <c r="W202" s="3" t="s">
        <v>1155</v>
      </c>
    </row>
    <row r="203" ht="14.5" spans="2:23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R203" s="3" t="s">
        <v>303</v>
      </c>
      <c r="S203" s="3" t="s">
        <v>52</v>
      </c>
      <c r="T203" s="3" t="s">
        <v>1156</v>
      </c>
      <c r="U203" s="3" t="s">
        <v>373</v>
      </c>
      <c r="V203" s="3" t="s">
        <v>175</v>
      </c>
      <c r="W203" s="3" t="s">
        <v>1157</v>
      </c>
    </row>
    <row r="204" ht="14.5" spans="2:23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R204" s="3" t="s">
        <v>303</v>
      </c>
      <c r="S204" s="3" t="s">
        <v>52</v>
      </c>
      <c r="T204" s="3" t="s">
        <v>1158</v>
      </c>
      <c r="U204" s="3" t="s">
        <v>373</v>
      </c>
      <c r="V204" s="3" t="s">
        <v>175</v>
      </c>
      <c r="W204" s="3" t="s">
        <v>1159</v>
      </c>
    </row>
    <row r="205" ht="14.5" spans="2:23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R205" s="3" t="s">
        <v>303</v>
      </c>
      <c r="S205" s="3" t="s">
        <v>52</v>
      </c>
      <c r="T205" s="3" t="s">
        <v>1160</v>
      </c>
      <c r="U205" s="3" t="s">
        <v>373</v>
      </c>
      <c r="V205" s="3" t="s">
        <v>175</v>
      </c>
      <c r="W205" s="3" t="s">
        <v>1161</v>
      </c>
    </row>
    <row r="206" ht="14.5" spans="2:23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R206" s="3" t="s">
        <v>303</v>
      </c>
      <c r="S206" s="3" t="s">
        <v>52</v>
      </c>
      <c r="T206" s="3" t="s">
        <v>1162</v>
      </c>
      <c r="U206" s="3" t="s">
        <v>373</v>
      </c>
      <c r="V206" s="3" t="s">
        <v>175</v>
      </c>
      <c r="W206" s="3" t="s">
        <v>1163</v>
      </c>
    </row>
    <row r="207" ht="14.5" spans="2:23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R207" s="3" t="s">
        <v>303</v>
      </c>
      <c r="S207" s="3" t="s">
        <v>52</v>
      </c>
      <c r="T207" s="3" t="s">
        <v>1164</v>
      </c>
      <c r="U207" s="3" t="s">
        <v>373</v>
      </c>
      <c r="V207" s="3" t="s">
        <v>175</v>
      </c>
      <c r="W207" s="3" t="s">
        <v>1165</v>
      </c>
    </row>
    <row r="208" ht="14.5" spans="2:23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R208" s="3" t="s">
        <v>303</v>
      </c>
      <c r="S208" s="3" t="s">
        <v>52</v>
      </c>
      <c r="T208" s="3" t="s">
        <v>1166</v>
      </c>
      <c r="U208" s="3" t="s">
        <v>373</v>
      </c>
      <c r="V208" s="3" t="s">
        <v>175</v>
      </c>
      <c r="W208" s="3" t="s">
        <v>1167</v>
      </c>
    </row>
    <row r="209" ht="14.5" spans="2:23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R209" s="3" t="s">
        <v>303</v>
      </c>
      <c r="S209" s="3" t="s">
        <v>52</v>
      </c>
      <c r="T209" s="3" t="s">
        <v>1168</v>
      </c>
      <c r="U209" s="3" t="s">
        <v>373</v>
      </c>
      <c r="V209" s="3" t="s">
        <v>175</v>
      </c>
      <c r="W209" s="3" t="s">
        <v>1169</v>
      </c>
    </row>
    <row r="210" ht="14.5" spans="2:23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R210" s="3" t="s">
        <v>303</v>
      </c>
      <c r="S210" s="3" t="s">
        <v>52</v>
      </c>
      <c r="T210" s="3" t="s">
        <v>1170</v>
      </c>
      <c r="U210" s="3" t="s">
        <v>373</v>
      </c>
      <c r="V210" s="3" t="s">
        <v>175</v>
      </c>
      <c r="W210" s="3" t="s">
        <v>1171</v>
      </c>
    </row>
    <row r="211" ht="14.5" spans="2:23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R211" s="3" t="s">
        <v>303</v>
      </c>
      <c r="S211" s="3" t="s">
        <v>52</v>
      </c>
      <c r="T211" s="3" t="s">
        <v>1172</v>
      </c>
      <c r="U211" s="3" t="s">
        <v>373</v>
      </c>
      <c r="V211" s="3" t="s">
        <v>175</v>
      </c>
      <c r="W211" s="3" t="s">
        <v>1173</v>
      </c>
    </row>
    <row r="212" ht="14.5" spans="2:23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R212" s="3" t="s">
        <v>303</v>
      </c>
      <c r="S212" s="3" t="s">
        <v>52</v>
      </c>
      <c r="T212" s="3" t="s">
        <v>1174</v>
      </c>
      <c r="U212" s="3" t="s">
        <v>373</v>
      </c>
      <c r="V212" s="3" t="s">
        <v>175</v>
      </c>
      <c r="W212" s="3" t="s">
        <v>1175</v>
      </c>
    </row>
    <row r="213" ht="14.5" spans="2:23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R213" s="3" t="s">
        <v>303</v>
      </c>
      <c r="S213" s="3" t="s">
        <v>52</v>
      </c>
      <c r="T213" s="3" t="s">
        <v>1176</v>
      </c>
      <c r="U213" s="3" t="s">
        <v>373</v>
      </c>
      <c r="V213" s="3" t="s">
        <v>175</v>
      </c>
      <c r="W213" s="3" t="s">
        <v>1177</v>
      </c>
    </row>
    <row r="214" ht="14.5" spans="2:23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R214" s="3" t="s">
        <v>303</v>
      </c>
      <c r="S214" s="3" t="s">
        <v>52</v>
      </c>
      <c r="T214" s="3" t="s">
        <v>1178</v>
      </c>
      <c r="U214" s="3" t="s">
        <v>373</v>
      </c>
      <c r="V214" s="3" t="s">
        <v>175</v>
      </c>
      <c r="W214" s="3" t="s">
        <v>1179</v>
      </c>
    </row>
    <row r="215" ht="14.5" spans="2:23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R215" s="3" t="s">
        <v>303</v>
      </c>
      <c r="S215" s="3" t="s">
        <v>52</v>
      </c>
      <c r="T215" s="3" t="s">
        <v>1180</v>
      </c>
      <c r="U215" s="3" t="s">
        <v>373</v>
      </c>
      <c r="V215" s="3" t="s">
        <v>175</v>
      </c>
      <c r="W215" s="3" t="s">
        <v>1181</v>
      </c>
    </row>
    <row r="216" ht="14.5" spans="2:23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R216" s="3" t="s">
        <v>303</v>
      </c>
      <c r="S216" s="3" t="s">
        <v>52</v>
      </c>
      <c r="T216" s="3" t="s">
        <v>1182</v>
      </c>
      <c r="U216" s="3" t="s">
        <v>373</v>
      </c>
      <c r="V216" s="3" t="s">
        <v>175</v>
      </c>
      <c r="W216" s="3" t="s">
        <v>1183</v>
      </c>
    </row>
    <row r="217" ht="14.5" spans="2:23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R217" s="3" t="s">
        <v>303</v>
      </c>
      <c r="S217" s="3" t="s">
        <v>52</v>
      </c>
      <c r="T217" s="3" t="s">
        <v>1184</v>
      </c>
      <c r="U217" s="3" t="s">
        <v>373</v>
      </c>
      <c r="V217" s="3" t="s">
        <v>175</v>
      </c>
      <c r="W217" s="3" t="s">
        <v>1185</v>
      </c>
    </row>
    <row r="218" ht="14.5" spans="2:23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R218" s="3" t="s">
        <v>303</v>
      </c>
      <c r="S218" s="3" t="s">
        <v>52</v>
      </c>
      <c r="T218" s="3" t="s">
        <v>1186</v>
      </c>
      <c r="U218" s="3" t="s">
        <v>373</v>
      </c>
      <c r="V218" s="3" t="s">
        <v>175</v>
      </c>
      <c r="W218" s="3" t="s">
        <v>1187</v>
      </c>
    </row>
    <row r="219" ht="14.5" spans="2:23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R219" s="3" t="s">
        <v>303</v>
      </c>
      <c r="S219" s="3" t="s">
        <v>52</v>
      </c>
      <c r="T219" s="3" t="s">
        <v>1188</v>
      </c>
      <c r="U219" s="3" t="s">
        <v>373</v>
      </c>
      <c r="V219" s="3" t="s">
        <v>175</v>
      </c>
      <c r="W219" s="3" t="s">
        <v>1189</v>
      </c>
    </row>
    <row r="220" ht="14.5" spans="2:23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R220" s="3" t="s">
        <v>303</v>
      </c>
      <c r="S220" s="3" t="s">
        <v>52</v>
      </c>
      <c r="T220" s="3" t="s">
        <v>1190</v>
      </c>
      <c r="U220" s="3" t="s">
        <v>373</v>
      </c>
      <c r="V220" s="3" t="s">
        <v>175</v>
      </c>
      <c r="W220" s="3" t="s">
        <v>1191</v>
      </c>
    </row>
    <row r="221" ht="14.5" spans="2:23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R221" s="3" t="s">
        <v>303</v>
      </c>
      <c r="S221" s="3" t="s">
        <v>52</v>
      </c>
      <c r="T221" s="3" t="s">
        <v>1192</v>
      </c>
      <c r="U221" s="3" t="s">
        <v>373</v>
      </c>
      <c r="V221" s="3" t="s">
        <v>175</v>
      </c>
      <c r="W221" s="3" t="s">
        <v>1193</v>
      </c>
    </row>
    <row r="222" ht="14.5" spans="2:23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R222" s="3" t="s">
        <v>303</v>
      </c>
      <c r="S222" s="3" t="s">
        <v>52</v>
      </c>
      <c r="T222" s="3" t="s">
        <v>1194</v>
      </c>
      <c r="U222" s="3" t="s">
        <v>373</v>
      </c>
      <c r="V222" s="3" t="s">
        <v>175</v>
      </c>
      <c r="W222" s="3" t="s">
        <v>1195</v>
      </c>
    </row>
    <row r="223" ht="14.5" spans="2:23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R223" s="3" t="s">
        <v>303</v>
      </c>
      <c r="S223" s="3" t="s">
        <v>52</v>
      </c>
      <c r="T223" s="3" t="s">
        <v>1196</v>
      </c>
      <c r="U223" s="3" t="s">
        <v>373</v>
      </c>
      <c r="V223" s="3" t="s">
        <v>175</v>
      </c>
      <c r="W223" s="3" t="s">
        <v>1197</v>
      </c>
    </row>
    <row r="224" ht="14.5" spans="2:23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R224" s="3" t="s">
        <v>303</v>
      </c>
      <c r="S224" s="3" t="s">
        <v>52</v>
      </c>
      <c r="T224" s="3" t="s">
        <v>1198</v>
      </c>
      <c r="U224" s="3" t="s">
        <v>373</v>
      </c>
      <c r="V224" s="3" t="s">
        <v>175</v>
      </c>
      <c r="W224" s="3" t="s">
        <v>1199</v>
      </c>
    </row>
    <row r="225" ht="14.5" spans="2:23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R225" s="3" t="s">
        <v>303</v>
      </c>
      <c r="S225" s="3" t="s">
        <v>52</v>
      </c>
      <c r="T225" s="3" t="s">
        <v>1200</v>
      </c>
      <c r="U225" s="3" t="s">
        <v>373</v>
      </c>
      <c r="V225" s="3" t="s">
        <v>175</v>
      </c>
      <c r="W225" s="3" t="s">
        <v>1201</v>
      </c>
    </row>
    <row r="226" ht="14.5" spans="2:23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R226" s="3" t="s">
        <v>303</v>
      </c>
      <c r="S226" s="3" t="s">
        <v>52</v>
      </c>
      <c r="T226" s="3" t="s">
        <v>1202</v>
      </c>
      <c r="U226" s="3" t="s">
        <v>373</v>
      </c>
      <c r="V226" s="3" t="s">
        <v>175</v>
      </c>
      <c r="W226" s="3" t="s">
        <v>1203</v>
      </c>
    </row>
    <row r="227" ht="14.5" spans="2:23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R227" s="3" t="s">
        <v>303</v>
      </c>
      <c r="S227" s="3" t="s">
        <v>52</v>
      </c>
      <c r="T227" s="3" t="s">
        <v>1204</v>
      </c>
      <c r="U227" s="3" t="s">
        <v>373</v>
      </c>
      <c r="V227" s="3" t="s">
        <v>175</v>
      </c>
      <c r="W227" s="3" t="s">
        <v>1205</v>
      </c>
    </row>
    <row r="228" ht="14.5" spans="2:23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R228" s="3" t="s">
        <v>303</v>
      </c>
      <c r="S228" s="3" t="s">
        <v>52</v>
      </c>
      <c r="T228" s="3" t="s">
        <v>1206</v>
      </c>
      <c r="U228" s="3" t="s">
        <v>373</v>
      </c>
      <c r="V228" s="3" t="s">
        <v>175</v>
      </c>
      <c r="W228" s="3" t="s">
        <v>1207</v>
      </c>
    </row>
    <row r="229" ht="14.5" spans="2:23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R229" s="3" t="s">
        <v>303</v>
      </c>
      <c r="S229" s="3" t="s">
        <v>52</v>
      </c>
      <c r="T229" s="3" t="s">
        <v>1208</v>
      </c>
      <c r="U229" s="3" t="s">
        <v>373</v>
      </c>
      <c r="V229" s="3" t="s">
        <v>175</v>
      </c>
      <c r="W229" s="3" t="s">
        <v>1209</v>
      </c>
    </row>
    <row r="230" ht="14.5" spans="2:23"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R230" s="3" t="s">
        <v>303</v>
      </c>
      <c r="S230" s="3" t="s">
        <v>52</v>
      </c>
      <c r="T230" s="3" t="s">
        <v>1210</v>
      </c>
      <c r="U230" s="3" t="s">
        <v>373</v>
      </c>
      <c r="V230" s="3" t="s">
        <v>175</v>
      </c>
      <c r="W230" s="3" t="s">
        <v>1211</v>
      </c>
    </row>
    <row r="231" ht="14.5" spans="2:23"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R231" s="3" t="s">
        <v>303</v>
      </c>
      <c r="S231" s="3" t="s">
        <v>52</v>
      </c>
      <c r="T231" s="3" t="s">
        <v>1212</v>
      </c>
      <c r="U231" s="3" t="s">
        <v>373</v>
      </c>
      <c r="V231" s="3" t="s">
        <v>175</v>
      </c>
      <c r="W231" s="3" t="s">
        <v>1213</v>
      </c>
    </row>
    <row r="232" ht="14.5" spans="2:23"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R232" s="3" t="s">
        <v>303</v>
      </c>
      <c r="S232" s="3" t="s">
        <v>52</v>
      </c>
      <c r="T232" s="3" t="s">
        <v>1214</v>
      </c>
      <c r="U232" s="3" t="s">
        <v>373</v>
      </c>
      <c r="V232" s="3" t="s">
        <v>175</v>
      </c>
      <c r="W232" s="3" t="s">
        <v>1215</v>
      </c>
    </row>
    <row r="233" ht="14.5" spans="2:23"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R233" s="3" t="s">
        <v>303</v>
      </c>
      <c r="S233" s="3" t="s">
        <v>52</v>
      </c>
      <c r="T233" s="3" t="s">
        <v>1216</v>
      </c>
      <c r="U233" s="3" t="s">
        <v>373</v>
      </c>
      <c r="V233" s="3" t="s">
        <v>175</v>
      </c>
      <c r="W233" s="3" t="s">
        <v>1217</v>
      </c>
    </row>
    <row r="234" ht="14.5" spans="2:23"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R234" s="3" t="s">
        <v>303</v>
      </c>
      <c r="S234" s="3" t="s">
        <v>52</v>
      </c>
      <c r="T234" s="3" t="s">
        <v>1218</v>
      </c>
      <c r="U234" s="3" t="s">
        <v>373</v>
      </c>
      <c r="V234" s="3" t="s">
        <v>175</v>
      </c>
      <c r="W234" s="3" t="s">
        <v>1219</v>
      </c>
    </row>
    <row r="235" ht="14.5" spans="2:23"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R235" s="3" t="s">
        <v>303</v>
      </c>
      <c r="S235" s="3" t="s">
        <v>52</v>
      </c>
      <c r="T235" s="3" t="s">
        <v>1220</v>
      </c>
      <c r="U235" s="3" t="s">
        <v>373</v>
      </c>
      <c r="V235" s="3" t="s">
        <v>175</v>
      </c>
      <c r="W235" s="3" t="s">
        <v>1221</v>
      </c>
    </row>
    <row r="236" ht="14.5" spans="2:23"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R236" s="3" t="s">
        <v>303</v>
      </c>
      <c r="S236" s="3" t="s">
        <v>52</v>
      </c>
      <c r="T236" s="3" t="s">
        <v>1222</v>
      </c>
      <c r="U236" s="3" t="s">
        <v>373</v>
      </c>
      <c r="V236" s="3" t="s">
        <v>175</v>
      </c>
      <c r="W236" s="3" t="s">
        <v>1223</v>
      </c>
    </row>
    <row r="237" ht="14.5" spans="2:23"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R237" s="3" t="s">
        <v>303</v>
      </c>
      <c r="S237" s="3" t="s">
        <v>52</v>
      </c>
      <c r="T237" s="3" t="s">
        <v>1224</v>
      </c>
      <c r="U237" s="3" t="s">
        <v>373</v>
      </c>
      <c r="V237" s="3" t="s">
        <v>175</v>
      </c>
      <c r="W237" s="3" t="s">
        <v>1225</v>
      </c>
    </row>
    <row r="238" ht="14.5" spans="2:23"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R238" s="3" t="s">
        <v>303</v>
      </c>
      <c r="S238" s="3" t="s">
        <v>52</v>
      </c>
      <c r="T238" s="3" t="s">
        <v>1226</v>
      </c>
      <c r="U238" s="3" t="s">
        <v>373</v>
      </c>
      <c r="V238" s="3" t="s">
        <v>175</v>
      </c>
      <c r="W238" s="3" t="s">
        <v>1227</v>
      </c>
    </row>
    <row r="239" ht="14.5" spans="2:23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R239" s="3" t="s">
        <v>303</v>
      </c>
      <c r="S239" s="3" t="s">
        <v>52</v>
      </c>
      <c r="T239" s="3" t="s">
        <v>1228</v>
      </c>
      <c r="U239" s="3" t="s">
        <v>373</v>
      </c>
      <c r="V239" s="3" t="s">
        <v>175</v>
      </c>
      <c r="W239" s="3" t="s">
        <v>1229</v>
      </c>
    </row>
    <row r="240" ht="14.5" spans="2:23"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R240" s="3" t="s">
        <v>303</v>
      </c>
      <c r="S240" s="3" t="s">
        <v>52</v>
      </c>
      <c r="T240" s="3" t="s">
        <v>1230</v>
      </c>
      <c r="U240" s="3" t="s">
        <v>373</v>
      </c>
      <c r="V240" s="3" t="s">
        <v>175</v>
      </c>
      <c r="W240" s="3" t="s">
        <v>1231</v>
      </c>
    </row>
    <row r="241" ht="14.5" spans="2:23"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R241" s="3" t="s">
        <v>303</v>
      </c>
      <c r="S241" s="3" t="s">
        <v>52</v>
      </c>
      <c r="T241" s="3" t="s">
        <v>1232</v>
      </c>
      <c r="U241" s="3" t="s">
        <v>373</v>
      </c>
      <c r="V241" s="3" t="s">
        <v>175</v>
      </c>
      <c r="W241" s="3" t="s">
        <v>1233</v>
      </c>
    </row>
    <row r="242" ht="14.5" spans="2:23"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R242" s="3" t="s">
        <v>303</v>
      </c>
      <c r="S242" s="3" t="s">
        <v>52</v>
      </c>
      <c r="T242" s="3" t="s">
        <v>1234</v>
      </c>
      <c r="U242" s="3" t="s">
        <v>373</v>
      </c>
      <c r="V242" s="3" t="s">
        <v>175</v>
      </c>
      <c r="W242" s="3" t="s">
        <v>1235</v>
      </c>
    </row>
    <row r="243" ht="14.5" spans="2:23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R243" s="3" t="s">
        <v>303</v>
      </c>
      <c r="S243" s="3" t="s">
        <v>52</v>
      </c>
      <c r="T243" s="3" t="s">
        <v>1236</v>
      </c>
      <c r="U243" s="3" t="s">
        <v>373</v>
      </c>
      <c r="V243" s="3" t="s">
        <v>175</v>
      </c>
      <c r="W243" s="3" t="s">
        <v>1237</v>
      </c>
    </row>
    <row r="244" ht="14.5" spans="2:23"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R244" s="3" t="s">
        <v>303</v>
      </c>
      <c r="S244" s="3" t="s">
        <v>52</v>
      </c>
      <c r="T244" s="3" t="s">
        <v>1238</v>
      </c>
      <c r="U244" s="3" t="s">
        <v>373</v>
      </c>
      <c r="V244" s="3" t="s">
        <v>175</v>
      </c>
      <c r="W244" s="3" t="s">
        <v>1239</v>
      </c>
    </row>
    <row r="245" ht="14.5" spans="2:23"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R245" s="3" t="s">
        <v>303</v>
      </c>
      <c r="S245" s="3" t="s">
        <v>52</v>
      </c>
      <c r="T245" s="3" t="s">
        <v>1240</v>
      </c>
      <c r="U245" s="3" t="s">
        <v>373</v>
      </c>
      <c r="V245" s="3" t="s">
        <v>175</v>
      </c>
      <c r="W245" s="3" t="s">
        <v>1241</v>
      </c>
    </row>
    <row r="246" ht="14.5" spans="2:23"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R246" s="3" t="s">
        <v>303</v>
      </c>
      <c r="S246" s="3" t="s">
        <v>52</v>
      </c>
      <c r="T246" s="3" t="s">
        <v>1242</v>
      </c>
      <c r="U246" s="3" t="s">
        <v>373</v>
      </c>
      <c r="V246" s="3" t="s">
        <v>175</v>
      </c>
      <c r="W246" s="3" t="s">
        <v>1243</v>
      </c>
    </row>
    <row r="247" ht="14.5" spans="2:23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R247" s="3" t="s">
        <v>303</v>
      </c>
      <c r="S247" s="3" t="s">
        <v>52</v>
      </c>
      <c r="T247" s="3" t="s">
        <v>1244</v>
      </c>
      <c r="U247" s="3" t="s">
        <v>373</v>
      </c>
      <c r="V247" s="3" t="s">
        <v>175</v>
      </c>
      <c r="W247" s="3" t="s">
        <v>1245</v>
      </c>
    </row>
    <row r="248" ht="14.5" spans="2:23"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R248" s="3" t="s">
        <v>303</v>
      </c>
      <c r="S248" s="3" t="s">
        <v>52</v>
      </c>
      <c r="T248" s="3" t="s">
        <v>1246</v>
      </c>
      <c r="U248" s="3" t="s">
        <v>373</v>
      </c>
      <c r="V248" s="3" t="s">
        <v>175</v>
      </c>
      <c r="W248" s="3" t="s">
        <v>1247</v>
      </c>
    </row>
    <row r="249" ht="14.5" spans="2:23"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R249" s="3" t="s">
        <v>303</v>
      </c>
      <c r="S249" s="3" t="s">
        <v>52</v>
      </c>
      <c r="T249" s="3" t="s">
        <v>1248</v>
      </c>
      <c r="U249" s="3" t="s">
        <v>373</v>
      </c>
      <c r="V249" s="3" t="s">
        <v>175</v>
      </c>
      <c r="W249" s="3" t="s">
        <v>1249</v>
      </c>
    </row>
    <row r="250" ht="14.5" spans="2:23"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R250" s="3" t="s">
        <v>303</v>
      </c>
      <c r="S250" s="3" t="s">
        <v>52</v>
      </c>
      <c r="T250" s="3" t="s">
        <v>1250</v>
      </c>
      <c r="U250" s="3" t="s">
        <v>373</v>
      </c>
      <c r="V250" s="3" t="s">
        <v>175</v>
      </c>
      <c r="W250" s="3" t="s">
        <v>1251</v>
      </c>
    </row>
    <row r="251" ht="14.5" spans="2:23"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R251" s="3" t="s">
        <v>303</v>
      </c>
      <c r="S251" s="3" t="s">
        <v>52</v>
      </c>
      <c r="T251" s="3" t="s">
        <v>1252</v>
      </c>
      <c r="U251" s="3" t="s">
        <v>373</v>
      </c>
      <c r="V251" s="3" t="s">
        <v>175</v>
      </c>
      <c r="W251" s="3" t="s">
        <v>1253</v>
      </c>
    </row>
    <row r="252" ht="14.5" spans="2:23"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R252" s="3" t="s">
        <v>303</v>
      </c>
      <c r="S252" s="3" t="s">
        <v>52</v>
      </c>
      <c r="T252" s="3" t="s">
        <v>1254</v>
      </c>
      <c r="U252" s="3" t="s">
        <v>373</v>
      </c>
      <c r="V252" s="3" t="s">
        <v>175</v>
      </c>
      <c r="W252" s="3" t="s">
        <v>1255</v>
      </c>
    </row>
    <row r="253" ht="14.5" spans="2:23"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R253" s="3" t="s">
        <v>303</v>
      </c>
      <c r="S253" s="3" t="s">
        <v>55</v>
      </c>
      <c r="T253" s="3" t="s">
        <v>1256</v>
      </c>
      <c r="U253" s="3" t="s">
        <v>373</v>
      </c>
      <c r="V253" s="3" t="s">
        <v>175</v>
      </c>
      <c r="W253" s="3" t="s">
        <v>1257</v>
      </c>
    </row>
    <row r="254" ht="14.5" spans="2:23"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R254" s="3" t="s">
        <v>303</v>
      </c>
      <c r="S254" s="3" t="s">
        <v>55</v>
      </c>
      <c r="T254" s="3" t="s">
        <v>1258</v>
      </c>
      <c r="U254" s="3" t="s">
        <v>373</v>
      </c>
      <c r="V254" s="3" t="s">
        <v>175</v>
      </c>
      <c r="W254" s="3" t="s">
        <v>1259</v>
      </c>
    </row>
    <row r="255" ht="14.5" spans="2:23"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R255" s="3" t="s">
        <v>303</v>
      </c>
      <c r="S255" s="3" t="s">
        <v>55</v>
      </c>
      <c r="T255" s="3" t="s">
        <v>1260</v>
      </c>
      <c r="U255" s="3" t="s">
        <v>373</v>
      </c>
      <c r="V255" s="3" t="s">
        <v>175</v>
      </c>
      <c r="W255" s="3" t="s">
        <v>1261</v>
      </c>
    </row>
    <row r="256" ht="14.5" spans="2:23"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R256" s="3" t="s">
        <v>303</v>
      </c>
      <c r="S256" s="3" t="s">
        <v>55</v>
      </c>
      <c r="T256" s="3" t="s">
        <v>1262</v>
      </c>
      <c r="U256" s="3" t="s">
        <v>373</v>
      </c>
      <c r="V256" s="3" t="s">
        <v>175</v>
      </c>
      <c r="W256" s="3" t="s">
        <v>1263</v>
      </c>
    </row>
    <row r="257" ht="14.5" spans="2:23"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R257" s="3" t="s">
        <v>303</v>
      </c>
      <c r="S257" s="3" t="s">
        <v>55</v>
      </c>
      <c r="T257" s="3" t="s">
        <v>1264</v>
      </c>
      <c r="U257" s="3" t="s">
        <v>373</v>
      </c>
      <c r="V257" s="3" t="s">
        <v>175</v>
      </c>
      <c r="W257" s="3" t="s">
        <v>1265</v>
      </c>
    </row>
    <row r="258" ht="14.5" spans="2:23"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R258" s="3" t="s">
        <v>303</v>
      </c>
      <c r="S258" s="3" t="s">
        <v>55</v>
      </c>
      <c r="T258" s="3" t="s">
        <v>1266</v>
      </c>
      <c r="U258" s="3" t="s">
        <v>373</v>
      </c>
      <c r="V258" s="3" t="s">
        <v>175</v>
      </c>
      <c r="W258" s="3" t="s">
        <v>1267</v>
      </c>
    </row>
    <row r="259" ht="14.5" spans="2:23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R259" s="3" t="s">
        <v>303</v>
      </c>
      <c r="S259" s="3" t="s">
        <v>55</v>
      </c>
      <c r="T259" s="3" t="s">
        <v>1268</v>
      </c>
      <c r="U259" s="3" t="s">
        <v>373</v>
      </c>
      <c r="V259" s="3" t="s">
        <v>175</v>
      </c>
      <c r="W259" s="3" t="s">
        <v>1269</v>
      </c>
    </row>
    <row r="260" ht="14.5" spans="2:23"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R260" s="3" t="s">
        <v>303</v>
      </c>
      <c r="S260" s="3" t="s">
        <v>55</v>
      </c>
      <c r="T260" s="3" t="s">
        <v>1270</v>
      </c>
      <c r="U260" s="3" t="s">
        <v>373</v>
      </c>
      <c r="V260" s="3" t="s">
        <v>175</v>
      </c>
      <c r="W260" s="3" t="s">
        <v>1271</v>
      </c>
    </row>
    <row r="261" ht="14.5" spans="2:23"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R261" s="3" t="s">
        <v>303</v>
      </c>
      <c r="S261" s="3" t="s">
        <v>55</v>
      </c>
      <c r="T261" s="3" t="s">
        <v>1272</v>
      </c>
      <c r="U261" s="3" t="s">
        <v>373</v>
      </c>
      <c r="V261" s="3" t="s">
        <v>175</v>
      </c>
      <c r="W261" s="3" t="s">
        <v>1273</v>
      </c>
    </row>
    <row r="262" ht="14.5" spans="2:23"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R262" s="3" t="s">
        <v>303</v>
      </c>
      <c r="S262" s="3" t="s">
        <v>55</v>
      </c>
      <c r="T262" s="3" t="s">
        <v>1274</v>
      </c>
      <c r="U262" s="3" t="s">
        <v>373</v>
      </c>
      <c r="V262" s="3" t="s">
        <v>175</v>
      </c>
      <c r="W262" s="3" t="s">
        <v>1275</v>
      </c>
    </row>
    <row r="263" ht="14.5" spans="2:23"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R263" s="3" t="s">
        <v>303</v>
      </c>
      <c r="S263" s="3" t="s">
        <v>55</v>
      </c>
      <c r="T263" s="3" t="s">
        <v>1276</v>
      </c>
      <c r="U263" s="3" t="s">
        <v>373</v>
      </c>
      <c r="V263" s="3" t="s">
        <v>175</v>
      </c>
      <c r="W263" s="3" t="s">
        <v>1277</v>
      </c>
    </row>
    <row r="264" ht="14.5" spans="2:23"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R264" s="3" t="s">
        <v>303</v>
      </c>
      <c r="S264" s="3" t="s">
        <v>55</v>
      </c>
      <c r="T264" s="3" t="s">
        <v>1278</v>
      </c>
      <c r="U264" s="3" t="s">
        <v>373</v>
      </c>
      <c r="V264" s="3" t="s">
        <v>175</v>
      </c>
      <c r="W264" s="3" t="s">
        <v>1279</v>
      </c>
    </row>
    <row r="265" ht="14.5" spans="2:23"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R265" s="3" t="s">
        <v>303</v>
      </c>
      <c r="S265" s="3" t="s">
        <v>55</v>
      </c>
      <c r="T265" s="3" t="s">
        <v>1280</v>
      </c>
      <c r="U265" s="3" t="s">
        <v>373</v>
      </c>
      <c r="V265" s="3" t="s">
        <v>175</v>
      </c>
      <c r="W265" s="3" t="s">
        <v>1281</v>
      </c>
    </row>
    <row r="266" ht="14.5" spans="2:23"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R266" s="3" t="s">
        <v>303</v>
      </c>
      <c r="S266" s="3" t="s">
        <v>55</v>
      </c>
      <c r="T266" s="3" t="s">
        <v>1282</v>
      </c>
      <c r="U266" s="3" t="s">
        <v>373</v>
      </c>
      <c r="V266" s="3" t="s">
        <v>175</v>
      </c>
      <c r="W266" s="3" t="s">
        <v>1283</v>
      </c>
    </row>
    <row r="267" ht="14.5" spans="2:23"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R267" s="3" t="s">
        <v>303</v>
      </c>
      <c r="S267" s="3" t="s">
        <v>55</v>
      </c>
      <c r="T267" s="3" t="s">
        <v>1284</v>
      </c>
      <c r="U267" s="3" t="s">
        <v>373</v>
      </c>
      <c r="V267" s="3" t="s">
        <v>175</v>
      </c>
      <c r="W267" s="3" t="s">
        <v>1285</v>
      </c>
    </row>
    <row r="268" ht="14.5" spans="2:23"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R268" s="3" t="s">
        <v>303</v>
      </c>
      <c r="S268" s="3" t="s">
        <v>55</v>
      </c>
      <c r="T268" s="3" t="s">
        <v>1286</v>
      </c>
      <c r="U268" s="3" t="s">
        <v>373</v>
      </c>
      <c r="V268" s="3" t="s">
        <v>175</v>
      </c>
      <c r="W268" s="3" t="s">
        <v>1287</v>
      </c>
    </row>
    <row r="269" ht="14.5" spans="2:23"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R269" s="3" t="s">
        <v>303</v>
      </c>
      <c r="S269" s="3" t="s">
        <v>55</v>
      </c>
      <c r="T269" s="3" t="s">
        <v>1288</v>
      </c>
      <c r="U269" s="3" t="s">
        <v>373</v>
      </c>
      <c r="V269" s="3" t="s">
        <v>175</v>
      </c>
      <c r="W269" s="3" t="s">
        <v>1289</v>
      </c>
    </row>
    <row r="270" ht="14.5" spans="2:23"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R270" s="3" t="s">
        <v>303</v>
      </c>
      <c r="S270" s="3" t="s">
        <v>55</v>
      </c>
      <c r="T270" s="3" t="s">
        <v>1290</v>
      </c>
      <c r="U270" s="3" t="s">
        <v>373</v>
      </c>
      <c r="V270" s="3" t="s">
        <v>175</v>
      </c>
      <c r="W270" s="3" t="s">
        <v>1291</v>
      </c>
    </row>
    <row r="271" ht="14.5" spans="2:23"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R271" s="3" t="s">
        <v>303</v>
      </c>
      <c r="S271" s="3" t="s">
        <v>55</v>
      </c>
      <c r="T271" s="3" t="s">
        <v>1292</v>
      </c>
      <c r="U271" s="3" t="s">
        <v>373</v>
      </c>
      <c r="V271" s="3" t="s">
        <v>175</v>
      </c>
      <c r="W271" s="3" t="s">
        <v>1293</v>
      </c>
    </row>
    <row r="272" ht="14.5" spans="2:23"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R272" s="3" t="s">
        <v>303</v>
      </c>
      <c r="S272" s="3" t="s">
        <v>55</v>
      </c>
      <c r="T272" s="3" t="s">
        <v>1294</v>
      </c>
      <c r="U272" s="3" t="s">
        <v>373</v>
      </c>
      <c r="V272" s="3" t="s">
        <v>175</v>
      </c>
      <c r="W272" s="3" t="s">
        <v>1295</v>
      </c>
    </row>
    <row r="273" ht="14.5" spans="2:23"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R273" s="3" t="s">
        <v>303</v>
      </c>
      <c r="S273" s="3" t="s">
        <v>55</v>
      </c>
      <c r="T273" s="3" t="s">
        <v>1296</v>
      </c>
      <c r="U273" s="3" t="s">
        <v>373</v>
      </c>
      <c r="V273" s="3" t="s">
        <v>175</v>
      </c>
      <c r="W273" s="3" t="s">
        <v>1297</v>
      </c>
    </row>
    <row r="274" ht="14.5" spans="2:23"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R274" s="3" t="s">
        <v>303</v>
      </c>
      <c r="S274" s="3" t="s">
        <v>55</v>
      </c>
      <c r="T274" s="3" t="s">
        <v>1298</v>
      </c>
      <c r="U274" s="3" t="s">
        <v>373</v>
      </c>
      <c r="V274" s="3" t="s">
        <v>175</v>
      </c>
      <c r="W274" s="3" t="s">
        <v>1299</v>
      </c>
    </row>
    <row r="275" ht="14.5" spans="2:23"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R275" s="3" t="s">
        <v>303</v>
      </c>
      <c r="S275" s="3" t="s">
        <v>55</v>
      </c>
      <c r="T275" s="3" t="s">
        <v>1300</v>
      </c>
      <c r="U275" s="3" t="s">
        <v>373</v>
      </c>
      <c r="V275" s="3" t="s">
        <v>175</v>
      </c>
      <c r="W275" s="3" t="s">
        <v>1301</v>
      </c>
    </row>
    <row r="276" ht="14.5" spans="2:23"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R276" s="3" t="s">
        <v>303</v>
      </c>
      <c r="S276" s="3" t="s">
        <v>55</v>
      </c>
      <c r="T276" s="3" t="s">
        <v>1302</v>
      </c>
      <c r="U276" s="3" t="s">
        <v>373</v>
      </c>
      <c r="V276" s="3" t="s">
        <v>175</v>
      </c>
      <c r="W276" s="3" t="s">
        <v>1303</v>
      </c>
    </row>
    <row r="277" ht="14.5" spans="2:23"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R277" s="3" t="s">
        <v>303</v>
      </c>
      <c r="S277" s="3" t="s">
        <v>55</v>
      </c>
      <c r="T277" s="3" t="s">
        <v>1304</v>
      </c>
      <c r="U277" s="3" t="s">
        <v>373</v>
      </c>
      <c r="V277" s="3" t="s">
        <v>175</v>
      </c>
      <c r="W277" s="3" t="s">
        <v>1305</v>
      </c>
    </row>
    <row r="278" ht="14.5" spans="2:23"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R278" s="3" t="s">
        <v>303</v>
      </c>
      <c r="S278" s="3" t="s">
        <v>55</v>
      </c>
      <c r="T278" s="3" t="s">
        <v>1306</v>
      </c>
      <c r="U278" s="3" t="s">
        <v>373</v>
      </c>
      <c r="V278" s="3" t="s">
        <v>175</v>
      </c>
      <c r="W278" s="3" t="s">
        <v>1307</v>
      </c>
    </row>
    <row r="279" ht="14.5" spans="2:23"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R279" s="3" t="s">
        <v>303</v>
      </c>
      <c r="S279" s="3" t="s">
        <v>57</v>
      </c>
      <c r="T279" s="3" t="s">
        <v>1308</v>
      </c>
      <c r="U279" s="3" t="s">
        <v>373</v>
      </c>
      <c r="V279" s="3" t="s">
        <v>175</v>
      </c>
      <c r="W279" s="3" t="s">
        <v>1309</v>
      </c>
    </row>
    <row r="280" ht="14.5" spans="2:23"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R280" s="3" t="s">
        <v>303</v>
      </c>
      <c r="S280" s="3" t="s">
        <v>57</v>
      </c>
      <c r="T280" s="3" t="s">
        <v>1310</v>
      </c>
      <c r="U280" s="3" t="s">
        <v>373</v>
      </c>
      <c r="V280" s="3" t="s">
        <v>175</v>
      </c>
      <c r="W280" s="3" t="s">
        <v>1311</v>
      </c>
    </row>
    <row r="281" ht="14.5" spans="2:23"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R281" s="3" t="s">
        <v>303</v>
      </c>
      <c r="S281" s="3" t="s">
        <v>57</v>
      </c>
      <c r="T281" s="3" t="s">
        <v>1312</v>
      </c>
      <c r="U281" s="3" t="s">
        <v>373</v>
      </c>
      <c r="V281" s="3" t="s">
        <v>175</v>
      </c>
      <c r="W281" s="3" t="s">
        <v>1313</v>
      </c>
    </row>
    <row r="282" ht="14.5" spans="2:23"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R282" s="3" t="s">
        <v>303</v>
      </c>
      <c r="S282" s="3" t="s">
        <v>57</v>
      </c>
      <c r="T282" s="3" t="s">
        <v>1314</v>
      </c>
      <c r="U282" s="3" t="s">
        <v>373</v>
      </c>
      <c r="V282" s="3" t="s">
        <v>175</v>
      </c>
      <c r="W282" s="3" t="s">
        <v>1315</v>
      </c>
    </row>
    <row r="283" ht="14.5" spans="2:23"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R283" s="3" t="s">
        <v>303</v>
      </c>
      <c r="S283" s="3" t="s">
        <v>57</v>
      </c>
      <c r="T283" s="3" t="s">
        <v>1316</v>
      </c>
      <c r="U283" s="3" t="s">
        <v>373</v>
      </c>
      <c r="V283" s="3" t="s">
        <v>175</v>
      </c>
      <c r="W283" s="3" t="s">
        <v>1317</v>
      </c>
    </row>
    <row r="284" ht="14.5" spans="2:23"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R284" s="3" t="s">
        <v>303</v>
      </c>
      <c r="S284" s="3" t="s">
        <v>57</v>
      </c>
      <c r="T284" s="3" t="s">
        <v>1318</v>
      </c>
      <c r="U284" s="3" t="s">
        <v>373</v>
      </c>
      <c r="V284" s="3" t="s">
        <v>175</v>
      </c>
      <c r="W284" s="3" t="s">
        <v>1319</v>
      </c>
    </row>
    <row r="285" ht="14.5" spans="2:23"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R285" s="3" t="s">
        <v>303</v>
      </c>
      <c r="S285" s="3" t="s">
        <v>59</v>
      </c>
      <c r="T285" s="3" t="s">
        <v>1320</v>
      </c>
      <c r="U285" s="3" t="s">
        <v>373</v>
      </c>
      <c r="V285" s="3" t="s">
        <v>175</v>
      </c>
      <c r="W285" s="3" t="s">
        <v>1321</v>
      </c>
    </row>
    <row r="286" ht="14.5" spans="2:23"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R286" s="3" t="s">
        <v>303</v>
      </c>
      <c r="S286" s="3" t="s">
        <v>59</v>
      </c>
      <c r="T286" s="3" t="s">
        <v>1322</v>
      </c>
      <c r="U286" s="3" t="s">
        <v>373</v>
      </c>
      <c r="V286" s="3" t="s">
        <v>175</v>
      </c>
      <c r="W286" s="3" t="s">
        <v>1323</v>
      </c>
    </row>
    <row r="287" ht="14.5" spans="2:23"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R287" s="3" t="s">
        <v>303</v>
      </c>
      <c r="S287" s="3" t="s">
        <v>62</v>
      </c>
      <c r="T287" s="3" t="s">
        <v>1324</v>
      </c>
      <c r="U287" s="3" t="s">
        <v>373</v>
      </c>
      <c r="V287" s="3" t="s">
        <v>175</v>
      </c>
      <c r="W287" s="3" t="s">
        <v>1325</v>
      </c>
    </row>
    <row r="288" ht="14.5" spans="2:23"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R288" s="3" t="s">
        <v>303</v>
      </c>
      <c r="S288" s="3" t="s">
        <v>62</v>
      </c>
      <c r="T288" s="3" t="s">
        <v>1326</v>
      </c>
      <c r="U288" s="3" t="s">
        <v>373</v>
      </c>
      <c r="V288" s="3" t="s">
        <v>175</v>
      </c>
      <c r="W288" s="3" t="s">
        <v>1327</v>
      </c>
    </row>
    <row r="289" ht="14.5" spans="2:23"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R289" s="3" t="s">
        <v>303</v>
      </c>
      <c r="S289" s="3" t="s">
        <v>65</v>
      </c>
      <c r="T289" s="3" t="s">
        <v>1328</v>
      </c>
      <c r="U289" s="3" t="s">
        <v>373</v>
      </c>
      <c r="V289" s="3" t="s">
        <v>175</v>
      </c>
      <c r="W289" s="3" t="s">
        <v>1329</v>
      </c>
    </row>
    <row r="290" ht="14.5" spans="2:23"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R290" s="3" t="s">
        <v>303</v>
      </c>
      <c r="S290" s="3" t="s">
        <v>65</v>
      </c>
      <c r="T290" s="3" t="s">
        <v>1330</v>
      </c>
      <c r="U290" s="3" t="s">
        <v>373</v>
      </c>
      <c r="V290" s="3" t="s">
        <v>175</v>
      </c>
      <c r="W290" s="3" t="s">
        <v>1331</v>
      </c>
    </row>
    <row r="291" ht="14.5" spans="2:23"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R291" s="3" t="s">
        <v>303</v>
      </c>
      <c r="S291" s="3" t="s">
        <v>65</v>
      </c>
      <c r="T291" s="3" t="s">
        <v>1332</v>
      </c>
      <c r="U291" s="3" t="s">
        <v>373</v>
      </c>
      <c r="V291" s="3" t="s">
        <v>175</v>
      </c>
      <c r="W291" s="3" t="s">
        <v>1333</v>
      </c>
    </row>
    <row r="292" ht="14.5" spans="2:23"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R292" s="3" t="s">
        <v>303</v>
      </c>
      <c r="S292" s="3" t="s">
        <v>65</v>
      </c>
      <c r="T292" s="3" t="s">
        <v>1334</v>
      </c>
      <c r="U292" s="3" t="s">
        <v>373</v>
      </c>
      <c r="V292" s="3" t="s">
        <v>175</v>
      </c>
      <c r="W292" s="3" t="s">
        <v>1335</v>
      </c>
    </row>
    <row r="293" ht="14.5" spans="2:23"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R293" s="3" t="s">
        <v>303</v>
      </c>
      <c r="S293" s="3" t="s">
        <v>65</v>
      </c>
      <c r="T293" s="3" t="s">
        <v>1336</v>
      </c>
      <c r="U293" s="3" t="s">
        <v>373</v>
      </c>
      <c r="V293" s="3" t="s">
        <v>175</v>
      </c>
      <c r="W293" s="3" t="s">
        <v>1337</v>
      </c>
    </row>
    <row r="294" ht="14.5" spans="2:23"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R294" s="3" t="s">
        <v>303</v>
      </c>
      <c r="S294" s="3" t="s">
        <v>65</v>
      </c>
      <c r="T294" s="3" t="s">
        <v>1338</v>
      </c>
      <c r="U294" s="3" t="s">
        <v>373</v>
      </c>
      <c r="V294" s="3" t="s">
        <v>175</v>
      </c>
      <c r="W294" s="3" t="s">
        <v>1339</v>
      </c>
    </row>
    <row r="295" ht="14.5" spans="2:23"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R295" s="3" t="s">
        <v>303</v>
      </c>
      <c r="S295" s="3" t="s">
        <v>65</v>
      </c>
      <c r="T295" s="3" t="s">
        <v>1340</v>
      </c>
      <c r="U295" s="3" t="s">
        <v>373</v>
      </c>
      <c r="V295" s="3" t="s">
        <v>175</v>
      </c>
      <c r="W295" s="3" t="s">
        <v>1341</v>
      </c>
    </row>
    <row r="296" ht="14.5" spans="2:23"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R296" s="3" t="s">
        <v>303</v>
      </c>
      <c r="S296" s="3" t="s">
        <v>65</v>
      </c>
      <c r="T296" s="3" t="s">
        <v>1342</v>
      </c>
      <c r="U296" s="3" t="s">
        <v>373</v>
      </c>
      <c r="V296" s="3" t="s">
        <v>175</v>
      </c>
      <c r="W296" s="3" t="s">
        <v>1343</v>
      </c>
    </row>
    <row r="297" ht="14.5" spans="2:23"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R297" s="3" t="s">
        <v>303</v>
      </c>
      <c r="S297" s="3" t="s">
        <v>65</v>
      </c>
      <c r="T297" s="3" t="s">
        <v>1344</v>
      </c>
      <c r="U297" s="3" t="s">
        <v>373</v>
      </c>
      <c r="V297" s="3" t="s">
        <v>175</v>
      </c>
      <c r="W297" s="3" t="s">
        <v>1345</v>
      </c>
    </row>
    <row r="298" ht="14.5" spans="2:23"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R298" s="3" t="s">
        <v>303</v>
      </c>
      <c r="S298" s="3" t="s">
        <v>65</v>
      </c>
      <c r="T298" s="3" t="s">
        <v>1346</v>
      </c>
      <c r="U298" s="3" t="s">
        <v>373</v>
      </c>
      <c r="V298" s="3" t="s">
        <v>175</v>
      </c>
      <c r="W298" s="3" t="s">
        <v>1347</v>
      </c>
    </row>
    <row r="299" ht="14.5" spans="2:23"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R299" s="3" t="s">
        <v>303</v>
      </c>
      <c r="S299" s="3" t="s">
        <v>65</v>
      </c>
      <c r="T299" s="3" t="s">
        <v>1348</v>
      </c>
      <c r="U299" s="3" t="s">
        <v>373</v>
      </c>
      <c r="V299" s="3" t="s">
        <v>175</v>
      </c>
      <c r="W299" s="3" t="s">
        <v>1349</v>
      </c>
    </row>
    <row r="300" ht="14.5" spans="2:23"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R300" s="3" t="s">
        <v>303</v>
      </c>
      <c r="S300" s="3" t="s">
        <v>65</v>
      </c>
      <c r="T300" s="3" t="s">
        <v>1350</v>
      </c>
      <c r="U300" s="3" t="s">
        <v>373</v>
      </c>
      <c r="V300" s="3" t="s">
        <v>175</v>
      </c>
      <c r="W300" s="3" t="s">
        <v>1351</v>
      </c>
    </row>
    <row r="301" ht="14.5" spans="2:23"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R301" s="3" t="s">
        <v>303</v>
      </c>
      <c r="S301" s="3" t="s">
        <v>65</v>
      </c>
      <c r="T301" s="3" t="s">
        <v>1352</v>
      </c>
      <c r="U301" s="3" t="s">
        <v>373</v>
      </c>
      <c r="V301" s="3" t="s">
        <v>175</v>
      </c>
      <c r="W301" s="3" t="s">
        <v>1353</v>
      </c>
    </row>
    <row r="302" ht="14.5" spans="2:23"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R302" s="3" t="s">
        <v>303</v>
      </c>
      <c r="S302" s="3" t="s">
        <v>65</v>
      </c>
      <c r="T302" s="3" t="s">
        <v>1354</v>
      </c>
      <c r="U302" s="3" t="s">
        <v>373</v>
      </c>
      <c r="V302" s="3" t="s">
        <v>175</v>
      </c>
      <c r="W302" s="3" t="s">
        <v>1355</v>
      </c>
    </row>
    <row r="303" ht="14.5" spans="2:23"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R303" s="3" t="s">
        <v>303</v>
      </c>
      <c r="S303" s="3" t="s">
        <v>65</v>
      </c>
      <c r="T303" s="3" t="s">
        <v>1356</v>
      </c>
      <c r="U303" s="3" t="s">
        <v>373</v>
      </c>
      <c r="V303" s="3" t="s">
        <v>175</v>
      </c>
      <c r="W303" s="3" t="s">
        <v>1357</v>
      </c>
    </row>
    <row r="304" ht="14.5" spans="2:23"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R304" s="3" t="s">
        <v>303</v>
      </c>
      <c r="S304" s="3" t="s">
        <v>65</v>
      </c>
      <c r="T304" s="3" t="s">
        <v>1358</v>
      </c>
      <c r="U304" s="3" t="s">
        <v>373</v>
      </c>
      <c r="V304" s="3" t="s">
        <v>175</v>
      </c>
      <c r="W304" s="3" t="s">
        <v>1359</v>
      </c>
    </row>
    <row r="305" ht="14.5" spans="2:23"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R305" s="3" t="s">
        <v>303</v>
      </c>
      <c r="S305" s="3" t="s">
        <v>65</v>
      </c>
      <c r="T305" s="3" t="s">
        <v>1360</v>
      </c>
      <c r="U305" s="3" t="s">
        <v>373</v>
      </c>
      <c r="V305" s="3" t="s">
        <v>175</v>
      </c>
      <c r="W305" s="3" t="s">
        <v>1361</v>
      </c>
    </row>
    <row r="306" ht="14.5" spans="2:23"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R306" s="3" t="s">
        <v>303</v>
      </c>
      <c r="S306" s="3" t="s">
        <v>65</v>
      </c>
      <c r="T306" s="3" t="s">
        <v>1362</v>
      </c>
      <c r="U306" s="3" t="s">
        <v>373</v>
      </c>
      <c r="V306" s="3" t="s">
        <v>175</v>
      </c>
      <c r="W306" s="3" t="s">
        <v>1363</v>
      </c>
    </row>
    <row r="307" ht="14.5" spans="2:23"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R307" s="3" t="s">
        <v>303</v>
      </c>
      <c r="S307" s="3" t="s">
        <v>65</v>
      </c>
      <c r="T307" s="3" t="s">
        <v>1364</v>
      </c>
      <c r="U307" s="3" t="s">
        <v>373</v>
      </c>
      <c r="V307" s="3" t="s">
        <v>175</v>
      </c>
      <c r="W307" s="3" t="s">
        <v>1365</v>
      </c>
    </row>
    <row r="308" ht="14.5" spans="2:23"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R308" s="3" t="s">
        <v>303</v>
      </c>
      <c r="S308" s="3" t="s">
        <v>65</v>
      </c>
      <c r="T308" s="3" t="s">
        <v>1366</v>
      </c>
      <c r="U308" s="3" t="s">
        <v>373</v>
      </c>
      <c r="V308" s="3" t="s">
        <v>175</v>
      </c>
      <c r="W308" s="3" t="s">
        <v>1367</v>
      </c>
    </row>
    <row r="309" ht="14.5" spans="2:23"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R309" s="3" t="s">
        <v>303</v>
      </c>
      <c r="S309" s="3" t="s">
        <v>65</v>
      </c>
      <c r="T309" s="3" t="s">
        <v>1368</v>
      </c>
      <c r="U309" s="3" t="s">
        <v>373</v>
      </c>
      <c r="V309" s="3" t="s">
        <v>175</v>
      </c>
      <c r="W309" s="3" t="s">
        <v>1369</v>
      </c>
    </row>
    <row r="310" ht="14.5" spans="2:23"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R310" s="3" t="s">
        <v>303</v>
      </c>
      <c r="S310" s="3" t="s">
        <v>65</v>
      </c>
      <c r="T310" s="3" t="s">
        <v>1370</v>
      </c>
      <c r="U310" s="3" t="s">
        <v>373</v>
      </c>
      <c r="V310" s="3" t="s">
        <v>175</v>
      </c>
      <c r="W310" s="3" t="s">
        <v>1371</v>
      </c>
    </row>
    <row r="311" ht="14.5" spans="2:23"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R311" s="3" t="s">
        <v>303</v>
      </c>
      <c r="S311" s="3" t="s">
        <v>65</v>
      </c>
      <c r="T311" s="3" t="s">
        <v>1372</v>
      </c>
      <c r="U311" s="3" t="s">
        <v>373</v>
      </c>
      <c r="V311" s="3" t="s">
        <v>175</v>
      </c>
      <c r="W311" s="3" t="s">
        <v>1373</v>
      </c>
    </row>
    <row r="312" ht="14.5" spans="2:23"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R312" s="3" t="s">
        <v>303</v>
      </c>
      <c r="S312" s="3" t="s">
        <v>65</v>
      </c>
      <c r="T312" s="3" t="s">
        <v>1374</v>
      </c>
      <c r="U312" s="3" t="s">
        <v>373</v>
      </c>
      <c r="V312" s="3" t="s">
        <v>175</v>
      </c>
      <c r="W312" s="3" t="s">
        <v>1375</v>
      </c>
    </row>
    <row r="313" ht="14.5" spans="2:23"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R313" s="3" t="s">
        <v>303</v>
      </c>
      <c r="S313" s="3" t="s">
        <v>65</v>
      </c>
      <c r="T313" s="3" t="s">
        <v>1376</v>
      </c>
      <c r="U313" s="3" t="s">
        <v>373</v>
      </c>
      <c r="V313" s="3" t="s">
        <v>175</v>
      </c>
      <c r="W313" s="3" t="s">
        <v>1377</v>
      </c>
    </row>
    <row r="314" ht="14.5" spans="2:23"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R314" s="3" t="s">
        <v>303</v>
      </c>
      <c r="S314" s="3" t="s">
        <v>65</v>
      </c>
      <c r="T314" s="3" t="s">
        <v>1378</v>
      </c>
      <c r="U314" s="3" t="s">
        <v>373</v>
      </c>
      <c r="V314" s="3" t="s">
        <v>175</v>
      </c>
      <c r="W314" s="3" t="s">
        <v>1379</v>
      </c>
    </row>
    <row r="315" ht="14.5" spans="2:23"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R315" s="3" t="s">
        <v>303</v>
      </c>
      <c r="S315" s="3" t="s">
        <v>65</v>
      </c>
      <c r="T315" s="3" t="s">
        <v>1380</v>
      </c>
      <c r="U315" s="3" t="s">
        <v>373</v>
      </c>
      <c r="V315" s="3" t="s">
        <v>175</v>
      </c>
      <c r="W315" s="3" t="s">
        <v>1381</v>
      </c>
    </row>
    <row r="316" ht="14.5" spans="2:23"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R316" s="3" t="s">
        <v>303</v>
      </c>
      <c r="S316" s="3" t="s">
        <v>65</v>
      </c>
      <c r="T316" s="3" t="s">
        <v>1382</v>
      </c>
      <c r="U316" s="3" t="s">
        <v>373</v>
      </c>
      <c r="V316" s="3" t="s">
        <v>175</v>
      </c>
      <c r="W316" s="3" t="s">
        <v>1383</v>
      </c>
    </row>
    <row r="317" ht="14.5" spans="2:23"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R317" s="3" t="s">
        <v>303</v>
      </c>
      <c r="S317" s="3" t="s">
        <v>65</v>
      </c>
      <c r="T317" s="3" t="s">
        <v>1384</v>
      </c>
      <c r="U317" s="3" t="s">
        <v>373</v>
      </c>
      <c r="V317" s="3" t="s">
        <v>175</v>
      </c>
      <c r="W317" s="3" t="s">
        <v>1385</v>
      </c>
    </row>
    <row r="318" ht="14.5" spans="2:23"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R318" s="3" t="s">
        <v>303</v>
      </c>
      <c r="S318" s="3" t="s">
        <v>65</v>
      </c>
      <c r="T318" s="3" t="s">
        <v>1386</v>
      </c>
      <c r="U318" s="3" t="s">
        <v>373</v>
      </c>
      <c r="V318" s="3" t="s">
        <v>175</v>
      </c>
      <c r="W318" s="3" t="s">
        <v>1387</v>
      </c>
    </row>
    <row r="319" ht="14.5" spans="2:23"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R319" s="3" t="s">
        <v>303</v>
      </c>
      <c r="S319" s="3" t="s">
        <v>65</v>
      </c>
      <c r="T319" s="3" t="s">
        <v>1388</v>
      </c>
      <c r="U319" s="3" t="s">
        <v>373</v>
      </c>
      <c r="V319" s="3" t="s">
        <v>175</v>
      </c>
      <c r="W319" s="3" t="s">
        <v>1389</v>
      </c>
    </row>
    <row r="320" ht="14.5" spans="2:23"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R320" s="3" t="s">
        <v>303</v>
      </c>
      <c r="S320" s="3" t="s">
        <v>65</v>
      </c>
      <c r="T320" s="3" t="s">
        <v>1390</v>
      </c>
      <c r="U320" s="3" t="s">
        <v>373</v>
      </c>
      <c r="V320" s="3" t="s">
        <v>175</v>
      </c>
      <c r="W320" s="3" t="s">
        <v>1391</v>
      </c>
    </row>
    <row r="321" ht="14.5" spans="2:23"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R321" s="3" t="s">
        <v>303</v>
      </c>
      <c r="S321" s="3" t="s">
        <v>65</v>
      </c>
      <c r="T321" s="3" t="s">
        <v>1392</v>
      </c>
      <c r="U321" s="3" t="s">
        <v>373</v>
      </c>
      <c r="V321" s="3" t="s">
        <v>175</v>
      </c>
      <c r="W321" s="3" t="s">
        <v>1393</v>
      </c>
    </row>
    <row r="322" ht="14.5" spans="2:23"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R322" s="3" t="s">
        <v>303</v>
      </c>
      <c r="S322" s="3" t="s">
        <v>65</v>
      </c>
      <c r="T322" s="3" t="s">
        <v>1394</v>
      </c>
      <c r="U322" s="3" t="s">
        <v>373</v>
      </c>
      <c r="V322" s="3" t="s">
        <v>175</v>
      </c>
      <c r="W322" s="3" t="s">
        <v>1395</v>
      </c>
    </row>
    <row r="323" ht="14.5" spans="2:23"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R323" s="3" t="s">
        <v>303</v>
      </c>
      <c r="S323" s="3" t="s">
        <v>65</v>
      </c>
      <c r="T323" s="3" t="s">
        <v>1396</v>
      </c>
      <c r="U323" s="3" t="s">
        <v>373</v>
      </c>
      <c r="V323" s="3" t="s">
        <v>175</v>
      </c>
      <c r="W323" s="3" t="s">
        <v>1397</v>
      </c>
    </row>
    <row r="324" ht="14.5" spans="2:23"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R324" s="3" t="s">
        <v>303</v>
      </c>
      <c r="S324" s="3" t="s">
        <v>65</v>
      </c>
      <c r="T324" s="3" t="s">
        <v>1398</v>
      </c>
      <c r="U324" s="3" t="s">
        <v>373</v>
      </c>
      <c r="V324" s="3" t="s">
        <v>175</v>
      </c>
      <c r="W324" s="3" t="s">
        <v>1399</v>
      </c>
    </row>
    <row r="325" ht="14.5" spans="2:23"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R325" s="3" t="s">
        <v>303</v>
      </c>
      <c r="S325" s="3" t="s">
        <v>65</v>
      </c>
      <c r="T325" s="3" t="s">
        <v>1400</v>
      </c>
      <c r="U325" s="3" t="s">
        <v>373</v>
      </c>
      <c r="V325" s="3" t="s">
        <v>175</v>
      </c>
      <c r="W325" s="3" t="s">
        <v>1401</v>
      </c>
    </row>
    <row r="326" ht="14.5" spans="2:23"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R326" s="3" t="s">
        <v>303</v>
      </c>
      <c r="S326" s="3" t="s">
        <v>65</v>
      </c>
      <c r="T326" s="3" t="s">
        <v>1402</v>
      </c>
      <c r="U326" s="3" t="s">
        <v>373</v>
      </c>
      <c r="V326" s="3" t="s">
        <v>175</v>
      </c>
      <c r="W326" s="3" t="s">
        <v>1403</v>
      </c>
    </row>
    <row r="327" ht="14.5" spans="2:23"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R327" s="3" t="s">
        <v>303</v>
      </c>
      <c r="S327" s="3" t="s">
        <v>65</v>
      </c>
      <c r="T327" s="3" t="s">
        <v>1404</v>
      </c>
      <c r="U327" s="3" t="s">
        <v>373</v>
      </c>
      <c r="V327" s="3" t="s">
        <v>175</v>
      </c>
      <c r="W327" s="3" t="s">
        <v>1405</v>
      </c>
    </row>
    <row r="328" ht="14.5" spans="2:23"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R328" s="3" t="s">
        <v>303</v>
      </c>
      <c r="S328" s="3" t="s">
        <v>65</v>
      </c>
      <c r="T328" s="3" t="s">
        <v>1406</v>
      </c>
      <c r="U328" s="3" t="s">
        <v>373</v>
      </c>
      <c r="V328" s="3" t="s">
        <v>175</v>
      </c>
      <c r="W328" s="3" t="s">
        <v>1407</v>
      </c>
    </row>
    <row r="329" ht="14.5" spans="2:23"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R329" s="3" t="s">
        <v>303</v>
      </c>
      <c r="S329" s="3" t="s">
        <v>65</v>
      </c>
      <c r="T329" s="3" t="s">
        <v>1408</v>
      </c>
      <c r="U329" s="3" t="s">
        <v>373</v>
      </c>
      <c r="V329" s="3" t="s">
        <v>175</v>
      </c>
      <c r="W329" s="3" t="s">
        <v>1409</v>
      </c>
    </row>
    <row r="330" ht="14.5" spans="2:23"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R330" s="3" t="s">
        <v>303</v>
      </c>
      <c r="S330" s="3" t="s">
        <v>65</v>
      </c>
      <c r="T330" s="3" t="s">
        <v>1410</v>
      </c>
      <c r="U330" s="3" t="s">
        <v>373</v>
      </c>
      <c r="V330" s="3" t="s">
        <v>175</v>
      </c>
      <c r="W330" s="3" t="s">
        <v>1411</v>
      </c>
    </row>
    <row r="331" ht="14.5" spans="2:23"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R331" s="3" t="s">
        <v>303</v>
      </c>
      <c r="S331" s="3" t="s">
        <v>65</v>
      </c>
      <c r="T331" s="3" t="s">
        <v>1412</v>
      </c>
      <c r="U331" s="3" t="s">
        <v>373</v>
      </c>
      <c r="V331" s="3" t="s">
        <v>175</v>
      </c>
      <c r="W331" s="3" t="s">
        <v>1413</v>
      </c>
    </row>
    <row r="332" ht="14.5" spans="2:23"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R332" s="3" t="s">
        <v>303</v>
      </c>
      <c r="S332" s="3" t="s">
        <v>65</v>
      </c>
      <c r="T332" s="3" t="s">
        <v>1414</v>
      </c>
      <c r="U332" s="3" t="s">
        <v>373</v>
      </c>
      <c r="V332" s="3" t="s">
        <v>175</v>
      </c>
      <c r="W332" s="3" t="s">
        <v>1415</v>
      </c>
    </row>
    <row r="333" ht="14.5" spans="2:23"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R333" s="3" t="s">
        <v>303</v>
      </c>
      <c r="S333" s="3" t="s">
        <v>65</v>
      </c>
      <c r="T333" s="3" t="s">
        <v>1416</v>
      </c>
      <c r="U333" s="3" t="s">
        <v>373</v>
      </c>
      <c r="V333" s="3" t="s">
        <v>175</v>
      </c>
      <c r="W333" s="3" t="s">
        <v>1417</v>
      </c>
    </row>
    <row r="334" ht="14.5" spans="2:23"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R334" s="3" t="s">
        <v>303</v>
      </c>
      <c r="S334" s="3" t="s">
        <v>65</v>
      </c>
      <c r="T334" s="3" t="s">
        <v>1418</v>
      </c>
      <c r="U334" s="3" t="s">
        <v>373</v>
      </c>
      <c r="V334" s="3" t="s">
        <v>175</v>
      </c>
      <c r="W334" s="3" t="s">
        <v>1419</v>
      </c>
    </row>
    <row r="335" ht="14.5" spans="2:23"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R335" s="3" t="s">
        <v>303</v>
      </c>
      <c r="S335" s="3" t="s">
        <v>65</v>
      </c>
      <c r="T335" s="3" t="s">
        <v>1420</v>
      </c>
      <c r="U335" s="3" t="s">
        <v>373</v>
      </c>
      <c r="V335" s="3" t="s">
        <v>175</v>
      </c>
      <c r="W335" s="3" t="s">
        <v>1421</v>
      </c>
    </row>
    <row r="336" ht="14.5" spans="2:23"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R336" s="3" t="s">
        <v>303</v>
      </c>
      <c r="S336" s="3" t="s">
        <v>65</v>
      </c>
      <c r="T336" s="3" t="s">
        <v>1422</v>
      </c>
      <c r="U336" s="3" t="s">
        <v>373</v>
      </c>
      <c r="V336" s="3" t="s">
        <v>175</v>
      </c>
      <c r="W336" s="3" t="s">
        <v>1423</v>
      </c>
    </row>
    <row r="337" ht="14.5" spans="2:23"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R337" s="3" t="s">
        <v>303</v>
      </c>
      <c r="S337" s="3" t="s">
        <v>65</v>
      </c>
      <c r="T337" s="3" t="s">
        <v>1424</v>
      </c>
      <c r="U337" s="3" t="s">
        <v>373</v>
      </c>
      <c r="V337" s="3" t="s">
        <v>175</v>
      </c>
      <c r="W337" s="3" t="s">
        <v>1425</v>
      </c>
    </row>
    <row r="338" ht="14.5" spans="2:23"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R338" s="3" t="s">
        <v>303</v>
      </c>
      <c r="S338" s="3" t="s">
        <v>65</v>
      </c>
      <c r="T338" s="3" t="s">
        <v>1426</v>
      </c>
      <c r="U338" s="3" t="s">
        <v>373</v>
      </c>
      <c r="V338" s="3" t="s">
        <v>175</v>
      </c>
      <c r="W338" s="3" t="s">
        <v>1427</v>
      </c>
    </row>
    <row r="339" ht="14.5" spans="2:23"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R339" s="3" t="s">
        <v>303</v>
      </c>
      <c r="S339" s="3" t="s">
        <v>65</v>
      </c>
      <c r="T339" s="3" t="s">
        <v>1428</v>
      </c>
      <c r="U339" s="3" t="s">
        <v>373</v>
      </c>
      <c r="V339" s="3" t="s">
        <v>175</v>
      </c>
      <c r="W339" s="3" t="s">
        <v>1429</v>
      </c>
    </row>
    <row r="340" ht="14.5" spans="2:23"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R340" s="3" t="s">
        <v>303</v>
      </c>
      <c r="S340" s="3" t="s">
        <v>65</v>
      </c>
      <c r="T340" s="3" t="s">
        <v>1430</v>
      </c>
      <c r="U340" s="3" t="s">
        <v>373</v>
      </c>
      <c r="V340" s="3" t="s">
        <v>175</v>
      </c>
      <c r="W340" s="3" t="s">
        <v>1431</v>
      </c>
    </row>
    <row r="341" ht="14.5" spans="2:23"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R341" s="3" t="s">
        <v>303</v>
      </c>
      <c r="S341" s="3" t="s">
        <v>65</v>
      </c>
      <c r="T341" s="3" t="s">
        <v>1432</v>
      </c>
      <c r="U341" s="3" t="s">
        <v>373</v>
      </c>
      <c r="V341" s="3" t="s">
        <v>175</v>
      </c>
      <c r="W341" s="3" t="s">
        <v>1433</v>
      </c>
    </row>
    <row r="342" ht="14.5" spans="2:23"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R342" s="3" t="s">
        <v>303</v>
      </c>
      <c r="S342" s="3" t="s">
        <v>65</v>
      </c>
      <c r="T342" s="3" t="s">
        <v>1434</v>
      </c>
      <c r="U342" s="3" t="s">
        <v>373</v>
      </c>
      <c r="V342" s="3" t="s">
        <v>175</v>
      </c>
      <c r="W342" s="3" t="s">
        <v>1435</v>
      </c>
    </row>
    <row r="343" ht="14.5" spans="2:23"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R343" s="3" t="s">
        <v>303</v>
      </c>
      <c r="S343" s="3" t="s">
        <v>65</v>
      </c>
      <c r="T343" s="3" t="s">
        <v>1436</v>
      </c>
      <c r="U343" s="3" t="s">
        <v>373</v>
      </c>
      <c r="V343" s="3" t="s">
        <v>175</v>
      </c>
      <c r="W343" s="3" t="s">
        <v>1437</v>
      </c>
    </row>
    <row r="344" ht="14.5" spans="2:23"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R344" s="3" t="s">
        <v>303</v>
      </c>
      <c r="S344" s="3" t="s">
        <v>65</v>
      </c>
      <c r="T344" s="3" t="s">
        <v>1438</v>
      </c>
      <c r="U344" s="3" t="s">
        <v>373</v>
      </c>
      <c r="V344" s="3" t="s">
        <v>175</v>
      </c>
      <c r="W344" s="3" t="s">
        <v>1439</v>
      </c>
    </row>
    <row r="345" ht="14.5" spans="2:23"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R345" s="3" t="s">
        <v>303</v>
      </c>
      <c r="S345" s="3" t="s">
        <v>65</v>
      </c>
      <c r="T345" s="3" t="s">
        <v>1440</v>
      </c>
      <c r="U345" s="3" t="s">
        <v>373</v>
      </c>
      <c r="V345" s="3" t="s">
        <v>175</v>
      </c>
      <c r="W345" s="3" t="s">
        <v>1441</v>
      </c>
    </row>
    <row r="346" ht="14.5" spans="2:23"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R346" s="3" t="s">
        <v>303</v>
      </c>
      <c r="S346" s="3" t="s">
        <v>65</v>
      </c>
      <c r="T346" s="3" t="s">
        <v>1442</v>
      </c>
      <c r="U346" s="3" t="s">
        <v>373</v>
      </c>
      <c r="V346" s="3" t="s">
        <v>175</v>
      </c>
      <c r="W346" s="3" t="s">
        <v>1443</v>
      </c>
    </row>
    <row r="347" ht="14.5" spans="2:23"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R347" s="3" t="s">
        <v>303</v>
      </c>
      <c r="S347" s="3" t="s">
        <v>65</v>
      </c>
      <c r="T347" s="3" t="s">
        <v>1444</v>
      </c>
      <c r="U347" s="3" t="s">
        <v>373</v>
      </c>
      <c r="V347" s="3" t="s">
        <v>175</v>
      </c>
      <c r="W347" s="3" t="s">
        <v>1445</v>
      </c>
    </row>
    <row r="348" ht="14.5" spans="2:23"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R348" s="3" t="s">
        <v>303</v>
      </c>
      <c r="S348" s="3" t="s">
        <v>65</v>
      </c>
      <c r="T348" s="3" t="s">
        <v>1446</v>
      </c>
      <c r="U348" s="3" t="s">
        <v>373</v>
      </c>
      <c r="V348" s="3" t="s">
        <v>175</v>
      </c>
      <c r="W348" s="3" t="s">
        <v>1447</v>
      </c>
    </row>
    <row r="349" ht="14.5" spans="2:23"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R349" s="3" t="s">
        <v>303</v>
      </c>
      <c r="S349" s="3" t="s">
        <v>65</v>
      </c>
      <c r="T349" s="3" t="s">
        <v>1448</v>
      </c>
      <c r="U349" s="3" t="s">
        <v>373</v>
      </c>
      <c r="V349" s="3" t="s">
        <v>175</v>
      </c>
      <c r="W349" s="3" t="s">
        <v>1449</v>
      </c>
    </row>
    <row r="350" ht="14.5" spans="2:23"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R350" s="3" t="s">
        <v>303</v>
      </c>
      <c r="S350" s="3" t="s">
        <v>65</v>
      </c>
      <c r="T350" s="3" t="s">
        <v>1450</v>
      </c>
      <c r="U350" s="3" t="s">
        <v>373</v>
      </c>
      <c r="V350" s="3" t="s">
        <v>175</v>
      </c>
      <c r="W350" s="3" t="s">
        <v>1451</v>
      </c>
    </row>
    <row r="351" ht="14.5" spans="2:23"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R351" s="3" t="s">
        <v>303</v>
      </c>
      <c r="S351" s="3" t="s">
        <v>65</v>
      </c>
      <c r="T351" s="3" t="s">
        <v>1452</v>
      </c>
      <c r="U351" s="3" t="s">
        <v>373</v>
      </c>
      <c r="V351" s="3" t="s">
        <v>175</v>
      </c>
      <c r="W351" s="3" t="s">
        <v>1453</v>
      </c>
    </row>
    <row r="352" ht="14.5" spans="2:23"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R352" s="3" t="s">
        <v>303</v>
      </c>
      <c r="S352" s="3" t="s">
        <v>65</v>
      </c>
      <c r="T352" s="3" t="s">
        <v>1454</v>
      </c>
      <c r="U352" s="3" t="s">
        <v>373</v>
      </c>
      <c r="V352" s="3" t="s">
        <v>175</v>
      </c>
      <c r="W352" s="3" t="s">
        <v>1455</v>
      </c>
    </row>
    <row r="353" ht="14.5" spans="2:23"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R353" s="3" t="s">
        <v>303</v>
      </c>
      <c r="S353" s="3" t="s">
        <v>65</v>
      </c>
      <c r="T353" s="3" t="s">
        <v>1456</v>
      </c>
      <c r="U353" s="3" t="s">
        <v>373</v>
      </c>
      <c r="V353" s="3" t="s">
        <v>175</v>
      </c>
      <c r="W353" s="3" t="s">
        <v>1457</v>
      </c>
    </row>
    <row r="354" ht="14.5" spans="2:23"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R354" s="3" t="s">
        <v>303</v>
      </c>
      <c r="S354" s="3" t="s">
        <v>65</v>
      </c>
      <c r="T354" s="3" t="s">
        <v>1458</v>
      </c>
      <c r="U354" s="3" t="s">
        <v>373</v>
      </c>
      <c r="V354" s="3" t="s">
        <v>175</v>
      </c>
      <c r="W354" s="3" t="s">
        <v>1459</v>
      </c>
    </row>
    <row r="355" ht="14.5" spans="2:23"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R355" s="3" t="s">
        <v>303</v>
      </c>
      <c r="S355" s="3" t="s">
        <v>65</v>
      </c>
      <c r="T355" s="3" t="s">
        <v>1460</v>
      </c>
      <c r="U355" s="3" t="s">
        <v>373</v>
      </c>
      <c r="V355" s="3" t="s">
        <v>175</v>
      </c>
      <c r="W355" s="3" t="s">
        <v>1461</v>
      </c>
    </row>
    <row r="356" ht="14.5" spans="2:23"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R356" s="3" t="s">
        <v>303</v>
      </c>
      <c r="S356" s="3" t="s">
        <v>65</v>
      </c>
      <c r="T356" s="3" t="s">
        <v>1462</v>
      </c>
      <c r="U356" s="3" t="s">
        <v>373</v>
      </c>
      <c r="V356" s="3" t="s">
        <v>175</v>
      </c>
      <c r="W356" s="3" t="s">
        <v>1463</v>
      </c>
    </row>
    <row r="357" ht="14.5" spans="2:23"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R357" s="3" t="s">
        <v>303</v>
      </c>
      <c r="S357" s="3" t="s">
        <v>65</v>
      </c>
      <c r="T357" s="3" t="s">
        <v>1464</v>
      </c>
      <c r="U357" s="3" t="s">
        <v>373</v>
      </c>
      <c r="V357" s="3" t="s">
        <v>175</v>
      </c>
      <c r="W357" s="3" t="s">
        <v>1465</v>
      </c>
    </row>
    <row r="358" ht="14.5" spans="2:23"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R358" s="3" t="s">
        <v>303</v>
      </c>
      <c r="S358" s="3" t="s">
        <v>65</v>
      </c>
      <c r="T358" s="3" t="s">
        <v>1466</v>
      </c>
      <c r="U358" s="3" t="s">
        <v>373</v>
      </c>
      <c r="V358" s="3" t="s">
        <v>175</v>
      </c>
      <c r="W358" s="3" t="s">
        <v>1467</v>
      </c>
    </row>
    <row r="359" ht="14.5" spans="2:23"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R359" s="3" t="s">
        <v>303</v>
      </c>
      <c r="S359" s="3" t="s">
        <v>65</v>
      </c>
      <c r="T359" s="3" t="s">
        <v>1468</v>
      </c>
      <c r="U359" s="3" t="s">
        <v>373</v>
      </c>
      <c r="V359" s="3" t="s">
        <v>175</v>
      </c>
      <c r="W359" s="3" t="s">
        <v>1469</v>
      </c>
    </row>
    <row r="360" ht="14.5" spans="2:23"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R360" s="3" t="s">
        <v>303</v>
      </c>
      <c r="S360" s="3" t="s">
        <v>65</v>
      </c>
      <c r="T360" s="3" t="s">
        <v>1470</v>
      </c>
      <c r="U360" s="3" t="s">
        <v>373</v>
      </c>
      <c r="V360" s="3" t="s">
        <v>175</v>
      </c>
      <c r="W360" s="3" t="s">
        <v>1471</v>
      </c>
    </row>
    <row r="361" ht="14.5" spans="2:23"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R361" s="3" t="s">
        <v>303</v>
      </c>
      <c r="S361" s="3" t="s">
        <v>65</v>
      </c>
      <c r="T361" s="3" t="s">
        <v>1472</v>
      </c>
      <c r="U361" s="3" t="s">
        <v>373</v>
      </c>
      <c r="V361" s="3" t="s">
        <v>175</v>
      </c>
      <c r="W361" s="3" t="s">
        <v>1473</v>
      </c>
    </row>
    <row r="362" ht="14.5" spans="2:23"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R362" s="3" t="s">
        <v>303</v>
      </c>
      <c r="S362" s="3" t="s">
        <v>65</v>
      </c>
      <c r="T362" s="3" t="s">
        <v>1474</v>
      </c>
      <c r="U362" s="3" t="s">
        <v>373</v>
      </c>
      <c r="V362" s="3" t="s">
        <v>175</v>
      </c>
      <c r="W362" s="3" t="s">
        <v>1475</v>
      </c>
    </row>
    <row r="363" ht="14.5" spans="2:23"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R363" s="3" t="s">
        <v>303</v>
      </c>
      <c r="S363" s="3" t="s">
        <v>65</v>
      </c>
      <c r="T363" s="3" t="s">
        <v>1476</v>
      </c>
      <c r="U363" s="3" t="s">
        <v>373</v>
      </c>
      <c r="V363" s="3" t="s">
        <v>175</v>
      </c>
      <c r="W363" s="3" t="s">
        <v>1477</v>
      </c>
    </row>
    <row r="364" ht="14.5" spans="2:23"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R364" s="3" t="s">
        <v>303</v>
      </c>
      <c r="S364" s="3" t="s">
        <v>65</v>
      </c>
      <c r="T364" s="3" t="s">
        <v>1478</v>
      </c>
      <c r="U364" s="3" t="s">
        <v>373</v>
      </c>
      <c r="V364" s="3" t="s">
        <v>175</v>
      </c>
      <c r="W364" s="3" t="s">
        <v>1479</v>
      </c>
    </row>
    <row r="365" ht="14.5" spans="2:23"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R365" s="3" t="s">
        <v>303</v>
      </c>
      <c r="S365" s="3" t="s">
        <v>65</v>
      </c>
      <c r="T365" s="3" t="s">
        <v>1480</v>
      </c>
      <c r="U365" s="3" t="s">
        <v>373</v>
      </c>
      <c r="V365" s="3" t="s">
        <v>175</v>
      </c>
      <c r="W365" s="3" t="s">
        <v>1481</v>
      </c>
    </row>
    <row r="366" ht="14.5" spans="2:23"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R366" s="3" t="s">
        <v>303</v>
      </c>
      <c r="S366" s="3" t="s">
        <v>65</v>
      </c>
      <c r="T366" s="3" t="s">
        <v>1482</v>
      </c>
      <c r="U366" s="3" t="s">
        <v>373</v>
      </c>
      <c r="V366" s="3" t="s">
        <v>175</v>
      </c>
      <c r="W366" s="3" t="s">
        <v>1483</v>
      </c>
    </row>
    <row r="367" ht="14.5" spans="2:23"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R367" s="3" t="s">
        <v>303</v>
      </c>
      <c r="S367" s="3" t="s">
        <v>65</v>
      </c>
      <c r="T367" s="3" t="s">
        <v>1484</v>
      </c>
      <c r="U367" s="3" t="s">
        <v>373</v>
      </c>
      <c r="V367" s="3" t="s">
        <v>175</v>
      </c>
      <c r="W367" s="3" t="s">
        <v>1485</v>
      </c>
    </row>
    <row r="368" ht="14.5" spans="2:23"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R368" s="3" t="s">
        <v>303</v>
      </c>
      <c r="S368" s="3" t="s">
        <v>65</v>
      </c>
      <c r="T368" s="3" t="s">
        <v>1486</v>
      </c>
      <c r="U368" s="3" t="s">
        <v>373</v>
      </c>
      <c r="V368" s="3" t="s">
        <v>175</v>
      </c>
      <c r="W368" s="3" t="s">
        <v>1487</v>
      </c>
    </row>
    <row r="369" ht="14.5" spans="2:23"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R369" s="3" t="s">
        <v>303</v>
      </c>
      <c r="S369" s="3" t="s">
        <v>65</v>
      </c>
      <c r="T369" s="3" t="s">
        <v>1488</v>
      </c>
      <c r="U369" s="3" t="s">
        <v>373</v>
      </c>
      <c r="V369" s="3" t="s">
        <v>175</v>
      </c>
      <c r="W369" s="3" t="s">
        <v>1489</v>
      </c>
    </row>
    <row r="370" ht="14.5" spans="2:23"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R370" s="3" t="s">
        <v>303</v>
      </c>
      <c r="S370" s="3" t="s">
        <v>65</v>
      </c>
      <c r="T370" s="3" t="s">
        <v>1490</v>
      </c>
      <c r="U370" s="3" t="s">
        <v>373</v>
      </c>
      <c r="V370" s="3" t="s">
        <v>175</v>
      </c>
      <c r="W370" s="3" t="s">
        <v>1491</v>
      </c>
    </row>
    <row r="371" ht="14.5" spans="2:23"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R371" s="3" t="s">
        <v>303</v>
      </c>
      <c r="S371" s="3" t="s">
        <v>65</v>
      </c>
      <c r="T371" s="3" t="s">
        <v>1492</v>
      </c>
      <c r="U371" s="3" t="s">
        <v>373</v>
      </c>
      <c r="V371" s="3" t="s">
        <v>175</v>
      </c>
      <c r="W371" s="3" t="s">
        <v>1493</v>
      </c>
    </row>
    <row r="372" ht="14.5" spans="2:23"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R372" s="3" t="s">
        <v>303</v>
      </c>
      <c r="S372" s="3" t="s">
        <v>66</v>
      </c>
      <c r="T372" s="3" t="s">
        <v>1494</v>
      </c>
      <c r="U372" s="3" t="s">
        <v>373</v>
      </c>
      <c r="V372" s="3" t="s">
        <v>175</v>
      </c>
      <c r="W372" s="3" t="s">
        <v>1495</v>
      </c>
    </row>
    <row r="373" ht="14.5" spans="2:23"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R373" s="3" t="s">
        <v>303</v>
      </c>
      <c r="S373" s="3" t="s">
        <v>66</v>
      </c>
      <c r="T373" s="3" t="s">
        <v>1496</v>
      </c>
      <c r="U373" s="3" t="s">
        <v>373</v>
      </c>
      <c r="V373" s="3" t="s">
        <v>175</v>
      </c>
      <c r="W373" s="3" t="s">
        <v>1497</v>
      </c>
    </row>
    <row r="374" ht="14.5" spans="2:23"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R374" s="3" t="s">
        <v>303</v>
      </c>
      <c r="S374" s="3" t="s">
        <v>66</v>
      </c>
      <c r="T374" s="3" t="s">
        <v>1498</v>
      </c>
      <c r="U374" s="3" t="s">
        <v>373</v>
      </c>
      <c r="V374" s="3" t="s">
        <v>175</v>
      </c>
      <c r="W374" s="3" t="s">
        <v>1499</v>
      </c>
    </row>
    <row r="375" ht="14.5" spans="2:23"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R375" s="3" t="s">
        <v>303</v>
      </c>
      <c r="S375" s="3" t="s">
        <v>66</v>
      </c>
      <c r="T375" s="3" t="s">
        <v>1500</v>
      </c>
      <c r="U375" s="3" t="s">
        <v>373</v>
      </c>
      <c r="V375" s="3" t="s">
        <v>175</v>
      </c>
      <c r="W375" s="3" t="s">
        <v>1501</v>
      </c>
    </row>
    <row r="376" ht="14.5" spans="2:23"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R376" s="3" t="s">
        <v>303</v>
      </c>
      <c r="S376" s="3" t="s">
        <v>67</v>
      </c>
      <c r="T376" s="3" t="s">
        <v>1502</v>
      </c>
      <c r="U376" s="3" t="s">
        <v>373</v>
      </c>
      <c r="V376" s="3" t="s">
        <v>175</v>
      </c>
      <c r="W376" s="3" t="s">
        <v>1503</v>
      </c>
    </row>
    <row r="377" ht="14.5" spans="2:23"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R377" s="3" t="s">
        <v>303</v>
      </c>
      <c r="S377" s="3" t="s">
        <v>67</v>
      </c>
      <c r="T377" s="3" t="s">
        <v>1504</v>
      </c>
      <c r="U377" s="3" t="s">
        <v>373</v>
      </c>
      <c r="V377" s="3" t="s">
        <v>175</v>
      </c>
      <c r="W377" s="3" t="s">
        <v>1505</v>
      </c>
    </row>
    <row r="378" ht="14.5" spans="2:23"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R378" s="3" t="s">
        <v>303</v>
      </c>
      <c r="S378" s="3" t="s">
        <v>68</v>
      </c>
      <c r="T378" s="3" t="s">
        <v>1506</v>
      </c>
      <c r="U378" s="3" t="s">
        <v>373</v>
      </c>
      <c r="V378" s="3" t="s">
        <v>175</v>
      </c>
      <c r="W378" s="3" t="s">
        <v>1507</v>
      </c>
    </row>
    <row r="379" ht="14.5" spans="2:23"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R379" s="3" t="s">
        <v>303</v>
      </c>
      <c r="S379" s="3" t="s">
        <v>68</v>
      </c>
      <c r="T379" s="3" t="s">
        <v>1508</v>
      </c>
      <c r="U379" s="3" t="s">
        <v>373</v>
      </c>
      <c r="V379" s="3" t="s">
        <v>175</v>
      </c>
      <c r="W379" s="3" t="s">
        <v>1509</v>
      </c>
    </row>
    <row r="380" ht="14.5" spans="2:23"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R380" s="3" t="s">
        <v>303</v>
      </c>
      <c r="S380" s="3" t="s">
        <v>69</v>
      </c>
      <c r="T380" s="3" t="s">
        <v>1510</v>
      </c>
      <c r="U380" s="3" t="s">
        <v>373</v>
      </c>
      <c r="V380" s="3" t="s">
        <v>175</v>
      </c>
      <c r="W380" s="3" t="s">
        <v>1511</v>
      </c>
    </row>
    <row r="381" ht="14.5" spans="2:23"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R381" s="3" t="s">
        <v>303</v>
      </c>
      <c r="S381" s="3" t="s">
        <v>69</v>
      </c>
      <c r="T381" s="3" t="s">
        <v>1512</v>
      </c>
      <c r="U381" s="3" t="s">
        <v>373</v>
      </c>
      <c r="V381" s="3" t="s">
        <v>175</v>
      </c>
      <c r="W381" s="3" t="s">
        <v>1513</v>
      </c>
    </row>
    <row r="382" ht="14.5" spans="2:23"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R382" s="3" t="s">
        <v>303</v>
      </c>
      <c r="S382" s="3" t="s">
        <v>69</v>
      </c>
      <c r="T382" s="3" t="s">
        <v>1514</v>
      </c>
      <c r="U382" s="3" t="s">
        <v>373</v>
      </c>
      <c r="V382" s="3" t="s">
        <v>175</v>
      </c>
      <c r="W382" s="3" t="s">
        <v>1515</v>
      </c>
    </row>
    <row r="383" ht="14.5" spans="2:23"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R383" s="3" t="s">
        <v>303</v>
      </c>
      <c r="S383" s="3" t="s">
        <v>69</v>
      </c>
      <c r="T383" s="3" t="s">
        <v>1516</v>
      </c>
      <c r="U383" s="3" t="s">
        <v>373</v>
      </c>
      <c r="V383" s="3" t="s">
        <v>175</v>
      </c>
      <c r="W383" s="3" t="s">
        <v>1517</v>
      </c>
    </row>
    <row r="384" ht="14.5" spans="2:23"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R384" s="3" t="s">
        <v>303</v>
      </c>
      <c r="S384" s="3" t="s">
        <v>70</v>
      </c>
      <c r="T384" s="3" t="s">
        <v>1518</v>
      </c>
      <c r="U384" s="3" t="s">
        <v>373</v>
      </c>
      <c r="V384" s="3" t="s">
        <v>175</v>
      </c>
      <c r="W384" s="3" t="s">
        <v>1519</v>
      </c>
    </row>
    <row r="385" ht="14.5" spans="2:23"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R385" s="3" t="s">
        <v>303</v>
      </c>
      <c r="S385" s="3" t="s">
        <v>70</v>
      </c>
      <c r="T385" s="3" t="s">
        <v>1520</v>
      </c>
      <c r="U385" s="3" t="s">
        <v>373</v>
      </c>
      <c r="V385" s="3" t="s">
        <v>175</v>
      </c>
      <c r="W385" s="3" t="s">
        <v>1521</v>
      </c>
    </row>
    <row r="386" ht="14.5" spans="2:23"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R386" s="3" t="s">
        <v>303</v>
      </c>
      <c r="S386" s="3" t="s">
        <v>70</v>
      </c>
      <c r="T386" s="3" t="s">
        <v>1522</v>
      </c>
      <c r="U386" s="3" t="s">
        <v>373</v>
      </c>
      <c r="V386" s="3" t="s">
        <v>175</v>
      </c>
      <c r="W386" s="3" t="s">
        <v>1523</v>
      </c>
    </row>
    <row r="387" ht="14.5" spans="2:23"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R387" s="3" t="s">
        <v>303</v>
      </c>
      <c r="S387" s="3" t="s">
        <v>70</v>
      </c>
      <c r="T387" s="3" t="s">
        <v>1524</v>
      </c>
      <c r="U387" s="3" t="s">
        <v>373</v>
      </c>
      <c r="V387" s="3" t="s">
        <v>175</v>
      </c>
      <c r="W387" s="3" t="s">
        <v>1525</v>
      </c>
    </row>
    <row r="388" ht="14.5" spans="2:23"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R388" s="3" t="s">
        <v>303</v>
      </c>
      <c r="S388" s="3" t="s">
        <v>70</v>
      </c>
      <c r="T388" s="3" t="s">
        <v>1526</v>
      </c>
      <c r="U388" s="3" t="s">
        <v>373</v>
      </c>
      <c r="V388" s="3" t="s">
        <v>175</v>
      </c>
      <c r="W388" s="3" t="s">
        <v>1527</v>
      </c>
    </row>
    <row r="389" ht="14.5" spans="2:23"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R389" s="3" t="s">
        <v>303</v>
      </c>
      <c r="S389" s="3" t="s">
        <v>70</v>
      </c>
      <c r="T389" s="3" t="s">
        <v>1528</v>
      </c>
      <c r="U389" s="3" t="s">
        <v>373</v>
      </c>
      <c r="V389" s="3" t="s">
        <v>175</v>
      </c>
      <c r="W389" s="3" t="s">
        <v>1529</v>
      </c>
    </row>
    <row r="390" ht="14.5" spans="2:23"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R390" s="3" t="s">
        <v>303</v>
      </c>
      <c r="S390" s="3" t="s">
        <v>71</v>
      </c>
      <c r="T390" s="3" t="s">
        <v>1530</v>
      </c>
      <c r="U390" s="3" t="s">
        <v>373</v>
      </c>
      <c r="V390" s="3" t="s">
        <v>175</v>
      </c>
      <c r="W390" s="3" t="s">
        <v>1531</v>
      </c>
    </row>
    <row r="391" ht="14.5" spans="2:23"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R391" s="3" t="s">
        <v>303</v>
      </c>
      <c r="S391" s="3" t="s">
        <v>71</v>
      </c>
      <c r="T391" s="3" t="s">
        <v>1532</v>
      </c>
      <c r="U391" s="3" t="s">
        <v>373</v>
      </c>
      <c r="V391" s="3" t="s">
        <v>175</v>
      </c>
      <c r="W391" s="3" t="s">
        <v>1533</v>
      </c>
    </row>
    <row r="392" ht="14.5" spans="2:23"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R392" s="3" t="s">
        <v>303</v>
      </c>
      <c r="S392" s="3" t="s">
        <v>72</v>
      </c>
      <c r="T392" s="3" t="s">
        <v>1534</v>
      </c>
      <c r="U392" s="3" t="s">
        <v>373</v>
      </c>
      <c r="V392" s="3" t="s">
        <v>175</v>
      </c>
      <c r="W392" s="3" t="s">
        <v>1535</v>
      </c>
    </row>
    <row r="393" ht="14.5" spans="2:23"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R393" s="3" t="s">
        <v>303</v>
      </c>
      <c r="S393" s="3" t="s">
        <v>72</v>
      </c>
      <c r="T393" s="3" t="s">
        <v>1536</v>
      </c>
      <c r="U393" s="3" t="s">
        <v>373</v>
      </c>
      <c r="V393" s="3" t="s">
        <v>175</v>
      </c>
      <c r="W393" s="3" t="s">
        <v>1537</v>
      </c>
    </row>
    <row r="394" ht="14.5" spans="2:23"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R394" s="3" t="s">
        <v>303</v>
      </c>
      <c r="S394" s="3" t="s">
        <v>74</v>
      </c>
      <c r="T394" s="3" t="s">
        <v>1538</v>
      </c>
      <c r="U394" s="3" t="s">
        <v>373</v>
      </c>
      <c r="V394" s="3" t="s">
        <v>175</v>
      </c>
      <c r="W394" s="3" t="s">
        <v>1539</v>
      </c>
    </row>
    <row r="395" ht="14.5" spans="2:23"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R395" s="3" t="s">
        <v>303</v>
      </c>
      <c r="S395" s="3" t="s">
        <v>74</v>
      </c>
      <c r="T395" s="3" t="s">
        <v>1540</v>
      </c>
      <c r="U395" s="3" t="s">
        <v>373</v>
      </c>
      <c r="V395" s="3" t="s">
        <v>175</v>
      </c>
      <c r="W395" s="3" t="s">
        <v>1541</v>
      </c>
    </row>
    <row r="396" ht="14.5" spans="2:23"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R396" s="3" t="s">
        <v>303</v>
      </c>
      <c r="S396" s="3" t="s">
        <v>75</v>
      </c>
      <c r="T396" s="3" t="s">
        <v>1542</v>
      </c>
      <c r="U396" s="3" t="s">
        <v>373</v>
      </c>
      <c r="V396" s="3" t="s">
        <v>175</v>
      </c>
      <c r="W396" s="3" t="s">
        <v>1543</v>
      </c>
    </row>
    <row r="397" ht="14.5" spans="2:23"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R397" s="3" t="s">
        <v>303</v>
      </c>
      <c r="S397" s="3" t="s">
        <v>75</v>
      </c>
      <c r="T397" s="3" t="s">
        <v>1544</v>
      </c>
      <c r="U397" s="3" t="s">
        <v>373</v>
      </c>
      <c r="V397" s="3" t="s">
        <v>175</v>
      </c>
      <c r="W397" s="3" t="s">
        <v>1545</v>
      </c>
    </row>
    <row r="398" ht="14.5" spans="2:23"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R398" s="3" t="s">
        <v>303</v>
      </c>
      <c r="S398" s="3" t="s">
        <v>75</v>
      </c>
      <c r="T398" s="3" t="s">
        <v>1546</v>
      </c>
      <c r="U398" s="3" t="s">
        <v>373</v>
      </c>
      <c r="V398" s="3" t="s">
        <v>175</v>
      </c>
      <c r="W398" s="3" t="s">
        <v>1547</v>
      </c>
    </row>
    <row r="399" ht="14.5" spans="2:23"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R399" s="3" t="s">
        <v>303</v>
      </c>
      <c r="S399" s="3" t="s">
        <v>75</v>
      </c>
      <c r="T399" s="3" t="s">
        <v>1548</v>
      </c>
      <c r="U399" s="3" t="s">
        <v>373</v>
      </c>
      <c r="V399" s="3" t="s">
        <v>175</v>
      </c>
      <c r="W399" s="3" t="s">
        <v>1549</v>
      </c>
    </row>
    <row r="400" ht="14.5" spans="2:23"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R400" s="3" t="s">
        <v>303</v>
      </c>
      <c r="S400" s="3" t="s">
        <v>76</v>
      </c>
      <c r="T400" s="3" t="s">
        <v>1550</v>
      </c>
      <c r="U400" s="3" t="s">
        <v>373</v>
      </c>
      <c r="V400" s="3" t="s">
        <v>175</v>
      </c>
      <c r="W400" s="3" t="s">
        <v>1551</v>
      </c>
    </row>
    <row r="401" ht="14.5" spans="2:23"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R401" s="3" t="s">
        <v>303</v>
      </c>
      <c r="S401" s="3" t="s">
        <v>76</v>
      </c>
      <c r="T401" s="3" t="s">
        <v>1552</v>
      </c>
      <c r="U401" s="3" t="s">
        <v>373</v>
      </c>
      <c r="V401" s="3" t="s">
        <v>175</v>
      </c>
      <c r="W401" s="3" t="s">
        <v>1553</v>
      </c>
    </row>
    <row r="402" ht="14.5" spans="2:23"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R402" s="3" t="s">
        <v>303</v>
      </c>
      <c r="S402" s="3" t="s">
        <v>76</v>
      </c>
      <c r="T402" s="3" t="s">
        <v>1554</v>
      </c>
      <c r="U402" s="3" t="s">
        <v>373</v>
      </c>
      <c r="V402" s="3" t="s">
        <v>175</v>
      </c>
      <c r="W402" s="3" t="s">
        <v>1555</v>
      </c>
    </row>
    <row r="403" ht="14.5" spans="2:23"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R403" s="3" t="s">
        <v>303</v>
      </c>
      <c r="S403" s="3" t="s">
        <v>76</v>
      </c>
      <c r="T403" s="3" t="s">
        <v>1556</v>
      </c>
      <c r="U403" s="3" t="s">
        <v>373</v>
      </c>
      <c r="V403" s="3" t="s">
        <v>175</v>
      </c>
      <c r="W403" s="3" t="s">
        <v>1557</v>
      </c>
    </row>
    <row r="404" ht="14.5" spans="2:23"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R404" s="3" t="s">
        <v>303</v>
      </c>
      <c r="S404" s="3" t="s">
        <v>76</v>
      </c>
      <c r="T404" s="3" t="s">
        <v>1558</v>
      </c>
      <c r="U404" s="3" t="s">
        <v>373</v>
      </c>
      <c r="V404" s="3" t="s">
        <v>175</v>
      </c>
      <c r="W404" s="3" t="s">
        <v>1559</v>
      </c>
    </row>
    <row r="405" ht="14.5" spans="2:23"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R405" s="3" t="s">
        <v>303</v>
      </c>
      <c r="S405" s="3" t="s">
        <v>76</v>
      </c>
      <c r="T405" s="3" t="s">
        <v>1560</v>
      </c>
      <c r="U405" s="3" t="s">
        <v>373</v>
      </c>
      <c r="V405" s="3" t="s">
        <v>175</v>
      </c>
      <c r="W405" s="3" t="s">
        <v>1561</v>
      </c>
    </row>
    <row r="406" ht="14.5" spans="2:23"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R406" s="3" t="s">
        <v>303</v>
      </c>
      <c r="S406" s="3" t="s">
        <v>76</v>
      </c>
      <c r="T406" s="3" t="s">
        <v>1562</v>
      </c>
      <c r="U406" s="3" t="s">
        <v>373</v>
      </c>
      <c r="V406" s="3" t="s">
        <v>175</v>
      </c>
      <c r="W406" s="3" t="s">
        <v>1563</v>
      </c>
    </row>
    <row r="407" ht="14.5" spans="2:23"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R407" s="3" t="s">
        <v>303</v>
      </c>
      <c r="S407" s="3" t="s">
        <v>76</v>
      </c>
      <c r="T407" s="3" t="s">
        <v>1564</v>
      </c>
      <c r="U407" s="3" t="s">
        <v>373</v>
      </c>
      <c r="V407" s="3" t="s">
        <v>175</v>
      </c>
      <c r="W407" s="3" t="s">
        <v>1565</v>
      </c>
    </row>
    <row r="408" ht="14.5" spans="2:23"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R408" s="3" t="s">
        <v>303</v>
      </c>
      <c r="S408" s="3" t="s">
        <v>76</v>
      </c>
      <c r="T408" s="3" t="s">
        <v>1566</v>
      </c>
      <c r="U408" s="3" t="s">
        <v>373</v>
      </c>
      <c r="V408" s="3" t="s">
        <v>175</v>
      </c>
      <c r="W408" s="3" t="s">
        <v>1567</v>
      </c>
    </row>
    <row r="409" ht="14.5" spans="2:23"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R409" s="3" t="s">
        <v>303</v>
      </c>
      <c r="S409" s="3" t="s">
        <v>76</v>
      </c>
      <c r="T409" s="3" t="s">
        <v>1568</v>
      </c>
      <c r="U409" s="3" t="s">
        <v>373</v>
      </c>
      <c r="V409" s="3" t="s">
        <v>175</v>
      </c>
      <c r="W409" s="3" t="s">
        <v>1569</v>
      </c>
    </row>
    <row r="410" ht="14.5" spans="2:23"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R410" s="3" t="s">
        <v>303</v>
      </c>
      <c r="S410" s="3" t="s">
        <v>76</v>
      </c>
      <c r="T410" s="3" t="s">
        <v>1570</v>
      </c>
      <c r="U410" s="3" t="s">
        <v>373</v>
      </c>
      <c r="V410" s="3" t="s">
        <v>175</v>
      </c>
      <c r="W410" s="3" t="s">
        <v>1571</v>
      </c>
    </row>
    <row r="411" ht="14.5" spans="2:23"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R411" s="3" t="s">
        <v>303</v>
      </c>
      <c r="S411" s="3" t="s">
        <v>76</v>
      </c>
      <c r="T411" s="3" t="s">
        <v>1572</v>
      </c>
      <c r="U411" s="3" t="s">
        <v>373</v>
      </c>
      <c r="V411" s="3" t="s">
        <v>175</v>
      </c>
      <c r="W411" s="3" t="s">
        <v>1573</v>
      </c>
    </row>
    <row r="412" ht="14.5" spans="2:23"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</row>
    <row r="413" ht="14.5" spans="2:23"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</row>
    <row r="414" ht="14.5" spans="2:23"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</row>
    <row r="415" ht="14.5" spans="2:23"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</row>
    <row r="416" ht="14.5" spans="2:23"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</row>
    <row r="417" ht="14.5" spans="2:14"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</row>
    <row r="418" ht="14.5" spans="2:14"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</row>
    <row r="419" ht="14.5" spans="2:14"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</row>
    <row r="420" ht="14.5" spans="2:14"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</row>
    <row r="421" ht="14.5" spans="2:14"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</row>
    <row r="422" ht="14.5" spans="2:14"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</row>
    <row r="423" ht="14.5" spans="2:14"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</row>
    <row r="424" ht="14.5" spans="2:14"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</row>
    <row r="425" ht="14.5" spans="2:14"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</row>
    <row r="426" ht="14.5" spans="2:14"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</row>
    <row r="427" ht="14.5" spans="2:14"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</row>
    <row r="428" ht="14.5" spans="2:14"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</row>
    <row r="429" ht="14.5" spans="2:14"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</row>
    <row r="430" ht="14.5" spans="2:14"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</row>
    <row r="431" ht="14.5" spans="2:14"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</row>
    <row r="432" ht="14.5" spans="2:14"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</row>
    <row r="433" ht="14.5" spans="2:14"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</row>
    <row r="434" ht="14.5" spans="2:14"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</row>
    <row r="435" ht="14.5" spans="2:14"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</row>
    <row r="436" ht="14.5" spans="2:14"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</row>
    <row r="437" ht="14.5" spans="2:14"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</row>
    <row r="438" ht="14.5" spans="2:14"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</row>
    <row r="439" ht="14.5" spans="2:14"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</row>
    <row r="440" ht="14.5" spans="2:14"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</row>
    <row r="441" ht="14.5" spans="2:14"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</row>
    <row r="442" ht="14.5" spans="2:14"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</row>
    <row r="443" ht="14.5" spans="2:14"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</row>
    <row r="444" ht="14.5" spans="2:14"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</row>
    <row r="445" ht="14.5" spans="2:14"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</row>
    <row r="446" ht="14.5" spans="2:14"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</row>
    <row r="447" ht="14.5" spans="2:14"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</row>
    <row r="448" ht="14.5" spans="2:14"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</row>
    <row r="449" ht="14.5" spans="2:14"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</row>
    <row r="450" ht="14.5" spans="2:14"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</row>
    <row r="451" ht="14.5" spans="2:14"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</row>
    <row r="452" ht="14.5" spans="2:14"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</row>
    <row r="453" ht="14.5" spans="2:14"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</row>
    <row r="454" ht="14.5" spans="2:14"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</row>
    <row r="455" ht="14.5" spans="2:14"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</row>
    <row r="456" ht="14.5" spans="2:14"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</row>
    <row r="457" ht="14.5" spans="2:14"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</row>
    <row r="458" ht="14.5" spans="2:14"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</row>
    <row r="459" ht="14.5" spans="2:14"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</row>
    <row r="460" ht="14.5" spans="2:14"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</row>
    <row r="461" ht="14.5" spans="2:14"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</row>
    <row r="462" ht="14.5" spans="2:14"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</row>
    <row r="463" ht="14.5" spans="2:14"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</row>
    <row r="464" ht="14.5" spans="2:14"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</row>
    <row r="465" ht="14.5" spans="2:14"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</row>
    <row r="466" ht="14.5" spans="2:14"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</row>
    <row r="467" ht="14.5" spans="2:14"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</row>
    <row r="468" ht="14.5" spans="2:14"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</row>
    <row r="469" ht="14.5" spans="2:14"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</row>
    <row r="470" ht="14.5" spans="2:14"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</row>
    <row r="471" ht="14.5" spans="2:14"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</row>
    <row r="472" ht="14.5" spans="2:14"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</row>
    <row r="473" ht="14.5" spans="2:14"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</row>
    <row r="474" ht="14.5" spans="2:14"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</row>
    <row r="475" ht="14.5" spans="2:14"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</row>
    <row r="476" ht="14.5" spans="2:14"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</row>
    <row r="477" ht="14.5" spans="2:14"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</row>
    <row r="478" ht="14.5" spans="2:14"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</row>
    <row r="479" ht="14.5" spans="2:14"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</row>
    <row r="480" ht="14.5" spans="2:14"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</row>
    <row r="481" ht="14.5" spans="2:14"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</row>
    <row r="482" ht="14.5" spans="2:14"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</row>
    <row r="483" ht="14.5" spans="2:14"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</row>
    <row r="484" ht="14.5" spans="2:14"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</row>
    <row r="485" ht="14.5" spans="2:14"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</row>
    <row r="486" ht="14.5" spans="2:14"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</row>
    <row r="487" ht="14.5" spans="2:14"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</row>
    <row r="488" ht="14.5" spans="2:14"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</row>
    <row r="489" ht="14.5" spans="2:14"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</row>
    <row r="490" ht="14.5" spans="2:14"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</row>
    <row r="491" ht="14.5" spans="2:14"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</row>
    <row r="492" ht="14.5" spans="2:14"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</row>
    <row r="493" ht="14.5" spans="2:14"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</row>
    <row r="494" ht="14.5" spans="2:14"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</row>
    <row r="495" ht="14.5" spans="2:14"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</row>
    <row r="496" ht="14.5" spans="2:14"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</row>
    <row r="497" ht="14.5" spans="2:14"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</row>
    <row r="498" ht="14.5" spans="2:14"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</row>
    <row r="499" ht="14.5" spans="2:14"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</row>
    <row r="500" ht="14.5" spans="2:14"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</row>
    <row r="501" ht="14.5" spans="2:14"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</row>
    <row r="502" ht="14.5" spans="2:14"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</row>
    <row r="503" ht="14.5" spans="2:14"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</row>
    <row r="504" ht="14.5" spans="2:14"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</row>
    <row r="505" ht="14.5" spans="2:14"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</row>
    <row r="506" ht="14.5" spans="2:14"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</row>
    <row r="507" ht="14.5" spans="2:14"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</row>
    <row r="508" ht="14.5" spans="2:14"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</row>
    <row r="509" ht="14.5" spans="2:14"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</row>
    <row r="510" ht="14.5" spans="2:14"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</row>
    <row r="511" ht="14.5" spans="2:14"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</row>
    <row r="512" ht="14.5" spans="2:14"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</row>
    <row r="513" ht="14.5" spans="2:14"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</row>
    <row r="514" ht="14.5" spans="2:14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</row>
    <row r="515" ht="14.5" spans="2:14"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</row>
    <row r="516" ht="14.5" spans="2:14"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</row>
    <row r="517" ht="14.5" spans="2:14"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</row>
    <row r="518" ht="14.5" spans="2:14"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</row>
    <row r="519" ht="14.5" spans="2:14"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</row>
    <row r="520" ht="14.5" spans="2:14"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</row>
    <row r="521" ht="14.5" spans="2:14"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</row>
    <row r="522" ht="14.5" spans="2:14"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</row>
    <row r="523" ht="14.5" spans="2:14"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</row>
    <row r="524" ht="14.5" spans="2:14"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</row>
    <row r="525" ht="14.5" spans="2:14"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</row>
    <row r="526" ht="14.5" spans="2:14"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</row>
    <row r="527" ht="14.5" spans="2:14"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</row>
    <row r="528" ht="14.5" spans="2:14"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</row>
    <row r="529" ht="14.5" spans="2:14"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</row>
    <row r="530" ht="14.5" spans="2:14"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</row>
    <row r="531" ht="14.5" spans="2:14"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</row>
    <row r="532" ht="14.5" spans="2:14"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</row>
    <row r="533" ht="14.5" spans="2:14"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</row>
    <row r="534" ht="14.5" spans="2:14"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</row>
    <row r="535" ht="14.5" spans="2:14"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</row>
    <row r="536" ht="14.5" spans="2:14"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</row>
    <row r="537" ht="14.5" spans="2:14"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</row>
    <row r="538" ht="14.5" spans="2:14"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</row>
    <row r="539" ht="14.5" spans="2:14"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</row>
    <row r="540" ht="14.5" spans="2:14"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</row>
    <row r="541" ht="14.5" spans="2:14"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</row>
    <row r="542" ht="14.5" spans="2:14"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</row>
    <row r="543" ht="14.5" spans="2:14"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</row>
    <row r="544" ht="14.5" spans="2:14"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</row>
    <row r="545" ht="14.5" spans="2:14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</row>
    <row r="546" ht="14.5" spans="2:14"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</row>
    <row r="547" ht="14.5" spans="2:14"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</row>
    <row r="548" ht="14.5" spans="2:14"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</row>
    <row r="549" ht="14.5" spans="2:14"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</row>
    <row r="550" ht="14.5" spans="2:14"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</row>
    <row r="551" ht="14.5" spans="2:14"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</row>
    <row r="552" ht="14.5" spans="2:14"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</row>
    <row r="553" ht="14.5" spans="2:14"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</row>
    <row r="554" ht="14.5" spans="2:14"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</row>
    <row r="555" ht="14.5" spans="2:14"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</row>
    <row r="556" ht="14.5" spans="2:14"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</row>
    <row r="557" ht="14.5" spans="2:14"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</row>
    <row r="558" ht="14.5" spans="2:14"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</row>
    <row r="559" ht="14.5" spans="2:14"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</row>
    <row r="560" ht="14.5" spans="2:14"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</row>
    <row r="561" ht="14.5" spans="2:14"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</row>
    <row r="562" ht="14.5" spans="2:14"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</row>
    <row r="563" ht="14.5" spans="2:14"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</row>
    <row r="564" ht="14.5" spans="2:14"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</row>
    <row r="565" ht="14.5" spans="2:14"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</row>
    <row r="566" ht="14.5" spans="2:14"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</row>
    <row r="567" ht="14.5" spans="2:14"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</row>
    <row r="568" ht="14.5" spans="2:14"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</row>
    <row r="569" ht="14.5" spans="2:14"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</row>
    <row r="570" ht="14.5" spans="2:14"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</row>
    <row r="571" ht="14.5" spans="2:14"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</row>
    <row r="572" ht="14.5" spans="2:14"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</row>
    <row r="573" ht="14.5" spans="2:14"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</row>
    <row r="574" ht="14.5" spans="2:14"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</row>
    <row r="575" ht="14.5" spans="2:14"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</row>
    <row r="576" ht="14.5" spans="2:14"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</row>
    <row r="577" ht="14.5" spans="2:14"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</row>
    <row r="578" ht="14.5" spans="2:14"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</row>
    <row r="579" ht="14.5" spans="2:14"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</row>
    <row r="580" ht="14.5" spans="2:14"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</row>
    <row r="581" ht="14.5" spans="2:14"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</row>
    <row r="582" ht="14.5" spans="2:14"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</row>
    <row r="583" ht="14.5" spans="2:14"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</row>
    <row r="584" ht="14.5" spans="2:14"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</row>
    <row r="585" ht="14.5" spans="2:14"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</row>
    <row r="586" ht="14.5" spans="2:14"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</row>
    <row r="587" ht="14.5" spans="2:14"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</row>
    <row r="588" ht="14.5" spans="2:14"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</row>
    <row r="589" ht="14.5" spans="2:14"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</row>
    <row r="590" ht="14.5" spans="2:14"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</row>
    <row r="591" ht="14.5" spans="2:14"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</row>
    <row r="592" ht="14.5" spans="2:14"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</row>
    <row r="593" ht="14.5" spans="2:14"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</row>
    <row r="594" ht="14.5" spans="2:14"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</row>
    <row r="595" ht="14.5" spans="2:14"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</row>
    <row r="596" ht="14.5" spans="2:14"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</row>
    <row r="597" ht="14.5" spans="2:14"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</row>
    <row r="598" ht="14.5" spans="2:14"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</row>
    <row r="599" ht="14.5" spans="2:14"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</row>
    <row r="600" ht="14.5" spans="2:14"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</row>
    <row r="601" ht="14.5" spans="2:14"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</row>
    <row r="602" ht="14.5" spans="2:14"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</row>
    <row r="603" ht="14.5" spans="2:14"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</row>
    <row r="604" ht="14.5" spans="2:14"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</row>
    <row r="605" ht="14.5" spans="2:14"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</row>
    <row r="606" ht="14.5" spans="2:14"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</row>
    <row r="607" ht="14.5" spans="2:14"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</row>
    <row r="608" ht="14.5" spans="2:14"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</row>
    <row r="609" ht="14.5" spans="2:14"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</row>
    <row r="610" ht="14.5" spans="2:14"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</row>
    <row r="611" ht="14.5" spans="2:14"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</row>
    <row r="612" ht="14.5" spans="2:14"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</row>
    <row r="613" ht="14.5" spans="2:14"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</row>
    <row r="614" ht="14.5" spans="2:14"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</row>
    <row r="615" ht="14.5" spans="2:14"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</row>
    <row r="616" ht="14.5" spans="2:14"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</row>
    <row r="617" ht="14.5" spans="2:14"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</row>
    <row r="618" ht="14.5" spans="2:14"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</row>
    <row r="619" ht="14.5" spans="2:14"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</row>
    <row r="620" ht="14.5" spans="2:14"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</row>
    <row r="621" ht="14.5" spans="2:14"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</row>
    <row r="622" ht="14.5" spans="2:14"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</row>
    <row r="623" ht="14.5" spans="2:14"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</row>
    <row r="624" ht="14.5" spans="2:14"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</row>
    <row r="625" ht="14.5" spans="2:14"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</row>
    <row r="626" ht="14.5" spans="2:14"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</row>
    <row r="627" ht="14.5" spans="2:14"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</row>
    <row r="628" ht="14.5" spans="2:14"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</row>
    <row r="629" ht="14.5" spans="2:14"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</row>
    <row r="630" ht="14.5" spans="2:14"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</row>
    <row r="631" ht="14.5" spans="2:14"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</row>
    <row r="632" ht="14.5" spans="2:14"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</row>
    <row r="633" ht="14.5" spans="2:14"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</row>
    <row r="634" ht="14.5" spans="2:14"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</row>
    <row r="635" ht="14.5" spans="2:14"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</row>
    <row r="636" ht="14.5" spans="2:14"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</row>
    <row r="637" ht="14.5" spans="2:14"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</row>
    <row r="638" ht="14.5" spans="2:14"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</row>
    <row r="639" ht="14.5" spans="2:14"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</row>
    <row r="640" ht="14.5" spans="2:14"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</row>
    <row r="641" ht="14.5" spans="2:14"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</row>
    <row r="642" ht="14.5" spans="2:14"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</row>
    <row r="643" ht="14.5" spans="2:14"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</row>
    <row r="644" ht="14.5" spans="2:14"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</row>
    <row r="645" ht="14.5" spans="2:14"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</row>
    <row r="646" ht="14.5" spans="2:14"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</row>
    <row r="647" ht="14.5" spans="2:14"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</row>
    <row r="648" ht="14.5" spans="2:14"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</row>
    <row r="649" ht="14.5" spans="2:14"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</row>
    <row r="650" ht="14.5" spans="2:14"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</row>
    <row r="651" ht="14.5" spans="2:14"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</row>
    <row r="652" ht="14.5" spans="2:14"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</row>
    <row r="653" ht="14.5" spans="2:14"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</row>
    <row r="654" ht="14.5" spans="2:14"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</row>
    <row r="655" ht="14.5" spans="2:14"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</row>
    <row r="656" ht="14.5" spans="2:14"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</row>
    <row r="657" ht="14.5" spans="2:14"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</row>
    <row r="658" ht="14.5" spans="2:14"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</row>
    <row r="659" ht="14.5" spans="2:14"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</row>
    <row r="660" ht="14.5" spans="2:14"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</row>
    <row r="661" ht="14.5" spans="2:14"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</row>
    <row r="662" ht="14.5" spans="2:14"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</row>
    <row r="663" ht="14.5" spans="2:14"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</row>
    <row r="664" ht="14.5" spans="2:14"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</row>
    <row r="665" ht="14.5" spans="2:14"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</row>
    <row r="666" ht="14.5" spans="2:14"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</row>
    <row r="667" ht="14.5" spans="2:14"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</row>
    <row r="668" ht="14.5" spans="2:14"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</row>
    <row r="669" ht="14.5" spans="2:14"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</row>
    <row r="670" ht="14.5" spans="2:14"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</row>
    <row r="671" ht="14.5" spans="2:14"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</row>
    <row r="672" ht="14.5" spans="2:14"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</row>
    <row r="673" ht="14.5" spans="2:14"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</row>
    <row r="674" ht="14.5" spans="2:14"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</row>
    <row r="675" ht="14.5" spans="2:14"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</row>
    <row r="676" ht="14.5" spans="2:14"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</row>
    <row r="677" ht="14.5" spans="2:14"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</row>
    <row r="678" ht="14.5" spans="2:14"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</row>
    <row r="679" ht="14.5" spans="2:14"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</row>
    <row r="680" ht="14.5" spans="2:14"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</row>
    <row r="681" ht="14.5" spans="2:14"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</row>
    <row r="682" ht="14.5" spans="2:14"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</row>
    <row r="683" ht="14.5" spans="2:14"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</row>
    <row r="684" ht="14.5" spans="2:14"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</row>
    <row r="685" ht="14.5" spans="2:14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</row>
    <row r="686" ht="14.5" spans="2:14"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</row>
    <row r="687" ht="14.5" spans="2:14"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</row>
    <row r="688" ht="14.5" spans="2:14"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</row>
    <row r="689" ht="14.5" spans="2:14"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</row>
    <row r="690" ht="14.5" spans="2:14"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</row>
    <row r="691" ht="14.5" spans="2:14"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</row>
    <row r="692" ht="14.5" spans="2:14"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</row>
    <row r="693" ht="14.5" spans="2:14"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</row>
    <row r="694" ht="14.5" spans="2:14"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</row>
    <row r="695" ht="14.5" spans="2:14"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</row>
    <row r="696" ht="14.5" spans="2:14"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</row>
    <row r="697" ht="14.5" spans="2:14"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</row>
    <row r="698" ht="14.5" spans="2:14"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</row>
    <row r="699" ht="14.5" spans="2:14"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</row>
    <row r="700" ht="14.5" spans="2:14"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</row>
    <row r="701" ht="14.5" spans="2:14"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</row>
    <row r="702" ht="14.5" spans="2:14"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</row>
    <row r="703" ht="14.5" spans="2:14"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</row>
    <row r="704" ht="14.5" spans="2:14"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</row>
    <row r="705" ht="14.5" spans="2:14"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</row>
    <row r="706" ht="14.5" spans="2:14"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</row>
    <row r="707" ht="14.5" spans="2:14"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</row>
    <row r="708" ht="14.5" spans="2:14"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</row>
    <row r="709" ht="14.5" spans="2:14"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</row>
    <row r="710" ht="14.5" spans="2:14"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</row>
    <row r="711" ht="14.5" spans="2:14"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</row>
    <row r="712" ht="14.5" spans="2:14"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</row>
    <row r="713" ht="14.5" spans="2:14"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</row>
    <row r="714" ht="14.5" spans="2:14"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</row>
    <row r="715" ht="14.5" spans="2:14"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</row>
    <row r="716" ht="14.5" spans="2:14"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</row>
    <row r="717" ht="14.5" spans="2:14"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</row>
    <row r="718" ht="14.5" spans="2:14"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</row>
    <row r="719" ht="14.5" spans="2:14"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</row>
    <row r="720" ht="14.5" spans="2:14"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</row>
    <row r="721" ht="14.5" spans="2:14"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</row>
    <row r="722" ht="14.5" spans="2:14"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</row>
    <row r="723" ht="14.5" spans="2:14"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</row>
    <row r="724" ht="14.5" spans="2:14"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</row>
    <row r="725" ht="14.5" spans="2:14"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</row>
    <row r="726" ht="14.5" spans="2:14"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</row>
    <row r="727" ht="14.5" spans="2:14"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</row>
    <row r="728" ht="14.5" spans="2:14"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</row>
    <row r="729" ht="14.5" spans="2:14"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</row>
    <row r="730" ht="14.5" spans="2:14"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</row>
    <row r="731" ht="14.5" spans="2:14"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</row>
    <row r="732" ht="14.5" spans="2:14"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</row>
    <row r="733" ht="14.5" spans="2:14"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</row>
    <row r="734" ht="14.5" spans="2:14"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</row>
    <row r="735" ht="14.5" spans="2:14"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</row>
    <row r="736" ht="14.5" spans="2:14"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</row>
    <row r="737" ht="14.5" spans="2:14"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</row>
    <row r="738" ht="14.5" spans="2:14"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</row>
    <row r="739" ht="14.5" spans="2:14"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</row>
    <row r="740" ht="14.5" spans="2:14"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</row>
    <row r="741" ht="14.5" spans="2:14"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</row>
    <row r="742" ht="14.5" spans="2:14"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</row>
    <row r="743" ht="14.5" spans="2:14"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</row>
    <row r="744" ht="14.5" spans="2:14"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</row>
    <row r="745" ht="14.5" spans="2:14"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</row>
    <row r="746" ht="14.5" spans="2:14"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</row>
    <row r="747" ht="14.5" spans="2:14"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</row>
    <row r="748" ht="14.5" spans="2:14"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</row>
    <row r="749" ht="14.5" spans="2:14"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</row>
    <row r="750" ht="14.5" spans="2:14"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</row>
    <row r="751" ht="14.5" spans="2:14"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</row>
    <row r="752" ht="14.5" spans="2:14"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</row>
    <row r="753" ht="14.5" spans="2:14"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</row>
    <row r="754" ht="14.5" spans="2:14"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</row>
    <row r="755" ht="14.5" spans="2:14"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</row>
    <row r="756" ht="14.5" spans="2:14"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</row>
    <row r="757" ht="14.5" spans="2:14"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</row>
    <row r="758" ht="14.5" spans="2:14"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</row>
    <row r="759" ht="14.5" spans="2:14"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</row>
    <row r="760" ht="14.5" spans="2:14"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</row>
    <row r="761" ht="14.5" spans="2:14"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</row>
    <row r="762" ht="14.5" spans="2:14"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</row>
    <row r="763" ht="14.5" spans="2:14"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</row>
    <row r="764" ht="14.5" spans="2:14"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</row>
    <row r="765" ht="14.5" spans="2:14"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</row>
    <row r="766" ht="14.5" spans="2:14"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</row>
    <row r="767" ht="14.5" spans="2:14"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</row>
    <row r="768" ht="14.5" spans="2:14"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</row>
    <row r="769" ht="14.5" spans="2:14"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</row>
    <row r="770" ht="14.5" spans="2:14"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</row>
    <row r="771" ht="14.5" spans="2:14"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</row>
    <row r="772" ht="14.5" spans="2:14"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</row>
    <row r="773" ht="14.5" spans="2:14"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</row>
    <row r="774" ht="14.5" spans="2:14"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</row>
    <row r="775" ht="14.5" spans="2:14"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</row>
    <row r="776" ht="14.5" spans="2:14"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</row>
    <row r="777" ht="14.5" spans="2:14"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</row>
    <row r="778" ht="14.5" spans="2:14"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</row>
    <row r="779" ht="14.5" spans="2:14"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</row>
    <row r="780" ht="14.5" spans="2:14"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</row>
    <row r="781" ht="14.5" spans="2:14"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</row>
    <row r="782" ht="14.5" spans="2:14"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</row>
    <row r="783" ht="14.5" spans="2:14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</row>
    <row r="784" ht="14.5" spans="2:14"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</row>
    <row r="785" ht="14.5" spans="2:14"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</row>
    <row r="786" ht="14.5" spans="2:14"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</row>
    <row r="787" ht="14.5" spans="2:14"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</row>
    <row r="788" ht="14.5" spans="2:14"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</row>
    <row r="789" ht="14.5" spans="2:14"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</row>
    <row r="790" ht="14.5" spans="2:14"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</row>
    <row r="791" ht="14.5" spans="2:14"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</row>
    <row r="792" ht="14.5" spans="2:14"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</row>
    <row r="793" ht="14.5" spans="2:14"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</row>
    <row r="794" ht="14.5" spans="2:14"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</row>
    <row r="795" ht="14.5" spans="2:14"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</row>
    <row r="796" ht="14.5" spans="2:14"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</row>
    <row r="797" ht="14.5" spans="2:14"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</row>
    <row r="798" ht="14.5" spans="2:14"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</row>
    <row r="799" ht="14.5" spans="2:14"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</row>
    <row r="800" ht="14.5" spans="2:14"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</row>
    <row r="801" ht="14.5" spans="2:14"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</row>
    <row r="802" ht="14.5" spans="2:14"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</row>
    <row r="803" ht="14.5" spans="2:14"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</row>
    <row r="804" ht="14.5" spans="2:14"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</row>
    <row r="805" ht="14.5" spans="2:14"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</row>
    <row r="806" ht="14.5" spans="2:14"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</row>
    <row r="807" ht="14.5" spans="2:14"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</row>
    <row r="808" ht="14.5" spans="2:14"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</row>
    <row r="809" ht="14.5" spans="2:14"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</row>
    <row r="810" ht="14.5" spans="2:14"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</row>
    <row r="811" ht="14.5" spans="2:14"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</row>
    <row r="812" ht="14.5" spans="2:14"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</row>
    <row r="813" ht="14.5" spans="2:14"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</row>
    <row r="814" ht="14.5" spans="2:14"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</row>
    <row r="815" ht="14.5" spans="2:14"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</row>
    <row r="816" ht="14.5" spans="2:14"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</row>
    <row r="817" ht="14.5" spans="2:14"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</row>
    <row r="818" ht="14.5" spans="2:14"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</row>
    <row r="819" ht="14.5" spans="2:14"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</row>
    <row r="820" ht="14.5" spans="2:14"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</row>
    <row r="821" ht="14.5" spans="2:14"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</row>
    <row r="822" ht="14.5" spans="2:14"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</row>
    <row r="823" ht="14.5" spans="2:14"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</row>
    <row r="824" ht="14.5" spans="2:14"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</row>
    <row r="825" ht="14.5" spans="2:14"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</row>
    <row r="826" ht="14.5" spans="2:14"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</row>
    <row r="827" ht="14.5" spans="2:14"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</row>
    <row r="828" ht="14.5" spans="2:14"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</row>
    <row r="829" ht="14.5" spans="2:14"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</row>
    <row r="830" ht="14.5" spans="2:14"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</row>
    <row r="831" ht="14.5" spans="2:14"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</row>
    <row r="832" ht="14.5" spans="2:14"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</row>
    <row r="833" ht="14.5" spans="2:14"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</row>
    <row r="834" ht="14.5" spans="2:14"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</row>
    <row r="835" ht="14.5" spans="2:14"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</row>
    <row r="836" ht="14.5" spans="2:14"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</row>
    <row r="837" ht="14.5" spans="2:14"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</row>
    <row r="838" ht="14.5" spans="2:14"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</row>
    <row r="839" ht="14.5" spans="2:14"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</row>
    <row r="840" ht="14.5" spans="2:14"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</row>
    <row r="841" ht="14.5" spans="2:14"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</row>
    <row r="842" ht="14.5" spans="2:14"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</row>
    <row r="843" ht="14.5" spans="2:14"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</row>
    <row r="844" ht="14.5" spans="2:14"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</row>
    <row r="845" ht="14.5" spans="2:14"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</row>
    <row r="846" ht="14.5" spans="2:14"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</row>
    <row r="847" ht="14.5" spans="2:14"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</row>
    <row r="848" ht="14.5" spans="2:14"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</row>
    <row r="849" ht="14.5" spans="2:14"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</row>
    <row r="850" ht="14.5" spans="2:14"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</row>
    <row r="851" ht="14.5" spans="2:14"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</row>
    <row r="852" ht="14.5" spans="2:14"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</row>
    <row r="853" ht="14.5" spans="2:14"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</row>
    <row r="854" ht="14.5" spans="2:14"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</row>
    <row r="855" ht="14.5" spans="2:14"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</row>
    <row r="856" ht="14.5" spans="2:14"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</row>
    <row r="857" ht="14.5" spans="2:14"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</row>
    <row r="858" ht="14.5" spans="2:14"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</row>
    <row r="859" ht="14.5" spans="2:14"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</row>
    <row r="860" ht="14.5" spans="2:14"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</row>
    <row r="861" ht="14.5" spans="2:14"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</row>
    <row r="862" ht="14.5" spans="2:14"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</row>
    <row r="863" ht="14.5" spans="2:14"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</row>
    <row r="864" ht="14.5" spans="2:14"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</row>
    <row r="865" ht="14.5" spans="2:14"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</row>
    <row r="866" ht="14.5" spans="2:14"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</row>
    <row r="867" ht="14.5" spans="2:14"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</row>
    <row r="868" ht="14.5" spans="2:14"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</row>
    <row r="869" ht="14.5" spans="2:14"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</row>
    <row r="870" ht="14.5" spans="2:14"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</row>
    <row r="871" ht="14.5" spans="2:14"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</row>
    <row r="872" ht="14.5" spans="2:14"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</row>
    <row r="873" ht="14.5" spans="2:14"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</row>
    <row r="874" ht="14.5" spans="2:14"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</row>
    <row r="875" ht="14.5" spans="2:14"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</row>
    <row r="876" ht="14.5" spans="2:14"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</row>
    <row r="877" ht="14.5" spans="2:14"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</row>
    <row r="878" ht="14.5" spans="2:14"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</row>
    <row r="879" ht="14.5" spans="2:14"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</row>
    <row r="880" ht="14.5" spans="2:14"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</row>
    <row r="881" ht="14.5" spans="2:14"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</row>
    <row r="882" ht="14.5" spans="2:14"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</row>
    <row r="883" ht="14.5" spans="2:14"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</row>
    <row r="884" ht="14.5" spans="2:14"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</row>
    <row r="885" ht="14.5" spans="2:14"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</row>
    <row r="886" ht="14.5" spans="2:14"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</row>
    <row r="887" ht="14.5" spans="2:14"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</row>
    <row r="888" ht="14.5" spans="2:14"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</row>
    <row r="889" ht="14.5" spans="2:14"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</row>
    <row r="890" ht="14.5" spans="2:14"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</row>
    <row r="891" ht="14.5" spans="2:14"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</row>
    <row r="892" ht="14.5" spans="2:14"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</row>
    <row r="893" ht="14.5" spans="2:14"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</row>
    <row r="894" ht="14.5" spans="2:14"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</row>
    <row r="895" ht="14.5" spans="2:14"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</row>
    <row r="896" ht="14.5" spans="2:14"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</row>
    <row r="897" ht="14.5" spans="2:14"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</row>
    <row r="898" ht="14.5" spans="2:14"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</row>
    <row r="899" ht="14.5" spans="2:14"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</row>
    <row r="900" ht="14.5" spans="2:14"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</row>
    <row r="901" ht="14.5" spans="2:14"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</row>
    <row r="902" ht="14.5" spans="2:14"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</row>
    <row r="903" ht="14.5" spans="2:14"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</row>
    <row r="904" ht="14.5" spans="2:14"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</row>
    <row r="905" ht="14.5" spans="2:14"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</row>
    <row r="906" ht="14.5" spans="2:14"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</row>
    <row r="907" ht="14.5" spans="2:14"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</row>
    <row r="908" ht="14.5" spans="2:14"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</row>
    <row r="909" ht="14.5" spans="2:14"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</row>
    <row r="910" ht="14.5" spans="2:14"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</row>
    <row r="911" ht="14.5" spans="2:14"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</row>
    <row r="912" ht="14.5" spans="2:14"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</row>
    <row r="913" ht="14.5" spans="2:14"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</row>
    <row r="914" ht="14.5" spans="2:14"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</row>
    <row r="915" ht="14.5" spans="2:14"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</row>
    <row r="916" ht="14.5" spans="2:14"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</row>
    <row r="917" ht="14.5" spans="2:14"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</row>
    <row r="918" ht="14.5" spans="2:14"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</row>
    <row r="919" ht="14.5" spans="2:14"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</row>
    <row r="920" ht="14.5" spans="2:14"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</row>
    <row r="921" ht="14.5" spans="2:14"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</row>
    <row r="922" ht="14.5" spans="2:14"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</row>
    <row r="923" ht="14.5" spans="2:14"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</row>
    <row r="924" ht="14.5" spans="2:14"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</row>
    <row r="925" ht="14.5" spans="2:14"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</row>
    <row r="926" ht="14.5" spans="2:14"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</row>
    <row r="927" ht="14.5" spans="2:14"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</row>
    <row r="928" ht="14.5" spans="2:14"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</row>
    <row r="929" ht="14.5" spans="2:14"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</row>
    <row r="930" ht="14.5" spans="2:14"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</row>
    <row r="931" ht="14.5" spans="2:14"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</row>
    <row r="932" ht="14.5" spans="2:14"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</row>
    <row r="933" ht="14.5" spans="2:14"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</row>
    <row r="934" ht="14.5" spans="2:14"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</row>
    <row r="935" ht="14.5" spans="2:14"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</row>
    <row r="936" ht="14.5" spans="2:14"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</row>
    <row r="937" ht="14.5" spans="2:14"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</row>
    <row r="938" ht="14.5" spans="2:14"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</row>
    <row r="939" ht="14.5" spans="2:14"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</row>
    <row r="940" ht="14.5" spans="2:14"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</row>
    <row r="941" ht="14.5" spans="2:14"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</row>
    <row r="942" ht="14.5" spans="2:14"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</row>
    <row r="943" ht="14.5" spans="2:14"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</row>
    <row r="944" ht="14.5" spans="2:14"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</row>
    <row r="945" ht="14.5" spans="2:14"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</row>
    <row r="946" ht="14.5" spans="2:14"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</row>
    <row r="947" ht="14.5" spans="2:14"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</row>
    <row r="948" ht="14.5" spans="2:14"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</row>
    <row r="949" ht="14.5" spans="2:14"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</row>
    <row r="950" ht="14.5" spans="2:14"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</row>
    <row r="951" ht="14.5" spans="2:14"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</row>
    <row r="952" ht="14.5" spans="2:14"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</row>
    <row r="953" ht="14.5" spans="2:14"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</row>
    <row r="954" ht="14.5" spans="2:14"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</row>
    <row r="955" ht="14.5" spans="2:14"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</row>
    <row r="956" ht="14.5" spans="2:14"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</row>
    <row r="957" ht="14.5" spans="2:14"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</row>
    <row r="958" ht="14.5" spans="2:14"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</row>
    <row r="959" ht="14.5" spans="2:14"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</row>
    <row r="960" ht="14.5" spans="2:14"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</row>
    <row r="961" ht="14.5" spans="2:14"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</row>
    <row r="962" ht="14.5" spans="2:14"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</row>
    <row r="963" ht="14.5" spans="2:14"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</row>
    <row r="964" ht="14.5" spans="2:14"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</row>
    <row r="965" ht="14.5" spans="2:14"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</row>
    <row r="966" ht="14.5" spans="2:14"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</row>
    <row r="967" ht="14.5" spans="2:14"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</row>
    <row r="968" ht="14.5" spans="2:14"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</row>
    <row r="969" ht="14.5" spans="2:14"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</row>
    <row r="970" ht="14.5" spans="2:14"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</row>
    <row r="971" ht="14.5" spans="2:14"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</row>
    <row r="972" ht="14.5" spans="2:14"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</row>
    <row r="973" ht="14.5" spans="2:14"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</row>
    <row r="974" ht="14.5" spans="2:14"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</row>
    <row r="975" ht="14.5" spans="2:14"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</row>
    <row r="976" ht="14.5" spans="2:14"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</row>
    <row r="977" ht="14.5" spans="2:14"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</row>
    <row r="978" ht="14.5" spans="2:14"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</row>
    <row r="979" ht="14.5" spans="2:14"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</row>
    <row r="980" ht="14.5" spans="2:14"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</row>
    <row r="981" ht="14.5" spans="2:14"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</row>
    <row r="982" ht="14.5" spans="2:14"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</row>
    <row r="983" ht="14.5" spans="2:14"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</row>
    <row r="984" ht="14.5" spans="2:14"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</row>
    <row r="985" ht="14.5" spans="2:14"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</row>
    <row r="986" ht="14.5" spans="2:14"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</row>
    <row r="987" ht="14.5" spans="2:14"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</row>
    <row r="988" ht="14.5" spans="2:14"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</row>
    <row r="989" ht="14.5" spans="2:14"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</row>
    <row r="990" ht="14.5" spans="2:14"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</row>
    <row r="991" ht="14.5" spans="2:14"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</row>
    <row r="992" ht="14.5" spans="2:14"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</row>
    <row r="993" ht="14.5" spans="2:14"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</row>
    <row r="994" ht="14.5" spans="2:14"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</row>
    <row r="995" ht="14.5" spans="2:14"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</row>
    <row r="996" ht="14.5" spans="2:14"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</row>
    <row r="997" ht="14.5" spans="2:14"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</row>
    <row r="998" ht="14.5" spans="2:14"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</row>
    <row r="999" ht="14.5" spans="2:14"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</row>
    <row r="1000" ht="14.5" spans="2:14"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</row>
    <row r="1001" ht="14.5" spans="2:14"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</row>
    <row r="1002" ht="14.5" spans="2:14"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</row>
    <row r="1003" ht="14.5" spans="2:14"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</row>
    <row r="1004" ht="14.5" spans="2:14"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</row>
    <row r="1005" ht="14.5" spans="2:14"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</row>
    <row r="1006" ht="14.5" spans="2:14"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</row>
    <row r="1007" ht="14.5" spans="2:14"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</row>
    <row r="1008" ht="14.5" spans="2:14"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</row>
    <row r="1009" ht="14.5" spans="2:14"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</row>
    <row r="1010" ht="14.5" spans="2:14"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</row>
    <row r="1011" ht="14.5" spans="2:14"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</row>
    <row r="1012" ht="14.5" spans="2:14"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</row>
    <row r="1013" ht="14.5" spans="2:14"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</row>
    <row r="1014" ht="14.5" spans="2:14"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</row>
    <row r="1015" ht="14.5" spans="2:14"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</row>
    <row r="1016" ht="14.5" spans="2:14"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</row>
    <row r="1017" ht="14.5" spans="2:14"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</row>
    <row r="1018" ht="14.5" spans="2:14"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</row>
    <row r="1019" ht="14.5" spans="2:14"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</row>
    <row r="1020" ht="14.5" spans="2:14"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</row>
    <row r="1021" ht="14.5" spans="2:14"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</row>
    <row r="1022" ht="14.5" spans="2:14"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</row>
    <row r="1023" ht="14.5" spans="2:14"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</row>
    <row r="1024" ht="14.5" spans="2:14"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</row>
    <row r="1025" ht="14.5" spans="2:14"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</row>
    <row r="1026" ht="14.5" spans="2:14"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</row>
    <row r="1027" ht="14.5" spans="2:14"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</row>
    <row r="1028" ht="14.5" spans="2:14"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</row>
    <row r="1029" ht="14.5" spans="2:14"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</row>
    <row r="1030" ht="14.5" spans="2:14"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</row>
    <row r="1031" ht="14.5" spans="2:14"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</row>
    <row r="1032" ht="14.5" spans="2:14"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</row>
    <row r="1033" ht="14.5" spans="2:14"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</row>
    <row r="1034" ht="14.5" spans="2:14"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</row>
    <row r="1035" ht="14.5" spans="2:14"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</row>
    <row r="1036" ht="14.5" spans="2:14"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</row>
    <row r="1037" ht="14.5" spans="2:14"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</row>
    <row r="1038" ht="14.5" spans="2:14"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</row>
    <row r="1039" ht="14.5" spans="2:14"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</row>
    <row r="1040" ht="14.5" spans="2:14"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</row>
    <row r="1041" ht="14.5" spans="2:14"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</row>
    <row r="1042" ht="14.5" spans="2:14"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</row>
    <row r="1043" ht="14.5" spans="2:14"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</row>
    <row r="1044" ht="14.5" spans="2:14"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</row>
    <row r="1045" ht="14.5" spans="2:14"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</row>
    <row r="1046" ht="14.5" spans="2:14"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</row>
    <row r="1047" ht="14.5" spans="2:14"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</row>
    <row r="1048" ht="14.5" spans="2:14"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</row>
    <row r="1049" ht="14.5" spans="2:14"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</row>
    <row r="1050" ht="14.5" spans="2:14"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</row>
    <row r="1051" ht="14.5" spans="2:14"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</row>
    <row r="1052" ht="14.5" spans="2:14"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</row>
    <row r="1053" ht="14.5" spans="2:14"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</row>
    <row r="1054" ht="14.5" spans="2:14"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</row>
    <row r="1055" ht="14.5" spans="2:14"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</row>
    <row r="1056" ht="14.5" spans="2:14"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</row>
    <row r="1057" ht="14.5" spans="2:14"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</row>
    <row r="1058" ht="14.5" spans="2:14"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</row>
    <row r="1059" ht="14.5" spans="2:14"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</row>
    <row r="1060" ht="14.5" spans="2:14"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</row>
    <row r="1061" ht="14.5" spans="2:14"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</row>
    <row r="1062" ht="14.5" spans="2:14"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</row>
    <row r="1063" ht="14.5" spans="2:14"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</row>
    <row r="1064" ht="14.5" spans="2:14"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</row>
    <row r="1065" ht="14.5" spans="2:14"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</row>
    <row r="1066" ht="14.5" spans="2:14"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</row>
    <row r="1067" ht="14.5" spans="2:14"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</row>
    <row r="1068" ht="14.5" spans="2:14"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</row>
    <row r="1069" ht="14.5" spans="2:14"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</row>
    <row r="1070" ht="14.5" spans="2:14"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</row>
    <row r="1071" ht="14.5" spans="2:14"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</row>
    <row r="1072" ht="14.5" spans="2:14"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</row>
    <row r="1073" ht="14.5" spans="2:14"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</row>
    <row r="1074" ht="14.5" spans="2:14"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</row>
    <row r="1075" ht="14.5" spans="2:14"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</row>
    <row r="1076" ht="14.5" spans="2:14"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</row>
    <row r="1077" ht="14.5" spans="2:14"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</row>
    <row r="1078" ht="14.5" spans="2:14"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</row>
    <row r="1079" ht="14.5" spans="2:14"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</row>
    <row r="1080" ht="14.5" spans="2:14"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</row>
    <row r="1081" ht="14.5" spans="2:14"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</row>
    <row r="1082" ht="14.5" spans="2:14"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</row>
    <row r="1083" ht="14.5" spans="2:14"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</row>
    <row r="1084" ht="14.5" spans="2:14"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</row>
    <row r="1085" ht="14.5" spans="2:14"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</row>
    <row r="1086" ht="14.5" spans="2:14"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</row>
    <row r="1087" ht="14.5" spans="2:14"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</row>
    <row r="1088" ht="14.5" spans="2:14"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</row>
    <row r="1089" ht="14.5" spans="2:14"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</row>
    <row r="1090" ht="14.5" spans="2:14"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</row>
    <row r="1091" ht="14.5" spans="2:14"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</row>
    <row r="1092" ht="14.5" spans="2:14"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</row>
    <row r="1093" ht="14.5" spans="2:14"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</row>
    <row r="1094" ht="14.5" spans="2:14"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</row>
    <row r="1095" ht="14.5" spans="2:14"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</row>
    <row r="1096" ht="14.5" spans="2:14"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</row>
    <row r="1097" ht="14.5" spans="2:14"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</row>
    <row r="1098" ht="14.5" spans="2:14"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</row>
    <row r="1099" ht="14.5" spans="2:14"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</row>
    <row r="1100" ht="14.5" spans="2:14"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</row>
    <row r="1101" ht="14.5" spans="2:14"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</row>
    <row r="1102" ht="14.5" spans="2:14"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</row>
    <row r="1103" ht="14.5" spans="2:14"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</row>
    <row r="1104" ht="14.5" spans="2:14"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</row>
    <row r="1105" ht="14.5" spans="2:14"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</row>
    <row r="1106" ht="14.5" spans="2:14"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</row>
    <row r="1107" ht="14.5" spans="2:14"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</row>
    <row r="1108" ht="14.5" spans="2:14"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</row>
    <row r="1109" ht="14.5" spans="2:14"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</row>
    <row r="1110" ht="14.5" spans="2:14"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</row>
    <row r="1111" ht="14.5" spans="2:14"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</row>
    <row r="1112" ht="14.5" spans="2:14"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</row>
    <row r="1113" ht="14.5" spans="2:14"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</row>
    <row r="1114" ht="14.5" spans="2:14"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</row>
    <row r="1115" ht="14.5" spans="2:14"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</row>
    <row r="1116" ht="14.5" spans="2:14"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</row>
    <row r="1117" ht="14.5" spans="2:14"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</row>
    <row r="1118" ht="14.5" spans="2:14"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</row>
    <row r="1119" ht="14.5" spans="2:14"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</row>
    <row r="1120" ht="14.5" spans="2:14"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</row>
    <row r="1121" ht="14.5" spans="2:14"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</row>
    <row r="1122" ht="14.5" spans="2:14"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</row>
    <row r="1123" ht="14.5" spans="2:14"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</row>
    <row r="1124" ht="14.5" spans="2:14"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</row>
    <row r="1125" ht="14.5" spans="2:14"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</row>
    <row r="1126" ht="14.5" spans="2:14"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</row>
    <row r="1127" ht="14.5" spans="2:14"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</row>
    <row r="1128" ht="14.5" spans="2:14"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</row>
    <row r="1129" ht="14.5" spans="2:14"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</row>
    <row r="1130" ht="14.5" spans="2:14"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</row>
    <row r="1131" ht="14.5" spans="2:14"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</row>
    <row r="1132" ht="14.5" spans="2:14"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</row>
    <row r="1133" ht="14.5" spans="2:14"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</row>
    <row r="1134" ht="14.5" spans="2:14"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</row>
    <row r="1135" ht="14.5" spans="2:14"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</row>
    <row r="1136" ht="14.5" spans="2:14"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</row>
    <row r="1137" ht="14.5" spans="2:14"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</row>
    <row r="1138" ht="14.5" spans="2:14"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</row>
    <row r="1139" ht="14.5" spans="2:14"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</row>
    <row r="1140" ht="14.5" spans="2:14"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</row>
    <row r="1141" ht="14.5" spans="2:14"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</row>
    <row r="1142" ht="14.5" spans="2:14"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</row>
    <row r="1143" ht="14.5" spans="2:14"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</row>
    <row r="1144" ht="14.5" spans="2:14"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</row>
    <row r="1145" ht="14.5" spans="2:14"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</row>
    <row r="1146" ht="14.5" spans="2:14"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</row>
    <row r="1147" ht="14.5" spans="2:14"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</row>
    <row r="1148" ht="14.5" spans="2:14"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</row>
    <row r="1149" ht="14.5" spans="2:14"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</row>
    <row r="1150" ht="14.5" spans="2:14"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</row>
    <row r="1151" ht="14.5" spans="2:14"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</row>
    <row r="1152" ht="14.5" spans="2:14"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</row>
    <row r="1153" ht="14.5" spans="2:14"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</row>
    <row r="1154" ht="14.5" spans="2:14"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</row>
    <row r="1155" ht="14.5" spans="2:14"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</row>
    <row r="1156" ht="14.5" spans="2:14"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</row>
    <row r="1157" ht="14.5" spans="2:14"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</row>
    <row r="1158" ht="14.5" spans="2:14"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</row>
    <row r="1159" ht="14.5" spans="2:14"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</row>
    <row r="1160" ht="14.5" spans="2:14"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</row>
    <row r="1161" ht="14.5" spans="2:14"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</row>
    <row r="1162" ht="14.5" spans="2:14"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</row>
    <row r="1163" ht="14.5" spans="2:14"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</row>
    <row r="1164" ht="14.5" spans="2:14"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</row>
    <row r="1165" ht="14.5" spans="2:14"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</row>
    <row r="1166" ht="14.5" spans="2:14"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</row>
    <row r="1167" ht="14.5" spans="2:14"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</row>
    <row r="1168" ht="14.5" spans="2:14"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</row>
    <row r="1169" ht="14.5" spans="2:14"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</row>
    <row r="1170" ht="14.5" spans="2:14"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</row>
    <row r="1171" ht="14.5" spans="2:14"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</row>
    <row r="1172" ht="14.5" spans="2:14"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</row>
    <row r="1173" ht="14.5" spans="2:14"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</row>
    <row r="1174" ht="14.5" spans="2:14"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</row>
    <row r="1175" ht="14.5" spans="2:14"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</row>
    <row r="1176" ht="14.5" spans="2:14"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</row>
    <row r="1177" ht="14.5" spans="2:14"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</row>
    <row r="1178" ht="14.5" spans="2:14"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</row>
    <row r="1179" ht="14.5" spans="2:14"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</row>
    <row r="1180" ht="14.5" spans="2:14"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</row>
    <row r="1181" ht="14.5" spans="2:14"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</row>
    <row r="1182" ht="14.5" spans="2:14"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</row>
    <row r="1183" ht="14.5" spans="2:14"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</row>
    <row r="1184" ht="14.5" spans="2:14"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</row>
    <row r="1185" ht="14.5" spans="2:14"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</row>
    <row r="1186" ht="14.5" spans="2:14"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</row>
    <row r="1187" ht="14.5" spans="2:14"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</row>
    <row r="1188" ht="14.5" spans="2:14"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</row>
    <row r="1189" ht="14.5" spans="2:14"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</row>
    <row r="1190" ht="14.5" spans="2:14"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</row>
    <row r="1191" ht="14.5" spans="2:14"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</row>
    <row r="1192" ht="14.5" spans="2:14"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</row>
    <row r="1193" ht="14.5" spans="2:14"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</row>
    <row r="1194" ht="14.5" spans="2:14"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</row>
    <row r="1195" ht="14.5" spans="2:14"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</row>
    <row r="1196" ht="14.5" spans="2:14"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</row>
    <row r="1197" ht="14.5" spans="2:14"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</row>
    <row r="1198" ht="14.5" spans="2:14"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</row>
    <row r="1199" ht="14.5" spans="2:14"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</row>
    <row r="1200" ht="14.5" spans="2:14"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</row>
    <row r="1201" ht="14.5" spans="2:14"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</row>
    <row r="1202" ht="14.5" spans="2:14"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</row>
    <row r="1203" ht="14.5" spans="2:14"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</row>
    <row r="1204" ht="14.5" spans="2:14"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</row>
    <row r="1205" ht="14.5" spans="2:14"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</row>
    <row r="1206" ht="14.5" spans="2:14"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</row>
    <row r="1207" ht="14.5" spans="2:14"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</row>
    <row r="1208" ht="14.5" spans="2:14"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</row>
    <row r="1209" ht="14.5" spans="2:14"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</row>
    <row r="1210" ht="14.5" spans="2:14"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</row>
    <row r="1211" ht="14.5" spans="2:14"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</row>
    <row r="1212" ht="14.5" spans="2:14"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</row>
    <row r="1213" ht="14.5" spans="2:14"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</row>
    <row r="1214" ht="14.5" spans="2:14"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</row>
    <row r="1215" ht="14.5" spans="2:14"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</row>
    <row r="1216" ht="14.5" spans="2:14"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</row>
    <row r="1217" ht="14.5" spans="2:14"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</row>
    <row r="1218" ht="14.5" spans="2:14"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</row>
    <row r="1219" ht="14.5" spans="2:14"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</row>
    <row r="1220" ht="14.5" spans="2:14"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</row>
    <row r="1221" ht="14.5" spans="2:14"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</row>
    <row r="1222" ht="14.5" spans="2:14"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</row>
    <row r="1223" ht="14.5" spans="2:14"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</row>
    <row r="1224" ht="14.5" spans="2:14"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</row>
    <row r="1225" ht="14.5" spans="2:14"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</row>
    <row r="1226" ht="14.5" spans="2:14"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</row>
    <row r="1227" ht="14.5" spans="2:14"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</row>
    <row r="1228" ht="14.5" spans="2:14"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</row>
    <row r="1229" ht="14.5" spans="2:14"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</row>
    <row r="1230" ht="14.5" spans="2:14"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</row>
    <row r="1231" ht="14.5" spans="2:14"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</row>
    <row r="1232" ht="14.5" spans="2:14"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</row>
    <row r="1233" ht="14.5" spans="2:14"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</row>
    <row r="1234" ht="14.5" spans="2:14"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</row>
    <row r="1235" ht="14.5" spans="2:14"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</row>
    <row r="1236" ht="14.5" spans="2:14"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</row>
    <row r="1237" ht="14.5" spans="2:14"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</row>
    <row r="1238" ht="14.5" spans="2:14"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</row>
    <row r="1239" ht="14.5" spans="2:14"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</row>
    <row r="1240" ht="14.5" spans="2:14"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</row>
    <row r="1241" ht="14.5" spans="2:14"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</row>
    <row r="1242" ht="14.5" spans="2:14"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</row>
    <row r="1243" ht="14.5" spans="2:14"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</row>
    <row r="1244" ht="14.5" spans="2:14"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</row>
    <row r="1245" ht="14.5" spans="2:14"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</row>
    <row r="1246" ht="14.5" spans="2:14"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</row>
    <row r="1247" ht="14.5" spans="2:14"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</row>
    <row r="1248" ht="14.5" spans="2:14"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</row>
    <row r="1249" ht="14.5" spans="2:14"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</row>
    <row r="1250" ht="14.5" spans="2:14"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</row>
    <row r="1251" ht="14.5" spans="2:14"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</row>
    <row r="1252" ht="14.5" spans="2:14"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</row>
    <row r="1253" ht="14.5" spans="2:14"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</row>
    <row r="1254" ht="14.5" spans="2:14"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</row>
    <row r="1255" ht="14.5" spans="2:14"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</row>
    <row r="1256" ht="14.5" spans="2:14"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</row>
    <row r="1257" ht="14.5" spans="2:14"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</row>
    <row r="1258" ht="14.5" spans="2:14"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</row>
    <row r="1259" ht="14.5" spans="2:14"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</row>
    <row r="1260" ht="14.5" spans="2:14"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</row>
    <row r="1261" ht="14.5" spans="2:14"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</row>
    <row r="1262" ht="14.5" spans="2:14"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</row>
    <row r="1263" ht="14.5" spans="2:14"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</row>
    <row r="1264" ht="14.5" spans="2:14"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</row>
    <row r="1265" ht="14.5" spans="2:14"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</row>
    <row r="1266" ht="14.5" spans="2:14"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</row>
    <row r="1267" ht="14.5" spans="2:14"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</row>
    <row r="1268" ht="14.5" spans="2:14"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</row>
    <row r="1269" ht="14.5" spans="2:14"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</row>
    <row r="1270" ht="14.5" spans="2:14"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</row>
    <row r="1271" ht="14.5" spans="2:14"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</row>
    <row r="1272" ht="14.5" spans="2:14"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</row>
    <row r="1273" ht="14.5" spans="2:14"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</row>
    <row r="1274" ht="14.5" spans="2:14"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</row>
    <row r="1275" ht="14.5" spans="2:14"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</row>
    <row r="1276" ht="14.5" spans="2:14"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</row>
    <row r="1277" ht="14.5" spans="2:14"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</row>
    <row r="1278" ht="14.5" spans="2:14"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</row>
    <row r="1279" ht="14.5" spans="2:14"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</row>
    <row r="1280" ht="14.5" spans="2:14"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</row>
    <row r="1281" ht="14.5" spans="2:14"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</row>
    <row r="1282" ht="14.5" spans="2:14"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</row>
    <row r="1283" ht="14.5" spans="2:14"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</row>
    <row r="1284" ht="14.5" spans="2:14"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</row>
    <row r="1285" ht="14.5" spans="2:14"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</row>
    <row r="1286" ht="14.5" spans="2:14"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</row>
    <row r="1287" ht="14.5" spans="2:14"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</row>
    <row r="1288" ht="14.5" spans="2:14"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</row>
    <row r="1289" ht="14.5" spans="2:14"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</row>
    <row r="1290" ht="14.5" spans="2:14"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</row>
    <row r="1291" ht="14.5" spans="2:14"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</row>
    <row r="1292" ht="14.5" spans="2:14"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</row>
    <row r="1293" ht="14.5" spans="2:14"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</row>
    <row r="1294" ht="14.5" spans="2:14"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</row>
    <row r="1295" ht="14.5" spans="2:14"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</row>
    <row r="1296" ht="14.5" spans="2:14"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</row>
    <row r="1297" ht="14.5" spans="2:14"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</row>
    <row r="1298" ht="14.5" spans="2:14"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</row>
    <row r="1299" ht="14.5" spans="2:14"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</row>
    <row r="1300" ht="14.5" spans="2:14"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</row>
    <row r="1301" ht="14.5" spans="2:14"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</row>
    <row r="1302" ht="14.5" spans="2:14"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</row>
    <row r="1303" ht="14.5" spans="2:14"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</row>
    <row r="1304" ht="14.5" spans="2:14"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</row>
    <row r="1305" ht="14.5" spans="2:14"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</row>
    <row r="1306" ht="14.5" spans="2:14"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</row>
    <row r="1307" ht="14.5" spans="2:14"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</row>
    <row r="1308" ht="14.5" spans="2:14"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</row>
    <row r="1309" ht="14.5" spans="2:14"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</row>
    <row r="1310" ht="14.5" spans="2:14"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</row>
    <row r="1311" ht="14.5" spans="2:14"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</row>
    <row r="1312" ht="14.5" spans="2:14"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</row>
    <row r="1313" ht="14.5" spans="2:14"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</row>
    <row r="1314" ht="14.5" spans="2:14"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</row>
    <row r="1315" ht="14.5" spans="2:14"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</row>
    <row r="1316" ht="14.5" spans="2:14"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</row>
    <row r="1317" ht="14.5" spans="2:14"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</row>
    <row r="1318" ht="14.5" spans="2:14"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</row>
    <row r="1319" ht="14.5" spans="2:14"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</row>
    <row r="1320" ht="14.5" spans="2:14"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</row>
    <row r="1321" ht="14.5" spans="2:14"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</row>
    <row r="1322" ht="14.5" spans="2:14"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</row>
    <row r="1323" ht="14.5" spans="2:14"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</row>
    <row r="1324" ht="14.5" spans="2:14"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</row>
    <row r="1325" ht="14.5" spans="2:14"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</row>
    <row r="1326" ht="14.5" spans="2:14"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</row>
    <row r="1327" ht="14.5" spans="2:14"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</row>
    <row r="1328" ht="14.5" spans="2:14"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</row>
    <row r="1329" ht="14.5" spans="2:14"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</row>
    <row r="1330" ht="14.5" spans="2:14"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</row>
    <row r="1331" ht="14.5" spans="2:14"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</row>
    <row r="1332" ht="14.5" spans="2:14"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</row>
    <row r="1333" ht="14.5" spans="2:14"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</row>
    <row r="1334" ht="14.5" spans="2:14"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</row>
    <row r="1335" ht="14.5" spans="2:14"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</row>
    <row r="1336" ht="14.5" spans="2:14"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</row>
    <row r="1337" ht="14.5" spans="2:14"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</row>
    <row r="1338" ht="14.5" spans="2:14"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</row>
    <row r="1339" ht="14.5" spans="2:14"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</row>
    <row r="1340" ht="14.5" spans="2:14"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</row>
    <row r="1341" ht="14.5" spans="2:14"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</row>
    <row r="1342" ht="14.5" spans="2:14"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</row>
    <row r="1343" ht="14.5" spans="2:14"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</row>
    <row r="1344" ht="14.5" spans="2:14"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</row>
    <row r="1345" ht="14.5" spans="2:14"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</row>
    <row r="1346" ht="14.5" spans="2:14"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</row>
    <row r="1347" ht="14.5" spans="2:14"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</row>
    <row r="1348" ht="14.5" spans="2:14"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</row>
    <row r="1349" ht="14.5" spans="2:14"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</row>
    <row r="1350" ht="14.5" spans="2:14"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</row>
    <row r="1351" ht="14.5" spans="2:14"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</row>
    <row r="1352" ht="14.5" spans="2:14"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</row>
    <row r="1353" ht="14.5" spans="2:14"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</row>
    <row r="1354" ht="14.5" spans="2:14"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</row>
    <row r="1355" ht="14.5" spans="2:14"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</row>
    <row r="1356" ht="14.5" spans="2:14"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</row>
    <row r="1357" ht="14.5" spans="2:14"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</row>
    <row r="1358" ht="14.5" spans="2:14"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</row>
    <row r="1359" ht="14.5" spans="2:14"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</row>
    <row r="1360" ht="14.5" spans="2:14"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</row>
    <row r="1361" ht="14.5" spans="2:14"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</row>
    <row r="1362" ht="14.5" spans="2:14"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</row>
    <row r="1363" ht="14.5" spans="2:14"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</row>
    <row r="1364" ht="14.5" spans="2:14"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</row>
    <row r="1365" ht="14.5" spans="2:14"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</row>
    <row r="1366" ht="14.5" spans="2:14"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</row>
    <row r="1367" ht="14.5" spans="2:14"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</row>
    <row r="1368" ht="14.5" spans="2:14"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</row>
    <row r="1369" ht="14.5" spans="2:14"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</row>
    <row r="1370" ht="14.5" spans="2:14"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</row>
    <row r="1371" ht="14.5" spans="2:14"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</row>
    <row r="1372" ht="14.5" spans="2:14"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</row>
    <row r="1373" ht="14.5" spans="2:14"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</row>
    <row r="1374" ht="14.5" spans="2:14"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</row>
    <row r="1375" ht="14.5" spans="2:14"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</row>
    <row r="1376" ht="14.5" spans="2:14"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</row>
    <row r="1377" ht="14.5" spans="2:14"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</row>
    <row r="1378" ht="14.5" spans="2:14"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</row>
    <row r="1379" ht="14.5" spans="2:14"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</row>
    <row r="1380" ht="14.5" spans="2:14"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</row>
    <row r="1381" ht="14.5" spans="2:14"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</row>
    <row r="1382" ht="14.5" spans="2:14"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</row>
    <row r="1383" ht="14.5" spans="2:14"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</row>
    <row r="1384" ht="14.5" spans="2:14"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</row>
    <row r="1385" ht="14.5" spans="2:14"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</row>
    <row r="1386" ht="14.5" spans="2:14"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</row>
    <row r="1387" ht="14.5" spans="2:14"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</row>
    <row r="1388" ht="14.5" spans="2:14"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</row>
    <row r="1389" ht="14.5" spans="2:14"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</row>
    <row r="1390" ht="14.5" spans="2:14"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</row>
    <row r="1391" ht="14.5" spans="2:14"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</row>
    <row r="1392" ht="14.5" spans="2:14"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</row>
    <row r="1393" ht="14.5" spans="2:14"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</row>
    <row r="1394" ht="14.5" spans="2:14"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</row>
    <row r="1395" ht="14.5" spans="2:14"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</row>
    <row r="1396" ht="14.5" spans="2:14"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</row>
    <row r="1397" ht="14.5" spans="2:14"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</row>
    <row r="1398" ht="14.5" spans="2:14"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</row>
    <row r="1399" ht="14.5" spans="2:14"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</row>
    <row r="1400" ht="14.5" spans="2:14"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</row>
    <row r="1401" ht="14.5" spans="2:14"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</row>
    <row r="1402" ht="14.5" spans="2:14"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</row>
    <row r="1403" ht="14.5" spans="2:14"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</row>
    <row r="1404" ht="14.5" spans="2:14"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</row>
    <row r="1405" ht="14.5" spans="2:14"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</row>
    <row r="1406" ht="14.5" spans="2:14"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</row>
    <row r="1407" ht="14.5" spans="2:14"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</row>
    <row r="1408" ht="14.5" spans="2:14"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</row>
    <row r="1409" ht="14.5" spans="2:14"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</row>
    <row r="1410" ht="14.5" spans="2:14"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</row>
    <row r="1411" ht="14.5" spans="2:14"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</row>
    <row r="1412" ht="14.5" spans="2:14"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</row>
    <row r="1413" ht="14.5" spans="2:14"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</row>
    <row r="1414" ht="14.5" spans="2:14"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</row>
    <row r="1415" ht="14.5" spans="2:14"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</row>
    <row r="1416" ht="14.5" spans="2:14"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</row>
    <row r="1417" ht="14.5" spans="2:14"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</row>
    <row r="1418" ht="14.5" spans="2:14"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</row>
    <row r="1419" ht="14.5" spans="2:14"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</row>
    <row r="1420" ht="14.5" spans="2:14"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</row>
    <row r="1421" ht="14.5" spans="2:14"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</row>
    <row r="1422" ht="14.5" spans="2:14"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</row>
    <row r="1423" ht="14.5" spans="2:14"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</row>
    <row r="1424" ht="14.5" spans="2:14"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</row>
    <row r="1425" ht="14.5" spans="2:14"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</row>
    <row r="1426" ht="14.5" spans="2:14"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</row>
    <row r="1427" ht="14.5" spans="2:14"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</row>
    <row r="1428" ht="14.5" spans="2:14"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</row>
    <row r="1429" ht="14.5" spans="2:14"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</row>
    <row r="1430" ht="14.5" spans="2:14"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</row>
    <row r="1431" ht="14.5" spans="2:14"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</row>
    <row r="1432" ht="14.5" spans="2:14"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</row>
    <row r="1433" ht="14.5" spans="2:14"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</row>
    <row r="1434" ht="14.5" spans="2:14"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</row>
    <row r="1435" ht="14.5" spans="2:14"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</row>
    <row r="1436" ht="14.5" spans="2:14"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</row>
    <row r="1437" ht="14.5" spans="2:14"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</row>
    <row r="1438" ht="14.5" spans="2:14"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</row>
    <row r="1439" ht="14.5" spans="2:14"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</row>
    <row r="1440" ht="14.5" spans="2:14"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</row>
    <row r="1441" ht="14.5" spans="2:14"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</row>
    <row r="1442" ht="14.5" spans="2:14"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</row>
    <row r="1443" ht="14.5" spans="2:14"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</row>
    <row r="1444" ht="14.5" spans="2:14"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</row>
    <row r="1445" ht="14.5" spans="2:14"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</row>
    <row r="1446" ht="14.5" spans="2:14"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</row>
    <row r="1447" ht="14.5" spans="2:14"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</row>
    <row r="1448" ht="14.5" spans="2:14"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</row>
    <row r="1449" ht="14.5" spans="2:14"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</row>
    <row r="1450" ht="14.5" spans="2:14"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</row>
    <row r="1451" ht="14.5" spans="2:14"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</row>
    <row r="1452" ht="14.5" spans="2:14"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</row>
    <row r="1453" ht="14.5" spans="2:14"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</row>
    <row r="1454" ht="14.5" spans="2:14"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</row>
    <row r="1455" ht="14.5" spans="2:14"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</row>
    <row r="1456" ht="14.5" spans="2:14"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</row>
    <row r="1457" ht="14.5" spans="2:14"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</row>
    <row r="1458" ht="14.5" spans="2:14"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</row>
    <row r="1459" ht="14.5" spans="2:14"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</row>
    <row r="1460" ht="14.5" spans="2:14"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</row>
    <row r="1461" ht="14.5" spans="2:14"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</row>
    <row r="1462" ht="14.5" spans="2:14"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</row>
    <row r="1463" ht="14.5" spans="2:14"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</row>
    <row r="1464" ht="14.5" spans="2:14"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</row>
    <row r="1465" ht="14.5" spans="2:14"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</row>
    <row r="1466" ht="14.5" spans="2:14"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</row>
    <row r="1467" ht="14.5" spans="2:14"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</row>
    <row r="1468" ht="14.5" spans="2:14"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</row>
    <row r="1469" ht="14.5" spans="2:14"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</row>
    <row r="1470" ht="14.5" spans="2:14"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</row>
    <row r="1471" ht="14.5" spans="2:14"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</row>
    <row r="1472" ht="14.5" spans="2:14"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</row>
    <row r="1473" ht="14.5" spans="2:14"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</row>
    <row r="1474" ht="14.5" spans="2:14"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</row>
    <row r="1475" ht="14.5" spans="2:14"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</row>
    <row r="1476" ht="14.5" spans="2:14"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</row>
    <row r="1477" ht="14.5" spans="2:14"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</row>
    <row r="1478" ht="14.5" spans="2:14"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</row>
    <row r="1479" ht="14.5" spans="2:14"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</row>
    <row r="1480" ht="14.5" spans="2:14"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</row>
    <row r="1481" ht="14.5" spans="2:14"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</row>
    <row r="1482" ht="14.5" spans="2:14"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</row>
    <row r="1483" ht="14.5" spans="2:14"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</row>
    <row r="1484" ht="14.5" spans="2:14"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</row>
    <row r="1485" ht="14.5" spans="2:14"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</row>
    <row r="1486" ht="14.5" spans="2:14"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</row>
    <row r="1487" ht="14.5" spans="2:14"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</row>
    <row r="1488" ht="14.5" spans="2:14"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</row>
    <row r="1489" ht="14.5" spans="2:14"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</row>
    <row r="1490" ht="14.5" spans="2:14"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</row>
    <row r="1491" ht="14.5" spans="2:14"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</row>
    <row r="1492" ht="14.5" spans="2:14"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</row>
    <row r="1493" ht="14.5" spans="2:14"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</row>
    <row r="1494" ht="14.5" spans="2:14"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</row>
    <row r="1495" ht="14.5" spans="2:14"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</row>
    <row r="1496" ht="14.5" spans="2:14"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</row>
    <row r="1497" ht="14.5" spans="2:14"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</row>
    <row r="1498" ht="14.5" spans="2:14"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</row>
    <row r="1499" ht="14.5" spans="2:14"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</row>
    <row r="1500" ht="14.5" spans="2:14"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</row>
    <row r="1501" ht="14.5" spans="2:14"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</row>
    <row r="1502" ht="14.5" spans="2:14"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</row>
    <row r="1503" ht="14.5" spans="2:14"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</row>
    <row r="1504" ht="14.5" spans="2:14"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</row>
    <row r="1505" ht="14.5" spans="2:14"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</row>
    <row r="1506" ht="14.5" spans="2:14"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</row>
    <row r="1507" ht="14.5" spans="2:14"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</row>
    <row r="1508" ht="14.5" spans="2:14"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</row>
    <row r="1509" ht="14.5" spans="2:14"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</row>
    <row r="1510" ht="14.5" spans="2:14"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</row>
    <row r="1511" ht="14.5" spans="2:14"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</row>
    <row r="1512" ht="14.5" spans="2:14"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</row>
    <row r="1513" ht="14.5" spans="2:14"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</row>
    <row r="1514" ht="14.5" spans="2:14"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</row>
    <row r="1515" ht="14.5" spans="2:14"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</row>
    <row r="1516" ht="14.5" spans="2:14"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</row>
    <row r="1517" ht="14.5" spans="2:14"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</row>
    <row r="1518" ht="14.5" spans="2:14"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</row>
    <row r="1519" ht="14.5" spans="2:14"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</row>
    <row r="1520" ht="14.5" spans="2:14"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</row>
    <row r="1521" ht="14.5" spans="2:14"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</row>
    <row r="1522" ht="14.5" spans="2:14"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</row>
    <row r="1523" ht="14.5" spans="2:14"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</row>
    <row r="1524" ht="14.5" spans="2:14"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</row>
    <row r="1525" ht="14.5" spans="2:14"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</row>
    <row r="1526" ht="14.5" spans="2:14"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</row>
    <row r="1527" ht="14.5" spans="2:14"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</row>
    <row r="1528" ht="14.5" spans="2:14"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</row>
    <row r="1529" ht="14.5" spans="2:14"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</row>
    <row r="1530" ht="14.5" spans="2:14"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</row>
    <row r="1531" ht="14.5" spans="2:14"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</row>
    <row r="1532" ht="14.5" spans="2:14"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</row>
    <row r="1533" ht="14.5" spans="2:14"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</row>
    <row r="1534" ht="14.5" spans="2:14"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</row>
    <row r="1535" ht="14.5" spans="2:14"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</row>
    <row r="1536" ht="14.5" spans="2:14"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</row>
    <row r="1537" ht="14.5" spans="2:14"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</row>
    <row r="1538" ht="14.5" spans="2:14"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</row>
    <row r="1539" ht="14.5" spans="2:14"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</row>
    <row r="1540" ht="14.5" spans="2:14"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</row>
    <row r="1541" ht="14.5" spans="2:14"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</row>
    <row r="1542" ht="14.5" spans="2:14"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</row>
    <row r="1543" ht="14.5" spans="2:14"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</row>
    <row r="1544" ht="14.5" spans="2:14"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</row>
    <row r="1545" ht="14.5" spans="2:14"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</row>
    <row r="1546" ht="14.5" spans="2:14"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</row>
    <row r="1547" ht="14.5" spans="2:14"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</row>
    <row r="1548" ht="14.5" spans="2:14"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</row>
    <row r="1549" ht="14.5" spans="2:14"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</row>
    <row r="1550" ht="14.5" spans="2:14"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</row>
    <row r="1551" ht="14.5" spans="2:14"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</row>
    <row r="1552" ht="14.5" spans="2:14"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</row>
    <row r="1553" ht="14.5" spans="2:14"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</row>
    <row r="1554" ht="14.5" spans="2:14"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</row>
    <row r="1555" ht="14.5" spans="2:14"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</row>
    <row r="1556" ht="14.5" spans="2:14"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</row>
    <row r="1557" ht="14.5" spans="2:14"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</row>
    <row r="1558" ht="14.5" spans="2:14"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</row>
    <row r="1559" ht="14.5" spans="2:14"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</row>
    <row r="1560" ht="14.5" spans="2:14"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</row>
    <row r="1561" ht="14.5" spans="2:14"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</row>
    <row r="1562" ht="14.5" spans="2:14"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</row>
    <row r="1563" ht="14.5" spans="2:14"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</row>
    <row r="1564" ht="14.5" spans="2:14"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</row>
    <row r="1565" ht="14.5" spans="2:14"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</row>
    <row r="1566" ht="14.5" spans="2:14"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</row>
    <row r="1567" ht="14.5" spans="2:14"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</row>
    <row r="1568" ht="14.5" spans="2:14"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</row>
    <row r="1569" ht="14.5" spans="2:14"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</row>
    <row r="1570" ht="14.5" spans="2:14"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</row>
    <row r="1571" ht="14.5" spans="2:14"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</row>
    <row r="1572" ht="14.5" spans="2:14"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</row>
    <row r="1573" ht="14.5" spans="2:14"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</row>
    <row r="1574" ht="14.5" spans="2:14"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</row>
    <row r="1575" ht="14.5" spans="2:14"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</row>
    <row r="1576" ht="14.5" spans="2:14"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</row>
    <row r="1577" ht="14.5" spans="2:14"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</row>
    <row r="1578" ht="14.5" spans="2:14"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</row>
    <row r="1579" ht="14.5" spans="2:14"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</row>
    <row r="1580" ht="14.5" spans="2:14"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</row>
    <row r="1581" ht="14.5" spans="2:14"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</row>
    <row r="1582" ht="14.5" spans="2:14"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</row>
    <row r="1583" ht="14.5" spans="2:14"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</row>
    <row r="1584" ht="14.5" spans="2:14"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</row>
    <row r="1585" ht="14.5" spans="2:14"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</row>
    <row r="1586" ht="14.5" spans="2:14"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</row>
    <row r="1587" ht="14.5" spans="2:14"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</row>
    <row r="1588" ht="14.5" spans="2:14"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</row>
    <row r="1589" ht="14.5" spans="2:14"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</row>
    <row r="1590" ht="14.5" spans="2:14"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</row>
    <row r="1591" ht="14.5" spans="2:14"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</row>
    <row r="1592" ht="14.5" spans="2:14"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</row>
    <row r="1593" ht="14.5" spans="2:14"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</row>
    <row r="1594" ht="14.5" spans="2:14"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</row>
    <row r="1595" ht="14.5" spans="2:14"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</row>
    <row r="1596" ht="14.5" spans="2:14"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</row>
    <row r="1597" ht="14.5" spans="2:14"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</row>
    <row r="1598" ht="14.5" spans="2:14"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</row>
    <row r="1599" ht="14.5" spans="2:14"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</row>
    <row r="1600" ht="14.5" spans="2:14"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</row>
    <row r="1601" ht="14.5" spans="2:14"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</row>
    <row r="1602" ht="14.5" spans="2:14"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</row>
    <row r="1603" ht="14.5" spans="2:14"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</row>
    <row r="1604" ht="14.5" spans="2:14"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</row>
    <row r="1605" ht="14.5" spans="2:14"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</row>
    <row r="1606" ht="14.5" spans="2:14"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</row>
    <row r="1607" ht="14.5" spans="2:14"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</row>
    <row r="1608" ht="14.5" spans="2:14"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</row>
    <row r="1609" ht="14.5" spans="2:14"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</row>
    <row r="1610" ht="14.5" spans="2:14"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</row>
    <row r="1611" ht="14.5" spans="2:14"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</row>
    <row r="1612" ht="14.5" spans="2:14"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</row>
    <row r="1613" ht="14.5" spans="2:14"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</row>
    <row r="1614" ht="14.5" spans="2:14"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</row>
    <row r="1615" ht="14.5" spans="2:14"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</row>
    <row r="1616" ht="14.5" spans="2:14"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</row>
    <row r="1617" ht="14.5" spans="2:14"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</row>
    <row r="1618" ht="14.5" spans="2:14"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</row>
    <row r="1619" ht="14.5" spans="2:14"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</row>
    <row r="1620" ht="14.5" spans="2:14"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</row>
    <row r="1621" ht="14.5" spans="2:14"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</row>
    <row r="1622" ht="14.5" spans="2:14"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</row>
    <row r="1623" ht="14.5" spans="2:14"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</row>
    <row r="1624" ht="14.5" spans="2:14"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</row>
    <row r="1625" ht="14.5" spans="2:14"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</row>
    <row r="1626" ht="14.5" spans="2:14"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</row>
    <row r="1627" ht="14.5" spans="2:14"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</row>
    <row r="1628" ht="14.5" spans="2:14"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</row>
    <row r="1629" ht="14.5" spans="2:14"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</row>
    <row r="1630" ht="14.5" spans="2:14"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</row>
    <row r="1631" ht="14.5" spans="2:14"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</row>
    <row r="1632" ht="14.5" spans="2:14"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</row>
    <row r="1633" ht="14.5" spans="2:14"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</row>
    <row r="1634" ht="14.5" spans="2:14"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</row>
    <row r="1635" ht="14.5" spans="2:14"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</row>
    <row r="1636" ht="14.5" spans="2:14"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</row>
    <row r="1637" ht="14.5" spans="2:14"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</row>
    <row r="1638" ht="14.5" spans="2:14"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</row>
    <row r="1639" ht="14.5" spans="2:14"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</row>
    <row r="1640" ht="14.5" spans="2:14"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</row>
    <row r="1641" ht="14.5" spans="2:14"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</row>
    <row r="1642" ht="14.5" spans="2:14"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</row>
    <row r="1643" ht="14.5" spans="2:14"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</row>
    <row r="1644" ht="14.5" spans="2:14"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</row>
    <row r="1645" ht="14.5" spans="2:14"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</row>
    <row r="1646" ht="14.5" spans="2:14"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</row>
    <row r="1647" ht="14.5" spans="2:14"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</row>
    <row r="1648" ht="14.5" spans="2:14"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</row>
    <row r="1649" ht="14.5" spans="2:14"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</row>
    <row r="1650" ht="14.5" spans="2:14"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</row>
    <row r="1651" ht="14.5" spans="2:14"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</row>
    <row r="1652" ht="14.5" spans="2:14"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</row>
    <row r="1653" ht="14.5" spans="2:14"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</row>
    <row r="1654" ht="14.5" spans="2:14"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</row>
    <row r="1655" ht="14.5" spans="2:14"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</row>
    <row r="1656" ht="14.5" spans="2:14"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</row>
    <row r="1657" ht="14.5" spans="2:14"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</row>
    <row r="1658" ht="14.5" spans="2:14"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</row>
    <row r="1659" ht="14.5" spans="2:14"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</row>
    <row r="1660" ht="14.5" spans="2:14"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</row>
    <row r="1661" ht="14.5" spans="2:14"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</row>
    <row r="1662" ht="14.5" spans="2:14"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</row>
    <row r="1663" ht="14.5" spans="2:14"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</row>
    <row r="1664" ht="14.5" spans="2:14"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</row>
    <row r="1665" ht="14.5" spans="2:14"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</row>
    <row r="1666" ht="14.5" spans="2:14"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</row>
    <row r="1667" ht="14.5" spans="2:14"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</row>
    <row r="1668" ht="14.5" spans="2:14"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</row>
    <row r="1669" ht="14.5" spans="2:14"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</row>
    <row r="1670" ht="14.5" spans="2:14"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</row>
    <row r="1671" ht="14.5" spans="2:14"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</row>
    <row r="1672" ht="14.5" spans="2:14"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</row>
    <row r="1673" ht="14.5" spans="2:14"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</row>
    <row r="1674" ht="14.5" spans="2:14"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</row>
    <row r="1675" ht="14.5" spans="2:14"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</row>
    <row r="1676" ht="14.5" spans="2:14"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</row>
    <row r="1677" ht="14.5" spans="2:14"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</row>
    <row r="1678" ht="14.5" spans="2:14"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</row>
    <row r="1679" ht="14.5" spans="2:14"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</row>
    <row r="1680" ht="14.5" spans="2:14"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</row>
    <row r="1681" ht="14.5" spans="2:14"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</row>
    <row r="1682" ht="14.5" spans="2:14"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</row>
    <row r="1683" ht="14.5" spans="2:14"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</row>
    <row r="1684" ht="14.5" spans="2:14"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</row>
    <row r="1685" ht="14.5" spans="2:14"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</row>
    <row r="1686" ht="14.5" spans="2:14"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</row>
    <row r="1687" ht="14.5" spans="2:14"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</row>
    <row r="1688" ht="14.5" spans="2:14"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</row>
    <row r="1689" ht="14.5" spans="2:14"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</row>
    <row r="1690" ht="14.5" spans="2:14"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</row>
    <row r="1691" ht="14.5" spans="2:14"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</row>
    <row r="1692" ht="14.5" spans="2:14"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</row>
    <row r="1693" ht="14.5" spans="2:14"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</row>
    <row r="1694" ht="14.5" spans="2:14"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</row>
    <row r="1695" ht="14.5" spans="2:14"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</row>
    <row r="1696" ht="14.5" spans="2:14"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</row>
    <row r="1697" ht="14.5" spans="2:14"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</row>
    <row r="1698" ht="14.5" spans="2:14"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</row>
    <row r="1699" ht="14.5" spans="2:14"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</row>
    <row r="1700" ht="14.5" spans="2:14"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</row>
    <row r="1701" ht="14.5" spans="2:14"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</row>
    <row r="1702" ht="14.5" spans="2:14"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</row>
    <row r="1703" ht="14.5" spans="2:14"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</row>
    <row r="1704" ht="14.5" spans="2:14"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</row>
    <row r="1705" ht="14.5" spans="2:14"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</row>
    <row r="1706" ht="14.5" spans="2:14"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</row>
    <row r="1707" ht="14.5" spans="2:14"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</row>
    <row r="1708" ht="14.5" spans="2:14"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</row>
    <row r="1709" ht="14.5" spans="2:14"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</row>
    <row r="1710" ht="14.5" spans="2:14"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</row>
    <row r="1711" ht="14.5" spans="2:14"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</row>
    <row r="1712" ht="14.5" spans="2:14"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</row>
    <row r="1713" ht="14.5" spans="2:14"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</row>
    <row r="1714" ht="14.5" spans="2:14"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</row>
    <row r="1715" ht="14.5" spans="2:14"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</row>
    <row r="1716" ht="14.5" spans="2:14"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</row>
    <row r="1717" ht="14.5" spans="2:14"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</row>
    <row r="1718" ht="14.5" spans="2:14"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</row>
    <row r="1719" ht="14.5" spans="2:14"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</row>
    <row r="1720" ht="14.5" spans="2:14"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</row>
    <row r="1721" ht="14.5" spans="2:14"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</row>
    <row r="1722" ht="14.5" spans="2:14"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</row>
    <row r="1723" ht="14.5" spans="2:14"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</row>
    <row r="1724" ht="14.5" spans="2:14"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</row>
    <row r="1725" ht="14.5" spans="2:14"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</row>
    <row r="1726" ht="14.5" spans="2:14"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</row>
    <row r="1727" ht="14.5" spans="2:14"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</row>
    <row r="1728" ht="14.5" spans="2:14"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</row>
    <row r="1729" ht="14.5" spans="2:14"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</row>
    <row r="1730" ht="14.5" spans="2:14"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</row>
    <row r="1731" ht="14.5" spans="2:14"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</row>
    <row r="1732" ht="14.5" spans="2:14"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</row>
    <row r="1733" ht="14.5" spans="2:14"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</row>
    <row r="1734" ht="14.5" spans="2:14"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</row>
    <row r="1735" ht="14.5" spans="2:14"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</row>
    <row r="1736" ht="14.5" spans="2:14"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</row>
    <row r="1737" ht="14.5" spans="2:14"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</row>
    <row r="1738" ht="14.5" spans="2:14"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</row>
    <row r="1739" ht="14.5" spans="2:14"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</row>
    <row r="1740" ht="14.5" spans="2:14"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</row>
    <row r="1741" ht="14.5" spans="2:14"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</row>
    <row r="1742" ht="14.5" spans="2:14"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</row>
    <row r="1743" ht="14.5" spans="2:14"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</row>
    <row r="1744" ht="14.5" spans="2:14"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</row>
    <row r="1745" ht="14.5" spans="2:14"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</row>
    <row r="1746" ht="14.5" spans="2:14"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</row>
    <row r="1747" ht="14.5" spans="2:14"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</row>
    <row r="1748" ht="14.5" spans="2:14"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</row>
    <row r="1749" ht="14.5" spans="2:14"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</row>
    <row r="1750" ht="14.5" spans="2:14"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</row>
    <row r="1751" ht="14.5" spans="2:14"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</row>
    <row r="1752" ht="14.5" spans="2:14"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</row>
    <row r="1753" ht="14.5" spans="2:14"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</row>
    <row r="1754" ht="14.5" spans="2:14"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</row>
    <row r="1755" ht="14.5" spans="2:14"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</row>
    <row r="1756" ht="14.5" spans="2:14"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</row>
    <row r="1757" ht="14.5" spans="2:14"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</row>
    <row r="1758" ht="14.5" spans="2:14"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</row>
    <row r="1759" ht="14.5" spans="2:14"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</row>
    <row r="1760" ht="14.5" spans="2:14"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</row>
    <row r="1761" ht="14.5" spans="2:14"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</row>
    <row r="1762" ht="14.5" spans="2:14"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</row>
    <row r="1763" ht="14.5" spans="2:14"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</row>
    <row r="1764" ht="14.5" spans="2:14"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</row>
    <row r="1765" ht="14.5" spans="2:14"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</row>
    <row r="1766" ht="14.5" spans="2:14"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</row>
    <row r="1767" ht="14.5" spans="2:14"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</row>
    <row r="1768" ht="14.5" spans="2:14"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</row>
    <row r="1769" ht="14.5" spans="2:14"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</row>
    <row r="1770" ht="14.5" spans="2:14"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</row>
    <row r="1771" ht="14.5" spans="2:14"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</row>
    <row r="1772" ht="14.5" spans="2:14"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</row>
    <row r="1773" ht="14.5" spans="2:14"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</row>
    <row r="1774" ht="14.5" spans="2:14"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</row>
    <row r="1775" ht="14.5" spans="2:14"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</row>
    <row r="1776" ht="14.5" spans="2:14"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</row>
    <row r="1777" ht="14.5" spans="2:14"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</row>
    <row r="1778" ht="14.5" spans="2:14"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</row>
    <row r="1779" ht="14.5" spans="2:14"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</row>
    <row r="1780" ht="14.5" spans="2:14"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</row>
    <row r="1781" ht="14.5" spans="2:14"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</row>
    <row r="1782" ht="14.5" spans="2:14"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</row>
    <row r="1783" ht="14.5" spans="2:14"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</row>
    <row r="1784" ht="14.5" spans="2:14"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</row>
    <row r="1785" ht="14.5" spans="2:14"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</row>
    <row r="1786" ht="14.5" spans="2:14"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</row>
    <row r="1787" ht="14.5" spans="2:14"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</row>
    <row r="1788" ht="14.5" spans="2:14"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</row>
    <row r="1789" ht="14.5" spans="2:14"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</row>
    <row r="1790" ht="14.5" spans="2:14"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</row>
    <row r="1791" ht="14.5" spans="2:14"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</row>
    <row r="1792" ht="14.5" spans="2:14"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</row>
    <row r="1793" ht="14.5" spans="2:14"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</row>
    <row r="1794" ht="14.5" spans="2:14"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</row>
    <row r="1795" ht="14.5" spans="2:14"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</row>
    <row r="1796" ht="14.5" spans="2:14"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</row>
    <row r="1797" ht="14.5" spans="2:14"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</row>
    <row r="1798" ht="14.5" spans="2:14"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</row>
    <row r="1799" ht="14.5" spans="2:14"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</row>
    <row r="1800" ht="14.5" spans="2:14"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</row>
    <row r="1801" ht="14.5" spans="2:14"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</row>
    <row r="1802" ht="14.5" spans="2:14"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</row>
    <row r="1803" ht="14.5" spans="2:14"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</row>
    <row r="1804" ht="14.5" spans="2:14"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</row>
    <row r="1805" ht="14.5" spans="2:14"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</row>
    <row r="1806" ht="14.5" spans="2:14"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</row>
    <row r="1807" ht="14.5" spans="2:14"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</row>
    <row r="1808" ht="14.5" spans="2:14"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</row>
    <row r="1809" ht="14.5" spans="2:14"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</row>
    <row r="1810" ht="14.5" spans="2:14"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</row>
    <row r="1811" ht="14.5" spans="2:14"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</row>
    <row r="1812" ht="14.5" spans="2:14"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</row>
    <row r="1813" ht="14.5" spans="2:14"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</row>
    <row r="1814" ht="14.5" spans="2:14"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</row>
    <row r="1815" ht="14.5" spans="2:14"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</row>
    <row r="1816" ht="14.5" spans="2:14"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</row>
    <row r="1817" ht="14.5" spans="2:14"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</row>
    <row r="1818" ht="14.5" spans="2:14"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</row>
    <row r="1819" ht="14.5" spans="2:14"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</row>
    <row r="1820" ht="14.5" spans="2:14"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</row>
    <row r="1821" ht="14.5" spans="2:14"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</row>
    <row r="1822" ht="14.5" spans="2:14"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</row>
    <row r="1823" ht="14.5" spans="2:14"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</row>
    <row r="1824" ht="14.5" spans="2:14"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</row>
    <row r="1825" ht="14.5" spans="2:14"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</row>
    <row r="1826" ht="14.5" spans="2:14"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</row>
    <row r="1827" ht="14.5" spans="2:14"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</row>
    <row r="1828" ht="14.5" spans="2:14"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</row>
    <row r="1829" ht="14.5" spans="2:14"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</row>
    <row r="1830" ht="14.5" spans="2:14"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</row>
    <row r="1831" ht="14.5" spans="2:14"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</row>
    <row r="1832" ht="14.5" spans="2:14"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</row>
    <row r="1833" ht="14.5" spans="2:14"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</row>
    <row r="1834" ht="14.5" spans="2:14"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</row>
    <row r="1835" ht="14.5" spans="2:14"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</row>
    <row r="1836" ht="14.5" spans="2:14"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</row>
    <row r="1837" ht="14.5" spans="2:14"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</row>
    <row r="1838" ht="14.5" spans="2:14"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</row>
    <row r="1839" ht="14.5" spans="2:14"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</row>
    <row r="1840" ht="14.5" spans="2:14"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</row>
    <row r="1841" ht="14.5" spans="2:14"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</row>
    <row r="1842" ht="14.5" spans="2:14"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</row>
    <row r="1843" ht="14.5" spans="2:14"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</row>
    <row r="1844" ht="14.5" spans="2:14"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</row>
    <row r="1845" ht="14.5" spans="2:14"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</row>
    <row r="1846" ht="14.5" spans="2:14"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</row>
    <row r="1847" ht="14.5" spans="2:14"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</row>
    <row r="1848" ht="14.5" spans="2:14"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</row>
    <row r="1849" ht="14.5" spans="2:14"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</row>
    <row r="1850" ht="14.5" spans="2:14"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</row>
    <row r="1851" ht="14.5" spans="2:14"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</row>
    <row r="1852" ht="14.5" spans="2:14"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</row>
    <row r="1853" ht="14.5" spans="2:14"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</row>
    <row r="1854" ht="14.5" spans="2:14"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</row>
    <row r="1855" ht="14.5" spans="2:14"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</row>
    <row r="1856" ht="14.5" spans="2:14"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</row>
    <row r="1857" ht="14.5" spans="2:14"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</row>
    <row r="1858" ht="14.5" spans="2:14"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</row>
    <row r="1859" ht="14.5" spans="2:14"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</row>
    <row r="1860" ht="14.5" spans="2:14"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</row>
    <row r="1861" ht="14.5" spans="2:14"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</row>
    <row r="1862" ht="14.5" spans="2:14"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</row>
    <row r="1863" ht="14.5" spans="2:14"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</row>
    <row r="1864" ht="14.5" spans="2:14"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</row>
    <row r="1865" ht="14.5" spans="2:14"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</row>
    <row r="1866" ht="14.5" spans="2:14"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</row>
    <row r="1867" ht="14.5" spans="2:14"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</row>
    <row r="1868" ht="14.5" spans="2:14"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</row>
    <row r="1869" ht="14.5" spans="2:14"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</row>
    <row r="1870" ht="14.5" spans="2:14"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</row>
    <row r="1871" ht="14.5" spans="2:14"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</row>
    <row r="1872" ht="14.5" spans="2:14"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</row>
    <row r="1873" ht="14.5" spans="2:14"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</row>
    <row r="1874" ht="14.5" spans="2:14"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</row>
    <row r="1875" ht="14.5" spans="2:14"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</row>
    <row r="1876" ht="14.5" spans="2:14"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</row>
    <row r="1877" ht="14.5" spans="2:14"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</row>
    <row r="1878" ht="14.5" spans="2:14"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</row>
    <row r="1879" ht="14.5" spans="2:14"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</row>
    <row r="1880" ht="14.5" spans="2:14"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</row>
    <row r="1881" ht="14.5" spans="2:14"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</row>
    <row r="1882" ht="14.5" spans="2:14"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</row>
    <row r="1883" ht="14.5" spans="2:14"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</row>
    <row r="1884" ht="14.5" spans="2:14"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</row>
    <row r="1885" ht="14.5" spans="2:14"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</row>
    <row r="1886" ht="14.5" spans="2:14"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</row>
    <row r="1887" ht="14.5" spans="2:14"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</row>
    <row r="1888" ht="14.5" spans="2:14"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</row>
    <row r="1889" ht="14.5" spans="2:14"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</row>
    <row r="1890" ht="14.5" spans="2:14"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</row>
    <row r="1891" ht="14.5" spans="2:14"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</row>
    <row r="1892" ht="14.5" spans="2:14"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</row>
    <row r="1893" ht="14.5" spans="2:14"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</row>
    <row r="1894" ht="14.5" spans="2:14"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</row>
    <row r="1895" ht="14.5" spans="2:14"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</row>
    <row r="1896" ht="14.5" spans="2:14"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</row>
    <row r="1897" ht="14.5" spans="2:14"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</row>
    <row r="1898" ht="14.5" spans="2:14"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</row>
    <row r="1899" ht="14.5" spans="2:14"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</row>
    <row r="1900" ht="14.5" spans="2:14"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</row>
    <row r="1901" ht="14.5" spans="2:14"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</row>
    <row r="1902" ht="14.5" spans="2:14"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</row>
    <row r="1903" ht="14.5" spans="2:14"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</row>
    <row r="1904" ht="14.5" spans="2:14"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</row>
    <row r="1905" ht="14.5" spans="2:14"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</row>
    <row r="1906" ht="14.5" spans="2:14"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</row>
    <row r="1907" ht="14.5" spans="2:14"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</row>
    <row r="1908" ht="14.5" spans="2:14"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</row>
    <row r="1909" ht="14.5" spans="2:14"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</row>
    <row r="1910" ht="14.5" spans="2:14"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</row>
    <row r="1911" ht="14.5" spans="2:14"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</row>
    <row r="1912" ht="14.5" spans="2:14"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</row>
    <row r="1913" ht="14.5" spans="2:14"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</row>
    <row r="1914" ht="14.5" spans="2:14"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</row>
    <row r="1915" ht="14.5" spans="2:14"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</row>
    <row r="1916" ht="14.5" spans="2:14"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</row>
    <row r="1917" ht="14.5" spans="2:14"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</row>
    <row r="1918" ht="14.5" spans="2:14"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</row>
    <row r="1919" ht="14.5" spans="2:14"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</row>
    <row r="1920" ht="14.5" spans="2:14"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</row>
    <row r="1921" ht="14.5" spans="2:14"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</row>
    <row r="1922" ht="14.5" spans="2:14"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</row>
    <row r="1923" ht="14.5" spans="2:14"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</row>
    <row r="1924" ht="14.5" spans="2:14"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</row>
    <row r="1925" ht="14.5" spans="2:14"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</row>
    <row r="1926" ht="14.5" spans="2:14"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</row>
    <row r="1927" ht="14.5" spans="2:14"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</row>
    <row r="1928" ht="14.5" spans="2:14"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</row>
    <row r="1929" ht="14.5" spans="2:14"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</row>
    <row r="1930" ht="14.5" spans="2:14"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</row>
    <row r="1931" ht="14.5" spans="2:14"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</row>
    <row r="1932" ht="14.5" spans="2:14"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</row>
    <row r="1933" ht="14.5" spans="2:14"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</row>
    <row r="1934" ht="14.5" spans="2:14"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</row>
    <row r="1935" ht="14.5" spans="2:14"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</row>
    <row r="1936" ht="14.5" spans="2:14"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</row>
    <row r="1937" ht="14.5" spans="2:14"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</row>
    <row r="1938" ht="14.5" spans="2:14"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</row>
    <row r="1939" ht="14.5" spans="2:14"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</row>
    <row r="1940" ht="14.5" spans="2:14"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</row>
    <row r="1941" ht="14.5" spans="2:14"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</row>
    <row r="1942" ht="14.5" spans="2:14"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</row>
    <row r="1943" ht="14.5" spans="2:14"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</row>
    <row r="1944" ht="14.5" spans="2:14"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</row>
    <row r="1945" ht="14.5" spans="2:14"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</row>
    <row r="1946" ht="14.5" spans="2:14"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</row>
    <row r="1947" ht="14.5" spans="2:14"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</row>
    <row r="1948" ht="14.5" spans="2:14"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</row>
    <row r="1949" ht="14.5" spans="2:14"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</row>
    <row r="1950" ht="14.5" spans="2:14"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</row>
    <row r="1951" ht="14.5" spans="2:14"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</row>
    <row r="1952" ht="14.5" spans="2:14"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</row>
    <row r="1953" ht="14.5" spans="2:14"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</row>
    <row r="1954" ht="14.5" spans="2:14"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</row>
    <row r="1955" ht="14.5" spans="2:14"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</row>
    <row r="1956" ht="14.5" spans="2:14"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</row>
    <row r="1957" ht="14.5" spans="2:14"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</row>
    <row r="1958" ht="14.5" spans="2:14"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</row>
    <row r="1959" ht="14.5" spans="2:14"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</row>
    <row r="1960" ht="14.5" spans="2:14"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</row>
    <row r="1961" ht="14.5" spans="2:14"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</row>
    <row r="1962" ht="14.5" spans="2:14"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</row>
    <row r="1963" ht="14.5" spans="2:14"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</row>
    <row r="1964" ht="14.5" spans="2:14"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</row>
    <row r="1965" ht="14.5" spans="2:14"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</row>
    <row r="1966" ht="14.5" spans="2:14"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</row>
    <row r="1967" ht="14.5" spans="2:14"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</row>
    <row r="1968" ht="14.5" spans="2:14"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</row>
    <row r="1969" ht="14.5" spans="2:14"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</row>
    <row r="1970" ht="14.5" spans="2:14"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</row>
    <row r="1971" ht="14.5" spans="2:14"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</row>
    <row r="1972" ht="14.5" spans="2:14"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</row>
    <row r="1973" ht="14.5" spans="2:14"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</row>
    <row r="1974" ht="14.5" spans="2:14"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</row>
    <row r="1975" ht="14.5" spans="2:14"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</row>
    <row r="1976" ht="14.5" spans="2:14"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</row>
    <row r="1977" ht="14.5" spans="2:14"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</row>
    <row r="1978" ht="14.5" spans="2:14"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</row>
    <row r="1979" ht="14.5" spans="2:14"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</row>
    <row r="1980" ht="14.5" spans="2:14"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</row>
    <row r="1981" ht="14.5" spans="2:14"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</row>
    <row r="1982" ht="14.5" spans="2:14"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</row>
    <row r="1983" ht="14.5" spans="2:14"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</row>
    <row r="1984" ht="14.5" spans="2:14"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</row>
    <row r="1985" ht="14.5" spans="2:14"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</row>
    <row r="1986" ht="14.5" spans="2:14"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</row>
    <row r="1987" ht="14.5" spans="2:14"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</row>
    <row r="1988" ht="14.5" spans="2:14"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</row>
    <row r="1989" ht="14.5" spans="2:14"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</row>
    <row r="1990" ht="14.5" spans="2:14"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</row>
    <row r="1991" ht="14.5" spans="2:14"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</row>
    <row r="1992" ht="14.5" spans="2:14"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</row>
    <row r="1993" ht="14.5" spans="2:14"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</row>
    <row r="1994" ht="14.5" spans="2:14"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</row>
    <row r="1995" ht="14.5" spans="2:14"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</row>
    <row r="1996" ht="14.5" spans="2:14"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</row>
    <row r="1997" ht="14.5" spans="2:14"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</row>
    <row r="1998" ht="14.5" spans="2:14"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</row>
    <row r="1999" ht="14.5" spans="2:14"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</row>
    <row r="2000" ht="14.5" spans="2:14"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</row>
    <row r="2001" ht="14.5" spans="2:14"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</row>
    <row r="2002" ht="14.5" spans="2:14"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</row>
    <row r="2003" ht="14.5" spans="2:14"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</row>
    <row r="2004" ht="14.5" spans="2:14"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</row>
    <row r="2005" ht="14.5" spans="2:14"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</row>
    <row r="2006" ht="14.5" spans="2:14"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</row>
    <row r="2007" ht="14.5" spans="2:14"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</row>
    <row r="2008" ht="14.5" spans="2:14"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</row>
    <row r="2009" ht="14.5" spans="2:14"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</row>
    <row r="2010" ht="14.5" spans="2:14"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</row>
    <row r="2011" ht="14.5" spans="2:14"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</row>
    <row r="2012" ht="14.5" spans="2:14"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</row>
    <row r="2013" ht="14.5" spans="2:14"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</row>
    <row r="2014" ht="14.5" spans="2:14"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</row>
    <row r="2015" ht="14.5" spans="2:14"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</row>
    <row r="2016" ht="14.5" spans="2:14"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</row>
    <row r="2017" ht="14.5" spans="2:14"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</row>
    <row r="2018" ht="14.5" spans="2:14"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</row>
    <row r="2019" ht="14.5" spans="2:14"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</row>
    <row r="2020" ht="14.5" spans="2:14"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</row>
    <row r="2021" ht="14.5" spans="2:14"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</row>
    <row r="2022" ht="14.5" spans="2:14"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</row>
    <row r="2023" ht="14.5" spans="2:14"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</row>
    <row r="2024" ht="14.5" spans="2:14"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</row>
    <row r="2025" ht="14.5" spans="2:14"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</row>
    <row r="2026" ht="14.5" spans="2:14"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</row>
    <row r="2027" ht="14.5" spans="2:14"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</row>
    <row r="2028" ht="14.5" spans="2:14"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</row>
    <row r="2029" ht="14.5" spans="2:14"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</row>
    <row r="2030" ht="14.5" spans="2:14"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</row>
    <row r="2031" ht="14.5" spans="2:14"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</row>
    <row r="2032" ht="14.5" spans="2:14"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</row>
    <row r="2033" ht="14.5" spans="2:14"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</row>
    <row r="2034" ht="14.5" spans="2:14"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</row>
    <row r="2035" ht="14.5" spans="2:14"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</row>
    <row r="2036" ht="14.5" spans="2:14"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</row>
    <row r="2037" ht="14.5" spans="2:14"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</row>
    <row r="2038" ht="14.5" spans="2:14"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</row>
    <row r="2039" ht="14.5" spans="2:14"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</row>
    <row r="2040" ht="14.5" spans="2:14"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</row>
    <row r="2041" ht="14.5" spans="2:14"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</row>
    <row r="2042" ht="14.5" spans="2:14"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</row>
    <row r="2043" ht="14.5" spans="2:14"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</row>
    <row r="2044" ht="14.5" spans="2:14"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</row>
    <row r="2045" ht="14.5" spans="2:14"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</row>
    <row r="2046" ht="14.5" spans="2:14"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</row>
    <row r="2047" ht="14.5" spans="2:14"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</row>
    <row r="2048" ht="14.5" spans="2:14"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</row>
    <row r="2049" ht="14.5" spans="2:14"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</row>
    <row r="2050" ht="14.5" spans="2:14"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</row>
    <row r="2051" ht="14.5" spans="2:14"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</row>
    <row r="2052" ht="14.5" spans="2:14"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</row>
    <row r="2053" ht="14.5" spans="2:14"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</row>
    <row r="2054" ht="14.5" spans="2:14"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</row>
    <row r="2055" ht="14.5" spans="2:14"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</row>
    <row r="2056" ht="14.5" spans="2:14"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</row>
    <row r="2057" ht="14.5" spans="2:14"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</row>
    <row r="2058" ht="14.5" spans="2:14"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</row>
    <row r="2059" ht="14.5" spans="2:14"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</row>
    <row r="2060" ht="14.5" spans="2:14"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</row>
    <row r="2061" ht="14.5" spans="2:14"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</row>
    <row r="2062" ht="14.5" spans="2:14"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</row>
    <row r="2063" ht="14.5" spans="2:14"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</row>
    <row r="2064" ht="14.5" spans="2:14"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</row>
    <row r="2065" ht="14.5" spans="2:14"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</row>
    <row r="2066" ht="14.5" spans="2:14"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</row>
    <row r="2067" ht="14.5" spans="2:14"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</row>
    <row r="2068" ht="14.5" spans="2:14"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</row>
    <row r="2069" ht="14.5" spans="2:14"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</row>
    <row r="2070" ht="14.5" spans="2:14"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</row>
    <row r="2071" ht="14.5" spans="2:14"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</row>
    <row r="2072" ht="14.5" spans="2:14"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</row>
    <row r="2073" ht="14.5" spans="2:14"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</row>
    <row r="2074" ht="14.5" spans="2:14"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</row>
    <row r="2075" ht="14.5" spans="2:14"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</row>
    <row r="2076" ht="14.5" spans="2:14"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</row>
    <row r="2077" ht="14.5" spans="2:14"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</row>
    <row r="2078" ht="14.5" spans="2:14"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</row>
    <row r="2079" ht="14.5" spans="2:14"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</row>
    <row r="2080" ht="14.5" spans="2:14"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</row>
    <row r="2081" ht="14.5" spans="2:14"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</row>
    <row r="2082" ht="14.5" spans="2:14"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</row>
    <row r="2083" ht="14.5" spans="2:14"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</row>
    <row r="2084" ht="14.5" spans="2:14"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</row>
    <row r="2085" ht="14.5" spans="2:14"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</row>
    <row r="2086" ht="14.5" spans="2:14"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</row>
    <row r="2087" ht="14.5" spans="2:14"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</row>
    <row r="2088" ht="14.5" spans="2:14"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</row>
    <row r="2089" ht="14.5" spans="2:14"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</row>
    <row r="2090" ht="14.5" spans="2:14"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</row>
    <row r="2091" ht="14.5" spans="2:14"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</row>
    <row r="2092" ht="14.5" spans="2:14"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</row>
    <row r="2093" ht="14.5" spans="2:14"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</row>
    <row r="2094" ht="14.5" spans="2:14"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</row>
    <row r="2095" ht="14.5" spans="2:14"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</row>
    <row r="2096" ht="14.5" spans="2:14"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</row>
    <row r="2097" ht="14.5" spans="2:14"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</row>
    <row r="2098" ht="14.5" spans="2:14"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</row>
    <row r="2099" ht="14.5" spans="2:14"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</row>
    <row r="2100" ht="14.5" spans="2:14"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</row>
    <row r="2101" ht="14.5" spans="2:14"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</row>
    <row r="2102" ht="14.5" spans="2:14"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</row>
    <row r="2103" ht="14.5" spans="2:14"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</row>
    <row r="2104" ht="14.5" spans="2:14"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</row>
    <row r="2105" ht="14.5" spans="2:14"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</row>
    <row r="2106" ht="14.5" spans="2:14"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</row>
    <row r="2107" ht="14.5" spans="2:14"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</row>
    <row r="2108" ht="14.5" spans="2:14"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</row>
    <row r="2109" ht="14.5" spans="2:14"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</row>
    <row r="2110" ht="14.5" spans="2:14"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</row>
    <row r="2111" ht="14.5" spans="2:14"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</row>
    <row r="2112" ht="14.5" spans="2:14"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</row>
    <row r="2113" ht="14.5" spans="2:14"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</row>
    <row r="2114" ht="14.5" spans="2:14"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</row>
    <row r="2115" ht="14.5" spans="2:14"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</row>
    <row r="2116" ht="14.5" spans="2:14"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</row>
    <row r="2117" ht="14.5" spans="2:14"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</row>
    <row r="2118" ht="14.5" spans="2:14"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</row>
    <row r="2119" ht="14.5" spans="2:14"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</row>
    <row r="2120" ht="14.5" spans="2:14"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</row>
    <row r="2121" ht="14.5" spans="2:14"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</row>
    <row r="2122" ht="14.5" spans="2:14"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</row>
    <row r="2123" ht="14.5" spans="2:14"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</row>
    <row r="2124" ht="14.5" spans="2:14"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</row>
    <row r="2125" ht="14.5" spans="2:14"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</row>
    <row r="2126" ht="14.5" spans="2:14"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</row>
    <row r="2127" ht="14.5" spans="2:14"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</row>
    <row r="2128" ht="14.5" spans="2:14"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</row>
    <row r="2129" ht="14.5" spans="2:14"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</row>
    <row r="2130" ht="14.5" spans="2:14"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</row>
    <row r="2131" ht="14.5" spans="2:14"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</row>
    <row r="2132" ht="14.5" spans="2:14"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</row>
    <row r="2133" ht="14.5" spans="2:14"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</row>
    <row r="2134" ht="14.5" spans="2:14"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</row>
    <row r="2135" ht="14.5" spans="2:14"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</row>
    <row r="2136" ht="14.5" spans="2:14"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</row>
    <row r="2137" ht="14.5" spans="2:14"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</row>
    <row r="2138" ht="14.5" spans="2:14"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</row>
    <row r="2139" ht="14.5" spans="2:14"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</row>
    <row r="2140" ht="14.5" spans="2:14"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</row>
    <row r="2141" ht="14.5" spans="2:14"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</row>
    <row r="2142" ht="14.5" spans="2:14"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</row>
    <row r="2143" ht="14.5" spans="2:14"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</row>
    <row r="2144" ht="14.5" spans="2:14"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</row>
    <row r="2145" ht="14.5" spans="2:14"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</row>
    <row r="2146" ht="14.5" spans="2:14"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</row>
    <row r="2147" ht="14.5" spans="2:14"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</row>
    <row r="2148" ht="14.5" spans="2:14"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</row>
    <row r="2149" ht="14.5" spans="2:14"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</row>
    <row r="2150" ht="14.5" spans="2:14"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</row>
    <row r="2151" ht="14.5" spans="2:14"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</row>
    <row r="2152" ht="14.5" spans="2:14"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</row>
    <row r="2153" ht="14.5" spans="2:14"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</row>
    <row r="2154" ht="14.5" spans="2:14"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</row>
    <row r="2155" ht="14.5" spans="2:14"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</row>
    <row r="2156" ht="14.5" spans="2:14"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</row>
    <row r="2157" ht="14.5" spans="2:14"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</row>
    <row r="2158" ht="14.5" spans="2:14"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</row>
    <row r="2159" ht="14.5" spans="2:14"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</row>
    <row r="2160" ht="14.5" spans="2:14"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</row>
    <row r="2161" ht="14.5" spans="2:14"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</row>
    <row r="2162" ht="14.5" spans="2:14"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</row>
    <row r="2163" ht="14.5" spans="2:14"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</row>
    <row r="2164" ht="14.5" spans="2:14"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</row>
    <row r="2165" ht="14.5" spans="2:14"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</row>
    <row r="2166" ht="14.5" spans="2:14"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</row>
    <row r="2167" ht="14.5" spans="2:14"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</row>
    <row r="2168" ht="14.5" spans="2:14"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</row>
    <row r="2169" ht="14.5" spans="2:14"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</row>
    <row r="2170" ht="14.5" spans="2:14"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</row>
    <row r="2171" ht="14.5" spans="2:14"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</row>
    <row r="2172" ht="14.5" spans="2:14"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</row>
    <row r="2173" ht="14.5" spans="2:14"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</row>
    <row r="2174" ht="14.5" spans="2:14"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</row>
    <row r="2175" ht="14.5" spans="2:14"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</row>
    <row r="2176" ht="14.5" spans="2:14"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</row>
    <row r="2177" ht="14.5" spans="2:14"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</row>
    <row r="2178" ht="14.5" spans="2:14"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</row>
    <row r="2179" ht="14.5" spans="2:14"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</row>
    <row r="2180" ht="14.5" spans="2:14"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</row>
    <row r="2181" ht="14.5" spans="2:14"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</row>
    <row r="2182" ht="14.5" spans="2:14"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</row>
    <row r="2183" ht="14.5" spans="2:14"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</row>
    <row r="2184" ht="14.5" spans="2:14"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</row>
    <row r="2185" ht="14.5" spans="2:14"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</row>
    <row r="2186" ht="14.5" spans="2:14"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</row>
    <row r="2187" ht="14.5" spans="2:14"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</row>
    <row r="2188" ht="14.5" spans="2:14"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</row>
    <row r="2189" ht="14.5" spans="2:14"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</row>
    <row r="2190" ht="14.5" spans="2:14"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</row>
    <row r="2191" ht="14.5" spans="2:14"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</row>
    <row r="2192" ht="14.5" spans="2:14"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</row>
    <row r="2193" ht="14.5" spans="2:14"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</row>
    <row r="2194" ht="14.5" spans="2:14"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</row>
    <row r="2195" ht="14.5" spans="2:14"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</row>
    <row r="2196" ht="14.5" spans="2:14"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</row>
    <row r="2197" ht="14.5" spans="2:14"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</row>
    <row r="2198" ht="14.5" spans="2:14"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</row>
    <row r="2199" ht="14.5" spans="2:14"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</row>
    <row r="2200" ht="14.5" spans="2:14"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</row>
    <row r="2201" ht="14.5" spans="2:14"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</row>
    <row r="2202" ht="14.5" spans="2:14"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</row>
    <row r="2203" ht="14.5" spans="2:14"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</row>
    <row r="2204" ht="14.5" spans="2:14"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</row>
    <row r="2205" ht="14.5" spans="2:14"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</row>
    <row r="2206" ht="14.5" spans="2:14"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</row>
    <row r="2207" ht="14.5" spans="2:14"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</row>
    <row r="2208" ht="14.5" spans="2:14"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</row>
    <row r="2209" ht="14.5" spans="2:14"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</row>
    <row r="2210" ht="14.5" spans="2:14"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</row>
    <row r="2211" ht="14.5" spans="2:14"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</row>
    <row r="2212" ht="14.5" spans="2:14"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</row>
    <row r="2213" ht="14.5" spans="2:14"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</row>
    <row r="2214" ht="14.5" spans="2:14"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</row>
    <row r="2215" ht="14.5" spans="2:14"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</row>
    <row r="2216" ht="14.5" spans="2:14"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</row>
    <row r="2217" ht="14.5" spans="2:14"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</row>
    <row r="2218" ht="14.5" spans="2:14"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</row>
    <row r="2219" ht="14.5" spans="2:14"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</row>
    <row r="2220" ht="14.5" spans="2:14"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</row>
    <row r="2221" ht="14.5" spans="2:14"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</row>
    <row r="2222" ht="14.5" spans="2:14"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</row>
    <row r="2223" ht="14.5" spans="2:14"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</row>
    <row r="2224" ht="14.5" spans="2:14"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</row>
    <row r="2225" ht="14.5" spans="2:14"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</row>
    <row r="2226" ht="14.5" spans="2:14"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</row>
    <row r="2227" ht="14.5" spans="2:14"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</row>
    <row r="2228" ht="14.5" spans="2:14"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</row>
    <row r="2229" ht="14.5" spans="2:14"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</row>
    <row r="2230" ht="14.5" spans="2:14"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</row>
    <row r="2231" ht="14.5" spans="2:14"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</row>
    <row r="2232" ht="14.5" spans="2:14"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</row>
    <row r="2233" ht="14.5" spans="2:14"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</row>
    <row r="2234" ht="14.5" spans="2:14"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</row>
    <row r="2235" ht="14.5" spans="2:14"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</row>
    <row r="2236" ht="14.5" spans="2:14"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</row>
    <row r="2237" ht="14.5" spans="2:14"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</row>
    <row r="2238" ht="14.5" spans="2:14"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</row>
    <row r="2239" ht="14.5" spans="2:14"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</row>
    <row r="2240" ht="14.5" spans="2:14"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</row>
    <row r="2241" ht="14.5" spans="2:14"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</row>
    <row r="2242" ht="14.5" spans="2:14"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</row>
    <row r="2243" ht="14.5" spans="2:14"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</row>
    <row r="2244" ht="14.5" spans="2:14"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</row>
    <row r="2245" ht="14.5" spans="2:14"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</row>
    <row r="2246" ht="14.5" spans="2:14"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</row>
    <row r="2247" ht="14.5" spans="2:14"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</row>
    <row r="2248" ht="14.5" spans="2:14"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</row>
    <row r="2249" ht="14.5" spans="2:14"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</row>
    <row r="2250" ht="14.5" spans="2:14"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</row>
    <row r="2251" ht="14.5" spans="2:14"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</row>
    <row r="2252" ht="14.5" spans="2:14"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</row>
    <row r="2253" ht="14.5" spans="2:14"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</row>
    <row r="2254" ht="14.5" spans="2:14"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</row>
    <row r="2255" ht="14.5" spans="2:14"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</row>
    <row r="2256" ht="14.5" spans="2:14"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</row>
    <row r="2257" ht="14.5" spans="2:14"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</row>
    <row r="2258" ht="14.5" spans="2:14"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</row>
    <row r="2259" ht="14.5" spans="2:14"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</row>
    <row r="2260" ht="14.5" spans="2:14"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</row>
    <row r="2261" ht="14.5" spans="2:14"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</row>
    <row r="2262" ht="14.5" spans="2:14"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</row>
    <row r="2263" ht="14.5" spans="2:14"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</row>
    <row r="2264" ht="14.5" spans="2:14"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</row>
    <row r="2265" ht="14.5" spans="2:14"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</row>
    <row r="2266" ht="14.5" spans="2:14"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</row>
    <row r="2267" ht="14.5" spans="2:14"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</row>
    <row r="2268" ht="14.5" spans="2:14"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</row>
    <row r="2269" ht="14.5" spans="2:14"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</row>
    <row r="2270" ht="14.5" spans="2:14"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</row>
    <row r="2271" ht="14.5" spans="2:14"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</row>
    <row r="2272" ht="14.5" spans="2:14"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</row>
    <row r="2273" ht="14.5" spans="2:14"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</row>
    <row r="2274" ht="14.5" spans="2:14"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</row>
    <row r="2275" ht="14.5" spans="2:14"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</row>
    <row r="2276" ht="14.5" spans="2:14"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</row>
    <row r="2277" ht="14.5" spans="2:14"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</row>
    <row r="2278" ht="14.5" spans="2:14"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</row>
    <row r="2279" ht="14.5" spans="2:14"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</row>
    <row r="2280" ht="14.5" spans="2:14"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</row>
    <row r="2281" ht="14.5" spans="2:14"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</row>
    <row r="2282" ht="14.5" spans="2:14"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</row>
    <row r="2283" ht="14.5" spans="2:14"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</row>
    <row r="2284" ht="14.5" spans="2:14"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</row>
    <row r="2285" ht="14.5" spans="2:14"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</row>
    <row r="2286" ht="14.5" spans="2:14"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</row>
    <row r="2287" ht="14.5" spans="2:14"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</row>
    <row r="2288" ht="14.5" spans="2:14"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</row>
    <row r="2289" ht="14.5" spans="2:14"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</row>
    <row r="2290" ht="14.5" spans="2:14"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</row>
    <row r="2291" ht="14.5" spans="2:14"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</row>
    <row r="2292" ht="14.5" spans="2:14"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</row>
    <row r="2293" ht="14.5" spans="2:14"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</row>
    <row r="2294" ht="14.5" spans="2:14"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</row>
    <row r="2295" ht="14.5" spans="2:14"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</row>
    <row r="2296" ht="14.5" spans="2:14"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</row>
    <row r="2297" ht="14.5" spans="2:14"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</row>
    <row r="2298" ht="14.5" spans="2:14"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</row>
    <row r="2299" ht="14.5" spans="2:14"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</row>
    <row r="2300" ht="14.5" spans="2:14"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</row>
    <row r="2301" ht="14.5" spans="2:14"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</row>
    <row r="2302" ht="14.5" spans="2:14"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</row>
    <row r="2303" ht="14.5" spans="2:14"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</row>
    <row r="2304" ht="14.5" spans="2:14"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</row>
    <row r="2305" ht="14.5" spans="2:14"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</row>
    <row r="2306" ht="14.5" spans="2:14"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</row>
    <row r="2307" ht="14.5" spans="2:14"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</row>
    <row r="2308" ht="14.5" spans="2:14"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</row>
    <row r="2309" ht="14.5" spans="2:14"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</row>
    <row r="2310" ht="14.5" spans="2:14"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</row>
    <row r="2311" ht="14.5" spans="2:14"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</row>
    <row r="2312" ht="14.5" spans="2:14"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</row>
    <row r="2313" ht="14.5" spans="2:14"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</row>
    <row r="2314" ht="14.5" spans="2:14"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</row>
    <row r="2315" ht="14.5" spans="2:14"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</row>
    <row r="2316" ht="14.5" spans="2:14"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</row>
    <row r="2317" ht="14.5" spans="2:14"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</row>
    <row r="2318" ht="14.5" spans="2:14"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</row>
    <row r="2319" ht="14.5" spans="2:14"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</row>
    <row r="2320" ht="14.5" spans="2:14"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</row>
    <row r="2321" ht="14.5" spans="2:14"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</row>
    <row r="2322" ht="14.5" spans="2:14"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</row>
    <row r="2323" ht="14.5" spans="2:14"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</row>
    <row r="2324" ht="14.5" spans="2:14"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</row>
    <row r="2325" ht="14.5" spans="2:14"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</row>
    <row r="2326" ht="14.5" spans="2:14"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</row>
    <row r="2327" ht="14.5" spans="2:14"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</row>
    <row r="2328" ht="14.5" spans="2:14"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</row>
    <row r="2329" ht="14.5" spans="2:14"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</row>
    <row r="2330" ht="14.5" spans="2:14"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</row>
    <row r="2331" ht="14.5" spans="2:14"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</row>
    <row r="2332" ht="14.5" spans="2:14"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</row>
    <row r="2333" ht="14.5" spans="2:14"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</row>
    <row r="2334" ht="14.5" spans="2:14"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</row>
    <row r="2335" ht="14.5" spans="2:14"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</row>
    <row r="2336" ht="14.5" spans="2:14"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</row>
    <row r="2337" ht="14.5" spans="2:14"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</row>
    <row r="2338" ht="14.5" spans="2:14"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</row>
    <row r="2339" ht="14.5" spans="2:14"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</row>
    <row r="2340" ht="14.5" spans="2:14"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</row>
    <row r="2341" ht="14.5" spans="2:14"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</row>
    <row r="2342" ht="14.5" spans="2:14"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</row>
    <row r="2343" ht="14.5" spans="2:14"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</row>
    <row r="2344" ht="14.5" spans="2:14"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</row>
    <row r="2345" ht="14.5" spans="2:14"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</row>
    <row r="2346" ht="14.5" spans="2:14"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</row>
    <row r="2347" ht="14.5" spans="2:14"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</row>
    <row r="2348" ht="14.5" spans="2:14"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</row>
    <row r="2349" ht="14.5" spans="2:14"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</row>
    <row r="2350" ht="14.5" spans="2:14"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</row>
    <row r="2351" ht="14.5" spans="2:14"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</row>
    <row r="2352" ht="14.5" spans="2:14"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</row>
    <row r="2353" ht="14.5" spans="2:14"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</row>
    <row r="2354" ht="14.5" spans="2:14"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</row>
    <row r="2355" ht="14.5" spans="2:14"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</row>
    <row r="2356" ht="14.5" spans="2:14"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</row>
    <row r="2357" ht="14.5" spans="2:14"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</row>
    <row r="2358" ht="14.5" spans="2:14"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</row>
    <row r="2359" ht="14.5" spans="2:14"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</row>
    <row r="2360" ht="14.5" spans="2:14"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</row>
    <row r="2361" ht="14.5" spans="2:14"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</row>
    <row r="2362" ht="14.5" spans="2:14"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</row>
    <row r="2363" ht="14.5" spans="2:14"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</row>
    <row r="2364" ht="14.5" spans="2:14"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</row>
    <row r="2365" ht="14.5" spans="2:14"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</row>
    <row r="2366" ht="14.5" spans="2:14"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</row>
    <row r="2367" ht="14.5" spans="2:14"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</row>
    <row r="2368" ht="14.5" spans="2:14"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</row>
    <row r="2369" ht="14.5" spans="2:14"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</row>
    <row r="2370" ht="14.5" spans="2:14"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</row>
    <row r="2371" ht="14.5" spans="2:14"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</row>
    <row r="2372" ht="14.5" spans="2:14"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</row>
    <row r="2373" ht="14.5" spans="2:14"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</row>
    <row r="2374" ht="14.5" spans="2:14"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</row>
    <row r="2375" ht="14.5" spans="2:14"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</row>
    <row r="2376" ht="14.5" spans="2:14"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</row>
    <row r="2377" ht="14.5" spans="2:14"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</row>
    <row r="2378" ht="14.5" spans="2:14"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</row>
    <row r="2379" ht="14.5" spans="2:14"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</row>
    <row r="2380" ht="14.5" spans="2:14"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</row>
    <row r="2381" ht="14.5" spans="2:14"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</row>
    <row r="2382" ht="14.5" spans="2:14"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</row>
    <row r="2383" ht="14.5" spans="2:14"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</row>
    <row r="2384" ht="14.5" spans="2:14"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</row>
    <row r="2385" ht="14.5" spans="2:14"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</row>
    <row r="2386" ht="14.5" spans="2:14"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</row>
    <row r="2387" ht="14.5" spans="2:14"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</row>
    <row r="2388" ht="14.5" spans="2:14"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</row>
    <row r="2389" ht="14.5" spans="2:14"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</row>
    <row r="2390" ht="14.5" spans="2:14"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</row>
    <row r="2391" ht="14.5" spans="2:14"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</row>
    <row r="2392" ht="14.5" spans="2:14"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</row>
    <row r="2393" ht="14.5" spans="2:14"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</row>
    <row r="2394" ht="14.5" spans="2:14"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</row>
    <row r="2395" ht="14.5" spans="2:14"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</row>
    <row r="2396" ht="14.5" spans="2:14"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</row>
    <row r="2397" ht="14.5" spans="2:14"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</row>
    <row r="2398" ht="14.5" spans="2:14"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</row>
    <row r="2399" ht="14.5" spans="2:14"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</row>
    <row r="2400" ht="14.5" spans="2:14"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</row>
    <row r="2401" ht="14.5" spans="2:14"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</row>
    <row r="2402" ht="14.5" spans="2:14"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</row>
    <row r="2403" ht="14.5" spans="2:14"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</row>
    <row r="2404" ht="14.5" spans="2:14"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</row>
    <row r="2405" ht="14.5" spans="2:14"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</row>
    <row r="2406" ht="14.5" spans="2:14"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</row>
    <row r="2407" ht="14.5" spans="2:14"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</row>
    <row r="2408" ht="14.5" spans="2:14"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</row>
    <row r="2409" ht="14.5" spans="2:14"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</row>
    <row r="2410" ht="14.5" spans="2:14"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</row>
    <row r="2411" ht="14.5" spans="2:14"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</row>
    <row r="2412" ht="14.5" spans="2:14"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</row>
    <row r="2413" ht="14.5" spans="2:14"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</row>
    <row r="2414" ht="14.5" spans="2:14"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</row>
    <row r="2415" ht="14.5" spans="2:14"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</row>
    <row r="2416" ht="14.5" spans="2:14"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</row>
    <row r="2417" ht="14.5" spans="2:14"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</row>
    <row r="2418" ht="14.5" spans="2:14"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</row>
    <row r="2419" ht="14.5" spans="2:14"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</row>
    <row r="2420" ht="14.5" spans="2:14"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</row>
    <row r="2421" ht="14.5" spans="2:14"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</row>
    <row r="2422" ht="14.5" spans="2:14"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</row>
    <row r="2423" ht="14.5" spans="2:14"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</row>
    <row r="2424" ht="14.5" spans="2:14"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</row>
    <row r="2425" ht="14.5" spans="2:14"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</row>
    <row r="2426" ht="14.5" spans="2:14"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</row>
    <row r="2427" ht="14.5" spans="2:14"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</row>
    <row r="2428" ht="14.5" spans="2:14"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</row>
    <row r="2429" ht="14.5" spans="2:14"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</row>
    <row r="2430" ht="14.5" spans="2:14"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</row>
    <row r="2431" ht="14.5" spans="2:14"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</row>
    <row r="2432" ht="14.5" spans="2:14"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</row>
    <row r="2433" ht="14.5" spans="2:14"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</row>
    <row r="2434" ht="14.5" spans="2:14"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</row>
    <row r="2435" ht="14.5" spans="2:14"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</row>
    <row r="2436" ht="14.5" spans="2:14"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</row>
    <row r="2437" ht="14.5" spans="2:14"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</row>
    <row r="2438" ht="14.5" spans="2:14"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</row>
    <row r="2439" ht="14.5" spans="2:14"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</row>
    <row r="2440" ht="14.5" spans="2:14"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</row>
    <row r="2441" ht="14.5" spans="2:14"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</row>
    <row r="2442" ht="14.5" spans="2:14"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</row>
    <row r="2443" ht="14.5" spans="2:14"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</row>
    <row r="2444" ht="14.5" spans="2:14"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</row>
    <row r="2445" ht="14.5" spans="2:14"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</row>
    <row r="2446" ht="14.5" spans="2:14"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</row>
    <row r="2447" ht="14.5" spans="2:14"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</row>
    <row r="2448" ht="14.5" spans="2:14"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</row>
    <row r="2449" ht="14.5" spans="2:14"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</row>
    <row r="2450" ht="14.5" spans="2:14"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</row>
    <row r="2451" ht="14.5" spans="2:14"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</row>
    <row r="2452" ht="14.5" spans="2:14"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</row>
    <row r="2453" ht="14.5" spans="2:14"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</row>
    <row r="2454" ht="14.5" spans="2:14"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</row>
    <row r="2455" ht="14.5" spans="2:14"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</row>
    <row r="2456" ht="14.5" spans="2:14"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</row>
    <row r="2457" ht="14.5" spans="2:14"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</row>
    <row r="2458" ht="14.5" spans="2:14"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</row>
    <row r="2459" ht="14.5" spans="2:14"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</row>
    <row r="2460" ht="14.5" spans="2:14"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</row>
    <row r="2461" ht="14.5" spans="2:14"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</row>
    <row r="2462" ht="14.5" spans="2:14"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</row>
    <row r="2463" ht="14.5" spans="2:14"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</row>
    <row r="2464" ht="14.5" spans="2:14"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</row>
    <row r="2465" ht="14.5" spans="2:14"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</row>
    <row r="2466" ht="14.5" spans="2:14"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</row>
    <row r="2467" ht="14.5" spans="2:14"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</row>
    <row r="2468" ht="14.5" spans="2:14"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</row>
    <row r="2469" ht="14.5" spans="2:14"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</row>
    <row r="2470" ht="14.5" spans="2:14"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</row>
    <row r="2471" ht="14.5" spans="2:14"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</row>
    <row r="2472" ht="14.5" spans="2:14"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</row>
    <row r="2473" ht="14.5" spans="2:14"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</row>
    <row r="2474" ht="14.5" spans="2:14"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</row>
    <row r="2475" ht="14.5" spans="2:14"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</row>
    <row r="2476" ht="14.5" spans="2:14"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</row>
    <row r="2477" ht="14.5" spans="2:14"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</row>
    <row r="2478" ht="14.5" spans="2:14"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</row>
    <row r="2479" ht="14.5" spans="2:14"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</row>
    <row r="2480" ht="14.5" spans="2:14"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</row>
    <row r="2481" ht="14.5" spans="2:14"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</row>
    <row r="2482" ht="14.5" spans="2:14"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</row>
    <row r="2483" ht="14.5" spans="2:14"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</row>
    <row r="2484" ht="14.5" spans="2:14"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</row>
    <row r="2485" ht="14.5" spans="2:14"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</row>
    <row r="2486" ht="14.5" spans="2:14"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</row>
    <row r="2487" ht="14.5" spans="2:14"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</row>
    <row r="2488" ht="14.5" spans="2:14"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</row>
    <row r="2489" ht="14.5" spans="2:14"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</row>
    <row r="2490" ht="14.5" spans="2:14"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</row>
    <row r="2491" ht="14.5" spans="2:14"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</row>
    <row r="2492" ht="14.5" spans="2:14"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</row>
    <row r="2493" ht="14.5" spans="2:14"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</row>
    <row r="2494" ht="14.5" spans="2:14"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</row>
    <row r="2495" ht="14.5" spans="2:14"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</row>
    <row r="2496" ht="14.5" spans="2:14"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</row>
    <row r="2497" ht="14.5" spans="2:14"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</row>
    <row r="2498" ht="14.5" spans="2:14"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</row>
    <row r="2499" ht="14.5" spans="2:14"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</row>
    <row r="2500" ht="14.5" spans="2:14"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</row>
    <row r="2501" ht="14.5" spans="2:14"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</row>
    <row r="2502" ht="14.5" spans="2:14"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</row>
    <row r="2503" ht="14.5" spans="2:14"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</row>
    <row r="2504" ht="14.5" spans="2:14"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</row>
    <row r="2505" ht="14.5" spans="2:14"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</row>
    <row r="2506" ht="14.5" spans="2:14"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</row>
    <row r="2507" ht="14.5" spans="2:14"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</row>
    <row r="2508" ht="14.5" spans="2:14"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</row>
    <row r="2509" ht="14.5" spans="2:14"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</row>
    <row r="2510" ht="14.5" spans="2:14"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</row>
    <row r="2511" ht="14.5" spans="2:14"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</row>
    <row r="2512" ht="14.5" spans="2:14"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</row>
    <row r="2513" ht="14.5" spans="2:14"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</row>
    <row r="2514" ht="14.5" spans="2:14"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</row>
    <row r="2515" ht="14.5" spans="2:14"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</row>
    <row r="2516" ht="14.5" spans="2:14"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</row>
    <row r="2517" ht="14.5" spans="2:14"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</row>
    <row r="2518" ht="14.5" spans="2:14"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</row>
    <row r="2519" ht="14.5" spans="2:14"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</row>
    <row r="2520" ht="14.5" spans="2:14"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</row>
    <row r="2521" ht="14.5" spans="2:14"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</row>
    <row r="2522" ht="14.5" spans="2:14"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</row>
    <row r="2523" ht="14.5" spans="2:14"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</row>
    <row r="2524" ht="14.5" spans="2:14"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</row>
    <row r="2525" ht="14.5" spans="2:14"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</row>
    <row r="2526" ht="14.5" spans="2:14"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</row>
    <row r="2527" ht="14.5" spans="2:14"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</row>
    <row r="2528" ht="14.5" spans="2:14"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</row>
    <row r="2529" ht="14.5" spans="2:14"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</row>
    <row r="2530" ht="14.5" spans="2:14"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</row>
    <row r="2531" ht="14.5" spans="2:14"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</row>
    <row r="2532" ht="14.5" spans="2:14"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</row>
    <row r="2533" ht="14.5" spans="2:14"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</row>
    <row r="2534" ht="14.5" spans="2:14"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</row>
    <row r="2535" ht="14.5" spans="2:14"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</row>
    <row r="2536" ht="14.5" spans="2:14"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</row>
    <row r="2537" ht="14.5" spans="2:14"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</row>
    <row r="2538" ht="14.5" spans="2:14"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</row>
    <row r="2539" ht="14.5" spans="2:14"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</row>
    <row r="2540" ht="14.5" spans="2:14"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</row>
    <row r="2541" ht="14.5" spans="2:14"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</row>
    <row r="2542" ht="14.5" spans="2:14"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</row>
    <row r="2543" ht="14.5" spans="2:14"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</row>
    <row r="2544" ht="14.5" spans="2:14"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</row>
    <row r="2545" ht="14.5" spans="2:14"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</row>
    <row r="2546" ht="14.5" spans="2:14"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</row>
    <row r="2547" ht="14.5" spans="2:14"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</row>
    <row r="2548" ht="14.5" spans="2:14"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</row>
    <row r="2549" ht="14.5" spans="2:14"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</row>
    <row r="2550" ht="14.5" spans="2:14"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</row>
    <row r="2551" ht="14.5" spans="2:14"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</row>
    <row r="2552" ht="14.5" spans="2:14"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</row>
    <row r="2553" ht="14.5" spans="2:14"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</row>
    <row r="2554" ht="14.5" spans="2:14"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</row>
    <row r="2555" ht="14.5" spans="2:14"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</row>
    <row r="2556" ht="14.5" spans="2:14"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</row>
    <row r="2557" ht="14.5" spans="2:14"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</row>
    <row r="2558" ht="14.5" spans="2:14"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</row>
    <row r="2559" ht="14.5" spans="2:14"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</row>
    <row r="2560" ht="14.5" spans="2:14"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</row>
    <row r="2561" ht="14.5" spans="2:14"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</row>
    <row r="2562" ht="14.5" spans="2:14"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</row>
    <row r="2563" ht="14.5" spans="2:14"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</row>
    <row r="2564" ht="14.5" spans="2:14"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</row>
    <row r="2565" ht="14.5" spans="2:14"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</row>
    <row r="2566" ht="14.5" spans="2:14"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</row>
    <row r="2567" ht="14.5" spans="2:14"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</row>
    <row r="2568" ht="14.5" spans="2:14"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</row>
    <row r="2569" ht="14.5" spans="2:14"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</row>
    <row r="2570" ht="14.5" spans="2:14"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</row>
    <row r="2571" ht="14.5" spans="2:14"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</row>
    <row r="2572" ht="14.5" spans="2:14"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</row>
    <row r="2573" ht="14.5" spans="2:14"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</row>
    <row r="2574" ht="14.5" spans="2:14"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</row>
    <row r="2575" ht="14.5" spans="2:14"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</row>
    <row r="2576" ht="14.5" spans="2:14"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</row>
    <row r="2577" ht="14.5" spans="2:14"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</row>
    <row r="2578" ht="14.5" spans="2:14"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</row>
    <row r="2579" ht="14.5" spans="2:14"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</row>
    <row r="2580" ht="14.5" spans="2:14"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</row>
    <row r="2581" ht="14.5" spans="2:14"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</row>
    <row r="2582" ht="14.5" spans="2:14"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</row>
    <row r="2583" ht="14.5" spans="2:14"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</row>
    <row r="2584" ht="14.5" spans="2:14"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</row>
    <row r="2585" ht="14.5" spans="2:14"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</row>
    <row r="2586" ht="14.5" spans="2:14"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</row>
    <row r="2587" ht="14.5" spans="2:14"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</row>
    <row r="2588" ht="14.5" spans="2:14"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</row>
    <row r="2589" ht="14.5" spans="2:14"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</row>
    <row r="2590" ht="14.5" spans="2:14"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</row>
    <row r="2591" ht="14.5" spans="2:14"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</row>
    <row r="2592" ht="14.5" spans="2:14"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</row>
    <row r="2593" ht="14.5" spans="2:14"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</row>
    <row r="2594" ht="14.5" spans="2:14"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</row>
    <row r="2595" ht="14.5" spans="2:14"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</row>
    <row r="2596" ht="14.5" spans="2:14"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</row>
    <row r="2597" ht="14.5" spans="2:14"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</row>
    <row r="2598" ht="14.5" spans="2:14"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</row>
    <row r="2599" ht="14.5" spans="2:14"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</row>
    <row r="2600" ht="14.5" spans="2:14"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</row>
    <row r="2601" ht="14.5" spans="2:14"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</row>
    <row r="2602" ht="14.5" spans="2:14"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</row>
    <row r="2603" ht="14.5" spans="2:14"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</row>
    <row r="2604" ht="14.5" spans="2:14"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</row>
    <row r="2605" ht="14.5" spans="2:14"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</row>
    <row r="2606" ht="14.5" spans="2:14"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</row>
    <row r="2607" ht="14.5" spans="2:14"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</row>
    <row r="2608" ht="14.5" spans="2:14"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</row>
    <row r="2609" ht="14.5" spans="2:14"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</row>
    <row r="2610" ht="14.5" spans="2:14"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</row>
    <row r="2611" ht="14.5" spans="2:14"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</row>
    <row r="2612" ht="14.5" spans="2:14"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</row>
    <row r="2613" ht="14.5" spans="2:14"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</row>
    <row r="2614" ht="14.5" spans="2:14"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</row>
    <row r="2615" ht="14.5" spans="2:14"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</row>
    <row r="2616" ht="14.5" spans="2:14"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</row>
    <row r="2617" ht="14.5" spans="2:14"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</row>
    <row r="2618" ht="14.5" spans="2:14"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</row>
    <row r="2619" ht="14.5" spans="2:14"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</row>
    <row r="2620" ht="14.5" spans="2:14"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</row>
    <row r="2621" ht="14.5" spans="2:14"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</row>
    <row r="2622" ht="14.5" spans="2:14"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</row>
    <row r="2623" ht="14.5" spans="2:14"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</row>
    <row r="2624" ht="14.5" spans="2:14"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</row>
    <row r="2625" ht="14.5" spans="2:14"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</row>
    <row r="2626" ht="14.5" spans="2:14"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</row>
    <row r="2627" ht="14.5" spans="2:14"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</row>
    <row r="2628" ht="14.5" spans="2:14"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</row>
    <row r="2629" ht="14.5" spans="2:14"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</row>
    <row r="2630" ht="14.5" spans="2:14"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</row>
    <row r="2631" ht="14.5" spans="2:14"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</row>
    <row r="2632" ht="14.5" spans="2:14"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</row>
    <row r="2633" ht="14.5" spans="2:14"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</row>
    <row r="2634" ht="14.5" spans="2:14"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</row>
    <row r="2635" ht="14.5" spans="2:14"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</row>
    <row r="2636" ht="14.5" spans="2:14"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</row>
    <row r="2637" ht="14.5" spans="2:14"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</row>
    <row r="2638" ht="14.5" spans="2:14"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</row>
    <row r="2639" ht="14.5" spans="2:14"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</row>
    <row r="2640" ht="14.5" spans="2:14"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</row>
    <row r="2641" ht="14.5" spans="2:14"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</row>
    <row r="2642" ht="14.5" spans="2:14"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</row>
    <row r="2643" ht="14.5" spans="2:14"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</row>
    <row r="2644" ht="14.5" spans="2:14"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</row>
    <row r="2645" ht="14.5" spans="2:14"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</row>
    <row r="2646" ht="14.5" spans="2:14"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</row>
    <row r="2647" ht="14.5" spans="2:14"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</row>
    <row r="2648" ht="14.5" spans="2:14"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</row>
    <row r="2649" ht="14.5" spans="2:14"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</row>
    <row r="2650" ht="14.5" spans="2:14"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</row>
    <row r="2651" ht="14.5" spans="2:14"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</row>
    <row r="2652" ht="14.5" spans="2:14"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</row>
    <row r="2653" ht="14.5" spans="2:14"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</row>
    <row r="2654" ht="14.5" spans="2:14"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</row>
    <row r="2655" ht="14.5" spans="2:14"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</row>
    <row r="2656" ht="14.5" spans="2:14"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</row>
    <row r="2657" ht="14.5" spans="2:14"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</row>
    <row r="2658" ht="14.5" spans="2:14"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</row>
    <row r="2659" ht="14.5" spans="2:14"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</row>
    <row r="2660" ht="14.5" spans="2:14"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</row>
    <row r="2661" ht="14.5" spans="2:14"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</row>
    <row r="2662" ht="14.5" spans="2:14"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</row>
    <row r="2663" ht="14.5" spans="2:14"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</row>
    <row r="2664" ht="14.5" spans="2:14"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</row>
    <row r="2665" ht="14.5" spans="2:14"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</row>
    <row r="2666" ht="14.5" spans="2:14"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</row>
    <row r="2667" ht="14.5" spans="2:14"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</row>
    <row r="2668" ht="14.5" spans="2:14"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</row>
    <row r="2669" ht="14.5" spans="2:14"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</row>
    <row r="2670" ht="14.5" spans="2:14"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</row>
    <row r="2671" ht="14.5" spans="2:14"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</row>
    <row r="2672" ht="14.5" spans="2:14"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</row>
    <row r="2673" ht="14.5" spans="2:14"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</row>
    <row r="2674" ht="14.5" spans="2:14"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</row>
    <row r="2675" ht="14.5" spans="2:14"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</row>
    <row r="2676" ht="14.5" spans="2:14"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</row>
    <row r="2677" ht="14.5" spans="2:14"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</row>
    <row r="2678" ht="14.5" spans="2:14"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</row>
    <row r="2679" ht="14.5" spans="2:14"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</row>
    <row r="2680" ht="14.5" spans="2:14"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</row>
    <row r="2681" ht="14.5" spans="2:14"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</row>
    <row r="2682" ht="14.5" spans="2:14"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</row>
    <row r="2683" ht="14.5" spans="2:14"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</row>
    <row r="2684" ht="14.5" spans="2:14"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</row>
    <row r="2685" ht="14.5" spans="2:14"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</row>
    <row r="2686" ht="14.5" spans="2:14"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</row>
    <row r="2687" ht="14.5" spans="2:14"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</row>
    <row r="2688" ht="14.5" spans="2:14"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</row>
    <row r="2689" ht="14.5" spans="2:14"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</row>
    <row r="2690" ht="14.5" spans="2:14"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</row>
    <row r="2691" ht="14.5" spans="2:14"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</row>
    <row r="2692" ht="14.5" spans="2:14"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</row>
    <row r="2693" ht="14.5" spans="2:14"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</row>
    <row r="2694" ht="14.5" spans="2:14"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</row>
    <row r="2695" ht="14.5" spans="2:14"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</row>
    <row r="2696" ht="14.5" spans="2:14"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</row>
    <row r="2697" ht="14.5" spans="2:14"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</row>
    <row r="2698" ht="14.5" spans="2:14"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</row>
    <row r="2699" ht="14.5" spans="2:14"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</row>
    <row r="2700" ht="14.5" spans="2:14"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</row>
    <row r="2701" ht="14.5" spans="2:14"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</row>
    <row r="2702" ht="14.5" spans="2:14"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</row>
    <row r="2703" ht="14.5" spans="2:14"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</row>
    <row r="2704" ht="14.5" spans="2:14"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</row>
    <row r="2705" ht="14.5" spans="2:14"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</row>
    <row r="2706" ht="14.5" spans="2:14"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</row>
    <row r="2707" ht="14.5" spans="2:14"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</row>
    <row r="2708" ht="14.5" spans="2:14"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</row>
    <row r="2709" ht="14.5" spans="2:14"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</row>
    <row r="2710" ht="14.5" spans="2:14"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</row>
    <row r="2711" ht="14.5" spans="2:14"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</row>
    <row r="2712" ht="14.5" spans="2:14"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</row>
    <row r="2713" ht="14.5" spans="2:14"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</row>
    <row r="2714" ht="14.5" spans="2:14"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</row>
    <row r="2715" ht="14.5" spans="2:14"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</row>
    <row r="2716" ht="14.5" spans="2:14"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</row>
    <row r="2717" ht="14.5" spans="2:14"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</row>
    <row r="2718" ht="14.5" spans="2:14"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</row>
    <row r="2719" ht="14.5" spans="2:14"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</row>
    <row r="2720" ht="14.5" spans="2:14"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</row>
    <row r="2721" ht="14.5" spans="2:14"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</row>
    <row r="2722" ht="14.5" spans="2:14"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</row>
    <row r="2723" ht="14.5" spans="2:14"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</row>
    <row r="2724" ht="14.5" spans="2:14"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</row>
    <row r="2725" ht="14.5" spans="2:14"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</row>
    <row r="2726" ht="14.5" spans="2:14"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</row>
    <row r="2727" ht="14.5" spans="2:14"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</row>
    <row r="2728" ht="14.5" spans="2:14"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</row>
    <row r="2729" ht="14.5" spans="2:14"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</row>
    <row r="2730" ht="14.5" spans="2:14"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</row>
    <row r="2731" ht="14.5" spans="2:14"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</row>
    <row r="2732" ht="14.5" spans="2:14"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</row>
    <row r="2733" ht="14.5" spans="2:14"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</row>
    <row r="2734" ht="14.5" spans="2:14"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</row>
    <row r="2735" ht="14.5" spans="2:14"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</row>
    <row r="2736" ht="14.5" spans="2:14"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</row>
    <row r="2737" ht="14.5" spans="2:14"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</row>
    <row r="2738" ht="14.5" spans="2:14"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</row>
    <row r="2739" ht="14.5" spans="2:14"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</row>
    <row r="2740" ht="14.5" spans="2:14"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</row>
    <row r="2741" ht="14.5" spans="2:14"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</row>
    <row r="2742" ht="14.5" spans="2:14"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</row>
    <row r="2743" ht="14.5" spans="2:14"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</row>
    <row r="2744" ht="14.5" spans="2:14"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</row>
    <row r="2745" ht="14.5" spans="2:14"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</row>
    <row r="2746" ht="14.5" spans="2:14"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</row>
    <row r="2747" ht="14.5" spans="2:14"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</row>
    <row r="2748" ht="14.5" spans="2:14"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</row>
    <row r="2749" ht="14.5" spans="2:14"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</row>
    <row r="2750" ht="14.5" spans="2:14"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</row>
    <row r="2751" ht="14.5" spans="2:14"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</row>
    <row r="2752" ht="14.5" spans="2:14"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</row>
    <row r="2753" ht="14.5" spans="2:14"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</row>
    <row r="2754" ht="14.5" spans="2:14"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</row>
    <row r="2755" ht="14.5" spans="2:14"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</row>
    <row r="2756" ht="14.5" spans="2:14"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</row>
    <row r="2757" ht="14.5" spans="2:14"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</row>
    <row r="2758" ht="14.5" spans="2:14"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</row>
    <row r="2759" ht="14.5" spans="2:14"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</row>
    <row r="2760" ht="14.5" spans="2:14"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</row>
    <row r="2761" ht="14.5" spans="2:14"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</row>
    <row r="2762" ht="14.5" spans="2:14"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</row>
    <row r="2763" ht="14.5" spans="2:14"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</row>
    <row r="2764" ht="14.5" spans="2:14"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</row>
    <row r="2765" ht="14.5" spans="2:14"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</row>
    <row r="2766" ht="14.5" spans="2:14"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</row>
    <row r="2767" ht="14.5" spans="2:14"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</row>
    <row r="2768" ht="14.5" spans="2:14"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</row>
    <row r="2769" ht="14.5" spans="2:14"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</row>
    <row r="2770" ht="14.5" spans="2:14"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</row>
    <row r="2771" ht="14.5" spans="2:14"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</row>
    <row r="2772" ht="14.5" spans="2:14"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</row>
    <row r="2773" ht="14.5" spans="2:14"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</row>
    <row r="2774" ht="14.5" spans="2:14"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</row>
    <row r="2775" ht="14.5" spans="2:14"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</row>
    <row r="2776" ht="14.5" spans="2:14"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</row>
    <row r="2777" ht="14.5" spans="2:14"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</row>
    <row r="2778" ht="14.5" spans="2:14"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</row>
    <row r="2779" ht="14.5" spans="2:14"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</row>
    <row r="2780" ht="14.5" spans="2:14"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</row>
    <row r="2781" ht="14.5" spans="2:14"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</row>
    <row r="2782" ht="14.5" spans="2:14"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</row>
    <row r="2783" ht="14.5" spans="2:14"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</row>
    <row r="2784" ht="14.5" spans="2:14"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</row>
    <row r="2785" ht="14.5" spans="2:14"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</row>
    <row r="2786" ht="14.5" spans="2:14"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</row>
    <row r="2787" ht="14.5" spans="2:14"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</row>
    <row r="2788" ht="14.5" spans="2:14"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</row>
    <row r="2789" ht="14.5" spans="2:14"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</row>
    <row r="2790" ht="14.5" spans="2:14"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</row>
    <row r="2791" ht="14.5" spans="2:14"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</row>
    <row r="2792" ht="14.5" spans="2:14"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</row>
    <row r="2793" ht="14.5" spans="2:14"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</row>
    <row r="2794" ht="14.5" spans="2:14"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</row>
    <row r="2795" ht="14.5" spans="2:14"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</row>
    <row r="2796" ht="14.5" spans="2:14"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</row>
    <row r="2797" ht="14.5" spans="2:14"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</row>
    <row r="2798" ht="14.5" spans="2:14"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</row>
    <row r="2799" ht="14.5" spans="2:14"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</row>
    <row r="2800" ht="14.5" spans="2:14"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</row>
    <row r="2801" ht="14.5" spans="2:14"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</row>
    <row r="2802" ht="14.5" spans="2:14"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</row>
    <row r="2803" ht="14.5" spans="2:14"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</row>
    <row r="2804" ht="14.5" spans="2:14"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</row>
    <row r="2805" ht="14.5" spans="2:14"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</row>
    <row r="2806" ht="14.5" spans="2:14"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</row>
    <row r="2807" ht="14.5" spans="2:14"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</row>
    <row r="2808" ht="14.5" spans="2:14"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</row>
    <row r="2809" ht="14.5" spans="2:14"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</row>
    <row r="2810" ht="14.5" spans="2:14"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</row>
    <row r="2811" ht="14.5" spans="2:14"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</row>
    <row r="2812" ht="14.5" spans="2:14"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</row>
    <row r="2813" ht="14.5" spans="2:14"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</row>
    <row r="2814" ht="14.5" spans="2:14"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</row>
    <row r="2815" ht="14.5" spans="2:14"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</row>
    <row r="2816" ht="14.5" spans="2:14"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</row>
    <row r="2817" ht="14.5" spans="2:14"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</row>
    <row r="2818" ht="14.5" spans="2:14"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</row>
    <row r="2819" ht="14.5" spans="2:14"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</row>
    <row r="2820" ht="14.5" spans="2:14"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</row>
    <row r="2821" ht="14.5" spans="2:14"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</row>
    <row r="2822" ht="14.5" spans="2:14"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</row>
    <row r="2823" ht="14.5" spans="2:14"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</row>
    <row r="2824" ht="14.5" spans="2:14"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</row>
    <row r="2825" ht="14.5" spans="2:14"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</row>
    <row r="2826" ht="14.5" spans="2:14"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</row>
    <row r="2827" ht="14.5" spans="2:14"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</row>
    <row r="2828" ht="14.5" spans="2:14"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</row>
    <row r="2829" ht="14.5" spans="2:14"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</row>
    <row r="2830" ht="14.5" spans="2:14"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</row>
    <row r="2831" ht="14.5" spans="2:14"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</row>
    <row r="2832" ht="14.5" spans="2:14"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</row>
    <row r="2833" ht="14.5" spans="2:14"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</row>
    <row r="2834" ht="14.5" spans="2:14"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</row>
    <row r="2835" ht="14.5" spans="2:14"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</row>
    <row r="2836" ht="14.5" spans="2:14"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</row>
    <row r="2837" ht="14.5" spans="2:14"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</row>
    <row r="2838" ht="14.5" spans="2:14"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</row>
    <row r="2839" ht="14.5" spans="2:14"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</row>
    <row r="2840" ht="14.5" spans="2:14"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</row>
    <row r="2841" ht="14.5" spans="2:14"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</row>
    <row r="2842" ht="14.5" spans="2:14"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</row>
    <row r="2843" ht="14.5" spans="2:14"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</row>
    <row r="2844" ht="14.5" spans="2:14"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</row>
    <row r="2845" ht="14.5" spans="2:14"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</row>
    <row r="2846" ht="14.5" spans="2:14"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</row>
    <row r="2847" ht="14.5" spans="2:14"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</row>
    <row r="2848" ht="14.5" spans="2:14"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</row>
    <row r="2849" ht="14.5" spans="2:14"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</row>
    <row r="2850" ht="14.5" spans="2:14"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</row>
    <row r="2851" ht="14.5" spans="2:14"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</row>
    <row r="2852" ht="14.5" spans="2:14"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</row>
    <row r="2853" ht="14.5" spans="2:14"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</row>
    <row r="2854" ht="14.5" spans="2:14"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</row>
    <row r="2855" ht="14.5" spans="2:14"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</row>
    <row r="2856" ht="14.5" spans="2:14"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</row>
    <row r="2857" ht="14.5" spans="2:14"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</row>
    <row r="2858" ht="14.5" spans="2:14"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</row>
    <row r="2859" ht="14.5" spans="2:14"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</row>
    <row r="2860" ht="14.5" spans="2:14"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</row>
    <row r="2861" ht="14.5" spans="2:14"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</row>
    <row r="2862" ht="14.5" spans="2:14"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</row>
    <row r="2863" ht="14.5" spans="2:14"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</row>
    <row r="2864" ht="14.5" spans="2:14"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</row>
    <row r="2865" ht="14.5" spans="2:14"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</row>
    <row r="2866" ht="14.5" spans="2:14"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</row>
    <row r="2867" ht="14.5" spans="2:14"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</row>
    <row r="2868" ht="14.5" spans="2:14"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</row>
    <row r="2869" ht="14.5" spans="2:14"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</row>
    <row r="2870" ht="14.5" spans="2:14"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</row>
    <row r="2871" ht="14.5" spans="2:14"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</row>
    <row r="2872" ht="14.5" spans="2:14"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</row>
    <row r="2873" ht="14.5" spans="2:14"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</row>
    <row r="2874" ht="14.5" spans="2:14"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</row>
    <row r="2875" ht="14.5" spans="2:14"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</row>
    <row r="2876" ht="14.5" spans="2:14"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</row>
    <row r="2877" ht="14.5" spans="2:14"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</row>
    <row r="2878" ht="14.5" spans="2:14"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</row>
    <row r="2879" ht="14.5" spans="2:14"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</row>
    <row r="2880" ht="14.5" spans="2:14"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</row>
    <row r="2881" ht="14.5" spans="2:14"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</row>
    <row r="2882" ht="14.5" spans="2:14"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</row>
    <row r="2883" ht="14.5" spans="2:14"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</row>
    <row r="2884" ht="14.5" spans="2:14"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</row>
    <row r="2885" ht="14.5" spans="2:14"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</row>
    <row r="2886" ht="14.5" spans="2:14"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</row>
    <row r="2887" ht="14.5" spans="2:14"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</row>
    <row r="2888" ht="14.5" spans="2:14"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</row>
    <row r="2889" ht="14.5" spans="2:14"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</row>
    <row r="2890" ht="14.5" spans="2:14"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</row>
    <row r="2891" ht="14.5" spans="2:14"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</row>
    <row r="2892" ht="14.5" spans="2:14"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</row>
    <row r="2893" ht="14.5" spans="2:14"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</row>
    <row r="2894" ht="14.5" spans="2:14"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</row>
    <row r="2895" ht="14.5" spans="2:14"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</row>
    <row r="2896" ht="14.5" spans="2:14"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</row>
    <row r="2897" ht="14.5" spans="2:14"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</row>
    <row r="2898" ht="14.5" spans="2:14"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</row>
    <row r="2899" ht="14.5" spans="2:14"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</row>
    <row r="2900" ht="14.5" spans="2:14"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</row>
    <row r="2901" ht="14.5" spans="2:14"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</row>
    <row r="2902" ht="14.5" spans="2:14"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</row>
    <row r="2903" ht="14.5" spans="2:14"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</row>
    <row r="2904" ht="14.5" spans="2:14"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</row>
    <row r="2905" ht="14.5" spans="2:14"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</row>
    <row r="2906" ht="14.5" spans="2:14"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</row>
    <row r="2907" ht="14.5" spans="2:14"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</row>
    <row r="2908" ht="14.5" spans="2:14"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</row>
    <row r="2909" ht="14.5" spans="2:14"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</row>
    <row r="2910" ht="14.5" spans="2:14"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</row>
    <row r="2911" ht="14.5" spans="2:14"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</row>
    <row r="2912" ht="14.5" spans="2:14"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</row>
    <row r="2913" ht="14.5" spans="2:14"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</row>
    <row r="2914" ht="14.5" spans="2:14"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</row>
    <row r="2915" ht="14.5" spans="2:14"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</row>
    <row r="2916" ht="14.5" spans="2:14"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</row>
    <row r="2917" ht="14.5" spans="2:14"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</row>
    <row r="2918" ht="14.5" spans="2:14"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</row>
    <row r="2919" ht="14.5" spans="2:14"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</row>
    <row r="2920" ht="14.5" spans="2:14"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</row>
    <row r="2921" ht="14.5" spans="2:14"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</row>
    <row r="2922" ht="14.5" spans="2:14"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</row>
    <row r="2923" ht="14.5" spans="2:14"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</row>
    <row r="2924" ht="14.5" spans="2:14"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</row>
    <row r="2925" ht="14.5" spans="2:14"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</row>
    <row r="2926" ht="14.5" spans="2:14"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</row>
    <row r="2927" ht="14.5" spans="2:14"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</row>
    <row r="2928" ht="14.5" spans="2:14"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</row>
    <row r="2929" ht="14.5" spans="2:14"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</row>
    <row r="2930" ht="14.5" spans="2:14"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</row>
    <row r="2931" ht="14.5" spans="2:14"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</row>
    <row r="2932" ht="14.5" spans="2:14"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</row>
    <row r="2933" ht="14.5" spans="2:14"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</row>
    <row r="2934" ht="14.5" spans="2:14"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</row>
    <row r="2935" ht="14.5" spans="2:14"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</row>
    <row r="2936" ht="14.5" spans="2:14"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</row>
    <row r="2937" ht="14.5" spans="2:14"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</row>
    <row r="2938" ht="14.5" spans="2:14"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</row>
    <row r="2939" ht="14.5" spans="2:14"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</row>
    <row r="2940" ht="14.5" spans="2:14"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</row>
    <row r="2941" ht="14.5" spans="2:14"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</row>
    <row r="2942" ht="14.5" spans="2:14"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</row>
    <row r="2943" ht="14.5" spans="2:14"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</row>
    <row r="2944" ht="14.5" spans="2:14"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</row>
    <row r="2945" ht="14.5" spans="2:14"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</row>
    <row r="2946" ht="14.5" spans="2:14"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</row>
    <row r="2947" ht="14.5" spans="2:14"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</row>
    <row r="2948" ht="14.5" spans="2:14"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</row>
    <row r="2949" ht="14.5" spans="2:14"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</row>
    <row r="2950" ht="14.5" spans="2:14"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</row>
    <row r="2951" ht="14.5" spans="2:14"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</row>
    <row r="2952" ht="14.5" spans="2:14"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</row>
    <row r="2953" ht="14.5" spans="2:14"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</row>
    <row r="2954" ht="14.5" spans="2:14"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</row>
    <row r="2955" ht="14.5" spans="2:14"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</row>
    <row r="2956" ht="14.5" spans="2:14"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</row>
    <row r="2957" ht="14.5" spans="2:14"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</row>
    <row r="2958" ht="14.5" spans="2:14"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</row>
    <row r="2959" ht="14.5" spans="2:14"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</row>
    <row r="2960" ht="14.5" spans="2:14"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</row>
    <row r="2961" ht="14.5" spans="2:14"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</row>
    <row r="2962" ht="14.5" spans="2:14"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</row>
    <row r="2963" ht="14.5" spans="2:14"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</row>
    <row r="2964" ht="14.5" spans="2:14"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</row>
    <row r="2965" ht="14.5" spans="2:14"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</row>
    <row r="2966" ht="14.5" spans="2:14"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</row>
    <row r="2967" ht="14.5" spans="2:14"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</row>
    <row r="2968" ht="14.5" spans="2:14"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</row>
    <row r="2969" ht="14.5" spans="2:14"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</row>
    <row r="2970" ht="14.5" spans="2:14"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</row>
    <row r="2971" ht="14.5" spans="2:14"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</row>
    <row r="2972" ht="14.5" spans="2:14"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</row>
    <row r="2973" ht="14.5" spans="2:14"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</row>
    <row r="2974" ht="14.5" spans="2:14"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</row>
    <row r="2975" ht="14.5" spans="2:14"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</row>
    <row r="2976" ht="14.5" spans="2:14"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</row>
    <row r="2977" ht="14.5" spans="2:14"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</row>
    <row r="2978" ht="14.5" spans="2:14"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</row>
    <row r="2979" ht="14.5" spans="2:14"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</row>
    <row r="2980" ht="14.5" spans="2:14"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</row>
    <row r="2981" ht="14.5" spans="2:14"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</row>
    <row r="2982" ht="14.5" spans="2:14"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</row>
    <row r="2983" ht="14.5" spans="2:14"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</row>
    <row r="2984" ht="14.5" spans="2:14"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</row>
    <row r="2985" ht="14.5" spans="2:14"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</row>
    <row r="2986" ht="14.5" spans="2:14"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</row>
    <row r="2987" ht="14.5" spans="2:14"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</row>
    <row r="2988" ht="14.5" spans="2:14"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</row>
    <row r="2989" ht="14.5" spans="2:14"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</row>
    <row r="2990" ht="14.5" spans="2:14"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</row>
    <row r="2991" ht="14.5" spans="2:14"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</row>
    <row r="2992" ht="14.5" spans="2:14"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</row>
    <row r="2993" ht="14.5" spans="2:14"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</row>
    <row r="2994" ht="14.5" spans="2:14"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</row>
    <row r="2995" ht="14.5" spans="2:14"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</row>
    <row r="2996" ht="14.5" spans="2:14"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</row>
    <row r="2997" ht="14.5" spans="2:14"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</row>
    <row r="2998" ht="14.5" spans="2:14"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</row>
    <row r="2999" ht="14.5" spans="2:14"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</row>
    <row r="3000" ht="14.5" spans="2:14"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</row>
    <row r="3001" ht="14.5" spans="2:14"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</row>
    <row r="3002" ht="14.5" spans="2:14"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</row>
    <row r="3003" ht="14.5" spans="2:14"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</row>
    <row r="3004" ht="14.5" spans="2:14"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</row>
    <row r="3005" ht="14.5" spans="2:14"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</row>
    <row r="3006" ht="14.5" spans="2:14"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</row>
    <row r="3007" ht="14.5" spans="2:14"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</row>
    <row r="3008" ht="14.5" spans="2:14"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</row>
    <row r="3009" ht="14.5" spans="2:14"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</row>
    <row r="3010" ht="14.5" spans="2:14"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</row>
    <row r="3011" ht="14.5" spans="2:14"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</row>
    <row r="3012" ht="14.5" spans="2:14"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</row>
    <row r="3013" ht="14.5" spans="2:14"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</row>
    <row r="3014" ht="14.5" spans="2:14"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</row>
    <row r="3015" ht="14.5" spans="2:14"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</row>
    <row r="3016" ht="14.5" spans="2:14"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</row>
    <row r="3017" ht="14.5" spans="2:14"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</row>
    <row r="3018" ht="14.5" spans="2:14"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</row>
    <row r="3019" ht="14.5" spans="2:14"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</row>
    <row r="3020" ht="14.5" spans="2:14"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</row>
    <row r="3021" ht="14.5" spans="2:14"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</row>
    <row r="3022" ht="14.5" spans="2:14"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</row>
    <row r="3023" ht="14.5" spans="2:14"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</row>
    <row r="3024" ht="14.5" spans="2:14"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</row>
    <row r="3025" ht="14.5" spans="2:14"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</row>
    <row r="3026" ht="14.5" spans="2:14"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</row>
    <row r="3027" ht="14.5" spans="2:14"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</row>
    <row r="3028" ht="14.5" spans="2:14"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</row>
    <row r="3029" ht="14.5" spans="2:14"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</row>
    <row r="3030" ht="14.5" spans="2:14"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</row>
    <row r="3031" ht="14.5" spans="2:14"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</row>
    <row r="3032" ht="14.5" spans="2:14"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</row>
    <row r="3033" ht="14.5" spans="2:14"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</row>
    <row r="3034" ht="14.5" spans="2:14"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</row>
    <row r="3035" ht="14.5" spans="2:14"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</row>
    <row r="3036" ht="14.5" spans="2:14"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</row>
    <row r="3037" ht="14.5" spans="2:14"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</row>
    <row r="3038" ht="14.5" spans="2:14"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</row>
    <row r="3039" ht="14.5" spans="2:14"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</row>
    <row r="3040" ht="14.5" spans="2:14"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</row>
    <row r="3041" ht="14.5" spans="2:14"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</row>
    <row r="3042" ht="14.5" spans="2:14"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</row>
    <row r="3043" ht="14.5" spans="2:14"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</row>
    <row r="3044" ht="14.5" spans="2:14"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</row>
    <row r="3045" ht="14.5" spans="2:14"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</row>
    <row r="3046" ht="14.5" spans="2:14"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</row>
    <row r="3047" ht="14.5" spans="2:14"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</row>
    <row r="3048" ht="14.5" spans="2:14"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</row>
    <row r="3049" ht="14.5" spans="2:14"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</row>
    <row r="3050" ht="14.5" spans="2:14"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</row>
    <row r="3051" ht="14.5" spans="2:14"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</row>
    <row r="3052" ht="14.5" spans="2:14"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</row>
    <row r="3053" ht="14.5" spans="2:14"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</row>
    <row r="3054" ht="14.5" spans="2:14"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</row>
    <row r="3055" ht="14.5" spans="2:14"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</row>
    <row r="3056" ht="14.5" spans="2:14"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</row>
    <row r="3057" ht="14.5" spans="2:14"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</row>
    <row r="3058" ht="14.5" spans="2:14"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</row>
    <row r="3059" ht="14.5" spans="2:14"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</row>
    <row r="3060" ht="14.5" spans="2:14"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</row>
    <row r="3061" ht="14.5" spans="2:14"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</row>
    <row r="3062" ht="14.5" spans="2:14"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</row>
    <row r="3063" ht="14.5" spans="2:14"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</row>
    <row r="3064" ht="14.5" spans="2:14"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</row>
    <row r="3065" ht="14.5" spans="2:14"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</row>
    <row r="3066" ht="14.5" spans="2:14"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</row>
    <row r="3067" ht="14.5" spans="2:14"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</row>
    <row r="3068" ht="14.5" spans="2:14"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</row>
    <row r="3069" ht="14.5" spans="2:14"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</row>
    <row r="3070" ht="14.5" spans="2:14"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</row>
    <row r="3071" ht="14.5" spans="2:14"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</row>
    <row r="3072" ht="14.5" spans="2:14"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</row>
    <row r="3073" ht="14.5" spans="2:14"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</row>
    <row r="3074" ht="14.5" spans="2:14"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</row>
    <row r="3075" ht="14.5" spans="2:14"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</row>
    <row r="3076" ht="14.5" spans="2:14"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</row>
    <row r="3077" ht="14.5" spans="2:14"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</row>
    <row r="3078" ht="14.5" spans="2:14"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</row>
    <row r="3079" ht="14.5" spans="2:14"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</row>
    <row r="3080" ht="14.5" spans="2:14"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</row>
    <row r="3081" ht="14.5" spans="2:14"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</row>
    <row r="3082" ht="14.5" spans="2:14"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</row>
    <row r="3083" ht="14.5" spans="2:14"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</row>
    <row r="3084" ht="14.5" spans="2:14"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</row>
    <row r="3085" ht="14.5" spans="2:14"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</row>
    <row r="3086" ht="14.5" spans="2:14"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</row>
    <row r="3087" ht="14.5" spans="2:14"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</row>
    <row r="3088" ht="14.5" spans="2:14"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</row>
    <row r="3089" ht="14.5" spans="2:14"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</row>
    <row r="3090" ht="14.5" spans="2:14"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</row>
    <row r="3091" ht="14.5" spans="2:14"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</row>
    <row r="3092" ht="14.5" spans="2:14"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</row>
    <row r="3093" ht="14.5" spans="2:14"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</row>
    <row r="3094" ht="14.5" spans="2:14"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</row>
    <row r="3095" ht="14.5" spans="2:14"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</row>
    <row r="3096" ht="14.5" spans="2:14"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</row>
    <row r="3097" ht="14.5" spans="2:14"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</row>
    <row r="3098" ht="14.5" spans="2:14"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</row>
    <row r="3099" ht="14.5" spans="2:14"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</row>
    <row r="3100" ht="14.5" spans="2:14"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</row>
    <row r="3101" ht="14.5" spans="2:14"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</row>
    <row r="3102" ht="14.5" spans="2:14"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</row>
    <row r="3103" ht="14.5" spans="2:14"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</row>
    <row r="3104" ht="14.5" spans="2:14"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</row>
    <row r="3105" ht="14.5" spans="2:14"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</row>
    <row r="3106" ht="14.5" spans="2:14"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</row>
    <row r="3107" ht="14.5" spans="2:14"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</row>
    <row r="3108" ht="14.5" spans="2:14"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</row>
    <row r="3109" ht="14.5" spans="2:14"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</row>
    <row r="3110" ht="14.5" spans="2:14"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</row>
    <row r="3111" ht="14.5" spans="2:14"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</row>
    <row r="3112" ht="14.5" spans="2:14"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</row>
    <row r="3113" ht="14.5" spans="2:14"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</row>
    <row r="3114" ht="14.5" spans="2:14"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</row>
    <row r="3115" ht="14.5" spans="2:14"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</row>
    <row r="3116" ht="14.5" spans="2:14"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</row>
    <row r="3117" ht="14.5" spans="2:14"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</row>
    <row r="3118" ht="14.5" spans="2:14"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</row>
    <row r="3119" ht="14.5" spans="2:14"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</row>
    <row r="3120" ht="14.5" spans="2:14"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</row>
    <row r="3121" ht="14.5" spans="2:14"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</row>
    <row r="3122" ht="14.5" spans="2:14"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</row>
    <row r="3123" ht="14.5" spans="2:14"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</row>
    <row r="3124" ht="14.5" spans="2:14"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</row>
    <row r="3125" ht="14.5" spans="2:14"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</row>
    <row r="3126" ht="14.5" spans="2:14"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</row>
    <row r="3127" ht="14.5" spans="2:14"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</row>
    <row r="3128" ht="14.5" spans="2:14"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</row>
    <row r="3129" ht="14.5" spans="2:14"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</row>
    <row r="3130" ht="14.5" spans="2:14"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</row>
    <row r="3131" ht="14.5" spans="2:14"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</row>
    <row r="3132" ht="14.5" spans="2:14"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</row>
    <row r="3133" ht="14.5" spans="2:14"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</row>
    <row r="3134" ht="14.5" spans="2:14"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</row>
    <row r="3135" ht="14.5" spans="2:14"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</row>
    <row r="3136" ht="14.5" spans="2:14"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</row>
    <row r="3137" ht="14.5" spans="2:14"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</row>
    <row r="3138" ht="14.5" spans="2:14"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</row>
    <row r="3139" ht="14.5" spans="2:14"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</row>
    <row r="3140" ht="14.5" spans="2:14"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</row>
    <row r="3141" ht="14.5" spans="2:14"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</row>
    <row r="3142" ht="14.5" spans="2:14"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</row>
    <row r="3143" ht="14.5" spans="2:14"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</row>
    <row r="3144" ht="14.5" spans="2:14"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</row>
    <row r="3145" ht="14.5" spans="2:14"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</row>
    <row r="3146" ht="14.5" spans="2:14"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</row>
    <row r="3147" ht="14.5" spans="2:14"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</row>
    <row r="3148" ht="14.5" spans="2:14"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</row>
    <row r="3149" ht="14.5" spans="2:14"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</row>
    <row r="3150" ht="14.5" spans="2:14"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</row>
    <row r="3151" ht="14.5" spans="2:14"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</row>
    <row r="3152" ht="14.5" spans="2:14"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</row>
    <row r="3153" ht="14.5" spans="2:14"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</row>
    <row r="3154" ht="14.5" spans="2:14"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</row>
    <row r="3155" ht="14.5" spans="2:14"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</row>
    <row r="3156" ht="14.5" spans="2:14"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</row>
    <row r="3157" ht="14.5" spans="2:14"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</row>
    <row r="3158" ht="14.5" spans="2:14"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</row>
    <row r="3159" ht="14.5" spans="2:14"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</row>
    <row r="3160" ht="14.5" spans="2:14"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</row>
    <row r="3161" ht="14.5" spans="2:14"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</row>
    <row r="3162" ht="14.5" spans="2:14"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</row>
    <row r="3163" ht="14.5" spans="2:14"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</row>
    <row r="3164" ht="14.5" spans="2:14"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</row>
    <row r="3165" ht="14.5" spans="2:14"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</row>
    <row r="3166" ht="14.5" spans="2:14"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</row>
    <row r="3167" ht="14.5" spans="2:14"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</row>
    <row r="3168" ht="14.5" spans="2:14"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</row>
    <row r="3169" ht="14.5" spans="2:14"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</row>
    <row r="3170" ht="14.5" spans="2:14"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</row>
    <row r="3171" ht="14.5" spans="2:14"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</row>
    <row r="3172" ht="14.5" spans="2:14"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</row>
    <row r="3173" ht="14.5" spans="2:14"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</row>
    <row r="3174" ht="14.5" spans="2:14"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</row>
    <row r="3175" ht="14.5" spans="2:14"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</row>
    <row r="3176" ht="14.5" spans="2:14"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</row>
    <row r="3177" ht="14.5" spans="2:14"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</row>
    <row r="3178" ht="14.5" spans="2:14"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</row>
    <row r="3179" ht="14.5" spans="2:14"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</row>
    <row r="3180" ht="14.5" spans="2:14"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</row>
    <row r="3181" ht="14.5" spans="2:14"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</row>
    <row r="3182" ht="14.5" spans="2:14"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</row>
    <row r="3183" ht="14.5" spans="2:14"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</row>
    <row r="3184" ht="14.5" spans="2:14"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</row>
    <row r="3185" ht="14.5" spans="2:14"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</row>
    <row r="3186" ht="14.5" spans="2:14"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</row>
    <row r="3187" ht="14.5" spans="2:14"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</row>
    <row r="3188" ht="14.5" spans="2:14"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</row>
    <row r="3189" ht="14.5" spans="2:14"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</row>
    <row r="3190" ht="14.5" spans="2:14"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</row>
    <row r="3191" ht="14.5" spans="2:14"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</row>
    <row r="3192" ht="14.5" spans="2:14"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</row>
    <row r="3193" ht="14.5" spans="2:14"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</row>
    <row r="3194" ht="14.5" spans="2:14"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</row>
    <row r="3195" ht="14.5" spans="2:14"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</row>
    <row r="3196" ht="14.5" spans="2:14"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</row>
    <row r="3197" ht="14.5" spans="2:14"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</row>
    <row r="3198" ht="14.5" spans="2:14"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</row>
    <row r="3199" ht="14.5" spans="2:14"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</row>
    <row r="3200" ht="14.5" spans="2:14"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</row>
    <row r="3201" ht="14.5" spans="2:14"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</row>
    <row r="3202" ht="14.5" spans="2:14"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</row>
    <row r="3203" ht="14.5" spans="2:14"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</row>
    <row r="3204" ht="14.5" spans="2:14"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</row>
    <row r="3205" ht="14.5" spans="2:14"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</row>
    <row r="3206" ht="14.5" spans="2:14"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</row>
    <row r="3207" ht="14.5" spans="2:14"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</row>
    <row r="3208" ht="14.5" spans="2:14"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</row>
    <row r="3209" ht="14.5" spans="2:14"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</row>
    <row r="3210" ht="14.5" spans="2:14"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</row>
    <row r="3211" ht="14.5" spans="2:14"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</row>
    <row r="3212" ht="14.5" spans="2:14"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</row>
    <row r="3213" ht="14.5" spans="2:14"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</row>
    <row r="3214" ht="14.5" spans="2:14"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</row>
    <row r="3215" ht="14.5" spans="2:14"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</row>
    <row r="3216" ht="14.5" spans="2:14"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</row>
    <row r="3217" ht="14.5" spans="2:14"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</row>
    <row r="3218" ht="14.5" spans="2:14"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</row>
    <row r="3219" ht="14.5" spans="2:14"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</row>
    <row r="3220" ht="14.5" spans="2:14"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</row>
    <row r="3221" ht="14.5" spans="2:14"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</row>
    <row r="3222" ht="14.5" spans="2:14"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</row>
    <row r="3223" ht="14.5" spans="2:14"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</row>
    <row r="3224" ht="14.5" spans="2:14"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</row>
    <row r="3225" ht="14.5" spans="2:14"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</row>
    <row r="3226" ht="14.5" spans="2:14"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</row>
    <row r="3227" ht="14.5" spans="2:14"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</row>
    <row r="3228" ht="14.5" spans="2:14"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</row>
    <row r="3229" ht="14.5" spans="2:14"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</row>
    <row r="3230" ht="14.5" spans="2:14"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</row>
    <row r="3231" ht="14.5" spans="2:14"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</row>
    <row r="3232" ht="14.5" spans="2:14"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</row>
    <row r="3233" ht="14.5" spans="2:14"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</row>
    <row r="3234" ht="14.5" spans="2:14"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</row>
    <row r="3235" ht="14.5" spans="2:14"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</row>
    <row r="3236" ht="14.5" spans="2:14"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</row>
    <row r="3237" ht="14.5" spans="2:14"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</row>
    <row r="3238" ht="14.5" spans="2:14"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</row>
    <row r="3239" ht="14.5" spans="2:14"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</row>
    <row r="3240" ht="14.5" spans="2:14"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</row>
    <row r="3241" ht="14.5" spans="2:14"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</row>
    <row r="3242" ht="14.5" spans="2:14"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</row>
    <row r="3243" ht="14.5" spans="2:14"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</row>
    <row r="3244" ht="14.5" spans="2:14"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</row>
    <row r="3245" ht="14.5" spans="2:14"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</row>
    <row r="3246" ht="14.5" spans="2:14"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</row>
    <row r="3247" ht="14.5" spans="2:14"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</row>
    <row r="3248" ht="14.5" spans="2:14"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</row>
    <row r="3249" ht="14.5" spans="2:14"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</row>
    <row r="3250" ht="14.5" spans="2:14"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</row>
    <row r="3251" ht="14.5" spans="2:14"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</row>
    <row r="3252" ht="14.5" spans="2:14"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</row>
    <row r="3253" ht="14.5" spans="2:14"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</row>
    <row r="3254" ht="14.5" spans="2:14"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</row>
    <row r="3255" ht="14.5" spans="2:14"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</row>
    <row r="3256" ht="14.5" spans="2:14"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</row>
    <row r="3257" ht="14.5" spans="2:14"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</row>
    <row r="3258" ht="14.5" spans="2:14"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</row>
    <row r="3259" ht="14.5" spans="2:14"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</row>
    <row r="3260" ht="14.5" spans="2:14"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</row>
    <row r="3261" ht="14.5" spans="2:14"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</row>
    <row r="3262" ht="14.5" spans="2:14"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</row>
    <row r="3263" ht="14.5" spans="2:14"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</row>
    <row r="3264" ht="14.5" spans="2:14"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</row>
    <row r="3265" ht="14.5" spans="2:14"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</row>
    <row r="3266" ht="14.5" spans="2:14"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</row>
    <row r="3267" ht="14.5" spans="2:14"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</row>
    <row r="3268" ht="14.5" spans="2:14"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</row>
    <row r="3269" ht="14.5" spans="2:14"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</row>
    <row r="3270" ht="14.5" spans="2:14"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</row>
    <row r="3271" ht="14.5" spans="2:14"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</row>
    <row r="3272" ht="14.5" spans="2:14"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</row>
    <row r="3273" ht="14.5" spans="2:14"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</row>
    <row r="3274" ht="14.5" spans="2:14"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</row>
    <row r="3275" ht="14.5" spans="2:14"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</row>
    <row r="3276" ht="14.5" spans="2:14"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</row>
    <row r="3277" ht="14.5" spans="2:14"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</row>
    <row r="3278" ht="14.5" spans="2:14"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</row>
    <row r="3279" ht="14.5" spans="2:14"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</row>
    <row r="3280" ht="14.5" spans="2:14"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</row>
    <row r="3281" ht="14.5" spans="2:14"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</row>
    <row r="3282" ht="14.5" spans="2:14"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</row>
    <row r="3283" ht="14.5" spans="2:14"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</row>
    <row r="3284" ht="14.5" spans="2:14"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</row>
    <row r="3285" ht="14.5" spans="2:14"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</row>
    <row r="3286" ht="14.5" spans="2:14"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</row>
    <row r="3287" ht="14.5" spans="2:14"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</row>
    <row r="3288" ht="14.5" spans="2:14"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</row>
    <row r="3289" ht="14.5" spans="2:14"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</row>
    <row r="3290" ht="14.5" spans="2:14"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</row>
    <row r="3291" ht="14.5" spans="2:14"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</row>
    <row r="3292" ht="14.5" spans="2:14"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</row>
    <row r="3293" ht="14.5" spans="2:14"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</row>
    <row r="3294" ht="14.5" spans="2:14"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</row>
    <row r="3295" ht="14.5" spans="2:14"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</row>
    <row r="3296" ht="14.5" spans="2:14"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</row>
    <row r="3297" ht="14.5" spans="2:14"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</row>
    <row r="3298" ht="14.5" spans="2:14"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</row>
    <row r="3299" ht="14.5" spans="2:14"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</row>
    <row r="3300" ht="14.5" spans="2:14"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</row>
    <row r="3301" ht="14.5" spans="2:14"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</row>
    <row r="3302" ht="14.5" spans="2:14"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</row>
    <row r="3303" ht="14.5" spans="2:14"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</row>
    <row r="3304" ht="14.5" spans="2:14"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</row>
    <row r="3305" ht="14.5" spans="2:14"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</row>
    <row r="3306" ht="14.5" spans="2:14"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</row>
    <row r="3307" ht="14.5" spans="2:14"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</row>
    <row r="3308" ht="14.5" spans="2:14"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</row>
    <row r="3309" ht="14.5" spans="2:14"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</row>
    <row r="3310" ht="14.5" spans="2:14"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</row>
    <row r="3311" ht="14.5" spans="2:14"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</row>
    <row r="3312" ht="14.5" spans="2:14"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</row>
    <row r="3313" ht="14.5" spans="2:14"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</row>
    <row r="3314" ht="14.5" spans="2:14"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</row>
    <row r="3315" ht="14.5" spans="2:14"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</row>
    <row r="3316" ht="14.5" spans="2:14"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</row>
    <row r="3317" ht="14.5" spans="2:14"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</row>
    <row r="3318" ht="14.5" spans="2:14"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</row>
    <row r="3319" ht="14.5" spans="2:14"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</row>
    <row r="3320" ht="14.5" spans="2:14"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</row>
    <row r="3321" ht="14.5" spans="2:14"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</row>
    <row r="3322" ht="14.5" spans="2:14"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</row>
    <row r="3323" ht="14.5" spans="2:14"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</row>
    <row r="3324" ht="14.5" spans="2:14"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</row>
    <row r="3325" ht="14.5" spans="2:14"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</row>
    <row r="3326" ht="14.5" spans="2:14"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</row>
    <row r="3327" ht="14.5" spans="2:14"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</row>
    <row r="3328" ht="14.5" spans="2:14"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</row>
    <row r="3329" ht="14.5" spans="2:14"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</row>
    <row r="3330" ht="14.5" spans="2:14"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</row>
    <row r="3331" ht="14.5" spans="2:14"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</row>
    <row r="3332" ht="14.5" spans="2:14"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</row>
    <row r="3333" ht="14.5" spans="2:14"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</row>
    <row r="3334" ht="14.5" spans="2:14"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</row>
    <row r="3335" ht="14.5" spans="2:14"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</row>
    <row r="3336" ht="14.5" spans="2:14"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</row>
    <row r="3337" ht="14.5" spans="2:14"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</row>
    <row r="3338" ht="14.5" spans="2:14"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</row>
    <row r="3339" ht="14.5" spans="2:14"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</row>
    <row r="3340" ht="14.5" spans="2:14"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</row>
    <row r="3341" ht="14.5" spans="2:14"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</row>
    <row r="3342" ht="14.5" spans="2:14"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</row>
    <row r="3343" ht="14.5" spans="2:14"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</row>
    <row r="3344" ht="14.5" spans="2:14"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</row>
    <row r="3345" ht="14.5" spans="2:14"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</row>
    <row r="3346" ht="14.5" spans="2:14"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</row>
    <row r="3347" ht="14.5" spans="2:14"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</row>
    <row r="3348" ht="14.5" spans="2:14"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</row>
    <row r="3349" ht="14.5" spans="2:14"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</row>
    <row r="3350" ht="14.5" spans="2:14"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</row>
    <row r="3351" ht="14.5" spans="2:14"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</row>
    <row r="3352" ht="14.5" spans="2:14"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</row>
    <row r="3353" ht="14.5" spans="2:14"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</row>
    <row r="3354" ht="14.5" spans="2:14"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</row>
    <row r="3355" ht="14.5" spans="2:14"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</row>
    <row r="3356" ht="14.5" spans="2:14"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</row>
    <row r="3357" ht="14.5" spans="2:14"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</row>
    <row r="3358" ht="14.5" spans="2:14"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</row>
    <row r="3359" ht="14.5" spans="2:14"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</row>
    <row r="3360" ht="14.5" spans="2:14"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</row>
    <row r="3361" ht="14.5" spans="2:14"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</row>
    <row r="3362" ht="14.5" spans="2:14"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</row>
    <row r="3363" ht="14.5" spans="2:14"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</row>
    <row r="3364" ht="14.5" spans="2:14"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</row>
    <row r="3365" ht="14.5" spans="2:14"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</row>
    <row r="3366" ht="14.5" spans="2:14"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</row>
    <row r="3367" ht="14.5" spans="2:14"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</row>
    <row r="3368" ht="14.5" spans="2:14"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</row>
    <row r="3369" ht="14.5" spans="2:14"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</row>
    <row r="3370" ht="14.5" spans="2:14"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</row>
    <row r="3371" ht="14.5" spans="2:14"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</row>
    <row r="3372" ht="14.5" spans="2:14"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</row>
    <row r="3373" ht="14.5" spans="2:14"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</row>
    <row r="3374" ht="14.5" spans="2:14"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</row>
    <row r="3375" ht="14.5" spans="2:14"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</row>
    <row r="3376" ht="14.5" spans="2:14"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</row>
    <row r="3377" ht="14.5" spans="2:14"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</row>
    <row r="3378" ht="14.5" spans="2:14"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</row>
    <row r="3379" ht="14.5" spans="2:14"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</row>
    <row r="3380" ht="14.5" spans="2:14"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</row>
    <row r="3381" ht="14.5" spans="2:14"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</row>
    <row r="3382" ht="14.5" spans="2:14"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</row>
    <row r="3383" ht="14.5" spans="2:14"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</row>
    <row r="3384" ht="14.5" spans="2:14"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</row>
    <row r="3385" ht="14.5" spans="2:14"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</row>
    <row r="3386" ht="14.5" spans="2:14"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</row>
    <row r="3387" ht="14.5" spans="2:14"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</row>
    <row r="3388" ht="14.5" spans="2:14"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</row>
    <row r="3389" ht="14.5" spans="2:14"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</row>
    <row r="3390" ht="14.5" spans="2:14"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</row>
    <row r="3391" ht="14.5" spans="2:14"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</row>
    <row r="3392" ht="14.5" spans="2:14"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</row>
    <row r="3393" ht="14.5" spans="2:14"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</row>
    <row r="3394" ht="14.5" spans="2:14"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</row>
    <row r="3395" ht="14.5" spans="2:14"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</row>
    <row r="3396" ht="14.5" spans="2:14"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</row>
    <row r="3397" ht="14.5" spans="2:14"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</row>
    <row r="3398" ht="14.5" spans="2:14"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</row>
    <row r="3399" ht="14.5" spans="2:14"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</row>
    <row r="3400" ht="14.5" spans="2:14"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</row>
    <row r="3401" ht="14.5" spans="2:14">
      <c r="B3401" s="1"/>
      <c r="C3401" s="1"/>
      <c r="D3401" s="1"/>
      <c r="E3401" s="1"/>
      <c r="F3401" s="1"/>
      <c r="G3401" s="1"/>
      <c r="H3401" s="1"/>
      <c r="I3401" s="1"/>
      <c r="J3401" s="1"/>
      <c r="K3401" s="1"/>
      <c r="L3401" s="1"/>
      <c r="M3401" s="1"/>
      <c r="N3401" s="1"/>
    </row>
    <row r="3402" ht="14.5" spans="2:14">
      <c r="B3402" s="1"/>
      <c r="C3402" s="1"/>
      <c r="D3402" s="1"/>
      <c r="E3402" s="1"/>
      <c r="F3402" s="1"/>
      <c r="G3402" s="1"/>
      <c r="H3402" s="1"/>
      <c r="I3402" s="1"/>
      <c r="J3402" s="1"/>
      <c r="K3402" s="1"/>
      <c r="L3402" s="1"/>
      <c r="M3402" s="1"/>
      <c r="N3402" s="1"/>
    </row>
    <row r="3403" ht="14.5" spans="2:14">
      <c r="B3403" s="1"/>
      <c r="C3403" s="1"/>
      <c r="D3403" s="1"/>
      <c r="E3403" s="1"/>
      <c r="F3403" s="1"/>
      <c r="G3403" s="1"/>
      <c r="H3403" s="1"/>
      <c r="I3403" s="1"/>
      <c r="J3403" s="1"/>
      <c r="K3403" s="1"/>
      <c r="L3403" s="1"/>
      <c r="M3403" s="1"/>
      <c r="N3403" s="1"/>
    </row>
    <row r="3404" ht="14.5" spans="2:14">
      <c r="B3404" s="1"/>
      <c r="C3404" s="1"/>
      <c r="D3404" s="1"/>
      <c r="E3404" s="1"/>
      <c r="F3404" s="1"/>
      <c r="G3404" s="1"/>
      <c r="H3404" s="1"/>
      <c r="I3404" s="1"/>
      <c r="J3404" s="1"/>
      <c r="K3404" s="1"/>
      <c r="L3404" s="1"/>
      <c r="M3404" s="1"/>
      <c r="N3404" s="1"/>
    </row>
    <row r="3405" ht="14.5" spans="2:14">
      <c r="B3405" s="1"/>
      <c r="C3405" s="1"/>
      <c r="D3405" s="1"/>
      <c r="E3405" s="1"/>
      <c r="F3405" s="1"/>
      <c r="G3405" s="1"/>
      <c r="H3405" s="1"/>
      <c r="I3405" s="1"/>
      <c r="J3405" s="1"/>
      <c r="K3405" s="1"/>
      <c r="L3405" s="1"/>
      <c r="M3405" s="1"/>
      <c r="N3405" s="1"/>
    </row>
    <row r="3406" ht="14.5" spans="2:14">
      <c r="B3406" s="1"/>
      <c r="C3406" s="1"/>
      <c r="D3406" s="1"/>
      <c r="E3406" s="1"/>
      <c r="F3406" s="1"/>
      <c r="G3406" s="1"/>
      <c r="H3406" s="1"/>
      <c r="I3406" s="1"/>
      <c r="J3406" s="1"/>
      <c r="K3406" s="1"/>
      <c r="L3406" s="1"/>
      <c r="M3406" s="1"/>
      <c r="N3406" s="1"/>
    </row>
    <row r="3407" ht="14.5" spans="2:14">
      <c r="B3407" s="1"/>
      <c r="C3407" s="1"/>
      <c r="D3407" s="1"/>
      <c r="E3407" s="1"/>
      <c r="F3407" s="1"/>
      <c r="G3407" s="1"/>
      <c r="H3407" s="1"/>
      <c r="I3407" s="1"/>
      <c r="J3407" s="1"/>
      <c r="K3407" s="1"/>
      <c r="L3407" s="1"/>
      <c r="M3407" s="1"/>
      <c r="N3407" s="1"/>
    </row>
    <row r="3408" ht="14.5" spans="2:14">
      <c r="B3408" s="1"/>
      <c r="C3408" s="1"/>
      <c r="D3408" s="1"/>
      <c r="E3408" s="1"/>
      <c r="F3408" s="1"/>
      <c r="G3408" s="1"/>
      <c r="H3408" s="1"/>
      <c r="I3408" s="1"/>
      <c r="J3408" s="1"/>
      <c r="K3408" s="1"/>
      <c r="L3408" s="1"/>
      <c r="M3408" s="1"/>
      <c r="N3408" s="1"/>
    </row>
    <row r="3409" ht="14.5" spans="2:14">
      <c r="B3409" s="1"/>
      <c r="C3409" s="1"/>
      <c r="D3409" s="1"/>
      <c r="E3409" s="1"/>
      <c r="F3409" s="1"/>
      <c r="G3409" s="1"/>
      <c r="H3409" s="1"/>
      <c r="I3409" s="1"/>
      <c r="J3409" s="1"/>
      <c r="K3409" s="1"/>
      <c r="L3409" s="1"/>
      <c r="M3409" s="1"/>
      <c r="N3409" s="1"/>
    </row>
    <row r="3410" ht="14.5" spans="2:14">
      <c r="B3410" s="1"/>
      <c r="C3410" s="1"/>
      <c r="D3410" s="1"/>
      <c r="E3410" s="1"/>
      <c r="F3410" s="1"/>
      <c r="G3410" s="1"/>
      <c r="H3410" s="1"/>
      <c r="I3410" s="1"/>
      <c r="J3410" s="1"/>
      <c r="K3410" s="1"/>
      <c r="L3410" s="1"/>
      <c r="M3410" s="1"/>
      <c r="N3410" s="1"/>
    </row>
    <row r="3411" ht="14.5" spans="2:14">
      <c r="B3411" s="1"/>
      <c r="C3411" s="1"/>
      <c r="D3411" s="1"/>
      <c r="E3411" s="1"/>
      <c r="F3411" s="1"/>
      <c r="G3411" s="1"/>
      <c r="H3411" s="1"/>
      <c r="I3411" s="1"/>
      <c r="J3411" s="1"/>
      <c r="K3411" s="1"/>
      <c r="L3411" s="1"/>
      <c r="M3411" s="1"/>
      <c r="N3411" s="1"/>
    </row>
    <row r="3412" ht="14.5" spans="2:14">
      <c r="B3412" s="1"/>
      <c r="C3412" s="1"/>
      <c r="D3412" s="1"/>
      <c r="E3412" s="1"/>
      <c r="F3412" s="1"/>
      <c r="G3412" s="1"/>
      <c r="H3412" s="1"/>
      <c r="I3412" s="1"/>
      <c r="J3412" s="1"/>
      <c r="K3412" s="1"/>
      <c r="L3412" s="1"/>
      <c r="M3412" s="1"/>
      <c r="N3412" s="1"/>
    </row>
    <row r="3413" ht="14.5" spans="2:14">
      <c r="B3413" s="1"/>
      <c r="C3413" s="1"/>
      <c r="D3413" s="1"/>
      <c r="E3413" s="1"/>
      <c r="F3413" s="1"/>
      <c r="G3413" s="1"/>
      <c r="H3413" s="1"/>
      <c r="I3413" s="1"/>
      <c r="J3413" s="1"/>
      <c r="K3413" s="1"/>
      <c r="L3413" s="1"/>
      <c r="M3413" s="1"/>
      <c r="N3413" s="1"/>
    </row>
    <row r="3414" ht="14.5" spans="2:14">
      <c r="B3414" s="1"/>
      <c r="C3414" s="1"/>
      <c r="D3414" s="1"/>
      <c r="E3414" s="1"/>
      <c r="F3414" s="1"/>
      <c r="G3414" s="1"/>
      <c r="H3414" s="1"/>
      <c r="I3414" s="1"/>
      <c r="J3414" s="1"/>
      <c r="K3414" s="1"/>
      <c r="L3414" s="1"/>
      <c r="M3414" s="1"/>
      <c r="N3414" s="1"/>
    </row>
    <row r="3415" ht="14.5" spans="2:14">
      <c r="B3415" s="1"/>
      <c r="C3415" s="1"/>
      <c r="D3415" s="1"/>
      <c r="E3415" s="1"/>
      <c r="F3415" s="1"/>
      <c r="G3415" s="1"/>
      <c r="H3415" s="1"/>
      <c r="I3415" s="1"/>
      <c r="J3415" s="1"/>
      <c r="K3415" s="1"/>
      <c r="L3415" s="1"/>
      <c r="M3415" s="1"/>
      <c r="N3415" s="1"/>
    </row>
    <row r="3416" ht="14.5" spans="2:14">
      <c r="B3416" s="1"/>
      <c r="C3416" s="1"/>
      <c r="D3416" s="1"/>
      <c r="E3416" s="1"/>
      <c r="F3416" s="1"/>
      <c r="G3416" s="1"/>
      <c r="H3416" s="1"/>
      <c r="I3416" s="1"/>
      <c r="J3416" s="1"/>
      <c r="K3416" s="1"/>
      <c r="L3416" s="1"/>
      <c r="M3416" s="1"/>
      <c r="N3416" s="1"/>
    </row>
    <row r="3417" ht="14.5" spans="2:14">
      <c r="B3417" s="1"/>
      <c r="C3417" s="1"/>
      <c r="D3417" s="1"/>
      <c r="E3417" s="1"/>
      <c r="F3417" s="1"/>
      <c r="G3417" s="1"/>
      <c r="H3417" s="1"/>
      <c r="I3417" s="1"/>
      <c r="J3417" s="1"/>
      <c r="K3417" s="1"/>
      <c r="L3417" s="1"/>
      <c r="M3417" s="1"/>
      <c r="N3417" s="1"/>
    </row>
    <row r="3418" ht="14.5" spans="2:14">
      <c r="B3418" s="1"/>
      <c r="C3418" s="1"/>
      <c r="D3418" s="1"/>
      <c r="E3418" s="1"/>
      <c r="F3418" s="1"/>
      <c r="G3418" s="1"/>
      <c r="H3418" s="1"/>
      <c r="I3418" s="1"/>
      <c r="J3418" s="1"/>
      <c r="K3418" s="1"/>
      <c r="L3418" s="1"/>
      <c r="M3418" s="1"/>
      <c r="N3418" s="1"/>
    </row>
    <row r="3419" ht="14.5" spans="2:14">
      <c r="B3419" s="1"/>
      <c r="C3419" s="1"/>
      <c r="D3419" s="1"/>
      <c r="E3419" s="1"/>
      <c r="F3419" s="1"/>
      <c r="G3419" s="1"/>
      <c r="H3419" s="1"/>
      <c r="I3419" s="1"/>
      <c r="J3419" s="1"/>
      <c r="K3419" s="1"/>
      <c r="L3419" s="1"/>
      <c r="M3419" s="1"/>
      <c r="N3419" s="1"/>
    </row>
    <row r="3420" ht="14.5" spans="2:14">
      <c r="B3420" s="1"/>
      <c r="C3420" s="1"/>
      <c r="D3420" s="1"/>
      <c r="E3420" s="1"/>
      <c r="F3420" s="1"/>
      <c r="G3420" s="1"/>
      <c r="H3420" s="1"/>
      <c r="I3420" s="1"/>
      <c r="J3420" s="1"/>
      <c r="K3420" s="1"/>
      <c r="L3420" s="1"/>
      <c r="M3420" s="1"/>
      <c r="N3420" s="1"/>
    </row>
    <row r="3421" ht="14.5" spans="2:14">
      <c r="B3421" s="1"/>
      <c r="C3421" s="1"/>
      <c r="D3421" s="1"/>
      <c r="E3421" s="1"/>
      <c r="F3421" s="1"/>
      <c r="G3421" s="1"/>
      <c r="H3421" s="1"/>
      <c r="I3421" s="1"/>
      <c r="J3421" s="1"/>
      <c r="K3421" s="1"/>
      <c r="L3421" s="1"/>
      <c r="M3421" s="1"/>
      <c r="N3421" s="1"/>
    </row>
    <row r="3422" ht="14.5" spans="2:14">
      <c r="B3422" s="1"/>
      <c r="C3422" s="1"/>
      <c r="D3422" s="1"/>
      <c r="E3422" s="1"/>
      <c r="F3422" s="1"/>
      <c r="G3422" s="1"/>
      <c r="H3422" s="1"/>
      <c r="I3422" s="1"/>
      <c r="J3422" s="1"/>
      <c r="K3422" s="1"/>
      <c r="L3422" s="1"/>
      <c r="M3422" s="1"/>
      <c r="N3422" s="1"/>
    </row>
    <row r="3423" ht="14.5" spans="2:14">
      <c r="B3423" s="1"/>
      <c r="C3423" s="1"/>
      <c r="D3423" s="1"/>
      <c r="E3423" s="1"/>
      <c r="F3423" s="1"/>
      <c r="G3423" s="1"/>
      <c r="H3423" s="1"/>
      <c r="I3423" s="1"/>
      <c r="J3423" s="1"/>
      <c r="K3423" s="1"/>
      <c r="L3423" s="1"/>
      <c r="M3423" s="1"/>
      <c r="N3423" s="1"/>
    </row>
    <row r="3424" ht="14.5" spans="2:14">
      <c r="B3424" s="1"/>
      <c r="C3424" s="1"/>
      <c r="D3424" s="1"/>
      <c r="E3424" s="1"/>
      <c r="F3424" s="1"/>
      <c r="G3424" s="1"/>
      <c r="H3424" s="1"/>
      <c r="I3424" s="1"/>
      <c r="J3424" s="1"/>
      <c r="K3424" s="1"/>
      <c r="L3424" s="1"/>
      <c r="M3424" s="1"/>
      <c r="N3424" s="1"/>
    </row>
    <row r="3425" ht="14.5" spans="2:14">
      <c r="B3425" s="1"/>
      <c r="C3425" s="1"/>
      <c r="D3425" s="1"/>
      <c r="E3425" s="1"/>
      <c r="F3425" s="1"/>
      <c r="G3425" s="1"/>
      <c r="H3425" s="1"/>
      <c r="I3425" s="1"/>
      <c r="J3425" s="1"/>
      <c r="K3425" s="1"/>
      <c r="L3425" s="1"/>
      <c r="M3425" s="1"/>
      <c r="N3425" s="1"/>
    </row>
    <row r="3426" ht="14.5" spans="2:14">
      <c r="B3426" s="1"/>
      <c r="C3426" s="1"/>
      <c r="D3426" s="1"/>
      <c r="E3426" s="1"/>
      <c r="F3426" s="1"/>
      <c r="G3426" s="1"/>
      <c r="H3426" s="1"/>
      <c r="I3426" s="1"/>
      <c r="J3426" s="1"/>
      <c r="K3426" s="1"/>
      <c r="L3426" s="1"/>
      <c r="M3426" s="1"/>
      <c r="N3426" s="1"/>
    </row>
    <row r="3427" ht="14.5" spans="2:14">
      <c r="B3427" s="1"/>
      <c r="C3427" s="1"/>
      <c r="D3427" s="1"/>
      <c r="E3427" s="1"/>
      <c r="F3427" s="1"/>
      <c r="G3427" s="1"/>
      <c r="H3427" s="1"/>
      <c r="I3427" s="1"/>
      <c r="J3427" s="1"/>
      <c r="K3427" s="1"/>
      <c r="L3427" s="1"/>
      <c r="M3427" s="1"/>
      <c r="N3427" s="1"/>
    </row>
    <row r="3428" ht="14.5" spans="2:14">
      <c r="B3428" s="1"/>
      <c r="C3428" s="1"/>
      <c r="D3428" s="1"/>
      <c r="E3428" s="1"/>
      <c r="F3428" s="1"/>
      <c r="G3428" s="1"/>
      <c r="H3428" s="1"/>
      <c r="I3428" s="1"/>
      <c r="J3428" s="1"/>
      <c r="K3428" s="1"/>
      <c r="L3428" s="1"/>
      <c r="M3428" s="1"/>
      <c r="N3428" s="1"/>
    </row>
    <row r="3429" ht="14.5" spans="2:14">
      <c r="B3429" s="1"/>
      <c r="C3429" s="1"/>
      <c r="D3429" s="1"/>
      <c r="E3429" s="1"/>
      <c r="F3429" s="1"/>
      <c r="G3429" s="1"/>
      <c r="H3429" s="1"/>
      <c r="I3429" s="1"/>
      <c r="J3429" s="1"/>
      <c r="K3429" s="1"/>
      <c r="L3429" s="1"/>
      <c r="M3429" s="1"/>
      <c r="N3429" s="1"/>
    </row>
    <row r="3430" ht="14.5" spans="2:14">
      <c r="B3430" s="1"/>
      <c r="C3430" s="1"/>
      <c r="D3430" s="1"/>
      <c r="E3430" s="1"/>
      <c r="F3430" s="1"/>
      <c r="G3430" s="1"/>
      <c r="H3430" s="1"/>
      <c r="I3430" s="1"/>
      <c r="J3430" s="1"/>
      <c r="K3430" s="1"/>
      <c r="L3430" s="1"/>
      <c r="M3430" s="1"/>
      <c r="N3430" s="1"/>
    </row>
    <row r="3431" ht="14.5" spans="2:14">
      <c r="B3431" s="1"/>
      <c r="C3431" s="1"/>
      <c r="D3431" s="1"/>
      <c r="E3431" s="1"/>
      <c r="F3431" s="1"/>
      <c r="G3431" s="1"/>
      <c r="H3431" s="1"/>
      <c r="I3431" s="1"/>
      <c r="J3431" s="1"/>
      <c r="K3431" s="1"/>
      <c r="L3431" s="1"/>
      <c r="M3431" s="1"/>
      <c r="N3431" s="1"/>
    </row>
    <row r="3432" ht="14.5" spans="2:14">
      <c r="B3432" s="1"/>
      <c r="C3432" s="1"/>
      <c r="D3432" s="1"/>
      <c r="E3432" s="1"/>
      <c r="F3432" s="1"/>
      <c r="G3432" s="1"/>
      <c r="H3432" s="1"/>
      <c r="I3432" s="1"/>
      <c r="J3432" s="1"/>
      <c r="K3432" s="1"/>
      <c r="L3432" s="1"/>
      <c r="M3432" s="1"/>
      <c r="N3432" s="1"/>
    </row>
    <row r="3433" ht="14.5" spans="2:14">
      <c r="B3433" s="1"/>
      <c r="C3433" s="1"/>
      <c r="D3433" s="1"/>
      <c r="E3433" s="1"/>
      <c r="F3433" s="1"/>
      <c r="G3433" s="1"/>
      <c r="H3433" s="1"/>
      <c r="I3433" s="1"/>
      <c r="J3433" s="1"/>
      <c r="K3433" s="1"/>
      <c r="L3433" s="1"/>
      <c r="M3433" s="1"/>
      <c r="N3433" s="1"/>
    </row>
    <row r="3434" ht="14.5" spans="2:14">
      <c r="B3434" s="1"/>
      <c r="C3434" s="1"/>
      <c r="D3434" s="1"/>
      <c r="E3434" s="1"/>
      <c r="F3434" s="1"/>
      <c r="G3434" s="1"/>
      <c r="H3434" s="1"/>
      <c r="I3434" s="1"/>
      <c r="J3434" s="1"/>
      <c r="K3434" s="1"/>
      <c r="L3434" s="1"/>
      <c r="M3434" s="1"/>
      <c r="N3434" s="1"/>
    </row>
    <row r="3435" ht="14.5" spans="2:14">
      <c r="B3435" s="1"/>
      <c r="C3435" s="1"/>
      <c r="D3435" s="1"/>
      <c r="E3435" s="1"/>
      <c r="F3435" s="1"/>
      <c r="G3435" s="1"/>
      <c r="H3435" s="1"/>
      <c r="I3435" s="1"/>
      <c r="J3435" s="1"/>
      <c r="K3435" s="1"/>
      <c r="L3435" s="1"/>
      <c r="M3435" s="1"/>
      <c r="N3435" s="1"/>
    </row>
    <row r="3436" ht="14.5" spans="2:14">
      <c r="B3436" s="1"/>
      <c r="C3436" s="1"/>
      <c r="D3436" s="1"/>
      <c r="E3436" s="1"/>
      <c r="F3436" s="1"/>
      <c r="G3436" s="1"/>
      <c r="H3436" s="1"/>
      <c r="I3436" s="1"/>
      <c r="J3436" s="1"/>
      <c r="K3436" s="1"/>
      <c r="L3436" s="1"/>
      <c r="M3436" s="1"/>
      <c r="N3436" s="1"/>
    </row>
    <row r="3437" ht="14.5" spans="2:14">
      <c r="B3437" s="1"/>
      <c r="C3437" s="1"/>
      <c r="D3437" s="1"/>
      <c r="E3437" s="1"/>
      <c r="F3437" s="1"/>
      <c r="G3437" s="1"/>
      <c r="H3437" s="1"/>
      <c r="I3437" s="1"/>
      <c r="J3437" s="1"/>
      <c r="K3437" s="1"/>
      <c r="L3437" s="1"/>
      <c r="M3437" s="1"/>
      <c r="N3437" s="1"/>
    </row>
    <row r="3438" ht="14.5" spans="2:14">
      <c r="B3438" s="1"/>
      <c r="C3438" s="1"/>
      <c r="D3438" s="1"/>
      <c r="E3438" s="1"/>
      <c r="F3438" s="1"/>
      <c r="G3438" s="1"/>
      <c r="H3438" s="1"/>
      <c r="I3438" s="1"/>
      <c r="J3438" s="1"/>
      <c r="K3438" s="1"/>
      <c r="L3438" s="1"/>
      <c r="M3438" s="1"/>
      <c r="N3438" s="1"/>
    </row>
    <row r="3439" ht="14.5" spans="2:14">
      <c r="B3439" s="1"/>
      <c r="C3439" s="1"/>
      <c r="D3439" s="1"/>
      <c r="E3439" s="1"/>
      <c r="F3439" s="1"/>
      <c r="G3439" s="1"/>
      <c r="H3439" s="1"/>
      <c r="I3439" s="1"/>
      <c r="J3439" s="1"/>
      <c r="K3439" s="1"/>
      <c r="L3439" s="1"/>
      <c r="M3439" s="1"/>
      <c r="N3439" s="1"/>
    </row>
    <row r="3440" ht="14.5" spans="2:14">
      <c r="B3440" s="1"/>
      <c r="C3440" s="1"/>
      <c r="D3440" s="1"/>
      <c r="E3440" s="1"/>
      <c r="F3440" s="1"/>
      <c r="G3440" s="1"/>
      <c r="H3440" s="1"/>
      <c r="I3440" s="1"/>
      <c r="J3440" s="1"/>
      <c r="K3440" s="1"/>
      <c r="L3440" s="1"/>
      <c r="M3440" s="1"/>
      <c r="N3440" s="1"/>
    </row>
    <row r="3441" ht="14.5" spans="2:14">
      <c r="B3441" s="1"/>
      <c r="C3441" s="1"/>
      <c r="D3441" s="1"/>
      <c r="E3441" s="1"/>
      <c r="F3441" s="1"/>
      <c r="G3441" s="1"/>
      <c r="H3441" s="1"/>
      <c r="I3441" s="1"/>
      <c r="J3441" s="1"/>
      <c r="K3441" s="1"/>
      <c r="L3441" s="1"/>
      <c r="M3441" s="1"/>
      <c r="N3441" s="1"/>
    </row>
    <row r="3442" ht="14.5" spans="2:14">
      <c r="B3442" s="1"/>
      <c r="C3442" s="1"/>
      <c r="D3442" s="1"/>
      <c r="E3442" s="1"/>
      <c r="F3442" s="1"/>
      <c r="G3442" s="1"/>
      <c r="H3442" s="1"/>
      <c r="I3442" s="1"/>
      <c r="J3442" s="1"/>
      <c r="K3442" s="1"/>
      <c r="L3442" s="1"/>
      <c r="M3442" s="1"/>
      <c r="N3442" s="1"/>
    </row>
    <row r="3443" ht="14.5" spans="2:14">
      <c r="B3443" s="1"/>
      <c r="C3443" s="1"/>
      <c r="D3443" s="1"/>
      <c r="E3443" s="1"/>
      <c r="F3443" s="1"/>
      <c r="G3443" s="1"/>
      <c r="H3443" s="1"/>
      <c r="I3443" s="1"/>
      <c r="J3443" s="1"/>
      <c r="K3443" s="1"/>
      <c r="L3443" s="1"/>
      <c r="M3443" s="1"/>
      <c r="N3443" s="1"/>
    </row>
    <row r="3444" ht="14.5" spans="2:14">
      <c r="B3444" s="1"/>
      <c r="C3444" s="1"/>
      <c r="D3444" s="1"/>
      <c r="E3444" s="1"/>
      <c r="F3444" s="1"/>
      <c r="G3444" s="1"/>
      <c r="H3444" s="1"/>
      <c r="I3444" s="1"/>
      <c r="J3444" s="1"/>
      <c r="K3444" s="1"/>
      <c r="L3444" s="1"/>
      <c r="M3444" s="1"/>
      <c r="N3444" s="1"/>
    </row>
    <row r="3445" ht="14.5" spans="2:14">
      <c r="B3445" s="1"/>
      <c r="C3445" s="1"/>
      <c r="D3445" s="1"/>
      <c r="E3445" s="1"/>
      <c r="F3445" s="1"/>
      <c r="G3445" s="1"/>
      <c r="H3445" s="1"/>
      <c r="I3445" s="1"/>
      <c r="J3445" s="1"/>
      <c r="K3445" s="1"/>
      <c r="L3445" s="1"/>
      <c r="M3445" s="1"/>
      <c r="N3445" s="1"/>
    </row>
    <row r="3446" ht="14.5" spans="2:14">
      <c r="B3446" s="1"/>
      <c r="C3446" s="1"/>
      <c r="D3446" s="1"/>
      <c r="E3446" s="1"/>
      <c r="F3446" s="1"/>
      <c r="G3446" s="1"/>
      <c r="H3446" s="1"/>
      <c r="I3446" s="1"/>
      <c r="J3446" s="1"/>
      <c r="K3446" s="1"/>
      <c r="L3446" s="1"/>
      <c r="M3446" s="1"/>
      <c r="N3446" s="1"/>
    </row>
    <row r="3447" ht="14.5" spans="2:14">
      <c r="B3447" s="1"/>
      <c r="C3447" s="1"/>
      <c r="D3447" s="1"/>
      <c r="E3447" s="1"/>
      <c r="F3447" s="1"/>
      <c r="G3447" s="1"/>
      <c r="H3447" s="1"/>
      <c r="I3447" s="1"/>
      <c r="J3447" s="1"/>
      <c r="K3447" s="1"/>
      <c r="L3447" s="1"/>
      <c r="M3447" s="1"/>
      <c r="N3447" s="1"/>
    </row>
    <row r="3448" ht="14.5" spans="2:14">
      <c r="B3448" s="1"/>
      <c r="C3448" s="1"/>
      <c r="D3448" s="1"/>
      <c r="E3448" s="1"/>
      <c r="F3448" s="1"/>
      <c r="G3448" s="1"/>
      <c r="H3448" s="1"/>
      <c r="I3448" s="1"/>
      <c r="J3448" s="1"/>
      <c r="K3448" s="1"/>
      <c r="L3448" s="1"/>
      <c r="M3448" s="1"/>
      <c r="N3448" s="1"/>
    </row>
    <row r="3449" ht="14.5" spans="2:14">
      <c r="B3449" s="1"/>
      <c r="C3449" s="1"/>
      <c r="D3449" s="1"/>
      <c r="E3449" s="1"/>
      <c r="F3449" s="1"/>
      <c r="G3449" s="1"/>
      <c r="H3449" s="1"/>
      <c r="I3449" s="1"/>
      <c r="J3449" s="1"/>
      <c r="K3449" s="1"/>
      <c r="L3449" s="1"/>
      <c r="M3449" s="1"/>
      <c r="N3449" s="1"/>
    </row>
    <row r="3450" ht="14.5" spans="2:14">
      <c r="B3450" s="1"/>
      <c r="C3450" s="1"/>
      <c r="D3450" s="1"/>
      <c r="E3450" s="1"/>
      <c r="F3450" s="1"/>
      <c r="G3450" s="1"/>
      <c r="H3450" s="1"/>
      <c r="I3450" s="1"/>
      <c r="J3450" s="1"/>
      <c r="K3450" s="1"/>
      <c r="L3450" s="1"/>
      <c r="M3450" s="1"/>
      <c r="N3450" s="1"/>
    </row>
    <row r="3451" ht="14.5" spans="2:14">
      <c r="B3451" s="1"/>
      <c r="C3451" s="1"/>
      <c r="D3451" s="1"/>
      <c r="E3451" s="1"/>
      <c r="F3451" s="1"/>
      <c r="G3451" s="1"/>
      <c r="H3451" s="1"/>
      <c r="I3451" s="1"/>
      <c r="J3451" s="1"/>
      <c r="K3451" s="1"/>
      <c r="L3451" s="1"/>
      <c r="M3451" s="1"/>
      <c r="N3451" s="1"/>
    </row>
    <row r="3452" ht="14.5" spans="2:14">
      <c r="B3452" s="1"/>
      <c r="C3452" s="1"/>
      <c r="D3452" s="1"/>
      <c r="E3452" s="1"/>
      <c r="F3452" s="1"/>
      <c r="G3452" s="1"/>
      <c r="H3452" s="1"/>
      <c r="I3452" s="1"/>
      <c r="J3452" s="1"/>
      <c r="K3452" s="1"/>
      <c r="L3452" s="1"/>
      <c r="M3452" s="1"/>
      <c r="N3452" s="1"/>
    </row>
    <row r="3453" ht="14.5" spans="2:14">
      <c r="B3453" s="1"/>
      <c r="C3453" s="1"/>
      <c r="D3453" s="1"/>
      <c r="E3453" s="1"/>
      <c r="F3453" s="1"/>
      <c r="G3453" s="1"/>
      <c r="H3453" s="1"/>
      <c r="I3453" s="1"/>
      <c r="J3453" s="1"/>
      <c r="K3453" s="1"/>
      <c r="L3453" s="1"/>
      <c r="M3453" s="1"/>
      <c r="N3453" s="1"/>
    </row>
    <row r="3454" ht="14.5" spans="2:14">
      <c r="B3454" s="1"/>
      <c r="C3454" s="1"/>
      <c r="D3454" s="1"/>
      <c r="E3454" s="1"/>
      <c r="F3454" s="1"/>
      <c r="G3454" s="1"/>
      <c r="H3454" s="1"/>
      <c r="I3454" s="1"/>
      <c r="J3454" s="1"/>
      <c r="K3454" s="1"/>
      <c r="L3454" s="1"/>
      <c r="M3454" s="1"/>
      <c r="N3454" s="1"/>
    </row>
    <row r="3455" ht="14.5" spans="2:14">
      <c r="B3455" s="1"/>
      <c r="C3455" s="1"/>
      <c r="D3455" s="1"/>
      <c r="E3455" s="1"/>
      <c r="F3455" s="1"/>
      <c r="G3455" s="1"/>
      <c r="H3455" s="1"/>
      <c r="I3455" s="1"/>
      <c r="J3455" s="1"/>
      <c r="K3455" s="1"/>
      <c r="L3455" s="1"/>
      <c r="M3455" s="1"/>
      <c r="N3455" s="1"/>
    </row>
    <row r="3456" ht="14.5" spans="2:14">
      <c r="B3456" s="1"/>
      <c r="C3456" s="1"/>
      <c r="D3456" s="1"/>
      <c r="E3456" s="1"/>
      <c r="F3456" s="1"/>
      <c r="G3456" s="1"/>
      <c r="H3456" s="1"/>
      <c r="I3456" s="1"/>
      <c r="J3456" s="1"/>
      <c r="K3456" s="1"/>
      <c r="L3456" s="1"/>
      <c r="M3456" s="1"/>
      <c r="N3456" s="1"/>
    </row>
    <row r="3457" ht="14.5" spans="2:14">
      <c r="B3457" s="1"/>
      <c r="C3457" s="1"/>
      <c r="D3457" s="1"/>
      <c r="E3457" s="1"/>
      <c r="F3457" s="1"/>
      <c r="G3457" s="1"/>
      <c r="H3457" s="1"/>
      <c r="I3457" s="1"/>
      <c r="J3457" s="1"/>
      <c r="K3457" s="1"/>
      <c r="L3457" s="1"/>
      <c r="M3457" s="1"/>
      <c r="N3457" s="1"/>
    </row>
    <row r="3458" ht="14.5" spans="2:14">
      <c r="B3458" s="1"/>
      <c r="C3458" s="1"/>
      <c r="D3458" s="1"/>
      <c r="E3458" s="1"/>
      <c r="F3458" s="1"/>
      <c r="G3458" s="1"/>
      <c r="H3458" s="1"/>
      <c r="I3458" s="1"/>
      <c r="J3458" s="1"/>
      <c r="K3458" s="1"/>
      <c r="L3458" s="1"/>
      <c r="M3458" s="1"/>
      <c r="N3458" s="1"/>
    </row>
    <row r="3459" ht="14.5" spans="2:14">
      <c r="B3459" s="1"/>
      <c r="C3459" s="1"/>
      <c r="D3459" s="1"/>
      <c r="E3459" s="1"/>
      <c r="F3459" s="1"/>
      <c r="G3459" s="1"/>
      <c r="H3459" s="1"/>
      <c r="I3459" s="1"/>
      <c r="J3459" s="1"/>
      <c r="K3459" s="1"/>
      <c r="L3459" s="1"/>
      <c r="M3459" s="1"/>
      <c r="N3459" s="1"/>
    </row>
    <row r="3460" ht="14.5" spans="2:14">
      <c r="B3460" s="1"/>
      <c r="C3460" s="1"/>
      <c r="D3460" s="1"/>
      <c r="E3460" s="1"/>
      <c r="F3460" s="1"/>
      <c r="G3460" s="1"/>
      <c r="H3460" s="1"/>
      <c r="I3460" s="1"/>
      <c r="J3460" s="1"/>
      <c r="K3460" s="1"/>
      <c r="L3460" s="1"/>
      <c r="M3460" s="1"/>
      <c r="N3460" s="1"/>
    </row>
    <row r="3461" ht="14.5" spans="2:14">
      <c r="B3461" s="1"/>
      <c r="C3461" s="1"/>
      <c r="D3461" s="1"/>
      <c r="E3461" s="1"/>
      <c r="F3461" s="1"/>
      <c r="G3461" s="1"/>
      <c r="H3461" s="1"/>
      <c r="I3461" s="1"/>
      <c r="J3461" s="1"/>
      <c r="K3461" s="1"/>
      <c r="L3461" s="1"/>
      <c r="M3461" s="1"/>
      <c r="N3461" s="1"/>
    </row>
    <row r="3462" ht="14.5" spans="2:14">
      <c r="B3462" s="1"/>
      <c r="C3462" s="1"/>
      <c r="D3462" s="1"/>
      <c r="E3462" s="1"/>
      <c r="F3462" s="1"/>
      <c r="G3462" s="1"/>
      <c r="H3462" s="1"/>
      <c r="I3462" s="1"/>
      <c r="J3462" s="1"/>
      <c r="K3462" s="1"/>
      <c r="L3462" s="1"/>
      <c r="M3462" s="1"/>
      <c r="N3462" s="1"/>
    </row>
    <row r="3463" ht="14.5" spans="2:14">
      <c r="B3463" s="1"/>
      <c r="C3463" s="1"/>
      <c r="D3463" s="1"/>
      <c r="E3463" s="1"/>
      <c r="F3463" s="1"/>
      <c r="G3463" s="1"/>
      <c r="H3463" s="1"/>
      <c r="I3463" s="1"/>
      <c r="J3463" s="1"/>
      <c r="K3463" s="1"/>
      <c r="L3463" s="1"/>
      <c r="M3463" s="1"/>
      <c r="N3463" s="1"/>
    </row>
    <row r="3464" ht="14.5" spans="2:14">
      <c r="B3464" s="1"/>
      <c r="C3464" s="1"/>
      <c r="D3464" s="1"/>
      <c r="E3464" s="1"/>
      <c r="F3464" s="1"/>
      <c r="G3464" s="1"/>
      <c r="H3464" s="1"/>
      <c r="I3464" s="1"/>
      <c r="J3464" s="1"/>
      <c r="K3464" s="1"/>
      <c r="L3464" s="1"/>
      <c r="M3464" s="1"/>
      <c r="N3464" s="1"/>
    </row>
    <row r="3465" ht="14.5" spans="2:14">
      <c r="B3465" s="1"/>
      <c r="C3465" s="1"/>
      <c r="D3465" s="1"/>
      <c r="E3465" s="1"/>
      <c r="F3465" s="1"/>
      <c r="G3465" s="1"/>
      <c r="H3465" s="1"/>
      <c r="I3465" s="1"/>
      <c r="J3465" s="1"/>
      <c r="K3465" s="1"/>
      <c r="L3465" s="1"/>
      <c r="M3465" s="1"/>
      <c r="N3465" s="1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RTT</vt:lpstr>
      <vt:lpstr>TimePeriods</vt:lpstr>
      <vt:lpstr>System Settings</vt:lpstr>
      <vt:lpstr>Constants</vt:lpstr>
      <vt:lpstr>reporting options</vt:lpstr>
      <vt:lpstr>CommGrp</vt:lpstr>
      <vt:lpstr>Comm</vt:lpstr>
      <vt:lpstr>Comm+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2026-08-10T20:27:00Z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554694757842944</vt:r8>
  </property>
  <property fmtid="{D5CDD505-2E9C-101B-9397-08002B2CF9AE}" pid="3" name="{A44787D4-0540-4523-9961-78E4036D8C6D}">
    <vt:lpwstr>{A39C8D83-5663-4EF8-B7A7-7AE47CFA36FA}</vt:lpwstr>
  </property>
  <property fmtid="{D5CDD505-2E9C-101B-9397-08002B2CF9AE}" pid="4" name="ICV">
    <vt:lpwstr>3771535884CB45EC9C889095B54F28AA_12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