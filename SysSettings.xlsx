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0F30F8C4-9DF0-4F41-8E6B-02AE2EDB14D3}" xr6:coauthVersionLast="47" xr6:coauthVersionMax="47" xr10:uidLastSave="{00000000-0000-0000-0000-000000000000}"/>
  <bookViews>
    <workbookView xWindow="-98" yWindow="-98" windowWidth="28996" windowHeight="17475" tabRatio="853" activeTab="1" xr2:uid="{00000000-000D-0000-FFFF-FFFF00000000}"/>
  </bookViews>
  <sheets>
    <sheet name="RTT" sheetId="16" r:id="rId1"/>
    <sheet name="TimePeriods" sheetId="20" r:id="rId2"/>
    <sheet name="System Settings" sheetId="14" r:id="rId3"/>
    <sheet name="Constants" sheetId="17" r:id="rId4"/>
    <sheet name="reporting options" sheetId="24" r:id="rId5"/>
    <sheet name="CommGrp" sheetId="21" r:id="rId6"/>
    <sheet name="Comm" sheetId="23" r:id="rId7"/>
    <sheet name="Comm+" sheetId="2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20" l="1"/>
  <c r="H26" i="20"/>
  <c r="H25" i="20"/>
  <c r="H24" i="20"/>
  <c r="K23" i="20"/>
  <c r="H23" i="20"/>
  <c r="K22" i="20"/>
  <c r="H22" i="20"/>
  <c r="G22" i="20"/>
  <c r="K21" i="20"/>
  <c r="H21" i="20"/>
  <c r="G21" i="20"/>
  <c r="K20" i="20"/>
  <c r="H20" i="20"/>
  <c r="G20" i="20"/>
  <c r="K19" i="20"/>
  <c r="H19" i="20"/>
  <c r="G19" i="20"/>
  <c r="K18" i="20"/>
  <c r="H18" i="20"/>
  <c r="G18" i="20"/>
  <c r="K17" i="20"/>
  <c r="K16" i="20"/>
  <c r="K14" i="20"/>
  <c r="H14" i="20"/>
  <c r="G14" i="20"/>
  <c r="F14" i="20"/>
  <c r="E14" i="20"/>
  <c r="K12" i="20"/>
  <c r="J12" i="20"/>
  <c r="I12" i="20"/>
  <c r="H12" i="20"/>
  <c r="G12" i="20"/>
  <c r="F12" i="20"/>
  <c r="E12" i="20"/>
  <c r="B8" i="20"/>
</calcChain>
</file>

<file path=xl/sharedStrings.xml><?xml version="1.0" encoding="utf-8"?>
<sst xmlns="http://schemas.openxmlformats.org/spreadsheetml/2006/main" count="3718" uniqueCount="1546">
  <si>
    <t>~BookRegions_Map</t>
  </si>
  <si>
    <t>~TimeSlices</t>
  </si>
  <si>
    <t>BookName</t>
  </si>
  <si>
    <t>Region</t>
  </si>
  <si>
    <t>Season</t>
  </si>
  <si>
    <t>Weekly</t>
  </si>
  <si>
    <t>DayNite</t>
  </si>
  <si>
    <t>KiNESYS</t>
  </si>
  <si>
    <t>Africa_North</t>
  </si>
  <si>
    <t>S</t>
  </si>
  <si>
    <t>h01</t>
  </si>
  <si>
    <t>Africa_Other</t>
  </si>
  <si>
    <t>W</t>
  </si>
  <si>
    <t>h02</t>
  </si>
  <si>
    <t>Australia</t>
  </si>
  <si>
    <t>h03</t>
  </si>
  <si>
    <t>Austria</t>
  </si>
  <si>
    <t>h04</t>
  </si>
  <si>
    <t>Baltics</t>
  </si>
  <si>
    <t>h05</t>
  </si>
  <si>
    <t>BeNeLux</t>
  </si>
  <si>
    <t>h06</t>
  </si>
  <si>
    <t>Brazil</t>
  </si>
  <si>
    <t>h07</t>
  </si>
  <si>
    <t>China</t>
  </si>
  <si>
    <t>h08</t>
  </si>
  <si>
    <t>CroSloven</t>
  </si>
  <si>
    <t>h09</t>
  </si>
  <si>
    <t>CzechSlovak</t>
  </si>
  <si>
    <t>h10</t>
  </si>
  <si>
    <t>France</t>
  </si>
  <si>
    <t>h11</t>
  </si>
  <si>
    <t>Germany</t>
  </si>
  <si>
    <t>h12</t>
  </si>
  <si>
    <t>GreeceCyp</t>
  </si>
  <si>
    <t>h13</t>
  </si>
  <si>
    <t>HunRomBul</t>
  </si>
  <si>
    <t>h14</t>
  </si>
  <si>
    <t>Iceland</t>
  </si>
  <si>
    <t>h15</t>
  </si>
  <si>
    <t>India</t>
  </si>
  <si>
    <t>h16</t>
  </si>
  <si>
    <t>Ireland</t>
  </si>
  <si>
    <t>h17</t>
  </si>
  <si>
    <t>ItalyMal</t>
  </si>
  <si>
    <t>h18</t>
  </si>
  <si>
    <t>Japan</t>
  </si>
  <si>
    <t>h19</t>
  </si>
  <si>
    <t>LatAm</t>
  </si>
  <si>
    <t>h20</t>
  </si>
  <si>
    <t>MidEast</t>
  </si>
  <si>
    <t>h21</t>
  </si>
  <si>
    <t>NorthAm</t>
  </si>
  <si>
    <t>h22</t>
  </si>
  <si>
    <t>Norway</t>
  </si>
  <si>
    <t>h23</t>
  </si>
  <si>
    <t>Poland</t>
  </si>
  <si>
    <t>h24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</si>
  <si>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</si>
  <si>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</si>
  <si>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</si>
  <si>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</si>
  <si>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</si>
  <si>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</si>
  <si>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</si>
  <si>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</si>
  <si>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</si>
  <si>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</si>
  <si>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</si>
  <si>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~StartYear</t>
  </si>
  <si>
    <t>~ActivePDef</t>
  </si>
  <si>
    <t>~TimePeriods</t>
  </si>
  <si>
    <t>~Milestoneyears</t>
  </si>
  <si>
    <t>Pdef_9p-2100</t>
  </si>
  <si>
    <t>type</t>
  </si>
  <si>
    <t>msy14_2080</t>
  </si>
  <si>
    <t>msy18_2100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</si>
  <si>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</si>
  <si>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</si>
  <si>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</si>
  <si>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</si>
  <si>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</si>
  <si>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</si>
  <si>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</si>
  <si>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</si>
  <si>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</si>
  <si>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</si>
  <si>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</si>
  <si>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</si>
  <si>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Pset_set</t>
  </si>
  <si>
    <t>~NOPCOL</t>
  </si>
  <si>
    <t>Share</t>
  </si>
  <si>
    <t>Name</t>
  </si>
  <si>
    <t>FX</t>
  </si>
  <si>
    <t>Con_Eff</t>
  </si>
  <si>
    <t>UP,LO</t>
  </si>
  <si>
    <t>CAP_BND</t>
  </si>
  <si>
    <t>Env_inv</t>
  </si>
  <si>
    <t>NCAP_BND</t>
  </si>
  <si>
    <t>TechDesc</t>
  </si>
  <si>
    <t>ACT_BND</t>
  </si>
  <si>
    <t>ISO</t>
  </si>
  <si>
    <t>COM_ELAST</t>
  </si>
  <si>
    <t>DEM</t>
  </si>
  <si>
    <t>Country</t>
  </si>
  <si>
    <t>COM_AGG</t>
  </si>
  <si>
    <t>Sets</t>
  </si>
  <si>
    <t>FLO_MARK</t>
  </si>
  <si>
    <t>FLO_FR</t>
  </si>
  <si>
    <t>LO</t>
  </si>
  <si>
    <t>AFA</t>
  </si>
  <si>
    <t>ELE,CHP</t>
  </si>
  <si>
    <t>AF</t>
  </si>
  <si>
    <t>ELCSPV,ELCWIN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</si>
  <si>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</si>
  <si>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</si>
  <si>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</si>
  <si>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</si>
  <si>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</si>
  <si>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</si>
  <si>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</si>
  <si>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</si>
  <si>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</si>
  <si>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~TFM_INS-txt</t>
  </si>
  <si>
    <t>attribute</t>
  </si>
  <si>
    <t>pset_set</t>
  </si>
  <si>
    <t>pset_ci</t>
  </si>
  <si>
    <t>pset_co</t>
  </si>
  <si>
    <t>cset_cn</t>
  </si>
  <si>
    <t>value</t>
  </si>
  <si>
    <t>t_neg_andor</t>
  </si>
  <si>
    <t>PRC_TSL</t>
  </si>
  <si>
    <t>IRE</t>
  </si>
  <si>
    <t>*HH2*</t>
  </si>
  <si>
    <t>ANNUAL</t>
  </si>
  <si>
    <t>pset_pn</t>
  </si>
  <si>
    <t>cset_set</t>
  </si>
  <si>
    <t>-*Z,-*blend*</t>
  </si>
  <si>
    <t>GASNGA,ELCNGA,RESNGA,COMNGA,SUPNGA,GAS[_]???,GASLNG</t>
  </si>
  <si>
    <t>SEASON</t>
  </si>
  <si>
    <t>COM_TSL</t>
  </si>
  <si>
    <t>ELCNGA,RESNGA,COMNGA,GASNGA,SUPNGA,GAS[_]???,GASLNG</t>
  </si>
  <si>
    <t>~Currencies</t>
  </si>
  <si>
    <t>Tech_Comm_Info</t>
  </si>
  <si>
    <t>CURR</t>
  </si>
  <si>
    <t>Other_Indexes</t>
  </si>
  <si>
    <t>Currency</t>
  </si>
  <si>
    <t>G_DYEAR</t>
  </si>
  <si>
    <t>USD00</t>
  </si>
  <si>
    <t>EUR15</t>
  </si>
  <si>
    <t>EUR20</t>
  </si>
  <si>
    <t>USD01</t>
  </si>
  <si>
    <t>USD02</t>
  </si>
  <si>
    <t>USD03</t>
  </si>
  <si>
    <t>~UnitConversion</t>
  </si>
  <si>
    <t>USD04</t>
  </si>
  <si>
    <t>from_unit</t>
  </si>
  <si>
    <t>to_unit</t>
  </si>
  <si>
    <t>multiplier</t>
  </si>
  <si>
    <t>USD05</t>
  </si>
  <si>
    <t>QBtu</t>
  </si>
  <si>
    <t>PJ</t>
  </si>
  <si>
    <t>USD06</t>
  </si>
  <si>
    <t>Billion Kwh</t>
  </si>
  <si>
    <t>USD07</t>
  </si>
  <si>
    <t>Mt</t>
  </si>
  <si>
    <t>Kt</t>
  </si>
  <si>
    <t>USD08</t>
  </si>
  <si>
    <t>B$</t>
  </si>
  <si>
    <t>m$</t>
  </si>
  <si>
    <t>USD09</t>
  </si>
  <si>
    <t>TBtu</t>
  </si>
  <si>
    <t>USD10</t>
  </si>
  <si>
    <t>ktoe</t>
  </si>
  <si>
    <t>USD11</t>
  </si>
  <si>
    <t>mtoe</t>
  </si>
  <si>
    <t>USD12</t>
  </si>
  <si>
    <t>Gwh</t>
  </si>
  <si>
    <t>USD13</t>
  </si>
  <si>
    <t>Gt</t>
  </si>
  <si>
    <t>USD14</t>
  </si>
  <si>
    <t>bEur</t>
  </si>
  <si>
    <t>mEur</t>
  </si>
  <si>
    <t>USD15</t>
  </si>
  <si>
    <t>$/GJ</t>
  </si>
  <si>
    <t>$/bbl</t>
  </si>
  <si>
    <t>USD16</t>
  </si>
  <si>
    <t>$/ton</t>
  </si>
  <si>
    <t>m$/kt</t>
  </si>
  <si>
    <t>USD17</t>
  </si>
  <si>
    <t>EJ</t>
  </si>
  <si>
    <t>USD18</t>
  </si>
  <si>
    <t>bcm</t>
  </si>
  <si>
    <t>USD19</t>
  </si>
  <si>
    <t>mbpd</t>
  </si>
  <si>
    <t>USD20</t>
  </si>
  <si>
    <t>Cents per Kwh</t>
  </si>
  <si>
    <t>$ per GJ</t>
  </si>
  <si>
    <t>USD21</t>
  </si>
  <si>
    <t>Twh</t>
  </si>
  <si>
    <t>USD22</t>
  </si>
  <si>
    <t>USD23</t>
  </si>
  <si>
    <t>GWp</t>
  </si>
  <si>
    <t>USD24</t>
  </si>
  <si>
    <t>mt H2</t>
  </si>
  <si>
    <t>USD25</t>
  </si>
  <si>
    <t>mboe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</si>
  <si>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</si>
  <si>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</si>
  <si>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</si>
  <si>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</si>
  <si>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</si>
  <si>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</si>
  <si>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</si>
  <si>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</si>
  <si>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</si>
  <si>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</si>
  <si>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</si>
  <si>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</si>
  <si>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</si>
  <si>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</si>
  <si>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</si>
  <si>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</si>
  <si>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</si>
  <si>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</si>
  <si>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</si>
  <si>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</si>
  <si>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</si>
  <si>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</si>
  <si>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</si>
  <si>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</si>
  <si>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</si>
  <si>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</si>
  <si>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</si>
  <si>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</si>
  <si>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</si>
  <si>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</si>
  <si>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</si>
  <si>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</si>
  <si>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</si>
  <si>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~md_dimensions</t>
  </si>
  <si>
    <t>dimension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</si>
  <si>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</si>
  <si>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</si>
  <si>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</si>
  <si>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</si>
  <si>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</si>
  <si>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</si>
  <si>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</si>
  <si>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</si>
  <si>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</si>
  <si>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~TFM_COMGRP</t>
  </si>
  <si>
    <t>Description</t>
  </si>
  <si>
    <t>Cset_CD</t>
  </si>
  <si>
    <t>IIS_Gases</t>
  </si>
  <si>
    <t>IIS CommGrp for gases</t>
  </si>
  <si>
    <t>y</t>
  </si>
  <si>
    <t>INDNGA, INDIIS, INDCOG, INCOP</t>
  </si>
  <si>
    <t>ELC_gc</t>
  </si>
  <si>
    <t>Electricity - grid + curtailed</t>
  </si>
  <si>
    <t>ELC,ELCCurt</t>
  </si>
  <si>
    <t>cg_NGAHH2</t>
  </si>
  <si>
    <t>Nat gas + Hydrogen - primary</t>
  </si>
  <si>
    <t>GASNGA,HH2</t>
  </si>
  <si>
    <t>cg_NAPBIO</t>
  </si>
  <si>
    <t>Naphtha + biofuels - primary</t>
  </si>
  <si>
    <t>OILNAP,BIOGSL,BIODST</t>
  </si>
  <si>
    <t>cg_OIL</t>
  </si>
  <si>
    <t>Oil commodities for WEO demand</t>
  </si>
  <si>
    <t>OILASP,OILDST,OILGSL,OILHFO,OILJTK,OILKER,OILLPG,OILLUB,OILNAP,OILNGL,OILNSP,OILPTC</t>
  </si>
  <si>
    <t>cg_Other solid fuels</t>
  </si>
  <si>
    <t>Other solid fuels for WEO demand</t>
  </si>
  <si>
    <t>BIOBIN,BIOBMU,BIOCHR,BIOBSL,COABCO,COACOK</t>
  </si>
  <si>
    <t>cg_Other gases</t>
  </si>
  <si>
    <t>Other gaseous fuels for WEO demand</t>
  </si>
  <si>
    <t>GASRFG,BIOGAS,BIOSNG</t>
  </si>
  <si>
    <t>cg_Oil_synthetic</t>
  </si>
  <si>
    <t>Synthetic oil for WEO demand</t>
  </si>
  <si>
    <t>OILDSTs,OILGSLs,OILLPGs,OILHFOs,OILJTKs</t>
  </si>
  <si>
    <t>cg_Bioliq</t>
  </si>
  <si>
    <t>Bio liquids for WEO demand</t>
  </si>
  <si>
    <t>BIOGSL,BIODST,BIOJTK</t>
  </si>
  <si>
    <t>cg_COA</t>
  </si>
  <si>
    <t>COA*,-Coalbio*</t>
  </si>
  <si>
    <t>cg_Other liquids</t>
  </si>
  <si>
    <t>Other liquid fuels for WEO demand</t>
  </si>
  <si>
    <t>OILASP,OILKER,OILLUB,OILNAP,OILNGL,OILNSP,OILPTC</t>
  </si>
  <si>
    <t>coalbio</t>
  </si>
  <si>
    <t>coal plus biomass - for cofiring</t>
  </si>
  <si>
    <t>NRG</t>
  </si>
  <si>
    <t>INDCOA,INDBIO</t>
  </si>
  <si>
    <t>CoalBioH2Oil</t>
  </si>
  <si>
    <t>Blast furnace input</t>
  </si>
  <si>
    <t>INDCOA,INDBIO,INDHH2,INDOIL</t>
  </si>
  <si>
    <t>CoalBioOil</t>
  </si>
  <si>
    <t>INDCOA,INDBIO,INDOIL</t>
  </si>
  <si>
    <t>~FI_Comm</t>
  </si>
  <si>
    <t>Csets</t>
  </si>
  <si>
    <t>CommName</t>
  </si>
  <si>
    <t>CommDesc</t>
  </si>
  <si>
    <t>Unit</t>
  </si>
  <si>
    <t>CTSLvl</t>
  </si>
  <si>
    <t>PeakTS</t>
  </si>
  <si>
    <t>Ctype</t>
  </si>
  <si>
    <t>CSet</t>
  </si>
  <si>
    <t>\I: Emissions commodities</t>
  </si>
  <si>
    <t>OILFEE</t>
  </si>
  <si>
    <t>Refinery feeds</t>
  </si>
  <si>
    <t>ENV</t>
  </si>
  <si>
    <t>TRACH4N</t>
  </si>
  <si>
    <t>Transport Methan Emissions</t>
  </si>
  <si>
    <t>t</t>
  </si>
  <si>
    <t>OILNCR</t>
  </si>
  <si>
    <t>Non-crude</t>
  </si>
  <si>
    <t>AGRCH4N</t>
  </si>
  <si>
    <t>Agriculture Methan Emissions</t>
  </si>
  <si>
    <t>TRAN2ON</t>
  </si>
  <si>
    <t>Transport N2O Emissions</t>
  </si>
  <si>
    <t>kt</t>
  </si>
  <si>
    <t>CO2Captured</t>
  </si>
  <si>
    <t>CO2 Captured from fossil fuels combustion</t>
  </si>
  <si>
    <t>AGRN2ON</t>
  </si>
  <si>
    <t>Agriculture N2O Emissions</t>
  </si>
  <si>
    <t>*</t>
  </si>
  <si>
    <t>TRACO2N</t>
  </si>
  <si>
    <t>Transport Carbon Dioxide Combustion Emissions</t>
  </si>
  <si>
    <t>CO2Captured_bio</t>
  </si>
  <si>
    <t>CO2 Captured from bioenergy combustion</t>
  </si>
  <si>
    <t>AGRCO2P</t>
  </si>
  <si>
    <t>Agriculture Carbon Dioxide Process Emissions</t>
  </si>
  <si>
    <t>TRACH4I</t>
  </si>
  <si>
    <t>Transport Methan Emissions International Avi-Nav</t>
  </si>
  <si>
    <t>CO2ForStorage</t>
  </si>
  <si>
    <t>CO2 after transportation - for storage</t>
  </si>
  <si>
    <t>COMCH4N</t>
  </si>
  <si>
    <t>Commercial Methan Emissions</t>
  </si>
  <si>
    <t>TRAN2OI</t>
  </si>
  <si>
    <t>Transport N2O Emissions International Avi-Nav</t>
  </si>
  <si>
    <t>ELCCO2-Seq</t>
  </si>
  <si>
    <t>CO2 sequestered from electricity generation (for accounting)</t>
  </si>
  <si>
    <t>COMN2ON</t>
  </si>
  <si>
    <t>Commercial N2O Emissions</t>
  </si>
  <si>
    <t>TRACO2I</t>
  </si>
  <si>
    <t>Transport Carbon Dioxide Combustion Emissions International Avi-Nav</t>
  </si>
  <si>
    <t>ELCCO2Net</t>
  </si>
  <si>
    <t>Net CO2 from electricity generation</t>
  </si>
  <si>
    <t>mt</t>
  </si>
  <si>
    <t>RESCH4N</t>
  </si>
  <si>
    <t>Residential Methan Emissions</t>
  </si>
  <si>
    <t>AGRCO2Nc</t>
  </si>
  <si>
    <t>CO2 emission from COAL use in AGR sector</t>
  </si>
  <si>
    <t>DumGrid</t>
  </si>
  <si>
    <t>dummy commodity</t>
  </si>
  <si>
    <t>RESN2ON</t>
  </si>
  <si>
    <t>Residential N2O Emissions</t>
  </si>
  <si>
    <t>AGRCO2No</t>
  </si>
  <si>
    <t>CO2 emission from OIL use in AGR sector</t>
  </si>
  <si>
    <t>ELCCurt</t>
  </si>
  <si>
    <t>curtailed electricity</t>
  </si>
  <si>
    <t>DAYNITE</t>
  </si>
  <si>
    <t>ELC</t>
  </si>
  <si>
    <t>RESCO2P</t>
  </si>
  <si>
    <t>Residential Carbon Dioxide Process Emissions</t>
  </si>
  <si>
    <t>AGRCO2Ng</t>
  </si>
  <si>
    <t>CO2 emission from GAS use in AGR sector</t>
  </si>
  <si>
    <t>HH2</t>
  </si>
  <si>
    <t>Hydrogen</t>
  </si>
  <si>
    <t>CO2_DAC</t>
  </si>
  <si>
    <t>CO2 from direct air capture</t>
  </si>
  <si>
    <t>COMCO2Nc</t>
  </si>
  <si>
    <t>CO2 emission from COAL use in COM sector</t>
  </si>
  <si>
    <t>LH2</t>
  </si>
  <si>
    <t>Liquid Hydrogen (for trading)</t>
  </si>
  <si>
    <t>COMCO2No</t>
  </si>
  <si>
    <t>CO2 emission from OIL use in COM sector</t>
  </si>
  <si>
    <t>NetCO2_ELC</t>
  </si>
  <si>
    <t>COMCO2Ng</t>
  </si>
  <si>
    <t>CO2 emission from GAS use in COM sector</t>
  </si>
  <si>
    <t>NetCO2_SUP</t>
  </si>
  <si>
    <t>Net CO2 from energy sector</t>
  </si>
  <si>
    <t>ELCCO2Nc</t>
  </si>
  <si>
    <t>CO2 emission from COAL use in ELC sector</t>
  </si>
  <si>
    <t>NetCO2_TRA</t>
  </si>
  <si>
    <t>Net CO2 from transport</t>
  </si>
  <si>
    <t>ELCCO2Ng</t>
  </si>
  <si>
    <t>CO2 emission from GAS use in ELC sector</t>
  </si>
  <si>
    <t>NetCO2_Bldg</t>
  </si>
  <si>
    <t>Net CO2 from Residential and Commercial</t>
  </si>
  <si>
    <t>ELCCO2No</t>
  </si>
  <si>
    <t>CO2 emission from OIL use in ELC sector</t>
  </si>
  <si>
    <t>NetCO2_IND</t>
  </si>
  <si>
    <t>Net CO2 from Industry</t>
  </si>
  <si>
    <t>ELCCO2Nw</t>
  </si>
  <si>
    <t>CO2 emission from WASTE use in ELC sector</t>
  </si>
  <si>
    <t>CO2Captured_elc</t>
  </si>
  <si>
    <t>CO2 Captured in the Power sector</t>
  </si>
  <si>
    <t>INDCO2Nc</t>
  </si>
  <si>
    <t>CO2 emission from COAL use in IND sector</t>
  </si>
  <si>
    <t>CO2Captured_sup</t>
  </si>
  <si>
    <t>CO2 Captured in Energy sector (bioref and H2 production)</t>
  </si>
  <si>
    <t>ELCCO2Nb</t>
  </si>
  <si>
    <t>CO2 emission from BIOMASS use in ELC sector</t>
  </si>
  <si>
    <t>CO2Captured_ind</t>
  </si>
  <si>
    <t>CO2 Captured in Industry</t>
  </si>
  <si>
    <t>INDCO2Nb</t>
  </si>
  <si>
    <t>CO2 emission from BIOMASS use in IND sector</t>
  </si>
  <si>
    <t>CO2Captured_ccu</t>
  </si>
  <si>
    <t>CO2 Captured from bioenergy combustion and DAC (which CAN be used for power to liq)</t>
  </si>
  <si>
    <t>INDCO2No</t>
  </si>
  <si>
    <t>CO2 emission from OIL use in IND sector</t>
  </si>
  <si>
    <t>CO2Used_ccu</t>
  </si>
  <si>
    <t>Captured CO2 used for liquid fuels etc - to be emitted eventually</t>
  </si>
  <si>
    <t>INDCO2Ng</t>
  </si>
  <si>
    <t>CO2 emission from GAS use in IND sector</t>
  </si>
  <si>
    <t>ELCDem</t>
  </si>
  <si>
    <t>Non-Transport electricity demand</t>
  </si>
  <si>
    <t>RESCO2Nc</t>
  </si>
  <si>
    <t>CO2 emission from COAL use in RES sector</t>
  </si>
  <si>
    <t>RESCO2No</t>
  </si>
  <si>
    <t>CO2 emission from OIL use in RES sector</t>
  </si>
  <si>
    <t>RESCO2Ng</t>
  </si>
  <si>
    <t>CO2 emission from GAS use in RES sector</t>
  </si>
  <si>
    <t>SUPCO2Nc</t>
  </si>
  <si>
    <t>CO2 emission from COAL use in SUP sector</t>
  </si>
  <si>
    <t>SUPCO2Nb</t>
  </si>
  <si>
    <t>CO2 emission from BIOMASS use in SUP sector</t>
  </si>
  <si>
    <t>SUPCO2Ng</t>
  </si>
  <si>
    <t>CO2 emission from GAS use in SUP sector</t>
  </si>
  <si>
    <t>SUPCO2No</t>
  </si>
  <si>
    <t>CO2 emission from OIL use in SUP sector</t>
  </si>
  <si>
    <t>HH2CO2Nc</t>
  </si>
  <si>
    <t>CO2 emission from COAL use in HH2 sector</t>
  </si>
  <si>
    <t>HH2CO2Nb</t>
  </si>
  <si>
    <t>CO2 emission from BIOMASS use in HH2 sector</t>
  </si>
  <si>
    <t>HH2CO2Ng</t>
  </si>
  <si>
    <t>CO2 emission from GAS use in HH2 sector</t>
  </si>
  <si>
    <t>HH2CO2No</t>
  </si>
  <si>
    <t>CO2 emission from OIL use in HH2 sector</t>
  </si>
  <si>
    <t>TRACO2Nc</t>
  </si>
  <si>
    <t>CO2 emission from COAL use in TRA sector</t>
  </si>
  <si>
    <t>TRACO2No</t>
  </si>
  <si>
    <t>CO2 emission from OIL use in TRA sector</t>
  </si>
  <si>
    <t>TRACO2Ng</t>
  </si>
  <si>
    <t>CO2 emission from GAS use in TRA sector</t>
  </si>
  <si>
    <t>TOTCO2</t>
  </si>
  <si>
    <t>Total NET energy sector CO2</t>
  </si>
  <si>
    <t>INDNUC</t>
  </si>
  <si>
    <t>GASLNG</t>
  </si>
  <si>
    <t>Liquid Natural Gas</t>
  </si>
  <si>
    <t>repuc_unity</t>
  </si>
  <si>
    <t>dummy to create unit flow - for reporting Ucs</t>
  </si>
  <si>
    <t>misc</t>
  </si>
  <si>
    <t>N</t>
  </si>
  <si>
    <t>Set</t>
  </si>
  <si>
    <t>Commodity</t>
  </si>
  <si>
    <t>TSlvl</t>
  </si>
  <si>
    <t>Type</t>
  </si>
  <si>
    <t>*Commodity</t>
  </si>
  <si>
    <t>BIOBIN</t>
  </si>
  <si>
    <t>IEA Product: INDWASTE</t>
  </si>
  <si>
    <t>AGRBIO</t>
  </si>
  <si>
    <t>Agriculture sector use of: BIODIESEL,BIOGASOL,BIOJETKERO,CHARCOAL,INDWASTE,MUNWASTEN,MUNWASTER,OBIOLIQ,PRIMSBIO,RENEWNS</t>
  </si>
  <si>
    <t>TRAGH2</t>
  </si>
  <si>
    <t>Gaseous H2 for transport</t>
  </si>
  <si>
    <t>BIOBMU</t>
  </si>
  <si>
    <t>IEA Product: MUNWASTEN,MUNWASTER</t>
  </si>
  <si>
    <t>AGRCOA</t>
  </si>
  <si>
    <t>Agriculture sector use of: ANTCOAL,BITCOAL,BKB,BROWN,COALTAR,COKCOAL,GASCOKE,HARDCOAL,LIGNITE,OILSHALE,OTHER,OVENCOKE,PATFUEL,PEAT,PEATPROD,SUBCOAL</t>
  </si>
  <si>
    <t>TRALH2</t>
  </si>
  <si>
    <t>Liquid H2 for transport</t>
  </si>
  <si>
    <t>BIOBSL</t>
  </si>
  <si>
    <t>IEA Product: PRIMSBIO</t>
  </si>
  <si>
    <t>AGRCRD</t>
  </si>
  <si>
    <t>Agriculture sector use of: ADDITIVE</t>
  </si>
  <si>
    <t>\I:</t>
  </si>
  <si>
    <t>COMHH2</t>
  </si>
  <si>
    <t>Hydrogen - to blend with gas - COM</t>
  </si>
  <si>
    <t>BIOCHR</t>
  </si>
  <si>
    <t>IEA Product: CHARCOAL</t>
  </si>
  <si>
    <t>AGRELC</t>
  </si>
  <si>
    <t>Agriculture sector use of: ELECTR</t>
  </si>
  <si>
    <t>RESHH2</t>
  </si>
  <si>
    <t>Hydrogen - to blend with gas - RES</t>
  </si>
  <si>
    <t>BIODST</t>
  </si>
  <si>
    <t>IEA Product: BIODIESEL,OBIOLIQ</t>
  </si>
  <si>
    <t>AGRGEO</t>
  </si>
  <si>
    <t>Agriculture sector use of: GEOTHERM</t>
  </si>
  <si>
    <t>INDHH2</t>
  </si>
  <si>
    <t>Hydrogen - to blend with gas - IND</t>
  </si>
  <si>
    <t>BIOGAS</t>
  </si>
  <si>
    <t>IEA Product: BIOGASES</t>
  </si>
  <si>
    <t>AGRHET</t>
  </si>
  <si>
    <t>Agriculture sector use of: HEAT,HEATNS</t>
  </si>
  <si>
    <t>LTHEAT</t>
  </si>
  <si>
    <t>ELCHH2</t>
  </si>
  <si>
    <t>Hydrogen - to blend with gas - ELC</t>
  </si>
  <si>
    <t>BIOGSL</t>
  </si>
  <si>
    <t>IEA Product: BIOGASOL</t>
  </si>
  <si>
    <t>AGRHYD</t>
  </si>
  <si>
    <t>Agriculture sector use of: HYDRO</t>
  </si>
  <si>
    <t>BIOKER</t>
  </si>
  <si>
    <t>IEA Product: BIOJETKERO</t>
  </si>
  <si>
    <t>AGRKER</t>
  </si>
  <si>
    <t>Agriculture sector use of: AVGAS,JETGAS,NONBIOJETK,OTHKERO</t>
  </si>
  <si>
    <t>BIOREN</t>
  </si>
  <si>
    <t>IEA Product: RENEWNS</t>
  </si>
  <si>
    <t>AGRLPG</t>
  </si>
  <si>
    <t>Agriculture sector use of: LPG</t>
  </si>
  <si>
    <t>COABCO</t>
  </si>
  <si>
    <t>IEA Product: BKB,BROWN,LIGNITE,OTHER,PEAT,PEATPROD,SUBCOAL</t>
  </si>
  <si>
    <t>AGRNAP</t>
  </si>
  <si>
    <t>Agriculture sector use of: NAPHTHA</t>
  </si>
  <si>
    <t>COACOK</t>
  </si>
  <si>
    <t>IEA Product: COKCOAL,GASCOKE</t>
  </si>
  <si>
    <t>AGRNGA</t>
  </si>
  <si>
    <t>Agriculture sector use of: BIOGASES,BLFURGS,COKEOVGS,ETHANE,GASWKSGS,NATGAS,OGASES,REFINGAS</t>
  </si>
  <si>
    <t>tslvl</t>
  </si>
  <si>
    <t>COAHCO</t>
  </si>
  <si>
    <t>IEA Product: ANTCOAL,BITCOAL,HARDCOAL,OILSHALE,PATFUEL</t>
  </si>
  <si>
    <t>AGRNGL</t>
  </si>
  <si>
    <t>Agriculture sector use of: NGL</t>
  </si>
  <si>
    <t>ELC_Sol-DZA</t>
  </si>
  <si>
    <t>Solar electricity produced in - Algeria</t>
  </si>
  <si>
    <t>COAOVC</t>
  </si>
  <si>
    <t>IEA Product: OVENCOKE</t>
  </si>
  <si>
    <t>AGRNUC</t>
  </si>
  <si>
    <t>Agriculture sector use of: NUCLEAR</t>
  </si>
  <si>
    <t>ELC_Sol-EGY</t>
  </si>
  <si>
    <t>Solar electricity produced in - Egypt</t>
  </si>
  <si>
    <t>COATAR</t>
  </si>
  <si>
    <t>IEA Product: COALTAR</t>
  </si>
  <si>
    <t>AGROIL</t>
  </si>
  <si>
    <t>Agriculture sector use of: BITUMEN,CRNGFEED,CRUDEOIL,LUBRIC,NONBIODIES,NONBIOGASO,NONCRUDE,ONONSPEC,PARWAX,PETCOKE,REFFEEDS,RESFUEL,WHITESP</t>
  </si>
  <si>
    <t>ELC_Sol-LBY</t>
  </si>
  <si>
    <t>Solar electricity produced in - Libya</t>
  </si>
  <si>
    <t>IEA Product: ELECTR</t>
  </si>
  <si>
    <t>AGRSPV</t>
  </si>
  <si>
    <t>Agriculture sector use of: SOLARPV</t>
  </si>
  <si>
    <t>ELC_Sol-MAR</t>
  </si>
  <si>
    <t>Solar electricity produced in - Morocco</t>
  </si>
  <si>
    <t>GASBFG</t>
  </si>
  <si>
    <t>IEA Product: BLFURGS,OGASES</t>
  </si>
  <si>
    <t>AGRSTH</t>
  </si>
  <si>
    <t>Agriculture sector use of: SOLARTH</t>
  </si>
  <si>
    <t>ELC_Sol-TUN</t>
  </si>
  <si>
    <t>Solar electricity produced in - Tunisia</t>
  </si>
  <si>
    <t>GASCOG</t>
  </si>
  <si>
    <t>IEA Product: COKEOVGS</t>
  </si>
  <si>
    <t>AGRTDL</t>
  </si>
  <si>
    <t>Agriculture sector use of: TIDE</t>
  </si>
  <si>
    <t>ELC_Win-DZA</t>
  </si>
  <si>
    <t>Wind electricity produced in - Algeria</t>
  </si>
  <si>
    <t>GASETH</t>
  </si>
  <si>
    <t>IEA Product: ETHANE</t>
  </si>
  <si>
    <t>AGRWIN</t>
  </si>
  <si>
    <t>Agriculture sector use of: WIND</t>
  </si>
  <si>
    <t>ELC_Win-EGY</t>
  </si>
  <si>
    <t>Wind electricity produced in - Egypt</t>
  </si>
  <si>
    <t>GASGWG</t>
  </si>
  <si>
    <t>IEA Product: GASWKSGS</t>
  </si>
  <si>
    <t>COMASP</t>
  </si>
  <si>
    <t>Commercial sector use of: BITUMEN</t>
  </si>
  <si>
    <t>ELC_Win-LBY</t>
  </si>
  <si>
    <t>Wind electricity produced in - Libya</t>
  </si>
  <si>
    <t>GASNGA</t>
  </si>
  <si>
    <t>IEA Product: NATGAS</t>
  </si>
  <si>
    <t>COMBIO</t>
  </si>
  <si>
    <t>Commercial sector use of: BIODIESEL,BIOGASOL,BIOJETKERO,CHARCOAL,INDWASTE,MUNWASTEN,MUNWASTER,OBIOLIQ,PRIMSBIO,RENEWNS</t>
  </si>
  <si>
    <t>ELC_Win-MAR</t>
  </si>
  <si>
    <t>Wind electricity produced in - Morocco</t>
  </si>
  <si>
    <t>GASRFG</t>
  </si>
  <si>
    <t>IEA Product: REFINGAS</t>
  </si>
  <si>
    <t>COMCOA</t>
  </si>
  <si>
    <t>Commercial sector use of: ANTCOAL,BITCOAL,BKB,BROWN,COALTAR,COKCOAL,GASCOKE,HARDCOAL,LIGNITE,OILSHALE,OTHER,OVENCOKE,PATFUEL,PEAT,PEATPROD,SUBCOAL</t>
  </si>
  <si>
    <t>ELC_Win-TUN</t>
  </si>
  <si>
    <t>Wind electricity produced in - Tunisia</t>
  </si>
  <si>
    <t>GEO</t>
  </si>
  <si>
    <t>IEA Product: GEOTHERM</t>
  </si>
  <si>
    <t>COMCRD</t>
  </si>
  <si>
    <t>Commercial sector use of: ADDITIVE</t>
  </si>
  <si>
    <t>ELC_Sol-AGO</t>
  </si>
  <si>
    <t>Solar electricity produced in - Angola</t>
  </si>
  <si>
    <t>HET</t>
  </si>
  <si>
    <t>IEA Product: HEAT,HEATNS</t>
  </si>
  <si>
    <t>COMELC</t>
  </si>
  <si>
    <t>Commercial sector use of: ELECTR</t>
  </si>
  <si>
    <t>ELC_Sol-BDI</t>
  </si>
  <si>
    <t>Solar electricity produced in - Burundi</t>
  </si>
  <si>
    <t>HYD</t>
  </si>
  <si>
    <t>IEA Product: HYDRO</t>
  </si>
  <si>
    <t>COMGEO</t>
  </si>
  <si>
    <t>Commercial sector use of: GEOTHERM</t>
  </si>
  <si>
    <t>ELC_Sol-BEN</t>
  </si>
  <si>
    <t>Solar electricity produced in - Benin</t>
  </si>
  <si>
    <t>NUC</t>
  </si>
  <si>
    <t>IEA Product: NUCLEAR</t>
  </si>
  <si>
    <t>COMHET</t>
  </si>
  <si>
    <t>Commercial sector use of: HEAT,HEATNS</t>
  </si>
  <si>
    <t>ELC_Sol-BFA</t>
  </si>
  <si>
    <t>Solar electricity produced in - Burkina Faso</t>
  </si>
  <si>
    <t>OILASP</t>
  </si>
  <si>
    <t>IEA Product: BITUMEN</t>
  </si>
  <si>
    <t>COMHYD</t>
  </si>
  <si>
    <t>Commercial sector use of: HYDRO</t>
  </si>
  <si>
    <t>ELC_Sol-BWA</t>
  </si>
  <si>
    <t>Solar electricity produced in - Botswana</t>
  </si>
  <si>
    <t>OILCRD</t>
  </si>
  <si>
    <t>IEA Product: ADDITIVE,CRNGFEED,CRUDEOIL</t>
  </si>
  <si>
    <t>COMKER</t>
  </si>
  <si>
    <t>Commercial sector use of: AVGAS,JETGAS,NONBIOJETK,OTHKERO</t>
  </si>
  <si>
    <t>ELC_Sol-CAF</t>
  </si>
  <si>
    <t>Solar electricity produced in - Central African Republic</t>
  </si>
  <si>
    <t>OILDST</t>
  </si>
  <si>
    <t>IEA Product: NONBIODIES</t>
  </si>
  <si>
    <t>COMLPG</t>
  </si>
  <si>
    <t>Commercial sector use of: LPG</t>
  </si>
  <si>
    <t>ELC_Sol-CIV</t>
  </si>
  <si>
    <t>Solar electricity produced in - Ivory Coast</t>
  </si>
  <si>
    <t>IEA Product: REFFEEDS</t>
  </si>
  <si>
    <t>COMNAP</t>
  </si>
  <si>
    <t>Commercial sector use of: NAPHTHA</t>
  </si>
  <si>
    <t>ELC_Sol-CMR</t>
  </si>
  <si>
    <t>Solar electricity produced in - Cameroon</t>
  </si>
  <si>
    <t>OILGSL</t>
  </si>
  <si>
    <t>IEA Product: NONBIOGASO</t>
  </si>
  <si>
    <t>COMNGA</t>
  </si>
  <si>
    <t>Commercial sector use of: BIOGASES,BLFURGS,COKEOVGS,ETHANE,GASWKSGS,NATGAS,OGASES,REFINGAS</t>
  </si>
  <si>
    <t>ELC_Sol-COD</t>
  </si>
  <si>
    <t>Solar electricity produced in - Democratic Republic of Congo</t>
  </si>
  <si>
    <t>OILHFO</t>
  </si>
  <si>
    <t>IEA Product: RESFUEL</t>
  </si>
  <si>
    <t>COMNGL</t>
  </si>
  <si>
    <t>Commercial sector use of: NGL</t>
  </si>
  <si>
    <t>ELC_Sol-COG</t>
  </si>
  <si>
    <t>Solar electricity produced in - Republic of Congo</t>
  </si>
  <si>
    <t>OILJTK</t>
  </si>
  <si>
    <t>IEA Product: AVGAS,JETGAS,NONBIOJETK</t>
  </si>
  <si>
    <t>COMNUC</t>
  </si>
  <si>
    <t>Commercial sector use of: NUCLEAR</t>
  </si>
  <si>
    <t>ELC_Sol-COM</t>
  </si>
  <si>
    <t>Solar electricity produced in - Comoros</t>
  </si>
  <si>
    <t>OILKER</t>
  </si>
  <si>
    <t>IEA Product: OTHKERO</t>
  </si>
  <si>
    <t>COMOIL</t>
  </si>
  <si>
    <t>Commercial sector use of: CRNGFEED,CRUDEOIL,LUBRIC,NONBIODIES,NONBIOGASO,NONCRUDE,ONONSPEC,PARWAX,PETCOKE,REFFEEDS,RESFUEL,WHITESP</t>
  </si>
  <si>
    <t>ELC_Sol-CPV</t>
  </si>
  <si>
    <t>Solar electricity produced in - Cape Verde</t>
  </si>
  <si>
    <t>OILLPG</t>
  </si>
  <si>
    <t>IEA Product: LPG</t>
  </si>
  <si>
    <t>COMSPV</t>
  </si>
  <si>
    <t>Commercial sector use of: SOLARPV</t>
  </si>
  <si>
    <t>ELC_Sol-DJI</t>
  </si>
  <si>
    <t>Solar electricity produced in - Djibouti</t>
  </si>
  <si>
    <t>OILLUB</t>
  </si>
  <si>
    <t>IEA Product: LUBRIC,PARWAX,WHITESP</t>
  </si>
  <si>
    <t>COMSTH</t>
  </si>
  <si>
    <t>Commercial sector use of: SOLARTH</t>
  </si>
  <si>
    <t>ELC_Sol-ERI</t>
  </si>
  <si>
    <t>Solar electricity produced in - Eritrea</t>
  </si>
  <si>
    <t>OILNAP</t>
  </si>
  <si>
    <t>IEA Product: NAPHTHA</t>
  </si>
  <si>
    <t>COMTDL</t>
  </si>
  <si>
    <t>Commercial sector use of: TIDE</t>
  </si>
  <si>
    <t>ELC_Sol-ETH</t>
  </si>
  <si>
    <t>Solar electricity produced in - Ethiopia</t>
  </si>
  <si>
    <t>IEA Product: NONCRUDE</t>
  </si>
  <si>
    <t>COMWIN</t>
  </si>
  <si>
    <t>Commercial sector use of: WIND</t>
  </si>
  <si>
    <t>ELC_Sol-GAB</t>
  </si>
  <si>
    <t>Solar electricity produced in - Gabon</t>
  </si>
  <si>
    <t>OILNGL</t>
  </si>
  <si>
    <t>IEA Product: NGL</t>
  </si>
  <si>
    <t>INDBFG</t>
  </si>
  <si>
    <t>Industry sector use of: OGASES</t>
  </si>
  <si>
    <t>ELC_Sol-GHA</t>
  </si>
  <si>
    <t>Solar electricity produced in - Ghana</t>
  </si>
  <si>
    <t>OILNSP</t>
  </si>
  <si>
    <t>IEA Product: ONONSPEC</t>
  </si>
  <si>
    <t>INDBIO</t>
  </si>
  <si>
    <t>Industry sector use of: BIODIESEL,BIOGASES,BIOGASOL,BIOJETKERO,CHARCOAL,INDWASTE,MUNWASTEN,MUNWASTER,OBIOLIQ,PRIMSBIO,RENEWNS</t>
  </si>
  <si>
    <t>ELC_Sol-GIN</t>
  </si>
  <si>
    <t>Solar electricity produced in - Guinea</t>
  </si>
  <si>
    <t>OILPTC</t>
  </si>
  <si>
    <t>IEA Product: PETCOKE</t>
  </si>
  <si>
    <t>INDCOA</t>
  </si>
  <si>
    <t>Industry sector use of: ANTCOAL,BITCOAL,BKB,BROWN,COALTAR,COKCOAL,GASCOKE,HARDCOAL,LIGNITE,OILSHALE,OTHER,OVENCOKE,PATFUEL,PEAT,PEATPROD,SUBCOAL</t>
  </si>
  <si>
    <t>ELC_Sol-GMB</t>
  </si>
  <si>
    <t>Solar electricity produced in - The Gambia</t>
  </si>
  <si>
    <t>SPV</t>
  </si>
  <si>
    <t>IEA Product: SOLARPV</t>
  </si>
  <si>
    <t>INDELC</t>
  </si>
  <si>
    <t>Industry sector use of: ELECTR</t>
  </si>
  <si>
    <t>ELC_Sol-GNB</t>
  </si>
  <si>
    <t>Solar electricity produced in - Guinea-Bissau</t>
  </si>
  <si>
    <t>STH</t>
  </si>
  <si>
    <t>IEA Product: SOLARTH</t>
  </si>
  <si>
    <t>INDGEO</t>
  </si>
  <si>
    <t>Industry sector use of: GEOTHERM</t>
  </si>
  <si>
    <t>ELC_Sol-GNQ</t>
  </si>
  <si>
    <t>Solar electricity produced in - Equatorial Guinea</t>
  </si>
  <si>
    <t>TID</t>
  </si>
  <si>
    <t>IEA Product: TIDE</t>
  </si>
  <si>
    <t>INDHET</t>
  </si>
  <si>
    <t>Industry sector use of: HEAT,HEATNS</t>
  </si>
  <si>
    <t>ELC_Sol-KEN</t>
  </si>
  <si>
    <t>Solar electricity produced in - Kenya</t>
  </si>
  <si>
    <t>WIN</t>
  </si>
  <si>
    <t>IEA Product: WIND</t>
  </si>
  <si>
    <t>INDHYD</t>
  </si>
  <si>
    <t>Industry sector use of: HYDRO</t>
  </si>
  <si>
    <t>ELC_Sol-LBR</t>
  </si>
  <si>
    <t>Solar electricity produced in - Liberia</t>
  </si>
  <si>
    <t>INDNGA</t>
  </si>
  <si>
    <t>Industry sector use of: BLFURGS,COKEOVGS,ETHANE,GASWKSGS,NATGAS,REFINGAS</t>
  </si>
  <si>
    <t>ELC_Sol-LSO</t>
  </si>
  <si>
    <t>Solar electricity produced in - Lesotho</t>
  </si>
  <si>
    <t>Industry sector use of: NUCLEAR</t>
  </si>
  <si>
    <t>ELC_Sol-MDG</t>
  </si>
  <si>
    <t>Solar electricity produced in - Madagascar</t>
  </si>
  <si>
    <t>INDOIL</t>
  </si>
  <si>
    <t>Industry sector use of: ADDITIVE,AVGAS,BITUMEN,CRNGFEED,CRUDEOIL,JETGAS,LPG,LUBRIC,NAPHTHA,NGL,NONBIODIES,NONBIOGASO,NONBIOJETK,NONCRUDE,ONONSPEC,OTHKERO,PARWAX,PETCOKE,REFFEEDS,RESFUEL,WHITESP</t>
  </si>
  <si>
    <t>ELC_Sol-MLI</t>
  </si>
  <si>
    <t>Solar electricity produced in - Mali</t>
  </si>
  <si>
    <t>INDSPV</t>
  </si>
  <si>
    <t>Industry sector use of: SOLARPV</t>
  </si>
  <si>
    <t>ELC_Sol-MOZ</t>
  </si>
  <si>
    <t>Solar electricity produced in - Mozambique</t>
  </si>
  <si>
    <t>INDSTH</t>
  </si>
  <si>
    <t>Industry sector use of: SOLARTH</t>
  </si>
  <si>
    <t>ELC_Sol-MRT</t>
  </si>
  <si>
    <t>Solar electricity produced in - Mauritania</t>
  </si>
  <si>
    <t>INDTID</t>
  </si>
  <si>
    <t>Industry sector use of: TIDE</t>
  </si>
  <si>
    <t>ELC_Sol-MUS</t>
  </si>
  <si>
    <t>Solar electricity produced in - Mauritius</t>
  </si>
  <si>
    <t>INDWIN</t>
  </si>
  <si>
    <t>Industry sector use of: WIND</t>
  </si>
  <si>
    <t>ELC_Sol-MWI</t>
  </si>
  <si>
    <t>Solar electricity produced in - Malawi</t>
  </si>
  <si>
    <t>RESASP</t>
  </si>
  <si>
    <t>Residential sector use of: BITUMEN</t>
  </si>
  <si>
    <t>ELC_Sol-MYT</t>
  </si>
  <si>
    <t>Solar electricity produced in - Mayotte</t>
  </si>
  <si>
    <t>RESBIO</t>
  </si>
  <si>
    <t>Residential sector use of: BIODIESEL,BIOGASOL,BIOJETKERO,CHARCOAL,INDWASTE,MUNWASTEN,MUNWASTER,OBIOLIQ,PRIMSBIO,RENEWNS</t>
  </si>
  <si>
    <t>ELC_Sol-NAM</t>
  </si>
  <si>
    <t>Solar electricity produced in - Namibia</t>
  </si>
  <si>
    <t>RESCOA</t>
  </si>
  <si>
    <t>Residential sector use of: ANTCOAL,BITCOAL,BKB,BROWN,COALTAR,COKCOAL,GASCOKE,HARDCOAL,LIGNITE,OILSHALE,OTHER,OVENCOKE,PATFUEL,PEAT,PEATPROD,SUBCOAL</t>
  </si>
  <si>
    <t>ELC_Sol-NER</t>
  </si>
  <si>
    <t>Solar electricity produced in - Niger</t>
  </si>
  <si>
    <t>RESCRD</t>
  </si>
  <si>
    <t>Residential sector use of: ADDITIVE</t>
  </si>
  <si>
    <t>ELC_Sol-NGA</t>
  </si>
  <si>
    <t>Solar electricity produced in - Nigeria</t>
  </si>
  <si>
    <t>RESELC</t>
  </si>
  <si>
    <t>Residential sector use of: ELECTR</t>
  </si>
  <si>
    <t>ELC_Sol-RWA</t>
  </si>
  <si>
    <t>Solar electricity produced in - Rwanda</t>
  </si>
  <si>
    <t>RESGEO</t>
  </si>
  <si>
    <t>Residential sector use of: GEOTHERM</t>
  </si>
  <si>
    <t>ELC_Sol-SDN</t>
  </si>
  <si>
    <t>Solar electricity produced in - Sudan</t>
  </si>
  <si>
    <t>RESHET</t>
  </si>
  <si>
    <t>Residential sector use of: HEAT,HEATNS</t>
  </si>
  <si>
    <t>ELC_Sol-SEN</t>
  </si>
  <si>
    <t>Solar electricity produced in - Senegal</t>
  </si>
  <si>
    <t>RESHYD</t>
  </si>
  <si>
    <t>Residential sector use of: HYDRO</t>
  </si>
  <si>
    <t>ELC_Sol-SLE</t>
  </si>
  <si>
    <t>Solar electricity produced in - Sierra Leone</t>
  </si>
  <si>
    <t>RESKER</t>
  </si>
  <si>
    <t>Residential sector use of: AVGAS,JETGAS,NONBIOJETK,OTHKERO</t>
  </si>
  <si>
    <t>ELC_Sol-SOM</t>
  </si>
  <si>
    <t>Solar electricity produced in - Somalia</t>
  </si>
  <si>
    <t>RESLPG</t>
  </si>
  <si>
    <t>Residential sector use of: LPG</t>
  </si>
  <si>
    <t>ELC_Sol-SSD</t>
  </si>
  <si>
    <t>Solar electricity produced in - South Sudan</t>
  </si>
  <si>
    <t>RESNAP</t>
  </si>
  <si>
    <t>Residential sector use of: NAPHTHA</t>
  </si>
  <si>
    <t>ELC_Sol-STP</t>
  </si>
  <si>
    <t>Solar electricity produced in - Sao Tome and Principe</t>
  </si>
  <si>
    <t>RESNGA</t>
  </si>
  <si>
    <t>Residential sector use of: BIOGASES,BLFURGS,COKEOVGS,ETHANE,GASWKSGS,NATGAS,OGASES,REFINGAS</t>
  </si>
  <si>
    <t>ELC_Sol-SWZ</t>
  </si>
  <si>
    <t>Solar electricity produced in - Swaziland</t>
  </si>
  <si>
    <t>RESNGL</t>
  </si>
  <si>
    <t>Residential sector use of: NGL</t>
  </si>
  <si>
    <t>ELC_Sol-SYC</t>
  </si>
  <si>
    <t>Solar electricity produced in - Seychelles</t>
  </si>
  <si>
    <t>RESNUC</t>
  </si>
  <si>
    <t>Residential sector use of: NUCLEAR</t>
  </si>
  <si>
    <t>ELC_Sol-TCD</t>
  </si>
  <si>
    <t>Solar electricity produced in - Chad</t>
  </si>
  <si>
    <t>RESOIL</t>
  </si>
  <si>
    <t>Residential sector use of: CRNGFEED,CRUDEOIL,LUBRIC,NONBIODIES,NONBIOGASO,NONCRUDE,ONONSPEC,PARWAX,PETCOKE,REFFEEDS,RESFUEL,WHITESP</t>
  </si>
  <si>
    <t>ELC_Sol-TGO</t>
  </si>
  <si>
    <t>Solar electricity produced in - Togo</t>
  </si>
  <si>
    <t>RESSPV</t>
  </si>
  <si>
    <t>Residential sector use of: SOLARPV</t>
  </si>
  <si>
    <t>ELC_Sol-TZA</t>
  </si>
  <si>
    <t>Solar electricity produced in - Tanzania</t>
  </si>
  <si>
    <t>RESSTH</t>
  </si>
  <si>
    <t>Residential sector use of: SOLARTH</t>
  </si>
  <si>
    <t>ELC_Sol-UGA</t>
  </si>
  <si>
    <t>Solar electricity produced in - Uganda</t>
  </si>
  <si>
    <t>RESTDL</t>
  </si>
  <si>
    <t>Residential sector use of: TIDE</t>
  </si>
  <si>
    <t>ELC_Sol-ZMB</t>
  </si>
  <si>
    <t>Solar electricity produced in - Zambia</t>
  </si>
  <si>
    <t>RESWIN</t>
  </si>
  <si>
    <t>Residential sector use of: WIND</t>
  </si>
  <si>
    <t>ELC_Sol-ZWE</t>
  </si>
  <si>
    <t>Solar electricity produced in - Zimbabwe</t>
  </si>
  <si>
    <t>TRABDS</t>
  </si>
  <si>
    <t>Transport sector use of: BIODIESEL,OBIOLIQ</t>
  </si>
  <si>
    <t>ELC_Win-AGO</t>
  </si>
  <si>
    <t>Wind electricity produced in - Angola</t>
  </si>
  <si>
    <t>TRABGS</t>
  </si>
  <si>
    <t>Transport sector use of: BIOGASOL,RENEWNS</t>
  </si>
  <si>
    <t>ELC_Win-BDI</t>
  </si>
  <si>
    <t>Wind electricity produced in - Burundi</t>
  </si>
  <si>
    <t>TRABJK</t>
  </si>
  <si>
    <t>Transport sector use of: BIOJETKERO</t>
  </si>
  <si>
    <t>ELC_Win-BEN</t>
  </si>
  <si>
    <t>Wind electricity produced in - Benin</t>
  </si>
  <si>
    <t>TRABSL</t>
  </si>
  <si>
    <t>Transport sector use of: CHARCOAL,PRIMSBIO</t>
  </si>
  <si>
    <t>ELC_Win-BFA</t>
  </si>
  <si>
    <t>Wind electricity produced in - Burkina Faso</t>
  </si>
  <si>
    <t>TRACOA</t>
  </si>
  <si>
    <t>Transport sector use of: ANTCOAL,BITCOAL,BKB,BROWN,COALTAR,COKCOAL,GASCOKE,HARDCOAL,LIGNITE,OTHER,OVENCOKE,PATFUEL,PEAT,PEATPROD,SUBCOAL</t>
  </si>
  <si>
    <t>ELC_Win-BWA</t>
  </si>
  <si>
    <t>Wind electricity produced in - Botswana</t>
  </si>
  <si>
    <t>TRADST</t>
  </si>
  <si>
    <t>Transport sector use of: NONBIODIES</t>
  </si>
  <si>
    <t>ELC_Win-CAF</t>
  </si>
  <si>
    <t>Wind electricity produced in - Central African Republic</t>
  </si>
  <si>
    <t>TRAELC</t>
  </si>
  <si>
    <t>Transport sector use of: ELECTR,SOLARPV,SOLARTH,TIDE,WIND</t>
  </si>
  <si>
    <t>ELC_Win-CIV</t>
  </si>
  <si>
    <t>Wind electricity produced in - Ivory Coast</t>
  </si>
  <si>
    <t>TRAGSL</t>
  </si>
  <si>
    <t>Transport sector use of: ADDITIVE,BITUMEN,CRNGFEED,CRUDEOIL,NAPHTHA,NONBIOGASO,PARWAX,PETCOKE,REFFEEDS,WHITESP</t>
  </si>
  <si>
    <t>ELC_Win-CMR</t>
  </si>
  <si>
    <t>Wind electricity produced in - Cameroon</t>
  </si>
  <si>
    <t>TRAHFO</t>
  </si>
  <si>
    <t>Transport sector use of: LUBRIC,NGL,ONONSPEC,RESFUEL</t>
  </si>
  <si>
    <t>ELC_Win-COD</t>
  </si>
  <si>
    <t>Wind electricity produced in - Democratic Republic of Congo</t>
  </si>
  <si>
    <t>TRAJTK</t>
  </si>
  <si>
    <t>Transport sector use of: AVGAS,JETGAS,NONBIOJETK,OTHKERO</t>
  </si>
  <si>
    <t>ELC_Win-COG</t>
  </si>
  <si>
    <t>Wind electricity produced in - Republic of Congo</t>
  </si>
  <si>
    <t>TRALPG</t>
  </si>
  <si>
    <t>Transport sector use of: LPG</t>
  </si>
  <si>
    <t>ELC_Win-COM</t>
  </si>
  <si>
    <t>Wind electricity produced in - Comoros</t>
  </si>
  <si>
    <t>TRANGA</t>
  </si>
  <si>
    <t>Transport sector use of: BIOGASES,BLFURGS,COKEOVGS,ETHANE,GASWKSGS,NATGAS,REFINGAS</t>
  </si>
  <si>
    <t>ELC_Win-CPV</t>
  </si>
  <si>
    <t>Wind electricity produced in - Cape Verde</t>
  </si>
  <si>
    <t>Electricity from Vehicle batteries</t>
  </si>
  <si>
    <t>TRDELC</t>
  </si>
  <si>
    <t>ELC_Win-DJI</t>
  </si>
  <si>
    <t>Wind electricity produced in - Djibouti</t>
  </si>
  <si>
    <t>ELC_Win-ERI</t>
  </si>
  <si>
    <t>Wind electricity produced in - Eritrea</t>
  </si>
  <si>
    <t>ELC_Win-ETH</t>
  </si>
  <si>
    <t>Wind electricity produced in - Ethiopia</t>
  </si>
  <si>
    <t>ELC_Win-GAB</t>
  </si>
  <si>
    <t>Wind electricity produced in - Gabon</t>
  </si>
  <si>
    <t>ELC_Win-GHA</t>
  </si>
  <si>
    <t>Wind electricity produced in - Ghana</t>
  </si>
  <si>
    <t>ELC_Win-GIN</t>
  </si>
  <si>
    <t>Wind electricity produced in - Guinea</t>
  </si>
  <si>
    <t>ELC_Win-GMB</t>
  </si>
  <si>
    <t>Wind electricity produced in - The Gambia</t>
  </si>
  <si>
    <t>ELC_Win-GNB</t>
  </si>
  <si>
    <t>Wind electricity produced in - Guinea-Bissau</t>
  </si>
  <si>
    <t>ELCBSL</t>
  </si>
  <si>
    <t>Power sector use of: CHARCOAL,INDWASTE,MUNWASTEN,MUNWASTER,PRIMSBIO,RENEWNS</t>
  </si>
  <si>
    <t>ELC_Win-GNQ</t>
  </si>
  <si>
    <t>Wind electricity produced in - Equatorial Guinea</t>
  </si>
  <si>
    <t>ELCCOA</t>
  </si>
  <si>
    <t>Power sector use of: ANTCOAL,BITCOAL,COALTAR,COKCOAL,GASCOKE,HARDCOAL,OILSHALE,OVENCOKE,PATFUEL</t>
  </si>
  <si>
    <t>ELC_Win-KEN</t>
  </si>
  <si>
    <t>Wind electricity produced in - Kenya</t>
  </si>
  <si>
    <t>ELCCOB</t>
  </si>
  <si>
    <t>Power sector use of: BKB,BROWN,LIGNITE,OTHER,PEAT,PEATPROD,SUBCOAL</t>
  </si>
  <si>
    <t>ELC_Win-LBR</t>
  </si>
  <si>
    <t>Wind electricity produced in - Liberia</t>
  </si>
  <si>
    <t>ELCGEO</t>
  </si>
  <si>
    <t>Power sector use of: GEOTHERM</t>
  </si>
  <si>
    <t>ELC_Win-LSO</t>
  </si>
  <si>
    <t>Wind electricity produced in - Lesotho</t>
  </si>
  <si>
    <t>ELCHYD</t>
  </si>
  <si>
    <t>Power sector use of: HYDRO</t>
  </si>
  <si>
    <t>ELC_Win-MDG</t>
  </si>
  <si>
    <t>Wind electricity produced in - Madagascar</t>
  </si>
  <si>
    <t>ELCNGA</t>
  </si>
  <si>
    <t>Power sector use of: BIOGASES,BLFURGS,COKEOVGS,ETHANE,GASWKSGS,NATGAS,OGASES,REFINGAS</t>
  </si>
  <si>
    <t>ELC_Win-MLI</t>
  </si>
  <si>
    <t>Wind electricity produced in - Mali</t>
  </si>
  <si>
    <t>ELCNUC</t>
  </si>
  <si>
    <t>Power sector use of: NUCLEAR</t>
  </si>
  <si>
    <t>ELC_Win-MOZ</t>
  </si>
  <si>
    <t>Wind electricity produced in - Mozambique</t>
  </si>
  <si>
    <t>ELCOIL</t>
  </si>
  <si>
    <t>Power sector use of: ADDITIVE,AVGAS,BIODIESEL,BIOGASOL,BIOJETKERO,BITUMEN,JETGAS,LPG,LUBRIC,NAPHTHA,NGL,NONBIOGASO,NONBIOJETK,NONCRUDE,OBIOLIQ,ONONSPEC,OTHKERO,PARWAX,PETCOKE,RESFUEL,WHITESP</t>
  </si>
  <si>
    <t>ELC_Win-MRT</t>
  </si>
  <si>
    <t>Wind electricity produced in - Mauritania</t>
  </si>
  <si>
    <t>ELCOIL_CRD</t>
  </si>
  <si>
    <t>Power sector use of: CRNGFEED,CRUDEOIL,REFFEEDS</t>
  </si>
  <si>
    <t>ELC_Win-MUS</t>
  </si>
  <si>
    <t>Wind electricity produced in - Mauritius</t>
  </si>
  <si>
    <t>ELCOIL_DST</t>
  </si>
  <si>
    <t>Power sector use of: NONBIODIES</t>
  </si>
  <si>
    <t>ELC_Win-MWI</t>
  </si>
  <si>
    <t>Wind electricity produced in - Malawi</t>
  </si>
  <si>
    <t>ELCSPV</t>
  </si>
  <si>
    <t>Power sector use of: SOLARPV</t>
  </si>
  <si>
    <t>ELC_Win-MYT</t>
  </si>
  <si>
    <t>Wind electricity produced in - Mayotte</t>
  </si>
  <si>
    <t>ELCSTH</t>
  </si>
  <si>
    <t>Power sector use of: SOLARTH</t>
  </si>
  <si>
    <t>ELC_Win-NAM</t>
  </si>
  <si>
    <t>Wind electricity produced in - Namibia</t>
  </si>
  <si>
    <t>ELCTDL</t>
  </si>
  <si>
    <t>Power sector use of: TIDE</t>
  </si>
  <si>
    <t>ELC_Win-NER</t>
  </si>
  <si>
    <t>Wind electricity produced in - Niger</t>
  </si>
  <si>
    <t>ELCWIN</t>
  </si>
  <si>
    <t>Power sector use of: WIND</t>
  </si>
  <si>
    <t>ELC_Win-NGA</t>
  </si>
  <si>
    <t>Wind electricity produced in - Nigeria</t>
  </si>
  <si>
    <t>ELC_Win-RWA</t>
  </si>
  <si>
    <t>Wind electricity produced in - Rwanda</t>
  </si>
  <si>
    <t>ELC_Win-SDN</t>
  </si>
  <si>
    <t>Wind electricity produced in - Sudan</t>
  </si>
  <si>
    <t>ELC_Win-SEN</t>
  </si>
  <si>
    <t>Wind electricity produced in - Senegal</t>
  </si>
  <si>
    <t>ELC_Win-SLE</t>
  </si>
  <si>
    <t>Wind electricity produced in - Sierra Leone</t>
  </si>
  <si>
    <t>ELC_Win-SOM</t>
  </si>
  <si>
    <t>Wind electricity produced in - Somalia</t>
  </si>
  <si>
    <t>ELC_Win-SSD</t>
  </si>
  <si>
    <t>Wind electricity produced in - South Sudan</t>
  </si>
  <si>
    <t>ELC_Win-STP</t>
  </si>
  <si>
    <t>Wind electricity produced in - Sao Tome and Principe</t>
  </si>
  <si>
    <t>ELC_Win-SWZ</t>
  </si>
  <si>
    <t>Wind electricity produced in - Swaziland</t>
  </si>
  <si>
    <t>ELC_Win-SYC</t>
  </si>
  <si>
    <t>Wind electricity produced in - Seychelles</t>
  </si>
  <si>
    <t>ELC_Win-TCD</t>
  </si>
  <si>
    <t>Wind electricity produced in - Chad</t>
  </si>
  <si>
    <t>ELC_Win-TGO</t>
  </si>
  <si>
    <t>Wind electricity produced in - Togo</t>
  </si>
  <si>
    <t>ELC_Win-TZA</t>
  </si>
  <si>
    <t>Wind electricity produced in - Tanzania</t>
  </si>
  <si>
    <t>ELC_Win-UGA</t>
  </si>
  <si>
    <t>Wind electricity produced in - Uganda</t>
  </si>
  <si>
    <t>ELC_Win-ZMB</t>
  </si>
  <si>
    <t>Wind electricity produced in - Zambia</t>
  </si>
  <si>
    <t>ELC_Win-ZWE</t>
  </si>
  <si>
    <t>Wind electricity produced in - Zimbabwe</t>
  </si>
  <si>
    <t>ELC_Sol-AUS</t>
  </si>
  <si>
    <t>Solar electricity produced in - Australia</t>
  </si>
  <si>
    <t>ELC_Win-AUS</t>
  </si>
  <si>
    <t>Wind electricity produced in - Australia</t>
  </si>
  <si>
    <t>ELC_Sol-AUT</t>
  </si>
  <si>
    <t>Solar electricity produced in - Austria</t>
  </si>
  <si>
    <t>ELC_Win-AUT</t>
  </si>
  <si>
    <t>Wind electricity produced in - Austria</t>
  </si>
  <si>
    <t>ELC_Sol-EST</t>
  </si>
  <si>
    <t>Solar electricity produced in - Estonia</t>
  </si>
  <si>
    <t>ELC_Sol-LTU</t>
  </si>
  <si>
    <t>Solar electricity produced in - Lithuania</t>
  </si>
  <si>
    <t>ELC_Sol-LVA</t>
  </si>
  <si>
    <t>Solar electricity produced in - Latvia</t>
  </si>
  <si>
    <t>ELC_Win-EST</t>
  </si>
  <si>
    <t>Wind electricity produced in - Estonia</t>
  </si>
  <si>
    <t>ELC_Win-LTU</t>
  </si>
  <si>
    <t>Wind electricity produced in - Lithuania</t>
  </si>
  <si>
    <t>ELC_Win-LVA</t>
  </si>
  <si>
    <t>Wind electricity produced in - Latvia</t>
  </si>
  <si>
    <t>ELC_Sol-BEL</t>
  </si>
  <si>
    <t>Solar electricity produced in - Belgium</t>
  </si>
  <si>
    <t>ELC_Sol-LUX</t>
  </si>
  <si>
    <t>Solar electricity produced in - Luxembourg</t>
  </si>
  <si>
    <t>ELC_Sol-NLD</t>
  </si>
  <si>
    <t>Solar electricity produced in - Netherlands</t>
  </si>
  <si>
    <t>ELC_Win-BEL</t>
  </si>
  <si>
    <t>Wind electricity produced in - Belgium</t>
  </si>
  <si>
    <t>ELC_Win-LUX</t>
  </si>
  <si>
    <t>Wind electricity produced in - Luxembourg</t>
  </si>
  <si>
    <t>ELC_Win-NLD</t>
  </si>
  <si>
    <t>Wind electricity produced in - Netherlands</t>
  </si>
  <si>
    <t>ELC_Sol-BRA</t>
  </si>
  <si>
    <t>Solar electricity produced in - Brazil</t>
  </si>
  <si>
    <t>ELC_Win-BRA</t>
  </si>
  <si>
    <t>Wind electricity produced in - Brazil</t>
  </si>
  <si>
    <t>ELC_Sol-CHN</t>
  </si>
  <si>
    <t>Solar electricity produced in - China</t>
  </si>
  <si>
    <t>ELC_Win-CHN</t>
  </si>
  <si>
    <t>Wind electricity produced in - China</t>
  </si>
  <si>
    <t>ELC_Sol-HRV</t>
  </si>
  <si>
    <t>Solar electricity produced in - Croatia</t>
  </si>
  <si>
    <t>ELC_Sol-SVN</t>
  </si>
  <si>
    <t>Solar electricity produced in - Slovenia</t>
  </si>
  <si>
    <t>ELC_Win-HRV</t>
  </si>
  <si>
    <t>Wind electricity produced in - Croatia</t>
  </si>
  <si>
    <t>ELC_Win-SVN</t>
  </si>
  <si>
    <t>Wind electricity produced in - Slovenia</t>
  </si>
  <si>
    <t>ELC_Sol-CZE</t>
  </si>
  <si>
    <t>Solar electricity produced in - Czech Republic</t>
  </si>
  <si>
    <t>ELC_Sol-SVK</t>
  </si>
  <si>
    <t>Solar electricity produced in - Slovak Republic</t>
  </si>
  <si>
    <t>ELC_Win-CZE</t>
  </si>
  <si>
    <t>Wind electricity produced in - Czech Republic</t>
  </si>
  <si>
    <t>ELC_Win-SVK</t>
  </si>
  <si>
    <t>Wind electricity produced in - Slovak Republic</t>
  </si>
  <si>
    <t>ELC_Sol-FRA</t>
  </si>
  <si>
    <t>Solar electricity produced in - France</t>
  </si>
  <si>
    <t>ELC_Win-FRA</t>
  </si>
  <si>
    <t>Wind electricity produced in - France</t>
  </si>
  <si>
    <t>ELC_Sol-DEU</t>
  </si>
  <si>
    <t>Solar electricity produced in - Germany</t>
  </si>
  <si>
    <t>ELC_Win-DEU</t>
  </si>
  <si>
    <t>Wind electricity produced in - Germany</t>
  </si>
  <si>
    <t>ELC_Sol-CYP</t>
  </si>
  <si>
    <t>Solar electricity produced in - Cyprus</t>
  </si>
  <si>
    <t>ELC_Sol-GRC</t>
  </si>
  <si>
    <t>Solar electricity produced in - Greece</t>
  </si>
  <si>
    <t>ELC_Win-CYP</t>
  </si>
  <si>
    <t>Wind electricity produced in - Cyprus</t>
  </si>
  <si>
    <t>ELC_Win-GRC</t>
  </si>
  <si>
    <t>Wind electricity produced in - Greece</t>
  </si>
  <si>
    <t>ELC_Sol-BGR</t>
  </si>
  <si>
    <t>Solar electricity produced in - Bulgaria</t>
  </si>
  <si>
    <t>ELC_Sol-HUN</t>
  </si>
  <si>
    <t>Solar electricity produced in - Hungary</t>
  </si>
  <si>
    <t>ELC_Sol-ROU</t>
  </si>
  <si>
    <t>Solar electricity produced in - Romania</t>
  </si>
  <si>
    <t>ELC_Win-BGR</t>
  </si>
  <si>
    <t>Wind electricity produced in - Bulgaria</t>
  </si>
  <si>
    <t>ELC_Win-HUN</t>
  </si>
  <si>
    <t>Wind electricity produced in - Hungary</t>
  </si>
  <si>
    <t>ELC_Win-ROU</t>
  </si>
  <si>
    <t>Wind electricity produced in - Romania</t>
  </si>
  <si>
    <t>ELC_Sol-ISL</t>
  </si>
  <si>
    <t>Solar electricity produced in - Iceland</t>
  </si>
  <si>
    <t>ELC_Win-ISL</t>
  </si>
  <si>
    <t>Wind electricity produced in - Iceland</t>
  </si>
  <si>
    <t>ELC_Sol-IND</t>
  </si>
  <si>
    <t>Solar electricity produced in - India</t>
  </si>
  <si>
    <t>ELC_Win-IND</t>
  </si>
  <si>
    <t>Wind electricity produced in - India</t>
  </si>
  <si>
    <t>ELC_Sol-IRL</t>
  </si>
  <si>
    <t>Solar electricity produced in - Ireland</t>
  </si>
  <si>
    <t>ELC_Win-IRL</t>
  </si>
  <si>
    <t>Wind electricity produced in - Ireland</t>
  </si>
  <si>
    <t>ELC_Sol-ITA</t>
  </si>
  <si>
    <t>Solar electricity produced in - Italy</t>
  </si>
  <si>
    <t>ELC_Sol-MLT</t>
  </si>
  <si>
    <t>Solar electricity produced in - Malta</t>
  </si>
  <si>
    <t>ELC_Win-ITA</t>
  </si>
  <si>
    <t>Wind electricity produced in - Italy</t>
  </si>
  <si>
    <t>ELC_Win-MLT</t>
  </si>
  <si>
    <t>Wind electricity produced in - Malta</t>
  </si>
  <si>
    <t>ELC_Sol-JPN</t>
  </si>
  <si>
    <t>Solar electricity produced in - Japan</t>
  </si>
  <si>
    <t>ELC_Win-JPN</t>
  </si>
  <si>
    <t>Wind electricity produced in - Japan</t>
  </si>
  <si>
    <t>ELC_Sol-ABW</t>
  </si>
  <si>
    <t>Solar electricity produced in - Aruba</t>
  </si>
  <si>
    <t>ELC_Sol-ARG</t>
  </si>
  <si>
    <t>Solar electricity produced in - Argentina</t>
  </si>
  <si>
    <t>ELC_Sol-ATG</t>
  </si>
  <si>
    <t>Solar electricity produced in - Antigua and Barbuda</t>
  </si>
  <si>
    <t>ELC_Sol-BHS</t>
  </si>
  <si>
    <t>Solar electricity produced in - The Bahamas</t>
  </si>
  <si>
    <t>ELC_Sol-BLZ</t>
  </si>
  <si>
    <t>Solar electricity produced in - Belize</t>
  </si>
  <si>
    <t>ELC_Sol-BOL</t>
  </si>
  <si>
    <t>Solar electricity produced in - Bolivia</t>
  </si>
  <si>
    <t>ELC_Sol-BRB</t>
  </si>
  <si>
    <t>Solar electricity produced in - Barbados</t>
  </si>
  <si>
    <t>ELC_Sol-CHL</t>
  </si>
  <si>
    <t>Solar electricity produced in - Chile</t>
  </si>
  <si>
    <t>ELC_Sol-COL</t>
  </si>
  <si>
    <t>Solar electricity produced in - Colombia</t>
  </si>
  <si>
    <t>ELC_Sol-CRI</t>
  </si>
  <si>
    <t>Solar electricity produced in - Costa Rica</t>
  </si>
  <si>
    <t>ELC_Sol-CUB</t>
  </si>
  <si>
    <t>Solar electricity produced in - Cuba</t>
  </si>
  <si>
    <t>ELC_Sol-CYM</t>
  </si>
  <si>
    <t>Solar electricity produced in - Cayman Islands</t>
  </si>
  <si>
    <t>ELC_Sol-DMA</t>
  </si>
  <si>
    <t>Solar electricity produced in - Dominica</t>
  </si>
  <si>
    <t>ELC_Sol-DOM</t>
  </si>
  <si>
    <t>Solar electricity produced in - Dominican Republic</t>
  </si>
  <si>
    <t>ELC_Sol-ECU</t>
  </si>
  <si>
    <t>Solar electricity produced in - Ecuador</t>
  </si>
  <si>
    <t>ELC_Sol-GRD</t>
  </si>
  <si>
    <t>Solar electricity produced in - Grenada</t>
  </si>
  <si>
    <t>ELC_Sol-GTM</t>
  </si>
  <si>
    <t>Solar electricity produced in - Guatemala</t>
  </si>
  <si>
    <t>ELC_Sol-GUF</t>
  </si>
  <si>
    <t>Solar electricity produced in - French Guiana</t>
  </si>
  <si>
    <t>ELC_Sol-GUY</t>
  </si>
  <si>
    <t>Solar electricity produced in - Guyana</t>
  </si>
  <si>
    <t>ELC_Sol-HND</t>
  </si>
  <si>
    <t>Solar electricity produced in - Honduras</t>
  </si>
  <si>
    <t>ELC_Sol-HTI</t>
  </si>
  <si>
    <t>Solar electricity produced in - Haiti</t>
  </si>
  <si>
    <t>ELC_Sol-JAM</t>
  </si>
  <si>
    <t>Solar electricity produced in - Jamaica</t>
  </si>
  <si>
    <t>ELC_Sol-KNA</t>
  </si>
  <si>
    <t>Solar electricity produced in - St. Kitts and Nevis</t>
  </si>
  <si>
    <t>ELC_Sol-LCA</t>
  </si>
  <si>
    <t>Solar electricity produced in - St. Lucia</t>
  </si>
  <si>
    <t>ELC_Sol-MSR</t>
  </si>
  <si>
    <t>Solar electricity produced in - Montserrat</t>
  </si>
  <si>
    <t>ELC_Sol-NIC</t>
  </si>
  <si>
    <t>Solar electricity produced in - Nicaragua</t>
  </si>
  <si>
    <t>ELC_Sol-PAN</t>
  </si>
  <si>
    <t>Solar electricity produced in - Panama</t>
  </si>
  <si>
    <t>ELC_Sol-PER</t>
  </si>
  <si>
    <t>Solar electricity produced in - Peru</t>
  </si>
  <si>
    <t>ELC_Sol-PRI</t>
  </si>
  <si>
    <t>Solar electricity produced in - Puerto Rico</t>
  </si>
  <si>
    <t>ELC_Sol-PRY</t>
  </si>
  <si>
    <t>Solar electricity produced in - Paraguay</t>
  </si>
  <si>
    <t>ELC_Sol-SLV</t>
  </si>
  <si>
    <t>Solar electricity produced in - El Salvador</t>
  </si>
  <si>
    <t>ELC_Sol-SUR</t>
  </si>
  <si>
    <t>Solar electricity produced in - Suriname</t>
  </si>
  <si>
    <t>ELC_Sol-TCA</t>
  </si>
  <si>
    <t>Solar electricity produced in - Turks and Caicos Islands</t>
  </si>
  <si>
    <t>ELC_Sol-TTO</t>
  </si>
  <si>
    <t>Solar electricity produced in - Trinidad and Tobago</t>
  </si>
  <si>
    <t>ELC_Sol-URY</t>
  </si>
  <si>
    <t>Solar electricity produced in - Uruguay</t>
  </si>
  <si>
    <t>ELC_Sol-VCT</t>
  </si>
  <si>
    <t>Solar electricity produced in - St. Vincent and the Grenadines</t>
  </si>
  <si>
    <t>ELC_Sol-VEN</t>
  </si>
  <si>
    <t>Solar electricity produced in - Venezuela</t>
  </si>
  <si>
    <t>ELC_Sol-VIR</t>
  </si>
  <si>
    <t>Solar electricity produced in - Virgin Islands</t>
  </si>
  <si>
    <t>ELC_Win-ABW</t>
  </si>
  <si>
    <t>Wind electricity produced in - Aruba</t>
  </si>
  <si>
    <t>ELC_Win-ARG</t>
  </si>
  <si>
    <t>Wind electricity produced in - Argentina</t>
  </si>
  <si>
    <t>ELC_Win-ATG</t>
  </si>
  <si>
    <t>Wind electricity produced in - Antigua and Barbuda</t>
  </si>
  <si>
    <t>ELC_Win-BHS</t>
  </si>
  <si>
    <t>Wind electricity produced in - The Bahamas</t>
  </si>
  <si>
    <t>ELC_Win-BLZ</t>
  </si>
  <si>
    <t>Wind electricity produced in - Belize</t>
  </si>
  <si>
    <t>ELC_Win-BOL</t>
  </si>
  <si>
    <t>Wind electricity produced in - Bolivia</t>
  </si>
  <si>
    <t>ELC_Win-BRB</t>
  </si>
  <si>
    <t>Wind electricity produced in - Barbados</t>
  </si>
  <si>
    <t>ELC_Win-CHL</t>
  </si>
  <si>
    <t>Wind electricity produced in - Chile</t>
  </si>
  <si>
    <t>ELC_Win-COL</t>
  </si>
  <si>
    <t>Wind electricity produced in - Colombia</t>
  </si>
  <si>
    <t>ELC_Win-CRI</t>
  </si>
  <si>
    <t>Wind electricity produced in - Costa Rica</t>
  </si>
  <si>
    <t>ELC_Win-CUB</t>
  </si>
  <si>
    <t>Wind electricity produced in - Cuba</t>
  </si>
  <si>
    <t>ELC_Win-CYM</t>
  </si>
  <si>
    <t>Wind electricity produced in - Cayman Islands</t>
  </si>
  <si>
    <t>ELC_Win-DMA</t>
  </si>
  <si>
    <t>Wind electricity produced in - Dominica</t>
  </si>
  <si>
    <t>ELC_Win-DOM</t>
  </si>
  <si>
    <t>Wind electricity produced in - Dominican Republic</t>
  </si>
  <si>
    <t>ELC_Win-ECU</t>
  </si>
  <si>
    <t>Wind electricity produced in - Ecuador</t>
  </si>
  <si>
    <t>ELC_Win-GRD</t>
  </si>
  <si>
    <t>Wind electricity produced in - Grenada</t>
  </si>
  <si>
    <t>ELC_Win-GTM</t>
  </si>
  <si>
    <t>Wind electricity produced in - Guatemala</t>
  </si>
  <si>
    <t>ELC_Win-GUF</t>
  </si>
  <si>
    <t>Wind electricity produced in - French Guiana</t>
  </si>
  <si>
    <t>ELC_Win-GUY</t>
  </si>
  <si>
    <t>Wind electricity produced in - Guyana</t>
  </si>
  <si>
    <t>ELC_Win-HND</t>
  </si>
  <si>
    <t>Wind electricity produced in - Honduras</t>
  </si>
  <si>
    <t>ELC_Win-HTI</t>
  </si>
  <si>
    <t>Wind electricity produced in - Haiti</t>
  </si>
  <si>
    <t>ELC_Win-JAM</t>
  </si>
  <si>
    <t>Wind electricity produced in - Jamaica</t>
  </si>
  <si>
    <t>ELC_Win-KNA</t>
  </si>
  <si>
    <t>Wind electricity produced in - St. Kitts and Nevis</t>
  </si>
  <si>
    <t>ELC_Win-LCA</t>
  </si>
  <si>
    <t>Wind electricity produced in - St. Lucia</t>
  </si>
  <si>
    <t>ELC_Win-MSR</t>
  </si>
  <si>
    <t>Wind electricity produced in - Montserrat</t>
  </si>
  <si>
    <t>ELC_Win-NIC</t>
  </si>
  <si>
    <t>Wind electricity produced in - Nicaragua</t>
  </si>
  <si>
    <t>ELC_Win-PAN</t>
  </si>
  <si>
    <t>Wind electricity produced in - Panama</t>
  </si>
  <si>
    <t>ELC_Win-PER</t>
  </si>
  <si>
    <t>Wind electricity produced in - Peru</t>
  </si>
  <si>
    <t>ELC_Win-PRI</t>
  </si>
  <si>
    <t>Wind electricity produced in - Puerto Rico</t>
  </si>
  <si>
    <t>ELC_Win-PRY</t>
  </si>
  <si>
    <t>Wind electricity produced in - Paraguay</t>
  </si>
  <si>
    <t>ELC_Win-SLV</t>
  </si>
  <si>
    <t>Wind electricity produced in - El Salvador</t>
  </si>
  <si>
    <t>ELC_Win-SUR</t>
  </si>
  <si>
    <t>Wind electricity produced in - Suriname</t>
  </si>
  <si>
    <t>ELC_Win-TCA</t>
  </si>
  <si>
    <t>Wind electricity produced in - Turks and Caicos Islands</t>
  </si>
  <si>
    <t>ELC_Win-TTO</t>
  </si>
  <si>
    <t>Wind electricity produced in - Trinidad and Tobago</t>
  </si>
  <si>
    <t>ELC_Win-URY</t>
  </si>
  <si>
    <t>Wind electricity produced in - Uruguay</t>
  </si>
  <si>
    <t>ELC_Win-VCT</t>
  </si>
  <si>
    <t>Wind electricity produced in - St. Vincent and the Grenadines</t>
  </si>
  <si>
    <t>ELC_Win-VEN</t>
  </si>
  <si>
    <t>Wind electricity produced in - Venezuela</t>
  </si>
  <si>
    <t>ELC_Win-VIR</t>
  </si>
  <si>
    <t>Wind electricity produced in - Virgin Islands</t>
  </si>
  <si>
    <t>ELC_Sol-ARE</t>
  </si>
  <si>
    <t>Solar electricity produced in - United Arab Emirates</t>
  </si>
  <si>
    <t>ELC_Sol-BHR</t>
  </si>
  <si>
    <t>Solar electricity produced in - Bahrain</t>
  </si>
  <si>
    <t>ELC_Sol-IRN</t>
  </si>
  <si>
    <t>Solar electricity produced in - Iran</t>
  </si>
  <si>
    <t>ELC_Sol-IRQ</t>
  </si>
  <si>
    <t>Solar electricity produced in - Iraq</t>
  </si>
  <si>
    <t>ELC_Sol-ISR</t>
  </si>
  <si>
    <t>Solar electricity produced in - Israel</t>
  </si>
  <si>
    <t>ELC_Sol-JOR</t>
  </si>
  <si>
    <t>Solar electricity produced in - Jordan</t>
  </si>
  <si>
    <t>ELC_Sol-KWT</t>
  </si>
  <si>
    <t>Solar electricity produced in - Kuwait</t>
  </si>
  <si>
    <t>ELC_Sol-LBN</t>
  </si>
  <si>
    <t>Solar electricity produced in - Lebanon</t>
  </si>
  <si>
    <t>ELC_Sol-OMN</t>
  </si>
  <si>
    <t>Solar electricity produced in - Oman</t>
  </si>
  <si>
    <t>ELC_Sol-PSE</t>
  </si>
  <si>
    <t>Solar electricity produced in - Palestine</t>
  </si>
  <si>
    <t>ELC_Sol-QAT</t>
  </si>
  <si>
    <t>Solar electricity produced in - Qatar</t>
  </si>
  <si>
    <t>ELC_Sol-SYR</t>
  </si>
  <si>
    <t>Solar electricity produced in - Syrian Arab Republic</t>
  </si>
  <si>
    <t>ELC_Sol-YEM</t>
  </si>
  <si>
    <t>Solar electricity produced in - Yemen</t>
  </si>
  <si>
    <t>ELC_Win-ARE</t>
  </si>
  <si>
    <t>Wind electricity produced in - United Arab Emirates</t>
  </si>
  <si>
    <t>ELC_Win-BHR</t>
  </si>
  <si>
    <t>Wind electricity produced in - Bahrain</t>
  </si>
  <si>
    <t>ELC_Win-IRN</t>
  </si>
  <si>
    <t>Wind electricity produced in - Iran</t>
  </si>
  <si>
    <t>ELC_Win-IRQ</t>
  </si>
  <si>
    <t>Wind electricity produced in - Iraq</t>
  </si>
  <si>
    <t>ELC_Win-ISR</t>
  </si>
  <si>
    <t>Wind electricity produced in - Israel</t>
  </si>
  <si>
    <t>ELC_Win-JOR</t>
  </si>
  <si>
    <t>Wind electricity produced in - Jordan</t>
  </si>
  <si>
    <t>ELC_Win-KWT</t>
  </si>
  <si>
    <t>Wind electricity produced in - Kuwait</t>
  </si>
  <si>
    <t>ELC_Win-LBN</t>
  </si>
  <si>
    <t>Wind electricity produced in - Lebanon</t>
  </si>
  <si>
    <t>ELC_Win-OMN</t>
  </si>
  <si>
    <t>Wind electricity produced in - Oman</t>
  </si>
  <si>
    <t>ELC_Win-PSE</t>
  </si>
  <si>
    <t>Wind electricity produced in - Palestine</t>
  </si>
  <si>
    <t>ELC_Win-QAT</t>
  </si>
  <si>
    <t>Wind electricity produced in - Qatar</t>
  </si>
  <si>
    <t>ELC_Win-SYR</t>
  </si>
  <si>
    <t>Wind electricity produced in - Syrian Arab Republic</t>
  </si>
  <si>
    <t>ELC_Win-YEM</t>
  </si>
  <si>
    <t>Wind electricity produced in - Yemen</t>
  </si>
  <si>
    <t>ELC_Sol-CAN</t>
  </si>
  <si>
    <t>Solar electricity produced in - Canada</t>
  </si>
  <si>
    <t>ELC_Sol-MEX</t>
  </si>
  <si>
    <t>Solar electricity produced in - Mexico</t>
  </si>
  <si>
    <t>ELC_Sol-USA</t>
  </si>
  <si>
    <t>Solar electricity produced in - United States</t>
  </si>
  <si>
    <t>ELC_Win-CAN</t>
  </si>
  <si>
    <t>Wind electricity produced in - Canada</t>
  </si>
  <si>
    <t>ELC_Win-MEX</t>
  </si>
  <si>
    <t>Wind electricity produced in - Mexico</t>
  </si>
  <si>
    <t>ELC_Win-USA</t>
  </si>
  <si>
    <t>Wind electricity produced in - United States</t>
  </si>
  <si>
    <t>ELC_Sol-NOR</t>
  </si>
  <si>
    <t>Solar electricity produced in - Norway</t>
  </si>
  <si>
    <t>ELC_Win-NOR</t>
  </si>
  <si>
    <t>Wind electricity produced in - Norway</t>
  </si>
  <si>
    <t>ELC_Sol-POL</t>
  </si>
  <si>
    <t>Solar electricity produced in - Poland</t>
  </si>
  <si>
    <t>ELC_Win-POL</t>
  </si>
  <si>
    <t>Wind electricity produced in - Poland</t>
  </si>
  <si>
    <t>ELC_Sol-AFG</t>
  </si>
  <si>
    <t>Solar electricity produced in - Afghanistan</t>
  </si>
  <si>
    <t>ELC_Sol-ARM</t>
  </si>
  <si>
    <t>Solar electricity produced in - Armenia</t>
  </si>
  <si>
    <t>ELC_Sol-ASM</t>
  </si>
  <si>
    <t>Solar electricity produced in - American Samoa</t>
  </si>
  <si>
    <t>ELC_Sol-AZE</t>
  </si>
  <si>
    <t>Solar electricity produced in - Azerbaijan</t>
  </si>
  <si>
    <t>ELC_Sol-BGD</t>
  </si>
  <si>
    <t>Solar electricity produced in - Bangladesh</t>
  </si>
  <si>
    <t>ELC_Sol-BRN</t>
  </si>
  <si>
    <t>Solar electricity produced in - Brunei</t>
  </si>
  <si>
    <t>ELC_Sol-BTN</t>
  </si>
  <si>
    <t>Solar electricity produced in - Bhutan</t>
  </si>
  <si>
    <t>ELC_Sol-COK</t>
  </si>
  <si>
    <t>Solar electricity produced in - Cook Islands</t>
  </si>
  <si>
    <t>ELC_Sol-FJI</t>
  </si>
  <si>
    <t>Solar electricity produced in - Fiji</t>
  </si>
  <si>
    <t>ELC_Sol-GEO</t>
  </si>
  <si>
    <t>Solar electricity produced in - Georgia</t>
  </si>
  <si>
    <t>ELC_Sol-HKG</t>
  </si>
  <si>
    <t>Solar electricity produced in - Hong Kong SAR, China</t>
  </si>
  <si>
    <t>ELC_Sol-IDN</t>
  </si>
  <si>
    <t>Solar electricity produced in - Indonesia</t>
  </si>
  <si>
    <t>ELC_Sol-KAZ</t>
  </si>
  <si>
    <t>Solar electricity produced in - Kazakhstan</t>
  </si>
  <si>
    <t>ELC_Sol-KGZ</t>
  </si>
  <si>
    <t>Solar electricity produced in - Kyrgyz Republic</t>
  </si>
  <si>
    <t>ELC_Sol-KHM</t>
  </si>
  <si>
    <t>Solar electricity produced in - Cambodia</t>
  </si>
  <si>
    <t>ELC_Sol-KIR</t>
  </si>
  <si>
    <t>Solar electricity produced in - Kiribati</t>
  </si>
  <si>
    <t>ELC_Sol-KOR</t>
  </si>
  <si>
    <t>Solar electricity produced in - South Korea</t>
  </si>
  <si>
    <t>ELC_Sol-LAO</t>
  </si>
  <si>
    <t>Solar electricity produced in - Laos</t>
  </si>
  <si>
    <t>ELC_Sol-LKA</t>
  </si>
  <si>
    <t>Solar electricity produced in - Sri Lanka</t>
  </si>
  <si>
    <t>ELC_Sol-MDV</t>
  </si>
  <si>
    <t>Solar electricity produced in - Maldives</t>
  </si>
  <si>
    <t>ELC_Sol-MMR</t>
  </si>
  <si>
    <t>Solar electricity produced in - Myanmar</t>
  </si>
  <si>
    <t>ELC_Sol-MNG</t>
  </si>
  <si>
    <t>Solar electricity produced in - Mongolia</t>
  </si>
  <si>
    <t>ELC_Sol-MYS</t>
  </si>
  <si>
    <t>Solar electricity produced in - Malaysia</t>
  </si>
  <si>
    <t>ELC_Sol-NCL</t>
  </si>
  <si>
    <t>Solar electricity produced in - New Caledonia</t>
  </si>
  <si>
    <t>ELC_Sol-NPL</t>
  </si>
  <si>
    <t>Solar electricity produced in - Nepal</t>
  </si>
  <si>
    <t>ELC_Sol-NZL</t>
  </si>
  <si>
    <t>Solar electricity produced in - New Zealand</t>
  </si>
  <si>
    <t>ELC_Sol-PAK</t>
  </si>
  <si>
    <t>Solar electricity produced in - Pakistan</t>
  </si>
  <si>
    <t>ELC_Sol-PHL</t>
  </si>
  <si>
    <t>Solar electricity produced in - Philippines</t>
  </si>
  <si>
    <t>ELC_Sol-PLW</t>
  </si>
  <si>
    <t>Solar electricity produced in - Palau</t>
  </si>
  <si>
    <t>ELC_Sol-PNG</t>
  </si>
  <si>
    <t>Solar electricity produced in - Papua New Guinea</t>
  </si>
  <si>
    <t>ELC_Sol-PRK</t>
  </si>
  <si>
    <t>Solar electricity produced in - Dem. People^s Rep. Korea</t>
  </si>
  <si>
    <t>ELC_Sol-PYF</t>
  </si>
  <si>
    <t>Solar electricity produced in - French Polynesia</t>
  </si>
  <si>
    <t>ELC_Sol-SGP</t>
  </si>
  <si>
    <t>Solar electricity produced in - Singapore</t>
  </si>
  <si>
    <t>ELC_Sol-SLB</t>
  </si>
  <si>
    <t>Solar electricity produced in - Solomon Islands</t>
  </si>
  <si>
    <t>ELC_Sol-THA</t>
  </si>
  <si>
    <t>Solar electricity produced in - Thailand</t>
  </si>
  <si>
    <t>ELC_Sol-TJK</t>
  </si>
  <si>
    <t>Solar electricity produced in - Tajikistan</t>
  </si>
  <si>
    <t>ELC_Sol-TON</t>
  </si>
  <si>
    <t>Solar electricity produced in - Tonga</t>
  </si>
  <si>
    <t>ELC_Sol-TWN</t>
  </si>
  <si>
    <t>Solar electricity produced in - Taiwan</t>
  </si>
  <si>
    <t>ELC_Sol-UZB</t>
  </si>
  <si>
    <t>Solar electricity produced in - Uzbekistan</t>
  </si>
  <si>
    <t>ELC_Sol-VNM</t>
  </si>
  <si>
    <t>Solar electricity produced in - Vietnam</t>
  </si>
  <si>
    <t>ELC_Sol-VUT</t>
  </si>
  <si>
    <t>Solar electricity produced in - Vanuatu</t>
  </si>
  <si>
    <t>ELC_Win-AFG</t>
  </si>
  <si>
    <t>Wind electricity produced in - Afghanistan</t>
  </si>
  <si>
    <t>ELC_Win-ARM</t>
  </si>
  <si>
    <t>Wind electricity produced in - Armenia</t>
  </si>
  <si>
    <t>ELC_Win-ASM</t>
  </si>
  <si>
    <t>Wind electricity produced in - American Samoa</t>
  </si>
  <si>
    <t>ELC_Win-AZE</t>
  </si>
  <si>
    <t>Wind electricity produced in - Azerbaijan</t>
  </si>
  <si>
    <t>ELC_Win-BGD</t>
  </si>
  <si>
    <t>Wind electricity produced in - Bangladesh</t>
  </si>
  <si>
    <t>ELC_Win-BRN</t>
  </si>
  <si>
    <t>Wind electricity produced in - Brunei</t>
  </si>
  <si>
    <t>ELC_Win-BTN</t>
  </si>
  <si>
    <t>Wind electricity produced in - Bhutan</t>
  </si>
  <si>
    <t>ELC_Win-COK</t>
  </si>
  <si>
    <t>Wind electricity produced in - Cook Islands</t>
  </si>
  <si>
    <t>ELC_Win-FJI</t>
  </si>
  <si>
    <t>Wind electricity produced in - Fiji</t>
  </si>
  <si>
    <t>ELC_Win-GEO</t>
  </si>
  <si>
    <t>Wind electricity produced in - Georgia</t>
  </si>
  <si>
    <t>ELC_Win-HKG</t>
  </si>
  <si>
    <t>Wind electricity produced in - Hong Kong SAR, China</t>
  </si>
  <si>
    <t>ELC_Win-IDN</t>
  </si>
  <si>
    <t>Wind electricity produced in - Indonesia</t>
  </si>
  <si>
    <t>ELC_Win-KAZ</t>
  </si>
  <si>
    <t>Wind electricity produced in - Kazakhstan</t>
  </si>
  <si>
    <t>ELC_Win-KGZ</t>
  </si>
  <si>
    <t>Wind electricity produced in - Kyrgyz Republic</t>
  </si>
  <si>
    <t>ELC_Win-KHM</t>
  </si>
  <si>
    <t>Wind electricity produced in - Cambodia</t>
  </si>
  <si>
    <t>ELC_Win-KIR</t>
  </si>
  <si>
    <t>Wind electricity produced in - Kiribati</t>
  </si>
  <si>
    <t>ELC_Win-KOR</t>
  </si>
  <si>
    <t>Wind electricity produced in - South Korea</t>
  </si>
  <si>
    <t>ELC_Win-LAO</t>
  </si>
  <si>
    <t>Wind electricity produced in - Laos</t>
  </si>
  <si>
    <t>ELC_Win-LKA</t>
  </si>
  <si>
    <t>Wind electricity produced in - Sri Lanka</t>
  </si>
  <si>
    <t>ELC_Win-MDV</t>
  </si>
  <si>
    <t>Wind electricity produced in - Maldives</t>
  </si>
  <si>
    <t>ELC_Win-MMR</t>
  </si>
  <si>
    <t>Wind electricity produced in - Myanmar</t>
  </si>
  <si>
    <t>ELC_Win-MNG</t>
  </si>
  <si>
    <t>Wind electricity produced in - Mongolia</t>
  </si>
  <si>
    <t>ELC_Win-MYS</t>
  </si>
  <si>
    <t>Wind electricity produced in - Malaysia</t>
  </si>
  <si>
    <t>ELC_Win-NCL</t>
  </si>
  <si>
    <t>Wind electricity produced in - New Caledonia</t>
  </si>
  <si>
    <t>ELC_Win-NPL</t>
  </si>
  <si>
    <t>Wind electricity produced in - Nepal</t>
  </si>
  <si>
    <t>ELC_Win-NZL</t>
  </si>
  <si>
    <t>Wind electricity produced in - New Zealand</t>
  </si>
  <si>
    <t>ELC_Win-PAK</t>
  </si>
  <si>
    <t>Wind electricity produced in - Pakistan</t>
  </si>
  <si>
    <t>ELC_Win-PHL</t>
  </si>
  <si>
    <t>Wind electricity produced in - Philippines</t>
  </si>
  <si>
    <t>ELC_Win-PLW</t>
  </si>
  <si>
    <t>Wind electricity produced in - Palau</t>
  </si>
  <si>
    <t>ELC_Win-PNG</t>
  </si>
  <si>
    <t>Wind electricity produced in - Papua New Guinea</t>
  </si>
  <si>
    <t>ELC_Win-PRK</t>
  </si>
  <si>
    <t>Wind electricity produced in - Dem. People^s Rep. Korea</t>
  </si>
  <si>
    <t>ELC_Win-PYF</t>
  </si>
  <si>
    <t>Wind electricity produced in - French Polynesia</t>
  </si>
  <si>
    <t>ELC_Win-SGP</t>
  </si>
  <si>
    <t>Wind electricity produced in - Singapore</t>
  </si>
  <si>
    <t>ELC_Win-SLB</t>
  </si>
  <si>
    <t>Wind electricity produced in - Solomon Islands</t>
  </si>
  <si>
    <t>ELC_Win-THA</t>
  </si>
  <si>
    <t>Wind electricity produced in - Thailand</t>
  </si>
  <si>
    <t>ELC_Win-TJK</t>
  </si>
  <si>
    <t>Wind electricity produced in - Tajikistan</t>
  </si>
  <si>
    <t>ELC_Win-TKM</t>
  </si>
  <si>
    <t>Wind electricity produced in - Turkmenistan</t>
  </si>
  <si>
    <t>ELC_Win-TON</t>
  </si>
  <si>
    <t>Wind electricity produced in - Tonga</t>
  </si>
  <si>
    <t>ELC_Win-TWN</t>
  </si>
  <si>
    <t>Wind electricity produced in - Taiwan</t>
  </si>
  <si>
    <t>ELC_Win-UZB</t>
  </si>
  <si>
    <t>Wind electricity produced in - Uzbekistan</t>
  </si>
  <si>
    <t>ELC_Win-VNM</t>
  </si>
  <si>
    <t>Wind electricity produced in - Vietnam</t>
  </si>
  <si>
    <t>ELC_Win-VUT</t>
  </si>
  <si>
    <t>Wind electricity produced in - Vanuatu</t>
  </si>
  <si>
    <t>ELC_Sol-BLR</t>
  </si>
  <si>
    <t>Solar electricity produced in - Belarus</t>
  </si>
  <si>
    <t>ELC_Sol-RUS</t>
  </si>
  <si>
    <t>Solar electricity produced in - Russia</t>
  </si>
  <si>
    <t>ELC_Win-BLR</t>
  </si>
  <si>
    <t>Wind electricity produced in - Belarus</t>
  </si>
  <si>
    <t>ELC_Win-RUS</t>
  </si>
  <si>
    <t>Wind electricity produced in - Russia</t>
  </si>
  <si>
    <t>ELC_Sol-SAU</t>
  </si>
  <si>
    <t>Solar electricity produced in - Saudi Arabia</t>
  </si>
  <si>
    <t>ELC_Win-SAU</t>
  </si>
  <si>
    <t>Wind electricity produced in - Saudi Arabia</t>
  </si>
  <si>
    <t>ELC_Sol-ZAF</t>
  </si>
  <si>
    <t>Solar electricity produced in - South Africa</t>
  </si>
  <si>
    <t>ELC_Win-ZAF</t>
  </si>
  <si>
    <t>Wind electricity produced in - South Africa</t>
  </si>
  <si>
    <t>ELC_Sol-ESP</t>
  </si>
  <si>
    <t>Solar electricity produced in - Spain</t>
  </si>
  <si>
    <t>ELC_Sol-PRT</t>
  </si>
  <si>
    <t>Solar electricity produced in - Portugal</t>
  </si>
  <si>
    <t>ELC_Win-ESP</t>
  </si>
  <si>
    <t>Wind electricity produced in - Spain</t>
  </si>
  <si>
    <t>ELC_Win-PRT</t>
  </si>
  <si>
    <t>Wind electricity produced in - Portugal</t>
  </si>
  <si>
    <t>ELC_Sol-DNK</t>
  </si>
  <si>
    <t>Solar electricity produced in - Denmark</t>
  </si>
  <si>
    <t>ELC_Sol-FIN</t>
  </si>
  <si>
    <t>Solar electricity produced in - Finland</t>
  </si>
  <si>
    <t>ELC_Sol-SWE</t>
  </si>
  <si>
    <t>Solar electricity produced in - Sweden</t>
  </si>
  <si>
    <t>ELC_Win-DNK</t>
  </si>
  <si>
    <t>Wind electricity produced in - Denmark</t>
  </si>
  <si>
    <t>ELC_Win-FIN</t>
  </si>
  <si>
    <t>Wind electricity produced in - Finland</t>
  </si>
  <si>
    <t>ELC_Win-SWE</t>
  </si>
  <si>
    <t>Wind electricity produced in - Sweden</t>
  </si>
  <si>
    <t>ELC_Sol-CHE</t>
  </si>
  <si>
    <t>Solar electricity produced in - Switzerland</t>
  </si>
  <si>
    <t>ELC_Win-CHE</t>
  </si>
  <si>
    <t>Wind electricity produced in - Switzerland</t>
  </si>
  <si>
    <t>ELC_Sol-TUR</t>
  </si>
  <si>
    <t>Solar electricity produced in - Turkey</t>
  </si>
  <si>
    <t>ELC_Win-TUR</t>
  </si>
  <si>
    <t>Wind electricity produced in - Turkey</t>
  </si>
  <si>
    <t>ELC_Sol-GBR</t>
  </si>
  <si>
    <t>Solar electricity produced in - United Kingdom</t>
  </si>
  <si>
    <t>ELC_Win-GBR</t>
  </si>
  <si>
    <t>Wind electricity produced in - United Kingdom</t>
  </si>
  <si>
    <t>ELC_Sol-MDA</t>
  </si>
  <si>
    <t>Solar electricity produced in - Moldova</t>
  </si>
  <si>
    <t>ELC_Sol-UKR</t>
  </si>
  <si>
    <t>Solar electricity produced in - Ukraine</t>
  </si>
  <si>
    <t>ELC_Win-MDA</t>
  </si>
  <si>
    <t>Wind electricity produced in - Moldova</t>
  </si>
  <si>
    <t>ELC_Win-UKR</t>
  </si>
  <si>
    <t>Wind electricity produced in - Ukraine</t>
  </si>
  <si>
    <t>ELC_Sol-ALB</t>
  </si>
  <si>
    <t>Solar electricity produced in - Albania</t>
  </si>
  <si>
    <t>ELC_Sol-BIH</t>
  </si>
  <si>
    <t>Solar electricity produced in - Bosnia and Herzegovina</t>
  </si>
  <si>
    <t>ELC_Sol-MKD</t>
  </si>
  <si>
    <t>Solar electricity produced in - Macedonia</t>
  </si>
  <si>
    <t>ELC_Sol-MNE</t>
  </si>
  <si>
    <t>Solar electricity produced in - Montenegro</t>
  </si>
  <si>
    <t>ELC_Sol-SRB</t>
  </si>
  <si>
    <t>Solar electricity produced in - Serbia</t>
  </si>
  <si>
    <t>ELC_Sol-XXK</t>
  </si>
  <si>
    <t>Solar electricity produced in - Kosovo</t>
  </si>
  <si>
    <t>ELC_Win-ALB</t>
  </si>
  <si>
    <t>Wind electricity produced in - Albania</t>
  </si>
  <si>
    <t>ELC_Win-BIH</t>
  </si>
  <si>
    <t>Wind electricity produced in - Bosnia and Herzegovina</t>
  </si>
  <si>
    <t>ELC_Win-MKD</t>
  </si>
  <si>
    <t>Wind electricity produced in - Macedonia</t>
  </si>
  <si>
    <t>ELC_Win-MNE</t>
  </si>
  <si>
    <t>Wind electricity produced in - Montenegro</t>
  </si>
  <si>
    <t>ELC_Win-SRB</t>
  </si>
  <si>
    <t>Wind electricity produced in - Serbia</t>
  </si>
  <si>
    <t>ELC_Win-XXK</t>
  </si>
  <si>
    <t>Wind electricity produced in - Kosovo</t>
  </si>
  <si>
    <t>msy13_2100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</si>
</sst>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 * #,##0.00_ ;_ * \-#,##0.00_ ;_ * &quot;-&quot;??_ ;_ @_ "/>
    <numFmt numFmtId="164" formatCode="_-* #,##0_-;\-* #,##0_-;_-* &quot;-&quot;_-;_-@_-"/>
    <numFmt numFmtId="165" formatCode="_-* #,##0.00_-;\-* #,##0.00_-;_-* &quot;-&quot;??_-;_-@_-"/>
    <numFmt numFmtId="168" formatCode="0.0%"/>
    <numFmt numFmtId="169" formatCode="_-&quot;$&quot;* #,##0.00_-;\-&quot;$&quot;* #,##0.00_-;_-&quot;$&quot;* &quot;-&quot;??_-;_-@_-"/>
    <numFmt numFmtId="170" formatCode="m\o\n\th\ d\,\ yyyy"/>
    <numFmt numFmtId="171" formatCode="_([$€]* #,##0.00_);_([$€]* \(#,##0.00\);_([$€]* &quot;-&quot;??_);_(@_)"/>
    <numFmt numFmtId="172" formatCode="_([$€-2]* #,##0.00_);_([$€-2]* \(#,##0.00\);_([$€-2]* &quot;-&quot;??_)"/>
    <numFmt numFmtId="173" formatCode="_-[$€-2]\ * #,##0.00_-;\-[$€-2]\ * #,##0.00_-;_-[$€-2]\ * &quot;-&quot;??_-"/>
    <numFmt numFmtId="174" formatCode="_-[$€]* #,##0.00_-;\-[$€]* #,##0.00_-;_-[$€]* &quot;-&quot;??_-;_-@_-"/>
    <numFmt numFmtId="175" formatCode="_-&quot;€&quot;\ * #,##0.00_-;\-&quot;€&quot;\ * #,##0.00_-;_-&quot;€&quot;\ * &quot;-&quot;??_-;_-@_-"/>
    <numFmt numFmtId="176" formatCode="#.00"/>
    <numFmt numFmtId="177" formatCode="#."/>
    <numFmt numFmtId="178" formatCode="_-* #,##0.00\ _€_-;\-* #,##0.00\ _€_-;_-* &quot;-&quot;??\ _€_-;_-@_-"/>
    <numFmt numFmtId="179" formatCode="&quot;$&quot;#,##0_);\(&quot;$&quot;#,##0\)"/>
    <numFmt numFmtId="180" formatCode="General_)"/>
    <numFmt numFmtId="181" formatCode="\(##\);\(##\)"/>
    <numFmt numFmtId="182" formatCode="#,##0;\-\ #,##0;_-\ &quot;- &quot;"/>
    <numFmt numFmtId="183" formatCode="_(* #,##0.00_);_(* \(#,##0.00\);_(* &quot;-&quot;??_);_(@_)"/>
    <numFmt numFmtId="184" formatCode="_(* #,##0_);_(* \(#,##0\);_(* &quot;-&quot;_);_(@_)"/>
    <numFmt numFmtId="185" formatCode="_ &quot;kr&quot;\ * #,##0_ ;_ &quot;kr&quot;\ * \-#,##0_ ;_ &quot;kr&quot;\ * &quot;-&quot;_ ;_ @_ "/>
    <numFmt numFmtId="186" formatCode="yyyy"/>
    <numFmt numFmtId="187" formatCode="#,##0.0"/>
    <numFmt numFmtId="188" formatCode="_ &quot;kr&quot;\ * #,##0.00_ ;_ &quot;kr&quot;\ * \-#,##0.00_ ;_ &quot;kr&quot;\ * &quot;-&quot;??_ ;_ @_ "/>
    <numFmt numFmtId="189" formatCode="\Te\x\t"/>
  </numFmts>
  <fonts count="65">
    <font>
      <sz val="10"/>
      <name val="Arial"/>
      <charset val="134"/>
    </font>
    <font>
      <sz val="11"/>
      <color rgb="FF000000"/>
      <name val="Calibri"/>
      <charset val="134"/>
    </font>
    <font>
      <b/>
      <sz val="11"/>
      <color rgb="FF44546A"/>
      <name val="Calibri"/>
      <charset val="134"/>
    </font>
    <font>
      <b/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"/>
      <name val="Arial"/>
      <charset val="134"/>
    </font>
    <font>
      <sz val="10"/>
      <name val="Calibri"/>
      <charset val="134"/>
      <scheme val="minor"/>
    </font>
    <font>
      <sz val="10"/>
      <color indexed="8"/>
      <name val="Calibri"/>
      <charset val="134"/>
      <scheme val="minor"/>
    </font>
    <font>
      <sz val="9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rgb="FF5F6368"/>
      <name val="Calibri"/>
      <charset val="134"/>
      <scheme val="minor"/>
    </font>
    <font>
      <sz val="9"/>
      <color indexed="53"/>
      <name val="Arial"/>
      <charset val="134"/>
    </font>
    <font>
      <sz val="10"/>
      <color indexed="12"/>
      <name val="Arial"/>
      <charset val="134"/>
    </font>
    <font>
      <sz val="10"/>
      <color indexed="8"/>
      <name val="Calibri"/>
      <charset val="134"/>
    </font>
    <font>
      <b/>
      <sz val="10"/>
      <name val="Arial"/>
      <charset val="134"/>
    </font>
    <font>
      <b/>
      <i/>
      <sz val="10"/>
      <name val="Arial"/>
      <charset val="134"/>
    </font>
    <font>
      <sz val="11"/>
      <color indexed="8"/>
      <name val="Calibri"/>
      <charset val="134"/>
    </font>
    <font>
      <b/>
      <sz val="10"/>
      <color indexed="12"/>
      <name val="Arial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10"/>
      <name val="Arial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25">
    <border>
      <left/>
      <right/>
      <top/>
      <bottom/>
      <diagonal/>
    </border>
    <border>
      <left/>
      <right/>
      <top/>
      <bottom style="medium">
        <color rgb="FF8EA9DB"/>
      </bottom>
      <diagonal/>
    </border>
    <border>
      <left/>
      <right/>
      <top/>
      <bottom style="medium">
        <color theme="4" tint="0.3999145481734672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612">
    <xf numFmtId="0" fontId="0" fillId="0" borderId="0"/>
    <xf numFmtId="0" fontId="5" fillId="0" borderId="2" applyNumberFormat="0" applyFill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12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13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3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1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1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1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14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4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1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1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3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3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64" fillId="0" borderId="0" applyNumberFormat="0" applyFont="0" applyFill="0" applyBorder="0" applyProtection="0">
      <alignment horizontal="left" vertical="center" indent="5"/>
    </xf>
    <xf numFmtId="0" fontId="64" fillId="0" borderId="0" applyNumberFormat="0" applyFont="0" applyFill="0" applyBorder="0" applyProtection="0">
      <alignment horizontal="left" vertical="center" indent="5"/>
    </xf>
    <xf numFmtId="0" fontId="64" fillId="0" borderId="0" applyNumberFormat="0" applyFont="0" applyFill="0" applyBorder="0" applyProtection="0">
      <alignment horizontal="left" vertical="center" indent="5"/>
    </xf>
    <xf numFmtId="0" fontId="64" fillId="0" borderId="0" applyNumberFormat="0" applyFont="0" applyFill="0" applyBorder="0" applyProtection="0">
      <alignment horizontal="left" vertical="center" indent="5"/>
    </xf>
    <xf numFmtId="0" fontId="20" fillId="18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8" borderId="0" applyNumberFormat="0" applyBorder="0" applyAlignment="0" applyProtection="0"/>
    <xf numFmtId="0" fontId="20" fillId="16" borderId="0" applyNumberFormat="0" applyBorder="0" applyAlignment="0" applyProtection="0"/>
    <xf numFmtId="0" fontId="20" fillId="5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5" borderId="0" applyNumberFormat="0" applyBorder="0" applyAlignment="0" applyProtection="0"/>
    <xf numFmtId="0" fontId="20" fillId="19" borderId="0" applyNumberFormat="0" applyBorder="0" applyAlignment="0" applyProtection="0"/>
    <xf numFmtId="0" fontId="20" fillId="17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17" borderId="0" applyNumberFormat="0" applyBorder="0" applyAlignment="0" applyProtection="0"/>
    <xf numFmtId="0" fontId="20" fillId="3" borderId="0" applyNumberFormat="0" applyBorder="0" applyAlignment="0" applyProtection="0"/>
    <xf numFmtId="0" fontId="20" fillId="20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20" borderId="0" applyNumberFormat="0" applyBorder="0" applyAlignment="0" applyProtection="0"/>
    <xf numFmtId="0" fontId="20" fillId="12" borderId="0" applyNumberFormat="0" applyBorder="0" applyAlignment="0" applyProtection="0"/>
    <xf numFmtId="0" fontId="20" fillId="21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21" borderId="0" applyNumberFormat="0" applyBorder="0" applyAlignment="0" applyProtection="0"/>
    <xf numFmtId="0" fontId="20" fillId="16" borderId="0" applyNumberFormat="0" applyBorder="0" applyAlignment="0" applyProtection="0"/>
    <xf numFmtId="0" fontId="20" fillId="22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22" borderId="0" applyNumberFormat="0" applyBorder="0" applyAlignment="0" applyProtection="0"/>
    <xf numFmtId="0" fontId="20" fillId="5" borderId="0" applyNumberFormat="0" applyBorder="0" applyAlignment="0" applyProtection="0"/>
    <xf numFmtId="0" fontId="20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25" borderId="0" applyNumberFormat="0" applyBorder="0" applyAlignment="0" applyProtection="0"/>
    <xf numFmtId="0" fontId="20" fillId="19" borderId="0" applyNumberFormat="0" applyBorder="0" applyAlignment="0" applyProtection="0"/>
    <xf numFmtId="0" fontId="20" fillId="26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26" borderId="0" applyNumberFormat="0" applyBorder="0" applyAlignment="0" applyProtection="0"/>
    <xf numFmtId="0" fontId="20" fillId="3" borderId="0" applyNumberFormat="0" applyBorder="0" applyAlignment="0" applyProtection="0"/>
    <xf numFmtId="0" fontId="20" fillId="20" borderId="0" applyNumberFormat="0" applyBorder="0" applyAlignment="0" applyProtection="0"/>
    <xf numFmtId="0" fontId="20" fillId="27" borderId="0" applyNumberFormat="0" applyBorder="0" applyAlignment="0" applyProtection="0"/>
    <xf numFmtId="0" fontId="20" fillId="27" borderId="0" applyNumberFormat="0" applyBorder="0" applyAlignment="0" applyProtection="0"/>
    <xf numFmtId="0" fontId="20" fillId="27" borderId="0" applyNumberFormat="0" applyBorder="0" applyAlignment="0" applyProtection="0"/>
    <xf numFmtId="0" fontId="20" fillId="27" borderId="0" applyNumberFormat="0" applyBorder="0" applyAlignment="0" applyProtection="0"/>
    <xf numFmtId="0" fontId="20" fillId="27" borderId="0" applyNumberFormat="0" applyBorder="0" applyAlignment="0" applyProtection="0"/>
    <xf numFmtId="0" fontId="20" fillId="27" borderId="0" applyNumberFormat="0" applyBorder="0" applyAlignment="0" applyProtection="0"/>
    <xf numFmtId="0" fontId="20" fillId="27" borderId="0" applyNumberFormat="0" applyBorder="0" applyAlignment="0" applyProtection="0"/>
    <xf numFmtId="0" fontId="20" fillId="27" borderId="0" applyNumberFormat="0" applyBorder="0" applyAlignment="0" applyProtection="0"/>
    <xf numFmtId="0" fontId="20" fillId="27" borderId="0" applyNumberFormat="0" applyBorder="0" applyAlignment="0" applyProtection="0"/>
    <xf numFmtId="0" fontId="20" fillId="20" borderId="0" applyNumberFormat="0" applyBorder="0" applyAlignment="0" applyProtection="0"/>
    <xf numFmtId="0" fontId="20" fillId="27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19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19" borderId="0" applyNumberFormat="0" applyBorder="0" applyAlignment="0" applyProtection="0"/>
    <xf numFmtId="0" fontId="20" fillId="25" borderId="0" applyNumberFormat="0" applyBorder="0" applyAlignment="0" applyProtection="0"/>
    <xf numFmtId="4" fontId="21" fillId="15" borderId="6">
      <alignment horizontal="right" vertical="center"/>
    </xf>
    <xf numFmtId="4" fontId="21" fillId="15" borderId="6">
      <alignment horizontal="right" vertical="center"/>
    </xf>
    <xf numFmtId="0" fontId="22" fillId="12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2" borderId="0" applyNumberFormat="0" applyBorder="0" applyAlignment="0" applyProtection="0"/>
    <xf numFmtId="0" fontId="22" fillId="14" borderId="0" applyNumberFormat="0" applyBorder="0" applyAlignment="0" applyProtection="0"/>
    <xf numFmtId="0" fontId="23" fillId="9" borderId="7" applyNumberFormat="0" applyAlignment="0" applyProtection="0"/>
    <xf numFmtId="0" fontId="24" fillId="28" borderId="7" applyNumberFormat="0" applyAlignment="0" applyProtection="0"/>
    <xf numFmtId="0" fontId="24" fillId="28" borderId="7" applyNumberFormat="0" applyAlignment="0" applyProtection="0"/>
    <xf numFmtId="0" fontId="24" fillId="28" borderId="7" applyNumberFormat="0" applyAlignment="0" applyProtection="0"/>
    <xf numFmtId="0" fontId="24" fillId="28" borderId="7" applyNumberFormat="0" applyAlignment="0" applyProtection="0"/>
    <xf numFmtId="0" fontId="24" fillId="28" borderId="7" applyNumberFormat="0" applyAlignment="0" applyProtection="0"/>
    <xf numFmtId="0" fontId="24" fillId="28" borderId="7" applyNumberFormat="0" applyAlignment="0" applyProtection="0"/>
    <xf numFmtId="0" fontId="24" fillId="28" borderId="7" applyNumberFormat="0" applyAlignment="0" applyProtection="0"/>
    <xf numFmtId="0" fontId="24" fillId="28" borderId="7" applyNumberFormat="0" applyAlignment="0" applyProtection="0"/>
    <xf numFmtId="0" fontId="24" fillId="28" borderId="7" applyNumberFormat="0" applyAlignment="0" applyProtection="0"/>
    <xf numFmtId="0" fontId="23" fillId="9" borderId="7" applyNumberFormat="0" applyAlignment="0" applyProtection="0"/>
    <xf numFmtId="0" fontId="24" fillId="28" borderId="7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0" fontId="25" fillId="29" borderId="8" applyNumberFormat="0" applyAlignment="0" applyProtection="0"/>
    <xf numFmtId="49" fontId="64" fillId="16" borderId="9">
      <alignment vertical="top" wrapText="1"/>
    </xf>
    <xf numFmtId="49" fontId="64" fillId="16" borderId="9">
      <alignment vertical="top" wrapText="1"/>
    </xf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8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40" fontId="26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40" fontId="26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64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0" fontId="27" fillId="0" borderId="10">
      <alignment horizontal="left" vertical="center" wrapText="1" indent="2"/>
    </xf>
    <xf numFmtId="170" fontId="28" fillId="0" borderId="0">
      <protection locked="0"/>
    </xf>
    <xf numFmtId="170" fontId="28" fillId="0" borderId="0">
      <protection locked="0"/>
    </xf>
    <xf numFmtId="3" fontId="29" fillId="0" borderId="9">
      <alignment horizontal="right" vertical="top"/>
    </xf>
    <xf numFmtId="0" fontId="16" fillId="21" borderId="6">
      <alignment horizontal="centerContinuous" vertical="top" wrapText="1"/>
    </xf>
    <xf numFmtId="0" fontId="30" fillId="0" borderId="0">
      <alignment vertical="top" wrapText="1"/>
    </xf>
    <xf numFmtId="171" fontId="64" fillId="0" borderId="0" applyFont="0" applyFill="0" applyBorder="0" applyAlignment="0" applyProtection="0"/>
    <xf numFmtId="171" fontId="64" fillId="0" borderId="0" applyFont="0" applyFill="0" applyBorder="0" applyAlignment="0" applyProtection="0"/>
    <xf numFmtId="172" fontId="64" fillId="0" borderId="0" applyFont="0" applyFill="0" applyBorder="0" applyAlignment="0" applyProtection="0"/>
    <xf numFmtId="172" fontId="64" fillId="0" borderId="0" applyFont="0" applyFill="0" applyBorder="0" applyAlignment="0" applyProtection="0"/>
    <xf numFmtId="172" fontId="64" fillId="0" borderId="0" applyFont="0" applyFill="0" applyBorder="0" applyAlignment="0" applyProtection="0"/>
    <xf numFmtId="172" fontId="64" fillId="0" borderId="0" applyFont="0" applyFill="0" applyBorder="0" applyAlignment="0" applyProtection="0"/>
    <xf numFmtId="172" fontId="64" fillId="0" borderId="0" applyFont="0" applyFill="0" applyBorder="0" applyAlignment="0" applyProtection="0"/>
    <xf numFmtId="172" fontId="64" fillId="0" borderId="0" applyFont="0" applyFill="0" applyBorder="0" applyAlignment="0" applyProtection="0"/>
    <xf numFmtId="172" fontId="64" fillId="0" borderId="0" applyFont="0" applyFill="0" applyBorder="0" applyAlignment="0" applyProtection="0"/>
    <xf numFmtId="172" fontId="64" fillId="0" borderId="0" applyFont="0" applyFill="0" applyBorder="0" applyAlignment="0" applyProtection="0"/>
    <xf numFmtId="173" fontId="64" fillId="0" borderId="0" applyFont="0" applyFill="0" applyBorder="0" applyAlignment="0" applyProtection="0"/>
    <xf numFmtId="173" fontId="64" fillId="0" borderId="0" applyFont="0" applyFill="0" applyBorder="0" applyAlignment="0" applyProtection="0"/>
    <xf numFmtId="172" fontId="64" fillId="0" borderId="0" applyFont="0" applyFill="0" applyBorder="0" applyAlignment="0" applyProtection="0"/>
    <xf numFmtId="171" fontId="64" fillId="0" borderId="0" applyFont="0" applyFill="0" applyBorder="0" applyAlignment="0" applyProtection="0"/>
    <xf numFmtId="171" fontId="64" fillId="0" borderId="0" applyFont="0" applyFill="0" applyBorder="0" applyAlignment="0" applyProtection="0"/>
    <xf numFmtId="174" fontId="64" fillId="0" borderId="0" applyFont="0" applyFill="0" applyBorder="0" applyAlignment="0" applyProtection="0"/>
    <xf numFmtId="175" fontId="64" fillId="0" borderId="0" applyFont="0" applyFill="0" applyBorder="0" applyAlignment="0" applyProtection="0"/>
    <xf numFmtId="175" fontId="64" fillId="0" borderId="0" applyFont="0" applyFill="0" applyBorder="0" applyAlignment="0" applyProtection="0"/>
    <xf numFmtId="171" fontId="64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76" fontId="28" fillId="0" borderId="0">
      <protection locked="0"/>
    </xf>
    <xf numFmtId="176" fontId="28" fillId="0" borderId="0">
      <protection locked="0"/>
    </xf>
    <xf numFmtId="11" fontId="64" fillId="0" borderId="0" applyFont="0" applyFill="0" applyBorder="0" applyAlignment="0" applyProtection="0"/>
    <xf numFmtId="11" fontId="64" fillId="0" borderId="0" applyFont="0" applyFill="0" applyBorder="0" applyAlignment="0" applyProtection="0"/>
    <xf numFmtId="0" fontId="32" fillId="13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3" borderId="0" applyNumberFormat="0" applyBorder="0" applyAlignment="0" applyProtection="0"/>
    <xf numFmtId="0" fontId="32" fillId="16" borderId="0" applyNumberFormat="0" applyBorder="0" applyAlignment="0" applyProtection="0"/>
    <xf numFmtId="0" fontId="33" fillId="0" borderId="11" applyNumberFormat="0" applyFill="0" applyAlignment="0" applyProtection="0"/>
    <xf numFmtId="0" fontId="34" fillId="0" borderId="12" applyNumberFormat="0" applyFill="0" applyAlignment="0" applyProtection="0"/>
    <xf numFmtId="0" fontId="34" fillId="0" borderId="12" applyNumberFormat="0" applyFill="0" applyAlignment="0" applyProtection="0"/>
    <xf numFmtId="0" fontId="34" fillId="0" borderId="12" applyNumberFormat="0" applyFill="0" applyAlignment="0" applyProtection="0"/>
    <xf numFmtId="0" fontId="34" fillId="0" borderId="12" applyNumberFormat="0" applyFill="0" applyAlignment="0" applyProtection="0"/>
    <xf numFmtId="0" fontId="34" fillId="0" borderId="12" applyNumberFormat="0" applyFill="0" applyAlignment="0" applyProtection="0"/>
    <xf numFmtId="0" fontId="34" fillId="0" borderId="12" applyNumberFormat="0" applyFill="0" applyAlignment="0" applyProtection="0"/>
    <xf numFmtId="0" fontId="34" fillId="0" borderId="12" applyNumberFormat="0" applyFill="0" applyAlignment="0" applyProtection="0"/>
    <xf numFmtId="0" fontId="34" fillId="0" borderId="12" applyNumberFormat="0" applyFill="0" applyAlignment="0" applyProtection="0"/>
    <xf numFmtId="0" fontId="34" fillId="0" borderId="12" applyNumberFormat="0" applyFill="0" applyAlignment="0" applyProtection="0"/>
    <xf numFmtId="0" fontId="33" fillId="0" borderId="11" applyNumberFormat="0" applyFill="0" applyAlignment="0" applyProtection="0"/>
    <xf numFmtId="0" fontId="34" fillId="0" borderId="12" applyNumberFormat="0" applyFill="0" applyAlignment="0" applyProtection="0"/>
    <xf numFmtId="0" fontId="35" fillId="0" borderId="13" applyNumberFormat="0" applyFill="0" applyAlignment="0" applyProtection="0"/>
    <xf numFmtId="0" fontId="36" fillId="0" borderId="14" applyNumberFormat="0" applyFill="0" applyAlignment="0" applyProtection="0"/>
    <xf numFmtId="0" fontId="36" fillId="0" borderId="14" applyNumberFormat="0" applyFill="0" applyAlignment="0" applyProtection="0"/>
    <xf numFmtId="0" fontId="36" fillId="0" borderId="14" applyNumberFormat="0" applyFill="0" applyAlignment="0" applyProtection="0"/>
    <xf numFmtId="0" fontId="36" fillId="0" borderId="14" applyNumberFormat="0" applyFill="0" applyAlignment="0" applyProtection="0"/>
    <xf numFmtId="0" fontId="36" fillId="0" borderId="14" applyNumberFormat="0" applyFill="0" applyAlignment="0" applyProtection="0"/>
    <xf numFmtId="0" fontId="36" fillId="0" borderId="14" applyNumberFormat="0" applyFill="0" applyAlignment="0" applyProtection="0"/>
    <xf numFmtId="0" fontId="36" fillId="0" borderId="14" applyNumberFormat="0" applyFill="0" applyAlignment="0" applyProtection="0"/>
    <xf numFmtId="0" fontId="36" fillId="0" borderId="14" applyNumberFormat="0" applyFill="0" applyAlignment="0" applyProtection="0"/>
    <xf numFmtId="0" fontId="36" fillId="0" borderId="14" applyNumberFormat="0" applyFill="0" applyAlignment="0" applyProtection="0"/>
    <xf numFmtId="0" fontId="35" fillId="0" borderId="13" applyNumberFormat="0" applyFill="0" applyAlignment="0" applyProtection="0"/>
    <xf numFmtId="0" fontId="36" fillId="0" borderId="14" applyNumberFormat="0" applyFill="0" applyAlignment="0" applyProtection="0"/>
    <xf numFmtId="0" fontId="37" fillId="0" borderId="15" applyNumberFormat="0" applyFill="0" applyAlignment="0" applyProtection="0"/>
    <xf numFmtId="0" fontId="38" fillId="0" borderId="16" applyNumberFormat="0" applyFill="0" applyAlignment="0" applyProtection="0"/>
    <xf numFmtId="0" fontId="38" fillId="0" borderId="16" applyNumberFormat="0" applyFill="0" applyAlignment="0" applyProtection="0"/>
    <xf numFmtId="0" fontId="38" fillId="0" borderId="16" applyNumberFormat="0" applyFill="0" applyAlignment="0" applyProtection="0"/>
    <xf numFmtId="0" fontId="38" fillId="0" borderId="16" applyNumberFormat="0" applyFill="0" applyAlignment="0" applyProtection="0"/>
    <xf numFmtId="0" fontId="38" fillId="0" borderId="16" applyNumberFormat="0" applyFill="0" applyAlignment="0" applyProtection="0"/>
    <xf numFmtId="0" fontId="38" fillId="0" borderId="16" applyNumberFormat="0" applyFill="0" applyAlignment="0" applyProtection="0"/>
    <xf numFmtId="0" fontId="38" fillId="0" borderId="16" applyNumberFormat="0" applyFill="0" applyAlignment="0" applyProtection="0"/>
    <xf numFmtId="0" fontId="38" fillId="0" borderId="16" applyNumberFormat="0" applyFill="0" applyAlignment="0" applyProtection="0"/>
    <xf numFmtId="0" fontId="38" fillId="0" borderId="16" applyNumberFormat="0" applyFill="0" applyAlignment="0" applyProtection="0"/>
    <xf numFmtId="0" fontId="37" fillId="0" borderId="15" applyNumberFormat="0" applyFill="0" applyAlignment="0" applyProtection="0"/>
    <xf numFmtId="0" fontId="38" fillId="0" borderId="16" applyNumberFormat="0" applyFill="0" applyAlignment="0" applyProtection="0"/>
    <xf numFmtId="0" fontId="37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77" fontId="39" fillId="0" borderId="0">
      <protection locked="0"/>
    </xf>
    <xf numFmtId="177" fontId="39" fillId="0" borderId="0">
      <protection locked="0"/>
    </xf>
    <xf numFmtId="177" fontId="39" fillId="0" borderId="0">
      <protection locked="0"/>
    </xf>
    <xf numFmtId="177" fontId="39" fillId="0" borderId="0"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41" fillId="15" borderId="7" applyNumberFormat="0" applyAlignment="0" applyProtection="0"/>
    <xf numFmtId="0" fontId="41" fillId="7" borderId="7" applyNumberFormat="0" applyAlignment="0" applyProtection="0"/>
    <xf numFmtId="0" fontId="41" fillId="7" borderId="7" applyNumberFormat="0" applyAlignment="0" applyProtection="0"/>
    <xf numFmtId="0" fontId="41" fillId="7" borderId="7" applyNumberFormat="0" applyAlignment="0" applyProtection="0"/>
    <xf numFmtId="0" fontId="41" fillId="7" borderId="7" applyNumberFormat="0" applyAlignment="0" applyProtection="0"/>
    <xf numFmtId="0" fontId="41" fillId="7" borderId="7" applyNumberFormat="0" applyAlignment="0" applyProtection="0"/>
    <xf numFmtId="0" fontId="41" fillId="7" borderId="7" applyNumberFormat="0" applyAlignment="0" applyProtection="0"/>
    <xf numFmtId="0" fontId="41" fillId="7" borderId="7" applyNumberFormat="0" applyAlignment="0" applyProtection="0"/>
    <xf numFmtId="0" fontId="41" fillId="7" borderId="7" applyNumberFormat="0" applyAlignment="0" applyProtection="0"/>
    <xf numFmtId="0" fontId="41" fillId="7" borderId="7" applyNumberFormat="0" applyAlignment="0" applyProtection="0"/>
    <xf numFmtId="0" fontId="41" fillId="15" borderId="7" applyNumberFormat="0" applyAlignment="0" applyProtection="0"/>
    <xf numFmtId="0" fontId="41" fillId="7" borderId="7" applyNumberFormat="0" applyAlignment="0" applyProtection="0"/>
    <xf numFmtId="4" fontId="27" fillId="0" borderId="0" applyBorder="0">
      <alignment horizontal="right" vertical="center"/>
    </xf>
    <xf numFmtId="0" fontId="42" fillId="0" borderId="0"/>
    <xf numFmtId="0" fontId="43" fillId="0" borderId="17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3" fillId="0" borderId="17" applyNumberFormat="0" applyFill="0" applyAlignment="0" applyProtection="0"/>
    <xf numFmtId="0" fontId="44" fillId="0" borderId="18" applyNumberFormat="0" applyFill="0" applyAlignment="0" applyProtection="0"/>
    <xf numFmtId="178" fontId="64" fillId="0" borderId="0" applyFont="0" applyFill="0" applyBorder="0" applyAlignment="0" applyProtection="0"/>
    <xf numFmtId="0" fontId="45" fillId="7" borderId="0" applyNumberFormat="0" applyBorder="0" applyAlignment="0" applyProtection="0"/>
    <xf numFmtId="0" fontId="46" fillId="7" borderId="0" applyNumberFormat="0" applyBorder="0" applyAlignment="0" applyProtection="0"/>
    <xf numFmtId="0" fontId="46" fillId="7" borderId="0" applyNumberFormat="0" applyBorder="0" applyAlignment="0" applyProtection="0"/>
    <xf numFmtId="0" fontId="46" fillId="7" borderId="0" applyNumberFormat="0" applyBorder="0" applyAlignment="0" applyProtection="0"/>
    <xf numFmtId="0" fontId="46" fillId="7" borderId="0" applyNumberFormat="0" applyBorder="0" applyAlignment="0" applyProtection="0"/>
    <xf numFmtId="0" fontId="46" fillId="7" borderId="0" applyNumberFormat="0" applyBorder="0" applyAlignment="0" applyProtection="0"/>
    <xf numFmtId="0" fontId="46" fillId="7" borderId="0" applyNumberFormat="0" applyBorder="0" applyAlignment="0" applyProtection="0"/>
    <xf numFmtId="0" fontId="46" fillId="7" borderId="0" applyNumberFormat="0" applyBorder="0" applyAlignment="0" applyProtection="0"/>
    <xf numFmtId="0" fontId="46" fillId="7" borderId="0" applyNumberFormat="0" applyBorder="0" applyAlignment="0" applyProtection="0"/>
    <xf numFmtId="0" fontId="46" fillId="7" borderId="0" applyNumberFormat="0" applyBorder="0" applyAlignment="0" applyProtection="0"/>
    <xf numFmtId="0" fontId="47" fillId="7" borderId="0" applyNumberFormat="0" applyBorder="0" applyAlignment="0" applyProtection="0"/>
    <xf numFmtId="0" fontId="46" fillId="7" borderId="0" applyNumberFormat="0" applyBorder="0" applyAlignment="0" applyProtection="0"/>
    <xf numFmtId="0" fontId="45" fillId="7" borderId="0" applyNumberFormat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9" fontId="48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9" fontId="48" fillId="0" borderId="0">
      <alignment vertical="center"/>
    </xf>
    <xf numFmtId="179" fontId="48" fillId="0" borderId="0">
      <alignment vertical="center"/>
    </xf>
    <xf numFmtId="179" fontId="48" fillId="0" borderId="0">
      <alignment vertical="center"/>
    </xf>
    <xf numFmtId="179" fontId="48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9" fontId="48" fillId="0" borderId="0">
      <alignment vertical="center"/>
    </xf>
    <xf numFmtId="179" fontId="48" fillId="0" borderId="0">
      <alignment vertical="center"/>
    </xf>
    <xf numFmtId="179" fontId="48" fillId="0" borderId="0">
      <alignment vertical="center"/>
    </xf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9" fontId="48" fillId="0" borderId="0">
      <alignment vertical="center"/>
    </xf>
    <xf numFmtId="179" fontId="48" fillId="0" borderId="0">
      <alignment vertical="center"/>
    </xf>
    <xf numFmtId="179" fontId="48" fillId="0" borderId="0">
      <alignment vertical="center"/>
    </xf>
    <xf numFmtId="179" fontId="48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8" fontId="48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8" fontId="48" fillId="0" borderId="0">
      <alignment vertical="center"/>
    </xf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8" fillId="0" borderId="0"/>
    <xf numFmtId="0" fontId="6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80" fontId="48" fillId="0" borderId="0">
      <alignment vertical="center"/>
    </xf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8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8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18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8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8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8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 applyNumberFormat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4" fontId="27" fillId="0" borderId="6" applyFill="0" applyBorder="0" applyProtection="0">
      <alignment horizontal="right" vertical="center"/>
    </xf>
    <xf numFmtId="0" fontId="49" fillId="0" borderId="0" applyNumberFormat="0" applyFill="0" applyBorder="0" applyProtection="0">
      <alignment horizontal="left" vertical="center"/>
    </xf>
    <xf numFmtId="0" fontId="64" fillId="29" borderId="0" applyNumberFormat="0" applyFont="0" applyBorder="0" applyAlignment="0" applyProtection="0"/>
    <xf numFmtId="0" fontId="64" fillId="29" borderId="0" applyNumberFormat="0" applyFont="0" applyBorder="0" applyAlignment="0" applyProtection="0"/>
    <xf numFmtId="0" fontId="64" fillId="29" borderId="0" applyNumberFormat="0" applyFont="0" applyBorder="0" applyAlignment="0" applyProtection="0"/>
    <xf numFmtId="0" fontId="64" fillId="29" borderId="0" applyNumberFormat="0" applyFont="0" applyBorder="0" applyAlignment="0" applyProtection="0"/>
    <xf numFmtId="0" fontId="50" fillId="0" borderId="0"/>
    <xf numFmtId="0" fontId="18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18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18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0" fontId="64" fillId="8" borderId="19" applyNumberFormat="0" applyFont="0" applyAlignment="0" applyProtection="0"/>
    <xf numFmtId="181" fontId="51" fillId="0" borderId="0">
      <alignment horizontal="right"/>
    </xf>
    <xf numFmtId="182" fontId="64" fillId="0" borderId="0" applyFont="0" applyFill="0" applyBorder="0" applyAlignment="0" applyProtection="0"/>
    <xf numFmtId="182" fontId="64" fillId="0" borderId="0" applyFont="0" applyFill="0" applyBorder="0" applyAlignment="0" applyProtection="0"/>
    <xf numFmtId="0" fontId="52" fillId="9" borderId="20" applyNumberFormat="0" applyAlignment="0" applyProtection="0"/>
    <xf numFmtId="0" fontId="52" fillId="28" borderId="20" applyNumberFormat="0" applyAlignment="0" applyProtection="0"/>
    <xf numFmtId="0" fontId="52" fillId="28" borderId="20" applyNumberFormat="0" applyAlignment="0" applyProtection="0"/>
    <xf numFmtId="0" fontId="52" fillId="28" borderId="20" applyNumberFormat="0" applyAlignment="0" applyProtection="0"/>
    <xf numFmtId="0" fontId="52" fillId="28" borderId="20" applyNumberFormat="0" applyAlignment="0" applyProtection="0"/>
    <xf numFmtId="0" fontId="52" fillId="28" borderId="20" applyNumberFormat="0" applyAlignment="0" applyProtection="0"/>
    <xf numFmtId="0" fontId="52" fillId="28" borderId="20" applyNumberFormat="0" applyAlignment="0" applyProtection="0"/>
    <xf numFmtId="0" fontId="52" fillId="28" borderId="20" applyNumberFormat="0" applyAlignment="0" applyProtection="0"/>
    <xf numFmtId="0" fontId="52" fillId="28" borderId="20" applyNumberFormat="0" applyAlignment="0" applyProtection="0"/>
    <xf numFmtId="0" fontId="52" fillId="28" borderId="20" applyNumberFormat="0" applyAlignment="0" applyProtection="0"/>
    <xf numFmtId="0" fontId="52" fillId="9" borderId="20" applyNumberFormat="0" applyAlignment="0" applyProtection="0"/>
    <xf numFmtId="0" fontId="52" fillId="28" borderId="20" applyNumberFormat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183" fontId="53" fillId="0" borderId="0" applyFont="0" applyFill="0" applyBorder="0" applyAlignment="0" applyProtection="0"/>
    <xf numFmtId="184" fontId="53" fillId="0" borderId="0" applyFont="0" applyFill="0" applyBorder="0" applyAlignment="0" applyProtection="0"/>
    <xf numFmtId="185" fontId="53" fillId="0" borderId="0" applyFont="0" applyFill="0" applyBorder="0" applyAlignment="0" applyProtection="0"/>
    <xf numFmtId="0" fontId="30" fillId="0" borderId="0">
      <alignment vertical="top" wrapText="1"/>
    </xf>
    <xf numFmtId="0" fontId="64" fillId="0" borderId="0"/>
    <xf numFmtId="0" fontId="64" fillId="0" borderId="6" applyNumberFormat="0" applyFill="0" applyProtection="0">
      <alignment horizontal="right"/>
    </xf>
    <xf numFmtId="0" fontId="64" fillId="0" borderId="6" applyNumberFormat="0" applyFill="0" applyProtection="0">
      <alignment horizontal="right"/>
    </xf>
    <xf numFmtId="0" fontId="16" fillId="30" borderId="6" applyNumberFormat="0" applyProtection="0">
      <alignment horizontal="right"/>
    </xf>
    <xf numFmtId="0" fontId="54" fillId="30" borderId="0" applyNumberFormat="0" applyBorder="0" applyProtection="0">
      <alignment horizontal="left"/>
    </xf>
    <xf numFmtId="0" fontId="16" fillId="30" borderId="6" applyNumberFormat="0" applyProtection="0">
      <alignment horizontal="left"/>
    </xf>
    <xf numFmtId="0" fontId="64" fillId="0" borderId="6" applyNumberFormat="0" applyFill="0" applyProtection="0">
      <alignment horizontal="right"/>
    </xf>
    <xf numFmtId="0" fontId="64" fillId="0" borderId="6" applyNumberFormat="0" applyFill="0" applyProtection="0">
      <alignment horizontal="right"/>
    </xf>
    <xf numFmtId="0" fontId="55" fillId="23" borderId="0" applyNumberFormat="0" applyBorder="0" applyProtection="0">
      <alignment horizontal="left"/>
    </xf>
    <xf numFmtId="186" fontId="64" fillId="0" borderId="0" applyFill="0" applyBorder="0" applyAlignment="0" applyProtection="0">
      <alignment wrapText="1"/>
    </xf>
    <xf numFmtId="186" fontId="64" fillId="0" borderId="0" applyFill="0" applyBorder="0" applyAlignment="0" applyProtection="0">
      <alignment wrapText="1"/>
    </xf>
    <xf numFmtId="186" fontId="64" fillId="0" borderId="0" applyFill="0" applyBorder="0" applyAlignment="0" applyProtection="0">
      <alignment wrapText="1"/>
    </xf>
    <xf numFmtId="186" fontId="6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87" fontId="56" fillId="31" borderId="21">
      <alignment vertical="center"/>
    </xf>
    <xf numFmtId="168" fontId="57" fillId="31" borderId="21">
      <alignment vertical="center"/>
    </xf>
    <xf numFmtId="187" fontId="58" fillId="32" borderId="21">
      <alignment vertical="center"/>
    </xf>
    <xf numFmtId="0" fontId="64" fillId="33" borderId="22" applyBorder="0">
      <alignment horizontal="left" vertical="center"/>
    </xf>
    <xf numFmtId="0" fontId="64" fillId="33" borderId="22" applyBorder="0">
      <alignment horizontal="left" vertical="center"/>
    </xf>
    <xf numFmtId="49" fontId="64" fillId="34" borderId="6">
      <alignment vertical="center" wrapText="1"/>
    </xf>
    <xf numFmtId="49" fontId="64" fillId="34" borderId="6">
      <alignment vertical="center" wrapText="1"/>
    </xf>
    <xf numFmtId="0" fontId="64" fillId="35" borderId="5">
      <alignment horizontal="left" vertical="center" wrapText="1"/>
    </xf>
    <xf numFmtId="0" fontId="64" fillId="35" borderId="5">
      <alignment horizontal="left" vertical="center" wrapText="1"/>
    </xf>
    <xf numFmtId="0" fontId="59" fillId="36" borderId="6">
      <alignment horizontal="left" vertical="center" wrapText="1"/>
    </xf>
    <xf numFmtId="0" fontId="64" fillId="22" borderId="6">
      <alignment horizontal="left" vertical="center" wrapText="1"/>
    </xf>
    <xf numFmtId="0" fontId="64" fillId="22" borderId="6">
      <alignment horizontal="left" vertical="center" wrapText="1"/>
    </xf>
    <xf numFmtId="0" fontId="64" fillId="37" borderId="6">
      <alignment horizontal="left" vertical="center" wrapText="1"/>
    </xf>
    <xf numFmtId="0" fontId="64" fillId="37" borderId="6">
      <alignment horizontal="left" vertical="center" wrapText="1"/>
    </xf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23" applyNumberFormat="0" applyFill="0" applyAlignment="0" applyProtection="0"/>
    <xf numFmtId="0" fontId="62" fillId="0" borderId="24" applyNumberFormat="0" applyFill="0" applyAlignment="0" applyProtection="0"/>
    <xf numFmtId="0" fontId="62" fillId="0" borderId="24" applyNumberFormat="0" applyFill="0" applyAlignment="0" applyProtection="0"/>
    <xf numFmtId="0" fontId="62" fillId="0" borderId="24" applyNumberFormat="0" applyFill="0" applyAlignment="0" applyProtection="0"/>
    <xf numFmtId="0" fontId="62" fillId="0" borderId="24" applyNumberFormat="0" applyFill="0" applyAlignment="0" applyProtection="0"/>
    <xf numFmtId="0" fontId="62" fillId="0" borderId="24" applyNumberFormat="0" applyFill="0" applyAlignment="0" applyProtection="0"/>
    <xf numFmtId="0" fontId="62" fillId="0" borderId="24" applyNumberFormat="0" applyFill="0" applyAlignment="0" applyProtection="0"/>
    <xf numFmtId="0" fontId="62" fillId="0" borderId="24" applyNumberFormat="0" applyFill="0" applyAlignment="0" applyProtection="0"/>
    <xf numFmtId="0" fontId="62" fillId="0" borderId="24" applyNumberFormat="0" applyFill="0" applyAlignment="0" applyProtection="0"/>
    <xf numFmtId="0" fontId="62" fillId="0" borderId="24" applyNumberFormat="0" applyFill="0" applyAlignment="0" applyProtection="0"/>
    <xf numFmtId="0" fontId="62" fillId="0" borderId="23" applyNumberFormat="0" applyFill="0" applyAlignment="0" applyProtection="0"/>
    <xf numFmtId="0" fontId="62" fillId="0" borderId="24" applyNumberFormat="0" applyFill="0" applyAlignment="0" applyProtection="0"/>
    <xf numFmtId="188" fontId="53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4" fontId="27" fillId="0" borderId="0"/>
    <xf numFmtId="0" fontId="63" fillId="0" borderId="0" applyNumberFormat="0" applyFill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2" fillId="0" borderId="1" xfId="1" applyFont="1" applyFill="1" applyBorder="1"/>
    <xf numFmtId="0" fontId="3" fillId="0" borderId="0" xfId="0" applyFont="1"/>
    <xf numFmtId="0" fontId="4" fillId="0" borderId="0" xfId="1481"/>
    <xf numFmtId="0" fontId="5" fillId="0" borderId="2" xfId="1"/>
    <xf numFmtId="0" fontId="4" fillId="0" borderId="0" xfId="2148"/>
    <xf numFmtId="0" fontId="6" fillId="0" borderId="0" xfId="2148" applyFont="1"/>
    <xf numFmtId="189" fontId="0" fillId="0" borderId="0" xfId="0" applyNumberFormat="1"/>
    <xf numFmtId="0" fontId="0" fillId="2" borderId="0" xfId="0" applyFill="1"/>
    <xf numFmtId="0" fontId="64" fillId="0" borderId="0" xfId="1093"/>
    <xf numFmtId="0" fontId="4" fillId="0" borderId="0" xfId="2132"/>
    <xf numFmtId="11" fontId="0" fillId="0" borderId="0" xfId="0" applyNumberFormat="1"/>
    <xf numFmtId="0" fontId="7" fillId="0" borderId="0" xfId="0" applyFont="1"/>
    <xf numFmtId="0" fontId="8" fillId="0" borderId="0" xfId="0" applyFont="1"/>
    <xf numFmtId="0" fontId="9" fillId="3" borderId="0" xfId="0" applyFont="1" applyFill="1"/>
    <xf numFmtId="0" fontId="9" fillId="4" borderId="0" xfId="0" applyFont="1" applyFill="1"/>
    <xf numFmtId="0" fontId="8" fillId="0" borderId="3" xfId="0" applyFont="1" applyBorder="1"/>
    <xf numFmtId="0" fontId="10" fillId="0" borderId="0" xfId="0" applyFont="1"/>
    <xf numFmtId="0" fontId="11" fillId="0" borderId="0" xfId="0" applyFont="1"/>
    <xf numFmtId="11" fontId="12" fillId="0" borderId="0" xfId="0" applyNumberFormat="1" applyFont="1"/>
    <xf numFmtId="11" fontId="10" fillId="0" borderId="0" xfId="0" applyNumberFormat="1" applyFont="1"/>
    <xf numFmtId="0" fontId="8" fillId="5" borderId="0" xfId="0" applyFont="1" applyFill="1"/>
    <xf numFmtId="0" fontId="8" fillId="6" borderId="0" xfId="0" applyFont="1" applyFill="1"/>
    <xf numFmtId="0" fontId="8" fillId="7" borderId="4" xfId="0" applyFont="1" applyFill="1" applyBorder="1" applyAlignment="1">
      <alignment horizontal="left" vertical="center" wrapText="1"/>
    </xf>
    <xf numFmtId="0" fontId="13" fillId="0" borderId="0" xfId="0" applyFont="1"/>
    <xf numFmtId="0" fontId="14" fillId="0" borderId="0" xfId="0" applyFont="1" applyAlignment="1">
      <alignment horizontal="left"/>
    </xf>
    <xf numFmtId="0" fontId="14" fillId="0" borderId="0" xfId="0" applyFont="1"/>
    <xf numFmtId="0" fontId="15" fillId="8" borderId="0" xfId="123" applyFont="1" applyBorder="1"/>
    <xf numFmtId="0" fontId="16" fillId="0" borderId="0" xfId="0" applyFont="1"/>
    <xf numFmtId="0" fontId="17" fillId="0" borderId="0" xfId="0" applyFont="1"/>
    <xf numFmtId="0" fontId="18" fillId="8" borderId="5" xfId="50" applyBorder="1"/>
    <xf numFmtId="0" fontId="18" fillId="8" borderId="0" xfId="50" applyBorder="1"/>
    <xf numFmtId="0" fontId="18" fillId="8" borderId="0" xfId="47"/>
    <xf numFmtId="0" fontId="19" fillId="0" borderId="0" xfId="0" applyFont="1"/>
    <xf numFmtId="0" fontId="16" fillId="4" borderId="0" xfId="0" applyFont="1" applyFill="1"/>
    <xf numFmtId="0" fontId="16" fillId="9" borderId="0" xfId="0" applyFont="1" applyFill="1"/>
    <xf numFmtId="0" fontId="0" fillId="0" borderId="0" xfId="0" quotePrefix="1"/>
  </cellXfs>
  <cellStyles count="3612">
    <cellStyle name="20% - Accent1 2" xfId="2" xr:uid="{00000000-0005-0000-0000-000031000000}"/>
    <cellStyle name="20% - Accent1 2 10" xfId="3" xr:uid="{00000000-0005-0000-0000-000032000000}"/>
    <cellStyle name="20% - Accent1 2 11" xfId="4" xr:uid="{00000000-0005-0000-0000-000033000000}"/>
    <cellStyle name="20% - Accent1 2 12" xfId="5" xr:uid="{00000000-0005-0000-0000-000034000000}"/>
    <cellStyle name="20% - Accent1 2 13" xfId="6" xr:uid="{00000000-0005-0000-0000-000035000000}"/>
    <cellStyle name="20% - Accent1 2 14" xfId="7" xr:uid="{00000000-0005-0000-0000-000036000000}"/>
    <cellStyle name="20% - Accent1 2 15" xfId="8" xr:uid="{00000000-0005-0000-0000-000037000000}"/>
    <cellStyle name="20% - Accent1 2 2" xfId="9" xr:uid="{00000000-0005-0000-0000-000038000000}"/>
    <cellStyle name="20% - Accent1 2 3" xfId="10" xr:uid="{00000000-0005-0000-0000-000039000000}"/>
    <cellStyle name="20% - Accent1 2 4" xfId="11" xr:uid="{00000000-0005-0000-0000-00003A000000}"/>
    <cellStyle name="20% - Accent1 2 5" xfId="12" xr:uid="{00000000-0005-0000-0000-00003B000000}"/>
    <cellStyle name="20% - Accent1 2 6" xfId="13" xr:uid="{00000000-0005-0000-0000-00003C000000}"/>
    <cellStyle name="20% - Accent1 2 7" xfId="14" xr:uid="{00000000-0005-0000-0000-00003D000000}"/>
    <cellStyle name="20% - Accent1 2 8" xfId="15" xr:uid="{00000000-0005-0000-0000-00003E000000}"/>
    <cellStyle name="20% - Accent1 2 9" xfId="16" xr:uid="{00000000-0005-0000-0000-00003F000000}"/>
    <cellStyle name="20% - Accent1 3" xfId="17" xr:uid="{00000000-0005-0000-0000-000040000000}"/>
    <cellStyle name="20% - Accent1 3 2" xfId="18" xr:uid="{00000000-0005-0000-0000-000041000000}"/>
    <cellStyle name="20% - Accent1 4" xfId="19" xr:uid="{00000000-0005-0000-0000-000042000000}"/>
    <cellStyle name="20% - Accent1 5" xfId="20" xr:uid="{00000000-0005-0000-0000-000043000000}"/>
    <cellStyle name="20% - Accent1 6" xfId="21" xr:uid="{00000000-0005-0000-0000-000044000000}"/>
    <cellStyle name="20% - Accent1 7" xfId="22" xr:uid="{00000000-0005-0000-0000-000045000000}"/>
    <cellStyle name="20% - Accent1 8" xfId="23" xr:uid="{00000000-0005-0000-0000-000046000000}"/>
    <cellStyle name="20% - Accent2 2" xfId="24" xr:uid="{00000000-0005-0000-0000-000047000000}"/>
    <cellStyle name="20% - Accent2 2 10" xfId="25" xr:uid="{00000000-0005-0000-0000-000048000000}"/>
    <cellStyle name="20% - Accent2 2 11" xfId="26" xr:uid="{00000000-0005-0000-0000-000049000000}"/>
    <cellStyle name="20% - Accent2 2 12" xfId="27" xr:uid="{00000000-0005-0000-0000-00004A000000}"/>
    <cellStyle name="20% - Accent2 2 13" xfId="28" xr:uid="{00000000-0005-0000-0000-00004B000000}"/>
    <cellStyle name="20% - Accent2 2 14" xfId="29" xr:uid="{00000000-0005-0000-0000-00004C000000}"/>
    <cellStyle name="20% - Accent2 2 15" xfId="30" xr:uid="{00000000-0005-0000-0000-00004D000000}"/>
    <cellStyle name="20% - Accent2 2 2" xfId="31" xr:uid="{00000000-0005-0000-0000-00004E000000}"/>
    <cellStyle name="20% - Accent2 2 3" xfId="32" xr:uid="{00000000-0005-0000-0000-00004F000000}"/>
    <cellStyle name="20% - Accent2 2 4" xfId="33" xr:uid="{00000000-0005-0000-0000-000050000000}"/>
    <cellStyle name="20% - Accent2 2 5" xfId="34" xr:uid="{00000000-0005-0000-0000-000051000000}"/>
    <cellStyle name="20% - Accent2 2 6" xfId="35" xr:uid="{00000000-0005-0000-0000-000052000000}"/>
    <cellStyle name="20% - Accent2 2 7" xfId="36" xr:uid="{00000000-0005-0000-0000-000053000000}"/>
    <cellStyle name="20% - Accent2 2 8" xfId="37" xr:uid="{00000000-0005-0000-0000-000054000000}"/>
    <cellStyle name="20% - Accent2 2 9" xfId="38" xr:uid="{00000000-0005-0000-0000-000055000000}"/>
    <cellStyle name="20% - Accent2 3" xfId="39" xr:uid="{00000000-0005-0000-0000-000056000000}"/>
    <cellStyle name="20% - Accent2 3 2" xfId="40" xr:uid="{00000000-0005-0000-0000-000057000000}"/>
    <cellStyle name="20% - Accent2 4" xfId="41" xr:uid="{00000000-0005-0000-0000-000058000000}"/>
    <cellStyle name="20% - Accent2 5" xfId="42" xr:uid="{00000000-0005-0000-0000-000059000000}"/>
    <cellStyle name="20% - Accent2 6" xfId="43" xr:uid="{00000000-0005-0000-0000-00005A000000}"/>
    <cellStyle name="20% - Accent2 7" xfId="44" xr:uid="{00000000-0005-0000-0000-00005B000000}"/>
    <cellStyle name="20% - Accent2 8" xfId="45" xr:uid="{00000000-0005-0000-0000-00005C000000}"/>
    <cellStyle name="20% - Accent3 2" xfId="46" xr:uid="{00000000-0005-0000-0000-00005D000000}"/>
    <cellStyle name="20% - Accent3 2 10" xfId="47" xr:uid="{00000000-0005-0000-0000-00005E000000}"/>
    <cellStyle name="20% - Accent3 2 11" xfId="48" xr:uid="{00000000-0005-0000-0000-00005F000000}"/>
    <cellStyle name="20% - Accent3 2 12" xfId="49" xr:uid="{00000000-0005-0000-0000-000060000000}"/>
    <cellStyle name="20% - Accent3 2 13" xfId="50" xr:uid="{00000000-0005-0000-0000-000061000000}"/>
    <cellStyle name="20% - Accent3 2 14" xfId="51" xr:uid="{00000000-0005-0000-0000-000062000000}"/>
    <cellStyle name="20% - Accent3 2 15" xfId="52" xr:uid="{00000000-0005-0000-0000-000063000000}"/>
    <cellStyle name="20% - Accent3 2 2" xfId="53" xr:uid="{00000000-0005-0000-0000-000064000000}"/>
    <cellStyle name="20% - Accent3 2 3" xfId="54" xr:uid="{00000000-0005-0000-0000-000065000000}"/>
    <cellStyle name="20% - Accent3 2 4" xfId="55" xr:uid="{00000000-0005-0000-0000-000066000000}"/>
    <cellStyle name="20% - Accent3 2 5" xfId="56" xr:uid="{00000000-0005-0000-0000-000067000000}"/>
    <cellStyle name="20% - Accent3 2 6" xfId="57" xr:uid="{00000000-0005-0000-0000-000068000000}"/>
    <cellStyle name="20% - Accent3 2 7" xfId="58" xr:uid="{00000000-0005-0000-0000-000069000000}"/>
    <cellStyle name="20% - Accent3 2 8" xfId="59" xr:uid="{00000000-0005-0000-0000-00006A000000}"/>
    <cellStyle name="20% - Accent3 2 9" xfId="60" xr:uid="{00000000-0005-0000-0000-00006B000000}"/>
    <cellStyle name="20% - Accent3 3" xfId="61" xr:uid="{00000000-0005-0000-0000-00006C000000}"/>
    <cellStyle name="20% - Accent3 3 2" xfId="62" xr:uid="{00000000-0005-0000-0000-00006D000000}"/>
    <cellStyle name="20% - Accent3 4" xfId="63" xr:uid="{00000000-0005-0000-0000-00006E000000}"/>
    <cellStyle name="20% - Accent3 5" xfId="64" xr:uid="{00000000-0005-0000-0000-00006F000000}"/>
    <cellStyle name="20% - Accent3 6" xfId="65" xr:uid="{00000000-0005-0000-0000-000070000000}"/>
    <cellStyle name="20% - Accent3 7" xfId="66" xr:uid="{00000000-0005-0000-0000-000071000000}"/>
    <cellStyle name="20% - Accent3 8" xfId="67" xr:uid="{00000000-0005-0000-0000-000072000000}"/>
    <cellStyle name="20% - Accent4 2" xfId="68" xr:uid="{00000000-0005-0000-0000-000073000000}"/>
    <cellStyle name="20% - Accent4 2 10" xfId="69" xr:uid="{00000000-0005-0000-0000-000074000000}"/>
    <cellStyle name="20% - Accent4 2 11" xfId="70" xr:uid="{00000000-0005-0000-0000-000075000000}"/>
    <cellStyle name="20% - Accent4 2 12" xfId="71" xr:uid="{00000000-0005-0000-0000-000076000000}"/>
    <cellStyle name="20% - Accent4 2 13" xfId="72" xr:uid="{00000000-0005-0000-0000-000077000000}"/>
    <cellStyle name="20% - Accent4 2 14" xfId="73" xr:uid="{00000000-0005-0000-0000-000078000000}"/>
    <cellStyle name="20% - Accent4 2 15" xfId="74" xr:uid="{00000000-0005-0000-0000-000079000000}"/>
    <cellStyle name="20% - Accent4 2 2" xfId="75" xr:uid="{00000000-0005-0000-0000-00007A000000}"/>
    <cellStyle name="20% - Accent4 2 3" xfId="76" xr:uid="{00000000-0005-0000-0000-00007B000000}"/>
    <cellStyle name="20% - Accent4 2 4" xfId="77" xr:uid="{00000000-0005-0000-0000-00007C000000}"/>
    <cellStyle name="20% - Accent4 2 5" xfId="78" xr:uid="{00000000-0005-0000-0000-00007D000000}"/>
    <cellStyle name="20% - Accent4 2 6" xfId="79" xr:uid="{00000000-0005-0000-0000-00007E000000}"/>
    <cellStyle name="20% - Accent4 2 7" xfId="80" xr:uid="{00000000-0005-0000-0000-00007F000000}"/>
    <cellStyle name="20% - Accent4 2 8" xfId="81" xr:uid="{00000000-0005-0000-0000-000080000000}"/>
    <cellStyle name="20% - Accent4 2 9" xfId="82" xr:uid="{00000000-0005-0000-0000-000081000000}"/>
    <cellStyle name="20% - Accent4 3" xfId="83" xr:uid="{00000000-0005-0000-0000-000082000000}"/>
    <cellStyle name="20% - Accent4 3 2" xfId="84" xr:uid="{00000000-0005-0000-0000-000083000000}"/>
    <cellStyle name="20% - Accent4 4" xfId="85" xr:uid="{00000000-0005-0000-0000-000084000000}"/>
    <cellStyle name="20% - Accent4 5" xfId="86" xr:uid="{00000000-0005-0000-0000-000085000000}"/>
    <cellStyle name="20% - Accent4 6" xfId="87" xr:uid="{00000000-0005-0000-0000-000086000000}"/>
    <cellStyle name="20% - Accent4 7" xfId="88" xr:uid="{00000000-0005-0000-0000-000087000000}"/>
    <cellStyle name="20% - Accent4 8" xfId="89" xr:uid="{00000000-0005-0000-0000-000088000000}"/>
    <cellStyle name="20% - Accent5 2" xfId="90" xr:uid="{00000000-0005-0000-0000-000089000000}"/>
    <cellStyle name="20% - Accent5 2 10" xfId="91" xr:uid="{00000000-0005-0000-0000-00008A000000}"/>
    <cellStyle name="20% - Accent5 2 11" xfId="92" xr:uid="{00000000-0005-0000-0000-00008B000000}"/>
    <cellStyle name="20% - Accent5 2 12" xfId="93" xr:uid="{00000000-0005-0000-0000-00008C000000}"/>
    <cellStyle name="20% - Accent5 2 13" xfId="94" xr:uid="{00000000-0005-0000-0000-00008D000000}"/>
    <cellStyle name="20% - Accent5 2 14" xfId="95" xr:uid="{00000000-0005-0000-0000-00008E000000}"/>
    <cellStyle name="20% - Accent5 2 15" xfId="96" xr:uid="{00000000-0005-0000-0000-00008F000000}"/>
    <cellStyle name="20% - Accent5 2 2" xfId="97" xr:uid="{00000000-0005-0000-0000-000090000000}"/>
    <cellStyle name="20% - Accent5 2 3" xfId="98" xr:uid="{00000000-0005-0000-0000-000091000000}"/>
    <cellStyle name="20% - Accent5 2 4" xfId="99" xr:uid="{00000000-0005-0000-0000-000092000000}"/>
    <cellStyle name="20% - Accent5 2 5" xfId="100" xr:uid="{00000000-0005-0000-0000-000093000000}"/>
    <cellStyle name="20% - Accent5 2 6" xfId="101" xr:uid="{00000000-0005-0000-0000-000094000000}"/>
    <cellStyle name="20% - Accent5 2 7" xfId="102" xr:uid="{00000000-0005-0000-0000-000095000000}"/>
    <cellStyle name="20% - Accent5 2 8" xfId="103" xr:uid="{00000000-0005-0000-0000-000096000000}"/>
    <cellStyle name="20% - Accent5 2 9" xfId="104" xr:uid="{00000000-0005-0000-0000-000097000000}"/>
    <cellStyle name="20% - Accent5 3" xfId="105" xr:uid="{00000000-0005-0000-0000-000098000000}"/>
    <cellStyle name="20% - Accent5 4" xfId="106" xr:uid="{00000000-0005-0000-0000-000099000000}"/>
    <cellStyle name="20% - Accent5 5" xfId="107" xr:uid="{00000000-0005-0000-0000-00009A000000}"/>
    <cellStyle name="20% - Accent5 6" xfId="108" xr:uid="{00000000-0005-0000-0000-00009B000000}"/>
    <cellStyle name="20% - Accent5 7" xfId="109" xr:uid="{00000000-0005-0000-0000-00009C000000}"/>
    <cellStyle name="20% - Accent5 8" xfId="110" xr:uid="{00000000-0005-0000-0000-00009D000000}"/>
    <cellStyle name="20% - Accent6 2" xfId="111" xr:uid="{00000000-0005-0000-0000-00009E000000}"/>
    <cellStyle name="20% - Accent6 2 10" xfId="112" xr:uid="{00000000-0005-0000-0000-00009F000000}"/>
    <cellStyle name="20% - Accent6 2 11" xfId="113" xr:uid="{00000000-0005-0000-0000-0000A0000000}"/>
    <cellStyle name="20% - Accent6 2 12" xfId="114" xr:uid="{00000000-0005-0000-0000-0000A1000000}"/>
    <cellStyle name="20% - Accent6 2 13" xfId="115" xr:uid="{00000000-0005-0000-0000-0000A2000000}"/>
    <cellStyle name="20% - Accent6 2 14" xfId="116" xr:uid="{00000000-0005-0000-0000-0000A3000000}"/>
    <cellStyle name="20% - Accent6 2 15" xfId="117" xr:uid="{00000000-0005-0000-0000-0000A4000000}"/>
    <cellStyle name="20% - Accent6 2 2" xfId="118" xr:uid="{00000000-0005-0000-0000-0000A5000000}"/>
    <cellStyle name="20% - Accent6 2 3" xfId="119" xr:uid="{00000000-0005-0000-0000-0000A6000000}"/>
    <cellStyle name="20% - Accent6 2 4" xfId="120" xr:uid="{00000000-0005-0000-0000-0000A7000000}"/>
    <cellStyle name="20% - Accent6 2 5" xfId="121" xr:uid="{00000000-0005-0000-0000-0000A8000000}"/>
    <cellStyle name="20% - Accent6 2 6" xfId="122" xr:uid="{00000000-0005-0000-0000-0000A9000000}"/>
    <cellStyle name="20% - Accent6 2 7" xfId="123" xr:uid="{00000000-0005-0000-0000-0000AA000000}"/>
    <cellStyle name="20% - Accent6 2 8" xfId="124" xr:uid="{00000000-0005-0000-0000-0000AB000000}"/>
    <cellStyle name="20% - Accent6 2 9" xfId="125" xr:uid="{00000000-0005-0000-0000-0000AC000000}"/>
    <cellStyle name="20% - Accent6 3" xfId="126" xr:uid="{00000000-0005-0000-0000-0000AD000000}"/>
    <cellStyle name="20% - Accent6 3 2" xfId="127" xr:uid="{00000000-0005-0000-0000-0000AE000000}"/>
    <cellStyle name="20% - Accent6 4" xfId="128" xr:uid="{00000000-0005-0000-0000-0000AF000000}"/>
    <cellStyle name="20% - Accent6 5" xfId="129" xr:uid="{00000000-0005-0000-0000-0000B0000000}"/>
    <cellStyle name="20% - Accent6 6" xfId="130" xr:uid="{00000000-0005-0000-0000-0000B1000000}"/>
    <cellStyle name="20% - Accent6 7" xfId="131" xr:uid="{00000000-0005-0000-0000-0000B2000000}"/>
    <cellStyle name="20% - Accent6 8" xfId="132" xr:uid="{00000000-0005-0000-0000-0000B3000000}"/>
    <cellStyle name="40% - Accent1 2" xfId="133" xr:uid="{00000000-0005-0000-0000-0000B4000000}"/>
    <cellStyle name="40% - Accent1 2 10" xfId="134" xr:uid="{00000000-0005-0000-0000-0000B5000000}"/>
    <cellStyle name="40% - Accent1 2 11" xfId="135" xr:uid="{00000000-0005-0000-0000-0000B6000000}"/>
    <cellStyle name="40% - Accent1 2 12" xfId="136" xr:uid="{00000000-0005-0000-0000-0000B7000000}"/>
    <cellStyle name="40% - Accent1 2 13" xfId="137" xr:uid="{00000000-0005-0000-0000-0000B8000000}"/>
    <cellStyle name="40% - Accent1 2 14" xfId="138" xr:uid="{00000000-0005-0000-0000-0000B9000000}"/>
    <cellStyle name="40% - Accent1 2 15" xfId="139" xr:uid="{00000000-0005-0000-0000-0000BA000000}"/>
    <cellStyle name="40% - Accent1 2 2" xfId="140" xr:uid="{00000000-0005-0000-0000-0000BB000000}"/>
    <cellStyle name="40% - Accent1 2 3" xfId="141" xr:uid="{00000000-0005-0000-0000-0000BC000000}"/>
    <cellStyle name="40% - Accent1 2 4" xfId="142" xr:uid="{00000000-0005-0000-0000-0000BD000000}"/>
    <cellStyle name="40% - Accent1 2 5" xfId="143" xr:uid="{00000000-0005-0000-0000-0000BE000000}"/>
    <cellStyle name="40% - Accent1 2 6" xfId="144" xr:uid="{00000000-0005-0000-0000-0000BF000000}"/>
    <cellStyle name="40% - Accent1 2 7" xfId="145" xr:uid="{00000000-0005-0000-0000-0000C0000000}"/>
    <cellStyle name="40% - Accent1 2 8" xfId="146" xr:uid="{00000000-0005-0000-0000-0000C1000000}"/>
    <cellStyle name="40% - Accent1 2 9" xfId="147" xr:uid="{00000000-0005-0000-0000-0000C2000000}"/>
    <cellStyle name="40% - Accent1 3" xfId="148" xr:uid="{00000000-0005-0000-0000-0000C3000000}"/>
    <cellStyle name="40% - Accent1 3 2" xfId="149" xr:uid="{00000000-0005-0000-0000-0000C4000000}"/>
    <cellStyle name="40% - Accent1 4" xfId="150" xr:uid="{00000000-0005-0000-0000-0000C5000000}"/>
    <cellStyle name="40% - Accent1 5" xfId="151" xr:uid="{00000000-0005-0000-0000-0000C6000000}"/>
    <cellStyle name="40% - Accent1 6" xfId="152" xr:uid="{00000000-0005-0000-0000-0000C7000000}"/>
    <cellStyle name="40% - Accent1 7" xfId="153" xr:uid="{00000000-0005-0000-0000-0000C8000000}"/>
    <cellStyle name="40% - Accent1 8" xfId="154" xr:uid="{00000000-0005-0000-0000-0000C9000000}"/>
    <cellStyle name="40% - Accent2 2" xfId="155" xr:uid="{00000000-0005-0000-0000-0000CA000000}"/>
    <cellStyle name="40% - Accent2 2 10" xfId="156" xr:uid="{00000000-0005-0000-0000-0000CB000000}"/>
    <cellStyle name="40% - Accent2 2 11" xfId="157" xr:uid="{00000000-0005-0000-0000-0000CC000000}"/>
    <cellStyle name="40% - Accent2 2 12" xfId="158" xr:uid="{00000000-0005-0000-0000-0000CD000000}"/>
    <cellStyle name="40% - Accent2 2 13" xfId="159" xr:uid="{00000000-0005-0000-0000-0000CE000000}"/>
    <cellStyle name="40% - Accent2 2 14" xfId="160" xr:uid="{00000000-0005-0000-0000-0000CF000000}"/>
    <cellStyle name="40% - Accent2 2 15" xfId="161" xr:uid="{00000000-0005-0000-0000-0000D0000000}"/>
    <cellStyle name="40% - Accent2 2 2" xfId="162" xr:uid="{00000000-0005-0000-0000-0000D1000000}"/>
    <cellStyle name="40% - Accent2 2 3" xfId="163" xr:uid="{00000000-0005-0000-0000-0000D2000000}"/>
    <cellStyle name="40% - Accent2 2 4" xfId="164" xr:uid="{00000000-0005-0000-0000-0000D3000000}"/>
    <cellStyle name="40% - Accent2 2 5" xfId="165" xr:uid="{00000000-0005-0000-0000-0000D4000000}"/>
    <cellStyle name="40% - Accent2 2 6" xfId="166" xr:uid="{00000000-0005-0000-0000-0000D5000000}"/>
    <cellStyle name="40% - Accent2 2 7" xfId="167" xr:uid="{00000000-0005-0000-0000-0000D6000000}"/>
    <cellStyle name="40% - Accent2 2 8" xfId="168" xr:uid="{00000000-0005-0000-0000-0000D7000000}"/>
    <cellStyle name="40% - Accent2 2 9" xfId="169" xr:uid="{00000000-0005-0000-0000-0000D8000000}"/>
    <cellStyle name="40% - Accent2 3" xfId="170" xr:uid="{00000000-0005-0000-0000-0000D9000000}"/>
    <cellStyle name="40% - Accent2 4" xfId="171" xr:uid="{00000000-0005-0000-0000-0000DA000000}"/>
    <cellStyle name="40% - Accent2 5" xfId="172" xr:uid="{00000000-0005-0000-0000-0000DB000000}"/>
    <cellStyle name="40% - Accent2 6" xfId="173" xr:uid="{00000000-0005-0000-0000-0000DC000000}"/>
    <cellStyle name="40% - Accent2 7" xfId="174" xr:uid="{00000000-0005-0000-0000-0000DD000000}"/>
    <cellStyle name="40% - Accent2 8" xfId="175" xr:uid="{00000000-0005-0000-0000-0000DE000000}"/>
    <cellStyle name="40% - Accent3 2" xfId="176" xr:uid="{00000000-0005-0000-0000-0000DF000000}"/>
    <cellStyle name="40% - Accent3 2 10" xfId="177" xr:uid="{00000000-0005-0000-0000-0000E0000000}"/>
    <cellStyle name="40% - Accent3 2 11" xfId="178" xr:uid="{00000000-0005-0000-0000-0000E1000000}"/>
    <cellStyle name="40% - Accent3 2 12" xfId="179" xr:uid="{00000000-0005-0000-0000-0000E2000000}"/>
    <cellStyle name="40% - Accent3 2 13" xfId="180" xr:uid="{00000000-0005-0000-0000-0000E3000000}"/>
    <cellStyle name="40% - Accent3 2 14" xfId="181" xr:uid="{00000000-0005-0000-0000-0000E4000000}"/>
    <cellStyle name="40% - Accent3 2 15" xfId="182" xr:uid="{00000000-0005-0000-0000-0000E5000000}"/>
    <cellStyle name="40% - Accent3 2 2" xfId="183" xr:uid="{00000000-0005-0000-0000-0000E6000000}"/>
    <cellStyle name="40% - Accent3 2 3" xfId="184" xr:uid="{00000000-0005-0000-0000-0000E7000000}"/>
    <cellStyle name="40% - Accent3 2 4" xfId="185" xr:uid="{00000000-0005-0000-0000-0000E8000000}"/>
    <cellStyle name="40% - Accent3 2 5" xfId="186" xr:uid="{00000000-0005-0000-0000-0000E9000000}"/>
    <cellStyle name="40% - Accent3 2 6" xfId="187" xr:uid="{00000000-0005-0000-0000-0000EA000000}"/>
    <cellStyle name="40% - Accent3 2 7" xfId="188" xr:uid="{00000000-0005-0000-0000-0000EB000000}"/>
    <cellStyle name="40% - Accent3 2 8" xfId="189" xr:uid="{00000000-0005-0000-0000-0000EC000000}"/>
    <cellStyle name="40% - Accent3 2 9" xfId="190" xr:uid="{00000000-0005-0000-0000-0000ED000000}"/>
    <cellStyle name="40% - Accent3 3" xfId="191" xr:uid="{00000000-0005-0000-0000-0000EE000000}"/>
    <cellStyle name="40% - Accent3 3 2" xfId="192" xr:uid="{00000000-0005-0000-0000-0000EF000000}"/>
    <cellStyle name="40% - Accent3 4" xfId="193" xr:uid="{00000000-0005-0000-0000-0000F0000000}"/>
    <cellStyle name="40% - Accent3 5" xfId="194" xr:uid="{00000000-0005-0000-0000-0000F1000000}"/>
    <cellStyle name="40% - Accent3 6" xfId="195" xr:uid="{00000000-0005-0000-0000-0000F2000000}"/>
    <cellStyle name="40% - Accent3 7" xfId="196" xr:uid="{00000000-0005-0000-0000-0000F3000000}"/>
    <cellStyle name="40% - Accent3 8" xfId="197" xr:uid="{00000000-0005-0000-0000-0000F4000000}"/>
    <cellStyle name="40% - Accent4 2" xfId="198" xr:uid="{00000000-0005-0000-0000-0000F5000000}"/>
    <cellStyle name="40% - Accent4 2 10" xfId="199" xr:uid="{00000000-0005-0000-0000-0000F6000000}"/>
    <cellStyle name="40% - Accent4 2 11" xfId="200" xr:uid="{00000000-0005-0000-0000-0000F7000000}"/>
    <cellStyle name="40% - Accent4 2 12" xfId="201" xr:uid="{00000000-0005-0000-0000-0000F8000000}"/>
    <cellStyle name="40% - Accent4 2 13" xfId="202" xr:uid="{00000000-0005-0000-0000-0000F9000000}"/>
    <cellStyle name="40% - Accent4 2 14" xfId="203" xr:uid="{00000000-0005-0000-0000-0000FA000000}"/>
    <cellStyle name="40% - Accent4 2 15" xfId="204" xr:uid="{00000000-0005-0000-0000-0000FB000000}"/>
    <cellStyle name="40% - Accent4 2 2" xfId="205" xr:uid="{00000000-0005-0000-0000-0000FC000000}"/>
    <cellStyle name="40% - Accent4 2 3" xfId="206" xr:uid="{00000000-0005-0000-0000-0000FD000000}"/>
    <cellStyle name="40% - Accent4 2 4" xfId="207" xr:uid="{00000000-0005-0000-0000-0000FE000000}"/>
    <cellStyle name="40% - Accent4 2 5" xfId="208" xr:uid="{00000000-0005-0000-0000-0000FF000000}"/>
    <cellStyle name="40% - Accent4 2 6" xfId="209" xr:uid="{00000000-0005-0000-0000-000000010000}"/>
    <cellStyle name="40% - Accent4 2 7" xfId="210" xr:uid="{00000000-0005-0000-0000-000001010000}"/>
    <cellStyle name="40% - Accent4 2 8" xfId="211" xr:uid="{00000000-0005-0000-0000-000002010000}"/>
    <cellStyle name="40% - Accent4 2 9" xfId="212" xr:uid="{00000000-0005-0000-0000-000003010000}"/>
    <cellStyle name="40% - Accent4 3" xfId="213" xr:uid="{00000000-0005-0000-0000-000004010000}"/>
    <cellStyle name="40% - Accent4 3 2" xfId="214" xr:uid="{00000000-0005-0000-0000-000005010000}"/>
    <cellStyle name="40% - Accent4 4" xfId="215" xr:uid="{00000000-0005-0000-0000-000006010000}"/>
    <cellStyle name="40% - Accent4 5" xfId="216" xr:uid="{00000000-0005-0000-0000-000007010000}"/>
    <cellStyle name="40% - Accent4 6" xfId="217" xr:uid="{00000000-0005-0000-0000-000008010000}"/>
    <cellStyle name="40% - Accent4 7" xfId="218" xr:uid="{00000000-0005-0000-0000-000009010000}"/>
    <cellStyle name="40% - Accent4 8" xfId="219" xr:uid="{00000000-0005-0000-0000-00000A010000}"/>
    <cellStyle name="40% - Accent5 2" xfId="220" xr:uid="{00000000-0005-0000-0000-00000B010000}"/>
    <cellStyle name="40% - Accent5 2 10" xfId="221" xr:uid="{00000000-0005-0000-0000-00000C010000}"/>
    <cellStyle name="40% - Accent5 2 11" xfId="222" xr:uid="{00000000-0005-0000-0000-00000D010000}"/>
    <cellStyle name="40% - Accent5 2 12" xfId="223" xr:uid="{00000000-0005-0000-0000-00000E010000}"/>
    <cellStyle name="40% - Accent5 2 13" xfId="224" xr:uid="{00000000-0005-0000-0000-00000F010000}"/>
    <cellStyle name="40% - Accent5 2 14" xfId="225" xr:uid="{00000000-0005-0000-0000-000010010000}"/>
    <cellStyle name="40% - Accent5 2 15" xfId="226" xr:uid="{00000000-0005-0000-0000-000011010000}"/>
    <cellStyle name="40% - Accent5 2 2" xfId="227" xr:uid="{00000000-0005-0000-0000-000012010000}"/>
    <cellStyle name="40% - Accent5 2 3" xfId="228" xr:uid="{00000000-0005-0000-0000-000013010000}"/>
    <cellStyle name="40% - Accent5 2 4" xfId="229" xr:uid="{00000000-0005-0000-0000-000014010000}"/>
    <cellStyle name="40% - Accent5 2 5" xfId="230" xr:uid="{00000000-0005-0000-0000-000015010000}"/>
    <cellStyle name="40% - Accent5 2 6" xfId="231" xr:uid="{00000000-0005-0000-0000-000016010000}"/>
    <cellStyle name="40% - Accent5 2 7" xfId="232" xr:uid="{00000000-0005-0000-0000-000017010000}"/>
    <cellStyle name="40% - Accent5 2 8" xfId="233" xr:uid="{00000000-0005-0000-0000-000018010000}"/>
    <cellStyle name="40% - Accent5 2 9" xfId="234" xr:uid="{00000000-0005-0000-0000-000019010000}"/>
    <cellStyle name="40% - Accent5 3" xfId="235" xr:uid="{00000000-0005-0000-0000-00001A010000}"/>
    <cellStyle name="40% - Accent5 3 2" xfId="236" xr:uid="{00000000-0005-0000-0000-00001B010000}"/>
    <cellStyle name="40% - Accent5 4" xfId="237" xr:uid="{00000000-0005-0000-0000-00001C010000}"/>
    <cellStyle name="40% - Accent5 5" xfId="238" xr:uid="{00000000-0005-0000-0000-00001D010000}"/>
    <cellStyle name="40% - Accent5 6" xfId="239" xr:uid="{00000000-0005-0000-0000-00001E010000}"/>
    <cellStyle name="40% - Accent5 7" xfId="240" xr:uid="{00000000-0005-0000-0000-00001F010000}"/>
    <cellStyle name="40% - Accent5 8" xfId="241" xr:uid="{00000000-0005-0000-0000-000020010000}"/>
    <cellStyle name="40% - Accent6 2" xfId="242" xr:uid="{00000000-0005-0000-0000-000021010000}"/>
    <cellStyle name="40% - Accent6 2 10" xfId="243" xr:uid="{00000000-0005-0000-0000-000022010000}"/>
    <cellStyle name="40% - Accent6 2 11" xfId="244" xr:uid="{00000000-0005-0000-0000-000023010000}"/>
    <cellStyle name="40% - Accent6 2 12" xfId="245" xr:uid="{00000000-0005-0000-0000-000024010000}"/>
    <cellStyle name="40% - Accent6 2 13" xfId="246" xr:uid="{00000000-0005-0000-0000-000025010000}"/>
    <cellStyle name="40% - Accent6 2 14" xfId="247" xr:uid="{00000000-0005-0000-0000-000026010000}"/>
    <cellStyle name="40% - Accent6 2 15" xfId="248" xr:uid="{00000000-0005-0000-0000-000027010000}"/>
    <cellStyle name="40% - Accent6 2 2" xfId="249" xr:uid="{00000000-0005-0000-0000-000028010000}"/>
    <cellStyle name="40% - Accent6 2 3" xfId="250" xr:uid="{00000000-0005-0000-0000-000029010000}"/>
    <cellStyle name="40% - Accent6 2 4" xfId="251" xr:uid="{00000000-0005-0000-0000-00002A010000}"/>
    <cellStyle name="40% - Accent6 2 5" xfId="252" xr:uid="{00000000-0005-0000-0000-00002B010000}"/>
    <cellStyle name="40% - Accent6 2 6" xfId="253" xr:uid="{00000000-0005-0000-0000-00002C010000}"/>
    <cellStyle name="40% - Accent6 2 7" xfId="254" xr:uid="{00000000-0005-0000-0000-00002D010000}"/>
    <cellStyle name="40% - Accent6 2 8" xfId="255" xr:uid="{00000000-0005-0000-0000-00002E010000}"/>
    <cellStyle name="40% - Accent6 2 9" xfId="256" xr:uid="{00000000-0005-0000-0000-00002F010000}"/>
    <cellStyle name="40% - Accent6 3" xfId="257" xr:uid="{00000000-0005-0000-0000-000030010000}"/>
    <cellStyle name="40% - Accent6 3 2" xfId="258" xr:uid="{00000000-0005-0000-0000-000031010000}"/>
    <cellStyle name="40% - Accent6 4" xfId="259" xr:uid="{00000000-0005-0000-0000-000032010000}"/>
    <cellStyle name="40% - Accent6 5" xfId="260" xr:uid="{00000000-0005-0000-0000-000033010000}"/>
    <cellStyle name="40% - Accent6 6" xfId="261" xr:uid="{00000000-0005-0000-0000-000034010000}"/>
    <cellStyle name="40% - Accent6 7" xfId="262" xr:uid="{00000000-0005-0000-0000-000035010000}"/>
    <cellStyle name="40% - Accent6 8" xfId="263" xr:uid="{00000000-0005-0000-0000-000036010000}"/>
    <cellStyle name="5x indented GHG Textfiels" xfId="264" xr:uid="{00000000-0005-0000-0000-000037010000}"/>
    <cellStyle name="5x indented GHG Textfiels 2" xfId="265" xr:uid="{00000000-0005-0000-0000-000038010000}"/>
    <cellStyle name="5x indented GHG Textfiels 2 2" xfId="266" xr:uid="{00000000-0005-0000-0000-000039010000}"/>
    <cellStyle name="5x indented GHG Textfiels 3" xfId="267" xr:uid="{00000000-0005-0000-0000-00003A010000}"/>
    <cellStyle name="60% - Accent1 2" xfId="268" xr:uid="{00000000-0005-0000-0000-00003B010000}"/>
    <cellStyle name="60% - Accent1 2 10" xfId="269" xr:uid="{00000000-0005-0000-0000-00003C010000}"/>
    <cellStyle name="60% - Accent1 2 2" xfId="270" xr:uid="{00000000-0005-0000-0000-00003D010000}"/>
    <cellStyle name="60% - Accent1 2 3" xfId="271" xr:uid="{00000000-0005-0000-0000-00003E010000}"/>
    <cellStyle name="60% - Accent1 2 4" xfId="272" xr:uid="{00000000-0005-0000-0000-00003F010000}"/>
    <cellStyle name="60% - Accent1 2 5" xfId="273" xr:uid="{00000000-0005-0000-0000-000040010000}"/>
    <cellStyle name="60% - Accent1 2 6" xfId="274" xr:uid="{00000000-0005-0000-0000-000041010000}"/>
    <cellStyle name="60% - Accent1 2 7" xfId="275" xr:uid="{00000000-0005-0000-0000-000042010000}"/>
    <cellStyle name="60% - Accent1 2 8" xfId="276" xr:uid="{00000000-0005-0000-0000-000043010000}"/>
    <cellStyle name="60% - Accent1 2 9" xfId="277" xr:uid="{00000000-0005-0000-0000-000044010000}"/>
    <cellStyle name="60% - Accent1 3" xfId="278" xr:uid="{00000000-0005-0000-0000-000045010000}"/>
    <cellStyle name="60% - Accent1 3 2" xfId="279" xr:uid="{00000000-0005-0000-0000-000046010000}"/>
    <cellStyle name="60% - Accent2 2" xfId="280" xr:uid="{00000000-0005-0000-0000-000047010000}"/>
    <cellStyle name="60% - Accent2 2 10" xfId="281" xr:uid="{00000000-0005-0000-0000-000048010000}"/>
    <cellStyle name="60% - Accent2 2 2" xfId="282" xr:uid="{00000000-0005-0000-0000-000049010000}"/>
    <cellStyle name="60% - Accent2 2 3" xfId="283" xr:uid="{00000000-0005-0000-0000-00004A010000}"/>
    <cellStyle name="60% - Accent2 2 4" xfId="284" xr:uid="{00000000-0005-0000-0000-00004B010000}"/>
    <cellStyle name="60% - Accent2 2 5" xfId="285" xr:uid="{00000000-0005-0000-0000-00004C010000}"/>
    <cellStyle name="60% - Accent2 2 6" xfId="286" xr:uid="{00000000-0005-0000-0000-00004D010000}"/>
    <cellStyle name="60% - Accent2 2 7" xfId="287" xr:uid="{00000000-0005-0000-0000-00004E010000}"/>
    <cellStyle name="60% - Accent2 2 8" xfId="288" xr:uid="{00000000-0005-0000-0000-00004F010000}"/>
    <cellStyle name="60% - Accent2 2 9" xfId="289" xr:uid="{00000000-0005-0000-0000-000050010000}"/>
    <cellStyle name="60% - Accent2 3" xfId="290" xr:uid="{00000000-0005-0000-0000-000051010000}"/>
    <cellStyle name="60% - Accent2 3 2" xfId="291" xr:uid="{00000000-0005-0000-0000-000052010000}"/>
    <cellStyle name="60% - Accent3 2" xfId="292" xr:uid="{00000000-0005-0000-0000-000053010000}"/>
    <cellStyle name="60% - Accent3 2 10" xfId="293" xr:uid="{00000000-0005-0000-0000-000054010000}"/>
    <cellStyle name="60% - Accent3 2 2" xfId="294" xr:uid="{00000000-0005-0000-0000-000055010000}"/>
    <cellStyle name="60% - Accent3 2 3" xfId="295" xr:uid="{00000000-0005-0000-0000-000056010000}"/>
    <cellStyle name="60% - Accent3 2 4" xfId="296" xr:uid="{00000000-0005-0000-0000-000057010000}"/>
    <cellStyle name="60% - Accent3 2 5" xfId="297" xr:uid="{00000000-0005-0000-0000-000058010000}"/>
    <cellStyle name="60% - Accent3 2 6" xfId="298" xr:uid="{00000000-0005-0000-0000-000059010000}"/>
    <cellStyle name="60% - Accent3 2 7" xfId="299" xr:uid="{00000000-0005-0000-0000-00005A010000}"/>
    <cellStyle name="60% - Accent3 2 8" xfId="300" xr:uid="{00000000-0005-0000-0000-00005B010000}"/>
    <cellStyle name="60% - Accent3 2 9" xfId="301" xr:uid="{00000000-0005-0000-0000-00005C010000}"/>
    <cellStyle name="60% - Accent3 3" xfId="302" xr:uid="{00000000-0005-0000-0000-00005D010000}"/>
    <cellStyle name="60% - Accent3 3 2" xfId="303" xr:uid="{00000000-0005-0000-0000-00005E010000}"/>
    <cellStyle name="60% - Accent4 2" xfId="304" xr:uid="{00000000-0005-0000-0000-00005F010000}"/>
    <cellStyle name="60% - Accent4 2 10" xfId="305" xr:uid="{00000000-0005-0000-0000-000060010000}"/>
    <cellStyle name="60% - Accent4 2 2" xfId="306" xr:uid="{00000000-0005-0000-0000-000061010000}"/>
    <cellStyle name="60% - Accent4 2 3" xfId="307" xr:uid="{00000000-0005-0000-0000-000062010000}"/>
    <cellStyle name="60% - Accent4 2 4" xfId="308" xr:uid="{00000000-0005-0000-0000-000063010000}"/>
    <cellStyle name="60% - Accent4 2 5" xfId="309" xr:uid="{00000000-0005-0000-0000-000064010000}"/>
    <cellStyle name="60% - Accent4 2 6" xfId="310" xr:uid="{00000000-0005-0000-0000-000065010000}"/>
    <cellStyle name="60% - Accent4 2 7" xfId="311" xr:uid="{00000000-0005-0000-0000-000066010000}"/>
    <cellStyle name="60% - Accent4 2 8" xfId="312" xr:uid="{00000000-0005-0000-0000-000067010000}"/>
    <cellStyle name="60% - Accent4 2 9" xfId="313" xr:uid="{00000000-0005-0000-0000-000068010000}"/>
    <cellStyle name="60% - Accent4 3" xfId="314" xr:uid="{00000000-0005-0000-0000-000069010000}"/>
    <cellStyle name="60% - Accent4 3 2" xfId="315" xr:uid="{00000000-0005-0000-0000-00006A010000}"/>
    <cellStyle name="60% - Accent5 2" xfId="316" xr:uid="{00000000-0005-0000-0000-00006B010000}"/>
    <cellStyle name="60% - Accent5 2 10" xfId="317" xr:uid="{00000000-0005-0000-0000-00006C010000}"/>
    <cellStyle name="60% - Accent5 2 2" xfId="318" xr:uid="{00000000-0005-0000-0000-00006D010000}"/>
    <cellStyle name="60% - Accent5 2 3" xfId="319" xr:uid="{00000000-0005-0000-0000-00006E010000}"/>
    <cellStyle name="60% - Accent5 2 4" xfId="320" xr:uid="{00000000-0005-0000-0000-00006F010000}"/>
    <cellStyle name="60% - Accent5 2 5" xfId="321" xr:uid="{00000000-0005-0000-0000-000070010000}"/>
    <cellStyle name="60% - Accent5 2 6" xfId="322" xr:uid="{00000000-0005-0000-0000-000071010000}"/>
    <cellStyle name="60% - Accent5 2 7" xfId="323" xr:uid="{00000000-0005-0000-0000-000072010000}"/>
    <cellStyle name="60% - Accent5 2 8" xfId="324" xr:uid="{00000000-0005-0000-0000-000073010000}"/>
    <cellStyle name="60% - Accent5 2 9" xfId="325" xr:uid="{00000000-0005-0000-0000-000074010000}"/>
    <cellStyle name="60% - Accent5 3" xfId="326" xr:uid="{00000000-0005-0000-0000-000075010000}"/>
    <cellStyle name="60% - Accent5 3 2" xfId="327" xr:uid="{00000000-0005-0000-0000-000076010000}"/>
    <cellStyle name="60% - Accent6 2" xfId="328" xr:uid="{00000000-0005-0000-0000-000077010000}"/>
    <cellStyle name="60% - Accent6 2 10" xfId="329" xr:uid="{00000000-0005-0000-0000-000078010000}"/>
    <cellStyle name="60% - Accent6 2 2" xfId="330" xr:uid="{00000000-0005-0000-0000-000079010000}"/>
    <cellStyle name="60% - Accent6 2 3" xfId="331" xr:uid="{00000000-0005-0000-0000-00007A010000}"/>
    <cellStyle name="60% - Accent6 2 4" xfId="332" xr:uid="{00000000-0005-0000-0000-00007B010000}"/>
    <cellStyle name="60% - Accent6 2 5" xfId="333" xr:uid="{00000000-0005-0000-0000-00007C010000}"/>
    <cellStyle name="60% - Accent6 2 6" xfId="334" xr:uid="{00000000-0005-0000-0000-00007D010000}"/>
    <cellStyle name="60% - Accent6 2 7" xfId="335" xr:uid="{00000000-0005-0000-0000-00007E010000}"/>
    <cellStyle name="60% - Accent6 2 8" xfId="336" xr:uid="{00000000-0005-0000-0000-00007F010000}"/>
    <cellStyle name="60% - Accent6 2 9" xfId="337" xr:uid="{00000000-0005-0000-0000-000080010000}"/>
    <cellStyle name="60% - Accent6 3" xfId="338" xr:uid="{00000000-0005-0000-0000-000081010000}"/>
    <cellStyle name="60% - Accent6 3 2" xfId="339" xr:uid="{00000000-0005-0000-0000-000082010000}"/>
    <cellStyle name="Accent1 2" xfId="340" xr:uid="{00000000-0005-0000-0000-000083010000}"/>
    <cellStyle name="Accent1 2 10" xfId="341" xr:uid="{00000000-0005-0000-0000-000084010000}"/>
    <cellStyle name="Accent1 2 2" xfId="342" xr:uid="{00000000-0005-0000-0000-000085010000}"/>
    <cellStyle name="Accent1 2 3" xfId="343" xr:uid="{00000000-0005-0000-0000-000086010000}"/>
    <cellStyle name="Accent1 2 4" xfId="344" xr:uid="{00000000-0005-0000-0000-000087010000}"/>
    <cellStyle name="Accent1 2 5" xfId="345" xr:uid="{00000000-0005-0000-0000-000088010000}"/>
    <cellStyle name="Accent1 2 6" xfId="346" xr:uid="{00000000-0005-0000-0000-000089010000}"/>
    <cellStyle name="Accent1 2 7" xfId="347" xr:uid="{00000000-0005-0000-0000-00008A010000}"/>
    <cellStyle name="Accent1 2 8" xfId="348" xr:uid="{00000000-0005-0000-0000-00008B010000}"/>
    <cellStyle name="Accent1 2 9" xfId="349" xr:uid="{00000000-0005-0000-0000-00008C010000}"/>
    <cellStyle name="Accent1 3" xfId="350" xr:uid="{00000000-0005-0000-0000-00008D010000}"/>
    <cellStyle name="Accent1 3 2" xfId="351" xr:uid="{00000000-0005-0000-0000-00008E010000}"/>
    <cellStyle name="Accent2 2" xfId="352" xr:uid="{00000000-0005-0000-0000-00008F010000}"/>
    <cellStyle name="Accent2 2 10" xfId="353" xr:uid="{00000000-0005-0000-0000-000090010000}"/>
    <cellStyle name="Accent2 2 2" xfId="354" xr:uid="{00000000-0005-0000-0000-000091010000}"/>
    <cellStyle name="Accent2 2 3" xfId="355" xr:uid="{00000000-0005-0000-0000-000092010000}"/>
    <cellStyle name="Accent2 2 4" xfId="356" xr:uid="{00000000-0005-0000-0000-000093010000}"/>
    <cellStyle name="Accent2 2 5" xfId="357" xr:uid="{00000000-0005-0000-0000-000094010000}"/>
    <cellStyle name="Accent2 2 6" xfId="358" xr:uid="{00000000-0005-0000-0000-000095010000}"/>
    <cellStyle name="Accent2 2 7" xfId="359" xr:uid="{00000000-0005-0000-0000-000096010000}"/>
    <cellStyle name="Accent2 2 8" xfId="360" xr:uid="{00000000-0005-0000-0000-000097010000}"/>
    <cellStyle name="Accent2 2 9" xfId="361" xr:uid="{00000000-0005-0000-0000-000098010000}"/>
    <cellStyle name="Accent2 3" xfId="362" xr:uid="{00000000-0005-0000-0000-000099010000}"/>
    <cellStyle name="Accent2 3 2" xfId="363" xr:uid="{00000000-0005-0000-0000-00009A010000}"/>
    <cellStyle name="Accent3 2" xfId="364" xr:uid="{00000000-0005-0000-0000-00009B010000}"/>
    <cellStyle name="Accent3 2 10" xfId="365" xr:uid="{00000000-0005-0000-0000-00009C010000}"/>
    <cellStyle name="Accent3 2 2" xfId="366" xr:uid="{00000000-0005-0000-0000-00009D010000}"/>
    <cellStyle name="Accent3 2 3" xfId="367" xr:uid="{00000000-0005-0000-0000-00009E010000}"/>
    <cellStyle name="Accent3 2 4" xfId="368" xr:uid="{00000000-0005-0000-0000-00009F010000}"/>
    <cellStyle name="Accent3 2 5" xfId="369" xr:uid="{00000000-0005-0000-0000-0000A0010000}"/>
    <cellStyle name="Accent3 2 6" xfId="370" xr:uid="{00000000-0005-0000-0000-0000A1010000}"/>
    <cellStyle name="Accent3 2 7" xfId="371" xr:uid="{00000000-0005-0000-0000-0000A2010000}"/>
    <cellStyle name="Accent3 2 8" xfId="372" xr:uid="{00000000-0005-0000-0000-0000A3010000}"/>
    <cellStyle name="Accent3 2 9" xfId="373" xr:uid="{00000000-0005-0000-0000-0000A4010000}"/>
    <cellStyle name="Accent3 3" xfId="374" xr:uid="{00000000-0005-0000-0000-0000A5010000}"/>
    <cellStyle name="Accent3 3 2" xfId="375" xr:uid="{00000000-0005-0000-0000-0000A6010000}"/>
    <cellStyle name="Accent4 2" xfId="376" xr:uid="{00000000-0005-0000-0000-0000A7010000}"/>
    <cellStyle name="Accent4 2 10" xfId="377" xr:uid="{00000000-0005-0000-0000-0000A8010000}"/>
    <cellStyle name="Accent4 2 2" xfId="378" xr:uid="{00000000-0005-0000-0000-0000A9010000}"/>
    <cellStyle name="Accent4 2 3" xfId="379" xr:uid="{00000000-0005-0000-0000-0000AA010000}"/>
    <cellStyle name="Accent4 2 4" xfId="380" xr:uid="{00000000-0005-0000-0000-0000AB010000}"/>
    <cellStyle name="Accent4 2 5" xfId="381" xr:uid="{00000000-0005-0000-0000-0000AC010000}"/>
    <cellStyle name="Accent4 2 6" xfId="382" xr:uid="{00000000-0005-0000-0000-0000AD010000}"/>
    <cellStyle name="Accent4 2 7" xfId="383" xr:uid="{00000000-0005-0000-0000-0000AE010000}"/>
    <cellStyle name="Accent4 2 8" xfId="384" xr:uid="{00000000-0005-0000-0000-0000AF010000}"/>
    <cellStyle name="Accent4 2 9" xfId="385" xr:uid="{00000000-0005-0000-0000-0000B0010000}"/>
    <cellStyle name="Accent4 3" xfId="386" xr:uid="{00000000-0005-0000-0000-0000B1010000}"/>
    <cellStyle name="Accent4 3 2" xfId="387" xr:uid="{00000000-0005-0000-0000-0000B2010000}"/>
    <cellStyle name="Accent5 2" xfId="388" xr:uid="{00000000-0005-0000-0000-0000B3010000}"/>
    <cellStyle name="Accent5 2 10" xfId="389" xr:uid="{00000000-0005-0000-0000-0000B4010000}"/>
    <cellStyle name="Accent5 2 2" xfId="390" xr:uid="{00000000-0005-0000-0000-0000B5010000}"/>
    <cellStyle name="Accent5 2 3" xfId="391" xr:uid="{00000000-0005-0000-0000-0000B6010000}"/>
    <cellStyle name="Accent5 2 4" xfId="392" xr:uid="{00000000-0005-0000-0000-0000B7010000}"/>
    <cellStyle name="Accent5 2 5" xfId="393" xr:uid="{00000000-0005-0000-0000-0000B8010000}"/>
    <cellStyle name="Accent5 2 6" xfId="394" xr:uid="{00000000-0005-0000-0000-0000B9010000}"/>
    <cellStyle name="Accent5 2 7" xfId="395" xr:uid="{00000000-0005-0000-0000-0000BA010000}"/>
    <cellStyle name="Accent5 2 8" xfId="396" xr:uid="{00000000-0005-0000-0000-0000BB010000}"/>
    <cellStyle name="Accent5 2 9" xfId="397" xr:uid="{00000000-0005-0000-0000-0000BC010000}"/>
    <cellStyle name="Accent5 3" xfId="398" xr:uid="{00000000-0005-0000-0000-0000BD010000}"/>
    <cellStyle name="Accent6 2" xfId="399" xr:uid="{00000000-0005-0000-0000-0000BE010000}"/>
    <cellStyle name="Accent6 2 10" xfId="400" xr:uid="{00000000-0005-0000-0000-0000BF010000}"/>
    <cellStyle name="Accent6 2 2" xfId="401" xr:uid="{00000000-0005-0000-0000-0000C0010000}"/>
    <cellStyle name="Accent6 2 3" xfId="402" xr:uid="{00000000-0005-0000-0000-0000C1010000}"/>
    <cellStyle name="Accent6 2 4" xfId="403" xr:uid="{00000000-0005-0000-0000-0000C2010000}"/>
    <cellStyle name="Accent6 2 5" xfId="404" xr:uid="{00000000-0005-0000-0000-0000C3010000}"/>
    <cellStyle name="Accent6 2 6" xfId="405" xr:uid="{00000000-0005-0000-0000-0000C4010000}"/>
    <cellStyle name="Accent6 2 7" xfId="406" xr:uid="{00000000-0005-0000-0000-0000C5010000}"/>
    <cellStyle name="Accent6 2 8" xfId="407" xr:uid="{00000000-0005-0000-0000-0000C6010000}"/>
    <cellStyle name="Accent6 2 9" xfId="408" xr:uid="{00000000-0005-0000-0000-0000C7010000}"/>
    <cellStyle name="Accent6 3" xfId="409" xr:uid="{00000000-0005-0000-0000-0000C8010000}"/>
    <cellStyle name="Accent6 3 2" xfId="410" xr:uid="{00000000-0005-0000-0000-0000C9010000}"/>
    <cellStyle name="AggOrange_CRFReport-template" xfId="411" xr:uid="{00000000-0005-0000-0000-0000CA010000}"/>
    <cellStyle name="AggOrange9_CRFReport-template" xfId="412" xr:uid="{00000000-0005-0000-0000-0000CB010000}"/>
    <cellStyle name="Bad 2" xfId="413" xr:uid="{00000000-0005-0000-0000-0000CC010000}"/>
    <cellStyle name="Bad 2 10" xfId="414" xr:uid="{00000000-0005-0000-0000-0000CD010000}"/>
    <cellStyle name="Bad 2 2" xfId="415" xr:uid="{00000000-0005-0000-0000-0000CE010000}"/>
    <cellStyle name="Bad 2 3" xfId="416" xr:uid="{00000000-0005-0000-0000-0000CF010000}"/>
    <cellStyle name="Bad 2 4" xfId="417" xr:uid="{00000000-0005-0000-0000-0000D0010000}"/>
    <cellStyle name="Bad 2 5" xfId="418" xr:uid="{00000000-0005-0000-0000-0000D1010000}"/>
    <cellStyle name="Bad 2 6" xfId="419" xr:uid="{00000000-0005-0000-0000-0000D2010000}"/>
    <cellStyle name="Bad 2 7" xfId="420" xr:uid="{00000000-0005-0000-0000-0000D3010000}"/>
    <cellStyle name="Bad 2 8" xfId="421" xr:uid="{00000000-0005-0000-0000-0000D4010000}"/>
    <cellStyle name="Bad 2 9" xfId="422" xr:uid="{00000000-0005-0000-0000-0000D5010000}"/>
    <cellStyle name="Bad 3" xfId="423" xr:uid="{00000000-0005-0000-0000-0000D6010000}"/>
    <cellStyle name="Bad 3 2" xfId="424" xr:uid="{00000000-0005-0000-0000-0000D7010000}"/>
    <cellStyle name="Calculation 2" xfId="425" xr:uid="{00000000-0005-0000-0000-0000D8010000}"/>
    <cellStyle name="Calculation 2 10" xfId="426" xr:uid="{00000000-0005-0000-0000-0000D9010000}"/>
    <cellStyle name="Calculation 2 2" xfId="427" xr:uid="{00000000-0005-0000-0000-0000DA010000}"/>
    <cellStyle name="Calculation 2 3" xfId="428" xr:uid="{00000000-0005-0000-0000-0000DB010000}"/>
    <cellStyle name="Calculation 2 4" xfId="429" xr:uid="{00000000-0005-0000-0000-0000DC010000}"/>
    <cellStyle name="Calculation 2 5" xfId="430" xr:uid="{00000000-0005-0000-0000-0000DD010000}"/>
    <cellStyle name="Calculation 2 6" xfId="431" xr:uid="{00000000-0005-0000-0000-0000DE010000}"/>
    <cellStyle name="Calculation 2 7" xfId="432" xr:uid="{00000000-0005-0000-0000-0000DF010000}"/>
    <cellStyle name="Calculation 2 8" xfId="433" xr:uid="{00000000-0005-0000-0000-0000E0010000}"/>
    <cellStyle name="Calculation 2 9" xfId="434" xr:uid="{00000000-0005-0000-0000-0000E1010000}"/>
    <cellStyle name="Calculation 3" xfId="435" xr:uid="{00000000-0005-0000-0000-0000E2010000}"/>
    <cellStyle name="Calculation 3 2" xfId="436" xr:uid="{00000000-0005-0000-0000-0000E3010000}"/>
    <cellStyle name="Check Cell 2" xfId="437" xr:uid="{00000000-0005-0000-0000-0000E4010000}"/>
    <cellStyle name="Check Cell 2 10" xfId="438" xr:uid="{00000000-0005-0000-0000-0000E5010000}"/>
    <cellStyle name="Check Cell 2 2" xfId="439" xr:uid="{00000000-0005-0000-0000-0000E6010000}"/>
    <cellStyle name="Check Cell 2 3" xfId="440" xr:uid="{00000000-0005-0000-0000-0000E7010000}"/>
    <cellStyle name="Check Cell 2 4" xfId="441" xr:uid="{00000000-0005-0000-0000-0000E8010000}"/>
    <cellStyle name="Check Cell 2 5" xfId="442" xr:uid="{00000000-0005-0000-0000-0000E9010000}"/>
    <cellStyle name="Check Cell 2 6" xfId="443" xr:uid="{00000000-0005-0000-0000-0000EA010000}"/>
    <cellStyle name="Check Cell 2 7" xfId="444" xr:uid="{00000000-0005-0000-0000-0000EB010000}"/>
    <cellStyle name="Check Cell 2 8" xfId="445" xr:uid="{00000000-0005-0000-0000-0000EC010000}"/>
    <cellStyle name="Check Cell 2 9" xfId="446" xr:uid="{00000000-0005-0000-0000-0000ED010000}"/>
    <cellStyle name="Check Cell 3" xfId="447" xr:uid="{00000000-0005-0000-0000-0000EE010000}"/>
    <cellStyle name="coin" xfId="448" xr:uid="{00000000-0005-0000-0000-0000EF010000}"/>
    <cellStyle name="coin 2" xfId="449" xr:uid="{00000000-0005-0000-0000-0000F0010000}"/>
    <cellStyle name="Comma [0] 2 10" xfId="450" xr:uid="{00000000-0005-0000-0000-0000F1010000}"/>
    <cellStyle name="Comma [0] 2 10 2" xfId="451" xr:uid="{00000000-0005-0000-0000-0000F2010000}"/>
    <cellStyle name="Comma [0] 2 2" xfId="452" xr:uid="{00000000-0005-0000-0000-0000F3010000}"/>
    <cellStyle name="Comma [0] 2 2 2" xfId="453" xr:uid="{00000000-0005-0000-0000-0000F4010000}"/>
    <cellStyle name="Comma [0] 2 3" xfId="454" xr:uid="{00000000-0005-0000-0000-0000F5010000}"/>
    <cellStyle name="Comma [0] 2 3 2" xfId="455" xr:uid="{00000000-0005-0000-0000-0000F6010000}"/>
    <cellStyle name="Comma [0] 2 4" xfId="456" xr:uid="{00000000-0005-0000-0000-0000F7010000}"/>
    <cellStyle name="Comma [0] 2 4 2" xfId="457" xr:uid="{00000000-0005-0000-0000-0000F8010000}"/>
    <cellStyle name="Comma [0] 2 5" xfId="458" xr:uid="{00000000-0005-0000-0000-0000F9010000}"/>
    <cellStyle name="Comma [0] 2 5 2" xfId="459" xr:uid="{00000000-0005-0000-0000-0000FA010000}"/>
    <cellStyle name="Comma [0] 2 6" xfId="460" xr:uid="{00000000-0005-0000-0000-0000FB010000}"/>
    <cellStyle name="Comma [0] 2 6 2" xfId="461" xr:uid="{00000000-0005-0000-0000-0000FC010000}"/>
    <cellStyle name="Comma [0] 2 7" xfId="462" xr:uid="{00000000-0005-0000-0000-0000FD010000}"/>
    <cellStyle name="Comma [0] 2 7 2" xfId="463" xr:uid="{00000000-0005-0000-0000-0000FE010000}"/>
    <cellStyle name="Comma [0] 2 8" xfId="464" xr:uid="{00000000-0005-0000-0000-0000FF010000}"/>
    <cellStyle name="Comma [0] 2 8 2" xfId="465" xr:uid="{00000000-0005-0000-0000-000000020000}"/>
    <cellStyle name="Comma [0] 2 9" xfId="466" xr:uid="{00000000-0005-0000-0000-000001020000}"/>
    <cellStyle name="Comma [0] 2 9 2" xfId="467" xr:uid="{00000000-0005-0000-0000-000002020000}"/>
    <cellStyle name="Comma 10 2" xfId="468" xr:uid="{00000000-0005-0000-0000-000003020000}"/>
    <cellStyle name="Comma 10 2 10" xfId="469" xr:uid="{00000000-0005-0000-0000-000004020000}"/>
    <cellStyle name="Comma 10 2 10 2" xfId="470" xr:uid="{00000000-0005-0000-0000-000005020000}"/>
    <cellStyle name="Comma 10 2 11" xfId="471" xr:uid="{00000000-0005-0000-0000-000006020000}"/>
    <cellStyle name="Comma 10 2 11 2" xfId="472" xr:uid="{00000000-0005-0000-0000-000007020000}"/>
    <cellStyle name="Comma 10 2 12" xfId="473" xr:uid="{00000000-0005-0000-0000-000008020000}"/>
    <cellStyle name="Comma 10 2 12 2" xfId="474" xr:uid="{00000000-0005-0000-0000-000009020000}"/>
    <cellStyle name="Comma 10 2 13" xfId="475" xr:uid="{00000000-0005-0000-0000-00000A020000}"/>
    <cellStyle name="Comma 10 2 13 2" xfId="476" xr:uid="{00000000-0005-0000-0000-00000B020000}"/>
    <cellStyle name="Comma 10 2 14" xfId="477" xr:uid="{00000000-0005-0000-0000-00000C020000}"/>
    <cellStyle name="Comma 10 2 14 2" xfId="478" xr:uid="{00000000-0005-0000-0000-00000D020000}"/>
    <cellStyle name="Comma 10 2 15" xfId="479" xr:uid="{00000000-0005-0000-0000-00000E020000}"/>
    <cellStyle name="Comma 10 2 15 2" xfId="480" xr:uid="{00000000-0005-0000-0000-00000F020000}"/>
    <cellStyle name="Comma 10 2 16" xfId="481" xr:uid="{00000000-0005-0000-0000-000010020000}"/>
    <cellStyle name="Comma 10 2 16 2" xfId="482" xr:uid="{00000000-0005-0000-0000-000011020000}"/>
    <cellStyle name="Comma 10 2 17" xfId="483" xr:uid="{00000000-0005-0000-0000-000012020000}"/>
    <cellStyle name="Comma 10 2 17 2" xfId="484" xr:uid="{00000000-0005-0000-0000-000013020000}"/>
    <cellStyle name="Comma 10 2 18" xfId="485" xr:uid="{00000000-0005-0000-0000-000014020000}"/>
    <cellStyle name="Comma 10 2 2" xfId="486" xr:uid="{00000000-0005-0000-0000-000015020000}"/>
    <cellStyle name="Comma 10 2 2 2" xfId="487" xr:uid="{00000000-0005-0000-0000-000016020000}"/>
    <cellStyle name="Comma 10 2 3" xfId="488" xr:uid="{00000000-0005-0000-0000-000017020000}"/>
    <cellStyle name="Comma 10 2 3 2" xfId="489" xr:uid="{00000000-0005-0000-0000-000018020000}"/>
    <cellStyle name="Comma 10 2 4" xfId="490" xr:uid="{00000000-0005-0000-0000-000019020000}"/>
    <cellStyle name="Comma 10 2 4 2" xfId="491" xr:uid="{00000000-0005-0000-0000-00001A020000}"/>
    <cellStyle name="Comma 10 2 5" xfId="492" xr:uid="{00000000-0005-0000-0000-00001B020000}"/>
    <cellStyle name="Comma 10 2 5 2" xfId="493" xr:uid="{00000000-0005-0000-0000-00001C020000}"/>
    <cellStyle name="Comma 10 2 6" xfId="494" xr:uid="{00000000-0005-0000-0000-00001D020000}"/>
    <cellStyle name="Comma 10 2 6 2" xfId="495" xr:uid="{00000000-0005-0000-0000-00001E020000}"/>
    <cellStyle name="Comma 10 2 7" xfId="496" xr:uid="{00000000-0005-0000-0000-00001F020000}"/>
    <cellStyle name="Comma 10 2 7 2" xfId="497" xr:uid="{00000000-0005-0000-0000-000020020000}"/>
    <cellStyle name="Comma 10 2 8" xfId="498" xr:uid="{00000000-0005-0000-0000-000021020000}"/>
    <cellStyle name="Comma 10 2 8 2" xfId="499" xr:uid="{00000000-0005-0000-0000-000022020000}"/>
    <cellStyle name="Comma 10 2 9" xfId="500" xr:uid="{00000000-0005-0000-0000-000023020000}"/>
    <cellStyle name="Comma 10 2 9 2" xfId="501" xr:uid="{00000000-0005-0000-0000-000024020000}"/>
    <cellStyle name="Comma 10 3" xfId="502" xr:uid="{00000000-0005-0000-0000-000025020000}"/>
    <cellStyle name="Comma 10 3 10" xfId="503" xr:uid="{00000000-0005-0000-0000-000026020000}"/>
    <cellStyle name="Comma 10 3 10 2" xfId="504" xr:uid="{00000000-0005-0000-0000-000027020000}"/>
    <cellStyle name="Comma 10 3 11" xfId="505" xr:uid="{00000000-0005-0000-0000-000028020000}"/>
    <cellStyle name="Comma 10 3 11 2" xfId="506" xr:uid="{00000000-0005-0000-0000-000029020000}"/>
    <cellStyle name="Comma 10 3 12" xfId="507" xr:uid="{00000000-0005-0000-0000-00002A020000}"/>
    <cellStyle name="Comma 10 3 12 2" xfId="508" xr:uid="{00000000-0005-0000-0000-00002B020000}"/>
    <cellStyle name="Comma 10 3 13" xfId="509" xr:uid="{00000000-0005-0000-0000-00002C020000}"/>
    <cellStyle name="Comma 10 3 13 2" xfId="510" xr:uid="{00000000-0005-0000-0000-00002D020000}"/>
    <cellStyle name="Comma 10 3 14" xfId="511" xr:uid="{00000000-0005-0000-0000-00002E020000}"/>
    <cellStyle name="Comma 10 3 14 2" xfId="512" xr:uid="{00000000-0005-0000-0000-00002F020000}"/>
    <cellStyle name="Comma 10 3 15" xfId="513" xr:uid="{00000000-0005-0000-0000-000030020000}"/>
    <cellStyle name="Comma 10 3 15 2" xfId="514" xr:uid="{00000000-0005-0000-0000-000031020000}"/>
    <cellStyle name="Comma 10 3 16" xfId="515" xr:uid="{00000000-0005-0000-0000-000032020000}"/>
    <cellStyle name="Comma 10 3 16 2" xfId="516" xr:uid="{00000000-0005-0000-0000-000033020000}"/>
    <cellStyle name="Comma 10 3 17" xfId="517" xr:uid="{00000000-0005-0000-0000-000034020000}"/>
    <cellStyle name="Comma 10 3 17 2" xfId="518" xr:uid="{00000000-0005-0000-0000-000035020000}"/>
    <cellStyle name="Comma 10 3 18" xfId="519" xr:uid="{00000000-0005-0000-0000-000036020000}"/>
    <cellStyle name="Comma 10 3 2" xfId="520" xr:uid="{00000000-0005-0000-0000-000037020000}"/>
    <cellStyle name="Comma 10 3 2 2" xfId="521" xr:uid="{00000000-0005-0000-0000-000038020000}"/>
    <cellStyle name="Comma 10 3 3" xfId="522" xr:uid="{00000000-0005-0000-0000-000039020000}"/>
    <cellStyle name="Comma 10 3 3 2" xfId="523" xr:uid="{00000000-0005-0000-0000-00003A020000}"/>
    <cellStyle name="Comma 10 3 4" xfId="524" xr:uid="{00000000-0005-0000-0000-00003B020000}"/>
    <cellStyle name="Comma 10 3 4 2" xfId="525" xr:uid="{00000000-0005-0000-0000-00003C020000}"/>
    <cellStyle name="Comma 10 3 5" xfId="526" xr:uid="{00000000-0005-0000-0000-00003D020000}"/>
    <cellStyle name="Comma 10 3 5 2" xfId="527" xr:uid="{00000000-0005-0000-0000-00003E020000}"/>
    <cellStyle name="Comma 10 3 6" xfId="528" xr:uid="{00000000-0005-0000-0000-00003F020000}"/>
    <cellStyle name="Comma 10 3 6 2" xfId="529" xr:uid="{00000000-0005-0000-0000-000040020000}"/>
    <cellStyle name="Comma 10 3 7" xfId="530" xr:uid="{00000000-0005-0000-0000-000041020000}"/>
    <cellStyle name="Comma 10 3 7 2" xfId="531" xr:uid="{00000000-0005-0000-0000-000042020000}"/>
    <cellStyle name="Comma 10 3 8" xfId="532" xr:uid="{00000000-0005-0000-0000-000043020000}"/>
    <cellStyle name="Comma 10 3 8 2" xfId="533" xr:uid="{00000000-0005-0000-0000-000044020000}"/>
    <cellStyle name="Comma 10 3 9" xfId="534" xr:uid="{00000000-0005-0000-0000-000045020000}"/>
    <cellStyle name="Comma 10 3 9 2" xfId="535" xr:uid="{00000000-0005-0000-0000-000046020000}"/>
    <cellStyle name="Comma 10 4" xfId="536" xr:uid="{00000000-0005-0000-0000-000047020000}"/>
    <cellStyle name="Comma 10 4 10" xfId="537" xr:uid="{00000000-0005-0000-0000-000048020000}"/>
    <cellStyle name="Comma 10 4 10 2" xfId="538" xr:uid="{00000000-0005-0000-0000-000049020000}"/>
    <cellStyle name="Comma 10 4 11" xfId="539" xr:uid="{00000000-0005-0000-0000-00004A020000}"/>
    <cellStyle name="Comma 10 4 11 2" xfId="540" xr:uid="{00000000-0005-0000-0000-00004B020000}"/>
    <cellStyle name="Comma 10 4 12" xfId="541" xr:uid="{00000000-0005-0000-0000-00004C020000}"/>
    <cellStyle name="Comma 10 4 12 2" xfId="542" xr:uid="{00000000-0005-0000-0000-00004D020000}"/>
    <cellStyle name="Comma 10 4 13" xfId="543" xr:uid="{00000000-0005-0000-0000-00004E020000}"/>
    <cellStyle name="Comma 10 4 13 2" xfId="544" xr:uid="{00000000-0005-0000-0000-00004F020000}"/>
    <cellStyle name="Comma 10 4 14" xfId="545" xr:uid="{00000000-0005-0000-0000-000050020000}"/>
    <cellStyle name="Comma 10 4 14 2" xfId="546" xr:uid="{00000000-0005-0000-0000-000051020000}"/>
    <cellStyle name="Comma 10 4 15" xfId="547" xr:uid="{00000000-0005-0000-0000-000052020000}"/>
    <cellStyle name="Comma 10 4 15 2" xfId="548" xr:uid="{00000000-0005-0000-0000-000053020000}"/>
    <cellStyle name="Comma 10 4 16" xfId="549" xr:uid="{00000000-0005-0000-0000-000054020000}"/>
    <cellStyle name="Comma 10 4 16 2" xfId="550" xr:uid="{00000000-0005-0000-0000-000055020000}"/>
    <cellStyle name="Comma 10 4 17" xfId="551" xr:uid="{00000000-0005-0000-0000-000056020000}"/>
    <cellStyle name="Comma 10 4 17 2" xfId="552" xr:uid="{00000000-0005-0000-0000-000057020000}"/>
    <cellStyle name="Comma 10 4 18" xfId="553" xr:uid="{00000000-0005-0000-0000-000058020000}"/>
    <cellStyle name="Comma 10 4 2" xfId="554" xr:uid="{00000000-0005-0000-0000-000059020000}"/>
    <cellStyle name="Comma 10 4 2 2" xfId="555" xr:uid="{00000000-0005-0000-0000-00005A020000}"/>
    <cellStyle name="Comma 10 4 3" xfId="556" xr:uid="{00000000-0005-0000-0000-00005B020000}"/>
    <cellStyle name="Comma 10 4 3 2" xfId="557" xr:uid="{00000000-0005-0000-0000-00005C020000}"/>
    <cellStyle name="Comma 10 4 4" xfId="558" xr:uid="{00000000-0005-0000-0000-00005D020000}"/>
    <cellStyle name="Comma 10 4 4 2" xfId="559" xr:uid="{00000000-0005-0000-0000-00005E020000}"/>
    <cellStyle name="Comma 10 4 5" xfId="560" xr:uid="{00000000-0005-0000-0000-00005F020000}"/>
    <cellStyle name="Comma 10 4 5 2" xfId="561" xr:uid="{00000000-0005-0000-0000-000060020000}"/>
    <cellStyle name="Comma 10 4 6" xfId="562" xr:uid="{00000000-0005-0000-0000-000061020000}"/>
    <cellStyle name="Comma 10 4 6 2" xfId="563" xr:uid="{00000000-0005-0000-0000-000062020000}"/>
    <cellStyle name="Comma 10 4 7" xfId="564" xr:uid="{00000000-0005-0000-0000-000063020000}"/>
    <cellStyle name="Comma 10 4 7 2" xfId="565" xr:uid="{00000000-0005-0000-0000-000064020000}"/>
    <cellStyle name="Comma 10 4 8" xfId="566" xr:uid="{00000000-0005-0000-0000-000065020000}"/>
    <cellStyle name="Comma 10 4 8 2" xfId="567" xr:uid="{00000000-0005-0000-0000-000066020000}"/>
    <cellStyle name="Comma 10 4 9" xfId="568" xr:uid="{00000000-0005-0000-0000-000067020000}"/>
    <cellStyle name="Comma 10 4 9 2" xfId="569" xr:uid="{00000000-0005-0000-0000-000068020000}"/>
    <cellStyle name="Comma 10 5" xfId="570" xr:uid="{00000000-0005-0000-0000-000069020000}"/>
    <cellStyle name="Comma 10 5 10" xfId="571" xr:uid="{00000000-0005-0000-0000-00006A020000}"/>
    <cellStyle name="Comma 10 5 10 2" xfId="572" xr:uid="{00000000-0005-0000-0000-00006B020000}"/>
    <cellStyle name="Comma 10 5 11" xfId="573" xr:uid="{00000000-0005-0000-0000-00006C020000}"/>
    <cellStyle name="Comma 10 5 11 2" xfId="574" xr:uid="{00000000-0005-0000-0000-00006D020000}"/>
    <cellStyle name="Comma 10 5 12" xfId="575" xr:uid="{00000000-0005-0000-0000-00006E020000}"/>
    <cellStyle name="Comma 10 5 12 2" xfId="576" xr:uid="{00000000-0005-0000-0000-00006F020000}"/>
    <cellStyle name="Comma 10 5 13" xfId="577" xr:uid="{00000000-0005-0000-0000-000070020000}"/>
    <cellStyle name="Comma 10 5 13 2" xfId="578" xr:uid="{00000000-0005-0000-0000-000071020000}"/>
    <cellStyle name="Comma 10 5 14" xfId="579" xr:uid="{00000000-0005-0000-0000-000072020000}"/>
    <cellStyle name="Comma 10 5 14 2" xfId="580" xr:uid="{00000000-0005-0000-0000-000073020000}"/>
    <cellStyle name="Comma 10 5 15" xfId="581" xr:uid="{00000000-0005-0000-0000-000074020000}"/>
    <cellStyle name="Comma 10 5 15 2" xfId="582" xr:uid="{00000000-0005-0000-0000-000075020000}"/>
    <cellStyle name="Comma 10 5 16" xfId="583" xr:uid="{00000000-0005-0000-0000-000076020000}"/>
    <cellStyle name="Comma 10 5 16 2" xfId="584" xr:uid="{00000000-0005-0000-0000-000077020000}"/>
    <cellStyle name="Comma 10 5 17" xfId="585" xr:uid="{00000000-0005-0000-0000-000078020000}"/>
    <cellStyle name="Comma 10 5 17 2" xfId="586" xr:uid="{00000000-0005-0000-0000-000079020000}"/>
    <cellStyle name="Comma 10 5 18" xfId="587" xr:uid="{00000000-0005-0000-0000-00007A020000}"/>
    <cellStyle name="Comma 10 5 2" xfId="588" xr:uid="{00000000-0005-0000-0000-00007B020000}"/>
    <cellStyle name="Comma 10 5 2 2" xfId="589" xr:uid="{00000000-0005-0000-0000-00007C020000}"/>
    <cellStyle name="Comma 10 5 3" xfId="590" xr:uid="{00000000-0005-0000-0000-00007D020000}"/>
    <cellStyle name="Comma 10 5 3 2" xfId="591" xr:uid="{00000000-0005-0000-0000-00007E020000}"/>
    <cellStyle name="Comma 10 5 4" xfId="592" xr:uid="{00000000-0005-0000-0000-00007F020000}"/>
    <cellStyle name="Comma 10 5 4 2" xfId="593" xr:uid="{00000000-0005-0000-0000-000080020000}"/>
    <cellStyle name="Comma 10 5 5" xfId="594" xr:uid="{00000000-0005-0000-0000-000081020000}"/>
    <cellStyle name="Comma 10 5 5 2" xfId="595" xr:uid="{00000000-0005-0000-0000-000082020000}"/>
    <cellStyle name="Comma 10 5 6" xfId="596" xr:uid="{00000000-0005-0000-0000-000083020000}"/>
    <cellStyle name="Comma 10 5 6 2" xfId="597" xr:uid="{00000000-0005-0000-0000-000084020000}"/>
    <cellStyle name="Comma 10 5 7" xfId="598" xr:uid="{00000000-0005-0000-0000-000085020000}"/>
    <cellStyle name="Comma 10 5 7 2" xfId="599" xr:uid="{00000000-0005-0000-0000-000086020000}"/>
    <cellStyle name="Comma 10 5 8" xfId="600" xr:uid="{00000000-0005-0000-0000-000087020000}"/>
    <cellStyle name="Comma 10 5 8 2" xfId="601" xr:uid="{00000000-0005-0000-0000-000088020000}"/>
    <cellStyle name="Comma 10 5 9" xfId="602" xr:uid="{00000000-0005-0000-0000-000089020000}"/>
    <cellStyle name="Comma 10 5 9 2" xfId="603" xr:uid="{00000000-0005-0000-0000-00008A020000}"/>
    <cellStyle name="Comma 10 6" xfId="604" xr:uid="{00000000-0005-0000-0000-00008B020000}"/>
    <cellStyle name="Comma 10 6 10" xfId="605" xr:uid="{00000000-0005-0000-0000-00008C020000}"/>
    <cellStyle name="Comma 10 6 10 2" xfId="606" xr:uid="{00000000-0005-0000-0000-00008D020000}"/>
    <cellStyle name="Comma 10 6 11" xfId="607" xr:uid="{00000000-0005-0000-0000-00008E020000}"/>
    <cellStyle name="Comma 10 6 11 2" xfId="608" xr:uid="{00000000-0005-0000-0000-00008F020000}"/>
    <cellStyle name="Comma 10 6 12" xfId="609" xr:uid="{00000000-0005-0000-0000-000090020000}"/>
    <cellStyle name="Comma 10 6 12 2" xfId="610" xr:uid="{00000000-0005-0000-0000-000091020000}"/>
    <cellStyle name="Comma 10 6 13" xfId="611" xr:uid="{00000000-0005-0000-0000-000092020000}"/>
    <cellStyle name="Comma 10 6 13 2" xfId="612" xr:uid="{00000000-0005-0000-0000-000093020000}"/>
    <cellStyle name="Comma 10 6 14" xfId="613" xr:uid="{00000000-0005-0000-0000-000094020000}"/>
    <cellStyle name="Comma 10 6 14 2" xfId="614" xr:uid="{00000000-0005-0000-0000-000095020000}"/>
    <cellStyle name="Comma 10 6 15" xfId="615" xr:uid="{00000000-0005-0000-0000-000096020000}"/>
    <cellStyle name="Comma 10 6 15 2" xfId="616" xr:uid="{00000000-0005-0000-0000-000097020000}"/>
    <cellStyle name="Comma 10 6 16" xfId="617" xr:uid="{00000000-0005-0000-0000-000098020000}"/>
    <cellStyle name="Comma 10 6 16 2" xfId="618" xr:uid="{00000000-0005-0000-0000-000099020000}"/>
    <cellStyle name="Comma 10 6 17" xfId="619" xr:uid="{00000000-0005-0000-0000-00009A020000}"/>
    <cellStyle name="Comma 10 6 17 2" xfId="620" xr:uid="{00000000-0005-0000-0000-00009B020000}"/>
    <cellStyle name="Comma 10 6 18" xfId="621" xr:uid="{00000000-0005-0000-0000-00009C020000}"/>
    <cellStyle name="Comma 10 6 2" xfId="622" xr:uid="{00000000-0005-0000-0000-00009D020000}"/>
    <cellStyle name="Comma 10 6 2 2" xfId="623" xr:uid="{00000000-0005-0000-0000-00009E020000}"/>
    <cellStyle name="Comma 10 6 3" xfId="624" xr:uid="{00000000-0005-0000-0000-00009F020000}"/>
    <cellStyle name="Comma 10 6 3 2" xfId="625" xr:uid="{00000000-0005-0000-0000-0000A0020000}"/>
    <cellStyle name="Comma 10 6 4" xfId="626" xr:uid="{00000000-0005-0000-0000-0000A1020000}"/>
    <cellStyle name="Comma 10 6 4 2" xfId="627" xr:uid="{00000000-0005-0000-0000-0000A2020000}"/>
    <cellStyle name="Comma 10 6 5" xfId="628" xr:uid="{00000000-0005-0000-0000-0000A3020000}"/>
    <cellStyle name="Comma 10 6 5 2" xfId="629" xr:uid="{00000000-0005-0000-0000-0000A4020000}"/>
    <cellStyle name="Comma 10 6 6" xfId="630" xr:uid="{00000000-0005-0000-0000-0000A5020000}"/>
    <cellStyle name="Comma 10 6 6 2" xfId="631" xr:uid="{00000000-0005-0000-0000-0000A6020000}"/>
    <cellStyle name="Comma 10 6 7" xfId="632" xr:uid="{00000000-0005-0000-0000-0000A7020000}"/>
    <cellStyle name="Comma 10 6 7 2" xfId="633" xr:uid="{00000000-0005-0000-0000-0000A8020000}"/>
    <cellStyle name="Comma 10 6 8" xfId="634" xr:uid="{00000000-0005-0000-0000-0000A9020000}"/>
    <cellStyle name="Comma 10 6 8 2" xfId="635" xr:uid="{00000000-0005-0000-0000-0000AA020000}"/>
    <cellStyle name="Comma 10 6 9" xfId="636" xr:uid="{00000000-0005-0000-0000-0000AB020000}"/>
    <cellStyle name="Comma 10 6 9 2" xfId="637" xr:uid="{00000000-0005-0000-0000-0000AC020000}"/>
    <cellStyle name="Comma 10 7" xfId="638" xr:uid="{00000000-0005-0000-0000-0000AD020000}"/>
    <cellStyle name="Comma 10 7 10" xfId="639" xr:uid="{00000000-0005-0000-0000-0000AE020000}"/>
    <cellStyle name="Comma 10 7 10 2" xfId="640" xr:uid="{00000000-0005-0000-0000-0000AF020000}"/>
    <cellStyle name="Comma 10 7 11" xfId="641" xr:uid="{00000000-0005-0000-0000-0000B0020000}"/>
    <cellStyle name="Comma 10 7 11 2" xfId="642" xr:uid="{00000000-0005-0000-0000-0000B1020000}"/>
    <cellStyle name="Comma 10 7 12" xfId="643" xr:uid="{00000000-0005-0000-0000-0000B2020000}"/>
    <cellStyle name="Comma 10 7 12 2" xfId="644" xr:uid="{00000000-0005-0000-0000-0000B3020000}"/>
    <cellStyle name="Comma 10 7 13" xfId="645" xr:uid="{00000000-0005-0000-0000-0000B4020000}"/>
    <cellStyle name="Comma 10 7 13 2" xfId="646" xr:uid="{00000000-0005-0000-0000-0000B5020000}"/>
    <cellStyle name="Comma 10 7 14" xfId="647" xr:uid="{00000000-0005-0000-0000-0000B6020000}"/>
    <cellStyle name="Comma 10 7 14 2" xfId="648" xr:uid="{00000000-0005-0000-0000-0000B7020000}"/>
    <cellStyle name="Comma 10 7 15" xfId="649" xr:uid="{00000000-0005-0000-0000-0000B8020000}"/>
    <cellStyle name="Comma 10 7 15 2" xfId="650" xr:uid="{00000000-0005-0000-0000-0000B9020000}"/>
    <cellStyle name="Comma 10 7 16" xfId="651" xr:uid="{00000000-0005-0000-0000-0000BA020000}"/>
    <cellStyle name="Comma 10 7 16 2" xfId="652" xr:uid="{00000000-0005-0000-0000-0000BB020000}"/>
    <cellStyle name="Comma 10 7 17" xfId="653" xr:uid="{00000000-0005-0000-0000-0000BC020000}"/>
    <cellStyle name="Comma 10 7 17 2" xfId="654" xr:uid="{00000000-0005-0000-0000-0000BD020000}"/>
    <cellStyle name="Comma 10 7 18" xfId="655" xr:uid="{00000000-0005-0000-0000-0000BE020000}"/>
    <cellStyle name="Comma 10 7 2" xfId="656" xr:uid="{00000000-0005-0000-0000-0000BF020000}"/>
    <cellStyle name="Comma 10 7 2 2" xfId="657" xr:uid="{00000000-0005-0000-0000-0000C0020000}"/>
    <cellStyle name="Comma 10 7 3" xfId="658" xr:uid="{00000000-0005-0000-0000-0000C1020000}"/>
    <cellStyle name="Comma 10 7 3 2" xfId="659" xr:uid="{00000000-0005-0000-0000-0000C2020000}"/>
    <cellStyle name="Comma 10 7 4" xfId="660" xr:uid="{00000000-0005-0000-0000-0000C3020000}"/>
    <cellStyle name="Comma 10 7 4 2" xfId="661" xr:uid="{00000000-0005-0000-0000-0000C4020000}"/>
    <cellStyle name="Comma 10 7 5" xfId="662" xr:uid="{00000000-0005-0000-0000-0000C5020000}"/>
    <cellStyle name="Comma 10 7 5 2" xfId="663" xr:uid="{00000000-0005-0000-0000-0000C6020000}"/>
    <cellStyle name="Comma 10 7 6" xfId="664" xr:uid="{00000000-0005-0000-0000-0000C7020000}"/>
    <cellStyle name="Comma 10 7 6 2" xfId="665" xr:uid="{00000000-0005-0000-0000-0000C8020000}"/>
    <cellStyle name="Comma 10 7 7" xfId="666" xr:uid="{00000000-0005-0000-0000-0000C9020000}"/>
    <cellStyle name="Comma 10 7 7 2" xfId="667" xr:uid="{00000000-0005-0000-0000-0000CA020000}"/>
    <cellStyle name="Comma 10 7 8" xfId="668" xr:uid="{00000000-0005-0000-0000-0000CB020000}"/>
    <cellStyle name="Comma 10 7 8 2" xfId="669" xr:uid="{00000000-0005-0000-0000-0000CC020000}"/>
    <cellStyle name="Comma 10 7 9" xfId="670" xr:uid="{00000000-0005-0000-0000-0000CD020000}"/>
    <cellStyle name="Comma 10 7 9 2" xfId="671" xr:uid="{00000000-0005-0000-0000-0000CE020000}"/>
    <cellStyle name="Comma 10 8" xfId="672" xr:uid="{00000000-0005-0000-0000-0000CF020000}"/>
    <cellStyle name="Comma 10 8 10" xfId="673" xr:uid="{00000000-0005-0000-0000-0000D0020000}"/>
    <cellStyle name="Comma 10 8 10 2" xfId="674" xr:uid="{00000000-0005-0000-0000-0000D1020000}"/>
    <cellStyle name="Comma 10 8 11" xfId="675" xr:uid="{00000000-0005-0000-0000-0000D2020000}"/>
    <cellStyle name="Comma 10 8 11 2" xfId="676" xr:uid="{00000000-0005-0000-0000-0000D3020000}"/>
    <cellStyle name="Comma 10 8 12" xfId="677" xr:uid="{00000000-0005-0000-0000-0000D4020000}"/>
    <cellStyle name="Comma 10 8 12 2" xfId="678" xr:uid="{00000000-0005-0000-0000-0000D5020000}"/>
    <cellStyle name="Comma 10 8 13" xfId="679" xr:uid="{00000000-0005-0000-0000-0000D6020000}"/>
    <cellStyle name="Comma 10 8 13 2" xfId="680" xr:uid="{00000000-0005-0000-0000-0000D7020000}"/>
    <cellStyle name="Comma 10 8 14" xfId="681" xr:uid="{00000000-0005-0000-0000-0000D8020000}"/>
    <cellStyle name="Comma 10 8 14 2" xfId="682" xr:uid="{00000000-0005-0000-0000-0000D9020000}"/>
    <cellStyle name="Comma 10 8 15" xfId="683" xr:uid="{00000000-0005-0000-0000-0000DA020000}"/>
    <cellStyle name="Comma 10 8 15 2" xfId="684" xr:uid="{00000000-0005-0000-0000-0000DB020000}"/>
    <cellStyle name="Comma 10 8 16" xfId="685" xr:uid="{00000000-0005-0000-0000-0000DC020000}"/>
    <cellStyle name="Comma 10 8 16 2" xfId="686" xr:uid="{00000000-0005-0000-0000-0000DD020000}"/>
    <cellStyle name="Comma 10 8 17" xfId="687" xr:uid="{00000000-0005-0000-0000-0000DE020000}"/>
    <cellStyle name="Comma 10 8 17 2" xfId="688" xr:uid="{00000000-0005-0000-0000-0000DF020000}"/>
    <cellStyle name="Comma 10 8 18" xfId="689" xr:uid="{00000000-0005-0000-0000-0000E0020000}"/>
    <cellStyle name="Comma 10 8 2" xfId="690" xr:uid="{00000000-0005-0000-0000-0000E1020000}"/>
    <cellStyle name="Comma 10 8 2 2" xfId="691" xr:uid="{00000000-0005-0000-0000-0000E2020000}"/>
    <cellStyle name="Comma 10 8 3" xfId="692" xr:uid="{00000000-0005-0000-0000-0000E3020000}"/>
    <cellStyle name="Comma 10 8 3 2" xfId="693" xr:uid="{00000000-0005-0000-0000-0000E4020000}"/>
    <cellStyle name="Comma 10 8 4" xfId="694" xr:uid="{00000000-0005-0000-0000-0000E5020000}"/>
    <cellStyle name="Comma 10 8 4 2" xfId="695" xr:uid="{00000000-0005-0000-0000-0000E6020000}"/>
    <cellStyle name="Comma 10 8 5" xfId="696" xr:uid="{00000000-0005-0000-0000-0000E7020000}"/>
    <cellStyle name="Comma 10 8 5 2" xfId="697" xr:uid="{00000000-0005-0000-0000-0000E8020000}"/>
    <cellStyle name="Comma 10 8 6" xfId="698" xr:uid="{00000000-0005-0000-0000-0000E9020000}"/>
    <cellStyle name="Comma 10 8 6 2" xfId="699" xr:uid="{00000000-0005-0000-0000-0000EA020000}"/>
    <cellStyle name="Comma 10 8 7" xfId="700" xr:uid="{00000000-0005-0000-0000-0000EB020000}"/>
    <cellStyle name="Comma 10 8 7 2" xfId="701" xr:uid="{00000000-0005-0000-0000-0000EC020000}"/>
    <cellStyle name="Comma 10 8 8" xfId="702" xr:uid="{00000000-0005-0000-0000-0000ED020000}"/>
    <cellStyle name="Comma 10 8 8 2" xfId="703" xr:uid="{00000000-0005-0000-0000-0000EE020000}"/>
    <cellStyle name="Comma 10 8 9" xfId="704" xr:uid="{00000000-0005-0000-0000-0000EF020000}"/>
    <cellStyle name="Comma 10 8 9 2" xfId="705" xr:uid="{00000000-0005-0000-0000-0000F0020000}"/>
    <cellStyle name="Comma 2" xfId="706" xr:uid="{00000000-0005-0000-0000-0000F1020000}"/>
    <cellStyle name="Comma 2 10" xfId="707" xr:uid="{00000000-0005-0000-0000-0000F2020000}"/>
    <cellStyle name="Comma 2 10 2" xfId="708" xr:uid="{00000000-0005-0000-0000-0000F3020000}"/>
    <cellStyle name="Comma 2 11" xfId="709" xr:uid="{00000000-0005-0000-0000-0000F4020000}"/>
    <cellStyle name="Comma 2 11 2" xfId="710" xr:uid="{00000000-0005-0000-0000-0000F5020000}"/>
    <cellStyle name="Comma 2 12" xfId="711" xr:uid="{00000000-0005-0000-0000-0000F6020000}"/>
    <cellStyle name="Comma 2 12 2" xfId="712" xr:uid="{00000000-0005-0000-0000-0000F7020000}"/>
    <cellStyle name="Comma 2 13" xfId="713" xr:uid="{00000000-0005-0000-0000-0000F8020000}"/>
    <cellStyle name="Comma 2 13 2" xfId="714" xr:uid="{00000000-0005-0000-0000-0000F9020000}"/>
    <cellStyle name="Comma 2 14" xfId="715" xr:uid="{00000000-0005-0000-0000-0000FA020000}"/>
    <cellStyle name="Comma 2 14 2" xfId="716" xr:uid="{00000000-0005-0000-0000-0000FB020000}"/>
    <cellStyle name="Comma 2 15" xfId="717" xr:uid="{00000000-0005-0000-0000-0000FC020000}"/>
    <cellStyle name="Comma 2 15 2" xfId="718" xr:uid="{00000000-0005-0000-0000-0000FD020000}"/>
    <cellStyle name="Comma 2 16" xfId="719" xr:uid="{00000000-0005-0000-0000-0000FE020000}"/>
    <cellStyle name="Comma 2 16 2" xfId="720" xr:uid="{00000000-0005-0000-0000-0000FF020000}"/>
    <cellStyle name="Comma 2 17" xfId="721" xr:uid="{00000000-0005-0000-0000-000000030000}"/>
    <cellStyle name="Comma 2 17 2" xfId="722" xr:uid="{00000000-0005-0000-0000-000001030000}"/>
    <cellStyle name="Comma 2 17 3" xfId="723" xr:uid="{00000000-0005-0000-0000-000002030000}"/>
    <cellStyle name="Comma 2 17 4" xfId="724" xr:uid="{00000000-0005-0000-0000-000003030000}"/>
    <cellStyle name="Comma 2 18" xfId="725" xr:uid="{00000000-0005-0000-0000-000004030000}"/>
    <cellStyle name="Comma 2 2" xfId="726" xr:uid="{00000000-0005-0000-0000-000005030000}"/>
    <cellStyle name="Comma 2 2 2" xfId="727" xr:uid="{00000000-0005-0000-0000-000006030000}"/>
    <cellStyle name="Comma 2 2 3" xfId="728" xr:uid="{00000000-0005-0000-0000-000007030000}"/>
    <cellStyle name="Comma 2 3" xfId="729" xr:uid="{00000000-0005-0000-0000-000008030000}"/>
    <cellStyle name="Comma 2 3 2" xfId="730" xr:uid="{00000000-0005-0000-0000-000009030000}"/>
    <cellStyle name="Comma 2 4" xfId="731" xr:uid="{00000000-0005-0000-0000-00000A030000}"/>
    <cellStyle name="Comma 2 4 2" xfId="732" xr:uid="{00000000-0005-0000-0000-00000B030000}"/>
    <cellStyle name="Comma 2 5" xfId="733" xr:uid="{00000000-0005-0000-0000-00000C030000}"/>
    <cellStyle name="Comma 2 5 2" xfId="734" xr:uid="{00000000-0005-0000-0000-00000D030000}"/>
    <cellStyle name="Comma 2 6" xfId="735" xr:uid="{00000000-0005-0000-0000-00000E030000}"/>
    <cellStyle name="Comma 2 6 2" xfId="736" xr:uid="{00000000-0005-0000-0000-00000F030000}"/>
    <cellStyle name="Comma 2 7" xfId="737" xr:uid="{00000000-0005-0000-0000-000010030000}"/>
    <cellStyle name="Comma 2 7 2" xfId="738" xr:uid="{00000000-0005-0000-0000-000011030000}"/>
    <cellStyle name="Comma 2 8" xfId="739" xr:uid="{00000000-0005-0000-0000-000012030000}"/>
    <cellStyle name="Comma 2 8 2" xfId="740" xr:uid="{00000000-0005-0000-0000-000013030000}"/>
    <cellStyle name="Comma 2 9" xfId="741" xr:uid="{00000000-0005-0000-0000-000014030000}"/>
    <cellStyle name="Comma 2 9 2" xfId="742" xr:uid="{00000000-0005-0000-0000-000015030000}"/>
    <cellStyle name="Comma 3" xfId="743" xr:uid="{00000000-0005-0000-0000-000016030000}"/>
    <cellStyle name="Comma 3 2" xfId="744" xr:uid="{00000000-0005-0000-0000-000017030000}"/>
    <cellStyle name="Comma 3 2 2" xfId="745" xr:uid="{00000000-0005-0000-0000-000018030000}"/>
    <cellStyle name="Comma 3 3" xfId="746" xr:uid="{00000000-0005-0000-0000-000019030000}"/>
    <cellStyle name="Comma 3 3 2" xfId="747" xr:uid="{00000000-0005-0000-0000-00001A030000}"/>
    <cellStyle name="Comma 3 4" xfId="748" xr:uid="{00000000-0005-0000-0000-00001B030000}"/>
    <cellStyle name="Comma 3 4 2" xfId="749" xr:uid="{00000000-0005-0000-0000-00001C030000}"/>
    <cellStyle name="Comma 3 5" xfId="750" xr:uid="{00000000-0005-0000-0000-00001D030000}"/>
    <cellStyle name="Comma 3 5 2" xfId="751" xr:uid="{00000000-0005-0000-0000-00001E030000}"/>
    <cellStyle name="Comma 3 6" xfId="752" xr:uid="{00000000-0005-0000-0000-00001F030000}"/>
    <cellStyle name="Comma 3 6 2" xfId="753" xr:uid="{00000000-0005-0000-0000-000020030000}"/>
    <cellStyle name="Comma 3 7" xfId="754" xr:uid="{00000000-0005-0000-0000-000021030000}"/>
    <cellStyle name="Comma 3 7 2" xfId="755" xr:uid="{00000000-0005-0000-0000-000022030000}"/>
    <cellStyle name="Comma 3 8" xfId="756" xr:uid="{00000000-0005-0000-0000-000023030000}"/>
    <cellStyle name="Comma 3 8 2" xfId="757" xr:uid="{00000000-0005-0000-0000-000024030000}"/>
    <cellStyle name="Comma 3 9" xfId="758" xr:uid="{00000000-0005-0000-0000-000025030000}"/>
    <cellStyle name="Comma 4" xfId="759" xr:uid="{00000000-0005-0000-0000-000026030000}"/>
    <cellStyle name="Comma 4 2" xfId="760" xr:uid="{00000000-0005-0000-0000-000027030000}"/>
    <cellStyle name="Comma 4 2 2" xfId="761" xr:uid="{00000000-0005-0000-0000-000028030000}"/>
    <cellStyle name="Comma 4 3" xfId="762" xr:uid="{00000000-0005-0000-0000-000029030000}"/>
    <cellStyle name="Comma 4 3 2" xfId="763" xr:uid="{00000000-0005-0000-0000-00002A030000}"/>
    <cellStyle name="Comma 4 4" xfId="764" xr:uid="{00000000-0005-0000-0000-00002B030000}"/>
    <cellStyle name="Comma 4 4 2" xfId="765" xr:uid="{00000000-0005-0000-0000-00002C030000}"/>
    <cellStyle name="Comma 4 5" xfId="766" xr:uid="{00000000-0005-0000-0000-00002D030000}"/>
    <cellStyle name="Comma 4 5 2" xfId="767" xr:uid="{00000000-0005-0000-0000-00002E030000}"/>
    <cellStyle name="Comma 4 6" xfId="768" xr:uid="{00000000-0005-0000-0000-00002F030000}"/>
    <cellStyle name="Comma 4 6 2" xfId="769" xr:uid="{00000000-0005-0000-0000-000030030000}"/>
    <cellStyle name="Comma 4 7" xfId="770" xr:uid="{00000000-0005-0000-0000-000031030000}"/>
    <cellStyle name="Comma 4 7 2" xfId="771" xr:uid="{00000000-0005-0000-0000-000032030000}"/>
    <cellStyle name="Comma 4 8" xfId="772" xr:uid="{00000000-0005-0000-0000-000033030000}"/>
    <cellStyle name="Comma 4 8 2" xfId="773" xr:uid="{00000000-0005-0000-0000-000034030000}"/>
    <cellStyle name="Comma 4 9" xfId="774" xr:uid="{00000000-0005-0000-0000-000035030000}"/>
    <cellStyle name="Comma 5" xfId="775" xr:uid="{00000000-0005-0000-0000-000036030000}"/>
    <cellStyle name="Comma 5 2" xfId="776" xr:uid="{00000000-0005-0000-0000-000037030000}"/>
    <cellStyle name="Comma 5 2 2" xfId="777" xr:uid="{00000000-0005-0000-0000-000038030000}"/>
    <cellStyle name="Comma 5 3" xfId="778" xr:uid="{00000000-0005-0000-0000-000039030000}"/>
    <cellStyle name="Comma 5 3 2" xfId="779" xr:uid="{00000000-0005-0000-0000-00003A030000}"/>
    <cellStyle name="Comma 5 4" xfId="780" xr:uid="{00000000-0005-0000-0000-00003B030000}"/>
    <cellStyle name="Comma 5 4 2" xfId="781" xr:uid="{00000000-0005-0000-0000-00003C030000}"/>
    <cellStyle name="Comma 5 5" xfId="782" xr:uid="{00000000-0005-0000-0000-00003D030000}"/>
    <cellStyle name="Comma 5 5 2" xfId="783" xr:uid="{00000000-0005-0000-0000-00003E030000}"/>
    <cellStyle name="Comma 5 6" xfId="784" xr:uid="{00000000-0005-0000-0000-00003F030000}"/>
    <cellStyle name="Comma 5 6 2" xfId="785" xr:uid="{00000000-0005-0000-0000-000040030000}"/>
    <cellStyle name="Comma 5 7" xfId="786" xr:uid="{00000000-0005-0000-0000-000041030000}"/>
    <cellStyle name="Comma 5 7 2" xfId="787" xr:uid="{00000000-0005-0000-0000-000042030000}"/>
    <cellStyle name="Comma 5 8" xfId="788" xr:uid="{00000000-0005-0000-0000-000043030000}"/>
    <cellStyle name="Comma 5 8 2" xfId="789" xr:uid="{00000000-0005-0000-0000-000044030000}"/>
    <cellStyle name="Comma 5 9" xfId="790" xr:uid="{00000000-0005-0000-0000-000045030000}"/>
    <cellStyle name="Comma 6" xfId="791" xr:uid="{00000000-0005-0000-0000-000046030000}"/>
    <cellStyle name="Comma 6 2" xfId="792" xr:uid="{00000000-0005-0000-0000-000047030000}"/>
    <cellStyle name="Comma 6 2 2" xfId="793" xr:uid="{00000000-0005-0000-0000-000048030000}"/>
    <cellStyle name="Comma 6 3" xfId="794" xr:uid="{00000000-0005-0000-0000-000049030000}"/>
    <cellStyle name="Comma 6 3 2" xfId="795" xr:uid="{00000000-0005-0000-0000-00004A030000}"/>
    <cellStyle name="Comma 6 4" xfId="796" xr:uid="{00000000-0005-0000-0000-00004B030000}"/>
    <cellStyle name="Comma 6 4 2" xfId="797" xr:uid="{00000000-0005-0000-0000-00004C030000}"/>
    <cellStyle name="Comma 6 5" xfId="798" xr:uid="{00000000-0005-0000-0000-00004D030000}"/>
    <cellStyle name="Comma 6 5 2" xfId="799" xr:uid="{00000000-0005-0000-0000-00004E030000}"/>
    <cellStyle name="Comma 6 6" xfId="800" xr:uid="{00000000-0005-0000-0000-00004F030000}"/>
    <cellStyle name="Comma 6 6 2" xfId="801" xr:uid="{00000000-0005-0000-0000-000050030000}"/>
    <cellStyle name="Comma 6 7" xfId="802" xr:uid="{00000000-0005-0000-0000-000051030000}"/>
    <cellStyle name="Comma 6 7 2" xfId="803" xr:uid="{00000000-0005-0000-0000-000052030000}"/>
    <cellStyle name="Comma 6 8" xfId="804" xr:uid="{00000000-0005-0000-0000-000053030000}"/>
    <cellStyle name="Comma 6 8 2" xfId="805" xr:uid="{00000000-0005-0000-0000-000054030000}"/>
    <cellStyle name="Comma 6 9" xfId="806" xr:uid="{00000000-0005-0000-0000-000055030000}"/>
    <cellStyle name="Comma 7" xfId="807" xr:uid="{00000000-0005-0000-0000-000056030000}"/>
    <cellStyle name="Comma 7 10" xfId="808" xr:uid="{00000000-0005-0000-0000-000057030000}"/>
    <cellStyle name="Comma 7 10 2" xfId="809" xr:uid="{00000000-0005-0000-0000-000058030000}"/>
    <cellStyle name="Comma 7 11" xfId="810" xr:uid="{00000000-0005-0000-0000-000059030000}"/>
    <cellStyle name="Comma 7 11 2" xfId="811" xr:uid="{00000000-0005-0000-0000-00005A030000}"/>
    <cellStyle name="Comma 7 11 2 2" xfId="812" xr:uid="{00000000-0005-0000-0000-00005B030000}"/>
    <cellStyle name="Comma 7 11 2 3" xfId="813" xr:uid="{00000000-0005-0000-0000-00005C030000}"/>
    <cellStyle name="Comma 7 11 2 4" xfId="814" xr:uid="{00000000-0005-0000-0000-00005D030000}"/>
    <cellStyle name="Comma 7 12" xfId="815" xr:uid="{00000000-0005-0000-0000-00005E030000}"/>
    <cellStyle name="Comma 7 12 2" xfId="816" xr:uid="{00000000-0005-0000-0000-00005F030000}"/>
    <cellStyle name="Comma 7 13" xfId="817" xr:uid="{00000000-0005-0000-0000-000060030000}"/>
    <cellStyle name="Comma 7 13 2" xfId="818" xr:uid="{00000000-0005-0000-0000-000061030000}"/>
    <cellStyle name="Comma 7 14" xfId="819" xr:uid="{00000000-0005-0000-0000-000062030000}"/>
    <cellStyle name="Comma 7 14 2" xfId="820" xr:uid="{00000000-0005-0000-0000-000063030000}"/>
    <cellStyle name="Comma 7 15" xfId="821" xr:uid="{00000000-0005-0000-0000-000064030000}"/>
    <cellStyle name="Comma 7 15 2" xfId="822" xr:uid="{00000000-0005-0000-0000-000065030000}"/>
    <cellStyle name="Comma 7 16" xfId="823" xr:uid="{00000000-0005-0000-0000-000066030000}"/>
    <cellStyle name="Comma 7 16 2" xfId="824" xr:uid="{00000000-0005-0000-0000-000067030000}"/>
    <cellStyle name="Comma 7 16 2 2" xfId="825" xr:uid="{00000000-0005-0000-0000-000068030000}"/>
    <cellStyle name="Comma 7 16 2 3" xfId="826" xr:uid="{00000000-0005-0000-0000-000069030000}"/>
    <cellStyle name="Comma 7 16 2 4" xfId="827" xr:uid="{00000000-0005-0000-0000-00006A030000}"/>
    <cellStyle name="Comma 7 17" xfId="828" xr:uid="{00000000-0005-0000-0000-00006B030000}"/>
    <cellStyle name="Comma 7 17 2" xfId="829" xr:uid="{00000000-0005-0000-0000-00006C030000}"/>
    <cellStyle name="Comma 7 17 2 2" xfId="830" xr:uid="{00000000-0005-0000-0000-00006D030000}"/>
    <cellStyle name="Comma 7 17 2 3" xfId="831" xr:uid="{00000000-0005-0000-0000-00006E030000}"/>
    <cellStyle name="Comma 7 17 2 4" xfId="832" xr:uid="{00000000-0005-0000-0000-00006F030000}"/>
    <cellStyle name="Comma 7 18" xfId="833" xr:uid="{00000000-0005-0000-0000-000070030000}"/>
    <cellStyle name="Comma 7 18 2" xfId="834" xr:uid="{00000000-0005-0000-0000-000071030000}"/>
    <cellStyle name="Comma 7 18 2 2" xfId="835" xr:uid="{00000000-0005-0000-0000-000072030000}"/>
    <cellStyle name="Comma 7 18 2 3" xfId="836" xr:uid="{00000000-0005-0000-0000-000073030000}"/>
    <cellStyle name="Comma 7 18 2 4" xfId="837" xr:uid="{00000000-0005-0000-0000-000074030000}"/>
    <cellStyle name="Comma 7 19" xfId="838" xr:uid="{00000000-0005-0000-0000-000075030000}"/>
    <cellStyle name="Comma 7 19 2" xfId="839" xr:uid="{00000000-0005-0000-0000-000076030000}"/>
    <cellStyle name="Comma 7 19 2 2" xfId="840" xr:uid="{00000000-0005-0000-0000-000077030000}"/>
    <cellStyle name="Comma 7 19 2 3" xfId="841" xr:uid="{00000000-0005-0000-0000-000078030000}"/>
    <cellStyle name="Comma 7 19 2 4" xfId="842" xr:uid="{00000000-0005-0000-0000-000079030000}"/>
    <cellStyle name="Comma 7 2" xfId="843" xr:uid="{00000000-0005-0000-0000-00007A030000}"/>
    <cellStyle name="Comma 7 2 2" xfId="844" xr:uid="{00000000-0005-0000-0000-00007B030000}"/>
    <cellStyle name="Comma 7 20" xfId="845" xr:uid="{00000000-0005-0000-0000-00007C030000}"/>
    <cellStyle name="Comma 7 20 2" xfId="846" xr:uid="{00000000-0005-0000-0000-00007D030000}"/>
    <cellStyle name="Comma 7 20 2 2" xfId="847" xr:uid="{00000000-0005-0000-0000-00007E030000}"/>
    <cellStyle name="Comma 7 20 2 3" xfId="848" xr:uid="{00000000-0005-0000-0000-00007F030000}"/>
    <cellStyle name="Comma 7 20 2 4" xfId="849" xr:uid="{00000000-0005-0000-0000-000080030000}"/>
    <cellStyle name="Comma 7 21" xfId="850" xr:uid="{00000000-0005-0000-0000-000081030000}"/>
    <cellStyle name="Comma 7 21 2" xfId="851" xr:uid="{00000000-0005-0000-0000-000082030000}"/>
    <cellStyle name="Comma 7 21 2 2" xfId="852" xr:uid="{00000000-0005-0000-0000-000083030000}"/>
    <cellStyle name="Comma 7 21 2 3" xfId="853" xr:uid="{00000000-0005-0000-0000-000084030000}"/>
    <cellStyle name="Comma 7 21 2 4" xfId="854" xr:uid="{00000000-0005-0000-0000-000085030000}"/>
    <cellStyle name="Comma 7 3" xfId="855" xr:uid="{00000000-0005-0000-0000-000086030000}"/>
    <cellStyle name="Comma 7 3 10" xfId="856" xr:uid="{00000000-0005-0000-0000-000087030000}"/>
    <cellStyle name="Comma 7 3 10 2" xfId="857" xr:uid="{00000000-0005-0000-0000-000088030000}"/>
    <cellStyle name="Comma 7 3 11" xfId="858" xr:uid="{00000000-0005-0000-0000-000089030000}"/>
    <cellStyle name="Comma 7 3 11 2" xfId="859" xr:uid="{00000000-0005-0000-0000-00008A030000}"/>
    <cellStyle name="Comma 7 3 12" xfId="860" xr:uid="{00000000-0005-0000-0000-00008B030000}"/>
    <cellStyle name="Comma 7 3 12 2" xfId="861" xr:uid="{00000000-0005-0000-0000-00008C030000}"/>
    <cellStyle name="Comma 7 3 13" xfId="862" xr:uid="{00000000-0005-0000-0000-00008D030000}"/>
    <cellStyle name="Comma 7 3 13 2" xfId="863" xr:uid="{00000000-0005-0000-0000-00008E030000}"/>
    <cellStyle name="Comma 7 3 14" xfId="864" xr:uid="{00000000-0005-0000-0000-00008F030000}"/>
    <cellStyle name="Comma 7 3 14 2" xfId="865" xr:uid="{00000000-0005-0000-0000-000090030000}"/>
    <cellStyle name="Comma 7 3 15" xfId="866" xr:uid="{00000000-0005-0000-0000-000091030000}"/>
    <cellStyle name="Comma 7 3 15 2" xfId="867" xr:uid="{00000000-0005-0000-0000-000092030000}"/>
    <cellStyle name="Comma 7 3 16" xfId="868" xr:uid="{00000000-0005-0000-0000-000093030000}"/>
    <cellStyle name="Comma 7 3 16 2" xfId="869" xr:uid="{00000000-0005-0000-0000-000094030000}"/>
    <cellStyle name="Comma 7 3 16 3" xfId="870" xr:uid="{00000000-0005-0000-0000-000095030000}"/>
    <cellStyle name="Comma 7 3 16 4" xfId="871" xr:uid="{00000000-0005-0000-0000-000096030000}"/>
    <cellStyle name="Comma 7 3 2" xfId="872" xr:uid="{00000000-0005-0000-0000-000097030000}"/>
    <cellStyle name="Comma 7 3 2 2" xfId="873" xr:uid="{00000000-0005-0000-0000-000098030000}"/>
    <cellStyle name="Comma 7 3 3" xfId="874" xr:uid="{00000000-0005-0000-0000-000099030000}"/>
    <cellStyle name="Comma 7 3 3 2" xfId="875" xr:uid="{00000000-0005-0000-0000-00009A030000}"/>
    <cellStyle name="Comma 7 3 4" xfId="876" xr:uid="{00000000-0005-0000-0000-00009B030000}"/>
    <cellStyle name="Comma 7 3 4 2" xfId="877" xr:uid="{00000000-0005-0000-0000-00009C030000}"/>
    <cellStyle name="Comma 7 3 5" xfId="878" xr:uid="{00000000-0005-0000-0000-00009D030000}"/>
    <cellStyle name="Comma 7 3 5 2" xfId="879" xr:uid="{00000000-0005-0000-0000-00009E030000}"/>
    <cellStyle name="Comma 7 3 6" xfId="880" xr:uid="{00000000-0005-0000-0000-00009F030000}"/>
    <cellStyle name="Comma 7 3 6 2" xfId="881" xr:uid="{00000000-0005-0000-0000-0000A0030000}"/>
    <cellStyle name="Comma 7 3 7" xfId="882" xr:uid="{00000000-0005-0000-0000-0000A1030000}"/>
    <cellStyle name="Comma 7 3 7 2" xfId="883" xr:uid="{00000000-0005-0000-0000-0000A2030000}"/>
    <cellStyle name="Comma 7 3 8" xfId="884" xr:uid="{00000000-0005-0000-0000-0000A3030000}"/>
    <cellStyle name="Comma 7 3 8 2" xfId="885" xr:uid="{00000000-0005-0000-0000-0000A4030000}"/>
    <cellStyle name="Comma 7 3 9" xfId="886" xr:uid="{00000000-0005-0000-0000-0000A5030000}"/>
    <cellStyle name="Comma 7 3 9 2" xfId="887" xr:uid="{00000000-0005-0000-0000-0000A6030000}"/>
    <cellStyle name="Comma 7 4" xfId="888" xr:uid="{00000000-0005-0000-0000-0000A7030000}"/>
    <cellStyle name="Comma 7 4 2" xfId="889" xr:uid="{00000000-0005-0000-0000-0000A8030000}"/>
    <cellStyle name="Comma 7 5" xfId="890" xr:uid="{00000000-0005-0000-0000-0000A9030000}"/>
    <cellStyle name="Comma 7 5 2" xfId="891" xr:uid="{00000000-0005-0000-0000-0000AA030000}"/>
    <cellStyle name="Comma 7 6" xfId="892" xr:uid="{00000000-0005-0000-0000-0000AB030000}"/>
    <cellStyle name="Comma 7 6 2" xfId="893" xr:uid="{00000000-0005-0000-0000-0000AC030000}"/>
    <cellStyle name="Comma 7 7" xfId="894" xr:uid="{00000000-0005-0000-0000-0000AD030000}"/>
    <cellStyle name="Comma 7 7 2" xfId="895" xr:uid="{00000000-0005-0000-0000-0000AE030000}"/>
    <cellStyle name="Comma 7 8" xfId="896" xr:uid="{00000000-0005-0000-0000-0000AF030000}"/>
    <cellStyle name="Comma 7 8 2" xfId="897" xr:uid="{00000000-0005-0000-0000-0000B0030000}"/>
    <cellStyle name="Comma 7 9" xfId="898" xr:uid="{00000000-0005-0000-0000-0000B1030000}"/>
    <cellStyle name="Comma 7 9 2" xfId="899" xr:uid="{00000000-0005-0000-0000-0000B2030000}"/>
    <cellStyle name="Comma 8" xfId="900" xr:uid="{00000000-0005-0000-0000-0000B3030000}"/>
    <cellStyle name="Comma 8 2" xfId="901" xr:uid="{00000000-0005-0000-0000-0000B4030000}"/>
    <cellStyle name="Comma 8 2 2" xfId="902" xr:uid="{00000000-0005-0000-0000-0000B5030000}"/>
    <cellStyle name="Comma 8 2 2 2" xfId="903" xr:uid="{00000000-0005-0000-0000-0000B6030000}"/>
    <cellStyle name="Comma 8 2 2 3" xfId="904" xr:uid="{00000000-0005-0000-0000-0000B7030000}"/>
    <cellStyle name="Comma 8 2 2 4" xfId="905" xr:uid="{00000000-0005-0000-0000-0000B8030000}"/>
    <cellStyle name="Comma 8 3" xfId="906" xr:uid="{00000000-0005-0000-0000-0000B9030000}"/>
    <cellStyle name="Comma 8 3 2" xfId="907" xr:uid="{00000000-0005-0000-0000-0000BA030000}"/>
    <cellStyle name="Comma 8 3 2 2" xfId="908" xr:uid="{00000000-0005-0000-0000-0000BB030000}"/>
    <cellStyle name="Comma 8 3 2 3" xfId="909" xr:uid="{00000000-0005-0000-0000-0000BC030000}"/>
    <cellStyle name="Comma 8 3 2 4" xfId="910" xr:uid="{00000000-0005-0000-0000-0000BD030000}"/>
    <cellStyle name="Comma 8 4" xfId="911" xr:uid="{00000000-0005-0000-0000-0000BE030000}"/>
    <cellStyle name="Comma 8 4 2" xfId="912" xr:uid="{00000000-0005-0000-0000-0000BF030000}"/>
    <cellStyle name="Comma 8 4 2 2" xfId="913" xr:uid="{00000000-0005-0000-0000-0000C0030000}"/>
    <cellStyle name="Comma 8 4 2 3" xfId="914" xr:uid="{00000000-0005-0000-0000-0000C1030000}"/>
    <cellStyle name="Comma 8 4 2 4" xfId="915" xr:uid="{00000000-0005-0000-0000-0000C2030000}"/>
    <cellStyle name="Comma 8 5" xfId="916" xr:uid="{00000000-0005-0000-0000-0000C3030000}"/>
    <cellStyle name="Comma 8 5 2" xfId="917" xr:uid="{00000000-0005-0000-0000-0000C4030000}"/>
    <cellStyle name="Comma 8 5 2 2" xfId="918" xr:uid="{00000000-0005-0000-0000-0000C5030000}"/>
    <cellStyle name="Comma 8 5 2 3" xfId="919" xr:uid="{00000000-0005-0000-0000-0000C6030000}"/>
    <cellStyle name="Comma 8 5 2 4" xfId="920" xr:uid="{00000000-0005-0000-0000-0000C7030000}"/>
    <cellStyle name="Comma 8 6" xfId="921" xr:uid="{00000000-0005-0000-0000-0000C8030000}"/>
    <cellStyle name="Comma 8 6 2" xfId="922" xr:uid="{00000000-0005-0000-0000-0000C9030000}"/>
    <cellStyle name="Comma 8 6 2 2" xfId="923" xr:uid="{00000000-0005-0000-0000-0000CA030000}"/>
    <cellStyle name="Comma 8 6 2 3" xfId="924" xr:uid="{00000000-0005-0000-0000-0000CB030000}"/>
    <cellStyle name="Comma 8 6 2 4" xfId="925" xr:uid="{00000000-0005-0000-0000-0000CC030000}"/>
    <cellStyle name="Comma 8 7" xfId="926" xr:uid="{00000000-0005-0000-0000-0000CD030000}"/>
    <cellStyle name="Comma 8 7 2" xfId="927" xr:uid="{00000000-0005-0000-0000-0000CE030000}"/>
    <cellStyle name="Comma 8 7 2 2" xfId="928" xr:uid="{00000000-0005-0000-0000-0000CF030000}"/>
    <cellStyle name="Comma 8 7 2 3" xfId="929" xr:uid="{00000000-0005-0000-0000-0000D0030000}"/>
    <cellStyle name="Comma 8 7 2 4" xfId="930" xr:uid="{00000000-0005-0000-0000-0000D1030000}"/>
    <cellStyle name="Comma 8 8" xfId="931" xr:uid="{00000000-0005-0000-0000-0000D2030000}"/>
    <cellStyle name="Comma 8 8 2" xfId="932" xr:uid="{00000000-0005-0000-0000-0000D3030000}"/>
    <cellStyle name="Comma 8 8 2 2" xfId="933" xr:uid="{00000000-0005-0000-0000-0000D4030000}"/>
    <cellStyle name="Comma 8 8 2 3" xfId="934" xr:uid="{00000000-0005-0000-0000-0000D5030000}"/>
    <cellStyle name="Comma 8 8 2 4" xfId="935" xr:uid="{00000000-0005-0000-0000-0000D6030000}"/>
    <cellStyle name="Comma 9" xfId="936" xr:uid="{00000000-0005-0000-0000-0000D7030000}"/>
    <cellStyle name="Comma 9 2" xfId="937" xr:uid="{00000000-0005-0000-0000-0000D8030000}"/>
    <cellStyle name="Comma 9 2 2" xfId="938" xr:uid="{00000000-0005-0000-0000-0000D9030000}"/>
    <cellStyle name="Comma 9 3" xfId="939" xr:uid="{00000000-0005-0000-0000-0000DA030000}"/>
    <cellStyle name="Comma 9 4" xfId="940" xr:uid="{00000000-0005-0000-0000-0000DB030000}"/>
    <cellStyle name="Comma 9 5" xfId="941" xr:uid="{00000000-0005-0000-0000-0000DC030000}"/>
    <cellStyle name="Comma 9 6" xfId="942" xr:uid="{00000000-0005-0000-0000-0000DD030000}"/>
    <cellStyle name="Comma 9 7" xfId="943" xr:uid="{00000000-0005-0000-0000-0000DE030000}"/>
    <cellStyle name="Comma 9 8" xfId="944" xr:uid="{00000000-0005-0000-0000-0000DF030000}"/>
    <cellStyle name="Comma 9 9" xfId="945" xr:uid="{00000000-0005-0000-0000-0000E0030000}"/>
    <cellStyle name="Currency 2 2" xfId="946" xr:uid="{00000000-0005-0000-0000-0000E1030000}"/>
    <cellStyle name="Currency 2 2 2" xfId="947" xr:uid="{00000000-0005-0000-0000-0000E2030000}"/>
    <cellStyle name="CustomizationCells" xfId="948" xr:uid="{00000000-0005-0000-0000-0000E3030000}"/>
    <cellStyle name="Date" xfId="949" xr:uid="{00000000-0005-0000-0000-0000E4030000}"/>
    <cellStyle name="Date 2" xfId="950" xr:uid="{00000000-0005-0000-0000-0000E5030000}"/>
    <cellStyle name="donn_normal" xfId="951" xr:uid="{00000000-0005-0000-0000-0000E6030000}"/>
    <cellStyle name="ent_col_ser" xfId="952" xr:uid="{00000000-0005-0000-0000-0000E7030000}"/>
    <cellStyle name="entete_source" xfId="953" xr:uid="{00000000-0005-0000-0000-0000E8030000}"/>
    <cellStyle name="Euro" xfId="954" xr:uid="{00000000-0005-0000-0000-0000E9030000}"/>
    <cellStyle name="Euro 2" xfId="955" xr:uid="{00000000-0005-0000-0000-0000EA030000}"/>
    <cellStyle name="Euro 2 2" xfId="956" xr:uid="{00000000-0005-0000-0000-0000EB030000}"/>
    <cellStyle name="Euro 2 2 2" xfId="957" xr:uid="{00000000-0005-0000-0000-0000EC030000}"/>
    <cellStyle name="Euro 2 2 2 2" xfId="958" xr:uid="{00000000-0005-0000-0000-0000ED030000}"/>
    <cellStyle name="Euro 2 2 2 3" xfId="959" xr:uid="{00000000-0005-0000-0000-0000EE030000}"/>
    <cellStyle name="Euro 2 2 3" xfId="960" xr:uid="{00000000-0005-0000-0000-0000EF030000}"/>
    <cellStyle name="Euro 2 2 4" xfId="961" xr:uid="{00000000-0005-0000-0000-0000F0030000}"/>
    <cellStyle name="Euro 2 3" xfId="962" xr:uid="{00000000-0005-0000-0000-0000F1030000}"/>
    <cellStyle name="Euro 2 3 2" xfId="963" xr:uid="{00000000-0005-0000-0000-0000F2030000}"/>
    <cellStyle name="Euro 2 4" xfId="964" xr:uid="{00000000-0005-0000-0000-0000F3030000}"/>
    <cellStyle name="Euro 2 5" xfId="965" xr:uid="{00000000-0005-0000-0000-0000F4030000}"/>
    <cellStyle name="Euro 3" xfId="966" xr:uid="{00000000-0005-0000-0000-0000F5030000}"/>
    <cellStyle name="Euro 3 2" xfId="967" xr:uid="{00000000-0005-0000-0000-0000F6030000}"/>
    <cellStyle name="Euro 3 3" xfId="968" xr:uid="{00000000-0005-0000-0000-0000F7030000}"/>
    <cellStyle name="Euro 4" xfId="969" xr:uid="{00000000-0005-0000-0000-0000F8030000}"/>
    <cellStyle name="Euro 4 2" xfId="970" xr:uid="{00000000-0005-0000-0000-0000F9030000}"/>
    <cellStyle name="Euro 4 3" xfId="971" xr:uid="{00000000-0005-0000-0000-0000FA030000}"/>
    <cellStyle name="Euro 5" xfId="972" xr:uid="{00000000-0005-0000-0000-0000FB030000}"/>
    <cellStyle name="Explanatory Text 2" xfId="973" xr:uid="{00000000-0005-0000-0000-0000FC030000}"/>
    <cellStyle name="Explanatory Text 2 10" xfId="974" xr:uid="{00000000-0005-0000-0000-0000FD030000}"/>
    <cellStyle name="Explanatory Text 2 2" xfId="975" xr:uid="{00000000-0005-0000-0000-0000FE030000}"/>
    <cellStyle name="Explanatory Text 2 3" xfId="976" xr:uid="{00000000-0005-0000-0000-0000FF030000}"/>
    <cellStyle name="Explanatory Text 2 4" xfId="977" xr:uid="{00000000-0005-0000-0000-000000040000}"/>
    <cellStyle name="Explanatory Text 2 5" xfId="978" xr:uid="{00000000-0005-0000-0000-000001040000}"/>
    <cellStyle name="Explanatory Text 2 6" xfId="979" xr:uid="{00000000-0005-0000-0000-000002040000}"/>
    <cellStyle name="Explanatory Text 2 7" xfId="980" xr:uid="{00000000-0005-0000-0000-000003040000}"/>
    <cellStyle name="Explanatory Text 2 8" xfId="981" xr:uid="{00000000-0005-0000-0000-000004040000}"/>
    <cellStyle name="Explanatory Text 2 9" xfId="982" xr:uid="{00000000-0005-0000-0000-000005040000}"/>
    <cellStyle name="Explanatory Text 3" xfId="983" xr:uid="{00000000-0005-0000-0000-000006040000}"/>
    <cellStyle name="Fixed" xfId="984" xr:uid="{00000000-0005-0000-0000-000007040000}"/>
    <cellStyle name="Fixed 2" xfId="985" xr:uid="{00000000-0005-0000-0000-000008040000}"/>
    <cellStyle name="Float" xfId="986" xr:uid="{00000000-0005-0000-0000-000009040000}"/>
    <cellStyle name="Float 2" xfId="987" xr:uid="{00000000-0005-0000-0000-00000A040000}"/>
    <cellStyle name="Good 2" xfId="988" xr:uid="{00000000-0005-0000-0000-00000B040000}"/>
    <cellStyle name="Good 2 10" xfId="989" xr:uid="{00000000-0005-0000-0000-00000C040000}"/>
    <cellStyle name="Good 2 2" xfId="990" xr:uid="{00000000-0005-0000-0000-00000D040000}"/>
    <cellStyle name="Good 2 3" xfId="991" xr:uid="{00000000-0005-0000-0000-00000E040000}"/>
    <cellStyle name="Good 2 4" xfId="992" xr:uid="{00000000-0005-0000-0000-00000F040000}"/>
    <cellStyle name="Good 2 5" xfId="993" xr:uid="{00000000-0005-0000-0000-000010040000}"/>
    <cellStyle name="Good 2 6" xfId="994" xr:uid="{00000000-0005-0000-0000-000011040000}"/>
    <cellStyle name="Good 2 7" xfId="995" xr:uid="{00000000-0005-0000-0000-000012040000}"/>
    <cellStyle name="Good 2 8" xfId="996" xr:uid="{00000000-0005-0000-0000-000013040000}"/>
    <cellStyle name="Good 2 9" xfId="997" xr:uid="{00000000-0005-0000-0000-000014040000}"/>
    <cellStyle name="Good 3" xfId="998" xr:uid="{00000000-0005-0000-0000-000015040000}"/>
    <cellStyle name="Good 3 2" xfId="999" xr:uid="{00000000-0005-0000-0000-000016040000}"/>
    <cellStyle name="Heading 1 2" xfId="1000" xr:uid="{00000000-0005-0000-0000-000017040000}"/>
    <cellStyle name="Heading 1 2 10" xfId="1001" xr:uid="{00000000-0005-0000-0000-000018040000}"/>
    <cellStyle name="Heading 1 2 2" xfId="1002" xr:uid="{00000000-0005-0000-0000-000019040000}"/>
    <cellStyle name="Heading 1 2 3" xfId="1003" xr:uid="{00000000-0005-0000-0000-00001A040000}"/>
    <cellStyle name="Heading 1 2 4" xfId="1004" xr:uid="{00000000-0005-0000-0000-00001B040000}"/>
    <cellStyle name="Heading 1 2 5" xfId="1005" xr:uid="{00000000-0005-0000-0000-00001C040000}"/>
    <cellStyle name="Heading 1 2 6" xfId="1006" xr:uid="{00000000-0005-0000-0000-00001D040000}"/>
    <cellStyle name="Heading 1 2 7" xfId="1007" xr:uid="{00000000-0005-0000-0000-00001E040000}"/>
    <cellStyle name="Heading 1 2 8" xfId="1008" xr:uid="{00000000-0005-0000-0000-00001F040000}"/>
    <cellStyle name="Heading 1 2 9" xfId="1009" xr:uid="{00000000-0005-0000-0000-000020040000}"/>
    <cellStyle name="Heading 1 3" xfId="1010" xr:uid="{00000000-0005-0000-0000-000021040000}"/>
    <cellStyle name="Heading 1 3 2" xfId="1011" xr:uid="{00000000-0005-0000-0000-000022040000}"/>
    <cellStyle name="Heading 2 2" xfId="1012" xr:uid="{00000000-0005-0000-0000-000023040000}"/>
    <cellStyle name="Heading 2 2 10" xfId="1013" xr:uid="{00000000-0005-0000-0000-000024040000}"/>
    <cellStyle name="Heading 2 2 2" xfId="1014" xr:uid="{00000000-0005-0000-0000-000025040000}"/>
    <cellStyle name="Heading 2 2 3" xfId="1015" xr:uid="{00000000-0005-0000-0000-000026040000}"/>
    <cellStyle name="Heading 2 2 4" xfId="1016" xr:uid="{00000000-0005-0000-0000-000027040000}"/>
    <cellStyle name="Heading 2 2 5" xfId="1017" xr:uid="{00000000-0005-0000-0000-000028040000}"/>
    <cellStyle name="Heading 2 2 6" xfId="1018" xr:uid="{00000000-0005-0000-0000-000029040000}"/>
    <cellStyle name="Heading 2 2 7" xfId="1019" xr:uid="{00000000-0005-0000-0000-00002A040000}"/>
    <cellStyle name="Heading 2 2 8" xfId="1020" xr:uid="{00000000-0005-0000-0000-00002B040000}"/>
    <cellStyle name="Heading 2 2 9" xfId="1021" xr:uid="{00000000-0005-0000-0000-00002C040000}"/>
    <cellStyle name="Heading 2 3" xfId="1022" xr:uid="{00000000-0005-0000-0000-00002D040000}"/>
    <cellStyle name="Heading 2 3 2" xfId="1023" xr:uid="{00000000-0005-0000-0000-00002E040000}"/>
    <cellStyle name="Heading 3" xfId="1" builtinId="18"/>
    <cellStyle name="Heading 3 2" xfId="1024" xr:uid="{00000000-0005-0000-0000-00002F040000}"/>
    <cellStyle name="Heading 3 2 10" xfId="1025" xr:uid="{00000000-0005-0000-0000-000030040000}"/>
    <cellStyle name="Heading 3 2 2" xfId="1026" xr:uid="{00000000-0005-0000-0000-000031040000}"/>
    <cellStyle name="Heading 3 2 3" xfId="1027" xr:uid="{00000000-0005-0000-0000-000032040000}"/>
    <cellStyle name="Heading 3 2 4" xfId="1028" xr:uid="{00000000-0005-0000-0000-000033040000}"/>
    <cellStyle name="Heading 3 2 5" xfId="1029" xr:uid="{00000000-0005-0000-0000-000034040000}"/>
    <cellStyle name="Heading 3 2 6" xfId="1030" xr:uid="{00000000-0005-0000-0000-000035040000}"/>
    <cellStyle name="Heading 3 2 7" xfId="1031" xr:uid="{00000000-0005-0000-0000-000036040000}"/>
    <cellStyle name="Heading 3 2 8" xfId="1032" xr:uid="{00000000-0005-0000-0000-000037040000}"/>
    <cellStyle name="Heading 3 2 9" xfId="1033" xr:uid="{00000000-0005-0000-0000-000038040000}"/>
    <cellStyle name="Heading 3 3" xfId="1034" xr:uid="{00000000-0005-0000-0000-000039040000}"/>
    <cellStyle name="Heading 3 3 2" xfId="1035" xr:uid="{00000000-0005-0000-0000-00003A040000}"/>
    <cellStyle name="Heading 4 2" xfId="1036" xr:uid="{00000000-0005-0000-0000-00003B040000}"/>
    <cellStyle name="Heading 4 2 10" xfId="1037" xr:uid="{00000000-0005-0000-0000-00003C040000}"/>
    <cellStyle name="Heading 4 2 2" xfId="1038" xr:uid="{00000000-0005-0000-0000-00003D040000}"/>
    <cellStyle name="Heading 4 2 3" xfId="1039" xr:uid="{00000000-0005-0000-0000-00003E040000}"/>
    <cellStyle name="Heading 4 2 4" xfId="1040" xr:uid="{00000000-0005-0000-0000-00003F040000}"/>
    <cellStyle name="Heading 4 2 5" xfId="1041" xr:uid="{00000000-0005-0000-0000-000040040000}"/>
    <cellStyle name="Heading 4 2 6" xfId="1042" xr:uid="{00000000-0005-0000-0000-000041040000}"/>
    <cellStyle name="Heading 4 2 7" xfId="1043" xr:uid="{00000000-0005-0000-0000-000042040000}"/>
    <cellStyle name="Heading 4 2 8" xfId="1044" xr:uid="{00000000-0005-0000-0000-000043040000}"/>
    <cellStyle name="Heading 4 2 9" xfId="1045" xr:uid="{00000000-0005-0000-0000-000044040000}"/>
    <cellStyle name="Heading 4 3" xfId="1046" xr:uid="{00000000-0005-0000-0000-000045040000}"/>
    <cellStyle name="Heading 4 3 2" xfId="1047" xr:uid="{00000000-0005-0000-0000-000046040000}"/>
    <cellStyle name="Heading1" xfId="1048" xr:uid="{00000000-0005-0000-0000-000047040000}"/>
    <cellStyle name="Heading1 2" xfId="1049" xr:uid="{00000000-0005-0000-0000-000048040000}"/>
    <cellStyle name="Heading2" xfId="1050" xr:uid="{00000000-0005-0000-0000-000049040000}"/>
    <cellStyle name="Heading2 2" xfId="1051" xr:uid="{00000000-0005-0000-0000-00004A040000}"/>
    <cellStyle name="Hyperlink 2" xfId="1052" xr:uid="{00000000-0005-0000-0000-00004B040000}"/>
    <cellStyle name="Input 2" xfId="1053" xr:uid="{00000000-0005-0000-0000-00004C040000}"/>
    <cellStyle name="Input 2 10" xfId="1054" xr:uid="{00000000-0005-0000-0000-00004D040000}"/>
    <cellStyle name="Input 2 2" xfId="1055" xr:uid="{00000000-0005-0000-0000-00004E040000}"/>
    <cellStyle name="Input 2 3" xfId="1056" xr:uid="{00000000-0005-0000-0000-00004F040000}"/>
    <cellStyle name="Input 2 4" xfId="1057" xr:uid="{00000000-0005-0000-0000-000050040000}"/>
    <cellStyle name="Input 2 5" xfId="1058" xr:uid="{00000000-0005-0000-0000-000051040000}"/>
    <cellStyle name="Input 2 6" xfId="1059" xr:uid="{00000000-0005-0000-0000-000052040000}"/>
    <cellStyle name="Input 2 7" xfId="1060" xr:uid="{00000000-0005-0000-0000-000053040000}"/>
    <cellStyle name="Input 2 8" xfId="1061" xr:uid="{00000000-0005-0000-0000-000054040000}"/>
    <cellStyle name="Input 2 9" xfId="1062" xr:uid="{00000000-0005-0000-0000-000055040000}"/>
    <cellStyle name="Input 3" xfId="1063" xr:uid="{00000000-0005-0000-0000-000056040000}"/>
    <cellStyle name="Input 3 2" xfId="1064" xr:uid="{00000000-0005-0000-0000-000057040000}"/>
    <cellStyle name="InputCells" xfId="1065" xr:uid="{00000000-0005-0000-0000-000058040000}"/>
    <cellStyle name="ligne_titre_0" xfId="1066" xr:uid="{00000000-0005-0000-0000-000059040000}"/>
    <cellStyle name="Linked Cell 2" xfId="1067" xr:uid="{00000000-0005-0000-0000-00005A040000}"/>
    <cellStyle name="Linked Cell 2 10" xfId="1068" xr:uid="{00000000-0005-0000-0000-00005B040000}"/>
    <cellStyle name="Linked Cell 2 2" xfId="1069" xr:uid="{00000000-0005-0000-0000-00005C040000}"/>
    <cellStyle name="Linked Cell 2 3" xfId="1070" xr:uid="{00000000-0005-0000-0000-00005D040000}"/>
    <cellStyle name="Linked Cell 2 4" xfId="1071" xr:uid="{00000000-0005-0000-0000-00005E040000}"/>
    <cellStyle name="Linked Cell 2 5" xfId="1072" xr:uid="{00000000-0005-0000-0000-00005F040000}"/>
    <cellStyle name="Linked Cell 2 6" xfId="1073" xr:uid="{00000000-0005-0000-0000-000060040000}"/>
    <cellStyle name="Linked Cell 2 7" xfId="1074" xr:uid="{00000000-0005-0000-0000-000061040000}"/>
    <cellStyle name="Linked Cell 2 8" xfId="1075" xr:uid="{00000000-0005-0000-0000-000062040000}"/>
    <cellStyle name="Linked Cell 2 9" xfId="1076" xr:uid="{00000000-0005-0000-0000-000063040000}"/>
    <cellStyle name="Linked Cell 3" xfId="1077" xr:uid="{00000000-0005-0000-0000-000064040000}"/>
    <cellStyle name="Linked Cell 3 2" xfId="1078" xr:uid="{00000000-0005-0000-0000-000065040000}"/>
    <cellStyle name="Migliaia_Oil&amp;Gas IFE ARC POLITO" xfId="1079" xr:uid="{00000000-0005-0000-0000-000066040000}"/>
    <cellStyle name="Neutral 2" xfId="1080" xr:uid="{00000000-0005-0000-0000-000067040000}"/>
    <cellStyle name="Neutral 2 10" xfId="1081" xr:uid="{00000000-0005-0000-0000-000068040000}"/>
    <cellStyle name="Neutral 2 2" xfId="1082" xr:uid="{00000000-0005-0000-0000-000069040000}"/>
    <cellStyle name="Neutral 2 3" xfId="1083" xr:uid="{00000000-0005-0000-0000-00006A040000}"/>
    <cellStyle name="Neutral 2 4" xfId="1084" xr:uid="{00000000-0005-0000-0000-00006B040000}"/>
    <cellStyle name="Neutral 2 5" xfId="1085" xr:uid="{00000000-0005-0000-0000-00006C040000}"/>
    <cellStyle name="Neutral 2 6" xfId="1086" xr:uid="{00000000-0005-0000-0000-00006D040000}"/>
    <cellStyle name="Neutral 2 7" xfId="1087" xr:uid="{00000000-0005-0000-0000-00006E040000}"/>
    <cellStyle name="Neutral 2 8" xfId="1088" xr:uid="{00000000-0005-0000-0000-00006F040000}"/>
    <cellStyle name="Neutral 2 9" xfId="1089" xr:uid="{00000000-0005-0000-0000-000070040000}"/>
    <cellStyle name="Neutral 3" xfId="1090" xr:uid="{00000000-0005-0000-0000-000071040000}"/>
    <cellStyle name="Neutral 3 2" xfId="1091" xr:uid="{00000000-0005-0000-0000-000072040000}"/>
    <cellStyle name="Neutral 3 3" xfId="1092" xr:uid="{00000000-0005-0000-0000-000073040000}"/>
    <cellStyle name="Normal" xfId="0" builtinId="0"/>
    <cellStyle name="Normal 10" xfId="1093" xr:uid="{00000000-0005-0000-0000-000074040000}"/>
    <cellStyle name="Normal 10 2" xfId="1094" xr:uid="{00000000-0005-0000-0000-000075040000}"/>
    <cellStyle name="Normal 10 2 2" xfId="1095" xr:uid="{00000000-0005-0000-0000-000076040000}"/>
    <cellStyle name="Normal 10 3" xfId="1096" xr:uid="{00000000-0005-0000-0000-000077040000}"/>
    <cellStyle name="Normal 10 3 2" xfId="1097" xr:uid="{00000000-0005-0000-0000-000078040000}"/>
    <cellStyle name="Normal 10 4" xfId="1098" xr:uid="{00000000-0005-0000-0000-000079040000}"/>
    <cellStyle name="Normal 10 4 2" xfId="1099" xr:uid="{00000000-0005-0000-0000-00007A040000}"/>
    <cellStyle name="Normal 10 5" xfId="1100" xr:uid="{00000000-0005-0000-0000-00007B040000}"/>
    <cellStyle name="Normal 10 5 2" xfId="1101" xr:uid="{00000000-0005-0000-0000-00007C040000}"/>
    <cellStyle name="Normal 10 6" xfId="1102" xr:uid="{00000000-0005-0000-0000-00007D040000}"/>
    <cellStyle name="Normal 10 6 2" xfId="1103" xr:uid="{00000000-0005-0000-0000-00007E040000}"/>
    <cellStyle name="Normal 10 7" xfId="1104" xr:uid="{00000000-0005-0000-0000-00007F040000}"/>
    <cellStyle name="Normal 10 7 2" xfId="1105" xr:uid="{00000000-0005-0000-0000-000080040000}"/>
    <cellStyle name="Normal 10 8" xfId="1106" xr:uid="{00000000-0005-0000-0000-000081040000}"/>
    <cellStyle name="Normal 10 8 2" xfId="1107" xr:uid="{00000000-0005-0000-0000-000082040000}"/>
    <cellStyle name="Normal 10 9" xfId="1108" xr:uid="{00000000-0005-0000-0000-000083040000}"/>
    <cellStyle name="Normal 11" xfId="1109" xr:uid="{00000000-0005-0000-0000-000084040000}"/>
    <cellStyle name="Normal 11 10" xfId="1110" xr:uid="{00000000-0005-0000-0000-000085040000}"/>
    <cellStyle name="Normal 11 2" xfId="1111" xr:uid="{00000000-0005-0000-0000-000086040000}"/>
    <cellStyle name="Normal 11 2 2" xfId="1112" xr:uid="{00000000-0005-0000-0000-000087040000}"/>
    <cellStyle name="Normal 11 3" xfId="1113" xr:uid="{00000000-0005-0000-0000-000088040000}"/>
    <cellStyle name="Normal 11 3 2" xfId="1114" xr:uid="{00000000-0005-0000-0000-000089040000}"/>
    <cellStyle name="Normal 11 4" xfId="1115" xr:uid="{00000000-0005-0000-0000-00008A040000}"/>
    <cellStyle name="Normal 11 4 2" xfId="1116" xr:uid="{00000000-0005-0000-0000-00008B040000}"/>
    <cellStyle name="Normal 11 5" xfId="1117" xr:uid="{00000000-0005-0000-0000-00008C040000}"/>
    <cellStyle name="Normal 11 5 2" xfId="1118" xr:uid="{00000000-0005-0000-0000-00008D040000}"/>
    <cellStyle name="Normal 11 6" xfId="1119" xr:uid="{00000000-0005-0000-0000-00008E040000}"/>
    <cellStyle name="Normal 11 6 2" xfId="1120" xr:uid="{00000000-0005-0000-0000-00008F040000}"/>
    <cellStyle name="Normal 11 7" xfId="1121" xr:uid="{00000000-0005-0000-0000-000090040000}"/>
    <cellStyle name="Normal 11 7 2" xfId="1122" xr:uid="{00000000-0005-0000-0000-000091040000}"/>
    <cellStyle name="Normal 11 8" xfId="1123" xr:uid="{00000000-0005-0000-0000-000092040000}"/>
    <cellStyle name="Normal 11 8 2" xfId="1124" xr:uid="{00000000-0005-0000-0000-000093040000}"/>
    <cellStyle name="Normal 11 9" xfId="1125" xr:uid="{00000000-0005-0000-0000-000094040000}"/>
    <cellStyle name="Normal 12" xfId="1126" xr:uid="{00000000-0005-0000-0000-000095040000}"/>
    <cellStyle name="Normal 12 10" xfId="1127" xr:uid="{00000000-0005-0000-0000-000096040000}"/>
    <cellStyle name="Normal 12 2" xfId="1128" xr:uid="{00000000-0005-0000-0000-000097040000}"/>
    <cellStyle name="Normal 12 2 2" xfId="1129" xr:uid="{00000000-0005-0000-0000-000098040000}"/>
    <cellStyle name="Normal 12 3" xfId="1130" xr:uid="{00000000-0005-0000-0000-000099040000}"/>
    <cellStyle name="Normal 12 3 2" xfId="1131" xr:uid="{00000000-0005-0000-0000-00009A040000}"/>
    <cellStyle name="Normal 12 4" xfId="1132" xr:uid="{00000000-0005-0000-0000-00009B040000}"/>
    <cellStyle name="Normal 12 4 2" xfId="1133" xr:uid="{00000000-0005-0000-0000-00009C040000}"/>
    <cellStyle name="Normal 12 5" xfId="1134" xr:uid="{00000000-0005-0000-0000-00009D040000}"/>
    <cellStyle name="Normal 12 5 2" xfId="1135" xr:uid="{00000000-0005-0000-0000-00009E040000}"/>
    <cellStyle name="Normal 12 6" xfId="1136" xr:uid="{00000000-0005-0000-0000-00009F040000}"/>
    <cellStyle name="Normal 12 6 2" xfId="1137" xr:uid="{00000000-0005-0000-0000-0000A0040000}"/>
    <cellStyle name="Normal 12 7" xfId="1138" xr:uid="{00000000-0005-0000-0000-0000A1040000}"/>
    <cellStyle name="Normal 12 7 2" xfId="1139" xr:uid="{00000000-0005-0000-0000-0000A2040000}"/>
    <cellStyle name="Normal 12 8" xfId="1140" xr:uid="{00000000-0005-0000-0000-0000A3040000}"/>
    <cellStyle name="Normal 12 8 2" xfId="1141" xr:uid="{00000000-0005-0000-0000-0000A4040000}"/>
    <cellStyle name="Normal 12 9" xfId="1142" xr:uid="{00000000-0005-0000-0000-0000A5040000}"/>
    <cellStyle name="Normal 13" xfId="1143" xr:uid="{00000000-0005-0000-0000-0000A6040000}"/>
    <cellStyle name="Normal 13 10" xfId="1144" xr:uid="{00000000-0005-0000-0000-0000A7040000}"/>
    <cellStyle name="Normal 13 10 2" xfId="1145" xr:uid="{00000000-0005-0000-0000-0000A8040000}"/>
    <cellStyle name="Normal 13 10 2 2" xfId="1146" xr:uid="{00000000-0005-0000-0000-0000A9040000}"/>
    <cellStyle name="Normal 13 10 2 3" xfId="1147" xr:uid="{00000000-0005-0000-0000-0000AA040000}"/>
    <cellStyle name="Normal 13 10 2 4" xfId="1148" xr:uid="{00000000-0005-0000-0000-0000AB040000}"/>
    <cellStyle name="Normal 13 10 3" xfId="1149" xr:uid="{00000000-0005-0000-0000-0000AC040000}"/>
    <cellStyle name="Normal 13 10 4" xfId="1150" xr:uid="{00000000-0005-0000-0000-0000AD040000}"/>
    <cellStyle name="Normal 13 10 5" xfId="1151" xr:uid="{00000000-0005-0000-0000-0000AE040000}"/>
    <cellStyle name="Normal 13 11" xfId="1152" xr:uid="{00000000-0005-0000-0000-0000AF040000}"/>
    <cellStyle name="Normal 13 11 2" xfId="1153" xr:uid="{00000000-0005-0000-0000-0000B0040000}"/>
    <cellStyle name="Normal 13 11 2 2" xfId="1154" xr:uid="{00000000-0005-0000-0000-0000B1040000}"/>
    <cellStyle name="Normal 13 11 2 3" xfId="1155" xr:uid="{00000000-0005-0000-0000-0000B2040000}"/>
    <cellStyle name="Normal 13 11 2 4" xfId="1156" xr:uid="{00000000-0005-0000-0000-0000B3040000}"/>
    <cellStyle name="Normal 13 11 3" xfId="1157" xr:uid="{00000000-0005-0000-0000-0000B4040000}"/>
    <cellStyle name="Normal 13 11 4" xfId="1158" xr:uid="{00000000-0005-0000-0000-0000B5040000}"/>
    <cellStyle name="Normal 13 11 5" xfId="1159" xr:uid="{00000000-0005-0000-0000-0000B6040000}"/>
    <cellStyle name="Normal 13 12" xfId="1160" xr:uid="{00000000-0005-0000-0000-0000B7040000}"/>
    <cellStyle name="Normal 13 13" xfId="1161" xr:uid="{00000000-0005-0000-0000-0000B8040000}"/>
    <cellStyle name="Normal 13 13 2" xfId="1162" xr:uid="{00000000-0005-0000-0000-0000B9040000}"/>
    <cellStyle name="Normal 13 13 2 2" xfId="1163" xr:uid="{00000000-0005-0000-0000-0000BA040000}"/>
    <cellStyle name="Normal 13 13 2 3" xfId="1164" xr:uid="{00000000-0005-0000-0000-0000BB040000}"/>
    <cellStyle name="Normal 13 13 2 4" xfId="1165" xr:uid="{00000000-0005-0000-0000-0000BC040000}"/>
    <cellStyle name="Normal 13 13 3" xfId="1166" xr:uid="{00000000-0005-0000-0000-0000BD040000}"/>
    <cellStyle name="Normal 13 13 4" xfId="1167" xr:uid="{00000000-0005-0000-0000-0000BE040000}"/>
    <cellStyle name="Normal 13 13 5" xfId="1168" xr:uid="{00000000-0005-0000-0000-0000BF040000}"/>
    <cellStyle name="Normal 13 14" xfId="1169" xr:uid="{00000000-0005-0000-0000-0000C0040000}"/>
    <cellStyle name="Normal 13 14 2" xfId="1170" xr:uid="{00000000-0005-0000-0000-0000C1040000}"/>
    <cellStyle name="Normal 13 14 2 2" xfId="1171" xr:uid="{00000000-0005-0000-0000-0000C2040000}"/>
    <cellStyle name="Normal 13 14 2 3" xfId="1172" xr:uid="{00000000-0005-0000-0000-0000C3040000}"/>
    <cellStyle name="Normal 13 14 2 4" xfId="1173" xr:uid="{00000000-0005-0000-0000-0000C4040000}"/>
    <cellStyle name="Normal 13 14 3" xfId="1174" xr:uid="{00000000-0005-0000-0000-0000C5040000}"/>
    <cellStyle name="Normal 13 14 4" xfId="1175" xr:uid="{00000000-0005-0000-0000-0000C6040000}"/>
    <cellStyle name="Normal 13 14 5" xfId="1176" xr:uid="{00000000-0005-0000-0000-0000C7040000}"/>
    <cellStyle name="Normal 13 15" xfId="1177" xr:uid="{00000000-0005-0000-0000-0000C8040000}"/>
    <cellStyle name="Normal 13 15 2" xfId="1178" xr:uid="{00000000-0005-0000-0000-0000C9040000}"/>
    <cellStyle name="Normal 13 15 2 2" xfId="1179" xr:uid="{00000000-0005-0000-0000-0000CA040000}"/>
    <cellStyle name="Normal 13 15 2 3" xfId="1180" xr:uid="{00000000-0005-0000-0000-0000CB040000}"/>
    <cellStyle name="Normal 13 15 2 4" xfId="1181" xr:uid="{00000000-0005-0000-0000-0000CC040000}"/>
    <cellStyle name="Normal 13 15 3" xfId="1182" xr:uid="{00000000-0005-0000-0000-0000CD040000}"/>
    <cellStyle name="Normal 13 15 4" xfId="1183" xr:uid="{00000000-0005-0000-0000-0000CE040000}"/>
    <cellStyle name="Normal 13 15 5" xfId="1184" xr:uid="{00000000-0005-0000-0000-0000CF040000}"/>
    <cellStyle name="Normal 13 16" xfId="1185" xr:uid="{00000000-0005-0000-0000-0000D0040000}"/>
    <cellStyle name="Normal 13 16 2" xfId="1186" xr:uid="{00000000-0005-0000-0000-0000D1040000}"/>
    <cellStyle name="Normal 13 16 2 2" xfId="1187" xr:uid="{00000000-0005-0000-0000-0000D2040000}"/>
    <cellStyle name="Normal 13 16 2 3" xfId="1188" xr:uid="{00000000-0005-0000-0000-0000D3040000}"/>
    <cellStyle name="Normal 13 16 2 4" xfId="1189" xr:uid="{00000000-0005-0000-0000-0000D4040000}"/>
    <cellStyle name="Normal 13 16 3" xfId="1190" xr:uid="{00000000-0005-0000-0000-0000D5040000}"/>
    <cellStyle name="Normal 13 16 4" xfId="1191" xr:uid="{00000000-0005-0000-0000-0000D6040000}"/>
    <cellStyle name="Normal 13 16 5" xfId="1192" xr:uid="{00000000-0005-0000-0000-0000D7040000}"/>
    <cellStyle name="Normal 13 17" xfId="1193" xr:uid="{00000000-0005-0000-0000-0000D8040000}"/>
    <cellStyle name="Normal 13 18" xfId="1194" xr:uid="{00000000-0005-0000-0000-0000D9040000}"/>
    <cellStyle name="Normal 13 19" xfId="1195" xr:uid="{00000000-0005-0000-0000-0000DA040000}"/>
    <cellStyle name="Normal 13 2" xfId="1196" xr:uid="{00000000-0005-0000-0000-0000DB040000}"/>
    <cellStyle name="Normal 13 2 2" xfId="1197" xr:uid="{00000000-0005-0000-0000-0000DC040000}"/>
    <cellStyle name="Normal 13 2 2 2" xfId="1198" xr:uid="{00000000-0005-0000-0000-0000DD040000}"/>
    <cellStyle name="Normal 13 2 2 2 2" xfId="1199" xr:uid="{00000000-0005-0000-0000-0000DE040000}"/>
    <cellStyle name="Normal 13 2 2 2 3" xfId="1200" xr:uid="{00000000-0005-0000-0000-0000DF040000}"/>
    <cellStyle name="Normal 13 2 2 2 4" xfId="1201" xr:uid="{00000000-0005-0000-0000-0000E0040000}"/>
    <cellStyle name="Normal 13 2 2 3" xfId="1202" xr:uid="{00000000-0005-0000-0000-0000E1040000}"/>
    <cellStyle name="Normal 13 2 2 4" xfId="1203" xr:uid="{00000000-0005-0000-0000-0000E2040000}"/>
    <cellStyle name="Normal 13 2 2 5" xfId="1204" xr:uid="{00000000-0005-0000-0000-0000E3040000}"/>
    <cellStyle name="Normal 13 2 3" xfId="1205" xr:uid="{00000000-0005-0000-0000-0000E4040000}"/>
    <cellStyle name="Normal 13 2 3 2" xfId="1206" xr:uid="{00000000-0005-0000-0000-0000E5040000}"/>
    <cellStyle name="Normal 13 2 3 2 2" xfId="1207" xr:uid="{00000000-0005-0000-0000-0000E6040000}"/>
    <cellStyle name="Normal 13 2 3 2 3" xfId="1208" xr:uid="{00000000-0005-0000-0000-0000E7040000}"/>
    <cellStyle name="Normal 13 2 3 2 4" xfId="1209" xr:uid="{00000000-0005-0000-0000-0000E8040000}"/>
    <cellStyle name="Normal 13 2 3 3" xfId="1210" xr:uid="{00000000-0005-0000-0000-0000E9040000}"/>
    <cellStyle name="Normal 13 2 3 4" xfId="1211" xr:uid="{00000000-0005-0000-0000-0000EA040000}"/>
    <cellStyle name="Normal 13 2 3 5" xfId="1212" xr:uid="{00000000-0005-0000-0000-0000EB040000}"/>
    <cellStyle name="Normal 13 2 4" xfId="1213" xr:uid="{00000000-0005-0000-0000-0000EC040000}"/>
    <cellStyle name="Normal 13 2 4 2" xfId="1214" xr:uid="{00000000-0005-0000-0000-0000ED040000}"/>
    <cellStyle name="Normal 13 2 4 2 2" xfId="1215" xr:uid="{00000000-0005-0000-0000-0000EE040000}"/>
    <cellStyle name="Normal 13 2 4 2 3" xfId="1216" xr:uid="{00000000-0005-0000-0000-0000EF040000}"/>
    <cellStyle name="Normal 13 2 4 2 4" xfId="1217" xr:uid="{00000000-0005-0000-0000-0000F0040000}"/>
    <cellStyle name="Normal 13 2 4 3" xfId="1218" xr:uid="{00000000-0005-0000-0000-0000F1040000}"/>
    <cellStyle name="Normal 13 2 4 4" xfId="1219" xr:uid="{00000000-0005-0000-0000-0000F2040000}"/>
    <cellStyle name="Normal 13 2 4 5" xfId="1220" xr:uid="{00000000-0005-0000-0000-0000F3040000}"/>
    <cellStyle name="Normal 13 2 5" xfId="1221" xr:uid="{00000000-0005-0000-0000-0000F4040000}"/>
    <cellStyle name="Normal 13 2 5 2" xfId="1222" xr:uid="{00000000-0005-0000-0000-0000F5040000}"/>
    <cellStyle name="Normal 13 2 5 2 2" xfId="1223" xr:uid="{00000000-0005-0000-0000-0000F6040000}"/>
    <cellStyle name="Normal 13 2 5 2 3" xfId="1224" xr:uid="{00000000-0005-0000-0000-0000F7040000}"/>
    <cellStyle name="Normal 13 2 5 2 4" xfId="1225" xr:uid="{00000000-0005-0000-0000-0000F8040000}"/>
    <cellStyle name="Normal 13 2 5 3" xfId="1226" xr:uid="{00000000-0005-0000-0000-0000F9040000}"/>
    <cellStyle name="Normal 13 2 5 4" xfId="1227" xr:uid="{00000000-0005-0000-0000-0000FA040000}"/>
    <cellStyle name="Normal 13 2 5 5" xfId="1228" xr:uid="{00000000-0005-0000-0000-0000FB040000}"/>
    <cellStyle name="Normal 13 2 6" xfId="1229" xr:uid="{00000000-0005-0000-0000-0000FC040000}"/>
    <cellStyle name="Normal 13 2 6 2" xfId="1230" xr:uid="{00000000-0005-0000-0000-0000FD040000}"/>
    <cellStyle name="Normal 13 2 6 2 2" xfId="1231" xr:uid="{00000000-0005-0000-0000-0000FE040000}"/>
    <cellStyle name="Normal 13 2 6 2 3" xfId="1232" xr:uid="{00000000-0005-0000-0000-0000FF040000}"/>
    <cellStyle name="Normal 13 2 6 2 4" xfId="1233" xr:uid="{00000000-0005-0000-0000-000000050000}"/>
    <cellStyle name="Normal 13 2 6 3" xfId="1234" xr:uid="{00000000-0005-0000-0000-000001050000}"/>
    <cellStyle name="Normal 13 2 6 4" xfId="1235" xr:uid="{00000000-0005-0000-0000-000002050000}"/>
    <cellStyle name="Normal 13 2 6 5" xfId="1236" xr:uid="{00000000-0005-0000-0000-000003050000}"/>
    <cellStyle name="Normal 13 2 7" xfId="1237" xr:uid="{00000000-0005-0000-0000-000004050000}"/>
    <cellStyle name="Normal 13 2 7 2" xfId="1238" xr:uid="{00000000-0005-0000-0000-000005050000}"/>
    <cellStyle name="Normal 13 2 7 2 2" xfId="1239" xr:uid="{00000000-0005-0000-0000-000006050000}"/>
    <cellStyle name="Normal 13 2 7 2 3" xfId="1240" xr:uid="{00000000-0005-0000-0000-000007050000}"/>
    <cellStyle name="Normal 13 2 7 2 4" xfId="1241" xr:uid="{00000000-0005-0000-0000-000008050000}"/>
    <cellStyle name="Normal 13 2 7 3" xfId="1242" xr:uid="{00000000-0005-0000-0000-000009050000}"/>
    <cellStyle name="Normal 13 2 7 4" xfId="1243" xr:uid="{00000000-0005-0000-0000-00000A050000}"/>
    <cellStyle name="Normal 13 2 7 5" xfId="1244" xr:uid="{00000000-0005-0000-0000-00000B050000}"/>
    <cellStyle name="Normal 13 2 8" xfId="1245" xr:uid="{00000000-0005-0000-0000-00000C050000}"/>
    <cellStyle name="Normal 13 2 8 2" xfId="1246" xr:uid="{00000000-0005-0000-0000-00000D050000}"/>
    <cellStyle name="Normal 13 2 8 2 2" xfId="1247" xr:uid="{00000000-0005-0000-0000-00000E050000}"/>
    <cellStyle name="Normal 13 2 8 2 3" xfId="1248" xr:uid="{00000000-0005-0000-0000-00000F050000}"/>
    <cellStyle name="Normal 13 2 8 2 4" xfId="1249" xr:uid="{00000000-0005-0000-0000-000010050000}"/>
    <cellStyle name="Normal 13 2 8 3" xfId="1250" xr:uid="{00000000-0005-0000-0000-000011050000}"/>
    <cellStyle name="Normal 13 2 8 4" xfId="1251" xr:uid="{00000000-0005-0000-0000-000012050000}"/>
    <cellStyle name="Normal 13 2 8 5" xfId="1252" xr:uid="{00000000-0005-0000-0000-000013050000}"/>
    <cellStyle name="Normal 13 20" xfId="1253" xr:uid="{00000000-0005-0000-0000-000014050000}"/>
    <cellStyle name="Normal 13 21" xfId="1254" xr:uid="{00000000-0005-0000-0000-000015050000}"/>
    <cellStyle name="Normal 13 22" xfId="1255" xr:uid="{00000000-0005-0000-0000-000016050000}"/>
    <cellStyle name="Normal 13 23" xfId="1256" xr:uid="{00000000-0005-0000-0000-000017050000}"/>
    <cellStyle name="Normal 13 23 2" xfId="1257" xr:uid="{00000000-0005-0000-0000-000018050000}"/>
    <cellStyle name="Normal 13 24" xfId="1258" xr:uid="{00000000-0005-0000-0000-000019050000}"/>
    <cellStyle name="Normal 13 24 2" xfId="1259" xr:uid="{00000000-0005-0000-0000-00001A050000}"/>
    <cellStyle name="Normal 13 25" xfId="1260" xr:uid="{00000000-0005-0000-0000-00001B050000}"/>
    <cellStyle name="Normal 13 25 2" xfId="1261" xr:uid="{00000000-0005-0000-0000-00001C050000}"/>
    <cellStyle name="Normal 13 26" xfId="1262" xr:uid="{00000000-0005-0000-0000-00001D050000}"/>
    <cellStyle name="Normal 13 26 2" xfId="1263" xr:uid="{00000000-0005-0000-0000-00001E050000}"/>
    <cellStyle name="Normal 13 27" xfId="1264" xr:uid="{00000000-0005-0000-0000-00001F050000}"/>
    <cellStyle name="Normal 13 27 2" xfId="1265" xr:uid="{00000000-0005-0000-0000-000020050000}"/>
    <cellStyle name="Normal 13 28" xfId="1266" xr:uid="{00000000-0005-0000-0000-000021050000}"/>
    <cellStyle name="Normal 13 28 2" xfId="1267" xr:uid="{00000000-0005-0000-0000-000022050000}"/>
    <cellStyle name="Normal 13 29" xfId="1268" xr:uid="{00000000-0005-0000-0000-000023050000}"/>
    <cellStyle name="Normal 13 29 2" xfId="1269" xr:uid="{00000000-0005-0000-0000-000024050000}"/>
    <cellStyle name="Normal 13 3" xfId="1270" xr:uid="{00000000-0005-0000-0000-000025050000}"/>
    <cellStyle name="Normal 13 3 2" xfId="1271" xr:uid="{00000000-0005-0000-0000-000026050000}"/>
    <cellStyle name="Normal 13 3 2 2" xfId="1272" xr:uid="{00000000-0005-0000-0000-000027050000}"/>
    <cellStyle name="Normal 13 3 2 3" xfId="1273" xr:uid="{00000000-0005-0000-0000-000028050000}"/>
    <cellStyle name="Normal 13 3 2 4" xfId="1274" xr:uid="{00000000-0005-0000-0000-000029050000}"/>
    <cellStyle name="Normal 13 3 3" xfId="1275" xr:uid="{00000000-0005-0000-0000-00002A050000}"/>
    <cellStyle name="Normal 13 3 4" xfId="1276" xr:uid="{00000000-0005-0000-0000-00002B050000}"/>
    <cellStyle name="Normal 13 3 5" xfId="1277" xr:uid="{00000000-0005-0000-0000-00002C050000}"/>
    <cellStyle name="Normal 13 30" xfId="1278" xr:uid="{00000000-0005-0000-0000-00002D050000}"/>
    <cellStyle name="Normal 13 30 2" xfId="1279" xr:uid="{00000000-0005-0000-0000-00002E050000}"/>
    <cellStyle name="Normal 13 31" xfId="1280" xr:uid="{00000000-0005-0000-0000-00002F050000}"/>
    <cellStyle name="Normal 13 31 2" xfId="1281" xr:uid="{00000000-0005-0000-0000-000030050000}"/>
    <cellStyle name="Normal 13 32" xfId="1282" xr:uid="{00000000-0005-0000-0000-000031050000}"/>
    <cellStyle name="Normal 13 32 2" xfId="1283" xr:uid="{00000000-0005-0000-0000-000032050000}"/>
    <cellStyle name="Normal 13 33" xfId="1284" xr:uid="{00000000-0005-0000-0000-000033050000}"/>
    <cellStyle name="Normal 13 33 2" xfId="1285" xr:uid="{00000000-0005-0000-0000-000034050000}"/>
    <cellStyle name="Normal 13 34" xfId="1286" xr:uid="{00000000-0005-0000-0000-000035050000}"/>
    <cellStyle name="Normal 13 34 2" xfId="1287" xr:uid="{00000000-0005-0000-0000-000036050000}"/>
    <cellStyle name="Normal 13 35" xfId="1288" xr:uid="{00000000-0005-0000-0000-000037050000}"/>
    <cellStyle name="Normal 13 35 2" xfId="1289" xr:uid="{00000000-0005-0000-0000-000038050000}"/>
    <cellStyle name="Normal 13 36" xfId="1290" xr:uid="{00000000-0005-0000-0000-000039050000}"/>
    <cellStyle name="Normal 13 36 2" xfId="1291" xr:uid="{00000000-0005-0000-0000-00003A050000}"/>
    <cellStyle name="Normal 13 37" xfId="1292" xr:uid="{00000000-0005-0000-0000-00003B050000}"/>
    <cellStyle name="Normal 13 37 2" xfId="1293" xr:uid="{00000000-0005-0000-0000-00003C050000}"/>
    <cellStyle name="Normal 13 38" xfId="1294" xr:uid="{00000000-0005-0000-0000-00003D050000}"/>
    <cellStyle name="Normal 13 38 2" xfId="1295" xr:uid="{00000000-0005-0000-0000-00003E050000}"/>
    <cellStyle name="Normal 13 39" xfId="1296" xr:uid="{00000000-0005-0000-0000-00003F050000}"/>
    <cellStyle name="Normal 13 4" xfId="1297" xr:uid="{00000000-0005-0000-0000-000040050000}"/>
    <cellStyle name="Normal 13 4 2" xfId="1298" xr:uid="{00000000-0005-0000-0000-000041050000}"/>
    <cellStyle name="Normal 13 4 2 2" xfId="1299" xr:uid="{00000000-0005-0000-0000-000042050000}"/>
    <cellStyle name="Normal 13 4 2 3" xfId="1300" xr:uid="{00000000-0005-0000-0000-000043050000}"/>
    <cellStyle name="Normal 13 4 2 4" xfId="1301" xr:uid="{00000000-0005-0000-0000-000044050000}"/>
    <cellStyle name="Normal 13 4 3" xfId="1302" xr:uid="{00000000-0005-0000-0000-000045050000}"/>
    <cellStyle name="Normal 13 4 4" xfId="1303" xr:uid="{00000000-0005-0000-0000-000046050000}"/>
    <cellStyle name="Normal 13 4 5" xfId="1304" xr:uid="{00000000-0005-0000-0000-000047050000}"/>
    <cellStyle name="Normal 13 5" xfId="1305" xr:uid="{00000000-0005-0000-0000-000048050000}"/>
    <cellStyle name="Normal 13 6" xfId="1306" xr:uid="{00000000-0005-0000-0000-000049050000}"/>
    <cellStyle name="Normal 13 7" xfId="1307" xr:uid="{00000000-0005-0000-0000-00004A050000}"/>
    <cellStyle name="Normal 13 8" xfId="1308" xr:uid="{00000000-0005-0000-0000-00004B050000}"/>
    <cellStyle name="Normal 13 9" xfId="1309" xr:uid="{00000000-0005-0000-0000-00004C050000}"/>
    <cellStyle name="Normal 13 9 2" xfId="1310" xr:uid="{00000000-0005-0000-0000-00004D050000}"/>
    <cellStyle name="Normal 13 9 2 2" xfId="1311" xr:uid="{00000000-0005-0000-0000-00004E050000}"/>
    <cellStyle name="Normal 13 9 2 3" xfId="1312" xr:uid="{00000000-0005-0000-0000-00004F050000}"/>
    <cellStyle name="Normal 13 9 2 4" xfId="1313" xr:uid="{00000000-0005-0000-0000-000050050000}"/>
    <cellStyle name="Normal 13 9 3" xfId="1314" xr:uid="{00000000-0005-0000-0000-000051050000}"/>
    <cellStyle name="Normal 13 9 4" xfId="1315" xr:uid="{00000000-0005-0000-0000-000052050000}"/>
    <cellStyle name="Normal 13 9 5" xfId="1316" xr:uid="{00000000-0005-0000-0000-000053050000}"/>
    <cellStyle name="Normal 14" xfId="1317" xr:uid="{00000000-0005-0000-0000-000054050000}"/>
    <cellStyle name="Normal 14 10" xfId="1318" xr:uid="{00000000-0005-0000-0000-000055050000}"/>
    <cellStyle name="Normal 14 10 2" xfId="1319" xr:uid="{00000000-0005-0000-0000-000056050000}"/>
    <cellStyle name="Normal 14 10 2 2" xfId="1320" xr:uid="{00000000-0005-0000-0000-000057050000}"/>
    <cellStyle name="Normal 14 10 2 3" xfId="1321" xr:uid="{00000000-0005-0000-0000-000058050000}"/>
    <cellStyle name="Normal 14 10 2 4" xfId="1322" xr:uid="{00000000-0005-0000-0000-000059050000}"/>
    <cellStyle name="Normal 14 10 3" xfId="1323" xr:uid="{00000000-0005-0000-0000-00005A050000}"/>
    <cellStyle name="Normal 14 10 4" xfId="1324" xr:uid="{00000000-0005-0000-0000-00005B050000}"/>
    <cellStyle name="Normal 14 10 5" xfId="1325" xr:uid="{00000000-0005-0000-0000-00005C050000}"/>
    <cellStyle name="Normal 14 11" xfId="1326" xr:uid="{00000000-0005-0000-0000-00005D050000}"/>
    <cellStyle name="Normal 14 11 2" xfId="1327" xr:uid="{00000000-0005-0000-0000-00005E050000}"/>
    <cellStyle name="Normal 14 11 2 2" xfId="1328" xr:uid="{00000000-0005-0000-0000-00005F050000}"/>
    <cellStyle name="Normal 14 11 2 3" xfId="1329" xr:uid="{00000000-0005-0000-0000-000060050000}"/>
    <cellStyle name="Normal 14 11 2 4" xfId="1330" xr:uid="{00000000-0005-0000-0000-000061050000}"/>
    <cellStyle name="Normal 14 11 3" xfId="1331" xr:uid="{00000000-0005-0000-0000-000062050000}"/>
    <cellStyle name="Normal 14 11 4" xfId="1332" xr:uid="{00000000-0005-0000-0000-000063050000}"/>
    <cellStyle name="Normal 14 11 5" xfId="1333" xr:uid="{00000000-0005-0000-0000-000064050000}"/>
    <cellStyle name="Normal 14 12" xfId="1334" xr:uid="{00000000-0005-0000-0000-000065050000}"/>
    <cellStyle name="Normal 14 12 2" xfId="1335" xr:uid="{00000000-0005-0000-0000-000066050000}"/>
    <cellStyle name="Normal 14 12 2 2" xfId="1336" xr:uid="{00000000-0005-0000-0000-000067050000}"/>
    <cellStyle name="Normal 14 12 2 3" xfId="1337" xr:uid="{00000000-0005-0000-0000-000068050000}"/>
    <cellStyle name="Normal 14 12 2 4" xfId="1338" xr:uid="{00000000-0005-0000-0000-000069050000}"/>
    <cellStyle name="Normal 14 12 3" xfId="1339" xr:uid="{00000000-0005-0000-0000-00006A050000}"/>
    <cellStyle name="Normal 14 12 4" xfId="1340" xr:uid="{00000000-0005-0000-0000-00006B050000}"/>
    <cellStyle name="Normal 14 12 5" xfId="1341" xr:uid="{00000000-0005-0000-0000-00006C050000}"/>
    <cellStyle name="Normal 14 13" xfId="1342" xr:uid="{00000000-0005-0000-0000-00006D050000}"/>
    <cellStyle name="Normal 14 13 2" xfId="1343" xr:uid="{00000000-0005-0000-0000-00006E050000}"/>
    <cellStyle name="Normal 14 13 2 2" xfId="1344" xr:uid="{00000000-0005-0000-0000-00006F050000}"/>
    <cellStyle name="Normal 14 13 2 3" xfId="1345" xr:uid="{00000000-0005-0000-0000-000070050000}"/>
    <cellStyle name="Normal 14 13 2 4" xfId="1346" xr:uid="{00000000-0005-0000-0000-000071050000}"/>
    <cellStyle name="Normal 14 13 3" xfId="1347" xr:uid="{00000000-0005-0000-0000-000072050000}"/>
    <cellStyle name="Normal 14 13 4" xfId="1348" xr:uid="{00000000-0005-0000-0000-000073050000}"/>
    <cellStyle name="Normal 14 13 5" xfId="1349" xr:uid="{00000000-0005-0000-0000-000074050000}"/>
    <cellStyle name="Normal 14 14" xfId="1350" xr:uid="{00000000-0005-0000-0000-000075050000}"/>
    <cellStyle name="Normal 14 14 2" xfId="1351" xr:uid="{00000000-0005-0000-0000-000076050000}"/>
    <cellStyle name="Normal 14 14 2 2" xfId="1352" xr:uid="{00000000-0005-0000-0000-000077050000}"/>
    <cellStyle name="Normal 14 14 2 3" xfId="1353" xr:uid="{00000000-0005-0000-0000-000078050000}"/>
    <cellStyle name="Normal 14 14 2 4" xfId="1354" xr:uid="{00000000-0005-0000-0000-000079050000}"/>
    <cellStyle name="Normal 14 14 3" xfId="1355" xr:uid="{00000000-0005-0000-0000-00007A050000}"/>
    <cellStyle name="Normal 14 14 4" xfId="1356" xr:uid="{00000000-0005-0000-0000-00007B050000}"/>
    <cellStyle name="Normal 14 14 5" xfId="1357" xr:uid="{00000000-0005-0000-0000-00007C050000}"/>
    <cellStyle name="Normal 14 15" xfId="1358" xr:uid="{00000000-0005-0000-0000-00007D050000}"/>
    <cellStyle name="Normal 14 15 2" xfId="1359" xr:uid="{00000000-0005-0000-0000-00007E050000}"/>
    <cellStyle name="Normal 14 15 2 2" xfId="1360" xr:uid="{00000000-0005-0000-0000-00007F050000}"/>
    <cellStyle name="Normal 14 15 2 3" xfId="1361" xr:uid="{00000000-0005-0000-0000-000080050000}"/>
    <cellStyle name="Normal 14 15 2 4" xfId="1362" xr:uid="{00000000-0005-0000-0000-000081050000}"/>
    <cellStyle name="Normal 14 15 3" xfId="1363" xr:uid="{00000000-0005-0000-0000-000082050000}"/>
    <cellStyle name="Normal 14 15 4" xfId="1364" xr:uid="{00000000-0005-0000-0000-000083050000}"/>
    <cellStyle name="Normal 14 15 5" xfId="1365" xr:uid="{00000000-0005-0000-0000-000084050000}"/>
    <cellStyle name="Normal 14 2" xfId="1366" xr:uid="{00000000-0005-0000-0000-000085050000}"/>
    <cellStyle name="Normal 14 2 10" xfId="1367" xr:uid="{00000000-0005-0000-0000-000086050000}"/>
    <cellStyle name="Normal 14 2 11" xfId="1368" xr:uid="{00000000-0005-0000-0000-000087050000}"/>
    <cellStyle name="Normal 14 2 2" xfId="1369" xr:uid="{00000000-0005-0000-0000-000088050000}"/>
    <cellStyle name="Normal 14 2 2 2" xfId="1370" xr:uid="{00000000-0005-0000-0000-000089050000}"/>
    <cellStyle name="Normal 14 2 3" xfId="1371" xr:uid="{00000000-0005-0000-0000-00008A050000}"/>
    <cellStyle name="Normal 14 2 3 2" xfId="1372" xr:uid="{00000000-0005-0000-0000-00008B050000}"/>
    <cellStyle name="Normal 14 2 4" xfId="1373" xr:uid="{00000000-0005-0000-0000-00008C050000}"/>
    <cellStyle name="Normal 14 2 4 2" xfId="1374" xr:uid="{00000000-0005-0000-0000-00008D050000}"/>
    <cellStyle name="Normal 14 2 5" xfId="1375" xr:uid="{00000000-0005-0000-0000-00008E050000}"/>
    <cellStyle name="Normal 14 2 5 2" xfId="1376" xr:uid="{00000000-0005-0000-0000-00008F050000}"/>
    <cellStyle name="Normal 14 2 6" xfId="1377" xr:uid="{00000000-0005-0000-0000-000090050000}"/>
    <cellStyle name="Normal 14 2 6 2" xfId="1378" xr:uid="{00000000-0005-0000-0000-000091050000}"/>
    <cellStyle name="Normal 14 2 7" xfId="1379" xr:uid="{00000000-0005-0000-0000-000092050000}"/>
    <cellStyle name="Normal 14 2 7 2" xfId="1380" xr:uid="{00000000-0005-0000-0000-000093050000}"/>
    <cellStyle name="Normal 14 2 8" xfId="1381" xr:uid="{00000000-0005-0000-0000-000094050000}"/>
    <cellStyle name="Normal 14 2 8 2" xfId="1382" xr:uid="{00000000-0005-0000-0000-000095050000}"/>
    <cellStyle name="Normal 14 2 8 3" xfId="1383" xr:uid="{00000000-0005-0000-0000-000096050000}"/>
    <cellStyle name="Normal 14 2 8 4" xfId="1384" xr:uid="{00000000-0005-0000-0000-000097050000}"/>
    <cellStyle name="Normal 14 2 9" xfId="1385" xr:uid="{00000000-0005-0000-0000-000098050000}"/>
    <cellStyle name="Normal 14 3" xfId="1386" xr:uid="{00000000-0005-0000-0000-000099050000}"/>
    <cellStyle name="Normal 14 3 2" xfId="1387" xr:uid="{00000000-0005-0000-0000-00009A050000}"/>
    <cellStyle name="Normal 14 4" xfId="1388" xr:uid="{00000000-0005-0000-0000-00009B050000}"/>
    <cellStyle name="Normal 14 4 2" xfId="1389" xr:uid="{00000000-0005-0000-0000-00009C050000}"/>
    <cellStyle name="Normal 14 4 2 2" xfId="1390" xr:uid="{00000000-0005-0000-0000-00009D050000}"/>
    <cellStyle name="Normal 14 4 2 3" xfId="1391" xr:uid="{00000000-0005-0000-0000-00009E050000}"/>
    <cellStyle name="Normal 14 4 2 4" xfId="1392" xr:uid="{00000000-0005-0000-0000-00009F050000}"/>
    <cellStyle name="Normal 14 4 3" xfId="1393" xr:uid="{00000000-0005-0000-0000-0000A0050000}"/>
    <cellStyle name="Normal 14 4 4" xfId="1394" xr:uid="{00000000-0005-0000-0000-0000A1050000}"/>
    <cellStyle name="Normal 14 4 5" xfId="1395" xr:uid="{00000000-0005-0000-0000-0000A2050000}"/>
    <cellStyle name="Normal 14 5" xfId="1396" xr:uid="{00000000-0005-0000-0000-0000A3050000}"/>
    <cellStyle name="Normal 14 5 2" xfId="1397" xr:uid="{00000000-0005-0000-0000-0000A4050000}"/>
    <cellStyle name="Normal 14 5 2 2" xfId="1398" xr:uid="{00000000-0005-0000-0000-0000A5050000}"/>
    <cellStyle name="Normal 14 5 2 3" xfId="1399" xr:uid="{00000000-0005-0000-0000-0000A6050000}"/>
    <cellStyle name="Normal 14 5 2 4" xfId="1400" xr:uid="{00000000-0005-0000-0000-0000A7050000}"/>
    <cellStyle name="Normal 14 5 3" xfId="1401" xr:uid="{00000000-0005-0000-0000-0000A8050000}"/>
    <cellStyle name="Normal 14 5 4" xfId="1402" xr:uid="{00000000-0005-0000-0000-0000A9050000}"/>
    <cellStyle name="Normal 14 5 5" xfId="1403" xr:uid="{00000000-0005-0000-0000-0000AA050000}"/>
    <cellStyle name="Normal 14 6" xfId="1404" xr:uid="{00000000-0005-0000-0000-0000AB050000}"/>
    <cellStyle name="Normal 14 6 2" xfId="1405" xr:uid="{00000000-0005-0000-0000-0000AC050000}"/>
    <cellStyle name="Normal 14 7" xfId="1406" xr:uid="{00000000-0005-0000-0000-0000AD050000}"/>
    <cellStyle name="Normal 14 7 2" xfId="1407" xr:uid="{00000000-0005-0000-0000-0000AE050000}"/>
    <cellStyle name="Normal 14 8" xfId="1408" xr:uid="{00000000-0005-0000-0000-0000AF050000}"/>
    <cellStyle name="Normal 14 8 2" xfId="1409" xr:uid="{00000000-0005-0000-0000-0000B0050000}"/>
    <cellStyle name="Normal 14 9" xfId="1410" xr:uid="{00000000-0005-0000-0000-0000B1050000}"/>
    <cellStyle name="Normal 14 9 2" xfId="1411" xr:uid="{00000000-0005-0000-0000-0000B2050000}"/>
    <cellStyle name="Normal 15" xfId="1412" xr:uid="{00000000-0005-0000-0000-0000B3050000}"/>
    <cellStyle name="Normal 15 2" xfId="1413" xr:uid="{00000000-0005-0000-0000-0000B4050000}"/>
    <cellStyle name="Normal 15 2 2" xfId="1414" xr:uid="{00000000-0005-0000-0000-0000B5050000}"/>
    <cellStyle name="Normal 15 3" xfId="1415" xr:uid="{00000000-0005-0000-0000-0000B6050000}"/>
    <cellStyle name="Normal 15 3 2" xfId="1416" xr:uid="{00000000-0005-0000-0000-0000B7050000}"/>
    <cellStyle name="Normal 15 4" xfId="1417" xr:uid="{00000000-0005-0000-0000-0000B8050000}"/>
    <cellStyle name="Normal 15 4 2" xfId="1418" xr:uid="{00000000-0005-0000-0000-0000B9050000}"/>
    <cellStyle name="Normal 15 5" xfId="1419" xr:uid="{00000000-0005-0000-0000-0000BA050000}"/>
    <cellStyle name="Normal 15 5 2" xfId="1420" xr:uid="{00000000-0005-0000-0000-0000BB050000}"/>
    <cellStyle name="Normal 15 6" xfId="1421" xr:uid="{00000000-0005-0000-0000-0000BC050000}"/>
    <cellStyle name="Normal 15 6 2" xfId="1422" xr:uid="{00000000-0005-0000-0000-0000BD050000}"/>
    <cellStyle name="Normal 16" xfId="1423" xr:uid="{00000000-0005-0000-0000-0000BE050000}"/>
    <cellStyle name="Normal 16 10" xfId="1424" xr:uid="{00000000-0005-0000-0000-0000BF050000}"/>
    <cellStyle name="Normal 16 2" xfId="1425" xr:uid="{00000000-0005-0000-0000-0000C0050000}"/>
    <cellStyle name="Normal 16 2 2" xfId="1426" xr:uid="{00000000-0005-0000-0000-0000C1050000}"/>
    <cellStyle name="Normal 16 3" xfId="1427" xr:uid="{00000000-0005-0000-0000-0000C2050000}"/>
    <cellStyle name="Normal 16 3 2" xfId="1428" xr:uid="{00000000-0005-0000-0000-0000C3050000}"/>
    <cellStyle name="Normal 16 4" xfId="1429" xr:uid="{00000000-0005-0000-0000-0000C4050000}"/>
    <cellStyle name="Normal 16 4 2" xfId="1430" xr:uid="{00000000-0005-0000-0000-0000C5050000}"/>
    <cellStyle name="Normal 16 5" xfId="1431" xr:uid="{00000000-0005-0000-0000-0000C6050000}"/>
    <cellStyle name="Normal 16 5 2" xfId="1432" xr:uid="{00000000-0005-0000-0000-0000C7050000}"/>
    <cellStyle name="Normal 16 6" xfId="1433" xr:uid="{00000000-0005-0000-0000-0000C8050000}"/>
    <cellStyle name="Normal 16 6 2" xfId="1434" xr:uid="{00000000-0005-0000-0000-0000C9050000}"/>
    <cellStyle name="Normal 16 7" xfId="1435" xr:uid="{00000000-0005-0000-0000-0000CA050000}"/>
    <cellStyle name="Normal 16 7 2" xfId="1436" xr:uid="{00000000-0005-0000-0000-0000CB050000}"/>
    <cellStyle name="Normal 16 7 3" xfId="1437" xr:uid="{00000000-0005-0000-0000-0000CC050000}"/>
    <cellStyle name="Normal 16 7 4" xfId="1438" xr:uid="{00000000-0005-0000-0000-0000CD050000}"/>
    <cellStyle name="Normal 16 8" xfId="1439" xr:uid="{00000000-0005-0000-0000-0000CE050000}"/>
    <cellStyle name="Normal 16 9" xfId="1440" xr:uid="{00000000-0005-0000-0000-0000CF050000}"/>
    <cellStyle name="Normal 17" xfId="1441" xr:uid="{00000000-0005-0000-0000-0000D0050000}"/>
    <cellStyle name="Normal 17 10" xfId="1442" xr:uid="{00000000-0005-0000-0000-0000D1050000}"/>
    <cellStyle name="Normal 17 10 2" xfId="1443" xr:uid="{00000000-0005-0000-0000-0000D2050000}"/>
    <cellStyle name="Normal 17 11" xfId="1444" xr:uid="{00000000-0005-0000-0000-0000D3050000}"/>
    <cellStyle name="Normal 17 11 2" xfId="1445" xr:uid="{00000000-0005-0000-0000-0000D4050000}"/>
    <cellStyle name="Normal 17 12" xfId="1446" xr:uid="{00000000-0005-0000-0000-0000D5050000}"/>
    <cellStyle name="Normal 17 12 2" xfId="1447" xr:uid="{00000000-0005-0000-0000-0000D6050000}"/>
    <cellStyle name="Normal 17 13" xfId="1448" xr:uid="{00000000-0005-0000-0000-0000D7050000}"/>
    <cellStyle name="Normal 17 13 2" xfId="1449" xr:uid="{00000000-0005-0000-0000-0000D8050000}"/>
    <cellStyle name="Normal 17 14" xfId="1450" xr:uid="{00000000-0005-0000-0000-0000D9050000}"/>
    <cellStyle name="Normal 17 14 2" xfId="1451" xr:uid="{00000000-0005-0000-0000-0000DA050000}"/>
    <cellStyle name="Normal 17 14 3" xfId="1452" xr:uid="{00000000-0005-0000-0000-0000DB050000}"/>
    <cellStyle name="Normal 17 14 4" xfId="1453" xr:uid="{00000000-0005-0000-0000-0000DC050000}"/>
    <cellStyle name="Normal 17 15" xfId="1454" xr:uid="{00000000-0005-0000-0000-0000DD050000}"/>
    <cellStyle name="Normal 17 16" xfId="1455" xr:uid="{00000000-0005-0000-0000-0000DE050000}"/>
    <cellStyle name="Normal 17 17" xfId="1456" xr:uid="{00000000-0005-0000-0000-0000DF050000}"/>
    <cellStyle name="Normal 17 2" xfId="1457" xr:uid="{00000000-0005-0000-0000-0000E0050000}"/>
    <cellStyle name="Normal 17 2 2" xfId="1458" xr:uid="{00000000-0005-0000-0000-0000E1050000}"/>
    <cellStyle name="Normal 17 3" xfId="1459" xr:uid="{00000000-0005-0000-0000-0000E2050000}"/>
    <cellStyle name="Normal 17 3 2" xfId="1460" xr:uid="{00000000-0005-0000-0000-0000E3050000}"/>
    <cellStyle name="Normal 17 4" xfId="1461" xr:uid="{00000000-0005-0000-0000-0000E4050000}"/>
    <cellStyle name="Normal 17 4 2" xfId="1462" xr:uid="{00000000-0005-0000-0000-0000E5050000}"/>
    <cellStyle name="Normal 17 5" xfId="1463" xr:uid="{00000000-0005-0000-0000-0000E6050000}"/>
    <cellStyle name="Normal 17 5 2" xfId="1464" xr:uid="{00000000-0005-0000-0000-0000E7050000}"/>
    <cellStyle name="Normal 17 6" xfId="1465" xr:uid="{00000000-0005-0000-0000-0000E8050000}"/>
    <cellStyle name="Normal 17 6 2" xfId="1466" xr:uid="{00000000-0005-0000-0000-0000E9050000}"/>
    <cellStyle name="Normal 17 7" xfId="1467" xr:uid="{00000000-0005-0000-0000-0000EA050000}"/>
    <cellStyle name="Normal 17 7 2" xfId="1468" xr:uid="{00000000-0005-0000-0000-0000EB050000}"/>
    <cellStyle name="Normal 17 8" xfId="1469" xr:uid="{00000000-0005-0000-0000-0000EC050000}"/>
    <cellStyle name="Normal 17 8 2" xfId="1470" xr:uid="{00000000-0005-0000-0000-0000ED050000}"/>
    <cellStyle name="Normal 17 9" xfId="1471" xr:uid="{00000000-0005-0000-0000-0000EE050000}"/>
    <cellStyle name="Normal 17 9 2" xfId="1472" xr:uid="{00000000-0005-0000-0000-0000EF050000}"/>
    <cellStyle name="Normal 18" xfId="1473" xr:uid="{00000000-0005-0000-0000-0000F0050000}"/>
    <cellStyle name="Normal 18 2" xfId="1474" xr:uid="{00000000-0005-0000-0000-0000F1050000}"/>
    <cellStyle name="Normal 18 2 2" xfId="1475" xr:uid="{00000000-0005-0000-0000-0000F2050000}"/>
    <cellStyle name="Normal 18 2 3" xfId="1476" xr:uid="{00000000-0005-0000-0000-0000F3050000}"/>
    <cellStyle name="Normal 18 2 4" xfId="1477" xr:uid="{00000000-0005-0000-0000-0000F4050000}"/>
    <cellStyle name="Normal 18 3" xfId="1478" xr:uid="{00000000-0005-0000-0000-0000F5050000}"/>
    <cellStyle name="Normal 18 4" xfId="1479" xr:uid="{00000000-0005-0000-0000-0000F6050000}"/>
    <cellStyle name="Normal 18 5" xfId="1480" xr:uid="{00000000-0005-0000-0000-0000F7050000}"/>
    <cellStyle name="Normal 19" xfId="1481" xr:uid="{00000000-0005-0000-0000-0000F8050000}"/>
    <cellStyle name="Normal 2" xfId="1482" xr:uid="{00000000-0005-0000-0000-0000F9050000}"/>
    <cellStyle name="Normal 2 10" xfId="1483" xr:uid="{00000000-0005-0000-0000-0000FA050000}"/>
    <cellStyle name="Normal 2 10 2" xfId="1484" xr:uid="{00000000-0005-0000-0000-0000FB050000}"/>
    <cellStyle name="Normal 2 11" xfId="1485" xr:uid="{00000000-0005-0000-0000-0000FC050000}"/>
    <cellStyle name="Normal 2 11 2" xfId="1486" xr:uid="{00000000-0005-0000-0000-0000FD050000}"/>
    <cellStyle name="Normal 2 12" xfId="1487" xr:uid="{00000000-0005-0000-0000-0000FE050000}"/>
    <cellStyle name="Normal 2 12 2" xfId="1488" xr:uid="{00000000-0005-0000-0000-0000FF050000}"/>
    <cellStyle name="Normal 2 13" xfId="1489" xr:uid="{00000000-0005-0000-0000-000000060000}"/>
    <cellStyle name="Normal 2 13 2" xfId="1490" xr:uid="{00000000-0005-0000-0000-000001060000}"/>
    <cellStyle name="Normal 2 14" xfId="1491" xr:uid="{00000000-0005-0000-0000-000002060000}"/>
    <cellStyle name="Normal 2 14 2" xfId="1492" xr:uid="{00000000-0005-0000-0000-000003060000}"/>
    <cellStyle name="Normal 2 15" xfId="1493" xr:uid="{00000000-0005-0000-0000-000004060000}"/>
    <cellStyle name="Normal 2 15 2" xfId="1494" xr:uid="{00000000-0005-0000-0000-000005060000}"/>
    <cellStyle name="Normal 2 16" xfId="1495" xr:uid="{00000000-0005-0000-0000-000006060000}"/>
    <cellStyle name="Normal 2 16 2" xfId="1496" xr:uid="{00000000-0005-0000-0000-000007060000}"/>
    <cellStyle name="Normal 2 17" xfId="1497" xr:uid="{00000000-0005-0000-0000-000008060000}"/>
    <cellStyle name="Normal 2 17 2" xfId="1498" xr:uid="{00000000-0005-0000-0000-000009060000}"/>
    <cellStyle name="Normal 2 18" xfId="1499" xr:uid="{00000000-0005-0000-0000-00000A060000}"/>
    <cellStyle name="Normal 2 18 2" xfId="1500" xr:uid="{00000000-0005-0000-0000-00000B060000}"/>
    <cellStyle name="Normal 2 18 3" xfId="1501" xr:uid="{00000000-0005-0000-0000-00000C060000}"/>
    <cellStyle name="Normal 2 18 4" xfId="1502" xr:uid="{00000000-0005-0000-0000-00000D060000}"/>
    <cellStyle name="Normal 2 19" xfId="1503" xr:uid="{00000000-0005-0000-0000-00000E060000}"/>
    <cellStyle name="Normal 2 2" xfId="1504" xr:uid="{00000000-0005-0000-0000-00000F060000}"/>
    <cellStyle name="Normal 2 2 10" xfId="1505" xr:uid="{00000000-0005-0000-0000-000010060000}"/>
    <cellStyle name="Normal 2 2 10 2" xfId="1506" xr:uid="{00000000-0005-0000-0000-000011060000}"/>
    <cellStyle name="Normal 2 2 10 2 2" xfId="1507" xr:uid="{00000000-0005-0000-0000-000012060000}"/>
    <cellStyle name="Normal 2 2 10 2 3" xfId="1508" xr:uid="{00000000-0005-0000-0000-000013060000}"/>
    <cellStyle name="Normal 2 2 10 2 4" xfId="1509" xr:uid="{00000000-0005-0000-0000-000014060000}"/>
    <cellStyle name="Normal 2 2 10 3" xfId="1510" xr:uid="{00000000-0005-0000-0000-000015060000}"/>
    <cellStyle name="Normal 2 2 10 4" xfId="1511" xr:uid="{00000000-0005-0000-0000-000016060000}"/>
    <cellStyle name="Normal 2 2 10 5" xfId="1512" xr:uid="{00000000-0005-0000-0000-000017060000}"/>
    <cellStyle name="Normal 2 2 11" xfId="1513" xr:uid="{00000000-0005-0000-0000-000018060000}"/>
    <cellStyle name="Normal 2 2 11 2" xfId="1514" xr:uid="{00000000-0005-0000-0000-000019060000}"/>
    <cellStyle name="Normal 2 2 11 2 2" xfId="1515" xr:uid="{00000000-0005-0000-0000-00001A060000}"/>
    <cellStyle name="Normal 2 2 11 2 3" xfId="1516" xr:uid="{00000000-0005-0000-0000-00001B060000}"/>
    <cellStyle name="Normal 2 2 11 2 4" xfId="1517" xr:uid="{00000000-0005-0000-0000-00001C060000}"/>
    <cellStyle name="Normal 2 2 11 3" xfId="1518" xr:uid="{00000000-0005-0000-0000-00001D060000}"/>
    <cellStyle name="Normal 2 2 11 4" xfId="1519" xr:uid="{00000000-0005-0000-0000-00001E060000}"/>
    <cellStyle name="Normal 2 2 11 5" xfId="1520" xr:uid="{00000000-0005-0000-0000-00001F060000}"/>
    <cellStyle name="Normal 2 2 12" xfId="1521" xr:uid="{00000000-0005-0000-0000-000020060000}"/>
    <cellStyle name="Normal 2 2 12 2" xfId="1522" xr:uid="{00000000-0005-0000-0000-000021060000}"/>
    <cellStyle name="Normal 2 2 12 2 2" xfId="1523" xr:uid="{00000000-0005-0000-0000-000022060000}"/>
    <cellStyle name="Normal 2 2 12 2 3" xfId="1524" xr:uid="{00000000-0005-0000-0000-000023060000}"/>
    <cellStyle name="Normal 2 2 12 2 4" xfId="1525" xr:uid="{00000000-0005-0000-0000-000024060000}"/>
    <cellStyle name="Normal 2 2 12 3" xfId="1526" xr:uid="{00000000-0005-0000-0000-000025060000}"/>
    <cellStyle name="Normal 2 2 12 4" xfId="1527" xr:uid="{00000000-0005-0000-0000-000026060000}"/>
    <cellStyle name="Normal 2 2 12 5" xfId="1528" xr:uid="{00000000-0005-0000-0000-000027060000}"/>
    <cellStyle name="Normal 2 2 13" xfId="1529" xr:uid="{00000000-0005-0000-0000-000028060000}"/>
    <cellStyle name="Normal 2 2 13 2" xfId="1530" xr:uid="{00000000-0005-0000-0000-000029060000}"/>
    <cellStyle name="Normal 2 2 13 2 2" xfId="1531" xr:uid="{00000000-0005-0000-0000-00002A060000}"/>
    <cellStyle name="Normal 2 2 13 2 3" xfId="1532" xr:uid="{00000000-0005-0000-0000-00002B060000}"/>
    <cellStyle name="Normal 2 2 13 2 4" xfId="1533" xr:uid="{00000000-0005-0000-0000-00002C060000}"/>
    <cellStyle name="Normal 2 2 13 3" xfId="1534" xr:uid="{00000000-0005-0000-0000-00002D060000}"/>
    <cellStyle name="Normal 2 2 13 4" xfId="1535" xr:uid="{00000000-0005-0000-0000-00002E060000}"/>
    <cellStyle name="Normal 2 2 13 5" xfId="1536" xr:uid="{00000000-0005-0000-0000-00002F060000}"/>
    <cellStyle name="Normal 2 2 14" xfId="1537" xr:uid="{00000000-0005-0000-0000-000030060000}"/>
    <cellStyle name="Normal 2 2 14 2" xfId="1538" xr:uid="{00000000-0005-0000-0000-000031060000}"/>
    <cellStyle name="Normal 2 2 15" xfId="1539" xr:uid="{00000000-0005-0000-0000-000032060000}"/>
    <cellStyle name="Normal 2 2 16" xfId="1540" xr:uid="{00000000-0005-0000-0000-000033060000}"/>
    <cellStyle name="Normal 2 2 2" xfId="1541" xr:uid="{00000000-0005-0000-0000-000034060000}"/>
    <cellStyle name="Normal 2 2 2 2" xfId="1542" xr:uid="{00000000-0005-0000-0000-000035060000}"/>
    <cellStyle name="Normal 2 2 2 2 2" xfId="1543" xr:uid="{00000000-0005-0000-0000-000036060000}"/>
    <cellStyle name="Normal 2 2 2 2 3" xfId="1544" xr:uid="{00000000-0005-0000-0000-000037060000}"/>
    <cellStyle name="Normal 2 2 2 2 4" xfId="1545" xr:uid="{00000000-0005-0000-0000-000038060000}"/>
    <cellStyle name="Normal 2 2 2 3" xfId="1546" xr:uid="{00000000-0005-0000-0000-000039060000}"/>
    <cellStyle name="Normal 2 2 2 4" xfId="1547" xr:uid="{00000000-0005-0000-0000-00003A060000}"/>
    <cellStyle name="Normal 2 2 2 5" xfId="1548" xr:uid="{00000000-0005-0000-0000-00003B060000}"/>
    <cellStyle name="Normal 2 2 2 6" xfId="1549" xr:uid="{00000000-0005-0000-0000-00003C060000}"/>
    <cellStyle name="Normal 2 2 3" xfId="1550" xr:uid="{00000000-0005-0000-0000-00003D060000}"/>
    <cellStyle name="Normal 2 2 3 2" xfId="1551" xr:uid="{00000000-0005-0000-0000-00003E060000}"/>
    <cellStyle name="Normal 2 2 3 2 2" xfId="1552" xr:uid="{00000000-0005-0000-0000-00003F060000}"/>
    <cellStyle name="Normal 2 2 3 2 3" xfId="1553" xr:uid="{00000000-0005-0000-0000-000040060000}"/>
    <cellStyle name="Normal 2 2 3 2 4" xfId="1554" xr:uid="{00000000-0005-0000-0000-000041060000}"/>
    <cellStyle name="Normal 2 2 3 3" xfId="1555" xr:uid="{00000000-0005-0000-0000-000042060000}"/>
    <cellStyle name="Normal 2 2 3 4" xfId="1556" xr:uid="{00000000-0005-0000-0000-000043060000}"/>
    <cellStyle name="Normal 2 2 3 5" xfId="1557" xr:uid="{00000000-0005-0000-0000-000044060000}"/>
    <cellStyle name="Normal 2 2 3 6" xfId="1558" xr:uid="{00000000-0005-0000-0000-000045060000}"/>
    <cellStyle name="Normal 2 2 4" xfId="1559" xr:uid="{00000000-0005-0000-0000-000046060000}"/>
    <cellStyle name="Normal 2 2 4 2" xfId="1560" xr:uid="{00000000-0005-0000-0000-000047060000}"/>
    <cellStyle name="Normal 2 2 4 2 2" xfId="1561" xr:uid="{00000000-0005-0000-0000-000048060000}"/>
    <cellStyle name="Normal 2 2 4 2 3" xfId="1562" xr:uid="{00000000-0005-0000-0000-000049060000}"/>
    <cellStyle name="Normal 2 2 4 2 4" xfId="1563" xr:uid="{00000000-0005-0000-0000-00004A060000}"/>
    <cellStyle name="Normal 2 2 4 3" xfId="1564" xr:uid="{00000000-0005-0000-0000-00004B060000}"/>
    <cellStyle name="Normal 2 2 4 4" xfId="1565" xr:uid="{00000000-0005-0000-0000-00004C060000}"/>
    <cellStyle name="Normal 2 2 4 5" xfId="1566" xr:uid="{00000000-0005-0000-0000-00004D060000}"/>
    <cellStyle name="Normal 2 2 5" xfId="1567" xr:uid="{00000000-0005-0000-0000-00004E060000}"/>
    <cellStyle name="Normal 2 2 5 2" xfId="1568" xr:uid="{00000000-0005-0000-0000-00004F060000}"/>
    <cellStyle name="Normal 2 2 5 2 2" xfId="1569" xr:uid="{00000000-0005-0000-0000-000050060000}"/>
    <cellStyle name="Normal 2 2 5 2 3" xfId="1570" xr:uid="{00000000-0005-0000-0000-000051060000}"/>
    <cellStyle name="Normal 2 2 5 2 4" xfId="1571" xr:uid="{00000000-0005-0000-0000-000052060000}"/>
    <cellStyle name="Normal 2 2 5 3" xfId="1572" xr:uid="{00000000-0005-0000-0000-000053060000}"/>
    <cellStyle name="Normal 2 2 5 4" xfId="1573" xr:uid="{00000000-0005-0000-0000-000054060000}"/>
    <cellStyle name="Normal 2 2 5 5" xfId="1574" xr:uid="{00000000-0005-0000-0000-000055060000}"/>
    <cellStyle name="Normal 2 2 6" xfId="1575" xr:uid="{00000000-0005-0000-0000-000056060000}"/>
    <cellStyle name="Normal 2 2 6 2" xfId="1576" xr:uid="{00000000-0005-0000-0000-000057060000}"/>
    <cellStyle name="Normal 2 2 6 2 2" xfId="1577" xr:uid="{00000000-0005-0000-0000-000058060000}"/>
    <cellStyle name="Normal 2 2 6 2 3" xfId="1578" xr:uid="{00000000-0005-0000-0000-000059060000}"/>
    <cellStyle name="Normal 2 2 6 2 4" xfId="1579" xr:uid="{00000000-0005-0000-0000-00005A060000}"/>
    <cellStyle name="Normal 2 2 6 3" xfId="1580" xr:uid="{00000000-0005-0000-0000-00005B060000}"/>
    <cellStyle name="Normal 2 2 6 4" xfId="1581" xr:uid="{00000000-0005-0000-0000-00005C060000}"/>
    <cellStyle name="Normal 2 2 6 5" xfId="1582" xr:uid="{00000000-0005-0000-0000-00005D060000}"/>
    <cellStyle name="Normal 2 2 7" xfId="1583" xr:uid="{00000000-0005-0000-0000-00005E060000}"/>
    <cellStyle name="Normal 2 2 7 2" xfId="1584" xr:uid="{00000000-0005-0000-0000-00005F060000}"/>
    <cellStyle name="Normal 2 2 7 2 2" xfId="1585" xr:uid="{00000000-0005-0000-0000-000060060000}"/>
    <cellStyle name="Normal 2 2 7 2 3" xfId="1586" xr:uid="{00000000-0005-0000-0000-000061060000}"/>
    <cellStyle name="Normal 2 2 7 2 4" xfId="1587" xr:uid="{00000000-0005-0000-0000-000062060000}"/>
    <cellStyle name="Normal 2 2 7 3" xfId="1588" xr:uid="{00000000-0005-0000-0000-000063060000}"/>
    <cellStyle name="Normal 2 2 7 4" xfId="1589" xr:uid="{00000000-0005-0000-0000-000064060000}"/>
    <cellStyle name="Normal 2 2 7 5" xfId="1590" xr:uid="{00000000-0005-0000-0000-000065060000}"/>
    <cellStyle name="Normal 2 2 8" xfId="1591" xr:uid="{00000000-0005-0000-0000-000066060000}"/>
    <cellStyle name="Normal 2 2 8 2" xfId="1592" xr:uid="{00000000-0005-0000-0000-000067060000}"/>
    <cellStyle name="Normal 2 2 8 2 2" xfId="1593" xr:uid="{00000000-0005-0000-0000-000068060000}"/>
    <cellStyle name="Normal 2 2 8 2 3" xfId="1594" xr:uid="{00000000-0005-0000-0000-000069060000}"/>
    <cellStyle name="Normal 2 2 8 2 4" xfId="1595" xr:uid="{00000000-0005-0000-0000-00006A060000}"/>
    <cellStyle name="Normal 2 2 8 3" xfId="1596" xr:uid="{00000000-0005-0000-0000-00006B060000}"/>
    <cellStyle name="Normal 2 2 8 4" xfId="1597" xr:uid="{00000000-0005-0000-0000-00006C060000}"/>
    <cellStyle name="Normal 2 2 8 5" xfId="1598" xr:uid="{00000000-0005-0000-0000-00006D060000}"/>
    <cellStyle name="Normal 2 2 9" xfId="1599" xr:uid="{00000000-0005-0000-0000-00006E060000}"/>
    <cellStyle name="Normal 2 2 9 2" xfId="1600" xr:uid="{00000000-0005-0000-0000-00006F060000}"/>
    <cellStyle name="Normal 2 2 9 2 2" xfId="1601" xr:uid="{00000000-0005-0000-0000-000070060000}"/>
    <cellStyle name="Normal 2 2 9 2 3" xfId="1602" xr:uid="{00000000-0005-0000-0000-000071060000}"/>
    <cellStyle name="Normal 2 2 9 2 4" xfId="1603" xr:uid="{00000000-0005-0000-0000-000072060000}"/>
    <cellStyle name="Normal 2 2 9 3" xfId="1604" xr:uid="{00000000-0005-0000-0000-000073060000}"/>
    <cellStyle name="Normal 2 2 9 4" xfId="1605" xr:uid="{00000000-0005-0000-0000-000074060000}"/>
    <cellStyle name="Normal 2 2 9 5" xfId="1606" xr:uid="{00000000-0005-0000-0000-000075060000}"/>
    <cellStyle name="Normal 2 20" xfId="1607" xr:uid="{00000000-0005-0000-0000-000076060000}"/>
    <cellStyle name="Normal 2 21" xfId="1608" xr:uid="{00000000-0005-0000-0000-000077060000}"/>
    <cellStyle name="Normal 2 22" xfId="1609" xr:uid="{00000000-0005-0000-0000-000078060000}"/>
    <cellStyle name="Normal 2 23" xfId="1610" xr:uid="{00000000-0005-0000-0000-000079060000}"/>
    <cellStyle name="Normal 2 3" xfId="1611" xr:uid="{00000000-0005-0000-0000-00007A060000}"/>
    <cellStyle name="Normal 2 3 10" xfId="1612" xr:uid="{00000000-0005-0000-0000-00007B060000}"/>
    <cellStyle name="Normal 2 3 10 2" xfId="1613" xr:uid="{00000000-0005-0000-0000-00007C060000}"/>
    <cellStyle name="Normal 2 3 10 2 2" xfId="1614" xr:uid="{00000000-0005-0000-0000-00007D060000}"/>
    <cellStyle name="Normal 2 3 10 2 3" xfId="1615" xr:uid="{00000000-0005-0000-0000-00007E060000}"/>
    <cellStyle name="Normal 2 3 10 2 4" xfId="1616" xr:uid="{00000000-0005-0000-0000-00007F060000}"/>
    <cellStyle name="Normal 2 3 10 3" xfId="1617" xr:uid="{00000000-0005-0000-0000-000080060000}"/>
    <cellStyle name="Normal 2 3 10 4" xfId="1618" xr:uid="{00000000-0005-0000-0000-000081060000}"/>
    <cellStyle name="Normal 2 3 10 5" xfId="1619" xr:uid="{00000000-0005-0000-0000-000082060000}"/>
    <cellStyle name="Normal 2 3 11" xfId="1620" xr:uid="{00000000-0005-0000-0000-000083060000}"/>
    <cellStyle name="Normal 2 3 11 2" xfId="1621" xr:uid="{00000000-0005-0000-0000-000084060000}"/>
    <cellStyle name="Normal 2 3 11 2 2" xfId="1622" xr:uid="{00000000-0005-0000-0000-000085060000}"/>
    <cellStyle name="Normal 2 3 11 2 3" xfId="1623" xr:uid="{00000000-0005-0000-0000-000086060000}"/>
    <cellStyle name="Normal 2 3 11 2 4" xfId="1624" xr:uid="{00000000-0005-0000-0000-000087060000}"/>
    <cellStyle name="Normal 2 3 11 3" xfId="1625" xr:uid="{00000000-0005-0000-0000-000088060000}"/>
    <cellStyle name="Normal 2 3 11 4" xfId="1626" xr:uid="{00000000-0005-0000-0000-000089060000}"/>
    <cellStyle name="Normal 2 3 11 5" xfId="1627" xr:uid="{00000000-0005-0000-0000-00008A060000}"/>
    <cellStyle name="Normal 2 3 12" xfId="1628" xr:uid="{00000000-0005-0000-0000-00008B060000}"/>
    <cellStyle name="Normal 2 3 12 2" xfId="1629" xr:uid="{00000000-0005-0000-0000-00008C060000}"/>
    <cellStyle name="Normal 2 3 12 2 2" xfId="1630" xr:uid="{00000000-0005-0000-0000-00008D060000}"/>
    <cellStyle name="Normal 2 3 12 2 3" xfId="1631" xr:uid="{00000000-0005-0000-0000-00008E060000}"/>
    <cellStyle name="Normal 2 3 12 2 4" xfId="1632" xr:uid="{00000000-0005-0000-0000-00008F060000}"/>
    <cellStyle name="Normal 2 3 12 3" xfId="1633" xr:uid="{00000000-0005-0000-0000-000090060000}"/>
    <cellStyle name="Normal 2 3 12 4" xfId="1634" xr:uid="{00000000-0005-0000-0000-000091060000}"/>
    <cellStyle name="Normal 2 3 12 5" xfId="1635" xr:uid="{00000000-0005-0000-0000-000092060000}"/>
    <cellStyle name="Normal 2 3 13" xfId="1636" xr:uid="{00000000-0005-0000-0000-000093060000}"/>
    <cellStyle name="Normal 2 3 13 2" xfId="1637" xr:uid="{00000000-0005-0000-0000-000094060000}"/>
    <cellStyle name="Normal 2 3 13 2 2" xfId="1638" xr:uid="{00000000-0005-0000-0000-000095060000}"/>
    <cellStyle name="Normal 2 3 13 2 3" xfId="1639" xr:uid="{00000000-0005-0000-0000-000096060000}"/>
    <cellStyle name="Normal 2 3 13 2 4" xfId="1640" xr:uid="{00000000-0005-0000-0000-000097060000}"/>
    <cellStyle name="Normal 2 3 13 3" xfId="1641" xr:uid="{00000000-0005-0000-0000-000098060000}"/>
    <cellStyle name="Normal 2 3 13 4" xfId="1642" xr:uid="{00000000-0005-0000-0000-000099060000}"/>
    <cellStyle name="Normal 2 3 13 5" xfId="1643" xr:uid="{00000000-0005-0000-0000-00009A060000}"/>
    <cellStyle name="Normal 2 3 14" xfId="1644" xr:uid="{00000000-0005-0000-0000-00009B060000}"/>
    <cellStyle name="Normal 2 3 15" xfId="1645" xr:uid="{00000000-0005-0000-0000-00009C060000}"/>
    <cellStyle name="Normal 2 3 2" xfId="1646" xr:uid="{00000000-0005-0000-0000-00009D060000}"/>
    <cellStyle name="Normal 2 3 2 2" xfId="1647" xr:uid="{00000000-0005-0000-0000-00009E060000}"/>
    <cellStyle name="Normal 2 3 2 2 2" xfId="1648" xr:uid="{00000000-0005-0000-0000-00009F060000}"/>
    <cellStyle name="Normal 2 3 2 2 3" xfId="1649" xr:uid="{00000000-0005-0000-0000-0000A0060000}"/>
    <cellStyle name="Normal 2 3 2 2 4" xfId="1650" xr:uid="{00000000-0005-0000-0000-0000A1060000}"/>
    <cellStyle name="Normal 2 3 2 3" xfId="1651" xr:uid="{00000000-0005-0000-0000-0000A2060000}"/>
    <cellStyle name="Normal 2 3 2 4" xfId="1652" xr:uid="{00000000-0005-0000-0000-0000A3060000}"/>
    <cellStyle name="Normal 2 3 2 5" xfId="1653" xr:uid="{00000000-0005-0000-0000-0000A4060000}"/>
    <cellStyle name="Normal 2 3 2 6" xfId="1654" xr:uid="{00000000-0005-0000-0000-0000A5060000}"/>
    <cellStyle name="Normal 2 3 3" xfId="1655" xr:uid="{00000000-0005-0000-0000-0000A6060000}"/>
    <cellStyle name="Normal 2 3 3 2" xfId="1656" xr:uid="{00000000-0005-0000-0000-0000A7060000}"/>
    <cellStyle name="Normal 2 3 3 2 2" xfId="1657" xr:uid="{00000000-0005-0000-0000-0000A8060000}"/>
    <cellStyle name="Normal 2 3 3 2 3" xfId="1658" xr:uid="{00000000-0005-0000-0000-0000A9060000}"/>
    <cellStyle name="Normal 2 3 3 2 4" xfId="1659" xr:uid="{00000000-0005-0000-0000-0000AA060000}"/>
    <cellStyle name="Normal 2 3 3 3" xfId="1660" xr:uid="{00000000-0005-0000-0000-0000AB060000}"/>
    <cellStyle name="Normal 2 3 3 4" xfId="1661" xr:uid="{00000000-0005-0000-0000-0000AC060000}"/>
    <cellStyle name="Normal 2 3 3 5" xfId="1662" xr:uid="{00000000-0005-0000-0000-0000AD060000}"/>
    <cellStyle name="Normal 2 3 3 6" xfId="1663" xr:uid="{00000000-0005-0000-0000-0000AE060000}"/>
    <cellStyle name="Normal 2 3 4" xfId="1664" xr:uid="{00000000-0005-0000-0000-0000AF060000}"/>
    <cellStyle name="Normal 2 3 4 2" xfId="1665" xr:uid="{00000000-0005-0000-0000-0000B0060000}"/>
    <cellStyle name="Normal 2 3 4 2 2" xfId="1666" xr:uid="{00000000-0005-0000-0000-0000B1060000}"/>
    <cellStyle name="Normal 2 3 4 2 3" xfId="1667" xr:uid="{00000000-0005-0000-0000-0000B2060000}"/>
    <cellStyle name="Normal 2 3 4 2 4" xfId="1668" xr:uid="{00000000-0005-0000-0000-0000B3060000}"/>
    <cellStyle name="Normal 2 3 4 3" xfId="1669" xr:uid="{00000000-0005-0000-0000-0000B4060000}"/>
    <cellStyle name="Normal 2 3 4 4" xfId="1670" xr:uid="{00000000-0005-0000-0000-0000B5060000}"/>
    <cellStyle name="Normal 2 3 4 5" xfId="1671" xr:uid="{00000000-0005-0000-0000-0000B6060000}"/>
    <cellStyle name="Normal 2 3 5" xfId="1672" xr:uid="{00000000-0005-0000-0000-0000B7060000}"/>
    <cellStyle name="Normal 2 3 5 2" xfId="1673" xr:uid="{00000000-0005-0000-0000-0000B8060000}"/>
    <cellStyle name="Normal 2 3 5 2 2" xfId="1674" xr:uid="{00000000-0005-0000-0000-0000B9060000}"/>
    <cellStyle name="Normal 2 3 5 2 3" xfId="1675" xr:uid="{00000000-0005-0000-0000-0000BA060000}"/>
    <cellStyle name="Normal 2 3 5 2 4" xfId="1676" xr:uid="{00000000-0005-0000-0000-0000BB060000}"/>
    <cellStyle name="Normal 2 3 5 3" xfId="1677" xr:uid="{00000000-0005-0000-0000-0000BC060000}"/>
    <cellStyle name="Normal 2 3 5 4" xfId="1678" xr:uid="{00000000-0005-0000-0000-0000BD060000}"/>
    <cellStyle name="Normal 2 3 5 5" xfId="1679" xr:uid="{00000000-0005-0000-0000-0000BE060000}"/>
    <cellStyle name="Normal 2 3 6" xfId="1680" xr:uid="{00000000-0005-0000-0000-0000BF060000}"/>
    <cellStyle name="Normal 2 3 6 2" xfId="1681" xr:uid="{00000000-0005-0000-0000-0000C0060000}"/>
    <cellStyle name="Normal 2 3 6 2 2" xfId="1682" xr:uid="{00000000-0005-0000-0000-0000C1060000}"/>
    <cellStyle name="Normal 2 3 6 2 3" xfId="1683" xr:uid="{00000000-0005-0000-0000-0000C2060000}"/>
    <cellStyle name="Normal 2 3 6 2 4" xfId="1684" xr:uid="{00000000-0005-0000-0000-0000C3060000}"/>
    <cellStyle name="Normal 2 3 6 3" xfId="1685" xr:uid="{00000000-0005-0000-0000-0000C4060000}"/>
    <cellStyle name="Normal 2 3 6 4" xfId="1686" xr:uid="{00000000-0005-0000-0000-0000C5060000}"/>
    <cellStyle name="Normal 2 3 6 5" xfId="1687" xr:uid="{00000000-0005-0000-0000-0000C6060000}"/>
    <cellStyle name="Normal 2 3 7" xfId="1688" xr:uid="{00000000-0005-0000-0000-0000C7060000}"/>
    <cellStyle name="Normal 2 3 7 2" xfId="1689" xr:uid="{00000000-0005-0000-0000-0000C8060000}"/>
    <cellStyle name="Normal 2 3 7 2 2" xfId="1690" xr:uid="{00000000-0005-0000-0000-0000C9060000}"/>
    <cellStyle name="Normal 2 3 7 2 3" xfId="1691" xr:uid="{00000000-0005-0000-0000-0000CA060000}"/>
    <cellStyle name="Normal 2 3 7 2 4" xfId="1692" xr:uid="{00000000-0005-0000-0000-0000CB060000}"/>
    <cellStyle name="Normal 2 3 7 3" xfId="1693" xr:uid="{00000000-0005-0000-0000-0000CC060000}"/>
    <cellStyle name="Normal 2 3 7 4" xfId="1694" xr:uid="{00000000-0005-0000-0000-0000CD060000}"/>
    <cellStyle name="Normal 2 3 7 5" xfId="1695" xr:uid="{00000000-0005-0000-0000-0000CE060000}"/>
    <cellStyle name="Normal 2 3 8" xfId="1696" xr:uid="{00000000-0005-0000-0000-0000CF060000}"/>
    <cellStyle name="Normal 2 3 8 2" xfId="1697" xr:uid="{00000000-0005-0000-0000-0000D0060000}"/>
    <cellStyle name="Normal 2 3 8 2 2" xfId="1698" xr:uid="{00000000-0005-0000-0000-0000D1060000}"/>
    <cellStyle name="Normal 2 3 8 2 3" xfId="1699" xr:uid="{00000000-0005-0000-0000-0000D2060000}"/>
    <cellStyle name="Normal 2 3 8 2 4" xfId="1700" xr:uid="{00000000-0005-0000-0000-0000D3060000}"/>
    <cellStyle name="Normal 2 3 8 3" xfId="1701" xr:uid="{00000000-0005-0000-0000-0000D4060000}"/>
    <cellStyle name="Normal 2 3 8 4" xfId="1702" xr:uid="{00000000-0005-0000-0000-0000D5060000}"/>
    <cellStyle name="Normal 2 3 8 5" xfId="1703" xr:uid="{00000000-0005-0000-0000-0000D6060000}"/>
    <cellStyle name="Normal 2 3 9" xfId="1704" xr:uid="{00000000-0005-0000-0000-0000D7060000}"/>
    <cellStyle name="Normal 2 3 9 2" xfId="1705" xr:uid="{00000000-0005-0000-0000-0000D8060000}"/>
    <cellStyle name="Normal 2 3 9 2 2" xfId="1706" xr:uid="{00000000-0005-0000-0000-0000D9060000}"/>
    <cellStyle name="Normal 2 3 9 2 3" xfId="1707" xr:uid="{00000000-0005-0000-0000-0000DA060000}"/>
    <cellStyle name="Normal 2 3 9 2 4" xfId="1708" xr:uid="{00000000-0005-0000-0000-0000DB060000}"/>
    <cellStyle name="Normal 2 3 9 3" xfId="1709" xr:uid="{00000000-0005-0000-0000-0000DC060000}"/>
    <cellStyle name="Normal 2 3 9 4" xfId="1710" xr:uid="{00000000-0005-0000-0000-0000DD060000}"/>
    <cellStyle name="Normal 2 3 9 5" xfId="1711" xr:uid="{00000000-0005-0000-0000-0000DE060000}"/>
    <cellStyle name="Normal 2 4" xfId="1712" xr:uid="{00000000-0005-0000-0000-0000DF060000}"/>
    <cellStyle name="Normal 2 4 10" xfId="1713" xr:uid="{00000000-0005-0000-0000-0000E0060000}"/>
    <cellStyle name="Normal 2 4 10 2" xfId="1714" xr:uid="{00000000-0005-0000-0000-0000E1060000}"/>
    <cellStyle name="Normal 2 4 10 2 2" xfId="1715" xr:uid="{00000000-0005-0000-0000-0000E2060000}"/>
    <cellStyle name="Normal 2 4 10 2 3" xfId="1716" xr:uid="{00000000-0005-0000-0000-0000E3060000}"/>
    <cellStyle name="Normal 2 4 10 2 4" xfId="1717" xr:uid="{00000000-0005-0000-0000-0000E4060000}"/>
    <cellStyle name="Normal 2 4 10 3" xfId="1718" xr:uid="{00000000-0005-0000-0000-0000E5060000}"/>
    <cellStyle name="Normal 2 4 10 4" xfId="1719" xr:uid="{00000000-0005-0000-0000-0000E6060000}"/>
    <cellStyle name="Normal 2 4 10 5" xfId="1720" xr:uid="{00000000-0005-0000-0000-0000E7060000}"/>
    <cellStyle name="Normal 2 4 11" xfId="1721" xr:uid="{00000000-0005-0000-0000-0000E8060000}"/>
    <cellStyle name="Normal 2 4 11 2" xfId="1722" xr:uid="{00000000-0005-0000-0000-0000E9060000}"/>
    <cellStyle name="Normal 2 4 11 2 2" xfId="1723" xr:uid="{00000000-0005-0000-0000-0000EA060000}"/>
    <cellStyle name="Normal 2 4 11 2 3" xfId="1724" xr:uid="{00000000-0005-0000-0000-0000EB060000}"/>
    <cellStyle name="Normal 2 4 11 2 4" xfId="1725" xr:uid="{00000000-0005-0000-0000-0000EC060000}"/>
    <cellStyle name="Normal 2 4 11 3" xfId="1726" xr:uid="{00000000-0005-0000-0000-0000ED060000}"/>
    <cellStyle name="Normal 2 4 11 4" xfId="1727" xr:uid="{00000000-0005-0000-0000-0000EE060000}"/>
    <cellStyle name="Normal 2 4 11 5" xfId="1728" xr:uid="{00000000-0005-0000-0000-0000EF060000}"/>
    <cellStyle name="Normal 2 4 12" xfId="1729" xr:uid="{00000000-0005-0000-0000-0000F0060000}"/>
    <cellStyle name="Normal 2 4 12 2" xfId="1730" xr:uid="{00000000-0005-0000-0000-0000F1060000}"/>
    <cellStyle name="Normal 2 4 12 2 2" xfId="1731" xr:uid="{00000000-0005-0000-0000-0000F2060000}"/>
    <cellStyle name="Normal 2 4 12 2 3" xfId="1732" xr:uid="{00000000-0005-0000-0000-0000F3060000}"/>
    <cellStyle name="Normal 2 4 12 2 4" xfId="1733" xr:uid="{00000000-0005-0000-0000-0000F4060000}"/>
    <cellStyle name="Normal 2 4 12 3" xfId="1734" xr:uid="{00000000-0005-0000-0000-0000F5060000}"/>
    <cellStyle name="Normal 2 4 12 4" xfId="1735" xr:uid="{00000000-0005-0000-0000-0000F6060000}"/>
    <cellStyle name="Normal 2 4 12 5" xfId="1736" xr:uid="{00000000-0005-0000-0000-0000F7060000}"/>
    <cellStyle name="Normal 2 4 13" xfId="1737" xr:uid="{00000000-0005-0000-0000-0000F8060000}"/>
    <cellStyle name="Normal 2 4 13 2" xfId="1738" xr:uid="{00000000-0005-0000-0000-0000F9060000}"/>
    <cellStyle name="Normal 2 4 13 2 2" xfId="1739" xr:uid="{00000000-0005-0000-0000-0000FA060000}"/>
    <cellStyle name="Normal 2 4 13 2 3" xfId="1740" xr:uid="{00000000-0005-0000-0000-0000FB060000}"/>
    <cellStyle name="Normal 2 4 13 2 4" xfId="1741" xr:uid="{00000000-0005-0000-0000-0000FC060000}"/>
    <cellStyle name="Normal 2 4 13 3" xfId="1742" xr:uid="{00000000-0005-0000-0000-0000FD060000}"/>
    <cellStyle name="Normal 2 4 13 4" xfId="1743" xr:uid="{00000000-0005-0000-0000-0000FE060000}"/>
    <cellStyle name="Normal 2 4 13 5" xfId="1744" xr:uid="{00000000-0005-0000-0000-0000FF060000}"/>
    <cellStyle name="Normal 2 4 14" xfId="1745" xr:uid="{00000000-0005-0000-0000-000000070000}"/>
    <cellStyle name="Normal 2 4 15" xfId="1746" xr:uid="{00000000-0005-0000-0000-000001070000}"/>
    <cellStyle name="Normal 2 4 2" xfId="1747" xr:uid="{00000000-0005-0000-0000-000002070000}"/>
    <cellStyle name="Normal 2 4 2 2" xfId="1748" xr:uid="{00000000-0005-0000-0000-000003070000}"/>
    <cellStyle name="Normal 2 4 2 2 2" xfId="1749" xr:uid="{00000000-0005-0000-0000-000004070000}"/>
    <cellStyle name="Normal 2 4 2 2 3" xfId="1750" xr:uid="{00000000-0005-0000-0000-000005070000}"/>
    <cellStyle name="Normal 2 4 2 2 4" xfId="1751" xr:uid="{00000000-0005-0000-0000-000006070000}"/>
    <cellStyle name="Normal 2 4 2 3" xfId="1752" xr:uid="{00000000-0005-0000-0000-000007070000}"/>
    <cellStyle name="Normal 2 4 2 4" xfId="1753" xr:uid="{00000000-0005-0000-0000-000008070000}"/>
    <cellStyle name="Normal 2 4 2 5" xfId="1754" xr:uid="{00000000-0005-0000-0000-000009070000}"/>
    <cellStyle name="Normal 2 4 3" xfId="1755" xr:uid="{00000000-0005-0000-0000-00000A070000}"/>
    <cellStyle name="Normal 2 4 3 2" xfId="1756" xr:uid="{00000000-0005-0000-0000-00000B070000}"/>
    <cellStyle name="Normal 2 4 3 2 2" xfId="1757" xr:uid="{00000000-0005-0000-0000-00000C070000}"/>
    <cellStyle name="Normal 2 4 3 2 3" xfId="1758" xr:uid="{00000000-0005-0000-0000-00000D070000}"/>
    <cellStyle name="Normal 2 4 3 2 4" xfId="1759" xr:uid="{00000000-0005-0000-0000-00000E070000}"/>
    <cellStyle name="Normal 2 4 3 3" xfId="1760" xr:uid="{00000000-0005-0000-0000-00000F070000}"/>
    <cellStyle name="Normal 2 4 3 4" xfId="1761" xr:uid="{00000000-0005-0000-0000-000010070000}"/>
    <cellStyle name="Normal 2 4 3 5" xfId="1762" xr:uid="{00000000-0005-0000-0000-000011070000}"/>
    <cellStyle name="Normal 2 4 4" xfId="1763" xr:uid="{00000000-0005-0000-0000-000012070000}"/>
    <cellStyle name="Normal 2 4 4 2" xfId="1764" xr:uid="{00000000-0005-0000-0000-000013070000}"/>
    <cellStyle name="Normal 2 4 4 2 2" xfId="1765" xr:uid="{00000000-0005-0000-0000-000014070000}"/>
    <cellStyle name="Normal 2 4 4 2 3" xfId="1766" xr:uid="{00000000-0005-0000-0000-000015070000}"/>
    <cellStyle name="Normal 2 4 4 2 4" xfId="1767" xr:uid="{00000000-0005-0000-0000-000016070000}"/>
    <cellStyle name="Normal 2 4 4 3" xfId="1768" xr:uid="{00000000-0005-0000-0000-000017070000}"/>
    <cellStyle name="Normal 2 4 4 4" xfId="1769" xr:uid="{00000000-0005-0000-0000-000018070000}"/>
    <cellStyle name="Normal 2 4 4 5" xfId="1770" xr:uid="{00000000-0005-0000-0000-000019070000}"/>
    <cellStyle name="Normal 2 4 5" xfId="1771" xr:uid="{00000000-0005-0000-0000-00001A070000}"/>
    <cellStyle name="Normal 2 4 5 2" xfId="1772" xr:uid="{00000000-0005-0000-0000-00001B070000}"/>
    <cellStyle name="Normal 2 4 5 2 2" xfId="1773" xr:uid="{00000000-0005-0000-0000-00001C070000}"/>
    <cellStyle name="Normal 2 4 5 2 3" xfId="1774" xr:uid="{00000000-0005-0000-0000-00001D070000}"/>
    <cellStyle name="Normal 2 4 5 2 4" xfId="1775" xr:uid="{00000000-0005-0000-0000-00001E070000}"/>
    <cellStyle name="Normal 2 4 5 3" xfId="1776" xr:uid="{00000000-0005-0000-0000-00001F070000}"/>
    <cellStyle name="Normal 2 4 5 4" xfId="1777" xr:uid="{00000000-0005-0000-0000-000020070000}"/>
    <cellStyle name="Normal 2 4 5 5" xfId="1778" xr:uid="{00000000-0005-0000-0000-000021070000}"/>
    <cellStyle name="Normal 2 4 6" xfId="1779" xr:uid="{00000000-0005-0000-0000-000022070000}"/>
    <cellStyle name="Normal 2 4 6 2" xfId="1780" xr:uid="{00000000-0005-0000-0000-000023070000}"/>
    <cellStyle name="Normal 2 4 6 2 2" xfId="1781" xr:uid="{00000000-0005-0000-0000-000024070000}"/>
    <cellStyle name="Normal 2 4 6 2 3" xfId="1782" xr:uid="{00000000-0005-0000-0000-000025070000}"/>
    <cellStyle name="Normal 2 4 6 2 4" xfId="1783" xr:uid="{00000000-0005-0000-0000-000026070000}"/>
    <cellStyle name="Normal 2 4 6 3" xfId="1784" xr:uid="{00000000-0005-0000-0000-000027070000}"/>
    <cellStyle name="Normal 2 4 6 4" xfId="1785" xr:uid="{00000000-0005-0000-0000-000028070000}"/>
    <cellStyle name="Normal 2 4 6 5" xfId="1786" xr:uid="{00000000-0005-0000-0000-000029070000}"/>
    <cellStyle name="Normal 2 4 7" xfId="1787" xr:uid="{00000000-0005-0000-0000-00002A070000}"/>
    <cellStyle name="Normal 2 4 7 2" xfId="1788" xr:uid="{00000000-0005-0000-0000-00002B070000}"/>
    <cellStyle name="Normal 2 4 7 2 2" xfId="1789" xr:uid="{00000000-0005-0000-0000-00002C070000}"/>
    <cellStyle name="Normal 2 4 7 2 3" xfId="1790" xr:uid="{00000000-0005-0000-0000-00002D070000}"/>
    <cellStyle name="Normal 2 4 7 2 4" xfId="1791" xr:uid="{00000000-0005-0000-0000-00002E070000}"/>
    <cellStyle name="Normal 2 4 7 3" xfId="1792" xr:uid="{00000000-0005-0000-0000-00002F070000}"/>
    <cellStyle name="Normal 2 4 7 4" xfId="1793" xr:uid="{00000000-0005-0000-0000-000030070000}"/>
    <cellStyle name="Normal 2 4 7 5" xfId="1794" xr:uid="{00000000-0005-0000-0000-000031070000}"/>
    <cellStyle name="Normal 2 4 8" xfId="1795" xr:uid="{00000000-0005-0000-0000-000032070000}"/>
    <cellStyle name="Normal 2 4 8 2" xfId="1796" xr:uid="{00000000-0005-0000-0000-000033070000}"/>
    <cellStyle name="Normal 2 4 8 2 2" xfId="1797" xr:uid="{00000000-0005-0000-0000-000034070000}"/>
    <cellStyle name="Normal 2 4 8 2 3" xfId="1798" xr:uid="{00000000-0005-0000-0000-000035070000}"/>
    <cellStyle name="Normal 2 4 8 2 4" xfId="1799" xr:uid="{00000000-0005-0000-0000-000036070000}"/>
    <cellStyle name="Normal 2 4 8 3" xfId="1800" xr:uid="{00000000-0005-0000-0000-000037070000}"/>
    <cellStyle name="Normal 2 4 8 4" xfId="1801" xr:uid="{00000000-0005-0000-0000-000038070000}"/>
    <cellStyle name="Normal 2 4 8 5" xfId="1802" xr:uid="{00000000-0005-0000-0000-000039070000}"/>
    <cellStyle name="Normal 2 4 9" xfId="1803" xr:uid="{00000000-0005-0000-0000-00003A070000}"/>
    <cellStyle name="Normal 2 4 9 2" xfId="1804" xr:uid="{00000000-0005-0000-0000-00003B070000}"/>
    <cellStyle name="Normal 2 4 9 2 2" xfId="1805" xr:uid="{00000000-0005-0000-0000-00003C070000}"/>
    <cellStyle name="Normal 2 4 9 2 3" xfId="1806" xr:uid="{00000000-0005-0000-0000-00003D070000}"/>
    <cellStyle name="Normal 2 4 9 2 4" xfId="1807" xr:uid="{00000000-0005-0000-0000-00003E070000}"/>
    <cellStyle name="Normal 2 4 9 3" xfId="1808" xr:uid="{00000000-0005-0000-0000-00003F070000}"/>
    <cellStyle name="Normal 2 4 9 4" xfId="1809" xr:uid="{00000000-0005-0000-0000-000040070000}"/>
    <cellStyle name="Normal 2 4 9 5" xfId="1810" xr:uid="{00000000-0005-0000-0000-000041070000}"/>
    <cellStyle name="Normal 2 5" xfId="1811" xr:uid="{00000000-0005-0000-0000-000042070000}"/>
    <cellStyle name="Normal 2 5 2" xfId="1812" xr:uid="{00000000-0005-0000-0000-000043070000}"/>
    <cellStyle name="Normal 2 5 3" xfId="1813" xr:uid="{00000000-0005-0000-0000-000044070000}"/>
    <cellStyle name="Normal 2 6" xfId="1814" xr:uid="{00000000-0005-0000-0000-000045070000}"/>
    <cellStyle name="Normal 2 6 2" xfId="1815" xr:uid="{00000000-0005-0000-0000-000046070000}"/>
    <cellStyle name="Normal 2 6 3" xfId="1816" xr:uid="{00000000-0005-0000-0000-000047070000}"/>
    <cellStyle name="Normal 2 7" xfId="1817" xr:uid="{00000000-0005-0000-0000-000048070000}"/>
    <cellStyle name="Normal 2 7 2" xfId="1818" xr:uid="{00000000-0005-0000-0000-000049070000}"/>
    <cellStyle name="Normal 2 7 3" xfId="1819" xr:uid="{00000000-0005-0000-0000-00004A070000}"/>
    <cellStyle name="Normal 2 8" xfId="1820" xr:uid="{00000000-0005-0000-0000-00004B070000}"/>
    <cellStyle name="Normal 2 8 2" xfId="1821" xr:uid="{00000000-0005-0000-0000-00004C070000}"/>
    <cellStyle name="Normal 2 8 3" xfId="1822" xr:uid="{00000000-0005-0000-0000-00004D070000}"/>
    <cellStyle name="Normal 2 9" xfId="1823" xr:uid="{00000000-0005-0000-0000-00004E070000}"/>
    <cellStyle name="Normal 2 9 2" xfId="1824" xr:uid="{00000000-0005-0000-0000-00004F070000}"/>
    <cellStyle name="Normal 2_OTHsectors" xfId="1825" xr:uid="{00000000-0005-0000-0000-000050070000}"/>
    <cellStyle name="Normal 20" xfId="1826" xr:uid="{00000000-0005-0000-0000-000051070000}"/>
    <cellStyle name="Normal 21" xfId="1827" xr:uid="{00000000-0005-0000-0000-000052070000}"/>
    <cellStyle name="Normal 21 2" xfId="1828" xr:uid="{00000000-0005-0000-0000-000053070000}"/>
    <cellStyle name="Normal 26" xfId="1829" xr:uid="{00000000-0005-0000-0000-000054070000}"/>
    <cellStyle name="Normal 26 2" xfId="1830" xr:uid="{00000000-0005-0000-0000-000055070000}"/>
    <cellStyle name="Normal 3" xfId="1831" xr:uid="{00000000-0005-0000-0000-000056070000}"/>
    <cellStyle name="Normal 3 10" xfId="1832" xr:uid="{00000000-0005-0000-0000-000057070000}"/>
    <cellStyle name="Normal 3 10 2" xfId="1833" xr:uid="{00000000-0005-0000-0000-000058070000}"/>
    <cellStyle name="Normal 3 11" xfId="1834" xr:uid="{00000000-0005-0000-0000-000059070000}"/>
    <cellStyle name="Normal 3 11 2" xfId="1835" xr:uid="{00000000-0005-0000-0000-00005A070000}"/>
    <cellStyle name="Normal 3 12" xfId="1836" xr:uid="{00000000-0005-0000-0000-00005B070000}"/>
    <cellStyle name="Normal 3 12 2" xfId="1837" xr:uid="{00000000-0005-0000-0000-00005C070000}"/>
    <cellStyle name="Normal 3 13" xfId="1838" xr:uid="{00000000-0005-0000-0000-00005D070000}"/>
    <cellStyle name="Normal 3 13 2" xfId="1839" xr:uid="{00000000-0005-0000-0000-00005E070000}"/>
    <cellStyle name="Normal 3 14" xfId="1840" xr:uid="{00000000-0005-0000-0000-00005F070000}"/>
    <cellStyle name="Normal 3 14 2" xfId="1841" xr:uid="{00000000-0005-0000-0000-000060070000}"/>
    <cellStyle name="Normal 3 14 3" xfId="1842" xr:uid="{00000000-0005-0000-0000-000061070000}"/>
    <cellStyle name="Normal 3 14 4" xfId="1843" xr:uid="{00000000-0005-0000-0000-000062070000}"/>
    <cellStyle name="Normal 3 15" xfId="1844" xr:uid="{00000000-0005-0000-0000-000063070000}"/>
    <cellStyle name="Normal 3 16" xfId="1845" xr:uid="{00000000-0005-0000-0000-000064070000}"/>
    <cellStyle name="Normal 3 17" xfId="1846" xr:uid="{00000000-0005-0000-0000-000065070000}"/>
    <cellStyle name="Normal 3 18" xfId="1847" xr:uid="{00000000-0005-0000-0000-000066070000}"/>
    <cellStyle name="Normal 3 2" xfId="1848" xr:uid="{00000000-0005-0000-0000-000067070000}"/>
    <cellStyle name="Normal 3 2 10" xfId="1849" xr:uid="{00000000-0005-0000-0000-000068070000}"/>
    <cellStyle name="Normal 3 2 2" xfId="1850" xr:uid="{00000000-0005-0000-0000-000069070000}"/>
    <cellStyle name="Normal 3 2 2 2" xfId="1851" xr:uid="{00000000-0005-0000-0000-00006A070000}"/>
    <cellStyle name="Normal 3 2 2 3" xfId="1852" xr:uid="{00000000-0005-0000-0000-00006B070000}"/>
    <cellStyle name="Normal 3 2 3" xfId="1853" xr:uid="{00000000-0005-0000-0000-00006C070000}"/>
    <cellStyle name="Normal 3 2 3 2" xfId="1854" xr:uid="{00000000-0005-0000-0000-00006D070000}"/>
    <cellStyle name="Normal 3 2 4" xfId="1855" xr:uid="{00000000-0005-0000-0000-00006E070000}"/>
    <cellStyle name="Normal 3 2 4 2" xfId="1856" xr:uid="{00000000-0005-0000-0000-00006F070000}"/>
    <cellStyle name="Normal 3 2 5" xfId="1857" xr:uid="{00000000-0005-0000-0000-000070070000}"/>
    <cellStyle name="Normal 3 2 5 2" xfId="1858" xr:uid="{00000000-0005-0000-0000-000071070000}"/>
    <cellStyle name="Normal 3 2 6" xfId="1859" xr:uid="{00000000-0005-0000-0000-000072070000}"/>
    <cellStyle name="Normal 3 2 6 2" xfId="1860" xr:uid="{00000000-0005-0000-0000-000073070000}"/>
    <cellStyle name="Normal 3 2 7" xfId="1861" xr:uid="{00000000-0005-0000-0000-000074070000}"/>
    <cellStyle name="Normal 3 2 7 2" xfId="1862" xr:uid="{00000000-0005-0000-0000-000075070000}"/>
    <cellStyle name="Normal 3 2 8" xfId="1863" xr:uid="{00000000-0005-0000-0000-000076070000}"/>
    <cellStyle name="Normal 3 2 8 2" xfId="1864" xr:uid="{00000000-0005-0000-0000-000077070000}"/>
    <cellStyle name="Normal 3 2 9" xfId="1865" xr:uid="{00000000-0005-0000-0000-000078070000}"/>
    <cellStyle name="Normal 3 3" xfId="1866" xr:uid="{00000000-0005-0000-0000-000079070000}"/>
    <cellStyle name="Normal 3 3 10" xfId="1867" xr:uid="{00000000-0005-0000-0000-00007A070000}"/>
    <cellStyle name="Normal 3 3 2" xfId="1868" xr:uid="{00000000-0005-0000-0000-00007B070000}"/>
    <cellStyle name="Normal 3 3 2 2" xfId="1869" xr:uid="{00000000-0005-0000-0000-00007C070000}"/>
    <cellStyle name="Normal 3 3 3" xfId="1870" xr:uid="{00000000-0005-0000-0000-00007D070000}"/>
    <cellStyle name="Normal 3 3 3 2" xfId="1871" xr:uid="{00000000-0005-0000-0000-00007E070000}"/>
    <cellStyle name="Normal 3 3 4" xfId="1872" xr:uid="{00000000-0005-0000-0000-00007F070000}"/>
    <cellStyle name="Normal 3 3 4 2" xfId="1873" xr:uid="{00000000-0005-0000-0000-000080070000}"/>
    <cellStyle name="Normal 3 3 5" xfId="1874" xr:uid="{00000000-0005-0000-0000-000081070000}"/>
    <cellStyle name="Normal 3 3 5 2" xfId="1875" xr:uid="{00000000-0005-0000-0000-000082070000}"/>
    <cellStyle name="Normal 3 3 6" xfId="1876" xr:uid="{00000000-0005-0000-0000-000083070000}"/>
    <cellStyle name="Normal 3 3 6 2" xfId="1877" xr:uid="{00000000-0005-0000-0000-000084070000}"/>
    <cellStyle name="Normal 3 3 7" xfId="1878" xr:uid="{00000000-0005-0000-0000-000085070000}"/>
    <cellStyle name="Normal 3 3 7 2" xfId="1879" xr:uid="{00000000-0005-0000-0000-000086070000}"/>
    <cellStyle name="Normal 3 3 8" xfId="1880" xr:uid="{00000000-0005-0000-0000-000087070000}"/>
    <cellStyle name="Normal 3 3 8 2" xfId="1881" xr:uid="{00000000-0005-0000-0000-000088070000}"/>
    <cellStyle name="Normal 3 3 9" xfId="1882" xr:uid="{00000000-0005-0000-0000-000089070000}"/>
    <cellStyle name="Normal 3 4" xfId="1883" xr:uid="{00000000-0005-0000-0000-00008A070000}"/>
    <cellStyle name="Normal 3 4 10" xfId="1884" xr:uid="{00000000-0005-0000-0000-00008B070000}"/>
    <cellStyle name="Normal 3 4 2" xfId="1885" xr:uid="{00000000-0005-0000-0000-00008C070000}"/>
    <cellStyle name="Normal 3 4 2 2" xfId="1886" xr:uid="{00000000-0005-0000-0000-00008D070000}"/>
    <cellStyle name="Normal 3 4 2 3" xfId="1887" xr:uid="{00000000-0005-0000-0000-00008E070000}"/>
    <cellStyle name="Normal 3 4 3" xfId="1888" xr:uid="{00000000-0005-0000-0000-00008F070000}"/>
    <cellStyle name="Normal 3 4 3 2" xfId="1889" xr:uid="{00000000-0005-0000-0000-000090070000}"/>
    <cellStyle name="Normal 3 4 4" xfId="1890" xr:uid="{00000000-0005-0000-0000-000091070000}"/>
    <cellStyle name="Normal 3 4 4 2" xfId="1891" xr:uid="{00000000-0005-0000-0000-000092070000}"/>
    <cellStyle name="Normal 3 4 5" xfId="1892" xr:uid="{00000000-0005-0000-0000-000093070000}"/>
    <cellStyle name="Normal 3 4 5 2" xfId="1893" xr:uid="{00000000-0005-0000-0000-000094070000}"/>
    <cellStyle name="Normal 3 4 6" xfId="1894" xr:uid="{00000000-0005-0000-0000-000095070000}"/>
    <cellStyle name="Normal 3 4 6 2" xfId="1895" xr:uid="{00000000-0005-0000-0000-000096070000}"/>
    <cellStyle name="Normal 3 4 7" xfId="1896" xr:uid="{00000000-0005-0000-0000-000097070000}"/>
    <cellStyle name="Normal 3 4 7 2" xfId="1897" xr:uid="{00000000-0005-0000-0000-000098070000}"/>
    <cellStyle name="Normal 3 4 8" xfId="1898" xr:uid="{00000000-0005-0000-0000-000099070000}"/>
    <cellStyle name="Normal 3 4 8 2" xfId="1899" xr:uid="{00000000-0005-0000-0000-00009A070000}"/>
    <cellStyle name="Normal 3 4 9" xfId="1900" xr:uid="{00000000-0005-0000-0000-00009B070000}"/>
    <cellStyle name="Normal 3 5" xfId="1901" xr:uid="{00000000-0005-0000-0000-00009C070000}"/>
    <cellStyle name="Normal 3 5 10" xfId="1902" xr:uid="{00000000-0005-0000-0000-00009D070000}"/>
    <cellStyle name="Normal 3 5 2" xfId="1903" xr:uid="{00000000-0005-0000-0000-00009E070000}"/>
    <cellStyle name="Normal 3 5 2 2" xfId="1904" xr:uid="{00000000-0005-0000-0000-00009F070000}"/>
    <cellStyle name="Normal 3 5 3" xfId="1905" xr:uid="{00000000-0005-0000-0000-0000A0070000}"/>
    <cellStyle name="Normal 3 5 3 2" xfId="1906" xr:uid="{00000000-0005-0000-0000-0000A1070000}"/>
    <cellStyle name="Normal 3 5 4" xfId="1907" xr:uid="{00000000-0005-0000-0000-0000A2070000}"/>
    <cellStyle name="Normal 3 5 4 2" xfId="1908" xr:uid="{00000000-0005-0000-0000-0000A3070000}"/>
    <cellStyle name="Normal 3 5 5" xfId="1909" xr:uid="{00000000-0005-0000-0000-0000A4070000}"/>
    <cellStyle name="Normal 3 5 5 2" xfId="1910" xr:uid="{00000000-0005-0000-0000-0000A5070000}"/>
    <cellStyle name="Normal 3 5 6" xfId="1911" xr:uid="{00000000-0005-0000-0000-0000A6070000}"/>
    <cellStyle name="Normal 3 5 6 2" xfId="1912" xr:uid="{00000000-0005-0000-0000-0000A7070000}"/>
    <cellStyle name="Normal 3 5 7" xfId="1913" xr:uid="{00000000-0005-0000-0000-0000A8070000}"/>
    <cellStyle name="Normal 3 5 7 2" xfId="1914" xr:uid="{00000000-0005-0000-0000-0000A9070000}"/>
    <cellStyle name="Normal 3 5 8" xfId="1915" xr:uid="{00000000-0005-0000-0000-0000AA070000}"/>
    <cellStyle name="Normal 3 5 8 2" xfId="1916" xr:uid="{00000000-0005-0000-0000-0000AB070000}"/>
    <cellStyle name="Normal 3 5 9" xfId="1917" xr:uid="{00000000-0005-0000-0000-0000AC070000}"/>
    <cellStyle name="Normal 3 6" xfId="1918" xr:uid="{00000000-0005-0000-0000-0000AD070000}"/>
    <cellStyle name="Normal 3 6 2" xfId="1919" xr:uid="{00000000-0005-0000-0000-0000AE070000}"/>
    <cellStyle name="Normal 3 6 3" xfId="1920" xr:uid="{00000000-0005-0000-0000-0000AF070000}"/>
    <cellStyle name="Normal 3 7" xfId="1921" xr:uid="{00000000-0005-0000-0000-0000B0070000}"/>
    <cellStyle name="Normal 3 7 2" xfId="1922" xr:uid="{00000000-0005-0000-0000-0000B1070000}"/>
    <cellStyle name="Normal 3 8" xfId="1923" xr:uid="{00000000-0005-0000-0000-0000B2070000}"/>
    <cellStyle name="Normal 3 8 2" xfId="1924" xr:uid="{00000000-0005-0000-0000-0000B3070000}"/>
    <cellStyle name="Normal 3 9" xfId="1925" xr:uid="{00000000-0005-0000-0000-0000B4070000}"/>
    <cellStyle name="Normal 3 9 2" xfId="1926" xr:uid="{00000000-0005-0000-0000-0000B5070000}"/>
    <cellStyle name="Normal 4" xfId="1927" xr:uid="{00000000-0005-0000-0000-0000B6070000}"/>
    <cellStyle name="Normal 4 10" xfId="1928" xr:uid="{00000000-0005-0000-0000-0000B7070000}"/>
    <cellStyle name="Normal 4 10 2" xfId="1929" xr:uid="{00000000-0005-0000-0000-0000B8070000}"/>
    <cellStyle name="Normal 4 11" xfId="1930" xr:uid="{00000000-0005-0000-0000-0000B9070000}"/>
    <cellStyle name="Normal 4 11 2" xfId="1931" xr:uid="{00000000-0005-0000-0000-0000BA070000}"/>
    <cellStyle name="Normal 4 12" xfId="1932" xr:uid="{00000000-0005-0000-0000-0000BB070000}"/>
    <cellStyle name="Normal 4 12 2" xfId="1933" xr:uid="{00000000-0005-0000-0000-0000BC070000}"/>
    <cellStyle name="Normal 4 13" xfId="1934" xr:uid="{00000000-0005-0000-0000-0000BD070000}"/>
    <cellStyle name="Normal 4 14" xfId="1935" xr:uid="{00000000-0005-0000-0000-0000BE070000}"/>
    <cellStyle name="Normal 4 15" xfId="1936" xr:uid="{00000000-0005-0000-0000-0000BF070000}"/>
    <cellStyle name="Normal 4 2" xfId="1937" xr:uid="{00000000-0005-0000-0000-0000C0070000}"/>
    <cellStyle name="Normal 4 2 10" xfId="1938" xr:uid="{00000000-0005-0000-0000-0000C1070000}"/>
    <cellStyle name="Normal 4 2 2" xfId="1939" xr:uid="{00000000-0005-0000-0000-0000C2070000}"/>
    <cellStyle name="Normal 4 2 2 10" xfId="1940" xr:uid="{00000000-0005-0000-0000-0000C3070000}"/>
    <cellStyle name="Normal 4 2 2 10 2" xfId="1941" xr:uid="{00000000-0005-0000-0000-0000C4070000}"/>
    <cellStyle name="Normal 4 2 2 10 2 2" xfId="1942" xr:uid="{00000000-0005-0000-0000-0000C5070000}"/>
    <cellStyle name="Normal 4 2 2 10 2 3" xfId="1943" xr:uid="{00000000-0005-0000-0000-0000C6070000}"/>
    <cellStyle name="Normal 4 2 2 10 2 4" xfId="1944" xr:uid="{00000000-0005-0000-0000-0000C7070000}"/>
    <cellStyle name="Normal 4 2 2 10 3" xfId="1945" xr:uid="{00000000-0005-0000-0000-0000C8070000}"/>
    <cellStyle name="Normal 4 2 2 10 4" xfId="1946" xr:uid="{00000000-0005-0000-0000-0000C9070000}"/>
    <cellStyle name="Normal 4 2 2 10 5" xfId="1947" xr:uid="{00000000-0005-0000-0000-0000CA070000}"/>
    <cellStyle name="Normal 4 2 2 11" xfId="1948" xr:uid="{00000000-0005-0000-0000-0000CB070000}"/>
    <cellStyle name="Normal 4 2 2 11 2" xfId="1949" xr:uid="{00000000-0005-0000-0000-0000CC070000}"/>
    <cellStyle name="Normal 4 2 2 11 2 2" xfId="1950" xr:uid="{00000000-0005-0000-0000-0000CD070000}"/>
    <cellStyle name="Normal 4 2 2 11 2 3" xfId="1951" xr:uid="{00000000-0005-0000-0000-0000CE070000}"/>
    <cellStyle name="Normal 4 2 2 11 2 4" xfId="1952" xr:uid="{00000000-0005-0000-0000-0000CF070000}"/>
    <cellStyle name="Normal 4 2 2 11 3" xfId="1953" xr:uid="{00000000-0005-0000-0000-0000D0070000}"/>
    <cellStyle name="Normal 4 2 2 11 4" xfId="1954" xr:uid="{00000000-0005-0000-0000-0000D1070000}"/>
    <cellStyle name="Normal 4 2 2 11 5" xfId="1955" xr:uid="{00000000-0005-0000-0000-0000D2070000}"/>
    <cellStyle name="Normal 4 2 2 12" xfId="1956" xr:uid="{00000000-0005-0000-0000-0000D3070000}"/>
    <cellStyle name="Normal 4 2 2 12 2" xfId="1957" xr:uid="{00000000-0005-0000-0000-0000D4070000}"/>
    <cellStyle name="Normal 4 2 2 12 2 2" xfId="1958" xr:uid="{00000000-0005-0000-0000-0000D5070000}"/>
    <cellStyle name="Normal 4 2 2 12 2 3" xfId="1959" xr:uid="{00000000-0005-0000-0000-0000D6070000}"/>
    <cellStyle name="Normal 4 2 2 12 2 4" xfId="1960" xr:uid="{00000000-0005-0000-0000-0000D7070000}"/>
    <cellStyle name="Normal 4 2 2 12 3" xfId="1961" xr:uid="{00000000-0005-0000-0000-0000D8070000}"/>
    <cellStyle name="Normal 4 2 2 12 4" xfId="1962" xr:uid="{00000000-0005-0000-0000-0000D9070000}"/>
    <cellStyle name="Normal 4 2 2 12 5" xfId="1963" xr:uid="{00000000-0005-0000-0000-0000DA070000}"/>
    <cellStyle name="Normal 4 2 2 13" xfId="1964" xr:uid="{00000000-0005-0000-0000-0000DB070000}"/>
    <cellStyle name="Normal 4 2 2 13 2" xfId="1965" xr:uid="{00000000-0005-0000-0000-0000DC070000}"/>
    <cellStyle name="Normal 4 2 2 13 2 2" xfId="1966" xr:uid="{00000000-0005-0000-0000-0000DD070000}"/>
    <cellStyle name="Normal 4 2 2 13 2 3" xfId="1967" xr:uid="{00000000-0005-0000-0000-0000DE070000}"/>
    <cellStyle name="Normal 4 2 2 13 2 4" xfId="1968" xr:uid="{00000000-0005-0000-0000-0000DF070000}"/>
    <cellStyle name="Normal 4 2 2 13 3" xfId="1969" xr:uid="{00000000-0005-0000-0000-0000E0070000}"/>
    <cellStyle name="Normal 4 2 2 13 4" xfId="1970" xr:uid="{00000000-0005-0000-0000-0000E1070000}"/>
    <cellStyle name="Normal 4 2 2 13 5" xfId="1971" xr:uid="{00000000-0005-0000-0000-0000E2070000}"/>
    <cellStyle name="Normal 4 2 2 14" xfId="1972" xr:uid="{00000000-0005-0000-0000-0000E3070000}"/>
    <cellStyle name="Normal 4 2 2 2" xfId="1973" xr:uid="{00000000-0005-0000-0000-0000E4070000}"/>
    <cellStyle name="Normal 4 2 2 2 10" xfId="1974" xr:uid="{00000000-0005-0000-0000-0000E5070000}"/>
    <cellStyle name="Normal 4 2 2 2 10 2" xfId="1975" xr:uid="{00000000-0005-0000-0000-0000E6070000}"/>
    <cellStyle name="Normal 4 2 2 2 11" xfId="1976" xr:uid="{00000000-0005-0000-0000-0000E7070000}"/>
    <cellStyle name="Normal 4 2 2 2 11 2" xfId="1977" xr:uid="{00000000-0005-0000-0000-0000E8070000}"/>
    <cellStyle name="Normal 4 2 2 2 12" xfId="1978" xr:uid="{00000000-0005-0000-0000-0000E9070000}"/>
    <cellStyle name="Normal 4 2 2 2 12 2" xfId="1979" xr:uid="{00000000-0005-0000-0000-0000EA070000}"/>
    <cellStyle name="Normal 4 2 2 2 13" xfId="1980" xr:uid="{00000000-0005-0000-0000-0000EB070000}"/>
    <cellStyle name="Normal 4 2 2 2 13 2" xfId="1981" xr:uid="{00000000-0005-0000-0000-0000EC070000}"/>
    <cellStyle name="Normal 4 2 2 2 14" xfId="1982" xr:uid="{00000000-0005-0000-0000-0000ED070000}"/>
    <cellStyle name="Normal 4 2 2 2 14 2" xfId="1983" xr:uid="{00000000-0005-0000-0000-0000EE070000}"/>
    <cellStyle name="Normal 4 2 2 2 14 3" xfId="1984" xr:uid="{00000000-0005-0000-0000-0000EF070000}"/>
    <cellStyle name="Normal 4 2 2 2 14 4" xfId="1985" xr:uid="{00000000-0005-0000-0000-0000F0070000}"/>
    <cellStyle name="Normal 4 2 2 2 15" xfId="1986" xr:uid="{00000000-0005-0000-0000-0000F1070000}"/>
    <cellStyle name="Normal 4 2 2 2 16" xfId="1987" xr:uid="{00000000-0005-0000-0000-0000F2070000}"/>
    <cellStyle name="Normal 4 2 2 2 17" xfId="1988" xr:uid="{00000000-0005-0000-0000-0000F3070000}"/>
    <cellStyle name="Normal 4 2 2 2 2" xfId="1989" xr:uid="{00000000-0005-0000-0000-0000F4070000}"/>
    <cellStyle name="Normal 4 2 2 2 2 2" xfId="1990" xr:uid="{00000000-0005-0000-0000-0000F5070000}"/>
    <cellStyle name="Normal 4 2 2 2 3" xfId="1991" xr:uid="{00000000-0005-0000-0000-0000F6070000}"/>
    <cellStyle name="Normal 4 2 2 2 3 2" xfId="1992" xr:uid="{00000000-0005-0000-0000-0000F7070000}"/>
    <cellStyle name="Normal 4 2 2 2 4" xfId="1993" xr:uid="{00000000-0005-0000-0000-0000F8070000}"/>
    <cellStyle name="Normal 4 2 2 2 4 2" xfId="1994" xr:uid="{00000000-0005-0000-0000-0000F9070000}"/>
    <cellStyle name="Normal 4 2 2 2 5" xfId="1995" xr:uid="{00000000-0005-0000-0000-0000FA070000}"/>
    <cellStyle name="Normal 4 2 2 2 5 2" xfId="1996" xr:uid="{00000000-0005-0000-0000-0000FB070000}"/>
    <cellStyle name="Normal 4 2 2 2 6" xfId="1997" xr:uid="{00000000-0005-0000-0000-0000FC070000}"/>
    <cellStyle name="Normal 4 2 2 2 6 2" xfId="1998" xr:uid="{00000000-0005-0000-0000-0000FD070000}"/>
    <cellStyle name="Normal 4 2 2 2 7" xfId="1999" xr:uid="{00000000-0005-0000-0000-0000FE070000}"/>
    <cellStyle name="Normal 4 2 2 2 7 2" xfId="2000" xr:uid="{00000000-0005-0000-0000-0000FF070000}"/>
    <cellStyle name="Normal 4 2 2 2 8" xfId="2001" xr:uid="{00000000-0005-0000-0000-000000080000}"/>
    <cellStyle name="Normal 4 2 2 2 8 2" xfId="2002" xr:uid="{00000000-0005-0000-0000-000001080000}"/>
    <cellStyle name="Normal 4 2 2 2 9" xfId="2003" xr:uid="{00000000-0005-0000-0000-000002080000}"/>
    <cellStyle name="Normal 4 2 2 2 9 2" xfId="2004" xr:uid="{00000000-0005-0000-0000-000003080000}"/>
    <cellStyle name="Normal 4 2 2 3" xfId="2005" xr:uid="{00000000-0005-0000-0000-000004080000}"/>
    <cellStyle name="Normal 4 2 2 3 2" xfId="2006" xr:uid="{00000000-0005-0000-0000-000005080000}"/>
    <cellStyle name="Normal 4 2 2 3 2 2" xfId="2007" xr:uid="{00000000-0005-0000-0000-000006080000}"/>
    <cellStyle name="Normal 4 2 2 3 2 3" xfId="2008" xr:uid="{00000000-0005-0000-0000-000007080000}"/>
    <cellStyle name="Normal 4 2 2 3 2 4" xfId="2009" xr:uid="{00000000-0005-0000-0000-000008080000}"/>
    <cellStyle name="Normal 4 2 2 3 3" xfId="2010" xr:uid="{00000000-0005-0000-0000-000009080000}"/>
    <cellStyle name="Normal 4 2 2 3 4" xfId="2011" xr:uid="{00000000-0005-0000-0000-00000A080000}"/>
    <cellStyle name="Normal 4 2 2 3 5" xfId="2012" xr:uid="{00000000-0005-0000-0000-00000B080000}"/>
    <cellStyle name="Normal 4 2 2 4" xfId="2013" xr:uid="{00000000-0005-0000-0000-00000C080000}"/>
    <cellStyle name="Normal 4 2 2 4 2" xfId="2014" xr:uid="{00000000-0005-0000-0000-00000D080000}"/>
    <cellStyle name="Normal 4 2 2 4 2 2" xfId="2015" xr:uid="{00000000-0005-0000-0000-00000E080000}"/>
    <cellStyle name="Normal 4 2 2 4 2 3" xfId="2016" xr:uid="{00000000-0005-0000-0000-00000F080000}"/>
    <cellStyle name="Normal 4 2 2 4 2 4" xfId="2017" xr:uid="{00000000-0005-0000-0000-000010080000}"/>
    <cellStyle name="Normal 4 2 2 4 3" xfId="2018" xr:uid="{00000000-0005-0000-0000-000011080000}"/>
    <cellStyle name="Normal 4 2 2 4 4" xfId="2019" xr:uid="{00000000-0005-0000-0000-000012080000}"/>
    <cellStyle name="Normal 4 2 2 4 5" xfId="2020" xr:uid="{00000000-0005-0000-0000-000013080000}"/>
    <cellStyle name="Normal 4 2 2 5" xfId="2021" xr:uid="{00000000-0005-0000-0000-000014080000}"/>
    <cellStyle name="Normal 4 2 2 5 2" xfId="2022" xr:uid="{00000000-0005-0000-0000-000015080000}"/>
    <cellStyle name="Normal 4 2 2 5 2 2" xfId="2023" xr:uid="{00000000-0005-0000-0000-000016080000}"/>
    <cellStyle name="Normal 4 2 2 5 2 3" xfId="2024" xr:uid="{00000000-0005-0000-0000-000017080000}"/>
    <cellStyle name="Normal 4 2 2 5 2 4" xfId="2025" xr:uid="{00000000-0005-0000-0000-000018080000}"/>
    <cellStyle name="Normal 4 2 2 5 3" xfId="2026" xr:uid="{00000000-0005-0000-0000-000019080000}"/>
    <cellStyle name="Normal 4 2 2 5 4" xfId="2027" xr:uid="{00000000-0005-0000-0000-00001A080000}"/>
    <cellStyle name="Normal 4 2 2 5 5" xfId="2028" xr:uid="{00000000-0005-0000-0000-00001B080000}"/>
    <cellStyle name="Normal 4 2 2 6" xfId="2029" xr:uid="{00000000-0005-0000-0000-00001C080000}"/>
    <cellStyle name="Normal 4 2 2 6 2" xfId="2030" xr:uid="{00000000-0005-0000-0000-00001D080000}"/>
    <cellStyle name="Normal 4 2 2 6 2 2" xfId="2031" xr:uid="{00000000-0005-0000-0000-00001E080000}"/>
    <cellStyle name="Normal 4 2 2 6 2 3" xfId="2032" xr:uid="{00000000-0005-0000-0000-00001F080000}"/>
    <cellStyle name="Normal 4 2 2 6 2 4" xfId="2033" xr:uid="{00000000-0005-0000-0000-000020080000}"/>
    <cellStyle name="Normal 4 2 2 6 3" xfId="2034" xr:uid="{00000000-0005-0000-0000-000021080000}"/>
    <cellStyle name="Normal 4 2 2 6 4" xfId="2035" xr:uid="{00000000-0005-0000-0000-000022080000}"/>
    <cellStyle name="Normal 4 2 2 6 5" xfId="2036" xr:uid="{00000000-0005-0000-0000-000023080000}"/>
    <cellStyle name="Normal 4 2 2 7" xfId="2037" xr:uid="{00000000-0005-0000-0000-000024080000}"/>
    <cellStyle name="Normal 4 2 2 7 2" xfId="2038" xr:uid="{00000000-0005-0000-0000-000025080000}"/>
    <cellStyle name="Normal 4 2 2 7 2 2" xfId="2039" xr:uid="{00000000-0005-0000-0000-000026080000}"/>
    <cellStyle name="Normal 4 2 2 7 2 3" xfId="2040" xr:uid="{00000000-0005-0000-0000-000027080000}"/>
    <cellStyle name="Normal 4 2 2 7 2 4" xfId="2041" xr:uid="{00000000-0005-0000-0000-000028080000}"/>
    <cellStyle name="Normal 4 2 2 7 3" xfId="2042" xr:uid="{00000000-0005-0000-0000-000029080000}"/>
    <cellStyle name="Normal 4 2 2 7 4" xfId="2043" xr:uid="{00000000-0005-0000-0000-00002A080000}"/>
    <cellStyle name="Normal 4 2 2 7 5" xfId="2044" xr:uid="{00000000-0005-0000-0000-00002B080000}"/>
    <cellStyle name="Normal 4 2 2 8" xfId="2045" xr:uid="{00000000-0005-0000-0000-00002C080000}"/>
    <cellStyle name="Normal 4 2 2 8 2" xfId="2046" xr:uid="{00000000-0005-0000-0000-00002D080000}"/>
    <cellStyle name="Normal 4 2 2 8 2 2" xfId="2047" xr:uid="{00000000-0005-0000-0000-00002E080000}"/>
    <cellStyle name="Normal 4 2 2 8 2 3" xfId="2048" xr:uid="{00000000-0005-0000-0000-00002F080000}"/>
    <cellStyle name="Normal 4 2 2 8 2 4" xfId="2049" xr:uid="{00000000-0005-0000-0000-000030080000}"/>
    <cellStyle name="Normal 4 2 2 8 3" xfId="2050" xr:uid="{00000000-0005-0000-0000-000031080000}"/>
    <cellStyle name="Normal 4 2 2 8 4" xfId="2051" xr:uid="{00000000-0005-0000-0000-000032080000}"/>
    <cellStyle name="Normal 4 2 2 8 5" xfId="2052" xr:uid="{00000000-0005-0000-0000-000033080000}"/>
    <cellStyle name="Normal 4 2 2 9" xfId="2053" xr:uid="{00000000-0005-0000-0000-000034080000}"/>
    <cellStyle name="Normal 4 2 2 9 2" xfId="2054" xr:uid="{00000000-0005-0000-0000-000035080000}"/>
    <cellStyle name="Normal 4 2 2 9 2 2" xfId="2055" xr:uid="{00000000-0005-0000-0000-000036080000}"/>
    <cellStyle name="Normal 4 2 2 9 2 3" xfId="2056" xr:uid="{00000000-0005-0000-0000-000037080000}"/>
    <cellStyle name="Normal 4 2 2 9 2 4" xfId="2057" xr:uid="{00000000-0005-0000-0000-000038080000}"/>
    <cellStyle name="Normal 4 2 2 9 3" xfId="2058" xr:uid="{00000000-0005-0000-0000-000039080000}"/>
    <cellStyle name="Normal 4 2 2 9 4" xfId="2059" xr:uid="{00000000-0005-0000-0000-00003A080000}"/>
    <cellStyle name="Normal 4 2 2 9 5" xfId="2060" xr:uid="{00000000-0005-0000-0000-00003B080000}"/>
    <cellStyle name="Normal 4 2 3" xfId="2061" xr:uid="{00000000-0005-0000-0000-00003C080000}"/>
    <cellStyle name="Normal 4 2 3 2" xfId="2062" xr:uid="{00000000-0005-0000-0000-00003D080000}"/>
    <cellStyle name="Normal 4 2 4" xfId="2063" xr:uid="{00000000-0005-0000-0000-00003E080000}"/>
    <cellStyle name="Normal 4 2 4 2" xfId="2064" xr:uid="{00000000-0005-0000-0000-00003F080000}"/>
    <cellStyle name="Normal 4 2 5" xfId="2065" xr:uid="{00000000-0005-0000-0000-000040080000}"/>
    <cellStyle name="Normal 4 2 5 2" xfId="2066" xr:uid="{00000000-0005-0000-0000-000041080000}"/>
    <cellStyle name="Normal 4 2 6" xfId="2067" xr:uid="{00000000-0005-0000-0000-000042080000}"/>
    <cellStyle name="Normal 4 2 6 2" xfId="2068" xr:uid="{00000000-0005-0000-0000-000043080000}"/>
    <cellStyle name="Normal 4 2 7" xfId="2069" xr:uid="{00000000-0005-0000-0000-000044080000}"/>
    <cellStyle name="Normal 4 2 7 2" xfId="2070" xr:uid="{00000000-0005-0000-0000-000045080000}"/>
    <cellStyle name="Normal 4 2 8" xfId="2071" xr:uid="{00000000-0005-0000-0000-000046080000}"/>
    <cellStyle name="Normal 4 2 8 2" xfId="2072" xr:uid="{00000000-0005-0000-0000-000047080000}"/>
    <cellStyle name="Normal 4 2 9" xfId="2073" xr:uid="{00000000-0005-0000-0000-000048080000}"/>
    <cellStyle name="Normal 4 3" xfId="2074" xr:uid="{00000000-0005-0000-0000-000049080000}"/>
    <cellStyle name="Normal 4 3 10" xfId="2075" xr:uid="{00000000-0005-0000-0000-00004A080000}"/>
    <cellStyle name="Normal 4 3 2" xfId="2076" xr:uid="{00000000-0005-0000-0000-00004B080000}"/>
    <cellStyle name="Normal 4 3 2 2" xfId="2077" xr:uid="{00000000-0005-0000-0000-00004C080000}"/>
    <cellStyle name="Normal 4 3 3" xfId="2078" xr:uid="{00000000-0005-0000-0000-00004D080000}"/>
    <cellStyle name="Normal 4 3 3 2" xfId="2079" xr:uid="{00000000-0005-0000-0000-00004E080000}"/>
    <cellStyle name="Normal 4 3 4" xfId="2080" xr:uid="{00000000-0005-0000-0000-00004F080000}"/>
    <cellStyle name="Normal 4 3 4 2" xfId="2081" xr:uid="{00000000-0005-0000-0000-000050080000}"/>
    <cellStyle name="Normal 4 3 5" xfId="2082" xr:uid="{00000000-0005-0000-0000-000051080000}"/>
    <cellStyle name="Normal 4 3 5 2" xfId="2083" xr:uid="{00000000-0005-0000-0000-000052080000}"/>
    <cellStyle name="Normal 4 3 6" xfId="2084" xr:uid="{00000000-0005-0000-0000-000053080000}"/>
    <cellStyle name="Normal 4 3 6 2" xfId="2085" xr:uid="{00000000-0005-0000-0000-000054080000}"/>
    <cellStyle name="Normal 4 3 7" xfId="2086" xr:uid="{00000000-0005-0000-0000-000055080000}"/>
    <cellStyle name="Normal 4 3 7 2" xfId="2087" xr:uid="{00000000-0005-0000-0000-000056080000}"/>
    <cellStyle name="Normal 4 3 8" xfId="2088" xr:uid="{00000000-0005-0000-0000-000057080000}"/>
    <cellStyle name="Normal 4 3 8 2" xfId="2089" xr:uid="{00000000-0005-0000-0000-000058080000}"/>
    <cellStyle name="Normal 4 3 9" xfId="2090" xr:uid="{00000000-0005-0000-0000-000059080000}"/>
    <cellStyle name="Normal 4 4" xfId="2091" xr:uid="{00000000-0005-0000-0000-00005A080000}"/>
    <cellStyle name="Normal 4 4 10" xfId="2092" xr:uid="{00000000-0005-0000-0000-00005B080000}"/>
    <cellStyle name="Normal 4 4 2" xfId="2093" xr:uid="{00000000-0005-0000-0000-00005C080000}"/>
    <cellStyle name="Normal 4 4 2 2" xfId="2094" xr:uid="{00000000-0005-0000-0000-00005D080000}"/>
    <cellStyle name="Normal 4 4 3" xfId="2095" xr:uid="{00000000-0005-0000-0000-00005E080000}"/>
    <cellStyle name="Normal 4 4 3 2" xfId="2096" xr:uid="{00000000-0005-0000-0000-00005F080000}"/>
    <cellStyle name="Normal 4 4 4" xfId="2097" xr:uid="{00000000-0005-0000-0000-000060080000}"/>
    <cellStyle name="Normal 4 4 4 2" xfId="2098" xr:uid="{00000000-0005-0000-0000-000061080000}"/>
    <cellStyle name="Normal 4 4 5" xfId="2099" xr:uid="{00000000-0005-0000-0000-000062080000}"/>
    <cellStyle name="Normal 4 4 5 2" xfId="2100" xr:uid="{00000000-0005-0000-0000-000063080000}"/>
    <cellStyle name="Normal 4 4 6" xfId="2101" xr:uid="{00000000-0005-0000-0000-000064080000}"/>
    <cellStyle name="Normal 4 4 6 2" xfId="2102" xr:uid="{00000000-0005-0000-0000-000065080000}"/>
    <cellStyle name="Normal 4 4 7" xfId="2103" xr:uid="{00000000-0005-0000-0000-000066080000}"/>
    <cellStyle name="Normal 4 4 7 2" xfId="2104" xr:uid="{00000000-0005-0000-0000-000067080000}"/>
    <cellStyle name="Normal 4 4 8" xfId="2105" xr:uid="{00000000-0005-0000-0000-000068080000}"/>
    <cellStyle name="Normal 4 4 8 2" xfId="2106" xr:uid="{00000000-0005-0000-0000-000069080000}"/>
    <cellStyle name="Normal 4 4 9" xfId="2107" xr:uid="{00000000-0005-0000-0000-00006A080000}"/>
    <cellStyle name="Normal 4 5" xfId="2108" xr:uid="{00000000-0005-0000-0000-00006B080000}"/>
    <cellStyle name="Normal 4 5 2" xfId="2109" xr:uid="{00000000-0005-0000-0000-00006C080000}"/>
    <cellStyle name="Normal 4 5 2 2" xfId="2110" xr:uid="{00000000-0005-0000-0000-00006D080000}"/>
    <cellStyle name="Normal 4 5 3" xfId="2111" xr:uid="{00000000-0005-0000-0000-00006E080000}"/>
    <cellStyle name="Normal 4 5 3 2" xfId="2112" xr:uid="{00000000-0005-0000-0000-00006F080000}"/>
    <cellStyle name="Normal 4 5 4" xfId="2113" xr:uid="{00000000-0005-0000-0000-000070080000}"/>
    <cellStyle name="Normal 4 5 4 2" xfId="2114" xr:uid="{00000000-0005-0000-0000-000071080000}"/>
    <cellStyle name="Normal 4 5 5" xfId="2115" xr:uid="{00000000-0005-0000-0000-000072080000}"/>
    <cellStyle name="Normal 4 5 5 2" xfId="2116" xr:uid="{00000000-0005-0000-0000-000073080000}"/>
    <cellStyle name="Normal 4 5 6" xfId="2117" xr:uid="{00000000-0005-0000-0000-000074080000}"/>
    <cellStyle name="Normal 4 5 6 2" xfId="2118" xr:uid="{00000000-0005-0000-0000-000075080000}"/>
    <cellStyle name="Normal 4 5 7" xfId="2119" xr:uid="{00000000-0005-0000-0000-000076080000}"/>
    <cellStyle name="Normal 4 5 7 2" xfId="2120" xr:uid="{00000000-0005-0000-0000-000077080000}"/>
    <cellStyle name="Normal 4 5 8" xfId="2121" xr:uid="{00000000-0005-0000-0000-000078080000}"/>
    <cellStyle name="Normal 4 5 8 2" xfId="2122" xr:uid="{00000000-0005-0000-0000-000079080000}"/>
    <cellStyle name="Normal 4 5 9" xfId="2123" xr:uid="{00000000-0005-0000-0000-00007A080000}"/>
    <cellStyle name="Normal 4 6" xfId="2124" xr:uid="{00000000-0005-0000-0000-00007B080000}"/>
    <cellStyle name="Normal 4 6 2" xfId="2125" xr:uid="{00000000-0005-0000-0000-00007C080000}"/>
    <cellStyle name="Normal 4 7" xfId="2126" xr:uid="{00000000-0005-0000-0000-00007D080000}"/>
    <cellStyle name="Normal 4 7 2" xfId="2127" xr:uid="{00000000-0005-0000-0000-00007E080000}"/>
    <cellStyle name="Normal 4 8" xfId="2128" xr:uid="{00000000-0005-0000-0000-00007F080000}"/>
    <cellStyle name="Normal 4 8 2" xfId="2129" xr:uid="{00000000-0005-0000-0000-000080080000}"/>
    <cellStyle name="Normal 4 9" xfId="2130" xr:uid="{00000000-0005-0000-0000-000081080000}"/>
    <cellStyle name="Normal 4 9 2" xfId="2131" xr:uid="{00000000-0005-0000-0000-000082080000}"/>
    <cellStyle name="Normal 5" xfId="2132" xr:uid="{00000000-0005-0000-0000-000083080000}"/>
    <cellStyle name="Normal 5 10" xfId="2133" xr:uid="{00000000-0005-0000-0000-000084080000}"/>
    <cellStyle name="Normal 5 10 2" xfId="2134" xr:uid="{00000000-0005-0000-0000-000085080000}"/>
    <cellStyle name="Normal 5 11" xfId="2135" xr:uid="{00000000-0005-0000-0000-000086080000}"/>
    <cellStyle name="Normal 5 11 2" xfId="2136" xr:uid="{00000000-0005-0000-0000-000087080000}"/>
    <cellStyle name="Normal 5 12" xfId="2137" xr:uid="{00000000-0005-0000-0000-000088080000}"/>
    <cellStyle name="Normal 5 12 2" xfId="2138" xr:uid="{00000000-0005-0000-0000-000089080000}"/>
    <cellStyle name="Normal 5 13" xfId="2139" xr:uid="{00000000-0005-0000-0000-00008A080000}"/>
    <cellStyle name="Normal 5 13 2" xfId="2140" xr:uid="{00000000-0005-0000-0000-00008B080000}"/>
    <cellStyle name="Normal 5 14" xfId="2141" xr:uid="{00000000-0005-0000-0000-00008C080000}"/>
    <cellStyle name="Normal 5 14 2" xfId="2142" xr:uid="{00000000-0005-0000-0000-00008D080000}"/>
    <cellStyle name="Normal 5 14 3" xfId="2143" xr:uid="{00000000-0005-0000-0000-00008E080000}"/>
    <cellStyle name="Normal 5 14 4" xfId="2144" xr:uid="{00000000-0005-0000-0000-00008F080000}"/>
    <cellStyle name="Normal 5 15" xfId="2145" xr:uid="{00000000-0005-0000-0000-000090080000}"/>
    <cellStyle name="Normal 5 16" xfId="2146" xr:uid="{00000000-0005-0000-0000-000091080000}"/>
    <cellStyle name="Normal 5 17" xfId="2147" xr:uid="{00000000-0005-0000-0000-000092080000}"/>
    <cellStyle name="Normal 5 18" xfId="2148" xr:uid="{00000000-0005-0000-0000-000093080000}"/>
    <cellStyle name="Normal 5 19" xfId="2149" xr:uid="{00000000-0005-0000-0000-000094080000}"/>
    <cellStyle name="Normal 5 2" xfId="2150" xr:uid="{00000000-0005-0000-0000-000095080000}"/>
    <cellStyle name="Normal 5 2 10" xfId="2151" xr:uid="{00000000-0005-0000-0000-000096080000}"/>
    <cellStyle name="Normal 5 2 10 2" xfId="2152" xr:uid="{00000000-0005-0000-0000-000097080000}"/>
    <cellStyle name="Normal 5 2 10 3" xfId="2153" xr:uid="{00000000-0005-0000-0000-000098080000}"/>
    <cellStyle name="Normal 5 2 10 4" xfId="2154" xr:uid="{00000000-0005-0000-0000-000099080000}"/>
    <cellStyle name="Normal 5 2 11" xfId="2155" xr:uid="{00000000-0005-0000-0000-00009A080000}"/>
    <cellStyle name="Normal 5 2 12" xfId="2156" xr:uid="{00000000-0005-0000-0000-00009B080000}"/>
    <cellStyle name="Normal 5 2 13" xfId="2157" xr:uid="{00000000-0005-0000-0000-00009C080000}"/>
    <cellStyle name="Normal 5 2 14" xfId="2158" xr:uid="{00000000-0005-0000-0000-00009D080000}"/>
    <cellStyle name="Normal 5 2 15" xfId="2159" xr:uid="{00000000-0005-0000-0000-00009E080000}"/>
    <cellStyle name="Normal 5 2 2" xfId="2160" xr:uid="{00000000-0005-0000-0000-00009F080000}"/>
    <cellStyle name="Normal 5 2 2 10" xfId="2161" xr:uid="{00000000-0005-0000-0000-0000A0080000}"/>
    <cellStyle name="Normal 5 2 2 10 2" xfId="2162" xr:uid="{00000000-0005-0000-0000-0000A1080000}"/>
    <cellStyle name="Normal 5 2 2 10 2 2" xfId="2163" xr:uid="{00000000-0005-0000-0000-0000A2080000}"/>
    <cellStyle name="Normal 5 2 2 10 2 3" xfId="2164" xr:uid="{00000000-0005-0000-0000-0000A3080000}"/>
    <cellStyle name="Normal 5 2 2 10 2 4" xfId="2165" xr:uid="{00000000-0005-0000-0000-0000A4080000}"/>
    <cellStyle name="Normal 5 2 2 10 3" xfId="2166" xr:uid="{00000000-0005-0000-0000-0000A5080000}"/>
    <cellStyle name="Normal 5 2 2 10 4" xfId="2167" xr:uid="{00000000-0005-0000-0000-0000A6080000}"/>
    <cellStyle name="Normal 5 2 2 10 5" xfId="2168" xr:uid="{00000000-0005-0000-0000-0000A7080000}"/>
    <cellStyle name="Normal 5 2 2 11" xfId="2169" xr:uid="{00000000-0005-0000-0000-0000A8080000}"/>
    <cellStyle name="Normal 5 2 2 11 2" xfId="2170" xr:uid="{00000000-0005-0000-0000-0000A9080000}"/>
    <cellStyle name="Normal 5 2 2 11 2 2" xfId="2171" xr:uid="{00000000-0005-0000-0000-0000AA080000}"/>
    <cellStyle name="Normal 5 2 2 11 2 3" xfId="2172" xr:uid="{00000000-0005-0000-0000-0000AB080000}"/>
    <cellStyle name="Normal 5 2 2 11 2 4" xfId="2173" xr:uid="{00000000-0005-0000-0000-0000AC080000}"/>
    <cellStyle name="Normal 5 2 2 11 3" xfId="2174" xr:uid="{00000000-0005-0000-0000-0000AD080000}"/>
    <cellStyle name="Normal 5 2 2 11 4" xfId="2175" xr:uid="{00000000-0005-0000-0000-0000AE080000}"/>
    <cellStyle name="Normal 5 2 2 11 5" xfId="2176" xr:uid="{00000000-0005-0000-0000-0000AF080000}"/>
    <cellStyle name="Normal 5 2 2 12" xfId="2177" xr:uid="{00000000-0005-0000-0000-0000B0080000}"/>
    <cellStyle name="Normal 5 2 2 12 2" xfId="2178" xr:uid="{00000000-0005-0000-0000-0000B1080000}"/>
    <cellStyle name="Normal 5 2 2 12 2 2" xfId="2179" xr:uid="{00000000-0005-0000-0000-0000B2080000}"/>
    <cellStyle name="Normal 5 2 2 12 2 3" xfId="2180" xr:uid="{00000000-0005-0000-0000-0000B3080000}"/>
    <cellStyle name="Normal 5 2 2 12 2 4" xfId="2181" xr:uid="{00000000-0005-0000-0000-0000B4080000}"/>
    <cellStyle name="Normal 5 2 2 12 3" xfId="2182" xr:uid="{00000000-0005-0000-0000-0000B5080000}"/>
    <cellStyle name="Normal 5 2 2 12 4" xfId="2183" xr:uid="{00000000-0005-0000-0000-0000B6080000}"/>
    <cellStyle name="Normal 5 2 2 12 5" xfId="2184" xr:uid="{00000000-0005-0000-0000-0000B7080000}"/>
    <cellStyle name="Normal 5 2 2 13" xfId="2185" xr:uid="{00000000-0005-0000-0000-0000B8080000}"/>
    <cellStyle name="Normal 5 2 2 13 2" xfId="2186" xr:uid="{00000000-0005-0000-0000-0000B9080000}"/>
    <cellStyle name="Normal 5 2 2 13 2 2" xfId="2187" xr:uid="{00000000-0005-0000-0000-0000BA080000}"/>
    <cellStyle name="Normal 5 2 2 13 2 3" xfId="2188" xr:uid="{00000000-0005-0000-0000-0000BB080000}"/>
    <cellStyle name="Normal 5 2 2 13 2 4" xfId="2189" xr:uid="{00000000-0005-0000-0000-0000BC080000}"/>
    <cellStyle name="Normal 5 2 2 13 3" xfId="2190" xr:uid="{00000000-0005-0000-0000-0000BD080000}"/>
    <cellStyle name="Normal 5 2 2 13 4" xfId="2191" xr:uid="{00000000-0005-0000-0000-0000BE080000}"/>
    <cellStyle name="Normal 5 2 2 13 5" xfId="2192" xr:uid="{00000000-0005-0000-0000-0000BF080000}"/>
    <cellStyle name="Normal 5 2 2 14" xfId="2193" xr:uid="{00000000-0005-0000-0000-0000C0080000}"/>
    <cellStyle name="Normal 5 2 2 2" xfId="2194" xr:uid="{00000000-0005-0000-0000-0000C1080000}"/>
    <cellStyle name="Normal 5 2 2 2 10" xfId="2195" xr:uid="{00000000-0005-0000-0000-0000C2080000}"/>
    <cellStyle name="Normal 5 2 2 2 10 2" xfId="2196" xr:uid="{00000000-0005-0000-0000-0000C3080000}"/>
    <cellStyle name="Normal 5 2 2 2 11" xfId="2197" xr:uid="{00000000-0005-0000-0000-0000C4080000}"/>
    <cellStyle name="Normal 5 2 2 2 11 2" xfId="2198" xr:uid="{00000000-0005-0000-0000-0000C5080000}"/>
    <cellStyle name="Normal 5 2 2 2 12" xfId="2199" xr:uid="{00000000-0005-0000-0000-0000C6080000}"/>
    <cellStyle name="Normal 5 2 2 2 12 2" xfId="2200" xr:uid="{00000000-0005-0000-0000-0000C7080000}"/>
    <cellStyle name="Normal 5 2 2 2 13" xfId="2201" xr:uid="{00000000-0005-0000-0000-0000C8080000}"/>
    <cellStyle name="Normal 5 2 2 2 13 2" xfId="2202" xr:uid="{00000000-0005-0000-0000-0000C9080000}"/>
    <cellStyle name="Normal 5 2 2 2 14" xfId="2203" xr:uid="{00000000-0005-0000-0000-0000CA080000}"/>
    <cellStyle name="Normal 5 2 2 2 14 2" xfId="2204" xr:uid="{00000000-0005-0000-0000-0000CB080000}"/>
    <cellStyle name="Normal 5 2 2 2 14 3" xfId="2205" xr:uid="{00000000-0005-0000-0000-0000CC080000}"/>
    <cellStyle name="Normal 5 2 2 2 14 4" xfId="2206" xr:uid="{00000000-0005-0000-0000-0000CD080000}"/>
    <cellStyle name="Normal 5 2 2 2 15" xfId="2207" xr:uid="{00000000-0005-0000-0000-0000CE080000}"/>
    <cellStyle name="Normal 5 2 2 2 16" xfId="2208" xr:uid="{00000000-0005-0000-0000-0000CF080000}"/>
    <cellStyle name="Normal 5 2 2 2 17" xfId="2209" xr:uid="{00000000-0005-0000-0000-0000D0080000}"/>
    <cellStyle name="Normal 5 2 2 2 2" xfId="2210" xr:uid="{00000000-0005-0000-0000-0000D1080000}"/>
    <cellStyle name="Normal 5 2 2 2 2 2" xfId="2211" xr:uid="{00000000-0005-0000-0000-0000D2080000}"/>
    <cellStyle name="Normal 5 2 2 2 3" xfId="2212" xr:uid="{00000000-0005-0000-0000-0000D3080000}"/>
    <cellStyle name="Normal 5 2 2 2 3 2" xfId="2213" xr:uid="{00000000-0005-0000-0000-0000D4080000}"/>
    <cellStyle name="Normal 5 2 2 2 4" xfId="2214" xr:uid="{00000000-0005-0000-0000-0000D5080000}"/>
    <cellStyle name="Normal 5 2 2 2 4 2" xfId="2215" xr:uid="{00000000-0005-0000-0000-0000D6080000}"/>
    <cellStyle name="Normal 5 2 2 2 5" xfId="2216" xr:uid="{00000000-0005-0000-0000-0000D7080000}"/>
    <cellStyle name="Normal 5 2 2 2 5 2" xfId="2217" xr:uid="{00000000-0005-0000-0000-0000D8080000}"/>
    <cellStyle name="Normal 5 2 2 2 6" xfId="2218" xr:uid="{00000000-0005-0000-0000-0000D9080000}"/>
    <cellStyle name="Normal 5 2 2 2 6 2" xfId="2219" xr:uid="{00000000-0005-0000-0000-0000DA080000}"/>
    <cellStyle name="Normal 5 2 2 2 7" xfId="2220" xr:uid="{00000000-0005-0000-0000-0000DB080000}"/>
    <cellStyle name="Normal 5 2 2 2 7 2" xfId="2221" xr:uid="{00000000-0005-0000-0000-0000DC080000}"/>
    <cellStyle name="Normal 5 2 2 2 8" xfId="2222" xr:uid="{00000000-0005-0000-0000-0000DD080000}"/>
    <cellStyle name="Normal 5 2 2 2 8 2" xfId="2223" xr:uid="{00000000-0005-0000-0000-0000DE080000}"/>
    <cellStyle name="Normal 5 2 2 2 9" xfId="2224" xr:uid="{00000000-0005-0000-0000-0000DF080000}"/>
    <cellStyle name="Normal 5 2 2 2 9 2" xfId="2225" xr:uid="{00000000-0005-0000-0000-0000E0080000}"/>
    <cellStyle name="Normal 5 2 2 3" xfId="2226" xr:uid="{00000000-0005-0000-0000-0000E1080000}"/>
    <cellStyle name="Normal 5 2 2 3 2" xfId="2227" xr:uid="{00000000-0005-0000-0000-0000E2080000}"/>
    <cellStyle name="Normal 5 2 2 3 2 2" xfId="2228" xr:uid="{00000000-0005-0000-0000-0000E3080000}"/>
    <cellStyle name="Normal 5 2 2 3 2 3" xfId="2229" xr:uid="{00000000-0005-0000-0000-0000E4080000}"/>
    <cellStyle name="Normal 5 2 2 3 2 4" xfId="2230" xr:uid="{00000000-0005-0000-0000-0000E5080000}"/>
    <cellStyle name="Normal 5 2 2 3 3" xfId="2231" xr:uid="{00000000-0005-0000-0000-0000E6080000}"/>
    <cellStyle name="Normal 5 2 2 3 4" xfId="2232" xr:uid="{00000000-0005-0000-0000-0000E7080000}"/>
    <cellStyle name="Normal 5 2 2 3 5" xfId="2233" xr:uid="{00000000-0005-0000-0000-0000E8080000}"/>
    <cellStyle name="Normal 5 2 2 4" xfId="2234" xr:uid="{00000000-0005-0000-0000-0000E9080000}"/>
    <cellStyle name="Normal 5 2 2 4 2" xfId="2235" xr:uid="{00000000-0005-0000-0000-0000EA080000}"/>
    <cellStyle name="Normal 5 2 2 4 2 2" xfId="2236" xr:uid="{00000000-0005-0000-0000-0000EB080000}"/>
    <cellStyle name="Normal 5 2 2 4 2 3" xfId="2237" xr:uid="{00000000-0005-0000-0000-0000EC080000}"/>
    <cellStyle name="Normal 5 2 2 4 2 4" xfId="2238" xr:uid="{00000000-0005-0000-0000-0000ED080000}"/>
    <cellStyle name="Normal 5 2 2 4 3" xfId="2239" xr:uid="{00000000-0005-0000-0000-0000EE080000}"/>
    <cellStyle name="Normal 5 2 2 4 4" xfId="2240" xr:uid="{00000000-0005-0000-0000-0000EF080000}"/>
    <cellStyle name="Normal 5 2 2 4 5" xfId="2241" xr:uid="{00000000-0005-0000-0000-0000F0080000}"/>
    <cellStyle name="Normal 5 2 2 5" xfId="2242" xr:uid="{00000000-0005-0000-0000-0000F1080000}"/>
    <cellStyle name="Normal 5 2 2 5 2" xfId="2243" xr:uid="{00000000-0005-0000-0000-0000F2080000}"/>
    <cellStyle name="Normal 5 2 2 5 2 2" xfId="2244" xr:uid="{00000000-0005-0000-0000-0000F3080000}"/>
    <cellStyle name="Normal 5 2 2 5 2 3" xfId="2245" xr:uid="{00000000-0005-0000-0000-0000F4080000}"/>
    <cellStyle name="Normal 5 2 2 5 2 4" xfId="2246" xr:uid="{00000000-0005-0000-0000-0000F5080000}"/>
    <cellStyle name="Normal 5 2 2 5 3" xfId="2247" xr:uid="{00000000-0005-0000-0000-0000F6080000}"/>
    <cellStyle name="Normal 5 2 2 5 4" xfId="2248" xr:uid="{00000000-0005-0000-0000-0000F7080000}"/>
    <cellStyle name="Normal 5 2 2 5 5" xfId="2249" xr:uid="{00000000-0005-0000-0000-0000F8080000}"/>
    <cellStyle name="Normal 5 2 2 6" xfId="2250" xr:uid="{00000000-0005-0000-0000-0000F9080000}"/>
    <cellStyle name="Normal 5 2 2 6 2" xfId="2251" xr:uid="{00000000-0005-0000-0000-0000FA080000}"/>
    <cellStyle name="Normal 5 2 2 6 2 2" xfId="2252" xr:uid="{00000000-0005-0000-0000-0000FB080000}"/>
    <cellStyle name="Normal 5 2 2 6 2 3" xfId="2253" xr:uid="{00000000-0005-0000-0000-0000FC080000}"/>
    <cellStyle name="Normal 5 2 2 6 2 4" xfId="2254" xr:uid="{00000000-0005-0000-0000-0000FD080000}"/>
    <cellStyle name="Normal 5 2 2 6 3" xfId="2255" xr:uid="{00000000-0005-0000-0000-0000FE080000}"/>
    <cellStyle name="Normal 5 2 2 6 4" xfId="2256" xr:uid="{00000000-0005-0000-0000-0000FF080000}"/>
    <cellStyle name="Normal 5 2 2 6 5" xfId="2257" xr:uid="{00000000-0005-0000-0000-000000090000}"/>
    <cellStyle name="Normal 5 2 2 7" xfId="2258" xr:uid="{00000000-0005-0000-0000-000001090000}"/>
    <cellStyle name="Normal 5 2 2 7 2" xfId="2259" xr:uid="{00000000-0005-0000-0000-000002090000}"/>
    <cellStyle name="Normal 5 2 2 7 2 2" xfId="2260" xr:uid="{00000000-0005-0000-0000-000003090000}"/>
    <cellStyle name="Normal 5 2 2 7 2 3" xfId="2261" xr:uid="{00000000-0005-0000-0000-000004090000}"/>
    <cellStyle name="Normal 5 2 2 7 2 4" xfId="2262" xr:uid="{00000000-0005-0000-0000-000005090000}"/>
    <cellStyle name="Normal 5 2 2 7 3" xfId="2263" xr:uid="{00000000-0005-0000-0000-000006090000}"/>
    <cellStyle name="Normal 5 2 2 7 4" xfId="2264" xr:uid="{00000000-0005-0000-0000-000007090000}"/>
    <cellStyle name="Normal 5 2 2 7 5" xfId="2265" xr:uid="{00000000-0005-0000-0000-000008090000}"/>
    <cellStyle name="Normal 5 2 2 8" xfId="2266" xr:uid="{00000000-0005-0000-0000-000009090000}"/>
    <cellStyle name="Normal 5 2 2 8 2" xfId="2267" xr:uid="{00000000-0005-0000-0000-00000A090000}"/>
    <cellStyle name="Normal 5 2 2 8 2 2" xfId="2268" xr:uid="{00000000-0005-0000-0000-00000B090000}"/>
    <cellStyle name="Normal 5 2 2 8 2 3" xfId="2269" xr:uid="{00000000-0005-0000-0000-00000C090000}"/>
    <cellStyle name="Normal 5 2 2 8 2 4" xfId="2270" xr:uid="{00000000-0005-0000-0000-00000D090000}"/>
    <cellStyle name="Normal 5 2 2 8 3" xfId="2271" xr:uid="{00000000-0005-0000-0000-00000E090000}"/>
    <cellStyle name="Normal 5 2 2 8 4" xfId="2272" xr:uid="{00000000-0005-0000-0000-00000F090000}"/>
    <cellStyle name="Normal 5 2 2 8 5" xfId="2273" xr:uid="{00000000-0005-0000-0000-000010090000}"/>
    <cellStyle name="Normal 5 2 2 9" xfId="2274" xr:uid="{00000000-0005-0000-0000-000011090000}"/>
    <cellStyle name="Normal 5 2 2 9 2" xfId="2275" xr:uid="{00000000-0005-0000-0000-000012090000}"/>
    <cellStyle name="Normal 5 2 2 9 2 2" xfId="2276" xr:uid="{00000000-0005-0000-0000-000013090000}"/>
    <cellStyle name="Normal 5 2 2 9 2 3" xfId="2277" xr:uid="{00000000-0005-0000-0000-000014090000}"/>
    <cellStyle name="Normal 5 2 2 9 2 4" xfId="2278" xr:uid="{00000000-0005-0000-0000-000015090000}"/>
    <cellStyle name="Normal 5 2 2 9 3" xfId="2279" xr:uid="{00000000-0005-0000-0000-000016090000}"/>
    <cellStyle name="Normal 5 2 2 9 4" xfId="2280" xr:uid="{00000000-0005-0000-0000-000017090000}"/>
    <cellStyle name="Normal 5 2 2 9 5" xfId="2281" xr:uid="{00000000-0005-0000-0000-000018090000}"/>
    <cellStyle name="Normal 5 2 3" xfId="2282" xr:uid="{00000000-0005-0000-0000-000019090000}"/>
    <cellStyle name="Normal 5 2 3 2" xfId="2283" xr:uid="{00000000-0005-0000-0000-00001A090000}"/>
    <cellStyle name="Normal 5 2 4" xfId="2284" xr:uid="{00000000-0005-0000-0000-00001B090000}"/>
    <cellStyle name="Normal 5 2 4 2" xfId="2285" xr:uid="{00000000-0005-0000-0000-00001C090000}"/>
    <cellStyle name="Normal 5 2 5" xfId="2286" xr:uid="{00000000-0005-0000-0000-00001D090000}"/>
    <cellStyle name="Normal 5 2 5 2" xfId="2287" xr:uid="{00000000-0005-0000-0000-00001E090000}"/>
    <cellStyle name="Normal 5 2 6" xfId="2288" xr:uid="{00000000-0005-0000-0000-00001F090000}"/>
    <cellStyle name="Normal 5 2 6 2" xfId="2289" xr:uid="{00000000-0005-0000-0000-000020090000}"/>
    <cellStyle name="Normal 5 2 7" xfId="2290" xr:uid="{00000000-0005-0000-0000-000021090000}"/>
    <cellStyle name="Normal 5 2 7 2" xfId="2291" xr:uid="{00000000-0005-0000-0000-000022090000}"/>
    <cellStyle name="Normal 5 2 8" xfId="2292" xr:uid="{00000000-0005-0000-0000-000023090000}"/>
    <cellStyle name="Normal 5 2 8 2" xfId="2293" xr:uid="{00000000-0005-0000-0000-000024090000}"/>
    <cellStyle name="Normal 5 2 9" xfId="2294" xr:uid="{00000000-0005-0000-0000-000025090000}"/>
    <cellStyle name="Normal 5 2 9 2" xfId="2295" xr:uid="{00000000-0005-0000-0000-000026090000}"/>
    <cellStyle name="Normal 5 3" xfId="2296" xr:uid="{00000000-0005-0000-0000-000027090000}"/>
    <cellStyle name="Normal 5 3 10" xfId="2297" xr:uid="{00000000-0005-0000-0000-000028090000}"/>
    <cellStyle name="Normal 5 3 2" xfId="2298" xr:uid="{00000000-0005-0000-0000-000029090000}"/>
    <cellStyle name="Normal 5 3 2 2" xfId="2299" xr:uid="{00000000-0005-0000-0000-00002A090000}"/>
    <cellStyle name="Normal 5 3 3" xfId="2300" xr:uid="{00000000-0005-0000-0000-00002B090000}"/>
    <cellStyle name="Normal 5 3 3 2" xfId="2301" xr:uid="{00000000-0005-0000-0000-00002C090000}"/>
    <cellStyle name="Normal 5 3 4" xfId="2302" xr:uid="{00000000-0005-0000-0000-00002D090000}"/>
    <cellStyle name="Normal 5 3 4 2" xfId="2303" xr:uid="{00000000-0005-0000-0000-00002E090000}"/>
    <cellStyle name="Normal 5 3 5" xfId="2304" xr:uid="{00000000-0005-0000-0000-00002F090000}"/>
    <cellStyle name="Normal 5 3 5 2" xfId="2305" xr:uid="{00000000-0005-0000-0000-000030090000}"/>
    <cellStyle name="Normal 5 3 6" xfId="2306" xr:uid="{00000000-0005-0000-0000-000031090000}"/>
    <cellStyle name="Normal 5 3 6 2" xfId="2307" xr:uid="{00000000-0005-0000-0000-000032090000}"/>
    <cellStyle name="Normal 5 3 7" xfId="2308" xr:uid="{00000000-0005-0000-0000-000033090000}"/>
    <cellStyle name="Normal 5 3 7 2" xfId="2309" xr:uid="{00000000-0005-0000-0000-000034090000}"/>
    <cellStyle name="Normal 5 3 8" xfId="2310" xr:uid="{00000000-0005-0000-0000-000035090000}"/>
    <cellStyle name="Normal 5 3 8 2" xfId="2311" xr:uid="{00000000-0005-0000-0000-000036090000}"/>
    <cellStyle name="Normal 5 3 9" xfId="2312" xr:uid="{00000000-0005-0000-0000-000037090000}"/>
    <cellStyle name="Normal 5 4" xfId="2313" xr:uid="{00000000-0005-0000-0000-000038090000}"/>
    <cellStyle name="Normal 5 4 10" xfId="2314" xr:uid="{00000000-0005-0000-0000-000039090000}"/>
    <cellStyle name="Normal 5 4 2" xfId="2315" xr:uid="{00000000-0005-0000-0000-00003A090000}"/>
    <cellStyle name="Normal 5 4 2 2" xfId="2316" xr:uid="{00000000-0005-0000-0000-00003B090000}"/>
    <cellStyle name="Normal 5 4 3" xfId="2317" xr:uid="{00000000-0005-0000-0000-00003C090000}"/>
    <cellStyle name="Normal 5 4 3 2" xfId="2318" xr:uid="{00000000-0005-0000-0000-00003D090000}"/>
    <cellStyle name="Normal 5 4 4" xfId="2319" xr:uid="{00000000-0005-0000-0000-00003E090000}"/>
    <cellStyle name="Normal 5 4 4 2" xfId="2320" xr:uid="{00000000-0005-0000-0000-00003F090000}"/>
    <cellStyle name="Normal 5 4 5" xfId="2321" xr:uid="{00000000-0005-0000-0000-000040090000}"/>
    <cellStyle name="Normal 5 4 5 2" xfId="2322" xr:uid="{00000000-0005-0000-0000-000041090000}"/>
    <cellStyle name="Normal 5 4 6" xfId="2323" xr:uid="{00000000-0005-0000-0000-000042090000}"/>
    <cellStyle name="Normal 5 4 6 2" xfId="2324" xr:uid="{00000000-0005-0000-0000-000043090000}"/>
    <cellStyle name="Normal 5 4 7" xfId="2325" xr:uid="{00000000-0005-0000-0000-000044090000}"/>
    <cellStyle name="Normal 5 4 7 2" xfId="2326" xr:uid="{00000000-0005-0000-0000-000045090000}"/>
    <cellStyle name="Normal 5 4 8" xfId="2327" xr:uid="{00000000-0005-0000-0000-000046090000}"/>
    <cellStyle name="Normal 5 4 8 2" xfId="2328" xr:uid="{00000000-0005-0000-0000-000047090000}"/>
    <cellStyle name="Normal 5 4 9" xfId="2329" xr:uid="{00000000-0005-0000-0000-000048090000}"/>
    <cellStyle name="Normal 5 5" xfId="2330" xr:uid="{00000000-0005-0000-0000-000049090000}"/>
    <cellStyle name="Normal 5 5 2" xfId="2331" xr:uid="{00000000-0005-0000-0000-00004A090000}"/>
    <cellStyle name="Normal 5 5 2 2" xfId="2332" xr:uid="{00000000-0005-0000-0000-00004B090000}"/>
    <cellStyle name="Normal 5 5 3" xfId="2333" xr:uid="{00000000-0005-0000-0000-00004C090000}"/>
    <cellStyle name="Normal 5 5 3 2" xfId="2334" xr:uid="{00000000-0005-0000-0000-00004D090000}"/>
    <cellStyle name="Normal 5 5 4" xfId="2335" xr:uid="{00000000-0005-0000-0000-00004E090000}"/>
    <cellStyle name="Normal 5 5 4 2" xfId="2336" xr:uid="{00000000-0005-0000-0000-00004F090000}"/>
    <cellStyle name="Normal 5 5 5" xfId="2337" xr:uid="{00000000-0005-0000-0000-000050090000}"/>
    <cellStyle name="Normal 5 5 5 2" xfId="2338" xr:uid="{00000000-0005-0000-0000-000051090000}"/>
    <cellStyle name="Normal 5 5 6" xfId="2339" xr:uid="{00000000-0005-0000-0000-000052090000}"/>
    <cellStyle name="Normal 5 5 6 2" xfId="2340" xr:uid="{00000000-0005-0000-0000-000053090000}"/>
    <cellStyle name="Normal 5 5 7" xfId="2341" xr:uid="{00000000-0005-0000-0000-000054090000}"/>
    <cellStyle name="Normal 5 5 7 2" xfId="2342" xr:uid="{00000000-0005-0000-0000-000055090000}"/>
    <cellStyle name="Normal 5 5 8" xfId="2343" xr:uid="{00000000-0005-0000-0000-000056090000}"/>
    <cellStyle name="Normal 5 5 8 2" xfId="2344" xr:uid="{00000000-0005-0000-0000-000057090000}"/>
    <cellStyle name="Normal 5 5 9" xfId="2345" xr:uid="{00000000-0005-0000-0000-000058090000}"/>
    <cellStyle name="Normal 5 6" xfId="2346" xr:uid="{00000000-0005-0000-0000-000059090000}"/>
    <cellStyle name="Normal 5 6 2" xfId="2347" xr:uid="{00000000-0005-0000-0000-00005A090000}"/>
    <cellStyle name="Normal 5 7" xfId="2348" xr:uid="{00000000-0005-0000-0000-00005B090000}"/>
    <cellStyle name="Normal 5 7 2" xfId="2349" xr:uid="{00000000-0005-0000-0000-00005C090000}"/>
    <cellStyle name="Normal 5 8" xfId="2350" xr:uid="{00000000-0005-0000-0000-00005D090000}"/>
    <cellStyle name="Normal 5 8 2" xfId="2351" xr:uid="{00000000-0005-0000-0000-00005E090000}"/>
    <cellStyle name="Normal 5 9" xfId="2352" xr:uid="{00000000-0005-0000-0000-00005F090000}"/>
    <cellStyle name="Normal 5 9 2" xfId="2353" xr:uid="{00000000-0005-0000-0000-000060090000}"/>
    <cellStyle name="Normal 6" xfId="2354" xr:uid="{00000000-0005-0000-0000-000061090000}"/>
    <cellStyle name="Normal 6 10" xfId="2355" xr:uid="{00000000-0005-0000-0000-000062090000}"/>
    <cellStyle name="Normal 6 10 2" xfId="2356" xr:uid="{00000000-0005-0000-0000-000063090000}"/>
    <cellStyle name="Normal 6 11" xfId="2357" xr:uid="{00000000-0005-0000-0000-000064090000}"/>
    <cellStyle name="Normal 6 11 2" xfId="2358" xr:uid="{00000000-0005-0000-0000-000065090000}"/>
    <cellStyle name="Normal 6 12" xfId="2359" xr:uid="{00000000-0005-0000-0000-000066090000}"/>
    <cellStyle name="Normal 6 12 2" xfId="2360" xr:uid="{00000000-0005-0000-0000-000067090000}"/>
    <cellStyle name="Normal 6 13" xfId="2361" xr:uid="{00000000-0005-0000-0000-000068090000}"/>
    <cellStyle name="Normal 6 13 2" xfId="2362" xr:uid="{00000000-0005-0000-0000-000069090000}"/>
    <cellStyle name="Normal 6 14" xfId="2363" xr:uid="{00000000-0005-0000-0000-00006A090000}"/>
    <cellStyle name="Normal 6 15" xfId="2364" xr:uid="{00000000-0005-0000-0000-00006B090000}"/>
    <cellStyle name="Normal 6 2" xfId="2365" xr:uid="{00000000-0005-0000-0000-00006C090000}"/>
    <cellStyle name="Normal 6 2 10" xfId="2366" xr:uid="{00000000-0005-0000-0000-00006D090000}"/>
    <cellStyle name="Normal 6 2 2" xfId="2367" xr:uid="{00000000-0005-0000-0000-00006E090000}"/>
    <cellStyle name="Normal 6 2 2 10" xfId="2368" xr:uid="{00000000-0005-0000-0000-00006F090000}"/>
    <cellStyle name="Normal 6 2 2 10 2" xfId="2369" xr:uid="{00000000-0005-0000-0000-000070090000}"/>
    <cellStyle name="Normal 6 2 2 10 2 2" xfId="2370" xr:uid="{00000000-0005-0000-0000-000071090000}"/>
    <cellStyle name="Normal 6 2 2 10 2 3" xfId="2371" xr:uid="{00000000-0005-0000-0000-000072090000}"/>
    <cellStyle name="Normal 6 2 2 10 2 4" xfId="2372" xr:uid="{00000000-0005-0000-0000-000073090000}"/>
    <cellStyle name="Normal 6 2 2 10 3" xfId="2373" xr:uid="{00000000-0005-0000-0000-000074090000}"/>
    <cellStyle name="Normal 6 2 2 10 4" xfId="2374" xr:uid="{00000000-0005-0000-0000-000075090000}"/>
    <cellStyle name="Normal 6 2 2 10 5" xfId="2375" xr:uid="{00000000-0005-0000-0000-000076090000}"/>
    <cellStyle name="Normal 6 2 2 11" xfId="2376" xr:uid="{00000000-0005-0000-0000-000077090000}"/>
    <cellStyle name="Normal 6 2 2 11 2" xfId="2377" xr:uid="{00000000-0005-0000-0000-000078090000}"/>
    <cellStyle name="Normal 6 2 2 11 2 2" xfId="2378" xr:uid="{00000000-0005-0000-0000-000079090000}"/>
    <cellStyle name="Normal 6 2 2 11 2 3" xfId="2379" xr:uid="{00000000-0005-0000-0000-00007A090000}"/>
    <cellStyle name="Normal 6 2 2 11 2 4" xfId="2380" xr:uid="{00000000-0005-0000-0000-00007B090000}"/>
    <cellStyle name="Normal 6 2 2 11 3" xfId="2381" xr:uid="{00000000-0005-0000-0000-00007C090000}"/>
    <cellStyle name="Normal 6 2 2 11 4" xfId="2382" xr:uid="{00000000-0005-0000-0000-00007D090000}"/>
    <cellStyle name="Normal 6 2 2 11 5" xfId="2383" xr:uid="{00000000-0005-0000-0000-00007E090000}"/>
    <cellStyle name="Normal 6 2 2 12" xfId="2384" xr:uid="{00000000-0005-0000-0000-00007F090000}"/>
    <cellStyle name="Normal 6 2 2 12 2" xfId="2385" xr:uid="{00000000-0005-0000-0000-000080090000}"/>
    <cellStyle name="Normal 6 2 2 12 2 2" xfId="2386" xr:uid="{00000000-0005-0000-0000-000081090000}"/>
    <cellStyle name="Normal 6 2 2 12 2 3" xfId="2387" xr:uid="{00000000-0005-0000-0000-000082090000}"/>
    <cellStyle name="Normal 6 2 2 12 2 4" xfId="2388" xr:uid="{00000000-0005-0000-0000-000083090000}"/>
    <cellStyle name="Normal 6 2 2 12 3" xfId="2389" xr:uid="{00000000-0005-0000-0000-000084090000}"/>
    <cellStyle name="Normal 6 2 2 12 4" xfId="2390" xr:uid="{00000000-0005-0000-0000-000085090000}"/>
    <cellStyle name="Normal 6 2 2 12 5" xfId="2391" xr:uid="{00000000-0005-0000-0000-000086090000}"/>
    <cellStyle name="Normal 6 2 2 13" xfId="2392" xr:uid="{00000000-0005-0000-0000-000087090000}"/>
    <cellStyle name="Normal 6 2 2 13 2" xfId="2393" xr:uid="{00000000-0005-0000-0000-000088090000}"/>
    <cellStyle name="Normal 6 2 2 13 2 2" xfId="2394" xr:uid="{00000000-0005-0000-0000-000089090000}"/>
    <cellStyle name="Normal 6 2 2 13 2 3" xfId="2395" xr:uid="{00000000-0005-0000-0000-00008A090000}"/>
    <cellStyle name="Normal 6 2 2 13 2 4" xfId="2396" xr:uid="{00000000-0005-0000-0000-00008B090000}"/>
    <cellStyle name="Normal 6 2 2 13 3" xfId="2397" xr:uid="{00000000-0005-0000-0000-00008C090000}"/>
    <cellStyle name="Normal 6 2 2 13 4" xfId="2398" xr:uid="{00000000-0005-0000-0000-00008D090000}"/>
    <cellStyle name="Normal 6 2 2 13 5" xfId="2399" xr:uid="{00000000-0005-0000-0000-00008E090000}"/>
    <cellStyle name="Normal 6 2 2 14" xfId="2400" xr:uid="{00000000-0005-0000-0000-00008F090000}"/>
    <cellStyle name="Normal 6 2 2 15" xfId="2401" xr:uid="{00000000-0005-0000-0000-000090090000}"/>
    <cellStyle name="Normal 6 2 2 2" xfId="2402" xr:uid="{00000000-0005-0000-0000-000091090000}"/>
    <cellStyle name="Normal 6 2 2 2 2" xfId="2403" xr:uid="{00000000-0005-0000-0000-000092090000}"/>
    <cellStyle name="Normal 6 2 2 2 2 2" xfId="2404" xr:uid="{00000000-0005-0000-0000-000093090000}"/>
    <cellStyle name="Normal 6 2 2 2 2 3" xfId="2405" xr:uid="{00000000-0005-0000-0000-000094090000}"/>
    <cellStyle name="Normal 6 2 2 2 2 4" xfId="2406" xr:uid="{00000000-0005-0000-0000-000095090000}"/>
    <cellStyle name="Normal 6 2 2 2 3" xfId="2407" xr:uid="{00000000-0005-0000-0000-000096090000}"/>
    <cellStyle name="Normal 6 2 2 2 4" xfId="2408" xr:uid="{00000000-0005-0000-0000-000097090000}"/>
    <cellStyle name="Normal 6 2 2 2 5" xfId="2409" xr:uid="{00000000-0005-0000-0000-000098090000}"/>
    <cellStyle name="Normal 6 2 2 3" xfId="2410" xr:uid="{00000000-0005-0000-0000-000099090000}"/>
    <cellStyle name="Normal 6 2 2 3 2" xfId="2411" xr:uid="{00000000-0005-0000-0000-00009A090000}"/>
    <cellStyle name="Normal 6 2 2 3 2 2" xfId="2412" xr:uid="{00000000-0005-0000-0000-00009B090000}"/>
    <cellStyle name="Normal 6 2 2 3 2 3" xfId="2413" xr:uid="{00000000-0005-0000-0000-00009C090000}"/>
    <cellStyle name="Normal 6 2 2 3 2 4" xfId="2414" xr:uid="{00000000-0005-0000-0000-00009D090000}"/>
    <cellStyle name="Normal 6 2 2 3 3" xfId="2415" xr:uid="{00000000-0005-0000-0000-00009E090000}"/>
    <cellStyle name="Normal 6 2 2 3 4" xfId="2416" xr:uid="{00000000-0005-0000-0000-00009F090000}"/>
    <cellStyle name="Normal 6 2 2 3 5" xfId="2417" xr:uid="{00000000-0005-0000-0000-0000A0090000}"/>
    <cellStyle name="Normal 6 2 2 4" xfId="2418" xr:uid="{00000000-0005-0000-0000-0000A1090000}"/>
    <cellStyle name="Normal 6 2 2 4 2" xfId="2419" xr:uid="{00000000-0005-0000-0000-0000A2090000}"/>
    <cellStyle name="Normal 6 2 2 4 2 2" xfId="2420" xr:uid="{00000000-0005-0000-0000-0000A3090000}"/>
    <cellStyle name="Normal 6 2 2 4 2 3" xfId="2421" xr:uid="{00000000-0005-0000-0000-0000A4090000}"/>
    <cellStyle name="Normal 6 2 2 4 2 4" xfId="2422" xr:uid="{00000000-0005-0000-0000-0000A5090000}"/>
    <cellStyle name="Normal 6 2 2 4 3" xfId="2423" xr:uid="{00000000-0005-0000-0000-0000A6090000}"/>
    <cellStyle name="Normal 6 2 2 4 4" xfId="2424" xr:uid="{00000000-0005-0000-0000-0000A7090000}"/>
    <cellStyle name="Normal 6 2 2 4 5" xfId="2425" xr:uid="{00000000-0005-0000-0000-0000A8090000}"/>
    <cellStyle name="Normal 6 2 2 5" xfId="2426" xr:uid="{00000000-0005-0000-0000-0000A9090000}"/>
    <cellStyle name="Normal 6 2 2 5 2" xfId="2427" xr:uid="{00000000-0005-0000-0000-0000AA090000}"/>
    <cellStyle name="Normal 6 2 2 5 2 2" xfId="2428" xr:uid="{00000000-0005-0000-0000-0000AB090000}"/>
    <cellStyle name="Normal 6 2 2 5 2 3" xfId="2429" xr:uid="{00000000-0005-0000-0000-0000AC090000}"/>
    <cellStyle name="Normal 6 2 2 5 2 4" xfId="2430" xr:uid="{00000000-0005-0000-0000-0000AD090000}"/>
    <cellStyle name="Normal 6 2 2 5 3" xfId="2431" xr:uid="{00000000-0005-0000-0000-0000AE090000}"/>
    <cellStyle name="Normal 6 2 2 5 4" xfId="2432" xr:uid="{00000000-0005-0000-0000-0000AF090000}"/>
    <cellStyle name="Normal 6 2 2 5 5" xfId="2433" xr:uid="{00000000-0005-0000-0000-0000B0090000}"/>
    <cellStyle name="Normal 6 2 2 6" xfId="2434" xr:uid="{00000000-0005-0000-0000-0000B1090000}"/>
    <cellStyle name="Normal 6 2 2 6 2" xfId="2435" xr:uid="{00000000-0005-0000-0000-0000B2090000}"/>
    <cellStyle name="Normal 6 2 2 6 2 2" xfId="2436" xr:uid="{00000000-0005-0000-0000-0000B3090000}"/>
    <cellStyle name="Normal 6 2 2 6 2 3" xfId="2437" xr:uid="{00000000-0005-0000-0000-0000B4090000}"/>
    <cellStyle name="Normal 6 2 2 6 2 4" xfId="2438" xr:uid="{00000000-0005-0000-0000-0000B5090000}"/>
    <cellStyle name="Normal 6 2 2 6 3" xfId="2439" xr:uid="{00000000-0005-0000-0000-0000B6090000}"/>
    <cellStyle name="Normal 6 2 2 6 4" xfId="2440" xr:uid="{00000000-0005-0000-0000-0000B7090000}"/>
    <cellStyle name="Normal 6 2 2 6 5" xfId="2441" xr:uid="{00000000-0005-0000-0000-0000B8090000}"/>
    <cellStyle name="Normal 6 2 2 7" xfId="2442" xr:uid="{00000000-0005-0000-0000-0000B9090000}"/>
    <cellStyle name="Normal 6 2 2 7 2" xfId="2443" xr:uid="{00000000-0005-0000-0000-0000BA090000}"/>
    <cellStyle name="Normal 6 2 2 7 2 2" xfId="2444" xr:uid="{00000000-0005-0000-0000-0000BB090000}"/>
    <cellStyle name="Normal 6 2 2 7 2 3" xfId="2445" xr:uid="{00000000-0005-0000-0000-0000BC090000}"/>
    <cellStyle name="Normal 6 2 2 7 2 4" xfId="2446" xr:uid="{00000000-0005-0000-0000-0000BD090000}"/>
    <cellStyle name="Normal 6 2 2 7 3" xfId="2447" xr:uid="{00000000-0005-0000-0000-0000BE090000}"/>
    <cellStyle name="Normal 6 2 2 7 4" xfId="2448" xr:uid="{00000000-0005-0000-0000-0000BF090000}"/>
    <cellStyle name="Normal 6 2 2 7 5" xfId="2449" xr:uid="{00000000-0005-0000-0000-0000C0090000}"/>
    <cellStyle name="Normal 6 2 2 8" xfId="2450" xr:uid="{00000000-0005-0000-0000-0000C1090000}"/>
    <cellStyle name="Normal 6 2 2 8 2" xfId="2451" xr:uid="{00000000-0005-0000-0000-0000C2090000}"/>
    <cellStyle name="Normal 6 2 2 8 2 2" xfId="2452" xr:uid="{00000000-0005-0000-0000-0000C3090000}"/>
    <cellStyle name="Normal 6 2 2 8 2 3" xfId="2453" xr:uid="{00000000-0005-0000-0000-0000C4090000}"/>
    <cellStyle name="Normal 6 2 2 8 2 4" xfId="2454" xr:uid="{00000000-0005-0000-0000-0000C5090000}"/>
    <cellStyle name="Normal 6 2 2 8 3" xfId="2455" xr:uid="{00000000-0005-0000-0000-0000C6090000}"/>
    <cellStyle name="Normal 6 2 2 8 4" xfId="2456" xr:uid="{00000000-0005-0000-0000-0000C7090000}"/>
    <cellStyle name="Normal 6 2 2 8 5" xfId="2457" xr:uid="{00000000-0005-0000-0000-0000C8090000}"/>
    <cellStyle name="Normal 6 2 2 9" xfId="2458" xr:uid="{00000000-0005-0000-0000-0000C9090000}"/>
    <cellStyle name="Normal 6 2 2 9 2" xfId="2459" xr:uid="{00000000-0005-0000-0000-0000CA090000}"/>
    <cellStyle name="Normal 6 2 2 9 2 2" xfId="2460" xr:uid="{00000000-0005-0000-0000-0000CB090000}"/>
    <cellStyle name="Normal 6 2 2 9 2 3" xfId="2461" xr:uid="{00000000-0005-0000-0000-0000CC090000}"/>
    <cellStyle name="Normal 6 2 2 9 2 4" xfId="2462" xr:uid="{00000000-0005-0000-0000-0000CD090000}"/>
    <cellStyle name="Normal 6 2 2 9 3" xfId="2463" xr:uid="{00000000-0005-0000-0000-0000CE090000}"/>
    <cellStyle name="Normal 6 2 2 9 4" xfId="2464" xr:uid="{00000000-0005-0000-0000-0000CF090000}"/>
    <cellStyle name="Normal 6 2 2 9 5" xfId="2465" xr:uid="{00000000-0005-0000-0000-0000D0090000}"/>
    <cellStyle name="Normal 6 2 3" xfId="2466" xr:uid="{00000000-0005-0000-0000-0000D1090000}"/>
    <cellStyle name="Normal 6 2 3 2" xfId="2467" xr:uid="{00000000-0005-0000-0000-0000D2090000}"/>
    <cellStyle name="Normal 6 2 4" xfId="2468" xr:uid="{00000000-0005-0000-0000-0000D3090000}"/>
    <cellStyle name="Normal 6 2 4 2" xfId="2469" xr:uid="{00000000-0005-0000-0000-0000D4090000}"/>
    <cellStyle name="Normal 6 2 5" xfId="2470" xr:uid="{00000000-0005-0000-0000-0000D5090000}"/>
    <cellStyle name="Normal 6 2 5 2" xfId="2471" xr:uid="{00000000-0005-0000-0000-0000D6090000}"/>
    <cellStyle name="Normal 6 2 6" xfId="2472" xr:uid="{00000000-0005-0000-0000-0000D7090000}"/>
    <cellStyle name="Normal 6 2 6 2" xfId="2473" xr:uid="{00000000-0005-0000-0000-0000D8090000}"/>
    <cellStyle name="Normal 6 2 7" xfId="2474" xr:uid="{00000000-0005-0000-0000-0000D9090000}"/>
    <cellStyle name="Normal 6 2 7 2" xfId="2475" xr:uid="{00000000-0005-0000-0000-0000DA090000}"/>
    <cellStyle name="Normal 6 2 8" xfId="2476" xr:uid="{00000000-0005-0000-0000-0000DB090000}"/>
    <cellStyle name="Normal 6 2 8 2" xfId="2477" xr:uid="{00000000-0005-0000-0000-0000DC090000}"/>
    <cellStyle name="Normal 6 2 9" xfId="2478" xr:uid="{00000000-0005-0000-0000-0000DD090000}"/>
    <cellStyle name="Normal 6 3" xfId="2479" xr:uid="{00000000-0005-0000-0000-0000DE090000}"/>
    <cellStyle name="Normal 6 3 10" xfId="2480" xr:uid="{00000000-0005-0000-0000-0000DF090000}"/>
    <cellStyle name="Normal 6 3 2" xfId="2481" xr:uid="{00000000-0005-0000-0000-0000E0090000}"/>
    <cellStyle name="Normal 6 3 2 2" xfId="2482" xr:uid="{00000000-0005-0000-0000-0000E1090000}"/>
    <cellStyle name="Normal 6 3 3" xfId="2483" xr:uid="{00000000-0005-0000-0000-0000E2090000}"/>
    <cellStyle name="Normal 6 3 3 2" xfId="2484" xr:uid="{00000000-0005-0000-0000-0000E3090000}"/>
    <cellStyle name="Normal 6 3 4" xfId="2485" xr:uid="{00000000-0005-0000-0000-0000E4090000}"/>
    <cellStyle name="Normal 6 3 4 2" xfId="2486" xr:uid="{00000000-0005-0000-0000-0000E5090000}"/>
    <cellStyle name="Normal 6 3 5" xfId="2487" xr:uid="{00000000-0005-0000-0000-0000E6090000}"/>
    <cellStyle name="Normal 6 3 5 2" xfId="2488" xr:uid="{00000000-0005-0000-0000-0000E7090000}"/>
    <cellStyle name="Normal 6 3 6" xfId="2489" xr:uid="{00000000-0005-0000-0000-0000E8090000}"/>
    <cellStyle name="Normal 6 3 6 2" xfId="2490" xr:uid="{00000000-0005-0000-0000-0000E9090000}"/>
    <cellStyle name="Normal 6 3 7" xfId="2491" xr:uid="{00000000-0005-0000-0000-0000EA090000}"/>
    <cellStyle name="Normal 6 3 7 2" xfId="2492" xr:uid="{00000000-0005-0000-0000-0000EB090000}"/>
    <cellStyle name="Normal 6 3 8" xfId="2493" xr:uid="{00000000-0005-0000-0000-0000EC090000}"/>
    <cellStyle name="Normal 6 3 8 2" xfId="2494" xr:uid="{00000000-0005-0000-0000-0000ED090000}"/>
    <cellStyle name="Normal 6 3 9" xfId="2495" xr:uid="{00000000-0005-0000-0000-0000EE090000}"/>
    <cellStyle name="Normal 6 4" xfId="2496" xr:uid="{00000000-0005-0000-0000-0000EF090000}"/>
    <cellStyle name="Normal 6 4 10" xfId="2497" xr:uid="{00000000-0005-0000-0000-0000F0090000}"/>
    <cellStyle name="Normal 6 4 2" xfId="2498" xr:uid="{00000000-0005-0000-0000-0000F1090000}"/>
    <cellStyle name="Normal 6 4 2 2" xfId="2499" xr:uid="{00000000-0005-0000-0000-0000F2090000}"/>
    <cellStyle name="Normal 6 4 3" xfId="2500" xr:uid="{00000000-0005-0000-0000-0000F3090000}"/>
    <cellStyle name="Normal 6 4 3 2" xfId="2501" xr:uid="{00000000-0005-0000-0000-0000F4090000}"/>
    <cellStyle name="Normal 6 4 4" xfId="2502" xr:uid="{00000000-0005-0000-0000-0000F5090000}"/>
    <cellStyle name="Normal 6 4 4 2" xfId="2503" xr:uid="{00000000-0005-0000-0000-0000F6090000}"/>
    <cellStyle name="Normal 6 4 5" xfId="2504" xr:uid="{00000000-0005-0000-0000-0000F7090000}"/>
    <cellStyle name="Normal 6 4 5 2" xfId="2505" xr:uid="{00000000-0005-0000-0000-0000F8090000}"/>
    <cellStyle name="Normal 6 4 6" xfId="2506" xr:uid="{00000000-0005-0000-0000-0000F9090000}"/>
    <cellStyle name="Normal 6 4 6 2" xfId="2507" xr:uid="{00000000-0005-0000-0000-0000FA090000}"/>
    <cellStyle name="Normal 6 4 7" xfId="2508" xr:uid="{00000000-0005-0000-0000-0000FB090000}"/>
    <cellStyle name="Normal 6 4 7 2" xfId="2509" xr:uid="{00000000-0005-0000-0000-0000FC090000}"/>
    <cellStyle name="Normal 6 4 8" xfId="2510" xr:uid="{00000000-0005-0000-0000-0000FD090000}"/>
    <cellStyle name="Normal 6 4 8 2" xfId="2511" xr:uid="{00000000-0005-0000-0000-0000FE090000}"/>
    <cellStyle name="Normal 6 4 9" xfId="2512" xr:uid="{00000000-0005-0000-0000-0000FF090000}"/>
    <cellStyle name="Normal 6 5" xfId="2513" xr:uid="{00000000-0005-0000-0000-0000000A0000}"/>
    <cellStyle name="Normal 6 5 2" xfId="2514" xr:uid="{00000000-0005-0000-0000-0000010A0000}"/>
    <cellStyle name="Normal 6 5 2 2" xfId="2515" xr:uid="{00000000-0005-0000-0000-0000020A0000}"/>
    <cellStyle name="Normal 6 5 3" xfId="2516" xr:uid="{00000000-0005-0000-0000-0000030A0000}"/>
    <cellStyle name="Normal 6 5 3 2" xfId="2517" xr:uid="{00000000-0005-0000-0000-0000040A0000}"/>
    <cellStyle name="Normal 6 5 4" xfId="2518" xr:uid="{00000000-0005-0000-0000-0000050A0000}"/>
    <cellStyle name="Normal 6 5 4 2" xfId="2519" xr:uid="{00000000-0005-0000-0000-0000060A0000}"/>
    <cellStyle name="Normal 6 5 5" xfId="2520" xr:uid="{00000000-0005-0000-0000-0000070A0000}"/>
    <cellStyle name="Normal 6 5 5 2" xfId="2521" xr:uid="{00000000-0005-0000-0000-0000080A0000}"/>
    <cellStyle name="Normal 6 5 6" xfId="2522" xr:uid="{00000000-0005-0000-0000-0000090A0000}"/>
    <cellStyle name="Normal 6 5 6 2" xfId="2523" xr:uid="{00000000-0005-0000-0000-00000A0A0000}"/>
    <cellStyle name="Normal 6 5 7" xfId="2524" xr:uid="{00000000-0005-0000-0000-00000B0A0000}"/>
    <cellStyle name="Normal 6 5 7 2" xfId="2525" xr:uid="{00000000-0005-0000-0000-00000C0A0000}"/>
    <cellStyle name="Normal 6 5 8" xfId="2526" xr:uid="{00000000-0005-0000-0000-00000D0A0000}"/>
    <cellStyle name="Normal 6 5 8 2" xfId="2527" xr:uid="{00000000-0005-0000-0000-00000E0A0000}"/>
    <cellStyle name="Normal 6 5 9" xfId="2528" xr:uid="{00000000-0005-0000-0000-00000F0A0000}"/>
    <cellStyle name="Normal 6 6" xfId="2529" xr:uid="{00000000-0005-0000-0000-0000100A0000}"/>
    <cellStyle name="Normal 6 6 2" xfId="2530" xr:uid="{00000000-0005-0000-0000-0000110A0000}"/>
    <cellStyle name="Normal 6 7" xfId="2531" xr:uid="{00000000-0005-0000-0000-0000120A0000}"/>
    <cellStyle name="Normal 6 7 2" xfId="2532" xr:uid="{00000000-0005-0000-0000-0000130A0000}"/>
    <cellStyle name="Normal 6 8" xfId="2533" xr:uid="{00000000-0005-0000-0000-0000140A0000}"/>
    <cellStyle name="Normal 6 8 2" xfId="2534" xr:uid="{00000000-0005-0000-0000-0000150A0000}"/>
    <cellStyle name="Normal 6 9" xfId="2535" xr:uid="{00000000-0005-0000-0000-0000160A0000}"/>
    <cellStyle name="Normal 6 9 2" xfId="2536" xr:uid="{00000000-0005-0000-0000-0000170A0000}"/>
    <cellStyle name="Normal 7" xfId="2537" xr:uid="{00000000-0005-0000-0000-0000180A0000}"/>
    <cellStyle name="Normal 7 10" xfId="2538" xr:uid="{00000000-0005-0000-0000-0000190A0000}"/>
    <cellStyle name="Normal 7 10 2" xfId="2539" xr:uid="{00000000-0005-0000-0000-00001A0A0000}"/>
    <cellStyle name="Normal 7 11" xfId="2540" xr:uid="{00000000-0005-0000-0000-00001B0A0000}"/>
    <cellStyle name="Normal 7 11 2" xfId="2541" xr:uid="{00000000-0005-0000-0000-00001C0A0000}"/>
    <cellStyle name="Normal 7 12" xfId="2542" xr:uid="{00000000-0005-0000-0000-00001D0A0000}"/>
    <cellStyle name="Normal 7 12 2" xfId="2543" xr:uid="{00000000-0005-0000-0000-00001E0A0000}"/>
    <cellStyle name="Normal 7 13" xfId="2544" xr:uid="{00000000-0005-0000-0000-00001F0A0000}"/>
    <cellStyle name="Normal 7 14" xfId="2545" xr:uid="{00000000-0005-0000-0000-0000200A0000}"/>
    <cellStyle name="Normal 7 2" xfId="2546" xr:uid="{00000000-0005-0000-0000-0000210A0000}"/>
    <cellStyle name="Normal 7 2 10" xfId="2547" xr:uid="{00000000-0005-0000-0000-0000220A0000}"/>
    <cellStyle name="Normal 7 2 2" xfId="2548" xr:uid="{00000000-0005-0000-0000-0000230A0000}"/>
    <cellStyle name="Normal 7 2 2 2" xfId="2549" xr:uid="{00000000-0005-0000-0000-0000240A0000}"/>
    <cellStyle name="Normal 7 2 3" xfId="2550" xr:uid="{00000000-0005-0000-0000-0000250A0000}"/>
    <cellStyle name="Normal 7 2 3 2" xfId="2551" xr:uid="{00000000-0005-0000-0000-0000260A0000}"/>
    <cellStyle name="Normal 7 2 4" xfId="2552" xr:uid="{00000000-0005-0000-0000-0000270A0000}"/>
    <cellStyle name="Normal 7 2 4 2" xfId="2553" xr:uid="{00000000-0005-0000-0000-0000280A0000}"/>
    <cellStyle name="Normal 7 2 5" xfId="2554" xr:uid="{00000000-0005-0000-0000-0000290A0000}"/>
    <cellStyle name="Normal 7 2 5 2" xfId="2555" xr:uid="{00000000-0005-0000-0000-00002A0A0000}"/>
    <cellStyle name="Normal 7 2 6" xfId="2556" xr:uid="{00000000-0005-0000-0000-00002B0A0000}"/>
    <cellStyle name="Normal 7 2 6 2" xfId="2557" xr:uid="{00000000-0005-0000-0000-00002C0A0000}"/>
    <cellStyle name="Normal 7 2 7" xfId="2558" xr:uid="{00000000-0005-0000-0000-00002D0A0000}"/>
    <cellStyle name="Normal 7 2 7 2" xfId="2559" xr:uid="{00000000-0005-0000-0000-00002E0A0000}"/>
    <cellStyle name="Normal 7 2 8" xfId="2560" xr:uid="{00000000-0005-0000-0000-00002F0A0000}"/>
    <cellStyle name="Normal 7 2 8 2" xfId="2561" xr:uid="{00000000-0005-0000-0000-0000300A0000}"/>
    <cellStyle name="Normal 7 2 9" xfId="2562" xr:uid="{00000000-0005-0000-0000-0000310A0000}"/>
    <cellStyle name="Normal 7 3" xfId="2563" xr:uid="{00000000-0005-0000-0000-0000320A0000}"/>
    <cellStyle name="Normal 7 3 2" xfId="2564" xr:uid="{00000000-0005-0000-0000-0000330A0000}"/>
    <cellStyle name="Normal 7 3 2 2" xfId="2565" xr:uid="{00000000-0005-0000-0000-0000340A0000}"/>
    <cellStyle name="Normal 7 3 3" xfId="2566" xr:uid="{00000000-0005-0000-0000-0000350A0000}"/>
    <cellStyle name="Normal 7 3 3 2" xfId="2567" xr:uid="{00000000-0005-0000-0000-0000360A0000}"/>
    <cellStyle name="Normal 7 3 4" xfId="2568" xr:uid="{00000000-0005-0000-0000-0000370A0000}"/>
    <cellStyle name="Normal 7 3 4 2" xfId="2569" xr:uid="{00000000-0005-0000-0000-0000380A0000}"/>
    <cellStyle name="Normal 7 3 5" xfId="2570" xr:uid="{00000000-0005-0000-0000-0000390A0000}"/>
    <cellStyle name="Normal 7 3 5 2" xfId="2571" xr:uid="{00000000-0005-0000-0000-00003A0A0000}"/>
    <cellStyle name="Normal 7 3 6" xfId="2572" xr:uid="{00000000-0005-0000-0000-00003B0A0000}"/>
    <cellStyle name="Normal 7 3 6 2" xfId="2573" xr:uid="{00000000-0005-0000-0000-00003C0A0000}"/>
    <cellStyle name="Normal 7 3 7" xfId="2574" xr:uid="{00000000-0005-0000-0000-00003D0A0000}"/>
    <cellStyle name="Normal 7 3 7 2" xfId="2575" xr:uid="{00000000-0005-0000-0000-00003E0A0000}"/>
    <cellStyle name="Normal 7 3 8" xfId="2576" xr:uid="{00000000-0005-0000-0000-00003F0A0000}"/>
    <cellStyle name="Normal 7 3 8 2" xfId="2577" xr:uid="{00000000-0005-0000-0000-0000400A0000}"/>
    <cellStyle name="Normal 7 3 9" xfId="2578" xr:uid="{00000000-0005-0000-0000-0000410A0000}"/>
    <cellStyle name="Normal 7 4" xfId="2579" xr:uid="{00000000-0005-0000-0000-0000420A0000}"/>
    <cellStyle name="Normal 7 4 2" xfId="2580" xr:uid="{00000000-0005-0000-0000-0000430A0000}"/>
    <cellStyle name="Normal 7 4 2 2" xfId="2581" xr:uid="{00000000-0005-0000-0000-0000440A0000}"/>
    <cellStyle name="Normal 7 4 3" xfId="2582" xr:uid="{00000000-0005-0000-0000-0000450A0000}"/>
    <cellStyle name="Normal 7 4 3 2" xfId="2583" xr:uid="{00000000-0005-0000-0000-0000460A0000}"/>
    <cellStyle name="Normal 7 4 4" xfId="2584" xr:uid="{00000000-0005-0000-0000-0000470A0000}"/>
    <cellStyle name="Normal 7 4 4 2" xfId="2585" xr:uid="{00000000-0005-0000-0000-0000480A0000}"/>
    <cellStyle name="Normal 7 4 5" xfId="2586" xr:uid="{00000000-0005-0000-0000-0000490A0000}"/>
    <cellStyle name="Normal 7 4 5 2" xfId="2587" xr:uid="{00000000-0005-0000-0000-00004A0A0000}"/>
    <cellStyle name="Normal 7 4 6" xfId="2588" xr:uid="{00000000-0005-0000-0000-00004B0A0000}"/>
    <cellStyle name="Normal 7 4 6 2" xfId="2589" xr:uid="{00000000-0005-0000-0000-00004C0A0000}"/>
    <cellStyle name="Normal 7 4 7" xfId="2590" xr:uid="{00000000-0005-0000-0000-00004D0A0000}"/>
    <cellStyle name="Normal 7 4 7 2" xfId="2591" xr:uid="{00000000-0005-0000-0000-00004E0A0000}"/>
    <cellStyle name="Normal 7 4 8" xfId="2592" xr:uid="{00000000-0005-0000-0000-00004F0A0000}"/>
    <cellStyle name="Normal 7 4 8 2" xfId="2593" xr:uid="{00000000-0005-0000-0000-0000500A0000}"/>
    <cellStyle name="Normal 7 4 9" xfId="2594" xr:uid="{00000000-0005-0000-0000-0000510A0000}"/>
    <cellStyle name="Normal 7 5" xfId="2595" xr:uid="{00000000-0005-0000-0000-0000520A0000}"/>
    <cellStyle name="Normal 7 5 2" xfId="2596" xr:uid="{00000000-0005-0000-0000-0000530A0000}"/>
    <cellStyle name="Normal 7 5 2 2" xfId="2597" xr:uid="{00000000-0005-0000-0000-0000540A0000}"/>
    <cellStyle name="Normal 7 5 3" xfId="2598" xr:uid="{00000000-0005-0000-0000-0000550A0000}"/>
    <cellStyle name="Normal 7 5 3 2" xfId="2599" xr:uid="{00000000-0005-0000-0000-0000560A0000}"/>
    <cellStyle name="Normal 7 5 4" xfId="2600" xr:uid="{00000000-0005-0000-0000-0000570A0000}"/>
    <cellStyle name="Normal 7 5 4 2" xfId="2601" xr:uid="{00000000-0005-0000-0000-0000580A0000}"/>
    <cellStyle name="Normal 7 5 5" xfId="2602" xr:uid="{00000000-0005-0000-0000-0000590A0000}"/>
    <cellStyle name="Normal 7 5 5 2" xfId="2603" xr:uid="{00000000-0005-0000-0000-00005A0A0000}"/>
    <cellStyle name="Normal 7 5 6" xfId="2604" xr:uid="{00000000-0005-0000-0000-00005B0A0000}"/>
    <cellStyle name="Normal 7 5 6 2" xfId="2605" xr:uid="{00000000-0005-0000-0000-00005C0A0000}"/>
    <cellStyle name="Normal 7 5 7" xfId="2606" xr:uid="{00000000-0005-0000-0000-00005D0A0000}"/>
    <cellStyle name="Normal 7 5 7 2" xfId="2607" xr:uid="{00000000-0005-0000-0000-00005E0A0000}"/>
    <cellStyle name="Normal 7 5 8" xfId="2608" xr:uid="{00000000-0005-0000-0000-00005F0A0000}"/>
    <cellStyle name="Normal 7 5 8 2" xfId="2609" xr:uid="{00000000-0005-0000-0000-0000600A0000}"/>
    <cellStyle name="Normal 7 5 9" xfId="2610" xr:uid="{00000000-0005-0000-0000-0000610A0000}"/>
    <cellStyle name="Normal 7 6" xfId="2611" xr:uid="{00000000-0005-0000-0000-0000620A0000}"/>
    <cellStyle name="Normal 7 6 2" xfId="2612" xr:uid="{00000000-0005-0000-0000-0000630A0000}"/>
    <cellStyle name="Normal 7 7" xfId="2613" xr:uid="{00000000-0005-0000-0000-0000640A0000}"/>
    <cellStyle name="Normal 7 7 2" xfId="2614" xr:uid="{00000000-0005-0000-0000-0000650A0000}"/>
    <cellStyle name="Normal 7 8" xfId="2615" xr:uid="{00000000-0005-0000-0000-0000660A0000}"/>
    <cellStyle name="Normal 7 8 2" xfId="2616" xr:uid="{00000000-0005-0000-0000-0000670A0000}"/>
    <cellStyle name="Normal 7 9" xfId="2617" xr:uid="{00000000-0005-0000-0000-0000680A0000}"/>
    <cellStyle name="Normal 7 9 2" xfId="2618" xr:uid="{00000000-0005-0000-0000-0000690A0000}"/>
    <cellStyle name="Normal 8" xfId="2619" xr:uid="{00000000-0005-0000-0000-00006A0A0000}"/>
    <cellStyle name="Normal 8 10" xfId="2620" xr:uid="{00000000-0005-0000-0000-00006B0A0000}"/>
    <cellStyle name="Normal 8 10 2" xfId="2621" xr:uid="{00000000-0005-0000-0000-00006C0A0000}"/>
    <cellStyle name="Normal 8 11" xfId="2622" xr:uid="{00000000-0005-0000-0000-00006D0A0000}"/>
    <cellStyle name="Normal 8 11 2" xfId="2623" xr:uid="{00000000-0005-0000-0000-00006E0A0000}"/>
    <cellStyle name="Normal 8 12" xfId="2624" xr:uid="{00000000-0005-0000-0000-00006F0A0000}"/>
    <cellStyle name="Normal 8 12 2" xfId="2625" xr:uid="{00000000-0005-0000-0000-0000700A0000}"/>
    <cellStyle name="Normal 8 13" xfId="2626" xr:uid="{00000000-0005-0000-0000-0000710A0000}"/>
    <cellStyle name="Normal 8 14" xfId="2627" xr:uid="{00000000-0005-0000-0000-0000720A0000}"/>
    <cellStyle name="Normal 8 2" xfId="2628" xr:uid="{00000000-0005-0000-0000-0000730A0000}"/>
    <cellStyle name="Normal 8 2 10" xfId="2629" xr:uid="{00000000-0005-0000-0000-0000740A0000}"/>
    <cellStyle name="Normal 8 2 2" xfId="2630" xr:uid="{00000000-0005-0000-0000-0000750A0000}"/>
    <cellStyle name="Normal 8 2 2 2" xfId="2631" xr:uid="{00000000-0005-0000-0000-0000760A0000}"/>
    <cellStyle name="Normal 8 2 3" xfId="2632" xr:uid="{00000000-0005-0000-0000-0000770A0000}"/>
    <cellStyle name="Normal 8 2 3 2" xfId="2633" xr:uid="{00000000-0005-0000-0000-0000780A0000}"/>
    <cellStyle name="Normal 8 2 4" xfId="2634" xr:uid="{00000000-0005-0000-0000-0000790A0000}"/>
    <cellStyle name="Normal 8 2 4 2" xfId="2635" xr:uid="{00000000-0005-0000-0000-00007A0A0000}"/>
    <cellStyle name="Normal 8 2 5" xfId="2636" xr:uid="{00000000-0005-0000-0000-00007B0A0000}"/>
    <cellStyle name="Normal 8 2 5 2" xfId="2637" xr:uid="{00000000-0005-0000-0000-00007C0A0000}"/>
    <cellStyle name="Normal 8 2 6" xfId="2638" xr:uid="{00000000-0005-0000-0000-00007D0A0000}"/>
    <cellStyle name="Normal 8 2 6 2" xfId="2639" xr:uid="{00000000-0005-0000-0000-00007E0A0000}"/>
    <cellStyle name="Normal 8 2 7" xfId="2640" xr:uid="{00000000-0005-0000-0000-00007F0A0000}"/>
    <cellStyle name="Normal 8 2 7 2" xfId="2641" xr:uid="{00000000-0005-0000-0000-0000800A0000}"/>
    <cellStyle name="Normal 8 2 8" xfId="2642" xr:uid="{00000000-0005-0000-0000-0000810A0000}"/>
    <cellStyle name="Normal 8 2 8 2" xfId="2643" xr:uid="{00000000-0005-0000-0000-0000820A0000}"/>
    <cellStyle name="Normal 8 2 9" xfId="2644" xr:uid="{00000000-0005-0000-0000-0000830A0000}"/>
    <cellStyle name="Normal 8 3" xfId="2645" xr:uid="{00000000-0005-0000-0000-0000840A0000}"/>
    <cellStyle name="Normal 8 3 2" xfId="2646" xr:uid="{00000000-0005-0000-0000-0000850A0000}"/>
    <cellStyle name="Normal 8 3 2 2" xfId="2647" xr:uid="{00000000-0005-0000-0000-0000860A0000}"/>
    <cellStyle name="Normal 8 3 3" xfId="2648" xr:uid="{00000000-0005-0000-0000-0000870A0000}"/>
    <cellStyle name="Normal 8 3 3 2" xfId="2649" xr:uid="{00000000-0005-0000-0000-0000880A0000}"/>
    <cellStyle name="Normal 8 3 4" xfId="2650" xr:uid="{00000000-0005-0000-0000-0000890A0000}"/>
    <cellStyle name="Normal 8 3 4 2" xfId="2651" xr:uid="{00000000-0005-0000-0000-00008A0A0000}"/>
    <cellStyle name="Normal 8 3 5" xfId="2652" xr:uid="{00000000-0005-0000-0000-00008B0A0000}"/>
    <cellStyle name="Normal 8 3 5 2" xfId="2653" xr:uid="{00000000-0005-0000-0000-00008C0A0000}"/>
    <cellStyle name="Normal 8 3 6" xfId="2654" xr:uid="{00000000-0005-0000-0000-00008D0A0000}"/>
    <cellStyle name="Normal 8 3 6 2" xfId="2655" xr:uid="{00000000-0005-0000-0000-00008E0A0000}"/>
    <cellStyle name="Normal 8 3 7" xfId="2656" xr:uid="{00000000-0005-0000-0000-00008F0A0000}"/>
    <cellStyle name="Normal 8 3 7 2" xfId="2657" xr:uid="{00000000-0005-0000-0000-0000900A0000}"/>
    <cellStyle name="Normal 8 3 8" xfId="2658" xr:uid="{00000000-0005-0000-0000-0000910A0000}"/>
    <cellStyle name="Normal 8 3 8 2" xfId="2659" xr:uid="{00000000-0005-0000-0000-0000920A0000}"/>
    <cellStyle name="Normal 8 3 9" xfId="2660" xr:uid="{00000000-0005-0000-0000-0000930A0000}"/>
    <cellStyle name="Normal 8 4" xfId="2661" xr:uid="{00000000-0005-0000-0000-0000940A0000}"/>
    <cellStyle name="Normal 8 4 2" xfId="2662" xr:uid="{00000000-0005-0000-0000-0000950A0000}"/>
    <cellStyle name="Normal 8 4 2 2" xfId="2663" xr:uid="{00000000-0005-0000-0000-0000960A0000}"/>
    <cellStyle name="Normal 8 4 3" xfId="2664" xr:uid="{00000000-0005-0000-0000-0000970A0000}"/>
    <cellStyle name="Normal 8 4 3 2" xfId="2665" xr:uid="{00000000-0005-0000-0000-0000980A0000}"/>
    <cellStyle name="Normal 8 4 4" xfId="2666" xr:uid="{00000000-0005-0000-0000-0000990A0000}"/>
    <cellStyle name="Normal 8 4 4 2" xfId="2667" xr:uid="{00000000-0005-0000-0000-00009A0A0000}"/>
    <cellStyle name="Normal 8 4 5" xfId="2668" xr:uid="{00000000-0005-0000-0000-00009B0A0000}"/>
    <cellStyle name="Normal 8 4 5 2" xfId="2669" xr:uid="{00000000-0005-0000-0000-00009C0A0000}"/>
    <cellStyle name="Normal 8 4 6" xfId="2670" xr:uid="{00000000-0005-0000-0000-00009D0A0000}"/>
    <cellStyle name="Normal 8 4 6 2" xfId="2671" xr:uid="{00000000-0005-0000-0000-00009E0A0000}"/>
    <cellStyle name="Normal 8 4 7" xfId="2672" xr:uid="{00000000-0005-0000-0000-00009F0A0000}"/>
    <cellStyle name="Normal 8 4 7 2" xfId="2673" xr:uid="{00000000-0005-0000-0000-0000A00A0000}"/>
    <cellStyle name="Normal 8 4 8" xfId="2674" xr:uid="{00000000-0005-0000-0000-0000A10A0000}"/>
    <cellStyle name="Normal 8 4 8 2" xfId="2675" xr:uid="{00000000-0005-0000-0000-0000A20A0000}"/>
    <cellStyle name="Normal 8 4 9" xfId="2676" xr:uid="{00000000-0005-0000-0000-0000A30A0000}"/>
    <cellStyle name="Normal 8 5" xfId="2677" xr:uid="{00000000-0005-0000-0000-0000A40A0000}"/>
    <cellStyle name="Normal 8 5 2" xfId="2678" xr:uid="{00000000-0005-0000-0000-0000A50A0000}"/>
    <cellStyle name="Normal 8 5 2 2" xfId="2679" xr:uid="{00000000-0005-0000-0000-0000A60A0000}"/>
    <cellStyle name="Normal 8 5 3" xfId="2680" xr:uid="{00000000-0005-0000-0000-0000A70A0000}"/>
    <cellStyle name="Normal 8 5 3 2" xfId="2681" xr:uid="{00000000-0005-0000-0000-0000A80A0000}"/>
    <cellStyle name="Normal 8 5 4" xfId="2682" xr:uid="{00000000-0005-0000-0000-0000A90A0000}"/>
    <cellStyle name="Normal 8 5 4 2" xfId="2683" xr:uid="{00000000-0005-0000-0000-0000AA0A0000}"/>
    <cellStyle name="Normal 8 5 5" xfId="2684" xr:uid="{00000000-0005-0000-0000-0000AB0A0000}"/>
    <cellStyle name="Normal 8 5 5 2" xfId="2685" xr:uid="{00000000-0005-0000-0000-0000AC0A0000}"/>
    <cellStyle name="Normal 8 5 6" xfId="2686" xr:uid="{00000000-0005-0000-0000-0000AD0A0000}"/>
    <cellStyle name="Normal 8 5 6 2" xfId="2687" xr:uid="{00000000-0005-0000-0000-0000AE0A0000}"/>
    <cellStyle name="Normal 8 5 7" xfId="2688" xr:uid="{00000000-0005-0000-0000-0000AF0A0000}"/>
    <cellStyle name="Normal 8 5 7 2" xfId="2689" xr:uid="{00000000-0005-0000-0000-0000B00A0000}"/>
    <cellStyle name="Normal 8 5 8" xfId="2690" xr:uid="{00000000-0005-0000-0000-0000B10A0000}"/>
    <cellStyle name="Normal 8 5 8 2" xfId="2691" xr:uid="{00000000-0005-0000-0000-0000B20A0000}"/>
    <cellStyle name="Normal 8 5 9" xfId="2692" xr:uid="{00000000-0005-0000-0000-0000B30A0000}"/>
    <cellStyle name="Normal 8 6" xfId="2693" xr:uid="{00000000-0005-0000-0000-0000B40A0000}"/>
    <cellStyle name="Normal 8 6 2" xfId="2694" xr:uid="{00000000-0005-0000-0000-0000B50A0000}"/>
    <cellStyle name="Normal 8 7" xfId="2695" xr:uid="{00000000-0005-0000-0000-0000B60A0000}"/>
    <cellStyle name="Normal 8 7 2" xfId="2696" xr:uid="{00000000-0005-0000-0000-0000B70A0000}"/>
    <cellStyle name="Normal 8 8" xfId="2697" xr:uid="{00000000-0005-0000-0000-0000B80A0000}"/>
    <cellStyle name="Normal 8 8 2" xfId="2698" xr:uid="{00000000-0005-0000-0000-0000B90A0000}"/>
    <cellStyle name="Normal 8 9" xfId="2699" xr:uid="{00000000-0005-0000-0000-0000BA0A0000}"/>
    <cellStyle name="Normal 8 9 2" xfId="2700" xr:uid="{00000000-0005-0000-0000-0000BB0A0000}"/>
    <cellStyle name="Normal 9" xfId="2701" xr:uid="{00000000-0005-0000-0000-0000BC0A0000}"/>
    <cellStyle name="Normal 9 10" xfId="2702" xr:uid="{00000000-0005-0000-0000-0000BD0A0000}"/>
    <cellStyle name="Normal 9 2" xfId="2703" xr:uid="{00000000-0005-0000-0000-0000BE0A0000}"/>
    <cellStyle name="Normal 9 2 2" xfId="2704" xr:uid="{00000000-0005-0000-0000-0000BF0A0000}"/>
    <cellStyle name="Normal 9 3" xfId="2705" xr:uid="{00000000-0005-0000-0000-0000C00A0000}"/>
    <cellStyle name="Normal 9 3 2" xfId="2706" xr:uid="{00000000-0005-0000-0000-0000C10A0000}"/>
    <cellStyle name="Normal 9 4" xfId="2707" xr:uid="{00000000-0005-0000-0000-0000C20A0000}"/>
    <cellStyle name="Normal 9 4 2" xfId="2708" xr:uid="{00000000-0005-0000-0000-0000C30A0000}"/>
    <cellStyle name="Normal 9 5" xfId="2709" xr:uid="{00000000-0005-0000-0000-0000C40A0000}"/>
    <cellStyle name="Normal 9 5 2" xfId="2710" xr:uid="{00000000-0005-0000-0000-0000C50A0000}"/>
    <cellStyle name="Normal 9 6" xfId="2711" xr:uid="{00000000-0005-0000-0000-0000C60A0000}"/>
    <cellStyle name="Normal 9 6 2" xfId="2712" xr:uid="{00000000-0005-0000-0000-0000C70A0000}"/>
    <cellStyle name="Normal 9 7" xfId="2713" xr:uid="{00000000-0005-0000-0000-0000C80A0000}"/>
    <cellStyle name="Normal 9 7 2" xfId="2714" xr:uid="{00000000-0005-0000-0000-0000C90A0000}"/>
    <cellStyle name="Normal 9 8" xfId="2715" xr:uid="{00000000-0005-0000-0000-0000CA0A0000}"/>
    <cellStyle name="Normal 9 8 2" xfId="2716" xr:uid="{00000000-0005-0000-0000-0000CB0A0000}"/>
    <cellStyle name="Normal 9 9" xfId="2717" xr:uid="{00000000-0005-0000-0000-0000CC0A0000}"/>
    <cellStyle name="Normal GHG Numbers (0.00)" xfId="2718" xr:uid="{00000000-0005-0000-0000-0000CD0A0000}"/>
    <cellStyle name="Normal GHG Textfiels Bold" xfId="2719" xr:uid="{00000000-0005-0000-0000-0000CE0A0000}"/>
    <cellStyle name="Normal GHG-Shade" xfId="2720" xr:uid="{00000000-0005-0000-0000-0000CF0A0000}"/>
    <cellStyle name="Normal GHG-Shade 2" xfId="2721" xr:uid="{00000000-0005-0000-0000-0000D00A0000}"/>
    <cellStyle name="Normal GHG-Shade 2 2" xfId="2722" xr:uid="{00000000-0005-0000-0000-0000D10A0000}"/>
    <cellStyle name="Normal GHG-Shade 3" xfId="2723" xr:uid="{00000000-0005-0000-0000-0000D20A0000}"/>
    <cellStyle name="Normale_B2020" xfId="2724" xr:uid="{00000000-0005-0000-0000-0000D30A0000}"/>
    <cellStyle name="Note 2" xfId="2725" xr:uid="{00000000-0005-0000-0000-0000D40A0000}"/>
    <cellStyle name="Note 2 10" xfId="2726" xr:uid="{00000000-0005-0000-0000-0000D50A0000}"/>
    <cellStyle name="Note 2 10 2" xfId="2727" xr:uid="{00000000-0005-0000-0000-0000D60A0000}"/>
    <cellStyle name="Note 2 11" xfId="2728" xr:uid="{00000000-0005-0000-0000-0000D70A0000}"/>
    <cellStyle name="Note 2 11 2" xfId="2729" xr:uid="{00000000-0005-0000-0000-0000D80A0000}"/>
    <cellStyle name="Note 2 12" xfId="2730" xr:uid="{00000000-0005-0000-0000-0000D90A0000}"/>
    <cellStyle name="Note 2 12 2" xfId="2731" xr:uid="{00000000-0005-0000-0000-0000DA0A0000}"/>
    <cellStyle name="Note 2 13" xfId="2732" xr:uid="{00000000-0005-0000-0000-0000DB0A0000}"/>
    <cellStyle name="Note 2 13 2" xfId="2733" xr:uid="{00000000-0005-0000-0000-0000DC0A0000}"/>
    <cellStyle name="Note 2 14" xfId="2734" xr:uid="{00000000-0005-0000-0000-0000DD0A0000}"/>
    <cellStyle name="Note 2 14 2" xfId="2735" xr:uid="{00000000-0005-0000-0000-0000DE0A0000}"/>
    <cellStyle name="Note 2 15" xfId="2736" xr:uid="{00000000-0005-0000-0000-0000DF0A0000}"/>
    <cellStyle name="Note 2 15 2" xfId="2737" xr:uid="{00000000-0005-0000-0000-0000E00A0000}"/>
    <cellStyle name="Note 2 16" xfId="2738" xr:uid="{00000000-0005-0000-0000-0000E10A0000}"/>
    <cellStyle name="Note 2 17" xfId="2739" xr:uid="{00000000-0005-0000-0000-0000E20A0000}"/>
    <cellStyle name="Note 2 2" xfId="2740" xr:uid="{00000000-0005-0000-0000-0000E30A0000}"/>
    <cellStyle name="Note 2 2 2" xfId="2741" xr:uid="{00000000-0005-0000-0000-0000E40A0000}"/>
    <cellStyle name="Note 2 2 2 2" xfId="2742" xr:uid="{00000000-0005-0000-0000-0000E50A0000}"/>
    <cellStyle name="Note 2 3" xfId="2743" xr:uid="{00000000-0005-0000-0000-0000E60A0000}"/>
    <cellStyle name="Note 2 3 2" xfId="2744" xr:uid="{00000000-0005-0000-0000-0000E70A0000}"/>
    <cellStyle name="Note 2 4" xfId="2745" xr:uid="{00000000-0005-0000-0000-0000E80A0000}"/>
    <cellStyle name="Note 2 4 2" xfId="2746" xr:uid="{00000000-0005-0000-0000-0000E90A0000}"/>
    <cellStyle name="Note 2 5" xfId="2747" xr:uid="{00000000-0005-0000-0000-0000EA0A0000}"/>
    <cellStyle name="Note 2 5 2" xfId="2748" xr:uid="{00000000-0005-0000-0000-0000EB0A0000}"/>
    <cellStyle name="Note 2 6" xfId="2749" xr:uid="{00000000-0005-0000-0000-0000EC0A0000}"/>
    <cellStyle name="Note 2 6 2" xfId="2750" xr:uid="{00000000-0005-0000-0000-0000ED0A0000}"/>
    <cellStyle name="Note 2 7" xfId="2751" xr:uid="{00000000-0005-0000-0000-0000EE0A0000}"/>
    <cellStyle name="Note 2 7 2" xfId="2752" xr:uid="{00000000-0005-0000-0000-0000EF0A0000}"/>
    <cellStyle name="Note 2 8" xfId="2753" xr:uid="{00000000-0005-0000-0000-0000F00A0000}"/>
    <cellStyle name="Note 2 8 2" xfId="2754" xr:uid="{00000000-0005-0000-0000-0000F10A0000}"/>
    <cellStyle name="Note 2 9" xfId="2755" xr:uid="{00000000-0005-0000-0000-0000F20A0000}"/>
    <cellStyle name="Note 2 9 2" xfId="2756" xr:uid="{00000000-0005-0000-0000-0000F30A0000}"/>
    <cellStyle name="Note 3" xfId="2757" xr:uid="{00000000-0005-0000-0000-0000F40A0000}"/>
    <cellStyle name="Note 3 2" xfId="2758" xr:uid="{00000000-0005-0000-0000-0000F50A0000}"/>
    <cellStyle name="Note 3 2 2" xfId="2759" xr:uid="{00000000-0005-0000-0000-0000F60A0000}"/>
    <cellStyle name="Note 3 2 3" xfId="2760" xr:uid="{00000000-0005-0000-0000-0000F70A0000}"/>
    <cellStyle name="Note 3 3" xfId="2761" xr:uid="{00000000-0005-0000-0000-0000F80A0000}"/>
    <cellStyle name="Note 4" xfId="2762" xr:uid="{00000000-0005-0000-0000-0000F90A0000}"/>
    <cellStyle name="Note 4 2" xfId="2763" xr:uid="{00000000-0005-0000-0000-0000FA0A0000}"/>
    <cellStyle name="Note 5" xfId="2764" xr:uid="{00000000-0005-0000-0000-0000FB0A0000}"/>
    <cellStyle name="Note 5 2" xfId="2765" xr:uid="{00000000-0005-0000-0000-0000FC0A0000}"/>
    <cellStyle name="Note 6" xfId="2766" xr:uid="{00000000-0005-0000-0000-0000FD0A0000}"/>
    <cellStyle name="Note 6 2" xfId="2767" xr:uid="{00000000-0005-0000-0000-0000FE0A0000}"/>
    <cellStyle name="Note 7" xfId="2768" xr:uid="{00000000-0005-0000-0000-0000FF0A0000}"/>
    <cellStyle name="Note 7 2" xfId="2769" xr:uid="{00000000-0005-0000-0000-0000000B0000}"/>
    <cellStyle name="Note 8" xfId="2770" xr:uid="{00000000-0005-0000-0000-0000010B0000}"/>
    <cellStyle name="Note 8 2" xfId="2771" xr:uid="{00000000-0005-0000-0000-0000020B0000}"/>
    <cellStyle name="num_note" xfId="2772" xr:uid="{00000000-0005-0000-0000-0000030B0000}"/>
    <cellStyle name="Nuovo" xfId="2773" xr:uid="{00000000-0005-0000-0000-0000040B0000}"/>
    <cellStyle name="Nuovo 2" xfId="2774" xr:uid="{00000000-0005-0000-0000-0000050B0000}"/>
    <cellStyle name="Output 2" xfId="2775" xr:uid="{00000000-0005-0000-0000-0000060B0000}"/>
    <cellStyle name="Output 2 10" xfId="2776" xr:uid="{00000000-0005-0000-0000-0000070B0000}"/>
    <cellStyle name="Output 2 2" xfId="2777" xr:uid="{00000000-0005-0000-0000-0000080B0000}"/>
    <cellStyle name="Output 2 3" xfId="2778" xr:uid="{00000000-0005-0000-0000-0000090B0000}"/>
    <cellStyle name="Output 2 4" xfId="2779" xr:uid="{00000000-0005-0000-0000-00000A0B0000}"/>
    <cellStyle name="Output 2 5" xfId="2780" xr:uid="{00000000-0005-0000-0000-00000B0B0000}"/>
    <cellStyle name="Output 2 6" xfId="2781" xr:uid="{00000000-0005-0000-0000-00000C0B0000}"/>
    <cellStyle name="Output 2 7" xfId="2782" xr:uid="{00000000-0005-0000-0000-00000D0B0000}"/>
    <cellStyle name="Output 2 8" xfId="2783" xr:uid="{00000000-0005-0000-0000-00000E0B0000}"/>
    <cellStyle name="Output 2 9" xfId="2784" xr:uid="{00000000-0005-0000-0000-00000F0B0000}"/>
    <cellStyle name="Output 3" xfId="2785" xr:uid="{00000000-0005-0000-0000-0000100B0000}"/>
    <cellStyle name="Output 3 2" xfId="2786" xr:uid="{00000000-0005-0000-0000-0000110B0000}"/>
    <cellStyle name="Percent 10" xfId="2787" xr:uid="{00000000-0005-0000-0000-0000120B0000}"/>
    <cellStyle name="Percent 10 2" xfId="2788" xr:uid="{00000000-0005-0000-0000-0000130B0000}"/>
    <cellStyle name="Percent 10 2 2" xfId="2789" xr:uid="{00000000-0005-0000-0000-0000140B0000}"/>
    <cellStyle name="Percent 10 3" xfId="2790" xr:uid="{00000000-0005-0000-0000-0000150B0000}"/>
    <cellStyle name="Percent 10 3 2" xfId="2791" xr:uid="{00000000-0005-0000-0000-0000160B0000}"/>
    <cellStyle name="Percent 10 4" xfId="2792" xr:uid="{00000000-0005-0000-0000-0000170B0000}"/>
    <cellStyle name="Percent 10 4 2" xfId="2793" xr:uid="{00000000-0005-0000-0000-0000180B0000}"/>
    <cellStyle name="Percent 10 5" xfId="2794" xr:uid="{00000000-0005-0000-0000-0000190B0000}"/>
    <cellStyle name="Percent 10 5 2" xfId="2795" xr:uid="{00000000-0005-0000-0000-00001A0B0000}"/>
    <cellStyle name="Percent 10 6" xfId="2796" xr:uid="{00000000-0005-0000-0000-00001B0B0000}"/>
    <cellStyle name="Percent 10 6 2" xfId="2797" xr:uid="{00000000-0005-0000-0000-00001C0B0000}"/>
    <cellStyle name="Percent 10 7" xfId="2798" xr:uid="{00000000-0005-0000-0000-00001D0B0000}"/>
    <cellStyle name="Percent 10 7 2" xfId="2799" xr:uid="{00000000-0005-0000-0000-00001E0B0000}"/>
    <cellStyle name="Percent 10 8" xfId="2800" xr:uid="{00000000-0005-0000-0000-00001F0B0000}"/>
    <cellStyle name="Percent 10 8 2" xfId="2801" xr:uid="{00000000-0005-0000-0000-0000200B0000}"/>
    <cellStyle name="Percent 10 9" xfId="2802" xr:uid="{00000000-0005-0000-0000-0000210B0000}"/>
    <cellStyle name="Percent 11" xfId="2803" xr:uid="{00000000-0005-0000-0000-0000220B0000}"/>
    <cellStyle name="Percent 11 2" xfId="2804" xr:uid="{00000000-0005-0000-0000-0000230B0000}"/>
    <cellStyle name="Percent 11 2 2" xfId="2805" xr:uid="{00000000-0005-0000-0000-0000240B0000}"/>
    <cellStyle name="Percent 11 3" xfId="2806" xr:uid="{00000000-0005-0000-0000-0000250B0000}"/>
    <cellStyle name="Percent 11 3 2" xfId="2807" xr:uid="{00000000-0005-0000-0000-0000260B0000}"/>
    <cellStyle name="Percent 11 4" xfId="2808" xr:uid="{00000000-0005-0000-0000-0000270B0000}"/>
    <cellStyle name="Percent 11 4 2" xfId="2809" xr:uid="{00000000-0005-0000-0000-0000280B0000}"/>
    <cellStyle name="Percent 11 5" xfId="2810" xr:uid="{00000000-0005-0000-0000-0000290B0000}"/>
    <cellStyle name="Percent 11 5 2" xfId="2811" xr:uid="{00000000-0005-0000-0000-00002A0B0000}"/>
    <cellStyle name="Percent 11 6" xfId="2812" xr:uid="{00000000-0005-0000-0000-00002B0B0000}"/>
    <cellStyle name="Percent 11 6 2" xfId="2813" xr:uid="{00000000-0005-0000-0000-00002C0B0000}"/>
    <cellStyle name="Percent 11 7" xfId="2814" xr:uid="{00000000-0005-0000-0000-00002D0B0000}"/>
    <cellStyle name="Percent 11 7 2" xfId="2815" xr:uid="{00000000-0005-0000-0000-00002E0B0000}"/>
    <cellStyle name="Percent 11 8" xfId="2816" xr:uid="{00000000-0005-0000-0000-00002F0B0000}"/>
    <cellStyle name="Percent 11 8 2" xfId="2817" xr:uid="{00000000-0005-0000-0000-0000300B0000}"/>
    <cellStyle name="Percent 11 9" xfId="2818" xr:uid="{00000000-0005-0000-0000-0000310B0000}"/>
    <cellStyle name="Percent 12" xfId="2819" xr:uid="{00000000-0005-0000-0000-0000320B0000}"/>
    <cellStyle name="Percent 12 2" xfId="2820" xr:uid="{00000000-0005-0000-0000-0000330B0000}"/>
    <cellStyle name="Percent 12 2 2" xfId="2821" xr:uid="{00000000-0005-0000-0000-0000340B0000}"/>
    <cellStyle name="Percent 12 3" xfId="2822" xr:uid="{00000000-0005-0000-0000-0000350B0000}"/>
    <cellStyle name="Percent 12 3 2" xfId="2823" xr:uid="{00000000-0005-0000-0000-0000360B0000}"/>
    <cellStyle name="Percent 12 4" xfId="2824" xr:uid="{00000000-0005-0000-0000-0000370B0000}"/>
    <cellStyle name="Percent 12 4 2" xfId="2825" xr:uid="{00000000-0005-0000-0000-0000380B0000}"/>
    <cellStyle name="Percent 12 5" xfId="2826" xr:uid="{00000000-0005-0000-0000-0000390B0000}"/>
    <cellStyle name="Percent 12 5 2" xfId="2827" xr:uid="{00000000-0005-0000-0000-00003A0B0000}"/>
    <cellStyle name="Percent 12 6" xfId="2828" xr:uid="{00000000-0005-0000-0000-00003B0B0000}"/>
    <cellStyle name="Percent 12 6 2" xfId="2829" xr:uid="{00000000-0005-0000-0000-00003C0B0000}"/>
    <cellStyle name="Percent 12 7" xfId="2830" xr:uid="{00000000-0005-0000-0000-00003D0B0000}"/>
    <cellStyle name="Percent 12 7 2" xfId="2831" xr:uid="{00000000-0005-0000-0000-00003E0B0000}"/>
    <cellStyle name="Percent 12 8" xfId="2832" xr:uid="{00000000-0005-0000-0000-00003F0B0000}"/>
    <cellStyle name="Percent 12 8 2" xfId="2833" xr:uid="{00000000-0005-0000-0000-0000400B0000}"/>
    <cellStyle name="Percent 12 9" xfId="2834" xr:uid="{00000000-0005-0000-0000-0000410B0000}"/>
    <cellStyle name="Percent 13" xfId="2835" xr:uid="{00000000-0005-0000-0000-0000420B0000}"/>
    <cellStyle name="Percent 13 2" xfId="2836" xr:uid="{00000000-0005-0000-0000-0000430B0000}"/>
    <cellStyle name="Percent 13 2 2" xfId="2837" xr:uid="{00000000-0005-0000-0000-0000440B0000}"/>
    <cellStyle name="Percent 13 3" xfId="2838" xr:uid="{00000000-0005-0000-0000-0000450B0000}"/>
    <cellStyle name="Percent 13 3 2" xfId="2839" xr:uid="{00000000-0005-0000-0000-0000460B0000}"/>
    <cellStyle name="Percent 13 4" xfId="2840" xr:uid="{00000000-0005-0000-0000-0000470B0000}"/>
    <cellStyle name="Percent 13 4 2" xfId="2841" xr:uid="{00000000-0005-0000-0000-0000480B0000}"/>
    <cellStyle name="Percent 13 5" xfId="2842" xr:uid="{00000000-0005-0000-0000-0000490B0000}"/>
    <cellStyle name="Percent 13 5 2" xfId="2843" xr:uid="{00000000-0005-0000-0000-00004A0B0000}"/>
    <cellStyle name="Percent 13 6" xfId="2844" xr:uid="{00000000-0005-0000-0000-00004B0B0000}"/>
    <cellStyle name="Percent 13 6 2" xfId="2845" xr:uid="{00000000-0005-0000-0000-00004C0B0000}"/>
    <cellStyle name="Percent 13 7" xfId="2846" xr:uid="{00000000-0005-0000-0000-00004D0B0000}"/>
    <cellStyle name="Percent 13 7 2" xfId="2847" xr:uid="{00000000-0005-0000-0000-00004E0B0000}"/>
    <cellStyle name="Percent 13 8" xfId="2848" xr:uid="{00000000-0005-0000-0000-00004F0B0000}"/>
    <cellStyle name="Percent 13 8 2" xfId="2849" xr:uid="{00000000-0005-0000-0000-0000500B0000}"/>
    <cellStyle name="Percent 13 9" xfId="2850" xr:uid="{00000000-0005-0000-0000-0000510B0000}"/>
    <cellStyle name="Percent 14" xfId="2851" xr:uid="{00000000-0005-0000-0000-0000520B0000}"/>
    <cellStyle name="Percent 14 2" xfId="2852" xr:uid="{00000000-0005-0000-0000-0000530B0000}"/>
    <cellStyle name="Percent 14 2 2" xfId="2853" xr:uid="{00000000-0005-0000-0000-0000540B0000}"/>
    <cellStyle name="Percent 14 3" xfId="2854" xr:uid="{00000000-0005-0000-0000-0000550B0000}"/>
    <cellStyle name="Percent 14 3 2" xfId="2855" xr:uid="{00000000-0005-0000-0000-0000560B0000}"/>
    <cellStyle name="Percent 14 4" xfId="2856" xr:uid="{00000000-0005-0000-0000-0000570B0000}"/>
    <cellStyle name="Percent 14 4 2" xfId="2857" xr:uid="{00000000-0005-0000-0000-0000580B0000}"/>
    <cellStyle name="Percent 14 5" xfId="2858" xr:uid="{00000000-0005-0000-0000-0000590B0000}"/>
    <cellStyle name="Percent 14 5 2" xfId="2859" xr:uid="{00000000-0005-0000-0000-00005A0B0000}"/>
    <cellStyle name="Percent 14 6" xfId="2860" xr:uid="{00000000-0005-0000-0000-00005B0B0000}"/>
    <cellStyle name="Percent 14 6 2" xfId="2861" xr:uid="{00000000-0005-0000-0000-00005C0B0000}"/>
    <cellStyle name="Percent 14 7" xfId="2862" xr:uid="{00000000-0005-0000-0000-00005D0B0000}"/>
    <cellStyle name="Percent 14 7 2" xfId="2863" xr:uid="{00000000-0005-0000-0000-00005E0B0000}"/>
    <cellStyle name="Percent 14 8" xfId="2864" xr:uid="{00000000-0005-0000-0000-00005F0B0000}"/>
    <cellStyle name="Percent 14 8 2" xfId="2865" xr:uid="{00000000-0005-0000-0000-0000600B0000}"/>
    <cellStyle name="Percent 14 9" xfId="2866" xr:uid="{00000000-0005-0000-0000-0000610B0000}"/>
    <cellStyle name="Percent 15" xfId="2867" xr:uid="{00000000-0005-0000-0000-0000620B0000}"/>
    <cellStyle name="Percent 15 10" xfId="2868" xr:uid="{00000000-0005-0000-0000-0000630B0000}"/>
    <cellStyle name="Percent 15 10 2" xfId="2869" xr:uid="{00000000-0005-0000-0000-0000640B0000}"/>
    <cellStyle name="Percent 15 11" xfId="2870" xr:uid="{00000000-0005-0000-0000-0000650B0000}"/>
    <cellStyle name="Percent 15 11 2" xfId="2871" xr:uid="{00000000-0005-0000-0000-0000660B0000}"/>
    <cellStyle name="Percent 15 12" xfId="2872" xr:uid="{00000000-0005-0000-0000-0000670B0000}"/>
    <cellStyle name="Percent 15 12 2" xfId="2873" xr:uid="{00000000-0005-0000-0000-0000680B0000}"/>
    <cellStyle name="Percent 15 13" xfId="2874" xr:uid="{00000000-0005-0000-0000-0000690B0000}"/>
    <cellStyle name="Percent 15 13 2" xfId="2875" xr:uid="{00000000-0005-0000-0000-00006A0B0000}"/>
    <cellStyle name="Percent 15 14" xfId="2876" xr:uid="{00000000-0005-0000-0000-00006B0B0000}"/>
    <cellStyle name="Percent 15 14 2" xfId="2877" xr:uid="{00000000-0005-0000-0000-00006C0B0000}"/>
    <cellStyle name="Percent 15 2" xfId="2878" xr:uid="{00000000-0005-0000-0000-00006D0B0000}"/>
    <cellStyle name="Percent 15 2 2" xfId="2879" xr:uid="{00000000-0005-0000-0000-00006E0B0000}"/>
    <cellStyle name="Percent 15 2 3" xfId="2880" xr:uid="{00000000-0005-0000-0000-00006F0B0000}"/>
    <cellStyle name="Percent 15 2 4" xfId="2881" xr:uid="{00000000-0005-0000-0000-0000700B0000}"/>
    <cellStyle name="Percent 15 2 5" xfId="2882" xr:uid="{00000000-0005-0000-0000-0000710B0000}"/>
    <cellStyle name="Percent 15 2 6" xfId="2883" xr:uid="{00000000-0005-0000-0000-0000720B0000}"/>
    <cellStyle name="Percent 15 2 7" xfId="2884" xr:uid="{00000000-0005-0000-0000-0000730B0000}"/>
    <cellStyle name="Percent 15 2 8" xfId="2885" xr:uid="{00000000-0005-0000-0000-0000740B0000}"/>
    <cellStyle name="Percent 15 3" xfId="2886" xr:uid="{00000000-0005-0000-0000-0000750B0000}"/>
    <cellStyle name="Percent 15 4" xfId="2887" xr:uid="{00000000-0005-0000-0000-0000760B0000}"/>
    <cellStyle name="Percent 15 4 2" xfId="2888" xr:uid="{00000000-0005-0000-0000-0000770B0000}"/>
    <cellStyle name="Percent 15 5" xfId="2889" xr:uid="{00000000-0005-0000-0000-0000780B0000}"/>
    <cellStyle name="Percent 15 6" xfId="2890" xr:uid="{00000000-0005-0000-0000-0000790B0000}"/>
    <cellStyle name="Percent 15 7" xfId="2891" xr:uid="{00000000-0005-0000-0000-00007A0B0000}"/>
    <cellStyle name="Percent 15 8" xfId="2892" xr:uid="{00000000-0005-0000-0000-00007B0B0000}"/>
    <cellStyle name="Percent 15 9" xfId="2893" xr:uid="{00000000-0005-0000-0000-00007C0B0000}"/>
    <cellStyle name="Percent 15 9 2" xfId="2894" xr:uid="{00000000-0005-0000-0000-00007D0B0000}"/>
    <cellStyle name="Percent 16 2" xfId="2895" xr:uid="{00000000-0005-0000-0000-00007E0B0000}"/>
    <cellStyle name="Percent 16 3" xfId="2896" xr:uid="{00000000-0005-0000-0000-00007F0B0000}"/>
    <cellStyle name="Percent 16 3 10" xfId="2897" xr:uid="{00000000-0005-0000-0000-0000800B0000}"/>
    <cellStyle name="Percent 16 3 10 2" xfId="2898" xr:uid="{00000000-0005-0000-0000-0000810B0000}"/>
    <cellStyle name="Percent 16 3 11" xfId="2899" xr:uid="{00000000-0005-0000-0000-0000820B0000}"/>
    <cellStyle name="Percent 16 3 11 2" xfId="2900" xr:uid="{00000000-0005-0000-0000-0000830B0000}"/>
    <cellStyle name="Percent 16 3 12" xfId="2901" xr:uid="{00000000-0005-0000-0000-0000840B0000}"/>
    <cellStyle name="Percent 16 3 12 2" xfId="2902" xr:uid="{00000000-0005-0000-0000-0000850B0000}"/>
    <cellStyle name="Percent 16 3 13" xfId="2903" xr:uid="{00000000-0005-0000-0000-0000860B0000}"/>
    <cellStyle name="Percent 16 3 13 2" xfId="2904" xr:uid="{00000000-0005-0000-0000-0000870B0000}"/>
    <cellStyle name="Percent 16 3 14" xfId="2905" xr:uid="{00000000-0005-0000-0000-0000880B0000}"/>
    <cellStyle name="Percent 16 3 14 2" xfId="2906" xr:uid="{00000000-0005-0000-0000-0000890B0000}"/>
    <cellStyle name="Percent 16 3 15" xfId="2907" xr:uid="{00000000-0005-0000-0000-00008A0B0000}"/>
    <cellStyle name="Percent 16 3 15 2" xfId="2908" xr:uid="{00000000-0005-0000-0000-00008B0B0000}"/>
    <cellStyle name="Percent 16 3 16" xfId="2909" xr:uid="{00000000-0005-0000-0000-00008C0B0000}"/>
    <cellStyle name="Percent 16 3 16 2" xfId="2910" xr:uid="{00000000-0005-0000-0000-00008D0B0000}"/>
    <cellStyle name="Percent 16 3 17" xfId="2911" xr:uid="{00000000-0005-0000-0000-00008E0B0000}"/>
    <cellStyle name="Percent 16 3 17 2" xfId="2912" xr:uid="{00000000-0005-0000-0000-00008F0B0000}"/>
    <cellStyle name="Percent 16 3 18" xfId="2913" xr:uid="{00000000-0005-0000-0000-0000900B0000}"/>
    <cellStyle name="Percent 16 3 2" xfId="2914" xr:uid="{00000000-0005-0000-0000-0000910B0000}"/>
    <cellStyle name="Percent 16 3 2 2" xfId="2915" xr:uid="{00000000-0005-0000-0000-0000920B0000}"/>
    <cellStyle name="Percent 16 3 3" xfId="2916" xr:uid="{00000000-0005-0000-0000-0000930B0000}"/>
    <cellStyle name="Percent 16 3 3 2" xfId="2917" xr:uid="{00000000-0005-0000-0000-0000940B0000}"/>
    <cellStyle name="Percent 16 3 4" xfId="2918" xr:uid="{00000000-0005-0000-0000-0000950B0000}"/>
    <cellStyle name="Percent 16 3 4 2" xfId="2919" xr:uid="{00000000-0005-0000-0000-0000960B0000}"/>
    <cellStyle name="Percent 16 3 5" xfId="2920" xr:uid="{00000000-0005-0000-0000-0000970B0000}"/>
    <cellStyle name="Percent 16 3 5 2" xfId="2921" xr:uid="{00000000-0005-0000-0000-0000980B0000}"/>
    <cellStyle name="Percent 16 3 6" xfId="2922" xr:uid="{00000000-0005-0000-0000-0000990B0000}"/>
    <cellStyle name="Percent 16 3 6 2" xfId="2923" xr:uid="{00000000-0005-0000-0000-00009A0B0000}"/>
    <cellStyle name="Percent 16 3 7" xfId="2924" xr:uid="{00000000-0005-0000-0000-00009B0B0000}"/>
    <cellStyle name="Percent 16 3 7 2" xfId="2925" xr:uid="{00000000-0005-0000-0000-00009C0B0000}"/>
    <cellStyle name="Percent 16 3 8" xfId="2926" xr:uid="{00000000-0005-0000-0000-00009D0B0000}"/>
    <cellStyle name="Percent 16 3 8 2" xfId="2927" xr:uid="{00000000-0005-0000-0000-00009E0B0000}"/>
    <cellStyle name="Percent 16 3 9" xfId="2928" xr:uid="{00000000-0005-0000-0000-00009F0B0000}"/>
    <cellStyle name="Percent 16 3 9 2" xfId="2929" xr:uid="{00000000-0005-0000-0000-0000A00B0000}"/>
    <cellStyle name="Percent 16 4" xfId="2930" xr:uid="{00000000-0005-0000-0000-0000A10B0000}"/>
    <cellStyle name="Percent 16 4 10" xfId="2931" xr:uid="{00000000-0005-0000-0000-0000A20B0000}"/>
    <cellStyle name="Percent 16 4 10 2" xfId="2932" xr:uid="{00000000-0005-0000-0000-0000A30B0000}"/>
    <cellStyle name="Percent 16 4 11" xfId="2933" xr:uid="{00000000-0005-0000-0000-0000A40B0000}"/>
    <cellStyle name="Percent 16 4 11 2" xfId="2934" xr:uid="{00000000-0005-0000-0000-0000A50B0000}"/>
    <cellStyle name="Percent 16 4 12" xfId="2935" xr:uid="{00000000-0005-0000-0000-0000A60B0000}"/>
    <cellStyle name="Percent 16 4 12 2" xfId="2936" xr:uid="{00000000-0005-0000-0000-0000A70B0000}"/>
    <cellStyle name="Percent 16 4 13" xfId="2937" xr:uid="{00000000-0005-0000-0000-0000A80B0000}"/>
    <cellStyle name="Percent 16 4 13 2" xfId="2938" xr:uid="{00000000-0005-0000-0000-0000A90B0000}"/>
    <cellStyle name="Percent 16 4 14" xfId="2939" xr:uid="{00000000-0005-0000-0000-0000AA0B0000}"/>
    <cellStyle name="Percent 16 4 14 2" xfId="2940" xr:uid="{00000000-0005-0000-0000-0000AB0B0000}"/>
    <cellStyle name="Percent 16 4 15" xfId="2941" xr:uid="{00000000-0005-0000-0000-0000AC0B0000}"/>
    <cellStyle name="Percent 16 4 15 2" xfId="2942" xr:uid="{00000000-0005-0000-0000-0000AD0B0000}"/>
    <cellStyle name="Percent 16 4 16" xfId="2943" xr:uid="{00000000-0005-0000-0000-0000AE0B0000}"/>
    <cellStyle name="Percent 16 4 16 2" xfId="2944" xr:uid="{00000000-0005-0000-0000-0000AF0B0000}"/>
    <cellStyle name="Percent 16 4 17" xfId="2945" xr:uid="{00000000-0005-0000-0000-0000B00B0000}"/>
    <cellStyle name="Percent 16 4 17 2" xfId="2946" xr:uid="{00000000-0005-0000-0000-0000B10B0000}"/>
    <cellStyle name="Percent 16 4 18" xfId="2947" xr:uid="{00000000-0005-0000-0000-0000B20B0000}"/>
    <cellStyle name="Percent 16 4 2" xfId="2948" xr:uid="{00000000-0005-0000-0000-0000B30B0000}"/>
    <cellStyle name="Percent 16 4 2 2" xfId="2949" xr:uid="{00000000-0005-0000-0000-0000B40B0000}"/>
    <cellStyle name="Percent 16 4 3" xfId="2950" xr:uid="{00000000-0005-0000-0000-0000B50B0000}"/>
    <cellStyle name="Percent 16 4 3 2" xfId="2951" xr:uid="{00000000-0005-0000-0000-0000B60B0000}"/>
    <cellStyle name="Percent 16 4 4" xfId="2952" xr:uid="{00000000-0005-0000-0000-0000B70B0000}"/>
    <cellStyle name="Percent 16 4 4 2" xfId="2953" xr:uid="{00000000-0005-0000-0000-0000B80B0000}"/>
    <cellStyle name="Percent 16 4 5" xfId="2954" xr:uid="{00000000-0005-0000-0000-0000B90B0000}"/>
    <cellStyle name="Percent 16 4 5 2" xfId="2955" xr:uid="{00000000-0005-0000-0000-0000BA0B0000}"/>
    <cellStyle name="Percent 16 4 6" xfId="2956" xr:uid="{00000000-0005-0000-0000-0000BB0B0000}"/>
    <cellStyle name="Percent 16 4 6 2" xfId="2957" xr:uid="{00000000-0005-0000-0000-0000BC0B0000}"/>
    <cellStyle name="Percent 16 4 7" xfId="2958" xr:uid="{00000000-0005-0000-0000-0000BD0B0000}"/>
    <cellStyle name="Percent 16 4 7 2" xfId="2959" xr:uid="{00000000-0005-0000-0000-0000BE0B0000}"/>
    <cellStyle name="Percent 16 4 8" xfId="2960" xr:uid="{00000000-0005-0000-0000-0000BF0B0000}"/>
    <cellStyle name="Percent 16 4 8 2" xfId="2961" xr:uid="{00000000-0005-0000-0000-0000C00B0000}"/>
    <cellStyle name="Percent 16 4 9" xfId="2962" xr:uid="{00000000-0005-0000-0000-0000C10B0000}"/>
    <cellStyle name="Percent 16 4 9 2" xfId="2963" xr:uid="{00000000-0005-0000-0000-0000C20B0000}"/>
    <cellStyle name="Percent 16 5" xfId="2964" xr:uid="{00000000-0005-0000-0000-0000C30B0000}"/>
    <cellStyle name="Percent 16 5 10" xfId="2965" xr:uid="{00000000-0005-0000-0000-0000C40B0000}"/>
    <cellStyle name="Percent 16 5 10 2" xfId="2966" xr:uid="{00000000-0005-0000-0000-0000C50B0000}"/>
    <cellStyle name="Percent 16 5 11" xfId="2967" xr:uid="{00000000-0005-0000-0000-0000C60B0000}"/>
    <cellStyle name="Percent 16 5 11 2" xfId="2968" xr:uid="{00000000-0005-0000-0000-0000C70B0000}"/>
    <cellStyle name="Percent 16 5 12" xfId="2969" xr:uid="{00000000-0005-0000-0000-0000C80B0000}"/>
    <cellStyle name="Percent 16 5 12 2" xfId="2970" xr:uid="{00000000-0005-0000-0000-0000C90B0000}"/>
    <cellStyle name="Percent 16 5 13" xfId="2971" xr:uid="{00000000-0005-0000-0000-0000CA0B0000}"/>
    <cellStyle name="Percent 16 5 13 2" xfId="2972" xr:uid="{00000000-0005-0000-0000-0000CB0B0000}"/>
    <cellStyle name="Percent 16 5 14" xfId="2973" xr:uid="{00000000-0005-0000-0000-0000CC0B0000}"/>
    <cellStyle name="Percent 16 5 14 2" xfId="2974" xr:uid="{00000000-0005-0000-0000-0000CD0B0000}"/>
    <cellStyle name="Percent 16 5 15" xfId="2975" xr:uid="{00000000-0005-0000-0000-0000CE0B0000}"/>
    <cellStyle name="Percent 16 5 15 2" xfId="2976" xr:uid="{00000000-0005-0000-0000-0000CF0B0000}"/>
    <cellStyle name="Percent 16 5 16" xfId="2977" xr:uid="{00000000-0005-0000-0000-0000D00B0000}"/>
    <cellStyle name="Percent 16 5 16 2" xfId="2978" xr:uid="{00000000-0005-0000-0000-0000D10B0000}"/>
    <cellStyle name="Percent 16 5 17" xfId="2979" xr:uid="{00000000-0005-0000-0000-0000D20B0000}"/>
    <cellStyle name="Percent 16 5 17 2" xfId="2980" xr:uid="{00000000-0005-0000-0000-0000D30B0000}"/>
    <cellStyle name="Percent 16 5 18" xfId="2981" xr:uid="{00000000-0005-0000-0000-0000D40B0000}"/>
    <cellStyle name="Percent 16 5 2" xfId="2982" xr:uid="{00000000-0005-0000-0000-0000D50B0000}"/>
    <cellStyle name="Percent 16 5 2 2" xfId="2983" xr:uid="{00000000-0005-0000-0000-0000D60B0000}"/>
    <cellStyle name="Percent 16 5 3" xfId="2984" xr:uid="{00000000-0005-0000-0000-0000D70B0000}"/>
    <cellStyle name="Percent 16 5 3 2" xfId="2985" xr:uid="{00000000-0005-0000-0000-0000D80B0000}"/>
    <cellStyle name="Percent 16 5 4" xfId="2986" xr:uid="{00000000-0005-0000-0000-0000D90B0000}"/>
    <cellStyle name="Percent 16 5 4 2" xfId="2987" xr:uid="{00000000-0005-0000-0000-0000DA0B0000}"/>
    <cellStyle name="Percent 16 5 5" xfId="2988" xr:uid="{00000000-0005-0000-0000-0000DB0B0000}"/>
    <cellStyle name="Percent 16 5 5 2" xfId="2989" xr:uid="{00000000-0005-0000-0000-0000DC0B0000}"/>
    <cellStyle name="Percent 16 5 6" xfId="2990" xr:uid="{00000000-0005-0000-0000-0000DD0B0000}"/>
    <cellStyle name="Percent 16 5 6 2" xfId="2991" xr:uid="{00000000-0005-0000-0000-0000DE0B0000}"/>
    <cellStyle name="Percent 16 5 7" xfId="2992" xr:uid="{00000000-0005-0000-0000-0000DF0B0000}"/>
    <cellStyle name="Percent 16 5 7 2" xfId="2993" xr:uid="{00000000-0005-0000-0000-0000E00B0000}"/>
    <cellStyle name="Percent 16 5 8" xfId="2994" xr:uid="{00000000-0005-0000-0000-0000E10B0000}"/>
    <cellStyle name="Percent 16 5 8 2" xfId="2995" xr:uid="{00000000-0005-0000-0000-0000E20B0000}"/>
    <cellStyle name="Percent 16 5 9" xfId="2996" xr:uid="{00000000-0005-0000-0000-0000E30B0000}"/>
    <cellStyle name="Percent 16 5 9 2" xfId="2997" xr:uid="{00000000-0005-0000-0000-0000E40B0000}"/>
    <cellStyle name="Percent 16 6" xfId="2998" xr:uid="{00000000-0005-0000-0000-0000E50B0000}"/>
    <cellStyle name="Percent 16 6 10" xfId="2999" xr:uid="{00000000-0005-0000-0000-0000E60B0000}"/>
    <cellStyle name="Percent 16 6 10 2" xfId="3000" xr:uid="{00000000-0005-0000-0000-0000E70B0000}"/>
    <cellStyle name="Percent 16 6 11" xfId="3001" xr:uid="{00000000-0005-0000-0000-0000E80B0000}"/>
    <cellStyle name="Percent 16 6 11 2" xfId="3002" xr:uid="{00000000-0005-0000-0000-0000E90B0000}"/>
    <cellStyle name="Percent 16 6 12" xfId="3003" xr:uid="{00000000-0005-0000-0000-0000EA0B0000}"/>
    <cellStyle name="Percent 16 6 12 2" xfId="3004" xr:uid="{00000000-0005-0000-0000-0000EB0B0000}"/>
    <cellStyle name="Percent 16 6 13" xfId="3005" xr:uid="{00000000-0005-0000-0000-0000EC0B0000}"/>
    <cellStyle name="Percent 16 6 13 2" xfId="3006" xr:uid="{00000000-0005-0000-0000-0000ED0B0000}"/>
    <cellStyle name="Percent 16 6 14" xfId="3007" xr:uid="{00000000-0005-0000-0000-0000EE0B0000}"/>
    <cellStyle name="Percent 16 6 14 2" xfId="3008" xr:uid="{00000000-0005-0000-0000-0000EF0B0000}"/>
    <cellStyle name="Percent 16 6 15" xfId="3009" xr:uid="{00000000-0005-0000-0000-0000F00B0000}"/>
    <cellStyle name="Percent 16 6 15 2" xfId="3010" xr:uid="{00000000-0005-0000-0000-0000F10B0000}"/>
    <cellStyle name="Percent 16 6 16" xfId="3011" xr:uid="{00000000-0005-0000-0000-0000F20B0000}"/>
    <cellStyle name="Percent 16 6 16 2" xfId="3012" xr:uid="{00000000-0005-0000-0000-0000F30B0000}"/>
    <cellStyle name="Percent 16 6 17" xfId="3013" xr:uid="{00000000-0005-0000-0000-0000F40B0000}"/>
    <cellStyle name="Percent 16 6 17 2" xfId="3014" xr:uid="{00000000-0005-0000-0000-0000F50B0000}"/>
    <cellStyle name="Percent 16 6 18" xfId="3015" xr:uid="{00000000-0005-0000-0000-0000F60B0000}"/>
    <cellStyle name="Percent 16 6 2" xfId="3016" xr:uid="{00000000-0005-0000-0000-0000F70B0000}"/>
    <cellStyle name="Percent 16 6 2 2" xfId="3017" xr:uid="{00000000-0005-0000-0000-0000F80B0000}"/>
    <cellStyle name="Percent 16 6 3" xfId="3018" xr:uid="{00000000-0005-0000-0000-0000F90B0000}"/>
    <cellStyle name="Percent 16 6 3 2" xfId="3019" xr:uid="{00000000-0005-0000-0000-0000FA0B0000}"/>
    <cellStyle name="Percent 16 6 4" xfId="3020" xr:uid="{00000000-0005-0000-0000-0000FB0B0000}"/>
    <cellStyle name="Percent 16 6 4 2" xfId="3021" xr:uid="{00000000-0005-0000-0000-0000FC0B0000}"/>
    <cellStyle name="Percent 16 6 5" xfId="3022" xr:uid="{00000000-0005-0000-0000-0000FD0B0000}"/>
    <cellStyle name="Percent 16 6 5 2" xfId="3023" xr:uid="{00000000-0005-0000-0000-0000FE0B0000}"/>
    <cellStyle name="Percent 16 6 6" xfId="3024" xr:uid="{00000000-0005-0000-0000-0000FF0B0000}"/>
    <cellStyle name="Percent 16 6 6 2" xfId="3025" xr:uid="{00000000-0005-0000-0000-0000000C0000}"/>
    <cellStyle name="Percent 16 6 7" xfId="3026" xr:uid="{00000000-0005-0000-0000-0000010C0000}"/>
    <cellStyle name="Percent 16 6 7 2" xfId="3027" xr:uid="{00000000-0005-0000-0000-0000020C0000}"/>
    <cellStyle name="Percent 16 6 8" xfId="3028" xr:uid="{00000000-0005-0000-0000-0000030C0000}"/>
    <cellStyle name="Percent 16 6 8 2" xfId="3029" xr:uid="{00000000-0005-0000-0000-0000040C0000}"/>
    <cellStyle name="Percent 16 6 9" xfId="3030" xr:uid="{00000000-0005-0000-0000-0000050C0000}"/>
    <cellStyle name="Percent 16 6 9 2" xfId="3031" xr:uid="{00000000-0005-0000-0000-0000060C0000}"/>
    <cellStyle name="Percent 16 7" xfId="3032" xr:uid="{00000000-0005-0000-0000-0000070C0000}"/>
    <cellStyle name="Percent 16 7 10" xfId="3033" xr:uid="{00000000-0005-0000-0000-0000080C0000}"/>
    <cellStyle name="Percent 16 7 10 2" xfId="3034" xr:uid="{00000000-0005-0000-0000-0000090C0000}"/>
    <cellStyle name="Percent 16 7 11" xfId="3035" xr:uid="{00000000-0005-0000-0000-00000A0C0000}"/>
    <cellStyle name="Percent 16 7 11 2" xfId="3036" xr:uid="{00000000-0005-0000-0000-00000B0C0000}"/>
    <cellStyle name="Percent 16 7 12" xfId="3037" xr:uid="{00000000-0005-0000-0000-00000C0C0000}"/>
    <cellStyle name="Percent 16 7 12 2" xfId="3038" xr:uid="{00000000-0005-0000-0000-00000D0C0000}"/>
    <cellStyle name="Percent 16 7 13" xfId="3039" xr:uid="{00000000-0005-0000-0000-00000E0C0000}"/>
    <cellStyle name="Percent 16 7 13 2" xfId="3040" xr:uid="{00000000-0005-0000-0000-00000F0C0000}"/>
    <cellStyle name="Percent 16 7 14" xfId="3041" xr:uid="{00000000-0005-0000-0000-0000100C0000}"/>
    <cellStyle name="Percent 16 7 14 2" xfId="3042" xr:uid="{00000000-0005-0000-0000-0000110C0000}"/>
    <cellStyle name="Percent 16 7 15" xfId="3043" xr:uid="{00000000-0005-0000-0000-0000120C0000}"/>
    <cellStyle name="Percent 16 7 15 2" xfId="3044" xr:uid="{00000000-0005-0000-0000-0000130C0000}"/>
    <cellStyle name="Percent 16 7 16" xfId="3045" xr:uid="{00000000-0005-0000-0000-0000140C0000}"/>
    <cellStyle name="Percent 16 7 16 2" xfId="3046" xr:uid="{00000000-0005-0000-0000-0000150C0000}"/>
    <cellStyle name="Percent 16 7 17" xfId="3047" xr:uid="{00000000-0005-0000-0000-0000160C0000}"/>
    <cellStyle name="Percent 16 7 17 2" xfId="3048" xr:uid="{00000000-0005-0000-0000-0000170C0000}"/>
    <cellStyle name="Percent 16 7 18" xfId="3049" xr:uid="{00000000-0005-0000-0000-0000180C0000}"/>
    <cellStyle name="Percent 16 7 2" xfId="3050" xr:uid="{00000000-0005-0000-0000-0000190C0000}"/>
    <cellStyle name="Percent 16 7 2 2" xfId="3051" xr:uid="{00000000-0005-0000-0000-00001A0C0000}"/>
    <cellStyle name="Percent 16 7 3" xfId="3052" xr:uid="{00000000-0005-0000-0000-00001B0C0000}"/>
    <cellStyle name="Percent 16 7 3 2" xfId="3053" xr:uid="{00000000-0005-0000-0000-00001C0C0000}"/>
    <cellStyle name="Percent 16 7 4" xfId="3054" xr:uid="{00000000-0005-0000-0000-00001D0C0000}"/>
    <cellStyle name="Percent 16 7 4 2" xfId="3055" xr:uid="{00000000-0005-0000-0000-00001E0C0000}"/>
    <cellStyle name="Percent 16 7 5" xfId="3056" xr:uid="{00000000-0005-0000-0000-00001F0C0000}"/>
    <cellStyle name="Percent 16 7 5 2" xfId="3057" xr:uid="{00000000-0005-0000-0000-0000200C0000}"/>
    <cellStyle name="Percent 16 7 6" xfId="3058" xr:uid="{00000000-0005-0000-0000-0000210C0000}"/>
    <cellStyle name="Percent 16 7 6 2" xfId="3059" xr:uid="{00000000-0005-0000-0000-0000220C0000}"/>
    <cellStyle name="Percent 16 7 7" xfId="3060" xr:uid="{00000000-0005-0000-0000-0000230C0000}"/>
    <cellStyle name="Percent 16 7 7 2" xfId="3061" xr:uid="{00000000-0005-0000-0000-0000240C0000}"/>
    <cellStyle name="Percent 16 7 8" xfId="3062" xr:uid="{00000000-0005-0000-0000-0000250C0000}"/>
    <cellStyle name="Percent 16 7 8 2" xfId="3063" xr:uid="{00000000-0005-0000-0000-0000260C0000}"/>
    <cellStyle name="Percent 16 7 9" xfId="3064" xr:uid="{00000000-0005-0000-0000-0000270C0000}"/>
    <cellStyle name="Percent 16 7 9 2" xfId="3065" xr:uid="{00000000-0005-0000-0000-0000280C0000}"/>
    <cellStyle name="Percent 16 8" xfId="3066" xr:uid="{00000000-0005-0000-0000-0000290C0000}"/>
    <cellStyle name="Percent 16 8 10" xfId="3067" xr:uid="{00000000-0005-0000-0000-00002A0C0000}"/>
    <cellStyle name="Percent 16 8 10 2" xfId="3068" xr:uid="{00000000-0005-0000-0000-00002B0C0000}"/>
    <cellStyle name="Percent 16 8 11" xfId="3069" xr:uid="{00000000-0005-0000-0000-00002C0C0000}"/>
    <cellStyle name="Percent 16 8 11 2" xfId="3070" xr:uid="{00000000-0005-0000-0000-00002D0C0000}"/>
    <cellStyle name="Percent 16 8 12" xfId="3071" xr:uid="{00000000-0005-0000-0000-00002E0C0000}"/>
    <cellStyle name="Percent 16 8 12 2" xfId="3072" xr:uid="{00000000-0005-0000-0000-00002F0C0000}"/>
    <cellStyle name="Percent 16 8 13" xfId="3073" xr:uid="{00000000-0005-0000-0000-0000300C0000}"/>
    <cellStyle name="Percent 16 8 13 2" xfId="3074" xr:uid="{00000000-0005-0000-0000-0000310C0000}"/>
    <cellStyle name="Percent 16 8 14" xfId="3075" xr:uid="{00000000-0005-0000-0000-0000320C0000}"/>
    <cellStyle name="Percent 16 8 14 2" xfId="3076" xr:uid="{00000000-0005-0000-0000-0000330C0000}"/>
    <cellStyle name="Percent 16 8 15" xfId="3077" xr:uid="{00000000-0005-0000-0000-0000340C0000}"/>
    <cellStyle name="Percent 16 8 15 2" xfId="3078" xr:uid="{00000000-0005-0000-0000-0000350C0000}"/>
    <cellStyle name="Percent 16 8 16" xfId="3079" xr:uid="{00000000-0005-0000-0000-0000360C0000}"/>
    <cellStyle name="Percent 16 8 16 2" xfId="3080" xr:uid="{00000000-0005-0000-0000-0000370C0000}"/>
    <cellStyle name="Percent 16 8 17" xfId="3081" xr:uid="{00000000-0005-0000-0000-0000380C0000}"/>
    <cellStyle name="Percent 16 8 17 2" xfId="3082" xr:uid="{00000000-0005-0000-0000-0000390C0000}"/>
    <cellStyle name="Percent 16 8 18" xfId="3083" xr:uid="{00000000-0005-0000-0000-00003A0C0000}"/>
    <cellStyle name="Percent 16 8 2" xfId="3084" xr:uid="{00000000-0005-0000-0000-00003B0C0000}"/>
    <cellStyle name="Percent 16 8 2 2" xfId="3085" xr:uid="{00000000-0005-0000-0000-00003C0C0000}"/>
    <cellStyle name="Percent 16 8 3" xfId="3086" xr:uid="{00000000-0005-0000-0000-00003D0C0000}"/>
    <cellStyle name="Percent 16 8 3 2" xfId="3087" xr:uid="{00000000-0005-0000-0000-00003E0C0000}"/>
    <cellStyle name="Percent 16 8 4" xfId="3088" xr:uid="{00000000-0005-0000-0000-00003F0C0000}"/>
    <cellStyle name="Percent 16 8 4 2" xfId="3089" xr:uid="{00000000-0005-0000-0000-0000400C0000}"/>
    <cellStyle name="Percent 16 8 5" xfId="3090" xr:uid="{00000000-0005-0000-0000-0000410C0000}"/>
    <cellStyle name="Percent 16 8 5 2" xfId="3091" xr:uid="{00000000-0005-0000-0000-0000420C0000}"/>
    <cellStyle name="Percent 16 8 6" xfId="3092" xr:uid="{00000000-0005-0000-0000-0000430C0000}"/>
    <cellStyle name="Percent 16 8 6 2" xfId="3093" xr:uid="{00000000-0005-0000-0000-0000440C0000}"/>
    <cellStyle name="Percent 16 8 7" xfId="3094" xr:uid="{00000000-0005-0000-0000-0000450C0000}"/>
    <cellStyle name="Percent 16 8 7 2" xfId="3095" xr:uid="{00000000-0005-0000-0000-0000460C0000}"/>
    <cellStyle name="Percent 16 8 8" xfId="3096" xr:uid="{00000000-0005-0000-0000-0000470C0000}"/>
    <cellStyle name="Percent 16 8 8 2" xfId="3097" xr:uid="{00000000-0005-0000-0000-0000480C0000}"/>
    <cellStyle name="Percent 16 8 9" xfId="3098" xr:uid="{00000000-0005-0000-0000-0000490C0000}"/>
    <cellStyle name="Percent 16 8 9 2" xfId="3099" xr:uid="{00000000-0005-0000-0000-00004A0C0000}"/>
    <cellStyle name="Percent 16 9" xfId="3100" xr:uid="{00000000-0005-0000-0000-00004B0C0000}"/>
    <cellStyle name="Percent 16 9 10" xfId="3101" xr:uid="{00000000-0005-0000-0000-00004C0C0000}"/>
    <cellStyle name="Percent 16 9 10 2" xfId="3102" xr:uid="{00000000-0005-0000-0000-00004D0C0000}"/>
    <cellStyle name="Percent 16 9 11" xfId="3103" xr:uid="{00000000-0005-0000-0000-00004E0C0000}"/>
    <cellStyle name="Percent 16 9 11 2" xfId="3104" xr:uid="{00000000-0005-0000-0000-00004F0C0000}"/>
    <cellStyle name="Percent 16 9 12" xfId="3105" xr:uid="{00000000-0005-0000-0000-0000500C0000}"/>
    <cellStyle name="Percent 16 9 12 2" xfId="3106" xr:uid="{00000000-0005-0000-0000-0000510C0000}"/>
    <cellStyle name="Percent 16 9 13" xfId="3107" xr:uid="{00000000-0005-0000-0000-0000520C0000}"/>
    <cellStyle name="Percent 16 9 13 2" xfId="3108" xr:uid="{00000000-0005-0000-0000-0000530C0000}"/>
    <cellStyle name="Percent 16 9 14" xfId="3109" xr:uid="{00000000-0005-0000-0000-0000540C0000}"/>
    <cellStyle name="Percent 16 9 14 2" xfId="3110" xr:uid="{00000000-0005-0000-0000-0000550C0000}"/>
    <cellStyle name="Percent 16 9 15" xfId="3111" xr:uid="{00000000-0005-0000-0000-0000560C0000}"/>
    <cellStyle name="Percent 16 9 15 2" xfId="3112" xr:uid="{00000000-0005-0000-0000-0000570C0000}"/>
    <cellStyle name="Percent 16 9 16" xfId="3113" xr:uid="{00000000-0005-0000-0000-0000580C0000}"/>
    <cellStyle name="Percent 16 9 16 2" xfId="3114" xr:uid="{00000000-0005-0000-0000-0000590C0000}"/>
    <cellStyle name="Percent 16 9 17" xfId="3115" xr:uid="{00000000-0005-0000-0000-00005A0C0000}"/>
    <cellStyle name="Percent 16 9 17 2" xfId="3116" xr:uid="{00000000-0005-0000-0000-00005B0C0000}"/>
    <cellStyle name="Percent 16 9 18" xfId="3117" xr:uid="{00000000-0005-0000-0000-00005C0C0000}"/>
    <cellStyle name="Percent 16 9 2" xfId="3118" xr:uid="{00000000-0005-0000-0000-00005D0C0000}"/>
    <cellStyle name="Percent 16 9 2 2" xfId="3119" xr:uid="{00000000-0005-0000-0000-00005E0C0000}"/>
    <cellStyle name="Percent 16 9 3" xfId="3120" xr:uid="{00000000-0005-0000-0000-00005F0C0000}"/>
    <cellStyle name="Percent 16 9 3 2" xfId="3121" xr:uid="{00000000-0005-0000-0000-0000600C0000}"/>
    <cellStyle name="Percent 16 9 4" xfId="3122" xr:uid="{00000000-0005-0000-0000-0000610C0000}"/>
    <cellStyle name="Percent 16 9 4 2" xfId="3123" xr:uid="{00000000-0005-0000-0000-0000620C0000}"/>
    <cellStyle name="Percent 16 9 5" xfId="3124" xr:uid="{00000000-0005-0000-0000-0000630C0000}"/>
    <cellStyle name="Percent 16 9 5 2" xfId="3125" xr:uid="{00000000-0005-0000-0000-0000640C0000}"/>
    <cellStyle name="Percent 16 9 6" xfId="3126" xr:uid="{00000000-0005-0000-0000-0000650C0000}"/>
    <cellStyle name="Percent 16 9 6 2" xfId="3127" xr:uid="{00000000-0005-0000-0000-0000660C0000}"/>
    <cellStyle name="Percent 16 9 7" xfId="3128" xr:uid="{00000000-0005-0000-0000-0000670C0000}"/>
    <cellStyle name="Percent 16 9 7 2" xfId="3129" xr:uid="{00000000-0005-0000-0000-0000680C0000}"/>
    <cellStyle name="Percent 16 9 8" xfId="3130" xr:uid="{00000000-0005-0000-0000-0000690C0000}"/>
    <cellStyle name="Percent 16 9 8 2" xfId="3131" xr:uid="{00000000-0005-0000-0000-00006A0C0000}"/>
    <cellStyle name="Percent 16 9 9" xfId="3132" xr:uid="{00000000-0005-0000-0000-00006B0C0000}"/>
    <cellStyle name="Percent 16 9 9 2" xfId="3133" xr:uid="{00000000-0005-0000-0000-00006C0C0000}"/>
    <cellStyle name="Percent 17" xfId="3134" xr:uid="{00000000-0005-0000-0000-00006D0C0000}"/>
    <cellStyle name="Percent 17 2" xfId="3135" xr:uid="{00000000-0005-0000-0000-00006E0C0000}"/>
    <cellStyle name="Percent 2" xfId="3136" xr:uid="{00000000-0005-0000-0000-00006F0C0000}"/>
    <cellStyle name="Percent 2 10" xfId="3137" xr:uid="{00000000-0005-0000-0000-0000700C0000}"/>
    <cellStyle name="Percent 2 10 2" xfId="3138" xr:uid="{00000000-0005-0000-0000-0000710C0000}"/>
    <cellStyle name="Percent 2 10 2 2" xfId="3139" xr:uid="{00000000-0005-0000-0000-0000720C0000}"/>
    <cellStyle name="Percent 2 10 3" xfId="3140" xr:uid="{00000000-0005-0000-0000-0000730C0000}"/>
    <cellStyle name="Percent 2 10 3 2" xfId="3141" xr:uid="{00000000-0005-0000-0000-0000740C0000}"/>
    <cellStyle name="Percent 2 10 4" xfId="3142" xr:uid="{00000000-0005-0000-0000-0000750C0000}"/>
    <cellStyle name="Percent 2 10 4 2" xfId="3143" xr:uid="{00000000-0005-0000-0000-0000760C0000}"/>
    <cellStyle name="Percent 2 10 5" xfId="3144" xr:uid="{00000000-0005-0000-0000-0000770C0000}"/>
    <cellStyle name="Percent 2 10 5 2" xfId="3145" xr:uid="{00000000-0005-0000-0000-0000780C0000}"/>
    <cellStyle name="Percent 2 10 6" xfId="3146" xr:uid="{00000000-0005-0000-0000-0000790C0000}"/>
    <cellStyle name="Percent 2 10 6 2" xfId="3147" xr:uid="{00000000-0005-0000-0000-00007A0C0000}"/>
    <cellStyle name="Percent 2 10 7" xfId="3148" xr:uid="{00000000-0005-0000-0000-00007B0C0000}"/>
    <cellStyle name="Percent 2 10 7 2" xfId="3149" xr:uid="{00000000-0005-0000-0000-00007C0C0000}"/>
    <cellStyle name="Percent 2 10 8" xfId="3150" xr:uid="{00000000-0005-0000-0000-00007D0C0000}"/>
    <cellStyle name="Percent 2 10 8 2" xfId="3151" xr:uid="{00000000-0005-0000-0000-00007E0C0000}"/>
    <cellStyle name="Percent 2 10 9" xfId="3152" xr:uid="{00000000-0005-0000-0000-00007F0C0000}"/>
    <cellStyle name="Percent 2 11" xfId="3153" xr:uid="{00000000-0005-0000-0000-0000800C0000}"/>
    <cellStyle name="Percent 2 11 2" xfId="3154" xr:uid="{00000000-0005-0000-0000-0000810C0000}"/>
    <cellStyle name="Percent 2 11 2 2" xfId="3155" xr:uid="{00000000-0005-0000-0000-0000820C0000}"/>
    <cellStyle name="Percent 2 11 3" xfId="3156" xr:uid="{00000000-0005-0000-0000-0000830C0000}"/>
    <cellStyle name="Percent 2 11 3 2" xfId="3157" xr:uid="{00000000-0005-0000-0000-0000840C0000}"/>
    <cellStyle name="Percent 2 11 4" xfId="3158" xr:uid="{00000000-0005-0000-0000-0000850C0000}"/>
    <cellStyle name="Percent 2 11 4 2" xfId="3159" xr:uid="{00000000-0005-0000-0000-0000860C0000}"/>
    <cellStyle name="Percent 2 11 5" xfId="3160" xr:uid="{00000000-0005-0000-0000-0000870C0000}"/>
    <cellStyle name="Percent 2 11 5 2" xfId="3161" xr:uid="{00000000-0005-0000-0000-0000880C0000}"/>
    <cellStyle name="Percent 2 11 6" xfId="3162" xr:uid="{00000000-0005-0000-0000-0000890C0000}"/>
    <cellStyle name="Percent 2 11 6 2" xfId="3163" xr:uid="{00000000-0005-0000-0000-00008A0C0000}"/>
    <cellStyle name="Percent 2 11 7" xfId="3164" xr:uid="{00000000-0005-0000-0000-00008B0C0000}"/>
    <cellStyle name="Percent 2 11 7 2" xfId="3165" xr:uid="{00000000-0005-0000-0000-00008C0C0000}"/>
    <cellStyle name="Percent 2 11 8" xfId="3166" xr:uid="{00000000-0005-0000-0000-00008D0C0000}"/>
    <cellStyle name="Percent 2 11 8 2" xfId="3167" xr:uid="{00000000-0005-0000-0000-00008E0C0000}"/>
    <cellStyle name="Percent 2 11 9" xfId="3168" xr:uid="{00000000-0005-0000-0000-00008F0C0000}"/>
    <cellStyle name="Percent 2 12" xfId="3169" xr:uid="{00000000-0005-0000-0000-0000900C0000}"/>
    <cellStyle name="Percent 2 12 2" xfId="3170" xr:uid="{00000000-0005-0000-0000-0000910C0000}"/>
    <cellStyle name="Percent 2 13" xfId="3171" xr:uid="{00000000-0005-0000-0000-0000920C0000}"/>
    <cellStyle name="Percent 2 13 2" xfId="3172" xr:uid="{00000000-0005-0000-0000-0000930C0000}"/>
    <cellStyle name="Percent 2 14" xfId="3173" xr:uid="{00000000-0005-0000-0000-0000940C0000}"/>
    <cellStyle name="Percent 2 14 2" xfId="3174" xr:uid="{00000000-0005-0000-0000-0000950C0000}"/>
    <cellStyle name="Percent 2 15" xfId="3175" xr:uid="{00000000-0005-0000-0000-0000960C0000}"/>
    <cellStyle name="Percent 2 15 2" xfId="3176" xr:uid="{00000000-0005-0000-0000-0000970C0000}"/>
    <cellStyle name="Percent 2 16" xfId="3177" xr:uid="{00000000-0005-0000-0000-0000980C0000}"/>
    <cellStyle name="Percent 2 16 2" xfId="3178" xr:uid="{00000000-0005-0000-0000-0000990C0000}"/>
    <cellStyle name="Percent 2 17" xfId="3179" xr:uid="{00000000-0005-0000-0000-00009A0C0000}"/>
    <cellStyle name="Percent 2 17 2" xfId="3180" xr:uid="{00000000-0005-0000-0000-00009B0C0000}"/>
    <cellStyle name="Percent 2 18" xfId="3181" xr:uid="{00000000-0005-0000-0000-00009C0C0000}"/>
    <cellStyle name="Percent 2 18 2" xfId="3182" xr:uid="{00000000-0005-0000-0000-00009D0C0000}"/>
    <cellStyle name="Percent 2 19" xfId="3183" xr:uid="{00000000-0005-0000-0000-00009E0C0000}"/>
    <cellStyle name="Percent 2 2" xfId="3184" xr:uid="{00000000-0005-0000-0000-00009F0C0000}"/>
    <cellStyle name="Percent 2 2 10" xfId="3185" xr:uid="{00000000-0005-0000-0000-0000A00C0000}"/>
    <cellStyle name="Percent 2 2 2" xfId="3186" xr:uid="{00000000-0005-0000-0000-0000A10C0000}"/>
    <cellStyle name="Percent 2 2 2 2" xfId="3187" xr:uid="{00000000-0005-0000-0000-0000A20C0000}"/>
    <cellStyle name="Percent 2 2 2 3" xfId="3188" xr:uid="{00000000-0005-0000-0000-0000A30C0000}"/>
    <cellStyle name="Percent 2 2 3" xfId="3189" xr:uid="{00000000-0005-0000-0000-0000A40C0000}"/>
    <cellStyle name="Percent 2 2 3 2" xfId="3190" xr:uid="{00000000-0005-0000-0000-0000A50C0000}"/>
    <cellStyle name="Percent 2 2 3 2 2" xfId="3191" xr:uid="{00000000-0005-0000-0000-0000A60C0000}"/>
    <cellStyle name="Percent 2 2 3 3" xfId="3192" xr:uid="{00000000-0005-0000-0000-0000A70C0000}"/>
    <cellStyle name="Percent 2 2 4" xfId="3193" xr:uid="{00000000-0005-0000-0000-0000A80C0000}"/>
    <cellStyle name="Percent 2 2 4 2" xfId="3194" xr:uid="{00000000-0005-0000-0000-0000A90C0000}"/>
    <cellStyle name="Percent 2 2 5" xfId="3195" xr:uid="{00000000-0005-0000-0000-0000AA0C0000}"/>
    <cellStyle name="Percent 2 2 5 2" xfId="3196" xr:uid="{00000000-0005-0000-0000-0000AB0C0000}"/>
    <cellStyle name="Percent 2 2 6" xfId="3197" xr:uid="{00000000-0005-0000-0000-0000AC0C0000}"/>
    <cellStyle name="Percent 2 2 6 2" xfId="3198" xr:uid="{00000000-0005-0000-0000-0000AD0C0000}"/>
    <cellStyle name="Percent 2 2 7" xfId="3199" xr:uid="{00000000-0005-0000-0000-0000AE0C0000}"/>
    <cellStyle name="Percent 2 2 7 2" xfId="3200" xr:uid="{00000000-0005-0000-0000-0000AF0C0000}"/>
    <cellStyle name="Percent 2 2 8" xfId="3201" xr:uid="{00000000-0005-0000-0000-0000B00C0000}"/>
    <cellStyle name="Percent 2 2 8 2" xfId="3202" xr:uid="{00000000-0005-0000-0000-0000B10C0000}"/>
    <cellStyle name="Percent 2 2 9" xfId="3203" xr:uid="{00000000-0005-0000-0000-0000B20C0000}"/>
    <cellStyle name="Percent 2 20" xfId="3204" xr:uid="{00000000-0005-0000-0000-0000B30C0000}"/>
    <cellStyle name="Percent 2 3" xfId="3205" xr:uid="{00000000-0005-0000-0000-0000B40C0000}"/>
    <cellStyle name="Percent 2 3 10" xfId="3206" xr:uid="{00000000-0005-0000-0000-0000B50C0000}"/>
    <cellStyle name="Percent 2 3 2" xfId="3207" xr:uid="{00000000-0005-0000-0000-0000B60C0000}"/>
    <cellStyle name="Percent 2 3 2 2" xfId="3208" xr:uid="{00000000-0005-0000-0000-0000B70C0000}"/>
    <cellStyle name="Percent 2 3 2 3" xfId="3209" xr:uid="{00000000-0005-0000-0000-0000B80C0000}"/>
    <cellStyle name="Percent 2 3 3" xfId="3210" xr:uid="{00000000-0005-0000-0000-0000B90C0000}"/>
    <cellStyle name="Percent 2 3 3 2" xfId="3211" xr:uid="{00000000-0005-0000-0000-0000BA0C0000}"/>
    <cellStyle name="Percent 2 3 3 2 2" xfId="3212" xr:uid="{00000000-0005-0000-0000-0000BB0C0000}"/>
    <cellStyle name="Percent 2 3 3 3" xfId="3213" xr:uid="{00000000-0005-0000-0000-0000BC0C0000}"/>
    <cellStyle name="Percent 2 3 4" xfId="3214" xr:uid="{00000000-0005-0000-0000-0000BD0C0000}"/>
    <cellStyle name="Percent 2 3 4 2" xfId="3215" xr:uid="{00000000-0005-0000-0000-0000BE0C0000}"/>
    <cellStyle name="Percent 2 3 5" xfId="3216" xr:uid="{00000000-0005-0000-0000-0000BF0C0000}"/>
    <cellStyle name="Percent 2 3 5 2" xfId="3217" xr:uid="{00000000-0005-0000-0000-0000C00C0000}"/>
    <cellStyle name="Percent 2 3 6" xfId="3218" xr:uid="{00000000-0005-0000-0000-0000C10C0000}"/>
    <cellStyle name="Percent 2 3 6 2" xfId="3219" xr:uid="{00000000-0005-0000-0000-0000C20C0000}"/>
    <cellStyle name="Percent 2 3 7" xfId="3220" xr:uid="{00000000-0005-0000-0000-0000C30C0000}"/>
    <cellStyle name="Percent 2 3 7 2" xfId="3221" xr:uid="{00000000-0005-0000-0000-0000C40C0000}"/>
    <cellStyle name="Percent 2 3 8" xfId="3222" xr:uid="{00000000-0005-0000-0000-0000C50C0000}"/>
    <cellStyle name="Percent 2 3 8 2" xfId="3223" xr:uid="{00000000-0005-0000-0000-0000C60C0000}"/>
    <cellStyle name="Percent 2 3 9" xfId="3224" xr:uid="{00000000-0005-0000-0000-0000C70C0000}"/>
    <cellStyle name="Percent 2 4" xfId="3225" xr:uid="{00000000-0005-0000-0000-0000C80C0000}"/>
    <cellStyle name="Percent 2 4 10" xfId="3226" xr:uid="{00000000-0005-0000-0000-0000C90C0000}"/>
    <cellStyle name="Percent 2 4 2" xfId="3227" xr:uid="{00000000-0005-0000-0000-0000CA0C0000}"/>
    <cellStyle name="Percent 2 4 2 2" xfId="3228" xr:uid="{00000000-0005-0000-0000-0000CB0C0000}"/>
    <cellStyle name="Percent 2 4 3" xfId="3229" xr:uid="{00000000-0005-0000-0000-0000CC0C0000}"/>
    <cellStyle name="Percent 2 4 3 2" xfId="3230" xr:uid="{00000000-0005-0000-0000-0000CD0C0000}"/>
    <cellStyle name="Percent 2 4 4" xfId="3231" xr:uid="{00000000-0005-0000-0000-0000CE0C0000}"/>
    <cellStyle name="Percent 2 4 4 2" xfId="3232" xr:uid="{00000000-0005-0000-0000-0000CF0C0000}"/>
    <cellStyle name="Percent 2 4 5" xfId="3233" xr:uid="{00000000-0005-0000-0000-0000D00C0000}"/>
    <cellStyle name="Percent 2 4 5 2" xfId="3234" xr:uid="{00000000-0005-0000-0000-0000D10C0000}"/>
    <cellStyle name="Percent 2 4 6" xfId="3235" xr:uid="{00000000-0005-0000-0000-0000D20C0000}"/>
    <cellStyle name="Percent 2 4 6 2" xfId="3236" xr:uid="{00000000-0005-0000-0000-0000D30C0000}"/>
    <cellStyle name="Percent 2 4 7" xfId="3237" xr:uid="{00000000-0005-0000-0000-0000D40C0000}"/>
    <cellStyle name="Percent 2 4 7 2" xfId="3238" xr:uid="{00000000-0005-0000-0000-0000D50C0000}"/>
    <cellStyle name="Percent 2 4 8" xfId="3239" xr:uid="{00000000-0005-0000-0000-0000D60C0000}"/>
    <cellStyle name="Percent 2 4 8 2" xfId="3240" xr:uid="{00000000-0005-0000-0000-0000D70C0000}"/>
    <cellStyle name="Percent 2 4 9" xfId="3241" xr:uid="{00000000-0005-0000-0000-0000D80C0000}"/>
    <cellStyle name="Percent 2 5" xfId="3242" xr:uid="{00000000-0005-0000-0000-0000D90C0000}"/>
    <cellStyle name="Percent 2 5 2" xfId="3243" xr:uid="{00000000-0005-0000-0000-0000DA0C0000}"/>
    <cellStyle name="Percent 2 5 2 2" xfId="3244" xr:uid="{00000000-0005-0000-0000-0000DB0C0000}"/>
    <cellStyle name="Percent 2 5 3" xfId="3245" xr:uid="{00000000-0005-0000-0000-0000DC0C0000}"/>
    <cellStyle name="Percent 2 5 3 2" xfId="3246" xr:uid="{00000000-0005-0000-0000-0000DD0C0000}"/>
    <cellStyle name="Percent 2 5 4" xfId="3247" xr:uid="{00000000-0005-0000-0000-0000DE0C0000}"/>
    <cellStyle name="Percent 2 5 4 2" xfId="3248" xr:uid="{00000000-0005-0000-0000-0000DF0C0000}"/>
    <cellStyle name="Percent 2 5 5" xfId="3249" xr:uid="{00000000-0005-0000-0000-0000E00C0000}"/>
    <cellStyle name="Percent 2 5 5 2" xfId="3250" xr:uid="{00000000-0005-0000-0000-0000E10C0000}"/>
    <cellStyle name="Percent 2 5 6" xfId="3251" xr:uid="{00000000-0005-0000-0000-0000E20C0000}"/>
    <cellStyle name="Percent 2 5 6 2" xfId="3252" xr:uid="{00000000-0005-0000-0000-0000E30C0000}"/>
    <cellStyle name="Percent 2 5 7" xfId="3253" xr:uid="{00000000-0005-0000-0000-0000E40C0000}"/>
    <cellStyle name="Percent 2 5 7 2" xfId="3254" xr:uid="{00000000-0005-0000-0000-0000E50C0000}"/>
    <cellStyle name="Percent 2 5 8" xfId="3255" xr:uid="{00000000-0005-0000-0000-0000E60C0000}"/>
    <cellStyle name="Percent 2 5 8 2" xfId="3256" xr:uid="{00000000-0005-0000-0000-0000E70C0000}"/>
    <cellStyle name="Percent 2 5 9" xfId="3257" xr:uid="{00000000-0005-0000-0000-0000E80C0000}"/>
    <cellStyle name="Percent 2 6" xfId="3258" xr:uid="{00000000-0005-0000-0000-0000E90C0000}"/>
    <cellStyle name="Percent 2 6 2" xfId="3259" xr:uid="{00000000-0005-0000-0000-0000EA0C0000}"/>
    <cellStyle name="Percent 2 6 2 2" xfId="3260" xr:uid="{00000000-0005-0000-0000-0000EB0C0000}"/>
    <cellStyle name="Percent 2 6 3" xfId="3261" xr:uid="{00000000-0005-0000-0000-0000EC0C0000}"/>
    <cellStyle name="Percent 2 6 3 2" xfId="3262" xr:uid="{00000000-0005-0000-0000-0000ED0C0000}"/>
    <cellStyle name="Percent 2 6 4" xfId="3263" xr:uid="{00000000-0005-0000-0000-0000EE0C0000}"/>
    <cellStyle name="Percent 2 6 4 2" xfId="3264" xr:uid="{00000000-0005-0000-0000-0000EF0C0000}"/>
    <cellStyle name="Percent 2 6 5" xfId="3265" xr:uid="{00000000-0005-0000-0000-0000F00C0000}"/>
    <cellStyle name="Percent 2 6 5 2" xfId="3266" xr:uid="{00000000-0005-0000-0000-0000F10C0000}"/>
    <cellStyle name="Percent 2 6 6" xfId="3267" xr:uid="{00000000-0005-0000-0000-0000F20C0000}"/>
    <cellStyle name="Percent 2 6 6 2" xfId="3268" xr:uid="{00000000-0005-0000-0000-0000F30C0000}"/>
    <cellStyle name="Percent 2 6 7" xfId="3269" xr:uid="{00000000-0005-0000-0000-0000F40C0000}"/>
    <cellStyle name="Percent 2 6 7 2" xfId="3270" xr:uid="{00000000-0005-0000-0000-0000F50C0000}"/>
    <cellStyle name="Percent 2 6 8" xfId="3271" xr:uid="{00000000-0005-0000-0000-0000F60C0000}"/>
    <cellStyle name="Percent 2 6 8 2" xfId="3272" xr:uid="{00000000-0005-0000-0000-0000F70C0000}"/>
    <cellStyle name="Percent 2 6 9" xfId="3273" xr:uid="{00000000-0005-0000-0000-0000F80C0000}"/>
    <cellStyle name="Percent 2 7" xfId="3274" xr:uid="{00000000-0005-0000-0000-0000F90C0000}"/>
    <cellStyle name="Percent 2 7 2" xfId="3275" xr:uid="{00000000-0005-0000-0000-0000FA0C0000}"/>
    <cellStyle name="Percent 2 7 2 2" xfId="3276" xr:uid="{00000000-0005-0000-0000-0000FB0C0000}"/>
    <cellStyle name="Percent 2 7 3" xfId="3277" xr:uid="{00000000-0005-0000-0000-0000FC0C0000}"/>
    <cellStyle name="Percent 2 7 3 2" xfId="3278" xr:uid="{00000000-0005-0000-0000-0000FD0C0000}"/>
    <cellStyle name="Percent 2 7 4" xfId="3279" xr:uid="{00000000-0005-0000-0000-0000FE0C0000}"/>
    <cellStyle name="Percent 2 7 4 2" xfId="3280" xr:uid="{00000000-0005-0000-0000-0000FF0C0000}"/>
    <cellStyle name="Percent 2 7 5" xfId="3281" xr:uid="{00000000-0005-0000-0000-0000000D0000}"/>
    <cellStyle name="Percent 2 7 5 2" xfId="3282" xr:uid="{00000000-0005-0000-0000-0000010D0000}"/>
    <cellStyle name="Percent 2 7 6" xfId="3283" xr:uid="{00000000-0005-0000-0000-0000020D0000}"/>
    <cellStyle name="Percent 2 7 6 2" xfId="3284" xr:uid="{00000000-0005-0000-0000-0000030D0000}"/>
    <cellStyle name="Percent 2 7 7" xfId="3285" xr:uid="{00000000-0005-0000-0000-0000040D0000}"/>
    <cellStyle name="Percent 2 7 7 2" xfId="3286" xr:uid="{00000000-0005-0000-0000-0000050D0000}"/>
    <cellStyle name="Percent 2 7 8" xfId="3287" xr:uid="{00000000-0005-0000-0000-0000060D0000}"/>
    <cellStyle name="Percent 2 7 8 2" xfId="3288" xr:uid="{00000000-0005-0000-0000-0000070D0000}"/>
    <cellStyle name="Percent 2 7 9" xfId="3289" xr:uid="{00000000-0005-0000-0000-0000080D0000}"/>
    <cellStyle name="Percent 2 8" xfId="3290" xr:uid="{00000000-0005-0000-0000-0000090D0000}"/>
    <cellStyle name="Percent 2 8 2" xfId="3291" xr:uid="{00000000-0005-0000-0000-00000A0D0000}"/>
    <cellStyle name="Percent 2 8 2 2" xfId="3292" xr:uid="{00000000-0005-0000-0000-00000B0D0000}"/>
    <cellStyle name="Percent 2 8 3" xfId="3293" xr:uid="{00000000-0005-0000-0000-00000C0D0000}"/>
    <cellStyle name="Percent 2 8 3 2" xfId="3294" xr:uid="{00000000-0005-0000-0000-00000D0D0000}"/>
    <cellStyle name="Percent 2 8 4" xfId="3295" xr:uid="{00000000-0005-0000-0000-00000E0D0000}"/>
    <cellStyle name="Percent 2 8 4 2" xfId="3296" xr:uid="{00000000-0005-0000-0000-00000F0D0000}"/>
    <cellStyle name="Percent 2 8 5" xfId="3297" xr:uid="{00000000-0005-0000-0000-0000100D0000}"/>
    <cellStyle name="Percent 2 8 5 2" xfId="3298" xr:uid="{00000000-0005-0000-0000-0000110D0000}"/>
    <cellStyle name="Percent 2 8 6" xfId="3299" xr:uid="{00000000-0005-0000-0000-0000120D0000}"/>
    <cellStyle name="Percent 2 8 6 2" xfId="3300" xr:uid="{00000000-0005-0000-0000-0000130D0000}"/>
    <cellStyle name="Percent 2 8 7" xfId="3301" xr:uid="{00000000-0005-0000-0000-0000140D0000}"/>
    <cellStyle name="Percent 2 8 7 2" xfId="3302" xr:uid="{00000000-0005-0000-0000-0000150D0000}"/>
    <cellStyle name="Percent 2 8 8" xfId="3303" xr:uid="{00000000-0005-0000-0000-0000160D0000}"/>
    <cellStyle name="Percent 2 8 8 2" xfId="3304" xr:uid="{00000000-0005-0000-0000-0000170D0000}"/>
    <cellStyle name="Percent 2 8 9" xfId="3305" xr:uid="{00000000-0005-0000-0000-0000180D0000}"/>
    <cellStyle name="Percent 2 9" xfId="3306" xr:uid="{00000000-0005-0000-0000-0000190D0000}"/>
    <cellStyle name="Percent 2 9 2" xfId="3307" xr:uid="{00000000-0005-0000-0000-00001A0D0000}"/>
    <cellStyle name="Percent 2 9 2 2" xfId="3308" xr:uid="{00000000-0005-0000-0000-00001B0D0000}"/>
    <cellStyle name="Percent 2 9 3" xfId="3309" xr:uid="{00000000-0005-0000-0000-00001C0D0000}"/>
    <cellStyle name="Percent 2 9 3 2" xfId="3310" xr:uid="{00000000-0005-0000-0000-00001D0D0000}"/>
    <cellStyle name="Percent 2 9 4" xfId="3311" xr:uid="{00000000-0005-0000-0000-00001E0D0000}"/>
    <cellStyle name="Percent 2 9 4 2" xfId="3312" xr:uid="{00000000-0005-0000-0000-00001F0D0000}"/>
    <cellStyle name="Percent 2 9 5" xfId="3313" xr:uid="{00000000-0005-0000-0000-0000200D0000}"/>
    <cellStyle name="Percent 2 9 5 2" xfId="3314" xr:uid="{00000000-0005-0000-0000-0000210D0000}"/>
    <cellStyle name="Percent 2 9 6" xfId="3315" xr:uid="{00000000-0005-0000-0000-0000220D0000}"/>
    <cellStyle name="Percent 2 9 6 2" xfId="3316" xr:uid="{00000000-0005-0000-0000-0000230D0000}"/>
    <cellStyle name="Percent 2 9 7" xfId="3317" xr:uid="{00000000-0005-0000-0000-0000240D0000}"/>
    <cellStyle name="Percent 2 9 7 2" xfId="3318" xr:uid="{00000000-0005-0000-0000-0000250D0000}"/>
    <cellStyle name="Percent 2 9 8" xfId="3319" xr:uid="{00000000-0005-0000-0000-0000260D0000}"/>
    <cellStyle name="Percent 2 9 8 2" xfId="3320" xr:uid="{00000000-0005-0000-0000-0000270D0000}"/>
    <cellStyle name="Percent 2 9 9" xfId="3321" xr:uid="{00000000-0005-0000-0000-0000280D0000}"/>
    <cellStyle name="Percent 3" xfId="3322" xr:uid="{00000000-0005-0000-0000-0000290D0000}"/>
    <cellStyle name="Percent 3 10" xfId="3323" xr:uid="{00000000-0005-0000-0000-00002A0D0000}"/>
    <cellStyle name="Percent 3 11" xfId="3324" xr:uid="{00000000-0005-0000-0000-00002B0D0000}"/>
    <cellStyle name="Percent 3 12" xfId="3325" xr:uid="{00000000-0005-0000-0000-00002C0D0000}"/>
    <cellStyle name="Percent 3 13" xfId="3326" xr:uid="{00000000-0005-0000-0000-00002D0D0000}"/>
    <cellStyle name="Percent 3 2" xfId="3327" xr:uid="{00000000-0005-0000-0000-00002E0D0000}"/>
    <cellStyle name="Percent 3 2 2" xfId="3328" xr:uid="{00000000-0005-0000-0000-00002F0D0000}"/>
    <cellStyle name="Percent 3 2 2 2" xfId="3329" xr:uid="{00000000-0005-0000-0000-0000300D0000}"/>
    <cellStyle name="Percent 3 2 3" xfId="3330" xr:uid="{00000000-0005-0000-0000-0000310D0000}"/>
    <cellStyle name="Percent 3 2 4" xfId="3331" xr:uid="{00000000-0005-0000-0000-0000320D0000}"/>
    <cellStyle name="Percent 3 3" xfId="3332" xr:uid="{00000000-0005-0000-0000-0000330D0000}"/>
    <cellStyle name="Percent 3 3 2" xfId="3333" xr:uid="{00000000-0005-0000-0000-0000340D0000}"/>
    <cellStyle name="Percent 3 3 2 2" xfId="3334" xr:uid="{00000000-0005-0000-0000-0000350D0000}"/>
    <cellStyle name="Percent 3 3 3" xfId="3335" xr:uid="{00000000-0005-0000-0000-0000360D0000}"/>
    <cellStyle name="Percent 3 3 3 2" xfId="3336" xr:uid="{00000000-0005-0000-0000-0000370D0000}"/>
    <cellStyle name="Percent 3 3 4" xfId="3337" xr:uid="{00000000-0005-0000-0000-0000380D0000}"/>
    <cellStyle name="Percent 3 4" xfId="3338" xr:uid="{00000000-0005-0000-0000-0000390D0000}"/>
    <cellStyle name="Percent 3 4 2" xfId="3339" xr:uid="{00000000-0005-0000-0000-00003A0D0000}"/>
    <cellStyle name="Percent 3 4 2 2" xfId="3340" xr:uid="{00000000-0005-0000-0000-00003B0D0000}"/>
    <cellStyle name="Percent 3 4 3" xfId="3341" xr:uid="{00000000-0005-0000-0000-00003C0D0000}"/>
    <cellStyle name="Percent 3 5" xfId="3342" xr:uid="{00000000-0005-0000-0000-00003D0D0000}"/>
    <cellStyle name="Percent 3 5 2" xfId="3343" xr:uid="{00000000-0005-0000-0000-00003E0D0000}"/>
    <cellStyle name="Percent 3 5 3" xfId="3344" xr:uid="{00000000-0005-0000-0000-00003F0D0000}"/>
    <cellStyle name="Percent 3 6" xfId="3345" xr:uid="{00000000-0005-0000-0000-0000400D0000}"/>
    <cellStyle name="Percent 3 6 2" xfId="3346" xr:uid="{00000000-0005-0000-0000-0000410D0000}"/>
    <cellStyle name="Percent 3 7" xfId="3347" xr:uid="{00000000-0005-0000-0000-0000420D0000}"/>
    <cellStyle name="Percent 3 7 2" xfId="3348" xr:uid="{00000000-0005-0000-0000-0000430D0000}"/>
    <cellStyle name="Percent 3 8" xfId="3349" xr:uid="{00000000-0005-0000-0000-0000440D0000}"/>
    <cellStyle name="Percent 3 8 2" xfId="3350" xr:uid="{00000000-0005-0000-0000-0000450D0000}"/>
    <cellStyle name="Percent 3 9" xfId="3351" xr:uid="{00000000-0005-0000-0000-0000460D0000}"/>
    <cellStyle name="Percent 3 9 2" xfId="3352" xr:uid="{00000000-0005-0000-0000-0000470D0000}"/>
    <cellStyle name="Percent 3 9 3" xfId="3353" xr:uid="{00000000-0005-0000-0000-0000480D0000}"/>
    <cellStyle name="Percent 3 9 4" xfId="3354" xr:uid="{00000000-0005-0000-0000-0000490D0000}"/>
    <cellStyle name="Percent 4" xfId="3355" xr:uid="{00000000-0005-0000-0000-00004A0D0000}"/>
    <cellStyle name="Percent 4 10" xfId="3356" xr:uid="{00000000-0005-0000-0000-00004B0D0000}"/>
    <cellStyle name="Percent 4 10 2" xfId="3357" xr:uid="{00000000-0005-0000-0000-00004C0D0000}"/>
    <cellStyle name="Percent 4 11" xfId="3358" xr:uid="{00000000-0005-0000-0000-00004D0D0000}"/>
    <cellStyle name="Percent 4 11 2" xfId="3359" xr:uid="{00000000-0005-0000-0000-00004E0D0000}"/>
    <cellStyle name="Percent 4 12" xfId="3360" xr:uid="{00000000-0005-0000-0000-00004F0D0000}"/>
    <cellStyle name="Percent 4 12 2" xfId="3361" xr:uid="{00000000-0005-0000-0000-0000500D0000}"/>
    <cellStyle name="Percent 4 13" xfId="3362" xr:uid="{00000000-0005-0000-0000-0000510D0000}"/>
    <cellStyle name="Percent 4 13 2" xfId="3363" xr:uid="{00000000-0005-0000-0000-0000520D0000}"/>
    <cellStyle name="Percent 4 14" xfId="3364" xr:uid="{00000000-0005-0000-0000-0000530D0000}"/>
    <cellStyle name="Percent 4 15" xfId="3365" xr:uid="{00000000-0005-0000-0000-0000540D0000}"/>
    <cellStyle name="Percent 4 2" xfId="3366" xr:uid="{00000000-0005-0000-0000-0000550D0000}"/>
    <cellStyle name="Percent 4 2 10" xfId="3367" xr:uid="{00000000-0005-0000-0000-0000560D0000}"/>
    <cellStyle name="Percent 4 2 2" xfId="3368" xr:uid="{00000000-0005-0000-0000-0000570D0000}"/>
    <cellStyle name="Percent 4 2 2 2" xfId="3369" xr:uid="{00000000-0005-0000-0000-0000580D0000}"/>
    <cellStyle name="Percent 4 2 2 3" xfId="3370" xr:uid="{00000000-0005-0000-0000-0000590D0000}"/>
    <cellStyle name="Percent 4 2 3" xfId="3371" xr:uid="{00000000-0005-0000-0000-00005A0D0000}"/>
    <cellStyle name="Percent 4 2 3 2" xfId="3372" xr:uid="{00000000-0005-0000-0000-00005B0D0000}"/>
    <cellStyle name="Percent 4 2 4" xfId="3373" xr:uid="{00000000-0005-0000-0000-00005C0D0000}"/>
    <cellStyle name="Percent 4 2 4 2" xfId="3374" xr:uid="{00000000-0005-0000-0000-00005D0D0000}"/>
    <cellStyle name="Percent 4 2 5" xfId="3375" xr:uid="{00000000-0005-0000-0000-00005E0D0000}"/>
    <cellStyle name="Percent 4 2 5 2" xfId="3376" xr:uid="{00000000-0005-0000-0000-00005F0D0000}"/>
    <cellStyle name="Percent 4 2 6" xfId="3377" xr:uid="{00000000-0005-0000-0000-0000600D0000}"/>
    <cellStyle name="Percent 4 2 6 2" xfId="3378" xr:uid="{00000000-0005-0000-0000-0000610D0000}"/>
    <cellStyle name="Percent 4 2 7" xfId="3379" xr:uid="{00000000-0005-0000-0000-0000620D0000}"/>
    <cellStyle name="Percent 4 2 7 2" xfId="3380" xr:uid="{00000000-0005-0000-0000-0000630D0000}"/>
    <cellStyle name="Percent 4 2 8" xfId="3381" xr:uid="{00000000-0005-0000-0000-0000640D0000}"/>
    <cellStyle name="Percent 4 2 8 2" xfId="3382" xr:uid="{00000000-0005-0000-0000-0000650D0000}"/>
    <cellStyle name="Percent 4 2 9" xfId="3383" xr:uid="{00000000-0005-0000-0000-0000660D0000}"/>
    <cellStyle name="Percent 4 3" xfId="3384" xr:uid="{00000000-0005-0000-0000-0000670D0000}"/>
    <cellStyle name="Percent 4 3 10" xfId="3385" xr:uid="{00000000-0005-0000-0000-0000680D0000}"/>
    <cellStyle name="Percent 4 3 2" xfId="3386" xr:uid="{00000000-0005-0000-0000-0000690D0000}"/>
    <cellStyle name="Percent 4 3 2 2" xfId="3387" xr:uid="{00000000-0005-0000-0000-00006A0D0000}"/>
    <cellStyle name="Percent 4 3 3" xfId="3388" xr:uid="{00000000-0005-0000-0000-00006B0D0000}"/>
    <cellStyle name="Percent 4 3 3 2" xfId="3389" xr:uid="{00000000-0005-0000-0000-00006C0D0000}"/>
    <cellStyle name="Percent 4 3 4" xfId="3390" xr:uid="{00000000-0005-0000-0000-00006D0D0000}"/>
    <cellStyle name="Percent 4 3 4 2" xfId="3391" xr:uid="{00000000-0005-0000-0000-00006E0D0000}"/>
    <cellStyle name="Percent 4 3 5" xfId="3392" xr:uid="{00000000-0005-0000-0000-00006F0D0000}"/>
    <cellStyle name="Percent 4 3 5 2" xfId="3393" xr:uid="{00000000-0005-0000-0000-0000700D0000}"/>
    <cellStyle name="Percent 4 3 6" xfId="3394" xr:uid="{00000000-0005-0000-0000-0000710D0000}"/>
    <cellStyle name="Percent 4 3 6 2" xfId="3395" xr:uid="{00000000-0005-0000-0000-0000720D0000}"/>
    <cellStyle name="Percent 4 3 7" xfId="3396" xr:uid="{00000000-0005-0000-0000-0000730D0000}"/>
    <cellStyle name="Percent 4 3 7 2" xfId="3397" xr:uid="{00000000-0005-0000-0000-0000740D0000}"/>
    <cellStyle name="Percent 4 3 8" xfId="3398" xr:uid="{00000000-0005-0000-0000-0000750D0000}"/>
    <cellStyle name="Percent 4 3 8 2" xfId="3399" xr:uid="{00000000-0005-0000-0000-0000760D0000}"/>
    <cellStyle name="Percent 4 3 9" xfId="3400" xr:uid="{00000000-0005-0000-0000-0000770D0000}"/>
    <cellStyle name="Percent 4 4" xfId="3401" xr:uid="{00000000-0005-0000-0000-0000780D0000}"/>
    <cellStyle name="Percent 4 4 10" xfId="3402" xr:uid="{00000000-0005-0000-0000-0000790D0000}"/>
    <cellStyle name="Percent 4 4 2" xfId="3403" xr:uid="{00000000-0005-0000-0000-00007A0D0000}"/>
    <cellStyle name="Percent 4 4 2 2" xfId="3404" xr:uid="{00000000-0005-0000-0000-00007B0D0000}"/>
    <cellStyle name="Percent 4 4 3" xfId="3405" xr:uid="{00000000-0005-0000-0000-00007C0D0000}"/>
    <cellStyle name="Percent 4 4 3 2" xfId="3406" xr:uid="{00000000-0005-0000-0000-00007D0D0000}"/>
    <cellStyle name="Percent 4 4 4" xfId="3407" xr:uid="{00000000-0005-0000-0000-00007E0D0000}"/>
    <cellStyle name="Percent 4 4 4 2" xfId="3408" xr:uid="{00000000-0005-0000-0000-00007F0D0000}"/>
    <cellStyle name="Percent 4 4 5" xfId="3409" xr:uid="{00000000-0005-0000-0000-0000800D0000}"/>
    <cellStyle name="Percent 4 4 5 2" xfId="3410" xr:uid="{00000000-0005-0000-0000-0000810D0000}"/>
    <cellStyle name="Percent 4 4 6" xfId="3411" xr:uid="{00000000-0005-0000-0000-0000820D0000}"/>
    <cellStyle name="Percent 4 4 6 2" xfId="3412" xr:uid="{00000000-0005-0000-0000-0000830D0000}"/>
    <cellStyle name="Percent 4 4 7" xfId="3413" xr:uid="{00000000-0005-0000-0000-0000840D0000}"/>
    <cellStyle name="Percent 4 4 7 2" xfId="3414" xr:uid="{00000000-0005-0000-0000-0000850D0000}"/>
    <cellStyle name="Percent 4 4 8" xfId="3415" xr:uid="{00000000-0005-0000-0000-0000860D0000}"/>
    <cellStyle name="Percent 4 4 8 2" xfId="3416" xr:uid="{00000000-0005-0000-0000-0000870D0000}"/>
    <cellStyle name="Percent 4 4 9" xfId="3417" xr:uid="{00000000-0005-0000-0000-0000880D0000}"/>
    <cellStyle name="Percent 4 5" xfId="3418" xr:uid="{00000000-0005-0000-0000-0000890D0000}"/>
    <cellStyle name="Percent 4 5 2" xfId="3419" xr:uid="{00000000-0005-0000-0000-00008A0D0000}"/>
    <cellStyle name="Percent 4 5 2 2" xfId="3420" xr:uid="{00000000-0005-0000-0000-00008B0D0000}"/>
    <cellStyle name="Percent 4 5 3" xfId="3421" xr:uid="{00000000-0005-0000-0000-00008C0D0000}"/>
    <cellStyle name="Percent 4 5 3 2" xfId="3422" xr:uid="{00000000-0005-0000-0000-00008D0D0000}"/>
    <cellStyle name="Percent 4 5 4" xfId="3423" xr:uid="{00000000-0005-0000-0000-00008E0D0000}"/>
    <cellStyle name="Percent 4 5 4 2" xfId="3424" xr:uid="{00000000-0005-0000-0000-00008F0D0000}"/>
    <cellStyle name="Percent 4 5 5" xfId="3425" xr:uid="{00000000-0005-0000-0000-0000900D0000}"/>
    <cellStyle name="Percent 4 5 5 2" xfId="3426" xr:uid="{00000000-0005-0000-0000-0000910D0000}"/>
    <cellStyle name="Percent 4 5 6" xfId="3427" xr:uid="{00000000-0005-0000-0000-0000920D0000}"/>
    <cellStyle name="Percent 4 5 6 2" xfId="3428" xr:uid="{00000000-0005-0000-0000-0000930D0000}"/>
    <cellStyle name="Percent 4 5 7" xfId="3429" xr:uid="{00000000-0005-0000-0000-0000940D0000}"/>
    <cellStyle name="Percent 4 5 7 2" xfId="3430" xr:uid="{00000000-0005-0000-0000-0000950D0000}"/>
    <cellStyle name="Percent 4 5 8" xfId="3431" xr:uid="{00000000-0005-0000-0000-0000960D0000}"/>
    <cellStyle name="Percent 4 5 8 2" xfId="3432" xr:uid="{00000000-0005-0000-0000-0000970D0000}"/>
    <cellStyle name="Percent 4 5 9" xfId="3433" xr:uid="{00000000-0005-0000-0000-0000980D0000}"/>
    <cellStyle name="Percent 4 6" xfId="3434" xr:uid="{00000000-0005-0000-0000-0000990D0000}"/>
    <cellStyle name="Percent 4 6 2" xfId="3435" xr:uid="{00000000-0005-0000-0000-00009A0D0000}"/>
    <cellStyle name="Percent 4 6 2 2" xfId="3436" xr:uid="{00000000-0005-0000-0000-00009B0D0000}"/>
    <cellStyle name="Percent 4 6 3" xfId="3437" xr:uid="{00000000-0005-0000-0000-00009C0D0000}"/>
    <cellStyle name="Percent 4 6 3 2" xfId="3438" xr:uid="{00000000-0005-0000-0000-00009D0D0000}"/>
    <cellStyle name="Percent 4 6 4" xfId="3439" xr:uid="{00000000-0005-0000-0000-00009E0D0000}"/>
    <cellStyle name="Percent 4 6 4 2" xfId="3440" xr:uid="{00000000-0005-0000-0000-00009F0D0000}"/>
    <cellStyle name="Percent 4 6 5" xfId="3441" xr:uid="{00000000-0005-0000-0000-0000A00D0000}"/>
    <cellStyle name="Percent 4 6 5 2" xfId="3442" xr:uid="{00000000-0005-0000-0000-0000A10D0000}"/>
    <cellStyle name="Percent 4 6 6" xfId="3443" xr:uid="{00000000-0005-0000-0000-0000A20D0000}"/>
    <cellStyle name="Percent 4 6 6 2" xfId="3444" xr:uid="{00000000-0005-0000-0000-0000A30D0000}"/>
    <cellStyle name="Percent 4 6 7" xfId="3445" xr:uid="{00000000-0005-0000-0000-0000A40D0000}"/>
    <cellStyle name="Percent 4 6 7 2" xfId="3446" xr:uid="{00000000-0005-0000-0000-0000A50D0000}"/>
    <cellStyle name="Percent 4 6 8" xfId="3447" xr:uid="{00000000-0005-0000-0000-0000A60D0000}"/>
    <cellStyle name="Percent 4 6 8 2" xfId="3448" xr:uid="{00000000-0005-0000-0000-0000A70D0000}"/>
    <cellStyle name="Percent 4 6 9" xfId="3449" xr:uid="{00000000-0005-0000-0000-0000A80D0000}"/>
    <cellStyle name="Percent 4 7" xfId="3450" xr:uid="{00000000-0005-0000-0000-0000A90D0000}"/>
    <cellStyle name="Percent 4 7 2" xfId="3451" xr:uid="{00000000-0005-0000-0000-0000AA0D0000}"/>
    <cellStyle name="Percent 4 8" xfId="3452" xr:uid="{00000000-0005-0000-0000-0000AB0D0000}"/>
    <cellStyle name="Percent 4 8 2" xfId="3453" xr:uid="{00000000-0005-0000-0000-0000AC0D0000}"/>
    <cellStyle name="Percent 4 9" xfId="3454" xr:uid="{00000000-0005-0000-0000-0000AD0D0000}"/>
    <cellStyle name="Percent 4 9 2" xfId="3455" xr:uid="{00000000-0005-0000-0000-0000AE0D0000}"/>
    <cellStyle name="Percent 5" xfId="3456" xr:uid="{00000000-0005-0000-0000-0000AF0D0000}"/>
    <cellStyle name="Percent 5 10" xfId="3457" xr:uid="{00000000-0005-0000-0000-0000B00D0000}"/>
    <cellStyle name="Percent 5 2" xfId="3458" xr:uid="{00000000-0005-0000-0000-0000B10D0000}"/>
    <cellStyle name="Percent 5 2 2" xfId="3459" xr:uid="{00000000-0005-0000-0000-0000B20D0000}"/>
    <cellStyle name="Percent 5 2 3" xfId="3460" xr:uid="{00000000-0005-0000-0000-0000B30D0000}"/>
    <cellStyle name="Percent 5 3" xfId="3461" xr:uid="{00000000-0005-0000-0000-0000B40D0000}"/>
    <cellStyle name="Percent 5 3 2" xfId="3462" xr:uid="{00000000-0005-0000-0000-0000B50D0000}"/>
    <cellStyle name="Percent 5 4" xfId="3463" xr:uid="{00000000-0005-0000-0000-0000B60D0000}"/>
    <cellStyle name="Percent 5 4 2" xfId="3464" xr:uid="{00000000-0005-0000-0000-0000B70D0000}"/>
    <cellStyle name="Percent 5 5" xfId="3465" xr:uid="{00000000-0005-0000-0000-0000B80D0000}"/>
    <cellStyle name="Percent 5 5 2" xfId="3466" xr:uid="{00000000-0005-0000-0000-0000B90D0000}"/>
    <cellStyle name="Percent 5 6" xfId="3467" xr:uid="{00000000-0005-0000-0000-0000BA0D0000}"/>
    <cellStyle name="Percent 5 6 2" xfId="3468" xr:uid="{00000000-0005-0000-0000-0000BB0D0000}"/>
    <cellStyle name="Percent 5 7" xfId="3469" xr:uid="{00000000-0005-0000-0000-0000BC0D0000}"/>
    <cellStyle name="Percent 5 7 2" xfId="3470" xr:uid="{00000000-0005-0000-0000-0000BD0D0000}"/>
    <cellStyle name="Percent 5 8" xfId="3471" xr:uid="{00000000-0005-0000-0000-0000BE0D0000}"/>
    <cellStyle name="Percent 5 8 2" xfId="3472" xr:uid="{00000000-0005-0000-0000-0000BF0D0000}"/>
    <cellStyle name="Percent 5 9" xfId="3473" xr:uid="{00000000-0005-0000-0000-0000C00D0000}"/>
    <cellStyle name="Percent 6" xfId="3474" xr:uid="{00000000-0005-0000-0000-0000C10D0000}"/>
    <cellStyle name="Percent 6 10" xfId="3475" xr:uid="{00000000-0005-0000-0000-0000C20D0000}"/>
    <cellStyle name="Percent 6 2" xfId="3476" xr:uid="{00000000-0005-0000-0000-0000C30D0000}"/>
    <cellStyle name="Percent 6 2 2" xfId="3477" xr:uid="{00000000-0005-0000-0000-0000C40D0000}"/>
    <cellStyle name="Percent 6 3" xfId="3478" xr:uid="{00000000-0005-0000-0000-0000C50D0000}"/>
    <cellStyle name="Percent 6 3 2" xfId="3479" xr:uid="{00000000-0005-0000-0000-0000C60D0000}"/>
    <cellStyle name="Percent 6 4" xfId="3480" xr:uid="{00000000-0005-0000-0000-0000C70D0000}"/>
    <cellStyle name="Percent 6 4 2" xfId="3481" xr:uid="{00000000-0005-0000-0000-0000C80D0000}"/>
    <cellStyle name="Percent 6 5" xfId="3482" xr:uid="{00000000-0005-0000-0000-0000C90D0000}"/>
    <cellStyle name="Percent 6 5 2" xfId="3483" xr:uid="{00000000-0005-0000-0000-0000CA0D0000}"/>
    <cellStyle name="Percent 6 6" xfId="3484" xr:uid="{00000000-0005-0000-0000-0000CB0D0000}"/>
    <cellStyle name="Percent 6 6 2" xfId="3485" xr:uid="{00000000-0005-0000-0000-0000CC0D0000}"/>
    <cellStyle name="Percent 6 7" xfId="3486" xr:uid="{00000000-0005-0000-0000-0000CD0D0000}"/>
    <cellStyle name="Percent 6 7 2" xfId="3487" xr:uid="{00000000-0005-0000-0000-0000CE0D0000}"/>
    <cellStyle name="Percent 6 8" xfId="3488" xr:uid="{00000000-0005-0000-0000-0000CF0D0000}"/>
    <cellStyle name="Percent 6 8 2" xfId="3489" xr:uid="{00000000-0005-0000-0000-0000D00D0000}"/>
    <cellStyle name="Percent 6 9" xfId="3490" xr:uid="{00000000-0005-0000-0000-0000D10D0000}"/>
    <cellStyle name="Percent 7" xfId="3491" xr:uid="{00000000-0005-0000-0000-0000D20D0000}"/>
    <cellStyle name="Percent 7 2" xfId="3492" xr:uid="{00000000-0005-0000-0000-0000D30D0000}"/>
    <cellStyle name="Percent 7 2 2" xfId="3493" xr:uid="{00000000-0005-0000-0000-0000D40D0000}"/>
    <cellStyle name="Percent 7 3" xfId="3494" xr:uid="{00000000-0005-0000-0000-0000D50D0000}"/>
    <cellStyle name="Percent 7 3 2" xfId="3495" xr:uid="{00000000-0005-0000-0000-0000D60D0000}"/>
    <cellStyle name="Percent 7 4" xfId="3496" xr:uid="{00000000-0005-0000-0000-0000D70D0000}"/>
    <cellStyle name="Percent 7 4 2" xfId="3497" xr:uid="{00000000-0005-0000-0000-0000D80D0000}"/>
    <cellStyle name="Percent 7 5" xfId="3498" xr:uid="{00000000-0005-0000-0000-0000D90D0000}"/>
    <cellStyle name="Percent 7 5 2" xfId="3499" xr:uid="{00000000-0005-0000-0000-0000DA0D0000}"/>
    <cellStyle name="Percent 7 6" xfId="3500" xr:uid="{00000000-0005-0000-0000-0000DB0D0000}"/>
    <cellStyle name="Percent 7 6 2" xfId="3501" xr:uid="{00000000-0005-0000-0000-0000DC0D0000}"/>
    <cellStyle name="Percent 7 7" xfId="3502" xr:uid="{00000000-0005-0000-0000-0000DD0D0000}"/>
    <cellStyle name="Percent 7 7 2" xfId="3503" xr:uid="{00000000-0005-0000-0000-0000DE0D0000}"/>
    <cellStyle name="Percent 7 8" xfId="3504" xr:uid="{00000000-0005-0000-0000-0000DF0D0000}"/>
    <cellStyle name="Percent 7 8 2" xfId="3505" xr:uid="{00000000-0005-0000-0000-0000E00D0000}"/>
    <cellStyle name="Percent 7 9" xfId="3506" xr:uid="{00000000-0005-0000-0000-0000E10D0000}"/>
    <cellStyle name="Percent 8" xfId="3507" xr:uid="{00000000-0005-0000-0000-0000E20D0000}"/>
    <cellStyle name="Percent 8 2" xfId="3508" xr:uid="{00000000-0005-0000-0000-0000E30D0000}"/>
    <cellStyle name="Percent 8 2 2" xfId="3509" xr:uid="{00000000-0005-0000-0000-0000E40D0000}"/>
    <cellStyle name="Percent 8 3" xfId="3510" xr:uid="{00000000-0005-0000-0000-0000E50D0000}"/>
    <cellStyle name="Percent 8 3 2" xfId="3511" xr:uid="{00000000-0005-0000-0000-0000E60D0000}"/>
    <cellStyle name="Percent 8 4" xfId="3512" xr:uid="{00000000-0005-0000-0000-0000E70D0000}"/>
    <cellStyle name="Percent 8 4 2" xfId="3513" xr:uid="{00000000-0005-0000-0000-0000E80D0000}"/>
    <cellStyle name="Percent 8 5" xfId="3514" xr:uid="{00000000-0005-0000-0000-0000E90D0000}"/>
    <cellStyle name="Percent 8 5 2" xfId="3515" xr:uid="{00000000-0005-0000-0000-0000EA0D0000}"/>
    <cellStyle name="Percent 8 6" xfId="3516" xr:uid="{00000000-0005-0000-0000-0000EB0D0000}"/>
    <cellStyle name="Percent 8 6 2" xfId="3517" xr:uid="{00000000-0005-0000-0000-0000EC0D0000}"/>
    <cellStyle name="Percent 8 7" xfId="3518" xr:uid="{00000000-0005-0000-0000-0000ED0D0000}"/>
    <cellStyle name="Percent 8 7 2" xfId="3519" xr:uid="{00000000-0005-0000-0000-0000EE0D0000}"/>
    <cellStyle name="Percent 8 8" xfId="3520" xr:uid="{00000000-0005-0000-0000-0000EF0D0000}"/>
    <cellStyle name="Percent 8 8 2" xfId="3521" xr:uid="{00000000-0005-0000-0000-0000F00D0000}"/>
    <cellStyle name="Percent 8 9" xfId="3522" xr:uid="{00000000-0005-0000-0000-0000F10D0000}"/>
    <cellStyle name="Percent 9" xfId="3523" xr:uid="{00000000-0005-0000-0000-0000F20D0000}"/>
    <cellStyle name="Percent 9 2" xfId="3524" xr:uid="{00000000-0005-0000-0000-0000F30D0000}"/>
    <cellStyle name="Percent 9 2 2" xfId="3525" xr:uid="{00000000-0005-0000-0000-0000F40D0000}"/>
    <cellStyle name="Percent 9 3" xfId="3526" xr:uid="{00000000-0005-0000-0000-0000F50D0000}"/>
    <cellStyle name="Percent 9 3 2" xfId="3527" xr:uid="{00000000-0005-0000-0000-0000F60D0000}"/>
    <cellStyle name="Percent 9 4" xfId="3528" xr:uid="{00000000-0005-0000-0000-0000F70D0000}"/>
    <cellStyle name="Percent 9 4 2" xfId="3529" xr:uid="{00000000-0005-0000-0000-0000F80D0000}"/>
    <cellStyle name="Percent 9 5" xfId="3530" xr:uid="{00000000-0005-0000-0000-0000F90D0000}"/>
    <cellStyle name="Percent 9 5 2" xfId="3531" xr:uid="{00000000-0005-0000-0000-0000FA0D0000}"/>
    <cellStyle name="Percent 9 6" xfId="3532" xr:uid="{00000000-0005-0000-0000-0000FB0D0000}"/>
    <cellStyle name="Percent 9 6 2" xfId="3533" xr:uid="{00000000-0005-0000-0000-0000FC0D0000}"/>
    <cellStyle name="Percent 9 7" xfId="3534" xr:uid="{00000000-0005-0000-0000-0000FD0D0000}"/>
    <cellStyle name="Percent 9 7 2" xfId="3535" xr:uid="{00000000-0005-0000-0000-0000FE0D0000}"/>
    <cellStyle name="Percent 9 8" xfId="3536" xr:uid="{00000000-0005-0000-0000-0000FF0D0000}"/>
    <cellStyle name="Percent 9 8 2" xfId="3537" xr:uid="{00000000-0005-0000-0000-0000000E0000}"/>
    <cellStyle name="Percent 9 9" xfId="3538" xr:uid="{00000000-0005-0000-0000-0000010E0000}"/>
    <cellStyle name="Pilkku_Layo9704" xfId="3539" xr:uid="{00000000-0005-0000-0000-0000020E0000}"/>
    <cellStyle name="Pyör. luku_Layo9704" xfId="3540" xr:uid="{00000000-0005-0000-0000-0000030E0000}"/>
    <cellStyle name="Pyör. valuutta_Layo9704" xfId="3541" xr:uid="{00000000-0005-0000-0000-0000040E0000}"/>
    <cellStyle name="source" xfId="3542" xr:uid="{00000000-0005-0000-0000-0000050E0000}"/>
    <cellStyle name="Standard_Sce_D_Extraction" xfId="3543" xr:uid="{00000000-0005-0000-0000-0000060E0000}"/>
    <cellStyle name="Style 21" xfId="3544" xr:uid="{00000000-0005-0000-0000-0000070E0000}"/>
    <cellStyle name="Style 21 2" xfId="3545" xr:uid="{00000000-0005-0000-0000-0000080E0000}"/>
    <cellStyle name="Style 22" xfId="3546" xr:uid="{00000000-0005-0000-0000-0000090E0000}"/>
    <cellStyle name="Style 23" xfId="3547" xr:uid="{00000000-0005-0000-0000-00000A0E0000}"/>
    <cellStyle name="Style 24" xfId="3548" xr:uid="{00000000-0005-0000-0000-00000B0E0000}"/>
    <cellStyle name="Style 25" xfId="3549" xr:uid="{00000000-0005-0000-0000-00000C0E0000}"/>
    <cellStyle name="Style 25 2" xfId="3550" xr:uid="{00000000-0005-0000-0000-00000D0E0000}"/>
    <cellStyle name="Style 26" xfId="3551" xr:uid="{00000000-0005-0000-0000-00000E0E0000}"/>
    <cellStyle name="Style 29" xfId="3552" xr:uid="{00000000-0005-0000-0000-00000F0E0000}"/>
    <cellStyle name="Style 29 2" xfId="3553" xr:uid="{00000000-0005-0000-0000-0000100E0000}"/>
    <cellStyle name="Style 29 2 2" xfId="3554" xr:uid="{00000000-0005-0000-0000-0000110E0000}"/>
    <cellStyle name="Style 29 3" xfId="3555" xr:uid="{00000000-0005-0000-0000-0000120E0000}"/>
    <cellStyle name="Style 35" xfId="3556" xr:uid="{00000000-0005-0000-0000-0000130E0000}"/>
    <cellStyle name="Style 35 2" xfId="3557" xr:uid="{00000000-0005-0000-0000-0000140E0000}"/>
    <cellStyle name="Style 36" xfId="3558" xr:uid="{00000000-0005-0000-0000-0000150E0000}"/>
    <cellStyle name="Style 36 2" xfId="3559" xr:uid="{00000000-0005-0000-0000-0000160E0000}"/>
    <cellStyle name="tableau | cellule | normal | decimal 1" xfId="3560" xr:uid="{00000000-0005-0000-0000-0000170E0000}"/>
    <cellStyle name="tableau | cellule | normal | pourcentage | decimal 1" xfId="3561" xr:uid="{00000000-0005-0000-0000-0000180E0000}"/>
    <cellStyle name="tableau | cellule | total | decimal 1" xfId="3562" xr:uid="{00000000-0005-0000-0000-0000190E0000}"/>
    <cellStyle name="tableau | coin superieur gauche" xfId="3563" xr:uid="{00000000-0005-0000-0000-00001A0E0000}"/>
    <cellStyle name="tableau | coin superieur gauche 2" xfId="3564" xr:uid="{00000000-0005-0000-0000-00001B0E0000}"/>
    <cellStyle name="tableau | entete-colonne | series" xfId="3565" xr:uid="{00000000-0005-0000-0000-00001C0E0000}"/>
    <cellStyle name="tableau | entete-colonne | series 2" xfId="3566" xr:uid="{00000000-0005-0000-0000-00001D0E0000}"/>
    <cellStyle name="tableau | entete-ligne | normal" xfId="3567" xr:uid="{00000000-0005-0000-0000-00001E0E0000}"/>
    <cellStyle name="tableau | entete-ligne | normal 2" xfId="3568" xr:uid="{00000000-0005-0000-0000-00001F0E0000}"/>
    <cellStyle name="tableau | entete-ligne | total" xfId="3569" xr:uid="{00000000-0005-0000-0000-0000200E0000}"/>
    <cellStyle name="tableau | ligne-titre | niveau1" xfId="3570" xr:uid="{00000000-0005-0000-0000-0000210E0000}"/>
    <cellStyle name="tableau | ligne-titre | niveau1 2" xfId="3571" xr:uid="{00000000-0005-0000-0000-0000220E0000}"/>
    <cellStyle name="tableau | ligne-titre | niveau2" xfId="3572" xr:uid="{00000000-0005-0000-0000-0000230E0000}"/>
    <cellStyle name="tableau | ligne-titre | niveau2 2" xfId="3573" xr:uid="{00000000-0005-0000-0000-0000240E0000}"/>
    <cellStyle name="Title 2" xfId="3574" xr:uid="{00000000-0005-0000-0000-0000250E0000}"/>
    <cellStyle name="Title 2 10" xfId="3575" xr:uid="{00000000-0005-0000-0000-0000260E0000}"/>
    <cellStyle name="Title 2 2" xfId="3576" xr:uid="{00000000-0005-0000-0000-0000270E0000}"/>
    <cellStyle name="Title 2 3" xfId="3577" xr:uid="{00000000-0005-0000-0000-0000280E0000}"/>
    <cellStyle name="Title 2 4" xfId="3578" xr:uid="{00000000-0005-0000-0000-0000290E0000}"/>
    <cellStyle name="Title 2 5" xfId="3579" xr:uid="{00000000-0005-0000-0000-00002A0E0000}"/>
    <cellStyle name="Title 2 6" xfId="3580" xr:uid="{00000000-0005-0000-0000-00002B0E0000}"/>
    <cellStyle name="Title 2 7" xfId="3581" xr:uid="{00000000-0005-0000-0000-00002C0E0000}"/>
    <cellStyle name="Title 2 8" xfId="3582" xr:uid="{00000000-0005-0000-0000-00002D0E0000}"/>
    <cellStyle name="Title 2 9" xfId="3583" xr:uid="{00000000-0005-0000-0000-00002E0E0000}"/>
    <cellStyle name="Title 3" xfId="3584" xr:uid="{00000000-0005-0000-0000-00002F0E0000}"/>
    <cellStyle name="Title 3 2" xfId="3585" xr:uid="{00000000-0005-0000-0000-0000300E0000}"/>
    <cellStyle name="Total 2" xfId="3586" xr:uid="{00000000-0005-0000-0000-0000310E0000}"/>
    <cellStyle name="Total 2 10" xfId="3587" xr:uid="{00000000-0005-0000-0000-0000320E0000}"/>
    <cellStyle name="Total 2 2" xfId="3588" xr:uid="{00000000-0005-0000-0000-0000330E0000}"/>
    <cellStyle name="Total 2 3" xfId="3589" xr:uid="{00000000-0005-0000-0000-0000340E0000}"/>
    <cellStyle name="Total 2 4" xfId="3590" xr:uid="{00000000-0005-0000-0000-0000350E0000}"/>
    <cellStyle name="Total 2 5" xfId="3591" xr:uid="{00000000-0005-0000-0000-0000360E0000}"/>
    <cellStyle name="Total 2 6" xfId="3592" xr:uid="{00000000-0005-0000-0000-0000370E0000}"/>
    <cellStyle name="Total 2 7" xfId="3593" xr:uid="{00000000-0005-0000-0000-0000380E0000}"/>
    <cellStyle name="Total 2 8" xfId="3594" xr:uid="{00000000-0005-0000-0000-0000390E0000}"/>
    <cellStyle name="Total 2 9" xfId="3595" xr:uid="{00000000-0005-0000-0000-00003A0E0000}"/>
    <cellStyle name="Total 3" xfId="3596" xr:uid="{00000000-0005-0000-0000-00003B0E0000}"/>
    <cellStyle name="Total 3 2" xfId="3597" xr:uid="{00000000-0005-0000-0000-00003C0E0000}"/>
    <cellStyle name="Valuutta_Layo9704" xfId="3598" xr:uid="{00000000-0005-0000-0000-00003D0E0000}"/>
    <cellStyle name="Warning Text 2" xfId="3599" xr:uid="{00000000-0005-0000-0000-00003E0E0000}"/>
    <cellStyle name="Warning Text 2 10" xfId="3600" xr:uid="{00000000-0005-0000-0000-00003F0E0000}"/>
    <cellStyle name="Warning Text 2 2" xfId="3601" xr:uid="{00000000-0005-0000-0000-0000400E0000}"/>
    <cellStyle name="Warning Text 2 3" xfId="3602" xr:uid="{00000000-0005-0000-0000-0000410E0000}"/>
    <cellStyle name="Warning Text 2 4" xfId="3603" xr:uid="{00000000-0005-0000-0000-0000420E0000}"/>
    <cellStyle name="Warning Text 2 5" xfId="3604" xr:uid="{00000000-0005-0000-0000-0000430E0000}"/>
    <cellStyle name="Warning Text 2 6" xfId="3605" xr:uid="{00000000-0005-0000-0000-0000440E0000}"/>
    <cellStyle name="Warning Text 2 7" xfId="3606" xr:uid="{00000000-0005-0000-0000-0000450E0000}"/>
    <cellStyle name="Warning Text 2 8" xfId="3607" xr:uid="{00000000-0005-0000-0000-0000460E0000}"/>
    <cellStyle name="Warning Text 2 9" xfId="3608" xr:uid="{00000000-0005-0000-0000-0000470E0000}"/>
    <cellStyle name="Warning Text 3" xfId="3609" xr:uid="{00000000-0005-0000-0000-0000480E0000}"/>
    <cellStyle name="Обычный_CRF2002 (1)" xfId="3610" xr:uid="{00000000-0005-0000-0000-0000490E0000}"/>
    <cellStyle name="已访问的超链接" xfId="3611" xr:uid="{00000000-0005-0000-0000-00004A0E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467350" y="168275"/>
          <a:ext cx="4876800" cy="5035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7"/>
  <sheetViews>
    <sheetView workbookViewId="0">
      <selection activeCell="A4" sqref="A4"/>
    </sheetView>
  </sheetViews>
  <sheetFormatPr defaultColWidth="11.46484375" defaultRowHeight="12.75"/>
  <cols>
    <col min="1" max="1" width="19.06640625" customWidth="1"/>
    <col min="2" max="2" width="11" customWidth="1"/>
    <col min="3" max="3" width="9.06640625" customWidth="1"/>
    <col min="4" max="4" width="13.73046875" customWidth="1"/>
    <col min="5" max="5" width="9.06640625" customWidth="1"/>
    <col min="6" max="6" width="20.06640625" customWidth="1"/>
    <col min="7" max="7" width="13" customWidth="1"/>
    <col min="9" max="10" width="7.73046875" customWidth="1"/>
  </cols>
  <sheetData>
    <row r="1" spans="1:10" ht="13.15">
      <c r="A1" s="34" t="s">
        <v>0</v>
      </c>
      <c r="H1" s="34" t="s">
        <v>1</v>
      </c>
      <c r="I1" s="29"/>
      <c r="J1" s="29"/>
    </row>
    <row r="2" spans="1:10" ht="13.15">
      <c r="A2" s="35" t="s">
        <v>2</v>
      </c>
      <c r="B2" s="35" t="s">
        <v>3</v>
      </c>
      <c r="H2" s="35" t="s">
        <v>4</v>
      </c>
      <c r="I2" s="35" t="s">
        <v>5</v>
      </c>
      <c r="J2" s="35" t="s">
        <v>6</v>
      </c>
    </row>
    <row r="3" spans="1:10" ht="13.15">
      <c r="A3" s="36" t="s">
        <v>7</v>
      </c>
      <c r="B3" t="s">
        <v>8</v>
      </c>
      <c r="H3" t="s">
        <v>9</v>
      </c>
      <c r="J3" t="s">
        <v>10</v>
      </c>
    </row>
    <row r="4" spans="1:10">
      <c r="B4" t="s">
        <v>11</v>
      </c>
      <c r="H4" t="s">
        <v>12</v>
      </c>
      <c r="J4" t="s">
        <v>13</v>
      </c>
    </row>
    <row r="5" spans="1:10">
      <c r="B5" t="s">
        <v>14</v>
      </c>
      <c r="J5" t="s">
        <v>15</v>
      </c>
    </row>
    <row r="6" spans="1:10">
      <c r="B6" t="s">
        <v>16</v>
      </c>
      <c r="J6" t="s">
        <v>17</v>
      </c>
    </row>
    <row r="7" spans="1:10">
      <c r="B7" t="s">
        <v>18</v>
      </c>
      <c r="J7" t="s">
        <v>19</v>
      </c>
    </row>
    <row r="8" spans="1:10">
      <c r="B8" t="s">
        <v>20</v>
      </c>
      <c r="J8" t="s">
        <v>21</v>
      </c>
    </row>
    <row r="9" spans="1:10">
      <c r="B9" t="s">
        <v>22</v>
      </c>
      <c r="J9" t="s">
        <v>23</v>
      </c>
    </row>
    <row r="10" spans="1:10">
      <c r="B10" t="s">
        <v>24</v>
      </c>
      <c r="J10" t="s">
        <v>25</v>
      </c>
    </row>
    <row r="11" spans="1:10">
      <c r="B11" t="s">
        <v>26</v>
      </c>
      <c r="J11" t="s">
        <v>27</v>
      </c>
    </row>
    <row r="12" spans="1:10">
      <c r="B12" t="s">
        <v>28</v>
      </c>
      <c r="J12" t="s">
        <v>29</v>
      </c>
    </row>
    <row r="13" spans="1:10">
      <c r="B13" t="s">
        <v>30</v>
      </c>
      <c r="J13" t="s">
        <v>31</v>
      </c>
    </row>
    <row r="14" spans="1:10">
      <c r="B14" t="s">
        <v>32</v>
      </c>
      <c r="J14" t="s">
        <v>33</v>
      </c>
    </row>
    <row r="15" spans="1:10">
      <c r="B15" t="s">
        <v>34</v>
      </c>
      <c r="J15" t="s">
        <v>35</v>
      </c>
    </row>
    <row r="16" spans="1:10">
      <c r="B16" t="s">
        <v>36</v>
      </c>
      <c r="J16" t="s">
        <v>37</v>
      </c>
    </row>
    <row r="17" spans="2:10">
      <c r="B17" t="s">
        <v>38</v>
      </c>
      <c r="J17" t="s">
        <v>39</v>
      </c>
    </row>
    <row r="18" spans="2:10">
      <c r="B18" t="s">
        <v>40</v>
      </c>
      <c r="J18" t="s">
        <v>41</v>
      </c>
    </row>
    <row r="19" spans="2:10">
      <c r="B19" t="s">
        <v>42</v>
      </c>
      <c r="J19" t="s">
        <v>43</v>
      </c>
    </row>
    <row r="20" spans="2:10">
      <c r="B20" t="s">
        <v>44</v>
      </c>
      <c r="J20" t="s">
        <v>45</v>
      </c>
    </row>
    <row r="21" spans="2:10">
      <c r="B21" t="s">
        <v>46</v>
      </c>
      <c r="J21" t="s">
        <v>47</v>
      </c>
    </row>
    <row r="22" spans="2:10">
      <c r="B22" t="s">
        <v>48</v>
      </c>
      <c r="J22" t="s">
        <v>49</v>
      </c>
    </row>
    <row r="23" spans="2:10">
      <c r="B23" t="s">
        <v>50</v>
      </c>
      <c r="J23" t="s">
        <v>51</v>
      </c>
    </row>
    <row r="24" spans="2:10">
      <c r="B24" t="s">
        <v>52</v>
      </c>
      <c r="J24" t="s">
        <v>53</v>
      </c>
    </row>
    <row r="25" spans="2:10">
      <c r="B25" t="s">
        <v>54</v>
      </c>
      <c r="J25" t="s">
        <v>55</v>
      </c>
    </row>
    <row r="26" spans="2:10">
      <c r="B26" t="s">
        <v>56</v>
      </c>
      <c r="J26" t="s">
        <v>57</v>
      </c>
    </row>
    <row r="27" spans="2:10">
      <c r="B27" t="s">
        <v>58</v>
      </c>
    </row>
    <row r="28" spans="2:10">
      <c r="B28" t="s">
        <v>59</v>
      </c>
    </row>
    <row r="29" spans="2:10">
      <c r="B29" t="s">
        <v>60</v>
      </c>
    </row>
    <row r="30" spans="2:10">
      <c r="B30" t="s">
        <v>61</v>
      </c>
    </row>
    <row r="31" spans="2:10">
      <c r="B31" t="s">
        <v>62</v>
      </c>
    </row>
    <row r="32" spans="2:10">
      <c r="B32" t="s">
        <v>63</v>
      </c>
    </row>
    <row r="33" spans="2:2">
      <c r="B33" t="s">
        <v>64</v>
      </c>
    </row>
    <row r="34" spans="2:2">
      <c r="B34" t="s">
        <v>65</v>
      </c>
    </row>
    <row r="35" spans="2:2">
      <c r="B35" t="s">
        <v>66</v>
      </c>
    </row>
    <row r="36" spans="2:2">
      <c r="B36" t="s">
        <v>67</v>
      </c>
    </row>
    <row r="37" spans="2:2">
      <c r="B37" t="s">
        <v>68</v>
      </c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N33"/>
  <sheetViews>
    <sheetView tabSelected="1" workbookViewId="0">
      <selection activeCell="N13" sqref="N13"/>
    </sheetView>
  </sheetViews>
  <sheetFormatPr defaultColWidth="11.46484375" defaultRowHeight="12.75"/>
  <cols>
    <col min="1" max="1" width="9.06640625" customWidth="1"/>
    <col min="2" max="2" width="13.73046875" customWidth="1"/>
    <col min="4" max="4" width="14.06640625" customWidth="1"/>
    <col min="5" max="7" width="9.796875" customWidth="1"/>
    <col min="8" max="8" width="10.796875" customWidth="1"/>
    <col min="9" max="10" width="9.796875" customWidth="1"/>
  </cols>
  <sheetData>
    <row r="3" spans="2:14">
      <c r="B3" t="s">
        <v>69</v>
      </c>
    </row>
    <row r="4" spans="2:14">
      <c r="B4">
        <v>2019</v>
      </c>
    </row>
    <row r="7" spans="2:14">
      <c r="B7" t="s">
        <v>70</v>
      </c>
    </row>
    <row r="8" spans="2:14">
      <c r="B8" t="str">
        <f>B12</f>
        <v>Pdef_9p-2100</v>
      </c>
    </row>
    <row r="11" spans="2:14">
      <c r="B11" t="s">
        <v>71</v>
      </c>
      <c r="D11" t="s">
        <v>72</v>
      </c>
    </row>
    <row r="12" spans="2:14" ht="14.25">
      <c r="B12" s="31" t="s">
        <v>73</v>
      </c>
      <c r="D12" s="32" t="s">
        <v>74</v>
      </c>
      <c r="E12" s="32" t="str">
        <f t="shared" ref="E12:J12" si="0">"msy"&amp;COUNT(E14:E46)&amp;"_"&amp;MAX(E14:E46)</f>
        <v>msy4_2050</v>
      </c>
      <c r="F12" s="32" t="str">
        <f t="shared" si="0"/>
        <v>msy6_2050</v>
      </c>
      <c r="G12" s="32" t="str">
        <f t="shared" si="0"/>
        <v>msy9_2050</v>
      </c>
      <c r="H12" s="32" t="str">
        <f t="shared" si="0"/>
        <v>msy14_2050</v>
      </c>
      <c r="I12" s="32" t="str">
        <f t="shared" si="0"/>
        <v>msy1_2050</v>
      </c>
      <c r="J12" s="32" t="str">
        <f t="shared" si="0"/>
        <v>msy1_2040</v>
      </c>
      <c r="K12" s="32" t="str">
        <f t="shared" ref="K12" si="1">"msy"&amp;COUNT(K14:K46)&amp;"_"&amp;MAX(K14:K46)</f>
        <v>msy10_2100</v>
      </c>
      <c r="L12" t="s">
        <v>75</v>
      </c>
      <c r="M12" t="s">
        <v>76</v>
      </c>
      <c r="N12" t="s">
        <v>1545</v>
      </c>
    </row>
    <row r="13" spans="2:14" ht="14.25">
      <c r="B13" s="33">
        <v>1</v>
      </c>
      <c r="D13" t="s">
        <v>77</v>
      </c>
    </row>
    <row r="14" spans="2:14" ht="14.25">
      <c r="B14" s="33">
        <v>2</v>
      </c>
      <c r="D14" t="s">
        <v>78</v>
      </c>
      <c r="E14">
        <f t="shared" ref="E14:H14" si="2">$B$4</f>
        <v>2019</v>
      </c>
      <c r="F14">
        <f t="shared" si="2"/>
        <v>2019</v>
      </c>
      <c r="G14">
        <f t="shared" si="2"/>
        <v>2019</v>
      </c>
      <c r="H14">
        <f t="shared" si="2"/>
        <v>2019</v>
      </c>
      <c r="I14">
        <v>2050</v>
      </c>
      <c r="J14">
        <v>2040</v>
      </c>
      <c r="K14">
        <f t="shared" ref="K14" si="3">$B$4</f>
        <v>2019</v>
      </c>
      <c r="L14">
        <v>2019</v>
      </c>
      <c r="M14">
        <v>2019</v>
      </c>
      <c r="N14">
        <v>2019</v>
      </c>
    </row>
    <row r="15" spans="2:14" ht="14.25">
      <c r="B15" s="33">
        <v>7</v>
      </c>
      <c r="D15" t="s">
        <v>78</v>
      </c>
      <c r="E15">
        <v>2030</v>
      </c>
      <c r="F15">
        <v>2020</v>
      </c>
      <c r="G15">
        <v>2020</v>
      </c>
      <c r="H15">
        <v>2020</v>
      </c>
      <c r="K15">
        <v>2020</v>
      </c>
      <c r="L15">
        <v>2020</v>
      </c>
      <c r="M15">
        <v>2020</v>
      </c>
      <c r="N15">
        <v>2020</v>
      </c>
    </row>
    <row r="16" spans="2:14" ht="14.25">
      <c r="B16" s="33">
        <v>7</v>
      </c>
      <c r="D16" t="s">
        <v>78</v>
      </c>
      <c r="E16">
        <v>2040</v>
      </c>
      <c r="F16">
        <v>2025</v>
      </c>
      <c r="G16">
        <v>2023</v>
      </c>
      <c r="H16">
        <v>2023</v>
      </c>
      <c r="K16">
        <f>K15+10</f>
        <v>2030</v>
      </c>
      <c r="L16">
        <v>2025</v>
      </c>
      <c r="M16">
        <v>2025</v>
      </c>
      <c r="N16">
        <v>2025</v>
      </c>
    </row>
    <row r="17" spans="2:14" ht="14.25">
      <c r="B17" s="33">
        <v>9</v>
      </c>
      <c r="D17" t="s">
        <v>78</v>
      </c>
      <c r="E17">
        <v>2050</v>
      </c>
      <c r="F17">
        <v>2030</v>
      </c>
      <c r="G17">
        <v>2025</v>
      </c>
      <c r="H17">
        <v>2025</v>
      </c>
      <c r="K17">
        <f t="shared" ref="K17:K23" si="4">K16+10</f>
        <v>2040</v>
      </c>
      <c r="L17">
        <v>2030</v>
      </c>
      <c r="M17">
        <v>2030</v>
      </c>
      <c r="N17">
        <v>2030</v>
      </c>
    </row>
    <row r="18" spans="2:14" ht="14.25">
      <c r="B18" s="33">
        <v>12</v>
      </c>
      <c r="D18" t="s">
        <v>78</v>
      </c>
      <c r="F18">
        <v>2040</v>
      </c>
      <c r="G18">
        <f t="shared" ref="G18:G22" si="5">G17+5</f>
        <v>2030</v>
      </c>
      <c r="H18">
        <f>H17+3</f>
        <v>2028</v>
      </c>
      <c r="K18">
        <f t="shared" si="4"/>
        <v>2050</v>
      </c>
      <c r="L18">
        <v>2035</v>
      </c>
      <c r="M18">
        <v>2035</v>
      </c>
      <c r="N18">
        <v>2035</v>
      </c>
    </row>
    <row r="19" spans="2:14" ht="14.25">
      <c r="B19" s="33">
        <v>18</v>
      </c>
      <c r="D19" t="s">
        <v>78</v>
      </c>
      <c r="F19">
        <v>2050</v>
      </c>
      <c r="G19">
        <f t="shared" si="5"/>
        <v>2035</v>
      </c>
      <c r="H19">
        <f>H18+2</f>
        <v>2030</v>
      </c>
      <c r="K19">
        <f t="shared" si="4"/>
        <v>2060</v>
      </c>
      <c r="L19">
        <v>2040</v>
      </c>
      <c r="M19">
        <v>2040</v>
      </c>
      <c r="N19">
        <v>2040</v>
      </c>
    </row>
    <row r="20" spans="2:14" ht="14.25">
      <c r="B20" s="33">
        <v>20</v>
      </c>
      <c r="D20" t="s">
        <v>78</v>
      </c>
      <c r="G20">
        <f t="shared" si="5"/>
        <v>2040</v>
      </c>
      <c r="H20">
        <f>H19+3</f>
        <v>2033</v>
      </c>
      <c r="K20">
        <f t="shared" si="4"/>
        <v>2070</v>
      </c>
      <c r="L20">
        <v>2045</v>
      </c>
      <c r="M20">
        <v>2045</v>
      </c>
      <c r="N20">
        <v>2045</v>
      </c>
    </row>
    <row r="21" spans="2:14" ht="14.25">
      <c r="B21" s="33">
        <v>12</v>
      </c>
      <c r="D21" t="s">
        <v>78</v>
      </c>
      <c r="G21">
        <f t="shared" si="5"/>
        <v>2045</v>
      </c>
      <c r="H21">
        <f>H20+2</f>
        <v>2035</v>
      </c>
      <c r="K21">
        <f t="shared" si="4"/>
        <v>2080</v>
      </c>
      <c r="L21">
        <v>2050</v>
      </c>
      <c r="M21">
        <v>2050</v>
      </c>
      <c r="N21">
        <v>2050</v>
      </c>
    </row>
    <row r="22" spans="2:14" ht="14.25">
      <c r="B22" s="33"/>
      <c r="D22" t="s">
        <v>78</v>
      </c>
      <c r="G22">
        <f t="shared" si="5"/>
        <v>2050</v>
      </c>
      <c r="H22">
        <f>H21+3</f>
        <v>2038</v>
      </c>
      <c r="K22">
        <f t="shared" si="4"/>
        <v>2090</v>
      </c>
      <c r="L22">
        <v>2055</v>
      </c>
      <c r="M22">
        <v>2055</v>
      </c>
      <c r="N22">
        <v>2060</v>
      </c>
    </row>
    <row r="23" spans="2:14" ht="14.25">
      <c r="B23" s="33"/>
      <c r="D23" t="s">
        <v>78</v>
      </c>
      <c r="H23">
        <f>H22+2</f>
        <v>2040</v>
      </c>
      <c r="K23">
        <f t="shared" si="4"/>
        <v>2100</v>
      </c>
      <c r="L23">
        <v>2060</v>
      </c>
      <c r="M23">
        <v>2060</v>
      </c>
      <c r="N23">
        <v>2070</v>
      </c>
    </row>
    <row r="24" spans="2:14" ht="14.25">
      <c r="B24" s="33"/>
      <c r="D24" t="s">
        <v>78</v>
      </c>
      <c r="H24">
        <f>H23+3</f>
        <v>2043</v>
      </c>
      <c r="L24">
        <v>2065</v>
      </c>
      <c r="M24">
        <v>2065</v>
      </c>
      <c r="N24">
        <v>2080</v>
      </c>
    </row>
    <row r="25" spans="2:14" ht="14.25">
      <c r="B25" s="33"/>
      <c r="D25" t="s">
        <v>78</v>
      </c>
      <c r="H25">
        <f>H24+2</f>
        <v>2045</v>
      </c>
      <c r="L25">
        <v>2070</v>
      </c>
      <c r="M25">
        <v>2070</v>
      </c>
      <c r="N25">
        <v>2090</v>
      </c>
    </row>
    <row r="26" spans="2:14" ht="14.25">
      <c r="B26" s="33"/>
      <c r="D26" t="s">
        <v>78</v>
      </c>
      <c r="H26">
        <f>H25+3</f>
        <v>2048</v>
      </c>
      <c r="L26">
        <v>2075</v>
      </c>
      <c r="M26">
        <v>2075</v>
      </c>
      <c r="N26">
        <v>2100</v>
      </c>
    </row>
    <row r="27" spans="2:14" ht="14.25">
      <c r="B27" s="33"/>
      <c r="D27" t="s">
        <v>78</v>
      </c>
      <c r="H27">
        <f>H26+2</f>
        <v>2050</v>
      </c>
      <c r="L27">
        <v>2080</v>
      </c>
      <c r="M27">
        <v>2080</v>
      </c>
    </row>
    <row r="28" spans="2:14" ht="14.25">
      <c r="B28" s="33"/>
      <c r="D28" t="s">
        <v>78</v>
      </c>
      <c r="M28">
        <v>2085</v>
      </c>
    </row>
    <row r="29" spans="2:14" ht="14.25">
      <c r="B29" s="33"/>
      <c r="D29" t="s">
        <v>78</v>
      </c>
      <c r="M29">
        <v>2090</v>
      </c>
    </row>
    <row r="30" spans="2:14" ht="14.25">
      <c r="B30" s="33"/>
      <c r="D30" t="s">
        <v>78</v>
      </c>
      <c r="M30">
        <v>2095</v>
      </c>
    </row>
    <row r="31" spans="2:14" ht="14.25">
      <c r="B31" s="33"/>
      <c r="D31" t="s">
        <v>78</v>
      </c>
      <c r="M31">
        <v>2100</v>
      </c>
    </row>
    <row r="32" spans="2:14" ht="14.25">
      <c r="B32" s="33"/>
    </row>
    <row r="33" spans="2:2" ht="14.25">
      <c r="B33" s="33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5"/>
  <sheetViews>
    <sheetView workbookViewId="0">
      <selection activeCell="H22" sqref="H22"/>
    </sheetView>
  </sheetViews>
  <sheetFormatPr defaultColWidth="11.46484375" defaultRowHeight="11.65"/>
  <cols>
    <col min="1" max="1" width="9.06640625" style="13" customWidth="1"/>
    <col min="2" max="2" width="8.46484375" style="13" customWidth="1"/>
    <col min="3" max="4" width="14.73046875" style="13" customWidth="1"/>
    <col min="5" max="5" width="10.46484375" style="13" customWidth="1"/>
    <col min="6" max="6" width="16.06640625" style="13" customWidth="1"/>
    <col min="7" max="7" width="8.265625" style="13" customWidth="1"/>
    <col min="8" max="8" width="8.46484375" style="13" customWidth="1"/>
    <col min="9" max="9" width="8.73046875" style="13" customWidth="1"/>
    <col min="10" max="16384" width="11.46484375" style="13"/>
  </cols>
  <sheetData>
    <row r="1" spans="1:13" ht="12.75">
      <c r="A1"/>
      <c r="B1" s="25"/>
    </row>
    <row r="2" spans="1:13" ht="12.75">
      <c r="A2" s="26"/>
      <c r="B2"/>
      <c r="C2"/>
      <c r="D2"/>
      <c r="E2"/>
      <c r="F2"/>
      <c r="G2"/>
      <c r="H2"/>
      <c r="I2"/>
    </row>
    <row r="3" spans="1:13" ht="12.75">
      <c r="A3"/>
      <c r="B3"/>
      <c r="C3"/>
      <c r="D3"/>
      <c r="E3"/>
      <c r="F3"/>
      <c r="G3"/>
      <c r="H3"/>
      <c r="I3"/>
    </row>
    <row r="4" spans="1:13" ht="12.75">
      <c r="A4" s="27" t="s">
        <v>79</v>
      </c>
      <c r="B4"/>
      <c r="C4"/>
      <c r="D4"/>
      <c r="E4"/>
      <c r="F4" s="27"/>
      <c r="G4" s="27"/>
      <c r="H4" s="27"/>
      <c r="I4"/>
      <c r="M4"/>
    </row>
    <row r="5" spans="1:13" ht="13.15">
      <c r="A5" s="28" t="s">
        <v>80</v>
      </c>
      <c r="B5" s="28" t="s">
        <v>81</v>
      </c>
      <c r="C5" s="28" t="s">
        <v>82</v>
      </c>
      <c r="D5" s="28" t="s">
        <v>83</v>
      </c>
      <c r="E5" s="28" t="s">
        <v>84</v>
      </c>
      <c r="F5" s="28" t="s">
        <v>85</v>
      </c>
      <c r="G5" s="28" t="s">
        <v>86</v>
      </c>
      <c r="H5" s="28" t="s">
        <v>87</v>
      </c>
      <c r="I5" s="28" t="s">
        <v>88</v>
      </c>
      <c r="J5" s="28" t="s">
        <v>89</v>
      </c>
      <c r="M5" s="29" t="s">
        <v>90</v>
      </c>
    </row>
    <row r="6" spans="1:13" ht="12.75">
      <c r="A6"/>
      <c r="B6"/>
      <c r="C6" t="s">
        <v>91</v>
      </c>
      <c r="D6">
        <v>0</v>
      </c>
      <c r="E6">
        <v>3</v>
      </c>
      <c r="F6"/>
      <c r="G6"/>
      <c r="H6"/>
      <c r="I6"/>
      <c r="J6"/>
      <c r="M6" s="30" t="s">
        <v>92</v>
      </c>
    </row>
    <row r="7" spans="1:13" ht="12.75">
      <c r="A7"/>
      <c r="B7" t="s">
        <v>93</v>
      </c>
      <c r="C7" t="s">
        <v>91</v>
      </c>
      <c r="D7">
        <v>0</v>
      </c>
      <c r="E7">
        <v>0</v>
      </c>
      <c r="F7"/>
      <c r="G7"/>
      <c r="H7"/>
      <c r="I7"/>
      <c r="J7"/>
      <c r="M7" t="s">
        <v>94</v>
      </c>
    </row>
    <row r="8" spans="1:13" ht="12.75">
      <c r="A8"/>
      <c r="B8" t="s">
        <v>95</v>
      </c>
      <c r="C8" t="s">
        <v>96</v>
      </c>
      <c r="D8">
        <v>0</v>
      </c>
      <c r="E8">
        <v>3</v>
      </c>
      <c r="F8"/>
      <c r="G8"/>
      <c r="H8"/>
      <c r="I8"/>
      <c r="J8"/>
      <c r="M8" t="s">
        <v>97</v>
      </c>
    </row>
    <row r="9" spans="1:13" ht="12.75">
      <c r="A9"/>
      <c r="B9" t="s">
        <v>95</v>
      </c>
      <c r="C9" t="s">
        <v>98</v>
      </c>
      <c r="D9">
        <v>0</v>
      </c>
      <c r="E9">
        <v>1</v>
      </c>
      <c r="F9"/>
      <c r="G9"/>
      <c r="H9"/>
      <c r="I9"/>
      <c r="J9"/>
      <c r="M9" t="s">
        <v>99</v>
      </c>
    </row>
    <row r="10" spans="1:13" ht="12.75">
      <c r="A10"/>
      <c r="B10" t="s">
        <v>95</v>
      </c>
      <c r="C10" t="s">
        <v>100</v>
      </c>
      <c r="D10">
        <v>0</v>
      </c>
      <c r="E10">
        <v>3</v>
      </c>
      <c r="F10"/>
      <c r="G10"/>
      <c r="H10"/>
      <c r="I10"/>
      <c r="J10"/>
      <c r="M10" t="s">
        <v>101</v>
      </c>
    </row>
    <row r="11" spans="1:13" ht="12.75">
      <c r="A11"/>
      <c r="B11"/>
      <c r="C11" t="s">
        <v>102</v>
      </c>
      <c r="D11">
        <v>0</v>
      </c>
      <c r="E11">
        <v>15</v>
      </c>
      <c r="F11"/>
      <c r="G11"/>
      <c r="H11"/>
      <c r="I11" t="s">
        <v>103</v>
      </c>
      <c r="J11"/>
      <c r="M11" t="s">
        <v>104</v>
      </c>
    </row>
    <row r="12" spans="1:13" ht="12.75">
      <c r="A12"/>
      <c r="B12"/>
      <c r="C12" t="s">
        <v>105</v>
      </c>
      <c r="D12">
        <v>0</v>
      </c>
      <c r="E12">
        <v>3</v>
      </c>
      <c r="F12"/>
      <c r="G12"/>
      <c r="H12"/>
      <c r="I12"/>
      <c r="J12"/>
      <c r="M12" t="s">
        <v>106</v>
      </c>
    </row>
    <row r="13" spans="1:13" ht="12.75">
      <c r="A13"/>
      <c r="B13"/>
      <c r="C13" t="s">
        <v>107</v>
      </c>
      <c r="D13">
        <v>0</v>
      </c>
      <c r="E13">
        <v>3</v>
      </c>
      <c r="F13"/>
      <c r="G13"/>
      <c r="H13"/>
      <c r="I13"/>
      <c r="J13"/>
      <c r="M13"/>
    </row>
    <row r="14" spans="1:13" ht="12.75">
      <c r="A14"/>
      <c r="B14"/>
      <c r="C14" t="s">
        <v>108</v>
      </c>
      <c r="D14">
        <v>0</v>
      </c>
      <c r="E14">
        <v>3</v>
      </c>
      <c r="F14"/>
      <c r="G14"/>
      <c r="H14"/>
      <c r="I14"/>
      <c r="J14"/>
    </row>
    <row r="15" spans="1:13" ht="12.75">
      <c r="A15"/>
      <c r="B15" t="s">
        <v>109</v>
      </c>
      <c r="C15" t="s">
        <v>110</v>
      </c>
      <c r="D15">
        <v>0</v>
      </c>
      <c r="E15">
        <v>3</v>
      </c>
      <c r="F15"/>
      <c r="G15"/>
      <c r="H15"/>
      <c r="I15"/>
      <c r="J15" t="s">
        <v>111</v>
      </c>
    </row>
    <row r="16" spans="1:13" ht="12.75">
      <c r="A16"/>
      <c r="B16" t="s">
        <v>93</v>
      </c>
      <c r="C16" t="s">
        <v>112</v>
      </c>
      <c r="D16">
        <v>0</v>
      </c>
      <c r="E16">
        <v>3</v>
      </c>
      <c r="F16" t="s">
        <v>113</v>
      </c>
      <c r="G16"/>
      <c r="H16"/>
      <c r="I16"/>
      <c r="J16"/>
    </row>
    <row r="17" spans="1:10" ht="12.75">
      <c r="A17"/>
      <c r="B17"/>
      <c r="C17" s="9"/>
      <c r="D17" s="9"/>
      <c r="E17" s="9"/>
      <c r="F17"/>
      <c r="G17"/>
      <c r="H17"/>
      <c r="I17"/>
      <c r="J17"/>
    </row>
    <row r="19" spans="1:10" ht="12.75">
      <c r="A19"/>
      <c r="B19"/>
      <c r="C19" t="s">
        <v>114</v>
      </c>
      <c r="D19">
        <v>0</v>
      </c>
      <c r="E19">
        <v>3</v>
      </c>
      <c r="F19"/>
      <c r="G19"/>
      <c r="H19"/>
      <c r="I19"/>
      <c r="J19"/>
    </row>
    <row r="20" spans="1:10" ht="12.75">
      <c r="A20"/>
      <c r="B20"/>
      <c r="C20" t="s">
        <v>115</v>
      </c>
      <c r="D20">
        <v>0</v>
      </c>
      <c r="E20">
        <v>3</v>
      </c>
      <c r="F20"/>
      <c r="G20"/>
      <c r="H20"/>
      <c r="I20"/>
      <c r="J20"/>
    </row>
    <row r="21" spans="1:10" ht="12.75">
      <c r="A21"/>
      <c r="B21"/>
      <c r="C21" t="s">
        <v>116</v>
      </c>
      <c r="D21">
        <v>0</v>
      </c>
      <c r="E21">
        <v>3</v>
      </c>
      <c r="F21"/>
      <c r="G21"/>
      <c r="H21"/>
      <c r="I21"/>
      <c r="J21"/>
    </row>
    <row r="22" spans="1:10" ht="12.75">
      <c r="A22"/>
      <c r="B22"/>
      <c r="F22"/>
      <c r="G22"/>
      <c r="H22"/>
      <c r="I22"/>
    </row>
    <row r="23" spans="1:10" ht="12.75">
      <c r="A23"/>
      <c r="B23"/>
      <c r="C23"/>
      <c r="D23"/>
      <c r="E23"/>
      <c r="F23"/>
      <c r="G23"/>
      <c r="H23"/>
      <c r="I23"/>
    </row>
    <row r="24" spans="1:10" ht="12.75">
      <c r="A24" s="27" t="s">
        <v>117</v>
      </c>
      <c r="B24"/>
      <c r="C24"/>
      <c r="D24"/>
      <c r="E24"/>
      <c r="F24" s="27"/>
      <c r="G24" s="27"/>
      <c r="H24" s="27"/>
      <c r="I24"/>
    </row>
    <row r="25" spans="1:10" ht="13.15">
      <c r="A25" s="28" t="s">
        <v>80</v>
      </c>
      <c r="B25" s="28" t="s">
        <v>81</v>
      </c>
      <c r="C25" s="28" t="s">
        <v>82</v>
      </c>
      <c r="D25" s="28" t="s">
        <v>118</v>
      </c>
      <c r="E25" s="28" t="s">
        <v>84</v>
      </c>
      <c r="F25" s="28" t="s">
        <v>119</v>
      </c>
      <c r="G25" s="28" t="s">
        <v>86</v>
      </c>
      <c r="H25" s="28" t="s">
        <v>87</v>
      </c>
      <c r="I25"/>
    </row>
    <row r="26" spans="1:10" ht="12.75">
      <c r="A26"/>
      <c r="B26"/>
      <c r="C26" t="s">
        <v>120</v>
      </c>
      <c r="D26"/>
      <c r="E26">
        <v>2222</v>
      </c>
      <c r="F26" t="s">
        <v>121</v>
      </c>
      <c r="G26"/>
      <c r="H26"/>
      <c r="I26"/>
    </row>
    <row r="27" spans="1:10" ht="12.75">
      <c r="A27"/>
      <c r="B27"/>
      <c r="C27" t="s">
        <v>120</v>
      </c>
      <c r="D27"/>
      <c r="E27">
        <v>8888</v>
      </c>
      <c r="F27" t="s">
        <v>122</v>
      </c>
      <c r="G27"/>
      <c r="H27"/>
      <c r="I27"/>
    </row>
    <row r="28" spans="1:10" ht="12.75">
      <c r="A28"/>
      <c r="B28"/>
      <c r="C28"/>
      <c r="D28"/>
      <c r="E28"/>
      <c r="F28"/>
      <c r="G28"/>
      <c r="H28"/>
      <c r="I28"/>
    </row>
    <row r="29" spans="1:10" ht="12.75">
      <c r="A29"/>
      <c r="B29"/>
      <c r="C29"/>
      <c r="D29"/>
      <c r="E29"/>
      <c r="F29"/>
      <c r="G29"/>
      <c r="H29"/>
      <c r="I29"/>
    </row>
    <row r="30" spans="1:10" ht="12.75">
      <c r="A30"/>
      <c r="B30"/>
      <c r="C30"/>
      <c r="D30"/>
      <c r="E30"/>
      <c r="F30"/>
      <c r="G30"/>
      <c r="H30"/>
      <c r="I30"/>
    </row>
    <row r="31" spans="1:10" ht="12.75">
      <c r="A31" t="s">
        <v>123</v>
      </c>
      <c r="B31"/>
      <c r="C31"/>
      <c r="D31"/>
      <c r="E31"/>
      <c r="F31"/>
      <c r="G31"/>
      <c r="H31"/>
      <c r="I31"/>
    </row>
    <row r="32" spans="1:10" ht="12.75">
      <c r="A32" t="s">
        <v>124</v>
      </c>
      <c r="B32" t="s">
        <v>125</v>
      </c>
      <c r="C32" t="s">
        <v>126</v>
      </c>
      <c r="D32" t="s">
        <v>127</v>
      </c>
      <c r="E32" t="s">
        <v>128</v>
      </c>
      <c r="F32" t="s">
        <v>129</v>
      </c>
      <c r="G32" t="s">
        <v>130</v>
      </c>
      <c r="H32"/>
      <c r="I32"/>
    </row>
    <row r="33" spans="1:9" ht="12.75">
      <c r="A33" t="s">
        <v>131</v>
      </c>
      <c r="B33" t="s">
        <v>132</v>
      </c>
      <c r="C33" t="s">
        <v>133</v>
      </c>
      <c r="D33" t="s">
        <v>133</v>
      </c>
      <c r="E33"/>
      <c r="F33" t="s">
        <v>134</v>
      </c>
      <c r="G33"/>
      <c r="H33"/>
      <c r="I33"/>
    </row>
    <row r="34" spans="1:9" ht="12.75">
      <c r="A34"/>
      <c r="B34"/>
      <c r="C34"/>
      <c r="D34"/>
      <c r="E34"/>
      <c r="F34"/>
      <c r="G34"/>
      <c r="H34"/>
      <c r="I34"/>
    </row>
    <row r="35" spans="1:9" ht="12.75">
      <c r="A35"/>
      <c r="B35"/>
      <c r="C35"/>
      <c r="D35"/>
      <c r="E35"/>
      <c r="F35"/>
      <c r="G35"/>
      <c r="H35"/>
      <c r="I35"/>
    </row>
    <row r="36" spans="1:9" ht="12.75">
      <c r="A36"/>
      <c r="B36"/>
      <c r="C36"/>
      <c r="D36"/>
      <c r="E36"/>
      <c r="F36"/>
      <c r="G36"/>
      <c r="H36"/>
      <c r="I36"/>
    </row>
    <row r="37" spans="1:9" ht="12.75">
      <c r="A37" t="s">
        <v>123</v>
      </c>
      <c r="B37"/>
      <c r="C37"/>
      <c r="D37"/>
      <c r="E37"/>
      <c r="F37"/>
      <c r="G37"/>
      <c r="H37"/>
      <c r="I37"/>
    </row>
    <row r="38" spans="1:9" ht="12.75">
      <c r="A38" t="s">
        <v>124</v>
      </c>
      <c r="B38" t="s">
        <v>125</v>
      </c>
      <c r="C38" t="s">
        <v>135</v>
      </c>
      <c r="D38" t="s">
        <v>128</v>
      </c>
      <c r="E38" t="s">
        <v>127</v>
      </c>
      <c r="F38" t="s">
        <v>126</v>
      </c>
      <c r="G38" t="s">
        <v>129</v>
      </c>
      <c r="H38" t="s">
        <v>136</v>
      </c>
      <c r="I38"/>
    </row>
    <row r="39" spans="1:9" ht="12.75">
      <c r="A39" t="s">
        <v>131</v>
      </c>
      <c r="B39"/>
      <c r="C39" s="37" t="s">
        <v>137</v>
      </c>
      <c r="D39"/>
      <c r="E39" t="s">
        <v>138</v>
      </c>
      <c r="F39"/>
      <c r="G39" t="s">
        <v>139</v>
      </c>
      <c r="H39"/>
      <c r="I39"/>
    </row>
    <row r="40" spans="1:9" ht="12.75">
      <c r="A40" t="s">
        <v>140</v>
      </c>
      <c r="B40"/>
      <c r="C40"/>
      <c r="D40" t="s">
        <v>141</v>
      </c>
      <c r="E40"/>
      <c r="F40"/>
      <c r="G40" t="s">
        <v>139</v>
      </c>
      <c r="H40"/>
      <c r="I40"/>
    </row>
    <row r="41" spans="1:9" ht="12.75">
      <c r="A41"/>
      <c r="B41"/>
      <c r="C41"/>
      <c r="D41"/>
      <c r="E41"/>
      <c r="F41"/>
      <c r="G41"/>
      <c r="H41"/>
      <c r="I41"/>
    </row>
    <row r="42" spans="1:9" ht="12.75">
      <c r="A42"/>
      <c r="B42"/>
      <c r="C42"/>
      <c r="D42"/>
      <c r="E42"/>
      <c r="F42"/>
      <c r="G42"/>
      <c r="H42"/>
      <c r="I42"/>
    </row>
    <row r="43" spans="1:9" ht="12.75">
      <c r="A43"/>
      <c r="B43"/>
      <c r="C43"/>
      <c r="D43"/>
      <c r="E43"/>
      <c r="F43"/>
      <c r="G43"/>
      <c r="H43"/>
      <c r="I43"/>
    </row>
    <row r="44" spans="1:9" ht="12.75">
      <c r="A44"/>
      <c r="B44"/>
      <c r="C44"/>
      <c r="D44"/>
      <c r="E44"/>
      <c r="F44"/>
      <c r="G44"/>
      <c r="H44"/>
      <c r="I44"/>
    </row>
    <row r="45" spans="1:9" ht="12.75">
      <c r="A45"/>
      <c r="B45"/>
      <c r="C45"/>
      <c r="D45"/>
      <c r="E45"/>
      <c r="F45"/>
      <c r="G45"/>
      <c r="H45"/>
      <c r="I45"/>
    </row>
  </sheetData>
  <pageMargins left="0.75" right="0.75" top="1" bottom="1" header="0.5" footer="0.5"/>
  <pageSetup paperSize="9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N49"/>
  <sheetViews>
    <sheetView zoomScale="95" zoomScaleNormal="95" workbookViewId="0"/>
  </sheetViews>
  <sheetFormatPr defaultColWidth="11.46484375" defaultRowHeight="11.65"/>
  <cols>
    <col min="1" max="1" width="9.06640625" style="13" customWidth="1"/>
    <col min="2" max="2" width="11" style="13" customWidth="1"/>
    <col min="3" max="3" width="7.265625" style="13" customWidth="1"/>
    <col min="4" max="4" width="14.265625" style="13" customWidth="1"/>
    <col min="5" max="5" width="8.53125" style="13" customWidth="1"/>
    <col min="6" max="6" width="9.06640625" style="13" customWidth="1"/>
    <col min="7" max="7" width="9.46484375" style="13" customWidth="1"/>
    <col min="8" max="8" width="7.06640625" style="13" customWidth="1"/>
    <col min="9" max="9" width="10.46484375" style="13" customWidth="1"/>
    <col min="10" max="10" width="12.265625" style="13" customWidth="1"/>
    <col min="11" max="16384" width="11.46484375" style="13"/>
  </cols>
  <sheetData>
    <row r="2" spans="2:14" ht="13.15">
      <c r="B2" s="14" t="s">
        <v>117</v>
      </c>
      <c r="C2" s="14"/>
      <c r="D2" s="14"/>
      <c r="E2" s="14"/>
      <c r="F2" s="14"/>
      <c r="G2" s="14"/>
      <c r="H2" s="14"/>
      <c r="I2" s="14"/>
      <c r="J2" s="14"/>
      <c r="K2" s="14"/>
      <c r="L2" s="22" t="s">
        <v>142</v>
      </c>
      <c r="M2" s="18"/>
      <c r="N2" s="18"/>
    </row>
    <row r="3" spans="2:14" ht="13.15">
      <c r="B3" s="15" t="s">
        <v>80</v>
      </c>
      <c r="C3" s="15" t="s">
        <v>81</v>
      </c>
      <c r="D3" s="15" t="s">
        <v>82</v>
      </c>
      <c r="E3" s="15" t="s">
        <v>118</v>
      </c>
      <c r="F3" s="16" t="s">
        <v>143</v>
      </c>
      <c r="G3" s="16" t="s">
        <v>84</v>
      </c>
      <c r="H3" s="15" t="s">
        <v>87</v>
      </c>
      <c r="I3" s="23" t="s">
        <v>144</v>
      </c>
      <c r="J3" s="15" t="s">
        <v>145</v>
      </c>
      <c r="K3" s="14"/>
      <c r="L3" s="24" t="s">
        <v>146</v>
      </c>
      <c r="M3" s="18"/>
      <c r="N3" s="18"/>
    </row>
    <row r="4" spans="2:14" ht="14.25">
      <c r="B4" s="17"/>
      <c r="C4" s="17"/>
      <c r="D4" s="17" t="s">
        <v>147</v>
      </c>
      <c r="E4" s="17"/>
      <c r="F4" s="17"/>
      <c r="G4" s="17">
        <v>2020</v>
      </c>
      <c r="H4" s="17"/>
      <c r="I4" s="17"/>
      <c r="J4" s="17"/>
      <c r="K4" s="14"/>
      <c r="L4" s="19" t="s">
        <v>148</v>
      </c>
      <c r="M4" s="14"/>
      <c r="N4" s="18"/>
    </row>
    <row r="5" spans="2:14" ht="14.25">
      <c r="B5" s="14"/>
      <c r="C5" s="14"/>
      <c r="D5" s="14"/>
      <c r="E5" s="14"/>
      <c r="F5" s="14"/>
      <c r="G5" s="14"/>
      <c r="H5" s="14"/>
      <c r="I5" s="14"/>
      <c r="J5" s="14"/>
      <c r="K5" s="14"/>
      <c r="L5" s="19" t="s">
        <v>149</v>
      </c>
      <c r="M5" s="18"/>
      <c r="N5" s="18"/>
    </row>
    <row r="6" spans="2:14" ht="14.25">
      <c r="B6" s="18"/>
      <c r="C6" s="18"/>
      <c r="D6" s="14"/>
      <c r="E6" s="14"/>
      <c r="F6" s="14"/>
      <c r="G6" s="14"/>
      <c r="H6" s="14"/>
      <c r="I6" s="14"/>
      <c r="J6" s="14"/>
      <c r="K6" s="14"/>
      <c r="L6" s="19" t="s">
        <v>150</v>
      </c>
      <c r="M6" s="18"/>
      <c r="N6" s="18"/>
    </row>
    <row r="7" spans="2:14" ht="14.25">
      <c r="B7" s="18"/>
      <c r="C7" s="18"/>
      <c r="D7" s="18"/>
      <c r="E7" s="18"/>
      <c r="F7" s="18"/>
      <c r="G7" s="18"/>
      <c r="H7" s="18"/>
      <c r="I7" s="18"/>
      <c r="J7" s="14"/>
      <c r="K7" s="14"/>
      <c r="L7" s="19" t="s">
        <v>151</v>
      </c>
      <c r="M7" s="18"/>
      <c r="N7" s="18"/>
    </row>
    <row r="8" spans="2:14" ht="14.25">
      <c r="B8" s="18"/>
      <c r="C8" s="18"/>
      <c r="D8" s="18"/>
      <c r="E8" s="18"/>
      <c r="F8" s="18"/>
      <c r="G8" s="18"/>
      <c r="H8" s="18"/>
      <c r="I8" s="18"/>
      <c r="J8" s="14"/>
      <c r="K8" s="14"/>
      <c r="L8" s="19" t="s">
        <v>152</v>
      </c>
      <c r="M8" s="18"/>
      <c r="N8" s="18"/>
    </row>
    <row r="9" spans="2:14" ht="14.25">
      <c r="B9" s="18"/>
      <c r="C9" s="18"/>
      <c r="D9" s="18"/>
      <c r="E9" s="18"/>
      <c r="F9" s="18"/>
      <c r="G9" s="18"/>
      <c r="H9" s="18"/>
      <c r="I9" s="18"/>
      <c r="J9" s="14"/>
      <c r="K9" s="14"/>
      <c r="L9" s="19" t="s">
        <v>153</v>
      </c>
      <c r="M9" s="18"/>
      <c r="N9" s="18"/>
    </row>
    <row r="10" spans="2:14" ht="14.25">
      <c r="B10" s="18"/>
      <c r="C10" s="18"/>
      <c r="D10" s="19" t="s">
        <v>154</v>
      </c>
      <c r="E10" s="19"/>
      <c r="F10" s="19"/>
      <c r="G10" s="18"/>
      <c r="H10" s="18"/>
      <c r="I10" s="18"/>
      <c r="J10" s="14"/>
      <c r="K10" s="14"/>
      <c r="L10" s="19" t="s">
        <v>155</v>
      </c>
      <c r="M10" s="18"/>
      <c r="N10" s="18"/>
    </row>
    <row r="11" spans="2:14" ht="14.25">
      <c r="B11" s="18"/>
      <c r="C11" s="18"/>
      <c r="D11" s="19" t="s">
        <v>156</v>
      </c>
      <c r="E11" s="19" t="s">
        <v>157</v>
      </c>
      <c r="F11" s="19" t="s">
        <v>158</v>
      </c>
      <c r="G11" s="18"/>
      <c r="H11" s="18"/>
      <c r="I11" s="18"/>
      <c r="J11" s="14"/>
      <c r="K11" s="14"/>
      <c r="L11" s="19" t="s">
        <v>159</v>
      </c>
      <c r="M11" s="18"/>
      <c r="N11" s="18"/>
    </row>
    <row r="12" spans="2:14" ht="14.25">
      <c r="B12" s="18"/>
      <c r="C12" s="18"/>
      <c r="D12" s="19" t="s">
        <v>160</v>
      </c>
      <c r="E12" s="19" t="s">
        <v>161</v>
      </c>
      <c r="F12" s="19">
        <v>1055.55</v>
      </c>
      <c r="G12" s="18"/>
      <c r="H12" s="18"/>
      <c r="I12" s="18"/>
      <c r="J12" s="18"/>
      <c r="K12" s="14"/>
      <c r="L12" s="19" t="s">
        <v>162</v>
      </c>
      <c r="M12" s="18"/>
      <c r="N12" s="18"/>
    </row>
    <row r="13" spans="2:14" ht="14.25">
      <c r="B13" s="18"/>
      <c r="C13" s="18"/>
      <c r="D13" s="19" t="s">
        <v>163</v>
      </c>
      <c r="E13" s="19" t="s">
        <v>161</v>
      </c>
      <c r="F13" s="19">
        <v>3.6</v>
      </c>
      <c r="G13" s="18"/>
      <c r="H13" s="18"/>
      <c r="I13" s="18"/>
      <c r="J13" s="18"/>
      <c r="K13" s="14"/>
      <c r="L13" s="19" t="s">
        <v>164</v>
      </c>
      <c r="M13" s="18"/>
      <c r="N13" s="18"/>
    </row>
    <row r="14" spans="2:14" ht="14.25">
      <c r="B14" s="14"/>
      <c r="C14" s="18"/>
      <c r="D14" s="19" t="s">
        <v>165</v>
      </c>
      <c r="E14" s="19" t="s">
        <v>166</v>
      </c>
      <c r="F14" s="19">
        <v>1000</v>
      </c>
      <c r="G14" s="18"/>
      <c r="H14" s="18"/>
      <c r="I14" s="18"/>
      <c r="J14" s="18"/>
      <c r="K14" s="14"/>
      <c r="L14" s="19" t="s">
        <v>167</v>
      </c>
      <c r="M14" s="18"/>
      <c r="N14" s="18"/>
    </row>
    <row r="15" spans="2:14" ht="14.25">
      <c r="B15" s="14"/>
      <c r="C15" s="18"/>
      <c r="D15" s="19" t="s">
        <v>168</v>
      </c>
      <c r="E15" s="19" t="s">
        <v>169</v>
      </c>
      <c r="F15" s="19">
        <v>1000</v>
      </c>
      <c r="G15" s="18"/>
      <c r="H15" s="18"/>
      <c r="I15" s="18"/>
      <c r="J15" s="18"/>
      <c r="K15" s="14"/>
      <c r="L15" s="19" t="s">
        <v>170</v>
      </c>
      <c r="M15" s="18"/>
      <c r="N15" s="18"/>
    </row>
    <row r="16" spans="2:14" ht="14.25">
      <c r="B16" s="14"/>
      <c r="C16" s="18"/>
      <c r="D16" s="19" t="s">
        <v>171</v>
      </c>
      <c r="E16" s="19" t="s">
        <v>161</v>
      </c>
      <c r="F16" s="19">
        <v>1.05555</v>
      </c>
      <c r="G16" s="18"/>
      <c r="H16" s="18"/>
      <c r="I16" s="18"/>
      <c r="J16" s="18"/>
      <c r="K16" s="14"/>
      <c r="L16" s="19" t="s">
        <v>172</v>
      </c>
      <c r="M16" s="18"/>
      <c r="N16" s="18"/>
    </row>
    <row r="17" spans="2:14" ht="14.25">
      <c r="B17" s="18"/>
      <c r="C17" s="18"/>
      <c r="D17" s="19" t="s">
        <v>173</v>
      </c>
      <c r="E17" s="19" t="s">
        <v>161</v>
      </c>
      <c r="F17" s="19">
        <v>4.1868000000000002E-2</v>
      </c>
      <c r="G17" s="18"/>
      <c r="H17" s="18"/>
      <c r="I17" s="18"/>
      <c r="J17" s="18"/>
      <c r="K17" s="14"/>
      <c r="L17" s="19" t="s">
        <v>174</v>
      </c>
      <c r="M17" s="18"/>
      <c r="N17" s="18"/>
    </row>
    <row r="18" spans="2:14" ht="14.25">
      <c r="B18" s="18"/>
      <c r="C18" s="18"/>
      <c r="D18" s="19" t="s">
        <v>175</v>
      </c>
      <c r="E18" s="19" t="s">
        <v>161</v>
      </c>
      <c r="F18" s="19">
        <v>41.868000000000002</v>
      </c>
      <c r="G18" s="18"/>
      <c r="H18" s="18"/>
      <c r="I18" s="18"/>
      <c r="J18" s="18"/>
      <c r="K18" s="18"/>
      <c r="L18" s="19" t="s">
        <v>176</v>
      </c>
      <c r="M18" s="18"/>
      <c r="N18" s="18"/>
    </row>
    <row r="19" spans="2:14" ht="14.25">
      <c r="B19" s="18"/>
      <c r="C19" s="18"/>
      <c r="D19" s="19" t="s">
        <v>177</v>
      </c>
      <c r="E19" s="19" t="s">
        <v>161</v>
      </c>
      <c r="F19" s="19">
        <v>3.5999999999999999E-3</v>
      </c>
      <c r="G19" s="18"/>
      <c r="H19" s="18"/>
      <c r="I19" s="18"/>
      <c r="J19" s="18"/>
      <c r="K19" s="18"/>
      <c r="L19" s="19" t="s">
        <v>178</v>
      </c>
      <c r="M19" s="18"/>
      <c r="N19" s="18"/>
    </row>
    <row r="20" spans="2:14" ht="14.25">
      <c r="B20" s="18"/>
      <c r="C20" s="18"/>
      <c r="D20" s="19" t="s">
        <v>179</v>
      </c>
      <c r="E20" s="19" t="s">
        <v>166</v>
      </c>
      <c r="F20" s="19">
        <v>1000000</v>
      </c>
      <c r="G20" s="18"/>
      <c r="H20" s="18"/>
      <c r="I20" s="18"/>
      <c r="J20" s="18"/>
      <c r="K20" s="18"/>
      <c r="L20" s="19" t="s">
        <v>180</v>
      </c>
      <c r="M20" s="18"/>
      <c r="N20" s="18"/>
    </row>
    <row r="21" spans="2:14" ht="14.25">
      <c r="B21" s="18"/>
      <c r="C21" s="18"/>
      <c r="D21" s="19" t="s">
        <v>181</v>
      </c>
      <c r="E21" s="19" t="s">
        <v>182</v>
      </c>
      <c r="F21" s="19">
        <v>1000</v>
      </c>
      <c r="G21" s="18"/>
      <c r="H21" s="18"/>
      <c r="I21" s="18"/>
      <c r="J21" s="18"/>
      <c r="K21" s="18"/>
      <c r="L21" s="19" t="s">
        <v>183</v>
      </c>
      <c r="M21" s="18"/>
      <c r="N21" s="18"/>
    </row>
    <row r="22" spans="2:14" ht="14.25">
      <c r="B22" s="18"/>
      <c r="C22" s="18"/>
      <c r="D22" s="19" t="s">
        <v>184</v>
      </c>
      <c r="E22" s="19" t="s">
        <v>185</v>
      </c>
      <c r="F22" s="19">
        <v>5.8615199999999996</v>
      </c>
      <c r="G22" s="18"/>
      <c r="H22" s="18"/>
      <c r="I22" s="18"/>
      <c r="J22" s="18"/>
      <c r="K22" s="18"/>
      <c r="L22" s="19" t="s">
        <v>186</v>
      </c>
      <c r="M22" s="18"/>
      <c r="N22" s="18"/>
    </row>
    <row r="23" spans="2:14" ht="14.25">
      <c r="B23" s="18"/>
      <c r="C23" s="18"/>
      <c r="D23" s="19" t="s">
        <v>187</v>
      </c>
      <c r="E23" s="19" t="s">
        <v>188</v>
      </c>
      <c r="F23" s="19">
        <v>1E-3</v>
      </c>
      <c r="G23" s="18"/>
      <c r="H23" s="18"/>
      <c r="I23" s="18"/>
      <c r="J23" s="18"/>
      <c r="K23" s="18"/>
      <c r="L23" s="19" t="s">
        <v>189</v>
      </c>
      <c r="M23" s="18"/>
      <c r="N23" s="18"/>
    </row>
    <row r="24" spans="2:14" ht="14.25">
      <c r="B24" s="18"/>
      <c r="C24" s="18"/>
      <c r="D24" s="19" t="s">
        <v>190</v>
      </c>
      <c r="E24" s="19" t="s">
        <v>161</v>
      </c>
      <c r="F24" s="19">
        <v>1000</v>
      </c>
      <c r="G24" s="18"/>
      <c r="H24" s="18"/>
      <c r="I24" s="18"/>
      <c r="J24" s="18"/>
      <c r="K24" s="18"/>
      <c r="L24" s="19" t="s">
        <v>191</v>
      </c>
      <c r="M24" s="18"/>
      <c r="N24" s="18"/>
    </row>
    <row r="25" spans="2:14" ht="14.25">
      <c r="B25" s="18"/>
      <c r="C25" s="18"/>
      <c r="D25" s="19" t="s">
        <v>192</v>
      </c>
      <c r="E25" s="19" t="s">
        <v>161</v>
      </c>
      <c r="F25" s="19">
        <v>37.68</v>
      </c>
      <c r="G25" s="18"/>
      <c r="H25" s="18"/>
      <c r="I25" s="18"/>
      <c r="J25" s="18"/>
      <c r="K25" s="18"/>
      <c r="L25" s="19" t="s">
        <v>193</v>
      </c>
      <c r="M25" s="18"/>
      <c r="N25" s="18"/>
    </row>
    <row r="26" spans="2:14" ht="14.25">
      <c r="B26" s="18"/>
      <c r="C26" s="18"/>
      <c r="D26" s="19" t="s">
        <v>194</v>
      </c>
      <c r="E26" s="19" t="s">
        <v>161</v>
      </c>
      <c r="F26" s="19">
        <v>2139.4548</v>
      </c>
      <c r="G26" s="18"/>
      <c r="H26" s="18"/>
      <c r="I26" s="18"/>
      <c r="J26" s="18"/>
      <c r="K26" s="18"/>
      <c r="L26" s="19" t="s">
        <v>195</v>
      </c>
      <c r="M26" s="18"/>
      <c r="N26" s="18"/>
    </row>
    <row r="27" spans="2:14" ht="14.25">
      <c r="B27" s="18"/>
      <c r="C27" s="18"/>
      <c r="D27" s="19" t="s">
        <v>196</v>
      </c>
      <c r="E27" s="19" t="s">
        <v>197</v>
      </c>
      <c r="F27" s="19">
        <v>2.78</v>
      </c>
      <c r="G27" s="18"/>
      <c r="H27" s="18"/>
      <c r="I27" s="18"/>
      <c r="J27" s="18"/>
      <c r="K27" s="18"/>
      <c r="L27" s="19" t="s">
        <v>198</v>
      </c>
      <c r="M27" s="18"/>
      <c r="N27" s="18"/>
    </row>
    <row r="28" spans="2:14" ht="14.25">
      <c r="B28" s="18"/>
      <c r="C28" s="18"/>
      <c r="D28" s="19" t="s">
        <v>199</v>
      </c>
      <c r="E28" s="19" t="s">
        <v>161</v>
      </c>
      <c r="F28" s="19">
        <v>3.6</v>
      </c>
      <c r="G28" s="18"/>
      <c r="H28" s="18"/>
      <c r="I28" s="18"/>
      <c r="J28" s="18"/>
      <c r="K28" s="18"/>
      <c r="L28" s="19" t="s">
        <v>200</v>
      </c>
      <c r="M28" s="18"/>
      <c r="N28" s="18"/>
    </row>
    <row r="29" spans="2:14" ht="14.25">
      <c r="B29" s="18"/>
      <c r="C29" s="18"/>
      <c r="D29" s="19" t="s">
        <v>161</v>
      </c>
      <c r="E29" s="19" t="s">
        <v>161</v>
      </c>
      <c r="F29" s="19">
        <v>1</v>
      </c>
      <c r="G29" s="18"/>
      <c r="H29" s="18"/>
      <c r="I29" s="18"/>
      <c r="J29" s="18"/>
      <c r="K29" s="18"/>
      <c r="L29" s="19" t="s">
        <v>201</v>
      </c>
      <c r="M29" s="18"/>
      <c r="N29" s="18"/>
    </row>
    <row r="30" spans="2:14" ht="14.25">
      <c r="B30" s="18"/>
      <c r="C30" s="18"/>
      <c r="D30" s="19" t="s">
        <v>202</v>
      </c>
      <c r="E30" s="19" t="s">
        <v>161</v>
      </c>
      <c r="F30" s="19">
        <v>31.536000000000001</v>
      </c>
      <c r="G30" s="18"/>
      <c r="H30" s="18"/>
      <c r="I30" s="18"/>
      <c r="J30" s="18"/>
      <c r="K30" s="18"/>
      <c r="L30" s="19" t="s">
        <v>203</v>
      </c>
      <c r="M30" s="18"/>
      <c r="N30" s="18"/>
    </row>
    <row r="31" spans="2:14" ht="14.25">
      <c r="B31" s="18"/>
      <c r="C31" s="18"/>
      <c r="D31" s="19" t="s">
        <v>204</v>
      </c>
      <c r="E31" s="19" t="s">
        <v>161</v>
      </c>
      <c r="F31" s="19">
        <v>120</v>
      </c>
      <c r="G31" s="18"/>
      <c r="H31" s="18"/>
      <c r="I31" s="18"/>
      <c r="J31" s="18"/>
      <c r="K31" s="18"/>
      <c r="L31" s="19" t="s">
        <v>205</v>
      </c>
      <c r="M31" s="18"/>
      <c r="N31" s="18"/>
    </row>
    <row r="32" spans="2:14" ht="14.25">
      <c r="B32" s="18"/>
      <c r="C32" s="18"/>
      <c r="D32" s="19" t="s">
        <v>206</v>
      </c>
      <c r="E32" s="19" t="s">
        <v>161</v>
      </c>
      <c r="F32" s="19">
        <v>5.8615199999999996</v>
      </c>
      <c r="G32" s="18"/>
      <c r="H32" s="18"/>
      <c r="I32" s="18"/>
      <c r="J32" s="18"/>
      <c r="K32" s="18"/>
      <c r="L32" s="19" t="s">
        <v>207</v>
      </c>
      <c r="M32" s="18"/>
      <c r="N32" s="18"/>
    </row>
    <row r="33" spans="2:14" ht="14.25"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9" t="s">
        <v>208</v>
      </c>
      <c r="M33" s="18"/>
      <c r="N33" s="18"/>
    </row>
    <row r="34" spans="2:14" ht="14.25"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9" t="s">
        <v>209</v>
      </c>
      <c r="M34" s="18"/>
      <c r="N34" s="18"/>
    </row>
    <row r="35" spans="2:14" ht="14.25"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9" t="s">
        <v>210</v>
      </c>
      <c r="M35" s="18"/>
      <c r="N35" s="18"/>
    </row>
    <row r="36" spans="2:14" ht="14.25"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9" t="s">
        <v>211</v>
      </c>
      <c r="M36" s="18"/>
      <c r="N36" s="18"/>
    </row>
    <row r="37" spans="2:14" ht="14.25">
      <c r="B37" s="18"/>
      <c r="C37" s="18"/>
      <c r="D37" s="20"/>
      <c r="E37" s="21"/>
      <c r="F37" s="18"/>
      <c r="G37" s="18"/>
      <c r="H37" s="18"/>
      <c r="I37" s="18"/>
      <c r="J37" s="18"/>
      <c r="K37" s="18"/>
      <c r="L37" s="19" t="s">
        <v>212</v>
      </c>
      <c r="M37" s="18"/>
      <c r="N37" s="18"/>
    </row>
    <row r="38" spans="2:14" ht="14.25"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9" t="s">
        <v>213</v>
      </c>
      <c r="M38" s="18"/>
      <c r="N38" s="18"/>
    </row>
    <row r="39" spans="2:14" ht="14.25"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9" t="s">
        <v>214</v>
      </c>
      <c r="M39" s="18"/>
      <c r="N39" s="18"/>
    </row>
    <row r="40" spans="2:14" ht="14.25"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9" t="s">
        <v>215</v>
      </c>
      <c r="M40" s="18"/>
      <c r="N40" s="18"/>
    </row>
    <row r="41" spans="2:14" ht="14.25"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9" t="s">
        <v>216</v>
      </c>
      <c r="M41" s="18"/>
      <c r="N41" s="18"/>
    </row>
    <row r="42" spans="2:14" ht="14.25"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9" t="s">
        <v>217</v>
      </c>
      <c r="M42" s="18"/>
      <c r="N42" s="18"/>
    </row>
    <row r="43" spans="2:14" ht="14.25"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9" t="s">
        <v>218</v>
      </c>
      <c r="M43" s="18"/>
      <c r="N43" s="18"/>
    </row>
    <row r="44" spans="2:14" ht="14.25"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9" t="s">
        <v>219</v>
      </c>
      <c r="M44" s="18"/>
      <c r="N44" s="18"/>
    </row>
    <row r="45" spans="2:14" ht="14.25"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9" t="s">
        <v>220</v>
      </c>
      <c r="M45" s="18"/>
      <c r="N45" s="18"/>
    </row>
    <row r="46" spans="2:14" ht="14.25"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9" t="s">
        <v>221</v>
      </c>
      <c r="M46" s="18"/>
      <c r="N46" s="18"/>
    </row>
    <row r="47" spans="2:14" ht="14.25"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9" t="s">
        <v>222</v>
      </c>
      <c r="M47" s="18"/>
      <c r="N47" s="18"/>
    </row>
    <row r="48" spans="2:14" ht="14.25"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9" t="s">
        <v>223</v>
      </c>
      <c r="M48" s="18"/>
      <c r="N48" s="18"/>
    </row>
    <row r="49" spans="12:12">
      <c r="L49" s="13" t="s">
        <v>224</v>
      </c>
    </row>
  </sheetData>
  <sortState xmlns:xlrd2="http://schemas.microsoft.com/office/spreadsheetml/2017/richdata2" ref="L5:L47">
    <sortCondition ref="L5:L47"/>
  </sortState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D33"/>
  <sheetViews>
    <sheetView workbookViewId="0"/>
  </sheetViews>
  <sheetFormatPr defaultColWidth="9" defaultRowHeight="12.75"/>
  <cols>
    <col min="3" max="3" width="13.06640625" customWidth="1"/>
  </cols>
  <sheetData>
    <row r="3" spans="2:4">
      <c r="B3" t="s">
        <v>117</v>
      </c>
    </row>
    <row r="4" spans="2:4">
      <c r="B4" t="s">
        <v>82</v>
      </c>
      <c r="C4" t="s">
        <v>145</v>
      </c>
      <c r="D4" t="s">
        <v>84</v>
      </c>
    </row>
    <row r="5" spans="2:4">
      <c r="B5" t="s">
        <v>225</v>
      </c>
      <c r="C5" t="s">
        <v>226</v>
      </c>
      <c r="D5">
        <v>-1</v>
      </c>
    </row>
    <row r="6" spans="2:4">
      <c r="B6" t="s">
        <v>225</v>
      </c>
      <c r="C6" t="s">
        <v>227</v>
      </c>
      <c r="D6">
        <v>1</v>
      </c>
    </row>
    <row r="7" spans="2:4">
      <c r="B7" t="s">
        <v>225</v>
      </c>
      <c r="C7" t="s">
        <v>228</v>
      </c>
      <c r="D7">
        <v>1</v>
      </c>
    </row>
    <row r="8" spans="2:4">
      <c r="B8" t="s">
        <v>225</v>
      </c>
      <c r="C8" t="s">
        <v>229</v>
      </c>
      <c r="D8">
        <v>1</v>
      </c>
    </row>
    <row r="9" spans="2:4">
      <c r="B9" t="s">
        <v>225</v>
      </c>
      <c r="C9" t="s">
        <v>230</v>
      </c>
      <c r="D9">
        <v>1</v>
      </c>
    </row>
    <row r="10" spans="2:4">
      <c r="B10" t="s">
        <v>225</v>
      </c>
      <c r="C10" t="s">
        <v>231</v>
      </c>
      <c r="D10">
        <v>1</v>
      </c>
    </row>
    <row r="11" spans="2:4">
      <c r="B11" t="s">
        <v>225</v>
      </c>
      <c r="C11" t="s">
        <v>232</v>
      </c>
      <c r="D11">
        <v>1</v>
      </c>
    </row>
    <row r="12" spans="2:4">
      <c r="B12" t="s">
        <v>225</v>
      </c>
      <c r="C12" t="s">
        <v>227</v>
      </c>
      <c r="D12">
        <v>1</v>
      </c>
    </row>
    <row r="13" spans="2:4">
      <c r="B13" t="s">
        <v>225</v>
      </c>
      <c r="C13" t="s">
        <v>233</v>
      </c>
      <c r="D13">
        <v>1</v>
      </c>
    </row>
    <row r="14" spans="2:4">
      <c r="B14" t="s">
        <v>225</v>
      </c>
      <c r="C14" t="s">
        <v>234</v>
      </c>
      <c r="D14">
        <v>2</v>
      </c>
    </row>
    <row r="15" spans="2:4">
      <c r="B15" t="s">
        <v>225</v>
      </c>
      <c r="C15" t="s">
        <v>235</v>
      </c>
      <c r="D15">
        <v>1</v>
      </c>
    </row>
    <row r="16" spans="2:4">
      <c r="B16" t="s">
        <v>225</v>
      </c>
      <c r="C16" t="s">
        <v>236</v>
      </c>
      <c r="D16" s="12">
        <v>9.9999999999999995E-7</v>
      </c>
    </row>
    <row r="17" spans="2:4">
      <c r="B17" t="s">
        <v>225</v>
      </c>
      <c r="C17" t="s">
        <v>237</v>
      </c>
      <c r="D17" s="12">
        <v>9.9999999999999995E-7</v>
      </c>
    </row>
    <row r="18" spans="2:4">
      <c r="B18" t="s">
        <v>225</v>
      </c>
      <c r="C18" t="s">
        <v>238</v>
      </c>
      <c r="D18" s="12">
        <v>9.9999999999999995E-7</v>
      </c>
    </row>
    <row r="19" spans="2:4">
      <c r="B19" t="s">
        <v>225</v>
      </c>
      <c r="C19" t="s">
        <v>239</v>
      </c>
      <c r="D19" s="12">
        <v>9.9999999999999995E-7</v>
      </c>
    </row>
    <row r="25" spans="2:4">
      <c r="B25" t="s">
        <v>240</v>
      </c>
    </row>
    <row r="26" spans="2:4">
      <c r="B26" t="s">
        <v>241</v>
      </c>
      <c r="C26" t="s">
        <v>242</v>
      </c>
    </row>
    <row r="27" spans="2:4">
      <c r="B27" t="s">
        <v>243</v>
      </c>
      <c r="C27" t="s">
        <v>244</v>
      </c>
    </row>
    <row r="28" spans="2:4">
      <c r="B28" t="s">
        <v>245</v>
      </c>
      <c r="C28" t="s">
        <v>244</v>
      </c>
    </row>
    <row r="29" spans="2:4">
      <c r="B29" t="s">
        <v>246</v>
      </c>
      <c r="C29" t="s">
        <v>244</v>
      </c>
    </row>
    <row r="30" spans="2:4">
      <c r="B30" t="s">
        <v>247</v>
      </c>
      <c r="C30" t="s">
        <v>244</v>
      </c>
    </row>
    <row r="31" spans="2:4">
      <c r="B31" t="s">
        <v>248</v>
      </c>
      <c r="C31" t="s">
        <v>244</v>
      </c>
    </row>
    <row r="32" spans="2:4">
      <c r="B32" t="s">
        <v>249</v>
      </c>
    </row>
    <row r="33" spans="2:3">
      <c r="B33" t="s">
        <v>250</v>
      </c>
      <c r="C33" t="s">
        <v>244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G25"/>
  <sheetViews>
    <sheetView workbookViewId="0"/>
  </sheetViews>
  <sheetFormatPr defaultColWidth="11.46484375" defaultRowHeight="12.75"/>
  <cols>
    <col min="1" max="1" width="9.06640625" customWidth="1"/>
    <col min="2" max="2" width="15.265625" customWidth="1"/>
    <col min="3" max="3" width="30.265625" customWidth="1"/>
    <col min="4" max="5" width="9.06640625" customWidth="1"/>
    <col min="6" max="6" width="15.46484375" customWidth="1"/>
  </cols>
  <sheetData>
    <row r="2" spans="2:7">
      <c r="B2" t="s">
        <v>251</v>
      </c>
    </row>
    <row r="3" spans="2:7">
      <c r="B3" s="9" t="s">
        <v>92</v>
      </c>
      <c r="C3" s="9" t="s">
        <v>252</v>
      </c>
      <c r="D3" s="9" t="s">
        <v>84</v>
      </c>
      <c r="E3" s="9" t="s">
        <v>88</v>
      </c>
      <c r="F3" s="9" t="s">
        <v>87</v>
      </c>
      <c r="G3" s="9" t="s">
        <v>253</v>
      </c>
    </row>
    <row r="4" spans="2:7" ht="14.25">
      <c r="B4" s="10" t="s">
        <v>254</v>
      </c>
      <c r="C4" s="10" t="s">
        <v>255</v>
      </c>
      <c r="D4" s="11" t="s">
        <v>256</v>
      </c>
      <c r="F4" s="10" t="s">
        <v>257</v>
      </c>
    </row>
    <row r="5" spans="2:7">
      <c r="B5" s="10" t="s">
        <v>258</v>
      </c>
      <c r="C5" t="s">
        <v>259</v>
      </c>
      <c r="D5" t="s">
        <v>256</v>
      </c>
      <c r="F5" t="s">
        <v>260</v>
      </c>
    </row>
    <row r="6" spans="2:7">
      <c r="B6" t="s">
        <v>261</v>
      </c>
      <c r="C6" t="s">
        <v>262</v>
      </c>
      <c r="D6" t="s">
        <v>256</v>
      </c>
      <c r="F6" t="s">
        <v>263</v>
      </c>
    </row>
    <row r="7" spans="2:7">
      <c r="B7" t="s">
        <v>264</v>
      </c>
      <c r="C7" t="s">
        <v>265</v>
      </c>
      <c r="D7" t="s">
        <v>256</v>
      </c>
      <c r="F7" t="s">
        <v>266</v>
      </c>
    </row>
    <row r="8" spans="2:7">
      <c r="B8" t="s">
        <v>267</v>
      </c>
      <c r="C8" t="s">
        <v>268</v>
      </c>
      <c r="D8" t="s">
        <v>256</v>
      </c>
      <c r="F8" t="s">
        <v>269</v>
      </c>
    </row>
    <row r="9" spans="2:7">
      <c r="B9" t="s">
        <v>270</v>
      </c>
      <c r="C9" t="s">
        <v>271</v>
      </c>
      <c r="D9" t="s">
        <v>256</v>
      </c>
      <c r="F9" t="s">
        <v>272</v>
      </c>
    </row>
    <row r="10" spans="2:7">
      <c r="B10" t="s">
        <v>273</v>
      </c>
      <c r="C10" t="s">
        <v>274</v>
      </c>
      <c r="D10" t="s">
        <v>256</v>
      </c>
      <c r="F10" t="s">
        <v>275</v>
      </c>
    </row>
    <row r="11" spans="2:7">
      <c r="B11" t="s">
        <v>276</v>
      </c>
      <c r="C11" t="s">
        <v>277</v>
      </c>
      <c r="D11" t="s">
        <v>256</v>
      </c>
      <c r="F11" t="s">
        <v>278</v>
      </c>
    </row>
    <row r="12" spans="2:7">
      <c r="B12" t="s">
        <v>279</v>
      </c>
      <c r="C12" t="s">
        <v>280</v>
      </c>
      <c r="D12" t="s">
        <v>256</v>
      </c>
      <c r="F12" t="s">
        <v>281</v>
      </c>
    </row>
    <row r="13" spans="2:7">
      <c r="B13" t="s">
        <v>282</v>
      </c>
      <c r="D13" t="s">
        <v>256</v>
      </c>
      <c r="F13" t="s">
        <v>283</v>
      </c>
    </row>
    <row r="16" spans="2:7">
      <c r="B16" t="s">
        <v>284</v>
      </c>
      <c r="C16" t="s">
        <v>285</v>
      </c>
      <c r="D16" t="s">
        <v>256</v>
      </c>
      <c r="F16" t="s">
        <v>286</v>
      </c>
    </row>
    <row r="21" spans="2:7">
      <c r="B21" t="s">
        <v>251</v>
      </c>
    </row>
    <row r="22" spans="2:7">
      <c r="B22" t="s">
        <v>92</v>
      </c>
      <c r="C22" t="s">
        <v>252</v>
      </c>
      <c r="D22" t="s">
        <v>84</v>
      </c>
      <c r="E22" t="s">
        <v>88</v>
      </c>
      <c r="F22" t="s">
        <v>87</v>
      </c>
      <c r="G22" t="s">
        <v>253</v>
      </c>
    </row>
    <row r="23" spans="2:7">
      <c r="B23" t="s">
        <v>287</v>
      </c>
      <c r="C23" t="s">
        <v>288</v>
      </c>
      <c r="D23" t="s">
        <v>244</v>
      </c>
      <c r="E23" t="s">
        <v>289</v>
      </c>
      <c r="F23" t="s">
        <v>290</v>
      </c>
    </row>
    <row r="24" spans="2:7">
      <c r="B24" t="s">
        <v>291</v>
      </c>
      <c r="C24" t="s">
        <v>292</v>
      </c>
      <c r="D24" t="s">
        <v>244</v>
      </c>
      <c r="E24" t="s">
        <v>289</v>
      </c>
      <c r="F24" t="s">
        <v>293</v>
      </c>
    </row>
    <row r="25" spans="2:7">
      <c r="B25" t="s">
        <v>294</v>
      </c>
      <c r="C25" t="s">
        <v>288</v>
      </c>
      <c r="D25" t="s">
        <v>244</v>
      </c>
      <c r="E25" t="s">
        <v>289</v>
      </c>
      <c r="F25" t="s">
        <v>295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3:AA48"/>
  <sheetViews>
    <sheetView workbookViewId="0"/>
  </sheetViews>
  <sheetFormatPr defaultColWidth="9" defaultRowHeight="12.75"/>
  <cols>
    <col min="2" max="2" width="10.06640625" customWidth="1"/>
    <col min="3" max="3" width="11.265625" customWidth="1"/>
    <col min="4" max="4" width="30" customWidth="1"/>
    <col min="5" max="5" width="6.06640625" customWidth="1"/>
    <col min="6" max="7" width="8.796875" customWidth="1"/>
    <col min="8" max="8" width="7.53125" customWidth="1"/>
    <col min="9" max="9" width="5.796875" customWidth="1"/>
    <col min="11" max="11" width="7" customWidth="1"/>
    <col min="12" max="12" width="16" customWidth="1"/>
    <col min="13" max="13" width="52" customWidth="1"/>
    <col min="20" max="20" width="9.06640625" customWidth="1"/>
    <col min="21" max="21" width="15.73046875" customWidth="1"/>
    <col min="22" max="22" width="44.796875" customWidth="1"/>
    <col min="23" max="23" width="4.265625" customWidth="1"/>
    <col min="24" max="24" width="8" customWidth="1"/>
    <col min="25" max="25" width="8.796875" customWidth="1"/>
    <col min="26" max="26" width="7.53125" customWidth="1"/>
    <col min="27" max="27" width="7.796875" customWidth="1"/>
  </cols>
  <sheetData>
    <row r="3" spans="2:27">
      <c r="B3" t="s">
        <v>296</v>
      </c>
      <c r="K3" s="8" t="s">
        <v>296</v>
      </c>
      <c r="L3" s="8"/>
      <c r="M3" s="8"/>
      <c r="N3" s="8"/>
      <c r="O3" s="8"/>
      <c r="P3" s="8"/>
      <c r="Q3" s="8"/>
      <c r="R3" s="8"/>
      <c r="T3" t="s">
        <v>296</v>
      </c>
    </row>
    <row r="4" spans="2:27">
      <c r="B4" t="s">
        <v>297</v>
      </c>
      <c r="C4" t="s">
        <v>298</v>
      </c>
      <c r="D4" t="s">
        <v>299</v>
      </c>
      <c r="E4" t="s">
        <v>300</v>
      </c>
      <c r="F4" t="s">
        <v>81</v>
      </c>
      <c r="G4" t="s">
        <v>301</v>
      </c>
      <c r="H4" t="s">
        <v>302</v>
      </c>
      <c r="I4" t="s">
        <v>303</v>
      </c>
      <c r="K4" s="8" t="s">
        <v>304</v>
      </c>
      <c r="L4" s="8" t="s">
        <v>298</v>
      </c>
      <c r="M4" s="8" t="s">
        <v>299</v>
      </c>
      <c r="N4" s="8" t="s">
        <v>300</v>
      </c>
      <c r="O4" s="8" t="s">
        <v>81</v>
      </c>
      <c r="P4" s="8" t="s">
        <v>301</v>
      </c>
      <c r="Q4" s="8" t="s">
        <v>302</v>
      </c>
      <c r="R4" s="8" t="s">
        <v>303</v>
      </c>
      <c r="T4" t="s">
        <v>297</v>
      </c>
      <c r="U4" t="s">
        <v>298</v>
      </c>
      <c r="V4" t="s">
        <v>299</v>
      </c>
      <c r="W4" t="s">
        <v>300</v>
      </c>
      <c r="X4" t="s">
        <v>81</v>
      </c>
      <c r="Y4" t="s">
        <v>301</v>
      </c>
      <c r="Z4" t="s">
        <v>302</v>
      </c>
      <c r="AA4" t="s">
        <v>303</v>
      </c>
    </row>
    <row r="5" spans="2:27">
      <c r="B5" t="s">
        <v>305</v>
      </c>
      <c r="K5" t="s">
        <v>289</v>
      </c>
      <c r="L5" s="8" t="s">
        <v>306</v>
      </c>
      <c r="M5" s="8" t="s">
        <v>307</v>
      </c>
      <c r="N5" s="8" t="s">
        <v>161</v>
      </c>
      <c r="O5" s="8"/>
      <c r="P5" s="8"/>
      <c r="Q5" s="8"/>
      <c r="R5" s="8"/>
      <c r="T5" t="s">
        <v>305</v>
      </c>
    </row>
    <row r="6" spans="2:27">
      <c r="B6" t="s">
        <v>308</v>
      </c>
      <c r="C6" t="s">
        <v>309</v>
      </c>
      <c r="D6" t="s">
        <v>310</v>
      </c>
      <c r="E6" t="s">
        <v>311</v>
      </c>
      <c r="K6" s="8"/>
      <c r="L6" s="8" t="s">
        <v>312</v>
      </c>
      <c r="M6" s="8" t="s">
        <v>313</v>
      </c>
      <c r="N6" s="8" t="s">
        <v>161</v>
      </c>
      <c r="O6" s="8"/>
      <c r="P6" s="8"/>
      <c r="Q6" s="8"/>
      <c r="T6" t="s">
        <v>308</v>
      </c>
      <c r="U6" t="s">
        <v>314</v>
      </c>
      <c r="V6" t="s">
        <v>315</v>
      </c>
      <c r="W6" t="s">
        <v>311</v>
      </c>
    </row>
    <row r="7" spans="2:27">
      <c r="B7" t="s">
        <v>308</v>
      </c>
      <c r="C7" t="s">
        <v>316</v>
      </c>
      <c r="D7" t="s">
        <v>317</v>
      </c>
      <c r="E7" t="s">
        <v>318</v>
      </c>
      <c r="K7" t="s">
        <v>308</v>
      </c>
      <c r="L7" t="s">
        <v>319</v>
      </c>
      <c r="M7" s="8" t="s">
        <v>320</v>
      </c>
      <c r="N7" s="8" t="s">
        <v>318</v>
      </c>
      <c r="O7" t="s">
        <v>93</v>
      </c>
      <c r="T7" t="s">
        <v>308</v>
      </c>
      <c r="U7" t="s">
        <v>321</v>
      </c>
      <c r="V7" t="s">
        <v>322</v>
      </c>
      <c r="W7" t="s">
        <v>318</v>
      </c>
    </row>
    <row r="8" spans="2:27">
      <c r="B8" t="s">
        <v>323</v>
      </c>
      <c r="C8" t="s">
        <v>324</v>
      </c>
      <c r="D8" t="s">
        <v>325</v>
      </c>
      <c r="E8" t="s">
        <v>318</v>
      </c>
      <c r="L8" t="s">
        <v>326</v>
      </c>
      <c r="M8" s="8" t="s">
        <v>327</v>
      </c>
      <c r="N8" s="8" t="s">
        <v>318</v>
      </c>
      <c r="O8" t="s">
        <v>93</v>
      </c>
      <c r="T8" t="s">
        <v>308</v>
      </c>
      <c r="U8" t="s">
        <v>328</v>
      </c>
      <c r="V8" t="s">
        <v>329</v>
      </c>
      <c r="W8" t="s">
        <v>318</v>
      </c>
    </row>
    <row r="9" spans="2:27">
      <c r="B9" t="s">
        <v>308</v>
      </c>
      <c r="C9" t="s">
        <v>330</v>
      </c>
      <c r="D9" t="s">
        <v>331</v>
      </c>
      <c r="E9" t="s">
        <v>311</v>
      </c>
      <c r="L9" t="s">
        <v>332</v>
      </c>
      <c r="M9" s="8" t="s">
        <v>333</v>
      </c>
      <c r="N9" s="8" t="s">
        <v>318</v>
      </c>
      <c r="O9" t="s">
        <v>93</v>
      </c>
      <c r="T9" t="s">
        <v>308</v>
      </c>
      <c r="U9" t="s">
        <v>334</v>
      </c>
      <c r="V9" t="s">
        <v>335</v>
      </c>
      <c r="W9" t="s">
        <v>311</v>
      </c>
    </row>
    <row r="10" spans="2:27">
      <c r="B10" t="s">
        <v>308</v>
      </c>
      <c r="C10" t="s">
        <v>336</v>
      </c>
      <c r="D10" t="s">
        <v>337</v>
      </c>
      <c r="E10" t="s">
        <v>318</v>
      </c>
      <c r="L10" t="s">
        <v>338</v>
      </c>
      <c r="M10" s="8" t="s">
        <v>339</v>
      </c>
      <c r="N10" s="8" t="s">
        <v>318</v>
      </c>
      <c r="T10" t="s">
        <v>308</v>
      </c>
      <c r="U10" t="s">
        <v>340</v>
      </c>
      <c r="V10" t="s">
        <v>341</v>
      </c>
      <c r="W10" t="s">
        <v>318</v>
      </c>
    </row>
    <row r="11" spans="2:27">
      <c r="B11" t="s">
        <v>308</v>
      </c>
      <c r="C11" t="s">
        <v>342</v>
      </c>
      <c r="D11" t="s">
        <v>343</v>
      </c>
      <c r="E11" t="s">
        <v>311</v>
      </c>
      <c r="L11" t="s">
        <v>344</v>
      </c>
      <c r="M11" s="8" t="s">
        <v>345</v>
      </c>
      <c r="N11" s="8" t="s">
        <v>346</v>
      </c>
      <c r="T11" t="s">
        <v>308</v>
      </c>
      <c r="U11" t="s">
        <v>347</v>
      </c>
      <c r="V11" t="s">
        <v>348</v>
      </c>
      <c r="W11" t="s">
        <v>311</v>
      </c>
    </row>
    <row r="12" spans="2:27">
      <c r="C12" t="s">
        <v>349</v>
      </c>
      <c r="D12" t="s">
        <v>350</v>
      </c>
      <c r="E12" t="s">
        <v>318</v>
      </c>
      <c r="K12" t="s">
        <v>289</v>
      </c>
      <c r="L12" t="s">
        <v>351</v>
      </c>
      <c r="M12" t="s">
        <v>352</v>
      </c>
      <c r="N12" t="s">
        <v>161</v>
      </c>
      <c r="T12" t="s">
        <v>308</v>
      </c>
      <c r="U12" t="s">
        <v>353</v>
      </c>
      <c r="V12" t="s">
        <v>354</v>
      </c>
      <c r="W12" t="s">
        <v>318</v>
      </c>
    </row>
    <row r="13" spans="2:27">
      <c r="C13" t="s">
        <v>355</v>
      </c>
      <c r="D13" t="s">
        <v>356</v>
      </c>
      <c r="E13" t="s">
        <v>318</v>
      </c>
      <c r="K13" t="s">
        <v>289</v>
      </c>
      <c r="L13" t="s">
        <v>357</v>
      </c>
      <c r="M13" t="s">
        <v>358</v>
      </c>
      <c r="N13" t="s">
        <v>161</v>
      </c>
      <c r="P13" t="s">
        <v>359</v>
      </c>
      <c r="R13" t="s">
        <v>360</v>
      </c>
      <c r="T13" t="s">
        <v>308</v>
      </c>
      <c r="U13" t="s">
        <v>361</v>
      </c>
      <c r="V13" t="s">
        <v>362</v>
      </c>
      <c r="W13" t="s">
        <v>318</v>
      </c>
    </row>
    <row r="14" spans="2:27">
      <c r="C14" t="s">
        <v>363</v>
      </c>
      <c r="D14" t="s">
        <v>364</v>
      </c>
      <c r="E14" t="s">
        <v>318</v>
      </c>
      <c r="K14" t="s">
        <v>289</v>
      </c>
      <c r="L14" t="s">
        <v>365</v>
      </c>
      <c r="M14" t="s">
        <v>366</v>
      </c>
      <c r="N14" t="s">
        <v>161</v>
      </c>
      <c r="P14" t="s">
        <v>359</v>
      </c>
      <c r="U14" t="s">
        <v>367</v>
      </c>
      <c r="V14" t="s">
        <v>368</v>
      </c>
      <c r="W14" t="s">
        <v>318</v>
      </c>
      <c r="X14" t="s">
        <v>93</v>
      </c>
    </row>
    <row r="15" spans="2:27">
      <c r="C15" t="s">
        <v>369</v>
      </c>
      <c r="D15" t="s">
        <v>370</v>
      </c>
      <c r="E15" t="s">
        <v>318</v>
      </c>
      <c r="L15" t="s">
        <v>371</v>
      </c>
      <c r="M15" t="s">
        <v>372</v>
      </c>
      <c r="N15" t="s">
        <v>161</v>
      </c>
    </row>
    <row r="16" spans="2:27">
      <c r="C16" t="s">
        <v>373</v>
      </c>
      <c r="D16" t="s">
        <v>374</v>
      </c>
      <c r="E16" t="s">
        <v>318</v>
      </c>
      <c r="K16" t="s">
        <v>308</v>
      </c>
      <c r="L16" t="s">
        <v>375</v>
      </c>
      <c r="M16" t="s">
        <v>345</v>
      </c>
      <c r="N16" t="s">
        <v>346</v>
      </c>
    </row>
    <row r="17" spans="3:15">
      <c r="C17" t="s">
        <v>376</v>
      </c>
      <c r="D17" t="s">
        <v>377</v>
      </c>
      <c r="E17" t="s">
        <v>318</v>
      </c>
      <c r="L17" t="s">
        <v>378</v>
      </c>
      <c r="M17" t="s">
        <v>379</v>
      </c>
      <c r="N17" t="s">
        <v>346</v>
      </c>
    </row>
    <row r="18" spans="3:15">
      <c r="C18" t="s">
        <v>380</v>
      </c>
      <c r="D18" t="s">
        <v>381</v>
      </c>
      <c r="E18" t="s">
        <v>318</v>
      </c>
      <c r="L18" t="s">
        <v>382</v>
      </c>
      <c r="M18" t="s">
        <v>383</v>
      </c>
      <c r="N18" t="s">
        <v>346</v>
      </c>
    </row>
    <row r="19" spans="3:15">
      <c r="C19" t="s">
        <v>384</v>
      </c>
      <c r="D19" t="s">
        <v>385</v>
      </c>
      <c r="E19" t="s">
        <v>318</v>
      </c>
      <c r="L19" t="s">
        <v>386</v>
      </c>
      <c r="M19" t="s">
        <v>387</v>
      </c>
      <c r="N19" t="s">
        <v>346</v>
      </c>
    </row>
    <row r="20" spans="3:15">
      <c r="C20" t="s">
        <v>388</v>
      </c>
      <c r="D20" t="s">
        <v>389</v>
      </c>
      <c r="E20" t="s">
        <v>318</v>
      </c>
      <c r="L20" t="s">
        <v>390</v>
      </c>
      <c r="M20" t="s">
        <v>391</v>
      </c>
      <c r="N20" t="s">
        <v>346</v>
      </c>
    </row>
    <row r="21" spans="3:15">
      <c r="C21" t="s">
        <v>392</v>
      </c>
      <c r="D21" t="s">
        <v>393</v>
      </c>
      <c r="E21" t="s">
        <v>318</v>
      </c>
      <c r="L21" t="s">
        <v>394</v>
      </c>
      <c r="M21" t="s">
        <v>395</v>
      </c>
      <c r="N21" t="s">
        <v>318</v>
      </c>
      <c r="O21" t="s">
        <v>93</v>
      </c>
    </row>
    <row r="22" spans="3:15">
      <c r="C22" t="s">
        <v>396</v>
      </c>
      <c r="D22" t="s">
        <v>397</v>
      </c>
      <c r="E22" t="s">
        <v>318</v>
      </c>
      <c r="L22" t="s">
        <v>398</v>
      </c>
      <c r="M22" t="s">
        <v>399</v>
      </c>
      <c r="N22" t="s">
        <v>318</v>
      </c>
      <c r="O22" t="s">
        <v>93</v>
      </c>
    </row>
    <row r="23" spans="3:15">
      <c r="C23" t="s">
        <v>400</v>
      </c>
      <c r="D23" t="s">
        <v>401</v>
      </c>
      <c r="E23" t="s">
        <v>318</v>
      </c>
      <c r="L23" t="s">
        <v>402</v>
      </c>
      <c r="M23" t="s">
        <v>403</v>
      </c>
      <c r="N23" t="s">
        <v>318</v>
      </c>
      <c r="O23" t="s">
        <v>93</v>
      </c>
    </row>
    <row r="24" spans="3:15">
      <c r="C24" t="s">
        <v>404</v>
      </c>
      <c r="D24" t="s">
        <v>405</v>
      </c>
      <c r="E24" t="s">
        <v>318</v>
      </c>
      <c r="L24" t="s">
        <v>406</v>
      </c>
      <c r="M24" t="s">
        <v>407</v>
      </c>
      <c r="N24" t="s">
        <v>318</v>
      </c>
      <c r="O24" t="s">
        <v>93</v>
      </c>
    </row>
    <row r="25" spans="3:15">
      <c r="C25" t="s">
        <v>408</v>
      </c>
      <c r="D25" t="s">
        <v>409</v>
      </c>
      <c r="E25" t="s">
        <v>318</v>
      </c>
      <c r="L25" t="s">
        <v>410</v>
      </c>
      <c r="M25" t="s">
        <v>411</v>
      </c>
      <c r="N25" t="s">
        <v>318</v>
      </c>
    </row>
    <row r="26" spans="3:15">
      <c r="C26" t="s">
        <v>412</v>
      </c>
      <c r="D26" t="s">
        <v>413</v>
      </c>
      <c r="E26" t="s">
        <v>318</v>
      </c>
      <c r="K26" t="s">
        <v>103</v>
      </c>
      <c r="L26" t="s">
        <v>414</v>
      </c>
      <c r="M26" t="s">
        <v>415</v>
      </c>
      <c r="N26" t="s">
        <v>161</v>
      </c>
    </row>
    <row r="27" spans="3:15">
      <c r="C27" t="s">
        <v>416</v>
      </c>
      <c r="D27" t="s">
        <v>417</v>
      </c>
      <c r="E27" t="s">
        <v>318</v>
      </c>
    </row>
    <row r="28" spans="3:15">
      <c r="C28" t="s">
        <v>418</v>
      </c>
      <c r="D28" t="s">
        <v>419</v>
      </c>
      <c r="E28" t="s">
        <v>318</v>
      </c>
    </row>
    <row r="29" spans="3:15">
      <c r="C29" t="s">
        <v>420</v>
      </c>
      <c r="D29" t="s">
        <v>421</v>
      </c>
      <c r="E29" t="s">
        <v>318</v>
      </c>
    </row>
    <row r="30" spans="3:15">
      <c r="C30" t="s">
        <v>422</v>
      </c>
      <c r="D30" t="s">
        <v>423</v>
      </c>
      <c r="E30" t="s">
        <v>318</v>
      </c>
    </row>
    <row r="31" spans="3:15">
      <c r="C31" t="s">
        <v>424</v>
      </c>
      <c r="D31" t="s">
        <v>425</v>
      </c>
      <c r="E31" t="s">
        <v>318</v>
      </c>
    </row>
    <row r="32" spans="3:15">
      <c r="C32" t="s">
        <v>426</v>
      </c>
      <c r="D32" t="s">
        <v>427</v>
      </c>
      <c r="E32" t="s">
        <v>318</v>
      </c>
    </row>
    <row r="33" spans="2:7">
      <c r="C33" t="s">
        <v>428</v>
      </c>
      <c r="D33" t="s">
        <v>429</v>
      </c>
      <c r="E33" t="s">
        <v>318</v>
      </c>
    </row>
    <row r="34" spans="2:7">
      <c r="C34" t="s">
        <v>430</v>
      </c>
      <c r="D34" t="s">
        <v>431</v>
      </c>
      <c r="E34" t="s">
        <v>318</v>
      </c>
    </row>
    <row r="35" spans="2:7">
      <c r="C35" t="s">
        <v>432</v>
      </c>
      <c r="D35" t="s">
        <v>433</v>
      </c>
      <c r="E35" t="s">
        <v>318</v>
      </c>
    </row>
    <row r="36" spans="2:7">
      <c r="C36" t="s">
        <v>434</v>
      </c>
      <c r="D36" t="s">
        <v>435</v>
      </c>
      <c r="E36" t="s">
        <v>318</v>
      </c>
    </row>
    <row r="37" spans="2:7">
      <c r="C37" t="s">
        <v>436</v>
      </c>
      <c r="D37" t="s">
        <v>437</v>
      </c>
      <c r="E37" t="s">
        <v>318</v>
      </c>
    </row>
    <row r="38" spans="2:7">
      <c r="C38" t="s">
        <v>438</v>
      </c>
      <c r="D38" t="s">
        <v>439</v>
      </c>
      <c r="E38" t="s">
        <v>318</v>
      </c>
    </row>
    <row r="39" spans="2:7">
      <c r="C39" t="s">
        <v>440</v>
      </c>
      <c r="D39" t="s">
        <v>441</v>
      </c>
      <c r="E39" t="s">
        <v>318</v>
      </c>
    </row>
    <row r="40" spans="2:7">
      <c r="C40" t="s">
        <v>442</v>
      </c>
      <c r="D40" t="s">
        <v>443</v>
      </c>
      <c r="E40" t="s">
        <v>318</v>
      </c>
    </row>
    <row r="41" spans="2:7">
      <c r="C41" t="s">
        <v>444</v>
      </c>
      <c r="D41" t="s">
        <v>445</v>
      </c>
      <c r="E41" t="s">
        <v>346</v>
      </c>
    </row>
    <row r="42" spans="2:7">
      <c r="B42" t="s">
        <v>289</v>
      </c>
      <c r="C42" t="s">
        <v>446</v>
      </c>
      <c r="E42" t="s">
        <v>161</v>
      </c>
    </row>
    <row r="45" spans="2:7" ht="14.25">
      <c r="B45" s="6" t="s">
        <v>296</v>
      </c>
    </row>
    <row r="46" spans="2:7" ht="14.25">
      <c r="B46" s="6" t="s">
        <v>304</v>
      </c>
      <c r="C46" s="6" t="s">
        <v>298</v>
      </c>
      <c r="D46" s="6" t="s">
        <v>299</v>
      </c>
      <c r="E46" s="6" t="s">
        <v>300</v>
      </c>
      <c r="F46" t="s">
        <v>301</v>
      </c>
      <c r="G46" s="6" t="s">
        <v>81</v>
      </c>
    </row>
    <row r="47" spans="2:7" ht="14.25">
      <c r="C47" s="6" t="s">
        <v>447</v>
      </c>
      <c r="D47" t="s">
        <v>448</v>
      </c>
      <c r="E47" s="6" t="s">
        <v>161</v>
      </c>
    </row>
    <row r="48" spans="2:7" ht="14.25">
      <c r="B48" t="s">
        <v>308</v>
      </c>
      <c r="C48" s="6" t="s">
        <v>449</v>
      </c>
      <c r="D48" t="s">
        <v>450</v>
      </c>
      <c r="E48" s="6" t="s">
        <v>451</v>
      </c>
      <c r="F48" t="s">
        <v>359</v>
      </c>
      <c r="G48" s="7" t="s">
        <v>452</v>
      </c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W3465"/>
  <sheetViews>
    <sheetView topLeftCell="H223" workbookViewId="0">
      <selection activeCell="S242" sqref="S242"/>
    </sheetView>
  </sheetViews>
  <sheetFormatPr defaultColWidth="9" defaultRowHeight="12.75"/>
  <cols>
    <col min="2" max="2" width="10.265625" customWidth="1"/>
    <col min="3" max="3" width="11.265625" customWidth="1"/>
    <col min="4" max="4" width="62.265625" customWidth="1"/>
    <col min="5" max="5" width="4.796875" customWidth="1"/>
    <col min="6" max="6" width="8.53125" customWidth="1"/>
    <col min="7" max="7" width="7.46484375" customWidth="1"/>
    <col min="9" max="9" width="10.265625" customWidth="1"/>
    <col min="10" max="10" width="11.46484375" customWidth="1"/>
    <col min="11" max="11" width="57.06640625" customWidth="1"/>
    <col min="12" max="12" width="4.796875" customWidth="1"/>
    <col min="13" max="13" width="8.53125" customWidth="1"/>
    <col min="14" max="14" width="7.46484375" customWidth="1"/>
    <col min="20" max="20" width="20.53125" customWidth="1"/>
  </cols>
  <sheetData>
    <row r="2" spans="2:23" ht="14.25">
      <c r="B2" s="1" t="s">
        <v>296</v>
      </c>
      <c r="C2" s="1"/>
      <c r="D2" s="1"/>
      <c r="E2" s="1"/>
      <c r="F2" s="1"/>
      <c r="G2" s="1"/>
      <c r="H2" s="1"/>
      <c r="I2" s="1" t="s">
        <v>296</v>
      </c>
      <c r="J2" s="1"/>
      <c r="K2" s="1"/>
      <c r="L2" s="1"/>
      <c r="M2" s="1"/>
      <c r="N2" s="1"/>
      <c r="R2" t="s">
        <v>296</v>
      </c>
    </row>
    <row r="3" spans="2:23" ht="14.25">
      <c r="B3" s="2" t="s">
        <v>453</v>
      </c>
      <c r="C3" s="2" t="s">
        <v>454</v>
      </c>
      <c r="D3" s="2" t="s">
        <v>252</v>
      </c>
      <c r="E3" s="2" t="s">
        <v>300</v>
      </c>
      <c r="F3" s="2" t="s">
        <v>455</v>
      </c>
      <c r="G3" s="2" t="s">
        <v>456</v>
      </c>
      <c r="H3" s="1"/>
      <c r="I3" s="2" t="s">
        <v>453</v>
      </c>
      <c r="J3" s="2" t="s">
        <v>457</v>
      </c>
      <c r="K3" s="2" t="s">
        <v>252</v>
      </c>
      <c r="L3" s="2" t="s">
        <v>300</v>
      </c>
      <c r="M3" s="2" t="s">
        <v>455</v>
      </c>
      <c r="N3" s="2" t="s">
        <v>456</v>
      </c>
      <c r="O3" t="s">
        <v>454</v>
      </c>
      <c r="R3" t="s">
        <v>304</v>
      </c>
      <c r="S3" t="s">
        <v>298</v>
      </c>
      <c r="T3" t="s">
        <v>299</v>
      </c>
      <c r="U3" t="s">
        <v>300</v>
      </c>
      <c r="V3" t="s">
        <v>301</v>
      </c>
    </row>
    <row r="4" spans="2:23" ht="14.25">
      <c r="B4" s="1" t="s">
        <v>289</v>
      </c>
      <c r="C4" s="1" t="s">
        <v>458</v>
      </c>
      <c r="D4" s="1" t="s">
        <v>459</v>
      </c>
      <c r="E4" s="1" t="s">
        <v>161</v>
      </c>
      <c r="F4" s="1"/>
      <c r="G4" s="1"/>
      <c r="H4" s="1"/>
      <c r="I4" s="1" t="s">
        <v>289</v>
      </c>
      <c r="J4" s="1" t="s">
        <v>460</v>
      </c>
      <c r="K4" s="1" t="s">
        <v>461</v>
      </c>
      <c r="L4" s="1" t="s">
        <v>161</v>
      </c>
      <c r="M4" s="1"/>
      <c r="N4" s="1"/>
      <c r="O4" t="s">
        <v>460</v>
      </c>
      <c r="R4" t="s">
        <v>289</v>
      </c>
      <c r="S4" t="s">
        <v>462</v>
      </c>
      <c r="T4" t="s">
        <v>463</v>
      </c>
      <c r="U4" t="s">
        <v>161</v>
      </c>
      <c r="V4" t="s">
        <v>359</v>
      </c>
    </row>
    <row r="5" spans="2:23" ht="14.25">
      <c r="B5" s="1" t="s">
        <v>289</v>
      </c>
      <c r="C5" s="1" t="s">
        <v>464</v>
      </c>
      <c r="D5" s="1" t="s">
        <v>465</v>
      </c>
      <c r="E5" s="1" t="s">
        <v>161</v>
      </c>
      <c r="F5" s="1"/>
      <c r="G5" s="1"/>
      <c r="H5" s="1"/>
      <c r="I5" s="1"/>
      <c r="J5" s="1" t="s">
        <v>466</v>
      </c>
      <c r="K5" s="1" t="s">
        <v>467</v>
      </c>
      <c r="L5" s="1" t="s">
        <v>161</v>
      </c>
      <c r="M5" s="1"/>
      <c r="N5" s="1"/>
      <c r="O5" t="s">
        <v>466</v>
      </c>
      <c r="S5" t="s">
        <v>468</v>
      </c>
      <c r="T5" t="s">
        <v>469</v>
      </c>
      <c r="U5" t="s">
        <v>161</v>
      </c>
    </row>
    <row r="6" spans="2:23" ht="14.25">
      <c r="B6" s="1" t="s">
        <v>289</v>
      </c>
      <c r="C6" s="1" t="s">
        <v>470</v>
      </c>
      <c r="D6" s="1" t="s">
        <v>471</v>
      </c>
      <c r="E6" s="1" t="s">
        <v>161</v>
      </c>
      <c r="F6" s="1"/>
      <c r="G6" s="1"/>
      <c r="H6" s="1"/>
      <c r="I6" s="1"/>
      <c r="J6" s="1" t="s">
        <v>472</v>
      </c>
      <c r="K6" s="1" t="s">
        <v>473</v>
      </c>
      <c r="L6" s="1" t="s">
        <v>161</v>
      </c>
      <c r="M6" s="1"/>
      <c r="N6" s="1"/>
      <c r="O6" t="s">
        <v>474</v>
      </c>
      <c r="S6" t="s">
        <v>475</v>
      </c>
      <c r="T6" t="s">
        <v>476</v>
      </c>
      <c r="U6" t="s">
        <v>161</v>
      </c>
      <c r="V6" t="s">
        <v>359</v>
      </c>
    </row>
    <row r="7" spans="2:23" ht="14.25">
      <c r="B7" s="1" t="s">
        <v>289</v>
      </c>
      <c r="C7" s="1" t="s">
        <v>477</v>
      </c>
      <c r="D7" s="1" t="s">
        <v>478</v>
      </c>
      <c r="E7" s="1" t="s">
        <v>161</v>
      </c>
      <c r="F7" s="1"/>
      <c r="G7" s="1"/>
      <c r="H7" s="1"/>
      <c r="I7" s="1"/>
      <c r="J7" s="1" t="s">
        <v>479</v>
      </c>
      <c r="K7" s="1" t="s">
        <v>480</v>
      </c>
      <c r="L7" s="1" t="s">
        <v>161</v>
      </c>
      <c r="M7" s="1" t="s">
        <v>359</v>
      </c>
      <c r="N7" s="1" t="s">
        <v>360</v>
      </c>
      <c r="O7" t="s">
        <v>479</v>
      </c>
      <c r="S7" t="s">
        <v>481</v>
      </c>
      <c r="T7" t="s">
        <v>482</v>
      </c>
      <c r="U7" t="s">
        <v>161</v>
      </c>
      <c r="V7" t="s">
        <v>359</v>
      </c>
    </row>
    <row r="8" spans="2:23" ht="14.25">
      <c r="B8" s="1" t="s">
        <v>289</v>
      </c>
      <c r="C8" s="1" t="s">
        <v>483</v>
      </c>
      <c r="D8" s="1" t="s">
        <v>484</v>
      </c>
      <c r="E8" s="1" t="s">
        <v>161</v>
      </c>
      <c r="F8" s="1"/>
      <c r="G8" s="1"/>
      <c r="H8" s="1"/>
      <c r="I8" s="1"/>
      <c r="J8" s="1" t="s">
        <v>485</v>
      </c>
      <c r="K8" s="1" t="s">
        <v>486</v>
      </c>
      <c r="L8" s="1" t="s">
        <v>161</v>
      </c>
      <c r="M8" s="1"/>
      <c r="N8" s="1"/>
      <c r="O8" t="s">
        <v>485</v>
      </c>
      <c r="S8" t="s">
        <v>487</v>
      </c>
      <c r="T8" t="s">
        <v>488</v>
      </c>
      <c r="U8" t="s">
        <v>161</v>
      </c>
      <c r="V8" t="s">
        <v>359</v>
      </c>
    </row>
    <row r="9" spans="2:23" ht="14.25">
      <c r="B9" s="1" t="s">
        <v>289</v>
      </c>
      <c r="C9" s="1" t="s">
        <v>489</v>
      </c>
      <c r="D9" s="1" t="s">
        <v>490</v>
      </c>
      <c r="E9" s="1" t="s">
        <v>161</v>
      </c>
      <c r="F9" s="1"/>
      <c r="G9" s="1"/>
      <c r="H9" s="1"/>
      <c r="I9" s="1"/>
      <c r="J9" s="1" t="s">
        <v>491</v>
      </c>
      <c r="K9" s="1" t="s">
        <v>492</v>
      </c>
      <c r="L9" s="1" t="s">
        <v>161</v>
      </c>
      <c r="M9" s="1" t="s">
        <v>139</v>
      </c>
      <c r="N9" s="1" t="s">
        <v>493</v>
      </c>
      <c r="O9" t="s">
        <v>491</v>
      </c>
      <c r="S9" t="s">
        <v>494</v>
      </c>
      <c r="T9" t="s">
        <v>495</v>
      </c>
      <c r="U9" t="s">
        <v>161</v>
      </c>
      <c r="V9" t="s">
        <v>359</v>
      </c>
    </row>
    <row r="10" spans="2:23" ht="14.25">
      <c r="B10" s="1" t="s">
        <v>289</v>
      </c>
      <c r="C10" s="1" t="s">
        <v>496</v>
      </c>
      <c r="D10" s="1" t="s">
        <v>497</v>
      </c>
      <c r="E10" s="1" t="s">
        <v>161</v>
      </c>
      <c r="F10" s="1"/>
      <c r="G10" s="1"/>
      <c r="H10" s="1"/>
      <c r="I10" s="1"/>
      <c r="J10" s="1" t="s">
        <v>498</v>
      </c>
      <c r="K10" s="1" t="s">
        <v>499</v>
      </c>
      <c r="L10" s="1" t="s">
        <v>161</v>
      </c>
      <c r="M10" s="1"/>
      <c r="N10" s="1"/>
      <c r="O10" t="s">
        <v>474</v>
      </c>
    </row>
    <row r="11" spans="2:23" ht="14.25">
      <c r="B11" s="1" t="s">
        <v>289</v>
      </c>
      <c r="C11" s="1" t="s">
        <v>500</v>
      </c>
      <c r="D11" s="1" t="s">
        <v>501</v>
      </c>
      <c r="E11" s="1" t="s">
        <v>161</v>
      </c>
      <c r="F11" s="1"/>
      <c r="G11" s="1"/>
      <c r="H11" s="1"/>
      <c r="I11" s="1"/>
      <c r="J11" s="1" t="s">
        <v>502</v>
      </c>
      <c r="K11" s="1" t="s">
        <v>503</v>
      </c>
      <c r="L11" s="1" t="s">
        <v>161</v>
      </c>
      <c r="M11" s="1"/>
      <c r="N11" s="1"/>
      <c r="O11" t="s">
        <v>502</v>
      </c>
    </row>
    <row r="12" spans="2:23" ht="14.25">
      <c r="B12" s="1" t="s">
        <v>289</v>
      </c>
      <c r="C12" s="1" t="s">
        <v>504</v>
      </c>
      <c r="D12" s="1" t="s">
        <v>505</v>
      </c>
      <c r="E12" s="1" t="s">
        <v>161</v>
      </c>
      <c r="F12" s="1"/>
      <c r="G12" s="1"/>
      <c r="H12" s="1"/>
      <c r="I12" s="1"/>
      <c r="J12" s="1" t="s">
        <v>506</v>
      </c>
      <c r="K12" s="1" t="s">
        <v>507</v>
      </c>
      <c r="L12" s="1" t="s">
        <v>161</v>
      </c>
      <c r="M12" s="1"/>
      <c r="N12" s="1"/>
      <c r="O12" t="s">
        <v>506</v>
      </c>
    </row>
    <row r="13" spans="2:23" ht="14.25">
      <c r="B13" s="1" t="s">
        <v>289</v>
      </c>
      <c r="C13" s="1" t="s">
        <v>508</v>
      </c>
      <c r="D13" s="1" t="s">
        <v>509</v>
      </c>
      <c r="E13" s="1" t="s">
        <v>161</v>
      </c>
      <c r="F13" s="1"/>
      <c r="G13" s="1"/>
      <c r="H13" s="1"/>
      <c r="I13" s="1"/>
      <c r="J13" s="1" t="s">
        <v>510</v>
      </c>
      <c r="K13" s="1" t="s">
        <v>511</v>
      </c>
      <c r="L13" s="1" t="s">
        <v>161</v>
      </c>
      <c r="M13" s="1"/>
      <c r="N13" s="1"/>
      <c r="O13" t="s">
        <v>474</v>
      </c>
      <c r="R13" s="4" t="s">
        <v>296</v>
      </c>
      <c r="S13" s="4"/>
      <c r="T13" s="4"/>
      <c r="U13" s="4"/>
      <c r="V13" s="4"/>
      <c r="W13" s="4"/>
    </row>
    <row r="14" spans="2:23" ht="14.25">
      <c r="B14" s="1" t="s">
        <v>289</v>
      </c>
      <c r="C14" s="1" t="s">
        <v>512</v>
      </c>
      <c r="D14" s="1" t="s">
        <v>513</v>
      </c>
      <c r="E14" s="1" t="s">
        <v>161</v>
      </c>
      <c r="F14" s="1"/>
      <c r="G14" s="1"/>
      <c r="H14" s="1"/>
      <c r="I14" s="1"/>
      <c r="J14" s="1" t="s">
        <v>514</v>
      </c>
      <c r="K14" s="1" t="s">
        <v>515</v>
      </c>
      <c r="L14" s="1" t="s">
        <v>161</v>
      </c>
      <c r="M14" s="1"/>
      <c r="N14" s="1"/>
      <c r="O14" t="s">
        <v>514</v>
      </c>
      <c r="R14" s="4" t="s">
        <v>453</v>
      </c>
      <c r="S14" s="4" t="s">
        <v>3</v>
      </c>
      <c r="T14" s="4" t="s">
        <v>454</v>
      </c>
      <c r="U14" s="4" t="s">
        <v>516</v>
      </c>
      <c r="V14" s="4" t="s">
        <v>300</v>
      </c>
      <c r="W14" s="4" t="s">
        <v>252</v>
      </c>
    </row>
    <row r="15" spans="2:23" ht="14.25">
      <c r="B15" s="1" t="s">
        <v>289</v>
      </c>
      <c r="C15" s="1" t="s">
        <v>517</v>
      </c>
      <c r="D15" s="1" t="s">
        <v>518</v>
      </c>
      <c r="E15" s="1" t="s">
        <v>161</v>
      </c>
      <c r="F15" s="1"/>
      <c r="G15" s="1"/>
      <c r="H15" s="1"/>
      <c r="I15" s="1"/>
      <c r="J15" s="1" t="s">
        <v>519</v>
      </c>
      <c r="K15" s="1" t="s">
        <v>520</v>
      </c>
      <c r="L15" s="1" t="s">
        <v>161</v>
      </c>
      <c r="M15" s="1"/>
      <c r="N15" s="1"/>
      <c r="O15" t="s">
        <v>474</v>
      </c>
      <c r="R15" s="4" t="s">
        <v>289</v>
      </c>
      <c r="S15" s="4" t="s">
        <v>8</v>
      </c>
      <c r="T15" s="4" t="s">
        <v>521</v>
      </c>
      <c r="U15" s="4" t="s">
        <v>359</v>
      </c>
      <c r="V15" s="4" t="s">
        <v>161</v>
      </c>
      <c r="W15" s="4" t="s">
        <v>522</v>
      </c>
    </row>
    <row r="16" spans="2:23" ht="14.25">
      <c r="B16" s="1" t="s">
        <v>289</v>
      </c>
      <c r="C16" s="1" t="s">
        <v>523</v>
      </c>
      <c r="D16" s="1" t="s">
        <v>524</v>
      </c>
      <c r="E16" s="1" t="s">
        <v>161</v>
      </c>
      <c r="F16" s="1"/>
      <c r="G16" s="1"/>
      <c r="H16" s="1"/>
      <c r="I16" s="1"/>
      <c r="J16" s="1" t="s">
        <v>525</v>
      </c>
      <c r="K16" s="1" t="s">
        <v>526</v>
      </c>
      <c r="L16" s="1" t="s">
        <v>161</v>
      </c>
      <c r="M16" s="1"/>
      <c r="N16" s="1"/>
      <c r="O16" t="s">
        <v>474</v>
      </c>
      <c r="R16" s="4" t="s">
        <v>289</v>
      </c>
      <c r="S16" s="4" t="s">
        <v>8</v>
      </c>
      <c r="T16" s="4" t="s">
        <v>527</v>
      </c>
      <c r="U16" s="4" t="s">
        <v>359</v>
      </c>
      <c r="V16" s="4" t="s">
        <v>161</v>
      </c>
      <c r="W16" s="4" t="s">
        <v>528</v>
      </c>
    </row>
    <row r="17" spans="2:23" ht="14.25">
      <c r="B17" s="1" t="s">
        <v>289</v>
      </c>
      <c r="C17" s="1" t="s">
        <v>529</v>
      </c>
      <c r="D17" s="1" t="s">
        <v>530</v>
      </c>
      <c r="E17" s="1" t="s">
        <v>161</v>
      </c>
      <c r="F17" s="1"/>
      <c r="G17" s="1"/>
      <c r="H17" s="1"/>
      <c r="I17" s="1"/>
      <c r="J17" s="1" t="s">
        <v>531</v>
      </c>
      <c r="K17" s="1" t="s">
        <v>532</v>
      </c>
      <c r="L17" s="1" t="s">
        <v>161</v>
      </c>
      <c r="M17" s="1"/>
      <c r="N17" s="1"/>
      <c r="O17" t="s">
        <v>531</v>
      </c>
      <c r="R17" s="4" t="s">
        <v>289</v>
      </c>
      <c r="S17" s="4" t="s">
        <v>8</v>
      </c>
      <c r="T17" s="4" t="s">
        <v>533</v>
      </c>
      <c r="U17" s="4" t="s">
        <v>359</v>
      </c>
      <c r="V17" s="4" t="s">
        <v>161</v>
      </c>
      <c r="W17" s="4" t="s">
        <v>534</v>
      </c>
    </row>
    <row r="18" spans="2:23" ht="14.25">
      <c r="B18" s="1" t="s">
        <v>289</v>
      </c>
      <c r="C18" s="1" t="s">
        <v>360</v>
      </c>
      <c r="D18" s="1" t="s">
        <v>535</v>
      </c>
      <c r="E18" s="1" t="s">
        <v>161</v>
      </c>
      <c r="F18" s="1" t="s">
        <v>359</v>
      </c>
      <c r="G18" s="1" t="s">
        <v>360</v>
      </c>
      <c r="H18" s="1"/>
      <c r="I18" s="1"/>
      <c r="J18" s="1" t="s">
        <v>536</v>
      </c>
      <c r="K18" s="1" t="s">
        <v>537</v>
      </c>
      <c r="L18" s="1" t="s">
        <v>161</v>
      </c>
      <c r="M18" s="1"/>
      <c r="N18" s="1"/>
      <c r="O18" t="s">
        <v>474</v>
      </c>
      <c r="R18" s="4" t="s">
        <v>289</v>
      </c>
      <c r="S18" s="4" t="s">
        <v>8</v>
      </c>
      <c r="T18" s="4" t="s">
        <v>538</v>
      </c>
      <c r="U18" s="4" t="s">
        <v>359</v>
      </c>
      <c r="V18" s="4" t="s">
        <v>161</v>
      </c>
      <c r="W18" s="4" t="s">
        <v>539</v>
      </c>
    </row>
    <row r="19" spans="2:23" ht="14.25">
      <c r="B19" s="1" t="s">
        <v>289</v>
      </c>
      <c r="C19" s="1" t="s">
        <v>540</v>
      </c>
      <c r="D19" s="1" t="s">
        <v>541</v>
      </c>
      <c r="E19" s="1" t="s">
        <v>161</v>
      </c>
      <c r="F19" s="1"/>
      <c r="G19" s="1"/>
      <c r="H19" s="1"/>
      <c r="I19" s="1"/>
      <c r="J19" s="1" t="s">
        <v>542</v>
      </c>
      <c r="K19" s="1" t="s">
        <v>543</v>
      </c>
      <c r="L19" s="1" t="s">
        <v>161</v>
      </c>
      <c r="M19" s="1"/>
      <c r="N19" s="1"/>
      <c r="O19" t="s">
        <v>542</v>
      </c>
      <c r="R19" s="4" t="s">
        <v>289</v>
      </c>
      <c r="S19" s="4" t="s">
        <v>8</v>
      </c>
      <c r="T19" s="4" t="s">
        <v>544</v>
      </c>
      <c r="U19" s="4" t="s">
        <v>359</v>
      </c>
      <c r="V19" s="4" t="s">
        <v>161</v>
      </c>
      <c r="W19" s="4" t="s">
        <v>545</v>
      </c>
    </row>
    <row r="20" spans="2:23" ht="14.25">
      <c r="B20" s="1" t="s">
        <v>289</v>
      </c>
      <c r="C20" s="1" t="s">
        <v>546</v>
      </c>
      <c r="D20" s="1" t="s">
        <v>547</v>
      </c>
      <c r="E20" s="1" t="s">
        <v>161</v>
      </c>
      <c r="F20" s="1"/>
      <c r="G20" s="1"/>
      <c r="H20" s="1"/>
      <c r="I20" s="1"/>
      <c r="J20" s="1" t="s">
        <v>548</v>
      </c>
      <c r="K20" s="1" t="s">
        <v>549</v>
      </c>
      <c r="L20" s="1" t="s">
        <v>161</v>
      </c>
      <c r="M20" s="1"/>
      <c r="N20" s="1"/>
      <c r="O20" t="s">
        <v>474</v>
      </c>
      <c r="R20" s="4" t="s">
        <v>289</v>
      </c>
      <c r="S20" s="4" t="s">
        <v>8</v>
      </c>
      <c r="T20" s="4" t="s">
        <v>550</v>
      </c>
      <c r="U20" s="4" t="s">
        <v>359</v>
      </c>
      <c r="V20" s="4" t="s">
        <v>161</v>
      </c>
      <c r="W20" s="4" t="s">
        <v>551</v>
      </c>
    </row>
    <row r="21" spans="2:23" ht="14.25">
      <c r="B21" s="1" t="s">
        <v>289</v>
      </c>
      <c r="C21" s="1" t="s">
        <v>552</v>
      </c>
      <c r="D21" s="1" t="s">
        <v>553</v>
      </c>
      <c r="E21" s="1" t="s">
        <v>161</v>
      </c>
      <c r="F21" s="1"/>
      <c r="G21" s="1"/>
      <c r="H21" s="1"/>
      <c r="I21" s="1"/>
      <c r="J21" s="1" t="s">
        <v>554</v>
      </c>
      <c r="K21" s="1" t="s">
        <v>555</v>
      </c>
      <c r="L21" s="1" t="s">
        <v>161</v>
      </c>
      <c r="M21" s="1"/>
      <c r="N21" s="1"/>
      <c r="O21" t="s">
        <v>474</v>
      </c>
      <c r="R21" s="4" t="s">
        <v>289</v>
      </c>
      <c r="S21" s="4" t="s">
        <v>8</v>
      </c>
      <c r="T21" s="4" t="s">
        <v>556</v>
      </c>
      <c r="U21" s="4" t="s">
        <v>359</v>
      </c>
      <c r="V21" s="4" t="s">
        <v>161</v>
      </c>
      <c r="W21" s="4" t="s">
        <v>557</v>
      </c>
    </row>
    <row r="22" spans="2:23" ht="14.25">
      <c r="B22" s="1" t="s">
        <v>289</v>
      </c>
      <c r="C22" s="1" t="s">
        <v>558</v>
      </c>
      <c r="D22" s="1" t="s">
        <v>559</v>
      </c>
      <c r="E22" s="1" t="s">
        <v>161</v>
      </c>
      <c r="F22" s="1"/>
      <c r="G22" s="1"/>
      <c r="H22" s="1"/>
      <c r="I22" s="1"/>
      <c r="J22" s="1" t="s">
        <v>560</v>
      </c>
      <c r="K22" s="1" t="s">
        <v>561</v>
      </c>
      <c r="L22" s="1" t="s">
        <v>161</v>
      </c>
      <c r="M22" s="1"/>
      <c r="N22" s="1"/>
      <c r="O22" t="s">
        <v>474</v>
      </c>
      <c r="R22" s="4" t="s">
        <v>289</v>
      </c>
      <c r="S22" s="4" t="s">
        <v>8</v>
      </c>
      <c r="T22" s="4" t="s">
        <v>562</v>
      </c>
      <c r="U22" s="4" t="s">
        <v>359</v>
      </c>
      <c r="V22" s="4" t="s">
        <v>161</v>
      </c>
      <c r="W22" s="4" t="s">
        <v>563</v>
      </c>
    </row>
    <row r="23" spans="2:23" ht="14.25">
      <c r="B23" s="1" t="s">
        <v>289</v>
      </c>
      <c r="C23" s="1" t="s">
        <v>564</v>
      </c>
      <c r="D23" s="1" t="s">
        <v>565</v>
      </c>
      <c r="E23" s="1" t="s">
        <v>161</v>
      </c>
      <c r="F23" s="1"/>
      <c r="G23" s="1"/>
      <c r="H23" s="1"/>
      <c r="I23" s="1"/>
      <c r="J23" s="1" t="s">
        <v>566</v>
      </c>
      <c r="K23" s="1" t="s">
        <v>567</v>
      </c>
      <c r="L23" s="1" t="s">
        <v>161</v>
      </c>
      <c r="M23" s="1"/>
      <c r="N23" s="1"/>
      <c r="O23" t="s">
        <v>566</v>
      </c>
      <c r="R23" s="4" t="s">
        <v>289</v>
      </c>
      <c r="S23" s="4" t="s">
        <v>8</v>
      </c>
      <c r="T23" s="4" t="s">
        <v>568</v>
      </c>
      <c r="U23" s="4" t="s">
        <v>359</v>
      </c>
      <c r="V23" s="4" t="s">
        <v>161</v>
      </c>
      <c r="W23" s="4" t="s">
        <v>569</v>
      </c>
    </row>
    <row r="24" spans="2:23" ht="14.25">
      <c r="B24" s="1" t="s">
        <v>289</v>
      </c>
      <c r="C24" s="1" t="s">
        <v>570</v>
      </c>
      <c r="D24" s="1" t="s">
        <v>571</v>
      </c>
      <c r="E24" s="1" t="s">
        <v>161</v>
      </c>
      <c r="F24" s="1"/>
      <c r="G24" s="1"/>
      <c r="H24" s="1"/>
      <c r="I24" s="1"/>
      <c r="J24" s="1" t="s">
        <v>572</v>
      </c>
      <c r="K24" s="1" t="s">
        <v>573</v>
      </c>
      <c r="L24" s="1" t="s">
        <v>161</v>
      </c>
      <c r="M24" s="1"/>
      <c r="N24" s="1"/>
      <c r="O24" t="s">
        <v>572</v>
      </c>
      <c r="R24" s="4" t="s">
        <v>289</v>
      </c>
      <c r="S24" s="4" t="s">
        <v>8</v>
      </c>
      <c r="T24" s="4" t="s">
        <v>574</v>
      </c>
      <c r="U24" s="4" t="s">
        <v>359</v>
      </c>
      <c r="V24" s="4" t="s">
        <v>161</v>
      </c>
      <c r="W24" s="4" t="s">
        <v>575</v>
      </c>
    </row>
    <row r="25" spans="2:23" ht="14.25">
      <c r="B25" s="1" t="s">
        <v>289</v>
      </c>
      <c r="C25" s="1" t="s">
        <v>576</v>
      </c>
      <c r="D25" s="1" t="s">
        <v>577</v>
      </c>
      <c r="E25" s="1" t="s">
        <v>161</v>
      </c>
      <c r="F25" s="1"/>
      <c r="G25" s="1"/>
      <c r="H25" s="1"/>
      <c r="I25" s="1"/>
      <c r="J25" s="1" t="s">
        <v>578</v>
      </c>
      <c r="K25" s="1" t="s">
        <v>579</v>
      </c>
      <c r="L25" s="1" t="s">
        <v>161</v>
      </c>
      <c r="M25" s="1"/>
      <c r="N25" s="1"/>
      <c r="O25" t="s">
        <v>474</v>
      </c>
      <c r="R25" s="4" t="s">
        <v>289</v>
      </c>
      <c r="S25" s="4" t="s">
        <v>11</v>
      </c>
      <c r="T25" s="4" t="s">
        <v>580</v>
      </c>
      <c r="U25" s="4" t="s">
        <v>359</v>
      </c>
      <c r="V25" s="4" t="s">
        <v>161</v>
      </c>
      <c r="W25" s="4" t="s">
        <v>581</v>
      </c>
    </row>
    <row r="26" spans="2:23" ht="14.25">
      <c r="B26" s="1" t="s">
        <v>289</v>
      </c>
      <c r="C26" s="1" t="s">
        <v>582</v>
      </c>
      <c r="D26" s="1" t="s">
        <v>583</v>
      </c>
      <c r="E26" s="1" t="s">
        <v>161</v>
      </c>
      <c r="F26" s="1" t="s">
        <v>139</v>
      </c>
      <c r="G26" s="1" t="s">
        <v>493</v>
      </c>
      <c r="H26" s="1"/>
      <c r="I26" s="1"/>
      <c r="J26" s="1" t="s">
        <v>584</v>
      </c>
      <c r="K26" s="1" t="s">
        <v>585</v>
      </c>
      <c r="L26" s="1" t="s">
        <v>161</v>
      </c>
      <c r="M26" s="1" t="s">
        <v>359</v>
      </c>
      <c r="N26" s="1" t="s">
        <v>360</v>
      </c>
      <c r="O26" t="s">
        <v>584</v>
      </c>
      <c r="R26" s="4" t="s">
        <v>289</v>
      </c>
      <c r="S26" s="4" t="s">
        <v>11</v>
      </c>
      <c r="T26" s="4" t="s">
        <v>586</v>
      </c>
      <c r="U26" s="4" t="s">
        <v>359</v>
      </c>
      <c r="V26" s="4" t="s">
        <v>161</v>
      </c>
      <c r="W26" s="4" t="s">
        <v>587</v>
      </c>
    </row>
    <row r="27" spans="2:23" ht="14.25">
      <c r="B27" s="1" t="s">
        <v>289</v>
      </c>
      <c r="C27" s="1" t="s">
        <v>588</v>
      </c>
      <c r="D27" s="1" t="s">
        <v>589</v>
      </c>
      <c r="E27" s="1" t="s">
        <v>161</v>
      </c>
      <c r="F27" s="1"/>
      <c r="G27" s="1"/>
      <c r="H27" s="1"/>
      <c r="I27" s="1"/>
      <c r="J27" s="1" t="s">
        <v>590</v>
      </c>
      <c r="K27" s="1" t="s">
        <v>591</v>
      </c>
      <c r="L27" s="1" t="s">
        <v>161</v>
      </c>
      <c r="M27" s="1"/>
      <c r="N27" s="1"/>
      <c r="O27" t="s">
        <v>590</v>
      </c>
      <c r="R27" s="4" t="s">
        <v>289</v>
      </c>
      <c r="S27" s="4" t="s">
        <v>11</v>
      </c>
      <c r="T27" s="4" t="s">
        <v>592</v>
      </c>
      <c r="U27" s="4" t="s">
        <v>359</v>
      </c>
      <c r="V27" s="4" t="s">
        <v>161</v>
      </c>
      <c r="W27" s="4" t="s">
        <v>593</v>
      </c>
    </row>
    <row r="28" spans="2:23" ht="14.25">
      <c r="B28" s="1" t="s">
        <v>289</v>
      </c>
      <c r="C28" s="1" t="s">
        <v>594</v>
      </c>
      <c r="D28" s="1" t="s">
        <v>595</v>
      </c>
      <c r="E28" s="1" t="s">
        <v>161</v>
      </c>
      <c r="F28" s="1"/>
      <c r="G28" s="1"/>
      <c r="H28" s="1"/>
      <c r="I28" s="1"/>
      <c r="J28" s="1" t="s">
        <v>596</v>
      </c>
      <c r="K28" s="1" t="s">
        <v>597</v>
      </c>
      <c r="L28" s="1" t="s">
        <v>161</v>
      </c>
      <c r="M28" s="1" t="s">
        <v>139</v>
      </c>
      <c r="N28" s="1" t="s">
        <v>493</v>
      </c>
      <c r="O28" t="s">
        <v>596</v>
      </c>
      <c r="R28" s="4" t="s">
        <v>289</v>
      </c>
      <c r="S28" s="4" t="s">
        <v>11</v>
      </c>
      <c r="T28" s="4" t="s">
        <v>598</v>
      </c>
      <c r="U28" s="4" t="s">
        <v>359</v>
      </c>
      <c r="V28" s="4" t="s">
        <v>161</v>
      </c>
      <c r="W28" s="4" t="s">
        <v>599</v>
      </c>
    </row>
    <row r="29" spans="2:23" ht="14.25">
      <c r="B29" s="1" t="s">
        <v>289</v>
      </c>
      <c r="C29" s="1" t="s">
        <v>600</v>
      </c>
      <c r="D29" s="1" t="s">
        <v>601</v>
      </c>
      <c r="E29" s="1" t="s">
        <v>161</v>
      </c>
      <c r="F29" s="1"/>
      <c r="G29" s="1"/>
      <c r="H29" s="1"/>
      <c r="I29" s="1"/>
      <c r="J29" s="1" t="s">
        <v>602</v>
      </c>
      <c r="K29" s="1" t="s">
        <v>603</v>
      </c>
      <c r="L29" s="1" t="s">
        <v>161</v>
      </c>
      <c r="M29" s="1"/>
      <c r="N29" s="1"/>
      <c r="O29" t="s">
        <v>474</v>
      </c>
      <c r="R29" s="4" t="s">
        <v>289</v>
      </c>
      <c r="S29" s="4" t="s">
        <v>11</v>
      </c>
      <c r="T29" s="4" t="s">
        <v>604</v>
      </c>
      <c r="U29" s="4" t="s">
        <v>359</v>
      </c>
      <c r="V29" s="4" t="s">
        <v>161</v>
      </c>
      <c r="W29" s="4" t="s">
        <v>605</v>
      </c>
    </row>
    <row r="30" spans="2:23" ht="14.25">
      <c r="B30" s="1" t="s">
        <v>289</v>
      </c>
      <c r="C30" s="1" t="s">
        <v>606</v>
      </c>
      <c r="D30" s="1" t="s">
        <v>607</v>
      </c>
      <c r="E30" s="1" t="s">
        <v>161</v>
      </c>
      <c r="F30" s="1"/>
      <c r="G30" s="1"/>
      <c r="H30" s="1"/>
      <c r="I30" s="1"/>
      <c r="J30" s="1" t="s">
        <v>608</v>
      </c>
      <c r="K30" s="1" t="s">
        <v>609</v>
      </c>
      <c r="L30" s="1" t="s">
        <v>161</v>
      </c>
      <c r="M30" s="1"/>
      <c r="N30" s="1"/>
      <c r="O30" t="s">
        <v>608</v>
      </c>
      <c r="R30" s="4" t="s">
        <v>289</v>
      </c>
      <c r="S30" s="4" t="s">
        <v>11</v>
      </c>
      <c r="T30" s="4" t="s">
        <v>610</v>
      </c>
      <c r="U30" s="4" t="s">
        <v>359</v>
      </c>
      <c r="V30" s="4" t="s">
        <v>161</v>
      </c>
      <c r="W30" s="4" t="s">
        <v>611</v>
      </c>
    </row>
    <row r="31" spans="2:23" ht="14.25">
      <c r="B31" s="1" t="s">
        <v>289</v>
      </c>
      <c r="C31" s="1" t="s">
        <v>612</v>
      </c>
      <c r="D31" s="1" t="s">
        <v>613</v>
      </c>
      <c r="E31" s="1" t="s">
        <v>161</v>
      </c>
      <c r="F31" s="1"/>
      <c r="G31" s="1"/>
      <c r="H31" s="1"/>
      <c r="I31" s="1"/>
      <c r="J31" s="1" t="s">
        <v>614</v>
      </c>
      <c r="K31" s="1" t="s">
        <v>615</v>
      </c>
      <c r="L31" s="1" t="s">
        <v>161</v>
      </c>
      <c r="M31" s="1"/>
      <c r="N31" s="1"/>
      <c r="O31" t="s">
        <v>614</v>
      </c>
      <c r="R31" s="4" t="s">
        <v>289</v>
      </c>
      <c r="S31" s="4" t="s">
        <v>11</v>
      </c>
      <c r="T31" s="4" t="s">
        <v>616</v>
      </c>
      <c r="U31" s="4" t="s">
        <v>359</v>
      </c>
      <c r="V31" s="4" t="s">
        <v>161</v>
      </c>
      <c r="W31" s="4" t="s">
        <v>617</v>
      </c>
    </row>
    <row r="32" spans="2:23" ht="14.25">
      <c r="B32" s="1" t="s">
        <v>289</v>
      </c>
      <c r="C32" s="1" t="s">
        <v>306</v>
      </c>
      <c r="D32" s="1" t="s">
        <v>618</v>
      </c>
      <c r="E32" s="1" t="s">
        <v>161</v>
      </c>
      <c r="F32" s="1"/>
      <c r="G32" s="1"/>
      <c r="H32" s="1"/>
      <c r="I32" s="1"/>
      <c r="J32" s="1" t="s">
        <v>619</v>
      </c>
      <c r="K32" s="1" t="s">
        <v>620</v>
      </c>
      <c r="L32" s="1" t="s">
        <v>161</v>
      </c>
      <c r="M32" s="1"/>
      <c r="N32" s="1"/>
      <c r="O32" t="s">
        <v>474</v>
      </c>
      <c r="R32" s="4" t="s">
        <v>289</v>
      </c>
      <c r="S32" s="4" t="s">
        <v>11</v>
      </c>
      <c r="T32" s="4" t="s">
        <v>621</v>
      </c>
      <c r="U32" s="4" t="s">
        <v>359</v>
      </c>
      <c r="V32" s="4" t="s">
        <v>161</v>
      </c>
      <c r="W32" s="4" t="s">
        <v>622</v>
      </c>
    </row>
    <row r="33" spans="2:23" ht="14.25">
      <c r="B33" s="1" t="s">
        <v>289</v>
      </c>
      <c r="C33" s="1" t="s">
        <v>623</v>
      </c>
      <c r="D33" s="1" t="s">
        <v>624</v>
      </c>
      <c r="E33" s="1" t="s">
        <v>161</v>
      </c>
      <c r="F33" s="1"/>
      <c r="G33" s="1"/>
      <c r="H33" s="1"/>
      <c r="I33" s="1"/>
      <c r="J33" s="1" t="s">
        <v>625</v>
      </c>
      <c r="K33" s="1" t="s">
        <v>626</v>
      </c>
      <c r="L33" s="1" t="s">
        <v>161</v>
      </c>
      <c r="M33" s="1"/>
      <c r="N33" s="1"/>
      <c r="O33" t="s">
        <v>625</v>
      </c>
      <c r="R33" s="4" t="s">
        <v>289</v>
      </c>
      <c r="S33" s="4" t="s">
        <v>11</v>
      </c>
      <c r="T33" s="4" t="s">
        <v>627</v>
      </c>
      <c r="U33" s="4" t="s">
        <v>359</v>
      </c>
      <c r="V33" s="4" t="s">
        <v>161</v>
      </c>
      <c r="W33" s="4" t="s">
        <v>628</v>
      </c>
    </row>
    <row r="34" spans="2:23" ht="14.25">
      <c r="B34" s="1" t="s">
        <v>289</v>
      </c>
      <c r="C34" s="1" t="s">
        <v>629</v>
      </c>
      <c r="D34" s="1" t="s">
        <v>630</v>
      </c>
      <c r="E34" s="1" t="s">
        <v>161</v>
      </c>
      <c r="F34" s="1"/>
      <c r="G34" s="1"/>
      <c r="H34" s="1"/>
      <c r="I34" s="1"/>
      <c r="J34" s="1" t="s">
        <v>631</v>
      </c>
      <c r="K34" s="1" t="s">
        <v>632</v>
      </c>
      <c r="L34" s="1" t="s">
        <v>161</v>
      </c>
      <c r="M34" s="1"/>
      <c r="N34" s="1"/>
      <c r="O34" t="s">
        <v>474</v>
      </c>
      <c r="R34" s="4" t="s">
        <v>289</v>
      </c>
      <c r="S34" s="4" t="s">
        <v>11</v>
      </c>
      <c r="T34" s="4" t="s">
        <v>633</v>
      </c>
      <c r="U34" s="4" t="s">
        <v>359</v>
      </c>
      <c r="V34" s="4" t="s">
        <v>161</v>
      </c>
      <c r="W34" s="4" t="s">
        <v>634</v>
      </c>
    </row>
    <row r="35" spans="2:23" ht="14.25">
      <c r="B35" s="1" t="s">
        <v>289</v>
      </c>
      <c r="C35" s="1" t="s">
        <v>635</v>
      </c>
      <c r="D35" s="1" t="s">
        <v>636</v>
      </c>
      <c r="E35" s="1" t="s">
        <v>161</v>
      </c>
      <c r="F35" s="1"/>
      <c r="G35" s="1"/>
      <c r="H35" s="1"/>
      <c r="I35" s="1"/>
      <c r="J35" s="1" t="s">
        <v>637</v>
      </c>
      <c r="K35" s="1" t="s">
        <v>638</v>
      </c>
      <c r="L35" s="1" t="s">
        <v>161</v>
      </c>
      <c r="M35" s="1"/>
      <c r="N35" s="1"/>
      <c r="O35" t="s">
        <v>474</v>
      </c>
      <c r="R35" s="4" t="s">
        <v>289</v>
      </c>
      <c r="S35" s="4" t="s">
        <v>11</v>
      </c>
      <c r="T35" s="4" t="s">
        <v>639</v>
      </c>
      <c r="U35" s="4" t="s">
        <v>359</v>
      </c>
      <c r="V35" s="4" t="s">
        <v>161</v>
      </c>
      <c r="W35" s="4" t="s">
        <v>640</v>
      </c>
    </row>
    <row r="36" spans="2:23" ht="14.25">
      <c r="B36" s="1" t="s">
        <v>289</v>
      </c>
      <c r="C36" s="1" t="s">
        <v>641</v>
      </c>
      <c r="D36" s="1" t="s">
        <v>642</v>
      </c>
      <c r="E36" s="1" t="s">
        <v>161</v>
      </c>
      <c r="F36" s="1"/>
      <c r="G36" s="1"/>
      <c r="H36" s="1"/>
      <c r="I36" s="1"/>
      <c r="J36" s="3" t="s">
        <v>643</v>
      </c>
      <c r="K36" s="1" t="s">
        <v>644</v>
      </c>
      <c r="L36" s="1" t="s">
        <v>161</v>
      </c>
      <c r="M36" s="1"/>
      <c r="N36" s="1"/>
      <c r="O36" t="s">
        <v>643</v>
      </c>
      <c r="R36" s="4" t="s">
        <v>289</v>
      </c>
      <c r="S36" s="4" t="s">
        <v>11</v>
      </c>
      <c r="T36" s="4" t="s">
        <v>645</v>
      </c>
      <c r="U36" s="4" t="s">
        <v>359</v>
      </c>
      <c r="V36" s="4" t="s">
        <v>161</v>
      </c>
      <c r="W36" s="4" t="s">
        <v>646</v>
      </c>
    </row>
    <row r="37" spans="2:23" ht="14.25">
      <c r="B37" s="1" t="s">
        <v>289</v>
      </c>
      <c r="C37" s="1" t="s">
        <v>647</v>
      </c>
      <c r="D37" s="1" t="s">
        <v>648</v>
      </c>
      <c r="E37" s="1" t="s">
        <v>161</v>
      </c>
      <c r="F37" s="1"/>
      <c r="G37" s="1"/>
      <c r="H37" s="1"/>
      <c r="I37" s="1"/>
      <c r="J37" s="1" t="s">
        <v>649</v>
      </c>
      <c r="K37" s="1" t="s">
        <v>650</v>
      </c>
      <c r="L37" s="1" t="s">
        <v>161</v>
      </c>
      <c r="M37" s="1"/>
      <c r="N37" s="1"/>
      <c r="O37" t="s">
        <v>474</v>
      </c>
      <c r="R37" s="4" t="s">
        <v>289</v>
      </c>
      <c r="S37" s="4" t="s">
        <v>11</v>
      </c>
      <c r="T37" s="4" t="s">
        <v>651</v>
      </c>
      <c r="U37" s="4" t="s">
        <v>359</v>
      </c>
      <c r="V37" s="4" t="s">
        <v>161</v>
      </c>
      <c r="W37" s="4" t="s">
        <v>652</v>
      </c>
    </row>
    <row r="38" spans="2:23" ht="14.25">
      <c r="B38" s="1" t="s">
        <v>289</v>
      </c>
      <c r="C38" s="1" t="s">
        <v>653</v>
      </c>
      <c r="D38" s="1" t="s">
        <v>654</v>
      </c>
      <c r="E38" s="1" t="s">
        <v>161</v>
      </c>
      <c r="F38" s="1"/>
      <c r="G38" s="1"/>
      <c r="H38" s="1"/>
      <c r="I38" s="1"/>
      <c r="J38" s="1" t="s">
        <v>655</v>
      </c>
      <c r="K38" s="1" t="s">
        <v>656</v>
      </c>
      <c r="L38" s="1" t="s">
        <v>161</v>
      </c>
      <c r="M38" s="1"/>
      <c r="N38" s="1"/>
      <c r="O38" t="s">
        <v>655</v>
      </c>
      <c r="R38" s="4" t="s">
        <v>289</v>
      </c>
      <c r="S38" s="4" t="s">
        <v>11</v>
      </c>
      <c r="T38" s="4" t="s">
        <v>657</v>
      </c>
      <c r="U38" s="4" t="s">
        <v>359</v>
      </c>
      <c r="V38" s="4" t="s">
        <v>161</v>
      </c>
      <c r="W38" s="4" t="s">
        <v>658</v>
      </c>
    </row>
    <row r="39" spans="2:23" ht="14.25">
      <c r="B39" s="1" t="s">
        <v>289</v>
      </c>
      <c r="C39" s="1" t="s">
        <v>659</v>
      </c>
      <c r="D39" s="1" t="s">
        <v>660</v>
      </c>
      <c r="E39" s="1" t="s">
        <v>161</v>
      </c>
      <c r="F39" s="1"/>
      <c r="G39" s="1"/>
      <c r="H39" s="1"/>
      <c r="I39" s="1"/>
      <c r="J39" s="1" t="s">
        <v>661</v>
      </c>
      <c r="K39" s="1" t="s">
        <v>662</v>
      </c>
      <c r="L39" s="1" t="s">
        <v>161</v>
      </c>
      <c r="M39" s="1"/>
      <c r="N39" s="1"/>
      <c r="O39" t="s">
        <v>474</v>
      </c>
      <c r="R39" s="4" t="s">
        <v>289</v>
      </c>
      <c r="S39" s="4" t="s">
        <v>11</v>
      </c>
      <c r="T39" s="4" t="s">
        <v>663</v>
      </c>
      <c r="U39" s="4" t="s">
        <v>359</v>
      </c>
      <c r="V39" s="4" t="s">
        <v>161</v>
      </c>
      <c r="W39" s="4" t="s">
        <v>664</v>
      </c>
    </row>
    <row r="40" spans="2:23" ht="14.25">
      <c r="B40" s="1" t="s">
        <v>289</v>
      </c>
      <c r="C40" s="1" t="s">
        <v>312</v>
      </c>
      <c r="D40" s="1" t="s">
        <v>665</v>
      </c>
      <c r="E40" s="1" t="s">
        <v>161</v>
      </c>
      <c r="F40" s="1"/>
      <c r="G40" s="1"/>
      <c r="H40" s="1"/>
      <c r="I40" s="1"/>
      <c r="J40" s="1" t="s">
        <v>666</v>
      </c>
      <c r="K40" s="1" t="s">
        <v>667</v>
      </c>
      <c r="L40" s="1" t="s">
        <v>161</v>
      </c>
      <c r="M40" s="1"/>
      <c r="N40" s="1"/>
      <c r="O40" t="s">
        <v>474</v>
      </c>
      <c r="R40" s="4" t="s">
        <v>289</v>
      </c>
      <c r="S40" s="4" t="s">
        <v>11</v>
      </c>
      <c r="T40" s="4" t="s">
        <v>668</v>
      </c>
      <c r="U40" s="4" t="s">
        <v>359</v>
      </c>
      <c r="V40" s="4" t="s">
        <v>161</v>
      </c>
      <c r="W40" s="4" t="s">
        <v>669</v>
      </c>
    </row>
    <row r="41" spans="2:23" ht="14.25">
      <c r="B41" s="1" t="s">
        <v>289</v>
      </c>
      <c r="C41" s="1" t="s">
        <v>670</v>
      </c>
      <c r="D41" s="1" t="s">
        <v>671</v>
      </c>
      <c r="E41" s="1" t="s">
        <v>161</v>
      </c>
      <c r="F41" s="1"/>
      <c r="G41" s="1"/>
      <c r="H41" s="1"/>
      <c r="I41" s="1"/>
      <c r="J41" s="1" t="s">
        <v>672</v>
      </c>
      <c r="K41" s="1" t="s">
        <v>673</v>
      </c>
      <c r="L41" s="1" t="s">
        <v>161</v>
      </c>
      <c r="M41" s="1"/>
      <c r="N41" s="1"/>
      <c r="O41" t="s">
        <v>474</v>
      </c>
      <c r="R41" s="4" t="s">
        <v>289</v>
      </c>
      <c r="S41" s="4" t="s">
        <v>11</v>
      </c>
      <c r="T41" s="4" t="s">
        <v>674</v>
      </c>
      <c r="U41" s="4" t="s">
        <v>359</v>
      </c>
      <c r="V41" s="4" t="s">
        <v>161</v>
      </c>
      <c r="W41" s="4" t="s">
        <v>675</v>
      </c>
    </row>
    <row r="42" spans="2:23" ht="14.25">
      <c r="B42" s="1" t="s">
        <v>289</v>
      </c>
      <c r="C42" s="1" t="s">
        <v>676</v>
      </c>
      <c r="D42" s="1" t="s">
        <v>677</v>
      </c>
      <c r="E42" s="1" t="s">
        <v>161</v>
      </c>
      <c r="F42" s="1"/>
      <c r="G42" s="1"/>
      <c r="H42" s="1"/>
      <c r="I42" s="1"/>
      <c r="J42" s="1" t="s">
        <v>678</v>
      </c>
      <c r="K42" s="1" t="s">
        <v>679</v>
      </c>
      <c r="L42" s="1" t="s">
        <v>161</v>
      </c>
      <c r="M42" s="1"/>
      <c r="N42" s="1"/>
      <c r="O42" t="s">
        <v>678</v>
      </c>
      <c r="R42" s="4" t="s">
        <v>289</v>
      </c>
      <c r="S42" s="4" t="s">
        <v>11</v>
      </c>
      <c r="T42" s="4" t="s">
        <v>680</v>
      </c>
      <c r="U42" s="4" t="s">
        <v>359</v>
      </c>
      <c r="V42" s="4" t="s">
        <v>161</v>
      </c>
      <c r="W42" s="4" t="s">
        <v>681</v>
      </c>
    </row>
    <row r="43" spans="2:23" ht="14.25">
      <c r="B43" s="1" t="s">
        <v>289</v>
      </c>
      <c r="C43" s="1" t="s">
        <v>682</v>
      </c>
      <c r="D43" s="1" t="s">
        <v>683</v>
      </c>
      <c r="E43" s="1" t="s">
        <v>161</v>
      </c>
      <c r="F43" s="1"/>
      <c r="G43" s="1"/>
      <c r="H43" s="1"/>
      <c r="I43" s="1"/>
      <c r="J43" s="1" t="s">
        <v>684</v>
      </c>
      <c r="K43" s="1" t="s">
        <v>685</v>
      </c>
      <c r="L43" s="1" t="s">
        <v>161</v>
      </c>
      <c r="M43" s="1"/>
      <c r="N43" s="1"/>
      <c r="O43" t="s">
        <v>684</v>
      </c>
      <c r="R43" s="4" t="s">
        <v>289</v>
      </c>
      <c r="S43" s="4" t="s">
        <v>11</v>
      </c>
      <c r="T43" s="4" t="s">
        <v>686</v>
      </c>
      <c r="U43" s="4" t="s">
        <v>359</v>
      </c>
      <c r="V43" s="4" t="s">
        <v>161</v>
      </c>
      <c r="W43" s="4" t="s">
        <v>687</v>
      </c>
    </row>
    <row r="44" spans="2:23" ht="14.25">
      <c r="B44" s="1" t="s">
        <v>289</v>
      </c>
      <c r="C44" s="1" t="s">
        <v>688</v>
      </c>
      <c r="D44" s="1" t="s">
        <v>689</v>
      </c>
      <c r="E44" s="1" t="s">
        <v>161</v>
      </c>
      <c r="F44" s="1"/>
      <c r="G44" s="1"/>
      <c r="H44" s="1"/>
      <c r="I44" s="1"/>
      <c r="J44" s="1" t="s">
        <v>690</v>
      </c>
      <c r="K44" s="1" t="s">
        <v>691</v>
      </c>
      <c r="L44" s="1" t="s">
        <v>161</v>
      </c>
      <c r="M44" s="1" t="s">
        <v>359</v>
      </c>
      <c r="N44" s="1" t="s">
        <v>360</v>
      </c>
      <c r="O44" t="s">
        <v>690</v>
      </c>
      <c r="R44" s="4" t="s">
        <v>289</v>
      </c>
      <c r="S44" s="4" t="s">
        <v>11</v>
      </c>
      <c r="T44" s="4" t="s">
        <v>692</v>
      </c>
      <c r="U44" s="4" t="s">
        <v>359</v>
      </c>
      <c r="V44" s="4" t="s">
        <v>161</v>
      </c>
      <c r="W44" s="4" t="s">
        <v>693</v>
      </c>
    </row>
    <row r="45" spans="2:23" ht="14.25">
      <c r="B45" s="1" t="s">
        <v>289</v>
      </c>
      <c r="C45" s="1" t="s">
        <v>694</v>
      </c>
      <c r="D45" s="1" t="s">
        <v>695</v>
      </c>
      <c r="E45" s="1" t="s">
        <v>161</v>
      </c>
      <c r="F45" s="1"/>
      <c r="G45" s="1"/>
      <c r="H45" s="1"/>
      <c r="I45" s="1"/>
      <c r="J45" s="1" t="s">
        <v>696</v>
      </c>
      <c r="K45" s="1" t="s">
        <v>697</v>
      </c>
      <c r="L45" s="1" t="s">
        <v>161</v>
      </c>
      <c r="M45" s="1"/>
      <c r="N45" s="1"/>
      <c r="O45" t="s">
        <v>696</v>
      </c>
      <c r="R45" s="4" t="s">
        <v>289</v>
      </c>
      <c r="S45" s="4" t="s">
        <v>11</v>
      </c>
      <c r="T45" s="4" t="s">
        <v>698</v>
      </c>
      <c r="U45" s="4" t="s">
        <v>359</v>
      </c>
      <c r="V45" s="4" t="s">
        <v>161</v>
      </c>
      <c r="W45" s="4" t="s">
        <v>699</v>
      </c>
    </row>
    <row r="46" spans="2:23" ht="14.25">
      <c r="B46" s="1" t="s">
        <v>289</v>
      </c>
      <c r="C46" s="1" t="s">
        <v>700</v>
      </c>
      <c r="D46" s="1" t="s">
        <v>701</v>
      </c>
      <c r="E46" s="1" t="s">
        <v>161</v>
      </c>
      <c r="F46" s="1"/>
      <c r="G46" s="1"/>
      <c r="H46" s="1"/>
      <c r="I46" s="1"/>
      <c r="J46" s="1" t="s">
        <v>702</v>
      </c>
      <c r="K46" s="1" t="s">
        <v>703</v>
      </c>
      <c r="L46" s="1" t="s">
        <v>161</v>
      </c>
      <c r="M46" s="1" t="s">
        <v>139</v>
      </c>
      <c r="N46" s="1" t="s">
        <v>493</v>
      </c>
      <c r="O46" t="s">
        <v>702</v>
      </c>
      <c r="R46" s="4" t="s">
        <v>289</v>
      </c>
      <c r="S46" s="4" t="s">
        <v>11</v>
      </c>
      <c r="T46" s="4" t="s">
        <v>704</v>
      </c>
      <c r="U46" s="4" t="s">
        <v>359</v>
      </c>
      <c r="V46" s="4" t="s">
        <v>161</v>
      </c>
      <c r="W46" s="4" t="s">
        <v>705</v>
      </c>
    </row>
    <row r="47" spans="2:23" ht="14.25">
      <c r="B47" s="1" t="s">
        <v>289</v>
      </c>
      <c r="C47" s="1" t="s">
        <v>706</v>
      </c>
      <c r="D47" s="1" t="s">
        <v>707</v>
      </c>
      <c r="E47" s="1" t="s">
        <v>161</v>
      </c>
      <c r="F47" s="1"/>
      <c r="G47" s="1"/>
      <c r="H47" s="1"/>
      <c r="I47" s="1"/>
      <c r="J47" s="1" t="s">
        <v>708</v>
      </c>
      <c r="K47" s="1" t="s">
        <v>709</v>
      </c>
      <c r="L47" s="1" t="s">
        <v>161</v>
      </c>
      <c r="M47" s="1"/>
      <c r="N47" s="1"/>
      <c r="O47" t="s">
        <v>708</v>
      </c>
      <c r="R47" s="4" t="s">
        <v>289</v>
      </c>
      <c r="S47" s="4" t="s">
        <v>11</v>
      </c>
      <c r="T47" s="4" t="s">
        <v>710</v>
      </c>
      <c r="U47" s="4" t="s">
        <v>359</v>
      </c>
      <c r="V47" s="4" t="s">
        <v>161</v>
      </c>
      <c r="W47" s="4" t="s">
        <v>711</v>
      </c>
    </row>
    <row r="48" spans="2:23" ht="14.25">
      <c r="B48" s="1"/>
      <c r="C48" s="1"/>
      <c r="D48" s="1"/>
      <c r="E48" s="1"/>
      <c r="F48" s="1"/>
      <c r="G48" s="1"/>
      <c r="H48" s="1"/>
      <c r="I48" s="1"/>
      <c r="J48" s="1" t="s">
        <v>712</v>
      </c>
      <c r="K48" s="1" t="s">
        <v>713</v>
      </c>
      <c r="L48" s="1" t="s">
        <v>161</v>
      </c>
      <c r="M48" s="1"/>
      <c r="N48" s="1"/>
      <c r="O48" t="s">
        <v>712</v>
      </c>
      <c r="R48" s="4" t="s">
        <v>289</v>
      </c>
      <c r="S48" s="4" t="s">
        <v>11</v>
      </c>
      <c r="T48" s="4" t="s">
        <v>714</v>
      </c>
      <c r="U48" s="4" t="s">
        <v>359</v>
      </c>
      <c r="V48" s="4" t="s">
        <v>161</v>
      </c>
      <c r="W48" s="4" t="s">
        <v>715</v>
      </c>
    </row>
    <row r="49" spans="2:23" ht="14.25">
      <c r="B49" s="1"/>
      <c r="C49" s="1"/>
      <c r="D49" s="1"/>
      <c r="E49" s="1"/>
      <c r="F49" s="1"/>
      <c r="G49" s="1"/>
      <c r="H49" s="1"/>
      <c r="I49" s="1"/>
      <c r="J49" s="1" t="s">
        <v>446</v>
      </c>
      <c r="K49" s="1" t="s">
        <v>716</v>
      </c>
      <c r="L49" s="1" t="s">
        <v>161</v>
      </c>
      <c r="M49" s="1"/>
      <c r="N49" s="1"/>
      <c r="O49" t="s">
        <v>474</v>
      </c>
      <c r="R49" s="4" t="s">
        <v>289</v>
      </c>
      <c r="S49" s="4" t="s">
        <v>11</v>
      </c>
      <c r="T49" s="4" t="s">
        <v>717</v>
      </c>
      <c r="U49" s="4" t="s">
        <v>359</v>
      </c>
      <c r="V49" s="4" t="s">
        <v>161</v>
      </c>
      <c r="W49" s="4" t="s">
        <v>718</v>
      </c>
    </row>
    <row r="50" spans="2:23" ht="14.25">
      <c r="B50" s="1"/>
      <c r="C50" s="1"/>
      <c r="D50" s="1"/>
      <c r="E50" s="1"/>
      <c r="F50" s="1"/>
      <c r="G50" s="1"/>
      <c r="H50" s="1"/>
      <c r="I50" s="1"/>
      <c r="J50" s="1" t="s">
        <v>719</v>
      </c>
      <c r="K50" s="1" t="s">
        <v>720</v>
      </c>
      <c r="L50" s="1" t="s">
        <v>161</v>
      </c>
      <c r="M50" s="1"/>
      <c r="N50" s="1"/>
      <c r="O50" t="s">
        <v>719</v>
      </c>
      <c r="R50" s="4" t="s">
        <v>289</v>
      </c>
      <c r="S50" s="4" t="s">
        <v>11</v>
      </c>
      <c r="T50" s="4" t="s">
        <v>721</v>
      </c>
      <c r="U50" s="4" t="s">
        <v>359</v>
      </c>
      <c r="V50" s="4" t="s">
        <v>161</v>
      </c>
      <c r="W50" s="4" t="s">
        <v>722</v>
      </c>
    </row>
    <row r="51" spans="2:23" ht="14.25">
      <c r="B51" s="1"/>
      <c r="C51" s="1"/>
      <c r="D51" s="1"/>
      <c r="E51" s="1"/>
      <c r="F51" s="1"/>
      <c r="G51" s="1"/>
      <c r="H51" s="1"/>
      <c r="I51" s="1"/>
      <c r="J51" s="1" t="s">
        <v>723</v>
      </c>
      <c r="K51" s="1" t="s">
        <v>724</v>
      </c>
      <c r="L51" s="1" t="s">
        <v>161</v>
      </c>
      <c r="M51" s="1"/>
      <c r="N51" s="1"/>
      <c r="O51" t="s">
        <v>723</v>
      </c>
      <c r="R51" s="4" t="s">
        <v>289</v>
      </c>
      <c r="S51" s="4" t="s">
        <v>11</v>
      </c>
      <c r="T51" s="4" t="s">
        <v>725</v>
      </c>
      <c r="U51" s="4" t="s">
        <v>359</v>
      </c>
      <c r="V51" s="4" t="s">
        <v>161</v>
      </c>
      <c r="W51" s="4" t="s">
        <v>726</v>
      </c>
    </row>
    <row r="52" spans="2:23" ht="14.25">
      <c r="B52" s="1"/>
      <c r="C52" s="1"/>
      <c r="D52" s="1"/>
      <c r="E52" s="1"/>
      <c r="F52" s="1"/>
      <c r="G52" s="1"/>
      <c r="H52" s="1"/>
      <c r="I52" s="1"/>
      <c r="J52" s="1" t="s">
        <v>727</v>
      </c>
      <c r="K52" s="1" t="s">
        <v>728</v>
      </c>
      <c r="L52" s="1" t="s">
        <v>161</v>
      </c>
      <c r="M52" s="1"/>
      <c r="N52" s="1"/>
      <c r="O52" t="s">
        <v>727</v>
      </c>
      <c r="R52" s="4" t="s">
        <v>289</v>
      </c>
      <c r="S52" s="4" t="s">
        <v>11</v>
      </c>
      <c r="T52" s="4" t="s">
        <v>729</v>
      </c>
      <c r="U52" s="4" t="s">
        <v>359</v>
      </c>
      <c r="V52" s="4" t="s">
        <v>161</v>
      </c>
      <c r="W52" s="4" t="s">
        <v>730</v>
      </c>
    </row>
    <row r="53" spans="2:23" ht="14.25">
      <c r="B53" s="1"/>
      <c r="C53" s="1"/>
      <c r="D53" s="1"/>
      <c r="E53" s="1"/>
      <c r="F53" s="1"/>
      <c r="G53" s="1"/>
      <c r="H53" s="1"/>
      <c r="I53" s="1"/>
      <c r="J53" s="1" t="s">
        <v>731</v>
      </c>
      <c r="K53" s="1" t="s">
        <v>732</v>
      </c>
      <c r="L53" s="1" t="s">
        <v>161</v>
      </c>
      <c r="M53" s="1"/>
      <c r="N53" s="1"/>
      <c r="O53" t="s">
        <v>731</v>
      </c>
      <c r="R53" s="4" t="s">
        <v>289</v>
      </c>
      <c r="S53" s="4" t="s">
        <v>11</v>
      </c>
      <c r="T53" s="4" t="s">
        <v>733</v>
      </c>
      <c r="U53" s="4" t="s">
        <v>359</v>
      </c>
      <c r="V53" s="4" t="s">
        <v>161</v>
      </c>
      <c r="W53" s="4" t="s">
        <v>734</v>
      </c>
    </row>
    <row r="54" spans="2:23" ht="14.25">
      <c r="B54" s="1"/>
      <c r="C54" s="1"/>
      <c r="D54" s="1"/>
      <c r="E54" s="1"/>
      <c r="F54" s="1"/>
      <c r="G54" s="1"/>
      <c r="H54" s="1"/>
      <c r="I54" s="1"/>
      <c r="J54" s="1" t="s">
        <v>735</v>
      </c>
      <c r="K54" s="1" t="s">
        <v>736</v>
      </c>
      <c r="L54" s="1" t="s">
        <v>161</v>
      </c>
      <c r="M54" s="1"/>
      <c r="N54" s="1"/>
      <c r="O54" t="s">
        <v>735</v>
      </c>
      <c r="R54" s="4" t="s">
        <v>289</v>
      </c>
      <c r="S54" s="4" t="s">
        <v>11</v>
      </c>
      <c r="T54" s="4" t="s">
        <v>737</v>
      </c>
      <c r="U54" s="4" t="s">
        <v>359</v>
      </c>
      <c r="V54" s="4" t="s">
        <v>161</v>
      </c>
      <c r="W54" s="4" t="s">
        <v>738</v>
      </c>
    </row>
    <row r="55" spans="2:23" ht="14.25">
      <c r="B55" s="1"/>
      <c r="C55" s="1"/>
      <c r="D55" s="1"/>
      <c r="E55" s="1"/>
      <c r="F55" s="1"/>
      <c r="G55" s="1"/>
      <c r="H55" s="1"/>
      <c r="I55" s="1"/>
      <c r="J55" s="1" t="s">
        <v>739</v>
      </c>
      <c r="K55" s="1" t="s">
        <v>740</v>
      </c>
      <c r="L55" s="1" t="s">
        <v>161</v>
      </c>
      <c r="M55" s="1"/>
      <c r="N55" s="1"/>
      <c r="O55" t="s">
        <v>474</v>
      </c>
      <c r="R55" s="4" t="s">
        <v>289</v>
      </c>
      <c r="S55" s="4" t="s">
        <v>11</v>
      </c>
      <c r="T55" s="4" t="s">
        <v>741</v>
      </c>
      <c r="U55" s="4" t="s">
        <v>359</v>
      </c>
      <c r="V55" s="4" t="s">
        <v>161</v>
      </c>
      <c r="W55" s="4" t="s">
        <v>742</v>
      </c>
    </row>
    <row r="56" spans="2:23" ht="14.25">
      <c r="B56" s="1"/>
      <c r="C56" s="1"/>
      <c r="D56" s="1"/>
      <c r="E56" s="1"/>
      <c r="F56" s="1"/>
      <c r="G56" s="1"/>
      <c r="H56" s="1"/>
      <c r="I56" s="1"/>
      <c r="J56" s="1" t="s">
        <v>743</v>
      </c>
      <c r="K56" s="1" t="s">
        <v>744</v>
      </c>
      <c r="L56" s="1" t="s">
        <v>161</v>
      </c>
      <c r="M56" s="1"/>
      <c r="N56" s="1"/>
      <c r="O56" t="s">
        <v>743</v>
      </c>
      <c r="R56" s="4" t="s">
        <v>289</v>
      </c>
      <c r="S56" s="4" t="s">
        <v>11</v>
      </c>
      <c r="T56" s="4" t="s">
        <v>745</v>
      </c>
      <c r="U56" s="4" t="s">
        <v>359</v>
      </c>
      <c r="V56" s="4" t="s">
        <v>161</v>
      </c>
      <c r="W56" s="4" t="s">
        <v>746</v>
      </c>
    </row>
    <row r="57" spans="2:23" ht="14.25">
      <c r="B57" s="1"/>
      <c r="C57" s="1"/>
      <c r="D57" s="1"/>
      <c r="E57" s="1"/>
      <c r="F57" s="1"/>
      <c r="G57" s="1"/>
      <c r="H57" s="1"/>
      <c r="I57" s="1"/>
      <c r="J57" s="1" t="s">
        <v>747</v>
      </c>
      <c r="K57" s="1" t="s">
        <v>748</v>
      </c>
      <c r="L57" s="1" t="s">
        <v>161</v>
      </c>
      <c r="M57" s="1"/>
      <c r="N57" s="1"/>
      <c r="O57" t="s">
        <v>747</v>
      </c>
      <c r="R57" s="4" t="s">
        <v>289</v>
      </c>
      <c r="S57" s="4" t="s">
        <v>11</v>
      </c>
      <c r="T57" s="4" t="s">
        <v>749</v>
      </c>
      <c r="U57" s="4" t="s">
        <v>359</v>
      </c>
      <c r="V57" s="4" t="s">
        <v>161</v>
      </c>
      <c r="W57" s="4" t="s">
        <v>750</v>
      </c>
    </row>
    <row r="58" spans="2:23" ht="14.25">
      <c r="B58" s="1"/>
      <c r="C58" s="1"/>
      <c r="D58" s="1"/>
      <c r="E58" s="1"/>
      <c r="F58" s="1"/>
      <c r="G58" s="1"/>
      <c r="H58" s="1"/>
      <c r="I58" s="1"/>
      <c r="J58" s="1" t="s">
        <v>751</v>
      </c>
      <c r="K58" s="1" t="s">
        <v>752</v>
      </c>
      <c r="L58" s="1" t="s">
        <v>161</v>
      </c>
      <c r="M58" s="1"/>
      <c r="N58" s="1"/>
      <c r="O58" t="s">
        <v>474</v>
      </c>
      <c r="R58" s="4" t="s">
        <v>289</v>
      </c>
      <c r="S58" s="4" t="s">
        <v>11</v>
      </c>
      <c r="T58" s="4" t="s">
        <v>753</v>
      </c>
      <c r="U58" s="4" t="s">
        <v>359</v>
      </c>
      <c r="V58" s="4" t="s">
        <v>161</v>
      </c>
      <c r="W58" s="4" t="s">
        <v>754</v>
      </c>
    </row>
    <row r="59" spans="2:23" ht="14.25">
      <c r="B59" s="1"/>
      <c r="C59" s="1"/>
      <c r="D59" s="1"/>
      <c r="E59" s="1"/>
      <c r="F59" s="1"/>
      <c r="G59" s="1"/>
      <c r="H59" s="1"/>
      <c r="I59" s="1"/>
      <c r="J59" s="1" t="s">
        <v>755</v>
      </c>
      <c r="K59" s="1" t="s">
        <v>756</v>
      </c>
      <c r="L59" s="1" t="s">
        <v>161</v>
      </c>
      <c r="M59" s="1" t="s">
        <v>359</v>
      </c>
      <c r="N59" s="1" t="s">
        <v>360</v>
      </c>
      <c r="O59" t="s">
        <v>755</v>
      </c>
      <c r="R59" s="4" t="s">
        <v>289</v>
      </c>
      <c r="S59" s="4" t="s">
        <v>11</v>
      </c>
      <c r="T59" s="4" t="s">
        <v>757</v>
      </c>
      <c r="U59" s="4" t="s">
        <v>359</v>
      </c>
      <c r="V59" s="4" t="s">
        <v>161</v>
      </c>
      <c r="W59" s="4" t="s">
        <v>758</v>
      </c>
    </row>
    <row r="60" spans="2:23" ht="14.25">
      <c r="B60" s="1"/>
      <c r="C60" s="1"/>
      <c r="D60" s="1"/>
      <c r="E60" s="1"/>
      <c r="F60" s="1"/>
      <c r="G60" s="1"/>
      <c r="H60" s="1"/>
      <c r="I60" s="1"/>
      <c r="J60" s="1" t="s">
        <v>759</v>
      </c>
      <c r="K60" s="1" t="s">
        <v>760</v>
      </c>
      <c r="L60" s="1" t="s">
        <v>161</v>
      </c>
      <c r="M60" s="1"/>
      <c r="N60" s="1"/>
      <c r="O60" t="s">
        <v>759</v>
      </c>
      <c r="R60" s="4" t="s">
        <v>289</v>
      </c>
      <c r="S60" s="4" t="s">
        <v>11</v>
      </c>
      <c r="T60" s="4" t="s">
        <v>761</v>
      </c>
      <c r="U60" s="4" t="s">
        <v>359</v>
      </c>
      <c r="V60" s="4" t="s">
        <v>161</v>
      </c>
      <c r="W60" s="4" t="s">
        <v>762</v>
      </c>
    </row>
    <row r="61" spans="2:23" ht="14.25">
      <c r="B61" s="1"/>
      <c r="C61" s="1"/>
      <c r="D61" s="1"/>
      <c r="E61" s="1"/>
      <c r="F61" s="1"/>
      <c r="G61" s="1"/>
      <c r="H61" s="1"/>
      <c r="I61" s="1"/>
      <c r="J61" s="1" t="s">
        <v>763</v>
      </c>
      <c r="K61" s="1" t="s">
        <v>764</v>
      </c>
      <c r="L61" s="1" t="s">
        <v>161</v>
      </c>
      <c r="M61" s="1" t="s">
        <v>139</v>
      </c>
      <c r="N61" s="1" t="s">
        <v>493</v>
      </c>
      <c r="O61" t="s">
        <v>763</v>
      </c>
      <c r="R61" s="4" t="s">
        <v>289</v>
      </c>
      <c r="S61" s="4" t="s">
        <v>11</v>
      </c>
      <c r="T61" s="4" t="s">
        <v>765</v>
      </c>
      <c r="U61" s="4" t="s">
        <v>359</v>
      </c>
      <c r="V61" s="4" t="s">
        <v>161</v>
      </c>
      <c r="W61" s="4" t="s">
        <v>766</v>
      </c>
    </row>
    <row r="62" spans="2:23" ht="14.25">
      <c r="B62" s="1"/>
      <c r="C62" s="1"/>
      <c r="D62" s="1"/>
      <c r="E62" s="1"/>
      <c r="F62" s="1"/>
      <c r="G62" s="1"/>
      <c r="H62" s="1"/>
      <c r="I62" s="1"/>
      <c r="J62" s="1" t="s">
        <v>767</v>
      </c>
      <c r="K62" s="1" t="s">
        <v>768</v>
      </c>
      <c r="L62" s="1" t="s">
        <v>161</v>
      </c>
      <c r="M62" s="1"/>
      <c r="N62" s="1"/>
      <c r="O62" t="s">
        <v>474</v>
      </c>
      <c r="R62" s="4" t="s">
        <v>289</v>
      </c>
      <c r="S62" s="4" t="s">
        <v>11</v>
      </c>
      <c r="T62" s="4" t="s">
        <v>769</v>
      </c>
      <c r="U62" s="4" t="s">
        <v>359</v>
      </c>
      <c r="V62" s="4" t="s">
        <v>161</v>
      </c>
      <c r="W62" s="4" t="s">
        <v>770</v>
      </c>
    </row>
    <row r="63" spans="2:23" ht="14.25">
      <c r="B63" s="1"/>
      <c r="C63" s="1"/>
      <c r="D63" s="1"/>
      <c r="E63" s="1"/>
      <c r="F63" s="1"/>
      <c r="G63" s="1"/>
      <c r="H63" s="1"/>
      <c r="I63" s="1"/>
      <c r="J63" s="1" t="s">
        <v>771</v>
      </c>
      <c r="K63" s="1" t="s">
        <v>772</v>
      </c>
      <c r="L63" s="1" t="s">
        <v>161</v>
      </c>
      <c r="M63" s="1"/>
      <c r="N63" s="1"/>
      <c r="O63" t="s">
        <v>771</v>
      </c>
      <c r="R63" s="4" t="s">
        <v>289</v>
      </c>
      <c r="S63" s="4" t="s">
        <v>11</v>
      </c>
      <c r="T63" s="4" t="s">
        <v>773</v>
      </c>
      <c r="U63" s="4" t="s">
        <v>359</v>
      </c>
      <c r="V63" s="4" t="s">
        <v>161</v>
      </c>
      <c r="W63" s="4" t="s">
        <v>774</v>
      </c>
    </row>
    <row r="64" spans="2:23" ht="14.25">
      <c r="B64" s="1"/>
      <c r="C64" s="1"/>
      <c r="D64" s="1"/>
      <c r="E64" s="1"/>
      <c r="F64" s="1"/>
      <c r="G64" s="1"/>
      <c r="H64" s="1"/>
      <c r="I64" s="1"/>
      <c r="J64" s="1" t="s">
        <v>775</v>
      </c>
      <c r="K64" s="1" t="s">
        <v>776</v>
      </c>
      <c r="L64" s="1" t="s">
        <v>161</v>
      </c>
      <c r="M64" s="1"/>
      <c r="N64" s="1"/>
      <c r="O64" t="s">
        <v>775</v>
      </c>
      <c r="R64" s="4" t="s">
        <v>289</v>
      </c>
      <c r="S64" s="4" t="s">
        <v>11</v>
      </c>
      <c r="T64" s="4" t="s">
        <v>777</v>
      </c>
      <c r="U64" s="4" t="s">
        <v>359</v>
      </c>
      <c r="V64" s="4" t="s">
        <v>161</v>
      </c>
      <c r="W64" s="4" t="s">
        <v>778</v>
      </c>
    </row>
    <row r="65" spans="2:23" ht="14.25">
      <c r="B65" s="1"/>
      <c r="C65" s="1"/>
      <c r="D65" s="1"/>
      <c r="E65" s="1"/>
      <c r="F65" s="1"/>
      <c r="G65" s="1"/>
      <c r="H65" s="1"/>
      <c r="I65" s="1"/>
      <c r="J65" s="1" t="s">
        <v>779</v>
      </c>
      <c r="K65" s="1" t="s">
        <v>780</v>
      </c>
      <c r="L65" s="1" t="s">
        <v>161</v>
      </c>
      <c r="M65" s="1"/>
      <c r="N65" s="1"/>
      <c r="O65" t="s">
        <v>474</v>
      </c>
      <c r="R65" s="4" t="s">
        <v>289</v>
      </c>
      <c r="S65" s="4" t="s">
        <v>11</v>
      </c>
      <c r="T65" s="4" t="s">
        <v>781</v>
      </c>
      <c r="U65" s="4" t="s">
        <v>359</v>
      </c>
      <c r="V65" s="4" t="s">
        <v>161</v>
      </c>
      <c r="W65" s="4" t="s">
        <v>782</v>
      </c>
    </row>
    <row r="66" spans="2:23" ht="14.25">
      <c r="B66" s="1"/>
      <c r="C66" s="1"/>
      <c r="D66" s="1"/>
      <c r="E66" s="1"/>
      <c r="F66" s="1"/>
      <c r="G66" s="1"/>
      <c r="H66" s="1"/>
      <c r="I66" s="1"/>
      <c r="J66" s="1" t="s">
        <v>783</v>
      </c>
      <c r="K66" s="1" t="s">
        <v>784</v>
      </c>
      <c r="L66" s="1" t="s">
        <v>161</v>
      </c>
      <c r="M66" s="1"/>
      <c r="N66" s="1"/>
      <c r="O66" t="s">
        <v>783</v>
      </c>
      <c r="R66" s="4" t="s">
        <v>289</v>
      </c>
      <c r="S66" s="4" t="s">
        <v>11</v>
      </c>
      <c r="T66" s="4" t="s">
        <v>785</v>
      </c>
      <c r="U66" s="4" t="s">
        <v>359</v>
      </c>
      <c r="V66" s="4" t="s">
        <v>161</v>
      </c>
      <c r="W66" s="4" t="s">
        <v>786</v>
      </c>
    </row>
    <row r="67" spans="2:23" ht="14.25">
      <c r="B67" s="1"/>
      <c r="C67" s="1"/>
      <c r="D67" s="1"/>
      <c r="E67" s="1"/>
      <c r="F67" s="1"/>
      <c r="G67" s="1"/>
      <c r="H67" s="1"/>
      <c r="I67" s="1"/>
      <c r="J67" s="1" t="s">
        <v>787</v>
      </c>
      <c r="K67" s="1" t="s">
        <v>788</v>
      </c>
      <c r="L67" s="1" t="s">
        <v>161</v>
      </c>
      <c r="M67" s="1"/>
      <c r="N67" s="1"/>
      <c r="O67" t="s">
        <v>474</v>
      </c>
      <c r="R67" s="4" t="s">
        <v>289</v>
      </c>
      <c r="S67" s="4" t="s">
        <v>11</v>
      </c>
      <c r="T67" s="4" t="s">
        <v>789</v>
      </c>
      <c r="U67" s="4" t="s">
        <v>359</v>
      </c>
      <c r="V67" s="4" t="s">
        <v>161</v>
      </c>
      <c r="W67" s="4" t="s">
        <v>790</v>
      </c>
    </row>
    <row r="68" spans="2:23" ht="14.25">
      <c r="B68" s="1"/>
      <c r="C68" s="1"/>
      <c r="D68" s="1"/>
      <c r="E68" s="1"/>
      <c r="F68" s="1"/>
      <c r="G68" s="1"/>
      <c r="H68" s="1"/>
      <c r="I68" s="1"/>
      <c r="J68" s="1" t="s">
        <v>791</v>
      </c>
      <c r="K68" s="1" t="s">
        <v>792</v>
      </c>
      <c r="L68" s="1" t="s">
        <v>161</v>
      </c>
      <c r="M68" s="1"/>
      <c r="N68" s="1"/>
      <c r="O68" t="s">
        <v>474</v>
      </c>
      <c r="R68" s="4" t="s">
        <v>289</v>
      </c>
      <c r="S68" s="4" t="s">
        <v>11</v>
      </c>
      <c r="T68" s="4" t="s">
        <v>793</v>
      </c>
      <c r="U68" s="4" t="s">
        <v>359</v>
      </c>
      <c r="V68" s="4" t="s">
        <v>161</v>
      </c>
      <c r="W68" s="4" t="s">
        <v>794</v>
      </c>
    </row>
    <row r="69" spans="2:23" ht="14.25">
      <c r="B69" s="1"/>
      <c r="C69" s="1"/>
      <c r="D69" s="1"/>
      <c r="E69" s="1"/>
      <c r="F69" s="1"/>
      <c r="G69" s="1"/>
      <c r="H69" s="1"/>
      <c r="I69" s="1"/>
      <c r="J69" s="1" t="s">
        <v>795</v>
      </c>
      <c r="K69" s="1" t="s">
        <v>796</v>
      </c>
      <c r="L69" s="1" t="s">
        <v>161</v>
      </c>
      <c r="M69" s="1"/>
      <c r="N69" s="1"/>
      <c r="O69" t="s">
        <v>795</v>
      </c>
      <c r="R69" s="4" t="s">
        <v>289</v>
      </c>
      <c r="S69" s="4" t="s">
        <v>11</v>
      </c>
      <c r="T69" s="4" t="s">
        <v>797</v>
      </c>
      <c r="U69" s="4" t="s">
        <v>359</v>
      </c>
      <c r="V69" s="4" t="s">
        <v>161</v>
      </c>
      <c r="W69" s="4" t="s">
        <v>798</v>
      </c>
    </row>
    <row r="70" spans="2:23" ht="14.25">
      <c r="B70" s="1"/>
      <c r="C70" s="1"/>
      <c r="D70" s="1"/>
      <c r="E70" s="1"/>
      <c r="F70" s="1"/>
      <c r="G70" s="1"/>
      <c r="H70" s="1"/>
      <c r="I70" s="1"/>
      <c r="J70" s="1" t="s">
        <v>799</v>
      </c>
      <c r="K70" s="1" t="s">
        <v>800</v>
      </c>
      <c r="L70" s="1" t="s">
        <v>161</v>
      </c>
      <c r="M70" s="1"/>
      <c r="N70" s="1"/>
      <c r="O70" t="s">
        <v>474</v>
      </c>
      <c r="R70" s="4" t="s">
        <v>289</v>
      </c>
      <c r="S70" s="4" t="s">
        <v>11</v>
      </c>
      <c r="T70" s="4" t="s">
        <v>801</v>
      </c>
      <c r="U70" s="4" t="s">
        <v>359</v>
      </c>
      <c r="V70" s="4" t="s">
        <v>161</v>
      </c>
      <c r="W70" s="4" t="s">
        <v>802</v>
      </c>
    </row>
    <row r="71" spans="2:23" ht="14.25">
      <c r="B71" s="1"/>
      <c r="C71" s="1"/>
      <c r="D71" s="1"/>
      <c r="E71" s="1"/>
      <c r="F71" s="1"/>
      <c r="G71" s="1"/>
      <c r="H71" s="1"/>
      <c r="I71" s="1"/>
      <c r="J71" s="1" t="s">
        <v>803</v>
      </c>
      <c r="K71" s="1" t="s">
        <v>804</v>
      </c>
      <c r="L71" s="1" t="s">
        <v>161</v>
      </c>
      <c r="M71" s="1"/>
      <c r="N71" s="1"/>
      <c r="O71" t="s">
        <v>803</v>
      </c>
      <c r="R71" s="4" t="s">
        <v>289</v>
      </c>
      <c r="S71" s="4" t="s">
        <v>11</v>
      </c>
      <c r="T71" s="4" t="s">
        <v>805</v>
      </c>
      <c r="U71" s="4" t="s">
        <v>359</v>
      </c>
      <c r="V71" s="4" t="s">
        <v>161</v>
      </c>
      <c r="W71" s="4" t="s">
        <v>806</v>
      </c>
    </row>
    <row r="72" spans="2:23" ht="14.25">
      <c r="B72" s="1"/>
      <c r="C72" s="1"/>
      <c r="D72" s="1"/>
      <c r="E72" s="1"/>
      <c r="F72" s="1"/>
      <c r="G72" s="1"/>
      <c r="H72" s="1"/>
      <c r="I72" s="1"/>
      <c r="J72" s="1" t="s">
        <v>807</v>
      </c>
      <c r="K72" s="1" t="s">
        <v>808</v>
      </c>
      <c r="L72" s="1" t="s">
        <v>161</v>
      </c>
      <c r="M72" s="1"/>
      <c r="N72" s="1"/>
      <c r="O72" t="s">
        <v>474</v>
      </c>
      <c r="R72" s="4" t="s">
        <v>289</v>
      </c>
      <c r="S72" s="4" t="s">
        <v>11</v>
      </c>
      <c r="T72" s="4" t="s">
        <v>809</v>
      </c>
      <c r="U72" s="4" t="s">
        <v>359</v>
      </c>
      <c r="V72" s="4" t="s">
        <v>161</v>
      </c>
      <c r="W72" s="4" t="s">
        <v>810</v>
      </c>
    </row>
    <row r="73" spans="2:23" ht="14.25">
      <c r="B73" s="1"/>
      <c r="C73" s="1"/>
      <c r="D73" s="1"/>
      <c r="E73" s="1"/>
      <c r="F73" s="1"/>
      <c r="G73" s="1"/>
      <c r="H73" s="1"/>
      <c r="I73" s="1"/>
      <c r="J73" s="1" t="s">
        <v>811</v>
      </c>
      <c r="K73" s="1" t="s">
        <v>812</v>
      </c>
      <c r="L73" s="1" t="s">
        <v>161</v>
      </c>
      <c r="M73" s="1"/>
      <c r="N73" s="1"/>
      <c r="O73" t="s">
        <v>474</v>
      </c>
      <c r="R73" s="4" t="s">
        <v>289</v>
      </c>
      <c r="S73" s="4" t="s">
        <v>11</v>
      </c>
      <c r="T73" s="4" t="s">
        <v>813</v>
      </c>
      <c r="U73" s="4" t="s">
        <v>359</v>
      </c>
      <c r="V73" s="4" t="s">
        <v>161</v>
      </c>
      <c r="W73" s="4" t="s">
        <v>814</v>
      </c>
    </row>
    <row r="74" spans="2:23" ht="14.25">
      <c r="B74" s="1"/>
      <c r="C74" s="1"/>
      <c r="D74" s="1"/>
      <c r="E74" s="1"/>
      <c r="F74" s="1"/>
      <c r="G74" s="1"/>
      <c r="H74" s="1"/>
      <c r="I74" s="1"/>
      <c r="J74" s="1" t="s">
        <v>815</v>
      </c>
      <c r="K74" s="1" t="s">
        <v>816</v>
      </c>
      <c r="L74" s="1" t="s">
        <v>161</v>
      </c>
      <c r="M74" s="1"/>
      <c r="N74" s="1"/>
      <c r="O74" t="s">
        <v>815</v>
      </c>
      <c r="R74" s="4" t="s">
        <v>289</v>
      </c>
      <c r="S74" s="4" t="s">
        <v>11</v>
      </c>
      <c r="T74" s="4" t="s">
        <v>817</v>
      </c>
      <c r="U74" s="4" t="s">
        <v>359</v>
      </c>
      <c r="V74" s="4" t="s">
        <v>161</v>
      </c>
      <c r="W74" s="4" t="s">
        <v>818</v>
      </c>
    </row>
    <row r="75" spans="2:23" ht="14.25">
      <c r="B75" s="1"/>
      <c r="C75" s="1"/>
      <c r="D75" s="1"/>
      <c r="E75" s="1"/>
      <c r="F75" s="1"/>
      <c r="G75" s="1"/>
      <c r="H75" s="1"/>
      <c r="I75" s="1"/>
      <c r="J75" s="1" t="s">
        <v>819</v>
      </c>
      <c r="K75" s="1" t="s">
        <v>820</v>
      </c>
      <c r="L75" s="1" t="s">
        <v>161</v>
      </c>
      <c r="M75" s="1"/>
      <c r="N75" s="1"/>
      <c r="O75" t="s">
        <v>819</v>
      </c>
      <c r="R75" s="4" t="s">
        <v>289</v>
      </c>
      <c r="S75" s="4" t="s">
        <v>11</v>
      </c>
      <c r="T75" s="4" t="s">
        <v>821</v>
      </c>
      <c r="U75" s="4" t="s">
        <v>359</v>
      </c>
      <c r="V75" s="4" t="s">
        <v>161</v>
      </c>
      <c r="W75" s="4" t="s">
        <v>822</v>
      </c>
    </row>
    <row r="76" spans="2:23" ht="14.25">
      <c r="B76" s="1"/>
      <c r="C76" s="1"/>
      <c r="D76" s="1"/>
      <c r="E76" s="1"/>
      <c r="F76" s="1"/>
      <c r="G76" s="1"/>
      <c r="H76" s="1"/>
      <c r="I76" s="1"/>
      <c r="J76" s="1" t="s">
        <v>823</v>
      </c>
      <c r="K76" s="1" t="s">
        <v>824</v>
      </c>
      <c r="L76" s="1" t="s">
        <v>161</v>
      </c>
      <c r="M76" s="1"/>
      <c r="N76" s="1"/>
      <c r="O76" t="s">
        <v>474</v>
      </c>
      <c r="R76" s="4" t="s">
        <v>289</v>
      </c>
      <c r="S76" s="4" t="s">
        <v>11</v>
      </c>
      <c r="T76" s="4" t="s">
        <v>825</v>
      </c>
      <c r="U76" s="4" t="s">
        <v>359</v>
      </c>
      <c r="V76" s="4" t="s">
        <v>161</v>
      </c>
      <c r="W76" s="4" t="s">
        <v>826</v>
      </c>
    </row>
    <row r="77" spans="2:23" ht="14.25">
      <c r="B77" s="1"/>
      <c r="C77" s="1"/>
      <c r="D77" s="1"/>
      <c r="E77" s="1"/>
      <c r="F77" s="1"/>
      <c r="G77" s="1"/>
      <c r="H77" s="1"/>
      <c r="I77" s="1"/>
      <c r="J77" s="1" t="s">
        <v>827</v>
      </c>
      <c r="K77" s="1" t="s">
        <v>828</v>
      </c>
      <c r="L77" s="1" t="s">
        <v>161</v>
      </c>
      <c r="M77" s="1"/>
      <c r="N77" s="1"/>
      <c r="O77" t="s">
        <v>827</v>
      </c>
      <c r="R77" s="4" t="s">
        <v>289</v>
      </c>
      <c r="S77" s="4" t="s">
        <v>11</v>
      </c>
      <c r="T77" s="4" t="s">
        <v>829</v>
      </c>
      <c r="U77" s="4" t="s">
        <v>359</v>
      </c>
      <c r="V77" s="4" t="s">
        <v>161</v>
      </c>
      <c r="W77" s="4" t="s">
        <v>830</v>
      </c>
    </row>
    <row r="78" spans="2:23" ht="14.25">
      <c r="B78" s="1"/>
      <c r="C78" s="1"/>
      <c r="D78" s="1"/>
      <c r="E78" s="1"/>
      <c r="F78" s="1"/>
      <c r="G78" s="1"/>
      <c r="H78" s="1"/>
      <c r="I78" s="1"/>
      <c r="J78" s="1" t="s">
        <v>831</v>
      </c>
      <c r="K78" s="1" t="s">
        <v>832</v>
      </c>
      <c r="L78" s="1" t="s">
        <v>161</v>
      </c>
      <c r="M78" s="1"/>
      <c r="N78" s="1"/>
      <c r="O78" t="s">
        <v>831</v>
      </c>
      <c r="R78" s="4" t="s">
        <v>289</v>
      </c>
      <c r="S78" s="4" t="s">
        <v>11</v>
      </c>
      <c r="T78" s="4" t="s">
        <v>833</v>
      </c>
      <c r="U78" s="4" t="s">
        <v>359</v>
      </c>
      <c r="V78" s="4" t="s">
        <v>161</v>
      </c>
      <c r="W78" s="4" t="s">
        <v>834</v>
      </c>
    </row>
    <row r="79" spans="2:23" ht="14.25">
      <c r="B79" s="1"/>
      <c r="C79" s="1"/>
      <c r="D79" s="1"/>
      <c r="E79" s="1"/>
      <c r="F79" s="1"/>
      <c r="G79" s="1"/>
      <c r="H79" s="1"/>
      <c r="I79" s="1"/>
      <c r="J79" s="1" t="s">
        <v>835</v>
      </c>
      <c r="K79" s="1" t="s">
        <v>836</v>
      </c>
      <c r="L79" s="1" t="s">
        <v>161</v>
      </c>
      <c r="M79" s="1"/>
      <c r="N79" s="1"/>
      <c r="O79" t="s">
        <v>835</v>
      </c>
      <c r="R79" s="4" t="s">
        <v>289</v>
      </c>
      <c r="S79" s="4" t="s">
        <v>11</v>
      </c>
      <c r="T79" s="4" t="s">
        <v>837</v>
      </c>
      <c r="U79" s="4" t="s">
        <v>359</v>
      </c>
      <c r="V79" s="4" t="s">
        <v>161</v>
      </c>
      <c r="W79" s="4" t="s">
        <v>838</v>
      </c>
    </row>
    <row r="80" spans="2:23" ht="14.25">
      <c r="B80" s="1"/>
      <c r="C80" s="1"/>
      <c r="D80" s="1"/>
      <c r="E80" s="1"/>
      <c r="F80" s="1"/>
      <c r="G80" s="1"/>
      <c r="H80" s="1"/>
      <c r="I80" s="1"/>
      <c r="J80" s="1" t="s">
        <v>839</v>
      </c>
      <c r="K80" s="1" t="s">
        <v>840</v>
      </c>
      <c r="L80" s="1" t="s">
        <v>161</v>
      </c>
      <c r="M80" s="1" t="s">
        <v>359</v>
      </c>
      <c r="N80" s="1" t="s">
        <v>360</v>
      </c>
      <c r="O80" t="s">
        <v>839</v>
      </c>
      <c r="R80" s="4" t="s">
        <v>289</v>
      </c>
      <c r="S80" s="4" t="s">
        <v>11</v>
      </c>
      <c r="T80" s="4" t="s">
        <v>841</v>
      </c>
      <c r="U80" s="4" t="s">
        <v>359</v>
      </c>
      <c r="V80" s="4" t="s">
        <v>161</v>
      </c>
      <c r="W80" s="4" t="s">
        <v>842</v>
      </c>
    </row>
    <row r="81" spans="2:23" ht="14.25">
      <c r="B81" s="1"/>
      <c r="C81" s="1"/>
      <c r="D81" s="1"/>
      <c r="E81" s="1"/>
      <c r="F81" s="1"/>
      <c r="G81" s="1"/>
      <c r="H81" s="1"/>
      <c r="I81" s="1"/>
      <c r="J81" s="1" t="s">
        <v>843</v>
      </c>
      <c r="K81" s="1" t="s">
        <v>844</v>
      </c>
      <c r="L81" s="1" t="s">
        <v>161</v>
      </c>
      <c r="M81" s="1"/>
      <c r="N81" s="1"/>
      <c r="O81" t="s">
        <v>843</v>
      </c>
      <c r="R81" s="4" t="s">
        <v>289</v>
      </c>
      <c r="S81" s="4" t="s">
        <v>11</v>
      </c>
      <c r="T81" s="4" t="s">
        <v>845</v>
      </c>
      <c r="U81" s="4" t="s">
        <v>359</v>
      </c>
      <c r="V81" s="4" t="s">
        <v>161</v>
      </c>
      <c r="W81" s="4" t="s">
        <v>846</v>
      </c>
    </row>
    <row r="82" spans="2:23" ht="14.25">
      <c r="B82" s="1"/>
      <c r="C82" s="1"/>
      <c r="D82" s="1"/>
      <c r="E82" s="1"/>
      <c r="F82" s="1"/>
      <c r="G82" s="1"/>
      <c r="H82" s="1"/>
      <c r="I82" s="1"/>
      <c r="J82" s="1" t="s">
        <v>847</v>
      </c>
      <c r="K82" s="1" t="s">
        <v>848</v>
      </c>
      <c r="L82" s="1" t="s">
        <v>161</v>
      </c>
      <c r="M82" s="1"/>
      <c r="N82" s="1"/>
      <c r="O82" t="s">
        <v>847</v>
      </c>
      <c r="R82" s="4" t="s">
        <v>289</v>
      </c>
      <c r="S82" s="4" t="s">
        <v>11</v>
      </c>
      <c r="T82" s="4" t="s">
        <v>849</v>
      </c>
      <c r="U82" s="4" t="s">
        <v>359</v>
      </c>
      <c r="V82" s="4" t="s">
        <v>161</v>
      </c>
      <c r="W82" s="4" t="s">
        <v>850</v>
      </c>
    </row>
    <row r="83" spans="2:23" ht="14.25">
      <c r="B83" s="1"/>
      <c r="C83" s="1"/>
      <c r="D83" s="1"/>
      <c r="E83" s="1"/>
      <c r="F83" s="1"/>
      <c r="G83" s="1"/>
      <c r="H83" s="1"/>
      <c r="I83" s="1"/>
      <c r="J83" s="1" t="s">
        <v>851</v>
      </c>
      <c r="K83" s="1" t="s">
        <v>852</v>
      </c>
      <c r="L83" s="1" t="s">
        <v>161</v>
      </c>
      <c r="M83" s="1"/>
      <c r="N83" s="1"/>
      <c r="O83" t="s">
        <v>851</v>
      </c>
      <c r="R83" s="4" t="s">
        <v>289</v>
      </c>
      <c r="S83" s="4" t="s">
        <v>11</v>
      </c>
      <c r="T83" s="4" t="s">
        <v>853</v>
      </c>
      <c r="U83" s="4" t="s">
        <v>359</v>
      </c>
      <c r="V83" s="4" t="s">
        <v>161</v>
      </c>
      <c r="W83" s="4" t="s">
        <v>854</v>
      </c>
    </row>
    <row r="84" spans="2:23" ht="14.25">
      <c r="B84" s="1"/>
      <c r="C84" s="1"/>
      <c r="D84" s="1"/>
      <c r="E84" s="1"/>
      <c r="F84" s="1"/>
      <c r="G84" s="1"/>
      <c r="H84" s="1"/>
      <c r="I84" s="1"/>
      <c r="J84" s="1" t="s">
        <v>855</v>
      </c>
      <c r="K84" s="1" t="s">
        <v>856</v>
      </c>
      <c r="L84" s="1" t="s">
        <v>161</v>
      </c>
      <c r="M84" s="1"/>
      <c r="N84" s="1"/>
      <c r="O84" t="s">
        <v>855</v>
      </c>
      <c r="R84" s="4" t="s">
        <v>289</v>
      </c>
      <c r="S84" s="4" t="s">
        <v>11</v>
      </c>
      <c r="T84" s="4" t="s">
        <v>857</v>
      </c>
      <c r="U84" s="4" t="s">
        <v>359</v>
      </c>
      <c r="V84" s="4" t="s">
        <v>161</v>
      </c>
      <c r="W84" s="4" t="s">
        <v>858</v>
      </c>
    </row>
    <row r="85" spans="2:23" ht="14.25">
      <c r="B85" s="1"/>
      <c r="C85" s="1"/>
      <c r="D85" s="1"/>
      <c r="E85" s="1"/>
      <c r="F85" s="1"/>
      <c r="G85" s="1"/>
      <c r="H85" s="1"/>
      <c r="I85" s="1"/>
      <c r="J85" s="1" t="s">
        <v>859</v>
      </c>
      <c r="K85" s="1" t="s">
        <v>860</v>
      </c>
      <c r="L85" s="1" t="s">
        <v>161</v>
      </c>
      <c r="M85" s="1"/>
      <c r="N85" s="1"/>
      <c r="O85" t="s">
        <v>859</v>
      </c>
      <c r="R85" s="4" t="s">
        <v>289</v>
      </c>
      <c r="S85" s="4" t="s">
        <v>11</v>
      </c>
      <c r="T85" s="4" t="s">
        <v>861</v>
      </c>
      <c r="U85" s="4" t="s">
        <v>359</v>
      </c>
      <c r="V85" s="4" t="s">
        <v>161</v>
      </c>
      <c r="W85" s="4" t="s">
        <v>862</v>
      </c>
    </row>
    <row r="86" spans="2:23" ht="14.25">
      <c r="B86" s="1"/>
      <c r="C86" s="1"/>
      <c r="D86" s="1"/>
      <c r="E86" s="1"/>
      <c r="F86" s="1"/>
      <c r="G86" s="1"/>
      <c r="H86" s="1"/>
      <c r="I86" s="1"/>
      <c r="J86" s="1"/>
      <c r="K86" s="1" t="s">
        <v>863</v>
      </c>
      <c r="L86" s="1" t="s">
        <v>161</v>
      </c>
      <c r="M86" s="1" t="s">
        <v>359</v>
      </c>
      <c r="N86" s="1" t="s">
        <v>360</v>
      </c>
      <c r="O86" t="s">
        <v>864</v>
      </c>
      <c r="R86" s="4" t="s">
        <v>289</v>
      </c>
      <c r="S86" s="4" t="s">
        <v>11</v>
      </c>
      <c r="T86" s="4" t="s">
        <v>865</v>
      </c>
      <c r="U86" s="4" t="s">
        <v>359</v>
      </c>
      <c r="V86" s="4" t="s">
        <v>161</v>
      </c>
      <c r="W86" s="4" t="s">
        <v>866</v>
      </c>
    </row>
    <row r="87" spans="2:23" ht="14.2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R87" s="4" t="s">
        <v>289</v>
      </c>
      <c r="S87" s="4" t="s">
        <v>11</v>
      </c>
      <c r="T87" s="4" t="s">
        <v>867</v>
      </c>
      <c r="U87" s="4" t="s">
        <v>359</v>
      </c>
      <c r="V87" s="4" t="s">
        <v>161</v>
      </c>
      <c r="W87" s="4" t="s">
        <v>868</v>
      </c>
    </row>
    <row r="88" spans="2:23" ht="14.2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R88" s="4" t="s">
        <v>289</v>
      </c>
      <c r="S88" s="4" t="s">
        <v>11</v>
      </c>
      <c r="T88" s="4" t="s">
        <v>869</v>
      </c>
      <c r="U88" s="4" t="s">
        <v>359</v>
      </c>
      <c r="V88" s="4" t="s">
        <v>161</v>
      </c>
      <c r="W88" s="4" t="s">
        <v>870</v>
      </c>
    </row>
    <row r="89" spans="2:23" ht="14.2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R89" s="4" t="s">
        <v>289</v>
      </c>
      <c r="S89" s="4" t="s">
        <v>11</v>
      </c>
      <c r="T89" s="4" t="s">
        <v>871</v>
      </c>
      <c r="U89" s="4" t="s">
        <v>359</v>
      </c>
      <c r="V89" s="4" t="s">
        <v>161</v>
      </c>
      <c r="W89" s="4" t="s">
        <v>872</v>
      </c>
    </row>
    <row r="90" spans="2:23" ht="14.2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R90" s="4" t="s">
        <v>289</v>
      </c>
      <c r="S90" s="4" t="s">
        <v>11</v>
      </c>
      <c r="T90" s="4" t="s">
        <v>873</v>
      </c>
      <c r="U90" s="4" t="s">
        <v>359</v>
      </c>
      <c r="V90" s="4" t="s">
        <v>161</v>
      </c>
      <c r="W90" s="4" t="s">
        <v>874</v>
      </c>
    </row>
    <row r="91" spans="2:23" ht="14.2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R91" s="4" t="s">
        <v>289</v>
      </c>
      <c r="S91" s="4" t="s">
        <v>11</v>
      </c>
      <c r="T91" s="4" t="s">
        <v>875</v>
      </c>
      <c r="U91" s="4" t="s">
        <v>359</v>
      </c>
      <c r="V91" s="4" t="s">
        <v>161</v>
      </c>
      <c r="W91" s="4" t="s">
        <v>876</v>
      </c>
    </row>
    <row r="92" spans="2:23" ht="14.25">
      <c r="B92" s="1"/>
      <c r="C92" s="1"/>
      <c r="D92" s="1"/>
      <c r="E92" s="1"/>
      <c r="F92" s="1"/>
      <c r="G92" s="1"/>
      <c r="H92" s="1"/>
      <c r="I92" t="s">
        <v>296</v>
      </c>
      <c r="R92" s="4" t="s">
        <v>289</v>
      </c>
      <c r="S92" s="4" t="s">
        <v>11</v>
      </c>
      <c r="T92" s="4" t="s">
        <v>877</v>
      </c>
      <c r="U92" s="4" t="s">
        <v>359</v>
      </c>
      <c r="V92" s="4" t="s">
        <v>161</v>
      </c>
      <c r="W92" s="4" t="s">
        <v>878</v>
      </c>
    </row>
    <row r="93" spans="2:23" ht="14.25">
      <c r="B93" s="1"/>
      <c r="C93" s="1"/>
      <c r="D93" s="1"/>
      <c r="E93" s="1"/>
      <c r="F93" s="1"/>
      <c r="G93" s="1"/>
      <c r="H93" s="1"/>
      <c r="I93" s="5" t="s">
        <v>453</v>
      </c>
      <c r="J93" s="5" t="s">
        <v>454</v>
      </c>
      <c r="K93" s="5" t="s">
        <v>252</v>
      </c>
      <c r="L93" s="5" t="s">
        <v>300</v>
      </c>
      <c r="M93" s="5" t="s">
        <v>455</v>
      </c>
      <c r="N93" s="5" t="s">
        <v>456</v>
      </c>
      <c r="R93" s="4" t="s">
        <v>289</v>
      </c>
      <c r="S93" s="4" t="s">
        <v>11</v>
      </c>
      <c r="T93" s="4" t="s">
        <v>879</v>
      </c>
      <c r="U93" s="4" t="s">
        <v>359</v>
      </c>
      <c r="V93" s="4" t="s">
        <v>161</v>
      </c>
      <c r="W93" s="4" t="s">
        <v>880</v>
      </c>
    </row>
    <row r="94" spans="2:23" ht="14.25">
      <c r="B94" s="1"/>
      <c r="C94" s="1"/>
      <c r="D94" s="1"/>
      <c r="E94" s="1"/>
      <c r="F94" s="1"/>
      <c r="G94" s="1"/>
      <c r="H94" s="1"/>
      <c r="I94" t="s">
        <v>289</v>
      </c>
      <c r="J94" t="s">
        <v>881</v>
      </c>
      <c r="K94" t="s">
        <v>882</v>
      </c>
      <c r="L94" t="s">
        <v>161</v>
      </c>
      <c r="R94" s="4" t="s">
        <v>289</v>
      </c>
      <c r="S94" s="4" t="s">
        <v>11</v>
      </c>
      <c r="T94" s="4" t="s">
        <v>883</v>
      </c>
      <c r="U94" s="4" t="s">
        <v>359</v>
      </c>
      <c r="V94" s="4" t="s">
        <v>161</v>
      </c>
      <c r="W94" s="4" t="s">
        <v>884</v>
      </c>
    </row>
    <row r="95" spans="2:23" ht="14.25">
      <c r="B95" s="1"/>
      <c r="C95" s="1"/>
      <c r="D95" s="1"/>
      <c r="E95" s="1"/>
      <c r="F95" s="1"/>
      <c r="G95" s="1"/>
      <c r="H95" s="1"/>
      <c r="I95" t="s">
        <v>289</v>
      </c>
      <c r="J95" t="s">
        <v>885</v>
      </c>
      <c r="K95" t="s">
        <v>886</v>
      </c>
      <c r="L95" t="s">
        <v>161</v>
      </c>
      <c r="R95" s="4" t="s">
        <v>289</v>
      </c>
      <c r="S95" s="4" t="s">
        <v>11</v>
      </c>
      <c r="T95" s="4" t="s">
        <v>887</v>
      </c>
      <c r="U95" s="4" t="s">
        <v>359</v>
      </c>
      <c r="V95" s="4" t="s">
        <v>161</v>
      </c>
      <c r="W95" s="4" t="s">
        <v>888</v>
      </c>
    </row>
    <row r="96" spans="2:23" ht="14.25">
      <c r="B96" s="1"/>
      <c r="C96" s="1"/>
      <c r="D96" s="1"/>
      <c r="E96" s="1"/>
      <c r="F96" s="1"/>
      <c r="G96" s="1"/>
      <c r="H96" s="1"/>
      <c r="I96" t="s">
        <v>289</v>
      </c>
      <c r="J96" t="s">
        <v>889</v>
      </c>
      <c r="K96" t="s">
        <v>890</v>
      </c>
      <c r="L96" t="s">
        <v>161</v>
      </c>
      <c r="R96" s="4" t="s">
        <v>289</v>
      </c>
      <c r="S96" s="4" t="s">
        <v>11</v>
      </c>
      <c r="T96" s="4" t="s">
        <v>891</v>
      </c>
      <c r="U96" s="4" t="s">
        <v>359</v>
      </c>
      <c r="V96" s="4" t="s">
        <v>161</v>
      </c>
      <c r="W96" s="4" t="s">
        <v>892</v>
      </c>
    </row>
    <row r="97" spans="2:23" ht="14.25">
      <c r="B97" s="1"/>
      <c r="C97" s="1"/>
      <c r="D97" s="1"/>
      <c r="E97" s="1"/>
      <c r="F97" s="1"/>
      <c r="G97" s="1"/>
      <c r="H97" s="1"/>
      <c r="I97" t="s">
        <v>289</v>
      </c>
      <c r="J97" t="s">
        <v>893</v>
      </c>
      <c r="K97" t="s">
        <v>894</v>
      </c>
      <c r="L97" t="s">
        <v>161</v>
      </c>
      <c r="R97" s="4" t="s">
        <v>289</v>
      </c>
      <c r="S97" s="4" t="s">
        <v>11</v>
      </c>
      <c r="T97" s="4" t="s">
        <v>895</v>
      </c>
      <c r="U97" s="4" t="s">
        <v>359</v>
      </c>
      <c r="V97" s="4" t="s">
        <v>161</v>
      </c>
      <c r="W97" s="4" t="s">
        <v>896</v>
      </c>
    </row>
    <row r="98" spans="2:23" ht="14.25">
      <c r="B98" s="1"/>
      <c r="C98" s="1"/>
      <c r="D98" s="1"/>
      <c r="E98" s="1"/>
      <c r="F98" s="1"/>
      <c r="G98" s="1"/>
      <c r="H98" s="1"/>
      <c r="I98" t="s">
        <v>289</v>
      </c>
      <c r="J98" t="s">
        <v>897</v>
      </c>
      <c r="K98" t="s">
        <v>898</v>
      </c>
      <c r="L98" t="s">
        <v>161</v>
      </c>
      <c r="R98" s="4" t="s">
        <v>289</v>
      </c>
      <c r="S98" s="4" t="s">
        <v>11</v>
      </c>
      <c r="T98" s="4" t="s">
        <v>899</v>
      </c>
      <c r="U98" s="4" t="s">
        <v>359</v>
      </c>
      <c r="V98" s="4" t="s">
        <v>161</v>
      </c>
      <c r="W98" s="4" t="s">
        <v>900</v>
      </c>
    </row>
    <row r="99" spans="2:23" ht="14.25">
      <c r="B99" s="1"/>
      <c r="C99" s="1"/>
      <c r="D99" s="1"/>
      <c r="E99" s="1"/>
      <c r="F99" s="1"/>
      <c r="G99" s="1"/>
      <c r="H99" s="1"/>
      <c r="I99" t="s">
        <v>289</v>
      </c>
      <c r="J99" t="s">
        <v>901</v>
      </c>
      <c r="K99" t="s">
        <v>902</v>
      </c>
      <c r="L99" t="s">
        <v>161</v>
      </c>
      <c r="R99" s="4" t="s">
        <v>289</v>
      </c>
      <c r="S99" s="4" t="s">
        <v>11</v>
      </c>
      <c r="T99" s="4" t="s">
        <v>903</v>
      </c>
      <c r="U99" s="4" t="s">
        <v>359</v>
      </c>
      <c r="V99" s="4" t="s">
        <v>161</v>
      </c>
      <c r="W99" s="4" t="s">
        <v>904</v>
      </c>
    </row>
    <row r="100" spans="2:23" ht="14.25">
      <c r="B100" s="1"/>
      <c r="C100" s="1"/>
      <c r="D100" s="1"/>
      <c r="E100" s="1"/>
      <c r="F100" s="1"/>
      <c r="G100" s="1"/>
      <c r="H100" s="1"/>
      <c r="I100" t="s">
        <v>289</v>
      </c>
      <c r="J100" t="s">
        <v>905</v>
      </c>
      <c r="K100" t="s">
        <v>906</v>
      </c>
      <c r="L100" t="s">
        <v>161</v>
      </c>
      <c r="R100" s="4" t="s">
        <v>289</v>
      </c>
      <c r="S100" s="4" t="s">
        <v>11</v>
      </c>
      <c r="T100" s="4" t="s">
        <v>907</v>
      </c>
      <c r="U100" s="4" t="s">
        <v>359</v>
      </c>
      <c r="V100" s="4" t="s">
        <v>161</v>
      </c>
      <c r="W100" s="4" t="s">
        <v>908</v>
      </c>
    </row>
    <row r="101" spans="2:23" ht="14.25">
      <c r="B101" s="1"/>
      <c r="C101" s="1"/>
      <c r="D101" s="1"/>
      <c r="E101" s="1"/>
      <c r="F101" s="1"/>
      <c r="G101" s="1"/>
      <c r="H101" s="1"/>
      <c r="I101" t="s">
        <v>289</v>
      </c>
      <c r="J101" t="s">
        <v>909</v>
      </c>
      <c r="K101" t="s">
        <v>910</v>
      </c>
      <c r="L101" t="s">
        <v>161</v>
      </c>
      <c r="R101" s="4" t="s">
        <v>289</v>
      </c>
      <c r="S101" s="4" t="s">
        <v>11</v>
      </c>
      <c r="T101" s="4" t="s">
        <v>911</v>
      </c>
      <c r="U101" s="4" t="s">
        <v>359</v>
      </c>
      <c r="V101" s="4" t="s">
        <v>161</v>
      </c>
      <c r="W101" s="4" t="s">
        <v>912</v>
      </c>
    </row>
    <row r="102" spans="2:23" ht="14.25">
      <c r="B102" s="1"/>
      <c r="C102" s="1"/>
      <c r="D102" s="1"/>
      <c r="E102" s="1"/>
      <c r="F102" s="1"/>
      <c r="G102" s="1"/>
      <c r="H102" s="1"/>
      <c r="I102" t="s">
        <v>289</v>
      </c>
      <c r="J102" t="s">
        <v>913</v>
      </c>
      <c r="K102" t="s">
        <v>914</v>
      </c>
      <c r="L102" t="s">
        <v>161</v>
      </c>
      <c r="R102" s="4" t="s">
        <v>289</v>
      </c>
      <c r="S102" s="4" t="s">
        <v>11</v>
      </c>
      <c r="T102" s="4" t="s">
        <v>915</v>
      </c>
      <c r="U102" s="4" t="s">
        <v>359</v>
      </c>
      <c r="V102" s="4" t="s">
        <v>161</v>
      </c>
      <c r="W102" s="4" t="s">
        <v>916</v>
      </c>
    </row>
    <row r="103" spans="2:23" ht="14.25">
      <c r="B103" s="1"/>
      <c r="C103" s="1"/>
      <c r="D103" s="1"/>
      <c r="E103" s="1"/>
      <c r="F103" s="1"/>
      <c r="G103" s="1"/>
      <c r="H103" s="1"/>
      <c r="I103" t="s">
        <v>289</v>
      </c>
      <c r="J103" t="s">
        <v>917</v>
      </c>
      <c r="K103" t="s">
        <v>918</v>
      </c>
      <c r="L103" t="s">
        <v>161</v>
      </c>
      <c r="R103" s="4" t="s">
        <v>289</v>
      </c>
      <c r="S103" s="4" t="s">
        <v>11</v>
      </c>
      <c r="T103" s="4" t="s">
        <v>919</v>
      </c>
      <c r="U103" s="4" t="s">
        <v>359</v>
      </c>
      <c r="V103" s="4" t="s">
        <v>161</v>
      </c>
      <c r="W103" s="4" t="s">
        <v>920</v>
      </c>
    </row>
    <row r="104" spans="2:23" ht="14.25">
      <c r="B104" s="1"/>
      <c r="C104" s="1"/>
      <c r="D104" s="1"/>
      <c r="E104" s="1"/>
      <c r="F104" s="1"/>
      <c r="G104" s="1"/>
      <c r="H104" s="1"/>
      <c r="I104" t="s">
        <v>289</v>
      </c>
      <c r="J104" t="s">
        <v>921</v>
      </c>
      <c r="K104" t="s">
        <v>922</v>
      </c>
      <c r="L104" t="s">
        <v>161</v>
      </c>
      <c r="R104" s="4" t="s">
        <v>289</v>
      </c>
      <c r="S104" s="4" t="s">
        <v>11</v>
      </c>
      <c r="T104" s="4" t="s">
        <v>923</v>
      </c>
      <c r="U104" s="4" t="s">
        <v>359</v>
      </c>
      <c r="V104" s="4" t="s">
        <v>161</v>
      </c>
      <c r="W104" s="4" t="s">
        <v>924</v>
      </c>
    </row>
    <row r="105" spans="2:23" ht="14.25">
      <c r="B105" s="1"/>
      <c r="C105" s="1"/>
      <c r="D105" s="1"/>
      <c r="E105" s="1"/>
      <c r="F105" s="1"/>
      <c r="G105" s="1"/>
      <c r="H105" s="1"/>
      <c r="I105" t="s">
        <v>289</v>
      </c>
      <c r="J105" t="s">
        <v>925</v>
      </c>
      <c r="K105" t="s">
        <v>926</v>
      </c>
      <c r="L105" t="s">
        <v>161</v>
      </c>
      <c r="R105" s="4" t="s">
        <v>289</v>
      </c>
      <c r="S105" s="4" t="s">
        <v>11</v>
      </c>
      <c r="T105" s="4" t="s">
        <v>927</v>
      </c>
      <c r="U105" s="4" t="s">
        <v>359</v>
      </c>
      <c r="V105" s="4" t="s">
        <v>161</v>
      </c>
      <c r="W105" s="4" t="s">
        <v>928</v>
      </c>
    </row>
    <row r="106" spans="2:23" ht="14.25">
      <c r="B106" s="1"/>
      <c r="C106" s="1"/>
      <c r="D106" s="1"/>
      <c r="E106" s="1"/>
      <c r="F106" s="1"/>
      <c r="G106" s="1"/>
      <c r="H106" s="1"/>
      <c r="I106" t="s">
        <v>289</v>
      </c>
      <c r="J106" t="s">
        <v>929</v>
      </c>
      <c r="K106" t="s">
        <v>930</v>
      </c>
      <c r="L106" t="s">
        <v>161</v>
      </c>
      <c r="R106" s="4" t="s">
        <v>289</v>
      </c>
      <c r="S106" s="4" t="s">
        <v>11</v>
      </c>
      <c r="T106" s="4" t="s">
        <v>931</v>
      </c>
      <c r="U106" s="4" t="s">
        <v>359</v>
      </c>
      <c r="V106" s="4" t="s">
        <v>161</v>
      </c>
      <c r="W106" s="4" t="s">
        <v>932</v>
      </c>
    </row>
    <row r="107" spans="2:23" ht="14.25">
      <c r="B107" s="1"/>
      <c r="C107" s="1"/>
      <c r="D107" s="1"/>
      <c r="E107" s="1"/>
      <c r="F107" s="1"/>
      <c r="G107" s="1"/>
      <c r="H107" s="1"/>
      <c r="I107" t="s">
        <v>289</v>
      </c>
      <c r="J107" t="s">
        <v>933</v>
      </c>
      <c r="K107" t="s">
        <v>934</v>
      </c>
      <c r="L107" t="s">
        <v>161</v>
      </c>
      <c r="R107" s="4" t="s">
        <v>289</v>
      </c>
      <c r="S107" s="4" t="s">
        <v>11</v>
      </c>
      <c r="T107" s="4" t="s">
        <v>935</v>
      </c>
      <c r="U107" s="4" t="s">
        <v>359</v>
      </c>
      <c r="V107" s="4" t="s">
        <v>161</v>
      </c>
      <c r="W107" s="4" t="s">
        <v>936</v>
      </c>
    </row>
    <row r="108" spans="2:23" ht="14.2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R108" s="4" t="s">
        <v>289</v>
      </c>
      <c r="S108" s="4" t="s">
        <v>11</v>
      </c>
      <c r="T108" s="4" t="s">
        <v>937</v>
      </c>
      <c r="U108" s="4" t="s">
        <v>359</v>
      </c>
      <c r="V108" s="4" t="s">
        <v>161</v>
      </c>
      <c r="W108" s="4" t="s">
        <v>938</v>
      </c>
    </row>
    <row r="109" spans="2:23" ht="14.2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R109" s="4" t="s">
        <v>289</v>
      </c>
      <c r="S109" s="4" t="s">
        <v>11</v>
      </c>
      <c r="T109" s="4" t="s">
        <v>939</v>
      </c>
      <c r="U109" s="4" t="s">
        <v>359</v>
      </c>
      <c r="V109" s="4" t="s">
        <v>161</v>
      </c>
      <c r="W109" s="4" t="s">
        <v>940</v>
      </c>
    </row>
    <row r="110" spans="2:23" ht="14.2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R110" s="4" t="s">
        <v>289</v>
      </c>
      <c r="S110" s="4" t="s">
        <v>11</v>
      </c>
      <c r="T110" s="4" t="s">
        <v>941</v>
      </c>
      <c r="U110" s="4" t="s">
        <v>359</v>
      </c>
      <c r="V110" s="4" t="s">
        <v>161</v>
      </c>
      <c r="W110" s="4" t="s">
        <v>942</v>
      </c>
    </row>
    <row r="111" spans="2:23" ht="14.2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R111" s="4" t="s">
        <v>289</v>
      </c>
      <c r="S111" s="4" t="s">
        <v>11</v>
      </c>
      <c r="T111" s="4" t="s">
        <v>943</v>
      </c>
      <c r="U111" s="4" t="s">
        <v>359</v>
      </c>
      <c r="V111" s="4" t="s">
        <v>161</v>
      </c>
      <c r="W111" s="4" t="s">
        <v>944</v>
      </c>
    </row>
    <row r="112" spans="2:23" ht="14.2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R112" s="4" t="s">
        <v>289</v>
      </c>
      <c r="S112" s="4" t="s">
        <v>11</v>
      </c>
      <c r="T112" s="4" t="s">
        <v>945</v>
      </c>
      <c r="U112" s="4" t="s">
        <v>359</v>
      </c>
      <c r="V112" s="4" t="s">
        <v>161</v>
      </c>
      <c r="W112" s="4" t="s">
        <v>946</v>
      </c>
    </row>
    <row r="113" spans="2:23" ht="14.2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R113" s="4" t="s">
        <v>289</v>
      </c>
      <c r="S113" s="4" t="s">
        <v>11</v>
      </c>
      <c r="T113" s="4" t="s">
        <v>947</v>
      </c>
      <c r="U113" s="4" t="s">
        <v>359</v>
      </c>
      <c r="V113" s="4" t="s">
        <v>161</v>
      </c>
      <c r="W113" s="4" t="s">
        <v>948</v>
      </c>
    </row>
    <row r="114" spans="2:23" ht="14.2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R114" s="4" t="s">
        <v>289</v>
      </c>
      <c r="S114" s="4" t="s">
        <v>11</v>
      </c>
      <c r="T114" s="4" t="s">
        <v>949</v>
      </c>
      <c r="U114" s="4" t="s">
        <v>359</v>
      </c>
      <c r="V114" s="4" t="s">
        <v>161</v>
      </c>
      <c r="W114" s="4" t="s">
        <v>950</v>
      </c>
    </row>
    <row r="115" spans="2:23" ht="14.25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R115" s="4" t="s">
        <v>289</v>
      </c>
      <c r="S115" s="4" t="s">
        <v>11</v>
      </c>
      <c r="T115" s="4" t="s">
        <v>951</v>
      </c>
      <c r="U115" s="4" t="s">
        <v>359</v>
      </c>
      <c r="V115" s="4" t="s">
        <v>161</v>
      </c>
      <c r="W115" s="4" t="s">
        <v>952</v>
      </c>
    </row>
    <row r="116" spans="2:23" ht="14.25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R116" s="4" t="s">
        <v>289</v>
      </c>
      <c r="S116" s="4" t="s">
        <v>11</v>
      </c>
      <c r="T116" s="4" t="s">
        <v>953</v>
      </c>
      <c r="U116" s="4" t="s">
        <v>359</v>
      </c>
      <c r="V116" s="4" t="s">
        <v>161</v>
      </c>
      <c r="W116" s="4" t="s">
        <v>954</v>
      </c>
    </row>
    <row r="117" spans="2:23" ht="14.25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R117" s="4" t="s">
        <v>289</v>
      </c>
      <c r="S117" s="4" t="s">
        <v>11</v>
      </c>
      <c r="T117" s="4" t="s">
        <v>955</v>
      </c>
      <c r="U117" s="4" t="s">
        <v>359</v>
      </c>
      <c r="V117" s="4" t="s">
        <v>161</v>
      </c>
      <c r="W117" s="4" t="s">
        <v>956</v>
      </c>
    </row>
    <row r="118" spans="2:23" ht="14.25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R118" s="4" t="s">
        <v>289</v>
      </c>
      <c r="S118" s="4" t="s">
        <v>11</v>
      </c>
      <c r="T118" s="4" t="s">
        <v>957</v>
      </c>
      <c r="U118" s="4" t="s">
        <v>359</v>
      </c>
      <c r="V118" s="4" t="s">
        <v>161</v>
      </c>
      <c r="W118" s="4" t="s">
        <v>958</v>
      </c>
    </row>
    <row r="119" spans="2:23" ht="14.25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R119" s="4" t="s">
        <v>289</v>
      </c>
      <c r="S119" s="4" t="s">
        <v>11</v>
      </c>
      <c r="T119" s="4" t="s">
        <v>959</v>
      </c>
      <c r="U119" s="4" t="s">
        <v>359</v>
      </c>
      <c r="V119" s="4" t="s">
        <v>161</v>
      </c>
      <c r="W119" s="4" t="s">
        <v>960</v>
      </c>
    </row>
    <row r="120" spans="2:23" ht="14.25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R120" s="4" t="s">
        <v>289</v>
      </c>
      <c r="S120" s="4" t="s">
        <v>11</v>
      </c>
      <c r="T120" s="4" t="s">
        <v>961</v>
      </c>
      <c r="U120" s="4" t="s">
        <v>359</v>
      </c>
      <c r="V120" s="4" t="s">
        <v>161</v>
      </c>
      <c r="W120" s="4" t="s">
        <v>962</v>
      </c>
    </row>
    <row r="121" spans="2:23" ht="14.25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R121" s="4" t="s">
        <v>289</v>
      </c>
      <c r="S121" s="4" t="s">
        <v>11</v>
      </c>
      <c r="T121" s="4" t="s">
        <v>963</v>
      </c>
      <c r="U121" s="4" t="s">
        <v>359</v>
      </c>
      <c r="V121" s="4" t="s">
        <v>161</v>
      </c>
      <c r="W121" s="4" t="s">
        <v>964</v>
      </c>
    </row>
    <row r="122" spans="2:23" ht="14.25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R122" s="4" t="s">
        <v>289</v>
      </c>
      <c r="S122" s="4" t="s">
        <v>11</v>
      </c>
      <c r="T122" s="4" t="s">
        <v>965</v>
      </c>
      <c r="U122" s="4" t="s">
        <v>359</v>
      </c>
      <c r="V122" s="4" t="s">
        <v>161</v>
      </c>
      <c r="W122" s="4" t="s">
        <v>966</v>
      </c>
    </row>
    <row r="123" spans="2:23" ht="14.25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R123" s="4" t="s">
        <v>289</v>
      </c>
      <c r="S123" s="4" t="s">
        <v>14</v>
      </c>
      <c r="T123" s="4" t="s">
        <v>967</v>
      </c>
      <c r="U123" s="4" t="s">
        <v>359</v>
      </c>
      <c r="V123" s="4" t="s">
        <v>161</v>
      </c>
      <c r="W123" s="4" t="s">
        <v>968</v>
      </c>
    </row>
    <row r="124" spans="2:23" ht="14.25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R124" s="4" t="s">
        <v>289</v>
      </c>
      <c r="S124" s="4" t="s">
        <v>14</v>
      </c>
      <c r="T124" s="4" t="s">
        <v>969</v>
      </c>
      <c r="U124" s="4" t="s">
        <v>359</v>
      </c>
      <c r="V124" s="4" t="s">
        <v>161</v>
      </c>
      <c r="W124" s="4" t="s">
        <v>970</v>
      </c>
    </row>
    <row r="125" spans="2:23" ht="14.25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R125" s="4" t="s">
        <v>289</v>
      </c>
      <c r="S125" s="4" t="s">
        <v>16</v>
      </c>
      <c r="T125" s="4" t="s">
        <v>971</v>
      </c>
      <c r="U125" s="4" t="s">
        <v>359</v>
      </c>
      <c r="V125" s="4" t="s">
        <v>161</v>
      </c>
      <c r="W125" s="4" t="s">
        <v>972</v>
      </c>
    </row>
    <row r="126" spans="2:23" ht="14.25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R126" s="4" t="s">
        <v>289</v>
      </c>
      <c r="S126" s="4" t="s">
        <v>16</v>
      </c>
      <c r="T126" s="4" t="s">
        <v>973</v>
      </c>
      <c r="U126" s="4" t="s">
        <v>359</v>
      </c>
      <c r="V126" s="4" t="s">
        <v>161</v>
      </c>
      <c r="W126" s="4" t="s">
        <v>974</v>
      </c>
    </row>
    <row r="127" spans="2:23" ht="14.25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R127" s="4" t="s">
        <v>289</v>
      </c>
      <c r="S127" s="4" t="s">
        <v>18</v>
      </c>
      <c r="T127" s="4" t="s">
        <v>975</v>
      </c>
      <c r="U127" s="4" t="s">
        <v>359</v>
      </c>
      <c r="V127" s="4" t="s">
        <v>161</v>
      </c>
      <c r="W127" s="4" t="s">
        <v>976</v>
      </c>
    </row>
    <row r="128" spans="2:23" ht="14.25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R128" s="4" t="s">
        <v>289</v>
      </c>
      <c r="S128" s="4" t="s">
        <v>18</v>
      </c>
      <c r="T128" s="4" t="s">
        <v>977</v>
      </c>
      <c r="U128" s="4" t="s">
        <v>359</v>
      </c>
      <c r="V128" s="4" t="s">
        <v>161</v>
      </c>
      <c r="W128" s="4" t="s">
        <v>978</v>
      </c>
    </row>
    <row r="129" spans="2:23" ht="14.25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R129" s="4" t="s">
        <v>289</v>
      </c>
      <c r="S129" s="4" t="s">
        <v>18</v>
      </c>
      <c r="T129" s="4" t="s">
        <v>979</v>
      </c>
      <c r="U129" s="4" t="s">
        <v>359</v>
      </c>
      <c r="V129" s="4" t="s">
        <v>161</v>
      </c>
      <c r="W129" s="4" t="s">
        <v>980</v>
      </c>
    </row>
    <row r="130" spans="2:23" ht="14.25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R130" s="4" t="s">
        <v>289</v>
      </c>
      <c r="S130" s="4" t="s">
        <v>18</v>
      </c>
      <c r="T130" s="4" t="s">
        <v>981</v>
      </c>
      <c r="U130" s="4" t="s">
        <v>359</v>
      </c>
      <c r="V130" s="4" t="s">
        <v>161</v>
      </c>
      <c r="W130" s="4" t="s">
        <v>982</v>
      </c>
    </row>
    <row r="131" spans="2:23" ht="14.25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R131" s="4" t="s">
        <v>289</v>
      </c>
      <c r="S131" s="4" t="s">
        <v>18</v>
      </c>
      <c r="T131" s="4" t="s">
        <v>983</v>
      </c>
      <c r="U131" s="4" t="s">
        <v>359</v>
      </c>
      <c r="V131" s="4" t="s">
        <v>161</v>
      </c>
      <c r="W131" s="4" t="s">
        <v>984</v>
      </c>
    </row>
    <row r="132" spans="2:23" ht="14.25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R132" s="4" t="s">
        <v>289</v>
      </c>
      <c r="S132" s="4" t="s">
        <v>18</v>
      </c>
      <c r="T132" s="4" t="s">
        <v>985</v>
      </c>
      <c r="U132" s="4" t="s">
        <v>359</v>
      </c>
      <c r="V132" s="4" t="s">
        <v>161</v>
      </c>
      <c r="W132" s="4" t="s">
        <v>986</v>
      </c>
    </row>
    <row r="133" spans="2:23" ht="14.25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R133" s="4" t="s">
        <v>289</v>
      </c>
      <c r="S133" s="4" t="s">
        <v>20</v>
      </c>
      <c r="T133" s="4" t="s">
        <v>987</v>
      </c>
      <c r="U133" s="4" t="s">
        <v>359</v>
      </c>
      <c r="V133" s="4" t="s">
        <v>161</v>
      </c>
      <c r="W133" s="4" t="s">
        <v>988</v>
      </c>
    </row>
    <row r="134" spans="2:23" ht="14.25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R134" s="4" t="s">
        <v>289</v>
      </c>
      <c r="S134" s="4" t="s">
        <v>20</v>
      </c>
      <c r="T134" s="4" t="s">
        <v>989</v>
      </c>
      <c r="U134" s="4" t="s">
        <v>359</v>
      </c>
      <c r="V134" s="4" t="s">
        <v>161</v>
      </c>
      <c r="W134" s="4" t="s">
        <v>990</v>
      </c>
    </row>
    <row r="135" spans="2:23" ht="14.25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R135" s="4" t="s">
        <v>289</v>
      </c>
      <c r="S135" s="4" t="s">
        <v>20</v>
      </c>
      <c r="T135" s="4" t="s">
        <v>991</v>
      </c>
      <c r="U135" s="4" t="s">
        <v>359</v>
      </c>
      <c r="V135" s="4" t="s">
        <v>161</v>
      </c>
      <c r="W135" s="4" t="s">
        <v>992</v>
      </c>
    </row>
    <row r="136" spans="2:23" ht="14.25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R136" s="4" t="s">
        <v>289</v>
      </c>
      <c r="S136" s="4" t="s">
        <v>20</v>
      </c>
      <c r="T136" s="4" t="s">
        <v>993</v>
      </c>
      <c r="U136" s="4" t="s">
        <v>359</v>
      </c>
      <c r="V136" s="4" t="s">
        <v>161</v>
      </c>
      <c r="W136" s="4" t="s">
        <v>994</v>
      </c>
    </row>
    <row r="137" spans="2:23" ht="14.25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R137" s="4" t="s">
        <v>289</v>
      </c>
      <c r="S137" s="4" t="s">
        <v>20</v>
      </c>
      <c r="T137" s="4" t="s">
        <v>995</v>
      </c>
      <c r="U137" s="4" t="s">
        <v>359</v>
      </c>
      <c r="V137" s="4" t="s">
        <v>161</v>
      </c>
      <c r="W137" s="4" t="s">
        <v>996</v>
      </c>
    </row>
    <row r="138" spans="2:23" ht="14.25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R138" s="4" t="s">
        <v>289</v>
      </c>
      <c r="S138" s="4" t="s">
        <v>20</v>
      </c>
      <c r="T138" s="4" t="s">
        <v>997</v>
      </c>
      <c r="U138" s="4" t="s">
        <v>359</v>
      </c>
      <c r="V138" s="4" t="s">
        <v>161</v>
      </c>
      <c r="W138" s="4" t="s">
        <v>998</v>
      </c>
    </row>
    <row r="139" spans="2:23" ht="14.25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R139" s="4" t="s">
        <v>289</v>
      </c>
      <c r="S139" s="4" t="s">
        <v>22</v>
      </c>
      <c r="T139" s="4" t="s">
        <v>999</v>
      </c>
      <c r="U139" s="4" t="s">
        <v>359</v>
      </c>
      <c r="V139" s="4" t="s">
        <v>161</v>
      </c>
      <c r="W139" s="4" t="s">
        <v>1000</v>
      </c>
    </row>
    <row r="140" spans="2:23" ht="14.25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R140" s="4" t="s">
        <v>289</v>
      </c>
      <c r="S140" s="4" t="s">
        <v>22</v>
      </c>
      <c r="T140" s="4" t="s">
        <v>1001</v>
      </c>
      <c r="U140" s="4" t="s">
        <v>359</v>
      </c>
      <c r="V140" s="4" t="s">
        <v>161</v>
      </c>
      <c r="W140" s="4" t="s">
        <v>1002</v>
      </c>
    </row>
    <row r="141" spans="2:23" ht="14.25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R141" s="4" t="s">
        <v>289</v>
      </c>
      <c r="S141" s="4" t="s">
        <v>24</v>
      </c>
      <c r="T141" s="4" t="s">
        <v>1003</v>
      </c>
      <c r="U141" s="4" t="s">
        <v>359</v>
      </c>
      <c r="V141" s="4" t="s">
        <v>161</v>
      </c>
      <c r="W141" s="4" t="s">
        <v>1004</v>
      </c>
    </row>
    <row r="142" spans="2:23" ht="14.25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R142" s="4" t="s">
        <v>289</v>
      </c>
      <c r="S142" s="4" t="s">
        <v>24</v>
      </c>
      <c r="T142" s="4" t="s">
        <v>1005</v>
      </c>
      <c r="U142" s="4" t="s">
        <v>359</v>
      </c>
      <c r="V142" s="4" t="s">
        <v>161</v>
      </c>
      <c r="W142" s="4" t="s">
        <v>1006</v>
      </c>
    </row>
    <row r="143" spans="2:23" ht="14.25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R143" s="4" t="s">
        <v>289</v>
      </c>
      <c r="S143" s="4" t="s">
        <v>26</v>
      </c>
      <c r="T143" s="4" t="s">
        <v>1007</v>
      </c>
      <c r="U143" s="4" t="s">
        <v>359</v>
      </c>
      <c r="V143" s="4" t="s">
        <v>161</v>
      </c>
      <c r="W143" s="4" t="s">
        <v>1008</v>
      </c>
    </row>
    <row r="144" spans="2:23" ht="14.25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R144" s="4" t="s">
        <v>289</v>
      </c>
      <c r="S144" s="4" t="s">
        <v>26</v>
      </c>
      <c r="T144" s="4" t="s">
        <v>1009</v>
      </c>
      <c r="U144" s="4" t="s">
        <v>359</v>
      </c>
      <c r="V144" s="4" t="s">
        <v>161</v>
      </c>
      <c r="W144" s="4" t="s">
        <v>1010</v>
      </c>
    </row>
    <row r="145" spans="2:23" ht="14.25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R145" s="4" t="s">
        <v>289</v>
      </c>
      <c r="S145" s="4" t="s">
        <v>26</v>
      </c>
      <c r="T145" s="4" t="s">
        <v>1011</v>
      </c>
      <c r="U145" s="4" t="s">
        <v>359</v>
      </c>
      <c r="V145" s="4" t="s">
        <v>161</v>
      </c>
      <c r="W145" s="4" t="s">
        <v>1012</v>
      </c>
    </row>
    <row r="146" spans="2:23" ht="14.25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R146" s="4" t="s">
        <v>289</v>
      </c>
      <c r="S146" s="4" t="s">
        <v>26</v>
      </c>
      <c r="T146" s="4" t="s">
        <v>1013</v>
      </c>
      <c r="U146" s="4" t="s">
        <v>359</v>
      </c>
      <c r="V146" s="4" t="s">
        <v>161</v>
      </c>
      <c r="W146" s="4" t="s">
        <v>1014</v>
      </c>
    </row>
    <row r="147" spans="2:23" ht="14.25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R147" s="4" t="s">
        <v>289</v>
      </c>
      <c r="S147" s="4" t="s">
        <v>28</v>
      </c>
      <c r="T147" s="4" t="s">
        <v>1015</v>
      </c>
      <c r="U147" s="4" t="s">
        <v>359</v>
      </c>
      <c r="V147" s="4" t="s">
        <v>161</v>
      </c>
      <c r="W147" s="4" t="s">
        <v>1016</v>
      </c>
    </row>
    <row r="148" spans="2:23" ht="14.25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R148" s="4" t="s">
        <v>289</v>
      </c>
      <c r="S148" s="4" t="s">
        <v>28</v>
      </c>
      <c r="T148" s="4" t="s">
        <v>1017</v>
      </c>
      <c r="U148" s="4" t="s">
        <v>359</v>
      </c>
      <c r="V148" s="4" t="s">
        <v>161</v>
      </c>
      <c r="W148" s="4" t="s">
        <v>1018</v>
      </c>
    </row>
    <row r="149" spans="2:23" ht="14.25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R149" s="4" t="s">
        <v>289</v>
      </c>
      <c r="S149" s="4" t="s">
        <v>28</v>
      </c>
      <c r="T149" s="4" t="s">
        <v>1019</v>
      </c>
      <c r="U149" s="4" t="s">
        <v>359</v>
      </c>
      <c r="V149" s="4" t="s">
        <v>161</v>
      </c>
      <c r="W149" s="4" t="s">
        <v>1020</v>
      </c>
    </row>
    <row r="150" spans="2:23" ht="14.25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R150" s="4" t="s">
        <v>289</v>
      </c>
      <c r="S150" s="4" t="s">
        <v>28</v>
      </c>
      <c r="T150" s="4" t="s">
        <v>1021</v>
      </c>
      <c r="U150" s="4" t="s">
        <v>359</v>
      </c>
      <c r="V150" s="4" t="s">
        <v>161</v>
      </c>
      <c r="W150" s="4" t="s">
        <v>1022</v>
      </c>
    </row>
    <row r="151" spans="2:23" ht="14.25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R151" s="4" t="s">
        <v>289</v>
      </c>
      <c r="S151" s="4" t="s">
        <v>30</v>
      </c>
      <c r="T151" s="4" t="s">
        <v>1023</v>
      </c>
      <c r="U151" s="4" t="s">
        <v>359</v>
      </c>
      <c r="V151" s="4" t="s">
        <v>161</v>
      </c>
      <c r="W151" s="4" t="s">
        <v>1024</v>
      </c>
    </row>
    <row r="152" spans="2:23" ht="14.25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R152" s="4" t="s">
        <v>289</v>
      </c>
      <c r="S152" s="4" t="s">
        <v>30</v>
      </c>
      <c r="T152" s="4" t="s">
        <v>1025</v>
      </c>
      <c r="U152" s="4" t="s">
        <v>359</v>
      </c>
      <c r="V152" s="4" t="s">
        <v>161</v>
      </c>
      <c r="W152" s="4" t="s">
        <v>1026</v>
      </c>
    </row>
    <row r="153" spans="2:23" ht="14.25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R153" s="4" t="s">
        <v>289</v>
      </c>
      <c r="S153" s="4" t="s">
        <v>32</v>
      </c>
      <c r="T153" s="4" t="s">
        <v>1027</v>
      </c>
      <c r="U153" s="4" t="s">
        <v>359</v>
      </c>
      <c r="V153" s="4" t="s">
        <v>161</v>
      </c>
      <c r="W153" s="4" t="s">
        <v>1028</v>
      </c>
    </row>
    <row r="154" spans="2:23" ht="14.25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R154" s="4" t="s">
        <v>289</v>
      </c>
      <c r="S154" s="4" t="s">
        <v>32</v>
      </c>
      <c r="T154" s="4" t="s">
        <v>1029</v>
      </c>
      <c r="U154" s="4" t="s">
        <v>359</v>
      </c>
      <c r="V154" s="4" t="s">
        <v>161</v>
      </c>
      <c r="W154" s="4" t="s">
        <v>1030</v>
      </c>
    </row>
    <row r="155" spans="2:23" ht="14.25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R155" s="4" t="s">
        <v>289</v>
      </c>
      <c r="S155" s="4" t="s">
        <v>34</v>
      </c>
      <c r="T155" s="4" t="s">
        <v>1031</v>
      </c>
      <c r="U155" s="4" t="s">
        <v>359</v>
      </c>
      <c r="V155" s="4" t="s">
        <v>161</v>
      </c>
      <c r="W155" s="4" t="s">
        <v>1032</v>
      </c>
    </row>
    <row r="156" spans="2:23" ht="14.25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R156" s="4" t="s">
        <v>289</v>
      </c>
      <c r="S156" s="4" t="s">
        <v>34</v>
      </c>
      <c r="T156" s="4" t="s">
        <v>1033</v>
      </c>
      <c r="U156" s="4" t="s">
        <v>359</v>
      </c>
      <c r="V156" s="4" t="s">
        <v>161</v>
      </c>
      <c r="W156" s="4" t="s">
        <v>1034</v>
      </c>
    </row>
    <row r="157" spans="2:23" ht="14.25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R157" s="4" t="s">
        <v>289</v>
      </c>
      <c r="S157" s="4" t="s">
        <v>34</v>
      </c>
      <c r="T157" s="4" t="s">
        <v>1035</v>
      </c>
      <c r="U157" s="4" t="s">
        <v>359</v>
      </c>
      <c r="V157" s="4" t="s">
        <v>161</v>
      </c>
      <c r="W157" s="4" t="s">
        <v>1036</v>
      </c>
    </row>
    <row r="158" spans="2:23" ht="14.25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R158" s="4" t="s">
        <v>289</v>
      </c>
      <c r="S158" s="4" t="s">
        <v>34</v>
      </c>
      <c r="T158" s="4" t="s">
        <v>1037</v>
      </c>
      <c r="U158" s="4" t="s">
        <v>359</v>
      </c>
      <c r="V158" s="4" t="s">
        <v>161</v>
      </c>
      <c r="W158" s="4" t="s">
        <v>1038</v>
      </c>
    </row>
    <row r="159" spans="2:23" ht="14.25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R159" s="4" t="s">
        <v>289</v>
      </c>
      <c r="S159" s="4" t="s">
        <v>36</v>
      </c>
      <c r="T159" s="4" t="s">
        <v>1039</v>
      </c>
      <c r="U159" s="4" t="s">
        <v>359</v>
      </c>
      <c r="V159" s="4" t="s">
        <v>161</v>
      </c>
      <c r="W159" s="4" t="s">
        <v>1040</v>
      </c>
    </row>
    <row r="160" spans="2:23" ht="14.25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R160" s="4" t="s">
        <v>289</v>
      </c>
      <c r="S160" s="4" t="s">
        <v>36</v>
      </c>
      <c r="T160" s="4" t="s">
        <v>1041</v>
      </c>
      <c r="U160" s="4" t="s">
        <v>359</v>
      </c>
      <c r="V160" s="4" t="s">
        <v>161</v>
      </c>
      <c r="W160" s="4" t="s">
        <v>1042</v>
      </c>
    </row>
    <row r="161" spans="2:23" ht="14.25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R161" s="4" t="s">
        <v>289</v>
      </c>
      <c r="S161" s="4" t="s">
        <v>36</v>
      </c>
      <c r="T161" s="4" t="s">
        <v>1043</v>
      </c>
      <c r="U161" s="4" t="s">
        <v>359</v>
      </c>
      <c r="V161" s="4" t="s">
        <v>161</v>
      </c>
      <c r="W161" s="4" t="s">
        <v>1044</v>
      </c>
    </row>
    <row r="162" spans="2:23" ht="14.25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R162" s="4" t="s">
        <v>289</v>
      </c>
      <c r="S162" s="4" t="s">
        <v>36</v>
      </c>
      <c r="T162" s="4" t="s">
        <v>1045</v>
      </c>
      <c r="U162" s="4" t="s">
        <v>359</v>
      </c>
      <c r="V162" s="4" t="s">
        <v>161</v>
      </c>
      <c r="W162" s="4" t="s">
        <v>1046</v>
      </c>
    </row>
    <row r="163" spans="2:23" ht="14.25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R163" s="4" t="s">
        <v>289</v>
      </c>
      <c r="S163" s="4" t="s">
        <v>36</v>
      </c>
      <c r="T163" s="4" t="s">
        <v>1047</v>
      </c>
      <c r="U163" s="4" t="s">
        <v>359</v>
      </c>
      <c r="V163" s="4" t="s">
        <v>161</v>
      </c>
      <c r="W163" s="4" t="s">
        <v>1048</v>
      </c>
    </row>
    <row r="164" spans="2:23" ht="14.25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R164" s="4" t="s">
        <v>289</v>
      </c>
      <c r="S164" s="4" t="s">
        <v>36</v>
      </c>
      <c r="T164" s="4" t="s">
        <v>1049</v>
      </c>
      <c r="U164" s="4" t="s">
        <v>359</v>
      </c>
      <c r="V164" s="4" t="s">
        <v>161</v>
      </c>
      <c r="W164" s="4" t="s">
        <v>1050</v>
      </c>
    </row>
    <row r="165" spans="2:23" ht="14.25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R165" s="4" t="s">
        <v>289</v>
      </c>
      <c r="S165" s="4" t="s">
        <v>38</v>
      </c>
      <c r="T165" s="4" t="s">
        <v>1051</v>
      </c>
      <c r="U165" s="4" t="s">
        <v>359</v>
      </c>
      <c r="V165" s="4" t="s">
        <v>161</v>
      </c>
      <c r="W165" s="4" t="s">
        <v>1052</v>
      </c>
    </row>
    <row r="166" spans="2:23" ht="14.25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R166" s="4" t="s">
        <v>289</v>
      </c>
      <c r="S166" s="4" t="s">
        <v>38</v>
      </c>
      <c r="T166" s="4" t="s">
        <v>1053</v>
      </c>
      <c r="U166" s="4" t="s">
        <v>359</v>
      </c>
      <c r="V166" s="4" t="s">
        <v>161</v>
      </c>
      <c r="W166" s="4" t="s">
        <v>1054</v>
      </c>
    </row>
    <row r="167" spans="2:23" ht="14.25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R167" s="4" t="s">
        <v>289</v>
      </c>
      <c r="S167" s="4" t="s">
        <v>40</v>
      </c>
      <c r="T167" s="4" t="s">
        <v>1055</v>
      </c>
      <c r="U167" s="4" t="s">
        <v>359</v>
      </c>
      <c r="V167" s="4" t="s">
        <v>161</v>
      </c>
      <c r="W167" s="4" t="s">
        <v>1056</v>
      </c>
    </row>
    <row r="168" spans="2:23" ht="14.25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R168" s="4" t="s">
        <v>289</v>
      </c>
      <c r="S168" s="4" t="s">
        <v>40</v>
      </c>
      <c r="T168" s="4" t="s">
        <v>1057</v>
      </c>
      <c r="U168" s="4" t="s">
        <v>359</v>
      </c>
      <c r="V168" s="4" t="s">
        <v>161</v>
      </c>
      <c r="W168" s="4" t="s">
        <v>1058</v>
      </c>
    </row>
    <row r="169" spans="2:23" ht="14.25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R169" s="4" t="s">
        <v>289</v>
      </c>
      <c r="S169" s="4" t="s">
        <v>42</v>
      </c>
      <c r="T169" s="4" t="s">
        <v>1059</v>
      </c>
      <c r="U169" s="4" t="s">
        <v>359</v>
      </c>
      <c r="V169" s="4" t="s">
        <v>161</v>
      </c>
      <c r="W169" s="4" t="s">
        <v>1060</v>
      </c>
    </row>
    <row r="170" spans="2:23" ht="14.25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R170" s="4" t="s">
        <v>289</v>
      </c>
      <c r="S170" s="4" t="s">
        <v>42</v>
      </c>
      <c r="T170" s="4" t="s">
        <v>1061</v>
      </c>
      <c r="U170" s="4" t="s">
        <v>359</v>
      </c>
      <c r="V170" s="4" t="s">
        <v>161</v>
      </c>
      <c r="W170" s="4" t="s">
        <v>1062</v>
      </c>
    </row>
    <row r="171" spans="2:23" ht="14.25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R171" s="4" t="s">
        <v>289</v>
      </c>
      <c r="S171" s="4" t="s">
        <v>44</v>
      </c>
      <c r="T171" s="4" t="s">
        <v>1063</v>
      </c>
      <c r="U171" s="4" t="s">
        <v>359</v>
      </c>
      <c r="V171" s="4" t="s">
        <v>161</v>
      </c>
      <c r="W171" s="4" t="s">
        <v>1064</v>
      </c>
    </row>
    <row r="172" spans="2:23" ht="14.25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R172" s="4" t="s">
        <v>289</v>
      </c>
      <c r="S172" s="4" t="s">
        <v>44</v>
      </c>
      <c r="T172" s="4" t="s">
        <v>1065</v>
      </c>
      <c r="U172" s="4" t="s">
        <v>359</v>
      </c>
      <c r="V172" s="4" t="s">
        <v>161</v>
      </c>
      <c r="W172" s="4" t="s">
        <v>1066</v>
      </c>
    </row>
    <row r="173" spans="2:23" ht="14.25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R173" s="4" t="s">
        <v>289</v>
      </c>
      <c r="S173" s="4" t="s">
        <v>44</v>
      </c>
      <c r="T173" s="4" t="s">
        <v>1067</v>
      </c>
      <c r="U173" s="4" t="s">
        <v>359</v>
      </c>
      <c r="V173" s="4" t="s">
        <v>161</v>
      </c>
      <c r="W173" s="4" t="s">
        <v>1068</v>
      </c>
    </row>
    <row r="174" spans="2:23" ht="14.25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R174" s="4" t="s">
        <v>289</v>
      </c>
      <c r="S174" s="4" t="s">
        <v>44</v>
      </c>
      <c r="T174" s="4" t="s">
        <v>1069</v>
      </c>
      <c r="U174" s="4" t="s">
        <v>359</v>
      </c>
      <c r="V174" s="4" t="s">
        <v>161</v>
      </c>
      <c r="W174" s="4" t="s">
        <v>1070</v>
      </c>
    </row>
    <row r="175" spans="2:23" ht="14.25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R175" s="4" t="s">
        <v>289</v>
      </c>
      <c r="S175" s="4" t="s">
        <v>46</v>
      </c>
      <c r="T175" s="4" t="s">
        <v>1071</v>
      </c>
      <c r="U175" s="4" t="s">
        <v>359</v>
      </c>
      <c r="V175" s="4" t="s">
        <v>161</v>
      </c>
      <c r="W175" s="4" t="s">
        <v>1072</v>
      </c>
    </row>
    <row r="176" spans="2:23" ht="14.25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R176" s="4" t="s">
        <v>289</v>
      </c>
      <c r="S176" s="4" t="s">
        <v>46</v>
      </c>
      <c r="T176" s="4" t="s">
        <v>1073</v>
      </c>
      <c r="U176" s="4" t="s">
        <v>359</v>
      </c>
      <c r="V176" s="4" t="s">
        <v>161</v>
      </c>
      <c r="W176" s="4" t="s">
        <v>1074</v>
      </c>
    </row>
    <row r="177" spans="2:23" ht="14.25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R177" s="4" t="s">
        <v>289</v>
      </c>
      <c r="S177" s="4" t="s">
        <v>48</v>
      </c>
      <c r="T177" s="4" t="s">
        <v>1075</v>
      </c>
      <c r="U177" s="4" t="s">
        <v>359</v>
      </c>
      <c r="V177" s="4" t="s">
        <v>161</v>
      </c>
      <c r="W177" s="4" t="s">
        <v>1076</v>
      </c>
    </row>
    <row r="178" spans="2:23" ht="14.25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R178" s="4" t="s">
        <v>289</v>
      </c>
      <c r="S178" s="4" t="s">
        <v>48</v>
      </c>
      <c r="T178" s="4" t="s">
        <v>1077</v>
      </c>
      <c r="U178" s="4" t="s">
        <v>359</v>
      </c>
      <c r="V178" s="4" t="s">
        <v>161</v>
      </c>
      <c r="W178" s="4" t="s">
        <v>1078</v>
      </c>
    </row>
    <row r="179" spans="2:23" ht="14.25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R179" s="4" t="s">
        <v>289</v>
      </c>
      <c r="S179" s="4" t="s">
        <v>48</v>
      </c>
      <c r="T179" s="4" t="s">
        <v>1079</v>
      </c>
      <c r="U179" s="4" t="s">
        <v>359</v>
      </c>
      <c r="V179" s="4" t="s">
        <v>161</v>
      </c>
      <c r="W179" s="4" t="s">
        <v>1080</v>
      </c>
    </row>
    <row r="180" spans="2:23" ht="14.25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R180" s="4" t="s">
        <v>289</v>
      </c>
      <c r="S180" s="4" t="s">
        <v>48</v>
      </c>
      <c r="T180" s="4" t="s">
        <v>1081</v>
      </c>
      <c r="U180" s="4" t="s">
        <v>359</v>
      </c>
      <c r="V180" s="4" t="s">
        <v>161</v>
      </c>
      <c r="W180" s="4" t="s">
        <v>1082</v>
      </c>
    </row>
    <row r="181" spans="2:23" ht="14.25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R181" s="4" t="s">
        <v>289</v>
      </c>
      <c r="S181" s="4" t="s">
        <v>48</v>
      </c>
      <c r="T181" s="4" t="s">
        <v>1083</v>
      </c>
      <c r="U181" s="4" t="s">
        <v>359</v>
      </c>
      <c r="V181" s="4" t="s">
        <v>161</v>
      </c>
      <c r="W181" s="4" t="s">
        <v>1084</v>
      </c>
    </row>
    <row r="182" spans="2:23" ht="14.25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R182" s="4" t="s">
        <v>289</v>
      </c>
      <c r="S182" s="4" t="s">
        <v>48</v>
      </c>
      <c r="T182" s="4" t="s">
        <v>1085</v>
      </c>
      <c r="U182" s="4" t="s">
        <v>359</v>
      </c>
      <c r="V182" s="4" t="s">
        <v>161</v>
      </c>
      <c r="W182" s="4" t="s">
        <v>1086</v>
      </c>
    </row>
    <row r="183" spans="2:23" ht="14.25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R183" s="4" t="s">
        <v>289</v>
      </c>
      <c r="S183" s="4" t="s">
        <v>48</v>
      </c>
      <c r="T183" s="4" t="s">
        <v>1087</v>
      </c>
      <c r="U183" s="4" t="s">
        <v>359</v>
      </c>
      <c r="V183" s="4" t="s">
        <v>161</v>
      </c>
      <c r="W183" s="4" t="s">
        <v>1088</v>
      </c>
    </row>
    <row r="184" spans="2:23" ht="14.25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R184" s="4" t="s">
        <v>289</v>
      </c>
      <c r="S184" s="4" t="s">
        <v>48</v>
      </c>
      <c r="T184" s="4" t="s">
        <v>1089</v>
      </c>
      <c r="U184" s="4" t="s">
        <v>359</v>
      </c>
      <c r="V184" s="4" t="s">
        <v>161</v>
      </c>
      <c r="W184" s="4" t="s">
        <v>1090</v>
      </c>
    </row>
    <row r="185" spans="2:23" ht="14.25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R185" s="4" t="s">
        <v>289</v>
      </c>
      <c r="S185" s="4" t="s">
        <v>48</v>
      </c>
      <c r="T185" s="4" t="s">
        <v>1091</v>
      </c>
      <c r="U185" s="4" t="s">
        <v>359</v>
      </c>
      <c r="V185" s="4" t="s">
        <v>161</v>
      </c>
      <c r="W185" s="4" t="s">
        <v>1092</v>
      </c>
    </row>
    <row r="186" spans="2:23" ht="14.25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R186" s="4" t="s">
        <v>289</v>
      </c>
      <c r="S186" s="4" t="s">
        <v>48</v>
      </c>
      <c r="T186" s="4" t="s">
        <v>1093</v>
      </c>
      <c r="U186" s="4" t="s">
        <v>359</v>
      </c>
      <c r="V186" s="4" t="s">
        <v>161</v>
      </c>
      <c r="W186" s="4" t="s">
        <v>1094</v>
      </c>
    </row>
    <row r="187" spans="2:23" ht="14.25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R187" s="4" t="s">
        <v>289</v>
      </c>
      <c r="S187" s="4" t="s">
        <v>48</v>
      </c>
      <c r="T187" s="4" t="s">
        <v>1095</v>
      </c>
      <c r="U187" s="4" t="s">
        <v>359</v>
      </c>
      <c r="V187" s="4" t="s">
        <v>161</v>
      </c>
      <c r="W187" s="4" t="s">
        <v>1096</v>
      </c>
    </row>
    <row r="188" spans="2:23" ht="14.25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R188" s="4" t="s">
        <v>289</v>
      </c>
      <c r="S188" s="4" t="s">
        <v>48</v>
      </c>
      <c r="T188" s="4" t="s">
        <v>1097</v>
      </c>
      <c r="U188" s="4" t="s">
        <v>359</v>
      </c>
      <c r="V188" s="4" t="s">
        <v>161</v>
      </c>
      <c r="W188" s="4" t="s">
        <v>1098</v>
      </c>
    </row>
    <row r="189" spans="2:23" ht="14.25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R189" s="4" t="s">
        <v>289</v>
      </c>
      <c r="S189" s="4" t="s">
        <v>48</v>
      </c>
      <c r="T189" s="4" t="s">
        <v>1099</v>
      </c>
      <c r="U189" s="4" t="s">
        <v>359</v>
      </c>
      <c r="V189" s="4" t="s">
        <v>161</v>
      </c>
      <c r="W189" s="4" t="s">
        <v>1100</v>
      </c>
    </row>
    <row r="190" spans="2:23" ht="14.25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R190" s="4" t="s">
        <v>289</v>
      </c>
      <c r="S190" s="4" t="s">
        <v>48</v>
      </c>
      <c r="T190" s="4" t="s">
        <v>1101</v>
      </c>
      <c r="U190" s="4" t="s">
        <v>359</v>
      </c>
      <c r="V190" s="4" t="s">
        <v>161</v>
      </c>
      <c r="W190" s="4" t="s">
        <v>1102</v>
      </c>
    </row>
    <row r="191" spans="2:23" ht="14.25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R191" s="4" t="s">
        <v>289</v>
      </c>
      <c r="S191" s="4" t="s">
        <v>48</v>
      </c>
      <c r="T191" s="4" t="s">
        <v>1103</v>
      </c>
      <c r="U191" s="4" t="s">
        <v>359</v>
      </c>
      <c r="V191" s="4" t="s">
        <v>161</v>
      </c>
      <c r="W191" s="4" t="s">
        <v>1104</v>
      </c>
    </row>
    <row r="192" spans="2:23" ht="14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R192" s="4" t="s">
        <v>289</v>
      </c>
      <c r="S192" s="4" t="s">
        <v>48</v>
      </c>
      <c r="T192" s="4" t="s">
        <v>1105</v>
      </c>
      <c r="U192" s="4" t="s">
        <v>359</v>
      </c>
      <c r="V192" s="4" t="s">
        <v>161</v>
      </c>
      <c r="W192" s="4" t="s">
        <v>1106</v>
      </c>
    </row>
    <row r="193" spans="2:23" ht="14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R193" s="4" t="s">
        <v>289</v>
      </c>
      <c r="S193" s="4" t="s">
        <v>48</v>
      </c>
      <c r="T193" s="4" t="s">
        <v>1107</v>
      </c>
      <c r="U193" s="4" t="s">
        <v>359</v>
      </c>
      <c r="V193" s="4" t="s">
        <v>161</v>
      </c>
      <c r="W193" s="4" t="s">
        <v>1108</v>
      </c>
    </row>
    <row r="194" spans="2:23" ht="14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R194" s="4" t="s">
        <v>289</v>
      </c>
      <c r="S194" s="4" t="s">
        <v>48</v>
      </c>
      <c r="T194" s="4" t="s">
        <v>1109</v>
      </c>
      <c r="U194" s="4" t="s">
        <v>359</v>
      </c>
      <c r="V194" s="4" t="s">
        <v>161</v>
      </c>
      <c r="W194" s="4" t="s">
        <v>1110</v>
      </c>
    </row>
    <row r="195" spans="2:23" ht="14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R195" s="4" t="s">
        <v>289</v>
      </c>
      <c r="S195" s="4" t="s">
        <v>48</v>
      </c>
      <c r="T195" s="4" t="s">
        <v>1111</v>
      </c>
      <c r="U195" s="4" t="s">
        <v>359</v>
      </c>
      <c r="V195" s="4" t="s">
        <v>161</v>
      </c>
      <c r="W195" s="4" t="s">
        <v>1112</v>
      </c>
    </row>
    <row r="196" spans="2:23" ht="14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R196" s="4" t="s">
        <v>289</v>
      </c>
      <c r="S196" s="4" t="s">
        <v>48</v>
      </c>
      <c r="T196" s="4" t="s">
        <v>1113</v>
      </c>
      <c r="U196" s="4" t="s">
        <v>359</v>
      </c>
      <c r="V196" s="4" t="s">
        <v>161</v>
      </c>
      <c r="W196" s="4" t="s">
        <v>1114</v>
      </c>
    </row>
    <row r="197" spans="2:23" ht="14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R197" s="4" t="s">
        <v>289</v>
      </c>
      <c r="S197" s="4" t="s">
        <v>48</v>
      </c>
      <c r="T197" s="4" t="s">
        <v>1115</v>
      </c>
      <c r="U197" s="4" t="s">
        <v>359</v>
      </c>
      <c r="V197" s="4" t="s">
        <v>161</v>
      </c>
      <c r="W197" s="4" t="s">
        <v>1116</v>
      </c>
    </row>
    <row r="198" spans="2:23" ht="14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R198" s="4" t="s">
        <v>289</v>
      </c>
      <c r="S198" s="4" t="s">
        <v>48</v>
      </c>
      <c r="T198" s="4" t="s">
        <v>1117</v>
      </c>
      <c r="U198" s="4" t="s">
        <v>359</v>
      </c>
      <c r="V198" s="4" t="s">
        <v>161</v>
      </c>
      <c r="W198" s="4" t="s">
        <v>1118</v>
      </c>
    </row>
    <row r="199" spans="2:23" ht="14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R199" s="4" t="s">
        <v>289</v>
      </c>
      <c r="S199" s="4" t="s">
        <v>48</v>
      </c>
      <c r="T199" s="4" t="s">
        <v>1119</v>
      </c>
      <c r="U199" s="4" t="s">
        <v>359</v>
      </c>
      <c r="V199" s="4" t="s">
        <v>161</v>
      </c>
      <c r="W199" s="4" t="s">
        <v>1120</v>
      </c>
    </row>
    <row r="200" spans="2:23" ht="14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R200" s="4" t="s">
        <v>289</v>
      </c>
      <c r="S200" s="4" t="s">
        <v>48</v>
      </c>
      <c r="T200" s="4" t="s">
        <v>1121</v>
      </c>
      <c r="U200" s="4" t="s">
        <v>359</v>
      </c>
      <c r="V200" s="4" t="s">
        <v>161</v>
      </c>
      <c r="W200" s="4" t="s">
        <v>1122</v>
      </c>
    </row>
    <row r="201" spans="2:23" ht="14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R201" s="4" t="s">
        <v>289</v>
      </c>
      <c r="S201" s="4" t="s">
        <v>48</v>
      </c>
      <c r="T201" s="4" t="s">
        <v>1123</v>
      </c>
      <c r="U201" s="4" t="s">
        <v>359</v>
      </c>
      <c r="V201" s="4" t="s">
        <v>161</v>
      </c>
      <c r="W201" s="4" t="s">
        <v>1124</v>
      </c>
    </row>
    <row r="202" spans="2:23" ht="14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R202" s="4" t="s">
        <v>289</v>
      </c>
      <c r="S202" s="4" t="s">
        <v>48</v>
      </c>
      <c r="T202" s="4" t="s">
        <v>1125</v>
      </c>
      <c r="U202" s="4" t="s">
        <v>359</v>
      </c>
      <c r="V202" s="4" t="s">
        <v>161</v>
      </c>
      <c r="W202" s="4" t="s">
        <v>1126</v>
      </c>
    </row>
    <row r="203" spans="2:23" ht="14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R203" s="4" t="s">
        <v>289</v>
      </c>
      <c r="S203" s="4" t="s">
        <v>48</v>
      </c>
      <c r="T203" s="4" t="s">
        <v>1127</v>
      </c>
      <c r="U203" s="4" t="s">
        <v>359</v>
      </c>
      <c r="V203" s="4" t="s">
        <v>161</v>
      </c>
      <c r="W203" s="4" t="s">
        <v>1128</v>
      </c>
    </row>
    <row r="204" spans="2:23" ht="14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R204" s="4" t="s">
        <v>289</v>
      </c>
      <c r="S204" s="4" t="s">
        <v>48</v>
      </c>
      <c r="T204" s="4" t="s">
        <v>1129</v>
      </c>
      <c r="U204" s="4" t="s">
        <v>359</v>
      </c>
      <c r="V204" s="4" t="s">
        <v>161</v>
      </c>
      <c r="W204" s="4" t="s">
        <v>1130</v>
      </c>
    </row>
    <row r="205" spans="2:23" ht="14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R205" s="4" t="s">
        <v>289</v>
      </c>
      <c r="S205" s="4" t="s">
        <v>48</v>
      </c>
      <c r="T205" s="4" t="s">
        <v>1131</v>
      </c>
      <c r="U205" s="4" t="s">
        <v>359</v>
      </c>
      <c r="V205" s="4" t="s">
        <v>161</v>
      </c>
      <c r="W205" s="4" t="s">
        <v>1132</v>
      </c>
    </row>
    <row r="206" spans="2:23" ht="14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R206" s="4" t="s">
        <v>289</v>
      </c>
      <c r="S206" s="4" t="s">
        <v>48</v>
      </c>
      <c r="T206" s="4" t="s">
        <v>1133</v>
      </c>
      <c r="U206" s="4" t="s">
        <v>359</v>
      </c>
      <c r="V206" s="4" t="s">
        <v>161</v>
      </c>
      <c r="W206" s="4" t="s">
        <v>1134</v>
      </c>
    </row>
    <row r="207" spans="2:23" ht="14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R207" s="4" t="s">
        <v>289</v>
      </c>
      <c r="S207" s="4" t="s">
        <v>48</v>
      </c>
      <c r="T207" s="4" t="s">
        <v>1135</v>
      </c>
      <c r="U207" s="4" t="s">
        <v>359</v>
      </c>
      <c r="V207" s="4" t="s">
        <v>161</v>
      </c>
      <c r="W207" s="4" t="s">
        <v>1136</v>
      </c>
    </row>
    <row r="208" spans="2:23" ht="14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R208" s="4" t="s">
        <v>289</v>
      </c>
      <c r="S208" s="4" t="s">
        <v>48</v>
      </c>
      <c r="T208" s="4" t="s">
        <v>1137</v>
      </c>
      <c r="U208" s="4" t="s">
        <v>359</v>
      </c>
      <c r="V208" s="4" t="s">
        <v>161</v>
      </c>
      <c r="W208" s="4" t="s">
        <v>1138</v>
      </c>
    </row>
    <row r="209" spans="2:23" ht="14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R209" s="4" t="s">
        <v>289</v>
      </c>
      <c r="S209" s="4" t="s">
        <v>48</v>
      </c>
      <c r="T209" s="4" t="s">
        <v>1139</v>
      </c>
      <c r="U209" s="4" t="s">
        <v>359</v>
      </c>
      <c r="V209" s="4" t="s">
        <v>161</v>
      </c>
      <c r="W209" s="4" t="s">
        <v>1140</v>
      </c>
    </row>
    <row r="210" spans="2:23" ht="14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R210" s="4" t="s">
        <v>289</v>
      </c>
      <c r="S210" s="4" t="s">
        <v>48</v>
      </c>
      <c r="T210" s="4" t="s">
        <v>1141</v>
      </c>
      <c r="U210" s="4" t="s">
        <v>359</v>
      </c>
      <c r="V210" s="4" t="s">
        <v>161</v>
      </c>
      <c r="W210" s="4" t="s">
        <v>1142</v>
      </c>
    </row>
    <row r="211" spans="2:23" ht="14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R211" s="4" t="s">
        <v>289</v>
      </c>
      <c r="S211" s="4" t="s">
        <v>48</v>
      </c>
      <c r="T211" s="4" t="s">
        <v>1143</v>
      </c>
      <c r="U211" s="4" t="s">
        <v>359</v>
      </c>
      <c r="V211" s="4" t="s">
        <v>161</v>
      </c>
      <c r="W211" s="4" t="s">
        <v>1144</v>
      </c>
    </row>
    <row r="212" spans="2:23" ht="14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R212" s="4" t="s">
        <v>289</v>
      </c>
      <c r="S212" s="4" t="s">
        <v>48</v>
      </c>
      <c r="T212" s="4" t="s">
        <v>1145</v>
      </c>
      <c r="U212" s="4" t="s">
        <v>359</v>
      </c>
      <c r="V212" s="4" t="s">
        <v>161</v>
      </c>
      <c r="W212" s="4" t="s">
        <v>1146</v>
      </c>
    </row>
    <row r="213" spans="2:23" ht="14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R213" s="4" t="s">
        <v>289</v>
      </c>
      <c r="S213" s="4" t="s">
        <v>48</v>
      </c>
      <c r="T213" s="4" t="s">
        <v>1147</v>
      </c>
      <c r="U213" s="4" t="s">
        <v>359</v>
      </c>
      <c r="V213" s="4" t="s">
        <v>161</v>
      </c>
      <c r="W213" s="4" t="s">
        <v>1148</v>
      </c>
    </row>
    <row r="214" spans="2:23" ht="14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R214" s="4" t="s">
        <v>289</v>
      </c>
      <c r="S214" s="4" t="s">
        <v>48</v>
      </c>
      <c r="T214" s="4" t="s">
        <v>1149</v>
      </c>
      <c r="U214" s="4" t="s">
        <v>359</v>
      </c>
      <c r="V214" s="4" t="s">
        <v>161</v>
      </c>
      <c r="W214" s="4" t="s">
        <v>1150</v>
      </c>
    </row>
    <row r="215" spans="2:23" ht="14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R215" s="4" t="s">
        <v>289</v>
      </c>
      <c r="S215" s="4" t="s">
        <v>48</v>
      </c>
      <c r="T215" s="4" t="s">
        <v>1151</v>
      </c>
      <c r="U215" s="4" t="s">
        <v>359</v>
      </c>
      <c r="V215" s="4" t="s">
        <v>161</v>
      </c>
      <c r="W215" s="4" t="s">
        <v>1152</v>
      </c>
    </row>
    <row r="216" spans="2:23" ht="14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R216" s="4" t="s">
        <v>289</v>
      </c>
      <c r="S216" s="4" t="s">
        <v>48</v>
      </c>
      <c r="T216" s="4" t="s">
        <v>1153</v>
      </c>
      <c r="U216" s="4" t="s">
        <v>359</v>
      </c>
      <c r="V216" s="4" t="s">
        <v>161</v>
      </c>
      <c r="W216" s="4" t="s">
        <v>1154</v>
      </c>
    </row>
    <row r="217" spans="2:23" ht="14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R217" s="4" t="s">
        <v>289</v>
      </c>
      <c r="S217" s="4" t="s">
        <v>48</v>
      </c>
      <c r="T217" s="4" t="s">
        <v>1155</v>
      </c>
      <c r="U217" s="4" t="s">
        <v>359</v>
      </c>
      <c r="V217" s="4" t="s">
        <v>161</v>
      </c>
      <c r="W217" s="4" t="s">
        <v>1156</v>
      </c>
    </row>
    <row r="218" spans="2:23" ht="14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R218" s="4" t="s">
        <v>289</v>
      </c>
      <c r="S218" s="4" t="s">
        <v>48</v>
      </c>
      <c r="T218" s="4" t="s">
        <v>1157</v>
      </c>
      <c r="U218" s="4" t="s">
        <v>359</v>
      </c>
      <c r="V218" s="4" t="s">
        <v>161</v>
      </c>
      <c r="W218" s="4" t="s">
        <v>1158</v>
      </c>
    </row>
    <row r="219" spans="2:23" ht="14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R219" s="4" t="s">
        <v>289</v>
      </c>
      <c r="S219" s="4" t="s">
        <v>48</v>
      </c>
      <c r="T219" s="4" t="s">
        <v>1159</v>
      </c>
      <c r="U219" s="4" t="s">
        <v>359</v>
      </c>
      <c r="V219" s="4" t="s">
        <v>161</v>
      </c>
      <c r="W219" s="4" t="s">
        <v>1160</v>
      </c>
    </row>
    <row r="220" spans="2:23" ht="14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R220" s="4" t="s">
        <v>289</v>
      </c>
      <c r="S220" s="4" t="s">
        <v>48</v>
      </c>
      <c r="T220" s="4" t="s">
        <v>1161</v>
      </c>
      <c r="U220" s="4" t="s">
        <v>359</v>
      </c>
      <c r="V220" s="4" t="s">
        <v>161</v>
      </c>
      <c r="W220" s="4" t="s">
        <v>1162</v>
      </c>
    </row>
    <row r="221" spans="2:23" ht="14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R221" s="4" t="s">
        <v>289</v>
      </c>
      <c r="S221" s="4" t="s">
        <v>48</v>
      </c>
      <c r="T221" s="4" t="s">
        <v>1163</v>
      </c>
      <c r="U221" s="4" t="s">
        <v>359</v>
      </c>
      <c r="V221" s="4" t="s">
        <v>161</v>
      </c>
      <c r="W221" s="4" t="s">
        <v>1164</v>
      </c>
    </row>
    <row r="222" spans="2:23" ht="14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R222" s="4" t="s">
        <v>289</v>
      </c>
      <c r="S222" s="4" t="s">
        <v>48</v>
      </c>
      <c r="T222" s="4" t="s">
        <v>1165</v>
      </c>
      <c r="U222" s="4" t="s">
        <v>359</v>
      </c>
      <c r="V222" s="4" t="s">
        <v>161</v>
      </c>
      <c r="W222" s="4" t="s">
        <v>1166</v>
      </c>
    </row>
    <row r="223" spans="2:23" ht="14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R223" s="4" t="s">
        <v>289</v>
      </c>
      <c r="S223" s="4" t="s">
        <v>48</v>
      </c>
      <c r="T223" s="4" t="s">
        <v>1167</v>
      </c>
      <c r="U223" s="4" t="s">
        <v>359</v>
      </c>
      <c r="V223" s="4" t="s">
        <v>161</v>
      </c>
      <c r="W223" s="4" t="s">
        <v>1168</v>
      </c>
    </row>
    <row r="224" spans="2:23" ht="14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R224" s="4" t="s">
        <v>289</v>
      </c>
      <c r="S224" s="4" t="s">
        <v>48</v>
      </c>
      <c r="T224" s="4" t="s">
        <v>1169</v>
      </c>
      <c r="U224" s="4" t="s">
        <v>359</v>
      </c>
      <c r="V224" s="4" t="s">
        <v>161</v>
      </c>
      <c r="W224" s="4" t="s">
        <v>1170</v>
      </c>
    </row>
    <row r="225" spans="2:23" ht="14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R225" s="4" t="s">
        <v>289</v>
      </c>
      <c r="S225" s="4" t="s">
        <v>48</v>
      </c>
      <c r="T225" s="4" t="s">
        <v>1171</v>
      </c>
      <c r="U225" s="4" t="s">
        <v>359</v>
      </c>
      <c r="V225" s="4" t="s">
        <v>161</v>
      </c>
      <c r="W225" s="4" t="s">
        <v>1172</v>
      </c>
    </row>
    <row r="226" spans="2:23" ht="14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R226" s="4" t="s">
        <v>289</v>
      </c>
      <c r="S226" s="4" t="s">
        <v>48</v>
      </c>
      <c r="T226" s="4" t="s">
        <v>1173</v>
      </c>
      <c r="U226" s="4" t="s">
        <v>359</v>
      </c>
      <c r="V226" s="4" t="s">
        <v>161</v>
      </c>
      <c r="W226" s="4" t="s">
        <v>1174</v>
      </c>
    </row>
    <row r="227" spans="2:23" ht="14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R227" s="4" t="s">
        <v>289</v>
      </c>
      <c r="S227" s="4" t="s">
        <v>48</v>
      </c>
      <c r="T227" s="4" t="s">
        <v>1175</v>
      </c>
      <c r="U227" s="4" t="s">
        <v>359</v>
      </c>
      <c r="V227" s="4" t="s">
        <v>161</v>
      </c>
      <c r="W227" s="4" t="s">
        <v>1176</v>
      </c>
    </row>
    <row r="228" spans="2:23" ht="14.25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R228" s="4" t="s">
        <v>289</v>
      </c>
      <c r="S228" s="4" t="s">
        <v>48</v>
      </c>
      <c r="T228" s="4" t="s">
        <v>1177</v>
      </c>
      <c r="U228" s="4" t="s">
        <v>359</v>
      </c>
      <c r="V228" s="4" t="s">
        <v>161</v>
      </c>
      <c r="W228" s="4" t="s">
        <v>1178</v>
      </c>
    </row>
    <row r="229" spans="2:23" ht="14.25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R229" s="4" t="s">
        <v>289</v>
      </c>
      <c r="S229" s="4" t="s">
        <v>48</v>
      </c>
      <c r="T229" s="4" t="s">
        <v>1179</v>
      </c>
      <c r="U229" s="4" t="s">
        <v>359</v>
      </c>
      <c r="V229" s="4" t="s">
        <v>161</v>
      </c>
      <c r="W229" s="4" t="s">
        <v>1180</v>
      </c>
    </row>
    <row r="230" spans="2:23" ht="14.25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R230" s="4" t="s">
        <v>289</v>
      </c>
      <c r="S230" s="4" t="s">
        <v>48</v>
      </c>
      <c r="T230" s="4" t="s">
        <v>1181</v>
      </c>
      <c r="U230" s="4" t="s">
        <v>359</v>
      </c>
      <c r="V230" s="4" t="s">
        <v>161</v>
      </c>
      <c r="W230" s="4" t="s">
        <v>1182</v>
      </c>
    </row>
    <row r="231" spans="2:23" ht="14.25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R231" s="4" t="s">
        <v>289</v>
      </c>
      <c r="S231" s="4" t="s">
        <v>48</v>
      </c>
      <c r="T231" s="4" t="s">
        <v>1183</v>
      </c>
      <c r="U231" s="4" t="s">
        <v>359</v>
      </c>
      <c r="V231" s="4" t="s">
        <v>161</v>
      </c>
      <c r="W231" s="4" t="s">
        <v>1184</v>
      </c>
    </row>
    <row r="232" spans="2:23" ht="14.25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R232" s="4" t="s">
        <v>289</v>
      </c>
      <c r="S232" s="4" t="s">
        <v>48</v>
      </c>
      <c r="T232" s="4" t="s">
        <v>1185</v>
      </c>
      <c r="U232" s="4" t="s">
        <v>359</v>
      </c>
      <c r="V232" s="4" t="s">
        <v>161</v>
      </c>
      <c r="W232" s="4" t="s">
        <v>1186</v>
      </c>
    </row>
    <row r="233" spans="2:23" ht="14.25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R233" s="4" t="s">
        <v>289</v>
      </c>
      <c r="S233" s="4" t="s">
        <v>48</v>
      </c>
      <c r="T233" s="4" t="s">
        <v>1187</v>
      </c>
      <c r="U233" s="4" t="s">
        <v>359</v>
      </c>
      <c r="V233" s="4" t="s">
        <v>161</v>
      </c>
      <c r="W233" s="4" t="s">
        <v>1188</v>
      </c>
    </row>
    <row r="234" spans="2:23" ht="14.25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R234" s="4" t="s">
        <v>289</v>
      </c>
      <c r="S234" s="4" t="s">
        <v>48</v>
      </c>
      <c r="T234" s="4" t="s">
        <v>1189</v>
      </c>
      <c r="U234" s="4" t="s">
        <v>359</v>
      </c>
      <c r="V234" s="4" t="s">
        <v>161</v>
      </c>
      <c r="W234" s="4" t="s">
        <v>1190</v>
      </c>
    </row>
    <row r="235" spans="2:23" ht="14.25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R235" s="4" t="s">
        <v>289</v>
      </c>
      <c r="S235" s="4" t="s">
        <v>48</v>
      </c>
      <c r="T235" s="4" t="s">
        <v>1191</v>
      </c>
      <c r="U235" s="4" t="s">
        <v>359</v>
      </c>
      <c r="V235" s="4" t="s">
        <v>161</v>
      </c>
      <c r="W235" s="4" t="s">
        <v>1192</v>
      </c>
    </row>
    <row r="236" spans="2:23" ht="14.25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R236" s="4" t="s">
        <v>289</v>
      </c>
      <c r="S236" s="4" t="s">
        <v>48</v>
      </c>
      <c r="T236" s="4" t="s">
        <v>1193</v>
      </c>
      <c r="U236" s="4" t="s">
        <v>359</v>
      </c>
      <c r="V236" s="4" t="s">
        <v>161</v>
      </c>
      <c r="W236" s="4" t="s">
        <v>1194</v>
      </c>
    </row>
    <row r="237" spans="2:23" ht="14.25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R237" s="4" t="s">
        <v>289</v>
      </c>
      <c r="S237" s="4" t="s">
        <v>48</v>
      </c>
      <c r="T237" s="4" t="s">
        <v>1195</v>
      </c>
      <c r="U237" s="4" t="s">
        <v>359</v>
      </c>
      <c r="V237" s="4" t="s">
        <v>161</v>
      </c>
      <c r="W237" s="4" t="s">
        <v>1196</v>
      </c>
    </row>
    <row r="238" spans="2:23" ht="14.25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R238" s="4" t="s">
        <v>289</v>
      </c>
      <c r="S238" s="4" t="s">
        <v>48</v>
      </c>
      <c r="T238" s="4" t="s">
        <v>1197</v>
      </c>
      <c r="U238" s="4" t="s">
        <v>359</v>
      </c>
      <c r="V238" s="4" t="s">
        <v>161</v>
      </c>
      <c r="W238" s="4" t="s">
        <v>1198</v>
      </c>
    </row>
    <row r="239" spans="2:23" ht="14.25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R239" s="4" t="s">
        <v>289</v>
      </c>
      <c r="S239" s="4" t="s">
        <v>48</v>
      </c>
      <c r="T239" s="4" t="s">
        <v>1199</v>
      </c>
      <c r="U239" s="4" t="s">
        <v>359</v>
      </c>
      <c r="V239" s="4" t="s">
        <v>161</v>
      </c>
      <c r="W239" s="4" t="s">
        <v>1200</v>
      </c>
    </row>
    <row r="240" spans="2:23" ht="14.25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R240" s="4" t="s">
        <v>289</v>
      </c>
      <c r="S240" s="4" t="s">
        <v>48</v>
      </c>
      <c r="T240" s="4" t="s">
        <v>1201</v>
      </c>
      <c r="U240" s="4" t="s">
        <v>359</v>
      </c>
      <c r="V240" s="4" t="s">
        <v>161</v>
      </c>
      <c r="W240" s="4" t="s">
        <v>1202</v>
      </c>
    </row>
    <row r="241" spans="2:23" ht="14.25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R241" s="4" t="s">
        <v>289</v>
      </c>
      <c r="S241" s="4" t="s">
        <v>48</v>
      </c>
      <c r="T241" s="4" t="s">
        <v>1203</v>
      </c>
      <c r="U241" s="4" t="s">
        <v>359</v>
      </c>
      <c r="V241" s="4" t="s">
        <v>161</v>
      </c>
      <c r="W241" s="4" t="s">
        <v>1204</v>
      </c>
    </row>
    <row r="242" spans="2:23" ht="14.25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R242" s="4" t="s">
        <v>289</v>
      </c>
      <c r="S242" s="4" t="s">
        <v>48</v>
      </c>
      <c r="T242" s="4" t="s">
        <v>1205</v>
      </c>
      <c r="U242" s="4" t="s">
        <v>359</v>
      </c>
      <c r="V242" s="4" t="s">
        <v>161</v>
      </c>
      <c r="W242" s="4" t="s">
        <v>1206</v>
      </c>
    </row>
    <row r="243" spans="2:23" ht="14.25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R243" s="4" t="s">
        <v>289</v>
      </c>
      <c r="S243" s="4" t="s">
        <v>48</v>
      </c>
      <c r="T243" s="4" t="s">
        <v>1207</v>
      </c>
      <c r="U243" s="4" t="s">
        <v>359</v>
      </c>
      <c r="V243" s="4" t="s">
        <v>161</v>
      </c>
      <c r="W243" s="4" t="s">
        <v>1208</v>
      </c>
    </row>
    <row r="244" spans="2:23" ht="14.25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R244" s="4" t="s">
        <v>289</v>
      </c>
      <c r="S244" s="4" t="s">
        <v>48</v>
      </c>
      <c r="T244" s="4" t="s">
        <v>1209</v>
      </c>
      <c r="U244" s="4" t="s">
        <v>359</v>
      </c>
      <c r="V244" s="4" t="s">
        <v>161</v>
      </c>
      <c r="W244" s="4" t="s">
        <v>1210</v>
      </c>
    </row>
    <row r="245" spans="2:23" ht="14.25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R245" s="4" t="s">
        <v>289</v>
      </c>
      <c r="S245" s="4" t="s">
        <v>48</v>
      </c>
      <c r="T245" s="4" t="s">
        <v>1211</v>
      </c>
      <c r="U245" s="4" t="s">
        <v>359</v>
      </c>
      <c r="V245" s="4" t="s">
        <v>161</v>
      </c>
      <c r="W245" s="4" t="s">
        <v>1212</v>
      </c>
    </row>
    <row r="246" spans="2:23" ht="14.25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R246" s="4" t="s">
        <v>289</v>
      </c>
      <c r="S246" s="4" t="s">
        <v>48</v>
      </c>
      <c r="T246" s="4" t="s">
        <v>1213</v>
      </c>
      <c r="U246" s="4" t="s">
        <v>359</v>
      </c>
      <c r="V246" s="4" t="s">
        <v>161</v>
      </c>
      <c r="W246" s="4" t="s">
        <v>1214</v>
      </c>
    </row>
    <row r="247" spans="2:23" ht="14.25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R247" s="4" t="s">
        <v>289</v>
      </c>
      <c r="S247" s="4" t="s">
        <v>48</v>
      </c>
      <c r="T247" s="4" t="s">
        <v>1215</v>
      </c>
      <c r="U247" s="4" t="s">
        <v>359</v>
      </c>
      <c r="V247" s="4" t="s">
        <v>161</v>
      </c>
      <c r="W247" s="4" t="s">
        <v>1216</v>
      </c>
    </row>
    <row r="248" spans="2:23" ht="14.25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R248" s="4" t="s">
        <v>289</v>
      </c>
      <c r="S248" s="4" t="s">
        <v>48</v>
      </c>
      <c r="T248" s="4" t="s">
        <v>1217</v>
      </c>
      <c r="U248" s="4" t="s">
        <v>359</v>
      </c>
      <c r="V248" s="4" t="s">
        <v>161</v>
      </c>
      <c r="W248" s="4" t="s">
        <v>1218</v>
      </c>
    </row>
    <row r="249" spans="2:23" ht="14.25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R249" s="4" t="s">
        <v>289</v>
      </c>
      <c r="S249" s="4" t="s">
        <v>48</v>
      </c>
      <c r="T249" s="4" t="s">
        <v>1219</v>
      </c>
      <c r="U249" s="4" t="s">
        <v>359</v>
      </c>
      <c r="V249" s="4" t="s">
        <v>161</v>
      </c>
      <c r="W249" s="4" t="s">
        <v>1220</v>
      </c>
    </row>
    <row r="250" spans="2:23" ht="14.25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R250" s="4" t="s">
        <v>289</v>
      </c>
      <c r="S250" s="4" t="s">
        <v>48</v>
      </c>
      <c r="T250" s="4" t="s">
        <v>1221</v>
      </c>
      <c r="U250" s="4" t="s">
        <v>359</v>
      </c>
      <c r="V250" s="4" t="s">
        <v>161</v>
      </c>
      <c r="W250" s="4" t="s">
        <v>1222</v>
      </c>
    </row>
    <row r="251" spans="2:23" ht="14.25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R251" s="4" t="s">
        <v>289</v>
      </c>
      <c r="S251" s="4" t="s">
        <v>48</v>
      </c>
      <c r="T251" s="4" t="s">
        <v>1223</v>
      </c>
      <c r="U251" s="4" t="s">
        <v>359</v>
      </c>
      <c r="V251" s="4" t="s">
        <v>161</v>
      </c>
      <c r="W251" s="4" t="s">
        <v>1224</v>
      </c>
    </row>
    <row r="252" spans="2:23" ht="14.25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R252" s="4" t="s">
        <v>289</v>
      </c>
      <c r="S252" s="4" t="s">
        <v>48</v>
      </c>
      <c r="T252" s="4" t="s">
        <v>1225</v>
      </c>
      <c r="U252" s="4" t="s">
        <v>359</v>
      </c>
      <c r="V252" s="4" t="s">
        <v>161</v>
      </c>
      <c r="W252" s="4" t="s">
        <v>1226</v>
      </c>
    </row>
    <row r="253" spans="2:23" ht="14.25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R253" s="4" t="s">
        <v>289</v>
      </c>
      <c r="S253" s="4" t="s">
        <v>50</v>
      </c>
      <c r="T253" s="4" t="s">
        <v>1227</v>
      </c>
      <c r="U253" s="4" t="s">
        <v>359</v>
      </c>
      <c r="V253" s="4" t="s">
        <v>161</v>
      </c>
      <c r="W253" s="4" t="s">
        <v>1228</v>
      </c>
    </row>
    <row r="254" spans="2:23" ht="14.25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R254" s="4" t="s">
        <v>289</v>
      </c>
      <c r="S254" s="4" t="s">
        <v>50</v>
      </c>
      <c r="T254" s="4" t="s">
        <v>1229</v>
      </c>
      <c r="U254" s="4" t="s">
        <v>359</v>
      </c>
      <c r="V254" s="4" t="s">
        <v>161</v>
      </c>
      <c r="W254" s="4" t="s">
        <v>1230</v>
      </c>
    </row>
    <row r="255" spans="2:23" ht="14.25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R255" s="4" t="s">
        <v>289</v>
      </c>
      <c r="S255" s="4" t="s">
        <v>50</v>
      </c>
      <c r="T255" s="4" t="s">
        <v>1231</v>
      </c>
      <c r="U255" s="4" t="s">
        <v>359</v>
      </c>
      <c r="V255" s="4" t="s">
        <v>161</v>
      </c>
      <c r="W255" s="4" t="s">
        <v>1232</v>
      </c>
    </row>
    <row r="256" spans="2:23" ht="14.25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R256" s="4" t="s">
        <v>289</v>
      </c>
      <c r="S256" s="4" t="s">
        <v>50</v>
      </c>
      <c r="T256" s="4" t="s">
        <v>1233</v>
      </c>
      <c r="U256" s="4" t="s">
        <v>359</v>
      </c>
      <c r="V256" s="4" t="s">
        <v>161</v>
      </c>
      <c r="W256" s="4" t="s">
        <v>1234</v>
      </c>
    </row>
    <row r="257" spans="2:23" ht="14.25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R257" s="4" t="s">
        <v>289</v>
      </c>
      <c r="S257" s="4" t="s">
        <v>50</v>
      </c>
      <c r="T257" s="4" t="s">
        <v>1235</v>
      </c>
      <c r="U257" s="4" t="s">
        <v>359</v>
      </c>
      <c r="V257" s="4" t="s">
        <v>161</v>
      </c>
      <c r="W257" s="4" t="s">
        <v>1236</v>
      </c>
    </row>
    <row r="258" spans="2:23" ht="14.25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R258" s="4" t="s">
        <v>289</v>
      </c>
      <c r="S258" s="4" t="s">
        <v>50</v>
      </c>
      <c r="T258" s="4" t="s">
        <v>1237</v>
      </c>
      <c r="U258" s="4" t="s">
        <v>359</v>
      </c>
      <c r="V258" s="4" t="s">
        <v>161</v>
      </c>
      <c r="W258" s="4" t="s">
        <v>1238</v>
      </c>
    </row>
    <row r="259" spans="2:23" ht="14.25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R259" s="4" t="s">
        <v>289</v>
      </c>
      <c r="S259" s="4" t="s">
        <v>50</v>
      </c>
      <c r="T259" s="4" t="s">
        <v>1239</v>
      </c>
      <c r="U259" s="4" t="s">
        <v>359</v>
      </c>
      <c r="V259" s="4" t="s">
        <v>161</v>
      </c>
      <c r="W259" s="4" t="s">
        <v>1240</v>
      </c>
    </row>
    <row r="260" spans="2:23" ht="14.25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R260" s="4" t="s">
        <v>289</v>
      </c>
      <c r="S260" s="4" t="s">
        <v>50</v>
      </c>
      <c r="T260" s="4" t="s">
        <v>1241</v>
      </c>
      <c r="U260" s="4" t="s">
        <v>359</v>
      </c>
      <c r="V260" s="4" t="s">
        <v>161</v>
      </c>
      <c r="W260" s="4" t="s">
        <v>1242</v>
      </c>
    </row>
    <row r="261" spans="2:23" ht="14.25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R261" s="4" t="s">
        <v>289</v>
      </c>
      <c r="S261" s="4" t="s">
        <v>50</v>
      </c>
      <c r="T261" s="4" t="s">
        <v>1243</v>
      </c>
      <c r="U261" s="4" t="s">
        <v>359</v>
      </c>
      <c r="V261" s="4" t="s">
        <v>161</v>
      </c>
      <c r="W261" s="4" t="s">
        <v>1244</v>
      </c>
    </row>
    <row r="262" spans="2:23" ht="14.25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R262" s="4" t="s">
        <v>289</v>
      </c>
      <c r="S262" s="4" t="s">
        <v>50</v>
      </c>
      <c r="T262" s="4" t="s">
        <v>1245</v>
      </c>
      <c r="U262" s="4" t="s">
        <v>359</v>
      </c>
      <c r="V262" s="4" t="s">
        <v>161</v>
      </c>
      <c r="W262" s="4" t="s">
        <v>1246</v>
      </c>
    </row>
    <row r="263" spans="2:23" ht="14.25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R263" s="4" t="s">
        <v>289</v>
      </c>
      <c r="S263" s="4" t="s">
        <v>50</v>
      </c>
      <c r="T263" s="4" t="s">
        <v>1247</v>
      </c>
      <c r="U263" s="4" t="s">
        <v>359</v>
      </c>
      <c r="V263" s="4" t="s">
        <v>161</v>
      </c>
      <c r="W263" s="4" t="s">
        <v>1248</v>
      </c>
    </row>
    <row r="264" spans="2:23" ht="14.25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R264" s="4" t="s">
        <v>289</v>
      </c>
      <c r="S264" s="4" t="s">
        <v>50</v>
      </c>
      <c r="T264" s="4" t="s">
        <v>1249</v>
      </c>
      <c r="U264" s="4" t="s">
        <v>359</v>
      </c>
      <c r="V264" s="4" t="s">
        <v>161</v>
      </c>
      <c r="W264" s="4" t="s">
        <v>1250</v>
      </c>
    </row>
    <row r="265" spans="2:23" ht="14.25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R265" s="4" t="s">
        <v>289</v>
      </c>
      <c r="S265" s="4" t="s">
        <v>50</v>
      </c>
      <c r="T265" s="4" t="s">
        <v>1251</v>
      </c>
      <c r="U265" s="4" t="s">
        <v>359</v>
      </c>
      <c r="V265" s="4" t="s">
        <v>161</v>
      </c>
      <c r="W265" s="4" t="s">
        <v>1252</v>
      </c>
    </row>
    <row r="266" spans="2:23" ht="14.25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R266" s="4" t="s">
        <v>289</v>
      </c>
      <c r="S266" s="4" t="s">
        <v>50</v>
      </c>
      <c r="T266" s="4" t="s">
        <v>1253</v>
      </c>
      <c r="U266" s="4" t="s">
        <v>359</v>
      </c>
      <c r="V266" s="4" t="s">
        <v>161</v>
      </c>
      <c r="W266" s="4" t="s">
        <v>1254</v>
      </c>
    </row>
    <row r="267" spans="2:23" ht="14.25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R267" s="4" t="s">
        <v>289</v>
      </c>
      <c r="S267" s="4" t="s">
        <v>50</v>
      </c>
      <c r="T267" s="4" t="s">
        <v>1255</v>
      </c>
      <c r="U267" s="4" t="s">
        <v>359</v>
      </c>
      <c r="V267" s="4" t="s">
        <v>161</v>
      </c>
      <c r="W267" s="4" t="s">
        <v>1256</v>
      </c>
    </row>
    <row r="268" spans="2:23" ht="14.25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R268" s="4" t="s">
        <v>289</v>
      </c>
      <c r="S268" s="4" t="s">
        <v>50</v>
      </c>
      <c r="T268" s="4" t="s">
        <v>1257</v>
      </c>
      <c r="U268" s="4" t="s">
        <v>359</v>
      </c>
      <c r="V268" s="4" t="s">
        <v>161</v>
      </c>
      <c r="W268" s="4" t="s">
        <v>1258</v>
      </c>
    </row>
    <row r="269" spans="2:23" ht="14.25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R269" s="4" t="s">
        <v>289</v>
      </c>
      <c r="S269" s="4" t="s">
        <v>50</v>
      </c>
      <c r="T269" s="4" t="s">
        <v>1259</v>
      </c>
      <c r="U269" s="4" t="s">
        <v>359</v>
      </c>
      <c r="V269" s="4" t="s">
        <v>161</v>
      </c>
      <c r="W269" s="4" t="s">
        <v>1260</v>
      </c>
    </row>
    <row r="270" spans="2:23" ht="14.25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R270" s="4" t="s">
        <v>289</v>
      </c>
      <c r="S270" s="4" t="s">
        <v>50</v>
      </c>
      <c r="T270" s="4" t="s">
        <v>1261</v>
      </c>
      <c r="U270" s="4" t="s">
        <v>359</v>
      </c>
      <c r="V270" s="4" t="s">
        <v>161</v>
      </c>
      <c r="W270" s="4" t="s">
        <v>1262</v>
      </c>
    </row>
    <row r="271" spans="2:23" ht="14.25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R271" s="4" t="s">
        <v>289</v>
      </c>
      <c r="S271" s="4" t="s">
        <v>50</v>
      </c>
      <c r="T271" s="4" t="s">
        <v>1263</v>
      </c>
      <c r="U271" s="4" t="s">
        <v>359</v>
      </c>
      <c r="V271" s="4" t="s">
        <v>161</v>
      </c>
      <c r="W271" s="4" t="s">
        <v>1264</v>
      </c>
    </row>
    <row r="272" spans="2:23" ht="14.25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R272" s="4" t="s">
        <v>289</v>
      </c>
      <c r="S272" s="4" t="s">
        <v>50</v>
      </c>
      <c r="T272" s="4" t="s">
        <v>1265</v>
      </c>
      <c r="U272" s="4" t="s">
        <v>359</v>
      </c>
      <c r="V272" s="4" t="s">
        <v>161</v>
      </c>
      <c r="W272" s="4" t="s">
        <v>1266</v>
      </c>
    </row>
    <row r="273" spans="2:23" ht="14.25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R273" s="4" t="s">
        <v>289</v>
      </c>
      <c r="S273" s="4" t="s">
        <v>50</v>
      </c>
      <c r="T273" s="4" t="s">
        <v>1267</v>
      </c>
      <c r="U273" s="4" t="s">
        <v>359</v>
      </c>
      <c r="V273" s="4" t="s">
        <v>161</v>
      </c>
      <c r="W273" s="4" t="s">
        <v>1268</v>
      </c>
    </row>
    <row r="274" spans="2:23" ht="14.25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R274" s="4" t="s">
        <v>289</v>
      </c>
      <c r="S274" s="4" t="s">
        <v>50</v>
      </c>
      <c r="T274" s="4" t="s">
        <v>1269</v>
      </c>
      <c r="U274" s="4" t="s">
        <v>359</v>
      </c>
      <c r="V274" s="4" t="s">
        <v>161</v>
      </c>
      <c r="W274" s="4" t="s">
        <v>1270</v>
      </c>
    </row>
    <row r="275" spans="2:23" ht="14.25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R275" s="4" t="s">
        <v>289</v>
      </c>
      <c r="S275" s="4" t="s">
        <v>50</v>
      </c>
      <c r="T275" s="4" t="s">
        <v>1271</v>
      </c>
      <c r="U275" s="4" t="s">
        <v>359</v>
      </c>
      <c r="V275" s="4" t="s">
        <v>161</v>
      </c>
      <c r="W275" s="4" t="s">
        <v>1272</v>
      </c>
    </row>
    <row r="276" spans="2:23" ht="14.25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R276" s="4" t="s">
        <v>289</v>
      </c>
      <c r="S276" s="4" t="s">
        <v>50</v>
      </c>
      <c r="T276" s="4" t="s">
        <v>1273</v>
      </c>
      <c r="U276" s="4" t="s">
        <v>359</v>
      </c>
      <c r="V276" s="4" t="s">
        <v>161</v>
      </c>
      <c r="W276" s="4" t="s">
        <v>1274</v>
      </c>
    </row>
    <row r="277" spans="2:23" ht="14.25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R277" s="4" t="s">
        <v>289</v>
      </c>
      <c r="S277" s="4" t="s">
        <v>50</v>
      </c>
      <c r="T277" s="4" t="s">
        <v>1275</v>
      </c>
      <c r="U277" s="4" t="s">
        <v>359</v>
      </c>
      <c r="V277" s="4" t="s">
        <v>161</v>
      </c>
      <c r="W277" s="4" t="s">
        <v>1276</v>
      </c>
    </row>
    <row r="278" spans="2:23" ht="14.25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R278" s="4" t="s">
        <v>289</v>
      </c>
      <c r="S278" s="4" t="s">
        <v>50</v>
      </c>
      <c r="T278" s="4" t="s">
        <v>1277</v>
      </c>
      <c r="U278" s="4" t="s">
        <v>359</v>
      </c>
      <c r="V278" s="4" t="s">
        <v>161</v>
      </c>
      <c r="W278" s="4" t="s">
        <v>1278</v>
      </c>
    </row>
    <row r="279" spans="2:23" ht="14.25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R279" s="4" t="s">
        <v>289</v>
      </c>
      <c r="S279" s="4" t="s">
        <v>52</v>
      </c>
      <c r="T279" s="4" t="s">
        <v>1279</v>
      </c>
      <c r="U279" s="4" t="s">
        <v>359</v>
      </c>
      <c r="V279" s="4" t="s">
        <v>161</v>
      </c>
      <c r="W279" s="4" t="s">
        <v>1280</v>
      </c>
    </row>
    <row r="280" spans="2:23" ht="14.25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R280" s="4" t="s">
        <v>289</v>
      </c>
      <c r="S280" s="4" t="s">
        <v>52</v>
      </c>
      <c r="T280" s="4" t="s">
        <v>1281</v>
      </c>
      <c r="U280" s="4" t="s">
        <v>359</v>
      </c>
      <c r="V280" s="4" t="s">
        <v>161</v>
      </c>
      <c r="W280" s="4" t="s">
        <v>1282</v>
      </c>
    </row>
    <row r="281" spans="2:23" ht="14.25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R281" s="4" t="s">
        <v>289</v>
      </c>
      <c r="S281" s="4" t="s">
        <v>52</v>
      </c>
      <c r="T281" s="4" t="s">
        <v>1283</v>
      </c>
      <c r="U281" s="4" t="s">
        <v>359</v>
      </c>
      <c r="V281" s="4" t="s">
        <v>161</v>
      </c>
      <c r="W281" s="4" t="s">
        <v>1284</v>
      </c>
    </row>
    <row r="282" spans="2:23" ht="14.25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R282" s="4" t="s">
        <v>289</v>
      </c>
      <c r="S282" s="4" t="s">
        <v>52</v>
      </c>
      <c r="T282" s="4" t="s">
        <v>1285</v>
      </c>
      <c r="U282" s="4" t="s">
        <v>359</v>
      </c>
      <c r="V282" s="4" t="s">
        <v>161</v>
      </c>
      <c r="W282" s="4" t="s">
        <v>1286</v>
      </c>
    </row>
    <row r="283" spans="2:23" ht="14.25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R283" s="4" t="s">
        <v>289</v>
      </c>
      <c r="S283" s="4" t="s">
        <v>52</v>
      </c>
      <c r="T283" s="4" t="s">
        <v>1287</v>
      </c>
      <c r="U283" s="4" t="s">
        <v>359</v>
      </c>
      <c r="V283" s="4" t="s">
        <v>161</v>
      </c>
      <c r="W283" s="4" t="s">
        <v>1288</v>
      </c>
    </row>
    <row r="284" spans="2:23" ht="14.25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R284" s="4" t="s">
        <v>289</v>
      </c>
      <c r="S284" s="4" t="s">
        <v>52</v>
      </c>
      <c r="T284" s="4" t="s">
        <v>1289</v>
      </c>
      <c r="U284" s="4" t="s">
        <v>359</v>
      </c>
      <c r="V284" s="4" t="s">
        <v>161</v>
      </c>
      <c r="W284" s="4" t="s">
        <v>1290</v>
      </c>
    </row>
    <row r="285" spans="2:23" ht="14.25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R285" s="4" t="s">
        <v>289</v>
      </c>
      <c r="S285" s="4" t="s">
        <v>54</v>
      </c>
      <c r="T285" s="4" t="s">
        <v>1291</v>
      </c>
      <c r="U285" s="4" t="s">
        <v>359</v>
      </c>
      <c r="V285" s="4" t="s">
        <v>161</v>
      </c>
      <c r="W285" s="4" t="s">
        <v>1292</v>
      </c>
    </row>
    <row r="286" spans="2:23" ht="14.25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R286" s="4" t="s">
        <v>289</v>
      </c>
      <c r="S286" s="4" t="s">
        <v>54</v>
      </c>
      <c r="T286" s="4" t="s">
        <v>1293</v>
      </c>
      <c r="U286" s="4" t="s">
        <v>359</v>
      </c>
      <c r="V286" s="4" t="s">
        <v>161</v>
      </c>
      <c r="W286" s="4" t="s">
        <v>1294</v>
      </c>
    </row>
    <row r="287" spans="2:23" ht="14.25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R287" s="4" t="s">
        <v>289</v>
      </c>
      <c r="S287" s="4" t="s">
        <v>56</v>
      </c>
      <c r="T287" s="4" t="s">
        <v>1295</v>
      </c>
      <c r="U287" s="4" t="s">
        <v>359</v>
      </c>
      <c r="V287" s="4" t="s">
        <v>161</v>
      </c>
      <c r="W287" s="4" t="s">
        <v>1296</v>
      </c>
    </row>
    <row r="288" spans="2:23" ht="14.25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R288" s="4" t="s">
        <v>289</v>
      </c>
      <c r="S288" s="4" t="s">
        <v>56</v>
      </c>
      <c r="T288" s="4" t="s">
        <v>1297</v>
      </c>
      <c r="U288" s="4" t="s">
        <v>359</v>
      </c>
      <c r="V288" s="4" t="s">
        <v>161</v>
      </c>
      <c r="W288" s="4" t="s">
        <v>1298</v>
      </c>
    </row>
    <row r="289" spans="2:23" ht="14.25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R289" s="4" t="s">
        <v>289</v>
      </c>
      <c r="S289" s="4" t="s">
        <v>58</v>
      </c>
      <c r="T289" s="4" t="s">
        <v>1299</v>
      </c>
      <c r="U289" s="4" t="s">
        <v>359</v>
      </c>
      <c r="V289" s="4" t="s">
        <v>161</v>
      </c>
      <c r="W289" s="4" t="s">
        <v>1300</v>
      </c>
    </row>
    <row r="290" spans="2:23" ht="14.25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R290" s="4" t="s">
        <v>289</v>
      </c>
      <c r="S290" s="4" t="s">
        <v>58</v>
      </c>
      <c r="T290" s="4" t="s">
        <v>1301</v>
      </c>
      <c r="U290" s="4" t="s">
        <v>359</v>
      </c>
      <c r="V290" s="4" t="s">
        <v>161</v>
      </c>
      <c r="W290" s="4" t="s">
        <v>1302</v>
      </c>
    </row>
    <row r="291" spans="2:23" ht="14.25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R291" s="4" t="s">
        <v>289</v>
      </c>
      <c r="S291" s="4" t="s">
        <v>58</v>
      </c>
      <c r="T291" s="4" t="s">
        <v>1303</v>
      </c>
      <c r="U291" s="4" t="s">
        <v>359</v>
      </c>
      <c r="V291" s="4" t="s">
        <v>161</v>
      </c>
      <c r="W291" s="4" t="s">
        <v>1304</v>
      </c>
    </row>
    <row r="292" spans="2:23" ht="14.25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R292" s="4" t="s">
        <v>289</v>
      </c>
      <c r="S292" s="4" t="s">
        <v>58</v>
      </c>
      <c r="T292" s="4" t="s">
        <v>1305</v>
      </c>
      <c r="U292" s="4" t="s">
        <v>359</v>
      </c>
      <c r="V292" s="4" t="s">
        <v>161</v>
      </c>
      <c r="W292" s="4" t="s">
        <v>1306</v>
      </c>
    </row>
    <row r="293" spans="2:23" ht="14.25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R293" s="4" t="s">
        <v>289</v>
      </c>
      <c r="S293" s="4" t="s">
        <v>58</v>
      </c>
      <c r="T293" s="4" t="s">
        <v>1307</v>
      </c>
      <c r="U293" s="4" t="s">
        <v>359</v>
      </c>
      <c r="V293" s="4" t="s">
        <v>161</v>
      </c>
      <c r="W293" s="4" t="s">
        <v>1308</v>
      </c>
    </row>
    <row r="294" spans="2:23" ht="14.25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R294" s="4" t="s">
        <v>289</v>
      </c>
      <c r="S294" s="4" t="s">
        <v>58</v>
      </c>
      <c r="T294" s="4" t="s">
        <v>1309</v>
      </c>
      <c r="U294" s="4" t="s">
        <v>359</v>
      </c>
      <c r="V294" s="4" t="s">
        <v>161</v>
      </c>
      <c r="W294" s="4" t="s">
        <v>1310</v>
      </c>
    </row>
    <row r="295" spans="2:23" ht="14.25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R295" s="4" t="s">
        <v>289</v>
      </c>
      <c r="S295" s="4" t="s">
        <v>58</v>
      </c>
      <c r="T295" s="4" t="s">
        <v>1311</v>
      </c>
      <c r="U295" s="4" t="s">
        <v>359</v>
      </c>
      <c r="V295" s="4" t="s">
        <v>161</v>
      </c>
      <c r="W295" s="4" t="s">
        <v>1312</v>
      </c>
    </row>
    <row r="296" spans="2:23" ht="14.25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R296" s="4" t="s">
        <v>289</v>
      </c>
      <c r="S296" s="4" t="s">
        <v>58</v>
      </c>
      <c r="T296" s="4" t="s">
        <v>1313</v>
      </c>
      <c r="U296" s="4" t="s">
        <v>359</v>
      </c>
      <c r="V296" s="4" t="s">
        <v>161</v>
      </c>
      <c r="W296" s="4" t="s">
        <v>1314</v>
      </c>
    </row>
    <row r="297" spans="2:23" ht="14.25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R297" s="4" t="s">
        <v>289</v>
      </c>
      <c r="S297" s="4" t="s">
        <v>58</v>
      </c>
      <c r="T297" s="4" t="s">
        <v>1315</v>
      </c>
      <c r="U297" s="4" t="s">
        <v>359</v>
      </c>
      <c r="V297" s="4" t="s">
        <v>161</v>
      </c>
      <c r="W297" s="4" t="s">
        <v>1316</v>
      </c>
    </row>
    <row r="298" spans="2:23" ht="14.25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R298" s="4" t="s">
        <v>289</v>
      </c>
      <c r="S298" s="4" t="s">
        <v>58</v>
      </c>
      <c r="T298" s="4" t="s">
        <v>1317</v>
      </c>
      <c r="U298" s="4" t="s">
        <v>359</v>
      </c>
      <c r="V298" s="4" t="s">
        <v>161</v>
      </c>
      <c r="W298" s="4" t="s">
        <v>1318</v>
      </c>
    </row>
    <row r="299" spans="2:23" ht="14.25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R299" s="4" t="s">
        <v>289</v>
      </c>
      <c r="S299" s="4" t="s">
        <v>58</v>
      </c>
      <c r="T299" s="4" t="s">
        <v>1319</v>
      </c>
      <c r="U299" s="4" t="s">
        <v>359</v>
      </c>
      <c r="V299" s="4" t="s">
        <v>161</v>
      </c>
      <c r="W299" s="4" t="s">
        <v>1320</v>
      </c>
    </row>
    <row r="300" spans="2:23" ht="14.25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R300" s="4" t="s">
        <v>289</v>
      </c>
      <c r="S300" s="4" t="s">
        <v>58</v>
      </c>
      <c r="T300" s="4" t="s">
        <v>1321</v>
      </c>
      <c r="U300" s="4" t="s">
        <v>359</v>
      </c>
      <c r="V300" s="4" t="s">
        <v>161</v>
      </c>
      <c r="W300" s="4" t="s">
        <v>1322</v>
      </c>
    </row>
    <row r="301" spans="2:23" ht="14.25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R301" s="4" t="s">
        <v>289</v>
      </c>
      <c r="S301" s="4" t="s">
        <v>58</v>
      </c>
      <c r="T301" s="4" t="s">
        <v>1323</v>
      </c>
      <c r="U301" s="4" t="s">
        <v>359</v>
      </c>
      <c r="V301" s="4" t="s">
        <v>161</v>
      </c>
      <c r="W301" s="4" t="s">
        <v>1324</v>
      </c>
    </row>
    <row r="302" spans="2:23" ht="14.25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R302" s="4" t="s">
        <v>289</v>
      </c>
      <c r="S302" s="4" t="s">
        <v>58</v>
      </c>
      <c r="T302" s="4" t="s">
        <v>1325</v>
      </c>
      <c r="U302" s="4" t="s">
        <v>359</v>
      </c>
      <c r="V302" s="4" t="s">
        <v>161</v>
      </c>
      <c r="W302" s="4" t="s">
        <v>1326</v>
      </c>
    </row>
    <row r="303" spans="2:23" ht="14.25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R303" s="4" t="s">
        <v>289</v>
      </c>
      <c r="S303" s="4" t="s">
        <v>58</v>
      </c>
      <c r="T303" s="4" t="s">
        <v>1327</v>
      </c>
      <c r="U303" s="4" t="s">
        <v>359</v>
      </c>
      <c r="V303" s="4" t="s">
        <v>161</v>
      </c>
      <c r="W303" s="4" t="s">
        <v>1328</v>
      </c>
    </row>
    <row r="304" spans="2:23" ht="14.25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R304" s="4" t="s">
        <v>289</v>
      </c>
      <c r="S304" s="4" t="s">
        <v>58</v>
      </c>
      <c r="T304" s="4" t="s">
        <v>1329</v>
      </c>
      <c r="U304" s="4" t="s">
        <v>359</v>
      </c>
      <c r="V304" s="4" t="s">
        <v>161</v>
      </c>
      <c r="W304" s="4" t="s">
        <v>1330</v>
      </c>
    </row>
    <row r="305" spans="2:23" ht="14.25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R305" s="4" t="s">
        <v>289</v>
      </c>
      <c r="S305" s="4" t="s">
        <v>58</v>
      </c>
      <c r="T305" s="4" t="s">
        <v>1331</v>
      </c>
      <c r="U305" s="4" t="s">
        <v>359</v>
      </c>
      <c r="V305" s="4" t="s">
        <v>161</v>
      </c>
      <c r="W305" s="4" t="s">
        <v>1332</v>
      </c>
    </row>
    <row r="306" spans="2:23" ht="14.25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R306" s="4" t="s">
        <v>289</v>
      </c>
      <c r="S306" s="4" t="s">
        <v>58</v>
      </c>
      <c r="T306" s="4" t="s">
        <v>1333</v>
      </c>
      <c r="U306" s="4" t="s">
        <v>359</v>
      </c>
      <c r="V306" s="4" t="s">
        <v>161</v>
      </c>
      <c r="W306" s="4" t="s">
        <v>1334</v>
      </c>
    </row>
    <row r="307" spans="2:23" ht="14.25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R307" s="4" t="s">
        <v>289</v>
      </c>
      <c r="S307" s="4" t="s">
        <v>58</v>
      </c>
      <c r="T307" s="4" t="s">
        <v>1335</v>
      </c>
      <c r="U307" s="4" t="s">
        <v>359</v>
      </c>
      <c r="V307" s="4" t="s">
        <v>161</v>
      </c>
      <c r="W307" s="4" t="s">
        <v>1336</v>
      </c>
    </row>
    <row r="308" spans="2:23" ht="14.25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R308" s="4" t="s">
        <v>289</v>
      </c>
      <c r="S308" s="4" t="s">
        <v>58</v>
      </c>
      <c r="T308" s="4" t="s">
        <v>1337</v>
      </c>
      <c r="U308" s="4" t="s">
        <v>359</v>
      </c>
      <c r="V308" s="4" t="s">
        <v>161</v>
      </c>
      <c r="W308" s="4" t="s">
        <v>1338</v>
      </c>
    </row>
    <row r="309" spans="2:23" ht="14.25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R309" s="4" t="s">
        <v>289</v>
      </c>
      <c r="S309" s="4" t="s">
        <v>58</v>
      </c>
      <c r="T309" s="4" t="s">
        <v>1339</v>
      </c>
      <c r="U309" s="4" t="s">
        <v>359</v>
      </c>
      <c r="V309" s="4" t="s">
        <v>161</v>
      </c>
      <c r="W309" s="4" t="s">
        <v>1340</v>
      </c>
    </row>
    <row r="310" spans="2:23" ht="14.25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R310" s="4" t="s">
        <v>289</v>
      </c>
      <c r="S310" s="4" t="s">
        <v>58</v>
      </c>
      <c r="T310" s="4" t="s">
        <v>1341</v>
      </c>
      <c r="U310" s="4" t="s">
        <v>359</v>
      </c>
      <c r="V310" s="4" t="s">
        <v>161</v>
      </c>
      <c r="W310" s="4" t="s">
        <v>1342</v>
      </c>
    </row>
    <row r="311" spans="2:23" ht="14.25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R311" s="4" t="s">
        <v>289</v>
      </c>
      <c r="S311" s="4" t="s">
        <v>58</v>
      </c>
      <c r="T311" s="4" t="s">
        <v>1343</v>
      </c>
      <c r="U311" s="4" t="s">
        <v>359</v>
      </c>
      <c r="V311" s="4" t="s">
        <v>161</v>
      </c>
      <c r="W311" s="4" t="s">
        <v>1344</v>
      </c>
    </row>
    <row r="312" spans="2:23" ht="14.25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R312" s="4" t="s">
        <v>289</v>
      </c>
      <c r="S312" s="4" t="s">
        <v>58</v>
      </c>
      <c r="T312" s="4" t="s">
        <v>1345</v>
      </c>
      <c r="U312" s="4" t="s">
        <v>359</v>
      </c>
      <c r="V312" s="4" t="s">
        <v>161</v>
      </c>
      <c r="W312" s="4" t="s">
        <v>1346</v>
      </c>
    </row>
    <row r="313" spans="2:23" ht="14.25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R313" s="4" t="s">
        <v>289</v>
      </c>
      <c r="S313" s="4" t="s">
        <v>58</v>
      </c>
      <c r="T313" s="4" t="s">
        <v>1347</v>
      </c>
      <c r="U313" s="4" t="s">
        <v>359</v>
      </c>
      <c r="V313" s="4" t="s">
        <v>161</v>
      </c>
      <c r="W313" s="4" t="s">
        <v>1348</v>
      </c>
    </row>
    <row r="314" spans="2:23" ht="14.25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R314" s="4" t="s">
        <v>289</v>
      </c>
      <c r="S314" s="4" t="s">
        <v>58</v>
      </c>
      <c r="T314" s="4" t="s">
        <v>1349</v>
      </c>
      <c r="U314" s="4" t="s">
        <v>359</v>
      </c>
      <c r="V314" s="4" t="s">
        <v>161</v>
      </c>
      <c r="W314" s="4" t="s">
        <v>1350</v>
      </c>
    </row>
    <row r="315" spans="2:23" ht="14.25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R315" s="4" t="s">
        <v>289</v>
      </c>
      <c r="S315" s="4" t="s">
        <v>58</v>
      </c>
      <c r="T315" s="4" t="s">
        <v>1351</v>
      </c>
      <c r="U315" s="4" t="s">
        <v>359</v>
      </c>
      <c r="V315" s="4" t="s">
        <v>161</v>
      </c>
      <c r="W315" s="4" t="s">
        <v>1352</v>
      </c>
    </row>
    <row r="316" spans="2:23" ht="14.25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R316" s="4" t="s">
        <v>289</v>
      </c>
      <c r="S316" s="4" t="s">
        <v>58</v>
      </c>
      <c r="T316" s="4" t="s">
        <v>1353</v>
      </c>
      <c r="U316" s="4" t="s">
        <v>359</v>
      </c>
      <c r="V316" s="4" t="s">
        <v>161</v>
      </c>
      <c r="W316" s="4" t="s">
        <v>1354</v>
      </c>
    </row>
    <row r="317" spans="2:23" ht="14.25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R317" s="4" t="s">
        <v>289</v>
      </c>
      <c r="S317" s="4" t="s">
        <v>58</v>
      </c>
      <c r="T317" s="4" t="s">
        <v>1355</v>
      </c>
      <c r="U317" s="4" t="s">
        <v>359</v>
      </c>
      <c r="V317" s="4" t="s">
        <v>161</v>
      </c>
      <c r="W317" s="4" t="s">
        <v>1356</v>
      </c>
    </row>
    <row r="318" spans="2:23" ht="14.25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R318" s="4" t="s">
        <v>289</v>
      </c>
      <c r="S318" s="4" t="s">
        <v>58</v>
      </c>
      <c r="T318" s="4" t="s">
        <v>1357</v>
      </c>
      <c r="U318" s="4" t="s">
        <v>359</v>
      </c>
      <c r="V318" s="4" t="s">
        <v>161</v>
      </c>
      <c r="W318" s="4" t="s">
        <v>1358</v>
      </c>
    </row>
    <row r="319" spans="2:23" ht="14.25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R319" s="4" t="s">
        <v>289</v>
      </c>
      <c r="S319" s="4" t="s">
        <v>58</v>
      </c>
      <c r="T319" s="4" t="s">
        <v>1359</v>
      </c>
      <c r="U319" s="4" t="s">
        <v>359</v>
      </c>
      <c r="V319" s="4" t="s">
        <v>161</v>
      </c>
      <c r="W319" s="4" t="s">
        <v>1360</v>
      </c>
    </row>
    <row r="320" spans="2:23" ht="14.25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R320" s="4" t="s">
        <v>289</v>
      </c>
      <c r="S320" s="4" t="s">
        <v>58</v>
      </c>
      <c r="T320" s="4" t="s">
        <v>1361</v>
      </c>
      <c r="U320" s="4" t="s">
        <v>359</v>
      </c>
      <c r="V320" s="4" t="s">
        <v>161</v>
      </c>
      <c r="W320" s="4" t="s">
        <v>1362</v>
      </c>
    </row>
    <row r="321" spans="2:23" ht="14.25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R321" s="4" t="s">
        <v>289</v>
      </c>
      <c r="S321" s="4" t="s">
        <v>58</v>
      </c>
      <c r="T321" s="4" t="s">
        <v>1363</v>
      </c>
      <c r="U321" s="4" t="s">
        <v>359</v>
      </c>
      <c r="V321" s="4" t="s">
        <v>161</v>
      </c>
      <c r="W321" s="4" t="s">
        <v>1364</v>
      </c>
    </row>
    <row r="322" spans="2:23" ht="14.25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R322" s="4" t="s">
        <v>289</v>
      </c>
      <c r="S322" s="4" t="s">
        <v>58</v>
      </c>
      <c r="T322" s="4" t="s">
        <v>1365</v>
      </c>
      <c r="U322" s="4" t="s">
        <v>359</v>
      </c>
      <c r="V322" s="4" t="s">
        <v>161</v>
      </c>
      <c r="W322" s="4" t="s">
        <v>1366</v>
      </c>
    </row>
    <row r="323" spans="2:23" ht="14.25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R323" s="4" t="s">
        <v>289</v>
      </c>
      <c r="S323" s="4" t="s">
        <v>58</v>
      </c>
      <c r="T323" s="4" t="s">
        <v>1367</v>
      </c>
      <c r="U323" s="4" t="s">
        <v>359</v>
      </c>
      <c r="V323" s="4" t="s">
        <v>161</v>
      </c>
      <c r="W323" s="4" t="s">
        <v>1368</v>
      </c>
    </row>
    <row r="324" spans="2:23" ht="14.25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R324" s="4" t="s">
        <v>289</v>
      </c>
      <c r="S324" s="4" t="s">
        <v>58</v>
      </c>
      <c r="T324" s="4" t="s">
        <v>1369</v>
      </c>
      <c r="U324" s="4" t="s">
        <v>359</v>
      </c>
      <c r="V324" s="4" t="s">
        <v>161</v>
      </c>
      <c r="W324" s="4" t="s">
        <v>1370</v>
      </c>
    </row>
    <row r="325" spans="2:23" ht="14.25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R325" s="4" t="s">
        <v>289</v>
      </c>
      <c r="S325" s="4" t="s">
        <v>58</v>
      </c>
      <c r="T325" s="4" t="s">
        <v>1371</v>
      </c>
      <c r="U325" s="4" t="s">
        <v>359</v>
      </c>
      <c r="V325" s="4" t="s">
        <v>161</v>
      </c>
      <c r="W325" s="4" t="s">
        <v>1372</v>
      </c>
    </row>
    <row r="326" spans="2:23" ht="14.25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R326" s="4" t="s">
        <v>289</v>
      </c>
      <c r="S326" s="4" t="s">
        <v>58</v>
      </c>
      <c r="T326" s="4" t="s">
        <v>1373</v>
      </c>
      <c r="U326" s="4" t="s">
        <v>359</v>
      </c>
      <c r="V326" s="4" t="s">
        <v>161</v>
      </c>
      <c r="W326" s="4" t="s">
        <v>1374</v>
      </c>
    </row>
    <row r="327" spans="2:23" ht="14.25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R327" s="4" t="s">
        <v>289</v>
      </c>
      <c r="S327" s="4" t="s">
        <v>58</v>
      </c>
      <c r="T327" s="4" t="s">
        <v>1375</v>
      </c>
      <c r="U327" s="4" t="s">
        <v>359</v>
      </c>
      <c r="V327" s="4" t="s">
        <v>161</v>
      </c>
      <c r="W327" s="4" t="s">
        <v>1376</v>
      </c>
    </row>
    <row r="328" spans="2:23" ht="14.25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R328" s="4" t="s">
        <v>289</v>
      </c>
      <c r="S328" s="4" t="s">
        <v>58</v>
      </c>
      <c r="T328" s="4" t="s">
        <v>1377</v>
      </c>
      <c r="U328" s="4" t="s">
        <v>359</v>
      </c>
      <c r="V328" s="4" t="s">
        <v>161</v>
      </c>
      <c r="W328" s="4" t="s">
        <v>1378</v>
      </c>
    </row>
    <row r="329" spans="2:23" ht="14.25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R329" s="4" t="s">
        <v>289</v>
      </c>
      <c r="S329" s="4" t="s">
        <v>58</v>
      </c>
      <c r="T329" s="4" t="s">
        <v>1379</v>
      </c>
      <c r="U329" s="4" t="s">
        <v>359</v>
      </c>
      <c r="V329" s="4" t="s">
        <v>161</v>
      </c>
      <c r="W329" s="4" t="s">
        <v>1380</v>
      </c>
    </row>
    <row r="330" spans="2:23" ht="14.25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R330" s="4" t="s">
        <v>289</v>
      </c>
      <c r="S330" s="4" t="s">
        <v>58</v>
      </c>
      <c r="T330" s="4" t="s">
        <v>1381</v>
      </c>
      <c r="U330" s="4" t="s">
        <v>359</v>
      </c>
      <c r="V330" s="4" t="s">
        <v>161</v>
      </c>
      <c r="W330" s="4" t="s">
        <v>1382</v>
      </c>
    </row>
    <row r="331" spans="2:23" ht="14.25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R331" s="4" t="s">
        <v>289</v>
      </c>
      <c r="S331" s="4" t="s">
        <v>58</v>
      </c>
      <c r="T331" s="4" t="s">
        <v>1383</v>
      </c>
      <c r="U331" s="4" t="s">
        <v>359</v>
      </c>
      <c r="V331" s="4" t="s">
        <v>161</v>
      </c>
      <c r="W331" s="4" t="s">
        <v>1384</v>
      </c>
    </row>
    <row r="332" spans="2:23" ht="14.25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R332" s="4" t="s">
        <v>289</v>
      </c>
      <c r="S332" s="4" t="s">
        <v>58</v>
      </c>
      <c r="T332" s="4" t="s">
        <v>1385</v>
      </c>
      <c r="U332" s="4" t="s">
        <v>359</v>
      </c>
      <c r="V332" s="4" t="s">
        <v>161</v>
      </c>
      <c r="W332" s="4" t="s">
        <v>1386</v>
      </c>
    </row>
    <row r="333" spans="2:23" ht="14.25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R333" s="4" t="s">
        <v>289</v>
      </c>
      <c r="S333" s="4" t="s">
        <v>58</v>
      </c>
      <c r="T333" s="4" t="s">
        <v>1387</v>
      </c>
      <c r="U333" s="4" t="s">
        <v>359</v>
      </c>
      <c r="V333" s="4" t="s">
        <v>161</v>
      </c>
      <c r="W333" s="4" t="s">
        <v>1388</v>
      </c>
    </row>
    <row r="334" spans="2:23" ht="14.25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R334" s="4" t="s">
        <v>289</v>
      </c>
      <c r="S334" s="4" t="s">
        <v>58</v>
      </c>
      <c r="T334" s="4" t="s">
        <v>1389</v>
      </c>
      <c r="U334" s="4" t="s">
        <v>359</v>
      </c>
      <c r="V334" s="4" t="s">
        <v>161</v>
      </c>
      <c r="W334" s="4" t="s">
        <v>1390</v>
      </c>
    </row>
    <row r="335" spans="2:23" ht="14.25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R335" s="4" t="s">
        <v>289</v>
      </c>
      <c r="S335" s="4" t="s">
        <v>58</v>
      </c>
      <c r="T335" s="4" t="s">
        <v>1391</v>
      </c>
      <c r="U335" s="4" t="s">
        <v>359</v>
      </c>
      <c r="V335" s="4" t="s">
        <v>161</v>
      </c>
      <c r="W335" s="4" t="s">
        <v>1392</v>
      </c>
    </row>
    <row r="336" spans="2:23" ht="14.25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R336" s="4" t="s">
        <v>289</v>
      </c>
      <c r="S336" s="4" t="s">
        <v>58</v>
      </c>
      <c r="T336" s="4" t="s">
        <v>1393</v>
      </c>
      <c r="U336" s="4" t="s">
        <v>359</v>
      </c>
      <c r="V336" s="4" t="s">
        <v>161</v>
      </c>
      <c r="W336" s="4" t="s">
        <v>1394</v>
      </c>
    </row>
    <row r="337" spans="2:23" ht="14.25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R337" s="4" t="s">
        <v>289</v>
      </c>
      <c r="S337" s="4" t="s">
        <v>58</v>
      </c>
      <c r="T337" s="4" t="s">
        <v>1395</v>
      </c>
      <c r="U337" s="4" t="s">
        <v>359</v>
      </c>
      <c r="V337" s="4" t="s">
        <v>161</v>
      </c>
      <c r="W337" s="4" t="s">
        <v>1396</v>
      </c>
    </row>
    <row r="338" spans="2:23" ht="14.25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R338" s="4" t="s">
        <v>289</v>
      </c>
      <c r="S338" s="4" t="s">
        <v>58</v>
      </c>
      <c r="T338" s="4" t="s">
        <v>1397</v>
      </c>
      <c r="U338" s="4" t="s">
        <v>359</v>
      </c>
      <c r="V338" s="4" t="s">
        <v>161</v>
      </c>
      <c r="W338" s="4" t="s">
        <v>1398</v>
      </c>
    </row>
    <row r="339" spans="2:23" ht="14.25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R339" s="4" t="s">
        <v>289</v>
      </c>
      <c r="S339" s="4" t="s">
        <v>58</v>
      </c>
      <c r="T339" s="4" t="s">
        <v>1399</v>
      </c>
      <c r="U339" s="4" t="s">
        <v>359</v>
      </c>
      <c r="V339" s="4" t="s">
        <v>161</v>
      </c>
      <c r="W339" s="4" t="s">
        <v>1400</v>
      </c>
    </row>
    <row r="340" spans="2:23" ht="14.25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R340" s="4" t="s">
        <v>289</v>
      </c>
      <c r="S340" s="4" t="s">
        <v>58</v>
      </c>
      <c r="T340" s="4" t="s">
        <v>1401</v>
      </c>
      <c r="U340" s="4" t="s">
        <v>359</v>
      </c>
      <c r="V340" s="4" t="s">
        <v>161</v>
      </c>
      <c r="W340" s="4" t="s">
        <v>1402</v>
      </c>
    </row>
    <row r="341" spans="2:23" ht="14.25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R341" s="4" t="s">
        <v>289</v>
      </c>
      <c r="S341" s="4" t="s">
        <v>58</v>
      </c>
      <c r="T341" s="4" t="s">
        <v>1403</v>
      </c>
      <c r="U341" s="4" t="s">
        <v>359</v>
      </c>
      <c r="V341" s="4" t="s">
        <v>161</v>
      </c>
      <c r="W341" s="4" t="s">
        <v>1404</v>
      </c>
    </row>
    <row r="342" spans="2:23" ht="14.25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R342" s="4" t="s">
        <v>289</v>
      </c>
      <c r="S342" s="4" t="s">
        <v>58</v>
      </c>
      <c r="T342" s="4" t="s">
        <v>1405</v>
      </c>
      <c r="U342" s="4" t="s">
        <v>359</v>
      </c>
      <c r="V342" s="4" t="s">
        <v>161</v>
      </c>
      <c r="W342" s="4" t="s">
        <v>1406</v>
      </c>
    </row>
    <row r="343" spans="2:23" ht="14.25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R343" s="4" t="s">
        <v>289</v>
      </c>
      <c r="S343" s="4" t="s">
        <v>58</v>
      </c>
      <c r="T343" s="4" t="s">
        <v>1407</v>
      </c>
      <c r="U343" s="4" t="s">
        <v>359</v>
      </c>
      <c r="V343" s="4" t="s">
        <v>161</v>
      </c>
      <c r="W343" s="4" t="s">
        <v>1408</v>
      </c>
    </row>
    <row r="344" spans="2:23" ht="14.25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R344" s="4" t="s">
        <v>289</v>
      </c>
      <c r="S344" s="4" t="s">
        <v>58</v>
      </c>
      <c r="T344" s="4" t="s">
        <v>1409</v>
      </c>
      <c r="U344" s="4" t="s">
        <v>359</v>
      </c>
      <c r="V344" s="4" t="s">
        <v>161</v>
      </c>
      <c r="W344" s="4" t="s">
        <v>1410</v>
      </c>
    </row>
    <row r="345" spans="2:23" ht="14.25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R345" s="4" t="s">
        <v>289</v>
      </c>
      <c r="S345" s="4" t="s">
        <v>58</v>
      </c>
      <c r="T345" s="4" t="s">
        <v>1411</v>
      </c>
      <c r="U345" s="4" t="s">
        <v>359</v>
      </c>
      <c r="V345" s="4" t="s">
        <v>161</v>
      </c>
      <c r="W345" s="4" t="s">
        <v>1412</v>
      </c>
    </row>
    <row r="346" spans="2:23" ht="14.25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R346" s="4" t="s">
        <v>289</v>
      </c>
      <c r="S346" s="4" t="s">
        <v>58</v>
      </c>
      <c r="T346" s="4" t="s">
        <v>1413</v>
      </c>
      <c r="U346" s="4" t="s">
        <v>359</v>
      </c>
      <c r="V346" s="4" t="s">
        <v>161</v>
      </c>
      <c r="W346" s="4" t="s">
        <v>1414</v>
      </c>
    </row>
    <row r="347" spans="2:23" ht="14.25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R347" s="4" t="s">
        <v>289</v>
      </c>
      <c r="S347" s="4" t="s">
        <v>58</v>
      </c>
      <c r="T347" s="4" t="s">
        <v>1415</v>
      </c>
      <c r="U347" s="4" t="s">
        <v>359</v>
      </c>
      <c r="V347" s="4" t="s">
        <v>161</v>
      </c>
      <c r="W347" s="4" t="s">
        <v>1416</v>
      </c>
    </row>
    <row r="348" spans="2:23" ht="14.25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R348" s="4" t="s">
        <v>289</v>
      </c>
      <c r="S348" s="4" t="s">
        <v>58</v>
      </c>
      <c r="T348" s="4" t="s">
        <v>1417</v>
      </c>
      <c r="U348" s="4" t="s">
        <v>359</v>
      </c>
      <c r="V348" s="4" t="s">
        <v>161</v>
      </c>
      <c r="W348" s="4" t="s">
        <v>1418</v>
      </c>
    </row>
    <row r="349" spans="2:23" ht="14.25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R349" s="4" t="s">
        <v>289</v>
      </c>
      <c r="S349" s="4" t="s">
        <v>58</v>
      </c>
      <c r="T349" s="4" t="s">
        <v>1419</v>
      </c>
      <c r="U349" s="4" t="s">
        <v>359</v>
      </c>
      <c r="V349" s="4" t="s">
        <v>161</v>
      </c>
      <c r="W349" s="4" t="s">
        <v>1420</v>
      </c>
    </row>
    <row r="350" spans="2:23" ht="14.25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R350" s="4" t="s">
        <v>289</v>
      </c>
      <c r="S350" s="4" t="s">
        <v>58</v>
      </c>
      <c r="T350" s="4" t="s">
        <v>1421</v>
      </c>
      <c r="U350" s="4" t="s">
        <v>359</v>
      </c>
      <c r="V350" s="4" t="s">
        <v>161</v>
      </c>
      <c r="W350" s="4" t="s">
        <v>1422</v>
      </c>
    </row>
    <row r="351" spans="2:23" ht="14.25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R351" s="4" t="s">
        <v>289</v>
      </c>
      <c r="S351" s="4" t="s">
        <v>58</v>
      </c>
      <c r="T351" s="4" t="s">
        <v>1423</v>
      </c>
      <c r="U351" s="4" t="s">
        <v>359</v>
      </c>
      <c r="V351" s="4" t="s">
        <v>161</v>
      </c>
      <c r="W351" s="4" t="s">
        <v>1424</v>
      </c>
    </row>
    <row r="352" spans="2:23" ht="14.25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R352" s="4" t="s">
        <v>289</v>
      </c>
      <c r="S352" s="4" t="s">
        <v>58</v>
      </c>
      <c r="T352" s="4" t="s">
        <v>1425</v>
      </c>
      <c r="U352" s="4" t="s">
        <v>359</v>
      </c>
      <c r="V352" s="4" t="s">
        <v>161</v>
      </c>
      <c r="W352" s="4" t="s">
        <v>1426</v>
      </c>
    </row>
    <row r="353" spans="2:23" ht="14.25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R353" s="4" t="s">
        <v>289</v>
      </c>
      <c r="S353" s="4" t="s">
        <v>58</v>
      </c>
      <c r="T353" s="4" t="s">
        <v>1427</v>
      </c>
      <c r="U353" s="4" t="s">
        <v>359</v>
      </c>
      <c r="V353" s="4" t="s">
        <v>161</v>
      </c>
      <c r="W353" s="4" t="s">
        <v>1428</v>
      </c>
    </row>
    <row r="354" spans="2:23" ht="14.25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R354" s="4" t="s">
        <v>289</v>
      </c>
      <c r="S354" s="4" t="s">
        <v>58</v>
      </c>
      <c r="T354" s="4" t="s">
        <v>1429</v>
      </c>
      <c r="U354" s="4" t="s">
        <v>359</v>
      </c>
      <c r="V354" s="4" t="s">
        <v>161</v>
      </c>
      <c r="W354" s="4" t="s">
        <v>1430</v>
      </c>
    </row>
    <row r="355" spans="2:23" ht="14.25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R355" s="4" t="s">
        <v>289</v>
      </c>
      <c r="S355" s="4" t="s">
        <v>58</v>
      </c>
      <c r="T355" s="4" t="s">
        <v>1431</v>
      </c>
      <c r="U355" s="4" t="s">
        <v>359</v>
      </c>
      <c r="V355" s="4" t="s">
        <v>161</v>
      </c>
      <c r="W355" s="4" t="s">
        <v>1432</v>
      </c>
    </row>
    <row r="356" spans="2:23" ht="14.25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R356" s="4" t="s">
        <v>289</v>
      </c>
      <c r="S356" s="4" t="s">
        <v>58</v>
      </c>
      <c r="T356" s="4" t="s">
        <v>1433</v>
      </c>
      <c r="U356" s="4" t="s">
        <v>359</v>
      </c>
      <c r="V356" s="4" t="s">
        <v>161</v>
      </c>
      <c r="W356" s="4" t="s">
        <v>1434</v>
      </c>
    </row>
    <row r="357" spans="2:23" ht="14.25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R357" s="4" t="s">
        <v>289</v>
      </c>
      <c r="S357" s="4" t="s">
        <v>58</v>
      </c>
      <c r="T357" s="4" t="s">
        <v>1435</v>
      </c>
      <c r="U357" s="4" t="s">
        <v>359</v>
      </c>
      <c r="V357" s="4" t="s">
        <v>161</v>
      </c>
      <c r="W357" s="4" t="s">
        <v>1436</v>
      </c>
    </row>
    <row r="358" spans="2:23" ht="14.25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R358" s="4" t="s">
        <v>289</v>
      </c>
      <c r="S358" s="4" t="s">
        <v>58</v>
      </c>
      <c r="T358" s="4" t="s">
        <v>1437</v>
      </c>
      <c r="U358" s="4" t="s">
        <v>359</v>
      </c>
      <c r="V358" s="4" t="s">
        <v>161</v>
      </c>
      <c r="W358" s="4" t="s">
        <v>1438</v>
      </c>
    </row>
    <row r="359" spans="2:23" ht="14.25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R359" s="4" t="s">
        <v>289</v>
      </c>
      <c r="S359" s="4" t="s">
        <v>58</v>
      </c>
      <c r="T359" s="4" t="s">
        <v>1439</v>
      </c>
      <c r="U359" s="4" t="s">
        <v>359</v>
      </c>
      <c r="V359" s="4" t="s">
        <v>161</v>
      </c>
      <c r="W359" s="4" t="s">
        <v>1440</v>
      </c>
    </row>
    <row r="360" spans="2:23" ht="14.25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R360" s="4" t="s">
        <v>289</v>
      </c>
      <c r="S360" s="4" t="s">
        <v>58</v>
      </c>
      <c r="T360" s="4" t="s">
        <v>1441</v>
      </c>
      <c r="U360" s="4" t="s">
        <v>359</v>
      </c>
      <c r="V360" s="4" t="s">
        <v>161</v>
      </c>
      <c r="W360" s="4" t="s">
        <v>1442</v>
      </c>
    </row>
    <row r="361" spans="2:23" ht="14.25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R361" s="4" t="s">
        <v>289</v>
      </c>
      <c r="S361" s="4" t="s">
        <v>58</v>
      </c>
      <c r="T361" s="4" t="s">
        <v>1443</v>
      </c>
      <c r="U361" s="4" t="s">
        <v>359</v>
      </c>
      <c r="V361" s="4" t="s">
        <v>161</v>
      </c>
      <c r="W361" s="4" t="s">
        <v>1444</v>
      </c>
    </row>
    <row r="362" spans="2:23" ht="14.25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R362" s="4" t="s">
        <v>289</v>
      </c>
      <c r="S362" s="4" t="s">
        <v>58</v>
      </c>
      <c r="T362" s="4" t="s">
        <v>1445</v>
      </c>
      <c r="U362" s="4" t="s">
        <v>359</v>
      </c>
      <c r="V362" s="4" t="s">
        <v>161</v>
      </c>
      <c r="W362" s="4" t="s">
        <v>1446</v>
      </c>
    </row>
    <row r="363" spans="2:23" ht="14.25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R363" s="4" t="s">
        <v>289</v>
      </c>
      <c r="S363" s="4" t="s">
        <v>58</v>
      </c>
      <c r="T363" s="4" t="s">
        <v>1447</v>
      </c>
      <c r="U363" s="4" t="s">
        <v>359</v>
      </c>
      <c r="V363" s="4" t="s">
        <v>161</v>
      </c>
      <c r="W363" s="4" t="s">
        <v>1448</v>
      </c>
    </row>
    <row r="364" spans="2:23" ht="14.25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R364" s="4" t="s">
        <v>289</v>
      </c>
      <c r="S364" s="4" t="s">
        <v>58</v>
      </c>
      <c r="T364" s="4" t="s">
        <v>1449</v>
      </c>
      <c r="U364" s="4" t="s">
        <v>359</v>
      </c>
      <c r="V364" s="4" t="s">
        <v>161</v>
      </c>
      <c r="W364" s="4" t="s">
        <v>1450</v>
      </c>
    </row>
    <row r="365" spans="2:23" ht="14.25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R365" s="4" t="s">
        <v>289</v>
      </c>
      <c r="S365" s="4" t="s">
        <v>58</v>
      </c>
      <c r="T365" s="4" t="s">
        <v>1451</v>
      </c>
      <c r="U365" s="4" t="s">
        <v>359</v>
      </c>
      <c r="V365" s="4" t="s">
        <v>161</v>
      </c>
      <c r="W365" s="4" t="s">
        <v>1452</v>
      </c>
    </row>
    <row r="366" spans="2:23" ht="14.25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R366" s="4" t="s">
        <v>289</v>
      </c>
      <c r="S366" s="4" t="s">
        <v>58</v>
      </c>
      <c r="T366" s="4" t="s">
        <v>1453</v>
      </c>
      <c r="U366" s="4" t="s">
        <v>359</v>
      </c>
      <c r="V366" s="4" t="s">
        <v>161</v>
      </c>
      <c r="W366" s="4" t="s">
        <v>1454</v>
      </c>
    </row>
    <row r="367" spans="2:23" ht="14.25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R367" s="4" t="s">
        <v>289</v>
      </c>
      <c r="S367" s="4" t="s">
        <v>58</v>
      </c>
      <c r="T367" s="4" t="s">
        <v>1455</v>
      </c>
      <c r="U367" s="4" t="s">
        <v>359</v>
      </c>
      <c r="V367" s="4" t="s">
        <v>161</v>
      </c>
      <c r="W367" s="4" t="s">
        <v>1456</v>
      </c>
    </row>
    <row r="368" spans="2:23" ht="14.25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R368" s="4" t="s">
        <v>289</v>
      </c>
      <c r="S368" s="4" t="s">
        <v>58</v>
      </c>
      <c r="T368" s="4" t="s">
        <v>1457</v>
      </c>
      <c r="U368" s="4" t="s">
        <v>359</v>
      </c>
      <c r="V368" s="4" t="s">
        <v>161</v>
      </c>
      <c r="W368" s="4" t="s">
        <v>1458</v>
      </c>
    </row>
    <row r="369" spans="2:23" ht="14.25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R369" s="4" t="s">
        <v>289</v>
      </c>
      <c r="S369" s="4" t="s">
        <v>58</v>
      </c>
      <c r="T369" s="4" t="s">
        <v>1459</v>
      </c>
      <c r="U369" s="4" t="s">
        <v>359</v>
      </c>
      <c r="V369" s="4" t="s">
        <v>161</v>
      </c>
      <c r="W369" s="4" t="s">
        <v>1460</v>
      </c>
    </row>
    <row r="370" spans="2:23" ht="14.25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R370" s="4" t="s">
        <v>289</v>
      </c>
      <c r="S370" s="4" t="s">
        <v>58</v>
      </c>
      <c r="T370" s="4" t="s">
        <v>1461</v>
      </c>
      <c r="U370" s="4" t="s">
        <v>359</v>
      </c>
      <c r="V370" s="4" t="s">
        <v>161</v>
      </c>
      <c r="W370" s="4" t="s">
        <v>1462</v>
      </c>
    </row>
    <row r="371" spans="2:23" ht="14.25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R371" s="4" t="s">
        <v>289</v>
      </c>
      <c r="S371" s="4" t="s">
        <v>58</v>
      </c>
      <c r="T371" s="4" t="s">
        <v>1463</v>
      </c>
      <c r="U371" s="4" t="s">
        <v>359</v>
      </c>
      <c r="V371" s="4" t="s">
        <v>161</v>
      </c>
      <c r="W371" s="4" t="s">
        <v>1464</v>
      </c>
    </row>
    <row r="372" spans="2:23" ht="14.25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R372" s="4" t="s">
        <v>289</v>
      </c>
      <c r="S372" s="4" t="s">
        <v>59</v>
      </c>
      <c r="T372" s="4" t="s">
        <v>1465</v>
      </c>
      <c r="U372" s="4" t="s">
        <v>359</v>
      </c>
      <c r="V372" s="4" t="s">
        <v>161</v>
      </c>
      <c r="W372" s="4" t="s">
        <v>1466</v>
      </c>
    </row>
    <row r="373" spans="2:23" ht="14.25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R373" s="4" t="s">
        <v>289</v>
      </c>
      <c r="S373" s="4" t="s">
        <v>59</v>
      </c>
      <c r="T373" s="4" t="s">
        <v>1467</v>
      </c>
      <c r="U373" s="4" t="s">
        <v>359</v>
      </c>
      <c r="V373" s="4" t="s">
        <v>161</v>
      </c>
      <c r="W373" s="4" t="s">
        <v>1468</v>
      </c>
    </row>
    <row r="374" spans="2:23" ht="14.25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R374" s="4" t="s">
        <v>289</v>
      </c>
      <c r="S374" s="4" t="s">
        <v>59</v>
      </c>
      <c r="T374" s="4" t="s">
        <v>1469</v>
      </c>
      <c r="U374" s="4" t="s">
        <v>359</v>
      </c>
      <c r="V374" s="4" t="s">
        <v>161</v>
      </c>
      <c r="W374" s="4" t="s">
        <v>1470</v>
      </c>
    </row>
    <row r="375" spans="2:23" ht="14.25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R375" s="4" t="s">
        <v>289</v>
      </c>
      <c r="S375" s="4" t="s">
        <v>59</v>
      </c>
      <c r="T375" s="4" t="s">
        <v>1471</v>
      </c>
      <c r="U375" s="4" t="s">
        <v>359</v>
      </c>
      <c r="V375" s="4" t="s">
        <v>161</v>
      </c>
      <c r="W375" s="4" t="s">
        <v>1472</v>
      </c>
    </row>
    <row r="376" spans="2:23" ht="14.25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R376" s="4" t="s">
        <v>289</v>
      </c>
      <c r="S376" s="4" t="s">
        <v>60</v>
      </c>
      <c r="T376" s="4" t="s">
        <v>1473</v>
      </c>
      <c r="U376" s="4" t="s">
        <v>359</v>
      </c>
      <c r="V376" s="4" t="s">
        <v>161</v>
      </c>
      <c r="W376" s="4" t="s">
        <v>1474</v>
      </c>
    </row>
    <row r="377" spans="2:23" ht="14.25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R377" s="4" t="s">
        <v>289</v>
      </c>
      <c r="S377" s="4" t="s">
        <v>60</v>
      </c>
      <c r="T377" s="4" t="s">
        <v>1475</v>
      </c>
      <c r="U377" s="4" t="s">
        <v>359</v>
      </c>
      <c r="V377" s="4" t="s">
        <v>161</v>
      </c>
      <c r="W377" s="4" t="s">
        <v>1476</v>
      </c>
    </row>
    <row r="378" spans="2:23" ht="14.25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R378" s="4" t="s">
        <v>289</v>
      </c>
      <c r="S378" s="4" t="s">
        <v>61</v>
      </c>
      <c r="T378" s="4" t="s">
        <v>1477</v>
      </c>
      <c r="U378" s="4" t="s">
        <v>359</v>
      </c>
      <c r="V378" s="4" t="s">
        <v>161</v>
      </c>
      <c r="W378" s="4" t="s">
        <v>1478</v>
      </c>
    </row>
    <row r="379" spans="2:23" ht="14.25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R379" s="4" t="s">
        <v>289</v>
      </c>
      <c r="S379" s="4" t="s">
        <v>61</v>
      </c>
      <c r="T379" s="4" t="s">
        <v>1479</v>
      </c>
      <c r="U379" s="4" t="s">
        <v>359</v>
      </c>
      <c r="V379" s="4" t="s">
        <v>161</v>
      </c>
      <c r="W379" s="4" t="s">
        <v>1480</v>
      </c>
    </row>
    <row r="380" spans="2:23" ht="14.25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R380" s="4" t="s">
        <v>289</v>
      </c>
      <c r="S380" s="4" t="s">
        <v>62</v>
      </c>
      <c r="T380" s="4" t="s">
        <v>1481</v>
      </c>
      <c r="U380" s="4" t="s">
        <v>359</v>
      </c>
      <c r="V380" s="4" t="s">
        <v>161</v>
      </c>
      <c r="W380" s="4" t="s">
        <v>1482</v>
      </c>
    </row>
    <row r="381" spans="2:23" ht="14.25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R381" s="4" t="s">
        <v>289</v>
      </c>
      <c r="S381" s="4" t="s">
        <v>62</v>
      </c>
      <c r="T381" s="4" t="s">
        <v>1483</v>
      </c>
      <c r="U381" s="4" t="s">
        <v>359</v>
      </c>
      <c r="V381" s="4" t="s">
        <v>161</v>
      </c>
      <c r="W381" s="4" t="s">
        <v>1484</v>
      </c>
    </row>
    <row r="382" spans="2:23" ht="14.25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R382" s="4" t="s">
        <v>289</v>
      </c>
      <c r="S382" s="4" t="s">
        <v>62</v>
      </c>
      <c r="T382" s="4" t="s">
        <v>1485</v>
      </c>
      <c r="U382" s="4" t="s">
        <v>359</v>
      </c>
      <c r="V382" s="4" t="s">
        <v>161</v>
      </c>
      <c r="W382" s="4" t="s">
        <v>1486</v>
      </c>
    </row>
    <row r="383" spans="2:23" ht="14.25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R383" s="4" t="s">
        <v>289</v>
      </c>
      <c r="S383" s="4" t="s">
        <v>62</v>
      </c>
      <c r="T383" s="4" t="s">
        <v>1487</v>
      </c>
      <c r="U383" s="4" t="s">
        <v>359</v>
      </c>
      <c r="V383" s="4" t="s">
        <v>161</v>
      </c>
      <c r="W383" s="4" t="s">
        <v>1488</v>
      </c>
    </row>
    <row r="384" spans="2:23" ht="14.25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R384" s="4" t="s">
        <v>289</v>
      </c>
      <c r="S384" s="4" t="s">
        <v>63</v>
      </c>
      <c r="T384" s="4" t="s">
        <v>1489</v>
      </c>
      <c r="U384" s="4" t="s">
        <v>359</v>
      </c>
      <c r="V384" s="4" t="s">
        <v>161</v>
      </c>
      <c r="W384" s="4" t="s">
        <v>1490</v>
      </c>
    </row>
    <row r="385" spans="2:23" ht="14.25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R385" s="4" t="s">
        <v>289</v>
      </c>
      <c r="S385" s="4" t="s">
        <v>63</v>
      </c>
      <c r="T385" s="4" t="s">
        <v>1491</v>
      </c>
      <c r="U385" s="4" t="s">
        <v>359</v>
      </c>
      <c r="V385" s="4" t="s">
        <v>161</v>
      </c>
      <c r="W385" s="4" t="s">
        <v>1492</v>
      </c>
    </row>
    <row r="386" spans="2:23" ht="14.25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R386" s="4" t="s">
        <v>289</v>
      </c>
      <c r="S386" s="4" t="s">
        <v>63</v>
      </c>
      <c r="T386" s="4" t="s">
        <v>1493</v>
      </c>
      <c r="U386" s="4" t="s">
        <v>359</v>
      </c>
      <c r="V386" s="4" t="s">
        <v>161</v>
      </c>
      <c r="W386" s="4" t="s">
        <v>1494</v>
      </c>
    </row>
    <row r="387" spans="2:23" ht="14.25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R387" s="4" t="s">
        <v>289</v>
      </c>
      <c r="S387" s="4" t="s">
        <v>63</v>
      </c>
      <c r="T387" s="4" t="s">
        <v>1495</v>
      </c>
      <c r="U387" s="4" t="s">
        <v>359</v>
      </c>
      <c r="V387" s="4" t="s">
        <v>161</v>
      </c>
      <c r="W387" s="4" t="s">
        <v>1496</v>
      </c>
    </row>
    <row r="388" spans="2:23" ht="14.25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R388" s="4" t="s">
        <v>289</v>
      </c>
      <c r="S388" s="4" t="s">
        <v>63</v>
      </c>
      <c r="T388" s="4" t="s">
        <v>1497</v>
      </c>
      <c r="U388" s="4" t="s">
        <v>359</v>
      </c>
      <c r="V388" s="4" t="s">
        <v>161</v>
      </c>
      <c r="W388" s="4" t="s">
        <v>1498</v>
      </c>
    </row>
    <row r="389" spans="2:23" ht="14.25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R389" s="4" t="s">
        <v>289</v>
      </c>
      <c r="S389" s="4" t="s">
        <v>63</v>
      </c>
      <c r="T389" s="4" t="s">
        <v>1499</v>
      </c>
      <c r="U389" s="4" t="s">
        <v>359</v>
      </c>
      <c r="V389" s="4" t="s">
        <v>161</v>
      </c>
      <c r="W389" s="4" t="s">
        <v>1500</v>
      </c>
    </row>
    <row r="390" spans="2:23" ht="14.25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R390" s="4" t="s">
        <v>289</v>
      </c>
      <c r="S390" s="4" t="s">
        <v>64</v>
      </c>
      <c r="T390" s="4" t="s">
        <v>1501</v>
      </c>
      <c r="U390" s="4" t="s">
        <v>359</v>
      </c>
      <c r="V390" s="4" t="s">
        <v>161</v>
      </c>
      <c r="W390" s="4" t="s">
        <v>1502</v>
      </c>
    </row>
    <row r="391" spans="2:23" ht="14.25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R391" s="4" t="s">
        <v>289</v>
      </c>
      <c r="S391" s="4" t="s">
        <v>64</v>
      </c>
      <c r="T391" s="4" t="s">
        <v>1503</v>
      </c>
      <c r="U391" s="4" t="s">
        <v>359</v>
      </c>
      <c r="V391" s="4" t="s">
        <v>161</v>
      </c>
      <c r="W391" s="4" t="s">
        <v>1504</v>
      </c>
    </row>
    <row r="392" spans="2:23" ht="14.25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R392" s="4" t="s">
        <v>289</v>
      </c>
      <c r="S392" s="4" t="s">
        <v>65</v>
      </c>
      <c r="T392" s="4" t="s">
        <v>1505</v>
      </c>
      <c r="U392" s="4" t="s">
        <v>359</v>
      </c>
      <c r="V392" s="4" t="s">
        <v>161</v>
      </c>
      <c r="W392" s="4" t="s">
        <v>1506</v>
      </c>
    </row>
    <row r="393" spans="2:23" ht="14.25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R393" s="4" t="s">
        <v>289</v>
      </c>
      <c r="S393" s="4" t="s">
        <v>65</v>
      </c>
      <c r="T393" s="4" t="s">
        <v>1507</v>
      </c>
      <c r="U393" s="4" t="s">
        <v>359</v>
      </c>
      <c r="V393" s="4" t="s">
        <v>161</v>
      </c>
      <c r="W393" s="4" t="s">
        <v>1508</v>
      </c>
    </row>
    <row r="394" spans="2:23" ht="14.25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R394" s="4" t="s">
        <v>289</v>
      </c>
      <c r="S394" s="4" t="s">
        <v>66</v>
      </c>
      <c r="T394" s="4" t="s">
        <v>1509</v>
      </c>
      <c r="U394" s="4" t="s">
        <v>359</v>
      </c>
      <c r="V394" s="4" t="s">
        <v>161</v>
      </c>
      <c r="W394" s="4" t="s">
        <v>1510</v>
      </c>
    </row>
    <row r="395" spans="2:23" ht="14.25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R395" s="4" t="s">
        <v>289</v>
      </c>
      <c r="S395" s="4" t="s">
        <v>66</v>
      </c>
      <c r="T395" s="4" t="s">
        <v>1511</v>
      </c>
      <c r="U395" s="4" t="s">
        <v>359</v>
      </c>
      <c r="V395" s="4" t="s">
        <v>161</v>
      </c>
      <c r="W395" s="4" t="s">
        <v>1512</v>
      </c>
    </row>
    <row r="396" spans="2:23" ht="14.25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R396" s="4" t="s">
        <v>289</v>
      </c>
      <c r="S396" s="4" t="s">
        <v>67</v>
      </c>
      <c r="T396" s="4" t="s">
        <v>1513</v>
      </c>
      <c r="U396" s="4" t="s">
        <v>359</v>
      </c>
      <c r="V396" s="4" t="s">
        <v>161</v>
      </c>
      <c r="W396" s="4" t="s">
        <v>1514</v>
      </c>
    </row>
    <row r="397" spans="2:23" ht="14.25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R397" s="4" t="s">
        <v>289</v>
      </c>
      <c r="S397" s="4" t="s">
        <v>67</v>
      </c>
      <c r="T397" s="4" t="s">
        <v>1515</v>
      </c>
      <c r="U397" s="4" t="s">
        <v>359</v>
      </c>
      <c r="V397" s="4" t="s">
        <v>161</v>
      </c>
      <c r="W397" s="4" t="s">
        <v>1516</v>
      </c>
    </row>
    <row r="398" spans="2:23" ht="14.25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R398" s="4" t="s">
        <v>289</v>
      </c>
      <c r="S398" s="4" t="s">
        <v>67</v>
      </c>
      <c r="T398" s="4" t="s">
        <v>1517</v>
      </c>
      <c r="U398" s="4" t="s">
        <v>359</v>
      </c>
      <c r="V398" s="4" t="s">
        <v>161</v>
      </c>
      <c r="W398" s="4" t="s">
        <v>1518</v>
      </c>
    </row>
    <row r="399" spans="2:23" ht="14.25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R399" s="4" t="s">
        <v>289</v>
      </c>
      <c r="S399" s="4" t="s">
        <v>67</v>
      </c>
      <c r="T399" s="4" t="s">
        <v>1519</v>
      </c>
      <c r="U399" s="4" t="s">
        <v>359</v>
      </c>
      <c r="V399" s="4" t="s">
        <v>161</v>
      </c>
      <c r="W399" s="4" t="s">
        <v>1520</v>
      </c>
    </row>
    <row r="400" spans="2:23" ht="14.25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R400" s="4" t="s">
        <v>289</v>
      </c>
      <c r="S400" s="4" t="s">
        <v>68</v>
      </c>
      <c r="T400" s="4" t="s">
        <v>1521</v>
      </c>
      <c r="U400" s="4" t="s">
        <v>359</v>
      </c>
      <c r="V400" s="4" t="s">
        <v>161</v>
      </c>
      <c r="W400" s="4" t="s">
        <v>1522</v>
      </c>
    </row>
    <row r="401" spans="2:23" ht="14.25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R401" s="4" t="s">
        <v>289</v>
      </c>
      <c r="S401" s="4" t="s">
        <v>68</v>
      </c>
      <c r="T401" s="4" t="s">
        <v>1523</v>
      </c>
      <c r="U401" s="4" t="s">
        <v>359</v>
      </c>
      <c r="V401" s="4" t="s">
        <v>161</v>
      </c>
      <c r="W401" s="4" t="s">
        <v>1524</v>
      </c>
    </row>
    <row r="402" spans="2:23" ht="14.25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R402" s="4" t="s">
        <v>289</v>
      </c>
      <c r="S402" s="4" t="s">
        <v>68</v>
      </c>
      <c r="T402" s="4" t="s">
        <v>1525</v>
      </c>
      <c r="U402" s="4" t="s">
        <v>359</v>
      </c>
      <c r="V402" s="4" t="s">
        <v>161</v>
      </c>
      <c r="W402" s="4" t="s">
        <v>1526</v>
      </c>
    </row>
    <row r="403" spans="2:23" ht="14.25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R403" s="4" t="s">
        <v>289</v>
      </c>
      <c r="S403" s="4" t="s">
        <v>68</v>
      </c>
      <c r="T403" s="4" t="s">
        <v>1527</v>
      </c>
      <c r="U403" s="4" t="s">
        <v>359</v>
      </c>
      <c r="V403" s="4" t="s">
        <v>161</v>
      </c>
      <c r="W403" s="4" t="s">
        <v>1528</v>
      </c>
    </row>
    <row r="404" spans="2:23" ht="14.25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R404" s="4" t="s">
        <v>289</v>
      </c>
      <c r="S404" s="4" t="s">
        <v>68</v>
      </c>
      <c r="T404" s="4" t="s">
        <v>1529</v>
      </c>
      <c r="U404" s="4" t="s">
        <v>359</v>
      </c>
      <c r="V404" s="4" t="s">
        <v>161</v>
      </c>
      <c r="W404" s="4" t="s">
        <v>1530</v>
      </c>
    </row>
    <row r="405" spans="2:23" ht="14.25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R405" s="4" t="s">
        <v>289</v>
      </c>
      <c r="S405" s="4" t="s">
        <v>68</v>
      </c>
      <c r="T405" s="4" t="s">
        <v>1531</v>
      </c>
      <c r="U405" s="4" t="s">
        <v>359</v>
      </c>
      <c r="V405" s="4" t="s">
        <v>161</v>
      </c>
      <c r="W405" s="4" t="s">
        <v>1532</v>
      </c>
    </row>
    <row r="406" spans="2:23" ht="14.25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R406" s="4" t="s">
        <v>289</v>
      </c>
      <c r="S406" s="4" t="s">
        <v>68</v>
      </c>
      <c r="T406" s="4" t="s">
        <v>1533</v>
      </c>
      <c r="U406" s="4" t="s">
        <v>359</v>
      </c>
      <c r="V406" s="4" t="s">
        <v>161</v>
      </c>
      <c r="W406" s="4" t="s">
        <v>1534</v>
      </c>
    </row>
    <row r="407" spans="2:23" ht="14.25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R407" s="4" t="s">
        <v>289</v>
      </c>
      <c r="S407" s="4" t="s">
        <v>68</v>
      </c>
      <c r="T407" s="4" t="s">
        <v>1535</v>
      </c>
      <c r="U407" s="4" t="s">
        <v>359</v>
      </c>
      <c r="V407" s="4" t="s">
        <v>161</v>
      </c>
      <c r="W407" s="4" t="s">
        <v>1536</v>
      </c>
    </row>
    <row r="408" spans="2:23" ht="14.25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R408" s="4" t="s">
        <v>289</v>
      </c>
      <c r="S408" s="4" t="s">
        <v>68</v>
      </c>
      <c r="T408" s="4" t="s">
        <v>1537</v>
      </c>
      <c r="U408" s="4" t="s">
        <v>359</v>
      </c>
      <c r="V408" s="4" t="s">
        <v>161</v>
      </c>
      <c r="W408" s="4" t="s">
        <v>1538</v>
      </c>
    </row>
    <row r="409" spans="2:23" ht="14.25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R409" s="4" t="s">
        <v>289</v>
      </c>
      <c r="S409" s="4" t="s">
        <v>68</v>
      </c>
      <c r="T409" s="4" t="s">
        <v>1539</v>
      </c>
      <c r="U409" s="4" t="s">
        <v>359</v>
      </c>
      <c r="V409" s="4" t="s">
        <v>161</v>
      </c>
      <c r="W409" s="4" t="s">
        <v>1540</v>
      </c>
    </row>
    <row r="410" spans="2:23" ht="14.25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R410" s="4" t="s">
        <v>289</v>
      </c>
      <c r="S410" s="4" t="s">
        <v>68</v>
      </c>
      <c r="T410" s="4" t="s">
        <v>1541</v>
      </c>
      <c r="U410" s="4" t="s">
        <v>359</v>
      </c>
      <c r="V410" s="4" t="s">
        <v>161</v>
      </c>
      <c r="W410" s="4" t="s">
        <v>1542</v>
      </c>
    </row>
    <row r="411" spans="2:23" ht="14.25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R411" s="4" t="s">
        <v>289</v>
      </c>
      <c r="S411" s="4" t="s">
        <v>68</v>
      </c>
      <c r="T411" s="4" t="s">
        <v>1543</v>
      </c>
      <c r="U411" s="4" t="s">
        <v>359</v>
      </c>
      <c r="V411" s="4" t="s">
        <v>161</v>
      </c>
      <c r="W411" s="4" t="s">
        <v>1544</v>
      </c>
    </row>
    <row r="412" spans="2:23" ht="14.25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</row>
    <row r="413" spans="2:23" ht="14.25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</row>
    <row r="414" spans="2:23" ht="14.25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</row>
    <row r="415" spans="2:23" ht="14.25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</row>
    <row r="416" spans="2:23" ht="14.25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</row>
    <row r="417" spans="2:14" ht="14.25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</row>
    <row r="418" spans="2:14" ht="14.25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</row>
    <row r="419" spans="2:14" ht="14.25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</row>
    <row r="420" spans="2:14" ht="14.25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</row>
    <row r="421" spans="2:14" ht="14.25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</row>
    <row r="422" spans="2:14" ht="14.25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</row>
    <row r="423" spans="2:14" ht="14.25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</row>
    <row r="424" spans="2:14" ht="14.25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</row>
    <row r="425" spans="2:14" ht="14.25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</row>
    <row r="426" spans="2:14" ht="14.25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</row>
    <row r="427" spans="2:14" ht="14.25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</row>
    <row r="428" spans="2:14" ht="14.25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</row>
    <row r="429" spans="2:14" ht="14.25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</row>
    <row r="430" spans="2:14" ht="14.25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</row>
    <row r="431" spans="2:14" ht="14.25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</row>
    <row r="432" spans="2:14" ht="14.25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</row>
    <row r="433" spans="2:14" ht="14.25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</row>
    <row r="434" spans="2:14" ht="14.25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</row>
    <row r="435" spans="2:14" ht="14.25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</row>
    <row r="436" spans="2:14" ht="14.25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</row>
    <row r="437" spans="2:14" ht="14.25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</row>
    <row r="438" spans="2:14" ht="14.25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</row>
    <row r="439" spans="2:14" ht="14.25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</row>
    <row r="440" spans="2:14" ht="14.25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</row>
    <row r="441" spans="2:14" ht="14.25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</row>
    <row r="442" spans="2:14" ht="14.25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</row>
    <row r="443" spans="2:14" ht="14.25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</row>
    <row r="444" spans="2:14" ht="14.25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</row>
    <row r="445" spans="2:14" ht="14.25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</row>
    <row r="446" spans="2:14" ht="14.25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</row>
    <row r="447" spans="2:14" ht="14.25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</row>
    <row r="448" spans="2:14" ht="14.25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</row>
    <row r="449" spans="2:14" ht="14.25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</row>
    <row r="450" spans="2:14" ht="14.25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</row>
    <row r="451" spans="2:14" ht="14.25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</row>
    <row r="452" spans="2:14" ht="14.25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</row>
    <row r="453" spans="2:14" ht="14.25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</row>
    <row r="454" spans="2:14" ht="14.25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</row>
    <row r="455" spans="2:14" ht="14.25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</row>
    <row r="456" spans="2:14" ht="14.25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</row>
    <row r="457" spans="2:14" ht="14.25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</row>
    <row r="458" spans="2:14" ht="14.25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</row>
    <row r="459" spans="2:14" ht="14.25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</row>
    <row r="460" spans="2:14" ht="14.25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</row>
    <row r="461" spans="2:14" ht="14.25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</row>
    <row r="462" spans="2:14" ht="14.25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</row>
    <row r="463" spans="2:14" ht="14.25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</row>
    <row r="464" spans="2:14" ht="14.25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</row>
    <row r="465" spans="2:14" ht="14.25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</row>
    <row r="466" spans="2:14" ht="14.25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</row>
    <row r="467" spans="2:14" ht="14.25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</row>
    <row r="468" spans="2:14" ht="14.25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</row>
    <row r="469" spans="2:14" ht="14.25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</row>
    <row r="470" spans="2:14" ht="14.25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</row>
    <row r="471" spans="2:14" ht="14.25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</row>
    <row r="472" spans="2:14" ht="14.25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</row>
    <row r="473" spans="2:14" ht="14.25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</row>
    <row r="474" spans="2:14" ht="14.25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</row>
    <row r="475" spans="2:14" ht="14.25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</row>
    <row r="476" spans="2:14" ht="14.25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</row>
    <row r="477" spans="2:14" ht="14.25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</row>
    <row r="478" spans="2:14" ht="14.25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</row>
    <row r="479" spans="2:14" ht="14.25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</row>
    <row r="480" spans="2:14" ht="14.25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</row>
    <row r="481" spans="2:14" ht="14.25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</row>
    <row r="482" spans="2:14" ht="14.25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</row>
    <row r="483" spans="2:14" ht="14.25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</row>
    <row r="484" spans="2:14" ht="14.25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</row>
    <row r="485" spans="2:14" ht="14.25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</row>
    <row r="486" spans="2:14" ht="14.25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</row>
    <row r="487" spans="2:14" ht="14.25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</row>
    <row r="488" spans="2:14" ht="14.25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</row>
    <row r="489" spans="2:14" ht="14.25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</row>
    <row r="490" spans="2:14" ht="14.25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</row>
    <row r="491" spans="2:14" ht="14.25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</row>
    <row r="492" spans="2:14" ht="14.25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</row>
    <row r="493" spans="2:14" ht="14.25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</row>
    <row r="494" spans="2:14" ht="14.25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</row>
    <row r="495" spans="2:14" ht="14.25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</row>
    <row r="496" spans="2:14" ht="14.25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</row>
    <row r="497" spans="2:14" ht="14.25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</row>
    <row r="498" spans="2:14" ht="14.25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</row>
    <row r="499" spans="2:14" ht="14.25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</row>
    <row r="500" spans="2:14" ht="14.25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</row>
    <row r="501" spans="2:14" ht="14.25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</row>
    <row r="502" spans="2:14" ht="14.25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</row>
    <row r="503" spans="2:14" ht="14.25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</row>
    <row r="504" spans="2:14" ht="14.25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</row>
    <row r="505" spans="2:14" ht="14.25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</row>
    <row r="506" spans="2:14" ht="14.25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</row>
    <row r="507" spans="2:14" ht="14.25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</row>
    <row r="508" spans="2:14" ht="14.25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</row>
    <row r="509" spans="2:14" ht="14.25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</row>
    <row r="510" spans="2:14" ht="14.25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</row>
    <row r="511" spans="2:14" ht="14.25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</row>
    <row r="512" spans="2:14" ht="14.25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</row>
    <row r="513" spans="2:14" ht="14.25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</row>
    <row r="514" spans="2:14" ht="14.25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</row>
    <row r="515" spans="2:14" ht="14.25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</row>
    <row r="516" spans="2:14" ht="14.25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</row>
    <row r="517" spans="2:14" ht="14.25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</row>
    <row r="518" spans="2:14" ht="14.25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</row>
    <row r="519" spans="2:14" ht="14.25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</row>
    <row r="520" spans="2:14" ht="14.25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</row>
    <row r="521" spans="2:14" ht="14.25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</row>
    <row r="522" spans="2:14" ht="14.25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</row>
    <row r="523" spans="2:14" ht="14.25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</row>
    <row r="524" spans="2:14" ht="14.25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</row>
    <row r="525" spans="2:14" ht="14.25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</row>
    <row r="526" spans="2:14" ht="14.25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</row>
    <row r="527" spans="2:14" ht="14.25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</row>
    <row r="528" spans="2:14" ht="14.25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</row>
    <row r="529" spans="2:14" ht="14.25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</row>
    <row r="530" spans="2:14" ht="14.25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</row>
    <row r="531" spans="2:14" ht="14.25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</row>
    <row r="532" spans="2:14" ht="14.25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</row>
    <row r="533" spans="2:14" ht="14.25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</row>
    <row r="534" spans="2:14" ht="14.25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</row>
    <row r="535" spans="2:14" ht="14.25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</row>
    <row r="536" spans="2:14" ht="14.25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</row>
    <row r="537" spans="2:14" ht="14.25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</row>
    <row r="538" spans="2:14" ht="14.25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</row>
    <row r="539" spans="2:14" ht="14.25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</row>
    <row r="540" spans="2:14" ht="14.25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</row>
    <row r="541" spans="2:14" ht="14.25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</row>
    <row r="542" spans="2:14" ht="14.25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</row>
    <row r="543" spans="2:14" ht="14.25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</row>
    <row r="544" spans="2:14" ht="14.25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</row>
    <row r="545" spans="2:14" ht="14.25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</row>
    <row r="546" spans="2:14" ht="14.25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</row>
    <row r="547" spans="2:14" ht="14.25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</row>
    <row r="548" spans="2:14" ht="14.25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</row>
    <row r="549" spans="2:14" ht="14.25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</row>
    <row r="550" spans="2:14" ht="14.25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</row>
    <row r="551" spans="2:14" ht="14.25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</row>
    <row r="552" spans="2:14" ht="14.25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</row>
    <row r="553" spans="2:14" ht="14.25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</row>
    <row r="554" spans="2:14" ht="14.25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</row>
    <row r="555" spans="2:14" ht="14.25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</row>
    <row r="556" spans="2:14" ht="14.25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</row>
    <row r="557" spans="2:14" ht="14.25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</row>
    <row r="558" spans="2:14" ht="14.25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</row>
    <row r="559" spans="2:14" ht="14.25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</row>
    <row r="560" spans="2:14" ht="14.25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</row>
    <row r="561" spans="2:14" ht="14.25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</row>
    <row r="562" spans="2:14" ht="14.25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</row>
    <row r="563" spans="2:14" ht="14.25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</row>
    <row r="564" spans="2:14" ht="14.25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</row>
    <row r="565" spans="2:14" ht="14.25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</row>
    <row r="566" spans="2:14" ht="14.25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</row>
    <row r="567" spans="2:14" ht="14.25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</row>
    <row r="568" spans="2:14" ht="14.25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</row>
    <row r="569" spans="2:14" ht="14.25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</row>
    <row r="570" spans="2:14" ht="14.25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</row>
    <row r="571" spans="2:14" ht="14.25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</row>
    <row r="572" spans="2:14" ht="14.25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</row>
    <row r="573" spans="2:14" ht="14.25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</row>
    <row r="574" spans="2:14" ht="14.25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</row>
    <row r="575" spans="2:14" ht="14.25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</row>
    <row r="576" spans="2:14" ht="14.25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</row>
    <row r="577" spans="2:14" ht="14.25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</row>
    <row r="578" spans="2:14" ht="14.25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</row>
    <row r="579" spans="2:14" ht="14.25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</row>
    <row r="580" spans="2:14" ht="14.25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</row>
    <row r="581" spans="2:14" ht="14.25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</row>
    <row r="582" spans="2:14" ht="14.25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</row>
    <row r="583" spans="2:14" ht="14.25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</row>
    <row r="584" spans="2:14" ht="14.25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</row>
    <row r="585" spans="2:14" ht="14.25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</row>
    <row r="586" spans="2:14" ht="14.25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</row>
    <row r="587" spans="2:14" ht="14.25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</row>
    <row r="588" spans="2:14" ht="14.25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</row>
    <row r="589" spans="2:14" ht="14.25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</row>
    <row r="590" spans="2:14" ht="14.25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</row>
    <row r="591" spans="2:14" ht="14.25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</row>
    <row r="592" spans="2:14" ht="14.25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</row>
    <row r="593" spans="2:14" ht="14.25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</row>
    <row r="594" spans="2:14" ht="14.25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</row>
    <row r="595" spans="2:14" ht="14.25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</row>
    <row r="596" spans="2:14" ht="14.25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</row>
    <row r="597" spans="2:14" ht="14.25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</row>
    <row r="598" spans="2:14" ht="14.25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</row>
    <row r="599" spans="2:14" ht="14.25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</row>
    <row r="600" spans="2:14" ht="14.25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</row>
    <row r="601" spans="2:14" ht="14.25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</row>
    <row r="602" spans="2:14" ht="14.25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</row>
    <row r="603" spans="2:14" ht="14.25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</row>
    <row r="604" spans="2:14" ht="14.25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</row>
    <row r="605" spans="2:14" ht="14.25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</row>
    <row r="606" spans="2:14" ht="14.25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</row>
    <row r="607" spans="2:14" ht="14.25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</row>
    <row r="608" spans="2:14" ht="14.25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</row>
    <row r="609" spans="2:14" ht="14.25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</row>
    <row r="610" spans="2:14" ht="14.25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</row>
    <row r="611" spans="2:14" ht="14.25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</row>
    <row r="612" spans="2:14" ht="14.25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</row>
    <row r="613" spans="2:14" ht="14.25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</row>
    <row r="614" spans="2:14" ht="14.25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</row>
    <row r="615" spans="2:14" ht="14.25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</row>
    <row r="616" spans="2:14" ht="14.25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</row>
    <row r="617" spans="2:14" ht="14.25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</row>
    <row r="618" spans="2:14" ht="14.25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</row>
    <row r="619" spans="2:14" ht="14.25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</row>
    <row r="620" spans="2:14" ht="14.25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</row>
    <row r="621" spans="2:14" ht="14.25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</row>
    <row r="622" spans="2:14" ht="14.25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</row>
    <row r="623" spans="2:14" ht="14.25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</row>
    <row r="624" spans="2:14" ht="14.25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</row>
    <row r="625" spans="2:14" ht="14.25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</row>
    <row r="626" spans="2:14" ht="14.25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</row>
    <row r="627" spans="2:14" ht="14.25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</row>
    <row r="628" spans="2:14" ht="14.25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</row>
    <row r="629" spans="2:14" ht="14.25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</row>
    <row r="630" spans="2:14" ht="14.25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</row>
    <row r="631" spans="2:14" ht="14.25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</row>
    <row r="632" spans="2:14" ht="14.25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</row>
    <row r="633" spans="2:14" ht="14.25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</row>
    <row r="634" spans="2:14" ht="14.25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</row>
    <row r="635" spans="2:14" ht="14.25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</row>
    <row r="636" spans="2:14" ht="14.25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</row>
    <row r="637" spans="2:14" ht="14.25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</row>
    <row r="638" spans="2:14" ht="14.25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</row>
    <row r="639" spans="2:14" ht="14.25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</row>
    <row r="640" spans="2:14" ht="14.25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</row>
    <row r="641" spans="2:14" ht="14.25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</row>
    <row r="642" spans="2:14" ht="14.25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</row>
    <row r="643" spans="2:14" ht="14.25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</row>
    <row r="644" spans="2:14" ht="14.25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</row>
    <row r="645" spans="2:14" ht="14.25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</row>
    <row r="646" spans="2:14" ht="14.25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</row>
    <row r="647" spans="2:14" ht="14.25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</row>
    <row r="648" spans="2:14" ht="14.25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</row>
    <row r="649" spans="2:14" ht="14.25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</row>
    <row r="650" spans="2:14" ht="14.25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</row>
    <row r="651" spans="2:14" ht="14.25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</row>
    <row r="652" spans="2:14" ht="14.25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</row>
    <row r="653" spans="2:14" ht="14.25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</row>
    <row r="654" spans="2:14" ht="14.25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</row>
    <row r="655" spans="2:14" ht="14.25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</row>
    <row r="656" spans="2:14" ht="14.25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</row>
    <row r="657" spans="2:14" ht="14.25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</row>
    <row r="658" spans="2:14" ht="14.25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</row>
    <row r="659" spans="2:14" ht="14.25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</row>
    <row r="660" spans="2:14" ht="14.25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</row>
    <row r="661" spans="2:14" ht="14.25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</row>
    <row r="662" spans="2:14" ht="14.25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</row>
    <row r="663" spans="2:14" ht="14.25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</row>
    <row r="664" spans="2:14" ht="14.25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</row>
    <row r="665" spans="2:14" ht="14.25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</row>
    <row r="666" spans="2:14" ht="14.25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</row>
    <row r="667" spans="2:14" ht="14.25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</row>
    <row r="668" spans="2:14" ht="14.25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</row>
    <row r="669" spans="2:14" ht="14.25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</row>
    <row r="670" spans="2:14" ht="14.25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</row>
    <row r="671" spans="2:14" ht="14.25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</row>
    <row r="672" spans="2:14" ht="14.25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</row>
    <row r="673" spans="2:14" ht="14.25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</row>
    <row r="674" spans="2:14" ht="14.25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</row>
    <row r="675" spans="2:14" ht="14.25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</row>
    <row r="676" spans="2:14" ht="14.25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</row>
    <row r="677" spans="2:14" ht="14.25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</row>
    <row r="678" spans="2:14" ht="14.25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</row>
    <row r="679" spans="2:14" ht="14.25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</row>
    <row r="680" spans="2:14" ht="14.25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</row>
    <row r="681" spans="2:14" ht="14.25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</row>
    <row r="682" spans="2:14" ht="14.25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</row>
    <row r="683" spans="2:14" ht="14.25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</row>
    <row r="684" spans="2:14" ht="14.25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</row>
    <row r="685" spans="2:14" ht="14.25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</row>
    <row r="686" spans="2:14" ht="14.25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</row>
    <row r="687" spans="2:14" ht="14.25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</row>
    <row r="688" spans="2:14" ht="14.25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</row>
    <row r="689" spans="2:14" ht="14.25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</row>
    <row r="690" spans="2:14" ht="14.25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</row>
    <row r="691" spans="2:14" ht="14.25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</row>
    <row r="692" spans="2:14" ht="14.25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</row>
    <row r="693" spans="2:14" ht="14.25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</row>
    <row r="694" spans="2:14" ht="14.25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</row>
    <row r="695" spans="2:14" ht="14.25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</row>
    <row r="696" spans="2:14" ht="14.25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</row>
    <row r="697" spans="2:14" ht="14.25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</row>
    <row r="698" spans="2:14" ht="14.25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</row>
    <row r="699" spans="2:14" ht="14.25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</row>
    <row r="700" spans="2:14" ht="14.25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</row>
    <row r="701" spans="2:14" ht="14.25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</row>
    <row r="702" spans="2:14" ht="14.25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</row>
    <row r="703" spans="2:14" ht="14.25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</row>
    <row r="704" spans="2:14" ht="14.25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</row>
    <row r="705" spans="2:14" ht="14.25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</row>
    <row r="706" spans="2:14" ht="14.25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</row>
    <row r="707" spans="2:14" ht="14.25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</row>
    <row r="708" spans="2:14" ht="14.25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</row>
    <row r="709" spans="2:14" ht="14.25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</row>
    <row r="710" spans="2:14" ht="14.25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</row>
    <row r="711" spans="2:14" ht="14.25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</row>
    <row r="712" spans="2:14" ht="14.25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</row>
    <row r="713" spans="2:14" ht="14.25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</row>
    <row r="714" spans="2:14" ht="14.25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</row>
    <row r="715" spans="2:14" ht="14.25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</row>
    <row r="716" spans="2:14" ht="14.25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</row>
    <row r="717" spans="2:14" ht="14.25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</row>
    <row r="718" spans="2:14" ht="14.25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</row>
    <row r="719" spans="2:14" ht="14.25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</row>
    <row r="720" spans="2:14" ht="14.25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</row>
    <row r="721" spans="2:14" ht="14.25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</row>
    <row r="722" spans="2:14" ht="14.25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</row>
    <row r="723" spans="2:14" ht="14.25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</row>
    <row r="724" spans="2:14" ht="14.25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</row>
    <row r="725" spans="2:14" ht="14.25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</row>
    <row r="726" spans="2:14" ht="14.25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</row>
    <row r="727" spans="2:14" ht="14.25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</row>
    <row r="728" spans="2:14" ht="14.25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</row>
    <row r="729" spans="2:14" ht="14.25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</row>
    <row r="730" spans="2:14" ht="14.25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</row>
    <row r="731" spans="2:14" ht="14.25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</row>
    <row r="732" spans="2:14" ht="14.25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</row>
    <row r="733" spans="2:14" ht="14.25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</row>
    <row r="734" spans="2:14" ht="14.25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</row>
    <row r="735" spans="2:14" ht="14.25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</row>
    <row r="736" spans="2:14" ht="14.25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</row>
    <row r="737" spans="2:14" ht="14.25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</row>
    <row r="738" spans="2:14" ht="14.25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</row>
    <row r="739" spans="2:14" ht="14.25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</row>
    <row r="740" spans="2:14" ht="14.25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</row>
    <row r="741" spans="2:14" ht="14.25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</row>
    <row r="742" spans="2:14" ht="14.25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</row>
    <row r="743" spans="2:14" ht="14.25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</row>
    <row r="744" spans="2:14" ht="14.25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</row>
    <row r="745" spans="2:14" ht="14.25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</row>
    <row r="746" spans="2:14" ht="14.25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</row>
    <row r="747" spans="2:14" ht="14.25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</row>
    <row r="748" spans="2:14" ht="14.25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</row>
    <row r="749" spans="2:14" ht="14.25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</row>
    <row r="750" spans="2:14" ht="14.25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</row>
    <row r="751" spans="2:14" ht="14.25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</row>
    <row r="752" spans="2:14" ht="14.25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</row>
    <row r="753" spans="2:14" ht="14.25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</row>
    <row r="754" spans="2:14" ht="14.25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</row>
    <row r="755" spans="2:14" ht="14.25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</row>
    <row r="756" spans="2:14" ht="14.25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</row>
    <row r="757" spans="2:14" ht="14.25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</row>
    <row r="758" spans="2:14" ht="14.25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</row>
    <row r="759" spans="2:14" ht="14.25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</row>
    <row r="760" spans="2:14" ht="14.25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</row>
    <row r="761" spans="2:14" ht="14.25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</row>
    <row r="762" spans="2:14" ht="14.25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</row>
    <row r="763" spans="2:14" ht="14.25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</row>
    <row r="764" spans="2:14" ht="14.25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</row>
    <row r="765" spans="2:14" ht="14.25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</row>
    <row r="766" spans="2:14" ht="14.25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</row>
    <row r="767" spans="2:14" ht="14.25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</row>
    <row r="768" spans="2:14" ht="14.25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</row>
    <row r="769" spans="2:14" ht="14.25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</row>
    <row r="770" spans="2:14" ht="14.25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</row>
    <row r="771" spans="2:14" ht="14.25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</row>
    <row r="772" spans="2:14" ht="14.25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</row>
    <row r="773" spans="2:14" ht="14.25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</row>
    <row r="774" spans="2:14" ht="14.25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</row>
    <row r="775" spans="2:14" ht="14.25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</row>
    <row r="776" spans="2:14" ht="14.25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</row>
    <row r="777" spans="2:14" ht="14.25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</row>
    <row r="778" spans="2:14" ht="14.25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</row>
    <row r="779" spans="2:14" ht="14.25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</row>
    <row r="780" spans="2:14" ht="14.25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</row>
    <row r="781" spans="2:14" ht="14.25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</row>
    <row r="782" spans="2:14" ht="14.25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</row>
    <row r="783" spans="2:14" ht="14.25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</row>
    <row r="784" spans="2:14" ht="14.25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</row>
    <row r="785" spans="2:14" ht="14.25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</row>
    <row r="786" spans="2:14" ht="14.25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</row>
    <row r="787" spans="2:14" ht="14.25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</row>
    <row r="788" spans="2:14" ht="14.25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</row>
    <row r="789" spans="2:14" ht="14.25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</row>
    <row r="790" spans="2:14" ht="14.25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</row>
    <row r="791" spans="2:14" ht="14.25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</row>
    <row r="792" spans="2:14" ht="14.25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</row>
    <row r="793" spans="2:14" ht="14.25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</row>
    <row r="794" spans="2:14" ht="14.25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</row>
    <row r="795" spans="2:14" ht="14.25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</row>
    <row r="796" spans="2:14" ht="14.25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</row>
    <row r="797" spans="2:14" ht="14.25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</row>
    <row r="798" spans="2:14" ht="14.25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</row>
    <row r="799" spans="2:14" ht="14.25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</row>
    <row r="800" spans="2:14" ht="14.25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</row>
    <row r="801" spans="2:14" ht="14.25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</row>
    <row r="802" spans="2:14" ht="14.25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</row>
    <row r="803" spans="2:14" ht="14.25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</row>
    <row r="804" spans="2:14" ht="14.25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</row>
    <row r="805" spans="2:14" ht="14.25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</row>
    <row r="806" spans="2:14" ht="14.25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</row>
    <row r="807" spans="2:14" ht="14.25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</row>
    <row r="808" spans="2:14" ht="14.25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</row>
    <row r="809" spans="2:14" ht="14.25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</row>
    <row r="810" spans="2:14" ht="14.25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</row>
    <row r="811" spans="2:14" ht="14.25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</row>
    <row r="812" spans="2:14" ht="14.25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</row>
    <row r="813" spans="2:14" ht="14.25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</row>
    <row r="814" spans="2:14" ht="14.25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</row>
    <row r="815" spans="2:14" ht="14.25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</row>
    <row r="816" spans="2:14" ht="14.25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</row>
    <row r="817" spans="2:14" ht="14.25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</row>
    <row r="818" spans="2:14" ht="14.25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</row>
    <row r="819" spans="2:14" ht="14.25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</row>
    <row r="820" spans="2:14" ht="14.25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</row>
    <row r="821" spans="2:14" ht="14.25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</row>
    <row r="822" spans="2:14" ht="14.25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</row>
    <row r="823" spans="2:14" ht="14.25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</row>
    <row r="824" spans="2:14" ht="14.25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</row>
    <row r="825" spans="2:14" ht="14.25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</row>
    <row r="826" spans="2:14" ht="14.25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</row>
    <row r="827" spans="2:14" ht="14.25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</row>
    <row r="828" spans="2:14" ht="14.25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</row>
    <row r="829" spans="2:14" ht="14.25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</row>
    <row r="830" spans="2:14" ht="14.25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</row>
    <row r="831" spans="2:14" ht="14.25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</row>
    <row r="832" spans="2:14" ht="14.25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</row>
    <row r="833" spans="2:14" ht="14.25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</row>
    <row r="834" spans="2:14" ht="14.25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</row>
    <row r="835" spans="2:14" ht="14.25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</row>
    <row r="836" spans="2:14" ht="14.25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</row>
    <row r="837" spans="2:14" ht="14.25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</row>
    <row r="838" spans="2:14" ht="14.25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</row>
    <row r="839" spans="2:14" ht="14.25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</row>
    <row r="840" spans="2:14" ht="14.25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</row>
    <row r="841" spans="2:14" ht="14.25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</row>
    <row r="842" spans="2:14" ht="14.25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</row>
    <row r="843" spans="2:14" ht="14.25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</row>
    <row r="844" spans="2:14" ht="14.25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</row>
    <row r="845" spans="2:14" ht="14.25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</row>
    <row r="846" spans="2:14" ht="14.25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</row>
    <row r="847" spans="2:14" ht="14.25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</row>
    <row r="848" spans="2:14" ht="14.25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</row>
    <row r="849" spans="2:14" ht="14.25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</row>
    <row r="850" spans="2:14" ht="14.25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</row>
    <row r="851" spans="2:14" ht="14.25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</row>
    <row r="852" spans="2:14" ht="14.25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</row>
    <row r="853" spans="2:14" ht="14.25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</row>
    <row r="854" spans="2:14" ht="14.25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</row>
    <row r="855" spans="2:14" ht="14.25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</row>
    <row r="856" spans="2:14" ht="14.25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</row>
    <row r="857" spans="2:14" ht="14.25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</row>
    <row r="858" spans="2:14" ht="14.25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</row>
    <row r="859" spans="2:14" ht="14.25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</row>
    <row r="860" spans="2:14" ht="14.25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</row>
    <row r="861" spans="2:14" ht="14.25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</row>
    <row r="862" spans="2:14" ht="14.25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</row>
    <row r="863" spans="2:14" ht="14.25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</row>
    <row r="864" spans="2:14" ht="14.25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</row>
    <row r="865" spans="2:14" ht="14.25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</row>
    <row r="866" spans="2:14" ht="14.25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</row>
    <row r="867" spans="2:14" ht="14.25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</row>
    <row r="868" spans="2:14" ht="14.25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</row>
    <row r="869" spans="2:14" ht="14.25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</row>
    <row r="870" spans="2:14" ht="14.25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</row>
    <row r="871" spans="2:14" ht="14.25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</row>
    <row r="872" spans="2:14" ht="14.25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</row>
    <row r="873" spans="2:14" ht="14.25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</row>
    <row r="874" spans="2:14" ht="14.25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</row>
    <row r="875" spans="2:14" ht="14.25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</row>
    <row r="876" spans="2:14" ht="14.25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</row>
    <row r="877" spans="2:14" ht="14.25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</row>
    <row r="878" spans="2:14" ht="14.25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</row>
    <row r="879" spans="2:14" ht="14.25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</row>
    <row r="880" spans="2:14" ht="14.25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</row>
    <row r="881" spans="2:14" ht="14.25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</row>
    <row r="882" spans="2:14" ht="14.25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</row>
    <row r="883" spans="2:14" ht="14.25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</row>
    <row r="884" spans="2:14" ht="14.25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</row>
    <row r="885" spans="2:14" ht="14.25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</row>
    <row r="886" spans="2:14" ht="14.25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</row>
    <row r="887" spans="2:14" ht="14.25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</row>
    <row r="888" spans="2:14" ht="14.25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</row>
    <row r="889" spans="2:14" ht="14.25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</row>
    <row r="890" spans="2:14" ht="14.25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</row>
    <row r="891" spans="2:14" ht="14.25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</row>
    <row r="892" spans="2:14" ht="14.25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</row>
    <row r="893" spans="2:14" ht="14.25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</row>
    <row r="894" spans="2:14" ht="14.25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</row>
    <row r="895" spans="2:14" ht="14.25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</row>
    <row r="896" spans="2:14" ht="14.25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</row>
    <row r="897" spans="2:14" ht="14.25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</row>
    <row r="898" spans="2:14" ht="14.25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</row>
    <row r="899" spans="2:14" ht="14.25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</row>
    <row r="900" spans="2:14" ht="14.25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</row>
    <row r="901" spans="2:14" ht="14.25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</row>
    <row r="902" spans="2:14" ht="14.25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</row>
    <row r="903" spans="2:14" ht="14.25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</row>
    <row r="904" spans="2:14" ht="14.25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</row>
    <row r="905" spans="2:14" ht="14.25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</row>
    <row r="906" spans="2:14" ht="14.25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</row>
    <row r="907" spans="2:14" ht="14.25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</row>
    <row r="908" spans="2:14" ht="14.25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</row>
    <row r="909" spans="2:14" ht="14.25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</row>
    <row r="910" spans="2:14" ht="14.25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</row>
    <row r="911" spans="2:14" ht="14.25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</row>
    <row r="912" spans="2:14" ht="14.25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</row>
    <row r="913" spans="2:14" ht="14.25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</row>
    <row r="914" spans="2:14" ht="14.25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</row>
    <row r="915" spans="2:14" ht="14.25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</row>
    <row r="916" spans="2:14" ht="14.25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</row>
    <row r="917" spans="2:14" ht="14.25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</row>
    <row r="918" spans="2:14" ht="14.25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</row>
    <row r="919" spans="2:14" ht="14.25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</row>
    <row r="920" spans="2:14" ht="14.25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</row>
    <row r="921" spans="2:14" ht="14.25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</row>
    <row r="922" spans="2:14" ht="14.25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</row>
    <row r="923" spans="2:14" ht="14.25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</row>
    <row r="924" spans="2:14" ht="14.25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</row>
    <row r="925" spans="2:14" ht="14.25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</row>
    <row r="926" spans="2:14" ht="14.25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</row>
    <row r="927" spans="2:14" ht="14.25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</row>
    <row r="928" spans="2:14" ht="14.25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</row>
    <row r="929" spans="2:14" ht="14.25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</row>
    <row r="930" spans="2:14" ht="14.25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</row>
    <row r="931" spans="2:14" ht="14.25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</row>
    <row r="932" spans="2:14" ht="14.25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</row>
    <row r="933" spans="2:14" ht="14.25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</row>
    <row r="934" spans="2:14" ht="14.25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</row>
    <row r="935" spans="2:14" ht="14.25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</row>
    <row r="936" spans="2:14" ht="14.25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</row>
    <row r="937" spans="2:14" ht="14.25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</row>
    <row r="938" spans="2:14" ht="14.25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</row>
    <row r="939" spans="2:14" ht="14.25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</row>
    <row r="940" spans="2:14" ht="14.25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</row>
    <row r="941" spans="2:14" ht="14.25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</row>
    <row r="942" spans="2:14" ht="14.25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</row>
    <row r="943" spans="2:14" ht="14.25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</row>
    <row r="944" spans="2:14" ht="14.25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</row>
    <row r="945" spans="2:14" ht="14.25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</row>
    <row r="946" spans="2:14" ht="14.25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</row>
    <row r="947" spans="2:14" ht="14.25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</row>
    <row r="948" spans="2:14" ht="14.25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</row>
    <row r="949" spans="2:14" ht="14.25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</row>
    <row r="950" spans="2:14" ht="14.25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</row>
    <row r="951" spans="2:14" ht="14.25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</row>
    <row r="952" spans="2:14" ht="14.25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</row>
    <row r="953" spans="2:14" ht="14.25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</row>
    <row r="954" spans="2:14" ht="14.25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</row>
    <row r="955" spans="2:14" ht="14.25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</row>
    <row r="956" spans="2:14" ht="14.25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</row>
    <row r="957" spans="2:14" ht="14.25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</row>
    <row r="958" spans="2:14" ht="14.25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</row>
    <row r="959" spans="2:14" ht="14.25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</row>
    <row r="960" spans="2:14" ht="14.25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</row>
    <row r="961" spans="2:14" ht="14.25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</row>
    <row r="962" spans="2:14" ht="14.25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</row>
    <row r="963" spans="2:14" ht="14.25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</row>
    <row r="964" spans="2:14" ht="14.25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</row>
    <row r="965" spans="2:14" ht="14.25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</row>
    <row r="966" spans="2:14" ht="14.25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</row>
    <row r="967" spans="2:14" ht="14.25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</row>
    <row r="968" spans="2:14" ht="14.25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</row>
    <row r="969" spans="2:14" ht="14.25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</row>
    <row r="970" spans="2:14" ht="14.25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</row>
    <row r="971" spans="2:14" ht="14.25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</row>
    <row r="972" spans="2:14" ht="14.25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</row>
    <row r="973" spans="2:14" ht="14.25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</row>
    <row r="974" spans="2:14" ht="14.25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</row>
    <row r="975" spans="2:14" ht="14.25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</row>
    <row r="976" spans="2:14" ht="14.25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</row>
    <row r="977" spans="2:14" ht="14.25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</row>
    <row r="978" spans="2:14" ht="14.25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</row>
    <row r="979" spans="2:14" ht="14.25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</row>
    <row r="980" spans="2:14" ht="14.25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</row>
    <row r="981" spans="2:14" ht="14.25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</row>
    <row r="982" spans="2:14" ht="14.25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</row>
    <row r="983" spans="2:14" ht="14.25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</row>
    <row r="984" spans="2:14" ht="14.25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</row>
    <row r="985" spans="2:14" ht="14.25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</row>
    <row r="986" spans="2:14" ht="14.25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</row>
    <row r="987" spans="2:14" ht="14.25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</row>
    <row r="988" spans="2:14" ht="14.25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</row>
    <row r="989" spans="2:14" ht="14.25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</row>
    <row r="990" spans="2:14" ht="14.25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</row>
    <row r="991" spans="2:14" ht="14.25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</row>
    <row r="992" spans="2:14" ht="14.25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</row>
    <row r="993" spans="2:14" ht="14.25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</row>
    <row r="994" spans="2:14" ht="14.25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</row>
    <row r="995" spans="2:14" ht="14.25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</row>
    <row r="996" spans="2:14" ht="14.25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</row>
    <row r="997" spans="2:14" ht="14.25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</row>
    <row r="998" spans="2:14" ht="14.25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</row>
    <row r="999" spans="2:14" ht="14.25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</row>
    <row r="1000" spans="2:14" ht="14.25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</row>
    <row r="1001" spans="2:14" ht="14.25"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</row>
    <row r="1002" spans="2:14" ht="14.25"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</row>
    <row r="1003" spans="2:14" ht="14.25"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</row>
    <row r="1004" spans="2:14" ht="14.25"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</row>
    <row r="1005" spans="2:14" ht="14.25"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</row>
    <row r="1006" spans="2:14" ht="14.25"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</row>
    <row r="1007" spans="2:14" ht="14.25"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</row>
    <row r="1008" spans="2:14" ht="14.25"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</row>
    <row r="1009" spans="2:14" ht="14.25"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</row>
    <row r="1010" spans="2:14" ht="14.25"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</row>
    <row r="1011" spans="2:14" ht="14.25"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</row>
    <row r="1012" spans="2:14" ht="14.25"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</row>
    <row r="1013" spans="2:14" ht="14.25"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</row>
    <row r="1014" spans="2:14" ht="14.25"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</row>
    <row r="1015" spans="2:14" ht="14.25"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</row>
    <row r="1016" spans="2:14" ht="14.25"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</row>
    <row r="1017" spans="2:14" ht="14.25"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</row>
    <row r="1018" spans="2:14" ht="14.25"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</row>
    <row r="1019" spans="2:14" ht="14.25"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</row>
    <row r="1020" spans="2:14" ht="14.25"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</row>
    <row r="1021" spans="2:14" ht="14.25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</row>
    <row r="1022" spans="2:14" ht="14.25"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</row>
    <row r="1023" spans="2:14" ht="14.25"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</row>
    <row r="1024" spans="2:14" ht="14.25"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</row>
    <row r="1025" spans="2:14" ht="14.25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</row>
    <row r="1026" spans="2:14" ht="14.25"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</row>
    <row r="1027" spans="2:14" ht="14.25"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</row>
    <row r="1028" spans="2:14" ht="14.25"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</row>
    <row r="1029" spans="2:14" ht="14.25"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</row>
    <row r="1030" spans="2:14" ht="14.25"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</row>
    <row r="1031" spans="2:14" ht="14.25"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</row>
    <row r="1032" spans="2:14" ht="14.25"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</row>
    <row r="1033" spans="2:14" ht="14.25"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</row>
    <row r="1034" spans="2:14" ht="14.25"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</row>
    <row r="1035" spans="2:14" ht="14.25"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</row>
    <row r="1036" spans="2:14" ht="14.25"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</row>
    <row r="1037" spans="2:14" ht="14.25"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</row>
    <row r="1038" spans="2:14" ht="14.25"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</row>
    <row r="1039" spans="2:14" ht="14.25"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</row>
    <row r="1040" spans="2:14" ht="14.25"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</row>
    <row r="1041" spans="2:14" ht="14.25"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</row>
    <row r="1042" spans="2:14" ht="14.25"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</row>
    <row r="1043" spans="2:14" ht="14.25"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</row>
    <row r="1044" spans="2:14" ht="14.25"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</row>
    <row r="1045" spans="2:14" ht="14.25"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</row>
    <row r="1046" spans="2:14" ht="14.25"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</row>
    <row r="1047" spans="2:14" ht="14.25"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</row>
    <row r="1048" spans="2:14" ht="14.25"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</row>
    <row r="1049" spans="2:14" ht="14.25"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</row>
    <row r="1050" spans="2:14" ht="14.25"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</row>
    <row r="1051" spans="2:14" ht="14.25"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</row>
    <row r="1052" spans="2:14" ht="14.25"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</row>
    <row r="1053" spans="2:14" ht="14.25"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</row>
    <row r="1054" spans="2:14" ht="14.25"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</row>
    <row r="1055" spans="2:14" ht="14.25"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</row>
    <row r="1056" spans="2:14" ht="14.25"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</row>
    <row r="1057" spans="2:14" ht="14.25"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</row>
    <row r="1058" spans="2:14" ht="14.25"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</row>
    <row r="1059" spans="2:14" ht="14.25"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</row>
    <row r="1060" spans="2:14" ht="14.25"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</row>
    <row r="1061" spans="2:14" ht="14.25"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</row>
    <row r="1062" spans="2:14" ht="14.25"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</row>
    <row r="1063" spans="2:14" ht="14.25"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</row>
    <row r="1064" spans="2:14" ht="14.25"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</row>
    <row r="1065" spans="2:14" ht="14.25"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</row>
    <row r="1066" spans="2:14" ht="14.25"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</row>
    <row r="1067" spans="2:14" ht="14.25"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</row>
    <row r="1068" spans="2:14" ht="14.25"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</row>
    <row r="1069" spans="2:14" ht="14.25"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</row>
    <row r="1070" spans="2:14" ht="14.25"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</row>
    <row r="1071" spans="2:14" ht="14.25"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</row>
    <row r="1072" spans="2:14" ht="14.25"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</row>
    <row r="1073" spans="2:14" ht="14.25"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</row>
    <row r="1074" spans="2:14" ht="14.25"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</row>
    <row r="1075" spans="2:14" ht="14.25"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</row>
    <row r="1076" spans="2:14" ht="14.25"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</row>
    <row r="1077" spans="2:14" ht="14.25"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</row>
    <row r="1078" spans="2:14" ht="14.25"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</row>
    <row r="1079" spans="2:14" ht="14.25"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</row>
    <row r="1080" spans="2:14" ht="14.25"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</row>
    <row r="1081" spans="2:14" ht="14.25"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</row>
    <row r="1082" spans="2:14" ht="14.25"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</row>
    <row r="1083" spans="2:14" ht="14.25"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</row>
    <row r="1084" spans="2:14" ht="14.25"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</row>
    <row r="1085" spans="2:14" ht="14.25"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</row>
    <row r="1086" spans="2:14" ht="14.25"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</row>
    <row r="1087" spans="2:14" ht="14.25"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</row>
    <row r="1088" spans="2:14" ht="14.25"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</row>
    <row r="1089" spans="2:14" ht="14.25"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</row>
    <row r="1090" spans="2:14" ht="14.25"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</row>
    <row r="1091" spans="2:14" ht="14.25"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</row>
    <row r="1092" spans="2:14" ht="14.25"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</row>
    <row r="1093" spans="2:14" ht="14.25"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</row>
    <row r="1094" spans="2:14" ht="14.25"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</row>
    <row r="1095" spans="2:14" ht="14.25"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</row>
    <row r="1096" spans="2:14" ht="14.25"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</row>
    <row r="1097" spans="2:14" ht="14.25"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</row>
    <row r="1098" spans="2:14" ht="14.25"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</row>
    <row r="1099" spans="2:14" ht="14.25"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</row>
    <row r="1100" spans="2:14" ht="14.25"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</row>
    <row r="1101" spans="2:14" ht="14.25"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</row>
    <row r="1102" spans="2:14" ht="14.25"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</row>
    <row r="1103" spans="2:14" ht="14.25"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</row>
    <row r="1104" spans="2:14" ht="14.25"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</row>
    <row r="1105" spans="2:14" ht="14.25"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</row>
    <row r="1106" spans="2:14" ht="14.25"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</row>
    <row r="1107" spans="2:14" ht="14.25"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</row>
    <row r="1108" spans="2:14" ht="14.25"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</row>
    <row r="1109" spans="2:14" ht="14.25"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</row>
    <row r="1110" spans="2:14" ht="14.25"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</row>
    <row r="1111" spans="2:14" ht="14.25"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</row>
    <row r="1112" spans="2:14" ht="14.25"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</row>
    <row r="1113" spans="2:14" ht="14.25"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</row>
    <row r="1114" spans="2:14" ht="14.25"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</row>
    <row r="1115" spans="2:14" ht="14.25"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</row>
    <row r="1116" spans="2:14" ht="14.25"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</row>
    <row r="1117" spans="2:14" ht="14.25"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</row>
    <row r="1118" spans="2:14" ht="14.25"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</row>
    <row r="1119" spans="2:14" ht="14.25"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</row>
    <row r="1120" spans="2:14" ht="14.25"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</row>
    <row r="1121" spans="2:14" ht="14.25"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</row>
    <row r="1122" spans="2:14" ht="14.25"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</row>
    <row r="1123" spans="2:14" ht="14.25"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</row>
    <row r="1124" spans="2:14" ht="14.25"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</row>
    <row r="1125" spans="2:14" ht="14.25"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</row>
    <row r="1126" spans="2:14" ht="14.25"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</row>
    <row r="1127" spans="2:14" ht="14.25"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</row>
    <row r="1128" spans="2:14" ht="14.25"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</row>
    <row r="1129" spans="2:14" ht="14.25"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</row>
    <row r="1130" spans="2:14" ht="14.25"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</row>
    <row r="1131" spans="2:14" ht="14.25"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</row>
    <row r="1132" spans="2:14" ht="14.25"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</row>
    <row r="1133" spans="2:14" ht="14.25"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</row>
    <row r="1134" spans="2:14" ht="14.25"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</row>
    <row r="1135" spans="2:14" ht="14.25"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</row>
    <row r="1136" spans="2:14" ht="14.25"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</row>
    <row r="1137" spans="2:14" ht="14.25"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</row>
    <row r="1138" spans="2:14" ht="14.25"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</row>
    <row r="1139" spans="2:14" ht="14.25"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</row>
    <row r="1140" spans="2:14" ht="14.25"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</row>
    <row r="1141" spans="2:14" ht="14.25"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</row>
    <row r="1142" spans="2:14" ht="14.25"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</row>
    <row r="1143" spans="2:14" ht="14.25"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</row>
    <row r="1144" spans="2:14" ht="14.25"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</row>
    <row r="1145" spans="2:14" ht="14.25"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</row>
    <row r="1146" spans="2:14" ht="14.25"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</row>
    <row r="1147" spans="2:14" ht="14.25"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</row>
    <row r="1148" spans="2:14" ht="14.25"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</row>
    <row r="1149" spans="2:14" ht="14.25"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</row>
    <row r="1150" spans="2:14" ht="14.25"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</row>
    <row r="1151" spans="2:14" ht="14.25"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</row>
    <row r="1152" spans="2:14" ht="14.25"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</row>
    <row r="1153" spans="2:14" ht="14.25"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</row>
    <row r="1154" spans="2:14" ht="14.25"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</row>
    <row r="1155" spans="2:14" ht="14.25"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</row>
    <row r="1156" spans="2:14" ht="14.25"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</row>
    <row r="1157" spans="2:14" ht="14.25"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</row>
    <row r="1158" spans="2:14" ht="14.25"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</row>
    <row r="1159" spans="2:14" ht="14.25"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</row>
    <row r="1160" spans="2:14" ht="14.25"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</row>
    <row r="1161" spans="2:14" ht="14.25"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</row>
    <row r="1162" spans="2:14" ht="14.25"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</row>
    <row r="1163" spans="2:14" ht="14.25"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</row>
    <row r="1164" spans="2:14" ht="14.25"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</row>
    <row r="1165" spans="2:14" ht="14.25"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</row>
    <row r="1166" spans="2:14" ht="14.25"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</row>
    <row r="1167" spans="2:14" ht="14.25"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</row>
    <row r="1168" spans="2:14" ht="14.25"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</row>
    <row r="1169" spans="2:14" ht="14.25"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</row>
    <row r="1170" spans="2:14" ht="14.25"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</row>
    <row r="1171" spans="2:14" ht="14.25"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</row>
    <row r="1172" spans="2:14" ht="14.25"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</row>
    <row r="1173" spans="2:14" ht="14.25"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</row>
    <row r="1174" spans="2:14" ht="14.25"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</row>
    <row r="1175" spans="2:14" ht="14.25"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</row>
    <row r="1176" spans="2:14" ht="14.25"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</row>
    <row r="1177" spans="2:14" ht="14.25"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</row>
    <row r="1178" spans="2:14" ht="14.25"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</row>
    <row r="1179" spans="2:14" ht="14.25"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</row>
    <row r="1180" spans="2:14" ht="14.25"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</row>
    <row r="1181" spans="2:14" ht="14.25"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</row>
    <row r="1182" spans="2:14" ht="14.25"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</row>
    <row r="1183" spans="2:14" ht="14.25"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</row>
    <row r="1184" spans="2:14" ht="14.25"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</row>
    <row r="1185" spans="2:14" ht="14.25"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</row>
    <row r="1186" spans="2:14" ht="14.25"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</row>
    <row r="1187" spans="2:14" ht="14.25"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</row>
    <row r="1188" spans="2:14" ht="14.25"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</row>
    <row r="1189" spans="2:14" ht="14.25"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</row>
    <row r="1190" spans="2:14" ht="14.25"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</row>
    <row r="1191" spans="2:14" ht="14.25"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</row>
    <row r="1192" spans="2:14" ht="14.25"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</row>
    <row r="1193" spans="2:14" ht="14.25"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</row>
    <row r="1194" spans="2:14" ht="14.25"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</row>
    <row r="1195" spans="2:14" ht="14.25"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</row>
    <row r="1196" spans="2:14" ht="14.25"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</row>
    <row r="1197" spans="2:14" ht="14.25"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</row>
    <row r="1198" spans="2:14" ht="14.25"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</row>
    <row r="1199" spans="2:14" ht="14.25"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</row>
    <row r="1200" spans="2:14" ht="14.25"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</row>
    <row r="1201" spans="2:14" ht="14.25"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</row>
    <row r="1202" spans="2:14" ht="14.25"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</row>
    <row r="1203" spans="2:14" ht="14.25"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</row>
    <row r="1204" spans="2:14" ht="14.25"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</row>
    <row r="1205" spans="2:14" ht="14.25"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</row>
    <row r="1206" spans="2:14" ht="14.25"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</row>
    <row r="1207" spans="2:14" ht="14.25"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</row>
    <row r="1208" spans="2:14" ht="14.25"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</row>
    <row r="1209" spans="2:14" ht="14.25"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</row>
    <row r="1210" spans="2:14" ht="14.25"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</row>
    <row r="1211" spans="2:14" ht="14.25"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</row>
    <row r="1212" spans="2:14" ht="14.25"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</row>
    <row r="1213" spans="2:14" ht="14.25"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</row>
    <row r="1214" spans="2:14" ht="14.25"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</row>
    <row r="1215" spans="2:14" ht="14.25"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</row>
    <row r="1216" spans="2:14" ht="14.25"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</row>
    <row r="1217" spans="2:14" ht="14.25"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</row>
    <row r="1218" spans="2:14" ht="14.25"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</row>
    <row r="1219" spans="2:14" ht="14.25"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</row>
    <row r="1220" spans="2:14" ht="14.25"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</row>
    <row r="1221" spans="2:14" ht="14.25"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</row>
    <row r="1222" spans="2:14" ht="14.25"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</row>
    <row r="1223" spans="2:14" ht="14.25"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</row>
    <row r="1224" spans="2:14" ht="14.25"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</row>
    <row r="1225" spans="2:14" ht="14.25"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</row>
    <row r="1226" spans="2:14" ht="14.25"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</row>
    <row r="1227" spans="2:14" ht="14.25"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</row>
    <row r="1228" spans="2:14" ht="14.25"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</row>
    <row r="1229" spans="2:14" ht="14.25"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</row>
    <row r="1230" spans="2:14" ht="14.25"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</row>
    <row r="1231" spans="2:14" ht="14.25"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</row>
    <row r="1232" spans="2:14" ht="14.25"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</row>
    <row r="1233" spans="2:14" ht="14.25"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</row>
    <row r="1234" spans="2:14" ht="14.25"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</row>
    <row r="1235" spans="2:14" ht="14.25"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</row>
    <row r="1236" spans="2:14" ht="14.25"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</row>
    <row r="1237" spans="2:14" ht="14.25"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</row>
    <row r="1238" spans="2:14" ht="14.25"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</row>
    <row r="1239" spans="2:14" ht="14.25"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</row>
    <row r="1240" spans="2:14" ht="14.25"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</row>
    <row r="1241" spans="2:14" ht="14.25"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</row>
    <row r="1242" spans="2:14" ht="14.25"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</row>
    <row r="1243" spans="2:14" ht="14.25"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</row>
    <row r="1244" spans="2:14" ht="14.25"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</row>
    <row r="1245" spans="2:14" ht="14.25"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</row>
    <row r="1246" spans="2:14" ht="14.25"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</row>
    <row r="1247" spans="2:14" ht="14.25"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</row>
    <row r="1248" spans="2:14" ht="14.25"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</row>
    <row r="1249" spans="2:14" ht="14.25"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</row>
    <row r="1250" spans="2:14" ht="14.25"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</row>
    <row r="1251" spans="2:14" ht="14.25"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</row>
    <row r="1252" spans="2:14" ht="14.25"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</row>
    <row r="1253" spans="2:14" ht="14.25"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</row>
    <row r="1254" spans="2:14" ht="14.25"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</row>
    <row r="1255" spans="2:14" ht="14.25"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</row>
    <row r="1256" spans="2:14" ht="14.25"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</row>
    <row r="1257" spans="2:14" ht="14.25"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</row>
    <row r="1258" spans="2:14" ht="14.25"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</row>
    <row r="1259" spans="2:14" ht="14.25"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</row>
    <row r="1260" spans="2:14" ht="14.25"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</row>
    <row r="1261" spans="2:14" ht="14.25"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</row>
    <row r="1262" spans="2:14" ht="14.25"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</row>
    <row r="1263" spans="2:14" ht="14.25"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</row>
    <row r="1264" spans="2:14" ht="14.25"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</row>
    <row r="1265" spans="2:14" ht="14.25"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</row>
    <row r="1266" spans="2:14" ht="14.25"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</row>
    <row r="1267" spans="2:14" ht="14.25"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</row>
    <row r="1268" spans="2:14" ht="14.25"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</row>
    <row r="1269" spans="2:14" ht="14.25"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</row>
    <row r="1270" spans="2:14" ht="14.25"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</row>
    <row r="1271" spans="2:14" ht="14.25"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</row>
    <row r="1272" spans="2:14" ht="14.25"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</row>
    <row r="1273" spans="2:14" ht="14.25"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</row>
    <row r="1274" spans="2:14" ht="14.25"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</row>
    <row r="1275" spans="2:14" ht="14.25"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</row>
    <row r="1276" spans="2:14" ht="14.25"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</row>
    <row r="1277" spans="2:14" ht="14.25"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</row>
    <row r="1278" spans="2:14" ht="14.25"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</row>
    <row r="1279" spans="2:14" ht="14.25"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</row>
    <row r="1280" spans="2:14" ht="14.25"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</row>
    <row r="1281" spans="2:14" ht="14.25"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</row>
    <row r="1282" spans="2:14" ht="14.25"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</row>
    <row r="1283" spans="2:14" ht="14.25"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</row>
    <row r="1284" spans="2:14" ht="14.25"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</row>
    <row r="1285" spans="2:14" ht="14.25"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</row>
    <row r="1286" spans="2:14" ht="14.25"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</row>
    <row r="1287" spans="2:14" ht="14.25"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</row>
    <row r="1288" spans="2:14" ht="14.25"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</row>
    <row r="1289" spans="2:14" ht="14.25"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</row>
    <row r="1290" spans="2:14" ht="14.25"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</row>
    <row r="1291" spans="2:14" ht="14.25"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</row>
    <row r="1292" spans="2:14" ht="14.25"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</row>
    <row r="1293" spans="2:14" ht="14.25"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</row>
    <row r="1294" spans="2:14" ht="14.25"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</row>
    <row r="1295" spans="2:14" ht="14.25"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</row>
    <row r="1296" spans="2:14" ht="14.25"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</row>
    <row r="1297" spans="2:14" ht="14.25"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</row>
    <row r="1298" spans="2:14" ht="14.25"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</row>
    <row r="1299" spans="2:14" ht="14.25"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</row>
    <row r="1300" spans="2:14" ht="14.25"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</row>
    <row r="1301" spans="2:14" ht="14.25"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</row>
    <row r="1302" spans="2:14" ht="14.25"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</row>
    <row r="1303" spans="2:14" ht="14.25"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</row>
    <row r="1304" spans="2:14" ht="14.25"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</row>
    <row r="1305" spans="2:14" ht="14.25"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</row>
    <row r="1306" spans="2:14" ht="14.25"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</row>
    <row r="1307" spans="2:14" ht="14.25"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</row>
    <row r="1308" spans="2:14" ht="14.25"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</row>
    <row r="1309" spans="2:14" ht="14.25"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</row>
    <row r="1310" spans="2:14" ht="14.25"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</row>
    <row r="1311" spans="2:14" ht="14.25"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</row>
    <row r="1312" spans="2:14" ht="14.25"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</row>
    <row r="1313" spans="2:14" ht="14.25"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</row>
    <row r="1314" spans="2:14" ht="14.25"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</row>
    <row r="1315" spans="2:14" ht="14.25"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</row>
    <row r="1316" spans="2:14" ht="14.25"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</row>
    <row r="1317" spans="2:14" ht="14.25"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</row>
    <row r="1318" spans="2:14" ht="14.25"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</row>
    <row r="1319" spans="2:14" ht="14.25"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</row>
    <row r="1320" spans="2:14" ht="14.25"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</row>
    <row r="1321" spans="2:14" ht="14.25"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</row>
    <row r="1322" spans="2:14" ht="14.25"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</row>
    <row r="1323" spans="2:14" ht="14.25"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</row>
    <row r="1324" spans="2:14" ht="14.25"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</row>
    <row r="1325" spans="2:14" ht="14.25"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</row>
    <row r="1326" spans="2:14" ht="14.25"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</row>
    <row r="1327" spans="2:14" ht="14.25"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</row>
    <row r="1328" spans="2:14" ht="14.25"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</row>
    <row r="1329" spans="2:14" ht="14.25"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</row>
    <row r="1330" spans="2:14" ht="14.25"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</row>
    <row r="1331" spans="2:14" ht="14.25"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</row>
    <row r="1332" spans="2:14" ht="14.25"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</row>
    <row r="1333" spans="2:14" ht="14.25"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</row>
    <row r="1334" spans="2:14" ht="14.25"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</row>
    <row r="1335" spans="2:14" ht="14.25"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</row>
    <row r="1336" spans="2:14" ht="14.25"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</row>
    <row r="1337" spans="2:14" ht="14.25"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</row>
    <row r="1338" spans="2:14" ht="14.25"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</row>
    <row r="1339" spans="2:14" ht="14.25"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</row>
    <row r="1340" spans="2:14" ht="14.25"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</row>
    <row r="1341" spans="2:14" ht="14.25"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</row>
    <row r="1342" spans="2:14" ht="14.25"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</row>
    <row r="1343" spans="2:14" ht="14.25"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</row>
    <row r="1344" spans="2:14" ht="14.25"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</row>
    <row r="1345" spans="2:14" ht="14.25"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</row>
    <row r="1346" spans="2:14" ht="14.25"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</row>
    <row r="1347" spans="2:14" ht="14.25"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</row>
    <row r="1348" spans="2:14" ht="14.25"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</row>
    <row r="1349" spans="2:14" ht="14.25"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</row>
    <row r="1350" spans="2:14" ht="14.25"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</row>
    <row r="1351" spans="2:14" ht="14.25"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</row>
    <row r="1352" spans="2:14" ht="14.25"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</row>
    <row r="1353" spans="2:14" ht="14.25"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</row>
    <row r="1354" spans="2:14" ht="14.25"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</row>
    <row r="1355" spans="2:14" ht="14.25"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</row>
    <row r="1356" spans="2:14" ht="14.25"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</row>
    <row r="1357" spans="2:14" ht="14.25"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</row>
    <row r="1358" spans="2:14" ht="14.25"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</row>
    <row r="1359" spans="2:14" ht="14.25"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</row>
    <row r="1360" spans="2:14" ht="14.25"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</row>
    <row r="1361" spans="2:14" ht="14.25"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</row>
    <row r="1362" spans="2:14" ht="14.25"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</row>
    <row r="1363" spans="2:14" ht="14.25"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</row>
    <row r="1364" spans="2:14" ht="14.25"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</row>
    <row r="1365" spans="2:14" ht="14.25"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</row>
    <row r="1366" spans="2:14" ht="14.25"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</row>
    <row r="1367" spans="2:14" ht="14.25"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</row>
    <row r="1368" spans="2:14" ht="14.25"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</row>
    <row r="1369" spans="2:14" ht="14.25"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</row>
    <row r="1370" spans="2:14" ht="14.25"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</row>
    <row r="1371" spans="2:14" ht="14.25"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</row>
    <row r="1372" spans="2:14" ht="14.25"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</row>
    <row r="1373" spans="2:14" ht="14.25"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</row>
    <row r="1374" spans="2:14" ht="14.25"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</row>
    <row r="1375" spans="2:14" ht="14.25"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</row>
    <row r="1376" spans="2:14" ht="14.25"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</row>
    <row r="1377" spans="2:14" ht="14.25"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</row>
    <row r="1378" spans="2:14" ht="14.25"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</row>
    <row r="1379" spans="2:14" ht="14.25"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</row>
    <row r="1380" spans="2:14" ht="14.25"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</row>
    <row r="1381" spans="2:14" ht="14.25"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</row>
    <row r="1382" spans="2:14" ht="14.25"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</row>
    <row r="1383" spans="2:14" ht="14.25"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</row>
    <row r="1384" spans="2:14" ht="14.25"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</row>
    <row r="1385" spans="2:14" ht="14.25"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</row>
    <row r="1386" spans="2:14" ht="14.25"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</row>
    <row r="1387" spans="2:14" ht="14.25"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</row>
    <row r="1388" spans="2:14" ht="14.25"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</row>
    <row r="1389" spans="2:14" ht="14.25"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</row>
    <row r="1390" spans="2:14" ht="14.25"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</row>
    <row r="1391" spans="2:14" ht="14.25"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</row>
    <row r="1392" spans="2:14" ht="14.25"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</row>
    <row r="1393" spans="2:14" ht="14.25"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</row>
    <row r="1394" spans="2:14" ht="14.25"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</row>
    <row r="1395" spans="2:14" ht="14.25"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</row>
    <row r="1396" spans="2:14" ht="14.25"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</row>
    <row r="1397" spans="2:14" ht="14.25"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</row>
    <row r="1398" spans="2:14" ht="14.25"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</row>
    <row r="1399" spans="2:14" ht="14.25"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</row>
    <row r="1400" spans="2:14" ht="14.25"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</row>
    <row r="1401" spans="2:14" ht="14.25"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</row>
    <row r="1402" spans="2:14" ht="14.25"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</row>
    <row r="1403" spans="2:14" ht="14.25"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</row>
    <row r="1404" spans="2:14" ht="14.25"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</row>
    <row r="1405" spans="2:14" ht="14.25"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</row>
    <row r="1406" spans="2:14" ht="14.25"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</row>
    <row r="1407" spans="2:14" ht="14.25"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</row>
    <row r="1408" spans="2:14" ht="14.25"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</row>
    <row r="1409" spans="2:14" ht="14.25"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</row>
    <row r="1410" spans="2:14" ht="14.25"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</row>
    <row r="1411" spans="2:14" ht="14.25"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</row>
    <row r="1412" spans="2:14" ht="14.25"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</row>
    <row r="1413" spans="2:14" ht="14.25"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</row>
    <row r="1414" spans="2:14" ht="14.25"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</row>
    <row r="1415" spans="2:14" ht="14.25"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</row>
    <row r="1416" spans="2:14" ht="14.25"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</row>
    <row r="1417" spans="2:14" ht="14.25"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</row>
    <row r="1418" spans="2:14" ht="14.25"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</row>
    <row r="1419" spans="2:14" ht="14.25"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</row>
    <row r="1420" spans="2:14" ht="14.25"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</row>
    <row r="1421" spans="2:14" ht="14.25"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</row>
    <row r="1422" spans="2:14" ht="14.25"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</row>
    <row r="1423" spans="2:14" ht="14.25"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</row>
    <row r="1424" spans="2:14" ht="14.25"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</row>
    <row r="1425" spans="2:14" ht="14.25"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</row>
    <row r="1426" spans="2:14" ht="14.25"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</row>
    <row r="1427" spans="2:14" ht="14.25"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</row>
    <row r="1428" spans="2:14" ht="14.25"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</row>
    <row r="1429" spans="2:14" ht="14.25"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</row>
    <row r="1430" spans="2:14" ht="14.25"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</row>
    <row r="1431" spans="2:14" ht="14.25"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</row>
    <row r="1432" spans="2:14" ht="14.25"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</row>
    <row r="1433" spans="2:14" ht="14.25"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</row>
    <row r="1434" spans="2:14" ht="14.25"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</row>
    <row r="1435" spans="2:14" ht="14.25"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</row>
    <row r="1436" spans="2:14" ht="14.25"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</row>
    <row r="1437" spans="2:14" ht="14.25"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</row>
    <row r="1438" spans="2:14" ht="14.25"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</row>
    <row r="1439" spans="2:14" ht="14.25"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</row>
    <row r="1440" spans="2:14" ht="14.25"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</row>
    <row r="1441" spans="2:14" ht="14.25"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</row>
    <row r="1442" spans="2:14" ht="14.25"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</row>
    <row r="1443" spans="2:14" ht="14.25"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</row>
    <row r="1444" spans="2:14" ht="14.25"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</row>
    <row r="1445" spans="2:14" ht="14.25"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</row>
    <row r="1446" spans="2:14" ht="14.25"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</row>
    <row r="1447" spans="2:14" ht="14.25"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</row>
    <row r="1448" spans="2:14" ht="14.25"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</row>
    <row r="1449" spans="2:14" ht="14.25"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</row>
    <row r="1450" spans="2:14" ht="14.25"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</row>
    <row r="1451" spans="2:14" ht="14.25"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</row>
    <row r="1452" spans="2:14" ht="14.25"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</row>
    <row r="1453" spans="2:14" ht="14.25"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</row>
    <row r="1454" spans="2:14" ht="14.25"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</row>
    <row r="1455" spans="2:14" ht="14.25"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</row>
    <row r="1456" spans="2:14" ht="14.25"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</row>
    <row r="1457" spans="2:14" ht="14.25"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</row>
    <row r="1458" spans="2:14" ht="14.25"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</row>
    <row r="1459" spans="2:14" ht="14.25"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</row>
    <row r="1460" spans="2:14" ht="14.25"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</row>
    <row r="1461" spans="2:14" ht="14.25"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</row>
    <row r="1462" spans="2:14" ht="14.25"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</row>
    <row r="1463" spans="2:14" ht="14.25"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</row>
    <row r="1464" spans="2:14" ht="14.25"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</row>
    <row r="1465" spans="2:14" ht="14.25"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</row>
    <row r="1466" spans="2:14" ht="14.25"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</row>
    <row r="1467" spans="2:14" ht="14.25"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</row>
    <row r="1468" spans="2:14" ht="14.25"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</row>
    <row r="1469" spans="2:14" ht="14.25"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</row>
    <row r="1470" spans="2:14" ht="14.25"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</row>
    <row r="1471" spans="2:14" ht="14.25"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</row>
    <row r="1472" spans="2:14" ht="14.25"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</row>
    <row r="1473" spans="2:14" ht="14.25"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</row>
    <row r="1474" spans="2:14" ht="14.25"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</row>
    <row r="1475" spans="2:14" ht="14.25"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</row>
    <row r="1476" spans="2:14" ht="14.25"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</row>
    <row r="1477" spans="2:14" ht="14.25"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</row>
    <row r="1478" spans="2:14" ht="14.25"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</row>
    <row r="1479" spans="2:14" ht="14.25"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</row>
    <row r="1480" spans="2:14" ht="14.25"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</row>
    <row r="1481" spans="2:14" ht="14.25"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</row>
    <row r="1482" spans="2:14" ht="14.25"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</row>
    <row r="1483" spans="2:14" ht="14.25"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</row>
    <row r="1484" spans="2:14" ht="14.25"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</row>
    <row r="1485" spans="2:14" ht="14.25"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</row>
    <row r="1486" spans="2:14" ht="14.25"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</row>
    <row r="1487" spans="2:14" ht="14.25"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</row>
    <row r="1488" spans="2:14" ht="14.25"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</row>
    <row r="1489" spans="2:14" ht="14.25"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</row>
    <row r="1490" spans="2:14" ht="14.25"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</row>
    <row r="1491" spans="2:14" ht="14.25"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</row>
    <row r="1492" spans="2:14" ht="14.25"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</row>
    <row r="1493" spans="2:14" ht="14.25"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</row>
    <row r="1494" spans="2:14" ht="14.25"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</row>
    <row r="1495" spans="2:14" ht="14.25"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</row>
    <row r="1496" spans="2:14" ht="14.25"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</row>
    <row r="1497" spans="2:14" ht="14.25"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</row>
    <row r="1498" spans="2:14" ht="14.25"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</row>
    <row r="1499" spans="2:14" ht="14.25"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</row>
    <row r="1500" spans="2:14" ht="14.25"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</row>
    <row r="1501" spans="2:14" ht="14.25"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</row>
    <row r="1502" spans="2:14" ht="14.25"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</row>
    <row r="1503" spans="2:14" ht="14.25"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</row>
    <row r="1504" spans="2:14" ht="14.25"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</row>
    <row r="1505" spans="2:14" ht="14.25"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</row>
    <row r="1506" spans="2:14" ht="14.25"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</row>
    <row r="1507" spans="2:14" ht="14.25"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</row>
    <row r="1508" spans="2:14" ht="14.25"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</row>
    <row r="1509" spans="2:14" ht="14.25"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</row>
    <row r="1510" spans="2:14" ht="14.25"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</row>
    <row r="1511" spans="2:14" ht="14.25"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</row>
    <row r="1512" spans="2:14" ht="14.25"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</row>
    <row r="1513" spans="2:14" ht="14.25"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</row>
    <row r="1514" spans="2:14" ht="14.25"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</row>
    <row r="1515" spans="2:14" ht="14.25"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</row>
    <row r="1516" spans="2:14" ht="14.25"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</row>
    <row r="1517" spans="2:14" ht="14.25"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</row>
    <row r="1518" spans="2:14" ht="14.25"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</row>
    <row r="1519" spans="2:14" ht="14.25"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</row>
    <row r="1520" spans="2:14" ht="14.25"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</row>
    <row r="1521" spans="2:14" ht="14.25"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</row>
    <row r="1522" spans="2:14" ht="14.25"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</row>
    <row r="1523" spans="2:14" ht="14.25"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</row>
    <row r="1524" spans="2:14" ht="14.25"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</row>
    <row r="1525" spans="2:14" ht="14.25"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</row>
    <row r="1526" spans="2:14" ht="14.25"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</row>
    <row r="1527" spans="2:14" ht="14.25"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</row>
    <row r="1528" spans="2:14" ht="14.25"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</row>
    <row r="1529" spans="2:14" ht="14.25"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</row>
    <row r="1530" spans="2:14" ht="14.25"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</row>
    <row r="1531" spans="2:14" ht="14.25"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</row>
    <row r="1532" spans="2:14" ht="14.25"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</row>
    <row r="1533" spans="2:14" ht="14.25"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</row>
    <row r="1534" spans="2:14" ht="14.25"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</row>
    <row r="1535" spans="2:14" ht="14.25"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</row>
    <row r="1536" spans="2:14" ht="14.25"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</row>
    <row r="1537" spans="2:14" ht="14.25"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</row>
    <row r="1538" spans="2:14" ht="14.25"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</row>
    <row r="1539" spans="2:14" ht="14.25"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</row>
    <row r="1540" spans="2:14" ht="14.25"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</row>
    <row r="1541" spans="2:14" ht="14.25"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</row>
    <row r="1542" spans="2:14" ht="14.25"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</row>
    <row r="1543" spans="2:14" ht="14.25"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</row>
    <row r="1544" spans="2:14" ht="14.25"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</row>
    <row r="1545" spans="2:14" ht="14.25"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</row>
    <row r="1546" spans="2:14" ht="14.25"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</row>
    <row r="1547" spans="2:14" ht="14.25"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</row>
    <row r="1548" spans="2:14" ht="14.25"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</row>
    <row r="1549" spans="2:14" ht="14.25"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</row>
    <row r="1550" spans="2:14" ht="14.25"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</row>
    <row r="1551" spans="2:14" ht="14.25"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</row>
    <row r="1552" spans="2:14" ht="14.25"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</row>
    <row r="1553" spans="2:14" ht="14.25"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</row>
    <row r="1554" spans="2:14" ht="14.25"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</row>
    <row r="1555" spans="2:14" ht="14.25"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</row>
    <row r="1556" spans="2:14" ht="14.25"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</row>
    <row r="1557" spans="2:14" ht="14.25"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</row>
    <row r="1558" spans="2:14" ht="14.25"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</row>
    <row r="1559" spans="2:14" ht="14.25"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</row>
    <row r="1560" spans="2:14" ht="14.25"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</row>
    <row r="1561" spans="2:14" ht="14.25"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</row>
    <row r="1562" spans="2:14" ht="14.25"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</row>
    <row r="1563" spans="2:14" ht="14.25"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</row>
    <row r="1564" spans="2:14" ht="14.25"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</row>
    <row r="1565" spans="2:14" ht="14.25"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</row>
    <row r="1566" spans="2:14" ht="14.25"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</row>
    <row r="1567" spans="2:14" ht="14.25"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</row>
    <row r="1568" spans="2:14" ht="14.25"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</row>
    <row r="1569" spans="2:14" ht="14.25"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</row>
    <row r="1570" spans="2:14" ht="14.25"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</row>
    <row r="1571" spans="2:14" ht="14.25"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</row>
    <row r="1572" spans="2:14" ht="14.25"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</row>
    <row r="1573" spans="2:14" ht="14.25"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</row>
    <row r="1574" spans="2:14" ht="14.25"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</row>
    <row r="1575" spans="2:14" ht="14.25"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</row>
    <row r="1576" spans="2:14" ht="14.25"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</row>
    <row r="1577" spans="2:14" ht="14.25"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</row>
    <row r="1578" spans="2:14" ht="14.25"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</row>
    <row r="1579" spans="2:14" ht="14.25"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</row>
    <row r="1580" spans="2:14" ht="14.25"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</row>
    <row r="1581" spans="2:14" ht="14.25"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</row>
    <row r="1582" spans="2:14" ht="14.25"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</row>
    <row r="1583" spans="2:14" ht="14.25"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</row>
    <row r="1584" spans="2:14" ht="14.25"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</row>
    <row r="1585" spans="2:14" ht="14.25"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</row>
    <row r="1586" spans="2:14" ht="14.25"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</row>
    <row r="1587" spans="2:14" ht="14.25"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</row>
    <row r="1588" spans="2:14" ht="14.25"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</row>
    <row r="1589" spans="2:14" ht="14.25"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</row>
    <row r="1590" spans="2:14" ht="14.25"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</row>
    <row r="1591" spans="2:14" ht="14.25"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</row>
    <row r="1592" spans="2:14" ht="14.25"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</row>
    <row r="1593" spans="2:14" ht="14.25"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</row>
    <row r="1594" spans="2:14" ht="14.25"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</row>
    <row r="1595" spans="2:14" ht="14.25"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</row>
    <row r="1596" spans="2:14" ht="14.25"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</row>
    <row r="1597" spans="2:14" ht="14.25"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</row>
    <row r="1598" spans="2:14" ht="14.25"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</row>
    <row r="1599" spans="2:14" ht="14.25"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</row>
    <row r="1600" spans="2:14" ht="14.25"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</row>
    <row r="1601" spans="2:14" ht="14.25"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</row>
    <row r="1602" spans="2:14" ht="14.25"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</row>
    <row r="1603" spans="2:14" ht="14.25"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</row>
    <row r="1604" spans="2:14" ht="14.25"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</row>
    <row r="1605" spans="2:14" ht="14.25"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</row>
    <row r="1606" spans="2:14" ht="14.25"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</row>
    <row r="1607" spans="2:14" ht="14.25"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</row>
    <row r="1608" spans="2:14" ht="14.25"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</row>
    <row r="1609" spans="2:14" ht="14.25"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</row>
    <row r="1610" spans="2:14" ht="14.25"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</row>
    <row r="1611" spans="2:14" ht="14.25"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</row>
    <row r="1612" spans="2:14" ht="14.25"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</row>
    <row r="1613" spans="2:14" ht="14.25"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</row>
    <row r="1614" spans="2:14" ht="14.25"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</row>
    <row r="1615" spans="2:14" ht="14.25"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</row>
    <row r="1616" spans="2:14" ht="14.25"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</row>
    <row r="1617" spans="2:14" ht="14.25"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</row>
    <row r="1618" spans="2:14" ht="14.25"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</row>
    <row r="1619" spans="2:14" ht="14.25"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</row>
    <row r="1620" spans="2:14" ht="14.25"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</row>
    <row r="1621" spans="2:14" ht="14.25"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</row>
    <row r="1622" spans="2:14" ht="14.25"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</row>
    <row r="1623" spans="2:14" ht="14.25"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</row>
    <row r="1624" spans="2:14" ht="14.25"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</row>
    <row r="1625" spans="2:14" ht="14.25"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</row>
    <row r="1626" spans="2:14" ht="14.25"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</row>
    <row r="1627" spans="2:14" ht="14.25"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</row>
    <row r="1628" spans="2:14" ht="14.25"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</row>
    <row r="1629" spans="2:14" ht="14.25"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</row>
    <row r="1630" spans="2:14" ht="14.25"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</row>
    <row r="1631" spans="2:14" ht="14.25"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</row>
    <row r="1632" spans="2:14" ht="14.25"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</row>
    <row r="1633" spans="2:14" ht="14.25"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</row>
    <row r="1634" spans="2:14" ht="14.25"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</row>
    <row r="1635" spans="2:14" ht="14.25"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</row>
    <row r="1636" spans="2:14" ht="14.25"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</row>
    <row r="1637" spans="2:14" ht="14.25"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</row>
    <row r="1638" spans="2:14" ht="14.25"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</row>
    <row r="1639" spans="2:14" ht="14.25"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</row>
    <row r="1640" spans="2:14" ht="14.25"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</row>
    <row r="1641" spans="2:14" ht="14.25"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</row>
    <row r="1642" spans="2:14" ht="14.25"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</row>
    <row r="1643" spans="2:14" ht="14.25"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</row>
    <row r="1644" spans="2:14" ht="14.25"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</row>
    <row r="1645" spans="2:14" ht="14.25"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</row>
    <row r="1646" spans="2:14" ht="14.25"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</row>
    <row r="1647" spans="2:14" ht="14.25"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</row>
    <row r="1648" spans="2:14" ht="14.25"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</row>
    <row r="1649" spans="2:14" ht="14.25"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</row>
    <row r="1650" spans="2:14" ht="14.25"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</row>
    <row r="1651" spans="2:14" ht="14.25"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</row>
    <row r="1652" spans="2:14" ht="14.25"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</row>
    <row r="1653" spans="2:14" ht="14.25"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</row>
    <row r="1654" spans="2:14" ht="14.25"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</row>
    <row r="1655" spans="2:14" ht="14.25"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</row>
    <row r="1656" spans="2:14" ht="14.25"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</row>
    <row r="1657" spans="2:14" ht="14.25"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</row>
    <row r="1658" spans="2:14" ht="14.25"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</row>
    <row r="1659" spans="2:14" ht="14.25"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</row>
    <row r="1660" spans="2:14" ht="14.25"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</row>
    <row r="1661" spans="2:14" ht="14.25"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</row>
    <row r="1662" spans="2:14" ht="14.25"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</row>
    <row r="1663" spans="2:14" ht="14.25"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</row>
    <row r="1664" spans="2:14" ht="14.25"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</row>
    <row r="1665" spans="2:14" ht="14.25"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</row>
    <row r="1666" spans="2:14" ht="14.25"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</row>
    <row r="1667" spans="2:14" ht="14.25"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</row>
    <row r="1668" spans="2:14" ht="14.25"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</row>
    <row r="1669" spans="2:14" ht="14.25"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</row>
    <row r="1670" spans="2:14" ht="14.25"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</row>
    <row r="1671" spans="2:14" ht="14.25"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</row>
    <row r="1672" spans="2:14" ht="14.25"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</row>
    <row r="1673" spans="2:14" ht="14.25"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</row>
    <row r="1674" spans="2:14" ht="14.25"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</row>
    <row r="1675" spans="2:14" ht="14.25"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</row>
    <row r="1676" spans="2:14" ht="14.25"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</row>
    <row r="1677" spans="2:14" ht="14.25"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</row>
    <row r="1678" spans="2:14" ht="14.25"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</row>
    <row r="1679" spans="2:14" ht="14.25"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</row>
    <row r="1680" spans="2:14" ht="14.25"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</row>
    <row r="1681" spans="2:14" ht="14.25"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</row>
    <row r="1682" spans="2:14" ht="14.25"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</row>
    <row r="1683" spans="2:14" ht="14.25"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</row>
    <row r="1684" spans="2:14" ht="14.25"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</row>
    <row r="1685" spans="2:14" ht="14.25"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</row>
    <row r="1686" spans="2:14" ht="14.25"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</row>
    <row r="1687" spans="2:14" ht="14.25"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</row>
    <row r="1688" spans="2:14" ht="14.25"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</row>
    <row r="1689" spans="2:14" ht="14.25"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</row>
    <row r="1690" spans="2:14" ht="14.25"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</row>
    <row r="1691" spans="2:14" ht="14.25"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</row>
    <row r="1692" spans="2:14" ht="14.25"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</row>
    <row r="1693" spans="2:14" ht="14.25"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</row>
    <row r="1694" spans="2:14" ht="14.25"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</row>
    <row r="1695" spans="2:14" ht="14.25"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</row>
    <row r="1696" spans="2:14" ht="14.25"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</row>
    <row r="1697" spans="2:14" ht="14.25"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</row>
    <row r="1698" spans="2:14" ht="14.25"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</row>
    <row r="1699" spans="2:14" ht="14.25"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</row>
    <row r="1700" spans="2:14" ht="14.25"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</row>
    <row r="1701" spans="2:14" ht="14.25"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</row>
    <row r="1702" spans="2:14" ht="14.25"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</row>
    <row r="1703" spans="2:14" ht="14.25"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</row>
    <row r="1704" spans="2:14" ht="14.25"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</row>
    <row r="1705" spans="2:14" ht="14.25"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</row>
    <row r="1706" spans="2:14" ht="14.25"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</row>
    <row r="1707" spans="2:14" ht="14.25"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</row>
    <row r="1708" spans="2:14" ht="14.25"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</row>
    <row r="1709" spans="2:14" ht="14.25"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</row>
    <row r="1710" spans="2:14" ht="14.25"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</row>
    <row r="1711" spans="2:14" ht="14.25"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</row>
    <row r="1712" spans="2:14" ht="14.25"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</row>
    <row r="1713" spans="2:14" ht="14.25"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</row>
    <row r="1714" spans="2:14" ht="14.25"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</row>
    <row r="1715" spans="2:14" ht="14.25"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</row>
    <row r="1716" spans="2:14" ht="14.25"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</row>
    <row r="1717" spans="2:14" ht="14.25"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</row>
    <row r="1718" spans="2:14" ht="14.25"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</row>
    <row r="1719" spans="2:14" ht="14.25"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</row>
    <row r="1720" spans="2:14" ht="14.25"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</row>
    <row r="1721" spans="2:14" ht="14.25"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</row>
    <row r="1722" spans="2:14" ht="14.25"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</row>
    <row r="1723" spans="2:14" ht="14.25"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</row>
    <row r="1724" spans="2:14" ht="14.25"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</row>
    <row r="1725" spans="2:14" ht="14.25"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</row>
    <row r="1726" spans="2:14" ht="14.25"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</row>
    <row r="1727" spans="2:14" ht="14.25"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</row>
    <row r="1728" spans="2:14" ht="14.25"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</row>
    <row r="1729" spans="2:14" ht="14.25"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</row>
    <row r="1730" spans="2:14" ht="14.25"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</row>
    <row r="1731" spans="2:14" ht="14.25"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</row>
    <row r="1732" spans="2:14" ht="14.25"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</row>
    <row r="1733" spans="2:14" ht="14.25"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</row>
    <row r="1734" spans="2:14" ht="14.25"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</row>
    <row r="1735" spans="2:14" ht="14.25"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</row>
    <row r="1736" spans="2:14" ht="14.25"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</row>
    <row r="1737" spans="2:14" ht="14.25"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</row>
    <row r="1738" spans="2:14" ht="14.25"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</row>
    <row r="1739" spans="2:14" ht="14.25"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</row>
    <row r="1740" spans="2:14" ht="14.25"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</row>
    <row r="1741" spans="2:14" ht="14.25"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</row>
    <row r="1742" spans="2:14" ht="14.25"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</row>
    <row r="1743" spans="2:14" ht="14.25"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</row>
    <row r="1744" spans="2:14" ht="14.25"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</row>
    <row r="1745" spans="2:14" ht="14.25"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</row>
    <row r="1746" spans="2:14" ht="14.25"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</row>
    <row r="1747" spans="2:14" ht="14.25"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</row>
    <row r="1748" spans="2:14" ht="14.25"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</row>
    <row r="1749" spans="2:14" ht="14.25"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</row>
    <row r="1750" spans="2:14" ht="14.25"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</row>
    <row r="1751" spans="2:14" ht="14.25"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</row>
    <row r="1752" spans="2:14" ht="14.25"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</row>
    <row r="1753" spans="2:14" ht="14.25"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</row>
    <row r="1754" spans="2:14" ht="14.25"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</row>
    <row r="1755" spans="2:14" ht="14.25"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</row>
    <row r="1756" spans="2:14" ht="14.25"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</row>
    <row r="1757" spans="2:14" ht="14.25"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</row>
    <row r="1758" spans="2:14" ht="14.25"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</row>
    <row r="1759" spans="2:14" ht="14.25"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</row>
    <row r="1760" spans="2:14" ht="14.25"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</row>
    <row r="1761" spans="2:14" ht="14.25"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</row>
    <row r="1762" spans="2:14" ht="14.25"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</row>
    <row r="1763" spans="2:14" ht="14.25"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</row>
    <row r="1764" spans="2:14" ht="14.25"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</row>
    <row r="1765" spans="2:14" ht="14.25"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</row>
    <row r="1766" spans="2:14" ht="14.25"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</row>
    <row r="1767" spans="2:14" ht="14.25"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</row>
    <row r="1768" spans="2:14" ht="14.25"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</row>
    <row r="1769" spans="2:14" ht="14.25"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</row>
    <row r="1770" spans="2:14" ht="14.25"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</row>
    <row r="1771" spans="2:14" ht="14.25"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</row>
    <row r="1772" spans="2:14" ht="14.25"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</row>
    <row r="1773" spans="2:14" ht="14.25"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</row>
    <row r="1774" spans="2:14" ht="14.25"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</row>
    <row r="1775" spans="2:14" ht="14.25"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</row>
    <row r="1776" spans="2:14" ht="14.25"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</row>
    <row r="1777" spans="2:14" ht="14.25"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</row>
    <row r="1778" spans="2:14" ht="14.25"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</row>
    <row r="1779" spans="2:14" ht="14.25"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</row>
    <row r="1780" spans="2:14" ht="14.25"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</row>
    <row r="1781" spans="2:14" ht="14.25"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</row>
    <row r="1782" spans="2:14" ht="14.25"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</row>
    <row r="1783" spans="2:14" ht="14.25"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</row>
    <row r="1784" spans="2:14" ht="14.25"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</row>
    <row r="1785" spans="2:14" ht="14.25"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</row>
    <row r="1786" spans="2:14" ht="14.25"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</row>
    <row r="1787" spans="2:14" ht="14.25"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</row>
    <row r="1788" spans="2:14" ht="14.25"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</row>
    <row r="1789" spans="2:14" ht="14.25"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</row>
    <row r="1790" spans="2:14" ht="14.25"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</row>
    <row r="1791" spans="2:14" ht="14.25"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</row>
    <row r="1792" spans="2:14" ht="14.25"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</row>
    <row r="1793" spans="2:14" ht="14.25"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</row>
    <row r="1794" spans="2:14" ht="14.25"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</row>
    <row r="1795" spans="2:14" ht="14.25"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</row>
    <row r="1796" spans="2:14" ht="14.25"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</row>
    <row r="1797" spans="2:14" ht="14.25"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</row>
    <row r="1798" spans="2:14" ht="14.25"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</row>
    <row r="1799" spans="2:14" ht="14.25"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</row>
    <row r="1800" spans="2:14" ht="14.25"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</row>
    <row r="1801" spans="2:14" ht="14.25"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</row>
    <row r="1802" spans="2:14" ht="14.25"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</row>
    <row r="1803" spans="2:14" ht="14.25"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</row>
    <row r="1804" spans="2:14" ht="14.25"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</row>
    <row r="1805" spans="2:14" ht="14.25"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</row>
    <row r="1806" spans="2:14" ht="14.25"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</row>
    <row r="1807" spans="2:14" ht="14.25"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</row>
    <row r="1808" spans="2:14" ht="14.25"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</row>
    <row r="1809" spans="2:14" ht="14.25"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</row>
    <row r="1810" spans="2:14" ht="14.25"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</row>
    <row r="1811" spans="2:14" ht="14.25"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</row>
    <row r="1812" spans="2:14" ht="14.25"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</row>
    <row r="1813" spans="2:14" ht="14.25"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</row>
    <row r="1814" spans="2:14" ht="14.25"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</row>
    <row r="1815" spans="2:14" ht="14.25"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</row>
    <row r="1816" spans="2:14" ht="14.25"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</row>
    <row r="1817" spans="2:14" ht="14.25"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</row>
    <row r="1818" spans="2:14" ht="14.25"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</row>
    <row r="1819" spans="2:14" ht="14.25"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</row>
    <row r="1820" spans="2:14" ht="14.25"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</row>
    <row r="1821" spans="2:14" ht="14.25"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</row>
    <row r="1822" spans="2:14" ht="14.25"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</row>
    <row r="1823" spans="2:14" ht="14.25"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</row>
    <row r="1824" spans="2:14" ht="14.25"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</row>
    <row r="1825" spans="2:14" ht="14.25"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</row>
    <row r="1826" spans="2:14" ht="14.25"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</row>
    <row r="1827" spans="2:14" ht="14.25"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</row>
    <row r="1828" spans="2:14" ht="14.25"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</row>
    <row r="1829" spans="2:14" ht="14.25"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</row>
    <row r="1830" spans="2:14" ht="14.25"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</row>
    <row r="1831" spans="2:14" ht="14.25"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</row>
    <row r="1832" spans="2:14" ht="14.25"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</row>
    <row r="1833" spans="2:14" ht="14.25"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</row>
    <row r="1834" spans="2:14" ht="14.25"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</row>
    <row r="1835" spans="2:14" ht="14.25"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</row>
    <row r="1836" spans="2:14" ht="14.25"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</row>
    <row r="1837" spans="2:14" ht="14.25"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</row>
    <row r="1838" spans="2:14" ht="14.25"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</row>
    <row r="1839" spans="2:14" ht="14.25"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</row>
    <row r="1840" spans="2:14" ht="14.25"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</row>
    <row r="1841" spans="2:14" ht="14.25"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</row>
    <row r="1842" spans="2:14" ht="14.25"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</row>
    <row r="1843" spans="2:14" ht="14.25"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</row>
    <row r="1844" spans="2:14" ht="14.25"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</row>
    <row r="1845" spans="2:14" ht="14.25"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</row>
    <row r="1846" spans="2:14" ht="14.25"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</row>
    <row r="1847" spans="2:14" ht="14.25"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</row>
    <row r="1848" spans="2:14" ht="14.25"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</row>
    <row r="1849" spans="2:14" ht="14.25"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</row>
    <row r="1850" spans="2:14" ht="14.25"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</row>
    <row r="1851" spans="2:14" ht="14.25"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</row>
    <row r="1852" spans="2:14" ht="14.25"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</row>
    <row r="1853" spans="2:14" ht="14.25"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</row>
    <row r="1854" spans="2:14" ht="14.25"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</row>
    <row r="1855" spans="2:14" ht="14.25"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</row>
    <row r="1856" spans="2:14" ht="14.25"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</row>
    <row r="1857" spans="2:14" ht="14.25"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</row>
    <row r="1858" spans="2:14" ht="14.25"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</row>
    <row r="1859" spans="2:14" ht="14.25"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</row>
    <row r="1860" spans="2:14" ht="14.25"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</row>
    <row r="1861" spans="2:14" ht="14.25"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</row>
    <row r="1862" spans="2:14" ht="14.25"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</row>
    <row r="1863" spans="2:14" ht="14.25"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</row>
    <row r="1864" spans="2:14" ht="14.25"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</row>
    <row r="1865" spans="2:14" ht="14.25"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</row>
    <row r="1866" spans="2:14" ht="14.25"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</row>
    <row r="1867" spans="2:14" ht="14.25"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</row>
    <row r="1868" spans="2:14" ht="14.25"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</row>
    <row r="1869" spans="2:14" ht="14.25"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</row>
    <row r="1870" spans="2:14" ht="14.25"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</row>
    <row r="1871" spans="2:14" ht="14.25"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</row>
    <row r="1872" spans="2:14" ht="14.25"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</row>
    <row r="1873" spans="2:14" ht="14.25"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</row>
    <row r="1874" spans="2:14" ht="14.25"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</row>
    <row r="1875" spans="2:14" ht="14.25"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</row>
    <row r="1876" spans="2:14" ht="14.25"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</row>
    <row r="1877" spans="2:14" ht="14.25"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</row>
    <row r="1878" spans="2:14" ht="14.25"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</row>
    <row r="1879" spans="2:14" ht="14.25"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</row>
    <row r="1880" spans="2:14" ht="14.25"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</row>
    <row r="1881" spans="2:14" ht="14.25"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</row>
    <row r="1882" spans="2:14" ht="14.25"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</row>
    <row r="1883" spans="2:14" ht="14.25"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</row>
    <row r="1884" spans="2:14" ht="14.25"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</row>
    <row r="1885" spans="2:14" ht="14.25"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</row>
    <row r="1886" spans="2:14" ht="14.25"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</row>
    <row r="1887" spans="2:14" ht="14.25"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</row>
    <row r="1888" spans="2:14" ht="14.25"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</row>
    <row r="1889" spans="2:14" ht="14.25"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</row>
    <row r="1890" spans="2:14" ht="14.25"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</row>
    <row r="1891" spans="2:14" ht="14.25"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</row>
    <row r="1892" spans="2:14" ht="14.25"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</row>
    <row r="1893" spans="2:14" ht="14.25"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</row>
    <row r="1894" spans="2:14" ht="14.25"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</row>
    <row r="1895" spans="2:14" ht="14.25"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</row>
    <row r="1896" spans="2:14" ht="14.25"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</row>
    <row r="1897" spans="2:14" ht="14.25"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</row>
    <row r="1898" spans="2:14" ht="14.25"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</row>
    <row r="1899" spans="2:14" ht="14.25"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</row>
    <row r="1900" spans="2:14" ht="14.25"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</row>
    <row r="1901" spans="2:14" ht="14.25"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</row>
    <row r="1902" spans="2:14" ht="14.25"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</row>
    <row r="1903" spans="2:14" ht="14.25"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</row>
    <row r="1904" spans="2:14" ht="14.25"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</row>
    <row r="1905" spans="2:14" ht="14.25"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</row>
    <row r="1906" spans="2:14" ht="14.25"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</row>
    <row r="1907" spans="2:14" ht="14.25"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</row>
    <row r="1908" spans="2:14" ht="14.25"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</row>
    <row r="1909" spans="2:14" ht="14.25"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</row>
    <row r="1910" spans="2:14" ht="14.25"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</row>
    <row r="1911" spans="2:14" ht="14.25"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</row>
    <row r="1912" spans="2:14" ht="14.25"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</row>
    <row r="1913" spans="2:14" ht="14.25"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</row>
    <row r="1914" spans="2:14" ht="14.25"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</row>
    <row r="1915" spans="2:14" ht="14.25"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</row>
    <row r="1916" spans="2:14" ht="14.25"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</row>
    <row r="1917" spans="2:14" ht="14.25"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</row>
    <row r="1918" spans="2:14" ht="14.25"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</row>
    <row r="1919" spans="2:14" ht="14.25"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</row>
    <row r="1920" spans="2:14" ht="14.25"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</row>
    <row r="1921" spans="2:14" ht="14.25"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</row>
    <row r="1922" spans="2:14" ht="14.25"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</row>
    <row r="1923" spans="2:14" ht="14.25"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</row>
    <row r="1924" spans="2:14" ht="14.25"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</row>
    <row r="1925" spans="2:14" ht="14.25"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</row>
    <row r="1926" spans="2:14" ht="14.25"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</row>
    <row r="1927" spans="2:14" ht="14.25"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</row>
    <row r="1928" spans="2:14" ht="14.25"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</row>
    <row r="1929" spans="2:14" ht="14.25"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</row>
    <row r="1930" spans="2:14" ht="14.25"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</row>
    <row r="1931" spans="2:14" ht="14.25"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</row>
    <row r="1932" spans="2:14" ht="14.25"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</row>
    <row r="1933" spans="2:14" ht="14.25"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</row>
    <row r="1934" spans="2:14" ht="14.25"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</row>
    <row r="1935" spans="2:14" ht="14.25"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</row>
    <row r="1936" spans="2:14" ht="14.25"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</row>
    <row r="1937" spans="2:14" ht="14.25"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</row>
    <row r="1938" spans="2:14" ht="14.25"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</row>
    <row r="1939" spans="2:14" ht="14.25"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</row>
    <row r="1940" spans="2:14" ht="14.25"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</row>
    <row r="1941" spans="2:14" ht="14.25"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</row>
    <row r="1942" spans="2:14" ht="14.25"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</row>
    <row r="1943" spans="2:14" ht="14.25"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</row>
    <row r="1944" spans="2:14" ht="14.25"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</row>
    <row r="1945" spans="2:14" ht="14.25"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</row>
    <row r="1946" spans="2:14" ht="14.25"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</row>
    <row r="1947" spans="2:14" ht="14.25"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</row>
    <row r="1948" spans="2:14" ht="14.25"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</row>
    <row r="1949" spans="2:14" ht="14.25"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</row>
    <row r="1950" spans="2:14" ht="14.25"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</row>
    <row r="1951" spans="2:14" ht="14.25"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</row>
    <row r="1952" spans="2:14" ht="14.25"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</row>
    <row r="1953" spans="2:14" ht="14.25"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</row>
    <row r="1954" spans="2:14" ht="14.25"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</row>
    <row r="1955" spans="2:14" ht="14.25"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</row>
    <row r="1956" spans="2:14" ht="14.25"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</row>
    <row r="1957" spans="2:14" ht="14.25"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</row>
    <row r="1958" spans="2:14" ht="14.25"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</row>
    <row r="1959" spans="2:14" ht="14.25"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</row>
    <row r="1960" spans="2:14" ht="14.25"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</row>
    <row r="1961" spans="2:14" ht="14.25"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</row>
    <row r="1962" spans="2:14" ht="14.25"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</row>
    <row r="1963" spans="2:14" ht="14.25"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</row>
    <row r="1964" spans="2:14" ht="14.25"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</row>
    <row r="1965" spans="2:14" ht="14.25"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</row>
    <row r="1966" spans="2:14" ht="14.25"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</row>
    <row r="1967" spans="2:14" ht="14.25"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</row>
    <row r="1968" spans="2:14" ht="14.25"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</row>
    <row r="1969" spans="2:14" ht="14.25"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</row>
    <row r="1970" spans="2:14" ht="14.25"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</row>
    <row r="1971" spans="2:14" ht="14.25"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</row>
    <row r="1972" spans="2:14" ht="14.25"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</row>
    <row r="1973" spans="2:14" ht="14.25"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</row>
    <row r="1974" spans="2:14" ht="14.25"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</row>
    <row r="1975" spans="2:14" ht="14.25"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</row>
    <row r="1976" spans="2:14" ht="14.25"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</row>
    <row r="1977" spans="2:14" ht="14.25"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</row>
    <row r="1978" spans="2:14" ht="14.25"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</row>
    <row r="1979" spans="2:14" ht="14.25"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</row>
    <row r="1980" spans="2:14" ht="14.25"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</row>
    <row r="1981" spans="2:14" ht="14.25"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</row>
    <row r="1982" spans="2:14" ht="14.25"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</row>
    <row r="1983" spans="2:14" ht="14.25"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</row>
    <row r="1984" spans="2:14" ht="14.25"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</row>
    <row r="1985" spans="2:14" ht="14.25"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</row>
    <row r="1986" spans="2:14" ht="14.25"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</row>
    <row r="1987" spans="2:14" ht="14.25"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</row>
    <row r="1988" spans="2:14" ht="14.25"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</row>
    <row r="1989" spans="2:14" ht="14.25"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</row>
    <row r="1990" spans="2:14" ht="14.25"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</row>
    <row r="1991" spans="2:14" ht="14.25"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</row>
    <row r="1992" spans="2:14" ht="14.25"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</row>
    <row r="1993" spans="2:14" ht="14.25"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</row>
    <row r="1994" spans="2:14" ht="14.25"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</row>
    <row r="1995" spans="2:14" ht="14.25"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</row>
    <row r="1996" spans="2:14" ht="14.25"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</row>
    <row r="1997" spans="2:14" ht="14.25"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</row>
    <row r="1998" spans="2:14" ht="14.25"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</row>
    <row r="1999" spans="2:14" ht="14.25"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</row>
    <row r="2000" spans="2:14" ht="14.25"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</row>
    <row r="2001" spans="2:14" ht="14.25"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</row>
    <row r="2002" spans="2:14" ht="14.25"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</row>
    <row r="2003" spans="2:14" ht="14.25"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</row>
    <row r="2004" spans="2:14" ht="14.25"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</row>
    <row r="2005" spans="2:14" ht="14.25"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</row>
    <row r="2006" spans="2:14" ht="14.25"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</row>
    <row r="2007" spans="2:14" ht="14.25"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</row>
    <row r="2008" spans="2:14" ht="14.25"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</row>
    <row r="2009" spans="2:14" ht="14.25"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</row>
    <row r="2010" spans="2:14" ht="14.25"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</row>
    <row r="2011" spans="2:14" ht="14.25"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</row>
    <row r="2012" spans="2:14" ht="14.25"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</row>
    <row r="2013" spans="2:14" ht="14.25"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</row>
    <row r="2014" spans="2:14" ht="14.25"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</row>
    <row r="2015" spans="2:14" ht="14.25"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</row>
    <row r="2016" spans="2:14" ht="14.25"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</row>
    <row r="2017" spans="2:14" ht="14.25"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</row>
    <row r="2018" spans="2:14" ht="14.25"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</row>
    <row r="2019" spans="2:14" ht="14.25"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</row>
    <row r="2020" spans="2:14" ht="14.25"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</row>
    <row r="2021" spans="2:14" ht="14.25"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</row>
    <row r="2022" spans="2:14" ht="14.25"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</row>
    <row r="2023" spans="2:14" ht="14.25"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</row>
    <row r="2024" spans="2:14" ht="14.25"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</row>
    <row r="2025" spans="2:14" ht="14.25"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</row>
    <row r="2026" spans="2:14" ht="14.25"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</row>
    <row r="2027" spans="2:14" ht="14.25"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</row>
    <row r="2028" spans="2:14" ht="14.25"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</row>
    <row r="2029" spans="2:14" ht="14.25"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</row>
    <row r="2030" spans="2:14" ht="14.25"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</row>
    <row r="2031" spans="2:14" ht="14.25"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</row>
    <row r="2032" spans="2:14" ht="14.25"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</row>
    <row r="2033" spans="2:14" ht="14.25"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</row>
    <row r="2034" spans="2:14" ht="14.25"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</row>
    <row r="2035" spans="2:14" ht="14.25"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</row>
    <row r="2036" spans="2:14" ht="14.25"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</row>
    <row r="2037" spans="2:14" ht="14.25"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</row>
    <row r="2038" spans="2:14" ht="14.25"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</row>
    <row r="2039" spans="2:14" ht="14.25"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</row>
    <row r="2040" spans="2:14" ht="14.25"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</row>
    <row r="2041" spans="2:14" ht="14.25"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</row>
    <row r="2042" spans="2:14" ht="14.25"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</row>
    <row r="2043" spans="2:14" ht="14.25"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</row>
    <row r="2044" spans="2:14" ht="14.25"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</row>
    <row r="2045" spans="2:14" ht="14.25"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</row>
    <row r="2046" spans="2:14" ht="14.25"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</row>
    <row r="2047" spans="2:14" ht="14.25"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</row>
    <row r="2048" spans="2:14" ht="14.25"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</row>
    <row r="2049" spans="2:14" ht="14.25"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</row>
    <row r="2050" spans="2:14" ht="14.25"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</row>
    <row r="2051" spans="2:14" ht="14.25"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</row>
    <row r="2052" spans="2:14" ht="14.25"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</row>
    <row r="2053" spans="2:14" ht="14.25"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</row>
    <row r="2054" spans="2:14" ht="14.25"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</row>
    <row r="2055" spans="2:14" ht="14.25"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</row>
    <row r="2056" spans="2:14" ht="14.25"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</row>
    <row r="2057" spans="2:14" ht="14.25"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</row>
    <row r="2058" spans="2:14" ht="14.25"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</row>
    <row r="2059" spans="2:14" ht="14.25"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</row>
    <row r="2060" spans="2:14" ht="14.25"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</row>
    <row r="2061" spans="2:14" ht="14.25"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</row>
    <row r="2062" spans="2:14" ht="14.25"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</row>
    <row r="2063" spans="2:14" ht="14.25"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</row>
    <row r="2064" spans="2:14" ht="14.25"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</row>
    <row r="2065" spans="2:14" ht="14.25"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</row>
    <row r="2066" spans="2:14" ht="14.25"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</row>
    <row r="2067" spans="2:14" ht="14.25"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</row>
    <row r="2068" spans="2:14" ht="14.25"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</row>
    <row r="2069" spans="2:14" ht="14.25"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</row>
    <row r="2070" spans="2:14" ht="14.25"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</row>
    <row r="2071" spans="2:14" ht="14.25"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</row>
    <row r="2072" spans="2:14" ht="14.25"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</row>
    <row r="2073" spans="2:14" ht="14.25"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</row>
    <row r="2074" spans="2:14" ht="14.25"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</row>
    <row r="2075" spans="2:14" ht="14.25"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</row>
    <row r="2076" spans="2:14" ht="14.25"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</row>
    <row r="2077" spans="2:14" ht="14.25"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</row>
    <row r="2078" spans="2:14" ht="14.25"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</row>
    <row r="2079" spans="2:14" ht="14.25"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</row>
    <row r="2080" spans="2:14" ht="14.25"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</row>
    <row r="2081" spans="2:14" ht="14.25"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</row>
    <row r="2082" spans="2:14" ht="14.25"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</row>
    <row r="2083" spans="2:14" ht="14.25"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</row>
    <row r="2084" spans="2:14" ht="14.25"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</row>
    <row r="2085" spans="2:14" ht="14.25"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</row>
    <row r="2086" spans="2:14" ht="14.25"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</row>
    <row r="2087" spans="2:14" ht="14.25"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</row>
    <row r="2088" spans="2:14" ht="14.25"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</row>
    <row r="2089" spans="2:14" ht="14.25"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</row>
    <row r="2090" spans="2:14" ht="14.25"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</row>
    <row r="2091" spans="2:14" ht="14.25"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</row>
    <row r="2092" spans="2:14" ht="14.25"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</row>
    <row r="2093" spans="2:14" ht="14.25"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</row>
    <row r="2094" spans="2:14" ht="14.25"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</row>
    <row r="2095" spans="2:14" ht="14.25"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</row>
    <row r="2096" spans="2:14" ht="14.25"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</row>
    <row r="2097" spans="2:14" ht="14.25"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</row>
    <row r="2098" spans="2:14" ht="14.25"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</row>
    <row r="2099" spans="2:14" ht="14.25"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</row>
    <row r="2100" spans="2:14" ht="14.25"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</row>
    <row r="2101" spans="2:14" ht="14.25"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</row>
    <row r="2102" spans="2:14" ht="14.25"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</row>
    <row r="2103" spans="2:14" ht="14.25"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</row>
    <row r="2104" spans="2:14" ht="14.25"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</row>
    <row r="2105" spans="2:14" ht="14.25"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</row>
    <row r="2106" spans="2:14" ht="14.25"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</row>
    <row r="2107" spans="2:14" ht="14.25"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</row>
    <row r="2108" spans="2:14" ht="14.25"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</row>
    <row r="2109" spans="2:14" ht="14.25"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</row>
    <row r="2110" spans="2:14" ht="14.25"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</row>
    <row r="2111" spans="2:14" ht="14.25"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</row>
    <row r="2112" spans="2:14" ht="14.25"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</row>
    <row r="2113" spans="2:14" ht="14.25"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</row>
    <row r="2114" spans="2:14" ht="14.25"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</row>
    <row r="2115" spans="2:14" ht="14.25"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</row>
    <row r="2116" spans="2:14" ht="14.25"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</row>
    <row r="2117" spans="2:14" ht="14.25"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</row>
    <row r="2118" spans="2:14" ht="14.25"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</row>
    <row r="2119" spans="2:14" ht="14.25"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</row>
    <row r="2120" spans="2:14" ht="14.25"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</row>
    <row r="2121" spans="2:14" ht="14.25"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</row>
    <row r="2122" spans="2:14" ht="14.25"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</row>
    <row r="2123" spans="2:14" ht="14.25"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</row>
    <row r="2124" spans="2:14" ht="14.25"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</row>
    <row r="2125" spans="2:14" ht="14.25"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</row>
    <row r="2126" spans="2:14" ht="14.25"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</row>
    <row r="2127" spans="2:14" ht="14.25"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</row>
    <row r="2128" spans="2:14" ht="14.25"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</row>
    <row r="2129" spans="2:14" ht="14.25"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</row>
    <row r="2130" spans="2:14" ht="14.25"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</row>
    <row r="2131" spans="2:14" ht="14.25"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</row>
    <row r="2132" spans="2:14" ht="14.25"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</row>
    <row r="2133" spans="2:14" ht="14.25"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</row>
    <row r="2134" spans="2:14" ht="14.25"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</row>
    <row r="2135" spans="2:14" ht="14.25"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</row>
    <row r="2136" spans="2:14" ht="14.25"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</row>
    <row r="2137" spans="2:14" ht="14.25"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</row>
    <row r="2138" spans="2:14" ht="14.25"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</row>
    <row r="2139" spans="2:14" ht="14.25"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</row>
    <row r="2140" spans="2:14" ht="14.25"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</row>
    <row r="2141" spans="2:14" ht="14.25"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</row>
    <row r="2142" spans="2:14" ht="14.25"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</row>
    <row r="2143" spans="2:14" ht="14.25"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</row>
    <row r="2144" spans="2:14" ht="14.25"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</row>
    <row r="2145" spans="2:14" ht="14.25"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</row>
    <row r="2146" spans="2:14" ht="14.25"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</row>
    <row r="2147" spans="2:14" ht="14.25"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</row>
    <row r="2148" spans="2:14" ht="14.25"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</row>
    <row r="2149" spans="2:14" ht="14.25"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</row>
    <row r="2150" spans="2:14" ht="14.25"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</row>
    <row r="2151" spans="2:14" ht="14.25"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</row>
    <row r="2152" spans="2:14" ht="14.25"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</row>
    <row r="2153" spans="2:14" ht="14.25"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</row>
    <row r="2154" spans="2:14" ht="14.25"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</row>
    <row r="2155" spans="2:14" ht="14.25"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</row>
    <row r="2156" spans="2:14" ht="14.25"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</row>
    <row r="2157" spans="2:14" ht="14.25"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</row>
    <row r="2158" spans="2:14" ht="14.25"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</row>
    <row r="2159" spans="2:14" ht="14.25"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</row>
    <row r="2160" spans="2:14" ht="14.25"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</row>
    <row r="2161" spans="2:14" ht="14.25"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</row>
    <row r="2162" spans="2:14" ht="14.25"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</row>
    <row r="2163" spans="2:14" ht="14.25"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</row>
    <row r="2164" spans="2:14" ht="14.25"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</row>
    <row r="2165" spans="2:14" ht="14.25"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</row>
    <row r="2166" spans="2:14" ht="14.25"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</row>
    <row r="2167" spans="2:14" ht="14.25"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</row>
    <row r="2168" spans="2:14" ht="14.25"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</row>
    <row r="2169" spans="2:14" ht="14.25"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</row>
    <row r="2170" spans="2:14" ht="14.25"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</row>
    <row r="2171" spans="2:14" ht="14.25"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</row>
    <row r="2172" spans="2:14" ht="14.25"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</row>
    <row r="2173" spans="2:14" ht="14.25"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</row>
    <row r="2174" spans="2:14" ht="14.25"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</row>
    <row r="2175" spans="2:14" ht="14.25"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</row>
    <row r="2176" spans="2:14" ht="14.25"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</row>
    <row r="2177" spans="2:14" ht="14.25"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</row>
    <row r="2178" spans="2:14" ht="14.25"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</row>
    <row r="2179" spans="2:14" ht="14.25"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</row>
    <row r="2180" spans="2:14" ht="14.25"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</row>
    <row r="2181" spans="2:14" ht="14.25"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</row>
    <row r="2182" spans="2:14" ht="14.25"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</row>
    <row r="2183" spans="2:14" ht="14.25"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</row>
    <row r="2184" spans="2:14" ht="14.25"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</row>
    <row r="2185" spans="2:14" ht="14.25"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</row>
    <row r="2186" spans="2:14" ht="14.25"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</row>
    <row r="2187" spans="2:14" ht="14.25"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</row>
    <row r="2188" spans="2:14" ht="14.25"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</row>
    <row r="2189" spans="2:14" ht="14.25"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</row>
    <row r="2190" spans="2:14" ht="14.25"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</row>
    <row r="2191" spans="2:14" ht="14.25"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</row>
    <row r="2192" spans="2:14" ht="14.25"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</row>
    <row r="2193" spans="2:14" ht="14.25"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</row>
    <row r="2194" spans="2:14" ht="14.25"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</row>
    <row r="2195" spans="2:14" ht="14.25"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</row>
    <row r="2196" spans="2:14" ht="14.25"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</row>
    <row r="2197" spans="2:14" ht="14.25"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</row>
    <row r="2198" spans="2:14" ht="14.25"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</row>
    <row r="2199" spans="2:14" ht="14.25"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</row>
    <row r="2200" spans="2:14" ht="14.25"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</row>
    <row r="2201" spans="2:14" ht="14.25"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</row>
    <row r="2202" spans="2:14" ht="14.25"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</row>
    <row r="2203" spans="2:14" ht="14.25"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</row>
    <row r="2204" spans="2:14" ht="14.25"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</row>
    <row r="2205" spans="2:14" ht="14.25"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</row>
    <row r="2206" spans="2:14" ht="14.25"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</row>
    <row r="2207" spans="2:14" ht="14.25"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</row>
    <row r="2208" spans="2:14" ht="14.25"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</row>
    <row r="2209" spans="2:14" ht="14.25"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</row>
    <row r="2210" spans="2:14" ht="14.25"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</row>
    <row r="2211" spans="2:14" ht="14.25"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</row>
    <row r="2212" spans="2:14" ht="14.25"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</row>
    <row r="2213" spans="2:14" ht="14.25"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</row>
    <row r="2214" spans="2:14" ht="14.25"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</row>
    <row r="2215" spans="2:14" ht="14.25"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</row>
    <row r="2216" spans="2:14" ht="14.25"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</row>
    <row r="2217" spans="2:14" ht="14.25"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</row>
    <row r="2218" spans="2:14" ht="14.25"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</row>
    <row r="2219" spans="2:14" ht="14.25"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</row>
    <row r="2220" spans="2:14" ht="14.25"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</row>
    <row r="2221" spans="2:14" ht="14.25"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</row>
    <row r="2222" spans="2:14" ht="14.25"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</row>
    <row r="2223" spans="2:14" ht="14.25"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</row>
    <row r="2224" spans="2:14" ht="14.25"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</row>
    <row r="2225" spans="2:14" ht="14.25"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</row>
    <row r="2226" spans="2:14" ht="14.25"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</row>
    <row r="2227" spans="2:14" ht="14.25"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</row>
    <row r="2228" spans="2:14" ht="14.25"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</row>
    <row r="2229" spans="2:14" ht="14.25"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</row>
    <row r="2230" spans="2:14" ht="14.25"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</row>
    <row r="2231" spans="2:14" ht="14.25"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</row>
    <row r="2232" spans="2:14" ht="14.25"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</row>
    <row r="2233" spans="2:14" ht="14.25"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</row>
    <row r="2234" spans="2:14" ht="14.25"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</row>
    <row r="2235" spans="2:14" ht="14.25"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</row>
    <row r="2236" spans="2:14" ht="14.25"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</row>
    <row r="2237" spans="2:14" ht="14.25"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</row>
    <row r="2238" spans="2:14" ht="14.25"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</row>
    <row r="2239" spans="2:14" ht="14.25"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</row>
    <row r="2240" spans="2:14" ht="14.25"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</row>
    <row r="2241" spans="2:14" ht="14.25"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</row>
    <row r="2242" spans="2:14" ht="14.25"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</row>
    <row r="2243" spans="2:14" ht="14.25"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</row>
    <row r="2244" spans="2:14" ht="14.25"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</row>
    <row r="2245" spans="2:14" ht="14.25"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</row>
    <row r="2246" spans="2:14" ht="14.25"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</row>
    <row r="2247" spans="2:14" ht="14.25"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</row>
    <row r="2248" spans="2:14" ht="14.25"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</row>
    <row r="2249" spans="2:14" ht="14.25"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</row>
    <row r="2250" spans="2:14" ht="14.25"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</row>
    <row r="2251" spans="2:14" ht="14.25"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</row>
    <row r="2252" spans="2:14" ht="14.25"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</row>
    <row r="2253" spans="2:14" ht="14.25"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</row>
    <row r="2254" spans="2:14" ht="14.25"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</row>
    <row r="2255" spans="2:14" ht="14.25"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</row>
    <row r="2256" spans="2:14" ht="14.25"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</row>
    <row r="2257" spans="2:14" ht="14.25"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</row>
    <row r="2258" spans="2:14" ht="14.25"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</row>
    <row r="2259" spans="2:14" ht="14.25"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</row>
    <row r="2260" spans="2:14" ht="14.25"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</row>
    <row r="2261" spans="2:14" ht="14.25"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</row>
    <row r="2262" spans="2:14" ht="14.25"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</row>
    <row r="2263" spans="2:14" ht="14.25"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</row>
    <row r="2264" spans="2:14" ht="14.25"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</row>
    <row r="2265" spans="2:14" ht="14.25"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</row>
    <row r="2266" spans="2:14" ht="14.25"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</row>
    <row r="2267" spans="2:14" ht="14.25"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</row>
    <row r="2268" spans="2:14" ht="14.25"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</row>
    <row r="2269" spans="2:14" ht="14.25"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</row>
    <row r="2270" spans="2:14" ht="14.25"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</row>
    <row r="2271" spans="2:14" ht="14.25"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</row>
    <row r="2272" spans="2:14" ht="14.25"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</row>
    <row r="2273" spans="2:14" ht="14.25"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</row>
    <row r="2274" spans="2:14" ht="14.25"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</row>
    <row r="2275" spans="2:14" ht="14.25"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</row>
    <row r="2276" spans="2:14" ht="14.25"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</row>
    <row r="2277" spans="2:14" ht="14.25"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</row>
    <row r="2278" spans="2:14" ht="14.25"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</row>
    <row r="2279" spans="2:14" ht="14.25"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</row>
    <row r="2280" spans="2:14" ht="14.25"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</row>
    <row r="2281" spans="2:14" ht="14.25"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</row>
    <row r="2282" spans="2:14" ht="14.25"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</row>
    <row r="2283" spans="2:14" ht="14.25"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</row>
    <row r="2284" spans="2:14" ht="14.25"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</row>
    <row r="2285" spans="2:14" ht="14.25"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</row>
    <row r="2286" spans="2:14" ht="14.25"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</row>
    <row r="2287" spans="2:14" ht="14.25"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</row>
    <row r="2288" spans="2:14" ht="14.25"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</row>
    <row r="2289" spans="2:14" ht="14.25"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</row>
    <row r="2290" spans="2:14" ht="14.25"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</row>
    <row r="2291" spans="2:14" ht="14.25"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</row>
    <row r="2292" spans="2:14" ht="14.25"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</row>
    <row r="2293" spans="2:14" ht="14.25"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</row>
    <row r="2294" spans="2:14" ht="14.25"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</row>
    <row r="2295" spans="2:14" ht="14.25"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</row>
    <row r="2296" spans="2:14" ht="14.25"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</row>
    <row r="2297" spans="2:14" ht="14.25"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</row>
    <row r="2298" spans="2:14" ht="14.25"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</row>
    <row r="2299" spans="2:14" ht="14.25"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</row>
    <row r="2300" spans="2:14" ht="14.25"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</row>
    <row r="2301" spans="2:14" ht="14.25"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</row>
    <row r="2302" spans="2:14" ht="14.25"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</row>
    <row r="2303" spans="2:14" ht="14.25"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</row>
    <row r="2304" spans="2:14" ht="14.25"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</row>
    <row r="2305" spans="2:14" ht="14.25"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</row>
    <row r="2306" spans="2:14" ht="14.25"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</row>
    <row r="2307" spans="2:14" ht="14.25"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</row>
    <row r="2308" spans="2:14" ht="14.25"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</row>
    <row r="2309" spans="2:14" ht="14.25"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</row>
    <row r="2310" spans="2:14" ht="14.25"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</row>
    <row r="2311" spans="2:14" ht="14.25"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</row>
    <row r="2312" spans="2:14" ht="14.25"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</row>
    <row r="2313" spans="2:14" ht="14.25"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</row>
    <row r="2314" spans="2:14" ht="14.25"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</row>
    <row r="2315" spans="2:14" ht="14.25"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</row>
    <row r="2316" spans="2:14" ht="14.25"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</row>
    <row r="2317" spans="2:14" ht="14.25"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</row>
    <row r="2318" spans="2:14" ht="14.25"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</row>
    <row r="2319" spans="2:14" ht="14.25"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</row>
    <row r="2320" spans="2:14" ht="14.25"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</row>
    <row r="2321" spans="2:14" ht="14.25"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</row>
    <row r="2322" spans="2:14" ht="14.25"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</row>
    <row r="2323" spans="2:14" ht="14.25"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</row>
    <row r="2324" spans="2:14" ht="14.25"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</row>
    <row r="2325" spans="2:14" ht="14.25"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</row>
    <row r="2326" spans="2:14" ht="14.25"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</row>
    <row r="2327" spans="2:14" ht="14.25"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</row>
    <row r="2328" spans="2:14" ht="14.25"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</row>
    <row r="2329" spans="2:14" ht="14.25"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</row>
    <row r="2330" spans="2:14" ht="14.25"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</row>
    <row r="2331" spans="2:14" ht="14.25"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</row>
    <row r="2332" spans="2:14" ht="14.25"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</row>
    <row r="2333" spans="2:14" ht="14.25"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</row>
    <row r="2334" spans="2:14" ht="14.25"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</row>
    <row r="2335" spans="2:14" ht="14.25"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</row>
    <row r="2336" spans="2:14" ht="14.25"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</row>
    <row r="2337" spans="2:14" ht="14.25"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</row>
    <row r="2338" spans="2:14" ht="14.25"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</row>
    <row r="2339" spans="2:14" ht="14.25"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</row>
    <row r="2340" spans="2:14" ht="14.25"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</row>
    <row r="2341" spans="2:14" ht="14.25"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</row>
    <row r="2342" spans="2:14" ht="14.25"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</row>
    <row r="2343" spans="2:14" ht="14.25"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</row>
    <row r="2344" spans="2:14" ht="14.25"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</row>
    <row r="2345" spans="2:14" ht="14.25"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</row>
    <row r="2346" spans="2:14" ht="14.25"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</row>
    <row r="2347" spans="2:14" ht="14.25"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</row>
    <row r="2348" spans="2:14" ht="14.25"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</row>
    <row r="2349" spans="2:14" ht="14.25"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</row>
    <row r="2350" spans="2:14" ht="14.25"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</row>
    <row r="2351" spans="2:14" ht="14.25"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</row>
    <row r="2352" spans="2:14" ht="14.25"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</row>
    <row r="2353" spans="2:14" ht="14.25"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</row>
    <row r="2354" spans="2:14" ht="14.25"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</row>
    <row r="2355" spans="2:14" ht="14.25"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</row>
    <row r="2356" spans="2:14" ht="14.25"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</row>
    <row r="2357" spans="2:14" ht="14.25"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</row>
    <row r="2358" spans="2:14" ht="14.25"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</row>
    <row r="2359" spans="2:14" ht="14.25"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</row>
    <row r="2360" spans="2:14" ht="14.25"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</row>
    <row r="2361" spans="2:14" ht="14.25"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</row>
    <row r="2362" spans="2:14" ht="14.25"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</row>
    <row r="2363" spans="2:14" ht="14.25"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</row>
    <row r="2364" spans="2:14" ht="14.25"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</row>
    <row r="2365" spans="2:14" ht="14.25"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</row>
    <row r="2366" spans="2:14" ht="14.25"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</row>
    <row r="2367" spans="2:14" ht="14.25"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</row>
    <row r="2368" spans="2:14" ht="14.25"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</row>
    <row r="2369" spans="2:14" ht="14.25"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</row>
    <row r="2370" spans="2:14" ht="14.25"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</row>
    <row r="2371" spans="2:14" ht="14.25"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</row>
    <row r="2372" spans="2:14" ht="14.25"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</row>
    <row r="2373" spans="2:14" ht="14.25"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</row>
    <row r="2374" spans="2:14" ht="14.25"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</row>
    <row r="2375" spans="2:14" ht="14.25"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</row>
    <row r="2376" spans="2:14" ht="14.25"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</row>
    <row r="2377" spans="2:14" ht="14.25"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</row>
    <row r="2378" spans="2:14" ht="14.25"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</row>
    <row r="2379" spans="2:14" ht="14.25"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</row>
    <row r="2380" spans="2:14" ht="14.25"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</row>
    <row r="2381" spans="2:14" ht="14.25"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</row>
    <row r="2382" spans="2:14" ht="14.25"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</row>
    <row r="2383" spans="2:14" ht="14.25"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</row>
    <row r="2384" spans="2:14" ht="14.25"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</row>
    <row r="2385" spans="2:14" ht="14.25"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</row>
    <row r="2386" spans="2:14" ht="14.25"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</row>
    <row r="2387" spans="2:14" ht="14.25"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</row>
    <row r="2388" spans="2:14" ht="14.25"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</row>
    <row r="2389" spans="2:14" ht="14.25"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</row>
    <row r="2390" spans="2:14" ht="14.25"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</row>
    <row r="2391" spans="2:14" ht="14.25"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</row>
    <row r="2392" spans="2:14" ht="14.25"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</row>
    <row r="2393" spans="2:14" ht="14.25"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</row>
    <row r="2394" spans="2:14" ht="14.25"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</row>
    <row r="2395" spans="2:14" ht="14.25"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</row>
    <row r="2396" spans="2:14" ht="14.25"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</row>
    <row r="2397" spans="2:14" ht="14.25"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</row>
    <row r="2398" spans="2:14" ht="14.25"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</row>
    <row r="2399" spans="2:14" ht="14.25"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</row>
    <row r="2400" spans="2:14" ht="14.25"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</row>
    <row r="2401" spans="2:14" ht="14.25"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</row>
    <row r="2402" spans="2:14" ht="14.25"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</row>
    <row r="2403" spans="2:14" ht="14.25"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</row>
    <row r="2404" spans="2:14" ht="14.25"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</row>
    <row r="2405" spans="2:14" ht="14.25"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</row>
    <row r="2406" spans="2:14" ht="14.25"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</row>
    <row r="2407" spans="2:14" ht="14.25"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</row>
    <row r="2408" spans="2:14" ht="14.25"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</row>
    <row r="2409" spans="2:14" ht="14.25"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</row>
    <row r="2410" spans="2:14" ht="14.25"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</row>
    <row r="2411" spans="2:14" ht="14.25"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</row>
    <row r="2412" spans="2:14" ht="14.25"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</row>
    <row r="2413" spans="2:14" ht="14.25"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</row>
    <row r="2414" spans="2:14" ht="14.25"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</row>
    <row r="2415" spans="2:14" ht="14.25"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</row>
    <row r="2416" spans="2:14" ht="14.25"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</row>
    <row r="2417" spans="2:14" ht="14.25"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</row>
    <row r="2418" spans="2:14" ht="14.25"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</row>
    <row r="2419" spans="2:14" ht="14.25"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</row>
    <row r="2420" spans="2:14" ht="14.25"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</row>
    <row r="2421" spans="2:14" ht="14.25"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</row>
    <row r="2422" spans="2:14" ht="14.25"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</row>
    <row r="2423" spans="2:14" ht="14.25"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</row>
    <row r="2424" spans="2:14" ht="14.25"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</row>
    <row r="2425" spans="2:14" ht="14.25"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</row>
    <row r="2426" spans="2:14" ht="14.25"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</row>
    <row r="2427" spans="2:14" ht="14.25"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</row>
    <row r="2428" spans="2:14" ht="14.25"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</row>
    <row r="2429" spans="2:14" ht="14.25"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</row>
    <row r="2430" spans="2:14" ht="14.25"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</row>
    <row r="2431" spans="2:14" ht="14.25"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</row>
    <row r="2432" spans="2:14" ht="14.25"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</row>
    <row r="2433" spans="2:14" ht="14.25"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</row>
    <row r="2434" spans="2:14" ht="14.25"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</row>
    <row r="2435" spans="2:14" ht="14.25"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</row>
    <row r="2436" spans="2:14" ht="14.25"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</row>
    <row r="2437" spans="2:14" ht="14.25"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</row>
    <row r="2438" spans="2:14" ht="14.25"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</row>
    <row r="2439" spans="2:14" ht="14.25"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</row>
    <row r="2440" spans="2:14" ht="14.25"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</row>
    <row r="2441" spans="2:14" ht="14.25"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</row>
    <row r="2442" spans="2:14" ht="14.25"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</row>
    <row r="2443" spans="2:14" ht="14.25"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</row>
    <row r="2444" spans="2:14" ht="14.25"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</row>
    <row r="2445" spans="2:14" ht="14.25"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</row>
    <row r="2446" spans="2:14" ht="14.25"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</row>
    <row r="2447" spans="2:14" ht="14.25"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</row>
    <row r="2448" spans="2:14" ht="14.25"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</row>
    <row r="2449" spans="2:14" ht="14.25"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</row>
    <row r="2450" spans="2:14" ht="14.25"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</row>
    <row r="2451" spans="2:14" ht="14.25"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</row>
    <row r="2452" spans="2:14" ht="14.25"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</row>
    <row r="2453" spans="2:14" ht="14.25"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</row>
    <row r="2454" spans="2:14" ht="14.25"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</row>
    <row r="2455" spans="2:14" ht="14.25"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</row>
    <row r="2456" spans="2:14" ht="14.25"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</row>
    <row r="2457" spans="2:14" ht="14.25"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</row>
    <row r="2458" spans="2:14" ht="14.25"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</row>
    <row r="2459" spans="2:14" ht="14.25"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</row>
    <row r="2460" spans="2:14" ht="14.25"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</row>
    <row r="2461" spans="2:14" ht="14.25"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</row>
    <row r="2462" spans="2:14" ht="14.25"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</row>
    <row r="2463" spans="2:14" ht="14.25"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</row>
    <row r="2464" spans="2:14" ht="14.25"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</row>
    <row r="2465" spans="2:14" ht="14.25"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</row>
    <row r="2466" spans="2:14" ht="14.25"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</row>
    <row r="2467" spans="2:14" ht="14.25"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</row>
    <row r="2468" spans="2:14" ht="14.25"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</row>
    <row r="2469" spans="2:14" ht="14.25"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</row>
    <row r="2470" spans="2:14" ht="14.25"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</row>
    <row r="2471" spans="2:14" ht="14.25"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</row>
    <row r="2472" spans="2:14" ht="14.25"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</row>
    <row r="2473" spans="2:14" ht="14.25"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</row>
    <row r="2474" spans="2:14" ht="14.25"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</row>
    <row r="2475" spans="2:14" ht="14.25"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</row>
    <row r="2476" spans="2:14" ht="14.25"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</row>
    <row r="2477" spans="2:14" ht="14.25"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</row>
    <row r="2478" spans="2:14" ht="14.25"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</row>
    <row r="2479" spans="2:14" ht="14.25"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</row>
    <row r="2480" spans="2:14" ht="14.25"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</row>
    <row r="2481" spans="2:14" ht="14.25"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</row>
    <row r="2482" spans="2:14" ht="14.25"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</row>
    <row r="2483" spans="2:14" ht="14.25"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</row>
    <row r="2484" spans="2:14" ht="14.25"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</row>
    <row r="2485" spans="2:14" ht="14.25"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</row>
    <row r="2486" spans="2:14" ht="14.25"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</row>
    <row r="2487" spans="2:14" ht="14.25"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</row>
    <row r="2488" spans="2:14" ht="14.25"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</row>
    <row r="2489" spans="2:14" ht="14.25"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</row>
    <row r="2490" spans="2:14" ht="14.25"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</row>
    <row r="2491" spans="2:14" ht="14.25"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</row>
    <row r="2492" spans="2:14" ht="14.25"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</row>
    <row r="2493" spans="2:14" ht="14.25"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</row>
    <row r="2494" spans="2:14" ht="14.25"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</row>
    <row r="2495" spans="2:14" ht="14.25"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</row>
    <row r="2496" spans="2:14" ht="14.25"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</row>
    <row r="2497" spans="2:14" ht="14.25"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</row>
    <row r="2498" spans="2:14" ht="14.25"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</row>
    <row r="2499" spans="2:14" ht="14.25"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</row>
    <row r="2500" spans="2:14" ht="14.25"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</row>
    <row r="2501" spans="2:14" ht="14.25"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</row>
    <row r="2502" spans="2:14" ht="14.25"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</row>
    <row r="2503" spans="2:14" ht="14.25"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</row>
    <row r="2504" spans="2:14" ht="14.25"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</row>
    <row r="2505" spans="2:14" ht="14.25"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</row>
    <row r="2506" spans="2:14" ht="14.25"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</row>
    <row r="2507" spans="2:14" ht="14.25"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</row>
    <row r="2508" spans="2:14" ht="14.25"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</row>
    <row r="2509" spans="2:14" ht="14.25"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</row>
    <row r="2510" spans="2:14" ht="14.25"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</row>
    <row r="2511" spans="2:14" ht="14.25"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</row>
    <row r="2512" spans="2:14" ht="14.25"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</row>
    <row r="2513" spans="2:14" ht="14.25"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</row>
    <row r="2514" spans="2:14" ht="14.25"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</row>
    <row r="2515" spans="2:14" ht="14.25"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</row>
    <row r="2516" spans="2:14" ht="14.25"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</row>
    <row r="2517" spans="2:14" ht="14.25"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</row>
    <row r="2518" spans="2:14" ht="14.25"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</row>
    <row r="2519" spans="2:14" ht="14.25"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</row>
    <row r="2520" spans="2:14" ht="14.25"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</row>
    <row r="2521" spans="2:14" ht="14.25"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</row>
    <row r="2522" spans="2:14" ht="14.25"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</row>
    <row r="2523" spans="2:14" ht="14.25"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</row>
    <row r="2524" spans="2:14" ht="14.25"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</row>
    <row r="2525" spans="2:14" ht="14.25"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</row>
    <row r="2526" spans="2:14" ht="14.25"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</row>
    <row r="2527" spans="2:14" ht="14.25"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</row>
    <row r="2528" spans="2:14" ht="14.25"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</row>
    <row r="2529" spans="2:14" ht="14.25"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</row>
    <row r="2530" spans="2:14" ht="14.25"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</row>
    <row r="2531" spans="2:14" ht="14.25"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</row>
    <row r="2532" spans="2:14" ht="14.25"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</row>
    <row r="2533" spans="2:14" ht="14.25"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</row>
    <row r="2534" spans="2:14" ht="14.25"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</row>
    <row r="2535" spans="2:14" ht="14.25"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</row>
    <row r="2536" spans="2:14" ht="14.25"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</row>
    <row r="2537" spans="2:14" ht="14.25"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</row>
    <row r="2538" spans="2:14" ht="14.25"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</row>
    <row r="2539" spans="2:14" ht="14.25"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</row>
    <row r="2540" spans="2:14" ht="14.25"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</row>
    <row r="2541" spans="2:14" ht="14.25"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</row>
    <row r="2542" spans="2:14" ht="14.25"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</row>
    <row r="2543" spans="2:14" ht="14.25"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</row>
    <row r="2544" spans="2:14" ht="14.25"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</row>
    <row r="2545" spans="2:14" ht="14.25"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</row>
    <row r="2546" spans="2:14" ht="14.25"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</row>
    <row r="2547" spans="2:14" ht="14.25"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</row>
    <row r="2548" spans="2:14" ht="14.25"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</row>
    <row r="2549" spans="2:14" ht="14.25"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</row>
    <row r="2550" spans="2:14" ht="14.25"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</row>
    <row r="2551" spans="2:14" ht="14.25"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</row>
    <row r="2552" spans="2:14" ht="14.25"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</row>
    <row r="2553" spans="2:14" ht="14.25"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</row>
    <row r="2554" spans="2:14" ht="14.25"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</row>
    <row r="2555" spans="2:14" ht="14.25"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</row>
    <row r="2556" spans="2:14" ht="14.25"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</row>
    <row r="2557" spans="2:14" ht="14.25"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</row>
    <row r="2558" spans="2:14" ht="14.25"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</row>
    <row r="2559" spans="2:14" ht="14.25"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</row>
    <row r="2560" spans="2:14" ht="14.25"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</row>
    <row r="2561" spans="2:14" ht="14.25"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</row>
    <row r="2562" spans="2:14" ht="14.25"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</row>
    <row r="2563" spans="2:14" ht="14.25"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</row>
    <row r="2564" spans="2:14" ht="14.25"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</row>
    <row r="2565" spans="2:14" ht="14.25"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</row>
    <row r="2566" spans="2:14" ht="14.25"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</row>
    <row r="2567" spans="2:14" ht="14.25"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</row>
    <row r="2568" spans="2:14" ht="14.25"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</row>
    <row r="2569" spans="2:14" ht="14.25"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</row>
    <row r="2570" spans="2:14" ht="14.25"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</row>
    <row r="2571" spans="2:14" ht="14.25"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</row>
    <row r="2572" spans="2:14" ht="14.25"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</row>
    <row r="2573" spans="2:14" ht="14.25"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</row>
    <row r="2574" spans="2:14" ht="14.25"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</row>
    <row r="2575" spans="2:14" ht="14.25"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</row>
    <row r="2576" spans="2:14" ht="14.25"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</row>
    <row r="2577" spans="2:14" ht="14.25"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</row>
    <row r="2578" spans="2:14" ht="14.25"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</row>
    <row r="2579" spans="2:14" ht="14.25"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</row>
    <row r="2580" spans="2:14" ht="14.25"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</row>
    <row r="2581" spans="2:14" ht="14.25"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</row>
    <row r="2582" spans="2:14" ht="14.25"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</row>
    <row r="2583" spans="2:14" ht="14.25"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</row>
    <row r="2584" spans="2:14" ht="14.25"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</row>
    <row r="2585" spans="2:14" ht="14.25"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</row>
    <row r="2586" spans="2:14" ht="14.25"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</row>
    <row r="2587" spans="2:14" ht="14.25"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</row>
    <row r="2588" spans="2:14" ht="14.25"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</row>
    <row r="2589" spans="2:14" ht="14.25"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</row>
    <row r="2590" spans="2:14" ht="14.25"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</row>
    <row r="2591" spans="2:14" ht="14.25"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</row>
    <row r="2592" spans="2:14" ht="14.25"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</row>
    <row r="2593" spans="2:14" ht="14.25"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</row>
    <row r="2594" spans="2:14" ht="14.25"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</row>
    <row r="2595" spans="2:14" ht="14.25"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</row>
    <row r="2596" spans="2:14" ht="14.25"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</row>
    <row r="2597" spans="2:14" ht="14.25"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</row>
    <row r="2598" spans="2:14" ht="14.25"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</row>
    <row r="2599" spans="2:14" ht="14.25"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</row>
    <row r="2600" spans="2:14" ht="14.25"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</row>
    <row r="2601" spans="2:14" ht="14.25"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</row>
    <row r="2602" spans="2:14" ht="14.25"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</row>
    <row r="2603" spans="2:14" ht="14.25"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</row>
    <row r="2604" spans="2:14" ht="14.25"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</row>
    <row r="2605" spans="2:14" ht="14.25"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</row>
    <row r="2606" spans="2:14" ht="14.25"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</row>
    <row r="2607" spans="2:14" ht="14.25"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</row>
    <row r="2608" spans="2:14" ht="14.25"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</row>
    <row r="2609" spans="2:14" ht="14.25"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</row>
    <row r="2610" spans="2:14" ht="14.25"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</row>
    <row r="2611" spans="2:14" ht="14.25"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</row>
    <row r="2612" spans="2:14" ht="14.25"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</row>
    <row r="2613" spans="2:14" ht="14.25"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</row>
    <row r="2614" spans="2:14" ht="14.25"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</row>
    <row r="2615" spans="2:14" ht="14.25"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</row>
    <row r="2616" spans="2:14" ht="14.25"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</row>
    <row r="2617" spans="2:14" ht="14.25"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</row>
    <row r="2618" spans="2:14" ht="14.25"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</row>
    <row r="2619" spans="2:14" ht="14.25"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</row>
    <row r="2620" spans="2:14" ht="14.25"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</row>
    <row r="2621" spans="2:14" ht="14.25"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</row>
    <row r="2622" spans="2:14" ht="14.25"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</row>
    <row r="2623" spans="2:14" ht="14.25"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</row>
    <row r="2624" spans="2:14" ht="14.25"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</row>
    <row r="2625" spans="2:14" ht="14.25"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</row>
    <row r="2626" spans="2:14" ht="14.25"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</row>
    <row r="2627" spans="2:14" ht="14.25"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</row>
    <row r="2628" spans="2:14" ht="14.25"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</row>
    <row r="2629" spans="2:14" ht="14.25"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</row>
    <row r="2630" spans="2:14" ht="14.25"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</row>
    <row r="2631" spans="2:14" ht="14.25"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</row>
    <row r="2632" spans="2:14" ht="14.25"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</row>
    <row r="2633" spans="2:14" ht="14.25"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</row>
    <row r="2634" spans="2:14" ht="14.25"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</row>
    <row r="2635" spans="2:14" ht="14.25"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</row>
    <row r="2636" spans="2:14" ht="14.25"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</row>
    <row r="2637" spans="2:14" ht="14.25"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</row>
    <row r="2638" spans="2:14" ht="14.25"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</row>
    <row r="2639" spans="2:14" ht="14.25"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</row>
    <row r="2640" spans="2:14" ht="14.25"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</row>
    <row r="2641" spans="2:14" ht="14.25"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</row>
    <row r="2642" spans="2:14" ht="14.25"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</row>
    <row r="2643" spans="2:14" ht="14.25"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</row>
    <row r="2644" spans="2:14" ht="14.25"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</row>
    <row r="2645" spans="2:14" ht="14.25"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</row>
    <row r="2646" spans="2:14" ht="14.25"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</row>
    <row r="2647" spans="2:14" ht="14.25"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</row>
    <row r="2648" spans="2:14" ht="14.25"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</row>
    <row r="2649" spans="2:14" ht="14.25"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</row>
    <row r="2650" spans="2:14" ht="14.25"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</row>
    <row r="2651" spans="2:14" ht="14.25"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</row>
    <row r="2652" spans="2:14" ht="14.25"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</row>
    <row r="2653" spans="2:14" ht="14.25"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</row>
    <row r="2654" spans="2:14" ht="14.25"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</row>
    <row r="2655" spans="2:14" ht="14.25"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</row>
    <row r="2656" spans="2:14" ht="14.25"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</row>
    <row r="2657" spans="2:14" ht="14.25"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</row>
    <row r="2658" spans="2:14" ht="14.25"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</row>
    <row r="2659" spans="2:14" ht="14.25"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</row>
    <row r="2660" spans="2:14" ht="14.25"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</row>
    <row r="2661" spans="2:14" ht="14.25"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</row>
    <row r="2662" spans="2:14" ht="14.25"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</row>
    <row r="2663" spans="2:14" ht="14.25"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</row>
    <row r="2664" spans="2:14" ht="14.25"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</row>
    <row r="2665" spans="2:14" ht="14.25"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</row>
    <row r="2666" spans="2:14" ht="14.25"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</row>
    <row r="2667" spans="2:14" ht="14.25"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</row>
    <row r="2668" spans="2:14" ht="14.25"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</row>
    <row r="2669" spans="2:14" ht="14.25"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</row>
    <row r="2670" spans="2:14" ht="14.25"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</row>
    <row r="2671" spans="2:14" ht="14.25"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</row>
    <row r="2672" spans="2:14" ht="14.25"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</row>
    <row r="2673" spans="2:14" ht="14.25"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</row>
    <row r="2674" spans="2:14" ht="14.25"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</row>
    <row r="2675" spans="2:14" ht="14.25"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</row>
    <row r="2676" spans="2:14" ht="14.25"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</row>
    <row r="2677" spans="2:14" ht="14.25"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</row>
    <row r="2678" spans="2:14" ht="14.25"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</row>
    <row r="2679" spans="2:14" ht="14.25"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</row>
    <row r="2680" spans="2:14" ht="14.25"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</row>
    <row r="2681" spans="2:14" ht="14.25"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</row>
    <row r="2682" spans="2:14" ht="14.25"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</row>
    <row r="2683" spans="2:14" ht="14.25"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</row>
    <row r="2684" spans="2:14" ht="14.25"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</row>
    <row r="2685" spans="2:14" ht="14.25"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</row>
    <row r="2686" spans="2:14" ht="14.25"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</row>
    <row r="2687" spans="2:14" ht="14.25"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</row>
    <row r="2688" spans="2:14" ht="14.25"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</row>
    <row r="2689" spans="2:14" ht="14.25"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</row>
    <row r="2690" spans="2:14" ht="14.25"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</row>
    <row r="2691" spans="2:14" ht="14.25"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</row>
    <row r="2692" spans="2:14" ht="14.25"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</row>
    <row r="2693" spans="2:14" ht="14.25"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</row>
    <row r="2694" spans="2:14" ht="14.25"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</row>
    <row r="2695" spans="2:14" ht="14.25"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</row>
    <row r="2696" spans="2:14" ht="14.25"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</row>
    <row r="2697" spans="2:14" ht="14.25"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</row>
    <row r="2698" spans="2:14" ht="14.25"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</row>
    <row r="2699" spans="2:14" ht="14.25"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</row>
    <row r="2700" spans="2:14" ht="14.25"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</row>
    <row r="2701" spans="2:14" ht="14.25"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</row>
    <row r="2702" spans="2:14" ht="14.25"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</row>
    <row r="2703" spans="2:14" ht="14.25"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</row>
    <row r="2704" spans="2:14" ht="14.25"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</row>
    <row r="2705" spans="2:14" ht="14.25"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</row>
    <row r="2706" spans="2:14" ht="14.25"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</row>
    <row r="2707" spans="2:14" ht="14.25"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</row>
    <row r="2708" spans="2:14" ht="14.25"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</row>
    <row r="2709" spans="2:14" ht="14.25"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</row>
    <row r="2710" spans="2:14" ht="14.25"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</row>
    <row r="2711" spans="2:14" ht="14.25"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</row>
    <row r="2712" spans="2:14" ht="14.25"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</row>
    <row r="2713" spans="2:14" ht="14.25"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</row>
    <row r="2714" spans="2:14" ht="14.25"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</row>
    <row r="2715" spans="2:14" ht="14.25"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</row>
    <row r="2716" spans="2:14" ht="14.25"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</row>
    <row r="2717" spans="2:14" ht="14.25"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</row>
    <row r="2718" spans="2:14" ht="14.25"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</row>
    <row r="2719" spans="2:14" ht="14.25"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</row>
    <row r="2720" spans="2:14" ht="14.25"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</row>
    <row r="2721" spans="2:14" ht="14.25"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</row>
    <row r="2722" spans="2:14" ht="14.25"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</row>
    <row r="2723" spans="2:14" ht="14.25"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</row>
    <row r="2724" spans="2:14" ht="14.25"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</row>
    <row r="2725" spans="2:14" ht="14.25"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</row>
    <row r="2726" spans="2:14" ht="14.25"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</row>
    <row r="2727" spans="2:14" ht="14.25"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</row>
    <row r="2728" spans="2:14" ht="14.25"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</row>
    <row r="2729" spans="2:14" ht="14.25"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</row>
    <row r="2730" spans="2:14" ht="14.25"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</row>
    <row r="2731" spans="2:14" ht="14.25"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</row>
    <row r="2732" spans="2:14" ht="14.25"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</row>
    <row r="2733" spans="2:14" ht="14.25"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</row>
    <row r="2734" spans="2:14" ht="14.25"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</row>
    <row r="2735" spans="2:14" ht="14.25"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</row>
    <row r="2736" spans="2:14" ht="14.25"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</row>
    <row r="2737" spans="2:14" ht="14.25"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</row>
    <row r="2738" spans="2:14" ht="14.25"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</row>
    <row r="2739" spans="2:14" ht="14.25"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</row>
    <row r="2740" spans="2:14" ht="14.25"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</row>
    <row r="2741" spans="2:14" ht="14.25"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</row>
    <row r="2742" spans="2:14" ht="14.25"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</row>
    <row r="2743" spans="2:14" ht="14.25"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</row>
    <row r="2744" spans="2:14" ht="14.25"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</row>
    <row r="2745" spans="2:14" ht="14.25"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</row>
    <row r="2746" spans="2:14" ht="14.25"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</row>
    <row r="2747" spans="2:14" ht="14.25"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</row>
    <row r="2748" spans="2:14" ht="14.25"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</row>
    <row r="2749" spans="2:14" ht="14.25"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</row>
    <row r="2750" spans="2:14" ht="14.25"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</row>
    <row r="2751" spans="2:14" ht="14.25"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</row>
    <row r="2752" spans="2:14" ht="14.25"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</row>
    <row r="2753" spans="2:14" ht="14.25"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</row>
    <row r="2754" spans="2:14" ht="14.25"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</row>
    <row r="2755" spans="2:14" ht="14.25"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</row>
    <row r="2756" spans="2:14" ht="14.25"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</row>
    <row r="2757" spans="2:14" ht="14.25"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</row>
    <row r="2758" spans="2:14" ht="14.25"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</row>
    <row r="2759" spans="2:14" ht="14.25"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</row>
    <row r="2760" spans="2:14" ht="14.25"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</row>
    <row r="2761" spans="2:14" ht="14.25"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</row>
    <row r="2762" spans="2:14" ht="14.25"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</row>
    <row r="2763" spans="2:14" ht="14.25"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</row>
    <row r="2764" spans="2:14" ht="14.25"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</row>
    <row r="2765" spans="2:14" ht="14.25"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</row>
    <row r="2766" spans="2:14" ht="14.25"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</row>
    <row r="2767" spans="2:14" ht="14.25"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</row>
    <row r="2768" spans="2:14" ht="14.25"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</row>
    <row r="2769" spans="2:14" ht="14.25"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</row>
    <row r="2770" spans="2:14" ht="14.25"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</row>
    <row r="2771" spans="2:14" ht="14.25"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</row>
    <row r="2772" spans="2:14" ht="14.25"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</row>
    <row r="2773" spans="2:14" ht="14.25"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</row>
    <row r="2774" spans="2:14" ht="14.25"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</row>
    <row r="2775" spans="2:14" ht="14.25"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</row>
    <row r="2776" spans="2:14" ht="14.25"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</row>
    <row r="2777" spans="2:14" ht="14.25"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</row>
    <row r="2778" spans="2:14" ht="14.25"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</row>
    <row r="2779" spans="2:14" ht="14.25"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</row>
    <row r="2780" spans="2:14" ht="14.25"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</row>
    <row r="2781" spans="2:14" ht="14.25"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</row>
    <row r="2782" spans="2:14" ht="14.25"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</row>
    <row r="2783" spans="2:14" ht="14.25"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</row>
    <row r="2784" spans="2:14" ht="14.25"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</row>
    <row r="2785" spans="2:14" ht="14.25"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</row>
    <row r="2786" spans="2:14" ht="14.25"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</row>
    <row r="2787" spans="2:14" ht="14.25"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</row>
    <row r="2788" spans="2:14" ht="14.25"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</row>
    <row r="2789" spans="2:14" ht="14.25"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</row>
    <row r="2790" spans="2:14" ht="14.25"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</row>
    <row r="2791" spans="2:14" ht="14.25"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</row>
    <row r="2792" spans="2:14" ht="14.25"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</row>
    <row r="2793" spans="2:14" ht="14.25"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</row>
    <row r="2794" spans="2:14" ht="14.25"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</row>
    <row r="2795" spans="2:14" ht="14.25"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</row>
    <row r="2796" spans="2:14" ht="14.25"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</row>
    <row r="2797" spans="2:14" ht="14.25"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</row>
    <row r="2798" spans="2:14" ht="14.25"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</row>
    <row r="2799" spans="2:14" ht="14.25"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</row>
    <row r="2800" spans="2:14" ht="14.25"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</row>
    <row r="2801" spans="2:14" ht="14.25"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</row>
    <row r="2802" spans="2:14" ht="14.25"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</row>
    <row r="2803" spans="2:14" ht="14.25"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</row>
    <row r="2804" spans="2:14" ht="14.25"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</row>
    <row r="2805" spans="2:14" ht="14.25"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</row>
    <row r="2806" spans="2:14" ht="14.25"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</row>
    <row r="2807" spans="2:14" ht="14.25"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</row>
    <row r="2808" spans="2:14" ht="14.25"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</row>
    <row r="2809" spans="2:14" ht="14.25"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</row>
    <row r="2810" spans="2:14" ht="14.25"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</row>
    <row r="2811" spans="2:14" ht="14.25"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</row>
    <row r="2812" spans="2:14" ht="14.25"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</row>
    <row r="2813" spans="2:14" ht="14.25"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</row>
    <row r="2814" spans="2:14" ht="14.25"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</row>
    <row r="2815" spans="2:14" ht="14.25"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</row>
    <row r="2816" spans="2:14" ht="14.25"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</row>
    <row r="2817" spans="2:14" ht="14.25"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</row>
    <row r="2818" spans="2:14" ht="14.25"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</row>
    <row r="2819" spans="2:14" ht="14.25"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</row>
    <row r="2820" spans="2:14" ht="14.25"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</row>
    <row r="2821" spans="2:14" ht="14.25"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</row>
    <row r="2822" spans="2:14" ht="14.25"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</row>
    <row r="2823" spans="2:14" ht="14.25"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</row>
    <row r="2824" spans="2:14" ht="14.25"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</row>
    <row r="2825" spans="2:14" ht="14.25"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</row>
    <row r="2826" spans="2:14" ht="14.25"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</row>
    <row r="2827" spans="2:14" ht="14.25"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</row>
    <row r="2828" spans="2:14" ht="14.25"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</row>
    <row r="2829" spans="2:14" ht="14.25"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</row>
    <row r="2830" spans="2:14" ht="14.25"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</row>
    <row r="2831" spans="2:14" ht="14.25"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</row>
    <row r="2832" spans="2:14" ht="14.25"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</row>
    <row r="2833" spans="2:14" ht="14.25"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</row>
    <row r="2834" spans="2:14" ht="14.25"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</row>
    <row r="2835" spans="2:14" ht="14.25"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</row>
    <row r="2836" spans="2:14" ht="14.25"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</row>
    <row r="2837" spans="2:14" ht="14.25"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</row>
    <row r="2838" spans="2:14" ht="14.25"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</row>
    <row r="2839" spans="2:14" ht="14.25"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</row>
    <row r="2840" spans="2:14" ht="14.25"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</row>
    <row r="2841" spans="2:14" ht="14.25"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</row>
    <row r="2842" spans="2:14" ht="14.25"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</row>
    <row r="2843" spans="2:14" ht="14.25"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</row>
    <row r="2844" spans="2:14" ht="14.25"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</row>
    <row r="2845" spans="2:14" ht="14.25"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</row>
    <row r="2846" spans="2:14" ht="14.25"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</row>
    <row r="2847" spans="2:14" ht="14.25"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</row>
    <row r="2848" spans="2:14" ht="14.25"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</row>
    <row r="2849" spans="2:14" ht="14.25"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</row>
    <row r="2850" spans="2:14" ht="14.25"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</row>
    <row r="2851" spans="2:14" ht="14.25"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</row>
    <row r="2852" spans="2:14" ht="14.25"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</row>
    <row r="2853" spans="2:14" ht="14.25"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</row>
    <row r="2854" spans="2:14" ht="14.25"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</row>
    <row r="2855" spans="2:14" ht="14.25"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</row>
    <row r="2856" spans="2:14" ht="14.25"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</row>
    <row r="2857" spans="2:14" ht="14.25"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</row>
    <row r="2858" spans="2:14" ht="14.25"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</row>
    <row r="2859" spans="2:14" ht="14.25"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</row>
    <row r="2860" spans="2:14" ht="14.25"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</row>
    <row r="2861" spans="2:14" ht="14.25"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</row>
    <row r="2862" spans="2:14" ht="14.25"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</row>
    <row r="2863" spans="2:14" ht="14.25"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</row>
    <row r="2864" spans="2:14" ht="14.25"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</row>
    <row r="2865" spans="2:14" ht="14.25"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</row>
    <row r="2866" spans="2:14" ht="14.25"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</row>
    <row r="2867" spans="2:14" ht="14.25"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</row>
    <row r="2868" spans="2:14" ht="14.25"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</row>
    <row r="2869" spans="2:14" ht="14.25"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</row>
    <row r="2870" spans="2:14" ht="14.25"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</row>
    <row r="2871" spans="2:14" ht="14.25"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</row>
    <row r="2872" spans="2:14" ht="14.25"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</row>
    <row r="2873" spans="2:14" ht="14.25"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</row>
    <row r="2874" spans="2:14" ht="14.25"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</row>
    <row r="2875" spans="2:14" ht="14.25"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</row>
    <row r="2876" spans="2:14" ht="14.25"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</row>
    <row r="2877" spans="2:14" ht="14.25"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</row>
    <row r="2878" spans="2:14" ht="14.25"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</row>
    <row r="2879" spans="2:14" ht="14.25"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</row>
    <row r="2880" spans="2:14" ht="14.25"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</row>
    <row r="2881" spans="2:14" ht="14.25"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</row>
    <row r="2882" spans="2:14" ht="14.25"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</row>
    <row r="2883" spans="2:14" ht="14.25"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</row>
    <row r="2884" spans="2:14" ht="14.25"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</row>
    <row r="2885" spans="2:14" ht="14.25"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</row>
    <row r="2886" spans="2:14" ht="14.25"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</row>
    <row r="2887" spans="2:14" ht="14.25"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</row>
    <row r="2888" spans="2:14" ht="14.25"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</row>
    <row r="2889" spans="2:14" ht="14.25"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</row>
    <row r="2890" spans="2:14" ht="14.25"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</row>
    <row r="2891" spans="2:14" ht="14.25"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</row>
    <row r="2892" spans="2:14" ht="14.25"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</row>
    <row r="2893" spans="2:14" ht="14.25"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</row>
    <row r="2894" spans="2:14" ht="14.25"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</row>
    <row r="2895" spans="2:14" ht="14.25"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</row>
    <row r="2896" spans="2:14" ht="14.25"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</row>
    <row r="2897" spans="2:14" ht="14.25"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</row>
    <row r="2898" spans="2:14" ht="14.25"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</row>
    <row r="2899" spans="2:14" ht="14.25"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</row>
    <row r="2900" spans="2:14" ht="14.25"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</row>
    <row r="2901" spans="2:14" ht="14.25"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</row>
    <row r="2902" spans="2:14" ht="14.25"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</row>
    <row r="2903" spans="2:14" ht="14.25"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</row>
    <row r="2904" spans="2:14" ht="14.25"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</row>
    <row r="2905" spans="2:14" ht="14.25"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</row>
    <row r="2906" spans="2:14" ht="14.25"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</row>
    <row r="2907" spans="2:14" ht="14.25"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</row>
    <row r="2908" spans="2:14" ht="14.25"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</row>
    <row r="2909" spans="2:14" ht="14.25"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</row>
    <row r="2910" spans="2:14" ht="14.25"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</row>
    <row r="2911" spans="2:14" ht="14.25"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</row>
    <row r="2912" spans="2:14" ht="14.25"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</row>
    <row r="2913" spans="2:14" ht="14.25"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</row>
    <row r="2914" spans="2:14" ht="14.25"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</row>
    <row r="2915" spans="2:14" ht="14.25"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</row>
    <row r="2916" spans="2:14" ht="14.25"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</row>
    <row r="2917" spans="2:14" ht="14.25"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</row>
    <row r="2918" spans="2:14" ht="14.25"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</row>
    <row r="2919" spans="2:14" ht="14.25"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</row>
    <row r="2920" spans="2:14" ht="14.25"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</row>
    <row r="2921" spans="2:14" ht="14.25"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</row>
    <row r="2922" spans="2:14" ht="14.25"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</row>
    <row r="2923" spans="2:14" ht="14.25"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</row>
    <row r="2924" spans="2:14" ht="14.25"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</row>
    <row r="2925" spans="2:14" ht="14.25"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</row>
    <row r="2926" spans="2:14" ht="14.25"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</row>
    <row r="2927" spans="2:14" ht="14.25"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</row>
    <row r="2928" spans="2:14" ht="14.25"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</row>
    <row r="2929" spans="2:14" ht="14.25"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</row>
    <row r="2930" spans="2:14" ht="14.25"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</row>
    <row r="2931" spans="2:14" ht="14.25"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</row>
    <row r="2932" spans="2:14" ht="14.25"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</row>
    <row r="2933" spans="2:14" ht="14.25"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</row>
    <row r="2934" spans="2:14" ht="14.25"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</row>
    <row r="2935" spans="2:14" ht="14.25"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</row>
    <row r="2936" spans="2:14" ht="14.25"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</row>
    <row r="2937" spans="2:14" ht="14.25"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</row>
    <row r="2938" spans="2:14" ht="14.25"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</row>
    <row r="2939" spans="2:14" ht="14.25"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</row>
    <row r="2940" spans="2:14" ht="14.25"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</row>
    <row r="2941" spans="2:14" ht="14.25"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</row>
    <row r="2942" spans="2:14" ht="14.25"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</row>
    <row r="2943" spans="2:14" ht="14.25"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</row>
    <row r="2944" spans="2:14" ht="14.25"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</row>
    <row r="2945" spans="2:14" ht="14.25"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</row>
    <row r="2946" spans="2:14" ht="14.25"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</row>
    <row r="2947" spans="2:14" ht="14.25"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</row>
    <row r="2948" spans="2:14" ht="14.25"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</row>
    <row r="2949" spans="2:14" ht="14.25"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</row>
    <row r="2950" spans="2:14" ht="14.25"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</row>
    <row r="2951" spans="2:14" ht="14.25"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</row>
    <row r="2952" spans="2:14" ht="14.25"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</row>
    <row r="2953" spans="2:14" ht="14.25"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</row>
    <row r="2954" spans="2:14" ht="14.25"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</row>
    <row r="2955" spans="2:14" ht="14.25"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</row>
    <row r="2956" spans="2:14" ht="14.25"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</row>
    <row r="2957" spans="2:14" ht="14.25"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</row>
    <row r="2958" spans="2:14" ht="14.25"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</row>
    <row r="2959" spans="2:14" ht="14.25"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</row>
    <row r="2960" spans="2:14" ht="14.25"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</row>
    <row r="2961" spans="2:14" ht="14.25"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</row>
    <row r="2962" spans="2:14" ht="14.25"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</row>
    <row r="2963" spans="2:14" ht="14.25"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</row>
    <row r="2964" spans="2:14" ht="14.25"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</row>
    <row r="2965" spans="2:14" ht="14.25"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</row>
    <row r="2966" spans="2:14" ht="14.25"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</row>
    <row r="2967" spans="2:14" ht="14.25"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</row>
    <row r="2968" spans="2:14" ht="14.25"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</row>
    <row r="2969" spans="2:14" ht="14.25"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</row>
    <row r="2970" spans="2:14" ht="14.25"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</row>
    <row r="2971" spans="2:14" ht="14.25"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</row>
    <row r="2972" spans="2:14" ht="14.25"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</row>
    <row r="2973" spans="2:14" ht="14.25"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</row>
    <row r="2974" spans="2:14" ht="14.25"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</row>
    <row r="2975" spans="2:14" ht="14.25"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</row>
    <row r="2976" spans="2:14" ht="14.25"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</row>
    <row r="2977" spans="2:14" ht="14.25"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</row>
    <row r="2978" spans="2:14" ht="14.25"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</row>
    <row r="2979" spans="2:14" ht="14.25"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</row>
    <row r="2980" spans="2:14" ht="14.25"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</row>
    <row r="2981" spans="2:14" ht="14.25"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</row>
    <row r="2982" spans="2:14" ht="14.25"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</row>
    <row r="2983" spans="2:14" ht="14.25"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</row>
    <row r="2984" spans="2:14" ht="14.25"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</row>
    <row r="2985" spans="2:14" ht="14.25"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</row>
    <row r="2986" spans="2:14" ht="14.25"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</row>
    <row r="2987" spans="2:14" ht="14.25"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</row>
    <row r="2988" spans="2:14" ht="14.25"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</row>
    <row r="2989" spans="2:14" ht="14.25"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</row>
    <row r="2990" spans="2:14" ht="14.25"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</row>
    <row r="2991" spans="2:14" ht="14.25"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</row>
    <row r="2992" spans="2:14" ht="14.25"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</row>
    <row r="2993" spans="2:14" ht="14.25"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</row>
    <row r="2994" spans="2:14" ht="14.25"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</row>
    <row r="2995" spans="2:14" ht="14.25"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</row>
    <row r="2996" spans="2:14" ht="14.25"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</row>
    <row r="2997" spans="2:14" ht="14.25"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</row>
    <row r="2998" spans="2:14" ht="14.25"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</row>
    <row r="2999" spans="2:14" ht="14.25"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</row>
    <row r="3000" spans="2:14" ht="14.25"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</row>
    <row r="3001" spans="2:14" ht="14.25"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</row>
    <row r="3002" spans="2:14" ht="14.25"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</row>
    <row r="3003" spans="2:14" ht="14.25"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</row>
    <row r="3004" spans="2:14" ht="14.25"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</row>
    <row r="3005" spans="2:14" ht="14.25"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</row>
    <row r="3006" spans="2:14" ht="14.25"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</row>
    <row r="3007" spans="2:14" ht="14.25"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</row>
    <row r="3008" spans="2:14" ht="14.25"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</row>
    <row r="3009" spans="2:14" ht="14.25"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</row>
    <row r="3010" spans="2:14" ht="14.25"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</row>
    <row r="3011" spans="2:14" ht="14.25"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</row>
    <row r="3012" spans="2:14" ht="14.25"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</row>
    <row r="3013" spans="2:14" ht="14.25"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</row>
    <row r="3014" spans="2:14" ht="14.25"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</row>
    <row r="3015" spans="2:14" ht="14.25"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</row>
    <row r="3016" spans="2:14" ht="14.25"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</row>
    <row r="3017" spans="2:14" ht="14.25"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</row>
    <row r="3018" spans="2:14" ht="14.25"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</row>
    <row r="3019" spans="2:14" ht="14.25"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</row>
    <row r="3020" spans="2:14" ht="14.25"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</row>
    <row r="3021" spans="2:14" ht="14.25"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</row>
    <row r="3022" spans="2:14" ht="14.25"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</row>
    <row r="3023" spans="2:14" ht="14.25"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</row>
    <row r="3024" spans="2:14" ht="14.25"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</row>
    <row r="3025" spans="2:14" ht="14.25"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</row>
    <row r="3026" spans="2:14" ht="14.25"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</row>
    <row r="3027" spans="2:14" ht="14.25"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</row>
    <row r="3028" spans="2:14" ht="14.25"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</row>
    <row r="3029" spans="2:14" ht="14.25"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</row>
    <row r="3030" spans="2:14" ht="14.25"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</row>
    <row r="3031" spans="2:14" ht="14.25"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</row>
    <row r="3032" spans="2:14" ht="14.25"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</row>
    <row r="3033" spans="2:14" ht="14.25"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</row>
    <row r="3034" spans="2:14" ht="14.25"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</row>
    <row r="3035" spans="2:14" ht="14.25"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</row>
    <row r="3036" spans="2:14" ht="14.25"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</row>
    <row r="3037" spans="2:14" ht="14.25"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</row>
    <row r="3038" spans="2:14" ht="14.25"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</row>
    <row r="3039" spans="2:14" ht="14.25"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</row>
    <row r="3040" spans="2:14" ht="14.25"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</row>
    <row r="3041" spans="2:14" ht="14.25"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</row>
    <row r="3042" spans="2:14" ht="14.25"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</row>
    <row r="3043" spans="2:14" ht="14.25"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</row>
    <row r="3044" spans="2:14" ht="14.25"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</row>
    <row r="3045" spans="2:14" ht="14.25"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</row>
    <row r="3046" spans="2:14" ht="14.25"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</row>
    <row r="3047" spans="2:14" ht="14.25"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</row>
    <row r="3048" spans="2:14" ht="14.25"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</row>
    <row r="3049" spans="2:14" ht="14.25"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</row>
    <row r="3050" spans="2:14" ht="14.25"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</row>
    <row r="3051" spans="2:14" ht="14.25"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</row>
    <row r="3052" spans="2:14" ht="14.25"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</row>
    <row r="3053" spans="2:14" ht="14.25"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</row>
    <row r="3054" spans="2:14" ht="14.25"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</row>
    <row r="3055" spans="2:14" ht="14.25"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</row>
    <row r="3056" spans="2:14" ht="14.25"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</row>
    <row r="3057" spans="2:14" ht="14.25"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</row>
    <row r="3058" spans="2:14" ht="14.25"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</row>
    <row r="3059" spans="2:14" ht="14.25"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</row>
    <row r="3060" spans="2:14" ht="14.25"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</row>
    <row r="3061" spans="2:14" ht="14.25"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</row>
    <row r="3062" spans="2:14" ht="14.25"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</row>
    <row r="3063" spans="2:14" ht="14.25"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</row>
    <row r="3064" spans="2:14" ht="14.25"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</row>
    <row r="3065" spans="2:14" ht="14.25"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</row>
    <row r="3066" spans="2:14" ht="14.25"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</row>
    <row r="3067" spans="2:14" ht="14.25"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</row>
    <row r="3068" spans="2:14" ht="14.25"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</row>
    <row r="3069" spans="2:14" ht="14.25"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</row>
    <row r="3070" spans="2:14" ht="14.25"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</row>
    <row r="3071" spans="2:14" ht="14.25"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</row>
    <row r="3072" spans="2:14" ht="14.25"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</row>
    <row r="3073" spans="2:14" ht="14.25"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</row>
    <row r="3074" spans="2:14" ht="14.25"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</row>
    <row r="3075" spans="2:14" ht="14.25"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</row>
    <row r="3076" spans="2:14" ht="14.25"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</row>
    <row r="3077" spans="2:14" ht="14.25"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</row>
    <row r="3078" spans="2:14" ht="14.25"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</row>
    <row r="3079" spans="2:14" ht="14.25"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</row>
    <row r="3080" spans="2:14" ht="14.25"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</row>
    <row r="3081" spans="2:14" ht="14.25"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</row>
    <row r="3082" spans="2:14" ht="14.25"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</row>
    <row r="3083" spans="2:14" ht="14.25"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</row>
    <row r="3084" spans="2:14" ht="14.25"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</row>
    <row r="3085" spans="2:14" ht="14.25"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</row>
    <row r="3086" spans="2:14" ht="14.25"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</row>
    <row r="3087" spans="2:14" ht="14.25"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</row>
    <row r="3088" spans="2:14" ht="14.25"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</row>
    <row r="3089" spans="2:14" ht="14.25"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</row>
    <row r="3090" spans="2:14" ht="14.25"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</row>
    <row r="3091" spans="2:14" ht="14.25"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</row>
    <row r="3092" spans="2:14" ht="14.25"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</row>
    <row r="3093" spans="2:14" ht="14.25"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</row>
    <row r="3094" spans="2:14" ht="14.25"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</row>
    <row r="3095" spans="2:14" ht="14.25"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</row>
    <row r="3096" spans="2:14" ht="14.25"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</row>
    <row r="3097" spans="2:14" ht="14.25"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</row>
    <row r="3098" spans="2:14" ht="14.25"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</row>
    <row r="3099" spans="2:14" ht="14.25"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</row>
    <row r="3100" spans="2:14" ht="14.25"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</row>
    <row r="3101" spans="2:14" ht="14.25"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</row>
    <row r="3102" spans="2:14" ht="14.25"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</row>
    <row r="3103" spans="2:14" ht="14.25"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</row>
    <row r="3104" spans="2:14" ht="14.25"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</row>
    <row r="3105" spans="2:14" ht="14.25"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</row>
    <row r="3106" spans="2:14" ht="14.25"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</row>
    <row r="3107" spans="2:14" ht="14.25"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</row>
    <row r="3108" spans="2:14" ht="14.25"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</row>
    <row r="3109" spans="2:14" ht="14.25"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</row>
    <row r="3110" spans="2:14" ht="14.25"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</row>
    <row r="3111" spans="2:14" ht="14.25"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</row>
    <row r="3112" spans="2:14" ht="14.25"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</row>
    <row r="3113" spans="2:14" ht="14.25"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</row>
    <row r="3114" spans="2:14" ht="14.25"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</row>
    <row r="3115" spans="2:14" ht="14.25"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</row>
    <row r="3116" spans="2:14" ht="14.25"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</row>
    <row r="3117" spans="2:14" ht="14.25"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</row>
    <row r="3118" spans="2:14" ht="14.25"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</row>
    <row r="3119" spans="2:14" ht="14.25"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</row>
    <row r="3120" spans="2:14" ht="14.25"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</row>
    <row r="3121" spans="2:14" ht="14.25"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</row>
    <row r="3122" spans="2:14" ht="14.25"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</row>
    <row r="3123" spans="2:14" ht="14.25"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</row>
    <row r="3124" spans="2:14" ht="14.25"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</row>
    <row r="3125" spans="2:14" ht="14.25"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</row>
    <row r="3126" spans="2:14" ht="14.25"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</row>
    <row r="3127" spans="2:14" ht="14.25"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</row>
    <row r="3128" spans="2:14" ht="14.25"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</row>
    <row r="3129" spans="2:14" ht="14.25"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</row>
    <row r="3130" spans="2:14" ht="14.25"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</row>
    <row r="3131" spans="2:14" ht="14.25"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</row>
    <row r="3132" spans="2:14" ht="14.25"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</row>
    <row r="3133" spans="2:14" ht="14.25"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</row>
    <row r="3134" spans="2:14" ht="14.25"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</row>
    <row r="3135" spans="2:14" ht="14.25"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</row>
    <row r="3136" spans="2:14" ht="14.25"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</row>
    <row r="3137" spans="2:14" ht="14.25"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</row>
    <row r="3138" spans="2:14" ht="14.25"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</row>
    <row r="3139" spans="2:14" ht="14.25"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</row>
    <row r="3140" spans="2:14" ht="14.25"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</row>
    <row r="3141" spans="2:14" ht="14.25"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</row>
    <row r="3142" spans="2:14" ht="14.25"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</row>
    <row r="3143" spans="2:14" ht="14.25"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</row>
    <row r="3144" spans="2:14" ht="14.25"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</row>
    <row r="3145" spans="2:14" ht="14.25"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</row>
    <row r="3146" spans="2:14" ht="14.25"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</row>
    <row r="3147" spans="2:14" ht="14.25"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</row>
    <row r="3148" spans="2:14" ht="14.25"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</row>
    <row r="3149" spans="2:14" ht="14.25"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</row>
    <row r="3150" spans="2:14" ht="14.25"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</row>
    <row r="3151" spans="2:14" ht="14.25"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</row>
    <row r="3152" spans="2:14" ht="14.25"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</row>
    <row r="3153" spans="2:14" ht="14.25"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</row>
    <row r="3154" spans="2:14" ht="14.25"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</row>
    <row r="3155" spans="2:14" ht="14.25"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</row>
    <row r="3156" spans="2:14" ht="14.25"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</row>
    <row r="3157" spans="2:14" ht="14.25"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</row>
    <row r="3158" spans="2:14" ht="14.25"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</row>
    <row r="3159" spans="2:14" ht="14.25"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</row>
    <row r="3160" spans="2:14" ht="14.25"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</row>
    <row r="3161" spans="2:14" ht="14.25"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</row>
    <row r="3162" spans="2:14" ht="14.25"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</row>
    <row r="3163" spans="2:14" ht="14.25"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</row>
    <row r="3164" spans="2:14" ht="14.25"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</row>
    <row r="3165" spans="2:14" ht="14.25"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</row>
    <row r="3166" spans="2:14" ht="14.25"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</row>
    <row r="3167" spans="2:14" ht="14.25"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</row>
    <row r="3168" spans="2:14" ht="14.25"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</row>
    <row r="3169" spans="2:14" ht="14.25"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</row>
    <row r="3170" spans="2:14" ht="14.25"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</row>
    <row r="3171" spans="2:14" ht="14.25"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</row>
    <row r="3172" spans="2:14" ht="14.25"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</row>
    <row r="3173" spans="2:14" ht="14.25"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</row>
    <row r="3174" spans="2:14" ht="14.25"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</row>
    <row r="3175" spans="2:14" ht="14.25"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</row>
    <row r="3176" spans="2:14" ht="14.25"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</row>
    <row r="3177" spans="2:14" ht="14.25"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</row>
    <row r="3178" spans="2:14" ht="14.25"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</row>
    <row r="3179" spans="2:14" ht="14.25"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</row>
    <row r="3180" spans="2:14" ht="14.25"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</row>
    <row r="3181" spans="2:14" ht="14.25"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</row>
    <row r="3182" spans="2:14" ht="14.25"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</row>
    <row r="3183" spans="2:14" ht="14.25"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</row>
    <row r="3184" spans="2:14" ht="14.25"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</row>
    <row r="3185" spans="2:14" ht="14.25"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</row>
    <row r="3186" spans="2:14" ht="14.25"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</row>
    <row r="3187" spans="2:14" ht="14.25"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</row>
    <row r="3188" spans="2:14" ht="14.25"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</row>
    <row r="3189" spans="2:14" ht="14.25"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</row>
    <row r="3190" spans="2:14" ht="14.25"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</row>
    <row r="3191" spans="2:14" ht="14.25"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</row>
    <row r="3192" spans="2:14" ht="14.25"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</row>
    <row r="3193" spans="2:14" ht="14.25"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</row>
    <row r="3194" spans="2:14" ht="14.25"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</row>
    <row r="3195" spans="2:14" ht="14.25"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</row>
    <row r="3196" spans="2:14" ht="14.25"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</row>
    <row r="3197" spans="2:14" ht="14.25"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</row>
    <row r="3198" spans="2:14" ht="14.25"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</row>
    <row r="3199" spans="2:14" ht="14.25"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</row>
    <row r="3200" spans="2:14" ht="14.25"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</row>
    <row r="3201" spans="2:14" ht="14.25"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</row>
    <row r="3202" spans="2:14" ht="14.25"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</row>
    <row r="3203" spans="2:14" ht="14.25"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</row>
    <row r="3204" spans="2:14" ht="14.25"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</row>
    <row r="3205" spans="2:14" ht="14.25"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</row>
    <row r="3206" spans="2:14" ht="14.25"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</row>
    <row r="3207" spans="2:14" ht="14.25"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</row>
    <row r="3208" spans="2:14" ht="14.25"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</row>
    <row r="3209" spans="2:14" ht="14.25"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</row>
    <row r="3210" spans="2:14" ht="14.25"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</row>
    <row r="3211" spans="2:14" ht="14.25"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</row>
    <row r="3212" spans="2:14" ht="14.25"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</row>
    <row r="3213" spans="2:14" ht="14.25"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</row>
    <row r="3214" spans="2:14" ht="14.25"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</row>
    <row r="3215" spans="2:14" ht="14.25"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</row>
    <row r="3216" spans="2:14" ht="14.25"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</row>
    <row r="3217" spans="2:14" ht="14.25"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</row>
    <row r="3218" spans="2:14" ht="14.25"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</row>
    <row r="3219" spans="2:14" ht="14.25"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</row>
    <row r="3220" spans="2:14" ht="14.25"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</row>
    <row r="3221" spans="2:14" ht="14.25"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</row>
    <row r="3222" spans="2:14" ht="14.25"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</row>
    <row r="3223" spans="2:14" ht="14.25"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</row>
    <row r="3224" spans="2:14" ht="14.25"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</row>
    <row r="3225" spans="2:14" ht="14.25"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</row>
    <row r="3226" spans="2:14" ht="14.25"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</row>
    <row r="3227" spans="2:14" ht="14.25"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</row>
    <row r="3228" spans="2:14" ht="14.25"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</row>
    <row r="3229" spans="2:14" ht="14.25"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</row>
    <row r="3230" spans="2:14" ht="14.25"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</row>
    <row r="3231" spans="2:14" ht="14.25"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</row>
    <row r="3232" spans="2:14" ht="14.25"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</row>
    <row r="3233" spans="2:14" ht="14.25"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</row>
    <row r="3234" spans="2:14" ht="14.25"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</row>
    <row r="3235" spans="2:14" ht="14.25"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</row>
    <row r="3236" spans="2:14" ht="14.25"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</row>
    <row r="3237" spans="2:14" ht="14.25"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</row>
    <row r="3238" spans="2:14" ht="14.25"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</row>
    <row r="3239" spans="2:14" ht="14.25"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</row>
    <row r="3240" spans="2:14" ht="14.25"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</row>
    <row r="3241" spans="2:14" ht="14.25"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</row>
    <row r="3242" spans="2:14" ht="14.25"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</row>
    <row r="3243" spans="2:14" ht="14.25"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</row>
    <row r="3244" spans="2:14" ht="14.25"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</row>
    <row r="3245" spans="2:14" ht="14.25"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</row>
    <row r="3246" spans="2:14" ht="14.25"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</row>
    <row r="3247" spans="2:14" ht="14.25"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</row>
    <row r="3248" spans="2:14" ht="14.25"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</row>
    <row r="3249" spans="2:14" ht="14.25"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</row>
    <row r="3250" spans="2:14" ht="14.25"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</row>
    <row r="3251" spans="2:14" ht="14.25"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</row>
    <row r="3252" spans="2:14" ht="14.25"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</row>
    <row r="3253" spans="2:14" ht="14.25"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</row>
    <row r="3254" spans="2:14" ht="14.25"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</row>
    <row r="3255" spans="2:14" ht="14.25"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</row>
    <row r="3256" spans="2:14" ht="14.25"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</row>
    <row r="3257" spans="2:14" ht="14.25"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</row>
    <row r="3258" spans="2:14" ht="14.25"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</row>
    <row r="3259" spans="2:14" ht="14.25"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</row>
    <row r="3260" spans="2:14" ht="14.25"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</row>
    <row r="3261" spans="2:14" ht="14.25"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</row>
    <row r="3262" spans="2:14" ht="14.25"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</row>
    <row r="3263" spans="2:14" ht="14.25"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</row>
    <row r="3264" spans="2:14" ht="14.25"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</row>
    <row r="3265" spans="2:14" ht="14.25"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</row>
    <row r="3266" spans="2:14" ht="14.25"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</row>
    <row r="3267" spans="2:14" ht="14.25"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</row>
    <row r="3268" spans="2:14" ht="14.25"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</row>
    <row r="3269" spans="2:14" ht="14.25"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</row>
    <row r="3270" spans="2:14" ht="14.25"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</row>
    <row r="3271" spans="2:14" ht="14.25"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</row>
    <row r="3272" spans="2:14" ht="14.25"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</row>
    <row r="3273" spans="2:14" ht="14.25"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</row>
    <row r="3274" spans="2:14" ht="14.25"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</row>
    <row r="3275" spans="2:14" ht="14.25"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</row>
    <row r="3276" spans="2:14" ht="14.25"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</row>
    <row r="3277" spans="2:14" ht="14.25"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</row>
    <row r="3278" spans="2:14" ht="14.25"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</row>
    <row r="3279" spans="2:14" ht="14.25"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</row>
    <row r="3280" spans="2:14" ht="14.25"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</row>
    <row r="3281" spans="2:14" ht="14.25"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</row>
    <row r="3282" spans="2:14" ht="14.25"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</row>
    <row r="3283" spans="2:14" ht="14.25"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</row>
    <row r="3284" spans="2:14" ht="14.25"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</row>
    <row r="3285" spans="2:14" ht="14.25"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</row>
    <row r="3286" spans="2:14" ht="14.25"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</row>
    <row r="3287" spans="2:14" ht="14.25"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</row>
    <row r="3288" spans="2:14" ht="14.25"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</row>
    <row r="3289" spans="2:14" ht="14.25"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</row>
    <row r="3290" spans="2:14" ht="14.25"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</row>
    <row r="3291" spans="2:14" ht="14.25"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</row>
    <row r="3292" spans="2:14" ht="14.25"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</row>
    <row r="3293" spans="2:14" ht="14.25"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</row>
    <row r="3294" spans="2:14" ht="14.25"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</row>
    <row r="3295" spans="2:14" ht="14.25"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</row>
    <row r="3296" spans="2:14" ht="14.25"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</row>
    <row r="3297" spans="2:14" ht="14.25"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</row>
    <row r="3298" spans="2:14" ht="14.25"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</row>
    <row r="3299" spans="2:14" ht="14.25"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</row>
    <row r="3300" spans="2:14" ht="14.25"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</row>
    <row r="3301" spans="2:14" ht="14.25"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</row>
    <row r="3302" spans="2:14" ht="14.25"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</row>
    <row r="3303" spans="2:14" ht="14.25"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</row>
    <row r="3304" spans="2:14" ht="14.25"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</row>
    <row r="3305" spans="2:14" ht="14.25"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</row>
    <row r="3306" spans="2:14" ht="14.25"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</row>
    <row r="3307" spans="2:14" ht="14.25"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</row>
    <row r="3308" spans="2:14" ht="14.25"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</row>
    <row r="3309" spans="2:14" ht="14.25"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</row>
    <row r="3310" spans="2:14" ht="14.25"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</row>
    <row r="3311" spans="2:14" ht="14.25"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</row>
    <row r="3312" spans="2:14" ht="14.25"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</row>
    <row r="3313" spans="2:14" ht="14.25"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</row>
    <row r="3314" spans="2:14" ht="14.25"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</row>
    <row r="3315" spans="2:14" ht="14.25"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</row>
    <row r="3316" spans="2:14" ht="14.25"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</row>
    <row r="3317" spans="2:14" ht="14.25"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</row>
    <row r="3318" spans="2:14" ht="14.25"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</row>
    <row r="3319" spans="2:14" ht="14.25"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</row>
    <row r="3320" spans="2:14" ht="14.25"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</row>
    <row r="3321" spans="2:14" ht="14.25"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</row>
    <row r="3322" spans="2:14" ht="14.25"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</row>
    <row r="3323" spans="2:14" ht="14.25"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</row>
    <row r="3324" spans="2:14" ht="14.25"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</row>
    <row r="3325" spans="2:14" ht="14.25"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</row>
    <row r="3326" spans="2:14" ht="14.25"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</row>
    <row r="3327" spans="2:14" ht="14.25"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</row>
    <row r="3328" spans="2:14" ht="14.25"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</row>
    <row r="3329" spans="2:14" ht="14.25"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</row>
    <row r="3330" spans="2:14" ht="14.25"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</row>
    <row r="3331" spans="2:14" ht="14.25"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</row>
    <row r="3332" spans="2:14" ht="14.25"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</row>
    <row r="3333" spans="2:14" ht="14.25"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</row>
    <row r="3334" spans="2:14" ht="14.25"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</row>
    <row r="3335" spans="2:14" ht="14.25"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</row>
    <row r="3336" spans="2:14" ht="14.25"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</row>
    <row r="3337" spans="2:14" ht="14.25"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</row>
    <row r="3338" spans="2:14" ht="14.25"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</row>
    <row r="3339" spans="2:14" ht="14.25"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</row>
    <row r="3340" spans="2:14" ht="14.25"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</row>
    <row r="3341" spans="2:14" ht="14.25"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</row>
    <row r="3342" spans="2:14" ht="14.25"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</row>
    <row r="3343" spans="2:14" ht="14.25"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</row>
    <row r="3344" spans="2:14" ht="14.25"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</row>
    <row r="3345" spans="2:14" ht="14.25"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</row>
    <row r="3346" spans="2:14" ht="14.25"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</row>
    <row r="3347" spans="2:14" ht="14.25"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</row>
    <row r="3348" spans="2:14" ht="14.25"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</row>
    <row r="3349" spans="2:14" ht="14.25"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</row>
    <row r="3350" spans="2:14" ht="14.25"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</row>
    <row r="3351" spans="2:14" ht="14.25"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</row>
    <row r="3352" spans="2:14" ht="14.25"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</row>
    <row r="3353" spans="2:14" ht="14.25"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</row>
    <row r="3354" spans="2:14" ht="14.25"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</row>
    <row r="3355" spans="2:14" ht="14.25"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</row>
    <row r="3356" spans="2:14" ht="14.25"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</row>
    <row r="3357" spans="2:14" ht="14.25"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</row>
    <row r="3358" spans="2:14" ht="14.25"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</row>
    <row r="3359" spans="2:14" ht="14.25"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</row>
    <row r="3360" spans="2:14" ht="14.25"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</row>
    <row r="3361" spans="2:14" ht="14.25"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</row>
    <row r="3362" spans="2:14" ht="14.25"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</row>
    <row r="3363" spans="2:14" ht="14.25"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</row>
    <row r="3364" spans="2:14" ht="14.25"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</row>
    <row r="3365" spans="2:14" ht="14.25"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</row>
    <row r="3366" spans="2:14" ht="14.25"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</row>
    <row r="3367" spans="2:14" ht="14.25"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</row>
    <row r="3368" spans="2:14" ht="14.25"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</row>
    <row r="3369" spans="2:14" ht="14.25"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</row>
    <row r="3370" spans="2:14" ht="14.25"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</row>
    <row r="3371" spans="2:14" ht="14.25"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</row>
    <row r="3372" spans="2:14" ht="14.25"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</row>
    <row r="3373" spans="2:14" ht="14.25"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</row>
    <row r="3374" spans="2:14" ht="14.25"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</row>
    <row r="3375" spans="2:14" ht="14.25"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</row>
    <row r="3376" spans="2:14" ht="14.25"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</row>
    <row r="3377" spans="2:14" ht="14.25"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</row>
    <row r="3378" spans="2:14" ht="14.25"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</row>
    <row r="3379" spans="2:14" ht="14.25"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</row>
    <row r="3380" spans="2:14" ht="14.25"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</row>
    <row r="3381" spans="2:14" ht="14.25"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</row>
    <row r="3382" spans="2:14" ht="14.25"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</row>
    <row r="3383" spans="2:14" ht="14.25"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</row>
    <row r="3384" spans="2:14" ht="14.25"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</row>
    <row r="3385" spans="2:14" ht="14.25"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</row>
    <row r="3386" spans="2:14" ht="14.25"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</row>
    <row r="3387" spans="2:14" ht="14.25"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</row>
    <row r="3388" spans="2:14" ht="14.25"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</row>
    <row r="3389" spans="2:14" ht="14.25"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</row>
    <row r="3390" spans="2:14" ht="14.25"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</row>
    <row r="3391" spans="2:14" ht="14.25"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</row>
    <row r="3392" spans="2:14" ht="14.25"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</row>
    <row r="3393" spans="2:14" ht="14.25"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</row>
    <row r="3394" spans="2:14" ht="14.25"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</row>
    <row r="3395" spans="2:14" ht="14.25"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</row>
    <row r="3396" spans="2:14" ht="14.25"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</row>
    <row r="3397" spans="2:14" ht="14.25"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</row>
    <row r="3398" spans="2:14" ht="14.25"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</row>
    <row r="3399" spans="2:14" ht="14.25"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</row>
    <row r="3400" spans="2:14" ht="14.25"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</row>
    <row r="3401" spans="2:14" ht="14.25"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</row>
    <row r="3402" spans="2:14" ht="14.25"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</row>
    <row r="3403" spans="2:14" ht="14.25"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</row>
    <row r="3404" spans="2:14" ht="14.25"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</row>
    <row r="3405" spans="2:14" ht="14.25"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</row>
    <row r="3406" spans="2:14" ht="14.25"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</row>
    <row r="3407" spans="2:14" ht="14.25"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</row>
    <row r="3408" spans="2:14" ht="14.25"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</row>
    <row r="3409" spans="2:14" ht="14.25"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</row>
    <row r="3410" spans="2:14" ht="14.25"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</row>
    <row r="3411" spans="2:14" ht="14.25"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</row>
    <row r="3412" spans="2:14" ht="14.25"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</row>
    <row r="3413" spans="2:14" ht="14.25"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</row>
    <row r="3414" spans="2:14" ht="14.25"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</row>
    <row r="3415" spans="2:14" ht="14.25"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</row>
    <row r="3416" spans="2:14" ht="14.25"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</row>
    <row r="3417" spans="2:14" ht="14.25"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</row>
    <row r="3418" spans="2:14" ht="14.25"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</row>
    <row r="3419" spans="2:14" ht="14.25"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</row>
    <row r="3420" spans="2:14" ht="14.25"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</row>
    <row r="3421" spans="2:14" ht="14.25"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</row>
    <row r="3422" spans="2:14" ht="14.25"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</row>
    <row r="3423" spans="2:14" ht="14.25"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</row>
    <row r="3424" spans="2:14" ht="14.25"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</row>
    <row r="3425" spans="2:14" ht="14.25"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</row>
    <row r="3426" spans="2:14" ht="14.25"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</row>
    <row r="3427" spans="2:14" ht="14.25"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</row>
    <row r="3428" spans="2:14" ht="14.25"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</row>
    <row r="3429" spans="2:14" ht="14.25"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</row>
    <row r="3430" spans="2:14" ht="14.25"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</row>
    <row r="3431" spans="2:14" ht="14.25"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</row>
    <row r="3432" spans="2:14" ht="14.25"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</row>
    <row r="3433" spans="2:14" ht="14.25"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</row>
    <row r="3434" spans="2:14" ht="14.25"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</row>
    <row r="3435" spans="2:14" ht="14.25"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</row>
    <row r="3436" spans="2:14" ht="14.25"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</row>
    <row r="3437" spans="2:14" ht="14.25"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</row>
    <row r="3438" spans="2:14" ht="14.25"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</row>
    <row r="3439" spans="2:14" ht="14.25"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</row>
    <row r="3440" spans="2:14" ht="14.25"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</row>
    <row r="3441" spans="2:14" ht="14.25"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</row>
    <row r="3442" spans="2:14" ht="14.25"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</row>
    <row r="3443" spans="2:14" ht="14.25"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</row>
    <row r="3444" spans="2:14" ht="14.25"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</row>
    <row r="3445" spans="2:14" ht="14.25"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</row>
    <row r="3446" spans="2:14" ht="14.25"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</row>
    <row r="3447" spans="2:14" ht="14.25"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</row>
    <row r="3448" spans="2:14" ht="14.25"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</row>
    <row r="3449" spans="2:14" ht="14.25"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</row>
    <row r="3450" spans="2:14" ht="14.25"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</row>
    <row r="3451" spans="2:14" ht="14.25"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</row>
    <row r="3452" spans="2:14" ht="14.25"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</row>
    <row r="3453" spans="2:14" ht="14.25"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</row>
    <row r="3454" spans="2:14" ht="14.25"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</row>
    <row r="3455" spans="2:14" ht="14.25"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</row>
    <row r="3456" spans="2:14" ht="14.25"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</row>
    <row r="3457" spans="2:14" ht="14.25"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</row>
    <row r="3458" spans="2:14" ht="14.25"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</row>
    <row r="3459" spans="2:14" ht="14.25"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</row>
    <row r="3460" spans="2:14" ht="14.25"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</row>
    <row r="3461" spans="2:14" ht="14.25"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</row>
    <row r="3462" spans="2:14" ht="14.25"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</row>
    <row r="3463" spans="2:14" ht="14.25"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</row>
    <row r="3464" spans="2:14" ht="14.25"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</row>
    <row r="3465" spans="2:14" ht="14.25"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RTT</vt:lpstr>
      <vt:lpstr>TimePeriods</vt:lpstr>
      <vt:lpstr>System Settings</vt:lpstr>
      <vt:lpstr>Constants</vt:lpstr>
      <vt:lpstr>reporting options</vt:lpstr>
      <vt:lpstr>CommGrp</vt:lpstr>
      <vt:lpstr>Comm</vt:lpstr>
      <vt:lpstr>Comm+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2001-09-28T20:39:00Z</cp:lastPrinted>
  <dcterms:created xsi:type="dcterms:W3CDTF">2001-09-28T18:48:00Z</dcterms:created>
  <dcterms:modified xsi:type="dcterms:W3CDTF">2026-01-05T22:22:38Z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554694757842944</vt:r8>
  </property>
  <property fmtid="{D5CDD505-2E9C-101B-9397-08002B2CF9AE}" pid="3" name="{A44787D4-0540-4523-9961-78E4036D8C6D}">
    <vt:lpwstr>{A39C8D83-5663-4EF8-B7A7-7AE47CFA36FA}</vt:lpwstr>
  </property>
  <property fmtid="{D5CDD505-2E9C-101B-9397-08002B2CF9AE}" pid="4" name="ICV">
    <vt:lpwstr>3771535884CB45EC9C889095B54F28AA_12</vt:lpwstr>
  </property>
  <property fmtid="{D5CDD505-2E9C-101B-9397-08002B2CF9AE}" pid="5" name="KSOProductBuildVer">
    <vt:lpwstr>1033-12.2.0.22549</vt:lpwstr>
  </property>
</Properties>
</file>