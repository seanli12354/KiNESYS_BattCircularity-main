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710" tabRatio="853" activeTab="1"/>
  </bookViews>
  <sheets>
    <sheet name="RTT" sheetId="16" r:id="rId1"/>
    <sheet name="TimePeriods" sheetId="20" r:id="rId2"/>
    <sheet name="System Settings" sheetId="14" r:id="rId3"/>
    <sheet name="Constants" sheetId="17" r:id="rId4"/>
    <sheet name="reporting options" sheetId="24" r:id="rId5"/>
    <sheet name="CommGrp" sheetId="21" r:id="rId6"/>
    <sheet name="Comm" sheetId="23" r:id="rId7"/>
    <sheet name="Comm+" sheetId="2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<sst xmlns="http://schemas.openxmlformats.org/spreadsheetml/2006/main" count="3717" uniqueCount="1545">
  <si>
    <t>~BookRegions_Map</t>
  </si>
  <si>
    <t>~TimeSlices</t>
  </si>
  <si>
    <t>BookName</t>
  </si>
  <si>
    <t>Region</t>
  </si>
  <si>
    <t>Season</t>
  </si>
  <si>
    <t>Weekly</t>
  </si>
  <si>
    <t>DayNite</t>
  </si>
  <si>
    <t>KiNESYS</t>
  </si>
  <si>
    <t>Africa_North</t>
  </si>
  <si>
    <t>S</t>
  </si>
  <si>
    <t>h01</t>
  </si>
  <si>
    <t>Africa_Other</t>
  </si>
  <si>
    <t>W</t>
  </si>
  <si>
    <t>h02</t>
  </si>
  <si>
    <t>Australia</t>
  </si>
  <si>
    <t>h03</t>
  </si>
  <si>
    <t>Austria</t>
  </si>
  <si>
    <t>h04</t>
  </si>
  <si>
    <t>Baltics</t>
  </si>
  <si>
    <t>h05</t>
  </si>
  <si>
    <t>BeNeLux</t>
  </si>
  <si>
    <t>h06</t>
  </si>
  <si>
    <t>Brazil</t>
  </si>
  <si>
    <t>h07</t>
  </si>
  <si>
    <t>China</t>
  </si>
  <si>
    <t>h08</t>
  </si>
  <si>
    <t>CroSloven</t>
  </si>
  <si>
    <t>h09</t>
  </si>
  <si>
    <t>CzechSlovak</t>
  </si>
  <si>
    <t>h10</t>
  </si>
  <si>
    <t>France</t>
  </si>
  <si>
    <t>h11</t>
  </si>
  <si>
    <t>Germany</t>
  </si>
  <si>
    <t>h12</t>
  </si>
  <si>
    <t>GreeceCyp</t>
  </si>
  <si>
    <t>h13</t>
  </si>
  <si>
    <t>HunRomBul</t>
  </si>
  <si>
    <t>h14</t>
  </si>
  <si>
    <t>Iceland</t>
  </si>
  <si>
    <t>h15</t>
  </si>
  <si>
    <t>India</t>
  </si>
  <si>
    <t>h16</t>
  </si>
  <si>
    <t>Ireland</t>
  </si>
  <si>
    <t>h17</t>
  </si>
  <si>
    <t>ItalyMal</t>
  </si>
  <si>
    <t>h18</t>
  </si>
  <si>
    <t>Japan</t>
  </si>
  <si>
    <t>h19</t>
  </si>
  <si>
    <t>LatAm</t>
  </si>
  <si>
    <t>h20</t>
  </si>
  <si>
    <t>MidEast</t>
  </si>
  <si>
    <t>h21</t>
  </si>
  <si>
    <t>NorthAm</t>
  </si>
  <si>
    <t>h22</t>
  </si>
  <si>
    <t>Norway</t>
  </si>
  <si>
    <t>h23</t>
  </si>
  <si>
    <t>Poland</t>
  </si>
  <si>
    <t>h24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</si>
  <si>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</si>
  <si>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</si>
  <si>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</si>
  <si>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</si>
  <si>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</si>
  <si>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</si>
  <si>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</si>
  <si>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</si>
  <si>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</si>
  <si>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</si>
  <si>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</si>
  <si>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~StartYear</t>
  </si>
  <si>
    <t>~ActivePDef</t>
  </si>
  <si>
    <t>~TimePeriods</t>
  </si>
  <si>
    <t>~Milestoneyears</t>
  </si>
  <si>
    <t>Pdef_9p-2100</t>
  </si>
  <si>
    <t>type</t>
  </si>
  <si>
    <t>msy14_2080</t>
  </si>
  <si>
    <t>msy18_2100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</si>
  <si>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</si>
  <si>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</si>
  <si>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</si>
  <si>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</si>
  <si>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</si>
  <si>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</si>
  <si>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</si>
  <si>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</si>
  <si>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</si>
  <si>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</si>
  <si>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</si>
  <si>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</si>
  <si>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Pset_set</t>
  </si>
  <si>
    <t>~NOPCOL</t>
  </si>
  <si>
    <t>Share</t>
  </si>
  <si>
    <t>Name</t>
  </si>
  <si>
    <t>FX</t>
  </si>
  <si>
    <t>Con_Eff</t>
  </si>
  <si>
    <t>UP,LO</t>
  </si>
  <si>
    <t>CAP_BND</t>
  </si>
  <si>
    <t>Env_inv</t>
  </si>
  <si>
    <t>NCAP_BND</t>
  </si>
  <si>
    <t>TechDesc</t>
  </si>
  <si>
    <t>ACT_BND</t>
  </si>
  <si>
    <t>ISO</t>
  </si>
  <si>
    <t>COM_ELAST</t>
  </si>
  <si>
    <t>DEM</t>
  </si>
  <si>
    <t>Country</t>
  </si>
  <si>
    <t>COM_AGG</t>
  </si>
  <si>
    <t>Sets</t>
  </si>
  <si>
    <t>FLO_MARK</t>
  </si>
  <si>
    <t>FLO_FR</t>
  </si>
  <si>
    <t>LO</t>
  </si>
  <si>
    <t>AFA</t>
  </si>
  <si>
    <t>ELE,CHP</t>
  </si>
  <si>
    <t>AF</t>
  </si>
  <si>
    <t>ELCSPV,ELCWIN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</si>
  <si>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</si>
  <si>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</si>
  <si>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</si>
  <si>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</si>
  <si>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</si>
  <si>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</si>
  <si>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</si>
  <si>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</si>
  <si>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</si>
  <si>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~TFM_INS-txt</t>
  </si>
  <si>
    <t>attribute</t>
  </si>
  <si>
    <t>pset_set</t>
  </si>
  <si>
    <t>pset_ci</t>
  </si>
  <si>
    <t>pset_co</t>
  </si>
  <si>
    <t>cset_cn</t>
  </si>
  <si>
    <t>value</t>
  </si>
  <si>
    <t>t_neg_andor</t>
  </si>
  <si>
    <t>PRC_TSL</t>
  </si>
  <si>
    <t>IRE</t>
  </si>
  <si>
    <t>*HH2*</t>
  </si>
  <si>
    <t>ANNUAL</t>
  </si>
  <si>
    <t>pset_pn</t>
  </si>
  <si>
    <t>cset_set</t>
  </si>
  <si>
    <t>-*Z,-*blend*</t>
  </si>
  <si>
    <t>GASNGA,ELCNGA,RESNGA,COMNGA,SUPNGA,GAS[_]???,GASLNG</t>
  </si>
  <si>
    <t>SEASON</t>
  </si>
  <si>
    <t>COM_TSL</t>
  </si>
  <si>
    <t>ELCNGA,RESNGA,COMNGA,GASNGA,SUPNGA,GAS[_]???,GASLNG</t>
  </si>
  <si>
    <t>~Currencies</t>
  </si>
  <si>
    <t>Tech_Comm_Info</t>
  </si>
  <si>
    <t>CURR</t>
  </si>
  <si>
    <t>Other_Indexes</t>
  </si>
  <si>
    <t>Currency</t>
  </si>
  <si>
    <t>G_DYEAR</t>
  </si>
  <si>
    <t>USD00</t>
  </si>
  <si>
    <t>EUR15</t>
  </si>
  <si>
    <t>EUR20</t>
  </si>
  <si>
    <t>USD01</t>
  </si>
  <si>
    <t>USD02</t>
  </si>
  <si>
    <t>USD03</t>
  </si>
  <si>
    <t>~UnitConversion</t>
  </si>
  <si>
    <t>USD04</t>
  </si>
  <si>
    <t>from_unit</t>
  </si>
  <si>
    <t>to_unit</t>
  </si>
  <si>
    <t>multiplier</t>
  </si>
  <si>
    <t>USD05</t>
  </si>
  <si>
    <t>QBtu</t>
  </si>
  <si>
    <t>PJ</t>
  </si>
  <si>
    <t>USD06</t>
  </si>
  <si>
    <t>Billion Kwh</t>
  </si>
  <si>
    <t>USD07</t>
  </si>
  <si>
    <t>Mt</t>
  </si>
  <si>
    <t>Kt</t>
  </si>
  <si>
    <t>USD08</t>
  </si>
  <si>
    <t>B$</t>
  </si>
  <si>
    <t>m$</t>
  </si>
  <si>
    <t>USD09</t>
  </si>
  <si>
    <t>TBtu</t>
  </si>
  <si>
    <t>USD10</t>
  </si>
  <si>
    <t>ktoe</t>
  </si>
  <si>
    <t>USD11</t>
  </si>
  <si>
    <t>mtoe</t>
  </si>
  <si>
    <t>USD12</t>
  </si>
  <si>
    <t>Gwh</t>
  </si>
  <si>
    <t>USD13</t>
  </si>
  <si>
    <t>Gt</t>
  </si>
  <si>
    <t>USD14</t>
  </si>
  <si>
    <t>bEur</t>
  </si>
  <si>
    <t>mEur</t>
  </si>
  <si>
    <t>USD15</t>
  </si>
  <si>
    <t>$/GJ</t>
  </si>
  <si>
    <t>$/bbl</t>
  </si>
  <si>
    <t>USD16</t>
  </si>
  <si>
    <t>$/ton</t>
  </si>
  <si>
    <t>m$/kt</t>
  </si>
  <si>
    <t>USD17</t>
  </si>
  <si>
    <t>EJ</t>
  </si>
  <si>
    <t>USD18</t>
  </si>
  <si>
    <t>bcm</t>
  </si>
  <si>
    <t>USD19</t>
  </si>
  <si>
    <t>mbpd</t>
  </si>
  <si>
    <t>USD20</t>
  </si>
  <si>
    <t>Cents per Kwh</t>
  </si>
  <si>
    <t>$ per GJ</t>
  </si>
  <si>
    <t>USD21</t>
  </si>
  <si>
    <t>Twh</t>
  </si>
  <si>
    <t>USD22</t>
  </si>
  <si>
    <t>USD23</t>
  </si>
  <si>
    <t>GWp</t>
  </si>
  <si>
    <t>USD24</t>
  </si>
  <si>
    <t>mt H2</t>
  </si>
  <si>
    <t>USD25</t>
  </si>
  <si>
    <t>mboe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</si>
  <si>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</si>
  <si>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</si>
  <si>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</si>
  <si>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</si>
  <si>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</si>
  <si>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</si>
  <si>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</si>
  <si>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</si>
  <si>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</si>
  <si>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</si>
  <si>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</si>
  <si>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</si>
  <si>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</si>
  <si>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</si>
  <si>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</si>
  <si>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</si>
  <si>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</si>
  <si>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</si>
  <si>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</si>
  <si>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</si>
  <si>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</si>
  <si>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</si>
  <si>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</si>
  <si>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</si>
  <si>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</si>
  <si>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</si>
  <si>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</si>
  <si>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</si>
  <si>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</si>
  <si>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</si>
  <si>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</si>
  <si>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</si>
  <si>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</si>
  <si>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~md_dimensions</t>
  </si>
  <si>
    <t>dimension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</si>
  <si>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</si>
  <si>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</si>
  <si>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</si>
  <si>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</si>
  <si>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</si>
  <si>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</si>
  <si>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</si>
  <si>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</si>
  <si>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</si>
  <si>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~TFM_COMGRP</t>
  </si>
  <si>
    <t>Description</t>
  </si>
  <si>
    <t>Cset_CD</t>
  </si>
  <si>
    <t>IIS_Gases</t>
  </si>
  <si>
    <t>IIS CommGrp for gases</t>
  </si>
  <si>
    <t>y</t>
  </si>
  <si>
    <t>INDNGA, INDIIS, INDCOG, INCOP</t>
  </si>
  <si>
    <t>ELC_gc</t>
  </si>
  <si>
    <t>Electricity - grid + curtailed</t>
  </si>
  <si>
    <t>ELC,ELCCurt</t>
  </si>
  <si>
    <t>cg_NGAHH2</t>
  </si>
  <si>
    <t>Nat gas + Hydrogen - primary</t>
  </si>
  <si>
    <t>GASNGA,HH2</t>
  </si>
  <si>
    <t>cg_NAPBIO</t>
  </si>
  <si>
    <t>Naphtha + biofuels - primary</t>
  </si>
  <si>
    <t>OILNAP,BIOGSL,BIODST</t>
  </si>
  <si>
    <t>cg_OIL</t>
  </si>
  <si>
    <t>Oil commodities for WEO demand</t>
  </si>
  <si>
    <t>OILASP,OILDST,OILGSL,OILHFO,OILJTK,OILKER,OILLPG,OILLUB,OILNAP,OILNGL,OILNSP,OILPTC</t>
  </si>
  <si>
    <t>cg_Other solid fuels</t>
  </si>
  <si>
    <t>Other solid fuels for WEO demand</t>
  </si>
  <si>
    <t>BIOBIN,BIOBMU,BIOCHR,BIOBSL,COABCO,COACOK</t>
  </si>
  <si>
    <t>cg_Other gases</t>
  </si>
  <si>
    <t>Other gaseous fuels for WEO demand</t>
  </si>
  <si>
    <t>GASRFG,BIOGAS,BIOSNG</t>
  </si>
  <si>
    <t>cg_Oil_synthetic</t>
  </si>
  <si>
    <t>Synthetic oil for WEO demand</t>
  </si>
  <si>
    <t>OILDSTs,OILGSLs,OILLPGs,OILHFOs,OILJTKs</t>
  </si>
  <si>
    <t>cg_Bioliq</t>
  </si>
  <si>
    <t>Bio liquids for WEO demand</t>
  </si>
  <si>
    <t>BIOGSL,BIODST,BIOJTK</t>
  </si>
  <si>
    <t>cg_COA</t>
  </si>
  <si>
    <t>COA*,-Coalbio*</t>
  </si>
  <si>
    <t>cg_Other liquids</t>
  </si>
  <si>
    <t>Other liquid fuels for WEO demand</t>
  </si>
  <si>
    <t>OILASP,OILKER,OILLUB,OILNAP,OILNGL,OILNSP,OILPTC</t>
  </si>
  <si>
    <t>coalbio</t>
  </si>
  <si>
    <t>coal plus biomass - for cofiring</t>
  </si>
  <si>
    <t>NRG</t>
  </si>
  <si>
    <t>INDCOA,INDBIO</t>
  </si>
  <si>
    <t>CoalBioH2Oil</t>
  </si>
  <si>
    <t>Blast furnace input</t>
  </si>
  <si>
    <t>INDCOA,INDBIO,INDHH2,INDOIL</t>
  </si>
  <si>
    <t>CoalBioOil</t>
  </si>
  <si>
    <t>INDCOA,INDBIO,INDOIL</t>
  </si>
  <si>
    <t>~FI_Comm</t>
  </si>
  <si>
    <t>Csets</t>
  </si>
  <si>
    <t>CommName</t>
  </si>
  <si>
    <t>CommDesc</t>
  </si>
  <si>
    <t>Unit</t>
  </si>
  <si>
    <t>CTSLvl</t>
  </si>
  <si>
    <t>PeakTS</t>
  </si>
  <si>
    <t>Ctype</t>
  </si>
  <si>
    <t>CSet</t>
  </si>
  <si>
    <t>\I: Emissions commodities</t>
  </si>
  <si>
    <t>OILFEE</t>
  </si>
  <si>
    <t>Refinery feeds</t>
  </si>
  <si>
    <t>ENV</t>
  </si>
  <si>
    <t>TRACH4N</t>
  </si>
  <si>
    <t>Transport Methan Emissions</t>
  </si>
  <si>
    <t>t</t>
  </si>
  <si>
    <t>OILNCR</t>
  </si>
  <si>
    <t>Non-crude</t>
  </si>
  <si>
    <t>AGRCH4N</t>
  </si>
  <si>
    <t>Agriculture Methan Emissions</t>
  </si>
  <si>
    <t>TRAN2ON</t>
  </si>
  <si>
    <t>Transport N2O Emissions</t>
  </si>
  <si>
    <t>kt</t>
  </si>
  <si>
    <t>CO2Captured</t>
  </si>
  <si>
    <t>CO2 Captured from fossil fuels combustion</t>
  </si>
  <si>
    <t>AGRN2ON</t>
  </si>
  <si>
    <t>Agriculture N2O Emissions</t>
  </si>
  <si>
    <t>*</t>
  </si>
  <si>
    <t>TRACO2N</t>
  </si>
  <si>
    <t>Transport Carbon Dioxide Combustion Emissions</t>
  </si>
  <si>
    <t>CO2Captured_bio</t>
  </si>
  <si>
    <t>CO2 Captured from bioenergy combustion</t>
  </si>
  <si>
    <t>AGRCO2P</t>
  </si>
  <si>
    <t>Agriculture Carbon Dioxide Process Emissions</t>
  </si>
  <si>
    <t>TRACH4I</t>
  </si>
  <si>
    <t>Transport Methan Emissions International Avi-Nav</t>
  </si>
  <si>
    <t>CO2ForStorage</t>
  </si>
  <si>
    <t>CO2 after transportation - for storage</t>
  </si>
  <si>
    <t>COMCH4N</t>
  </si>
  <si>
    <t>Commercial Methan Emissions</t>
  </si>
  <si>
    <t>TRAN2OI</t>
  </si>
  <si>
    <t>Transport N2O Emissions International Avi-Nav</t>
  </si>
  <si>
    <t>ELCCO2-Seq</t>
  </si>
  <si>
    <t>CO2 sequestered from electricity generation (for accounting)</t>
  </si>
  <si>
    <t>COMN2ON</t>
  </si>
  <si>
    <t>Commercial N2O Emissions</t>
  </si>
  <si>
    <t>TRACO2I</t>
  </si>
  <si>
    <t>Transport Carbon Dioxide Combustion Emissions International Avi-Nav</t>
  </si>
  <si>
    <t>ELCCO2Net</t>
  </si>
  <si>
    <t>Net CO2 from electricity generation</t>
  </si>
  <si>
    <t>mt</t>
  </si>
  <si>
    <t>RESCH4N</t>
  </si>
  <si>
    <t>Residential Methan Emissions</t>
  </si>
  <si>
    <t>AGRCO2Nc</t>
  </si>
  <si>
    <t>CO2 emission from COAL use in AGR sector</t>
  </si>
  <si>
    <t>DumGrid</t>
  </si>
  <si>
    <t>dummy commodity</t>
  </si>
  <si>
    <t>RESN2ON</t>
  </si>
  <si>
    <t>Residential N2O Emissions</t>
  </si>
  <si>
    <t>AGRCO2No</t>
  </si>
  <si>
    <t>CO2 emission from OIL use in AGR sector</t>
  </si>
  <si>
    <t>ELCCurt</t>
  </si>
  <si>
    <t>curtailed electricity</t>
  </si>
  <si>
    <t>DAYNITE</t>
  </si>
  <si>
    <t>ELC</t>
  </si>
  <si>
    <t>RESCO2P</t>
  </si>
  <si>
    <t>Residential Carbon Dioxide Process Emissions</t>
  </si>
  <si>
    <t>AGRCO2Ng</t>
  </si>
  <si>
    <t>CO2 emission from GAS use in AGR sector</t>
  </si>
  <si>
    <t>HH2</t>
  </si>
  <si>
    <t>Hydrogen</t>
  </si>
  <si>
    <t>CO2_DAC</t>
  </si>
  <si>
    <t>CO2 from direct air capture</t>
  </si>
  <si>
    <t>COMCO2Nc</t>
  </si>
  <si>
    <t>CO2 emission from COAL use in COM sector</t>
  </si>
  <si>
    <t>LH2</t>
  </si>
  <si>
    <t>Liquid Hydrogen (for trading)</t>
  </si>
  <si>
    <t>COMCO2No</t>
  </si>
  <si>
    <t>CO2 emission from OIL use in COM sector</t>
  </si>
  <si>
    <t>NetCO2_ELC</t>
  </si>
  <si>
    <t>COMCO2Ng</t>
  </si>
  <si>
    <t>CO2 emission from GAS use in COM sector</t>
  </si>
  <si>
    <t>NetCO2_SUP</t>
  </si>
  <si>
    <t>Net CO2 from energy sector</t>
  </si>
  <si>
    <t>ELCCO2Nc</t>
  </si>
  <si>
    <t>CO2 emission from COAL use in ELC sector</t>
  </si>
  <si>
    <t>NetCO2_TRA</t>
  </si>
  <si>
    <t>Net CO2 from transport</t>
  </si>
  <si>
    <t>ELCCO2Ng</t>
  </si>
  <si>
    <t>CO2 emission from GAS use in ELC sector</t>
  </si>
  <si>
    <t>NetCO2_Bldg</t>
  </si>
  <si>
    <t>Net CO2 from Residential and Commercial</t>
  </si>
  <si>
    <t>ELCCO2No</t>
  </si>
  <si>
    <t>CO2 emission from OIL use in ELC sector</t>
  </si>
  <si>
    <t>NetCO2_IND</t>
  </si>
  <si>
    <t>Net CO2 from Industry</t>
  </si>
  <si>
    <t>ELCCO2Nw</t>
  </si>
  <si>
    <t>CO2 emission from WASTE use in ELC sector</t>
  </si>
  <si>
    <t>CO2Captured_elc</t>
  </si>
  <si>
    <t>CO2 Captured in the Power sector</t>
  </si>
  <si>
    <t>INDCO2Nc</t>
  </si>
  <si>
    <t>CO2 emission from COAL use in IND sector</t>
  </si>
  <si>
    <t>CO2Captured_sup</t>
  </si>
  <si>
    <t>CO2 Captured in Energy sector (bioref and H2 production)</t>
  </si>
  <si>
    <t>ELCCO2Nb</t>
  </si>
  <si>
    <t>CO2 emission from BIOMASS use in ELC sector</t>
  </si>
  <si>
    <t>CO2Captured_ind</t>
  </si>
  <si>
    <t>CO2 Captured in Industry</t>
  </si>
  <si>
    <t>INDCO2Nb</t>
  </si>
  <si>
    <t>CO2 emission from BIOMASS use in IND sector</t>
  </si>
  <si>
    <t>CO2Captured_ccu</t>
  </si>
  <si>
    <t>CO2 Captured from bioenergy combustion and DAC (which CAN be used for power to liq)</t>
  </si>
  <si>
    <t>INDCO2No</t>
  </si>
  <si>
    <t>CO2 emission from OIL use in IND sector</t>
  </si>
  <si>
    <t>CO2Used_ccu</t>
  </si>
  <si>
    <t>Captured CO2 used for liquid fuels etc - to be emitted eventually</t>
  </si>
  <si>
    <t>INDCO2Ng</t>
  </si>
  <si>
    <t>CO2 emission from GAS use in IND sector</t>
  </si>
  <si>
    <t>ELCDem</t>
  </si>
  <si>
    <t>Non-Transport electricity demand</t>
  </si>
  <si>
    <t>RESCO2Nc</t>
  </si>
  <si>
    <t>CO2 emission from COAL use in RES sector</t>
  </si>
  <si>
    <t>RESCO2No</t>
  </si>
  <si>
    <t>CO2 emission from OIL use in RES sector</t>
  </si>
  <si>
    <t>RESCO2Ng</t>
  </si>
  <si>
    <t>CO2 emission from GAS use in RES sector</t>
  </si>
  <si>
    <t>SUPCO2Nc</t>
  </si>
  <si>
    <t>CO2 emission from COAL use in SUP sector</t>
  </si>
  <si>
    <t>SUPCO2Nb</t>
  </si>
  <si>
    <t>CO2 emission from BIOMASS use in SUP sector</t>
  </si>
  <si>
    <t>SUPCO2Ng</t>
  </si>
  <si>
    <t>CO2 emission from GAS use in SUP sector</t>
  </si>
  <si>
    <t>SUPCO2No</t>
  </si>
  <si>
    <t>CO2 emission from OIL use in SUP sector</t>
  </si>
  <si>
    <t>HH2CO2Nc</t>
  </si>
  <si>
    <t>CO2 emission from COAL use in HH2 sector</t>
  </si>
  <si>
    <t>HH2CO2Nb</t>
  </si>
  <si>
    <t>CO2 emission from BIOMASS use in HH2 sector</t>
  </si>
  <si>
    <t>HH2CO2Ng</t>
  </si>
  <si>
    <t>CO2 emission from GAS use in HH2 sector</t>
  </si>
  <si>
    <t>HH2CO2No</t>
  </si>
  <si>
    <t>CO2 emission from OIL use in HH2 sector</t>
  </si>
  <si>
    <t>TRACO2Nc</t>
  </si>
  <si>
    <t>CO2 emission from COAL use in TRA sector</t>
  </si>
  <si>
    <t>TRACO2No</t>
  </si>
  <si>
    <t>CO2 emission from OIL use in TRA sector</t>
  </si>
  <si>
    <t>TRACO2Ng</t>
  </si>
  <si>
    <t>CO2 emission from GAS use in TRA sector</t>
  </si>
  <si>
    <t>TOTCO2</t>
  </si>
  <si>
    <t>Total NET energy sector CO2</t>
  </si>
  <si>
    <t>INDNUC</t>
  </si>
  <si>
    <t>GASLNG</t>
  </si>
  <si>
    <t>Liquid Natural Gas</t>
  </si>
  <si>
    <t>repuc_unity</t>
  </si>
  <si>
    <t>dummy to create unit flow - for reporting Ucs</t>
  </si>
  <si>
    <t>misc</t>
  </si>
  <si>
    <t>N</t>
  </si>
  <si>
    <t>Set</t>
  </si>
  <si>
    <t>Commodity</t>
  </si>
  <si>
    <t>TSlvl</t>
  </si>
  <si>
    <t>Type</t>
  </si>
  <si>
    <t>*Commodity</t>
  </si>
  <si>
    <t>BIOBIN</t>
  </si>
  <si>
    <t>IEA Product: INDWASTE</t>
  </si>
  <si>
    <t>AGRBIO</t>
  </si>
  <si>
    <t>Agriculture sector use of: BIODIESEL,BIOGASOL,BIOJETKERO,CHARCOAL,INDWASTE,MUNWASTEN,MUNWASTER,OBIOLIQ,PRIMSBIO,RENEWNS</t>
  </si>
  <si>
    <t>TRAGH2</t>
  </si>
  <si>
    <t>Gaseous H2 for transport</t>
  </si>
  <si>
    <t>BIOBMU</t>
  </si>
  <si>
    <t>IEA Product: MUNWASTEN,MUNWASTER</t>
  </si>
  <si>
    <t>AGRCOA</t>
  </si>
  <si>
    <t>Agriculture sector use of: ANTCOAL,BITCOAL,BKB,BROWN,COALTAR,COKCOAL,GASCOKE,HARDCOAL,LIGNITE,OILSHALE,OTHER,OVENCOKE,PATFUEL,PEAT,PEATPROD,SUBCOAL</t>
  </si>
  <si>
    <t>TRALH2</t>
  </si>
  <si>
    <t>Liquid H2 for transport</t>
  </si>
  <si>
    <t>BIOBSL</t>
  </si>
  <si>
    <t>IEA Product: PRIMSBIO</t>
  </si>
  <si>
    <t>AGRCRD</t>
  </si>
  <si>
    <t>Agriculture sector use of: ADDITIVE</t>
  </si>
  <si>
    <t>\I:</t>
  </si>
  <si>
    <t>COMHH2</t>
  </si>
  <si>
    <t>Hydrogen - to blend with gas - COM</t>
  </si>
  <si>
    <t>BIOCHR</t>
  </si>
  <si>
    <t>IEA Product: CHARCOAL</t>
  </si>
  <si>
    <t>AGRELC</t>
  </si>
  <si>
    <t>Agriculture sector use of: ELECTR</t>
  </si>
  <si>
    <t>RESHH2</t>
  </si>
  <si>
    <t>Hydrogen - to blend with gas - RES</t>
  </si>
  <si>
    <t>BIODST</t>
  </si>
  <si>
    <t>IEA Product: BIODIESEL,OBIOLIQ</t>
  </si>
  <si>
    <t>AGRGEO</t>
  </si>
  <si>
    <t>Agriculture sector use of: GEOTHERM</t>
  </si>
  <si>
    <t>INDHH2</t>
  </si>
  <si>
    <t>Hydrogen - to blend with gas - IND</t>
  </si>
  <si>
    <t>BIOGAS</t>
  </si>
  <si>
    <t>IEA Product: BIOGASES</t>
  </si>
  <si>
    <t>AGRHET</t>
  </si>
  <si>
    <t>Agriculture sector use of: HEAT,HEATNS</t>
  </si>
  <si>
    <t>LTHEAT</t>
  </si>
  <si>
    <t>ELCHH2</t>
  </si>
  <si>
    <t>Hydrogen - to blend with gas - ELC</t>
  </si>
  <si>
    <t>BIOGSL</t>
  </si>
  <si>
    <t>IEA Product: BIOGASOL</t>
  </si>
  <si>
    <t>AGRHYD</t>
  </si>
  <si>
    <t>Agriculture sector use of: HYDRO</t>
  </si>
  <si>
    <t>BIOKER</t>
  </si>
  <si>
    <t>IEA Product: BIOJETKERO</t>
  </si>
  <si>
    <t>AGRKER</t>
  </si>
  <si>
    <t>Agriculture sector use of: AVGAS,JETGAS,NONBIOJETK,OTHKERO</t>
  </si>
  <si>
    <t>BIOREN</t>
  </si>
  <si>
    <t>IEA Product: RENEWNS</t>
  </si>
  <si>
    <t>AGRLPG</t>
  </si>
  <si>
    <t>Agriculture sector use of: LPG</t>
  </si>
  <si>
    <t>COABCO</t>
  </si>
  <si>
    <t>IEA Product: BKB,BROWN,LIGNITE,OTHER,PEAT,PEATPROD,SUBCOAL</t>
  </si>
  <si>
    <t>AGRNAP</t>
  </si>
  <si>
    <t>Agriculture sector use of: NAPHTHA</t>
  </si>
  <si>
    <t>COACOK</t>
  </si>
  <si>
    <t>IEA Product: COKCOAL,GASCOKE</t>
  </si>
  <si>
    <t>AGRNGA</t>
  </si>
  <si>
    <t>Agriculture sector use of: BIOGASES,BLFURGS,COKEOVGS,ETHANE,GASWKSGS,NATGAS,OGASES,REFINGAS</t>
  </si>
  <si>
    <t>tslvl</t>
  </si>
  <si>
    <t>COAHCO</t>
  </si>
  <si>
    <t>IEA Product: ANTCOAL,BITCOAL,HARDCOAL,OILSHALE,PATFUEL</t>
  </si>
  <si>
    <t>AGRNGL</t>
  </si>
  <si>
    <t>Agriculture sector use of: NGL</t>
  </si>
  <si>
    <t>ELC_Sol-DZA</t>
  </si>
  <si>
    <t>Solar electricity produced in - Algeria</t>
  </si>
  <si>
    <t>COAOVC</t>
  </si>
  <si>
    <t>IEA Product: OVENCOKE</t>
  </si>
  <si>
    <t>AGRNUC</t>
  </si>
  <si>
    <t>Agriculture sector use of: NUCLEAR</t>
  </si>
  <si>
    <t>ELC_Sol-EGY</t>
  </si>
  <si>
    <t>Solar electricity produced in - Egypt</t>
  </si>
  <si>
    <t>COATAR</t>
  </si>
  <si>
    <t>IEA Product: COALTAR</t>
  </si>
  <si>
    <t>AGROIL</t>
  </si>
  <si>
    <t>Agriculture sector use of: BITUMEN,CRNGFEED,CRUDEOIL,LUBRIC,NONBIODIES,NONBIOGASO,NONCRUDE,ONONSPEC,PARWAX,PETCOKE,REFFEEDS,RESFUEL,WHITESP</t>
  </si>
  <si>
    <t>ELC_Sol-LBY</t>
  </si>
  <si>
    <t>Solar electricity produced in - Libya</t>
  </si>
  <si>
    <t>IEA Product: ELECTR</t>
  </si>
  <si>
    <t>AGRSPV</t>
  </si>
  <si>
    <t>Agriculture sector use of: SOLARPV</t>
  </si>
  <si>
    <t>ELC_Sol-MAR</t>
  </si>
  <si>
    <t>Solar electricity produced in - Morocco</t>
  </si>
  <si>
    <t>GASBFG</t>
  </si>
  <si>
    <t>IEA Product: BLFURGS,OGASES</t>
  </si>
  <si>
    <t>AGRSTH</t>
  </si>
  <si>
    <t>Agriculture sector use of: SOLARTH</t>
  </si>
  <si>
    <t>ELC_Sol-TUN</t>
  </si>
  <si>
    <t>Solar electricity produced in - Tunisia</t>
  </si>
  <si>
    <t>GASCOG</t>
  </si>
  <si>
    <t>IEA Product: COKEOVGS</t>
  </si>
  <si>
    <t>AGRTDL</t>
  </si>
  <si>
    <t>Agriculture sector use of: TIDE</t>
  </si>
  <si>
    <t>ELC_Win-DZA</t>
  </si>
  <si>
    <t>Wind electricity produced in - Algeria</t>
  </si>
  <si>
    <t>GASETH</t>
  </si>
  <si>
    <t>IEA Product: ETHANE</t>
  </si>
  <si>
    <t>AGRWIN</t>
  </si>
  <si>
    <t>Agriculture sector use of: WIND</t>
  </si>
  <si>
    <t>ELC_Win-EGY</t>
  </si>
  <si>
    <t>Wind electricity produced in - Egypt</t>
  </si>
  <si>
    <t>GASGWG</t>
  </si>
  <si>
    <t>IEA Product: GASWKSGS</t>
  </si>
  <si>
    <t>COMASP</t>
  </si>
  <si>
    <t>Commercial sector use of: BITUMEN</t>
  </si>
  <si>
    <t>ELC_Win-LBY</t>
  </si>
  <si>
    <t>Wind electricity produced in - Libya</t>
  </si>
  <si>
    <t>GASNGA</t>
  </si>
  <si>
    <t>IEA Product: NATGAS</t>
  </si>
  <si>
    <t>COMBIO</t>
  </si>
  <si>
    <t>Commercial sector use of: BIODIESEL,BIOGASOL,BIOJETKERO,CHARCOAL,INDWASTE,MUNWASTEN,MUNWASTER,OBIOLIQ,PRIMSBIO,RENEWNS</t>
  </si>
  <si>
    <t>ELC_Win-MAR</t>
  </si>
  <si>
    <t>Wind electricity produced in - Morocco</t>
  </si>
  <si>
    <t>GASRFG</t>
  </si>
  <si>
    <t>IEA Product: REFINGAS</t>
  </si>
  <si>
    <t>COMCOA</t>
  </si>
  <si>
    <t>Commercial sector use of: ANTCOAL,BITCOAL,BKB,BROWN,COALTAR,COKCOAL,GASCOKE,HARDCOAL,LIGNITE,OILSHALE,OTHER,OVENCOKE,PATFUEL,PEAT,PEATPROD,SUBCOAL</t>
  </si>
  <si>
    <t>ELC_Win-TUN</t>
  </si>
  <si>
    <t>Wind electricity produced in - Tunisia</t>
  </si>
  <si>
    <t>GEO</t>
  </si>
  <si>
    <t>IEA Product: GEOTHERM</t>
  </si>
  <si>
    <t>COMCRD</t>
  </si>
  <si>
    <t>Commercial sector use of: ADDITIVE</t>
  </si>
  <si>
    <t>ELC_Sol-AGO</t>
  </si>
  <si>
    <t>Solar electricity produced in - Angola</t>
  </si>
  <si>
    <t>HET</t>
  </si>
  <si>
    <t>IEA Product: HEAT,HEATNS</t>
  </si>
  <si>
    <t>COMELC</t>
  </si>
  <si>
    <t>Commercial sector use of: ELECTR</t>
  </si>
  <si>
    <t>ELC_Sol-BDI</t>
  </si>
  <si>
    <t>Solar electricity produced in - Burundi</t>
  </si>
  <si>
    <t>HYD</t>
  </si>
  <si>
    <t>IEA Product: HYDRO</t>
  </si>
  <si>
    <t>COMGEO</t>
  </si>
  <si>
    <t>Commercial sector use of: GEOTHERM</t>
  </si>
  <si>
    <t>ELC_Sol-BEN</t>
  </si>
  <si>
    <t>Solar electricity produced in - Benin</t>
  </si>
  <si>
    <t>NUC</t>
  </si>
  <si>
    <t>IEA Product: NUCLEAR</t>
  </si>
  <si>
    <t>COMHET</t>
  </si>
  <si>
    <t>Commercial sector use of: HEAT,HEATNS</t>
  </si>
  <si>
    <t>ELC_Sol-BFA</t>
  </si>
  <si>
    <t>Solar electricity produced in - Burkina Faso</t>
  </si>
  <si>
    <t>OILASP</t>
  </si>
  <si>
    <t>IEA Product: BITUMEN</t>
  </si>
  <si>
    <t>COMHYD</t>
  </si>
  <si>
    <t>Commercial sector use of: HYDRO</t>
  </si>
  <si>
    <t>ELC_Sol-BWA</t>
  </si>
  <si>
    <t>Solar electricity produced in - Botswana</t>
  </si>
  <si>
    <t>OILCRD</t>
  </si>
  <si>
    <t>IEA Product: ADDITIVE,CRNGFEED,CRUDEOIL</t>
  </si>
  <si>
    <t>COMKER</t>
  </si>
  <si>
    <t>Commercial sector use of: AVGAS,JETGAS,NONBIOJETK,OTHKERO</t>
  </si>
  <si>
    <t>ELC_Sol-CAF</t>
  </si>
  <si>
    <t>Solar electricity produced in - Central African Republic</t>
  </si>
  <si>
    <t>OILDST</t>
  </si>
  <si>
    <t>IEA Product: NONBIODIES</t>
  </si>
  <si>
    <t>COMLPG</t>
  </si>
  <si>
    <t>Commercial sector use of: LPG</t>
  </si>
  <si>
    <t>ELC_Sol-CIV</t>
  </si>
  <si>
    <t>Solar electricity produced in - Ivory Coast</t>
  </si>
  <si>
    <t>IEA Product: REFFEEDS</t>
  </si>
  <si>
    <t>COMNAP</t>
  </si>
  <si>
    <t>Commercial sector use of: NAPHTHA</t>
  </si>
  <si>
    <t>ELC_Sol-CMR</t>
  </si>
  <si>
    <t>Solar electricity produced in - Cameroon</t>
  </si>
  <si>
    <t>OILGSL</t>
  </si>
  <si>
    <t>IEA Product: NONBIOGASO</t>
  </si>
  <si>
    <t>COMNGA</t>
  </si>
  <si>
    <t>Commercial sector use of: BIOGASES,BLFURGS,COKEOVGS,ETHANE,GASWKSGS,NATGAS,OGASES,REFINGAS</t>
  </si>
  <si>
    <t>ELC_Sol-COD</t>
  </si>
  <si>
    <t>Solar electricity produced in - Democratic Republic of Congo</t>
  </si>
  <si>
    <t>OILHFO</t>
  </si>
  <si>
    <t>IEA Product: RESFUEL</t>
  </si>
  <si>
    <t>COMNGL</t>
  </si>
  <si>
    <t>Commercial sector use of: NGL</t>
  </si>
  <si>
    <t>ELC_Sol-COG</t>
  </si>
  <si>
    <t>Solar electricity produced in - Republic of Congo</t>
  </si>
  <si>
    <t>OILJTK</t>
  </si>
  <si>
    <t>IEA Product: AVGAS,JETGAS,NONBIOJETK</t>
  </si>
  <si>
    <t>COMNUC</t>
  </si>
  <si>
    <t>Commercial sector use of: NUCLEAR</t>
  </si>
  <si>
    <t>ELC_Sol-COM</t>
  </si>
  <si>
    <t>Solar electricity produced in - Comoros</t>
  </si>
  <si>
    <t>OILKER</t>
  </si>
  <si>
    <t>IEA Product: OTHKERO</t>
  </si>
  <si>
    <t>COMOIL</t>
  </si>
  <si>
    <t>Commercial sector use of: CRNGFEED,CRUDEOIL,LUBRIC,NONBIODIES,NONBIOGASO,NONCRUDE,ONONSPEC,PARWAX,PETCOKE,REFFEEDS,RESFUEL,WHITESP</t>
  </si>
  <si>
    <t>ELC_Sol-CPV</t>
  </si>
  <si>
    <t>Solar electricity produced in - Cape Verde</t>
  </si>
  <si>
    <t>OILLPG</t>
  </si>
  <si>
    <t>IEA Product: LPG</t>
  </si>
  <si>
    <t>COMSPV</t>
  </si>
  <si>
    <t>Commercial sector use of: SOLARPV</t>
  </si>
  <si>
    <t>ELC_Sol-DJI</t>
  </si>
  <si>
    <t>Solar electricity produced in - Djibouti</t>
  </si>
  <si>
    <t>OILLUB</t>
  </si>
  <si>
    <t>IEA Product: LUBRIC,PARWAX,WHITESP</t>
  </si>
  <si>
    <t>COMSTH</t>
  </si>
  <si>
    <t>Commercial sector use of: SOLARTH</t>
  </si>
  <si>
    <t>ELC_Sol-ERI</t>
  </si>
  <si>
    <t>Solar electricity produced in - Eritrea</t>
  </si>
  <si>
    <t>OILNAP</t>
  </si>
  <si>
    <t>IEA Product: NAPHTHA</t>
  </si>
  <si>
    <t>COMTDL</t>
  </si>
  <si>
    <t>Commercial sector use of: TIDE</t>
  </si>
  <si>
    <t>ELC_Sol-ETH</t>
  </si>
  <si>
    <t>Solar electricity produced in - Ethiopia</t>
  </si>
  <si>
    <t>IEA Product: NONCRUDE</t>
  </si>
  <si>
    <t>COMWIN</t>
  </si>
  <si>
    <t>Commercial sector use of: WIND</t>
  </si>
  <si>
    <t>ELC_Sol-GAB</t>
  </si>
  <si>
    <t>Solar electricity produced in - Gabon</t>
  </si>
  <si>
    <t>OILNGL</t>
  </si>
  <si>
    <t>IEA Product: NGL</t>
  </si>
  <si>
    <t>INDBFG</t>
  </si>
  <si>
    <t>Industry sector use of: OGASES</t>
  </si>
  <si>
    <t>ELC_Sol-GHA</t>
  </si>
  <si>
    <t>Solar electricity produced in - Ghana</t>
  </si>
  <si>
    <t>OILNSP</t>
  </si>
  <si>
    <t>IEA Product: ONONSPEC</t>
  </si>
  <si>
    <t>INDBIO</t>
  </si>
  <si>
    <t>Industry sector use of: BIODIESEL,BIOGASES,BIOGASOL,BIOJETKERO,CHARCOAL,INDWASTE,MUNWASTEN,MUNWASTER,OBIOLIQ,PRIMSBIO,RENEWNS</t>
  </si>
  <si>
    <t>ELC_Sol-GIN</t>
  </si>
  <si>
    <t>Solar electricity produced in - Guinea</t>
  </si>
  <si>
    <t>OILPTC</t>
  </si>
  <si>
    <t>IEA Product: PETCOKE</t>
  </si>
  <si>
    <t>INDCOA</t>
  </si>
  <si>
    <t>Industry sector use of: ANTCOAL,BITCOAL,BKB,BROWN,COALTAR,COKCOAL,GASCOKE,HARDCOAL,LIGNITE,OILSHALE,OTHER,OVENCOKE,PATFUEL,PEAT,PEATPROD,SUBCOAL</t>
  </si>
  <si>
    <t>ELC_Sol-GMB</t>
  </si>
  <si>
    <t>Solar electricity produced in - The Gambia</t>
  </si>
  <si>
    <t>SPV</t>
  </si>
  <si>
    <t>IEA Product: SOLARPV</t>
  </si>
  <si>
    <t>INDELC</t>
  </si>
  <si>
    <t>Industry sector use of: ELECTR</t>
  </si>
  <si>
    <t>ELC_Sol-GNB</t>
  </si>
  <si>
    <t>Solar electricity produced in - Guinea-Bissau</t>
  </si>
  <si>
    <t>STH</t>
  </si>
  <si>
    <t>IEA Product: SOLARTH</t>
  </si>
  <si>
    <t>INDGEO</t>
  </si>
  <si>
    <t>Industry sector use of: GEOTHERM</t>
  </si>
  <si>
    <t>ELC_Sol-GNQ</t>
  </si>
  <si>
    <t>Solar electricity produced in - Equatorial Guinea</t>
  </si>
  <si>
    <t>TID</t>
  </si>
  <si>
    <t>IEA Product: TIDE</t>
  </si>
  <si>
    <t>INDHET</t>
  </si>
  <si>
    <t>Industry sector use of: HEAT,HEATNS</t>
  </si>
  <si>
    <t>ELC_Sol-KEN</t>
  </si>
  <si>
    <t>Solar electricity produced in - Kenya</t>
  </si>
  <si>
    <t>WIN</t>
  </si>
  <si>
    <t>IEA Product: WIND</t>
  </si>
  <si>
    <t>INDHYD</t>
  </si>
  <si>
    <t>Industry sector use of: HYDRO</t>
  </si>
  <si>
    <t>ELC_Sol-LBR</t>
  </si>
  <si>
    <t>Solar electricity produced in - Liberia</t>
  </si>
  <si>
    <t>INDNGA</t>
  </si>
  <si>
    <t>Industry sector use of: BLFURGS,COKEOVGS,ETHANE,GASWKSGS,NATGAS,REFINGAS</t>
  </si>
  <si>
    <t>ELC_Sol-LSO</t>
  </si>
  <si>
    <t>Solar electricity produced in - Lesotho</t>
  </si>
  <si>
    <t>Industry sector use of: NUCLEAR</t>
  </si>
  <si>
    <t>ELC_Sol-MDG</t>
  </si>
  <si>
    <t>Solar electricity produced in - Madagascar</t>
  </si>
  <si>
    <t>INDOIL</t>
  </si>
  <si>
    <t>Industry sector use of: ADDITIVE,AVGAS,BITUMEN,CRNGFEED,CRUDEOIL,JETGAS,LPG,LUBRIC,NAPHTHA,NGL,NONBIODIES,NONBIOGASO,NONBIOJETK,NONCRUDE,ONONSPEC,OTHKERO,PARWAX,PETCOKE,REFFEEDS,RESFUEL,WHITESP</t>
  </si>
  <si>
    <t>ELC_Sol-MLI</t>
  </si>
  <si>
    <t>Solar electricity produced in - Mali</t>
  </si>
  <si>
    <t>INDSPV</t>
  </si>
  <si>
    <t>Industry sector use of: SOLARPV</t>
  </si>
  <si>
    <t>ELC_Sol-MOZ</t>
  </si>
  <si>
    <t>Solar electricity produced in - Mozambique</t>
  </si>
  <si>
    <t>INDSTH</t>
  </si>
  <si>
    <t>Industry sector use of: SOLARTH</t>
  </si>
  <si>
    <t>ELC_Sol-MRT</t>
  </si>
  <si>
    <t>Solar electricity produced in - Mauritania</t>
  </si>
  <si>
    <t>INDTID</t>
  </si>
  <si>
    <t>Industry sector use of: TIDE</t>
  </si>
  <si>
    <t>ELC_Sol-MUS</t>
  </si>
  <si>
    <t>Solar electricity produced in - Mauritius</t>
  </si>
  <si>
    <t>INDWIN</t>
  </si>
  <si>
    <t>Industry sector use of: WIND</t>
  </si>
  <si>
    <t>ELC_Sol-MWI</t>
  </si>
  <si>
    <t>Solar electricity produced in - Malawi</t>
  </si>
  <si>
    <t>RESASP</t>
  </si>
  <si>
    <t>Residential sector use of: BITUMEN</t>
  </si>
  <si>
    <t>ELC_Sol-MYT</t>
  </si>
  <si>
    <t>Solar electricity produced in - Mayotte</t>
  </si>
  <si>
    <t>RESBIO</t>
  </si>
  <si>
    <t>Residential sector use of: BIODIESEL,BIOGASOL,BIOJETKERO,CHARCOAL,INDWASTE,MUNWASTEN,MUNWASTER,OBIOLIQ,PRIMSBIO,RENEWNS</t>
  </si>
  <si>
    <t>ELC_Sol-NAM</t>
  </si>
  <si>
    <t>Solar electricity produced in - Namibia</t>
  </si>
  <si>
    <t>RESCOA</t>
  </si>
  <si>
    <t>Residential sector use of: ANTCOAL,BITCOAL,BKB,BROWN,COALTAR,COKCOAL,GASCOKE,HARDCOAL,LIGNITE,OILSHALE,OTHER,OVENCOKE,PATFUEL,PEAT,PEATPROD,SUBCOAL</t>
  </si>
  <si>
    <t>ELC_Sol-NER</t>
  </si>
  <si>
    <t>Solar electricity produced in - Niger</t>
  </si>
  <si>
    <t>RESCRD</t>
  </si>
  <si>
    <t>Residential sector use of: ADDITIVE</t>
  </si>
  <si>
    <t>ELC_Sol-NGA</t>
  </si>
  <si>
    <t>Solar electricity produced in - Nigeria</t>
  </si>
  <si>
    <t>RESELC</t>
  </si>
  <si>
    <t>Residential sector use of: ELECTR</t>
  </si>
  <si>
    <t>ELC_Sol-RWA</t>
  </si>
  <si>
    <t>Solar electricity produced in - Rwanda</t>
  </si>
  <si>
    <t>RESGEO</t>
  </si>
  <si>
    <t>Residential sector use of: GEOTHERM</t>
  </si>
  <si>
    <t>ELC_Sol-SDN</t>
  </si>
  <si>
    <t>Solar electricity produced in - Sudan</t>
  </si>
  <si>
    <t>RESHET</t>
  </si>
  <si>
    <t>Residential sector use of: HEAT,HEATNS</t>
  </si>
  <si>
    <t>ELC_Sol-SEN</t>
  </si>
  <si>
    <t>Solar electricity produced in - Senegal</t>
  </si>
  <si>
    <t>RESHYD</t>
  </si>
  <si>
    <t>Residential sector use of: HYDRO</t>
  </si>
  <si>
    <t>ELC_Sol-SLE</t>
  </si>
  <si>
    <t>Solar electricity produced in - Sierra Leone</t>
  </si>
  <si>
    <t>RESKER</t>
  </si>
  <si>
    <t>Residential sector use of: AVGAS,JETGAS,NONBIOJETK,OTHKERO</t>
  </si>
  <si>
    <t>ELC_Sol-SOM</t>
  </si>
  <si>
    <t>Solar electricity produced in - Somalia</t>
  </si>
  <si>
    <t>RESLPG</t>
  </si>
  <si>
    <t>Residential sector use of: LPG</t>
  </si>
  <si>
    <t>ELC_Sol-SSD</t>
  </si>
  <si>
    <t>Solar electricity produced in - South Sudan</t>
  </si>
  <si>
    <t>RESNAP</t>
  </si>
  <si>
    <t>Residential sector use of: NAPHTHA</t>
  </si>
  <si>
    <t>ELC_Sol-STP</t>
  </si>
  <si>
    <t>Solar electricity produced in - Sao Tome and Principe</t>
  </si>
  <si>
    <t>RESNGA</t>
  </si>
  <si>
    <t>Residential sector use of: BIOGASES,BLFURGS,COKEOVGS,ETHANE,GASWKSGS,NATGAS,OGASES,REFINGAS</t>
  </si>
  <si>
    <t>ELC_Sol-SWZ</t>
  </si>
  <si>
    <t>Solar electricity produced in - Swaziland</t>
  </si>
  <si>
    <t>RESNGL</t>
  </si>
  <si>
    <t>Residential sector use of: NGL</t>
  </si>
  <si>
    <t>ELC_Sol-SYC</t>
  </si>
  <si>
    <t>Solar electricity produced in - Seychelles</t>
  </si>
  <si>
    <t>RESNUC</t>
  </si>
  <si>
    <t>Residential sector use of: NUCLEAR</t>
  </si>
  <si>
    <t>ELC_Sol-TCD</t>
  </si>
  <si>
    <t>Solar electricity produced in - Chad</t>
  </si>
  <si>
    <t>RESOIL</t>
  </si>
  <si>
    <t>Residential sector use of: CRNGFEED,CRUDEOIL,LUBRIC,NONBIODIES,NONBIOGASO,NONCRUDE,ONONSPEC,PARWAX,PETCOKE,REFFEEDS,RESFUEL,WHITESP</t>
  </si>
  <si>
    <t>ELC_Sol-TGO</t>
  </si>
  <si>
    <t>Solar electricity produced in - Togo</t>
  </si>
  <si>
    <t>RESSPV</t>
  </si>
  <si>
    <t>Residential sector use of: SOLARPV</t>
  </si>
  <si>
    <t>ELC_Sol-TZA</t>
  </si>
  <si>
    <t>Solar electricity produced in - Tanzania</t>
  </si>
  <si>
    <t>RESSTH</t>
  </si>
  <si>
    <t>Residential sector use of: SOLARTH</t>
  </si>
  <si>
    <t>ELC_Sol-UGA</t>
  </si>
  <si>
    <t>Solar electricity produced in - Uganda</t>
  </si>
  <si>
    <t>RESTDL</t>
  </si>
  <si>
    <t>Residential sector use of: TIDE</t>
  </si>
  <si>
    <t>ELC_Sol-ZMB</t>
  </si>
  <si>
    <t>Solar electricity produced in - Zambia</t>
  </si>
  <si>
    <t>RESWIN</t>
  </si>
  <si>
    <t>Residential sector use of: WIND</t>
  </si>
  <si>
    <t>ELC_Sol-ZWE</t>
  </si>
  <si>
    <t>Solar electricity produced in - Zimbabwe</t>
  </si>
  <si>
    <t>TRABDS</t>
  </si>
  <si>
    <t>Transport sector use of: BIODIESEL,OBIOLIQ</t>
  </si>
  <si>
    <t>ELC_Win-AGO</t>
  </si>
  <si>
    <t>Wind electricity produced in - Angola</t>
  </si>
  <si>
    <t>TRABGS</t>
  </si>
  <si>
    <t>Transport sector use of: BIOGASOL,RENEWNS</t>
  </si>
  <si>
    <t>ELC_Win-BDI</t>
  </si>
  <si>
    <t>Wind electricity produced in - Burundi</t>
  </si>
  <si>
    <t>TRABJK</t>
  </si>
  <si>
    <t>Transport sector use of: BIOJETKERO</t>
  </si>
  <si>
    <t>ELC_Win-BEN</t>
  </si>
  <si>
    <t>Wind electricity produced in - Benin</t>
  </si>
  <si>
    <t>TRABSL</t>
  </si>
  <si>
    <t>Transport sector use of: CHARCOAL,PRIMSBIO</t>
  </si>
  <si>
    <t>ELC_Win-BFA</t>
  </si>
  <si>
    <t>Wind electricity produced in - Burkina Faso</t>
  </si>
  <si>
    <t>TRACOA</t>
  </si>
  <si>
    <t>Transport sector use of: ANTCOAL,BITCOAL,BKB,BROWN,COALTAR,COKCOAL,GASCOKE,HARDCOAL,LIGNITE,OTHER,OVENCOKE,PATFUEL,PEAT,PEATPROD,SUBCOAL</t>
  </si>
  <si>
    <t>ELC_Win-BWA</t>
  </si>
  <si>
    <t>Wind electricity produced in - Botswana</t>
  </si>
  <si>
    <t>TRADST</t>
  </si>
  <si>
    <t>Transport sector use of: NONBIODIES</t>
  </si>
  <si>
    <t>ELC_Win-CAF</t>
  </si>
  <si>
    <t>Wind electricity produced in - Central African Republic</t>
  </si>
  <si>
    <t>TRAELC</t>
  </si>
  <si>
    <t>Transport sector use of: ELECTR,SOLARPV,SOLARTH,TIDE,WIND</t>
  </si>
  <si>
    <t>ELC_Win-CIV</t>
  </si>
  <si>
    <t>Wind electricity produced in - Ivory Coast</t>
  </si>
  <si>
    <t>TRAGSL</t>
  </si>
  <si>
    <t>Transport sector use of: ADDITIVE,BITUMEN,CRNGFEED,CRUDEOIL,NAPHTHA,NONBIOGASO,PARWAX,PETCOKE,REFFEEDS,WHITESP</t>
  </si>
  <si>
    <t>ELC_Win-CMR</t>
  </si>
  <si>
    <t>Wind electricity produced in - Cameroon</t>
  </si>
  <si>
    <t>TRAHFO</t>
  </si>
  <si>
    <t>Transport sector use of: LUBRIC,NGL,ONONSPEC,RESFUEL</t>
  </si>
  <si>
    <t>ELC_Win-COD</t>
  </si>
  <si>
    <t>Wind electricity produced in - Democratic Republic of Congo</t>
  </si>
  <si>
    <t>TRAJTK</t>
  </si>
  <si>
    <t>Transport sector use of: AVGAS,JETGAS,NONBIOJETK,OTHKERO</t>
  </si>
  <si>
    <t>ELC_Win-COG</t>
  </si>
  <si>
    <t>Wind electricity produced in - Republic of Congo</t>
  </si>
  <si>
    <t>TRALPG</t>
  </si>
  <si>
    <t>Transport sector use of: LPG</t>
  </si>
  <si>
    <t>ELC_Win-COM</t>
  </si>
  <si>
    <t>Wind electricity produced in - Comoros</t>
  </si>
  <si>
    <t>TRANGA</t>
  </si>
  <si>
    <t>Transport sector use of: BIOGASES,BLFURGS,COKEOVGS,ETHANE,GASWKSGS,NATGAS,REFINGAS</t>
  </si>
  <si>
    <t>ELC_Win-CPV</t>
  </si>
  <si>
    <t>Wind electricity produced in - Cape Verde</t>
  </si>
  <si>
    <t>Electricity from Vehicle batteries</t>
  </si>
  <si>
    <t>TRDELC</t>
  </si>
  <si>
    <t>ELC_Win-DJI</t>
  </si>
  <si>
    <t>Wind electricity produced in - Djibouti</t>
  </si>
  <si>
    <t>ELC_Win-ERI</t>
  </si>
  <si>
    <t>Wind electricity produced in - Eritrea</t>
  </si>
  <si>
    <t>ELC_Win-ETH</t>
  </si>
  <si>
    <t>Wind electricity produced in - Ethiopia</t>
  </si>
  <si>
    <t>ELC_Win-GAB</t>
  </si>
  <si>
    <t>Wind electricity produced in - Gabon</t>
  </si>
  <si>
    <t>ELC_Win-GHA</t>
  </si>
  <si>
    <t>Wind electricity produced in - Ghana</t>
  </si>
  <si>
    <t>ELC_Win-GIN</t>
  </si>
  <si>
    <t>Wind electricity produced in - Guinea</t>
  </si>
  <si>
    <t>ELC_Win-GMB</t>
  </si>
  <si>
    <t>Wind electricity produced in - The Gambia</t>
  </si>
  <si>
    <t>ELC_Win-GNB</t>
  </si>
  <si>
    <t>Wind electricity produced in - Guinea-Bissau</t>
  </si>
  <si>
    <t>ELCBSL</t>
  </si>
  <si>
    <t>Power sector use of: CHARCOAL,INDWASTE,MUNWASTEN,MUNWASTER,PRIMSBIO,RENEWNS</t>
  </si>
  <si>
    <t>ELC_Win-GNQ</t>
  </si>
  <si>
    <t>Wind electricity produced in - Equatorial Guinea</t>
  </si>
  <si>
    <t>ELCCOA</t>
  </si>
  <si>
    <t>Power sector use of: ANTCOAL,BITCOAL,COALTAR,COKCOAL,GASCOKE,HARDCOAL,OILSHALE,OVENCOKE,PATFUEL</t>
  </si>
  <si>
    <t>ELC_Win-KEN</t>
  </si>
  <si>
    <t>Wind electricity produced in - Kenya</t>
  </si>
  <si>
    <t>ELCCOB</t>
  </si>
  <si>
    <t>Power sector use of: BKB,BROWN,LIGNITE,OTHER,PEAT,PEATPROD,SUBCOAL</t>
  </si>
  <si>
    <t>ELC_Win-LBR</t>
  </si>
  <si>
    <t>Wind electricity produced in - Liberia</t>
  </si>
  <si>
    <t>ELCGEO</t>
  </si>
  <si>
    <t>Power sector use of: GEOTHERM</t>
  </si>
  <si>
    <t>ELC_Win-LSO</t>
  </si>
  <si>
    <t>Wind electricity produced in - Lesotho</t>
  </si>
  <si>
    <t>ELCHYD</t>
  </si>
  <si>
    <t>Power sector use of: HYDRO</t>
  </si>
  <si>
    <t>ELC_Win-MDG</t>
  </si>
  <si>
    <t>Wind electricity produced in - Madagascar</t>
  </si>
  <si>
    <t>ELCNGA</t>
  </si>
  <si>
    <t>Power sector use of: BIOGASES,BLFURGS,COKEOVGS,ETHANE,GASWKSGS,NATGAS,OGASES,REFINGAS</t>
  </si>
  <si>
    <t>ELC_Win-MLI</t>
  </si>
  <si>
    <t>Wind electricity produced in - Mali</t>
  </si>
  <si>
    <t>ELCNUC</t>
  </si>
  <si>
    <t>Power sector use of: NUCLEAR</t>
  </si>
  <si>
    <t>ELC_Win-MOZ</t>
  </si>
  <si>
    <t>Wind electricity produced in - Mozambique</t>
  </si>
  <si>
    <t>ELCOIL</t>
  </si>
  <si>
    <t>Power sector use of: ADDITIVE,AVGAS,BIODIESEL,BIOGASOL,BIOJETKERO,BITUMEN,JETGAS,LPG,LUBRIC,NAPHTHA,NGL,NONBIOGASO,NONBIOJETK,NONCRUDE,OBIOLIQ,ONONSPEC,OTHKERO,PARWAX,PETCOKE,RESFUEL,WHITESP</t>
  </si>
  <si>
    <t>ELC_Win-MRT</t>
  </si>
  <si>
    <t>Wind electricity produced in - Mauritania</t>
  </si>
  <si>
    <t>ELCOIL_CRD</t>
  </si>
  <si>
    <t>Power sector use of: CRNGFEED,CRUDEOIL,REFFEEDS</t>
  </si>
  <si>
    <t>ELC_Win-MUS</t>
  </si>
  <si>
    <t>Wind electricity produced in - Mauritius</t>
  </si>
  <si>
    <t>ELCOIL_DST</t>
  </si>
  <si>
    <t>Power sector use of: NONBIODIES</t>
  </si>
  <si>
    <t>ELC_Win-MWI</t>
  </si>
  <si>
    <t>Wind electricity produced in - Malawi</t>
  </si>
  <si>
    <t>ELCSPV</t>
  </si>
  <si>
    <t>Power sector use of: SOLARPV</t>
  </si>
  <si>
    <t>ELC_Win-MYT</t>
  </si>
  <si>
    <t>Wind electricity produced in - Mayotte</t>
  </si>
  <si>
    <t>ELCSTH</t>
  </si>
  <si>
    <t>Power sector use of: SOLARTH</t>
  </si>
  <si>
    <t>ELC_Win-NAM</t>
  </si>
  <si>
    <t>Wind electricity produced in - Namibia</t>
  </si>
  <si>
    <t>ELCTDL</t>
  </si>
  <si>
    <t>Power sector use of: TIDE</t>
  </si>
  <si>
    <t>ELC_Win-NER</t>
  </si>
  <si>
    <t>Wind electricity produced in - Niger</t>
  </si>
  <si>
    <t>ELCWIN</t>
  </si>
  <si>
    <t>Power sector use of: WIND</t>
  </si>
  <si>
    <t>ELC_Win-NGA</t>
  </si>
  <si>
    <t>Wind electricity produced in - Nigeria</t>
  </si>
  <si>
    <t>ELC_Win-RWA</t>
  </si>
  <si>
    <t>Wind electricity produced in - Rwanda</t>
  </si>
  <si>
    <t>ELC_Win-SDN</t>
  </si>
  <si>
    <t>Wind electricity produced in - Sudan</t>
  </si>
  <si>
    <t>ELC_Win-SEN</t>
  </si>
  <si>
    <t>Wind electricity produced in - Senegal</t>
  </si>
  <si>
    <t>ELC_Win-SLE</t>
  </si>
  <si>
    <t>Wind electricity produced in - Sierra Leone</t>
  </si>
  <si>
    <t>ELC_Win-SOM</t>
  </si>
  <si>
    <t>Wind electricity produced in - Somalia</t>
  </si>
  <si>
    <t>ELC_Win-SSD</t>
  </si>
  <si>
    <t>Wind electricity produced in - South Sudan</t>
  </si>
  <si>
    <t>ELC_Win-STP</t>
  </si>
  <si>
    <t>Wind electricity produced in - Sao Tome and Principe</t>
  </si>
  <si>
    <t>ELC_Win-SWZ</t>
  </si>
  <si>
    <t>Wind electricity produced in - Swaziland</t>
  </si>
  <si>
    <t>ELC_Win-SYC</t>
  </si>
  <si>
    <t>Wind electricity produced in - Seychelles</t>
  </si>
  <si>
    <t>ELC_Win-TCD</t>
  </si>
  <si>
    <t>Wind electricity produced in - Chad</t>
  </si>
  <si>
    <t>ELC_Win-TGO</t>
  </si>
  <si>
    <t>Wind electricity produced in - Togo</t>
  </si>
  <si>
    <t>ELC_Win-TZA</t>
  </si>
  <si>
    <t>Wind electricity produced in - Tanzania</t>
  </si>
  <si>
    <t>ELC_Win-UGA</t>
  </si>
  <si>
    <t>Wind electricity produced in - Uganda</t>
  </si>
  <si>
    <t>ELC_Win-ZMB</t>
  </si>
  <si>
    <t>Wind electricity produced in - Zambia</t>
  </si>
  <si>
    <t>ELC_Win-ZWE</t>
  </si>
  <si>
    <t>Wind electricity produced in - Zimbabwe</t>
  </si>
  <si>
    <t>ELC_Sol-AUS</t>
  </si>
  <si>
    <t>Solar electricity produced in - Australia</t>
  </si>
  <si>
    <t>ELC_Win-AUS</t>
  </si>
  <si>
    <t>Wind electricity produced in - Australia</t>
  </si>
  <si>
    <t>ELC_Sol-AUT</t>
  </si>
  <si>
    <t>Solar electricity produced in - Austria</t>
  </si>
  <si>
    <t>ELC_Win-AUT</t>
  </si>
  <si>
    <t>Wind electricity produced in - Austria</t>
  </si>
  <si>
    <t>ELC_Sol-EST</t>
  </si>
  <si>
    <t>Solar electricity produced in - Estonia</t>
  </si>
  <si>
    <t>ELC_Sol-LTU</t>
  </si>
  <si>
    <t>Solar electricity produced in - Lithuania</t>
  </si>
  <si>
    <t>ELC_Sol-LVA</t>
  </si>
  <si>
    <t>Solar electricity produced in - Latvia</t>
  </si>
  <si>
    <t>ELC_Win-EST</t>
  </si>
  <si>
    <t>Wind electricity produced in - Estonia</t>
  </si>
  <si>
    <t>ELC_Win-LTU</t>
  </si>
  <si>
    <t>Wind electricity produced in - Lithuania</t>
  </si>
  <si>
    <t>ELC_Win-LVA</t>
  </si>
  <si>
    <t>Wind electricity produced in - Latvia</t>
  </si>
  <si>
    <t>ELC_Sol-BEL</t>
  </si>
  <si>
    <t>Solar electricity produced in - Belgium</t>
  </si>
  <si>
    <t>ELC_Sol-LUX</t>
  </si>
  <si>
    <t>Solar electricity produced in - Luxembourg</t>
  </si>
  <si>
    <t>ELC_Sol-NLD</t>
  </si>
  <si>
    <t>Solar electricity produced in - Netherlands</t>
  </si>
  <si>
    <t>ELC_Win-BEL</t>
  </si>
  <si>
    <t>Wind electricity produced in - Belgium</t>
  </si>
  <si>
    <t>ELC_Win-LUX</t>
  </si>
  <si>
    <t>Wind electricity produced in - Luxembourg</t>
  </si>
  <si>
    <t>ELC_Win-NLD</t>
  </si>
  <si>
    <t>Wind electricity produced in - Netherlands</t>
  </si>
  <si>
    <t>ELC_Sol-BRA</t>
  </si>
  <si>
    <t>Solar electricity produced in - Brazil</t>
  </si>
  <si>
    <t>ELC_Win-BRA</t>
  </si>
  <si>
    <t>Wind electricity produced in - Brazil</t>
  </si>
  <si>
    <t>ELC_Sol-CHN</t>
  </si>
  <si>
    <t>Solar electricity produced in - China</t>
  </si>
  <si>
    <t>ELC_Win-CHN</t>
  </si>
  <si>
    <t>Wind electricity produced in - China</t>
  </si>
  <si>
    <t>ELC_Sol-HRV</t>
  </si>
  <si>
    <t>Solar electricity produced in - Croatia</t>
  </si>
  <si>
    <t>ELC_Sol-SVN</t>
  </si>
  <si>
    <t>Solar electricity produced in - Slovenia</t>
  </si>
  <si>
    <t>ELC_Win-HRV</t>
  </si>
  <si>
    <t>Wind electricity produced in - Croatia</t>
  </si>
  <si>
    <t>ELC_Win-SVN</t>
  </si>
  <si>
    <t>Wind electricity produced in - Slovenia</t>
  </si>
  <si>
    <t>ELC_Sol-CZE</t>
  </si>
  <si>
    <t>Solar electricity produced in - Czech Republic</t>
  </si>
  <si>
    <t>ELC_Sol-SVK</t>
  </si>
  <si>
    <t>Solar electricity produced in - Slovak Republic</t>
  </si>
  <si>
    <t>ELC_Win-CZE</t>
  </si>
  <si>
    <t>Wind electricity produced in - Czech Republic</t>
  </si>
  <si>
    <t>ELC_Win-SVK</t>
  </si>
  <si>
    <t>Wind electricity produced in - Slovak Republic</t>
  </si>
  <si>
    <t>ELC_Sol-FRA</t>
  </si>
  <si>
    <t>Solar electricity produced in - France</t>
  </si>
  <si>
    <t>ELC_Win-FRA</t>
  </si>
  <si>
    <t>Wind electricity produced in - France</t>
  </si>
  <si>
    <t>ELC_Sol-DEU</t>
  </si>
  <si>
    <t>Solar electricity produced in - Germany</t>
  </si>
  <si>
    <t>ELC_Win-DEU</t>
  </si>
  <si>
    <t>Wind electricity produced in - Germany</t>
  </si>
  <si>
    <t>ELC_Sol-CYP</t>
  </si>
  <si>
    <t>Solar electricity produced in - Cyprus</t>
  </si>
  <si>
    <t>ELC_Sol-GRC</t>
  </si>
  <si>
    <t>Solar electricity produced in - Greece</t>
  </si>
  <si>
    <t>ELC_Win-CYP</t>
  </si>
  <si>
    <t>Wind electricity produced in - Cyprus</t>
  </si>
  <si>
    <t>ELC_Win-GRC</t>
  </si>
  <si>
    <t>Wind electricity produced in - Greece</t>
  </si>
  <si>
    <t>ELC_Sol-BGR</t>
  </si>
  <si>
    <t>Solar electricity produced in - Bulgaria</t>
  </si>
  <si>
    <t>ELC_Sol-HUN</t>
  </si>
  <si>
    <t>Solar electricity produced in - Hungary</t>
  </si>
  <si>
    <t>ELC_Sol-ROU</t>
  </si>
  <si>
    <t>Solar electricity produced in - Romania</t>
  </si>
  <si>
    <t>ELC_Win-BGR</t>
  </si>
  <si>
    <t>Wind electricity produced in - Bulgaria</t>
  </si>
  <si>
    <t>ELC_Win-HUN</t>
  </si>
  <si>
    <t>Wind electricity produced in - Hungary</t>
  </si>
  <si>
    <t>ELC_Win-ROU</t>
  </si>
  <si>
    <t>Wind electricity produced in - Romania</t>
  </si>
  <si>
    <t>ELC_Sol-ISL</t>
  </si>
  <si>
    <t>Solar electricity produced in - Iceland</t>
  </si>
  <si>
    <t>ELC_Win-ISL</t>
  </si>
  <si>
    <t>Wind electricity produced in - Iceland</t>
  </si>
  <si>
    <t>ELC_Sol-IND</t>
  </si>
  <si>
    <t>Solar electricity produced in - India</t>
  </si>
  <si>
    <t>ELC_Win-IND</t>
  </si>
  <si>
    <t>Wind electricity produced in - India</t>
  </si>
  <si>
    <t>ELC_Sol-IRL</t>
  </si>
  <si>
    <t>Solar electricity produced in - Ireland</t>
  </si>
  <si>
    <t>ELC_Win-IRL</t>
  </si>
  <si>
    <t>Wind electricity produced in - Ireland</t>
  </si>
  <si>
    <t>ELC_Sol-ITA</t>
  </si>
  <si>
    <t>Solar electricity produced in - Italy</t>
  </si>
  <si>
    <t>ELC_Sol-MLT</t>
  </si>
  <si>
    <t>Solar electricity produced in - Malta</t>
  </si>
  <si>
    <t>ELC_Win-ITA</t>
  </si>
  <si>
    <t>Wind electricity produced in - Italy</t>
  </si>
  <si>
    <t>ELC_Win-MLT</t>
  </si>
  <si>
    <t>Wind electricity produced in - Malta</t>
  </si>
  <si>
    <t>ELC_Sol-JPN</t>
  </si>
  <si>
    <t>Solar electricity produced in - Japan</t>
  </si>
  <si>
    <t>ELC_Win-JPN</t>
  </si>
  <si>
    <t>Wind electricity produced in - Japan</t>
  </si>
  <si>
    <t>ELC_Sol-ABW</t>
  </si>
  <si>
    <t>Solar electricity produced in - Aruba</t>
  </si>
  <si>
    <t>ELC_Sol-ARG</t>
  </si>
  <si>
    <t>Solar electricity produced in - Argentina</t>
  </si>
  <si>
    <t>ELC_Sol-ATG</t>
  </si>
  <si>
    <t>Solar electricity produced in - Antigua and Barbuda</t>
  </si>
  <si>
    <t>ELC_Sol-BHS</t>
  </si>
  <si>
    <t>Solar electricity produced in - The Bahamas</t>
  </si>
  <si>
    <t>ELC_Sol-BLZ</t>
  </si>
  <si>
    <t>Solar electricity produced in - Belize</t>
  </si>
  <si>
    <t>ELC_Sol-BOL</t>
  </si>
  <si>
    <t>Solar electricity produced in - Bolivia</t>
  </si>
  <si>
    <t>ELC_Sol-BRB</t>
  </si>
  <si>
    <t>Solar electricity produced in - Barbados</t>
  </si>
  <si>
    <t>ELC_Sol-CHL</t>
  </si>
  <si>
    <t>Solar electricity produced in - Chile</t>
  </si>
  <si>
    <t>ELC_Sol-COL</t>
  </si>
  <si>
    <t>Solar electricity produced in - Colombia</t>
  </si>
  <si>
    <t>ELC_Sol-CRI</t>
  </si>
  <si>
    <t>Solar electricity produced in - Costa Rica</t>
  </si>
  <si>
    <t>ELC_Sol-CUB</t>
  </si>
  <si>
    <t>Solar electricity produced in - Cuba</t>
  </si>
  <si>
    <t>ELC_Sol-CYM</t>
  </si>
  <si>
    <t>Solar electricity produced in - Cayman Islands</t>
  </si>
  <si>
    <t>ELC_Sol-DMA</t>
  </si>
  <si>
    <t>Solar electricity produced in - Dominica</t>
  </si>
  <si>
    <t>ELC_Sol-DOM</t>
  </si>
  <si>
    <t>Solar electricity produced in - Dominican Republic</t>
  </si>
  <si>
    <t>ELC_Sol-ECU</t>
  </si>
  <si>
    <t>Solar electricity produced in - Ecuador</t>
  </si>
  <si>
    <t>ELC_Sol-GRD</t>
  </si>
  <si>
    <t>Solar electricity produced in - Grenada</t>
  </si>
  <si>
    <t>ELC_Sol-GTM</t>
  </si>
  <si>
    <t>Solar electricity produced in - Guatemala</t>
  </si>
  <si>
    <t>ELC_Sol-GUF</t>
  </si>
  <si>
    <t>Solar electricity produced in - French Guiana</t>
  </si>
  <si>
    <t>ELC_Sol-GUY</t>
  </si>
  <si>
    <t>Solar electricity produced in - Guyana</t>
  </si>
  <si>
    <t>ELC_Sol-HND</t>
  </si>
  <si>
    <t>Solar electricity produced in - Honduras</t>
  </si>
  <si>
    <t>ELC_Sol-HTI</t>
  </si>
  <si>
    <t>Solar electricity produced in - Haiti</t>
  </si>
  <si>
    <t>ELC_Sol-JAM</t>
  </si>
  <si>
    <t>Solar electricity produced in - Jamaica</t>
  </si>
  <si>
    <t>ELC_Sol-KNA</t>
  </si>
  <si>
    <t>Solar electricity produced in - St. Kitts and Nevis</t>
  </si>
  <si>
    <t>ELC_Sol-LCA</t>
  </si>
  <si>
    <t>Solar electricity produced in - St. Lucia</t>
  </si>
  <si>
    <t>ELC_Sol-MSR</t>
  </si>
  <si>
    <t>Solar electricity produced in - Montserrat</t>
  </si>
  <si>
    <t>ELC_Sol-NIC</t>
  </si>
  <si>
    <t>Solar electricity produced in - Nicaragua</t>
  </si>
  <si>
    <t>ELC_Sol-PAN</t>
  </si>
  <si>
    <t>Solar electricity produced in - Panama</t>
  </si>
  <si>
    <t>ELC_Sol-PER</t>
  </si>
  <si>
    <t>Solar electricity produced in - Peru</t>
  </si>
  <si>
    <t>ELC_Sol-PRI</t>
  </si>
  <si>
    <t>Solar electricity produced in - Puerto Rico</t>
  </si>
  <si>
    <t>ELC_Sol-PRY</t>
  </si>
  <si>
    <t>Solar electricity produced in - Paraguay</t>
  </si>
  <si>
    <t>ELC_Sol-SLV</t>
  </si>
  <si>
    <t>Solar electricity produced in - El Salvador</t>
  </si>
  <si>
    <t>ELC_Sol-SUR</t>
  </si>
  <si>
    <t>Solar electricity produced in - Suriname</t>
  </si>
  <si>
    <t>ELC_Sol-TCA</t>
  </si>
  <si>
    <t>Solar electricity produced in - Turks and Caicos Islands</t>
  </si>
  <si>
    <t>ELC_Sol-TTO</t>
  </si>
  <si>
    <t>Solar electricity produced in - Trinidad and Tobago</t>
  </si>
  <si>
    <t>ELC_Sol-URY</t>
  </si>
  <si>
    <t>Solar electricity produced in - Uruguay</t>
  </si>
  <si>
    <t>ELC_Sol-VCT</t>
  </si>
  <si>
    <t>Solar electricity produced in - St. Vincent and the Grenadines</t>
  </si>
  <si>
    <t>ELC_Sol-VEN</t>
  </si>
  <si>
    <t>Solar electricity produced in - Venezuela</t>
  </si>
  <si>
    <t>ELC_Sol-VIR</t>
  </si>
  <si>
    <t>Solar electricity produced in - Virgin Islands</t>
  </si>
  <si>
    <t>ELC_Win-ABW</t>
  </si>
  <si>
    <t>Wind electricity produced in - Aruba</t>
  </si>
  <si>
    <t>ELC_Win-ARG</t>
  </si>
  <si>
    <t>Wind electricity produced in - Argentina</t>
  </si>
  <si>
    <t>ELC_Win-ATG</t>
  </si>
  <si>
    <t>Wind electricity produced in - Antigua and Barbuda</t>
  </si>
  <si>
    <t>ELC_Win-BHS</t>
  </si>
  <si>
    <t>Wind electricity produced in - The Bahamas</t>
  </si>
  <si>
    <t>ELC_Win-BLZ</t>
  </si>
  <si>
    <t>Wind electricity produced in - Belize</t>
  </si>
  <si>
    <t>ELC_Win-BOL</t>
  </si>
  <si>
    <t>Wind electricity produced in - Bolivia</t>
  </si>
  <si>
    <t>ELC_Win-BRB</t>
  </si>
  <si>
    <t>Wind electricity produced in - Barbados</t>
  </si>
  <si>
    <t>ELC_Win-CHL</t>
  </si>
  <si>
    <t>Wind electricity produced in - Chile</t>
  </si>
  <si>
    <t>ELC_Win-COL</t>
  </si>
  <si>
    <t>Wind electricity produced in - Colombia</t>
  </si>
  <si>
    <t>ELC_Win-CRI</t>
  </si>
  <si>
    <t>Wind electricity produced in - Costa Rica</t>
  </si>
  <si>
    <t>ELC_Win-CUB</t>
  </si>
  <si>
    <t>Wind electricity produced in - Cuba</t>
  </si>
  <si>
    <t>ELC_Win-CYM</t>
  </si>
  <si>
    <t>Wind electricity produced in - Cayman Islands</t>
  </si>
  <si>
    <t>ELC_Win-DMA</t>
  </si>
  <si>
    <t>Wind electricity produced in - Dominica</t>
  </si>
  <si>
    <t>ELC_Win-DOM</t>
  </si>
  <si>
    <t>Wind electricity produced in - Dominican Republic</t>
  </si>
  <si>
    <t>ELC_Win-ECU</t>
  </si>
  <si>
    <t>Wind electricity produced in - Ecuador</t>
  </si>
  <si>
    <t>ELC_Win-GRD</t>
  </si>
  <si>
    <t>Wind electricity produced in - Grenada</t>
  </si>
  <si>
    <t>ELC_Win-GTM</t>
  </si>
  <si>
    <t>Wind electricity produced in - Guatemala</t>
  </si>
  <si>
    <t>ELC_Win-GUF</t>
  </si>
  <si>
    <t>Wind electricity produced in - French Guiana</t>
  </si>
  <si>
    <t>ELC_Win-GUY</t>
  </si>
  <si>
    <t>Wind electricity produced in - Guyana</t>
  </si>
  <si>
    <t>ELC_Win-HND</t>
  </si>
  <si>
    <t>Wind electricity produced in - Honduras</t>
  </si>
  <si>
    <t>ELC_Win-HTI</t>
  </si>
  <si>
    <t>Wind electricity produced in - Haiti</t>
  </si>
  <si>
    <t>ELC_Win-JAM</t>
  </si>
  <si>
    <t>Wind electricity produced in - Jamaica</t>
  </si>
  <si>
    <t>ELC_Win-KNA</t>
  </si>
  <si>
    <t>Wind electricity produced in - St. Kitts and Nevis</t>
  </si>
  <si>
    <t>ELC_Win-LCA</t>
  </si>
  <si>
    <t>Wind electricity produced in - St. Lucia</t>
  </si>
  <si>
    <t>ELC_Win-MSR</t>
  </si>
  <si>
    <t>Wind electricity produced in - Montserrat</t>
  </si>
  <si>
    <t>ELC_Win-NIC</t>
  </si>
  <si>
    <t>Wind electricity produced in - Nicaragua</t>
  </si>
  <si>
    <t>ELC_Win-PAN</t>
  </si>
  <si>
    <t>Wind electricity produced in - Panama</t>
  </si>
  <si>
    <t>ELC_Win-PER</t>
  </si>
  <si>
    <t>Wind electricity produced in - Peru</t>
  </si>
  <si>
    <t>ELC_Win-PRI</t>
  </si>
  <si>
    <t>Wind electricity produced in - Puerto Rico</t>
  </si>
  <si>
    <t>ELC_Win-PRY</t>
  </si>
  <si>
    <t>Wind electricity produced in - Paraguay</t>
  </si>
  <si>
    <t>ELC_Win-SLV</t>
  </si>
  <si>
    <t>Wind electricity produced in - El Salvador</t>
  </si>
  <si>
    <t>ELC_Win-SUR</t>
  </si>
  <si>
    <t>Wind electricity produced in - Suriname</t>
  </si>
  <si>
    <t>ELC_Win-TCA</t>
  </si>
  <si>
    <t>Wind electricity produced in - Turks and Caicos Islands</t>
  </si>
  <si>
    <t>ELC_Win-TTO</t>
  </si>
  <si>
    <t>Wind electricity produced in - Trinidad and Tobago</t>
  </si>
  <si>
    <t>ELC_Win-URY</t>
  </si>
  <si>
    <t>Wind electricity produced in - Uruguay</t>
  </si>
  <si>
    <t>ELC_Win-VCT</t>
  </si>
  <si>
    <t>Wind electricity produced in - St. Vincent and the Grenadines</t>
  </si>
  <si>
    <t>ELC_Win-VEN</t>
  </si>
  <si>
    <t>Wind electricity produced in - Venezuela</t>
  </si>
  <si>
    <t>ELC_Win-VIR</t>
  </si>
  <si>
    <t>Wind electricity produced in - Virgin Islands</t>
  </si>
  <si>
    <t>ELC_Sol-ARE</t>
  </si>
  <si>
    <t>Solar electricity produced in - United Arab Emirates</t>
  </si>
  <si>
    <t>ELC_Sol-BHR</t>
  </si>
  <si>
    <t>Solar electricity produced in - Bahrain</t>
  </si>
  <si>
    <t>ELC_Sol-IRN</t>
  </si>
  <si>
    <t>Solar electricity produced in - Iran</t>
  </si>
  <si>
    <t>ELC_Sol-IRQ</t>
  </si>
  <si>
    <t>Solar electricity produced in - Iraq</t>
  </si>
  <si>
    <t>ELC_Sol-ISR</t>
  </si>
  <si>
    <t>Solar electricity produced in - Israel</t>
  </si>
  <si>
    <t>ELC_Sol-JOR</t>
  </si>
  <si>
    <t>Solar electricity produced in - Jordan</t>
  </si>
  <si>
    <t>ELC_Sol-KWT</t>
  </si>
  <si>
    <t>Solar electricity produced in - Kuwait</t>
  </si>
  <si>
    <t>ELC_Sol-LBN</t>
  </si>
  <si>
    <t>Solar electricity produced in - Lebanon</t>
  </si>
  <si>
    <t>ELC_Sol-OMN</t>
  </si>
  <si>
    <t>Solar electricity produced in - Oman</t>
  </si>
  <si>
    <t>ELC_Sol-PSE</t>
  </si>
  <si>
    <t>Solar electricity produced in - Palestine</t>
  </si>
  <si>
    <t>ELC_Sol-QAT</t>
  </si>
  <si>
    <t>Solar electricity produced in - Qatar</t>
  </si>
  <si>
    <t>ELC_Sol-SYR</t>
  </si>
  <si>
    <t>Solar electricity produced in - Syrian Arab Republic</t>
  </si>
  <si>
    <t>ELC_Sol-YEM</t>
  </si>
  <si>
    <t>Solar electricity produced in - Yemen</t>
  </si>
  <si>
    <t>ELC_Win-ARE</t>
  </si>
  <si>
    <t>Wind electricity produced in - United Arab Emirates</t>
  </si>
  <si>
    <t>ELC_Win-BHR</t>
  </si>
  <si>
    <t>Wind electricity produced in - Bahrain</t>
  </si>
  <si>
    <t>ELC_Win-IRN</t>
  </si>
  <si>
    <t>Wind electricity produced in - Iran</t>
  </si>
  <si>
    <t>ELC_Win-IRQ</t>
  </si>
  <si>
    <t>Wind electricity produced in - Iraq</t>
  </si>
  <si>
    <t>ELC_Win-ISR</t>
  </si>
  <si>
    <t>Wind electricity produced in - Israel</t>
  </si>
  <si>
    <t>ELC_Win-JOR</t>
  </si>
  <si>
    <t>Wind electricity produced in - Jordan</t>
  </si>
  <si>
    <t>ELC_Win-KWT</t>
  </si>
  <si>
    <t>Wind electricity produced in - Kuwait</t>
  </si>
  <si>
    <t>ELC_Win-LBN</t>
  </si>
  <si>
    <t>Wind electricity produced in - Lebanon</t>
  </si>
  <si>
    <t>ELC_Win-OMN</t>
  </si>
  <si>
    <t>Wind electricity produced in - Oman</t>
  </si>
  <si>
    <t>ELC_Win-PSE</t>
  </si>
  <si>
    <t>Wind electricity produced in - Palestine</t>
  </si>
  <si>
    <t>ELC_Win-QAT</t>
  </si>
  <si>
    <t>Wind electricity produced in - Qatar</t>
  </si>
  <si>
    <t>ELC_Win-SYR</t>
  </si>
  <si>
    <t>Wind electricity produced in - Syrian Arab Republic</t>
  </si>
  <si>
    <t>ELC_Win-YEM</t>
  </si>
  <si>
    <t>Wind electricity produced in - Yemen</t>
  </si>
  <si>
    <t>ELC_Sol-CAN</t>
  </si>
  <si>
    <t>Solar electricity produced in - Canada</t>
  </si>
  <si>
    <t>ELC_Sol-MEX</t>
  </si>
  <si>
    <t>Solar electricity produced in - Mexico</t>
  </si>
  <si>
    <t>ELC_Sol-USA</t>
  </si>
  <si>
    <t>Solar electricity produced in - United States</t>
  </si>
  <si>
    <t>ELC_Win-CAN</t>
  </si>
  <si>
    <t>Wind electricity produced in - Canada</t>
  </si>
  <si>
    <t>ELC_Win-MEX</t>
  </si>
  <si>
    <t>Wind electricity produced in - Mexico</t>
  </si>
  <si>
    <t>ELC_Win-USA</t>
  </si>
  <si>
    <t>Wind electricity produced in - United States</t>
  </si>
  <si>
    <t>ELC_Sol-NOR</t>
  </si>
  <si>
    <t>Solar electricity produced in - Norway</t>
  </si>
  <si>
    <t>ELC_Win-NOR</t>
  </si>
  <si>
    <t>Wind electricity produced in - Norway</t>
  </si>
  <si>
    <t>ELC_Sol-POL</t>
  </si>
  <si>
    <t>Solar electricity produced in - Poland</t>
  </si>
  <si>
    <t>ELC_Win-POL</t>
  </si>
  <si>
    <t>Wind electricity produced in - Poland</t>
  </si>
  <si>
    <t>ELC_Sol-AFG</t>
  </si>
  <si>
    <t>Solar electricity produced in - Afghanistan</t>
  </si>
  <si>
    <t>ELC_Sol-ARM</t>
  </si>
  <si>
    <t>Solar electricity produced in - Armenia</t>
  </si>
  <si>
    <t>ELC_Sol-ASM</t>
  </si>
  <si>
    <t>Solar electricity produced in - American Samoa</t>
  </si>
  <si>
    <t>ELC_Sol-AZE</t>
  </si>
  <si>
    <t>Solar electricity produced in - Azerbaijan</t>
  </si>
  <si>
    <t>ELC_Sol-BGD</t>
  </si>
  <si>
    <t>Solar electricity produced in - Bangladesh</t>
  </si>
  <si>
    <t>ELC_Sol-BRN</t>
  </si>
  <si>
    <t>Solar electricity produced in - Brunei</t>
  </si>
  <si>
    <t>ELC_Sol-BTN</t>
  </si>
  <si>
    <t>Solar electricity produced in - Bhutan</t>
  </si>
  <si>
    <t>ELC_Sol-COK</t>
  </si>
  <si>
    <t>Solar electricity produced in - Cook Islands</t>
  </si>
  <si>
    <t>ELC_Sol-FJI</t>
  </si>
  <si>
    <t>Solar electricity produced in - Fiji</t>
  </si>
  <si>
    <t>ELC_Sol-GEO</t>
  </si>
  <si>
    <t>Solar electricity produced in - Georgia</t>
  </si>
  <si>
    <t>ELC_Sol-HKG</t>
  </si>
  <si>
    <t>Solar electricity produced in - Hong Kong SAR, China</t>
  </si>
  <si>
    <t>ELC_Sol-IDN</t>
  </si>
  <si>
    <t>Solar electricity produced in - Indonesia</t>
  </si>
  <si>
    <t>ELC_Sol-KAZ</t>
  </si>
  <si>
    <t>Solar electricity produced in - Kazakhstan</t>
  </si>
  <si>
    <t>ELC_Sol-KGZ</t>
  </si>
  <si>
    <t>Solar electricity produced in - Kyrgyz Republic</t>
  </si>
  <si>
    <t>ELC_Sol-KHM</t>
  </si>
  <si>
    <t>Solar electricity produced in - Cambodia</t>
  </si>
  <si>
    <t>ELC_Sol-KIR</t>
  </si>
  <si>
    <t>Solar electricity produced in - Kiribati</t>
  </si>
  <si>
    <t>ELC_Sol-KOR</t>
  </si>
  <si>
    <t>Solar electricity produced in - South Korea</t>
  </si>
  <si>
    <t>ELC_Sol-LAO</t>
  </si>
  <si>
    <t>Solar electricity produced in - Laos</t>
  </si>
  <si>
    <t>ELC_Sol-LKA</t>
  </si>
  <si>
    <t>Solar electricity produced in - Sri Lanka</t>
  </si>
  <si>
    <t>ELC_Sol-MDV</t>
  </si>
  <si>
    <t>Solar electricity produced in - Maldives</t>
  </si>
  <si>
    <t>ELC_Sol-MMR</t>
  </si>
  <si>
    <t>Solar electricity produced in - Myanmar</t>
  </si>
  <si>
    <t>ELC_Sol-MNG</t>
  </si>
  <si>
    <t>Solar electricity produced in - Mongolia</t>
  </si>
  <si>
    <t>ELC_Sol-MYS</t>
  </si>
  <si>
    <t>Solar electricity produced in - Malaysia</t>
  </si>
  <si>
    <t>ELC_Sol-NCL</t>
  </si>
  <si>
    <t>Solar electricity produced in - New Caledonia</t>
  </si>
  <si>
    <t>ELC_Sol-NPL</t>
  </si>
  <si>
    <t>Solar electricity produced in - Nepal</t>
  </si>
  <si>
    <t>ELC_Sol-NZL</t>
  </si>
  <si>
    <t>Solar electricity produced in - New Zealand</t>
  </si>
  <si>
    <t>ELC_Sol-PAK</t>
  </si>
  <si>
    <t>Solar electricity produced in - Pakistan</t>
  </si>
  <si>
    <t>ELC_Sol-PHL</t>
  </si>
  <si>
    <t>Solar electricity produced in - Philippines</t>
  </si>
  <si>
    <t>ELC_Sol-PLW</t>
  </si>
  <si>
    <t>Solar electricity produced in - Palau</t>
  </si>
  <si>
    <t>ELC_Sol-PNG</t>
  </si>
  <si>
    <t>Solar electricity produced in - Papua New Guinea</t>
  </si>
  <si>
    <t>ELC_Sol-PRK</t>
  </si>
  <si>
    <t>Solar electricity produced in - Dem. People^s Rep. Korea</t>
  </si>
  <si>
    <t>ELC_Sol-PYF</t>
  </si>
  <si>
    <t>Solar electricity produced in - French Polynesia</t>
  </si>
  <si>
    <t>ELC_Sol-SGP</t>
  </si>
  <si>
    <t>Solar electricity produced in - Singapore</t>
  </si>
  <si>
    <t>ELC_Sol-SLB</t>
  </si>
  <si>
    <t>Solar electricity produced in - Solomon Islands</t>
  </si>
  <si>
    <t>ELC_Sol-THA</t>
  </si>
  <si>
    <t>Solar electricity produced in - Thailand</t>
  </si>
  <si>
    <t>ELC_Sol-TJK</t>
  </si>
  <si>
    <t>Solar electricity produced in - Tajikistan</t>
  </si>
  <si>
    <t>ELC_Sol-TON</t>
  </si>
  <si>
    <t>Solar electricity produced in - Tonga</t>
  </si>
  <si>
    <t>ELC_Sol-TWN</t>
  </si>
  <si>
    <t>Solar electricity produced in - Taiwan</t>
  </si>
  <si>
    <t>ELC_Sol-UZB</t>
  </si>
  <si>
    <t>Solar electricity produced in - Uzbekistan</t>
  </si>
  <si>
    <t>ELC_Sol-VNM</t>
  </si>
  <si>
    <t>Solar electricity produced in - Vietnam</t>
  </si>
  <si>
    <t>ELC_Sol-VUT</t>
  </si>
  <si>
    <t>Solar electricity produced in - Vanuatu</t>
  </si>
  <si>
    <t>ELC_Win-AFG</t>
  </si>
  <si>
    <t>Wind electricity produced in - Afghanistan</t>
  </si>
  <si>
    <t>ELC_Win-ARM</t>
  </si>
  <si>
    <t>Wind electricity produced in - Armenia</t>
  </si>
  <si>
    <t>ELC_Win-ASM</t>
  </si>
  <si>
    <t>Wind electricity produced in - American Samoa</t>
  </si>
  <si>
    <t>ELC_Win-AZE</t>
  </si>
  <si>
    <t>Wind electricity produced in - Azerbaijan</t>
  </si>
  <si>
    <t>ELC_Win-BGD</t>
  </si>
  <si>
    <t>Wind electricity produced in - Bangladesh</t>
  </si>
  <si>
    <t>ELC_Win-BRN</t>
  </si>
  <si>
    <t>Wind electricity produced in - Brunei</t>
  </si>
  <si>
    <t>ELC_Win-BTN</t>
  </si>
  <si>
    <t>Wind electricity produced in - Bhutan</t>
  </si>
  <si>
    <t>ELC_Win-COK</t>
  </si>
  <si>
    <t>Wind electricity produced in - Cook Islands</t>
  </si>
  <si>
    <t>ELC_Win-FJI</t>
  </si>
  <si>
    <t>Wind electricity produced in - Fiji</t>
  </si>
  <si>
    <t>ELC_Win-GEO</t>
  </si>
  <si>
    <t>Wind electricity produced in - Georgia</t>
  </si>
  <si>
    <t>ELC_Win-HKG</t>
  </si>
  <si>
    <t>Wind electricity produced in - Hong Kong SAR, China</t>
  </si>
  <si>
    <t>ELC_Win-IDN</t>
  </si>
  <si>
    <t>Wind electricity produced in - Indonesia</t>
  </si>
  <si>
    <t>ELC_Win-KAZ</t>
  </si>
  <si>
    <t>Wind electricity produced in - Kazakhstan</t>
  </si>
  <si>
    <t>ELC_Win-KGZ</t>
  </si>
  <si>
    <t>Wind electricity produced in - Kyrgyz Republic</t>
  </si>
  <si>
    <t>ELC_Win-KHM</t>
  </si>
  <si>
    <t>Wind electricity produced in - Cambodia</t>
  </si>
  <si>
    <t>ELC_Win-KIR</t>
  </si>
  <si>
    <t>Wind electricity produced in - Kiribati</t>
  </si>
  <si>
    <t>ELC_Win-KOR</t>
  </si>
  <si>
    <t>Wind electricity produced in - South Korea</t>
  </si>
  <si>
    <t>ELC_Win-LAO</t>
  </si>
  <si>
    <t>Wind electricity produced in - Laos</t>
  </si>
  <si>
    <t>ELC_Win-LKA</t>
  </si>
  <si>
    <t>Wind electricity produced in - Sri Lanka</t>
  </si>
  <si>
    <t>ELC_Win-MDV</t>
  </si>
  <si>
    <t>Wind electricity produced in - Maldives</t>
  </si>
  <si>
    <t>ELC_Win-MMR</t>
  </si>
  <si>
    <t>Wind electricity produced in - Myanmar</t>
  </si>
  <si>
    <t>ELC_Win-MNG</t>
  </si>
  <si>
    <t>Wind electricity produced in - Mongolia</t>
  </si>
  <si>
    <t>ELC_Win-MYS</t>
  </si>
  <si>
    <t>Wind electricity produced in - Malaysia</t>
  </si>
  <si>
    <t>ELC_Win-NCL</t>
  </si>
  <si>
    <t>Wind electricity produced in - New Caledonia</t>
  </si>
  <si>
    <t>ELC_Win-NPL</t>
  </si>
  <si>
    <t>Wind electricity produced in - Nepal</t>
  </si>
  <si>
    <t>ELC_Win-NZL</t>
  </si>
  <si>
    <t>Wind electricity produced in - New Zealand</t>
  </si>
  <si>
    <t>ELC_Win-PAK</t>
  </si>
  <si>
    <t>Wind electricity produced in - Pakistan</t>
  </si>
  <si>
    <t>ELC_Win-PHL</t>
  </si>
  <si>
    <t>Wind electricity produced in - Philippines</t>
  </si>
  <si>
    <t>ELC_Win-PLW</t>
  </si>
  <si>
    <t>Wind electricity produced in - Palau</t>
  </si>
  <si>
    <t>ELC_Win-PNG</t>
  </si>
  <si>
    <t>Wind electricity produced in - Papua New Guinea</t>
  </si>
  <si>
    <t>ELC_Win-PRK</t>
  </si>
  <si>
    <t>Wind electricity produced in - Dem. People^s Rep. Korea</t>
  </si>
  <si>
    <t>ELC_Win-PYF</t>
  </si>
  <si>
    <t>Wind electricity produced in - French Polynesia</t>
  </si>
  <si>
    <t>ELC_Win-SGP</t>
  </si>
  <si>
    <t>Wind electricity produced in - Singapore</t>
  </si>
  <si>
    <t>ELC_Win-SLB</t>
  </si>
  <si>
    <t>Wind electricity produced in - Solomon Islands</t>
  </si>
  <si>
    <t>ELC_Win-THA</t>
  </si>
  <si>
    <t>Wind electricity produced in - Thailand</t>
  </si>
  <si>
    <t>ELC_Win-TJK</t>
  </si>
  <si>
    <t>Wind electricity produced in - Tajikistan</t>
  </si>
  <si>
    <t>ELC_Win-TKM</t>
  </si>
  <si>
    <t>Wind electricity produced in - Turkmenistan</t>
  </si>
  <si>
    <t>ELC_Win-TON</t>
  </si>
  <si>
    <t>Wind electricity produced in - Tonga</t>
  </si>
  <si>
    <t>ELC_Win-TWN</t>
  </si>
  <si>
    <t>Wind electricity produced in - Taiwan</t>
  </si>
  <si>
    <t>ELC_Win-UZB</t>
  </si>
  <si>
    <t>Wind electricity produced in - Uzbekistan</t>
  </si>
  <si>
    <t>ELC_Win-VNM</t>
  </si>
  <si>
    <t>Wind electricity produced in - Vietnam</t>
  </si>
  <si>
    <t>ELC_Win-VUT</t>
  </si>
  <si>
    <t>Wind electricity produced in - Vanuatu</t>
  </si>
  <si>
    <t>ELC_Sol-BLR</t>
  </si>
  <si>
    <t>Solar electricity produced in - Belarus</t>
  </si>
  <si>
    <t>ELC_Sol-RUS</t>
  </si>
  <si>
    <t>Solar electricity produced in - Russia</t>
  </si>
  <si>
    <t>ELC_Win-BLR</t>
  </si>
  <si>
    <t>Wind electricity produced in - Belarus</t>
  </si>
  <si>
    <t>ELC_Win-RUS</t>
  </si>
  <si>
    <t>Wind electricity produced in - Russia</t>
  </si>
  <si>
    <t>ELC_Sol-SAU</t>
  </si>
  <si>
    <t>Solar electricity produced in - Saudi Arabia</t>
  </si>
  <si>
    <t>ELC_Win-SAU</t>
  </si>
  <si>
    <t>Wind electricity produced in - Saudi Arabia</t>
  </si>
  <si>
    <t>ELC_Sol-ZAF</t>
  </si>
  <si>
    <t>Solar electricity produced in - South Africa</t>
  </si>
  <si>
    <t>ELC_Win-ZAF</t>
  </si>
  <si>
    <t>Wind electricity produced in - South Africa</t>
  </si>
  <si>
    <t>ELC_Sol-ESP</t>
  </si>
  <si>
    <t>Solar electricity produced in - Spain</t>
  </si>
  <si>
    <t>ELC_Sol-PRT</t>
  </si>
  <si>
    <t>Solar electricity produced in - Portugal</t>
  </si>
  <si>
    <t>ELC_Win-ESP</t>
  </si>
  <si>
    <t>Wind electricity produced in - Spain</t>
  </si>
  <si>
    <t>ELC_Win-PRT</t>
  </si>
  <si>
    <t>Wind electricity produced in - Portugal</t>
  </si>
  <si>
    <t>ELC_Sol-DNK</t>
  </si>
  <si>
    <t>Solar electricity produced in - Denmark</t>
  </si>
  <si>
    <t>ELC_Sol-FIN</t>
  </si>
  <si>
    <t>Solar electricity produced in - Finland</t>
  </si>
  <si>
    <t>ELC_Sol-SWE</t>
  </si>
  <si>
    <t>Solar electricity produced in - Sweden</t>
  </si>
  <si>
    <t>ELC_Win-DNK</t>
  </si>
  <si>
    <t>Wind electricity produced in - Denmark</t>
  </si>
  <si>
    <t>ELC_Win-FIN</t>
  </si>
  <si>
    <t>Wind electricity produced in - Finland</t>
  </si>
  <si>
    <t>ELC_Win-SWE</t>
  </si>
  <si>
    <t>Wind electricity produced in - Sweden</t>
  </si>
  <si>
    <t>ELC_Sol-CHE</t>
  </si>
  <si>
    <t>Solar electricity produced in - Switzerland</t>
  </si>
  <si>
    <t>ELC_Win-CHE</t>
  </si>
  <si>
    <t>Wind electricity produced in - Switzerland</t>
  </si>
  <si>
    <t>ELC_Sol-TUR</t>
  </si>
  <si>
    <t>Solar electricity produced in - Turkey</t>
  </si>
  <si>
    <t>ELC_Win-TUR</t>
  </si>
  <si>
    <t>Wind electricity produced in - Turkey</t>
  </si>
  <si>
    <t>ELC_Sol-GBR</t>
  </si>
  <si>
    <t>Solar electricity produced in - United Kingdom</t>
  </si>
  <si>
    <t>ELC_Win-GBR</t>
  </si>
  <si>
    <t>Wind electricity produced in - United Kingdom</t>
  </si>
  <si>
    <t>ELC_Sol-MDA</t>
  </si>
  <si>
    <t>Solar electricity produced in - Moldova</t>
  </si>
  <si>
    <t>ELC_Sol-UKR</t>
  </si>
  <si>
    <t>Solar electricity produced in - Ukraine</t>
  </si>
  <si>
    <t>ELC_Win-MDA</t>
  </si>
  <si>
    <t>Wind electricity produced in - Moldova</t>
  </si>
  <si>
    <t>ELC_Win-UKR</t>
  </si>
  <si>
    <t>Wind electricity produced in - Ukraine</t>
  </si>
  <si>
    <t>ELC_Sol-ALB</t>
  </si>
  <si>
    <t>Solar electricity produced in - Albania</t>
  </si>
  <si>
    <t>ELC_Sol-BIH</t>
  </si>
  <si>
    <t>Solar electricity produced in - Bosnia and Herzegovina</t>
  </si>
  <si>
    <t>ELC_Sol-MKD</t>
  </si>
  <si>
    <t>Solar electricity produced in - Macedonia</t>
  </si>
  <si>
    <t>ELC_Sol-MNE</t>
  </si>
  <si>
    <t>Solar electricity produced in - Montenegro</t>
  </si>
  <si>
    <t>ELC_Sol-SRB</t>
  </si>
  <si>
    <t>Solar electricity produced in - Serbia</t>
  </si>
  <si>
    <t>ELC_Sol-XXK</t>
  </si>
  <si>
    <t>Solar electricity produced in - Kosovo</t>
  </si>
  <si>
    <t>ELC_Win-ALB</t>
  </si>
  <si>
    <t>Wind electricity produced in - Albania</t>
  </si>
  <si>
    <t>ELC_Win-BIH</t>
  </si>
  <si>
    <t>Wind electricity produced in - Bosnia and Herzegovina</t>
  </si>
  <si>
    <t>ELC_Win-MKD</t>
  </si>
  <si>
    <t>Wind electricity produced in - Macedonia</t>
  </si>
  <si>
    <t>ELC_Win-MNE</t>
  </si>
  <si>
    <t>Wind electricity produced in - Montenegro</t>
  </si>
  <si>
    <t>ELC_Win-SRB</t>
  </si>
  <si>
    <t>Wind electricity produced in - Serbia</t>
  </si>
  <si>
    <t>ELC_Win-XXK</t>
  </si>
  <si>
    <t>Wind electricity produced in - Kosovo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</si>
</sst>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(* #,##0.00_);_(* \(#,##0.00\);_(* &quot;-&quot;??_);_(@_)"/>
    <numFmt numFmtId="195" formatCode="_(* #,##0_);_(* \(#,##0\);_(* &quot;-&quot;_);_(@_)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\Te\x\t"/>
  </numFmts>
  <fonts count="82">
    <font>
      <sz val="10"/>
      <name val="Arial"/>
      <charset val="134"/>
    </font>
    <font>
      <sz val="11"/>
      <color rgb="FF000000"/>
      <name val="Calibri"/>
      <charset val="134"/>
    </font>
    <font>
      <b/>
      <sz val="11"/>
      <color rgb="FF44546A"/>
      <name val="Calibri"/>
      <charset val="134"/>
    </font>
    <font>
      <b/>
      <sz val="11"/>
      <color rgb="FF000000"/>
      <name val="Calibri"/>
      <charset val="134"/>
    </font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9"/>
      <name val="Arial"/>
      <charset val="134"/>
    </font>
    <font>
      <sz val="10"/>
      <name val="Calibri"/>
      <charset val="134"/>
      <scheme val="minor"/>
    </font>
    <font>
      <sz val="10"/>
      <color indexed="8"/>
      <name val="Calibri"/>
      <charset val="134"/>
      <scheme val="minor"/>
    </font>
    <font>
      <sz val="9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rgb="FF5F6368"/>
      <name val="Calibri"/>
      <charset val="134"/>
      <scheme val="minor"/>
    </font>
    <font>
      <sz val="9"/>
      <color indexed="53"/>
      <name val="Arial"/>
      <charset val="134"/>
    </font>
    <font>
      <sz val="10"/>
      <color indexed="12"/>
      <name val="Arial"/>
      <charset val="134"/>
    </font>
    <font>
      <sz val="10"/>
      <color indexed="8"/>
      <name val="Calibri"/>
      <charset val="134"/>
    </font>
    <font>
      <b/>
      <sz val="10"/>
      <name val="Arial"/>
      <charset val="134"/>
    </font>
    <font>
      <b/>
      <i/>
      <sz val="10"/>
      <name val="Arial"/>
      <charset val="134"/>
    </font>
    <font>
      <sz val="11"/>
      <color indexed="8"/>
      <name val="Calibri"/>
      <charset val="134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</fonts>
  <fills count="6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/>
      <right/>
      <top/>
      <bottom style="medium">
        <color rgb="FF8EA9DB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659">
    <xf numFmtId="0" fontId="0" fillId="0" borderId="0"/>
    <xf numFmtId="43" fontId="4" fillId="0" borderId="0" applyFont="0" applyFill="0" applyBorder="0" applyAlignment="0" applyProtection="0">
      <alignment vertical="center"/>
    </xf>
    <xf numFmtId="176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4" fillId="10" borderId="6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7" applyNumberFormat="0" applyFill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>
      <alignment vertical="center"/>
    </xf>
    <xf numFmtId="0" fontId="27" fillId="11" borderId="8" applyNumberFormat="0" applyAlignment="0" applyProtection="0">
      <alignment vertical="center"/>
    </xf>
    <xf numFmtId="0" fontId="28" fillId="12" borderId="9" applyNumberFormat="0" applyAlignment="0" applyProtection="0">
      <alignment vertical="center"/>
    </xf>
    <xf numFmtId="0" fontId="29" fillId="12" borderId="8" applyNumberFormat="0" applyAlignment="0" applyProtection="0">
      <alignment vertical="center"/>
    </xf>
    <xf numFmtId="0" fontId="30" fillId="13" borderId="10" applyNumberFormat="0" applyAlignment="0" applyProtection="0">
      <alignment vertical="center"/>
    </xf>
    <xf numFmtId="0" fontId="31" fillId="0" borderId="11" applyNumberFormat="0" applyFill="0" applyAlignment="0" applyProtection="0">
      <alignment vertical="center"/>
    </xf>
    <xf numFmtId="0" fontId="32" fillId="0" borderId="12" applyNumberFormat="0" applyFill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6" fillId="17" borderId="0" applyNumberFormat="0" applyBorder="0" applyAlignment="0" applyProtection="0">
      <alignment vertical="center"/>
    </xf>
    <xf numFmtId="0" fontId="37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7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1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2" borderId="0" applyNumberFormat="0" applyBorder="0" applyAlignment="0" applyProtection="0"/>
    <xf numFmtId="0" fontId="18" fillId="43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43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4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4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5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6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6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46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42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2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5" borderId="0" applyNumberFormat="0" applyBorder="0" applyAlignment="0" applyProtection="0"/>
    <xf numFmtId="0" fontId="18" fillId="48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48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7" borderId="0" applyNumberFormat="0" applyBorder="0" applyAlignment="0" applyProtection="0"/>
    <xf numFmtId="0" fontId="18" fillId="45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5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3" borderId="0" applyNumberFormat="0" applyBorder="0" applyAlignment="0" applyProtection="0"/>
    <xf numFmtId="0" fontId="18" fillId="42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2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47" borderId="0" applyNumberFormat="0" applyBorder="0" applyAlignment="0" applyProtection="0"/>
    <xf numFmtId="0" fontId="18" fillId="3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3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0" fillId="0" borderId="0" applyNumberFormat="0" applyFont="0" applyFill="0" applyBorder="0" applyProtection="0">
      <alignment horizontal="left" vertical="center" indent="5"/>
    </xf>
    <xf numFmtId="0" fontId="0" fillId="0" borderId="0" applyNumberFormat="0" applyFont="0" applyFill="0" applyBorder="0" applyProtection="0">
      <alignment horizontal="left" vertical="center" indent="5"/>
    </xf>
    <xf numFmtId="0" fontId="0" fillId="0" borderId="0" applyNumberFormat="0" applyFont="0" applyFill="0" applyBorder="0" applyProtection="0">
      <alignment horizontal="left" vertical="center" indent="5"/>
    </xf>
    <xf numFmtId="0" fontId="0" fillId="0" borderId="0" applyNumberFormat="0" applyFont="0" applyFill="0" applyBorder="0" applyProtection="0">
      <alignment horizontal="left" vertical="center" indent="5"/>
    </xf>
    <xf numFmtId="0" fontId="38" fillId="49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9" borderId="0" applyNumberFormat="0" applyBorder="0" applyAlignment="0" applyProtection="0"/>
    <xf numFmtId="0" fontId="38" fillId="47" borderId="0" applyNumberFormat="0" applyBorder="0" applyAlignment="0" applyProtection="0"/>
    <xf numFmtId="0" fontId="38" fillId="5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" borderId="0" applyNumberFormat="0" applyBorder="0" applyAlignment="0" applyProtection="0"/>
    <xf numFmtId="0" fontId="38" fillId="50" borderId="0" applyNumberFormat="0" applyBorder="0" applyAlignment="0" applyProtection="0"/>
    <xf numFmtId="0" fontId="38" fillId="48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48" borderId="0" applyNumberFormat="0" applyBorder="0" applyAlignment="0" applyProtection="0"/>
    <xf numFmtId="0" fontId="38" fillId="3" borderId="0" applyNumberFormat="0" applyBorder="0" applyAlignment="0" applyProtection="0"/>
    <xf numFmtId="0" fontId="38" fillId="51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51" borderId="0" applyNumberFormat="0" applyBorder="0" applyAlignment="0" applyProtection="0"/>
    <xf numFmtId="0" fontId="38" fillId="43" borderId="0" applyNumberFormat="0" applyBorder="0" applyAlignment="0" applyProtection="0"/>
    <xf numFmtId="0" fontId="38" fillId="52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52" borderId="0" applyNumberFormat="0" applyBorder="0" applyAlignment="0" applyProtection="0"/>
    <xf numFmtId="0" fontId="38" fillId="47" borderId="0" applyNumberFormat="0" applyBorder="0" applyAlignment="0" applyProtection="0"/>
    <xf numFmtId="0" fontId="38" fillId="53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" borderId="0" applyNumberFormat="0" applyBorder="0" applyAlignment="0" applyProtection="0"/>
    <xf numFmtId="0" fontId="38" fillId="53" borderId="0" applyNumberFormat="0" applyBorder="0" applyAlignment="0" applyProtection="0"/>
    <xf numFmtId="0" fontId="38" fillId="5" borderId="0" applyNumberFormat="0" applyBorder="0" applyAlignment="0" applyProtection="0"/>
    <xf numFmtId="0" fontId="38" fillId="54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5" borderId="0" applyNumberFormat="0" applyBorder="0" applyAlignment="0" applyProtection="0"/>
    <xf numFmtId="0" fontId="38" fillId="54" borderId="0" applyNumberFormat="0" applyBorder="0" applyAlignment="0" applyProtection="0"/>
    <xf numFmtId="0" fontId="38" fillId="55" borderId="0" applyNumberFormat="0" applyBorder="0" applyAlignment="0" applyProtection="0"/>
    <xf numFmtId="0" fontId="38" fillId="56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0" borderId="0" applyNumberFormat="0" applyBorder="0" applyAlignment="0" applyProtection="0"/>
    <xf numFmtId="0" fontId="38" fillId="56" borderId="0" applyNumberFormat="0" applyBorder="0" applyAlignment="0" applyProtection="0"/>
    <xf numFmtId="0" fontId="38" fillId="50" borderId="0" applyNumberFormat="0" applyBorder="0" applyAlignment="0" applyProtection="0"/>
    <xf numFmtId="0" fontId="38" fillId="57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3" borderId="0" applyNumberFormat="0" applyBorder="0" applyAlignment="0" applyProtection="0"/>
    <xf numFmtId="0" fontId="38" fillId="57" borderId="0" applyNumberFormat="0" applyBorder="0" applyAlignment="0" applyProtection="0"/>
    <xf numFmtId="0" fontId="38" fillId="3" borderId="0" applyNumberFormat="0" applyBorder="0" applyAlignment="0" applyProtection="0"/>
    <xf numFmtId="0" fontId="38" fillId="51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8" borderId="0" applyNumberFormat="0" applyBorder="0" applyAlignment="0" applyProtection="0"/>
    <xf numFmtId="0" fontId="38" fillId="51" borderId="0" applyNumberFormat="0" applyBorder="0" applyAlignment="0" applyProtection="0"/>
    <xf numFmtId="0" fontId="38" fillId="58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2" borderId="0" applyNumberFormat="0" applyBorder="0" applyAlignment="0" applyProtection="0"/>
    <xf numFmtId="0" fontId="38" fillId="50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6" borderId="0" applyNumberFormat="0" applyBorder="0" applyAlignment="0" applyProtection="0"/>
    <xf numFmtId="0" fontId="38" fillId="50" borderId="0" applyNumberFormat="0" applyBorder="0" applyAlignment="0" applyProtection="0"/>
    <xf numFmtId="0" fontId="38" fillId="56" borderId="0" applyNumberFormat="0" applyBorder="0" applyAlignment="0" applyProtection="0"/>
    <xf numFmtId="4" fontId="39" fillId="46" borderId="13">
      <alignment horizontal="right" vertical="center"/>
    </xf>
    <xf numFmtId="4" fontId="39" fillId="46" borderId="13">
      <alignment horizontal="right" vertical="center"/>
    </xf>
    <xf numFmtId="0" fontId="40" fillId="43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5" borderId="0" applyNumberFormat="0" applyBorder="0" applyAlignment="0" applyProtection="0"/>
    <xf numFmtId="0" fontId="40" fillId="43" borderId="0" applyNumberFormat="0" applyBorder="0" applyAlignment="0" applyProtection="0"/>
    <xf numFmtId="0" fontId="40" fillId="45" borderId="0" applyNumberFormat="0" applyBorder="0" applyAlignment="0" applyProtection="0"/>
    <xf numFmtId="0" fontId="41" fillId="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2" fillId="59" borderId="14" applyNumberFormat="0" applyAlignment="0" applyProtection="0"/>
    <xf numFmtId="0" fontId="41" fillId="9" borderId="14" applyNumberFormat="0" applyAlignment="0" applyProtection="0"/>
    <xf numFmtId="0" fontId="42" fillId="59" borderId="14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0" fontId="43" fillId="60" borderId="15" applyNumberFormat="0" applyAlignment="0" applyProtection="0"/>
    <xf numFmtId="49" fontId="0" fillId="47" borderId="16">
      <alignment vertical="top" wrapText="1"/>
    </xf>
    <xf numFmtId="49" fontId="0" fillId="47" borderId="16">
      <alignment vertical="top" wrapText="1"/>
    </xf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0" fontId="44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0" fontId="44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180" fontId="0" fillId="0" borderId="0" applyFont="0" applyFill="0" applyBorder="0" applyAlignment="0" applyProtection="0"/>
    <xf numFmtId="180" fontId="0" fillId="0" borderId="0" applyFont="0" applyFill="0" applyBorder="0" applyAlignment="0" applyProtection="0"/>
    <xf numFmtId="0" fontId="45" fillId="0" borderId="17">
      <alignment horizontal="left" vertical="center" wrapText="1" indent="2"/>
    </xf>
    <xf numFmtId="181" fontId="46" fillId="0" borderId="0">
      <protection locked="0"/>
    </xf>
    <xf numFmtId="181" fontId="46" fillId="0" borderId="0">
      <protection locked="0"/>
    </xf>
    <xf numFmtId="3" fontId="47" fillId="0" borderId="16">
      <alignment horizontal="right" vertical="top"/>
    </xf>
    <xf numFmtId="0" fontId="16" fillId="52" borderId="13">
      <alignment horizontal="centerContinuous" vertical="top" wrapText="1"/>
    </xf>
    <xf numFmtId="0" fontId="48" fillId="0" borderId="0">
      <alignment vertical="top" wrapText="1"/>
    </xf>
    <xf numFmtId="182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4" fontId="0" fillId="0" borderId="0" applyFont="0" applyFill="0" applyBorder="0" applyAlignment="0" applyProtection="0"/>
    <xf numFmtId="183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185" fontId="0" fillId="0" borderId="0" applyFont="0" applyFill="0" applyBorder="0" applyAlignment="0" applyProtection="0"/>
    <xf numFmtId="186" fontId="0" fillId="0" borderId="0" applyFont="0" applyFill="0" applyBorder="0" applyAlignment="0" applyProtection="0"/>
    <xf numFmtId="186" fontId="0" fillId="0" borderId="0" applyFont="0" applyFill="0" applyBorder="0" applyAlignment="0" applyProtection="0"/>
    <xf numFmtId="182" fontId="0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7" fontId="46" fillId="0" borderId="0">
      <protection locked="0"/>
    </xf>
    <xf numFmtId="187" fontId="46" fillId="0" borderId="0">
      <protection locked="0"/>
    </xf>
    <xf numFmtId="11" fontId="0" fillId="0" borderId="0" applyFont="0" applyFill="0" applyBorder="0" applyAlignment="0" applyProtection="0"/>
    <xf numFmtId="11" fontId="0" fillId="0" borderId="0" applyFont="0" applyFill="0" applyBorder="0" applyAlignment="0" applyProtection="0"/>
    <xf numFmtId="0" fontId="50" fillId="44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7" borderId="0" applyNumberFormat="0" applyBorder="0" applyAlignment="0" applyProtection="0"/>
    <xf numFmtId="0" fontId="50" fillId="44" borderId="0" applyNumberFormat="0" applyBorder="0" applyAlignment="0" applyProtection="0"/>
    <xf numFmtId="0" fontId="50" fillId="47" borderId="0" applyNumberFormat="0" applyBorder="0" applyAlignment="0" applyProtection="0"/>
    <xf numFmtId="0" fontId="51" fillId="0" borderId="18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2" fillId="0" borderId="19" applyNumberFormat="0" applyFill="0" applyAlignment="0" applyProtection="0"/>
    <xf numFmtId="0" fontId="51" fillId="0" borderId="18" applyNumberFormat="0" applyFill="0" applyAlignment="0" applyProtection="0"/>
    <xf numFmtId="0" fontId="52" fillId="0" borderId="19" applyNumberFormat="0" applyFill="0" applyAlignment="0" applyProtection="0"/>
    <xf numFmtId="0" fontId="53" fillId="0" borderId="20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4" fillId="0" borderId="21" applyNumberFormat="0" applyFill="0" applyAlignment="0" applyProtection="0"/>
    <xf numFmtId="0" fontId="53" fillId="0" borderId="20" applyNumberFormat="0" applyFill="0" applyAlignment="0" applyProtection="0"/>
    <xf numFmtId="0" fontId="54" fillId="0" borderId="21" applyNumberFormat="0" applyFill="0" applyAlignment="0" applyProtection="0"/>
    <xf numFmtId="0" fontId="55" fillId="0" borderId="22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6" fillId="0" borderId="23" applyNumberFormat="0" applyFill="0" applyAlignment="0" applyProtection="0"/>
    <xf numFmtId="0" fontId="55" fillId="0" borderId="22" applyNumberFormat="0" applyFill="0" applyAlignment="0" applyProtection="0"/>
    <xf numFmtId="0" fontId="56" fillId="0" borderId="23" applyNumberFormat="0" applyFill="0" applyAlignment="0" applyProtection="0"/>
    <xf numFmtId="0" fontId="55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188" fontId="57" fillId="0" borderId="0">
      <protection locked="0"/>
    </xf>
    <xf numFmtId="188" fontId="57" fillId="0" borderId="0">
      <protection locked="0"/>
    </xf>
    <xf numFmtId="188" fontId="57" fillId="0" borderId="0">
      <protection locked="0"/>
    </xf>
    <xf numFmtId="188" fontId="57" fillId="0" borderId="0">
      <protection locked="0"/>
    </xf>
    <xf numFmtId="0" fontId="58" fillId="0" borderId="0" applyNumberFormat="0" applyFill="0" applyBorder="0" applyAlignment="0" applyProtection="0">
      <alignment vertical="top"/>
      <protection locked="0"/>
    </xf>
    <xf numFmtId="0" fontId="59" fillId="46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7" borderId="14" applyNumberFormat="0" applyAlignment="0" applyProtection="0"/>
    <xf numFmtId="0" fontId="59" fillId="46" borderId="14" applyNumberFormat="0" applyAlignment="0" applyProtection="0"/>
    <xf numFmtId="0" fontId="59" fillId="7" borderId="14" applyNumberFormat="0" applyAlignment="0" applyProtection="0"/>
    <xf numFmtId="4" fontId="45" fillId="0" borderId="0" applyBorder="0">
      <alignment horizontal="right" vertical="center"/>
    </xf>
    <xf numFmtId="0" fontId="60" fillId="0" borderId="0"/>
    <xf numFmtId="0" fontId="61" fillId="0" borderId="24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2" fillId="0" borderId="25" applyNumberFormat="0" applyFill="0" applyAlignment="0" applyProtection="0"/>
    <xf numFmtId="0" fontId="61" fillId="0" borderId="24" applyNumberFormat="0" applyFill="0" applyAlignment="0" applyProtection="0"/>
    <xf numFmtId="0" fontId="62" fillId="0" borderId="25" applyNumberFormat="0" applyFill="0" applyAlignment="0" applyProtection="0"/>
    <xf numFmtId="189" fontId="0" fillId="0" borderId="0" applyFont="0" applyFill="0" applyBorder="0" applyAlignment="0" applyProtection="0"/>
    <xf numFmtId="0" fontId="63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4" fillId="7" borderId="0" applyNumberFormat="0" applyBorder="0" applyAlignment="0" applyProtection="0"/>
    <xf numFmtId="0" fontId="65" fillId="7" borderId="0" applyNumberFormat="0" applyBorder="0" applyAlignment="0" applyProtection="0"/>
    <xf numFmtId="0" fontId="64" fillId="7" borderId="0" applyNumberFormat="0" applyBorder="0" applyAlignment="0" applyProtection="0"/>
    <xf numFmtId="0" fontId="63" fillId="7" borderId="0" applyNumberFormat="0" applyBorder="0" applyAlignment="0" applyProtection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90" fontId="6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90" fontId="66" fillId="0" borderId="0">
      <alignment vertical="center"/>
    </xf>
    <xf numFmtId="190" fontId="66" fillId="0" borderId="0">
      <alignment vertical="center"/>
    </xf>
    <xf numFmtId="190" fontId="66" fillId="0" borderId="0">
      <alignment vertical="center"/>
    </xf>
    <xf numFmtId="190" fontId="6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90" fontId="66" fillId="0" borderId="0">
      <alignment vertical="center"/>
    </xf>
    <xf numFmtId="190" fontId="66" fillId="0" borderId="0">
      <alignment vertical="center"/>
    </xf>
    <xf numFmtId="190" fontId="66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90" fontId="66" fillId="0" borderId="0">
      <alignment vertical="center"/>
    </xf>
    <xf numFmtId="190" fontId="66" fillId="0" borderId="0">
      <alignment vertical="center"/>
    </xf>
    <xf numFmtId="190" fontId="66" fillId="0" borderId="0">
      <alignment vertical="center"/>
    </xf>
    <xf numFmtId="190" fontId="6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8" fontId="6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6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8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66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8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8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18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8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8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8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 applyNumberFormat="0" applyFont="0" applyFill="0" applyBorder="0" applyAlignment="0" applyProtection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4" fontId="45" fillId="0" borderId="13" applyFill="0" applyBorder="0" applyProtection="0">
      <alignment horizontal="right" vertical="center"/>
    </xf>
    <xf numFmtId="0" fontId="67" fillId="0" borderId="0" applyNumberFormat="0" applyFill="0" applyBorder="0" applyProtection="0">
      <alignment horizontal="left" vertical="center"/>
    </xf>
    <xf numFmtId="0" fontId="0" fillId="60" borderId="0" applyNumberFormat="0" applyFont="0" applyBorder="0" applyAlignment="0" applyProtection="0"/>
    <xf numFmtId="0" fontId="0" fillId="60" borderId="0" applyNumberFormat="0" applyFont="0" applyBorder="0" applyAlignment="0" applyProtection="0"/>
    <xf numFmtId="0" fontId="0" fillId="60" borderId="0" applyNumberFormat="0" applyFont="0" applyBorder="0" applyAlignment="0" applyProtection="0"/>
    <xf numFmtId="0" fontId="0" fillId="60" borderId="0" applyNumberFormat="0" applyFont="0" applyBorder="0" applyAlignment="0" applyProtection="0"/>
    <xf numFmtId="0" fontId="68" fillId="0" borderId="0"/>
    <xf numFmtId="0" fontId="18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18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18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0" fontId="0" fillId="8" borderId="26" applyNumberFormat="0" applyFont="0" applyAlignment="0" applyProtection="0"/>
    <xf numFmtId="192" fontId="69" fillId="0" borderId="0">
      <alignment horizontal="right"/>
    </xf>
    <xf numFmtId="193" fontId="0" fillId="0" borderId="0" applyFont="0" applyFill="0" applyBorder="0" applyAlignment="0" applyProtection="0"/>
    <xf numFmtId="193" fontId="0" fillId="0" borderId="0" applyFont="0" applyFill="0" applyBorder="0" applyAlignment="0" applyProtection="0"/>
    <xf numFmtId="0" fontId="70" fillId="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59" borderId="27" applyNumberFormat="0" applyAlignment="0" applyProtection="0"/>
    <xf numFmtId="0" fontId="70" fillId="9" borderId="27" applyNumberFormat="0" applyAlignment="0" applyProtection="0"/>
    <xf numFmtId="0" fontId="70" fillId="59" borderId="27" applyNumberFormat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194" fontId="71" fillId="0" borderId="0" applyFont="0" applyFill="0" applyBorder="0" applyAlignment="0" applyProtection="0"/>
    <xf numFmtId="195" fontId="71" fillId="0" borderId="0" applyFont="0" applyFill="0" applyBorder="0" applyAlignment="0" applyProtection="0"/>
    <xf numFmtId="196" fontId="71" fillId="0" borderId="0" applyFont="0" applyFill="0" applyBorder="0" applyAlignment="0" applyProtection="0"/>
    <xf numFmtId="0" fontId="48" fillId="0" borderId="0">
      <alignment vertical="top" wrapText="1"/>
    </xf>
    <xf numFmtId="0" fontId="0" fillId="0" borderId="0"/>
    <xf numFmtId="0" fontId="0" fillId="0" borderId="13" applyNumberFormat="0" applyFill="0" applyProtection="0">
      <alignment horizontal="right"/>
    </xf>
    <xf numFmtId="0" fontId="0" fillId="0" borderId="13" applyNumberFormat="0" applyFill="0" applyProtection="0">
      <alignment horizontal="right"/>
    </xf>
    <xf numFmtId="0" fontId="16" fillId="61" borderId="13" applyNumberFormat="0" applyProtection="0">
      <alignment horizontal="right"/>
    </xf>
    <xf numFmtId="0" fontId="72" fillId="61" borderId="0" applyNumberFormat="0" applyBorder="0" applyProtection="0">
      <alignment horizontal="left"/>
    </xf>
    <xf numFmtId="0" fontId="16" fillId="61" borderId="13" applyNumberFormat="0" applyProtection="0">
      <alignment horizontal="left"/>
    </xf>
    <xf numFmtId="0" fontId="0" fillId="0" borderId="13" applyNumberFormat="0" applyFill="0" applyProtection="0">
      <alignment horizontal="right"/>
    </xf>
    <xf numFmtId="0" fontId="0" fillId="0" borderId="13" applyNumberFormat="0" applyFill="0" applyProtection="0">
      <alignment horizontal="right"/>
    </xf>
    <xf numFmtId="0" fontId="73" fillId="54" borderId="0" applyNumberFormat="0" applyBorder="0" applyProtection="0">
      <alignment horizontal="left"/>
    </xf>
    <xf numFmtId="197" fontId="0" fillId="0" borderId="0" applyFill="0" applyBorder="0" applyAlignment="0" applyProtection="0">
      <alignment wrapText="1"/>
    </xf>
    <xf numFmtId="197" fontId="0" fillId="0" borderId="0" applyFill="0" applyBorder="0" applyAlignment="0" applyProtection="0">
      <alignment wrapText="1"/>
    </xf>
    <xf numFmtId="197" fontId="0" fillId="0" borderId="0" applyFill="0" applyBorder="0" applyAlignment="0" applyProtection="0">
      <alignment wrapText="1"/>
    </xf>
    <xf numFmtId="197" fontId="0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8" fontId="74" fillId="62" borderId="28">
      <alignment vertical="center"/>
    </xf>
    <xf numFmtId="178" fontId="75" fillId="62" borderId="28">
      <alignment vertical="center"/>
    </xf>
    <xf numFmtId="198" fontId="76" fillId="63" borderId="28">
      <alignment vertical="center"/>
    </xf>
    <xf numFmtId="0" fontId="0" fillId="64" borderId="29" applyBorder="0">
      <alignment horizontal="left" vertical="center"/>
    </xf>
    <xf numFmtId="0" fontId="0" fillId="64" borderId="29" applyBorder="0">
      <alignment horizontal="left" vertical="center"/>
    </xf>
    <xf numFmtId="49" fontId="0" fillId="65" borderId="13">
      <alignment vertical="center" wrapText="1"/>
    </xf>
    <xf numFmtId="49" fontId="0" fillId="65" borderId="13">
      <alignment vertical="center" wrapText="1"/>
    </xf>
    <xf numFmtId="0" fontId="0" fillId="66" borderId="5">
      <alignment horizontal="left" vertical="center" wrapText="1"/>
    </xf>
    <xf numFmtId="0" fontId="0" fillId="66" borderId="5">
      <alignment horizontal="left" vertical="center" wrapText="1"/>
    </xf>
    <xf numFmtId="0" fontId="77" fillId="67" borderId="13">
      <alignment horizontal="left" vertical="center" wrapText="1"/>
    </xf>
    <xf numFmtId="0" fontId="0" fillId="53" borderId="13">
      <alignment horizontal="left" vertical="center" wrapText="1"/>
    </xf>
    <xf numFmtId="0" fontId="0" fillId="53" borderId="13">
      <alignment horizontal="left" vertical="center" wrapText="1"/>
    </xf>
    <xf numFmtId="0" fontId="0" fillId="68" borderId="13">
      <alignment horizontal="left" vertical="center" wrapText="1"/>
    </xf>
    <xf numFmtId="0" fontId="0" fillId="68" borderId="13">
      <alignment horizontal="left" vertical="center" wrapText="1"/>
    </xf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8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0" borderId="30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1" applyNumberFormat="0" applyFill="0" applyAlignment="0" applyProtection="0"/>
    <xf numFmtId="0" fontId="80" fillId="0" borderId="30" applyNumberFormat="0" applyFill="0" applyAlignment="0" applyProtection="0"/>
    <xf numFmtId="0" fontId="80" fillId="0" borderId="31" applyNumberFormat="0" applyFill="0" applyAlignment="0" applyProtection="0"/>
    <xf numFmtId="199" fontId="71" fillId="0" borderId="0" applyFon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4" fontId="45" fillId="0" borderId="0"/>
    <xf numFmtId="0" fontId="81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0" fontId="1" fillId="0" borderId="0" xfId="0" applyFont="1"/>
    <xf numFmtId="0" fontId="2" fillId="0" borderId="1" xfId="14" applyFont="1" applyFill="1" applyBorder="1"/>
    <xf numFmtId="0" fontId="3" fillId="0" borderId="0" xfId="0" applyFont="1"/>
    <xf numFmtId="0" fontId="4" fillId="0" borderId="0" xfId="1528"/>
    <xf numFmtId="0" fontId="5" fillId="0" borderId="2" xfId="14"/>
    <xf numFmtId="0" fontId="4" fillId="0" borderId="0" xfId="2195"/>
    <xf numFmtId="0" fontId="6" fillId="0" borderId="0" xfId="2195" applyFont="1"/>
    <xf numFmtId="200" fontId="0" fillId="0" borderId="0" xfId="0" applyNumberFormat="1"/>
    <xf numFmtId="200" fontId="0" fillId="0" borderId="0" xfId="0" applyNumberFormat="1" applyFont="1"/>
    <xf numFmtId="0" fontId="0" fillId="0" borderId="0" xfId="0" applyFont="1"/>
    <xf numFmtId="0" fontId="0" fillId="2" borderId="0" xfId="0" applyFill="1"/>
    <xf numFmtId="0" fontId="0" fillId="0" borderId="0" xfId="1140"/>
    <xf numFmtId="0" fontId="4" fillId="0" borderId="0" xfId="2179"/>
    <xf numFmtId="11" fontId="0" fillId="0" borderId="0" xfId="0" applyNumberFormat="1"/>
    <xf numFmtId="0" fontId="7" fillId="0" borderId="0" xfId="0" applyFont="1"/>
    <xf numFmtId="0" fontId="8" fillId="0" borderId="0" xfId="0" applyFont="1"/>
    <xf numFmtId="0" fontId="9" fillId="3" borderId="0" xfId="0" applyFont="1" applyFill="1"/>
    <xf numFmtId="0" fontId="9" fillId="4" borderId="0" xfId="0" applyFont="1" applyFill="1"/>
    <xf numFmtId="0" fontId="8" fillId="0" borderId="3" xfId="0" applyFont="1" applyBorder="1"/>
    <xf numFmtId="0" fontId="10" fillId="0" borderId="0" xfId="0" applyFont="1"/>
    <xf numFmtId="0" fontId="11" fillId="0" borderId="0" xfId="0" applyFont="1"/>
    <xf numFmtId="11" fontId="12" fillId="0" borderId="0" xfId="0" applyNumberFormat="1" applyFont="1"/>
    <xf numFmtId="11" fontId="10" fillId="0" borderId="0" xfId="0" applyNumberFormat="1" applyFont="1"/>
    <xf numFmtId="0" fontId="8" fillId="5" borderId="0" xfId="0" applyFont="1" applyFill="1"/>
    <xf numFmtId="0" fontId="8" fillId="6" borderId="0" xfId="0" applyFont="1" applyFill="1"/>
    <xf numFmtId="0" fontId="8" fillId="7" borderId="4" xfId="0" applyFont="1" applyFill="1" applyBorder="1" applyAlignment="1">
      <alignment horizontal="left" vertical="center" wrapText="1"/>
    </xf>
    <xf numFmtId="0" fontId="13" fillId="0" borderId="0" xfId="0" applyFont="1"/>
    <xf numFmtId="0" fontId="14" fillId="0" borderId="0" xfId="0" applyFont="1" applyAlignment="1">
      <alignment horizontal="left"/>
    </xf>
    <xf numFmtId="0" fontId="14" fillId="0" borderId="0" xfId="0" applyFont="1"/>
    <xf numFmtId="0" fontId="15" fillId="8" borderId="0" xfId="170" applyFont="1" applyBorder="1"/>
    <xf numFmtId="0" fontId="0" fillId="2" borderId="0" xfId="0" applyFont="1" applyFill="1"/>
    <xf numFmtId="0" fontId="16" fillId="0" borderId="0" xfId="0" applyFont="1"/>
    <xf numFmtId="0" fontId="17" fillId="0" borderId="0" xfId="0" applyFont="1"/>
    <xf numFmtId="0" fontId="18" fillId="8" borderId="5" xfId="97" applyBorder="1"/>
    <xf numFmtId="0" fontId="18" fillId="8" borderId="0" xfId="97" applyBorder="1"/>
    <xf numFmtId="0" fontId="18" fillId="8" borderId="0" xfId="94"/>
    <xf numFmtId="0" fontId="19" fillId="0" borderId="0" xfId="0" applyFont="1"/>
    <xf numFmtId="0" fontId="16" fillId="4" borderId="0" xfId="0" applyFont="1" applyFill="1"/>
    <xf numFmtId="0" fontId="16" fillId="9" borderId="0" xfId="0" applyFont="1" applyFill="1"/>
    <xf numFmtId="0" fontId="0" fillId="0" borderId="0" xfId="0" applyFont="1" quotePrefix="1"/>
  </cellXfs>
  <cellStyles count="365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7 4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1 2 4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6 2 4" xfId="874"/>
    <cellStyle name="Comma 7 17" xfId="875"/>
    <cellStyle name="Comma 7 17 2" xfId="876"/>
    <cellStyle name="Comma 7 17 2 2" xfId="877"/>
    <cellStyle name="Comma 7 17 2 3" xfId="878"/>
    <cellStyle name="Comma 7 17 2 4" xfId="879"/>
    <cellStyle name="Comma 7 18" xfId="880"/>
    <cellStyle name="Comma 7 18 2" xfId="881"/>
    <cellStyle name="Comma 7 18 2 2" xfId="882"/>
    <cellStyle name="Comma 7 18 2 3" xfId="883"/>
    <cellStyle name="Comma 7 18 2 4" xfId="884"/>
    <cellStyle name="Comma 7 19" xfId="885"/>
    <cellStyle name="Comma 7 19 2" xfId="886"/>
    <cellStyle name="Comma 7 19 2 2" xfId="887"/>
    <cellStyle name="Comma 7 19 2 3" xfId="888"/>
    <cellStyle name="Comma 7 19 2 4" xfId="889"/>
    <cellStyle name="Comma 7 2" xfId="890"/>
    <cellStyle name="Comma 7 2 2" xfId="891"/>
    <cellStyle name="Comma 7 20" xfId="892"/>
    <cellStyle name="Comma 7 20 2" xfId="893"/>
    <cellStyle name="Comma 7 20 2 2" xfId="894"/>
    <cellStyle name="Comma 7 20 2 3" xfId="895"/>
    <cellStyle name="Comma 7 20 2 4" xfId="896"/>
    <cellStyle name="Comma 7 21" xfId="897"/>
    <cellStyle name="Comma 7 21 2" xfId="898"/>
    <cellStyle name="Comma 7 21 2 2" xfId="899"/>
    <cellStyle name="Comma 7 21 2 3" xfId="900"/>
    <cellStyle name="Comma 7 21 2 4" xfId="901"/>
    <cellStyle name="Comma 7 3" xfId="902"/>
    <cellStyle name="Comma 7 3 10" xfId="903"/>
    <cellStyle name="Comma 7 3 10 2" xfId="904"/>
    <cellStyle name="Comma 7 3 11" xfId="905"/>
    <cellStyle name="Comma 7 3 11 2" xfId="906"/>
    <cellStyle name="Comma 7 3 12" xfId="907"/>
    <cellStyle name="Comma 7 3 12 2" xfId="908"/>
    <cellStyle name="Comma 7 3 13" xfId="909"/>
    <cellStyle name="Comma 7 3 13 2" xfId="910"/>
    <cellStyle name="Comma 7 3 14" xfId="911"/>
    <cellStyle name="Comma 7 3 14 2" xfId="912"/>
    <cellStyle name="Comma 7 3 15" xfId="913"/>
    <cellStyle name="Comma 7 3 15 2" xfId="914"/>
    <cellStyle name="Comma 7 3 16" xfId="915"/>
    <cellStyle name="Comma 7 3 16 2" xfId="916"/>
    <cellStyle name="Comma 7 3 16 3" xfId="917"/>
    <cellStyle name="Comma 7 3 16 4" xfId="918"/>
    <cellStyle name="Comma 7 3 2" xfId="919"/>
    <cellStyle name="Comma 7 3 2 2" xfId="920"/>
    <cellStyle name="Comma 7 3 3" xfId="921"/>
    <cellStyle name="Comma 7 3 3 2" xfId="922"/>
    <cellStyle name="Comma 7 3 4" xfId="923"/>
    <cellStyle name="Comma 7 3 4 2" xfId="924"/>
    <cellStyle name="Comma 7 3 5" xfId="925"/>
    <cellStyle name="Comma 7 3 5 2" xfId="926"/>
    <cellStyle name="Comma 7 3 6" xfId="927"/>
    <cellStyle name="Comma 7 3 6 2" xfId="928"/>
    <cellStyle name="Comma 7 3 7" xfId="929"/>
    <cellStyle name="Comma 7 3 7 2" xfId="930"/>
    <cellStyle name="Comma 7 3 8" xfId="931"/>
    <cellStyle name="Comma 7 3 8 2" xfId="932"/>
    <cellStyle name="Comma 7 3 9" xfId="933"/>
    <cellStyle name="Comma 7 3 9 2" xfId="934"/>
    <cellStyle name="Comma 7 4" xfId="935"/>
    <cellStyle name="Comma 7 4 2" xfId="936"/>
    <cellStyle name="Comma 7 5" xfId="937"/>
    <cellStyle name="Comma 7 5 2" xfId="938"/>
    <cellStyle name="Comma 7 6" xfId="939"/>
    <cellStyle name="Comma 7 6 2" xfId="940"/>
    <cellStyle name="Comma 7 7" xfId="941"/>
    <cellStyle name="Comma 7 7 2" xfId="942"/>
    <cellStyle name="Comma 7 8" xfId="943"/>
    <cellStyle name="Comma 7 8 2" xfId="944"/>
    <cellStyle name="Comma 7 9" xfId="945"/>
    <cellStyle name="Comma 7 9 2" xfId="946"/>
    <cellStyle name="Comma 8" xfId="947"/>
    <cellStyle name="Comma 8 2" xfId="948"/>
    <cellStyle name="Comma 8 2 2" xfId="949"/>
    <cellStyle name="Comma 8 2 2 2" xfId="950"/>
    <cellStyle name="Comma 8 2 2 3" xfId="951"/>
    <cellStyle name="Comma 8 2 2 4" xfId="952"/>
    <cellStyle name="Comma 8 3" xfId="953"/>
    <cellStyle name="Comma 8 3 2" xfId="954"/>
    <cellStyle name="Comma 8 3 2 2" xfId="955"/>
    <cellStyle name="Comma 8 3 2 3" xfId="956"/>
    <cellStyle name="Comma 8 3 2 4" xfId="957"/>
    <cellStyle name="Comma 8 4" xfId="958"/>
    <cellStyle name="Comma 8 4 2" xfId="959"/>
    <cellStyle name="Comma 8 4 2 2" xfId="960"/>
    <cellStyle name="Comma 8 4 2 3" xfId="961"/>
    <cellStyle name="Comma 8 4 2 4" xfId="962"/>
    <cellStyle name="Comma 8 5" xfId="963"/>
    <cellStyle name="Comma 8 5 2" xfId="964"/>
    <cellStyle name="Comma 8 5 2 2" xfId="965"/>
    <cellStyle name="Comma 8 5 2 3" xfId="966"/>
    <cellStyle name="Comma 8 5 2 4" xfId="967"/>
    <cellStyle name="Comma 8 6" xfId="968"/>
    <cellStyle name="Comma 8 6 2" xfId="969"/>
    <cellStyle name="Comma 8 6 2 2" xfId="970"/>
    <cellStyle name="Comma 8 6 2 3" xfId="971"/>
    <cellStyle name="Comma 8 6 2 4" xfId="972"/>
    <cellStyle name="Comma 8 7" xfId="973"/>
    <cellStyle name="Comma 8 7 2" xfId="974"/>
    <cellStyle name="Comma 8 7 2 2" xfId="975"/>
    <cellStyle name="Comma 8 7 2 3" xfId="976"/>
    <cellStyle name="Comma 8 7 2 4" xfId="977"/>
    <cellStyle name="Comma 8 8" xfId="978"/>
    <cellStyle name="Comma 8 8 2" xfId="979"/>
    <cellStyle name="Comma 8 8 2 2" xfId="980"/>
    <cellStyle name="Comma 8 8 2 3" xfId="981"/>
    <cellStyle name="Comma 8 8 2 4" xfId="982"/>
    <cellStyle name="Comma 9" xfId="983"/>
    <cellStyle name="Comma 9 2" xfId="984"/>
    <cellStyle name="Comma 9 2 2" xfId="985"/>
    <cellStyle name="Comma 9 3" xfId="986"/>
    <cellStyle name="Comma 9 4" xfId="987"/>
    <cellStyle name="Comma 9 5" xfId="988"/>
    <cellStyle name="Comma 9 6" xfId="989"/>
    <cellStyle name="Comma 9 7" xfId="990"/>
    <cellStyle name="Comma 9 8" xfId="991"/>
    <cellStyle name="Comma 9 9" xfId="992"/>
    <cellStyle name="Currency 2 2" xfId="993"/>
    <cellStyle name="Currency 2 2 2" xfId="994"/>
    <cellStyle name="CustomizationCells" xfId="995"/>
    <cellStyle name="Date" xfId="996"/>
    <cellStyle name="Date 2" xfId="997"/>
    <cellStyle name="donn_normal" xfId="998"/>
    <cellStyle name="ent_col_ser" xfId="999"/>
    <cellStyle name="entete_source" xfId="1000"/>
    <cellStyle name="Euro" xfId="1001"/>
    <cellStyle name="Euro 2" xfId="1002"/>
    <cellStyle name="Euro 2 2" xfId="1003"/>
    <cellStyle name="Euro 2 2 2" xfId="1004"/>
    <cellStyle name="Euro 2 2 2 2" xfId="1005"/>
    <cellStyle name="Euro 2 2 2 3" xfId="1006"/>
    <cellStyle name="Euro 2 2 3" xfId="1007"/>
    <cellStyle name="Euro 2 2 4" xfId="1008"/>
    <cellStyle name="Euro 2 3" xfId="1009"/>
    <cellStyle name="Euro 2 3 2" xfId="1010"/>
    <cellStyle name="Euro 2 4" xfId="1011"/>
    <cellStyle name="Euro 2 5" xfId="1012"/>
    <cellStyle name="Euro 3" xfId="1013"/>
    <cellStyle name="Euro 3 2" xfId="1014"/>
    <cellStyle name="Euro 3 3" xfId="1015"/>
    <cellStyle name="Euro 4" xfId="1016"/>
    <cellStyle name="Euro 4 2" xfId="1017"/>
    <cellStyle name="Euro 4 3" xfId="1018"/>
    <cellStyle name="Euro 5" xfId="1019"/>
    <cellStyle name="Explanatory Text 2" xfId="1020"/>
    <cellStyle name="Explanatory Text 2 10" xfId="1021"/>
    <cellStyle name="Explanatory Text 2 2" xfId="1022"/>
    <cellStyle name="Explanatory Text 2 3" xfId="1023"/>
    <cellStyle name="Explanatory Text 2 4" xfId="1024"/>
    <cellStyle name="Explanatory Text 2 5" xfId="1025"/>
    <cellStyle name="Explanatory Text 2 6" xfId="1026"/>
    <cellStyle name="Explanatory Text 2 7" xfId="1027"/>
    <cellStyle name="Explanatory Text 2 8" xfId="1028"/>
    <cellStyle name="Explanatory Text 2 9" xfId="1029"/>
    <cellStyle name="Explanatory Text 3" xfId="1030"/>
    <cellStyle name="Fixed" xfId="1031"/>
    <cellStyle name="Fixed 2" xfId="1032"/>
    <cellStyle name="Float" xfId="1033"/>
    <cellStyle name="Float 2" xfId="1034"/>
    <cellStyle name="Good 2" xfId="1035"/>
    <cellStyle name="Good 2 10" xfId="1036"/>
    <cellStyle name="Good 2 2" xfId="1037"/>
    <cellStyle name="Good 2 3" xfId="1038"/>
    <cellStyle name="Good 2 4" xfId="1039"/>
    <cellStyle name="Good 2 5" xfId="1040"/>
    <cellStyle name="Good 2 6" xfId="1041"/>
    <cellStyle name="Good 2 7" xfId="1042"/>
    <cellStyle name="Good 2 8" xfId="1043"/>
    <cellStyle name="Good 2 9" xfId="1044"/>
    <cellStyle name="Good 3" xfId="1045"/>
    <cellStyle name="Good 3 2" xfId="1046"/>
    <cellStyle name="Heading 1 2" xfId="1047"/>
    <cellStyle name="Heading 1 2 10" xfId="1048"/>
    <cellStyle name="Heading 1 2 2" xfId="1049"/>
    <cellStyle name="Heading 1 2 3" xfId="1050"/>
    <cellStyle name="Heading 1 2 4" xfId="1051"/>
    <cellStyle name="Heading 1 2 5" xfId="1052"/>
    <cellStyle name="Heading 1 2 6" xfId="1053"/>
    <cellStyle name="Heading 1 2 7" xfId="1054"/>
    <cellStyle name="Heading 1 2 8" xfId="1055"/>
    <cellStyle name="Heading 1 2 9" xfId="1056"/>
    <cellStyle name="Heading 1 3" xfId="1057"/>
    <cellStyle name="Heading 1 3 2" xfId="1058"/>
    <cellStyle name="Heading 2 2" xfId="1059"/>
    <cellStyle name="Heading 2 2 10" xfId="1060"/>
    <cellStyle name="Heading 2 2 2" xfId="1061"/>
    <cellStyle name="Heading 2 2 3" xfId="1062"/>
    <cellStyle name="Heading 2 2 4" xfId="1063"/>
    <cellStyle name="Heading 2 2 5" xfId="1064"/>
    <cellStyle name="Heading 2 2 6" xfId="1065"/>
    <cellStyle name="Heading 2 2 7" xfId="1066"/>
    <cellStyle name="Heading 2 2 8" xfId="1067"/>
    <cellStyle name="Heading 2 2 9" xfId="1068"/>
    <cellStyle name="Heading 2 3" xfId="1069"/>
    <cellStyle name="Heading 2 3 2" xfId="1070"/>
    <cellStyle name="Heading 3 2" xfId="1071"/>
    <cellStyle name="Heading 3 2 10" xfId="1072"/>
    <cellStyle name="Heading 3 2 2" xfId="1073"/>
    <cellStyle name="Heading 3 2 3" xfId="1074"/>
    <cellStyle name="Heading 3 2 4" xfId="1075"/>
    <cellStyle name="Heading 3 2 5" xfId="1076"/>
    <cellStyle name="Heading 3 2 6" xfId="1077"/>
    <cellStyle name="Heading 3 2 7" xfId="1078"/>
    <cellStyle name="Heading 3 2 8" xfId="1079"/>
    <cellStyle name="Heading 3 2 9" xfId="1080"/>
    <cellStyle name="Heading 3 3" xfId="1081"/>
    <cellStyle name="Heading 3 3 2" xfId="1082"/>
    <cellStyle name="Heading 4 2" xfId="1083"/>
    <cellStyle name="Heading 4 2 10" xfId="1084"/>
    <cellStyle name="Heading 4 2 2" xfId="1085"/>
    <cellStyle name="Heading 4 2 3" xfId="1086"/>
    <cellStyle name="Heading 4 2 4" xfId="1087"/>
    <cellStyle name="Heading 4 2 5" xfId="1088"/>
    <cellStyle name="Heading 4 2 6" xfId="1089"/>
    <cellStyle name="Heading 4 2 7" xfId="1090"/>
    <cellStyle name="Heading 4 2 8" xfId="1091"/>
    <cellStyle name="Heading 4 2 9" xfId="1092"/>
    <cellStyle name="Heading 4 3" xfId="1093"/>
    <cellStyle name="Heading 4 3 2" xfId="1094"/>
    <cellStyle name="Heading1" xfId="1095"/>
    <cellStyle name="Heading1 2" xfId="1096"/>
    <cellStyle name="Heading2" xfId="1097"/>
    <cellStyle name="Heading2 2" xfId="1098"/>
    <cellStyle name="Hyperlink 2" xfId="1099"/>
    <cellStyle name="Input 2" xfId="1100"/>
    <cellStyle name="Input 2 10" xfId="1101"/>
    <cellStyle name="Input 2 2" xfId="1102"/>
    <cellStyle name="Input 2 3" xfId="1103"/>
    <cellStyle name="Input 2 4" xfId="1104"/>
    <cellStyle name="Input 2 5" xfId="1105"/>
    <cellStyle name="Input 2 6" xfId="1106"/>
    <cellStyle name="Input 2 7" xfId="1107"/>
    <cellStyle name="Input 2 8" xfId="1108"/>
    <cellStyle name="Input 2 9" xfId="1109"/>
    <cellStyle name="Input 3" xfId="1110"/>
    <cellStyle name="Input 3 2" xfId="1111"/>
    <cellStyle name="InputCells" xfId="1112"/>
    <cellStyle name="ligne_titre_0" xfId="1113"/>
    <cellStyle name="Linked Cell 2" xfId="1114"/>
    <cellStyle name="Linked Cell 2 10" xfId="1115"/>
    <cellStyle name="Linked Cell 2 2" xfId="1116"/>
    <cellStyle name="Linked Cell 2 3" xfId="1117"/>
    <cellStyle name="Linked Cell 2 4" xfId="1118"/>
    <cellStyle name="Linked Cell 2 5" xfId="1119"/>
    <cellStyle name="Linked Cell 2 6" xfId="1120"/>
    <cellStyle name="Linked Cell 2 7" xfId="1121"/>
    <cellStyle name="Linked Cell 2 8" xfId="1122"/>
    <cellStyle name="Linked Cell 2 9" xfId="1123"/>
    <cellStyle name="Linked Cell 3" xfId="1124"/>
    <cellStyle name="Linked Cell 3 2" xfId="1125"/>
    <cellStyle name="Migliaia_Oil&amp;Gas IFE ARC POLITO" xfId="1126"/>
    <cellStyle name="Neutral 2" xfId="1127"/>
    <cellStyle name="Neutral 2 10" xfId="1128"/>
    <cellStyle name="Neutral 2 2" xfId="1129"/>
    <cellStyle name="Neutral 2 3" xfId="1130"/>
    <cellStyle name="Neutral 2 4" xfId="1131"/>
    <cellStyle name="Neutral 2 5" xfId="1132"/>
    <cellStyle name="Neutral 2 6" xfId="1133"/>
    <cellStyle name="Neutral 2 7" xfId="1134"/>
    <cellStyle name="Neutral 2 8" xfId="1135"/>
    <cellStyle name="Neutral 2 9" xfId="1136"/>
    <cellStyle name="Neutral 3" xfId="1137"/>
    <cellStyle name="Neutral 3 2" xfId="1138"/>
    <cellStyle name="Neutral 3 3" xfId="1139"/>
    <cellStyle name="Normal 10" xfId="1140"/>
    <cellStyle name="Normal 10 2" xfId="1141"/>
    <cellStyle name="Normal 10 2 2" xfId="1142"/>
    <cellStyle name="Normal 10 3" xfId="1143"/>
    <cellStyle name="Normal 10 3 2" xfId="1144"/>
    <cellStyle name="Normal 10 4" xfId="1145"/>
    <cellStyle name="Normal 10 4 2" xfId="1146"/>
    <cellStyle name="Normal 10 5" xfId="1147"/>
    <cellStyle name="Normal 10 5 2" xfId="1148"/>
    <cellStyle name="Normal 10 6" xfId="1149"/>
    <cellStyle name="Normal 10 6 2" xfId="1150"/>
    <cellStyle name="Normal 10 7" xfId="1151"/>
    <cellStyle name="Normal 10 7 2" xfId="1152"/>
    <cellStyle name="Normal 10 8" xfId="1153"/>
    <cellStyle name="Normal 10 8 2" xfId="1154"/>
    <cellStyle name="Normal 10 9" xfId="1155"/>
    <cellStyle name="Normal 11" xfId="1156"/>
    <cellStyle name="Normal 11 10" xfId="1157"/>
    <cellStyle name="Normal 11 2" xfId="1158"/>
    <cellStyle name="Normal 11 2 2" xfId="1159"/>
    <cellStyle name="Normal 11 3" xfId="1160"/>
    <cellStyle name="Normal 11 3 2" xfId="1161"/>
    <cellStyle name="Normal 11 4" xfId="1162"/>
    <cellStyle name="Normal 11 4 2" xfId="1163"/>
    <cellStyle name="Normal 11 5" xfId="1164"/>
    <cellStyle name="Normal 11 5 2" xfId="1165"/>
    <cellStyle name="Normal 11 6" xfId="1166"/>
    <cellStyle name="Normal 11 6 2" xfId="1167"/>
    <cellStyle name="Normal 11 7" xfId="1168"/>
    <cellStyle name="Normal 11 7 2" xfId="1169"/>
    <cellStyle name="Normal 11 8" xfId="1170"/>
    <cellStyle name="Normal 11 8 2" xfId="1171"/>
    <cellStyle name="Normal 11 9" xfId="1172"/>
    <cellStyle name="Normal 12" xfId="1173"/>
    <cellStyle name="Normal 12 10" xfId="1174"/>
    <cellStyle name="Normal 12 2" xfId="1175"/>
    <cellStyle name="Normal 12 2 2" xfId="1176"/>
    <cellStyle name="Normal 12 3" xfId="1177"/>
    <cellStyle name="Normal 12 3 2" xfId="1178"/>
    <cellStyle name="Normal 12 4" xfId="1179"/>
    <cellStyle name="Normal 12 4 2" xfId="1180"/>
    <cellStyle name="Normal 12 5" xfId="1181"/>
    <cellStyle name="Normal 12 5 2" xfId="1182"/>
    <cellStyle name="Normal 12 6" xfId="1183"/>
    <cellStyle name="Normal 12 6 2" xfId="1184"/>
    <cellStyle name="Normal 12 7" xfId="1185"/>
    <cellStyle name="Normal 12 7 2" xfId="1186"/>
    <cellStyle name="Normal 12 8" xfId="1187"/>
    <cellStyle name="Normal 12 8 2" xfId="1188"/>
    <cellStyle name="Normal 12 9" xfId="1189"/>
    <cellStyle name="Normal 13" xfId="1190"/>
    <cellStyle name="Normal 13 10" xfId="1191"/>
    <cellStyle name="Normal 13 10 2" xfId="1192"/>
    <cellStyle name="Normal 13 10 2 2" xfId="1193"/>
    <cellStyle name="Normal 13 10 2 3" xfId="1194"/>
    <cellStyle name="Normal 13 10 2 4" xfId="1195"/>
    <cellStyle name="Normal 13 10 3" xfId="1196"/>
    <cellStyle name="Normal 13 10 4" xfId="1197"/>
    <cellStyle name="Normal 13 10 5" xfId="1198"/>
    <cellStyle name="Normal 13 11" xfId="1199"/>
    <cellStyle name="Normal 13 11 2" xfId="1200"/>
    <cellStyle name="Normal 13 11 2 2" xfId="1201"/>
    <cellStyle name="Normal 13 11 2 3" xfId="1202"/>
    <cellStyle name="Normal 13 11 2 4" xfId="1203"/>
    <cellStyle name="Normal 13 11 3" xfId="1204"/>
    <cellStyle name="Normal 13 11 4" xfId="1205"/>
    <cellStyle name="Normal 13 11 5" xfId="1206"/>
    <cellStyle name="Normal 13 12" xfId="1207"/>
    <cellStyle name="Normal 13 13" xfId="1208"/>
    <cellStyle name="Normal 13 13 2" xfId="1209"/>
    <cellStyle name="Normal 13 13 2 2" xfId="1210"/>
    <cellStyle name="Normal 13 13 2 3" xfId="1211"/>
    <cellStyle name="Normal 13 13 2 4" xfId="1212"/>
    <cellStyle name="Normal 13 13 3" xfId="1213"/>
    <cellStyle name="Normal 13 13 4" xfId="1214"/>
    <cellStyle name="Normal 13 13 5" xfId="1215"/>
    <cellStyle name="Normal 13 14" xfId="1216"/>
    <cellStyle name="Normal 13 14 2" xfId="1217"/>
    <cellStyle name="Normal 13 14 2 2" xfId="1218"/>
    <cellStyle name="Normal 13 14 2 3" xfId="1219"/>
    <cellStyle name="Normal 13 14 2 4" xfId="1220"/>
    <cellStyle name="Normal 13 14 3" xfId="1221"/>
    <cellStyle name="Normal 13 14 4" xfId="1222"/>
    <cellStyle name="Normal 13 14 5" xfId="1223"/>
    <cellStyle name="Normal 13 15" xfId="1224"/>
    <cellStyle name="Normal 13 15 2" xfId="1225"/>
    <cellStyle name="Normal 13 15 2 2" xfId="1226"/>
    <cellStyle name="Normal 13 15 2 3" xfId="1227"/>
    <cellStyle name="Normal 13 15 2 4" xfId="1228"/>
    <cellStyle name="Normal 13 15 3" xfId="1229"/>
    <cellStyle name="Normal 13 15 4" xfId="1230"/>
    <cellStyle name="Normal 13 15 5" xfId="1231"/>
    <cellStyle name="Normal 13 16" xfId="1232"/>
    <cellStyle name="Normal 13 16 2" xfId="1233"/>
    <cellStyle name="Normal 13 16 2 2" xfId="1234"/>
    <cellStyle name="Normal 13 16 2 3" xfId="1235"/>
    <cellStyle name="Normal 13 16 2 4" xfId="1236"/>
    <cellStyle name="Normal 13 16 3" xfId="1237"/>
    <cellStyle name="Normal 13 16 4" xfId="1238"/>
    <cellStyle name="Normal 13 16 5" xfId="1239"/>
    <cellStyle name="Normal 13 17" xfId="1240"/>
    <cellStyle name="Normal 13 18" xfId="1241"/>
    <cellStyle name="Normal 13 19" xfId="1242"/>
    <cellStyle name="Normal 13 2" xfId="1243"/>
    <cellStyle name="Normal 13 2 2" xfId="1244"/>
    <cellStyle name="Normal 13 2 2 2" xfId="1245"/>
    <cellStyle name="Normal 13 2 2 2 2" xfId="1246"/>
    <cellStyle name="Normal 13 2 2 2 3" xfId="1247"/>
    <cellStyle name="Normal 13 2 2 2 4" xfId="1248"/>
    <cellStyle name="Normal 13 2 2 3" xfId="1249"/>
    <cellStyle name="Normal 13 2 2 4" xfId="1250"/>
    <cellStyle name="Normal 13 2 2 5" xfId="1251"/>
    <cellStyle name="Normal 13 2 3" xfId="1252"/>
    <cellStyle name="Normal 13 2 3 2" xfId="1253"/>
    <cellStyle name="Normal 13 2 3 2 2" xfId="1254"/>
    <cellStyle name="Normal 13 2 3 2 3" xfId="1255"/>
    <cellStyle name="Normal 13 2 3 2 4" xfId="1256"/>
    <cellStyle name="Normal 13 2 3 3" xfId="1257"/>
    <cellStyle name="Normal 13 2 3 4" xfId="1258"/>
    <cellStyle name="Normal 13 2 3 5" xfId="1259"/>
    <cellStyle name="Normal 13 2 4" xfId="1260"/>
    <cellStyle name="Normal 13 2 4 2" xfId="1261"/>
    <cellStyle name="Normal 13 2 4 2 2" xfId="1262"/>
    <cellStyle name="Normal 13 2 4 2 3" xfId="1263"/>
    <cellStyle name="Normal 13 2 4 2 4" xfId="1264"/>
    <cellStyle name="Normal 13 2 4 3" xfId="1265"/>
    <cellStyle name="Normal 13 2 4 4" xfId="1266"/>
    <cellStyle name="Normal 13 2 4 5" xfId="1267"/>
    <cellStyle name="Normal 13 2 5" xfId="1268"/>
    <cellStyle name="Normal 13 2 5 2" xfId="1269"/>
    <cellStyle name="Normal 13 2 5 2 2" xfId="1270"/>
    <cellStyle name="Normal 13 2 5 2 3" xfId="1271"/>
    <cellStyle name="Normal 13 2 5 2 4" xfId="1272"/>
    <cellStyle name="Normal 13 2 5 3" xfId="1273"/>
    <cellStyle name="Normal 13 2 5 4" xfId="1274"/>
    <cellStyle name="Normal 13 2 5 5" xfId="1275"/>
    <cellStyle name="Normal 13 2 6" xfId="1276"/>
    <cellStyle name="Normal 13 2 6 2" xfId="1277"/>
    <cellStyle name="Normal 13 2 6 2 2" xfId="1278"/>
    <cellStyle name="Normal 13 2 6 2 3" xfId="1279"/>
    <cellStyle name="Normal 13 2 6 2 4" xfId="1280"/>
    <cellStyle name="Normal 13 2 6 3" xfId="1281"/>
    <cellStyle name="Normal 13 2 6 4" xfId="1282"/>
    <cellStyle name="Normal 13 2 6 5" xfId="1283"/>
    <cellStyle name="Normal 13 2 7" xfId="1284"/>
    <cellStyle name="Normal 13 2 7 2" xfId="1285"/>
    <cellStyle name="Normal 13 2 7 2 2" xfId="1286"/>
    <cellStyle name="Normal 13 2 7 2 3" xfId="1287"/>
    <cellStyle name="Normal 13 2 7 2 4" xfId="1288"/>
    <cellStyle name="Normal 13 2 7 3" xfId="1289"/>
    <cellStyle name="Normal 13 2 7 4" xfId="1290"/>
    <cellStyle name="Normal 13 2 7 5" xfId="1291"/>
    <cellStyle name="Normal 13 2 8" xfId="1292"/>
    <cellStyle name="Normal 13 2 8 2" xfId="1293"/>
    <cellStyle name="Normal 13 2 8 2 2" xfId="1294"/>
    <cellStyle name="Normal 13 2 8 2 3" xfId="1295"/>
    <cellStyle name="Normal 13 2 8 2 4" xfId="1296"/>
    <cellStyle name="Normal 13 2 8 3" xfId="1297"/>
    <cellStyle name="Normal 13 2 8 4" xfId="1298"/>
    <cellStyle name="Normal 13 2 8 5" xfId="1299"/>
    <cellStyle name="Normal 13 20" xfId="1300"/>
    <cellStyle name="Normal 13 21" xfId="1301"/>
    <cellStyle name="Normal 13 22" xfId="1302"/>
    <cellStyle name="Normal 13 23" xfId="1303"/>
    <cellStyle name="Normal 13 23 2" xfId="1304"/>
    <cellStyle name="Normal 13 24" xfId="1305"/>
    <cellStyle name="Normal 13 24 2" xfId="1306"/>
    <cellStyle name="Normal 13 25" xfId="1307"/>
    <cellStyle name="Normal 13 25 2" xfId="1308"/>
    <cellStyle name="Normal 13 26" xfId="1309"/>
    <cellStyle name="Normal 13 26 2" xfId="1310"/>
    <cellStyle name="Normal 13 27" xfId="1311"/>
    <cellStyle name="Normal 13 27 2" xfId="1312"/>
    <cellStyle name="Normal 13 28" xfId="1313"/>
    <cellStyle name="Normal 13 28 2" xfId="1314"/>
    <cellStyle name="Normal 13 29" xfId="1315"/>
    <cellStyle name="Normal 13 29 2" xfId="1316"/>
    <cellStyle name="Normal 13 3" xfId="1317"/>
    <cellStyle name="Normal 13 3 2" xfId="1318"/>
    <cellStyle name="Normal 13 3 2 2" xfId="1319"/>
    <cellStyle name="Normal 13 3 2 3" xfId="1320"/>
    <cellStyle name="Normal 13 3 2 4" xfId="1321"/>
    <cellStyle name="Normal 13 3 3" xfId="1322"/>
    <cellStyle name="Normal 13 3 4" xfId="1323"/>
    <cellStyle name="Normal 13 3 5" xfId="1324"/>
    <cellStyle name="Normal 13 30" xfId="1325"/>
    <cellStyle name="Normal 13 30 2" xfId="1326"/>
    <cellStyle name="Normal 13 31" xfId="1327"/>
    <cellStyle name="Normal 13 31 2" xfId="1328"/>
    <cellStyle name="Normal 13 32" xfId="1329"/>
    <cellStyle name="Normal 13 32 2" xfId="1330"/>
    <cellStyle name="Normal 13 33" xfId="1331"/>
    <cellStyle name="Normal 13 33 2" xfId="1332"/>
    <cellStyle name="Normal 13 34" xfId="1333"/>
    <cellStyle name="Normal 13 34 2" xfId="1334"/>
    <cellStyle name="Normal 13 35" xfId="1335"/>
    <cellStyle name="Normal 13 35 2" xfId="1336"/>
    <cellStyle name="Normal 13 36" xfId="1337"/>
    <cellStyle name="Normal 13 36 2" xfId="1338"/>
    <cellStyle name="Normal 13 37" xfId="1339"/>
    <cellStyle name="Normal 13 37 2" xfId="1340"/>
    <cellStyle name="Normal 13 38" xfId="1341"/>
    <cellStyle name="Normal 13 38 2" xfId="1342"/>
    <cellStyle name="Normal 13 39" xfId="1343"/>
    <cellStyle name="Normal 13 4" xfId="1344"/>
    <cellStyle name="Normal 13 4 2" xfId="1345"/>
    <cellStyle name="Normal 13 4 2 2" xfId="1346"/>
    <cellStyle name="Normal 13 4 2 3" xfId="1347"/>
    <cellStyle name="Normal 13 4 2 4" xfId="1348"/>
    <cellStyle name="Normal 13 4 3" xfId="1349"/>
    <cellStyle name="Normal 13 4 4" xfId="1350"/>
    <cellStyle name="Normal 13 4 5" xfId="1351"/>
    <cellStyle name="Normal 13 5" xfId="1352"/>
    <cellStyle name="Normal 13 6" xfId="1353"/>
    <cellStyle name="Normal 13 7" xfId="1354"/>
    <cellStyle name="Normal 13 8" xfId="1355"/>
    <cellStyle name="Normal 13 9" xfId="1356"/>
    <cellStyle name="Normal 13 9 2" xfId="1357"/>
    <cellStyle name="Normal 13 9 2 2" xfId="1358"/>
    <cellStyle name="Normal 13 9 2 3" xfId="1359"/>
    <cellStyle name="Normal 13 9 2 4" xfId="1360"/>
    <cellStyle name="Normal 13 9 3" xfId="1361"/>
    <cellStyle name="Normal 13 9 4" xfId="1362"/>
    <cellStyle name="Normal 13 9 5" xfId="1363"/>
    <cellStyle name="Normal 14" xfId="1364"/>
    <cellStyle name="Normal 14 10" xfId="1365"/>
    <cellStyle name="Normal 14 10 2" xfId="1366"/>
    <cellStyle name="Normal 14 10 2 2" xfId="1367"/>
    <cellStyle name="Normal 14 10 2 3" xfId="1368"/>
    <cellStyle name="Normal 14 10 2 4" xfId="1369"/>
    <cellStyle name="Normal 14 10 3" xfId="1370"/>
    <cellStyle name="Normal 14 10 4" xfId="1371"/>
    <cellStyle name="Normal 14 10 5" xfId="1372"/>
    <cellStyle name="Normal 14 11" xfId="1373"/>
    <cellStyle name="Normal 14 11 2" xfId="1374"/>
    <cellStyle name="Normal 14 11 2 2" xfId="1375"/>
    <cellStyle name="Normal 14 11 2 3" xfId="1376"/>
    <cellStyle name="Normal 14 11 2 4" xfId="1377"/>
    <cellStyle name="Normal 14 11 3" xfId="1378"/>
    <cellStyle name="Normal 14 11 4" xfId="1379"/>
    <cellStyle name="Normal 14 11 5" xfId="1380"/>
    <cellStyle name="Normal 14 12" xfId="1381"/>
    <cellStyle name="Normal 14 12 2" xfId="1382"/>
    <cellStyle name="Normal 14 12 2 2" xfId="1383"/>
    <cellStyle name="Normal 14 12 2 3" xfId="1384"/>
    <cellStyle name="Normal 14 12 2 4" xfId="1385"/>
    <cellStyle name="Normal 14 12 3" xfId="1386"/>
    <cellStyle name="Normal 14 12 4" xfId="1387"/>
    <cellStyle name="Normal 14 12 5" xfId="1388"/>
    <cellStyle name="Normal 14 13" xfId="1389"/>
    <cellStyle name="Normal 14 13 2" xfId="1390"/>
    <cellStyle name="Normal 14 13 2 2" xfId="1391"/>
    <cellStyle name="Normal 14 13 2 3" xfId="1392"/>
    <cellStyle name="Normal 14 13 2 4" xfId="1393"/>
    <cellStyle name="Normal 14 13 3" xfId="1394"/>
    <cellStyle name="Normal 14 13 4" xfId="1395"/>
    <cellStyle name="Normal 14 13 5" xfId="1396"/>
    <cellStyle name="Normal 14 14" xfId="1397"/>
    <cellStyle name="Normal 14 14 2" xfId="1398"/>
    <cellStyle name="Normal 14 14 2 2" xfId="1399"/>
    <cellStyle name="Normal 14 14 2 3" xfId="1400"/>
    <cellStyle name="Normal 14 14 2 4" xfId="1401"/>
    <cellStyle name="Normal 14 14 3" xfId="1402"/>
    <cellStyle name="Normal 14 14 4" xfId="1403"/>
    <cellStyle name="Normal 14 14 5" xfId="1404"/>
    <cellStyle name="Normal 14 15" xfId="1405"/>
    <cellStyle name="Normal 14 15 2" xfId="1406"/>
    <cellStyle name="Normal 14 15 2 2" xfId="1407"/>
    <cellStyle name="Normal 14 15 2 3" xfId="1408"/>
    <cellStyle name="Normal 14 15 2 4" xfId="1409"/>
    <cellStyle name="Normal 14 15 3" xfId="1410"/>
    <cellStyle name="Normal 14 15 4" xfId="1411"/>
    <cellStyle name="Normal 14 15 5" xfId="1412"/>
    <cellStyle name="Normal 14 2" xfId="1413"/>
    <cellStyle name="Normal 14 2 10" xfId="1414"/>
    <cellStyle name="Normal 14 2 11" xfId="1415"/>
    <cellStyle name="Normal 14 2 2" xfId="1416"/>
    <cellStyle name="Normal 14 2 2 2" xfId="1417"/>
    <cellStyle name="Normal 14 2 3" xfId="1418"/>
    <cellStyle name="Normal 14 2 3 2" xfId="1419"/>
    <cellStyle name="Normal 14 2 4" xfId="1420"/>
    <cellStyle name="Normal 14 2 4 2" xfId="1421"/>
    <cellStyle name="Normal 14 2 5" xfId="1422"/>
    <cellStyle name="Normal 14 2 5 2" xfId="1423"/>
    <cellStyle name="Normal 14 2 6" xfId="1424"/>
    <cellStyle name="Normal 14 2 6 2" xfId="1425"/>
    <cellStyle name="Normal 14 2 7" xfId="1426"/>
    <cellStyle name="Normal 14 2 7 2" xfId="1427"/>
    <cellStyle name="Normal 14 2 8" xfId="1428"/>
    <cellStyle name="Normal 14 2 8 2" xfId="1429"/>
    <cellStyle name="Normal 14 2 8 3" xfId="1430"/>
    <cellStyle name="Normal 14 2 8 4" xfId="1431"/>
    <cellStyle name="Normal 14 2 9" xfId="1432"/>
    <cellStyle name="Normal 14 3" xfId="1433"/>
    <cellStyle name="Normal 14 3 2" xfId="1434"/>
    <cellStyle name="Normal 14 4" xfId="1435"/>
    <cellStyle name="Normal 14 4 2" xfId="1436"/>
    <cellStyle name="Normal 14 4 2 2" xfId="1437"/>
    <cellStyle name="Normal 14 4 2 3" xfId="1438"/>
    <cellStyle name="Normal 14 4 2 4" xfId="1439"/>
    <cellStyle name="Normal 14 4 3" xfId="1440"/>
    <cellStyle name="Normal 14 4 4" xfId="1441"/>
    <cellStyle name="Normal 14 4 5" xfId="1442"/>
    <cellStyle name="Normal 14 5" xfId="1443"/>
    <cellStyle name="Normal 14 5 2" xfId="1444"/>
    <cellStyle name="Normal 14 5 2 2" xfId="1445"/>
    <cellStyle name="Normal 14 5 2 3" xfId="1446"/>
    <cellStyle name="Normal 14 5 2 4" xfId="1447"/>
    <cellStyle name="Normal 14 5 3" xfId="1448"/>
    <cellStyle name="Normal 14 5 4" xfId="1449"/>
    <cellStyle name="Normal 14 5 5" xfId="1450"/>
    <cellStyle name="Normal 14 6" xfId="1451"/>
    <cellStyle name="Normal 14 6 2" xfId="1452"/>
    <cellStyle name="Normal 14 7" xfId="1453"/>
    <cellStyle name="Normal 14 7 2" xfId="1454"/>
    <cellStyle name="Normal 14 8" xfId="1455"/>
    <cellStyle name="Normal 14 8 2" xfId="1456"/>
    <cellStyle name="Normal 14 9" xfId="1457"/>
    <cellStyle name="Normal 14 9 2" xfId="1458"/>
    <cellStyle name="Normal 15" xfId="1459"/>
    <cellStyle name="Normal 15 2" xfId="1460"/>
    <cellStyle name="Normal 15 2 2" xfId="1461"/>
    <cellStyle name="Normal 15 3" xfId="1462"/>
    <cellStyle name="Normal 15 3 2" xfId="1463"/>
    <cellStyle name="Normal 15 4" xfId="1464"/>
    <cellStyle name="Normal 15 4 2" xfId="1465"/>
    <cellStyle name="Normal 15 5" xfId="1466"/>
    <cellStyle name="Normal 15 5 2" xfId="1467"/>
    <cellStyle name="Normal 15 6" xfId="1468"/>
    <cellStyle name="Normal 15 6 2" xfId="1469"/>
    <cellStyle name="Normal 16" xfId="1470"/>
    <cellStyle name="Normal 16 10" xfId="1471"/>
    <cellStyle name="Normal 16 2" xfId="1472"/>
    <cellStyle name="Normal 16 2 2" xfId="1473"/>
    <cellStyle name="Normal 16 3" xfId="1474"/>
    <cellStyle name="Normal 16 3 2" xfId="1475"/>
    <cellStyle name="Normal 16 4" xfId="1476"/>
    <cellStyle name="Normal 16 4 2" xfId="1477"/>
    <cellStyle name="Normal 16 5" xfId="1478"/>
    <cellStyle name="Normal 16 5 2" xfId="1479"/>
    <cellStyle name="Normal 16 6" xfId="1480"/>
    <cellStyle name="Normal 16 6 2" xfId="1481"/>
    <cellStyle name="Normal 16 7" xfId="1482"/>
    <cellStyle name="Normal 16 7 2" xfId="1483"/>
    <cellStyle name="Normal 16 7 3" xfId="1484"/>
    <cellStyle name="Normal 16 7 4" xfId="1485"/>
    <cellStyle name="Normal 16 8" xfId="1486"/>
    <cellStyle name="Normal 16 9" xfId="1487"/>
    <cellStyle name="Normal 17" xfId="1488"/>
    <cellStyle name="Normal 17 10" xfId="1489"/>
    <cellStyle name="Normal 17 10 2" xfId="1490"/>
    <cellStyle name="Normal 17 11" xfId="1491"/>
    <cellStyle name="Normal 17 11 2" xfId="1492"/>
    <cellStyle name="Normal 17 12" xfId="1493"/>
    <cellStyle name="Normal 17 12 2" xfId="1494"/>
    <cellStyle name="Normal 17 13" xfId="1495"/>
    <cellStyle name="Normal 17 13 2" xfId="1496"/>
    <cellStyle name="Normal 17 14" xfId="1497"/>
    <cellStyle name="Normal 17 14 2" xfId="1498"/>
    <cellStyle name="Normal 17 14 3" xfId="1499"/>
    <cellStyle name="Normal 17 14 4" xfId="1500"/>
    <cellStyle name="Normal 17 15" xfId="1501"/>
    <cellStyle name="Normal 17 16" xfId="1502"/>
    <cellStyle name="Normal 17 17" xfId="1503"/>
    <cellStyle name="Normal 17 2" xfId="1504"/>
    <cellStyle name="Normal 17 2 2" xfId="1505"/>
    <cellStyle name="Normal 17 3" xfId="1506"/>
    <cellStyle name="Normal 17 3 2" xfId="1507"/>
    <cellStyle name="Normal 17 4" xfId="1508"/>
    <cellStyle name="Normal 17 4 2" xfId="1509"/>
    <cellStyle name="Normal 17 5" xfId="1510"/>
    <cellStyle name="Normal 17 5 2" xfId="1511"/>
    <cellStyle name="Normal 17 6" xfId="1512"/>
    <cellStyle name="Normal 17 6 2" xfId="1513"/>
    <cellStyle name="Normal 17 7" xfId="1514"/>
    <cellStyle name="Normal 17 7 2" xfId="1515"/>
    <cellStyle name="Normal 17 8" xfId="1516"/>
    <cellStyle name="Normal 17 8 2" xfId="1517"/>
    <cellStyle name="Normal 17 9" xfId="1518"/>
    <cellStyle name="Normal 17 9 2" xfId="1519"/>
    <cellStyle name="Normal 18" xfId="1520"/>
    <cellStyle name="Normal 18 2" xfId="1521"/>
    <cellStyle name="Normal 18 2 2" xfId="1522"/>
    <cellStyle name="Normal 18 2 3" xfId="1523"/>
    <cellStyle name="Normal 18 2 4" xfId="1524"/>
    <cellStyle name="Normal 18 3" xfId="1525"/>
    <cellStyle name="Normal 18 4" xfId="1526"/>
    <cellStyle name="Normal 18 5" xfId="1527"/>
    <cellStyle name="Normal 19" xfId="1528"/>
    <cellStyle name="Normal 2" xfId="1529"/>
    <cellStyle name="Normal 2 10" xfId="1530"/>
    <cellStyle name="Normal 2 10 2" xfId="1531"/>
    <cellStyle name="Normal 2 11" xfId="1532"/>
    <cellStyle name="Normal 2 11 2" xfId="1533"/>
    <cellStyle name="Normal 2 12" xfId="1534"/>
    <cellStyle name="Normal 2 12 2" xfId="1535"/>
    <cellStyle name="Normal 2 13" xfId="1536"/>
    <cellStyle name="Normal 2 13 2" xfId="1537"/>
    <cellStyle name="Normal 2 14" xfId="1538"/>
    <cellStyle name="Normal 2 14 2" xfId="1539"/>
    <cellStyle name="Normal 2 15" xfId="1540"/>
    <cellStyle name="Normal 2 15 2" xfId="1541"/>
    <cellStyle name="Normal 2 16" xfId="1542"/>
    <cellStyle name="Normal 2 16 2" xfId="1543"/>
    <cellStyle name="Normal 2 17" xfId="1544"/>
    <cellStyle name="Normal 2 17 2" xfId="1545"/>
    <cellStyle name="Normal 2 18" xfId="1546"/>
    <cellStyle name="Normal 2 18 2" xfId="1547"/>
    <cellStyle name="Normal 2 18 3" xfId="1548"/>
    <cellStyle name="Normal 2 18 4" xfId="1549"/>
    <cellStyle name="Normal 2 19" xfId="1550"/>
    <cellStyle name="Normal 2 2" xfId="1551"/>
    <cellStyle name="Normal 2 2 10" xfId="1552"/>
    <cellStyle name="Normal 2 2 10 2" xfId="1553"/>
    <cellStyle name="Normal 2 2 10 2 2" xfId="1554"/>
    <cellStyle name="Normal 2 2 10 2 3" xfId="1555"/>
    <cellStyle name="Normal 2 2 10 2 4" xfId="1556"/>
    <cellStyle name="Normal 2 2 10 3" xfId="1557"/>
    <cellStyle name="Normal 2 2 10 4" xfId="1558"/>
    <cellStyle name="Normal 2 2 10 5" xfId="1559"/>
    <cellStyle name="Normal 2 2 11" xfId="1560"/>
    <cellStyle name="Normal 2 2 11 2" xfId="1561"/>
    <cellStyle name="Normal 2 2 11 2 2" xfId="1562"/>
    <cellStyle name="Normal 2 2 11 2 3" xfId="1563"/>
    <cellStyle name="Normal 2 2 11 2 4" xfId="1564"/>
    <cellStyle name="Normal 2 2 11 3" xfId="1565"/>
    <cellStyle name="Normal 2 2 11 4" xfId="1566"/>
    <cellStyle name="Normal 2 2 11 5" xfId="1567"/>
    <cellStyle name="Normal 2 2 12" xfId="1568"/>
    <cellStyle name="Normal 2 2 12 2" xfId="1569"/>
    <cellStyle name="Normal 2 2 12 2 2" xfId="1570"/>
    <cellStyle name="Normal 2 2 12 2 3" xfId="1571"/>
    <cellStyle name="Normal 2 2 12 2 4" xfId="1572"/>
    <cellStyle name="Normal 2 2 12 3" xfId="1573"/>
    <cellStyle name="Normal 2 2 12 4" xfId="1574"/>
    <cellStyle name="Normal 2 2 12 5" xfId="1575"/>
    <cellStyle name="Normal 2 2 13" xfId="1576"/>
    <cellStyle name="Normal 2 2 13 2" xfId="1577"/>
    <cellStyle name="Normal 2 2 13 2 2" xfId="1578"/>
    <cellStyle name="Normal 2 2 13 2 3" xfId="1579"/>
    <cellStyle name="Normal 2 2 13 2 4" xfId="1580"/>
    <cellStyle name="Normal 2 2 13 3" xfId="1581"/>
    <cellStyle name="Normal 2 2 13 4" xfId="1582"/>
    <cellStyle name="Normal 2 2 13 5" xfId="1583"/>
    <cellStyle name="Normal 2 2 14" xfId="1584"/>
    <cellStyle name="Normal 2 2 14 2" xfId="1585"/>
    <cellStyle name="Normal 2 2 15" xfId="1586"/>
    <cellStyle name="Normal 2 2 16" xfId="1587"/>
    <cellStyle name="Normal 2 2 2" xfId="1588"/>
    <cellStyle name="Normal 2 2 2 2" xfId="1589"/>
    <cellStyle name="Normal 2 2 2 2 2" xfId="1590"/>
    <cellStyle name="Normal 2 2 2 2 3" xfId="1591"/>
    <cellStyle name="Normal 2 2 2 2 4" xfId="1592"/>
    <cellStyle name="Normal 2 2 2 3" xfId="1593"/>
    <cellStyle name="Normal 2 2 2 4" xfId="1594"/>
    <cellStyle name="Normal 2 2 2 5" xfId="1595"/>
    <cellStyle name="Normal 2 2 2 6" xfId="1596"/>
    <cellStyle name="Normal 2 2 3" xfId="1597"/>
    <cellStyle name="Normal 2 2 3 2" xfId="1598"/>
    <cellStyle name="Normal 2 2 3 2 2" xfId="1599"/>
    <cellStyle name="Normal 2 2 3 2 3" xfId="1600"/>
    <cellStyle name="Normal 2 2 3 2 4" xfId="1601"/>
    <cellStyle name="Normal 2 2 3 3" xfId="1602"/>
    <cellStyle name="Normal 2 2 3 4" xfId="1603"/>
    <cellStyle name="Normal 2 2 3 5" xfId="1604"/>
    <cellStyle name="Normal 2 2 3 6" xfId="1605"/>
    <cellStyle name="Normal 2 2 4" xfId="1606"/>
    <cellStyle name="Normal 2 2 4 2" xfId="1607"/>
    <cellStyle name="Normal 2 2 4 2 2" xfId="1608"/>
    <cellStyle name="Normal 2 2 4 2 3" xfId="1609"/>
    <cellStyle name="Normal 2 2 4 2 4" xfId="1610"/>
    <cellStyle name="Normal 2 2 4 3" xfId="1611"/>
    <cellStyle name="Normal 2 2 4 4" xfId="1612"/>
    <cellStyle name="Normal 2 2 4 5" xfId="1613"/>
    <cellStyle name="Normal 2 2 5" xfId="1614"/>
    <cellStyle name="Normal 2 2 5 2" xfId="1615"/>
    <cellStyle name="Normal 2 2 5 2 2" xfId="1616"/>
    <cellStyle name="Normal 2 2 5 2 3" xfId="1617"/>
    <cellStyle name="Normal 2 2 5 2 4" xfId="1618"/>
    <cellStyle name="Normal 2 2 5 3" xfId="1619"/>
    <cellStyle name="Normal 2 2 5 4" xfId="1620"/>
    <cellStyle name="Normal 2 2 5 5" xfId="1621"/>
    <cellStyle name="Normal 2 2 6" xfId="1622"/>
    <cellStyle name="Normal 2 2 6 2" xfId="1623"/>
    <cellStyle name="Normal 2 2 6 2 2" xfId="1624"/>
    <cellStyle name="Normal 2 2 6 2 3" xfId="1625"/>
    <cellStyle name="Normal 2 2 6 2 4" xfId="1626"/>
    <cellStyle name="Normal 2 2 6 3" xfId="1627"/>
    <cellStyle name="Normal 2 2 6 4" xfId="1628"/>
    <cellStyle name="Normal 2 2 6 5" xfId="1629"/>
    <cellStyle name="Normal 2 2 7" xfId="1630"/>
    <cellStyle name="Normal 2 2 7 2" xfId="1631"/>
    <cellStyle name="Normal 2 2 7 2 2" xfId="1632"/>
    <cellStyle name="Normal 2 2 7 2 3" xfId="1633"/>
    <cellStyle name="Normal 2 2 7 2 4" xfId="1634"/>
    <cellStyle name="Normal 2 2 7 3" xfId="1635"/>
    <cellStyle name="Normal 2 2 7 4" xfId="1636"/>
    <cellStyle name="Normal 2 2 7 5" xfId="1637"/>
    <cellStyle name="Normal 2 2 8" xfId="1638"/>
    <cellStyle name="Normal 2 2 8 2" xfId="1639"/>
    <cellStyle name="Normal 2 2 8 2 2" xfId="1640"/>
    <cellStyle name="Normal 2 2 8 2 3" xfId="1641"/>
    <cellStyle name="Normal 2 2 8 2 4" xfId="1642"/>
    <cellStyle name="Normal 2 2 8 3" xfId="1643"/>
    <cellStyle name="Normal 2 2 8 4" xfId="1644"/>
    <cellStyle name="Normal 2 2 8 5" xfId="1645"/>
    <cellStyle name="Normal 2 2 9" xfId="1646"/>
    <cellStyle name="Normal 2 2 9 2" xfId="1647"/>
    <cellStyle name="Normal 2 2 9 2 2" xfId="1648"/>
    <cellStyle name="Normal 2 2 9 2 3" xfId="1649"/>
    <cellStyle name="Normal 2 2 9 2 4" xfId="1650"/>
    <cellStyle name="Normal 2 2 9 3" xfId="1651"/>
    <cellStyle name="Normal 2 2 9 4" xfId="1652"/>
    <cellStyle name="Normal 2 2 9 5" xfId="1653"/>
    <cellStyle name="Normal 2 20" xfId="1654"/>
    <cellStyle name="Normal 2 21" xfId="1655"/>
    <cellStyle name="Normal 2 22" xfId="1656"/>
    <cellStyle name="Normal 2 23" xfId="1657"/>
    <cellStyle name="Normal 2 3" xfId="1658"/>
    <cellStyle name="Normal 2 3 10" xfId="1659"/>
    <cellStyle name="Normal 2 3 10 2" xfId="1660"/>
    <cellStyle name="Normal 2 3 10 2 2" xfId="1661"/>
    <cellStyle name="Normal 2 3 10 2 3" xfId="1662"/>
    <cellStyle name="Normal 2 3 10 2 4" xfId="1663"/>
    <cellStyle name="Normal 2 3 10 3" xfId="1664"/>
    <cellStyle name="Normal 2 3 10 4" xfId="1665"/>
    <cellStyle name="Normal 2 3 10 5" xfId="1666"/>
    <cellStyle name="Normal 2 3 11" xfId="1667"/>
    <cellStyle name="Normal 2 3 11 2" xfId="1668"/>
    <cellStyle name="Normal 2 3 11 2 2" xfId="1669"/>
    <cellStyle name="Normal 2 3 11 2 3" xfId="1670"/>
    <cellStyle name="Normal 2 3 11 2 4" xfId="1671"/>
    <cellStyle name="Normal 2 3 11 3" xfId="1672"/>
    <cellStyle name="Normal 2 3 11 4" xfId="1673"/>
    <cellStyle name="Normal 2 3 11 5" xfId="1674"/>
    <cellStyle name="Normal 2 3 12" xfId="1675"/>
    <cellStyle name="Normal 2 3 12 2" xfId="1676"/>
    <cellStyle name="Normal 2 3 12 2 2" xfId="1677"/>
    <cellStyle name="Normal 2 3 12 2 3" xfId="1678"/>
    <cellStyle name="Normal 2 3 12 2 4" xfId="1679"/>
    <cellStyle name="Normal 2 3 12 3" xfId="1680"/>
    <cellStyle name="Normal 2 3 12 4" xfId="1681"/>
    <cellStyle name="Normal 2 3 12 5" xfId="1682"/>
    <cellStyle name="Normal 2 3 13" xfId="1683"/>
    <cellStyle name="Normal 2 3 13 2" xfId="1684"/>
    <cellStyle name="Normal 2 3 13 2 2" xfId="1685"/>
    <cellStyle name="Normal 2 3 13 2 3" xfId="1686"/>
    <cellStyle name="Normal 2 3 13 2 4" xfId="1687"/>
    <cellStyle name="Normal 2 3 13 3" xfId="1688"/>
    <cellStyle name="Normal 2 3 13 4" xfId="1689"/>
    <cellStyle name="Normal 2 3 13 5" xfId="1690"/>
    <cellStyle name="Normal 2 3 14" xfId="1691"/>
    <cellStyle name="Normal 2 3 15" xfId="1692"/>
    <cellStyle name="Normal 2 3 2" xfId="1693"/>
    <cellStyle name="Normal 2 3 2 2" xfId="1694"/>
    <cellStyle name="Normal 2 3 2 2 2" xfId="1695"/>
    <cellStyle name="Normal 2 3 2 2 3" xfId="1696"/>
    <cellStyle name="Normal 2 3 2 2 4" xfId="1697"/>
    <cellStyle name="Normal 2 3 2 3" xfId="1698"/>
    <cellStyle name="Normal 2 3 2 4" xfId="1699"/>
    <cellStyle name="Normal 2 3 2 5" xfId="1700"/>
    <cellStyle name="Normal 2 3 2 6" xfId="1701"/>
    <cellStyle name="Normal 2 3 3" xfId="1702"/>
    <cellStyle name="Normal 2 3 3 2" xfId="1703"/>
    <cellStyle name="Normal 2 3 3 2 2" xfId="1704"/>
    <cellStyle name="Normal 2 3 3 2 3" xfId="1705"/>
    <cellStyle name="Normal 2 3 3 2 4" xfId="1706"/>
    <cellStyle name="Normal 2 3 3 3" xfId="1707"/>
    <cellStyle name="Normal 2 3 3 4" xfId="1708"/>
    <cellStyle name="Normal 2 3 3 5" xfId="1709"/>
    <cellStyle name="Normal 2 3 3 6" xfId="1710"/>
    <cellStyle name="Normal 2 3 4" xfId="1711"/>
    <cellStyle name="Normal 2 3 4 2" xfId="1712"/>
    <cellStyle name="Normal 2 3 4 2 2" xfId="1713"/>
    <cellStyle name="Normal 2 3 4 2 3" xfId="1714"/>
    <cellStyle name="Normal 2 3 4 2 4" xfId="1715"/>
    <cellStyle name="Normal 2 3 4 3" xfId="1716"/>
    <cellStyle name="Normal 2 3 4 4" xfId="1717"/>
    <cellStyle name="Normal 2 3 4 5" xfId="1718"/>
    <cellStyle name="Normal 2 3 5" xfId="1719"/>
    <cellStyle name="Normal 2 3 5 2" xfId="1720"/>
    <cellStyle name="Normal 2 3 5 2 2" xfId="1721"/>
    <cellStyle name="Normal 2 3 5 2 3" xfId="1722"/>
    <cellStyle name="Normal 2 3 5 2 4" xfId="1723"/>
    <cellStyle name="Normal 2 3 5 3" xfId="1724"/>
    <cellStyle name="Normal 2 3 5 4" xfId="1725"/>
    <cellStyle name="Normal 2 3 5 5" xfId="1726"/>
    <cellStyle name="Normal 2 3 6" xfId="1727"/>
    <cellStyle name="Normal 2 3 6 2" xfId="1728"/>
    <cellStyle name="Normal 2 3 6 2 2" xfId="1729"/>
    <cellStyle name="Normal 2 3 6 2 3" xfId="1730"/>
    <cellStyle name="Normal 2 3 6 2 4" xfId="1731"/>
    <cellStyle name="Normal 2 3 6 3" xfId="1732"/>
    <cellStyle name="Normal 2 3 6 4" xfId="1733"/>
    <cellStyle name="Normal 2 3 6 5" xfId="1734"/>
    <cellStyle name="Normal 2 3 7" xfId="1735"/>
    <cellStyle name="Normal 2 3 7 2" xfId="1736"/>
    <cellStyle name="Normal 2 3 7 2 2" xfId="1737"/>
    <cellStyle name="Normal 2 3 7 2 3" xfId="1738"/>
    <cellStyle name="Normal 2 3 7 2 4" xfId="1739"/>
    <cellStyle name="Normal 2 3 7 3" xfId="1740"/>
    <cellStyle name="Normal 2 3 7 4" xfId="1741"/>
    <cellStyle name="Normal 2 3 7 5" xfId="1742"/>
    <cellStyle name="Normal 2 3 8" xfId="1743"/>
    <cellStyle name="Normal 2 3 8 2" xfId="1744"/>
    <cellStyle name="Normal 2 3 8 2 2" xfId="1745"/>
    <cellStyle name="Normal 2 3 8 2 3" xfId="1746"/>
    <cellStyle name="Normal 2 3 8 2 4" xfId="1747"/>
    <cellStyle name="Normal 2 3 8 3" xfId="1748"/>
    <cellStyle name="Normal 2 3 8 4" xfId="1749"/>
    <cellStyle name="Normal 2 3 8 5" xfId="1750"/>
    <cellStyle name="Normal 2 3 9" xfId="1751"/>
    <cellStyle name="Normal 2 3 9 2" xfId="1752"/>
    <cellStyle name="Normal 2 3 9 2 2" xfId="1753"/>
    <cellStyle name="Normal 2 3 9 2 3" xfId="1754"/>
    <cellStyle name="Normal 2 3 9 2 4" xfId="1755"/>
    <cellStyle name="Normal 2 3 9 3" xfId="1756"/>
    <cellStyle name="Normal 2 3 9 4" xfId="1757"/>
    <cellStyle name="Normal 2 3 9 5" xfId="1758"/>
    <cellStyle name="Normal 2 4" xfId="1759"/>
    <cellStyle name="Normal 2 4 10" xfId="1760"/>
    <cellStyle name="Normal 2 4 10 2" xfId="1761"/>
    <cellStyle name="Normal 2 4 10 2 2" xfId="1762"/>
    <cellStyle name="Normal 2 4 10 2 3" xfId="1763"/>
    <cellStyle name="Normal 2 4 10 2 4" xfId="1764"/>
    <cellStyle name="Normal 2 4 10 3" xfId="1765"/>
    <cellStyle name="Normal 2 4 10 4" xfId="1766"/>
    <cellStyle name="Normal 2 4 10 5" xfId="1767"/>
    <cellStyle name="Normal 2 4 11" xfId="1768"/>
    <cellStyle name="Normal 2 4 11 2" xfId="1769"/>
    <cellStyle name="Normal 2 4 11 2 2" xfId="1770"/>
    <cellStyle name="Normal 2 4 11 2 3" xfId="1771"/>
    <cellStyle name="Normal 2 4 11 2 4" xfId="1772"/>
    <cellStyle name="Normal 2 4 11 3" xfId="1773"/>
    <cellStyle name="Normal 2 4 11 4" xfId="1774"/>
    <cellStyle name="Normal 2 4 11 5" xfId="1775"/>
    <cellStyle name="Normal 2 4 12" xfId="1776"/>
    <cellStyle name="Normal 2 4 12 2" xfId="1777"/>
    <cellStyle name="Normal 2 4 12 2 2" xfId="1778"/>
    <cellStyle name="Normal 2 4 12 2 3" xfId="1779"/>
    <cellStyle name="Normal 2 4 12 2 4" xfId="1780"/>
    <cellStyle name="Normal 2 4 12 3" xfId="1781"/>
    <cellStyle name="Normal 2 4 12 4" xfId="1782"/>
    <cellStyle name="Normal 2 4 12 5" xfId="1783"/>
    <cellStyle name="Normal 2 4 13" xfId="1784"/>
    <cellStyle name="Normal 2 4 13 2" xfId="1785"/>
    <cellStyle name="Normal 2 4 13 2 2" xfId="1786"/>
    <cellStyle name="Normal 2 4 13 2 3" xfId="1787"/>
    <cellStyle name="Normal 2 4 13 2 4" xfId="1788"/>
    <cellStyle name="Normal 2 4 13 3" xfId="1789"/>
    <cellStyle name="Normal 2 4 13 4" xfId="1790"/>
    <cellStyle name="Normal 2 4 13 5" xfId="1791"/>
    <cellStyle name="Normal 2 4 14" xfId="1792"/>
    <cellStyle name="Normal 2 4 15" xfId="1793"/>
    <cellStyle name="Normal 2 4 2" xfId="1794"/>
    <cellStyle name="Normal 2 4 2 2" xfId="1795"/>
    <cellStyle name="Normal 2 4 2 2 2" xfId="1796"/>
    <cellStyle name="Normal 2 4 2 2 3" xfId="1797"/>
    <cellStyle name="Normal 2 4 2 2 4" xfId="1798"/>
    <cellStyle name="Normal 2 4 2 3" xfId="1799"/>
    <cellStyle name="Normal 2 4 2 4" xfId="1800"/>
    <cellStyle name="Normal 2 4 2 5" xfId="1801"/>
    <cellStyle name="Normal 2 4 3" xfId="1802"/>
    <cellStyle name="Normal 2 4 3 2" xfId="1803"/>
    <cellStyle name="Normal 2 4 3 2 2" xfId="1804"/>
    <cellStyle name="Normal 2 4 3 2 3" xfId="1805"/>
    <cellStyle name="Normal 2 4 3 2 4" xfId="1806"/>
    <cellStyle name="Normal 2 4 3 3" xfId="1807"/>
    <cellStyle name="Normal 2 4 3 4" xfId="1808"/>
    <cellStyle name="Normal 2 4 3 5" xfId="1809"/>
    <cellStyle name="Normal 2 4 4" xfId="1810"/>
    <cellStyle name="Normal 2 4 4 2" xfId="1811"/>
    <cellStyle name="Normal 2 4 4 2 2" xfId="1812"/>
    <cellStyle name="Normal 2 4 4 2 3" xfId="1813"/>
    <cellStyle name="Normal 2 4 4 2 4" xfId="1814"/>
    <cellStyle name="Normal 2 4 4 3" xfId="1815"/>
    <cellStyle name="Normal 2 4 4 4" xfId="1816"/>
    <cellStyle name="Normal 2 4 4 5" xfId="1817"/>
    <cellStyle name="Normal 2 4 5" xfId="1818"/>
    <cellStyle name="Normal 2 4 5 2" xfId="1819"/>
    <cellStyle name="Normal 2 4 5 2 2" xfId="1820"/>
    <cellStyle name="Normal 2 4 5 2 3" xfId="1821"/>
    <cellStyle name="Normal 2 4 5 2 4" xfId="1822"/>
    <cellStyle name="Normal 2 4 5 3" xfId="1823"/>
    <cellStyle name="Normal 2 4 5 4" xfId="1824"/>
    <cellStyle name="Normal 2 4 5 5" xfId="1825"/>
    <cellStyle name="Normal 2 4 6" xfId="1826"/>
    <cellStyle name="Normal 2 4 6 2" xfId="1827"/>
    <cellStyle name="Normal 2 4 6 2 2" xfId="1828"/>
    <cellStyle name="Normal 2 4 6 2 3" xfId="1829"/>
    <cellStyle name="Normal 2 4 6 2 4" xfId="1830"/>
    <cellStyle name="Normal 2 4 6 3" xfId="1831"/>
    <cellStyle name="Normal 2 4 6 4" xfId="1832"/>
    <cellStyle name="Normal 2 4 6 5" xfId="1833"/>
    <cellStyle name="Normal 2 4 7" xfId="1834"/>
    <cellStyle name="Normal 2 4 7 2" xfId="1835"/>
    <cellStyle name="Normal 2 4 7 2 2" xfId="1836"/>
    <cellStyle name="Normal 2 4 7 2 3" xfId="1837"/>
    <cellStyle name="Normal 2 4 7 2 4" xfId="1838"/>
    <cellStyle name="Normal 2 4 7 3" xfId="1839"/>
    <cellStyle name="Normal 2 4 7 4" xfId="1840"/>
    <cellStyle name="Normal 2 4 7 5" xfId="1841"/>
    <cellStyle name="Normal 2 4 8" xfId="1842"/>
    <cellStyle name="Normal 2 4 8 2" xfId="1843"/>
    <cellStyle name="Normal 2 4 8 2 2" xfId="1844"/>
    <cellStyle name="Normal 2 4 8 2 3" xfId="1845"/>
    <cellStyle name="Normal 2 4 8 2 4" xfId="1846"/>
    <cellStyle name="Normal 2 4 8 3" xfId="1847"/>
    <cellStyle name="Normal 2 4 8 4" xfId="1848"/>
    <cellStyle name="Normal 2 4 8 5" xfId="1849"/>
    <cellStyle name="Normal 2 4 9" xfId="1850"/>
    <cellStyle name="Normal 2 4 9 2" xfId="1851"/>
    <cellStyle name="Normal 2 4 9 2 2" xfId="1852"/>
    <cellStyle name="Normal 2 4 9 2 3" xfId="1853"/>
    <cellStyle name="Normal 2 4 9 2 4" xfId="1854"/>
    <cellStyle name="Normal 2 4 9 3" xfId="1855"/>
    <cellStyle name="Normal 2 4 9 4" xfId="1856"/>
    <cellStyle name="Normal 2 4 9 5" xfId="1857"/>
    <cellStyle name="Normal 2 5" xfId="1858"/>
    <cellStyle name="Normal 2 5 2" xfId="1859"/>
    <cellStyle name="Normal 2 5 3" xfId="1860"/>
    <cellStyle name="Normal 2 6" xfId="1861"/>
    <cellStyle name="Normal 2 6 2" xfId="1862"/>
    <cellStyle name="Normal 2 6 3" xfId="1863"/>
    <cellStyle name="Normal 2 7" xfId="1864"/>
    <cellStyle name="Normal 2 7 2" xfId="1865"/>
    <cellStyle name="Normal 2 7 3" xfId="1866"/>
    <cellStyle name="Normal 2 8" xfId="1867"/>
    <cellStyle name="Normal 2 8 2" xfId="1868"/>
    <cellStyle name="Normal 2 8 3" xfId="1869"/>
    <cellStyle name="Normal 2 9" xfId="1870"/>
    <cellStyle name="Normal 2 9 2" xfId="1871"/>
    <cellStyle name="Normal 2_OTHsectors" xfId="1872"/>
    <cellStyle name="Normal 20" xfId="1873"/>
    <cellStyle name="Normal 21" xfId="1874"/>
    <cellStyle name="Normal 21 2" xfId="1875"/>
    <cellStyle name="Normal 26" xfId="1876"/>
    <cellStyle name="Normal 26 2" xfId="1877"/>
    <cellStyle name="Normal 3" xfId="1878"/>
    <cellStyle name="Normal 3 10" xfId="1879"/>
    <cellStyle name="Normal 3 10 2" xfId="1880"/>
    <cellStyle name="Normal 3 11" xfId="1881"/>
    <cellStyle name="Normal 3 11 2" xfId="1882"/>
    <cellStyle name="Normal 3 12" xfId="1883"/>
    <cellStyle name="Normal 3 12 2" xfId="1884"/>
    <cellStyle name="Normal 3 13" xfId="1885"/>
    <cellStyle name="Normal 3 13 2" xfId="1886"/>
    <cellStyle name="Normal 3 14" xfId="1887"/>
    <cellStyle name="Normal 3 14 2" xfId="1888"/>
    <cellStyle name="Normal 3 14 3" xfId="1889"/>
    <cellStyle name="Normal 3 14 4" xfId="1890"/>
    <cellStyle name="Normal 3 15" xfId="1891"/>
    <cellStyle name="Normal 3 16" xfId="1892"/>
    <cellStyle name="Normal 3 17" xfId="1893"/>
    <cellStyle name="Normal 3 18" xfId="1894"/>
    <cellStyle name="Normal 3 2" xfId="1895"/>
    <cellStyle name="Normal 3 2 10" xfId="1896"/>
    <cellStyle name="Normal 3 2 2" xfId="1897"/>
    <cellStyle name="Normal 3 2 2 2" xfId="1898"/>
    <cellStyle name="Normal 3 2 2 3" xfId="1899"/>
    <cellStyle name="Normal 3 2 3" xfId="1900"/>
    <cellStyle name="Normal 3 2 3 2" xfId="1901"/>
    <cellStyle name="Normal 3 2 4" xfId="1902"/>
    <cellStyle name="Normal 3 2 4 2" xfId="1903"/>
    <cellStyle name="Normal 3 2 5" xfId="1904"/>
    <cellStyle name="Normal 3 2 5 2" xfId="1905"/>
    <cellStyle name="Normal 3 2 6" xfId="1906"/>
    <cellStyle name="Normal 3 2 6 2" xfId="1907"/>
    <cellStyle name="Normal 3 2 7" xfId="1908"/>
    <cellStyle name="Normal 3 2 7 2" xfId="1909"/>
    <cellStyle name="Normal 3 2 8" xfId="1910"/>
    <cellStyle name="Normal 3 2 8 2" xfId="1911"/>
    <cellStyle name="Normal 3 2 9" xfId="1912"/>
    <cellStyle name="Normal 3 3" xfId="1913"/>
    <cellStyle name="Normal 3 3 10" xfId="1914"/>
    <cellStyle name="Normal 3 3 2" xfId="1915"/>
    <cellStyle name="Normal 3 3 2 2" xfId="1916"/>
    <cellStyle name="Normal 3 3 3" xfId="1917"/>
    <cellStyle name="Normal 3 3 3 2" xfId="1918"/>
    <cellStyle name="Normal 3 3 4" xfId="1919"/>
    <cellStyle name="Normal 3 3 4 2" xfId="1920"/>
    <cellStyle name="Normal 3 3 5" xfId="1921"/>
    <cellStyle name="Normal 3 3 5 2" xfId="1922"/>
    <cellStyle name="Normal 3 3 6" xfId="1923"/>
    <cellStyle name="Normal 3 3 6 2" xfId="1924"/>
    <cellStyle name="Normal 3 3 7" xfId="1925"/>
    <cellStyle name="Normal 3 3 7 2" xfId="1926"/>
    <cellStyle name="Normal 3 3 8" xfId="1927"/>
    <cellStyle name="Normal 3 3 8 2" xfId="1928"/>
    <cellStyle name="Normal 3 3 9" xfId="1929"/>
    <cellStyle name="Normal 3 4" xfId="1930"/>
    <cellStyle name="Normal 3 4 10" xfId="1931"/>
    <cellStyle name="Normal 3 4 2" xfId="1932"/>
    <cellStyle name="Normal 3 4 2 2" xfId="1933"/>
    <cellStyle name="Normal 3 4 2 3" xfId="1934"/>
    <cellStyle name="Normal 3 4 3" xfId="1935"/>
    <cellStyle name="Normal 3 4 3 2" xfId="1936"/>
    <cellStyle name="Normal 3 4 4" xfId="1937"/>
    <cellStyle name="Normal 3 4 4 2" xfId="1938"/>
    <cellStyle name="Normal 3 4 5" xfId="1939"/>
    <cellStyle name="Normal 3 4 5 2" xfId="1940"/>
    <cellStyle name="Normal 3 4 6" xfId="1941"/>
    <cellStyle name="Normal 3 4 6 2" xfId="1942"/>
    <cellStyle name="Normal 3 4 7" xfId="1943"/>
    <cellStyle name="Normal 3 4 7 2" xfId="1944"/>
    <cellStyle name="Normal 3 4 8" xfId="1945"/>
    <cellStyle name="Normal 3 4 8 2" xfId="1946"/>
    <cellStyle name="Normal 3 4 9" xfId="1947"/>
    <cellStyle name="Normal 3 5" xfId="1948"/>
    <cellStyle name="Normal 3 5 10" xfId="1949"/>
    <cellStyle name="Normal 3 5 2" xfId="1950"/>
    <cellStyle name="Normal 3 5 2 2" xfId="1951"/>
    <cellStyle name="Normal 3 5 3" xfId="1952"/>
    <cellStyle name="Normal 3 5 3 2" xfId="1953"/>
    <cellStyle name="Normal 3 5 4" xfId="1954"/>
    <cellStyle name="Normal 3 5 4 2" xfId="1955"/>
    <cellStyle name="Normal 3 5 5" xfId="1956"/>
    <cellStyle name="Normal 3 5 5 2" xfId="1957"/>
    <cellStyle name="Normal 3 5 6" xfId="1958"/>
    <cellStyle name="Normal 3 5 6 2" xfId="1959"/>
    <cellStyle name="Normal 3 5 7" xfId="1960"/>
    <cellStyle name="Normal 3 5 7 2" xfId="1961"/>
    <cellStyle name="Normal 3 5 8" xfId="1962"/>
    <cellStyle name="Normal 3 5 8 2" xfId="1963"/>
    <cellStyle name="Normal 3 5 9" xfId="1964"/>
    <cellStyle name="Normal 3 6" xfId="1965"/>
    <cellStyle name="Normal 3 6 2" xfId="1966"/>
    <cellStyle name="Normal 3 6 3" xfId="1967"/>
    <cellStyle name="Normal 3 7" xfId="1968"/>
    <cellStyle name="Normal 3 7 2" xfId="1969"/>
    <cellStyle name="Normal 3 8" xfId="1970"/>
    <cellStyle name="Normal 3 8 2" xfId="1971"/>
    <cellStyle name="Normal 3 9" xfId="1972"/>
    <cellStyle name="Normal 3 9 2" xfId="1973"/>
    <cellStyle name="Normal 4" xfId="1974"/>
    <cellStyle name="Normal 4 10" xfId="1975"/>
    <cellStyle name="Normal 4 10 2" xfId="1976"/>
    <cellStyle name="Normal 4 11" xfId="1977"/>
    <cellStyle name="Normal 4 11 2" xfId="1978"/>
    <cellStyle name="Normal 4 12" xfId="1979"/>
    <cellStyle name="Normal 4 12 2" xfId="1980"/>
    <cellStyle name="Normal 4 13" xfId="1981"/>
    <cellStyle name="Normal 4 14" xfId="1982"/>
    <cellStyle name="Normal 4 15" xfId="1983"/>
    <cellStyle name="Normal 4 2" xfId="1984"/>
    <cellStyle name="Normal 4 2 10" xfId="1985"/>
    <cellStyle name="Normal 4 2 2" xfId="1986"/>
    <cellStyle name="Normal 4 2 2 10" xfId="1987"/>
    <cellStyle name="Normal 4 2 2 10 2" xfId="1988"/>
    <cellStyle name="Normal 4 2 2 10 2 2" xfId="1989"/>
    <cellStyle name="Normal 4 2 2 10 2 3" xfId="1990"/>
    <cellStyle name="Normal 4 2 2 10 2 4" xfId="1991"/>
    <cellStyle name="Normal 4 2 2 10 3" xfId="1992"/>
    <cellStyle name="Normal 4 2 2 10 4" xfId="1993"/>
    <cellStyle name="Normal 4 2 2 10 5" xfId="1994"/>
    <cellStyle name="Normal 4 2 2 11" xfId="1995"/>
    <cellStyle name="Normal 4 2 2 11 2" xfId="1996"/>
    <cellStyle name="Normal 4 2 2 11 2 2" xfId="1997"/>
    <cellStyle name="Normal 4 2 2 11 2 3" xfId="1998"/>
    <cellStyle name="Normal 4 2 2 11 2 4" xfId="1999"/>
    <cellStyle name="Normal 4 2 2 11 3" xfId="2000"/>
    <cellStyle name="Normal 4 2 2 11 4" xfId="2001"/>
    <cellStyle name="Normal 4 2 2 11 5" xfId="2002"/>
    <cellStyle name="Normal 4 2 2 12" xfId="2003"/>
    <cellStyle name="Normal 4 2 2 12 2" xfId="2004"/>
    <cellStyle name="Normal 4 2 2 12 2 2" xfId="2005"/>
    <cellStyle name="Normal 4 2 2 12 2 3" xfId="2006"/>
    <cellStyle name="Normal 4 2 2 12 2 4" xfId="2007"/>
    <cellStyle name="Normal 4 2 2 12 3" xfId="2008"/>
    <cellStyle name="Normal 4 2 2 12 4" xfId="2009"/>
    <cellStyle name="Normal 4 2 2 12 5" xfId="2010"/>
    <cellStyle name="Normal 4 2 2 13" xfId="2011"/>
    <cellStyle name="Normal 4 2 2 13 2" xfId="2012"/>
    <cellStyle name="Normal 4 2 2 13 2 2" xfId="2013"/>
    <cellStyle name="Normal 4 2 2 13 2 3" xfId="2014"/>
    <cellStyle name="Normal 4 2 2 13 2 4" xfId="2015"/>
    <cellStyle name="Normal 4 2 2 13 3" xfId="2016"/>
    <cellStyle name="Normal 4 2 2 13 4" xfId="2017"/>
    <cellStyle name="Normal 4 2 2 13 5" xfId="2018"/>
    <cellStyle name="Normal 4 2 2 14" xfId="2019"/>
    <cellStyle name="Normal 4 2 2 2" xfId="2020"/>
    <cellStyle name="Normal 4 2 2 2 10" xfId="2021"/>
    <cellStyle name="Normal 4 2 2 2 10 2" xfId="2022"/>
    <cellStyle name="Normal 4 2 2 2 11" xfId="2023"/>
    <cellStyle name="Normal 4 2 2 2 11 2" xfId="2024"/>
    <cellStyle name="Normal 4 2 2 2 12" xfId="2025"/>
    <cellStyle name="Normal 4 2 2 2 12 2" xfId="2026"/>
    <cellStyle name="Normal 4 2 2 2 13" xfId="2027"/>
    <cellStyle name="Normal 4 2 2 2 13 2" xfId="2028"/>
    <cellStyle name="Normal 4 2 2 2 14" xfId="2029"/>
    <cellStyle name="Normal 4 2 2 2 14 2" xfId="2030"/>
    <cellStyle name="Normal 4 2 2 2 14 3" xfId="2031"/>
    <cellStyle name="Normal 4 2 2 2 14 4" xfId="2032"/>
    <cellStyle name="Normal 4 2 2 2 15" xfId="2033"/>
    <cellStyle name="Normal 4 2 2 2 16" xfId="2034"/>
    <cellStyle name="Normal 4 2 2 2 17" xfId="2035"/>
    <cellStyle name="Normal 4 2 2 2 2" xfId="2036"/>
    <cellStyle name="Normal 4 2 2 2 2 2" xfId="2037"/>
    <cellStyle name="Normal 4 2 2 2 3" xfId="2038"/>
    <cellStyle name="Normal 4 2 2 2 3 2" xfId="2039"/>
    <cellStyle name="Normal 4 2 2 2 4" xfId="2040"/>
    <cellStyle name="Normal 4 2 2 2 4 2" xfId="2041"/>
    <cellStyle name="Normal 4 2 2 2 5" xfId="2042"/>
    <cellStyle name="Normal 4 2 2 2 5 2" xfId="2043"/>
    <cellStyle name="Normal 4 2 2 2 6" xfId="2044"/>
    <cellStyle name="Normal 4 2 2 2 6 2" xfId="2045"/>
    <cellStyle name="Normal 4 2 2 2 7" xfId="2046"/>
    <cellStyle name="Normal 4 2 2 2 7 2" xfId="2047"/>
    <cellStyle name="Normal 4 2 2 2 8" xfId="2048"/>
    <cellStyle name="Normal 4 2 2 2 8 2" xfId="2049"/>
    <cellStyle name="Normal 4 2 2 2 9" xfId="2050"/>
    <cellStyle name="Normal 4 2 2 2 9 2" xfId="2051"/>
    <cellStyle name="Normal 4 2 2 3" xfId="2052"/>
    <cellStyle name="Normal 4 2 2 3 2" xfId="2053"/>
    <cellStyle name="Normal 4 2 2 3 2 2" xfId="2054"/>
    <cellStyle name="Normal 4 2 2 3 2 3" xfId="2055"/>
    <cellStyle name="Normal 4 2 2 3 2 4" xfId="2056"/>
    <cellStyle name="Normal 4 2 2 3 3" xfId="2057"/>
    <cellStyle name="Normal 4 2 2 3 4" xfId="2058"/>
    <cellStyle name="Normal 4 2 2 3 5" xfId="2059"/>
    <cellStyle name="Normal 4 2 2 4" xfId="2060"/>
    <cellStyle name="Normal 4 2 2 4 2" xfId="2061"/>
    <cellStyle name="Normal 4 2 2 4 2 2" xfId="2062"/>
    <cellStyle name="Normal 4 2 2 4 2 3" xfId="2063"/>
    <cellStyle name="Normal 4 2 2 4 2 4" xfId="2064"/>
    <cellStyle name="Normal 4 2 2 4 3" xfId="2065"/>
    <cellStyle name="Normal 4 2 2 4 4" xfId="2066"/>
    <cellStyle name="Normal 4 2 2 4 5" xfId="2067"/>
    <cellStyle name="Normal 4 2 2 5" xfId="2068"/>
    <cellStyle name="Normal 4 2 2 5 2" xfId="2069"/>
    <cellStyle name="Normal 4 2 2 5 2 2" xfId="2070"/>
    <cellStyle name="Normal 4 2 2 5 2 3" xfId="2071"/>
    <cellStyle name="Normal 4 2 2 5 2 4" xfId="2072"/>
    <cellStyle name="Normal 4 2 2 5 3" xfId="2073"/>
    <cellStyle name="Normal 4 2 2 5 4" xfId="2074"/>
    <cellStyle name="Normal 4 2 2 5 5" xfId="2075"/>
    <cellStyle name="Normal 4 2 2 6" xfId="2076"/>
    <cellStyle name="Normal 4 2 2 6 2" xfId="2077"/>
    <cellStyle name="Normal 4 2 2 6 2 2" xfId="2078"/>
    <cellStyle name="Normal 4 2 2 6 2 3" xfId="2079"/>
    <cellStyle name="Normal 4 2 2 6 2 4" xfId="2080"/>
    <cellStyle name="Normal 4 2 2 6 3" xfId="2081"/>
    <cellStyle name="Normal 4 2 2 6 4" xfId="2082"/>
    <cellStyle name="Normal 4 2 2 6 5" xfId="2083"/>
    <cellStyle name="Normal 4 2 2 7" xfId="2084"/>
    <cellStyle name="Normal 4 2 2 7 2" xfId="2085"/>
    <cellStyle name="Normal 4 2 2 7 2 2" xfId="2086"/>
    <cellStyle name="Normal 4 2 2 7 2 3" xfId="2087"/>
    <cellStyle name="Normal 4 2 2 7 2 4" xfId="2088"/>
    <cellStyle name="Normal 4 2 2 7 3" xfId="2089"/>
    <cellStyle name="Normal 4 2 2 7 4" xfId="2090"/>
    <cellStyle name="Normal 4 2 2 7 5" xfId="2091"/>
    <cellStyle name="Normal 4 2 2 8" xfId="2092"/>
    <cellStyle name="Normal 4 2 2 8 2" xfId="2093"/>
    <cellStyle name="Normal 4 2 2 8 2 2" xfId="2094"/>
    <cellStyle name="Normal 4 2 2 8 2 3" xfId="2095"/>
    <cellStyle name="Normal 4 2 2 8 2 4" xfId="2096"/>
    <cellStyle name="Normal 4 2 2 8 3" xfId="2097"/>
    <cellStyle name="Normal 4 2 2 8 4" xfId="2098"/>
    <cellStyle name="Normal 4 2 2 8 5" xfId="2099"/>
    <cellStyle name="Normal 4 2 2 9" xfId="2100"/>
    <cellStyle name="Normal 4 2 2 9 2" xfId="2101"/>
    <cellStyle name="Normal 4 2 2 9 2 2" xfId="2102"/>
    <cellStyle name="Normal 4 2 2 9 2 3" xfId="2103"/>
    <cellStyle name="Normal 4 2 2 9 2 4" xfId="2104"/>
    <cellStyle name="Normal 4 2 2 9 3" xfId="2105"/>
    <cellStyle name="Normal 4 2 2 9 4" xfId="2106"/>
    <cellStyle name="Normal 4 2 2 9 5" xfId="2107"/>
    <cellStyle name="Normal 4 2 3" xfId="2108"/>
    <cellStyle name="Normal 4 2 3 2" xfId="2109"/>
    <cellStyle name="Normal 4 2 4" xfId="2110"/>
    <cellStyle name="Normal 4 2 4 2" xfId="2111"/>
    <cellStyle name="Normal 4 2 5" xfId="2112"/>
    <cellStyle name="Normal 4 2 5 2" xfId="2113"/>
    <cellStyle name="Normal 4 2 6" xfId="2114"/>
    <cellStyle name="Normal 4 2 6 2" xfId="2115"/>
    <cellStyle name="Normal 4 2 7" xfId="2116"/>
    <cellStyle name="Normal 4 2 7 2" xfId="2117"/>
    <cellStyle name="Normal 4 2 8" xfId="2118"/>
    <cellStyle name="Normal 4 2 8 2" xfId="2119"/>
    <cellStyle name="Normal 4 2 9" xfId="2120"/>
    <cellStyle name="Normal 4 3" xfId="2121"/>
    <cellStyle name="Normal 4 3 10" xfId="2122"/>
    <cellStyle name="Normal 4 3 2" xfId="2123"/>
    <cellStyle name="Normal 4 3 2 2" xfId="2124"/>
    <cellStyle name="Normal 4 3 3" xfId="2125"/>
    <cellStyle name="Normal 4 3 3 2" xfId="2126"/>
    <cellStyle name="Normal 4 3 4" xfId="2127"/>
    <cellStyle name="Normal 4 3 4 2" xfId="2128"/>
    <cellStyle name="Normal 4 3 5" xfId="2129"/>
    <cellStyle name="Normal 4 3 5 2" xfId="2130"/>
    <cellStyle name="Normal 4 3 6" xfId="2131"/>
    <cellStyle name="Normal 4 3 6 2" xfId="2132"/>
    <cellStyle name="Normal 4 3 7" xfId="2133"/>
    <cellStyle name="Normal 4 3 7 2" xfId="2134"/>
    <cellStyle name="Normal 4 3 8" xfId="2135"/>
    <cellStyle name="Normal 4 3 8 2" xfId="2136"/>
    <cellStyle name="Normal 4 3 9" xfId="2137"/>
    <cellStyle name="Normal 4 4" xfId="2138"/>
    <cellStyle name="Normal 4 4 10" xfId="2139"/>
    <cellStyle name="Normal 4 4 2" xfId="2140"/>
    <cellStyle name="Normal 4 4 2 2" xfId="2141"/>
    <cellStyle name="Normal 4 4 3" xfId="2142"/>
    <cellStyle name="Normal 4 4 3 2" xfId="2143"/>
    <cellStyle name="Normal 4 4 4" xfId="2144"/>
    <cellStyle name="Normal 4 4 4 2" xfId="2145"/>
    <cellStyle name="Normal 4 4 5" xfId="2146"/>
    <cellStyle name="Normal 4 4 5 2" xfId="2147"/>
    <cellStyle name="Normal 4 4 6" xfId="2148"/>
    <cellStyle name="Normal 4 4 6 2" xfId="2149"/>
    <cellStyle name="Normal 4 4 7" xfId="2150"/>
    <cellStyle name="Normal 4 4 7 2" xfId="2151"/>
    <cellStyle name="Normal 4 4 8" xfId="2152"/>
    <cellStyle name="Normal 4 4 8 2" xfId="2153"/>
    <cellStyle name="Normal 4 4 9" xfId="2154"/>
    <cellStyle name="Normal 4 5" xfId="2155"/>
    <cellStyle name="Normal 4 5 2" xfId="2156"/>
    <cellStyle name="Normal 4 5 2 2" xfId="2157"/>
    <cellStyle name="Normal 4 5 3" xfId="2158"/>
    <cellStyle name="Normal 4 5 3 2" xfId="2159"/>
    <cellStyle name="Normal 4 5 4" xfId="2160"/>
    <cellStyle name="Normal 4 5 4 2" xfId="2161"/>
    <cellStyle name="Normal 4 5 5" xfId="2162"/>
    <cellStyle name="Normal 4 5 5 2" xfId="2163"/>
    <cellStyle name="Normal 4 5 6" xfId="2164"/>
    <cellStyle name="Normal 4 5 6 2" xfId="2165"/>
    <cellStyle name="Normal 4 5 7" xfId="2166"/>
    <cellStyle name="Normal 4 5 7 2" xfId="2167"/>
    <cellStyle name="Normal 4 5 8" xfId="2168"/>
    <cellStyle name="Normal 4 5 8 2" xfId="2169"/>
    <cellStyle name="Normal 4 5 9" xfId="2170"/>
    <cellStyle name="Normal 4 6" xfId="2171"/>
    <cellStyle name="Normal 4 6 2" xfId="2172"/>
    <cellStyle name="Normal 4 7" xfId="2173"/>
    <cellStyle name="Normal 4 7 2" xfId="2174"/>
    <cellStyle name="Normal 4 8" xfId="2175"/>
    <cellStyle name="Normal 4 8 2" xfId="2176"/>
    <cellStyle name="Normal 4 9" xfId="2177"/>
    <cellStyle name="Normal 4 9 2" xfId="2178"/>
    <cellStyle name="Normal 5" xfId="2179"/>
    <cellStyle name="Normal 5 10" xfId="2180"/>
    <cellStyle name="Normal 5 10 2" xfId="2181"/>
    <cellStyle name="Normal 5 11" xfId="2182"/>
    <cellStyle name="Normal 5 11 2" xfId="2183"/>
    <cellStyle name="Normal 5 12" xfId="2184"/>
    <cellStyle name="Normal 5 12 2" xfId="2185"/>
    <cellStyle name="Normal 5 13" xfId="2186"/>
    <cellStyle name="Normal 5 13 2" xfId="2187"/>
    <cellStyle name="Normal 5 14" xfId="2188"/>
    <cellStyle name="Normal 5 14 2" xfId="2189"/>
    <cellStyle name="Normal 5 14 3" xfId="2190"/>
    <cellStyle name="Normal 5 14 4" xfId="2191"/>
    <cellStyle name="Normal 5 15" xfId="2192"/>
    <cellStyle name="Normal 5 16" xfId="2193"/>
    <cellStyle name="Normal 5 17" xfId="2194"/>
    <cellStyle name="Normal 5 18" xfId="2195"/>
    <cellStyle name="Normal 5 19" xfId="2196"/>
    <cellStyle name="Normal 5 2" xfId="2197"/>
    <cellStyle name="Normal 5 2 10" xfId="2198"/>
    <cellStyle name="Normal 5 2 10 2" xfId="2199"/>
    <cellStyle name="Normal 5 2 10 3" xfId="2200"/>
    <cellStyle name="Normal 5 2 10 4" xfId="2201"/>
    <cellStyle name="Normal 5 2 11" xfId="2202"/>
    <cellStyle name="Normal 5 2 12" xfId="2203"/>
    <cellStyle name="Normal 5 2 13" xfId="2204"/>
    <cellStyle name="Normal 5 2 14" xfId="2205"/>
    <cellStyle name="Normal 5 2 15" xfId="2206"/>
    <cellStyle name="Normal 5 2 2" xfId="2207"/>
    <cellStyle name="Normal 5 2 2 10" xfId="2208"/>
    <cellStyle name="Normal 5 2 2 10 2" xfId="2209"/>
    <cellStyle name="Normal 5 2 2 10 2 2" xfId="2210"/>
    <cellStyle name="Normal 5 2 2 10 2 3" xfId="2211"/>
    <cellStyle name="Normal 5 2 2 10 2 4" xfId="2212"/>
    <cellStyle name="Normal 5 2 2 10 3" xfId="2213"/>
    <cellStyle name="Normal 5 2 2 10 4" xfId="2214"/>
    <cellStyle name="Normal 5 2 2 10 5" xfId="2215"/>
    <cellStyle name="Normal 5 2 2 11" xfId="2216"/>
    <cellStyle name="Normal 5 2 2 11 2" xfId="2217"/>
    <cellStyle name="Normal 5 2 2 11 2 2" xfId="2218"/>
    <cellStyle name="Normal 5 2 2 11 2 3" xfId="2219"/>
    <cellStyle name="Normal 5 2 2 11 2 4" xfId="2220"/>
    <cellStyle name="Normal 5 2 2 11 3" xfId="2221"/>
    <cellStyle name="Normal 5 2 2 11 4" xfId="2222"/>
    <cellStyle name="Normal 5 2 2 11 5" xfId="2223"/>
    <cellStyle name="Normal 5 2 2 12" xfId="2224"/>
    <cellStyle name="Normal 5 2 2 12 2" xfId="2225"/>
    <cellStyle name="Normal 5 2 2 12 2 2" xfId="2226"/>
    <cellStyle name="Normal 5 2 2 12 2 3" xfId="2227"/>
    <cellStyle name="Normal 5 2 2 12 2 4" xfId="2228"/>
    <cellStyle name="Normal 5 2 2 12 3" xfId="2229"/>
    <cellStyle name="Normal 5 2 2 12 4" xfId="2230"/>
    <cellStyle name="Normal 5 2 2 12 5" xfId="2231"/>
    <cellStyle name="Normal 5 2 2 13" xfId="2232"/>
    <cellStyle name="Normal 5 2 2 13 2" xfId="2233"/>
    <cellStyle name="Normal 5 2 2 13 2 2" xfId="2234"/>
    <cellStyle name="Normal 5 2 2 13 2 3" xfId="2235"/>
    <cellStyle name="Normal 5 2 2 13 2 4" xfId="2236"/>
    <cellStyle name="Normal 5 2 2 13 3" xfId="2237"/>
    <cellStyle name="Normal 5 2 2 13 4" xfId="2238"/>
    <cellStyle name="Normal 5 2 2 13 5" xfId="2239"/>
    <cellStyle name="Normal 5 2 2 14" xfId="2240"/>
    <cellStyle name="Normal 5 2 2 2" xfId="2241"/>
    <cellStyle name="Normal 5 2 2 2 10" xfId="2242"/>
    <cellStyle name="Normal 5 2 2 2 10 2" xfId="2243"/>
    <cellStyle name="Normal 5 2 2 2 11" xfId="2244"/>
    <cellStyle name="Normal 5 2 2 2 11 2" xfId="2245"/>
    <cellStyle name="Normal 5 2 2 2 12" xfId="2246"/>
    <cellStyle name="Normal 5 2 2 2 12 2" xfId="2247"/>
    <cellStyle name="Normal 5 2 2 2 13" xfId="2248"/>
    <cellStyle name="Normal 5 2 2 2 13 2" xfId="2249"/>
    <cellStyle name="Normal 5 2 2 2 14" xfId="2250"/>
    <cellStyle name="Normal 5 2 2 2 14 2" xfId="2251"/>
    <cellStyle name="Normal 5 2 2 2 14 3" xfId="2252"/>
    <cellStyle name="Normal 5 2 2 2 14 4" xfId="2253"/>
    <cellStyle name="Normal 5 2 2 2 15" xfId="2254"/>
    <cellStyle name="Normal 5 2 2 2 16" xfId="2255"/>
    <cellStyle name="Normal 5 2 2 2 17" xfId="2256"/>
    <cellStyle name="Normal 5 2 2 2 2" xfId="2257"/>
    <cellStyle name="Normal 5 2 2 2 2 2" xfId="2258"/>
    <cellStyle name="Normal 5 2 2 2 3" xfId="2259"/>
    <cellStyle name="Normal 5 2 2 2 3 2" xfId="2260"/>
    <cellStyle name="Normal 5 2 2 2 4" xfId="2261"/>
    <cellStyle name="Normal 5 2 2 2 4 2" xfId="2262"/>
    <cellStyle name="Normal 5 2 2 2 5" xfId="2263"/>
    <cellStyle name="Normal 5 2 2 2 5 2" xfId="2264"/>
    <cellStyle name="Normal 5 2 2 2 6" xfId="2265"/>
    <cellStyle name="Normal 5 2 2 2 6 2" xfId="2266"/>
    <cellStyle name="Normal 5 2 2 2 7" xfId="2267"/>
    <cellStyle name="Normal 5 2 2 2 7 2" xfId="2268"/>
    <cellStyle name="Normal 5 2 2 2 8" xfId="2269"/>
    <cellStyle name="Normal 5 2 2 2 8 2" xfId="2270"/>
    <cellStyle name="Normal 5 2 2 2 9" xfId="2271"/>
    <cellStyle name="Normal 5 2 2 2 9 2" xfId="2272"/>
    <cellStyle name="Normal 5 2 2 3" xfId="2273"/>
    <cellStyle name="Normal 5 2 2 3 2" xfId="2274"/>
    <cellStyle name="Normal 5 2 2 3 2 2" xfId="2275"/>
    <cellStyle name="Normal 5 2 2 3 2 3" xfId="2276"/>
    <cellStyle name="Normal 5 2 2 3 2 4" xfId="2277"/>
    <cellStyle name="Normal 5 2 2 3 3" xfId="2278"/>
    <cellStyle name="Normal 5 2 2 3 4" xfId="2279"/>
    <cellStyle name="Normal 5 2 2 3 5" xfId="2280"/>
    <cellStyle name="Normal 5 2 2 4" xfId="2281"/>
    <cellStyle name="Normal 5 2 2 4 2" xfId="2282"/>
    <cellStyle name="Normal 5 2 2 4 2 2" xfId="2283"/>
    <cellStyle name="Normal 5 2 2 4 2 3" xfId="2284"/>
    <cellStyle name="Normal 5 2 2 4 2 4" xfId="2285"/>
    <cellStyle name="Normal 5 2 2 4 3" xfId="2286"/>
    <cellStyle name="Normal 5 2 2 4 4" xfId="2287"/>
    <cellStyle name="Normal 5 2 2 4 5" xfId="2288"/>
    <cellStyle name="Normal 5 2 2 5" xfId="2289"/>
    <cellStyle name="Normal 5 2 2 5 2" xfId="2290"/>
    <cellStyle name="Normal 5 2 2 5 2 2" xfId="2291"/>
    <cellStyle name="Normal 5 2 2 5 2 3" xfId="2292"/>
    <cellStyle name="Normal 5 2 2 5 2 4" xfId="2293"/>
    <cellStyle name="Normal 5 2 2 5 3" xfId="2294"/>
    <cellStyle name="Normal 5 2 2 5 4" xfId="2295"/>
    <cellStyle name="Normal 5 2 2 5 5" xfId="2296"/>
    <cellStyle name="Normal 5 2 2 6" xfId="2297"/>
    <cellStyle name="Normal 5 2 2 6 2" xfId="2298"/>
    <cellStyle name="Normal 5 2 2 6 2 2" xfId="2299"/>
    <cellStyle name="Normal 5 2 2 6 2 3" xfId="2300"/>
    <cellStyle name="Normal 5 2 2 6 2 4" xfId="2301"/>
    <cellStyle name="Normal 5 2 2 6 3" xfId="2302"/>
    <cellStyle name="Normal 5 2 2 6 4" xfId="2303"/>
    <cellStyle name="Normal 5 2 2 6 5" xfId="2304"/>
    <cellStyle name="Normal 5 2 2 7" xfId="2305"/>
    <cellStyle name="Normal 5 2 2 7 2" xfId="2306"/>
    <cellStyle name="Normal 5 2 2 7 2 2" xfId="2307"/>
    <cellStyle name="Normal 5 2 2 7 2 3" xfId="2308"/>
    <cellStyle name="Normal 5 2 2 7 2 4" xfId="2309"/>
    <cellStyle name="Normal 5 2 2 7 3" xfId="2310"/>
    <cellStyle name="Normal 5 2 2 7 4" xfId="2311"/>
    <cellStyle name="Normal 5 2 2 7 5" xfId="2312"/>
    <cellStyle name="Normal 5 2 2 8" xfId="2313"/>
    <cellStyle name="Normal 5 2 2 8 2" xfId="2314"/>
    <cellStyle name="Normal 5 2 2 8 2 2" xfId="2315"/>
    <cellStyle name="Normal 5 2 2 8 2 3" xfId="2316"/>
    <cellStyle name="Normal 5 2 2 8 2 4" xfId="2317"/>
    <cellStyle name="Normal 5 2 2 8 3" xfId="2318"/>
    <cellStyle name="Normal 5 2 2 8 4" xfId="2319"/>
    <cellStyle name="Normal 5 2 2 8 5" xfId="2320"/>
    <cellStyle name="Normal 5 2 2 9" xfId="2321"/>
    <cellStyle name="Normal 5 2 2 9 2" xfId="2322"/>
    <cellStyle name="Normal 5 2 2 9 2 2" xfId="2323"/>
    <cellStyle name="Normal 5 2 2 9 2 3" xfId="2324"/>
    <cellStyle name="Normal 5 2 2 9 2 4" xfId="2325"/>
    <cellStyle name="Normal 5 2 2 9 3" xfId="2326"/>
    <cellStyle name="Normal 5 2 2 9 4" xfId="2327"/>
    <cellStyle name="Normal 5 2 2 9 5" xfId="2328"/>
    <cellStyle name="Normal 5 2 3" xfId="2329"/>
    <cellStyle name="Normal 5 2 3 2" xfId="2330"/>
    <cellStyle name="Normal 5 2 4" xfId="2331"/>
    <cellStyle name="Normal 5 2 4 2" xfId="2332"/>
    <cellStyle name="Normal 5 2 5" xfId="2333"/>
    <cellStyle name="Normal 5 2 5 2" xfId="2334"/>
    <cellStyle name="Normal 5 2 6" xfId="2335"/>
    <cellStyle name="Normal 5 2 6 2" xfId="2336"/>
    <cellStyle name="Normal 5 2 7" xfId="2337"/>
    <cellStyle name="Normal 5 2 7 2" xfId="2338"/>
    <cellStyle name="Normal 5 2 8" xfId="2339"/>
    <cellStyle name="Normal 5 2 8 2" xfId="2340"/>
    <cellStyle name="Normal 5 2 9" xfId="2341"/>
    <cellStyle name="Normal 5 2 9 2" xfId="2342"/>
    <cellStyle name="Normal 5 3" xfId="2343"/>
    <cellStyle name="Normal 5 3 10" xfId="2344"/>
    <cellStyle name="Normal 5 3 2" xfId="2345"/>
    <cellStyle name="Normal 5 3 2 2" xfId="2346"/>
    <cellStyle name="Normal 5 3 3" xfId="2347"/>
    <cellStyle name="Normal 5 3 3 2" xfId="2348"/>
    <cellStyle name="Normal 5 3 4" xfId="2349"/>
    <cellStyle name="Normal 5 3 4 2" xfId="2350"/>
    <cellStyle name="Normal 5 3 5" xfId="2351"/>
    <cellStyle name="Normal 5 3 5 2" xfId="2352"/>
    <cellStyle name="Normal 5 3 6" xfId="2353"/>
    <cellStyle name="Normal 5 3 6 2" xfId="2354"/>
    <cellStyle name="Normal 5 3 7" xfId="2355"/>
    <cellStyle name="Normal 5 3 7 2" xfId="2356"/>
    <cellStyle name="Normal 5 3 8" xfId="2357"/>
    <cellStyle name="Normal 5 3 8 2" xfId="2358"/>
    <cellStyle name="Normal 5 3 9" xfId="2359"/>
    <cellStyle name="Normal 5 4" xfId="2360"/>
    <cellStyle name="Normal 5 4 10" xfId="2361"/>
    <cellStyle name="Normal 5 4 2" xfId="2362"/>
    <cellStyle name="Normal 5 4 2 2" xfId="2363"/>
    <cellStyle name="Normal 5 4 3" xfId="2364"/>
    <cellStyle name="Normal 5 4 3 2" xfId="2365"/>
    <cellStyle name="Normal 5 4 4" xfId="2366"/>
    <cellStyle name="Normal 5 4 4 2" xfId="2367"/>
    <cellStyle name="Normal 5 4 5" xfId="2368"/>
    <cellStyle name="Normal 5 4 5 2" xfId="2369"/>
    <cellStyle name="Normal 5 4 6" xfId="2370"/>
    <cellStyle name="Normal 5 4 6 2" xfId="2371"/>
    <cellStyle name="Normal 5 4 7" xfId="2372"/>
    <cellStyle name="Normal 5 4 7 2" xfId="2373"/>
    <cellStyle name="Normal 5 4 8" xfId="2374"/>
    <cellStyle name="Normal 5 4 8 2" xfId="2375"/>
    <cellStyle name="Normal 5 4 9" xfId="2376"/>
    <cellStyle name="Normal 5 5" xfId="2377"/>
    <cellStyle name="Normal 5 5 2" xfId="2378"/>
    <cellStyle name="Normal 5 5 2 2" xfId="2379"/>
    <cellStyle name="Normal 5 5 3" xfId="2380"/>
    <cellStyle name="Normal 5 5 3 2" xfId="2381"/>
    <cellStyle name="Normal 5 5 4" xfId="2382"/>
    <cellStyle name="Normal 5 5 4 2" xfId="2383"/>
    <cellStyle name="Normal 5 5 5" xfId="2384"/>
    <cellStyle name="Normal 5 5 5 2" xfId="2385"/>
    <cellStyle name="Normal 5 5 6" xfId="2386"/>
    <cellStyle name="Normal 5 5 6 2" xfId="2387"/>
    <cellStyle name="Normal 5 5 7" xfId="2388"/>
    <cellStyle name="Normal 5 5 7 2" xfId="2389"/>
    <cellStyle name="Normal 5 5 8" xfId="2390"/>
    <cellStyle name="Normal 5 5 8 2" xfId="2391"/>
    <cellStyle name="Normal 5 5 9" xfId="2392"/>
    <cellStyle name="Normal 5 6" xfId="2393"/>
    <cellStyle name="Normal 5 6 2" xfId="2394"/>
    <cellStyle name="Normal 5 7" xfId="2395"/>
    <cellStyle name="Normal 5 7 2" xfId="2396"/>
    <cellStyle name="Normal 5 8" xfId="2397"/>
    <cellStyle name="Normal 5 8 2" xfId="2398"/>
    <cellStyle name="Normal 5 9" xfId="2399"/>
    <cellStyle name="Normal 5 9 2" xfId="2400"/>
    <cellStyle name="Normal 6" xfId="2401"/>
    <cellStyle name="Normal 6 10" xfId="2402"/>
    <cellStyle name="Normal 6 10 2" xfId="2403"/>
    <cellStyle name="Normal 6 11" xfId="2404"/>
    <cellStyle name="Normal 6 11 2" xfId="2405"/>
    <cellStyle name="Normal 6 12" xfId="2406"/>
    <cellStyle name="Normal 6 12 2" xfId="2407"/>
    <cellStyle name="Normal 6 13" xfId="2408"/>
    <cellStyle name="Normal 6 13 2" xfId="2409"/>
    <cellStyle name="Normal 6 14" xfId="2410"/>
    <cellStyle name="Normal 6 15" xfId="2411"/>
    <cellStyle name="Normal 6 2" xfId="2412"/>
    <cellStyle name="Normal 6 2 10" xfId="2413"/>
    <cellStyle name="Normal 6 2 2" xfId="2414"/>
    <cellStyle name="Normal 6 2 2 10" xfId="2415"/>
    <cellStyle name="Normal 6 2 2 10 2" xfId="2416"/>
    <cellStyle name="Normal 6 2 2 10 2 2" xfId="2417"/>
    <cellStyle name="Normal 6 2 2 10 2 3" xfId="2418"/>
    <cellStyle name="Normal 6 2 2 10 2 4" xfId="2419"/>
    <cellStyle name="Normal 6 2 2 10 3" xfId="2420"/>
    <cellStyle name="Normal 6 2 2 10 4" xfId="2421"/>
    <cellStyle name="Normal 6 2 2 10 5" xfId="2422"/>
    <cellStyle name="Normal 6 2 2 11" xfId="2423"/>
    <cellStyle name="Normal 6 2 2 11 2" xfId="2424"/>
    <cellStyle name="Normal 6 2 2 11 2 2" xfId="2425"/>
    <cellStyle name="Normal 6 2 2 11 2 3" xfId="2426"/>
    <cellStyle name="Normal 6 2 2 11 2 4" xfId="2427"/>
    <cellStyle name="Normal 6 2 2 11 3" xfId="2428"/>
    <cellStyle name="Normal 6 2 2 11 4" xfId="2429"/>
    <cellStyle name="Normal 6 2 2 11 5" xfId="2430"/>
    <cellStyle name="Normal 6 2 2 12" xfId="2431"/>
    <cellStyle name="Normal 6 2 2 12 2" xfId="2432"/>
    <cellStyle name="Normal 6 2 2 12 2 2" xfId="2433"/>
    <cellStyle name="Normal 6 2 2 12 2 3" xfId="2434"/>
    <cellStyle name="Normal 6 2 2 12 2 4" xfId="2435"/>
    <cellStyle name="Normal 6 2 2 12 3" xfId="2436"/>
    <cellStyle name="Normal 6 2 2 12 4" xfId="2437"/>
    <cellStyle name="Normal 6 2 2 12 5" xfId="2438"/>
    <cellStyle name="Normal 6 2 2 13" xfId="2439"/>
    <cellStyle name="Normal 6 2 2 13 2" xfId="2440"/>
    <cellStyle name="Normal 6 2 2 13 2 2" xfId="2441"/>
    <cellStyle name="Normal 6 2 2 13 2 3" xfId="2442"/>
    <cellStyle name="Normal 6 2 2 13 2 4" xfId="2443"/>
    <cellStyle name="Normal 6 2 2 13 3" xfId="2444"/>
    <cellStyle name="Normal 6 2 2 13 4" xfId="2445"/>
    <cellStyle name="Normal 6 2 2 13 5" xfId="2446"/>
    <cellStyle name="Normal 6 2 2 14" xfId="2447"/>
    <cellStyle name="Normal 6 2 2 15" xfId="2448"/>
    <cellStyle name="Normal 6 2 2 2" xfId="2449"/>
    <cellStyle name="Normal 6 2 2 2 2" xfId="2450"/>
    <cellStyle name="Normal 6 2 2 2 2 2" xfId="2451"/>
    <cellStyle name="Normal 6 2 2 2 2 3" xfId="2452"/>
    <cellStyle name="Normal 6 2 2 2 2 4" xfId="2453"/>
    <cellStyle name="Normal 6 2 2 2 3" xfId="2454"/>
    <cellStyle name="Normal 6 2 2 2 4" xfId="2455"/>
    <cellStyle name="Normal 6 2 2 2 5" xfId="2456"/>
    <cellStyle name="Normal 6 2 2 3" xfId="2457"/>
    <cellStyle name="Normal 6 2 2 3 2" xfId="2458"/>
    <cellStyle name="Normal 6 2 2 3 2 2" xfId="2459"/>
    <cellStyle name="Normal 6 2 2 3 2 3" xfId="2460"/>
    <cellStyle name="Normal 6 2 2 3 2 4" xfId="2461"/>
    <cellStyle name="Normal 6 2 2 3 3" xfId="2462"/>
    <cellStyle name="Normal 6 2 2 3 4" xfId="2463"/>
    <cellStyle name="Normal 6 2 2 3 5" xfId="2464"/>
    <cellStyle name="Normal 6 2 2 4" xfId="2465"/>
    <cellStyle name="Normal 6 2 2 4 2" xfId="2466"/>
    <cellStyle name="Normal 6 2 2 4 2 2" xfId="2467"/>
    <cellStyle name="Normal 6 2 2 4 2 3" xfId="2468"/>
    <cellStyle name="Normal 6 2 2 4 2 4" xfId="2469"/>
    <cellStyle name="Normal 6 2 2 4 3" xfId="2470"/>
    <cellStyle name="Normal 6 2 2 4 4" xfId="2471"/>
    <cellStyle name="Normal 6 2 2 4 5" xfId="2472"/>
    <cellStyle name="Normal 6 2 2 5" xfId="2473"/>
    <cellStyle name="Normal 6 2 2 5 2" xfId="2474"/>
    <cellStyle name="Normal 6 2 2 5 2 2" xfId="2475"/>
    <cellStyle name="Normal 6 2 2 5 2 3" xfId="2476"/>
    <cellStyle name="Normal 6 2 2 5 2 4" xfId="2477"/>
    <cellStyle name="Normal 6 2 2 5 3" xfId="2478"/>
    <cellStyle name="Normal 6 2 2 5 4" xfId="2479"/>
    <cellStyle name="Normal 6 2 2 5 5" xfId="2480"/>
    <cellStyle name="Normal 6 2 2 6" xfId="2481"/>
    <cellStyle name="Normal 6 2 2 6 2" xfId="2482"/>
    <cellStyle name="Normal 6 2 2 6 2 2" xfId="2483"/>
    <cellStyle name="Normal 6 2 2 6 2 3" xfId="2484"/>
    <cellStyle name="Normal 6 2 2 6 2 4" xfId="2485"/>
    <cellStyle name="Normal 6 2 2 6 3" xfId="2486"/>
    <cellStyle name="Normal 6 2 2 6 4" xfId="2487"/>
    <cellStyle name="Normal 6 2 2 6 5" xfId="2488"/>
    <cellStyle name="Normal 6 2 2 7" xfId="2489"/>
    <cellStyle name="Normal 6 2 2 7 2" xfId="2490"/>
    <cellStyle name="Normal 6 2 2 7 2 2" xfId="2491"/>
    <cellStyle name="Normal 6 2 2 7 2 3" xfId="2492"/>
    <cellStyle name="Normal 6 2 2 7 2 4" xfId="2493"/>
    <cellStyle name="Normal 6 2 2 7 3" xfId="2494"/>
    <cellStyle name="Normal 6 2 2 7 4" xfId="2495"/>
    <cellStyle name="Normal 6 2 2 7 5" xfId="2496"/>
    <cellStyle name="Normal 6 2 2 8" xfId="2497"/>
    <cellStyle name="Normal 6 2 2 8 2" xfId="2498"/>
    <cellStyle name="Normal 6 2 2 8 2 2" xfId="2499"/>
    <cellStyle name="Normal 6 2 2 8 2 3" xfId="2500"/>
    <cellStyle name="Normal 6 2 2 8 2 4" xfId="2501"/>
    <cellStyle name="Normal 6 2 2 8 3" xfId="2502"/>
    <cellStyle name="Normal 6 2 2 8 4" xfId="2503"/>
    <cellStyle name="Normal 6 2 2 8 5" xfId="2504"/>
    <cellStyle name="Normal 6 2 2 9" xfId="2505"/>
    <cellStyle name="Normal 6 2 2 9 2" xfId="2506"/>
    <cellStyle name="Normal 6 2 2 9 2 2" xfId="2507"/>
    <cellStyle name="Normal 6 2 2 9 2 3" xfId="2508"/>
    <cellStyle name="Normal 6 2 2 9 2 4" xfId="2509"/>
    <cellStyle name="Normal 6 2 2 9 3" xfId="2510"/>
    <cellStyle name="Normal 6 2 2 9 4" xfId="2511"/>
    <cellStyle name="Normal 6 2 2 9 5" xfId="2512"/>
    <cellStyle name="Normal 6 2 3" xfId="2513"/>
    <cellStyle name="Normal 6 2 3 2" xfId="2514"/>
    <cellStyle name="Normal 6 2 4" xfId="2515"/>
    <cellStyle name="Normal 6 2 4 2" xfId="2516"/>
    <cellStyle name="Normal 6 2 5" xfId="2517"/>
    <cellStyle name="Normal 6 2 5 2" xfId="2518"/>
    <cellStyle name="Normal 6 2 6" xfId="2519"/>
    <cellStyle name="Normal 6 2 6 2" xfId="2520"/>
    <cellStyle name="Normal 6 2 7" xfId="2521"/>
    <cellStyle name="Normal 6 2 7 2" xfId="2522"/>
    <cellStyle name="Normal 6 2 8" xfId="2523"/>
    <cellStyle name="Normal 6 2 8 2" xfId="2524"/>
    <cellStyle name="Normal 6 2 9" xfId="2525"/>
    <cellStyle name="Normal 6 3" xfId="2526"/>
    <cellStyle name="Normal 6 3 10" xfId="2527"/>
    <cellStyle name="Normal 6 3 2" xfId="2528"/>
    <cellStyle name="Normal 6 3 2 2" xfId="2529"/>
    <cellStyle name="Normal 6 3 3" xfId="2530"/>
    <cellStyle name="Normal 6 3 3 2" xfId="2531"/>
    <cellStyle name="Normal 6 3 4" xfId="2532"/>
    <cellStyle name="Normal 6 3 4 2" xfId="2533"/>
    <cellStyle name="Normal 6 3 5" xfId="2534"/>
    <cellStyle name="Normal 6 3 5 2" xfId="2535"/>
    <cellStyle name="Normal 6 3 6" xfId="2536"/>
    <cellStyle name="Normal 6 3 6 2" xfId="2537"/>
    <cellStyle name="Normal 6 3 7" xfId="2538"/>
    <cellStyle name="Normal 6 3 7 2" xfId="2539"/>
    <cellStyle name="Normal 6 3 8" xfId="2540"/>
    <cellStyle name="Normal 6 3 8 2" xfId="2541"/>
    <cellStyle name="Normal 6 3 9" xfId="2542"/>
    <cellStyle name="Normal 6 4" xfId="2543"/>
    <cellStyle name="Normal 6 4 10" xfId="2544"/>
    <cellStyle name="Normal 6 4 2" xfId="2545"/>
    <cellStyle name="Normal 6 4 2 2" xfId="2546"/>
    <cellStyle name="Normal 6 4 3" xfId="2547"/>
    <cellStyle name="Normal 6 4 3 2" xfId="2548"/>
    <cellStyle name="Normal 6 4 4" xfId="2549"/>
    <cellStyle name="Normal 6 4 4 2" xfId="2550"/>
    <cellStyle name="Normal 6 4 5" xfId="2551"/>
    <cellStyle name="Normal 6 4 5 2" xfId="2552"/>
    <cellStyle name="Normal 6 4 6" xfId="2553"/>
    <cellStyle name="Normal 6 4 6 2" xfId="2554"/>
    <cellStyle name="Normal 6 4 7" xfId="2555"/>
    <cellStyle name="Normal 6 4 7 2" xfId="2556"/>
    <cellStyle name="Normal 6 4 8" xfId="2557"/>
    <cellStyle name="Normal 6 4 8 2" xfId="2558"/>
    <cellStyle name="Normal 6 4 9" xfId="2559"/>
    <cellStyle name="Normal 6 5" xfId="2560"/>
    <cellStyle name="Normal 6 5 2" xfId="2561"/>
    <cellStyle name="Normal 6 5 2 2" xfId="2562"/>
    <cellStyle name="Normal 6 5 3" xfId="2563"/>
    <cellStyle name="Normal 6 5 3 2" xfId="2564"/>
    <cellStyle name="Normal 6 5 4" xfId="2565"/>
    <cellStyle name="Normal 6 5 4 2" xfId="2566"/>
    <cellStyle name="Normal 6 5 5" xfId="2567"/>
    <cellStyle name="Normal 6 5 5 2" xfId="2568"/>
    <cellStyle name="Normal 6 5 6" xfId="2569"/>
    <cellStyle name="Normal 6 5 6 2" xfId="2570"/>
    <cellStyle name="Normal 6 5 7" xfId="2571"/>
    <cellStyle name="Normal 6 5 7 2" xfId="2572"/>
    <cellStyle name="Normal 6 5 8" xfId="2573"/>
    <cellStyle name="Normal 6 5 8 2" xfId="2574"/>
    <cellStyle name="Normal 6 5 9" xfId="2575"/>
    <cellStyle name="Normal 6 6" xfId="2576"/>
    <cellStyle name="Normal 6 6 2" xfId="2577"/>
    <cellStyle name="Normal 6 7" xfId="2578"/>
    <cellStyle name="Normal 6 7 2" xfId="2579"/>
    <cellStyle name="Normal 6 8" xfId="2580"/>
    <cellStyle name="Normal 6 8 2" xfId="2581"/>
    <cellStyle name="Normal 6 9" xfId="2582"/>
    <cellStyle name="Normal 6 9 2" xfId="2583"/>
    <cellStyle name="Normal 7" xfId="2584"/>
    <cellStyle name="Normal 7 10" xfId="2585"/>
    <cellStyle name="Normal 7 10 2" xfId="2586"/>
    <cellStyle name="Normal 7 11" xfId="2587"/>
    <cellStyle name="Normal 7 11 2" xfId="2588"/>
    <cellStyle name="Normal 7 12" xfId="2589"/>
    <cellStyle name="Normal 7 12 2" xfId="2590"/>
    <cellStyle name="Normal 7 13" xfId="2591"/>
    <cellStyle name="Normal 7 14" xfId="2592"/>
    <cellStyle name="Normal 7 2" xfId="2593"/>
    <cellStyle name="Normal 7 2 10" xfId="2594"/>
    <cellStyle name="Normal 7 2 2" xfId="2595"/>
    <cellStyle name="Normal 7 2 2 2" xfId="2596"/>
    <cellStyle name="Normal 7 2 3" xfId="2597"/>
    <cellStyle name="Normal 7 2 3 2" xfId="2598"/>
    <cellStyle name="Normal 7 2 4" xfId="2599"/>
    <cellStyle name="Normal 7 2 4 2" xfId="2600"/>
    <cellStyle name="Normal 7 2 5" xfId="2601"/>
    <cellStyle name="Normal 7 2 5 2" xfId="2602"/>
    <cellStyle name="Normal 7 2 6" xfId="2603"/>
    <cellStyle name="Normal 7 2 6 2" xfId="2604"/>
    <cellStyle name="Normal 7 2 7" xfId="2605"/>
    <cellStyle name="Normal 7 2 7 2" xfId="2606"/>
    <cellStyle name="Normal 7 2 8" xfId="2607"/>
    <cellStyle name="Normal 7 2 8 2" xfId="2608"/>
    <cellStyle name="Normal 7 2 9" xfId="2609"/>
    <cellStyle name="Normal 7 3" xfId="2610"/>
    <cellStyle name="Normal 7 3 2" xfId="2611"/>
    <cellStyle name="Normal 7 3 2 2" xfId="2612"/>
    <cellStyle name="Normal 7 3 3" xfId="2613"/>
    <cellStyle name="Normal 7 3 3 2" xfId="2614"/>
    <cellStyle name="Normal 7 3 4" xfId="2615"/>
    <cellStyle name="Normal 7 3 4 2" xfId="2616"/>
    <cellStyle name="Normal 7 3 5" xfId="2617"/>
    <cellStyle name="Normal 7 3 5 2" xfId="2618"/>
    <cellStyle name="Normal 7 3 6" xfId="2619"/>
    <cellStyle name="Normal 7 3 6 2" xfId="2620"/>
    <cellStyle name="Normal 7 3 7" xfId="2621"/>
    <cellStyle name="Normal 7 3 7 2" xfId="2622"/>
    <cellStyle name="Normal 7 3 8" xfId="2623"/>
    <cellStyle name="Normal 7 3 8 2" xfId="2624"/>
    <cellStyle name="Normal 7 3 9" xfId="2625"/>
    <cellStyle name="Normal 7 4" xfId="2626"/>
    <cellStyle name="Normal 7 4 2" xfId="2627"/>
    <cellStyle name="Normal 7 4 2 2" xfId="2628"/>
    <cellStyle name="Normal 7 4 3" xfId="2629"/>
    <cellStyle name="Normal 7 4 3 2" xfId="2630"/>
    <cellStyle name="Normal 7 4 4" xfId="2631"/>
    <cellStyle name="Normal 7 4 4 2" xfId="2632"/>
    <cellStyle name="Normal 7 4 5" xfId="2633"/>
    <cellStyle name="Normal 7 4 5 2" xfId="2634"/>
    <cellStyle name="Normal 7 4 6" xfId="2635"/>
    <cellStyle name="Normal 7 4 6 2" xfId="2636"/>
    <cellStyle name="Normal 7 4 7" xfId="2637"/>
    <cellStyle name="Normal 7 4 7 2" xfId="2638"/>
    <cellStyle name="Normal 7 4 8" xfId="2639"/>
    <cellStyle name="Normal 7 4 8 2" xfId="2640"/>
    <cellStyle name="Normal 7 4 9" xfId="2641"/>
    <cellStyle name="Normal 7 5" xfId="2642"/>
    <cellStyle name="Normal 7 5 2" xfId="2643"/>
    <cellStyle name="Normal 7 5 2 2" xfId="2644"/>
    <cellStyle name="Normal 7 5 3" xfId="2645"/>
    <cellStyle name="Normal 7 5 3 2" xfId="2646"/>
    <cellStyle name="Normal 7 5 4" xfId="2647"/>
    <cellStyle name="Normal 7 5 4 2" xfId="2648"/>
    <cellStyle name="Normal 7 5 5" xfId="2649"/>
    <cellStyle name="Normal 7 5 5 2" xfId="2650"/>
    <cellStyle name="Normal 7 5 6" xfId="2651"/>
    <cellStyle name="Normal 7 5 6 2" xfId="2652"/>
    <cellStyle name="Normal 7 5 7" xfId="2653"/>
    <cellStyle name="Normal 7 5 7 2" xfId="2654"/>
    <cellStyle name="Normal 7 5 8" xfId="2655"/>
    <cellStyle name="Normal 7 5 8 2" xfId="2656"/>
    <cellStyle name="Normal 7 5 9" xfId="2657"/>
    <cellStyle name="Normal 7 6" xfId="2658"/>
    <cellStyle name="Normal 7 6 2" xfId="2659"/>
    <cellStyle name="Normal 7 7" xfId="2660"/>
    <cellStyle name="Normal 7 7 2" xfId="2661"/>
    <cellStyle name="Normal 7 8" xfId="2662"/>
    <cellStyle name="Normal 7 8 2" xfId="2663"/>
    <cellStyle name="Normal 7 9" xfId="2664"/>
    <cellStyle name="Normal 7 9 2" xfId="2665"/>
    <cellStyle name="Normal 8" xfId="2666"/>
    <cellStyle name="Normal 8 10" xfId="2667"/>
    <cellStyle name="Normal 8 10 2" xfId="2668"/>
    <cellStyle name="Normal 8 11" xfId="2669"/>
    <cellStyle name="Normal 8 11 2" xfId="2670"/>
    <cellStyle name="Normal 8 12" xfId="2671"/>
    <cellStyle name="Normal 8 12 2" xfId="2672"/>
    <cellStyle name="Normal 8 13" xfId="2673"/>
    <cellStyle name="Normal 8 14" xfId="2674"/>
    <cellStyle name="Normal 8 2" xfId="2675"/>
    <cellStyle name="Normal 8 2 10" xfId="2676"/>
    <cellStyle name="Normal 8 2 2" xfId="2677"/>
    <cellStyle name="Normal 8 2 2 2" xfId="2678"/>
    <cellStyle name="Normal 8 2 3" xfId="2679"/>
    <cellStyle name="Normal 8 2 3 2" xfId="2680"/>
    <cellStyle name="Normal 8 2 4" xfId="2681"/>
    <cellStyle name="Normal 8 2 4 2" xfId="2682"/>
    <cellStyle name="Normal 8 2 5" xfId="2683"/>
    <cellStyle name="Normal 8 2 5 2" xfId="2684"/>
    <cellStyle name="Normal 8 2 6" xfId="2685"/>
    <cellStyle name="Normal 8 2 6 2" xfId="2686"/>
    <cellStyle name="Normal 8 2 7" xfId="2687"/>
    <cellStyle name="Normal 8 2 7 2" xfId="2688"/>
    <cellStyle name="Normal 8 2 8" xfId="2689"/>
    <cellStyle name="Normal 8 2 8 2" xfId="2690"/>
    <cellStyle name="Normal 8 2 9" xfId="2691"/>
    <cellStyle name="Normal 8 3" xfId="2692"/>
    <cellStyle name="Normal 8 3 2" xfId="2693"/>
    <cellStyle name="Normal 8 3 2 2" xfId="2694"/>
    <cellStyle name="Normal 8 3 3" xfId="2695"/>
    <cellStyle name="Normal 8 3 3 2" xfId="2696"/>
    <cellStyle name="Normal 8 3 4" xfId="2697"/>
    <cellStyle name="Normal 8 3 4 2" xfId="2698"/>
    <cellStyle name="Normal 8 3 5" xfId="2699"/>
    <cellStyle name="Normal 8 3 5 2" xfId="2700"/>
    <cellStyle name="Normal 8 3 6" xfId="2701"/>
    <cellStyle name="Normal 8 3 6 2" xfId="2702"/>
    <cellStyle name="Normal 8 3 7" xfId="2703"/>
    <cellStyle name="Normal 8 3 7 2" xfId="2704"/>
    <cellStyle name="Normal 8 3 8" xfId="2705"/>
    <cellStyle name="Normal 8 3 8 2" xfId="2706"/>
    <cellStyle name="Normal 8 3 9" xfId="2707"/>
    <cellStyle name="Normal 8 4" xfId="2708"/>
    <cellStyle name="Normal 8 4 2" xfId="2709"/>
    <cellStyle name="Normal 8 4 2 2" xfId="2710"/>
    <cellStyle name="Normal 8 4 3" xfId="2711"/>
    <cellStyle name="Normal 8 4 3 2" xfId="2712"/>
    <cellStyle name="Normal 8 4 4" xfId="2713"/>
    <cellStyle name="Normal 8 4 4 2" xfId="2714"/>
    <cellStyle name="Normal 8 4 5" xfId="2715"/>
    <cellStyle name="Normal 8 4 5 2" xfId="2716"/>
    <cellStyle name="Normal 8 4 6" xfId="2717"/>
    <cellStyle name="Normal 8 4 6 2" xfId="2718"/>
    <cellStyle name="Normal 8 4 7" xfId="2719"/>
    <cellStyle name="Normal 8 4 7 2" xfId="2720"/>
    <cellStyle name="Normal 8 4 8" xfId="2721"/>
    <cellStyle name="Normal 8 4 8 2" xfId="2722"/>
    <cellStyle name="Normal 8 4 9" xfId="2723"/>
    <cellStyle name="Normal 8 5" xfId="2724"/>
    <cellStyle name="Normal 8 5 2" xfId="2725"/>
    <cellStyle name="Normal 8 5 2 2" xfId="2726"/>
    <cellStyle name="Normal 8 5 3" xfId="2727"/>
    <cellStyle name="Normal 8 5 3 2" xfId="2728"/>
    <cellStyle name="Normal 8 5 4" xfId="2729"/>
    <cellStyle name="Normal 8 5 4 2" xfId="2730"/>
    <cellStyle name="Normal 8 5 5" xfId="2731"/>
    <cellStyle name="Normal 8 5 5 2" xfId="2732"/>
    <cellStyle name="Normal 8 5 6" xfId="2733"/>
    <cellStyle name="Normal 8 5 6 2" xfId="2734"/>
    <cellStyle name="Normal 8 5 7" xfId="2735"/>
    <cellStyle name="Normal 8 5 7 2" xfId="2736"/>
    <cellStyle name="Normal 8 5 8" xfId="2737"/>
    <cellStyle name="Normal 8 5 8 2" xfId="2738"/>
    <cellStyle name="Normal 8 5 9" xfId="2739"/>
    <cellStyle name="Normal 8 6" xfId="2740"/>
    <cellStyle name="Normal 8 6 2" xfId="2741"/>
    <cellStyle name="Normal 8 7" xfId="2742"/>
    <cellStyle name="Normal 8 7 2" xfId="2743"/>
    <cellStyle name="Normal 8 8" xfId="2744"/>
    <cellStyle name="Normal 8 8 2" xfId="2745"/>
    <cellStyle name="Normal 8 9" xfId="2746"/>
    <cellStyle name="Normal 8 9 2" xfId="2747"/>
    <cellStyle name="Normal 9" xfId="2748"/>
    <cellStyle name="Normal 9 10" xfId="2749"/>
    <cellStyle name="Normal 9 2" xfId="2750"/>
    <cellStyle name="Normal 9 2 2" xfId="2751"/>
    <cellStyle name="Normal 9 3" xfId="2752"/>
    <cellStyle name="Normal 9 3 2" xfId="2753"/>
    <cellStyle name="Normal 9 4" xfId="2754"/>
    <cellStyle name="Normal 9 4 2" xfId="2755"/>
    <cellStyle name="Normal 9 5" xfId="2756"/>
    <cellStyle name="Normal 9 5 2" xfId="2757"/>
    <cellStyle name="Normal 9 6" xfId="2758"/>
    <cellStyle name="Normal 9 6 2" xfId="2759"/>
    <cellStyle name="Normal 9 7" xfId="2760"/>
    <cellStyle name="Normal 9 7 2" xfId="2761"/>
    <cellStyle name="Normal 9 8" xfId="2762"/>
    <cellStyle name="Normal 9 8 2" xfId="2763"/>
    <cellStyle name="Normal 9 9" xfId="2764"/>
    <cellStyle name="Normal GHG Numbers (0.00)" xfId="2765"/>
    <cellStyle name="Normal GHG Textfiels Bold" xfId="2766"/>
    <cellStyle name="Normal GHG-Shade" xfId="2767"/>
    <cellStyle name="Normal GHG-Shade 2" xfId="2768"/>
    <cellStyle name="Normal GHG-Shade 2 2" xfId="2769"/>
    <cellStyle name="Normal GHG-Shade 3" xfId="2770"/>
    <cellStyle name="Normale_B2020" xfId="2771"/>
    <cellStyle name="Note 2" xfId="2772"/>
    <cellStyle name="Note 2 10" xfId="2773"/>
    <cellStyle name="Note 2 10 2" xfId="2774"/>
    <cellStyle name="Note 2 11" xfId="2775"/>
    <cellStyle name="Note 2 11 2" xfId="2776"/>
    <cellStyle name="Note 2 12" xfId="2777"/>
    <cellStyle name="Note 2 12 2" xfId="2778"/>
    <cellStyle name="Note 2 13" xfId="2779"/>
    <cellStyle name="Note 2 13 2" xfId="2780"/>
    <cellStyle name="Note 2 14" xfId="2781"/>
    <cellStyle name="Note 2 14 2" xfId="2782"/>
    <cellStyle name="Note 2 15" xfId="2783"/>
    <cellStyle name="Note 2 15 2" xfId="2784"/>
    <cellStyle name="Note 2 16" xfId="2785"/>
    <cellStyle name="Note 2 17" xfId="2786"/>
    <cellStyle name="Note 2 2" xfId="2787"/>
    <cellStyle name="Note 2 2 2" xfId="2788"/>
    <cellStyle name="Note 2 2 2 2" xfId="2789"/>
    <cellStyle name="Note 2 3" xfId="2790"/>
    <cellStyle name="Note 2 3 2" xfId="2791"/>
    <cellStyle name="Note 2 4" xfId="2792"/>
    <cellStyle name="Note 2 4 2" xfId="2793"/>
    <cellStyle name="Note 2 5" xfId="2794"/>
    <cellStyle name="Note 2 5 2" xfId="2795"/>
    <cellStyle name="Note 2 6" xfId="2796"/>
    <cellStyle name="Note 2 6 2" xfId="2797"/>
    <cellStyle name="Note 2 7" xfId="2798"/>
    <cellStyle name="Note 2 7 2" xfId="2799"/>
    <cellStyle name="Note 2 8" xfId="2800"/>
    <cellStyle name="Note 2 8 2" xfId="2801"/>
    <cellStyle name="Note 2 9" xfId="2802"/>
    <cellStyle name="Note 2 9 2" xfId="2803"/>
    <cellStyle name="Note 3" xfId="2804"/>
    <cellStyle name="Note 3 2" xfId="2805"/>
    <cellStyle name="Note 3 2 2" xfId="2806"/>
    <cellStyle name="Note 3 2 3" xfId="2807"/>
    <cellStyle name="Note 3 3" xfId="2808"/>
    <cellStyle name="Note 4" xfId="2809"/>
    <cellStyle name="Note 4 2" xfId="2810"/>
    <cellStyle name="Note 5" xfId="2811"/>
    <cellStyle name="Note 5 2" xfId="2812"/>
    <cellStyle name="Note 6" xfId="2813"/>
    <cellStyle name="Note 6 2" xfId="2814"/>
    <cellStyle name="Note 7" xfId="2815"/>
    <cellStyle name="Note 7 2" xfId="2816"/>
    <cellStyle name="Note 8" xfId="2817"/>
    <cellStyle name="Note 8 2" xfId="2818"/>
    <cellStyle name="num_note" xfId="2819"/>
    <cellStyle name="Nuovo" xfId="2820"/>
    <cellStyle name="Nuovo 2" xfId="2821"/>
    <cellStyle name="Output 2" xfId="2822"/>
    <cellStyle name="Output 2 10" xfId="2823"/>
    <cellStyle name="Output 2 2" xfId="2824"/>
    <cellStyle name="Output 2 3" xfId="2825"/>
    <cellStyle name="Output 2 4" xfId="2826"/>
    <cellStyle name="Output 2 5" xfId="2827"/>
    <cellStyle name="Output 2 6" xfId="2828"/>
    <cellStyle name="Output 2 7" xfId="2829"/>
    <cellStyle name="Output 2 8" xfId="2830"/>
    <cellStyle name="Output 2 9" xfId="2831"/>
    <cellStyle name="Output 3" xfId="2832"/>
    <cellStyle name="Output 3 2" xfId="2833"/>
    <cellStyle name="Percent 10" xfId="2834"/>
    <cellStyle name="Percent 10 2" xfId="2835"/>
    <cellStyle name="Percent 10 2 2" xfId="2836"/>
    <cellStyle name="Percent 10 3" xfId="2837"/>
    <cellStyle name="Percent 10 3 2" xfId="2838"/>
    <cellStyle name="Percent 10 4" xfId="2839"/>
    <cellStyle name="Percent 10 4 2" xfId="2840"/>
    <cellStyle name="Percent 10 5" xfId="2841"/>
    <cellStyle name="Percent 10 5 2" xfId="2842"/>
    <cellStyle name="Percent 10 6" xfId="2843"/>
    <cellStyle name="Percent 10 6 2" xfId="2844"/>
    <cellStyle name="Percent 10 7" xfId="2845"/>
    <cellStyle name="Percent 10 7 2" xfId="2846"/>
    <cellStyle name="Percent 10 8" xfId="2847"/>
    <cellStyle name="Percent 10 8 2" xfId="2848"/>
    <cellStyle name="Percent 10 9" xfId="2849"/>
    <cellStyle name="Percent 11" xfId="2850"/>
    <cellStyle name="Percent 11 2" xfId="2851"/>
    <cellStyle name="Percent 11 2 2" xfId="2852"/>
    <cellStyle name="Percent 11 3" xfId="2853"/>
    <cellStyle name="Percent 11 3 2" xfId="2854"/>
    <cellStyle name="Percent 11 4" xfId="2855"/>
    <cellStyle name="Percent 11 4 2" xfId="2856"/>
    <cellStyle name="Percent 11 5" xfId="2857"/>
    <cellStyle name="Percent 11 5 2" xfId="2858"/>
    <cellStyle name="Percent 11 6" xfId="2859"/>
    <cellStyle name="Percent 11 6 2" xfId="2860"/>
    <cellStyle name="Percent 11 7" xfId="2861"/>
    <cellStyle name="Percent 11 7 2" xfId="2862"/>
    <cellStyle name="Percent 11 8" xfId="2863"/>
    <cellStyle name="Percent 11 8 2" xfId="2864"/>
    <cellStyle name="Percent 11 9" xfId="2865"/>
    <cellStyle name="Percent 12" xfId="2866"/>
    <cellStyle name="Percent 12 2" xfId="2867"/>
    <cellStyle name="Percent 12 2 2" xfId="2868"/>
    <cellStyle name="Percent 12 3" xfId="2869"/>
    <cellStyle name="Percent 12 3 2" xfId="2870"/>
    <cellStyle name="Percent 12 4" xfId="2871"/>
    <cellStyle name="Percent 12 4 2" xfId="2872"/>
    <cellStyle name="Percent 12 5" xfId="2873"/>
    <cellStyle name="Percent 12 5 2" xfId="2874"/>
    <cellStyle name="Percent 12 6" xfId="2875"/>
    <cellStyle name="Percent 12 6 2" xfId="2876"/>
    <cellStyle name="Percent 12 7" xfId="2877"/>
    <cellStyle name="Percent 12 7 2" xfId="2878"/>
    <cellStyle name="Percent 12 8" xfId="2879"/>
    <cellStyle name="Percent 12 8 2" xfId="2880"/>
    <cellStyle name="Percent 12 9" xfId="2881"/>
    <cellStyle name="Percent 13" xfId="2882"/>
    <cellStyle name="Percent 13 2" xfId="2883"/>
    <cellStyle name="Percent 13 2 2" xfId="2884"/>
    <cellStyle name="Percent 13 3" xfId="2885"/>
    <cellStyle name="Percent 13 3 2" xfId="2886"/>
    <cellStyle name="Percent 13 4" xfId="2887"/>
    <cellStyle name="Percent 13 4 2" xfId="2888"/>
    <cellStyle name="Percent 13 5" xfId="2889"/>
    <cellStyle name="Percent 13 5 2" xfId="2890"/>
    <cellStyle name="Percent 13 6" xfId="2891"/>
    <cellStyle name="Percent 13 6 2" xfId="2892"/>
    <cellStyle name="Percent 13 7" xfId="2893"/>
    <cellStyle name="Percent 13 7 2" xfId="2894"/>
    <cellStyle name="Percent 13 8" xfId="2895"/>
    <cellStyle name="Percent 13 8 2" xfId="2896"/>
    <cellStyle name="Percent 13 9" xfId="2897"/>
    <cellStyle name="Percent 14" xfId="2898"/>
    <cellStyle name="Percent 14 2" xfId="2899"/>
    <cellStyle name="Percent 14 2 2" xfId="2900"/>
    <cellStyle name="Percent 14 3" xfId="2901"/>
    <cellStyle name="Percent 14 3 2" xfId="2902"/>
    <cellStyle name="Percent 14 4" xfId="2903"/>
    <cellStyle name="Percent 14 4 2" xfId="2904"/>
    <cellStyle name="Percent 14 5" xfId="2905"/>
    <cellStyle name="Percent 14 5 2" xfId="2906"/>
    <cellStyle name="Percent 14 6" xfId="2907"/>
    <cellStyle name="Percent 14 6 2" xfId="2908"/>
    <cellStyle name="Percent 14 7" xfId="2909"/>
    <cellStyle name="Percent 14 7 2" xfId="2910"/>
    <cellStyle name="Percent 14 8" xfId="2911"/>
    <cellStyle name="Percent 14 8 2" xfId="2912"/>
    <cellStyle name="Percent 14 9" xfId="2913"/>
    <cellStyle name="Percent 15" xfId="2914"/>
    <cellStyle name="Percent 15 10" xfId="2915"/>
    <cellStyle name="Percent 15 10 2" xfId="2916"/>
    <cellStyle name="Percent 15 11" xfId="2917"/>
    <cellStyle name="Percent 15 11 2" xfId="2918"/>
    <cellStyle name="Percent 15 12" xfId="2919"/>
    <cellStyle name="Percent 15 12 2" xfId="2920"/>
    <cellStyle name="Percent 15 13" xfId="2921"/>
    <cellStyle name="Percent 15 13 2" xfId="2922"/>
    <cellStyle name="Percent 15 14" xfId="2923"/>
    <cellStyle name="Percent 15 14 2" xfId="2924"/>
    <cellStyle name="Percent 15 2" xfId="2925"/>
    <cellStyle name="Percent 15 2 2" xfId="2926"/>
    <cellStyle name="Percent 15 2 3" xfId="2927"/>
    <cellStyle name="Percent 15 2 4" xfId="2928"/>
    <cellStyle name="Percent 15 2 5" xfId="2929"/>
    <cellStyle name="Percent 15 2 6" xfId="2930"/>
    <cellStyle name="Percent 15 2 7" xfId="2931"/>
    <cellStyle name="Percent 15 2 8" xfId="2932"/>
    <cellStyle name="Percent 15 3" xfId="2933"/>
    <cellStyle name="Percent 15 4" xfId="2934"/>
    <cellStyle name="Percent 15 4 2" xfId="2935"/>
    <cellStyle name="Percent 15 5" xfId="2936"/>
    <cellStyle name="Percent 15 6" xfId="2937"/>
    <cellStyle name="Percent 15 7" xfId="2938"/>
    <cellStyle name="Percent 15 8" xfId="2939"/>
    <cellStyle name="Percent 15 9" xfId="2940"/>
    <cellStyle name="Percent 15 9 2" xfId="2941"/>
    <cellStyle name="Percent 16 2" xfId="2942"/>
    <cellStyle name="Percent 16 3" xfId="2943"/>
    <cellStyle name="Percent 16 3 10" xfId="2944"/>
    <cellStyle name="Percent 16 3 10 2" xfId="2945"/>
    <cellStyle name="Percent 16 3 11" xfId="2946"/>
    <cellStyle name="Percent 16 3 11 2" xfId="2947"/>
    <cellStyle name="Percent 16 3 12" xfId="2948"/>
    <cellStyle name="Percent 16 3 12 2" xfId="2949"/>
    <cellStyle name="Percent 16 3 13" xfId="2950"/>
    <cellStyle name="Percent 16 3 13 2" xfId="2951"/>
    <cellStyle name="Percent 16 3 14" xfId="2952"/>
    <cellStyle name="Percent 16 3 14 2" xfId="2953"/>
    <cellStyle name="Percent 16 3 15" xfId="2954"/>
    <cellStyle name="Percent 16 3 15 2" xfId="2955"/>
    <cellStyle name="Percent 16 3 16" xfId="2956"/>
    <cellStyle name="Percent 16 3 16 2" xfId="2957"/>
    <cellStyle name="Percent 16 3 17" xfId="2958"/>
    <cellStyle name="Percent 16 3 17 2" xfId="2959"/>
    <cellStyle name="Percent 16 3 18" xfId="2960"/>
    <cellStyle name="Percent 16 3 2" xfId="2961"/>
    <cellStyle name="Percent 16 3 2 2" xfId="2962"/>
    <cellStyle name="Percent 16 3 3" xfId="2963"/>
    <cellStyle name="Percent 16 3 3 2" xfId="2964"/>
    <cellStyle name="Percent 16 3 4" xfId="2965"/>
    <cellStyle name="Percent 16 3 4 2" xfId="2966"/>
    <cellStyle name="Percent 16 3 5" xfId="2967"/>
    <cellStyle name="Percent 16 3 5 2" xfId="2968"/>
    <cellStyle name="Percent 16 3 6" xfId="2969"/>
    <cellStyle name="Percent 16 3 6 2" xfId="2970"/>
    <cellStyle name="Percent 16 3 7" xfId="2971"/>
    <cellStyle name="Percent 16 3 7 2" xfId="2972"/>
    <cellStyle name="Percent 16 3 8" xfId="2973"/>
    <cellStyle name="Percent 16 3 8 2" xfId="2974"/>
    <cellStyle name="Percent 16 3 9" xfId="2975"/>
    <cellStyle name="Percent 16 3 9 2" xfId="2976"/>
    <cellStyle name="Percent 16 4" xfId="2977"/>
    <cellStyle name="Percent 16 4 10" xfId="2978"/>
    <cellStyle name="Percent 16 4 10 2" xfId="2979"/>
    <cellStyle name="Percent 16 4 11" xfId="2980"/>
    <cellStyle name="Percent 16 4 11 2" xfId="2981"/>
    <cellStyle name="Percent 16 4 12" xfId="2982"/>
    <cellStyle name="Percent 16 4 12 2" xfId="2983"/>
    <cellStyle name="Percent 16 4 13" xfId="2984"/>
    <cellStyle name="Percent 16 4 13 2" xfId="2985"/>
    <cellStyle name="Percent 16 4 14" xfId="2986"/>
    <cellStyle name="Percent 16 4 14 2" xfId="2987"/>
    <cellStyle name="Percent 16 4 15" xfId="2988"/>
    <cellStyle name="Percent 16 4 15 2" xfId="2989"/>
    <cellStyle name="Percent 16 4 16" xfId="2990"/>
    <cellStyle name="Percent 16 4 16 2" xfId="2991"/>
    <cellStyle name="Percent 16 4 17" xfId="2992"/>
    <cellStyle name="Percent 16 4 17 2" xfId="2993"/>
    <cellStyle name="Percent 16 4 18" xfId="2994"/>
    <cellStyle name="Percent 16 4 2" xfId="2995"/>
    <cellStyle name="Percent 16 4 2 2" xfId="2996"/>
    <cellStyle name="Percent 16 4 3" xfId="2997"/>
    <cellStyle name="Percent 16 4 3 2" xfId="2998"/>
    <cellStyle name="Percent 16 4 4" xfId="2999"/>
    <cellStyle name="Percent 16 4 4 2" xfId="3000"/>
    <cellStyle name="Percent 16 4 5" xfId="3001"/>
    <cellStyle name="Percent 16 4 5 2" xfId="3002"/>
    <cellStyle name="Percent 16 4 6" xfId="3003"/>
    <cellStyle name="Percent 16 4 6 2" xfId="3004"/>
    <cellStyle name="Percent 16 4 7" xfId="3005"/>
    <cellStyle name="Percent 16 4 7 2" xfId="3006"/>
    <cellStyle name="Percent 16 4 8" xfId="3007"/>
    <cellStyle name="Percent 16 4 8 2" xfId="3008"/>
    <cellStyle name="Percent 16 4 9" xfId="3009"/>
    <cellStyle name="Percent 16 4 9 2" xfId="3010"/>
    <cellStyle name="Percent 16 5" xfId="3011"/>
    <cellStyle name="Percent 16 5 10" xfId="3012"/>
    <cellStyle name="Percent 16 5 10 2" xfId="3013"/>
    <cellStyle name="Percent 16 5 11" xfId="3014"/>
    <cellStyle name="Percent 16 5 11 2" xfId="3015"/>
    <cellStyle name="Percent 16 5 12" xfId="3016"/>
    <cellStyle name="Percent 16 5 12 2" xfId="3017"/>
    <cellStyle name="Percent 16 5 13" xfId="3018"/>
    <cellStyle name="Percent 16 5 13 2" xfId="3019"/>
    <cellStyle name="Percent 16 5 14" xfId="3020"/>
    <cellStyle name="Percent 16 5 14 2" xfId="3021"/>
    <cellStyle name="Percent 16 5 15" xfId="3022"/>
    <cellStyle name="Percent 16 5 15 2" xfId="3023"/>
    <cellStyle name="Percent 16 5 16" xfId="3024"/>
    <cellStyle name="Percent 16 5 16 2" xfId="3025"/>
    <cellStyle name="Percent 16 5 17" xfId="3026"/>
    <cellStyle name="Percent 16 5 17 2" xfId="3027"/>
    <cellStyle name="Percent 16 5 18" xfId="3028"/>
    <cellStyle name="Percent 16 5 2" xfId="3029"/>
    <cellStyle name="Percent 16 5 2 2" xfId="3030"/>
    <cellStyle name="Percent 16 5 3" xfId="3031"/>
    <cellStyle name="Percent 16 5 3 2" xfId="3032"/>
    <cellStyle name="Percent 16 5 4" xfId="3033"/>
    <cellStyle name="Percent 16 5 4 2" xfId="3034"/>
    <cellStyle name="Percent 16 5 5" xfId="3035"/>
    <cellStyle name="Percent 16 5 5 2" xfId="3036"/>
    <cellStyle name="Percent 16 5 6" xfId="3037"/>
    <cellStyle name="Percent 16 5 6 2" xfId="3038"/>
    <cellStyle name="Percent 16 5 7" xfId="3039"/>
    <cellStyle name="Percent 16 5 7 2" xfId="3040"/>
    <cellStyle name="Percent 16 5 8" xfId="3041"/>
    <cellStyle name="Percent 16 5 8 2" xfId="3042"/>
    <cellStyle name="Percent 16 5 9" xfId="3043"/>
    <cellStyle name="Percent 16 5 9 2" xfId="3044"/>
    <cellStyle name="Percent 16 6" xfId="3045"/>
    <cellStyle name="Percent 16 6 10" xfId="3046"/>
    <cellStyle name="Percent 16 6 10 2" xfId="3047"/>
    <cellStyle name="Percent 16 6 11" xfId="3048"/>
    <cellStyle name="Percent 16 6 11 2" xfId="3049"/>
    <cellStyle name="Percent 16 6 12" xfId="3050"/>
    <cellStyle name="Percent 16 6 12 2" xfId="3051"/>
    <cellStyle name="Percent 16 6 13" xfId="3052"/>
    <cellStyle name="Percent 16 6 13 2" xfId="3053"/>
    <cellStyle name="Percent 16 6 14" xfId="3054"/>
    <cellStyle name="Percent 16 6 14 2" xfId="3055"/>
    <cellStyle name="Percent 16 6 15" xfId="3056"/>
    <cellStyle name="Percent 16 6 15 2" xfId="3057"/>
    <cellStyle name="Percent 16 6 16" xfId="3058"/>
    <cellStyle name="Percent 16 6 16 2" xfId="3059"/>
    <cellStyle name="Percent 16 6 17" xfId="3060"/>
    <cellStyle name="Percent 16 6 17 2" xfId="3061"/>
    <cellStyle name="Percent 16 6 18" xfId="3062"/>
    <cellStyle name="Percent 16 6 2" xfId="3063"/>
    <cellStyle name="Percent 16 6 2 2" xfId="3064"/>
    <cellStyle name="Percent 16 6 3" xfId="3065"/>
    <cellStyle name="Percent 16 6 3 2" xfId="3066"/>
    <cellStyle name="Percent 16 6 4" xfId="3067"/>
    <cellStyle name="Percent 16 6 4 2" xfId="3068"/>
    <cellStyle name="Percent 16 6 5" xfId="3069"/>
    <cellStyle name="Percent 16 6 5 2" xfId="3070"/>
    <cellStyle name="Percent 16 6 6" xfId="3071"/>
    <cellStyle name="Percent 16 6 6 2" xfId="3072"/>
    <cellStyle name="Percent 16 6 7" xfId="3073"/>
    <cellStyle name="Percent 16 6 7 2" xfId="3074"/>
    <cellStyle name="Percent 16 6 8" xfId="3075"/>
    <cellStyle name="Percent 16 6 8 2" xfId="3076"/>
    <cellStyle name="Percent 16 6 9" xfId="3077"/>
    <cellStyle name="Percent 16 6 9 2" xfId="3078"/>
    <cellStyle name="Percent 16 7" xfId="3079"/>
    <cellStyle name="Percent 16 7 10" xfId="3080"/>
    <cellStyle name="Percent 16 7 10 2" xfId="3081"/>
    <cellStyle name="Percent 16 7 11" xfId="3082"/>
    <cellStyle name="Percent 16 7 11 2" xfId="3083"/>
    <cellStyle name="Percent 16 7 12" xfId="3084"/>
    <cellStyle name="Percent 16 7 12 2" xfId="3085"/>
    <cellStyle name="Percent 16 7 13" xfId="3086"/>
    <cellStyle name="Percent 16 7 13 2" xfId="3087"/>
    <cellStyle name="Percent 16 7 14" xfId="3088"/>
    <cellStyle name="Percent 16 7 14 2" xfId="3089"/>
    <cellStyle name="Percent 16 7 15" xfId="3090"/>
    <cellStyle name="Percent 16 7 15 2" xfId="3091"/>
    <cellStyle name="Percent 16 7 16" xfId="3092"/>
    <cellStyle name="Percent 16 7 16 2" xfId="3093"/>
    <cellStyle name="Percent 16 7 17" xfId="3094"/>
    <cellStyle name="Percent 16 7 17 2" xfId="3095"/>
    <cellStyle name="Percent 16 7 18" xfId="3096"/>
    <cellStyle name="Percent 16 7 2" xfId="3097"/>
    <cellStyle name="Percent 16 7 2 2" xfId="3098"/>
    <cellStyle name="Percent 16 7 3" xfId="3099"/>
    <cellStyle name="Percent 16 7 3 2" xfId="3100"/>
    <cellStyle name="Percent 16 7 4" xfId="3101"/>
    <cellStyle name="Percent 16 7 4 2" xfId="3102"/>
    <cellStyle name="Percent 16 7 5" xfId="3103"/>
    <cellStyle name="Percent 16 7 5 2" xfId="3104"/>
    <cellStyle name="Percent 16 7 6" xfId="3105"/>
    <cellStyle name="Percent 16 7 6 2" xfId="3106"/>
    <cellStyle name="Percent 16 7 7" xfId="3107"/>
    <cellStyle name="Percent 16 7 7 2" xfId="3108"/>
    <cellStyle name="Percent 16 7 8" xfId="3109"/>
    <cellStyle name="Percent 16 7 8 2" xfId="3110"/>
    <cellStyle name="Percent 16 7 9" xfId="3111"/>
    <cellStyle name="Percent 16 7 9 2" xfId="3112"/>
    <cellStyle name="Percent 16 8" xfId="3113"/>
    <cellStyle name="Percent 16 8 10" xfId="3114"/>
    <cellStyle name="Percent 16 8 10 2" xfId="3115"/>
    <cellStyle name="Percent 16 8 11" xfId="3116"/>
    <cellStyle name="Percent 16 8 11 2" xfId="3117"/>
    <cellStyle name="Percent 16 8 12" xfId="3118"/>
    <cellStyle name="Percent 16 8 12 2" xfId="3119"/>
    <cellStyle name="Percent 16 8 13" xfId="3120"/>
    <cellStyle name="Percent 16 8 13 2" xfId="3121"/>
    <cellStyle name="Percent 16 8 14" xfId="3122"/>
    <cellStyle name="Percent 16 8 14 2" xfId="3123"/>
    <cellStyle name="Percent 16 8 15" xfId="3124"/>
    <cellStyle name="Percent 16 8 15 2" xfId="3125"/>
    <cellStyle name="Percent 16 8 16" xfId="3126"/>
    <cellStyle name="Percent 16 8 16 2" xfId="3127"/>
    <cellStyle name="Percent 16 8 17" xfId="3128"/>
    <cellStyle name="Percent 16 8 17 2" xfId="3129"/>
    <cellStyle name="Percent 16 8 18" xfId="3130"/>
    <cellStyle name="Percent 16 8 2" xfId="3131"/>
    <cellStyle name="Percent 16 8 2 2" xfId="3132"/>
    <cellStyle name="Percent 16 8 3" xfId="3133"/>
    <cellStyle name="Percent 16 8 3 2" xfId="3134"/>
    <cellStyle name="Percent 16 8 4" xfId="3135"/>
    <cellStyle name="Percent 16 8 4 2" xfId="3136"/>
    <cellStyle name="Percent 16 8 5" xfId="3137"/>
    <cellStyle name="Percent 16 8 5 2" xfId="3138"/>
    <cellStyle name="Percent 16 8 6" xfId="3139"/>
    <cellStyle name="Percent 16 8 6 2" xfId="3140"/>
    <cellStyle name="Percent 16 8 7" xfId="3141"/>
    <cellStyle name="Percent 16 8 7 2" xfId="3142"/>
    <cellStyle name="Percent 16 8 8" xfId="3143"/>
    <cellStyle name="Percent 16 8 8 2" xfId="3144"/>
    <cellStyle name="Percent 16 8 9" xfId="3145"/>
    <cellStyle name="Percent 16 8 9 2" xfId="3146"/>
    <cellStyle name="Percent 16 9" xfId="3147"/>
    <cellStyle name="Percent 16 9 10" xfId="3148"/>
    <cellStyle name="Percent 16 9 10 2" xfId="3149"/>
    <cellStyle name="Percent 16 9 11" xfId="3150"/>
    <cellStyle name="Percent 16 9 11 2" xfId="3151"/>
    <cellStyle name="Percent 16 9 12" xfId="3152"/>
    <cellStyle name="Percent 16 9 12 2" xfId="3153"/>
    <cellStyle name="Percent 16 9 13" xfId="3154"/>
    <cellStyle name="Percent 16 9 13 2" xfId="3155"/>
    <cellStyle name="Percent 16 9 14" xfId="3156"/>
    <cellStyle name="Percent 16 9 14 2" xfId="3157"/>
    <cellStyle name="Percent 16 9 15" xfId="3158"/>
    <cellStyle name="Percent 16 9 15 2" xfId="3159"/>
    <cellStyle name="Percent 16 9 16" xfId="3160"/>
    <cellStyle name="Percent 16 9 16 2" xfId="3161"/>
    <cellStyle name="Percent 16 9 17" xfId="3162"/>
    <cellStyle name="Percent 16 9 17 2" xfId="3163"/>
    <cellStyle name="Percent 16 9 18" xfId="3164"/>
    <cellStyle name="Percent 16 9 2" xfId="3165"/>
    <cellStyle name="Percent 16 9 2 2" xfId="3166"/>
    <cellStyle name="Percent 16 9 3" xfId="3167"/>
    <cellStyle name="Percent 16 9 3 2" xfId="3168"/>
    <cellStyle name="Percent 16 9 4" xfId="3169"/>
    <cellStyle name="Percent 16 9 4 2" xfId="3170"/>
    <cellStyle name="Percent 16 9 5" xfId="3171"/>
    <cellStyle name="Percent 16 9 5 2" xfId="3172"/>
    <cellStyle name="Percent 16 9 6" xfId="3173"/>
    <cellStyle name="Percent 16 9 6 2" xfId="3174"/>
    <cellStyle name="Percent 16 9 7" xfId="3175"/>
    <cellStyle name="Percent 16 9 7 2" xfId="3176"/>
    <cellStyle name="Percent 16 9 8" xfId="3177"/>
    <cellStyle name="Percent 16 9 8 2" xfId="3178"/>
    <cellStyle name="Percent 16 9 9" xfId="3179"/>
    <cellStyle name="Percent 16 9 9 2" xfId="3180"/>
    <cellStyle name="Percent 17" xfId="3181"/>
    <cellStyle name="Percent 17 2" xfId="3182"/>
    <cellStyle name="Percent 2" xfId="3183"/>
    <cellStyle name="Percent 2 10" xfId="3184"/>
    <cellStyle name="Percent 2 10 2" xfId="3185"/>
    <cellStyle name="Percent 2 10 2 2" xfId="3186"/>
    <cellStyle name="Percent 2 10 3" xfId="3187"/>
    <cellStyle name="Percent 2 10 3 2" xfId="3188"/>
    <cellStyle name="Percent 2 10 4" xfId="3189"/>
    <cellStyle name="Percent 2 10 4 2" xfId="3190"/>
    <cellStyle name="Percent 2 10 5" xfId="3191"/>
    <cellStyle name="Percent 2 10 5 2" xfId="3192"/>
    <cellStyle name="Percent 2 10 6" xfId="3193"/>
    <cellStyle name="Percent 2 10 6 2" xfId="3194"/>
    <cellStyle name="Percent 2 10 7" xfId="3195"/>
    <cellStyle name="Percent 2 10 7 2" xfId="3196"/>
    <cellStyle name="Percent 2 10 8" xfId="3197"/>
    <cellStyle name="Percent 2 10 8 2" xfId="3198"/>
    <cellStyle name="Percent 2 10 9" xfId="3199"/>
    <cellStyle name="Percent 2 11" xfId="3200"/>
    <cellStyle name="Percent 2 11 2" xfId="3201"/>
    <cellStyle name="Percent 2 11 2 2" xfId="3202"/>
    <cellStyle name="Percent 2 11 3" xfId="3203"/>
    <cellStyle name="Percent 2 11 3 2" xfId="3204"/>
    <cellStyle name="Percent 2 11 4" xfId="3205"/>
    <cellStyle name="Percent 2 11 4 2" xfId="3206"/>
    <cellStyle name="Percent 2 11 5" xfId="3207"/>
    <cellStyle name="Percent 2 11 5 2" xfId="3208"/>
    <cellStyle name="Percent 2 11 6" xfId="3209"/>
    <cellStyle name="Percent 2 11 6 2" xfId="3210"/>
    <cellStyle name="Percent 2 11 7" xfId="3211"/>
    <cellStyle name="Percent 2 11 7 2" xfId="3212"/>
    <cellStyle name="Percent 2 11 8" xfId="3213"/>
    <cellStyle name="Percent 2 11 8 2" xfId="3214"/>
    <cellStyle name="Percent 2 11 9" xfId="3215"/>
    <cellStyle name="Percent 2 12" xfId="3216"/>
    <cellStyle name="Percent 2 12 2" xfId="3217"/>
    <cellStyle name="Percent 2 13" xfId="3218"/>
    <cellStyle name="Percent 2 13 2" xfId="3219"/>
    <cellStyle name="Percent 2 14" xfId="3220"/>
    <cellStyle name="Percent 2 14 2" xfId="3221"/>
    <cellStyle name="Percent 2 15" xfId="3222"/>
    <cellStyle name="Percent 2 15 2" xfId="3223"/>
    <cellStyle name="Percent 2 16" xfId="3224"/>
    <cellStyle name="Percent 2 16 2" xfId="3225"/>
    <cellStyle name="Percent 2 17" xfId="3226"/>
    <cellStyle name="Percent 2 17 2" xfId="3227"/>
    <cellStyle name="Percent 2 18" xfId="3228"/>
    <cellStyle name="Percent 2 18 2" xfId="3229"/>
    <cellStyle name="Percent 2 19" xfId="3230"/>
    <cellStyle name="Percent 2 2" xfId="3231"/>
    <cellStyle name="Percent 2 2 10" xfId="3232"/>
    <cellStyle name="Percent 2 2 2" xfId="3233"/>
    <cellStyle name="Percent 2 2 2 2" xfId="3234"/>
    <cellStyle name="Percent 2 2 2 3" xfId="3235"/>
    <cellStyle name="Percent 2 2 3" xfId="3236"/>
    <cellStyle name="Percent 2 2 3 2" xfId="3237"/>
    <cellStyle name="Percent 2 2 3 2 2" xfId="3238"/>
    <cellStyle name="Percent 2 2 3 3" xfId="3239"/>
    <cellStyle name="Percent 2 2 4" xfId="3240"/>
    <cellStyle name="Percent 2 2 4 2" xfId="3241"/>
    <cellStyle name="Percent 2 2 5" xfId="3242"/>
    <cellStyle name="Percent 2 2 5 2" xfId="3243"/>
    <cellStyle name="Percent 2 2 6" xfId="3244"/>
    <cellStyle name="Percent 2 2 6 2" xfId="3245"/>
    <cellStyle name="Percent 2 2 7" xfId="3246"/>
    <cellStyle name="Percent 2 2 7 2" xfId="3247"/>
    <cellStyle name="Percent 2 2 8" xfId="3248"/>
    <cellStyle name="Percent 2 2 8 2" xfId="3249"/>
    <cellStyle name="Percent 2 2 9" xfId="3250"/>
    <cellStyle name="Percent 2 20" xfId="3251"/>
    <cellStyle name="Percent 2 3" xfId="3252"/>
    <cellStyle name="Percent 2 3 10" xfId="3253"/>
    <cellStyle name="Percent 2 3 2" xfId="3254"/>
    <cellStyle name="Percent 2 3 2 2" xfId="3255"/>
    <cellStyle name="Percent 2 3 2 3" xfId="3256"/>
    <cellStyle name="Percent 2 3 3" xfId="3257"/>
    <cellStyle name="Percent 2 3 3 2" xfId="3258"/>
    <cellStyle name="Percent 2 3 3 2 2" xfId="3259"/>
    <cellStyle name="Percent 2 3 3 3" xfId="3260"/>
    <cellStyle name="Percent 2 3 4" xfId="3261"/>
    <cellStyle name="Percent 2 3 4 2" xfId="3262"/>
    <cellStyle name="Percent 2 3 5" xfId="3263"/>
    <cellStyle name="Percent 2 3 5 2" xfId="3264"/>
    <cellStyle name="Percent 2 3 6" xfId="3265"/>
    <cellStyle name="Percent 2 3 6 2" xfId="3266"/>
    <cellStyle name="Percent 2 3 7" xfId="3267"/>
    <cellStyle name="Percent 2 3 7 2" xfId="3268"/>
    <cellStyle name="Percent 2 3 8" xfId="3269"/>
    <cellStyle name="Percent 2 3 8 2" xfId="3270"/>
    <cellStyle name="Percent 2 3 9" xfId="3271"/>
    <cellStyle name="Percent 2 4" xfId="3272"/>
    <cellStyle name="Percent 2 4 10" xfId="3273"/>
    <cellStyle name="Percent 2 4 2" xfId="3274"/>
    <cellStyle name="Percent 2 4 2 2" xfId="3275"/>
    <cellStyle name="Percent 2 4 3" xfId="3276"/>
    <cellStyle name="Percent 2 4 3 2" xfId="3277"/>
    <cellStyle name="Percent 2 4 4" xfId="3278"/>
    <cellStyle name="Percent 2 4 4 2" xfId="3279"/>
    <cellStyle name="Percent 2 4 5" xfId="3280"/>
    <cellStyle name="Percent 2 4 5 2" xfId="3281"/>
    <cellStyle name="Percent 2 4 6" xfId="3282"/>
    <cellStyle name="Percent 2 4 6 2" xfId="3283"/>
    <cellStyle name="Percent 2 4 7" xfId="3284"/>
    <cellStyle name="Percent 2 4 7 2" xfId="3285"/>
    <cellStyle name="Percent 2 4 8" xfId="3286"/>
    <cellStyle name="Percent 2 4 8 2" xfId="3287"/>
    <cellStyle name="Percent 2 4 9" xfId="3288"/>
    <cellStyle name="Percent 2 5" xfId="3289"/>
    <cellStyle name="Percent 2 5 2" xfId="3290"/>
    <cellStyle name="Percent 2 5 2 2" xfId="3291"/>
    <cellStyle name="Percent 2 5 3" xfId="3292"/>
    <cellStyle name="Percent 2 5 3 2" xfId="3293"/>
    <cellStyle name="Percent 2 5 4" xfId="3294"/>
    <cellStyle name="Percent 2 5 4 2" xfId="3295"/>
    <cellStyle name="Percent 2 5 5" xfId="3296"/>
    <cellStyle name="Percent 2 5 5 2" xfId="3297"/>
    <cellStyle name="Percent 2 5 6" xfId="3298"/>
    <cellStyle name="Percent 2 5 6 2" xfId="3299"/>
    <cellStyle name="Percent 2 5 7" xfId="3300"/>
    <cellStyle name="Percent 2 5 7 2" xfId="3301"/>
    <cellStyle name="Percent 2 5 8" xfId="3302"/>
    <cellStyle name="Percent 2 5 8 2" xfId="3303"/>
    <cellStyle name="Percent 2 5 9" xfId="3304"/>
    <cellStyle name="Percent 2 6" xfId="3305"/>
    <cellStyle name="Percent 2 6 2" xfId="3306"/>
    <cellStyle name="Percent 2 6 2 2" xfId="3307"/>
    <cellStyle name="Percent 2 6 3" xfId="3308"/>
    <cellStyle name="Percent 2 6 3 2" xfId="3309"/>
    <cellStyle name="Percent 2 6 4" xfId="3310"/>
    <cellStyle name="Percent 2 6 4 2" xfId="3311"/>
    <cellStyle name="Percent 2 6 5" xfId="3312"/>
    <cellStyle name="Percent 2 6 5 2" xfId="3313"/>
    <cellStyle name="Percent 2 6 6" xfId="3314"/>
    <cellStyle name="Percent 2 6 6 2" xfId="3315"/>
    <cellStyle name="Percent 2 6 7" xfId="3316"/>
    <cellStyle name="Percent 2 6 7 2" xfId="3317"/>
    <cellStyle name="Percent 2 6 8" xfId="3318"/>
    <cellStyle name="Percent 2 6 8 2" xfId="3319"/>
    <cellStyle name="Percent 2 6 9" xfId="3320"/>
    <cellStyle name="Percent 2 7" xfId="3321"/>
    <cellStyle name="Percent 2 7 2" xfId="3322"/>
    <cellStyle name="Percent 2 7 2 2" xfId="3323"/>
    <cellStyle name="Percent 2 7 3" xfId="3324"/>
    <cellStyle name="Percent 2 7 3 2" xfId="3325"/>
    <cellStyle name="Percent 2 7 4" xfId="3326"/>
    <cellStyle name="Percent 2 7 4 2" xfId="3327"/>
    <cellStyle name="Percent 2 7 5" xfId="3328"/>
    <cellStyle name="Percent 2 7 5 2" xfId="3329"/>
    <cellStyle name="Percent 2 7 6" xfId="3330"/>
    <cellStyle name="Percent 2 7 6 2" xfId="3331"/>
    <cellStyle name="Percent 2 7 7" xfId="3332"/>
    <cellStyle name="Percent 2 7 7 2" xfId="3333"/>
    <cellStyle name="Percent 2 7 8" xfId="3334"/>
    <cellStyle name="Percent 2 7 8 2" xfId="3335"/>
    <cellStyle name="Percent 2 7 9" xfId="3336"/>
    <cellStyle name="Percent 2 8" xfId="3337"/>
    <cellStyle name="Percent 2 8 2" xfId="3338"/>
    <cellStyle name="Percent 2 8 2 2" xfId="3339"/>
    <cellStyle name="Percent 2 8 3" xfId="3340"/>
    <cellStyle name="Percent 2 8 3 2" xfId="3341"/>
    <cellStyle name="Percent 2 8 4" xfId="3342"/>
    <cellStyle name="Percent 2 8 4 2" xfId="3343"/>
    <cellStyle name="Percent 2 8 5" xfId="3344"/>
    <cellStyle name="Percent 2 8 5 2" xfId="3345"/>
    <cellStyle name="Percent 2 8 6" xfId="3346"/>
    <cellStyle name="Percent 2 8 6 2" xfId="3347"/>
    <cellStyle name="Percent 2 8 7" xfId="3348"/>
    <cellStyle name="Percent 2 8 7 2" xfId="3349"/>
    <cellStyle name="Percent 2 8 8" xfId="3350"/>
    <cellStyle name="Percent 2 8 8 2" xfId="3351"/>
    <cellStyle name="Percent 2 8 9" xfId="3352"/>
    <cellStyle name="Percent 2 9" xfId="3353"/>
    <cellStyle name="Percent 2 9 2" xfId="3354"/>
    <cellStyle name="Percent 2 9 2 2" xfId="3355"/>
    <cellStyle name="Percent 2 9 3" xfId="3356"/>
    <cellStyle name="Percent 2 9 3 2" xfId="3357"/>
    <cellStyle name="Percent 2 9 4" xfId="3358"/>
    <cellStyle name="Percent 2 9 4 2" xfId="3359"/>
    <cellStyle name="Percent 2 9 5" xfId="3360"/>
    <cellStyle name="Percent 2 9 5 2" xfId="3361"/>
    <cellStyle name="Percent 2 9 6" xfId="3362"/>
    <cellStyle name="Percent 2 9 6 2" xfId="3363"/>
    <cellStyle name="Percent 2 9 7" xfId="3364"/>
    <cellStyle name="Percent 2 9 7 2" xfId="3365"/>
    <cellStyle name="Percent 2 9 8" xfId="3366"/>
    <cellStyle name="Percent 2 9 8 2" xfId="3367"/>
    <cellStyle name="Percent 2 9 9" xfId="3368"/>
    <cellStyle name="Percent 3" xfId="3369"/>
    <cellStyle name="Percent 3 10" xfId="3370"/>
    <cellStyle name="Percent 3 11" xfId="3371"/>
    <cellStyle name="Percent 3 12" xfId="3372"/>
    <cellStyle name="Percent 3 13" xfId="3373"/>
    <cellStyle name="Percent 3 2" xfId="3374"/>
    <cellStyle name="Percent 3 2 2" xfId="3375"/>
    <cellStyle name="Percent 3 2 2 2" xfId="3376"/>
    <cellStyle name="Percent 3 2 3" xfId="3377"/>
    <cellStyle name="Percent 3 2 4" xfId="3378"/>
    <cellStyle name="Percent 3 3" xfId="3379"/>
    <cellStyle name="Percent 3 3 2" xfId="3380"/>
    <cellStyle name="Percent 3 3 2 2" xfId="3381"/>
    <cellStyle name="Percent 3 3 3" xfId="3382"/>
    <cellStyle name="Percent 3 3 3 2" xfId="3383"/>
    <cellStyle name="Percent 3 3 4" xfId="3384"/>
    <cellStyle name="Percent 3 4" xfId="3385"/>
    <cellStyle name="Percent 3 4 2" xfId="3386"/>
    <cellStyle name="Percent 3 4 2 2" xfId="3387"/>
    <cellStyle name="Percent 3 4 3" xfId="3388"/>
    <cellStyle name="Percent 3 5" xfId="3389"/>
    <cellStyle name="Percent 3 5 2" xfId="3390"/>
    <cellStyle name="Percent 3 5 3" xfId="3391"/>
    <cellStyle name="Percent 3 6" xfId="3392"/>
    <cellStyle name="Percent 3 6 2" xfId="3393"/>
    <cellStyle name="Percent 3 7" xfId="3394"/>
    <cellStyle name="Percent 3 7 2" xfId="3395"/>
    <cellStyle name="Percent 3 8" xfId="3396"/>
    <cellStyle name="Percent 3 8 2" xfId="3397"/>
    <cellStyle name="Percent 3 9" xfId="3398"/>
    <cellStyle name="Percent 3 9 2" xfId="3399"/>
    <cellStyle name="Percent 3 9 3" xfId="3400"/>
    <cellStyle name="Percent 3 9 4" xfId="3401"/>
    <cellStyle name="Percent 4" xfId="3402"/>
    <cellStyle name="Percent 4 10" xfId="3403"/>
    <cellStyle name="Percent 4 10 2" xfId="3404"/>
    <cellStyle name="Percent 4 11" xfId="3405"/>
    <cellStyle name="Percent 4 11 2" xfId="3406"/>
    <cellStyle name="Percent 4 12" xfId="3407"/>
    <cellStyle name="Percent 4 12 2" xfId="3408"/>
    <cellStyle name="Percent 4 13" xfId="3409"/>
    <cellStyle name="Percent 4 13 2" xfId="3410"/>
    <cellStyle name="Percent 4 14" xfId="3411"/>
    <cellStyle name="Percent 4 15" xfId="3412"/>
    <cellStyle name="Percent 4 2" xfId="3413"/>
    <cellStyle name="Percent 4 2 10" xfId="3414"/>
    <cellStyle name="Percent 4 2 2" xfId="3415"/>
    <cellStyle name="Percent 4 2 2 2" xfId="3416"/>
    <cellStyle name="Percent 4 2 2 3" xfId="3417"/>
    <cellStyle name="Percent 4 2 3" xfId="3418"/>
    <cellStyle name="Percent 4 2 3 2" xfId="3419"/>
    <cellStyle name="Percent 4 2 4" xfId="3420"/>
    <cellStyle name="Percent 4 2 4 2" xfId="3421"/>
    <cellStyle name="Percent 4 2 5" xfId="3422"/>
    <cellStyle name="Percent 4 2 5 2" xfId="3423"/>
    <cellStyle name="Percent 4 2 6" xfId="3424"/>
    <cellStyle name="Percent 4 2 6 2" xfId="3425"/>
    <cellStyle name="Percent 4 2 7" xfId="3426"/>
    <cellStyle name="Percent 4 2 7 2" xfId="3427"/>
    <cellStyle name="Percent 4 2 8" xfId="3428"/>
    <cellStyle name="Percent 4 2 8 2" xfId="3429"/>
    <cellStyle name="Percent 4 2 9" xfId="3430"/>
    <cellStyle name="Percent 4 3" xfId="3431"/>
    <cellStyle name="Percent 4 3 10" xfId="3432"/>
    <cellStyle name="Percent 4 3 2" xfId="3433"/>
    <cellStyle name="Percent 4 3 2 2" xfId="3434"/>
    <cellStyle name="Percent 4 3 3" xfId="3435"/>
    <cellStyle name="Percent 4 3 3 2" xfId="3436"/>
    <cellStyle name="Percent 4 3 4" xfId="3437"/>
    <cellStyle name="Percent 4 3 4 2" xfId="3438"/>
    <cellStyle name="Percent 4 3 5" xfId="3439"/>
    <cellStyle name="Percent 4 3 5 2" xfId="3440"/>
    <cellStyle name="Percent 4 3 6" xfId="3441"/>
    <cellStyle name="Percent 4 3 6 2" xfId="3442"/>
    <cellStyle name="Percent 4 3 7" xfId="3443"/>
    <cellStyle name="Percent 4 3 7 2" xfId="3444"/>
    <cellStyle name="Percent 4 3 8" xfId="3445"/>
    <cellStyle name="Percent 4 3 8 2" xfId="3446"/>
    <cellStyle name="Percent 4 3 9" xfId="3447"/>
    <cellStyle name="Percent 4 4" xfId="3448"/>
    <cellStyle name="Percent 4 4 10" xfId="3449"/>
    <cellStyle name="Percent 4 4 2" xfId="3450"/>
    <cellStyle name="Percent 4 4 2 2" xfId="3451"/>
    <cellStyle name="Percent 4 4 3" xfId="3452"/>
    <cellStyle name="Percent 4 4 3 2" xfId="3453"/>
    <cellStyle name="Percent 4 4 4" xfId="3454"/>
    <cellStyle name="Percent 4 4 4 2" xfId="3455"/>
    <cellStyle name="Percent 4 4 5" xfId="3456"/>
    <cellStyle name="Percent 4 4 5 2" xfId="3457"/>
    <cellStyle name="Percent 4 4 6" xfId="3458"/>
    <cellStyle name="Percent 4 4 6 2" xfId="3459"/>
    <cellStyle name="Percent 4 4 7" xfId="3460"/>
    <cellStyle name="Percent 4 4 7 2" xfId="3461"/>
    <cellStyle name="Percent 4 4 8" xfId="3462"/>
    <cellStyle name="Percent 4 4 8 2" xfId="3463"/>
    <cellStyle name="Percent 4 4 9" xfId="3464"/>
    <cellStyle name="Percent 4 5" xfId="3465"/>
    <cellStyle name="Percent 4 5 2" xfId="3466"/>
    <cellStyle name="Percent 4 5 2 2" xfId="3467"/>
    <cellStyle name="Percent 4 5 3" xfId="3468"/>
    <cellStyle name="Percent 4 5 3 2" xfId="3469"/>
    <cellStyle name="Percent 4 5 4" xfId="3470"/>
    <cellStyle name="Percent 4 5 4 2" xfId="3471"/>
    <cellStyle name="Percent 4 5 5" xfId="3472"/>
    <cellStyle name="Percent 4 5 5 2" xfId="3473"/>
    <cellStyle name="Percent 4 5 6" xfId="3474"/>
    <cellStyle name="Percent 4 5 6 2" xfId="3475"/>
    <cellStyle name="Percent 4 5 7" xfId="3476"/>
    <cellStyle name="Percent 4 5 7 2" xfId="3477"/>
    <cellStyle name="Percent 4 5 8" xfId="3478"/>
    <cellStyle name="Percent 4 5 8 2" xfId="3479"/>
    <cellStyle name="Percent 4 5 9" xfId="3480"/>
    <cellStyle name="Percent 4 6" xfId="3481"/>
    <cellStyle name="Percent 4 6 2" xfId="3482"/>
    <cellStyle name="Percent 4 6 2 2" xfId="3483"/>
    <cellStyle name="Percent 4 6 3" xfId="3484"/>
    <cellStyle name="Percent 4 6 3 2" xfId="3485"/>
    <cellStyle name="Percent 4 6 4" xfId="3486"/>
    <cellStyle name="Percent 4 6 4 2" xfId="3487"/>
    <cellStyle name="Percent 4 6 5" xfId="3488"/>
    <cellStyle name="Percent 4 6 5 2" xfId="3489"/>
    <cellStyle name="Percent 4 6 6" xfId="3490"/>
    <cellStyle name="Percent 4 6 6 2" xfId="3491"/>
    <cellStyle name="Percent 4 6 7" xfId="3492"/>
    <cellStyle name="Percent 4 6 7 2" xfId="3493"/>
    <cellStyle name="Percent 4 6 8" xfId="3494"/>
    <cellStyle name="Percent 4 6 8 2" xfId="3495"/>
    <cellStyle name="Percent 4 6 9" xfId="3496"/>
    <cellStyle name="Percent 4 7" xfId="3497"/>
    <cellStyle name="Percent 4 7 2" xfId="3498"/>
    <cellStyle name="Percent 4 8" xfId="3499"/>
    <cellStyle name="Percent 4 8 2" xfId="3500"/>
    <cellStyle name="Percent 4 9" xfId="3501"/>
    <cellStyle name="Percent 4 9 2" xfId="3502"/>
    <cellStyle name="Percent 5" xfId="3503"/>
    <cellStyle name="Percent 5 10" xfId="3504"/>
    <cellStyle name="Percent 5 2" xfId="3505"/>
    <cellStyle name="Percent 5 2 2" xfId="3506"/>
    <cellStyle name="Percent 5 2 3" xfId="3507"/>
    <cellStyle name="Percent 5 3" xfId="3508"/>
    <cellStyle name="Percent 5 3 2" xfId="3509"/>
    <cellStyle name="Percent 5 4" xfId="3510"/>
    <cellStyle name="Percent 5 4 2" xfId="3511"/>
    <cellStyle name="Percent 5 5" xfId="3512"/>
    <cellStyle name="Percent 5 5 2" xfId="3513"/>
    <cellStyle name="Percent 5 6" xfId="3514"/>
    <cellStyle name="Percent 5 6 2" xfId="3515"/>
    <cellStyle name="Percent 5 7" xfId="3516"/>
    <cellStyle name="Percent 5 7 2" xfId="3517"/>
    <cellStyle name="Percent 5 8" xfId="3518"/>
    <cellStyle name="Percent 5 8 2" xfId="3519"/>
    <cellStyle name="Percent 5 9" xfId="3520"/>
    <cellStyle name="Percent 6" xfId="3521"/>
    <cellStyle name="Percent 6 10" xfId="3522"/>
    <cellStyle name="Percent 6 2" xfId="3523"/>
    <cellStyle name="Percent 6 2 2" xfId="3524"/>
    <cellStyle name="Percent 6 3" xfId="3525"/>
    <cellStyle name="Percent 6 3 2" xfId="3526"/>
    <cellStyle name="Percent 6 4" xfId="3527"/>
    <cellStyle name="Percent 6 4 2" xfId="3528"/>
    <cellStyle name="Percent 6 5" xfId="3529"/>
    <cellStyle name="Percent 6 5 2" xfId="3530"/>
    <cellStyle name="Percent 6 6" xfId="3531"/>
    <cellStyle name="Percent 6 6 2" xfId="3532"/>
    <cellStyle name="Percent 6 7" xfId="3533"/>
    <cellStyle name="Percent 6 7 2" xfId="3534"/>
    <cellStyle name="Percent 6 8" xfId="3535"/>
    <cellStyle name="Percent 6 8 2" xfId="3536"/>
    <cellStyle name="Percent 6 9" xfId="3537"/>
    <cellStyle name="Percent 7" xfId="3538"/>
    <cellStyle name="Percent 7 2" xfId="3539"/>
    <cellStyle name="Percent 7 2 2" xfId="3540"/>
    <cellStyle name="Percent 7 3" xfId="3541"/>
    <cellStyle name="Percent 7 3 2" xfId="3542"/>
    <cellStyle name="Percent 7 4" xfId="3543"/>
    <cellStyle name="Percent 7 4 2" xfId="3544"/>
    <cellStyle name="Percent 7 5" xfId="3545"/>
    <cellStyle name="Percent 7 5 2" xfId="3546"/>
    <cellStyle name="Percent 7 6" xfId="3547"/>
    <cellStyle name="Percent 7 6 2" xfId="3548"/>
    <cellStyle name="Percent 7 7" xfId="3549"/>
    <cellStyle name="Percent 7 7 2" xfId="3550"/>
    <cellStyle name="Percent 7 8" xfId="3551"/>
    <cellStyle name="Percent 7 8 2" xfId="3552"/>
    <cellStyle name="Percent 7 9" xfId="3553"/>
    <cellStyle name="Percent 8" xfId="3554"/>
    <cellStyle name="Percent 8 2" xfId="3555"/>
    <cellStyle name="Percent 8 2 2" xfId="3556"/>
    <cellStyle name="Percent 8 3" xfId="3557"/>
    <cellStyle name="Percent 8 3 2" xfId="3558"/>
    <cellStyle name="Percent 8 4" xfId="3559"/>
    <cellStyle name="Percent 8 4 2" xfId="3560"/>
    <cellStyle name="Percent 8 5" xfId="3561"/>
    <cellStyle name="Percent 8 5 2" xfId="3562"/>
    <cellStyle name="Percent 8 6" xfId="3563"/>
    <cellStyle name="Percent 8 6 2" xfId="3564"/>
    <cellStyle name="Percent 8 7" xfId="3565"/>
    <cellStyle name="Percent 8 7 2" xfId="3566"/>
    <cellStyle name="Percent 8 8" xfId="3567"/>
    <cellStyle name="Percent 8 8 2" xfId="3568"/>
    <cellStyle name="Percent 8 9" xfId="3569"/>
    <cellStyle name="Percent 9" xfId="3570"/>
    <cellStyle name="Percent 9 2" xfId="3571"/>
    <cellStyle name="Percent 9 2 2" xfId="3572"/>
    <cellStyle name="Percent 9 3" xfId="3573"/>
    <cellStyle name="Percent 9 3 2" xfId="3574"/>
    <cellStyle name="Percent 9 4" xfId="3575"/>
    <cellStyle name="Percent 9 4 2" xfId="3576"/>
    <cellStyle name="Percent 9 5" xfId="3577"/>
    <cellStyle name="Percent 9 5 2" xfId="3578"/>
    <cellStyle name="Percent 9 6" xfId="3579"/>
    <cellStyle name="Percent 9 6 2" xfId="3580"/>
    <cellStyle name="Percent 9 7" xfId="3581"/>
    <cellStyle name="Percent 9 7 2" xfId="3582"/>
    <cellStyle name="Percent 9 8" xfId="3583"/>
    <cellStyle name="Percent 9 8 2" xfId="3584"/>
    <cellStyle name="Percent 9 9" xfId="3585"/>
    <cellStyle name="Pilkku_Layo9704" xfId="3586"/>
    <cellStyle name="Pyör. luku_Layo9704" xfId="3587"/>
    <cellStyle name="Pyör. valuutta_Layo9704" xfId="3588"/>
    <cellStyle name="source" xfId="3589"/>
    <cellStyle name="Standard_Sce_D_Extraction" xfId="3590"/>
    <cellStyle name="Style 21" xfId="3591"/>
    <cellStyle name="Style 21 2" xfId="3592"/>
    <cellStyle name="Style 22" xfId="3593"/>
    <cellStyle name="Style 23" xfId="3594"/>
    <cellStyle name="Style 24" xfId="3595"/>
    <cellStyle name="Style 25" xfId="3596"/>
    <cellStyle name="Style 25 2" xfId="3597"/>
    <cellStyle name="Style 26" xfId="3598"/>
    <cellStyle name="Style 29" xfId="3599"/>
    <cellStyle name="Style 29 2" xfId="3600"/>
    <cellStyle name="Style 29 2 2" xfId="3601"/>
    <cellStyle name="Style 29 3" xfId="3602"/>
    <cellStyle name="Style 35" xfId="3603"/>
    <cellStyle name="Style 35 2" xfId="3604"/>
    <cellStyle name="Style 36" xfId="3605"/>
    <cellStyle name="Style 36 2" xfId="3606"/>
    <cellStyle name="tableau | cellule | normal | decimal 1" xfId="3607"/>
    <cellStyle name="tableau | cellule | normal | pourcentage | decimal 1" xfId="3608"/>
    <cellStyle name="tableau | cellule | total | decimal 1" xfId="3609"/>
    <cellStyle name="tableau | coin superieur gauche" xfId="3610"/>
    <cellStyle name="tableau | coin superieur gauche 2" xfId="3611"/>
    <cellStyle name="tableau | entete-colonne | series" xfId="3612"/>
    <cellStyle name="tableau | entete-colonne | series 2" xfId="3613"/>
    <cellStyle name="tableau | entete-ligne | normal" xfId="3614"/>
    <cellStyle name="tableau | entete-ligne | normal 2" xfId="3615"/>
    <cellStyle name="tableau | entete-ligne | total" xfId="3616"/>
    <cellStyle name="tableau | ligne-titre | niveau1" xfId="3617"/>
    <cellStyle name="tableau | ligne-titre | niveau1 2" xfId="3618"/>
    <cellStyle name="tableau | ligne-titre | niveau2" xfId="3619"/>
    <cellStyle name="tableau | ligne-titre | niveau2 2" xfId="3620"/>
    <cellStyle name="Title 2" xfId="3621"/>
    <cellStyle name="Title 2 10" xfId="3622"/>
    <cellStyle name="Title 2 2" xfId="3623"/>
    <cellStyle name="Title 2 3" xfId="3624"/>
    <cellStyle name="Title 2 4" xfId="3625"/>
    <cellStyle name="Title 2 5" xfId="3626"/>
    <cellStyle name="Title 2 6" xfId="3627"/>
    <cellStyle name="Title 2 7" xfId="3628"/>
    <cellStyle name="Title 2 8" xfId="3629"/>
    <cellStyle name="Title 2 9" xfId="3630"/>
    <cellStyle name="Title 3" xfId="3631"/>
    <cellStyle name="Title 3 2" xfId="3632"/>
    <cellStyle name="Total 2" xfId="3633"/>
    <cellStyle name="Total 2 10" xfId="3634"/>
    <cellStyle name="Total 2 2" xfId="3635"/>
    <cellStyle name="Total 2 3" xfId="3636"/>
    <cellStyle name="Total 2 4" xfId="3637"/>
    <cellStyle name="Total 2 5" xfId="3638"/>
    <cellStyle name="Total 2 6" xfId="3639"/>
    <cellStyle name="Total 2 7" xfId="3640"/>
    <cellStyle name="Total 2 8" xfId="3641"/>
    <cellStyle name="Total 2 9" xfId="3642"/>
    <cellStyle name="Total 3" xfId="3643"/>
    <cellStyle name="Total 3 2" xfId="3644"/>
    <cellStyle name="Valuutta_Layo9704" xfId="3645"/>
    <cellStyle name="Warning Text 2" xfId="3646"/>
    <cellStyle name="Warning Text 2 10" xfId="3647"/>
    <cellStyle name="Warning Text 2 2" xfId="3648"/>
    <cellStyle name="Warning Text 2 3" xfId="3649"/>
    <cellStyle name="Warning Text 2 4" xfId="3650"/>
    <cellStyle name="Warning Text 2 5" xfId="3651"/>
    <cellStyle name="Warning Text 2 6" xfId="3652"/>
    <cellStyle name="Warning Text 2 7" xfId="3653"/>
    <cellStyle name="Warning Text 2 8" xfId="3654"/>
    <cellStyle name="Warning Text 2 9" xfId="3655"/>
    <cellStyle name="Warning Text 3" xfId="3656"/>
    <cellStyle name="Обычный_CRF2002 (1)" xfId="3657"/>
    <cellStyle name="已访问的超链接" xfId="3658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467350" y="168275"/>
          <a:ext cx="4876800" cy="5035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workbookViewId="0">
      <selection activeCell="A4" sqref="A4"/>
    </sheetView>
  </sheetViews>
  <sheetFormatPr defaultColWidth="11.4545454545455" defaultRowHeight="12.5"/>
  <cols>
    <col min="1" max="1" width="19.0909090909091" customWidth="1"/>
    <col min="2" max="2" width="11" customWidth="1"/>
    <col min="3" max="3" width="9.09090909090909" customWidth="1"/>
    <col min="4" max="4" width="13.7272727272727" customWidth="1"/>
    <col min="5" max="5" width="9.09090909090909" customWidth="1"/>
    <col min="6" max="6" width="20.0909090909091" customWidth="1"/>
    <col min="7" max="7" width="13" customWidth="1"/>
    <col min="9" max="10" width="7.72727272727273" customWidth="1"/>
  </cols>
  <sheetData>
    <row r="1" ht="13" spans="1:10">
      <c r="A1" s="37" t="s">
        <v>0</v>
      </c>
      <c r="H1" s="37" t="s">
        <v>1</v>
      </c>
      <c r="I1" s="32"/>
      <c r="J1" s="32"/>
    </row>
    <row r="2" ht="13" spans="1:10">
      <c r="A2" s="38" t="s">
        <v>2</v>
      </c>
      <c r="B2" s="38" t="s">
        <v>3</v>
      </c>
      <c r="H2" s="38" t="s">
        <v>4</v>
      </c>
      <c r="I2" s="38" t="s">
        <v>5</v>
      </c>
      <c r="J2" s="38" t="s">
        <v>6</v>
      </c>
    </row>
    <row r="3" ht="13" spans="1:10">
      <c r="A3" s="39" t="s">
        <v>7</v>
      </c>
      <c r="B3" t="s">
        <v>8</v>
      </c>
      <c r="H3" t="s">
        <v>9</v>
      </c>
      <c r="J3" t="s">
        <v>10</v>
      </c>
    </row>
    <row r="4" spans="2:10">
      <c r="B4" t="s">
        <v>11</v>
      </c>
      <c r="H4" t="s">
        <v>12</v>
      </c>
      <c r="J4" t="s">
        <v>13</v>
      </c>
    </row>
    <row r="5" spans="2:10">
      <c r="B5" t="s">
        <v>14</v>
      </c>
      <c r="J5" t="s">
        <v>15</v>
      </c>
    </row>
    <row r="6" spans="2:10">
      <c r="B6" t="s">
        <v>16</v>
      </c>
      <c r="J6" t="s">
        <v>17</v>
      </c>
    </row>
    <row r="7" spans="2:10">
      <c r="B7" t="s">
        <v>18</v>
      </c>
      <c r="J7" t="s">
        <v>19</v>
      </c>
    </row>
    <row r="8" spans="2:10">
      <c r="B8" t="s">
        <v>20</v>
      </c>
      <c r="J8" t="s">
        <v>21</v>
      </c>
    </row>
    <row r="9" spans="2:10">
      <c r="B9" t="s">
        <v>22</v>
      </c>
      <c r="J9" t="s">
        <v>23</v>
      </c>
    </row>
    <row r="10" spans="2:10">
      <c r="B10" t="s">
        <v>24</v>
      </c>
      <c r="J10" t="s">
        <v>25</v>
      </c>
    </row>
    <row r="11" spans="2:10">
      <c r="B11" t="s">
        <v>26</v>
      </c>
      <c r="J11" t="s">
        <v>27</v>
      </c>
    </row>
    <row r="12" spans="2:10">
      <c r="B12" t="s">
        <v>28</v>
      </c>
      <c r="J12" t="s">
        <v>29</v>
      </c>
    </row>
    <row r="13" spans="2:10">
      <c r="B13" t="s">
        <v>30</v>
      </c>
      <c r="J13" t="s">
        <v>31</v>
      </c>
    </row>
    <row r="14" spans="2:10">
      <c r="B14" t="s">
        <v>32</v>
      </c>
      <c r="J14" t="s">
        <v>33</v>
      </c>
    </row>
    <row r="15" spans="2:10">
      <c r="B15" t="s">
        <v>34</v>
      </c>
      <c r="J15" t="s">
        <v>35</v>
      </c>
    </row>
    <row r="16" spans="2:10">
      <c r="B16" t="s">
        <v>36</v>
      </c>
      <c r="J16" t="s">
        <v>37</v>
      </c>
    </row>
    <row r="17" spans="2:10">
      <c r="B17" t="s">
        <v>38</v>
      </c>
      <c r="J17" t="s">
        <v>39</v>
      </c>
    </row>
    <row r="18" spans="2:10">
      <c r="B18" t="s">
        <v>40</v>
      </c>
      <c r="J18" t="s">
        <v>41</v>
      </c>
    </row>
    <row r="19" spans="2:10">
      <c r="B19" t="s">
        <v>42</v>
      </c>
      <c r="J19" t="s">
        <v>43</v>
      </c>
    </row>
    <row r="20" spans="2:10">
      <c r="B20" t="s">
        <v>44</v>
      </c>
      <c r="J20" t="s">
        <v>45</v>
      </c>
    </row>
    <row r="21" spans="2:10">
      <c r="B21" t="s">
        <v>46</v>
      </c>
      <c r="J21" t="s">
        <v>47</v>
      </c>
    </row>
    <row r="22" spans="2:10">
      <c r="B22" t="s">
        <v>48</v>
      </c>
      <c r="J22" t="s">
        <v>49</v>
      </c>
    </row>
    <row r="23" spans="2:10">
      <c r="B23" t="s">
        <v>50</v>
      </c>
      <c r="J23" t="s">
        <v>51</v>
      </c>
    </row>
    <row r="24" spans="2:10">
      <c r="B24" t="s">
        <v>52</v>
      </c>
      <c r="J24" t="s">
        <v>53</v>
      </c>
    </row>
    <row r="25" spans="2:10">
      <c r="B25" t="s">
        <v>54</v>
      </c>
      <c r="J25" t="s">
        <v>55</v>
      </c>
    </row>
    <row r="26" spans="2:10">
      <c r="B26" t="s">
        <v>56</v>
      </c>
      <c r="J26" t="s">
        <v>57</v>
      </c>
    </row>
    <row r="27" spans="2:2">
      <c r="B27" t="s">
        <v>58</v>
      </c>
    </row>
    <row r="28" spans="2:2">
      <c r="B28" t="s">
        <v>59</v>
      </c>
    </row>
    <row r="29" spans="2:2">
      <c r="B29" t="s">
        <v>60</v>
      </c>
    </row>
    <row r="30" spans="2:2">
      <c r="B30" t="s">
        <v>61</v>
      </c>
    </row>
    <row r="31" spans="2:2">
      <c r="B31" t="s">
        <v>62</v>
      </c>
    </row>
    <row r="32" spans="2:2">
      <c r="B32" t="s">
        <v>63</v>
      </c>
    </row>
    <row r="33" spans="2:2">
      <c r="B33" t="s">
        <v>64</v>
      </c>
    </row>
    <row r="34" spans="2:2">
      <c r="B34" t="s">
        <v>65</v>
      </c>
    </row>
    <row r="35" spans="2:2">
      <c r="B35" t="s">
        <v>66</v>
      </c>
    </row>
    <row r="36" spans="2:2">
      <c r="B36" t="s">
        <v>67</v>
      </c>
    </row>
    <row r="37" spans="2:2">
      <c r="B37" t="s">
        <v>68</v>
      </c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33"/>
  <sheetViews>
    <sheetView tabSelected="1" workbookViewId="0">
      <selection activeCell="I29" sqref="I29"/>
    </sheetView>
  </sheetViews>
  <sheetFormatPr defaultColWidth="11.4545454545455" defaultRowHeight="12.5"/>
  <cols>
    <col min="1" max="1" width="9.09090909090909" customWidth="1"/>
    <col min="2" max="2" width="13.7272727272727" customWidth="1"/>
    <col min="4" max="4" width="14.0909090909091" customWidth="1"/>
    <col min="5" max="7" width="9.81818181818182" customWidth="1"/>
    <col min="8" max="8" width="10.8181818181818" customWidth="1"/>
    <col min="9" max="10" width="9.81818181818182" customWidth="1"/>
  </cols>
  <sheetData>
    <row r="3" spans="2:2">
      <c r="B3" t="s">
        <v>69</v>
      </c>
    </row>
    <row r="4" spans="2:2">
      <c r="B4">
        <v>2019</v>
      </c>
    </row>
    <row r="7" spans="2:2">
      <c r="B7" t="s">
        <v>70</v>
      </c>
    </row>
    <row r="8" spans="2:2">
      <c r="B8" t="str">
        <f>B12</f>
        <v>Pdef_9p-2100</v>
      </c>
    </row>
    <row r="11" spans="2:4">
      <c r="B11" t="s">
        <v>71</v>
      </c>
      <c r="D11" t="s">
        <v>72</v>
      </c>
    </row>
    <row r="12" ht="14.5" spans="2:13">
      <c r="B12" s="34" t="s">
        <v>73</v>
      </c>
      <c r="D12" s="35" t="s">
        <v>74</v>
      </c>
      <c r="E12" s="35" t="str">
        <f t="shared" ref="E12:J12" si="0">"msy"&amp;COUNT(E14:E46)&amp;"_"&amp;MAX(E14:E46)</f>
        <v>msy4_2050</v>
      </c>
      <c r="F12" s="35" t="str">
        <f t="shared" si="0"/>
        <v>msy6_2050</v>
      </c>
      <c r="G12" s="35" t="str">
        <f t="shared" si="0"/>
        <v>msy9_2050</v>
      </c>
      <c r="H12" s="35" t="str">
        <f t="shared" si="0"/>
        <v>msy14_2050</v>
      </c>
      <c r="I12" s="35" t="str">
        <f t="shared" si="0"/>
        <v>msy1_2050</v>
      </c>
      <c r="J12" s="35" t="str">
        <f t="shared" si="0"/>
        <v>msy1_2040</v>
      </c>
      <c r="K12" s="35" t="str">
        <f t="shared" ref="K12" si="1">"msy"&amp;COUNT(K14:K46)&amp;"_"&amp;MAX(K14:K46)</f>
        <v>msy10_2100</v>
      </c>
      <c r="L12" t="s">
        <v>75</v>
      </c>
      <c r="M12" t="s">
        <v>76</v>
      </c>
    </row>
    <row r="13" ht="14.5" spans="2:4">
      <c r="B13" s="36">
        <v>1</v>
      </c>
      <c r="D13" t="s">
        <v>77</v>
      </c>
    </row>
    <row r="14" ht="14.5" spans="2:13">
      <c r="B14" s="36">
        <v>2</v>
      </c>
      <c r="D14" t="s">
        <v>78</v>
      </c>
      <c r="E14">
        <f t="shared" ref="E14:H14" si="2">$B$4</f>
        <v>2019</v>
      </c>
      <c r="F14">
        <f t="shared" si="2"/>
        <v>2019</v>
      </c>
      <c r="G14">
        <f t="shared" si="2"/>
        <v>2019</v>
      </c>
      <c r="H14">
        <f t="shared" si="2"/>
        <v>2019</v>
      </c>
      <c r="I14">
        <v>2050</v>
      </c>
      <c r="J14">
        <v>2040</v>
      </c>
      <c r="K14">
        <f t="shared" ref="K14" si="3">$B$4</f>
        <v>2019</v>
      </c>
      <c r="L14">
        <v>2019</v>
      </c>
      <c r="M14">
        <v>2019</v>
      </c>
    </row>
    <row r="15" ht="14.5" spans="2:13">
      <c r="B15" s="36">
        <v>7</v>
      </c>
      <c r="D15" t="s">
        <v>78</v>
      </c>
      <c r="E15">
        <v>2030</v>
      </c>
      <c r="F15">
        <v>2020</v>
      </c>
      <c r="G15">
        <v>2020</v>
      </c>
      <c r="H15">
        <v>2020</v>
      </c>
      <c r="K15">
        <v>2020</v>
      </c>
      <c r="L15">
        <v>2020</v>
      </c>
      <c r="M15">
        <v>2020</v>
      </c>
    </row>
    <row r="16" ht="14.5" spans="2:13">
      <c r="B16" s="36">
        <v>7</v>
      </c>
      <c r="D16" t="s">
        <v>78</v>
      </c>
      <c r="E16">
        <v>2040</v>
      </c>
      <c r="F16">
        <v>2025</v>
      </c>
      <c r="G16">
        <v>2023</v>
      </c>
      <c r="H16">
        <v>2023</v>
      </c>
      <c r="K16">
        <f>K15+10</f>
        <v>2030</v>
      </c>
      <c r="L16">
        <v>2025</v>
      </c>
      <c r="M16">
        <v>2025</v>
      </c>
    </row>
    <row r="17" ht="14.5" spans="2:13">
      <c r="B17" s="36">
        <v>9</v>
      </c>
      <c r="D17" t="s">
        <v>78</v>
      </c>
      <c r="E17">
        <v>2050</v>
      </c>
      <c r="F17">
        <v>2030</v>
      </c>
      <c r="G17">
        <v>2025</v>
      </c>
      <c r="H17">
        <v>2025</v>
      </c>
      <c r="K17">
        <f t="shared" ref="K17:K23" si="4">K16+10</f>
        <v>2040</v>
      </c>
      <c r="L17">
        <v>2030</v>
      </c>
      <c r="M17">
        <v>2030</v>
      </c>
    </row>
    <row r="18" ht="14.5" spans="2:13">
      <c r="B18" s="36">
        <v>12</v>
      </c>
      <c r="D18" t="s">
        <v>78</v>
      </c>
      <c r="F18">
        <v>2040</v>
      </c>
      <c r="G18">
        <f t="shared" ref="G18:G22" si="5">G17+5</f>
        <v>2030</v>
      </c>
      <c r="H18">
        <f>H17+3</f>
        <v>2028</v>
      </c>
      <c r="K18">
        <f t="shared" si="4"/>
        <v>2050</v>
      </c>
      <c r="L18">
        <v>2035</v>
      </c>
      <c r="M18">
        <v>2035</v>
      </c>
    </row>
    <row r="19" ht="14.5" spans="2:13">
      <c r="B19" s="36">
        <v>18</v>
      </c>
      <c r="D19" t="s">
        <v>78</v>
      </c>
      <c r="F19">
        <v>2050</v>
      </c>
      <c r="G19">
        <f t="shared" si="5"/>
        <v>2035</v>
      </c>
      <c r="H19">
        <f>H18+2</f>
        <v>2030</v>
      </c>
      <c r="K19">
        <f t="shared" si="4"/>
        <v>2060</v>
      </c>
      <c r="L19">
        <v>2040</v>
      </c>
      <c r="M19">
        <v>2040</v>
      </c>
    </row>
    <row r="20" ht="14.5" spans="2:13">
      <c r="B20" s="36">
        <v>20</v>
      </c>
      <c r="D20" t="s">
        <v>78</v>
      </c>
      <c r="G20">
        <f t="shared" si="5"/>
        <v>2040</v>
      </c>
      <c r="H20">
        <f>H19+3</f>
        <v>2033</v>
      </c>
      <c r="K20">
        <f t="shared" si="4"/>
        <v>2070</v>
      </c>
      <c r="L20">
        <v>2045</v>
      </c>
      <c r="M20">
        <v>2045</v>
      </c>
    </row>
    <row r="21" ht="14.5" spans="2:13">
      <c r="B21" s="36">
        <v>12</v>
      </c>
      <c r="D21" t="s">
        <v>78</v>
      </c>
      <c r="G21">
        <f t="shared" si="5"/>
        <v>2045</v>
      </c>
      <c r="H21">
        <f>H20+2</f>
        <v>2035</v>
      </c>
      <c r="K21">
        <f t="shared" si="4"/>
        <v>2080</v>
      </c>
      <c r="L21">
        <v>2050</v>
      </c>
      <c r="M21">
        <v>2050</v>
      </c>
    </row>
    <row r="22" ht="14.5" spans="2:13">
      <c r="B22" s="36"/>
      <c r="D22" t="s">
        <v>78</v>
      </c>
      <c r="G22">
        <f t="shared" si="5"/>
        <v>2050</v>
      </c>
      <c r="H22">
        <f>H21+3</f>
        <v>2038</v>
      </c>
      <c r="K22">
        <f t="shared" si="4"/>
        <v>2090</v>
      </c>
      <c r="L22">
        <v>2055</v>
      </c>
      <c r="M22">
        <v>2055</v>
      </c>
    </row>
    <row r="23" ht="14.5" spans="2:13">
      <c r="B23" s="36"/>
      <c r="D23" t="s">
        <v>78</v>
      </c>
      <c r="H23">
        <f>H22+2</f>
        <v>2040</v>
      </c>
      <c r="K23">
        <f t="shared" si="4"/>
        <v>2100</v>
      </c>
      <c r="L23">
        <v>2060</v>
      </c>
      <c r="M23">
        <v>2060</v>
      </c>
    </row>
    <row r="24" ht="14.5" spans="2:13">
      <c r="B24" s="36"/>
      <c r="D24" t="s">
        <v>78</v>
      </c>
      <c r="H24">
        <f>H23+3</f>
        <v>2043</v>
      </c>
      <c r="L24">
        <v>2065</v>
      </c>
      <c r="M24">
        <v>2065</v>
      </c>
    </row>
    <row r="25" ht="14.5" spans="2:13">
      <c r="B25" s="36"/>
      <c r="D25" t="s">
        <v>78</v>
      </c>
      <c r="H25">
        <f>H24+2</f>
        <v>2045</v>
      </c>
      <c r="L25">
        <v>2070</v>
      </c>
      <c r="M25">
        <v>2070</v>
      </c>
    </row>
    <row r="26" ht="14.5" spans="2:13">
      <c r="B26" s="36"/>
      <c r="D26" t="s">
        <v>78</v>
      </c>
      <c r="H26">
        <f>H25+3</f>
        <v>2048</v>
      </c>
      <c r="L26">
        <v>2075</v>
      </c>
      <c r="M26">
        <v>2075</v>
      </c>
    </row>
    <row r="27" ht="14.5" spans="2:13">
      <c r="B27" s="36"/>
      <c r="D27" t="s">
        <v>78</v>
      </c>
      <c r="H27">
        <f>H26+2</f>
        <v>2050</v>
      </c>
      <c r="L27">
        <v>2080</v>
      </c>
      <c r="M27">
        <v>2080</v>
      </c>
    </row>
    <row r="28" ht="14.5" spans="2:13">
      <c r="B28" s="36"/>
      <c r="D28" t="s">
        <v>78</v>
      </c>
      <c r="M28">
        <v>2085</v>
      </c>
    </row>
    <row r="29" ht="14.5" spans="2:13">
      <c r="B29" s="36"/>
      <c r="D29" t="s">
        <v>78</v>
      </c>
      <c r="M29">
        <v>2090</v>
      </c>
    </row>
    <row r="30" ht="14.5" spans="2:13">
      <c r="B30" s="36"/>
      <c r="D30" t="s">
        <v>78</v>
      </c>
      <c r="M30">
        <v>2095</v>
      </c>
    </row>
    <row r="31" ht="14.5" spans="2:13">
      <c r="B31" s="36"/>
      <c r="D31" t="s">
        <v>78</v>
      </c>
      <c r="M31">
        <v>2100</v>
      </c>
    </row>
    <row r="32" ht="14.5" spans="2:2">
      <c r="B32" s="36"/>
    </row>
    <row r="33" ht="14.5" spans="2:2">
      <c r="B33" s="36"/>
    </row>
  </sheetData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5"/>
  <sheetViews>
    <sheetView workbookViewId="0">
      <selection activeCell="H22" sqref="H22"/>
    </sheetView>
  </sheetViews>
  <sheetFormatPr defaultColWidth="11.4545454545455" defaultRowHeight="11.5"/>
  <cols>
    <col min="1" max="1" width="9.09090909090909" style="15" customWidth="1"/>
    <col min="2" max="2" width="8.45454545454546" style="15" customWidth="1"/>
    <col min="3" max="4" width="14.7272727272727" style="15" customWidth="1"/>
    <col min="5" max="5" width="10.4545454545455" style="15" customWidth="1"/>
    <col min="6" max="6" width="16.0909090909091" style="15" customWidth="1"/>
    <col min="7" max="7" width="8.27272727272727" style="15" customWidth="1"/>
    <col min="8" max="8" width="8.45454545454546" style="15" customWidth="1"/>
    <col min="9" max="9" width="8.72727272727273" style="15" customWidth="1"/>
    <col min="10" max="16384" width="11.4545454545455" style="15"/>
  </cols>
  <sheetData>
    <row r="1" ht="12.5" spans="1:2">
      <c r="A1"/>
      <c r="B1" s="27"/>
    </row>
    <row r="2" ht="12.5" spans="1:9">
      <c r="A2" s="28"/>
      <c r="B2" s="10"/>
      <c r="C2" s="10"/>
      <c r="D2" s="10"/>
      <c r="E2" s="10"/>
      <c r="F2" s="10"/>
      <c r="G2" s="10"/>
      <c r="H2" s="10"/>
      <c r="I2" s="10"/>
    </row>
    <row r="3" ht="12.5" spans="1:9">
      <c r="A3" s="10"/>
      <c r="B3" s="10"/>
      <c r="C3" s="10"/>
      <c r="D3"/>
      <c r="E3"/>
      <c r="F3"/>
      <c r="G3" s="10"/>
      <c r="H3" s="10"/>
      <c r="I3" s="10"/>
    </row>
    <row r="4" ht="12.5" spans="1:13">
      <c r="A4" s="29" t="s">
        <v>79</v>
      </c>
      <c r="B4" s="10"/>
      <c r="C4" s="10"/>
      <c r="D4" s="10"/>
      <c r="E4" s="10"/>
      <c r="F4" s="29"/>
      <c r="G4" s="29"/>
      <c r="H4" s="29"/>
      <c r="I4" s="10"/>
      <c r="M4" s="10"/>
    </row>
    <row r="5" ht="13" spans="1:13">
      <c r="A5" s="30" t="s">
        <v>80</v>
      </c>
      <c r="B5" s="30" t="s">
        <v>81</v>
      </c>
      <c r="C5" s="30" t="s">
        <v>82</v>
      </c>
      <c r="D5" s="30" t="s">
        <v>83</v>
      </c>
      <c r="E5" s="30" t="s">
        <v>84</v>
      </c>
      <c r="F5" s="30" t="s">
        <v>85</v>
      </c>
      <c r="G5" s="30" t="s">
        <v>86</v>
      </c>
      <c r="H5" s="30" t="s">
        <v>87</v>
      </c>
      <c r="I5" s="30" t="s">
        <v>88</v>
      </c>
      <c r="J5" s="30" t="s">
        <v>89</v>
      </c>
      <c r="M5" s="32" t="s">
        <v>90</v>
      </c>
    </row>
    <row r="6" ht="13" spans="1:13">
      <c r="A6" s="10"/>
      <c r="B6" s="10"/>
      <c r="C6" s="10" t="s">
        <v>91</v>
      </c>
      <c r="D6" s="10">
        <v>0</v>
      </c>
      <c r="E6" s="10">
        <v>3</v>
      </c>
      <c r="F6" s="10"/>
      <c r="G6" s="10"/>
      <c r="H6" s="10"/>
      <c r="I6" s="10"/>
      <c r="J6" s="10"/>
      <c r="M6" s="33" t="s">
        <v>92</v>
      </c>
    </row>
    <row r="7" ht="12.5" spans="1:13">
      <c r="A7" s="10"/>
      <c r="B7" s="10" t="s">
        <v>93</v>
      </c>
      <c r="C7" s="10" t="s">
        <v>91</v>
      </c>
      <c r="D7" s="10">
        <v>0</v>
      </c>
      <c r="E7" s="10">
        <v>0</v>
      </c>
      <c r="F7" s="10"/>
      <c r="G7" s="10"/>
      <c r="H7" s="10"/>
      <c r="I7" s="10"/>
      <c r="J7" s="10"/>
      <c r="M7" s="10" t="s">
        <v>94</v>
      </c>
    </row>
    <row r="8" ht="12.5" spans="1:13">
      <c r="A8" s="10"/>
      <c r="B8" s="10" t="s">
        <v>95</v>
      </c>
      <c r="C8" s="10" t="s">
        <v>96</v>
      </c>
      <c r="D8" s="10">
        <v>0</v>
      </c>
      <c r="E8" s="10">
        <v>3</v>
      </c>
      <c r="F8" s="10"/>
      <c r="G8" s="10"/>
      <c r="H8" s="10"/>
      <c r="I8" s="10"/>
      <c r="J8" s="10"/>
      <c r="M8" s="10" t="s">
        <v>97</v>
      </c>
    </row>
    <row r="9" ht="12.5" spans="1:13">
      <c r="A9" s="10"/>
      <c r="B9" s="10" t="s">
        <v>95</v>
      </c>
      <c r="C9" s="10" t="s">
        <v>98</v>
      </c>
      <c r="D9" s="10">
        <v>0</v>
      </c>
      <c r="E9" s="10">
        <v>1</v>
      </c>
      <c r="F9" s="10"/>
      <c r="G9" s="10"/>
      <c r="H9" s="10"/>
      <c r="I9" s="10"/>
      <c r="J9" s="10"/>
      <c r="M9" s="10" t="s">
        <v>99</v>
      </c>
    </row>
    <row r="10" ht="12.5" spans="1:13">
      <c r="A10" s="10"/>
      <c r="B10" s="10" t="s">
        <v>95</v>
      </c>
      <c r="C10" s="10" t="s">
        <v>100</v>
      </c>
      <c r="D10" s="10">
        <v>0</v>
      </c>
      <c r="E10" s="10">
        <v>3</v>
      </c>
      <c r="F10" s="10"/>
      <c r="G10" s="10"/>
      <c r="H10" s="10"/>
      <c r="I10" s="10"/>
      <c r="J10" s="10"/>
      <c r="M10" s="10" t="s">
        <v>101</v>
      </c>
    </row>
    <row r="11" ht="12.5" spans="1:13">
      <c r="A11" s="10"/>
      <c r="B11" s="10"/>
      <c r="C11" s="10" t="s">
        <v>102</v>
      </c>
      <c r="D11" s="10">
        <v>0</v>
      </c>
      <c r="E11" s="10">
        <v>15</v>
      </c>
      <c r="F11" s="10"/>
      <c r="G11" s="10"/>
      <c r="H11" s="10"/>
      <c r="I11" s="10" t="s">
        <v>103</v>
      </c>
      <c r="J11" s="10"/>
      <c r="M11" s="10" t="s">
        <v>104</v>
      </c>
    </row>
    <row r="12" ht="12.5" spans="1:13">
      <c r="A12" s="10"/>
      <c r="B12" s="10"/>
      <c r="C12" s="10" t="s">
        <v>105</v>
      </c>
      <c r="D12" s="10">
        <v>0</v>
      </c>
      <c r="E12" s="10">
        <v>3</v>
      </c>
      <c r="F12" s="10"/>
      <c r="G12" s="10"/>
      <c r="H12" s="10"/>
      <c r="I12" s="10"/>
      <c r="J12" s="10"/>
      <c r="M12" s="10" t="s">
        <v>106</v>
      </c>
    </row>
    <row r="13" ht="12.5" spans="1:13">
      <c r="A13" s="10"/>
      <c r="B13" s="10"/>
      <c r="C13" s="10" t="s">
        <v>107</v>
      </c>
      <c r="D13" s="10">
        <v>0</v>
      </c>
      <c r="E13" s="10">
        <v>3</v>
      </c>
      <c r="F13" s="10"/>
      <c r="G13" s="10"/>
      <c r="H13" s="10"/>
      <c r="I13" s="10"/>
      <c r="J13" s="10"/>
      <c r="M13" s="10"/>
    </row>
    <row r="14" ht="12.5" spans="1:10">
      <c r="A14" s="10"/>
      <c r="B14" s="10"/>
      <c r="C14" s="10" t="s">
        <v>108</v>
      </c>
      <c r="D14" s="10">
        <v>0</v>
      </c>
      <c r="E14" s="10">
        <v>3</v>
      </c>
      <c r="F14" s="10"/>
      <c r="G14" s="10"/>
      <c r="H14" s="10"/>
      <c r="I14" s="10"/>
      <c r="J14" s="10"/>
    </row>
    <row r="15" ht="12.5" spans="1:10">
      <c r="A15" s="10"/>
      <c r="B15" s="10" t="s">
        <v>109</v>
      </c>
      <c r="C15" s="10" t="s">
        <v>110</v>
      </c>
      <c r="D15" s="10">
        <v>0</v>
      </c>
      <c r="E15" s="10">
        <v>3</v>
      </c>
      <c r="F15" s="10"/>
      <c r="G15" s="10"/>
      <c r="H15" s="10"/>
      <c r="I15" s="10"/>
      <c r="J15" s="10" t="s">
        <v>111</v>
      </c>
    </row>
    <row r="16" ht="12.5" spans="1:10">
      <c r="A16" s="10"/>
      <c r="B16" s="10" t="s">
        <v>93</v>
      </c>
      <c r="C16" s="10" t="s">
        <v>112</v>
      </c>
      <c r="D16" s="10">
        <v>0</v>
      </c>
      <c r="E16" s="10">
        <v>3</v>
      </c>
      <c r="F16" s="10" t="s">
        <v>113</v>
      </c>
      <c r="G16" s="10"/>
      <c r="H16" s="10"/>
      <c r="I16" s="10"/>
      <c r="J16" s="10"/>
    </row>
    <row r="17" ht="12.5" spans="1:10">
      <c r="A17" s="10"/>
      <c r="B17" s="10"/>
      <c r="C17" s="31"/>
      <c r="D17" s="31"/>
      <c r="E17" s="31"/>
      <c r="F17" s="10"/>
      <c r="G17" s="10"/>
      <c r="H17" s="10"/>
      <c r="I17" s="10"/>
      <c r="J17" s="10"/>
    </row>
    <row r="19" ht="12.5" spans="1:10">
      <c r="A19" s="10"/>
      <c r="B19" s="10"/>
      <c r="C19" s="10" t="s">
        <v>114</v>
      </c>
      <c r="D19" s="10">
        <v>0</v>
      </c>
      <c r="E19" s="10">
        <v>3</v>
      </c>
      <c r="F19" s="10"/>
      <c r="G19" s="10"/>
      <c r="H19" s="10"/>
      <c r="I19" s="10"/>
      <c r="J19" s="10"/>
    </row>
    <row r="20" ht="12.5" spans="1:10">
      <c r="A20" s="10"/>
      <c r="B20" s="10"/>
      <c r="C20" s="10" t="s">
        <v>115</v>
      </c>
      <c r="D20" s="10">
        <v>0</v>
      </c>
      <c r="E20" s="10">
        <v>3</v>
      </c>
      <c r="F20" s="10"/>
      <c r="G20" s="10"/>
      <c r="H20" s="10"/>
      <c r="I20" s="10"/>
      <c r="J20" s="10"/>
    </row>
    <row r="21" ht="12.5" spans="1:10">
      <c r="A21" s="10"/>
      <c r="B21" s="10"/>
      <c r="C21" s="10" t="s">
        <v>116</v>
      </c>
      <c r="D21" s="10">
        <v>0</v>
      </c>
      <c r="E21" s="10">
        <v>3</v>
      </c>
      <c r="F21" s="10"/>
      <c r="G21" s="10"/>
      <c r="H21" s="10"/>
      <c r="I21" s="10"/>
      <c r="J21" s="10"/>
    </row>
    <row r="22" ht="12.5" spans="1:9">
      <c r="A22" s="10"/>
      <c r="B22" s="10"/>
      <c r="F22"/>
      <c r="G22" s="10"/>
      <c r="H22" s="10"/>
      <c r="I22" s="10"/>
    </row>
    <row r="23" ht="12.5" spans="1:9">
      <c r="A23" s="10"/>
      <c r="B23" s="10"/>
      <c r="C23" s="10"/>
      <c r="D23"/>
      <c r="E23"/>
      <c r="F23"/>
      <c r="G23" s="10"/>
      <c r="H23" s="10"/>
      <c r="I23" s="10"/>
    </row>
    <row r="24" ht="12.5" spans="1:9">
      <c r="A24" s="29" t="s">
        <v>117</v>
      </c>
      <c r="B24" s="10"/>
      <c r="C24" s="10"/>
      <c r="D24" s="10"/>
      <c r="E24" s="10"/>
      <c r="F24" s="29"/>
      <c r="G24" s="29"/>
      <c r="H24" s="29"/>
      <c r="I24" s="10"/>
    </row>
    <row r="25" ht="13" spans="1:9">
      <c r="A25" s="30" t="s">
        <v>80</v>
      </c>
      <c r="B25" s="30" t="s">
        <v>81</v>
      </c>
      <c r="C25" s="30" t="s">
        <v>82</v>
      </c>
      <c r="D25" s="30" t="s">
        <v>118</v>
      </c>
      <c r="E25" s="30" t="s">
        <v>84</v>
      </c>
      <c r="F25" s="30" t="s">
        <v>119</v>
      </c>
      <c r="G25" s="30" t="s">
        <v>86</v>
      </c>
      <c r="H25" s="30" t="s">
        <v>87</v>
      </c>
      <c r="I25" s="10"/>
    </row>
    <row r="26" ht="12.5" spans="1:9">
      <c r="A26" s="10"/>
      <c r="B26" s="10"/>
      <c r="C26" s="10" t="s">
        <v>120</v>
      </c>
      <c r="D26" s="10"/>
      <c r="E26" s="10">
        <v>2222</v>
      </c>
      <c r="F26" s="10" t="s">
        <v>121</v>
      </c>
      <c r="G26" s="10"/>
      <c r="H26" s="10"/>
      <c r="I26" s="10"/>
    </row>
    <row r="27" ht="12.5" spans="1:9">
      <c r="A27" s="10"/>
      <c r="B27" s="10"/>
      <c r="C27" s="10" t="s">
        <v>120</v>
      </c>
      <c r="D27" s="10"/>
      <c r="E27" s="10">
        <v>8888</v>
      </c>
      <c r="F27" s="10" t="s">
        <v>122</v>
      </c>
      <c r="G27" s="10"/>
      <c r="H27" s="10"/>
      <c r="I27" s="10"/>
    </row>
    <row r="28" ht="12.5" spans="1:9">
      <c r="A28" s="10"/>
      <c r="B28" s="10"/>
      <c r="C28" s="10"/>
      <c r="D28" s="10"/>
      <c r="E28" s="10"/>
      <c r="F28" s="10"/>
      <c r="G28" s="10"/>
      <c r="H28" s="10"/>
      <c r="I28" s="10"/>
    </row>
    <row r="29" ht="12.5" spans="1:9">
      <c r="A29" s="10"/>
      <c r="B29" s="10"/>
      <c r="C29" s="10"/>
      <c r="D29" s="10"/>
      <c r="E29" s="10"/>
      <c r="F29" s="10"/>
      <c r="G29" s="10"/>
      <c r="H29" s="10"/>
      <c r="I29" s="10"/>
    </row>
    <row r="30" ht="12.5" spans="1:9">
      <c r="A30" s="10"/>
      <c r="B30" s="10"/>
      <c r="C30" s="10"/>
      <c r="D30" s="10"/>
      <c r="E30" s="10"/>
      <c r="F30" s="10"/>
      <c r="G30" s="10"/>
      <c r="H30" s="10"/>
      <c r="I30" s="10"/>
    </row>
    <row r="31" ht="12.5" spans="1:9">
      <c r="A31" s="10" t="s">
        <v>123</v>
      </c>
      <c r="B31" s="10"/>
      <c r="C31" s="10"/>
      <c r="D31" s="10"/>
      <c r="E31" s="10"/>
      <c r="F31" s="10"/>
      <c r="G31" s="10"/>
      <c r="H31" s="10"/>
      <c r="I31" s="10"/>
    </row>
    <row r="32" ht="12.5" spans="1:9">
      <c r="A32" s="10" t="s">
        <v>124</v>
      </c>
      <c r="B32" s="10" t="s">
        <v>125</v>
      </c>
      <c r="C32" s="10" t="s">
        <v>126</v>
      </c>
      <c r="D32" s="10" t="s">
        <v>127</v>
      </c>
      <c r="E32" s="10" t="s">
        <v>128</v>
      </c>
      <c r="F32" s="10" t="s">
        <v>129</v>
      </c>
      <c r="G32" s="10" t="s">
        <v>130</v>
      </c>
      <c r="H32" s="10"/>
      <c r="I32" s="10"/>
    </row>
    <row r="33" ht="12.5" spans="1:9">
      <c r="A33" s="10" t="s">
        <v>131</v>
      </c>
      <c r="B33" s="10" t="s">
        <v>132</v>
      </c>
      <c r="C33" s="10" t="s">
        <v>133</v>
      </c>
      <c r="D33" s="10" t="s">
        <v>133</v>
      </c>
      <c r="E33" s="10"/>
      <c r="F33" s="10" t="s">
        <v>134</v>
      </c>
      <c r="G33" s="10"/>
      <c r="H33" s="10"/>
      <c r="I33" s="10"/>
    </row>
    <row r="34" ht="12.5" spans="1:9">
      <c r="A34" s="10"/>
      <c r="B34" s="10"/>
      <c r="C34" s="10"/>
      <c r="D34" s="10"/>
      <c r="E34" s="10"/>
      <c r="F34" s="10"/>
      <c r="G34" s="10"/>
      <c r="H34" s="10"/>
      <c r="I34" s="10"/>
    </row>
    <row r="35" ht="12.5" spans="1:9">
      <c r="A35" s="10"/>
      <c r="B35" s="10"/>
      <c r="C35" s="10"/>
      <c r="D35" s="10"/>
      <c r="E35" s="10"/>
      <c r="F35" s="10"/>
      <c r="G35" s="10"/>
      <c r="H35" s="10"/>
      <c r="I35" s="10"/>
    </row>
    <row r="36" ht="12.5" spans="1:9">
      <c r="A36" s="10"/>
      <c r="B36" s="10"/>
      <c r="C36" s="10"/>
      <c r="D36" s="10"/>
      <c r="E36" s="10"/>
      <c r="F36" s="10"/>
      <c r="G36" s="10"/>
      <c r="H36" s="10"/>
      <c r="I36" s="10"/>
    </row>
    <row r="37" ht="12.5" spans="1:9">
      <c r="A37" s="10" t="s">
        <v>123</v>
      </c>
      <c r="B37" s="10"/>
      <c r="C37" s="10"/>
      <c r="D37" s="10"/>
      <c r="E37" s="10"/>
      <c r="F37" s="10"/>
      <c r="G37" s="10"/>
      <c r="H37" s="10"/>
      <c r="I37" s="10"/>
    </row>
    <row r="38" ht="12.5" spans="1:9">
      <c r="A38" s="10" t="s">
        <v>124</v>
      </c>
      <c r="B38" s="10" t="s">
        <v>125</v>
      </c>
      <c r="C38" s="10" t="s">
        <v>135</v>
      </c>
      <c r="D38" s="10" t="s">
        <v>128</v>
      </c>
      <c r="E38" s="10" t="s">
        <v>127</v>
      </c>
      <c r="F38" s="10" t="s">
        <v>126</v>
      </c>
      <c r="G38" s="10" t="s">
        <v>129</v>
      </c>
      <c r="H38" s="10" t="s">
        <v>136</v>
      </c>
      <c r="I38" s="10"/>
    </row>
    <row r="39" ht="12.5" spans="1:9">
      <c r="A39" s="10" t="s">
        <v>131</v>
      </c>
      <c r="B39" s="10"/>
      <c r="C39" s="40" t="s">
        <v>137</v>
      </c>
      <c r="D39" s="10"/>
      <c r="E39" s="10" t="s">
        <v>138</v>
      </c>
      <c r="F39" s="10"/>
      <c r="G39" s="10" t="s">
        <v>139</v>
      </c>
      <c r="H39" s="10"/>
      <c r="I39" s="10"/>
    </row>
    <row r="40" ht="12.5" spans="1:9">
      <c r="A40" s="10" t="s">
        <v>140</v>
      </c>
      <c r="B40" s="10"/>
      <c r="C40" s="10"/>
      <c r="D40" s="10" t="s">
        <v>141</v>
      </c>
      <c r="E40" s="10"/>
      <c r="F40" s="10"/>
      <c r="G40" s="10" t="s">
        <v>139</v>
      </c>
      <c r="H40" s="10"/>
      <c r="I40" s="10"/>
    </row>
    <row r="41" ht="12.5" spans="1:9">
      <c r="A41" s="10"/>
      <c r="B41" s="10"/>
      <c r="C41" s="10"/>
      <c r="D41" s="10"/>
      <c r="E41" s="10"/>
      <c r="F41" s="10"/>
      <c r="G41" s="10"/>
      <c r="H41" s="10"/>
      <c r="I41" s="10"/>
    </row>
    <row r="42" ht="12.5" spans="1:9">
      <c r="A42" s="10"/>
      <c r="B42" s="10"/>
      <c r="C42" s="10"/>
      <c r="D42" s="10"/>
      <c r="E42" s="10"/>
      <c r="F42" s="10"/>
      <c r="G42" s="10"/>
      <c r="H42" s="10"/>
      <c r="I42" s="10"/>
    </row>
    <row r="43" ht="12.5" spans="1:9">
      <c r="A43" s="10"/>
      <c r="B43" s="10"/>
      <c r="C43" s="10"/>
      <c r="D43" s="10"/>
      <c r="E43" s="10"/>
      <c r="F43" s="10"/>
      <c r="G43" s="10"/>
      <c r="H43" s="10"/>
      <c r="I43" s="10"/>
    </row>
    <row r="44" ht="12.5" spans="1:9">
      <c r="A44" s="10"/>
      <c r="B44" s="10"/>
      <c r="C44" s="10"/>
      <c r="D44" s="10"/>
      <c r="E44" s="10"/>
      <c r="F44" s="10"/>
      <c r="G44" s="10"/>
      <c r="H44" s="10"/>
      <c r="I44" s="10"/>
    </row>
    <row r="45" ht="12.5" spans="1:9">
      <c r="A45" s="10"/>
      <c r="B45" s="10"/>
      <c r="C45" s="10"/>
      <c r="D45" s="10"/>
      <c r="E45" s="10"/>
      <c r="F45" s="10"/>
      <c r="G45" s="10"/>
      <c r="H45" s="10"/>
      <c r="I45" s="10"/>
    </row>
  </sheetData>
  <pageMargins left="0.75" right="0.75" top="1" bottom="1" header="0.5" footer="0.5"/>
  <pageSetup paperSize="9"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49"/>
  <sheetViews>
    <sheetView zoomScale="95" zoomScaleNormal="95" workbookViewId="0">
      <selection activeCell="A1" sqref="A1"/>
    </sheetView>
  </sheetViews>
  <sheetFormatPr defaultColWidth="11.4545454545455" defaultRowHeight="11.5"/>
  <cols>
    <col min="1" max="1" width="9.09090909090909" style="15" customWidth="1"/>
    <col min="2" max="2" width="11" style="15" customWidth="1"/>
    <col min="3" max="3" width="7.27272727272727" style="15" customWidth="1"/>
    <col min="4" max="4" width="14.2727272727273" style="15" customWidth="1"/>
    <col min="5" max="5" width="8.54545454545454" style="15" customWidth="1"/>
    <col min="6" max="6" width="9.09090909090909" style="15" customWidth="1"/>
    <col min="7" max="7" width="9.45454545454546" style="15" customWidth="1"/>
    <col min="8" max="8" width="7.09090909090909" style="15" customWidth="1"/>
    <col min="9" max="9" width="10.4545454545455" style="15" customWidth="1"/>
    <col min="10" max="10" width="12.2727272727273" style="15" customWidth="1"/>
    <col min="11" max="16384" width="11.4545454545455" style="15"/>
  </cols>
  <sheetData>
    <row r="2" ht="13" spans="2:14">
      <c r="B2" s="16" t="s">
        <v>117</v>
      </c>
      <c r="C2" s="16"/>
      <c r="D2" s="16"/>
      <c r="E2" s="16"/>
      <c r="F2" s="16"/>
      <c r="G2" s="16"/>
      <c r="H2" s="16"/>
      <c r="I2" s="16"/>
      <c r="J2" s="16"/>
      <c r="K2" s="16"/>
      <c r="L2" s="24" t="s">
        <v>142</v>
      </c>
      <c r="M2" s="20"/>
      <c r="N2" s="20"/>
    </row>
    <row r="3" ht="13" spans="2:14">
      <c r="B3" s="17" t="s">
        <v>80</v>
      </c>
      <c r="C3" s="17" t="s">
        <v>81</v>
      </c>
      <c r="D3" s="17" t="s">
        <v>82</v>
      </c>
      <c r="E3" s="17" t="s">
        <v>118</v>
      </c>
      <c r="F3" s="18" t="s">
        <v>143</v>
      </c>
      <c r="G3" s="18" t="s">
        <v>84</v>
      </c>
      <c r="H3" s="17" t="s">
        <v>87</v>
      </c>
      <c r="I3" s="25" t="s">
        <v>144</v>
      </c>
      <c r="J3" s="17" t="s">
        <v>145</v>
      </c>
      <c r="K3" s="16"/>
      <c r="L3" s="26" t="s">
        <v>146</v>
      </c>
      <c r="M3" s="20"/>
      <c r="N3" s="20"/>
    </row>
    <row r="4" ht="14.5" spans="2:14">
      <c r="B4" s="19"/>
      <c r="C4" s="19"/>
      <c r="D4" s="19" t="s">
        <v>147</v>
      </c>
      <c r="E4" s="19"/>
      <c r="F4" s="19"/>
      <c r="G4" s="19">
        <v>2020</v>
      </c>
      <c r="H4" s="19"/>
      <c r="I4" s="19"/>
      <c r="J4" s="19"/>
      <c r="K4" s="16"/>
      <c r="L4" s="21" t="s">
        <v>148</v>
      </c>
      <c r="M4" s="16"/>
      <c r="N4" s="20"/>
    </row>
    <row r="5" ht="14.5" spans="2:14">
      <c r="B5" s="16"/>
      <c r="C5" s="16"/>
      <c r="D5" s="16"/>
      <c r="E5" s="16"/>
      <c r="F5" s="16"/>
      <c r="G5" s="16"/>
      <c r="H5" s="16"/>
      <c r="I5" s="16"/>
      <c r="J5" s="16"/>
      <c r="K5" s="16"/>
      <c r="L5" s="21" t="s">
        <v>149</v>
      </c>
      <c r="M5" s="20"/>
      <c r="N5" s="20"/>
    </row>
    <row r="6" ht="14.5" spans="2:14">
      <c r="B6" s="20"/>
      <c r="C6" s="20"/>
      <c r="D6" s="16"/>
      <c r="E6" s="16"/>
      <c r="F6" s="16"/>
      <c r="G6" s="16"/>
      <c r="H6" s="16"/>
      <c r="I6" s="16"/>
      <c r="J6" s="16"/>
      <c r="K6" s="16"/>
      <c r="L6" s="21" t="s">
        <v>150</v>
      </c>
      <c r="M6" s="20"/>
      <c r="N6" s="20"/>
    </row>
    <row r="7" ht="14.5" spans="2:14">
      <c r="B7" s="20"/>
      <c r="C7" s="20"/>
      <c r="D7" s="20"/>
      <c r="E7" s="20"/>
      <c r="F7" s="20"/>
      <c r="G7" s="20"/>
      <c r="H7" s="20"/>
      <c r="I7" s="20"/>
      <c r="J7" s="16"/>
      <c r="K7" s="16"/>
      <c r="L7" s="21" t="s">
        <v>151</v>
      </c>
      <c r="M7" s="20"/>
      <c r="N7" s="20"/>
    </row>
    <row r="8" ht="14.5" spans="2:14">
      <c r="B8" s="20"/>
      <c r="C8" s="20"/>
      <c r="D8" s="20"/>
      <c r="E8" s="20"/>
      <c r="F8" s="20"/>
      <c r="G8" s="20"/>
      <c r="H8" s="20"/>
      <c r="I8" s="20"/>
      <c r="J8" s="16"/>
      <c r="K8" s="16"/>
      <c r="L8" s="21" t="s">
        <v>152</v>
      </c>
      <c r="M8" s="20"/>
      <c r="N8" s="20"/>
    </row>
    <row r="9" ht="14.5" spans="2:14">
      <c r="B9" s="20"/>
      <c r="C9" s="20"/>
      <c r="D9" s="20"/>
      <c r="E9" s="20"/>
      <c r="F9" s="20"/>
      <c r="G9" s="20"/>
      <c r="H9" s="20"/>
      <c r="I9" s="20"/>
      <c r="J9" s="16"/>
      <c r="K9" s="16"/>
      <c r="L9" s="21" t="s">
        <v>153</v>
      </c>
      <c r="M9" s="20"/>
      <c r="N9" s="20"/>
    </row>
    <row r="10" ht="14.5" spans="2:14">
      <c r="B10" s="20"/>
      <c r="C10" s="20"/>
      <c r="D10" s="21" t="s">
        <v>154</v>
      </c>
      <c r="E10" s="21"/>
      <c r="F10" s="21"/>
      <c r="G10" s="20"/>
      <c r="H10" s="20"/>
      <c r="I10" s="20"/>
      <c r="J10" s="16"/>
      <c r="K10" s="16"/>
      <c r="L10" s="21" t="s">
        <v>155</v>
      </c>
      <c r="M10" s="20"/>
      <c r="N10" s="20"/>
    </row>
    <row r="11" ht="14.5" spans="2:14">
      <c r="B11" s="20"/>
      <c r="C11" s="20"/>
      <c r="D11" s="21" t="s">
        <v>156</v>
      </c>
      <c r="E11" s="21" t="s">
        <v>157</v>
      </c>
      <c r="F11" s="21" t="s">
        <v>158</v>
      </c>
      <c r="G11" s="20"/>
      <c r="H11" s="20"/>
      <c r="I11" s="20"/>
      <c r="J11" s="16"/>
      <c r="K11" s="16"/>
      <c r="L11" s="21" t="s">
        <v>159</v>
      </c>
      <c r="M11" s="20"/>
      <c r="N11" s="20"/>
    </row>
    <row r="12" ht="14.5" spans="2:14">
      <c r="B12" s="20"/>
      <c r="C12" s="20"/>
      <c r="D12" s="21" t="s">
        <v>160</v>
      </c>
      <c r="E12" s="21" t="s">
        <v>161</v>
      </c>
      <c r="F12" s="21">
        <v>1055.55</v>
      </c>
      <c r="G12" s="20"/>
      <c r="H12" s="20"/>
      <c r="I12" s="20"/>
      <c r="J12" s="20"/>
      <c r="K12" s="16"/>
      <c r="L12" s="21" t="s">
        <v>162</v>
      </c>
      <c r="M12" s="20"/>
      <c r="N12" s="20"/>
    </row>
    <row r="13" ht="14.5" spans="2:14">
      <c r="B13" s="20"/>
      <c r="C13" s="20"/>
      <c r="D13" s="21" t="s">
        <v>163</v>
      </c>
      <c r="E13" s="21" t="s">
        <v>161</v>
      </c>
      <c r="F13" s="21">
        <v>3.6</v>
      </c>
      <c r="G13" s="20"/>
      <c r="H13" s="20"/>
      <c r="I13" s="20"/>
      <c r="J13" s="20"/>
      <c r="K13" s="16"/>
      <c r="L13" s="21" t="s">
        <v>164</v>
      </c>
      <c r="M13" s="20"/>
      <c r="N13" s="20"/>
    </row>
    <row r="14" ht="14.5" spans="2:14">
      <c r="B14" s="16"/>
      <c r="C14" s="20"/>
      <c r="D14" s="21" t="s">
        <v>165</v>
      </c>
      <c r="E14" s="21" t="s">
        <v>166</v>
      </c>
      <c r="F14" s="21">
        <v>1000</v>
      </c>
      <c r="G14" s="20"/>
      <c r="H14" s="20"/>
      <c r="I14" s="20"/>
      <c r="J14" s="20"/>
      <c r="K14" s="16"/>
      <c r="L14" s="21" t="s">
        <v>167</v>
      </c>
      <c r="M14" s="20"/>
      <c r="N14" s="20"/>
    </row>
    <row r="15" ht="14.5" spans="2:14">
      <c r="B15" s="16"/>
      <c r="C15" s="20"/>
      <c r="D15" s="21" t="s">
        <v>168</v>
      </c>
      <c r="E15" s="21" t="s">
        <v>169</v>
      </c>
      <c r="F15" s="21">
        <v>1000</v>
      </c>
      <c r="G15" s="20"/>
      <c r="H15" s="20"/>
      <c r="I15" s="20"/>
      <c r="J15" s="20"/>
      <c r="K15" s="16"/>
      <c r="L15" s="21" t="s">
        <v>170</v>
      </c>
      <c r="M15" s="20"/>
      <c r="N15" s="20"/>
    </row>
    <row r="16" ht="14.5" spans="2:14">
      <c r="B16" s="16"/>
      <c r="C16" s="20"/>
      <c r="D16" s="21" t="s">
        <v>171</v>
      </c>
      <c r="E16" s="21" t="s">
        <v>161</v>
      </c>
      <c r="F16" s="21">
        <v>1.05555</v>
      </c>
      <c r="G16" s="20"/>
      <c r="H16" s="20"/>
      <c r="I16" s="20"/>
      <c r="J16" s="20"/>
      <c r="K16" s="16"/>
      <c r="L16" s="21" t="s">
        <v>172</v>
      </c>
      <c r="M16" s="20"/>
      <c r="N16" s="20"/>
    </row>
    <row r="17" ht="14.5" spans="2:14">
      <c r="B17" s="20"/>
      <c r="C17" s="20"/>
      <c r="D17" s="21" t="s">
        <v>173</v>
      </c>
      <c r="E17" s="21" t="s">
        <v>161</v>
      </c>
      <c r="F17" s="21">
        <v>0.041868</v>
      </c>
      <c r="G17" s="20"/>
      <c r="H17" s="20"/>
      <c r="I17" s="20"/>
      <c r="J17" s="20"/>
      <c r="K17" s="16"/>
      <c r="L17" s="21" t="s">
        <v>174</v>
      </c>
      <c r="M17" s="20"/>
      <c r="N17" s="20"/>
    </row>
    <row r="18" ht="14.5" spans="2:14">
      <c r="B18" s="20"/>
      <c r="C18" s="20"/>
      <c r="D18" s="21" t="s">
        <v>175</v>
      </c>
      <c r="E18" s="21" t="s">
        <v>161</v>
      </c>
      <c r="F18" s="21">
        <v>41.868</v>
      </c>
      <c r="G18" s="20"/>
      <c r="H18" s="20"/>
      <c r="I18" s="20"/>
      <c r="J18" s="20"/>
      <c r="K18" s="20"/>
      <c r="L18" s="21" t="s">
        <v>176</v>
      </c>
      <c r="M18" s="20"/>
      <c r="N18" s="20"/>
    </row>
    <row r="19" ht="14.5" spans="2:14">
      <c r="B19" s="20"/>
      <c r="C19" s="20"/>
      <c r="D19" s="21" t="s">
        <v>177</v>
      </c>
      <c r="E19" s="21" t="s">
        <v>161</v>
      </c>
      <c r="F19" s="21">
        <v>0.0036</v>
      </c>
      <c r="G19" s="20"/>
      <c r="H19" s="20"/>
      <c r="I19" s="20"/>
      <c r="J19" s="20"/>
      <c r="K19" s="20"/>
      <c r="L19" s="21" t="s">
        <v>178</v>
      </c>
      <c r="M19" s="20"/>
      <c r="N19" s="20"/>
    </row>
    <row r="20" ht="14.5" spans="2:14">
      <c r="B20" s="20"/>
      <c r="C20" s="20"/>
      <c r="D20" s="21" t="s">
        <v>179</v>
      </c>
      <c r="E20" s="21" t="s">
        <v>166</v>
      </c>
      <c r="F20" s="21">
        <v>1000000</v>
      </c>
      <c r="G20" s="20"/>
      <c r="H20" s="20"/>
      <c r="I20" s="20"/>
      <c r="J20" s="20"/>
      <c r="K20" s="20"/>
      <c r="L20" s="21" t="s">
        <v>180</v>
      </c>
      <c r="M20" s="20"/>
      <c r="N20" s="20"/>
    </row>
    <row r="21" ht="14.5" spans="2:14">
      <c r="B21" s="20"/>
      <c r="C21" s="20"/>
      <c r="D21" s="21" t="s">
        <v>181</v>
      </c>
      <c r="E21" s="21" t="s">
        <v>182</v>
      </c>
      <c r="F21" s="21">
        <v>1000</v>
      </c>
      <c r="G21" s="20"/>
      <c r="H21" s="20"/>
      <c r="I21" s="20"/>
      <c r="J21" s="20"/>
      <c r="K21" s="20"/>
      <c r="L21" s="21" t="s">
        <v>183</v>
      </c>
      <c r="M21" s="20"/>
      <c r="N21" s="20"/>
    </row>
    <row r="22" ht="14.5" spans="2:14">
      <c r="B22" s="20"/>
      <c r="C22" s="20"/>
      <c r="D22" s="21" t="s">
        <v>184</v>
      </c>
      <c r="E22" s="21" t="s">
        <v>185</v>
      </c>
      <c r="F22" s="21">
        <v>5.86152</v>
      </c>
      <c r="G22" s="20"/>
      <c r="H22" s="20"/>
      <c r="I22" s="20"/>
      <c r="J22" s="20"/>
      <c r="K22" s="20"/>
      <c r="L22" s="21" t="s">
        <v>186</v>
      </c>
      <c r="M22" s="20"/>
      <c r="N22" s="20"/>
    </row>
    <row r="23" ht="14.5" spans="2:14">
      <c r="B23" s="20"/>
      <c r="C23" s="20"/>
      <c r="D23" s="21" t="s">
        <v>187</v>
      </c>
      <c r="E23" s="21" t="s">
        <v>188</v>
      </c>
      <c r="F23" s="21">
        <v>0.001</v>
      </c>
      <c r="G23" s="20"/>
      <c r="H23" s="20"/>
      <c r="I23" s="20"/>
      <c r="J23" s="20"/>
      <c r="K23" s="20"/>
      <c r="L23" s="21" t="s">
        <v>189</v>
      </c>
      <c r="M23" s="20"/>
      <c r="N23" s="20"/>
    </row>
    <row r="24" ht="14.5" spans="2:14">
      <c r="B24" s="20"/>
      <c r="C24" s="20"/>
      <c r="D24" s="21" t="s">
        <v>190</v>
      </c>
      <c r="E24" s="21" t="s">
        <v>161</v>
      </c>
      <c r="F24" s="21">
        <v>1000</v>
      </c>
      <c r="G24" s="20"/>
      <c r="H24" s="20"/>
      <c r="I24" s="20"/>
      <c r="J24" s="20"/>
      <c r="K24" s="20"/>
      <c r="L24" s="21" t="s">
        <v>191</v>
      </c>
      <c r="M24" s="20"/>
      <c r="N24" s="20"/>
    </row>
    <row r="25" ht="14.5" spans="2:14">
      <c r="B25" s="20"/>
      <c r="C25" s="20"/>
      <c r="D25" s="21" t="s">
        <v>192</v>
      </c>
      <c r="E25" s="21" t="s">
        <v>161</v>
      </c>
      <c r="F25" s="21">
        <v>37.68</v>
      </c>
      <c r="G25" s="20"/>
      <c r="H25" s="20"/>
      <c r="I25" s="20"/>
      <c r="J25" s="20"/>
      <c r="K25" s="20"/>
      <c r="L25" s="21" t="s">
        <v>193</v>
      </c>
      <c r="M25" s="20"/>
      <c r="N25" s="20"/>
    </row>
    <row r="26" ht="14.5" spans="2:14">
      <c r="B26" s="20"/>
      <c r="C26" s="20"/>
      <c r="D26" s="21" t="s">
        <v>194</v>
      </c>
      <c r="E26" s="21" t="s">
        <v>161</v>
      </c>
      <c r="F26" s="21">
        <v>2139.4548</v>
      </c>
      <c r="G26" s="20"/>
      <c r="H26" s="20"/>
      <c r="I26" s="20"/>
      <c r="J26" s="20"/>
      <c r="K26" s="20"/>
      <c r="L26" s="21" t="s">
        <v>195</v>
      </c>
      <c r="M26" s="20"/>
      <c r="N26" s="20"/>
    </row>
    <row r="27" ht="14.5" spans="2:14">
      <c r="B27" s="20"/>
      <c r="C27" s="20"/>
      <c r="D27" s="21" t="s">
        <v>196</v>
      </c>
      <c r="E27" s="21" t="s">
        <v>197</v>
      </c>
      <c r="F27" s="21">
        <v>2.78</v>
      </c>
      <c r="G27" s="20"/>
      <c r="H27" s="20"/>
      <c r="I27" s="20"/>
      <c r="J27" s="20"/>
      <c r="K27" s="20"/>
      <c r="L27" s="21" t="s">
        <v>198</v>
      </c>
      <c r="M27" s="20"/>
      <c r="N27" s="20"/>
    </row>
    <row r="28" ht="14.5" spans="2:14">
      <c r="B28" s="20"/>
      <c r="C28" s="20"/>
      <c r="D28" s="21" t="s">
        <v>199</v>
      </c>
      <c r="E28" s="21" t="s">
        <v>161</v>
      </c>
      <c r="F28" s="21">
        <v>3.6</v>
      </c>
      <c r="G28" s="20"/>
      <c r="H28" s="20"/>
      <c r="I28" s="20"/>
      <c r="J28" s="20"/>
      <c r="K28" s="20"/>
      <c r="L28" s="21" t="s">
        <v>200</v>
      </c>
      <c r="M28" s="20"/>
      <c r="N28" s="20"/>
    </row>
    <row r="29" ht="14.5" spans="2:14">
      <c r="B29" s="20"/>
      <c r="C29" s="20"/>
      <c r="D29" s="21" t="s">
        <v>161</v>
      </c>
      <c r="E29" s="21" t="s">
        <v>161</v>
      </c>
      <c r="F29" s="21">
        <v>1</v>
      </c>
      <c r="G29" s="20"/>
      <c r="H29" s="20"/>
      <c r="I29" s="20"/>
      <c r="J29" s="20"/>
      <c r="K29" s="20"/>
      <c r="L29" s="21" t="s">
        <v>201</v>
      </c>
      <c r="M29" s="20"/>
      <c r="N29" s="20"/>
    </row>
    <row r="30" ht="14.5" spans="2:14">
      <c r="B30" s="20"/>
      <c r="C30" s="20"/>
      <c r="D30" s="21" t="s">
        <v>202</v>
      </c>
      <c r="E30" s="21" t="s">
        <v>161</v>
      </c>
      <c r="F30" s="21">
        <v>31.536</v>
      </c>
      <c r="G30" s="20"/>
      <c r="H30" s="20"/>
      <c r="I30" s="20"/>
      <c r="J30" s="20"/>
      <c r="K30" s="20"/>
      <c r="L30" s="21" t="s">
        <v>203</v>
      </c>
      <c r="M30" s="20"/>
      <c r="N30" s="20"/>
    </row>
    <row r="31" ht="14.5" spans="2:14">
      <c r="B31" s="20"/>
      <c r="C31" s="20"/>
      <c r="D31" s="21" t="s">
        <v>204</v>
      </c>
      <c r="E31" s="21" t="s">
        <v>161</v>
      </c>
      <c r="F31" s="21">
        <v>120</v>
      </c>
      <c r="G31" s="20"/>
      <c r="H31" s="20"/>
      <c r="I31" s="20"/>
      <c r="J31" s="20"/>
      <c r="K31" s="20"/>
      <c r="L31" s="21" t="s">
        <v>205</v>
      </c>
      <c r="M31" s="20"/>
      <c r="N31" s="20"/>
    </row>
    <row r="32" ht="14.5" spans="2:14">
      <c r="B32" s="20"/>
      <c r="C32" s="20"/>
      <c r="D32" s="21" t="s">
        <v>206</v>
      </c>
      <c r="E32" s="21" t="s">
        <v>161</v>
      </c>
      <c r="F32" s="21">
        <v>5.86152</v>
      </c>
      <c r="G32" s="20"/>
      <c r="H32" s="20"/>
      <c r="I32" s="20"/>
      <c r="J32" s="20"/>
      <c r="K32" s="20"/>
      <c r="L32" s="21" t="s">
        <v>207</v>
      </c>
      <c r="M32" s="20"/>
      <c r="N32" s="20"/>
    </row>
    <row r="33" ht="14.5" spans="2:14"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1" t="s">
        <v>208</v>
      </c>
      <c r="M33" s="20"/>
      <c r="N33" s="20"/>
    </row>
    <row r="34" ht="14.5" spans="2:14"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1" t="s">
        <v>209</v>
      </c>
      <c r="M34" s="20"/>
      <c r="N34" s="20"/>
    </row>
    <row r="35" ht="14.5" spans="2:14"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1" t="s">
        <v>210</v>
      </c>
      <c r="M35" s="20"/>
      <c r="N35" s="20"/>
    </row>
    <row r="36" ht="14.5" spans="2:14"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1" t="s">
        <v>211</v>
      </c>
      <c r="M36" s="20"/>
      <c r="N36" s="20"/>
    </row>
    <row r="37" ht="14.5" spans="2:14">
      <c r="B37" s="20"/>
      <c r="C37" s="20"/>
      <c r="D37" s="22"/>
      <c r="E37" s="23"/>
      <c r="F37" s="20"/>
      <c r="G37" s="20"/>
      <c r="H37" s="20"/>
      <c r="I37" s="20"/>
      <c r="J37" s="20"/>
      <c r="K37" s="20"/>
      <c r="L37" s="21" t="s">
        <v>212</v>
      </c>
      <c r="M37" s="20"/>
      <c r="N37" s="20"/>
    </row>
    <row r="38" ht="14.5" spans="2:14"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1" t="s">
        <v>213</v>
      </c>
      <c r="M38" s="20"/>
      <c r="N38" s="20"/>
    </row>
    <row r="39" ht="14.5" spans="2:14"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1" t="s">
        <v>214</v>
      </c>
      <c r="M39" s="20"/>
      <c r="N39" s="20"/>
    </row>
    <row r="40" ht="14.5" spans="2:14"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1" t="s">
        <v>215</v>
      </c>
      <c r="M40" s="20"/>
      <c r="N40" s="20"/>
    </row>
    <row r="41" ht="14.5" spans="2:14"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1" t="s">
        <v>216</v>
      </c>
      <c r="M41" s="20"/>
      <c r="N41" s="20"/>
    </row>
    <row r="42" ht="14.5" spans="2:14"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1" t="s">
        <v>217</v>
      </c>
      <c r="M42" s="20"/>
      <c r="N42" s="20"/>
    </row>
    <row r="43" ht="14.5" spans="2:14"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1" t="s">
        <v>218</v>
      </c>
      <c r="M43" s="20"/>
      <c r="N43" s="20"/>
    </row>
    <row r="44" ht="14.5" spans="2:14"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1" t="s">
        <v>219</v>
      </c>
      <c r="M44" s="20"/>
      <c r="N44" s="20"/>
    </row>
    <row r="45" ht="14.5" spans="2:14"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1" t="s">
        <v>220</v>
      </c>
      <c r="M45" s="20"/>
      <c r="N45" s="20"/>
    </row>
    <row r="46" ht="14.5" spans="2:14"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1" t="s">
        <v>221</v>
      </c>
      <c r="M46" s="20"/>
      <c r="N46" s="20"/>
    </row>
    <row r="47" ht="14.5" spans="2:14"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1" t="s">
        <v>222</v>
      </c>
      <c r="M47" s="20"/>
      <c r="N47" s="20"/>
    </row>
    <row r="48" ht="14.5" spans="2:14"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1" t="s">
        <v>223</v>
      </c>
      <c r="M48" s="20"/>
      <c r="N48" s="20"/>
    </row>
    <row r="49" spans="12:12">
      <c r="L49" s="15" t="s">
        <v>224</v>
      </c>
    </row>
  </sheetData>
  <sortState ref="L5:L47">
    <sortCondition ref="L5:L47"/>
  </sortState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D33"/>
  <sheetViews>
    <sheetView workbookViewId="0">
      <selection activeCell="A1" sqref="A1"/>
    </sheetView>
  </sheetViews>
  <sheetFormatPr defaultColWidth="9" defaultRowHeight="12.5" outlineLevelCol="3"/>
  <cols>
    <col min="3" max="3" width="13.0909090909091" customWidth="1"/>
  </cols>
  <sheetData>
    <row r="3" spans="2:2">
      <c r="B3" t="s">
        <v>117</v>
      </c>
    </row>
    <row r="4" spans="2:4">
      <c r="B4" t="s">
        <v>82</v>
      </c>
      <c r="C4" t="s">
        <v>145</v>
      </c>
      <c r="D4" t="s">
        <v>84</v>
      </c>
    </row>
    <row r="5" spans="2:4">
      <c r="B5" t="s">
        <v>225</v>
      </c>
      <c r="C5" t="s">
        <v>226</v>
      </c>
      <c r="D5">
        <v>-1</v>
      </c>
    </row>
    <row r="6" spans="2:4">
      <c r="B6" t="s">
        <v>225</v>
      </c>
      <c r="C6" t="s">
        <v>227</v>
      </c>
      <c r="D6">
        <v>1</v>
      </c>
    </row>
    <row r="7" spans="2:4">
      <c r="B7" t="s">
        <v>225</v>
      </c>
      <c r="C7" t="s">
        <v>228</v>
      </c>
      <c r="D7">
        <v>1</v>
      </c>
    </row>
    <row r="8" spans="2:4">
      <c r="B8" t="s">
        <v>225</v>
      </c>
      <c r="C8" t="s">
        <v>229</v>
      </c>
      <c r="D8">
        <v>1</v>
      </c>
    </row>
    <row r="9" spans="2:4">
      <c r="B9" t="s">
        <v>225</v>
      </c>
      <c r="C9" t="s">
        <v>230</v>
      </c>
      <c r="D9">
        <v>1</v>
      </c>
    </row>
    <row r="10" spans="2:4">
      <c r="B10" t="s">
        <v>225</v>
      </c>
      <c r="C10" t="s">
        <v>231</v>
      </c>
      <c r="D10">
        <v>1</v>
      </c>
    </row>
    <row r="11" spans="2:4">
      <c r="B11" t="s">
        <v>225</v>
      </c>
      <c r="C11" t="s">
        <v>232</v>
      </c>
      <c r="D11">
        <v>1</v>
      </c>
    </row>
    <row r="12" spans="2:4">
      <c r="B12" t="s">
        <v>225</v>
      </c>
      <c r="C12" t="s">
        <v>227</v>
      </c>
      <c r="D12">
        <v>1</v>
      </c>
    </row>
    <row r="13" spans="2:4">
      <c r="B13" t="s">
        <v>225</v>
      </c>
      <c r="C13" t="s">
        <v>233</v>
      </c>
      <c r="D13">
        <v>1</v>
      </c>
    </row>
    <row r="14" spans="2:4">
      <c r="B14" t="s">
        <v>225</v>
      </c>
      <c r="C14" t="s">
        <v>234</v>
      </c>
      <c r="D14">
        <v>2</v>
      </c>
    </row>
    <row r="15" spans="2:4">
      <c r="B15" t="s">
        <v>225</v>
      </c>
      <c r="C15" t="s">
        <v>235</v>
      </c>
      <c r="D15">
        <v>1</v>
      </c>
    </row>
    <row r="16" spans="2:4">
      <c r="B16" t="s">
        <v>225</v>
      </c>
      <c r="C16" t="s">
        <v>236</v>
      </c>
      <c r="D16" s="14">
        <v>1e-6</v>
      </c>
    </row>
    <row r="17" spans="2:4">
      <c r="B17" t="s">
        <v>225</v>
      </c>
      <c r="C17" t="s">
        <v>237</v>
      </c>
      <c r="D17" s="14">
        <v>1e-6</v>
      </c>
    </row>
    <row r="18" spans="2:4">
      <c r="B18" t="s">
        <v>225</v>
      </c>
      <c r="C18" t="s">
        <v>238</v>
      </c>
      <c r="D18" s="14">
        <v>1e-6</v>
      </c>
    </row>
    <row r="19" spans="2:4">
      <c r="B19" t="s">
        <v>225</v>
      </c>
      <c r="C19" t="s">
        <v>239</v>
      </c>
      <c r="D19" s="14">
        <v>1e-6</v>
      </c>
    </row>
    <row r="25" spans="2:2">
      <c r="B25" t="s">
        <v>240</v>
      </c>
    </row>
    <row r="26" spans="2:3">
      <c r="B26" t="s">
        <v>241</v>
      </c>
      <c r="C26" t="s">
        <v>242</v>
      </c>
    </row>
    <row r="27" spans="2:3">
      <c r="B27" t="s">
        <v>243</v>
      </c>
      <c r="C27" t="s">
        <v>244</v>
      </c>
    </row>
    <row r="28" spans="2:3">
      <c r="B28" t="s">
        <v>245</v>
      </c>
      <c r="C28" t="s">
        <v>244</v>
      </c>
    </row>
    <row r="29" spans="2:3">
      <c r="B29" t="s">
        <v>246</v>
      </c>
      <c r="C29" t="s">
        <v>244</v>
      </c>
    </row>
    <row r="30" spans="2:3">
      <c r="B30" t="s">
        <v>247</v>
      </c>
      <c r="C30" t="s">
        <v>244</v>
      </c>
    </row>
    <row r="31" spans="2:3">
      <c r="B31" t="s">
        <v>248</v>
      </c>
      <c r="C31" t="s">
        <v>244</v>
      </c>
    </row>
    <row r="32" spans="2:2">
      <c r="B32" t="s">
        <v>249</v>
      </c>
    </row>
    <row r="33" spans="2:3">
      <c r="B33" t="s">
        <v>250</v>
      </c>
      <c r="C33" t="s">
        <v>244</v>
      </c>
    </row>
  </sheetData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25"/>
  <sheetViews>
    <sheetView workbookViewId="0">
      <selection activeCell="A1" sqref="A1"/>
    </sheetView>
  </sheetViews>
  <sheetFormatPr defaultColWidth="11.4545454545455" defaultRowHeight="12.5" outlineLevelCol="6"/>
  <cols>
    <col min="1" max="1" width="9.09090909090909" customWidth="1"/>
    <col min="2" max="2" width="15.2727272727273" customWidth="1"/>
    <col min="3" max="3" width="30.2727272727273" customWidth="1"/>
    <col min="4" max="5" width="9.09090909090909" customWidth="1"/>
    <col min="6" max="6" width="15.4545454545455" customWidth="1"/>
  </cols>
  <sheetData>
    <row r="2" spans="2:2">
      <c r="B2" t="s">
        <v>251</v>
      </c>
    </row>
    <row r="3" spans="2:7">
      <c r="B3" s="11" t="s">
        <v>92</v>
      </c>
      <c r="C3" s="11" t="s">
        <v>252</v>
      </c>
      <c r="D3" s="11" t="s">
        <v>84</v>
      </c>
      <c r="E3" s="11" t="s">
        <v>88</v>
      </c>
      <c r="F3" s="11" t="s">
        <v>87</v>
      </c>
      <c r="G3" s="11" t="s">
        <v>253</v>
      </c>
    </row>
    <row r="4" ht="14.5" spans="2:6">
      <c r="B4" s="12" t="s">
        <v>254</v>
      </c>
      <c r="C4" s="12" t="s">
        <v>255</v>
      </c>
      <c r="D4" s="13" t="s">
        <v>256</v>
      </c>
      <c r="F4" s="12" t="s">
        <v>257</v>
      </c>
    </row>
    <row r="5" spans="2:6">
      <c r="B5" s="12" t="s">
        <v>258</v>
      </c>
      <c r="C5" s="10" t="s">
        <v>259</v>
      </c>
      <c r="D5" s="10" t="s">
        <v>256</v>
      </c>
      <c r="F5" s="10" t="s">
        <v>260</v>
      </c>
    </row>
    <row r="6" spans="2:6">
      <c r="B6" t="s">
        <v>261</v>
      </c>
      <c r="C6" t="s">
        <v>262</v>
      </c>
      <c r="D6" t="s">
        <v>256</v>
      </c>
      <c r="F6" t="s">
        <v>263</v>
      </c>
    </row>
    <row r="7" spans="2:6">
      <c r="B7" t="s">
        <v>264</v>
      </c>
      <c r="C7" t="s">
        <v>265</v>
      </c>
      <c r="D7" t="s">
        <v>256</v>
      </c>
      <c r="F7" t="s">
        <v>266</v>
      </c>
    </row>
    <row r="8" spans="2:6">
      <c r="B8" s="10" t="s">
        <v>267</v>
      </c>
      <c r="C8" s="10" t="s">
        <v>268</v>
      </c>
      <c r="D8" s="10" t="s">
        <v>256</v>
      </c>
      <c r="F8" t="s">
        <v>269</v>
      </c>
    </row>
    <row r="9" spans="2:6">
      <c r="B9" s="10" t="s">
        <v>270</v>
      </c>
      <c r="C9" s="10" t="s">
        <v>271</v>
      </c>
      <c r="D9" s="10" t="s">
        <v>256</v>
      </c>
      <c r="F9" s="10" t="s">
        <v>272</v>
      </c>
    </row>
    <row r="10" spans="2:6">
      <c r="B10" s="10" t="s">
        <v>273</v>
      </c>
      <c r="C10" s="10" t="s">
        <v>274</v>
      </c>
      <c r="D10" s="10" t="s">
        <v>256</v>
      </c>
      <c r="F10" s="10" t="s">
        <v>275</v>
      </c>
    </row>
    <row r="11" spans="2:6">
      <c r="B11" s="10" t="s">
        <v>276</v>
      </c>
      <c r="C11" s="10" t="s">
        <v>277</v>
      </c>
      <c r="D11" s="10" t="s">
        <v>256</v>
      </c>
      <c r="F11" t="s">
        <v>278</v>
      </c>
    </row>
    <row r="12" spans="2:6">
      <c r="B12" s="10" t="s">
        <v>279</v>
      </c>
      <c r="C12" s="10" t="s">
        <v>280</v>
      </c>
      <c r="D12" s="10" t="s">
        <v>256</v>
      </c>
      <c r="F12" s="10" t="s">
        <v>281</v>
      </c>
    </row>
    <row r="13" spans="2:6">
      <c r="B13" s="10" t="s">
        <v>282</v>
      </c>
      <c r="D13" s="10" t="s">
        <v>256</v>
      </c>
      <c r="F13" s="10" t="s">
        <v>283</v>
      </c>
    </row>
    <row r="14" spans="2:6">
      <c r="B14" s="10"/>
      <c r="D14" s="10"/>
      <c r="F14" s="10"/>
    </row>
    <row r="16" spans="2:6">
      <c r="B16" s="10" t="s">
        <v>284</v>
      </c>
      <c r="C16" s="10" t="s">
        <v>285</v>
      </c>
      <c r="D16" s="10" t="s">
        <v>256</v>
      </c>
      <c r="F16" t="s">
        <v>286</v>
      </c>
    </row>
    <row r="21" spans="2:2">
      <c r="B21" t="s">
        <v>251</v>
      </c>
    </row>
    <row r="22" spans="2:7">
      <c r="B22" t="s">
        <v>92</v>
      </c>
      <c r="C22" t="s">
        <v>252</v>
      </c>
      <c r="D22" t="s">
        <v>84</v>
      </c>
      <c r="E22" t="s">
        <v>88</v>
      </c>
      <c r="F22" t="s">
        <v>87</v>
      </c>
      <c r="G22" t="s">
        <v>253</v>
      </c>
    </row>
    <row r="23" spans="2:6">
      <c r="B23" t="s">
        <v>287</v>
      </c>
      <c r="C23" t="s">
        <v>288</v>
      </c>
      <c r="D23" t="s">
        <v>244</v>
      </c>
      <c r="E23" t="s">
        <v>289</v>
      </c>
      <c r="F23" t="s">
        <v>290</v>
      </c>
    </row>
    <row r="24" spans="2:6">
      <c r="B24" t="s">
        <v>291</v>
      </c>
      <c r="C24" t="s">
        <v>292</v>
      </c>
      <c r="D24" t="s">
        <v>244</v>
      </c>
      <c r="E24" t="s">
        <v>289</v>
      </c>
      <c r="F24" t="s">
        <v>293</v>
      </c>
    </row>
    <row r="25" spans="2:6">
      <c r="B25" t="s">
        <v>294</v>
      </c>
      <c r="C25" t="s">
        <v>288</v>
      </c>
      <c r="D25" t="s">
        <v>244</v>
      </c>
      <c r="E25" t="s">
        <v>289</v>
      </c>
      <c r="F25" t="s">
        <v>295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48"/>
  <sheetViews>
    <sheetView workbookViewId="0">
      <selection activeCell="A1" sqref="A1"/>
    </sheetView>
  </sheetViews>
  <sheetFormatPr defaultColWidth="9" defaultRowHeight="12.5"/>
  <cols>
    <col min="2" max="2" width="10.0909090909091" customWidth="1"/>
    <col min="3" max="3" width="11.2727272727273" customWidth="1"/>
    <col min="4" max="4" width="30" customWidth="1"/>
    <col min="5" max="5" width="6.09090909090909" customWidth="1"/>
    <col min="6" max="7" width="8.81818181818182" customWidth="1"/>
    <col min="8" max="8" width="7.54545454545455" customWidth="1"/>
    <col min="9" max="9" width="5.81818181818182" customWidth="1"/>
    <col min="11" max="11" width="7" customWidth="1"/>
    <col min="12" max="12" width="16" customWidth="1"/>
    <col min="13" max="13" width="52" customWidth="1"/>
    <col min="20" max="20" width="9.09090909090909" customWidth="1"/>
    <col min="21" max="21" width="15.7272727272727" customWidth="1"/>
    <col min="22" max="22" width="44.8181818181818" customWidth="1"/>
    <col min="23" max="23" width="4.27272727272727" customWidth="1"/>
    <col min="24" max="24" width="8" customWidth="1"/>
    <col min="25" max="25" width="8.81818181818182" customWidth="1"/>
    <col min="26" max="26" width="7.54545454545455" customWidth="1"/>
    <col min="27" max="27" width="7.81818181818182" customWidth="1"/>
  </cols>
  <sheetData>
    <row r="3" spans="2:20">
      <c r="B3" t="s">
        <v>296</v>
      </c>
      <c r="K3" s="8" t="s">
        <v>296</v>
      </c>
      <c r="L3" s="8"/>
      <c r="M3" s="8"/>
      <c r="N3" s="8"/>
      <c r="O3" s="8"/>
      <c r="P3" s="8"/>
      <c r="Q3" s="8"/>
      <c r="R3" s="8"/>
      <c r="T3" t="s">
        <v>296</v>
      </c>
    </row>
    <row r="4" spans="2:27">
      <c r="B4" t="s">
        <v>297</v>
      </c>
      <c r="C4" t="s">
        <v>298</v>
      </c>
      <c r="D4" t="s">
        <v>299</v>
      </c>
      <c r="E4" t="s">
        <v>300</v>
      </c>
      <c r="F4" t="s">
        <v>81</v>
      </c>
      <c r="G4" t="s">
        <v>301</v>
      </c>
      <c r="H4" t="s">
        <v>302</v>
      </c>
      <c r="I4" t="s">
        <v>303</v>
      </c>
      <c r="K4" s="8" t="s">
        <v>304</v>
      </c>
      <c r="L4" s="8" t="s">
        <v>298</v>
      </c>
      <c r="M4" s="8" t="s">
        <v>299</v>
      </c>
      <c r="N4" s="8" t="s">
        <v>300</v>
      </c>
      <c r="O4" s="8" t="s">
        <v>81</v>
      </c>
      <c r="P4" s="8" t="s">
        <v>301</v>
      </c>
      <c r="Q4" s="8" t="s">
        <v>302</v>
      </c>
      <c r="R4" s="8" t="s">
        <v>303</v>
      </c>
      <c r="T4" t="s">
        <v>297</v>
      </c>
      <c r="U4" t="s">
        <v>298</v>
      </c>
      <c r="V4" t="s">
        <v>299</v>
      </c>
      <c r="W4" t="s">
        <v>300</v>
      </c>
      <c r="X4" t="s">
        <v>81</v>
      </c>
      <c r="Y4" t="s">
        <v>301</v>
      </c>
      <c r="Z4" t="s">
        <v>302</v>
      </c>
      <c r="AA4" t="s">
        <v>303</v>
      </c>
    </row>
    <row r="5" spans="2:20">
      <c r="B5" t="s">
        <v>305</v>
      </c>
      <c r="K5" t="s">
        <v>289</v>
      </c>
      <c r="L5" s="8" t="s">
        <v>306</v>
      </c>
      <c r="M5" s="9" t="s">
        <v>307</v>
      </c>
      <c r="N5" s="9" t="s">
        <v>161</v>
      </c>
      <c r="O5" s="8"/>
      <c r="P5" s="8"/>
      <c r="Q5" s="8"/>
      <c r="R5" s="8"/>
      <c r="T5" t="s">
        <v>305</v>
      </c>
    </row>
    <row r="6" spans="2:23">
      <c r="B6" t="s">
        <v>308</v>
      </c>
      <c r="C6" t="s">
        <v>309</v>
      </c>
      <c r="D6" t="s">
        <v>310</v>
      </c>
      <c r="E6" t="s">
        <v>311</v>
      </c>
      <c r="K6" s="8"/>
      <c r="L6" s="8" t="s">
        <v>312</v>
      </c>
      <c r="M6" s="9" t="s">
        <v>313</v>
      </c>
      <c r="N6" s="9" t="s">
        <v>161</v>
      </c>
      <c r="O6" s="8"/>
      <c r="P6" s="8"/>
      <c r="Q6" s="8"/>
      <c r="T6" t="s">
        <v>308</v>
      </c>
      <c r="U6" t="s">
        <v>314</v>
      </c>
      <c r="V6" t="s">
        <v>315</v>
      </c>
      <c r="W6" t="s">
        <v>311</v>
      </c>
    </row>
    <row r="7" spans="2:23">
      <c r="B7" t="s">
        <v>308</v>
      </c>
      <c r="C7" t="s">
        <v>316</v>
      </c>
      <c r="D7" t="s">
        <v>317</v>
      </c>
      <c r="E7" t="s">
        <v>318</v>
      </c>
      <c r="K7" t="s">
        <v>308</v>
      </c>
      <c r="L7" s="10" t="s">
        <v>319</v>
      </c>
      <c r="M7" s="9" t="s">
        <v>320</v>
      </c>
      <c r="N7" s="9" t="s">
        <v>318</v>
      </c>
      <c r="O7" t="s">
        <v>93</v>
      </c>
      <c r="T7" t="s">
        <v>308</v>
      </c>
      <c r="U7" t="s">
        <v>321</v>
      </c>
      <c r="V7" t="s">
        <v>322</v>
      </c>
      <c r="W7" t="s">
        <v>318</v>
      </c>
    </row>
    <row r="8" spans="2:23">
      <c r="B8" t="s">
        <v>323</v>
      </c>
      <c r="C8" t="s">
        <v>324</v>
      </c>
      <c r="D8" t="s">
        <v>325</v>
      </c>
      <c r="E8" t="s">
        <v>318</v>
      </c>
      <c r="L8" s="10" t="s">
        <v>326</v>
      </c>
      <c r="M8" s="9" t="s">
        <v>327</v>
      </c>
      <c r="N8" s="9" t="s">
        <v>318</v>
      </c>
      <c r="O8" t="s">
        <v>93</v>
      </c>
      <c r="T8" t="s">
        <v>308</v>
      </c>
      <c r="U8" t="s">
        <v>328</v>
      </c>
      <c r="V8" t="s">
        <v>329</v>
      </c>
      <c r="W8" t="s">
        <v>318</v>
      </c>
    </row>
    <row r="9" spans="2:23">
      <c r="B9" t="s">
        <v>308</v>
      </c>
      <c r="C9" t="s">
        <v>330</v>
      </c>
      <c r="D9" t="s">
        <v>331</v>
      </c>
      <c r="E9" t="s">
        <v>311</v>
      </c>
      <c r="L9" s="10" t="s">
        <v>332</v>
      </c>
      <c r="M9" s="9" t="s">
        <v>333</v>
      </c>
      <c r="N9" s="9" t="s">
        <v>318</v>
      </c>
      <c r="O9" t="s">
        <v>93</v>
      </c>
      <c r="T9" t="s">
        <v>308</v>
      </c>
      <c r="U9" t="s">
        <v>334</v>
      </c>
      <c r="V9" t="s">
        <v>335</v>
      </c>
      <c r="W9" t="s">
        <v>311</v>
      </c>
    </row>
    <row r="10" spans="2:23">
      <c r="B10" t="s">
        <v>308</v>
      </c>
      <c r="C10" t="s">
        <v>336</v>
      </c>
      <c r="D10" t="s">
        <v>337</v>
      </c>
      <c r="E10" t="s">
        <v>318</v>
      </c>
      <c r="L10" s="10" t="s">
        <v>338</v>
      </c>
      <c r="M10" s="9" t="s">
        <v>339</v>
      </c>
      <c r="N10" s="9" t="s">
        <v>318</v>
      </c>
      <c r="T10" t="s">
        <v>308</v>
      </c>
      <c r="U10" t="s">
        <v>340</v>
      </c>
      <c r="V10" t="s">
        <v>341</v>
      </c>
      <c r="W10" t="s">
        <v>318</v>
      </c>
    </row>
    <row r="11" spans="2:23">
      <c r="B11" t="s">
        <v>308</v>
      </c>
      <c r="C11" t="s">
        <v>342</v>
      </c>
      <c r="D11" t="s">
        <v>343</v>
      </c>
      <c r="E11" t="s">
        <v>311</v>
      </c>
      <c r="L11" s="10" t="s">
        <v>344</v>
      </c>
      <c r="M11" s="9" t="s">
        <v>345</v>
      </c>
      <c r="N11" s="9" t="s">
        <v>346</v>
      </c>
      <c r="T11" t="s">
        <v>308</v>
      </c>
      <c r="U11" t="s">
        <v>347</v>
      </c>
      <c r="V11" t="s">
        <v>348</v>
      </c>
      <c r="W11" t="s">
        <v>311</v>
      </c>
    </row>
    <row r="12" spans="3:23">
      <c r="C12" t="s">
        <v>349</v>
      </c>
      <c r="D12" t="s">
        <v>350</v>
      </c>
      <c r="E12" t="s">
        <v>318</v>
      </c>
      <c r="K12" t="s">
        <v>289</v>
      </c>
      <c r="L12" t="s">
        <v>351</v>
      </c>
      <c r="M12" t="s">
        <v>352</v>
      </c>
      <c r="N12" t="s">
        <v>161</v>
      </c>
      <c r="T12" t="s">
        <v>308</v>
      </c>
      <c r="U12" t="s">
        <v>353</v>
      </c>
      <c r="V12" t="s">
        <v>354</v>
      </c>
      <c r="W12" t="s">
        <v>318</v>
      </c>
    </row>
    <row r="13" spans="3:23">
      <c r="C13" t="s">
        <v>355</v>
      </c>
      <c r="D13" t="s">
        <v>356</v>
      </c>
      <c r="E13" t="s">
        <v>318</v>
      </c>
      <c r="K13" t="s">
        <v>289</v>
      </c>
      <c r="L13" t="s">
        <v>357</v>
      </c>
      <c r="M13" t="s">
        <v>358</v>
      </c>
      <c r="N13" t="s">
        <v>161</v>
      </c>
      <c r="P13" t="s">
        <v>359</v>
      </c>
      <c r="R13" t="s">
        <v>360</v>
      </c>
      <c r="T13" t="s">
        <v>308</v>
      </c>
      <c r="U13" t="s">
        <v>361</v>
      </c>
      <c r="V13" t="s">
        <v>362</v>
      </c>
      <c r="W13" t="s">
        <v>318</v>
      </c>
    </row>
    <row r="14" spans="3:24">
      <c r="C14" t="s">
        <v>363</v>
      </c>
      <c r="D14" t="s">
        <v>364</v>
      </c>
      <c r="E14" t="s">
        <v>318</v>
      </c>
      <c r="K14" t="s">
        <v>289</v>
      </c>
      <c r="L14" t="s">
        <v>365</v>
      </c>
      <c r="M14" t="s">
        <v>366</v>
      </c>
      <c r="N14" t="s">
        <v>161</v>
      </c>
      <c r="P14" t="s">
        <v>359</v>
      </c>
      <c r="U14" t="s">
        <v>367</v>
      </c>
      <c r="V14" t="s">
        <v>368</v>
      </c>
      <c r="W14" t="s">
        <v>318</v>
      </c>
      <c r="X14" t="s">
        <v>93</v>
      </c>
    </row>
    <row r="15" spans="3:14">
      <c r="C15" t="s">
        <v>369</v>
      </c>
      <c r="D15" t="s">
        <v>370</v>
      </c>
      <c r="E15" t="s">
        <v>318</v>
      </c>
      <c r="L15" t="s">
        <v>371</v>
      </c>
      <c r="M15" t="s">
        <v>372</v>
      </c>
      <c r="N15" t="s">
        <v>161</v>
      </c>
    </row>
    <row r="16" spans="3:14">
      <c r="C16" t="s">
        <v>373</v>
      </c>
      <c r="D16" t="s">
        <v>374</v>
      </c>
      <c r="E16" t="s">
        <v>318</v>
      </c>
      <c r="K16" t="s">
        <v>308</v>
      </c>
      <c r="L16" t="s">
        <v>375</v>
      </c>
      <c r="M16" t="s">
        <v>345</v>
      </c>
      <c r="N16" t="s">
        <v>346</v>
      </c>
    </row>
    <row r="17" spans="3:14">
      <c r="C17" t="s">
        <v>376</v>
      </c>
      <c r="D17" t="s">
        <v>377</v>
      </c>
      <c r="E17" t="s">
        <v>318</v>
      </c>
      <c r="L17" t="s">
        <v>378</v>
      </c>
      <c r="M17" t="s">
        <v>379</v>
      </c>
      <c r="N17" t="s">
        <v>346</v>
      </c>
    </row>
    <row r="18" spans="3:14">
      <c r="C18" t="s">
        <v>380</v>
      </c>
      <c r="D18" t="s">
        <v>381</v>
      </c>
      <c r="E18" t="s">
        <v>318</v>
      </c>
      <c r="L18" t="s">
        <v>382</v>
      </c>
      <c r="M18" t="s">
        <v>383</v>
      </c>
      <c r="N18" t="s">
        <v>346</v>
      </c>
    </row>
    <row r="19" spans="3:14">
      <c r="C19" t="s">
        <v>384</v>
      </c>
      <c r="D19" t="s">
        <v>385</v>
      </c>
      <c r="E19" t="s">
        <v>318</v>
      </c>
      <c r="L19" t="s">
        <v>386</v>
      </c>
      <c r="M19" t="s">
        <v>387</v>
      </c>
      <c r="N19" t="s">
        <v>346</v>
      </c>
    </row>
    <row r="20" spans="3:14">
      <c r="C20" t="s">
        <v>388</v>
      </c>
      <c r="D20" t="s">
        <v>389</v>
      </c>
      <c r="E20" t="s">
        <v>318</v>
      </c>
      <c r="L20" t="s">
        <v>390</v>
      </c>
      <c r="M20" t="s">
        <v>391</v>
      </c>
      <c r="N20" t="s">
        <v>346</v>
      </c>
    </row>
    <row r="21" spans="3:15">
      <c r="C21" t="s">
        <v>392</v>
      </c>
      <c r="D21" t="s">
        <v>393</v>
      </c>
      <c r="E21" t="s">
        <v>318</v>
      </c>
      <c r="L21" t="s">
        <v>394</v>
      </c>
      <c r="M21" t="s">
        <v>395</v>
      </c>
      <c r="N21" t="s">
        <v>318</v>
      </c>
      <c r="O21" t="s">
        <v>93</v>
      </c>
    </row>
    <row r="22" spans="3:15">
      <c r="C22" t="s">
        <v>396</v>
      </c>
      <c r="D22" t="s">
        <v>397</v>
      </c>
      <c r="E22" t="s">
        <v>318</v>
      </c>
      <c r="L22" t="s">
        <v>398</v>
      </c>
      <c r="M22" t="s">
        <v>399</v>
      </c>
      <c r="N22" t="s">
        <v>318</v>
      </c>
      <c r="O22" t="s">
        <v>93</v>
      </c>
    </row>
    <row r="23" spans="3:15">
      <c r="C23" t="s">
        <v>400</v>
      </c>
      <c r="D23" t="s">
        <v>401</v>
      </c>
      <c r="E23" t="s">
        <v>318</v>
      </c>
      <c r="L23" t="s">
        <v>402</v>
      </c>
      <c r="M23" t="s">
        <v>403</v>
      </c>
      <c r="N23" t="s">
        <v>318</v>
      </c>
      <c r="O23" t="s">
        <v>93</v>
      </c>
    </row>
    <row r="24" spans="3:15">
      <c r="C24" t="s">
        <v>404</v>
      </c>
      <c r="D24" t="s">
        <v>405</v>
      </c>
      <c r="E24" t="s">
        <v>318</v>
      </c>
      <c r="L24" t="s">
        <v>406</v>
      </c>
      <c r="M24" t="s">
        <v>407</v>
      </c>
      <c r="N24" t="s">
        <v>318</v>
      </c>
      <c r="O24" t="s">
        <v>93</v>
      </c>
    </row>
    <row r="25" spans="3:14">
      <c r="C25" t="s">
        <v>408</v>
      </c>
      <c r="D25" t="s">
        <v>409</v>
      </c>
      <c r="E25" t="s">
        <v>318</v>
      </c>
      <c r="L25" t="s">
        <v>410</v>
      </c>
      <c r="M25" t="s">
        <v>411</v>
      </c>
      <c r="N25" t="s">
        <v>318</v>
      </c>
    </row>
    <row r="26" spans="3:14">
      <c r="C26" t="s">
        <v>412</v>
      </c>
      <c r="D26" t="s">
        <v>413</v>
      </c>
      <c r="E26" t="s">
        <v>318</v>
      </c>
      <c r="K26" t="s">
        <v>103</v>
      </c>
      <c r="L26" t="s">
        <v>414</v>
      </c>
      <c r="M26" t="s">
        <v>415</v>
      </c>
      <c r="N26" t="s">
        <v>161</v>
      </c>
    </row>
    <row r="27" spans="3:5">
      <c r="C27" t="s">
        <v>416</v>
      </c>
      <c r="D27" t="s">
        <v>417</v>
      </c>
      <c r="E27" t="s">
        <v>318</v>
      </c>
    </row>
    <row r="28" spans="3:5">
      <c r="C28" t="s">
        <v>418</v>
      </c>
      <c r="D28" t="s">
        <v>419</v>
      </c>
      <c r="E28" t="s">
        <v>318</v>
      </c>
    </row>
    <row r="29" spans="3:5">
      <c r="C29" t="s">
        <v>420</v>
      </c>
      <c r="D29" t="s">
        <v>421</v>
      </c>
      <c r="E29" t="s">
        <v>318</v>
      </c>
    </row>
    <row r="30" spans="3:5">
      <c r="C30" t="s">
        <v>422</v>
      </c>
      <c r="D30" t="s">
        <v>423</v>
      </c>
      <c r="E30" t="s">
        <v>318</v>
      </c>
    </row>
    <row r="31" spans="3:5">
      <c r="C31" t="s">
        <v>424</v>
      </c>
      <c r="D31" t="s">
        <v>425</v>
      </c>
      <c r="E31" t="s">
        <v>318</v>
      </c>
    </row>
    <row r="32" spans="3:5">
      <c r="C32" t="s">
        <v>426</v>
      </c>
      <c r="D32" t="s">
        <v>427</v>
      </c>
      <c r="E32" t="s">
        <v>318</v>
      </c>
    </row>
    <row r="33" spans="3:5">
      <c r="C33" t="s">
        <v>428</v>
      </c>
      <c r="D33" t="s">
        <v>429</v>
      </c>
      <c r="E33" t="s">
        <v>318</v>
      </c>
    </row>
    <row r="34" spans="3:5">
      <c r="C34" t="s">
        <v>430</v>
      </c>
      <c r="D34" t="s">
        <v>431</v>
      </c>
      <c r="E34" t="s">
        <v>318</v>
      </c>
    </row>
    <row r="35" spans="3:5">
      <c r="C35" t="s">
        <v>432</v>
      </c>
      <c r="D35" t="s">
        <v>433</v>
      </c>
      <c r="E35" t="s">
        <v>318</v>
      </c>
    </row>
    <row r="36" spans="3:5">
      <c r="C36" t="s">
        <v>434</v>
      </c>
      <c r="D36" t="s">
        <v>435</v>
      </c>
      <c r="E36" t="s">
        <v>318</v>
      </c>
    </row>
    <row r="37" spans="3:5">
      <c r="C37" t="s">
        <v>436</v>
      </c>
      <c r="D37" t="s">
        <v>437</v>
      </c>
      <c r="E37" t="s">
        <v>318</v>
      </c>
    </row>
    <row r="38" spans="3:5">
      <c r="C38" t="s">
        <v>438</v>
      </c>
      <c r="D38" t="s">
        <v>439</v>
      </c>
      <c r="E38" t="s">
        <v>318</v>
      </c>
    </row>
    <row r="39" spans="3:5">
      <c r="C39" t="s">
        <v>440</v>
      </c>
      <c r="D39" t="s">
        <v>441</v>
      </c>
      <c r="E39" t="s">
        <v>318</v>
      </c>
    </row>
    <row r="40" spans="3:5">
      <c r="C40" t="s">
        <v>442</v>
      </c>
      <c r="D40" t="s">
        <v>443</v>
      </c>
      <c r="E40" t="s">
        <v>318</v>
      </c>
    </row>
    <row r="41" spans="3:5">
      <c r="C41" t="s">
        <v>444</v>
      </c>
      <c r="D41" t="s">
        <v>445</v>
      </c>
      <c r="E41" t="s">
        <v>346</v>
      </c>
    </row>
    <row r="42" spans="2:5">
      <c r="B42" t="s">
        <v>289</v>
      </c>
      <c r="C42" t="s">
        <v>446</v>
      </c>
      <c r="E42" t="s">
        <v>161</v>
      </c>
    </row>
    <row r="45" ht="14.5" spans="2:2">
      <c r="B45" s="6" t="s">
        <v>296</v>
      </c>
    </row>
    <row r="46" ht="14.5" spans="2:7">
      <c r="B46" s="6" t="s">
        <v>304</v>
      </c>
      <c r="C46" s="6" t="s">
        <v>298</v>
      </c>
      <c r="D46" s="6" t="s">
        <v>299</v>
      </c>
      <c r="E46" s="6" t="s">
        <v>300</v>
      </c>
      <c r="F46" t="s">
        <v>301</v>
      </c>
      <c r="G46" s="6" t="s">
        <v>81</v>
      </c>
    </row>
    <row r="47" ht="14.5" spans="3:5">
      <c r="C47" s="6" t="s">
        <v>447</v>
      </c>
      <c r="D47" t="s">
        <v>448</v>
      </c>
      <c r="E47" s="6" t="s">
        <v>161</v>
      </c>
    </row>
    <row r="48" ht="14.5" spans="2:7">
      <c r="B48" t="s">
        <v>308</v>
      </c>
      <c r="C48" s="6" t="s">
        <v>449</v>
      </c>
      <c r="D48" t="s">
        <v>450</v>
      </c>
      <c r="E48" s="6" t="s">
        <v>451</v>
      </c>
      <c r="F48" t="s">
        <v>359</v>
      </c>
      <c r="G48" s="7" t="s">
        <v>452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W3465"/>
  <sheetViews>
    <sheetView topLeftCell="H223" workbookViewId="0">
      <selection activeCell="S242" sqref="S242"/>
    </sheetView>
  </sheetViews>
  <sheetFormatPr defaultColWidth="9" defaultRowHeight="12.5"/>
  <cols>
    <col min="2" max="2" width="10.2727272727273" customWidth="1"/>
    <col min="3" max="3" width="11.2727272727273" customWidth="1"/>
    <col min="4" max="4" width="62.2727272727273" customWidth="1"/>
    <col min="5" max="5" width="4.81818181818182" customWidth="1"/>
    <col min="6" max="6" width="8.54545454545454" customWidth="1"/>
    <col min="7" max="7" width="7.45454545454545" customWidth="1"/>
    <col min="9" max="9" width="10.2727272727273" customWidth="1"/>
    <col min="10" max="10" width="11.4545454545455" customWidth="1"/>
    <col min="11" max="11" width="57.0909090909091" customWidth="1"/>
    <col min="12" max="12" width="4.81818181818182" customWidth="1"/>
    <col min="13" max="13" width="8.54545454545454" customWidth="1"/>
    <col min="14" max="14" width="7.45454545454545" customWidth="1"/>
    <col min="20" max="20" width="20.5454545454545" customWidth="1"/>
  </cols>
  <sheetData>
    <row r="2" ht="14.5" spans="2:18">
      <c r="B2" s="1" t="s">
        <v>296</v>
      </c>
      <c r="C2" s="1"/>
      <c r="D2" s="1"/>
      <c r="E2" s="1"/>
      <c r="F2" s="1"/>
      <c r="G2" s="1"/>
      <c r="H2" s="1"/>
      <c r="I2" s="1" t="s">
        <v>296</v>
      </c>
      <c r="J2" s="1"/>
      <c r="K2" s="1"/>
      <c r="L2" s="1"/>
      <c r="M2" s="1"/>
      <c r="N2" s="1"/>
      <c r="R2" t="s">
        <v>296</v>
      </c>
    </row>
    <row r="3" ht="15.25" spans="2:22">
      <c r="B3" s="2" t="s">
        <v>453</v>
      </c>
      <c r="C3" s="2" t="s">
        <v>454</v>
      </c>
      <c r="D3" s="2" t="s">
        <v>252</v>
      </c>
      <c r="E3" s="2" t="s">
        <v>300</v>
      </c>
      <c r="F3" s="2" t="s">
        <v>455</v>
      </c>
      <c r="G3" s="2" t="s">
        <v>456</v>
      </c>
      <c r="H3" s="1"/>
      <c r="I3" s="2" t="s">
        <v>453</v>
      </c>
      <c r="J3" s="2" t="s">
        <v>457</v>
      </c>
      <c r="K3" s="2" t="s">
        <v>252</v>
      </c>
      <c r="L3" s="2" t="s">
        <v>300</v>
      </c>
      <c r="M3" s="2" t="s">
        <v>455</v>
      </c>
      <c r="N3" s="2" t="s">
        <v>456</v>
      </c>
      <c r="O3" t="s">
        <v>454</v>
      </c>
      <c r="R3" t="s">
        <v>304</v>
      </c>
      <c r="S3" t="s">
        <v>298</v>
      </c>
      <c r="T3" t="s">
        <v>299</v>
      </c>
      <c r="U3" t="s">
        <v>300</v>
      </c>
      <c r="V3" t="s">
        <v>301</v>
      </c>
    </row>
    <row r="4" ht="14.5" spans="2:22">
      <c r="B4" s="1" t="s">
        <v>289</v>
      </c>
      <c r="C4" s="1" t="s">
        <v>458</v>
      </c>
      <c r="D4" s="1" t="s">
        <v>459</v>
      </c>
      <c r="E4" s="1" t="s">
        <v>161</v>
      </c>
      <c r="F4" s="1"/>
      <c r="G4" s="1"/>
      <c r="H4" s="1"/>
      <c r="I4" s="1" t="s">
        <v>289</v>
      </c>
      <c r="J4" s="1" t="s">
        <v>460</v>
      </c>
      <c r="K4" s="1" t="s">
        <v>461</v>
      </c>
      <c r="L4" s="1" t="s">
        <v>161</v>
      </c>
      <c r="M4" s="1"/>
      <c r="N4" s="1"/>
      <c r="O4" t="s">
        <v>460</v>
      </c>
      <c r="R4" t="s">
        <v>289</v>
      </c>
      <c r="S4" t="s">
        <v>462</v>
      </c>
      <c r="T4" t="s">
        <v>463</v>
      </c>
      <c r="U4" t="s">
        <v>161</v>
      </c>
      <c r="V4" t="s">
        <v>359</v>
      </c>
    </row>
    <row r="5" ht="14.5" spans="2:21">
      <c r="B5" s="1" t="s">
        <v>289</v>
      </c>
      <c r="C5" s="1" t="s">
        <v>464</v>
      </c>
      <c r="D5" s="1" t="s">
        <v>465</v>
      </c>
      <c r="E5" s="1" t="s">
        <v>161</v>
      </c>
      <c r="F5" s="1"/>
      <c r="G5" s="1"/>
      <c r="H5" s="1"/>
      <c r="I5" s="1"/>
      <c r="J5" s="1" t="s">
        <v>466</v>
      </c>
      <c r="K5" s="1" t="s">
        <v>467</v>
      </c>
      <c r="L5" s="1" t="s">
        <v>161</v>
      </c>
      <c r="M5" s="1"/>
      <c r="N5" s="1"/>
      <c r="O5" t="s">
        <v>466</v>
      </c>
      <c r="S5" t="s">
        <v>468</v>
      </c>
      <c r="T5" t="s">
        <v>469</v>
      </c>
      <c r="U5" t="s">
        <v>161</v>
      </c>
    </row>
    <row r="6" ht="14.5" spans="2:22">
      <c r="B6" s="1" t="s">
        <v>289</v>
      </c>
      <c r="C6" s="1" t="s">
        <v>470</v>
      </c>
      <c r="D6" s="1" t="s">
        <v>471</v>
      </c>
      <c r="E6" s="1" t="s">
        <v>161</v>
      </c>
      <c r="F6" s="1"/>
      <c r="G6" s="1"/>
      <c r="H6" s="1"/>
      <c r="I6" s="1"/>
      <c r="J6" s="1" t="s">
        <v>472</v>
      </c>
      <c r="K6" s="1" t="s">
        <v>473</v>
      </c>
      <c r="L6" s="1" t="s">
        <v>161</v>
      </c>
      <c r="M6" s="1"/>
      <c r="N6" s="1"/>
      <c r="O6" t="s">
        <v>474</v>
      </c>
      <c r="S6" t="s">
        <v>475</v>
      </c>
      <c r="T6" t="s">
        <v>476</v>
      </c>
      <c r="U6" t="s">
        <v>161</v>
      </c>
      <c r="V6" t="s">
        <v>359</v>
      </c>
    </row>
    <row r="7" ht="14.5" spans="2:22">
      <c r="B7" s="1" t="s">
        <v>289</v>
      </c>
      <c r="C7" s="1" t="s">
        <v>477</v>
      </c>
      <c r="D7" s="1" t="s">
        <v>478</v>
      </c>
      <c r="E7" s="1" t="s">
        <v>161</v>
      </c>
      <c r="F7" s="1"/>
      <c r="G7" s="1"/>
      <c r="H7" s="1"/>
      <c r="I7" s="1"/>
      <c r="J7" s="1" t="s">
        <v>479</v>
      </c>
      <c r="K7" s="1" t="s">
        <v>480</v>
      </c>
      <c r="L7" s="1" t="s">
        <v>161</v>
      </c>
      <c r="M7" s="1" t="s">
        <v>359</v>
      </c>
      <c r="N7" s="1" t="s">
        <v>360</v>
      </c>
      <c r="O7" t="s">
        <v>479</v>
      </c>
      <c r="S7" t="s">
        <v>481</v>
      </c>
      <c r="T7" t="s">
        <v>482</v>
      </c>
      <c r="U7" t="s">
        <v>161</v>
      </c>
      <c r="V7" t="s">
        <v>359</v>
      </c>
    </row>
    <row r="8" ht="14.5" spans="2:22">
      <c r="B8" s="1" t="s">
        <v>289</v>
      </c>
      <c r="C8" s="1" t="s">
        <v>483</v>
      </c>
      <c r="D8" s="1" t="s">
        <v>484</v>
      </c>
      <c r="E8" s="1" t="s">
        <v>161</v>
      </c>
      <c r="F8" s="1"/>
      <c r="G8" s="1"/>
      <c r="H8" s="1"/>
      <c r="I8" s="1"/>
      <c r="J8" s="1" t="s">
        <v>485</v>
      </c>
      <c r="K8" s="1" t="s">
        <v>486</v>
      </c>
      <c r="L8" s="1" t="s">
        <v>161</v>
      </c>
      <c r="M8" s="1"/>
      <c r="N8" s="1"/>
      <c r="O8" t="s">
        <v>485</v>
      </c>
      <c r="S8" t="s">
        <v>487</v>
      </c>
      <c r="T8" t="s">
        <v>488</v>
      </c>
      <c r="U8" t="s">
        <v>161</v>
      </c>
      <c r="V8" t="s">
        <v>359</v>
      </c>
    </row>
    <row r="9" ht="14.5" spans="2:22">
      <c r="B9" s="1" t="s">
        <v>289</v>
      </c>
      <c r="C9" s="1" t="s">
        <v>489</v>
      </c>
      <c r="D9" s="1" t="s">
        <v>490</v>
      </c>
      <c r="E9" s="1" t="s">
        <v>161</v>
      </c>
      <c r="F9" s="1"/>
      <c r="G9" s="1"/>
      <c r="H9" s="1"/>
      <c r="I9" s="1"/>
      <c r="J9" s="1" t="s">
        <v>491</v>
      </c>
      <c r="K9" s="1" t="s">
        <v>492</v>
      </c>
      <c r="L9" s="1" t="s">
        <v>161</v>
      </c>
      <c r="M9" s="1" t="s">
        <v>139</v>
      </c>
      <c r="N9" s="1" t="s">
        <v>493</v>
      </c>
      <c r="O9" t="s">
        <v>491</v>
      </c>
      <c r="S9" t="s">
        <v>494</v>
      </c>
      <c r="T9" t="s">
        <v>495</v>
      </c>
      <c r="U9" t="s">
        <v>161</v>
      </c>
      <c r="V9" t="s">
        <v>359</v>
      </c>
    </row>
    <row r="10" ht="14.5" spans="2:15">
      <c r="B10" s="1" t="s">
        <v>289</v>
      </c>
      <c r="C10" s="1" t="s">
        <v>496</v>
      </c>
      <c r="D10" s="1" t="s">
        <v>497</v>
      </c>
      <c r="E10" s="1" t="s">
        <v>161</v>
      </c>
      <c r="F10" s="1"/>
      <c r="G10" s="1"/>
      <c r="H10" s="1"/>
      <c r="I10" s="1"/>
      <c r="J10" s="1" t="s">
        <v>498</v>
      </c>
      <c r="K10" s="1" t="s">
        <v>499</v>
      </c>
      <c r="L10" s="1" t="s">
        <v>161</v>
      </c>
      <c r="M10" s="1"/>
      <c r="N10" s="1"/>
      <c r="O10" t="s">
        <v>474</v>
      </c>
    </row>
    <row r="11" ht="14.5" spans="2:15">
      <c r="B11" s="1" t="s">
        <v>289</v>
      </c>
      <c r="C11" s="1" t="s">
        <v>500</v>
      </c>
      <c r="D11" s="1" t="s">
        <v>501</v>
      </c>
      <c r="E11" s="1" t="s">
        <v>161</v>
      </c>
      <c r="F11" s="1"/>
      <c r="G11" s="1"/>
      <c r="H11" s="1"/>
      <c r="I11" s="1"/>
      <c r="J11" s="1" t="s">
        <v>502</v>
      </c>
      <c r="K11" s="1" t="s">
        <v>503</v>
      </c>
      <c r="L11" s="1" t="s">
        <v>161</v>
      </c>
      <c r="M11" s="1"/>
      <c r="N11" s="1"/>
      <c r="O11" t="s">
        <v>502</v>
      </c>
    </row>
    <row r="12" ht="14.5" spans="2:15">
      <c r="B12" s="1" t="s">
        <v>289</v>
      </c>
      <c r="C12" s="1" t="s">
        <v>504</v>
      </c>
      <c r="D12" s="1" t="s">
        <v>505</v>
      </c>
      <c r="E12" s="1" t="s">
        <v>161</v>
      </c>
      <c r="F12" s="1"/>
      <c r="G12" s="1"/>
      <c r="H12" s="1"/>
      <c r="I12" s="1"/>
      <c r="J12" s="1" t="s">
        <v>506</v>
      </c>
      <c r="K12" s="1" t="s">
        <v>507</v>
      </c>
      <c r="L12" s="1" t="s">
        <v>161</v>
      </c>
      <c r="M12" s="1"/>
      <c r="N12" s="1"/>
      <c r="O12" t="s">
        <v>506</v>
      </c>
    </row>
    <row r="13" ht="14.5" spans="2:23">
      <c r="B13" s="1" t="s">
        <v>289</v>
      </c>
      <c r="C13" s="1" t="s">
        <v>508</v>
      </c>
      <c r="D13" s="1" t="s">
        <v>509</v>
      </c>
      <c r="E13" s="1" t="s">
        <v>161</v>
      </c>
      <c r="F13" s="1"/>
      <c r="G13" s="1"/>
      <c r="H13" s="1"/>
      <c r="I13" s="1"/>
      <c r="J13" s="1" t="s">
        <v>510</v>
      </c>
      <c r="K13" s="1" t="s">
        <v>511</v>
      </c>
      <c r="L13" s="1" t="s">
        <v>161</v>
      </c>
      <c r="M13" s="1"/>
      <c r="N13" s="1"/>
      <c r="O13" t="s">
        <v>474</v>
      </c>
      <c r="R13" s="4" t="s">
        <v>296</v>
      </c>
      <c r="S13" s="4"/>
      <c r="T13" s="4"/>
      <c r="U13" s="4"/>
      <c r="V13" s="4"/>
      <c r="W13" s="4"/>
    </row>
    <row r="14" ht="14.5" spans="2:23">
      <c r="B14" s="1" t="s">
        <v>289</v>
      </c>
      <c r="C14" s="1" t="s">
        <v>512</v>
      </c>
      <c r="D14" s="1" t="s">
        <v>513</v>
      </c>
      <c r="E14" s="1" t="s">
        <v>161</v>
      </c>
      <c r="F14" s="1"/>
      <c r="G14" s="1"/>
      <c r="H14" s="1"/>
      <c r="I14" s="1"/>
      <c r="J14" s="1" t="s">
        <v>514</v>
      </c>
      <c r="K14" s="1" t="s">
        <v>515</v>
      </c>
      <c r="L14" s="1" t="s">
        <v>161</v>
      </c>
      <c r="M14" s="1"/>
      <c r="N14" s="1"/>
      <c r="O14" t="s">
        <v>514</v>
      </c>
      <c r="R14" s="4" t="s">
        <v>453</v>
      </c>
      <c r="S14" s="4" t="s">
        <v>3</v>
      </c>
      <c r="T14" s="4" t="s">
        <v>454</v>
      </c>
      <c r="U14" s="4" t="s">
        <v>516</v>
      </c>
      <c r="V14" s="4" t="s">
        <v>300</v>
      </c>
      <c r="W14" s="4" t="s">
        <v>252</v>
      </c>
    </row>
    <row r="15" ht="14.5" spans="2:23">
      <c r="B15" s="1" t="s">
        <v>289</v>
      </c>
      <c r="C15" s="1" t="s">
        <v>517</v>
      </c>
      <c r="D15" s="1" t="s">
        <v>518</v>
      </c>
      <c r="E15" s="1" t="s">
        <v>161</v>
      </c>
      <c r="F15" s="1"/>
      <c r="G15" s="1"/>
      <c r="H15" s="1"/>
      <c r="I15" s="1"/>
      <c r="J15" s="1" t="s">
        <v>519</v>
      </c>
      <c r="K15" s="1" t="s">
        <v>520</v>
      </c>
      <c r="L15" s="1" t="s">
        <v>161</v>
      </c>
      <c r="M15" s="1"/>
      <c r="N15" s="1"/>
      <c r="O15" t="s">
        <v>474</v>
      </c>
      <c r="R15" s="4" t="s">
        <v>289</v>
      </c>
      <c r="S15" s="4" t="s">
        <v>8</v>
      </c>
      <c r="T15" s="4" t="s">
        <v>521</v>
      </c>
      <c r="U15" s="4" t="s">
        <v>359</v>
      </c>
      <c r="V15" s="4" t="s">
        <v>161</v>
      </c>
      <c r="W15" s="4" t="s">
        <v>522</v>
      </c>
    </row>
    <row r="16" ht="14.5" spans="2:23">
      <c r="B16" s="1" t="s">
        <v>289</v>
      </c>
      <c r="C16" s="1" t="s">
        <v>523</v>
      </c>
      <c r="D16" s="1" t="s">
        <v>524</v>
      </c>
      <c r="E16" s="1" t="s">
        <v>161</v>
      </c>
      <c r="F16" s="1"/>
      <c r="G16" s="1"/>
      <c r="H16" s="1"/>
      <c r="I16" s="1"/>
      <c r="J16" s="1" t="s">
        <v>525</v>
      </c>
      <c r="K16" s="1" t="s">
        <v>526</v>
      </c>
      <c r="L16" s="1" t="s">
        <v>161</v>
      </c>
      <c r="M16" s="1"/>
      <c r="N16" s="1"/>
      <c r="O16" t="s">
        <v>474</v>
      </c>
      <c r="R16" s="4" t="s">
        <v>289</v>
      </c>
      <c r="S16" s="4" t="s">
        <v>8</v>
      </c>
      <c r="T16" s="4" t="s">
        <v>527</v>
      </c>
      <c r="U16" s="4" t="s">
        <v>359</v>
      </c>
      <c r="V16" s="4" t="s">
        <v>161</v>
      </c>
      <c r="W16" s="4" t="s">
        <v>528</v>
      </c>
    </row>
    <row r="17" ht="14.5" spans="2:23">
      <c r="B17" s="1" t="s">
        <v>289</v>
      </c>
      <c r="C17" s="1" t="s">
        <v>529</v>
      </c>
      <c r="D17" s="1" t="s">
        <v>530</v>
      </c>
      <c r="E17" s="1" t="s">
        <v>161</v>
      </c>
      <c r="F17" s="1"/>
      <c r="G17" s="1"/>
      <c r="H17" s="1"/>
      <c r="I17" s="1"/>
      <c r="J17" s="1" t="s">
        <v>531</v>
      </c>
      <c r="K17" s="1" t="s">
        <v>532</v>
      </c>
      <c r="L17" s="1" t="s">
        <v>161</v>
      </c>
      <c r="M17" s="1"/>
      <c r="N17" s="1"/>
      <c r="O17" t="s">
        <v>531</v>
      </c>
      <c r="R17" s="4" t="s">
        <v>289</v>
      </c>
      <c r="S17" s="4" t="s">
        <v>8</v>
      </c>
      <c r="T17" s="4" t="s">
        <v>533</v>
      </c>
      <c r="U17" s="4" t="s">
        <v>359</v>
      </c>
      <c r="V17" s="4" t="s">
        <v>161</v>
      </c>
      <c r="W17" s="4" t="s">
        <v>534</v>
      </c>
    </row>
    <row r="18" ht="14.5" spans="2:23">
      <c r="B18" s="1" t="s">
        <v>289</v>
      </c>
      <c r="C18" s="1" t="s">
        <v>360</v>
      </c>
      <c r="D18" s="1" t="s">
        <v>535</v>
      </c>
      <c r="E18" s="1" t="s">
        <v>161</v>
      </c>
      <c r="F18" s="1" t="s">
        <v>359</v>
      </c>
      <c r="G18" s="1" t="s">
        <v>360</v>
      </c>
      <c r="H18" s="1"/>
      <c r="I18" s="1"/>
      <c r="J18" s="1" t="s">
        <v>536</v>
      </c>
      <c r="K18" s="1" t="s">
        <v>537</v>
      </c>
      <c r="L18" s="1" t="s">
        <v>161</v>
      </c>
      <c r="M18" s="1"/>
      <c r="N18" s="1"/>
      <c r="O18" t="s">
        <v>474</v>
      </c>
      <c r="R18" s="4" t="s">
        <v>289</v>
      </c>
      <c r="S18" s="4" t="s">
        <v>8</v>
      </c>
      <c r="T18" s="4" t="s">
        <v>538</v>
      </c>
      <c r="U18" s="4" t="s">
        <v>359</v>
      </c>
      <c r="V18" s="4" t="s">
        <v>161</v>
      </c>
      <c r="W18" s="4" t="s">
        <v>539</v>
      </c>
    </row>
    <row r="19" ht="14.5" spans="2:23">
      <c r="B19" s="1" t="s">
        <v>289</v>
      </c>
      <c r="C19" s="1" t="s">
        <v>540</v>
      </c>
      <c r="D19" s="1" t="s">
        <v>541</v>
      </c>
      <c r="E19" s="1" t="s">
        <v>161</v>
      </c>
      <c r="F19" s="1"/>
      <c r="G19" s="1"/>
      <c r="H19" s="1"/>
      <c r="I19" s="1"/>
      <c r="J19" s="1" t="s">
        <v>542</v>
      </c>
      <c r="K19" s="1" t="s">
        <v>543</v>
      </c>
      <c r="L19" s="1" t="s">
        <v>161</v>
      </c>
      <c r="M19" s="1"/>
      <c r="N19" s="1"/>
      <c r="O19" t="s">
        <v>542</v>
      </c>
      <c r="R19" s="4" t="s">
        <v>289</v>
      </c>
      <c r="S19" s="4" t="s">
        <v>8</v>
      </c>
      <c r="T19" s="4" t="s">
        <v>544</v>
      </c>
      <c r="U19" s="4" t="s">
        <v>359</v>
      </c>
      <c r="V19" s="4" t="s">
        <v>161</v>
      </c>
      <c r="W19" s="4" t="s">
        <v>545</v>
      </c>
    </row>
    <row r="20" ht="14.5" spans="2:23">
      <c r="B20" s="1" t="s">
        <v>289</v>
      </c>
      <c r="C20" s="1" t="s">
        <v>546</v>
      </c>
      <c r="D20" s="1" t="s">
        <v>547</v>
      </c>
      <c r="E20" s="1" t="s">
        <v>161</v>
      </c>
      <c r="F20" s="1"/>
      <c r="G20" s="1"/>
      <c r="H20" s="1"/>
      <c r="I20" s="1"/>
      <c r="J20" s="1" t="s">
        <v>548</v>
      </c>
      <c r="K20" s="1" t="s">
        <v>549</v>
      </c>
      <c r="L20" s="1" t="s">
        <v>161</v>
      </c>
      <c r="M20" s="1"/>
      <c r="N20" s="1"/>
      <c r="O20" t="s">
        <v>474</v>
      </c>
      <c r="R20" s="4" t="s">
        <v>289</v>
      </c>
      <c r="S20" s="4" t="s">
        <v>8</v>
      </c>
      <c r="T20" s="4" t="s">
        <v>550</v>
      </c>
      <c r="U20" s="4" t="s">
        <v>359</v>
      </c>
      <c r="V20" s="4" t="s">
        <v>161</v>
      </c>
      <c r="W20" s="4" t="s">
        <v>551</v>
      </c>
    </row>
    <row r="21" ht="14.5" spans="2:23">
      <c r="B21" s="1" t="s">
        <v>289</v>
      </c>
      <c r="C21" s="1" t="s">
        <v>552</v>
      </c>
      <c r="D21" s="1" t="s">
        <v>553</v>
      </c>
      <c r="E21" s="1" t="s">
        <v>161</v>
      </c>
      <c r="F21" s="1"/>
      <c r="G21" s="1"/>
      <c r="H21" s="1"/>
      <c r="I21" s="1"/>
      <c r="J21" s="1" t="s">
        <v>554</v>
      </c>
      <c r="K21" s="1" t="s">
        <v>555</v>
      </c>
      <c r="L21" s="1" t="s">
        <v>161</v>
      </c>
      <c r="M21" s="1"/>
      <c r="N21" s="1"/>
      <c r="O21" t="s">
        <v>474</v>
      </c>
      <c r="R21" s="4" t="s">
        <v>289</v>
      </c>
      <c r="S21" s="4" t="s">
        <v>8</v>
      </c>
      <c r="T21" s="4" t="s">
        <v>556</v>
      </c>
      <c r="U21" s="4" t="s">
        <v>359</v>
      </c>
      <c r="V21" s="4" t="s">
        <v>161</v>
      </c>
      <c r="W21" s="4" t="s">
        <v>557</v>
      </c>
    </row>
    <row r="22" ht="14.5" spans="2:23">
      <c r="B22" s="1" t="s">
        <v>289</v>
      </c>
      <c r="C22" s="1" t="s">
        <v>558</v>
      </c>
      <c r="D22" s="1" t="s">
        <v>559</v>
      </c>
      <c r="E22" s="1" t="s">
        <v>161</v>
      </c>
      <c r="F22" s="1"/>
      <c r="G22" s="1"/>
      <c r="H22" s="1"/>
      <c r="I22" s="1"/>
      <c r="J22" s="1" t="s">
        <v>560</v>
      </c>
      <c r="K22" s="1" t="s">
        <v>561</v>
      </c>
      <c r="L22" s="1" t="s">
        <v>161</v>
      </c>
      <c r="M22" s="1"/>
      <c r="N22" s="1"/>
      <c r="O22" t="s">
        <v>474</v>
      </c>
      <c r="R22" s="4" t="s">
        <v>289</v>
      </c>
      <c r="S22" s="4" t="s">
        <v>8</v>
      </c>
      <c r="T22" s="4" t="s">
        <v>562</v>
      </c>
      <c r="U22" s="4" t="s">
        <v>359</v>
      </c>
      <c r="V22" s="4" t="s">
        <v>161</v>
      </c>
      <c r="W22" s="4" t="s">
        <v>563</v>
      </c>
    </row>
    <row r="23" ht="14.5" spans="2:23">
      <c r="B23" s="1" t="s">
        <v>289</v>
      </c>
      <c r="C23" s="1" t="s">
        <v>564</v>
      </c>
      <c r="D23" s="1" t="s">
        <v>565</v>
      </c>
      <c r="E23" s="1" t="s">
        <v>161</v>
      </c>
      <c r="F23" s="1"/>
      <c r="G23" s="1"/>
      <c r="H23" s="1"/>
      <c r="I23" s="1"/>
      <c r="J23" s="1" t="s">
        <v>566</v>
      </c>
      <c r="K23" s="1" t="s">
        <v>567</v>
      </c>
      <c r="L23" s="1" t="s">
        <v>161</v>
      </c>
      <c r="M23" s="1"/>
      <c r="N23" s="1"/>
      <c r="O23" t="s">
        <v>566</v>
      </c>
      <c r="R23" s="4" t="s">
        <v>289</v>
      </c>
      <c r="S23" s="4" t="s">
        <v>8</v>
      </c>
      <c r="T23" s="4" t="s">
        <v>568</v>
      </c>
      <c r="U23" s="4" t="s">
        <v>359</v>
      </c>
      <c r="V23" s="4" t="s">
        <v>161</v>
      </c>
      <c r="W23" s="4" t="s">
        <v>569</v>
      </c>
    </row>
    <row r="24" ht="14.5" spans="2:23">
      <c r="B24" s="1" t="s">
        <v>289</v>
      </c>
      <c r="C24" s="1" t="s">
        <v>570</v>
      </c>
      <c r="D24" s="1" t="s">
        <v>571</v>
      </c>
      <c r="E24" s="1" t="s">
        <v>161</v>
      </c>
      <c r="F24" s="1"/>
      <c r="G24" s="1"/>
      <c r="H24" s="1"/>
      <c r="I24" s="1"/>
      <c r="J24" s="1" t="s">
        <v>572</v>
      </c>
      <c r="K24" s="1" t="s">
        <v>573</v>
      </c>
      <c r="L24" s="1" t="s">
        <v>161</v>
      </c>
      <c r="M24" s="1"/>
      <c r="N24" s="1"/>
      <c r="O24" t="s">
        <v>572</v>
      </c>
      <c r="R24" s="4" t="s">
        <v>289</v>
      </c>
      <c r="S24" s="4" t="s">
        <v>8</v>
      </c>
      <c r="T24" s="4" t="s">
        <v>574</v>
      </c>
      <c r="U24" s="4" t="s">
        <v>359</v>
      </c>
      <c r="V24" s="4" t="s">
        <v>161</v>
      </c>
      <c r="W24" s="4" t="s">
        <v>575</v>
      </c>
    </row>
    <row r="25" ht="14.5" spans="2:23">
      <c r="B25" s="1" t="s">
        <v>289</v>
      </c>
      <c r="C25" s="1" t="s">
        <v>576</v>
      </c>
      <c r="D25" s="1" t="s">
        <v>577</v>
      </c>
      <c r="E25" s="1" t="s">
        <v>161</v>
      </c>
      <c r="F25" s="1"/>
      <c r="G25" s="1"/>
      <c r="H25" s="1"/>
      <c r="I25" s="1"/>
      <c r="J25" s="1" t="s">
        <v>578</v>
      </c>
      <c r="K25" s="1" t="s">
        <v>579</v>
      </c>
      <c r="L25" s="1" t="s">
        <v>161</v>
      </c>
      <c r="M25" s="1"/>
      <c r="N25" s="1"/>
      <c r="O25" t="s">
        <v>474</v>
      </c>
      <c r="R25" s="4" t="s">
        <v>289</v>
      </c>
      <c r="S25" s="4" t="s">
        <v>11</v>
      </c>
      <c r="T25" s="4" t="s">
        <v>580</v>
      </c>
      <c r="U25" s="4" t="s">
        <v>359</v>
      </c>
      <c r="V25" s="4" t="s">
        <v>161</v>
      </c>
      <c r="W25" s="4" t="s">
        <v>581</v>
      </c>
    </row>
    <row r="26" ht="14.5" spans="2:23">
      <c r="B26" s="1" t="s">
        <v>289</v>
      </c>
      <c r="C26" s="1" t="s">
        <v>582</v>
      </c>
      <c r="D26" s="1" t="s">
        <v>583</v>
      </c>
      <c r="E26" s="1" t="s">
        <v>161</v>
      </c>
      <c r="F26" s="1" t="s">
        <v>139</v>
      </c>
      <c r="G26" s="1" t="s">
        <v>493</v>
      </c>
      <c r="H26" s="1"/>
      <c r="I26" s="1"/>
      <c r="J26" s="1" t="s">
        <v>584</v>
      </c>
      <c r="K26" s="1" t="s">
        <v>585</v>
      </c>
      <c r="L26" s="1" t="s">
        <v>161</v>
      </c>
      <c r="M26" s="1" t="s">
        <v>359</v>
      </c>
      <c r="N26" s="1" t="s">
        <v>360</v>
      </c>
      <c r="O26" t="s">
        <v>584</v>
      </c>
      <c r="R26" s="4" t="s">
        <v>289</v>
      </c>
      <c r="S26" s="4" t="s">
        <v>11</v>
      </c>
      <c r="T26" s="4" t="s">
        <v>586</v>
      </c>
      <c r="U26" s="4" t="s">
        <v>359</v>
      </c>
      <c r="V26" s="4" t="s">
        <v>161</v>
      </c>
      <c r="W26" s="4" t="s">
        <v>587</v>
      </c>
    </row>
    <row r="27" ht="14.5" spans="2:23">
      <c r="B27" s="1" t="s">
        <v>289</v>
      </c>
      <c r="C27" s="1" t="s">
        <v>588</v>
      </c>
      <c r="D27" s="1" t="s">
        <v>589</v>
      </c>
      <c r="E27" s="1" t="s">
        <v>161</v>
      </c>
      <c r="F27" s="1"/>
      <c r="G27" s="1"/>
      <c r="H27" s="1"/>
      <c r="I27" s="1"/>
      <c r="J27" s="1" t="s">
        <v>590</v>
      </c>
      <c r="K27" s="1" t="s">
        <v>591</v>
      </c>
      <c r="L27" s="1" t="s">
        <v>161</v>
      </c>
      <c r="M27" s="1"/>
      <c r="N27" s="1"/>
      <c r="O27" t="s">
        <v>590</v>
      </c>
      <c r="R27" s="4" t="s">
        <v>289</v>
      </c>
      <c r="S27" s="4" t="s">
        <v>11</v>
      </c>
      <c r="T27" s="4" t="s">
        <v>592</v>
      </c>
      <c r="U27" s="4" t="s">
        <v>359</v>
      </c>
      <c r="V27" s="4" t="s">
        <v>161</v>
      </c>
      <c r="W27" s="4" t="s">
        <v>593</v>
      </c>
    </row>
    <row r="28" ht="14.5" spans="2:23">
      <c r="B28" s="1" t="s">
        <v>289</v>
      </c>
      <c r="C28" s="1" t="s">
        <v>594</v>
      </c>
      <c r="D28" s="1" t="s">
        <v>595</v>
      </c>
      <c r="E28" s="1" t="s">
        <v>161</v>
      </c>
      <c r="F28" s="1"/>
      <c r="G28" s="1"/>
      <c r="H28" s="1"/>
      <c r="I28" s="1"/>
      <c r="J28" s="1" t="s">
        <v>596</v>
      </c>
      <c r="K28" s="1" t="s">
        <v>597</v>
      </c>
      <c r="L28" s="1" t="s">
        <v>161</v>
      </c>
      <c r="M28" s="1" t="s">
        <v>139</v>
      </c>
      <c r="N28" s="1" t="s">
        <v>493</v>
      </c>
      <c r="O28" t="s">
        <v>596</v>
      </c>
      <c r="R28" s="4" t="s">
        <v>289</v>
      </c>
      <c r="S28" s="4" t="s">
        <v>11</v>
      </c>
      <c r="T28" s="4" t="s">
        <v>598</v>
      </c>
      <c r="U28" s="4" t="s">
        <v>359</v>
      </c>
      <c r="V28" s="4" t="s">
        <v>161</v>
      </c>
      <c r="W28" s="4" t="s">
        <v>599</v>
      </c>
    </row>
    <row r="29" ht="14.5" spans="2:23">
      <c r="B29" s="1" t="s">
        <v>289</v>
      </c>
      <c r="C29" s="1" t="s">
        <v>600</v>
      </c>
      <c r="D29" s="1" t="s">
        <v>601</v>
      </c>
      <c r="E29" s="1" t="s">
        <v>161</v>
      </c>
      <c r="F29" s="1"/>
      <c r="G29" s="1"/>
      <c r="H29" s="1"/>
      <c r="I29" s="1"/>
      <c r="J29" s="1" t="s">
        <v>602</v>
      </c>
      <c r="K29" s="1" t="s">
        <v>603</v>
      </c>
      <c r="L29" s="1" t="s">
        <v>161</v>
      </c>
      <c r="M29" s="1"/>
      <c r="N29" s="1"/>
      <c r="O29" t="s">
        <v>474</v>
      </c>
      <c r="R29" s="4" t="s">
        <v>289</v>
      </c>
      <c r="S29" s="4" t="s">
        <v>11</v>
      </c>
      <c r="T29" s="4" t="s">
        <v>604</v>
      </c>
      <c r="U29" s="4" t="s">
        <v>359</v>
      </c>
      <c r="V29" s="4" t="s">
        <v>161</v>
      </c>
      <c r="W29" s="4" t="s">
        <v>605</v>
      </c>
    </row>
    <row r="30" ht="14.5" spans="2:23">
      <c r="B30" s="1" t="s">
        <v>289</v>
      </c>
      <c r="C30" s="1" t="s">
        <v>606</v>
      </c>
      <c r="D30" s="1" t="s">
        <v>607</v>
      </c>
      <c r="E30" s="1" t="s">
        <v>161</v>
      </c>
      <c r="F30" s="1"/>
      <c r="G30" s="1"/>
      <c r="H30" s="1"/>
      <c r="I30" s="1"/>
      <c r="J30" s="1" t="s">
        <v>608</v>
      </c>
      <c r="K30" s="1" t="s">
        <v>609</v>
      </c>
      <c r="L30" s="1" t="s">
        <v>161</v>
      </c>
      <c r="M30" s="1"/>
      <c r="N30" s="1"/>
      <c r="O30" t="s">
        <v>608</v>
      </c>
      <c r="R30" s="4" t="s">
        <v>289</v>
      </c>
      <c r="S30" s="4" t="s">
        <v>11</v>
      </c>
      <c r="T30" s="4" t="s">
        <v>610</v>
      </c>
      <c r="U30" s="4" t="s">
        <v>359</v>
      </c>
      <c r="V30" s="4" t="s">
        <v>161</v>
      </c>
      <c r="W30" s="4" t="s">
        <v>611</v>
      </c>
    </row>
    <row r="31" ht="14.5" spans="2:23">
      <c r="B31" s="1" t="s">
        <v>289</v>
      </c>
      <c r="C31" s="1" t="s">
        <v>612</v>
      </c>
      <c r="D31" s="1" t="s">
        <v>613</v>
      </c>
      <c r="E31" s="1" t="s">
        <v>161</v>
      </c>
      <c r="F31" s="1"/>
      <c r="G31" s="1"/>
      <c r="H31" s="1"/>
      <c r="I31" s="1"/>
      <c r="J31" s="1" t="s">
        <v>614</v>
      </c>
      <c r="K31" s="1" t="s">
        <v>615</v>
      </c>
      <c r="L31" s="1" t="s">
        <v>161</v>
      </c>
      <c r="M31" s="1"/>
      <c r="N31" s="1"/>
      <c r="O31" t="s">
        <v>614</v>
      </c>
      <c r="R31" s="4" t="s">
        <v>289</v>
      </c>
      <c r="S31" s="4" t="s">
        <v>11</v>
      </c>
      <c r="T31" s="4" t="s">
        <v>616</v>
      </c>
      <c r="U31" s="4" t="s">
        <v>359</v>
      </c>
      <c r="V31" s="4" t="s">
        <v>161</v>
      </c>
      <c r="W31" s="4" t="s">
        <v>617</v>
      </c>
    </row>
    <row r="32" ht="14.5" spans="2:23">
      <c r="B32" s="1" t="s">
        <v>289</v>
      </c>
      <c r="C32" s="1" t="s">
        <v>306</v>
      </c>
      <c r="D32" s="1" t="s">
        <v>618</v>
      </c>
      <c r="E32" s="1" t="s">
        <v>161</v>
      </c>
      <c r="F32" s="1"/>
      <c r="G32" s="1"/>
      <c r="H32" s="1"/>
      <c r="I32" s="1"/>
      <c r="J32" s="1" t="s">
        <v>619</v>
      </c>
      <c r="K32" s="1" t="s">
        <v>620</v>
      </c>
      <c r="L32" s="1" t="s">
        <v>161</v>
      </c>
      <c r="M32" s="1"/>
      <c r="N32" s="1"/>
      <c r="O32" t="s">
        <v>474</v>
      </c>
      <c r="R32" s="4" t="s">
        <v>289</v>
      </c>
      <c r="S32" s="4" t="s">
        <v>11</v>
      </c>
      <c r="T32" s="4" t="s">
        <v>621</v>
      </c>
      <c r="U32" s="4" t="s">
        <v>359</v>
      </c>
      <c r="V32" s="4" t="s">
        <v>161</v>
      </c>
      <c r="W32" s="4" t="s">
        <v>622</v>
      </c>
    </row>
    <row r="33" ht="14.5" spans="2:23">
      <c r="B33" s="1" t="s">
        <v>289</v>
      </c>
      <c r="C33" s="1" t="s">
        <v>623</v>
      </c>
      <c r="D33" s="1" t="s">
        <v>624</v>
      </c>
      <c r="E33" s="1" t="s">
        <v>161</v>
      </c>
      <c r="F33" s="1"/>
      <c r="G33" s="1"/>
      <c r="H33" s="1"/>
      <c r="I33" s="1"/>
      <c r="J33" s="1" t="s">
        <v>625</v>
      </c>
      <c r="K33" s="1" t="s">
        <v>626</v>
      </c>
      <c r="L33" s="1" t="s">
        <v>161</v>
      </c>
      <c r="M33" s="1"/>
      <c r="N33" s="1"/>
      <c r="O33" t="s">
        <v>625</v>
      </c>
      <c r="R33" s="4" t="s">
        <v>289</v>
      </c>
      <c r="S33" s="4" t="s">
        <v>11</v>
      </c>
      <c r="T33" s="4" t="s">
        <v>627</v>
      </c>
      <c r="U33" s="4" t="s">
        <v>359</v>
      </c>
      <c r="V33" s="4" t="s">
        <v>161</v>
      </c>
      <c r="W33" s="4" t="s">
        <v>628</v>
      </c>
    </row>
    <row r="34" ht="14.5" spans="2:23">
      <c r="B34" s="1" t="s">
        <v>289</v>
      </c>
      <c r="C34" s="1" t="s">
        <v>629</v>
      </c>
      <c r="D34" s="1" t="s">
        <v>630</v>
      </c>
      <c r="E34" s="1" t="s">
        <v>161</v>
      </c>
      <c r="F34" s="1"/>
      <c r="G34" s="1"/>
      <c r="H34" s="1"/>
      <c r="I34" s="1"/>
      <c r="J34" s="1" t="s">
        <v>631</v>
      </c>
      <c r="K34" s="1" t="s">
        <v>632</v>
      </c>
      <c r="L34" s="1" t="s">
        <v>161</v>
      </c>
      <c r="M34" s="1"/>
      <c r="N34" s="1"/>
      <c r="O34" t="s">
        <v>474</v>
      </c>
      <c r="R34" s="4" t="s">
        <v>289</v>
      </c>
      <c r="S34" s="4" t="s">
        <v>11</v>
      </c>
      <c r="T34" s="4" t="s">
        <v>633</v>
      </c>
      <c r="U34" s="4" t="s">
        <v>359</v>
      </c>
      <c r="V34" s="4" t="s">
        <v>161</v>
      </c>
      <c r="W34" s="4" t="s">
        <v>634</v>
      </c>
    </row>
    <row r="35" ht="14.5" spans="2:23">
      <c r="B35" s="1" t="s">
        <v>289</v>
      </c>
      <c r="C35" s="1" t="s">
        <v>635</v>
      </c>
      <c r="D35" s="1" t="s">
        <v>636</v>
      </c>
      <c r="E35" s="1" t="s">
        <v>161</v>
      </c>
      <c r="F35" s="1"/>
      <c r="G35" s="1"/>
      <c r="H35" s="1"/>
      <c r="I35" s="1"/>
      <c r="J35" s="1" t="s">
        <v>637</v>
      </c>
      <c r="K35" s="1" t="s">
        <v>638</v>
      </c>
      <c r="L35" s="1" t="s">
        <v>161</v>
      </c>
      <c r="M35" s="1"/>
      <c r="N35" s="1"/>
      <c r="O35" t="s">
        <v>474</v>
      </c>
      <c r="R35" s="4" t="s">
        <v>289</v>
      </c>
      <c r="S35" s="4" t="s">
        <v>11</v>
      </c>
      <c r="T35" s="4" t="s">
        <v>639</v>
      </c>
      <c r="U35" s="4" t="s">
        <v>359</v>
      </c>
      <c r="V35" s="4" t="s">
        <v>161</v>
      </c>
      <c r="W35" s="4" t="s">
        <v>640</v>
      </c>
    </row>
    <row r="36" ht="14.5" spans="2:23">
      <c r="B36" s="1" t="s">
        <v>289</v>
      </c>
      <c r="C36" s="1" t="s">
        <v>641</v>
      </c>
      <c r="D36" s="1" t="s">
        <v>642</v>
      </c>
      <c r="E36" s="1" t="s">
        <v>161</v>
      </c>
      <c r="F36" s="1"/>
      <c r="G36" s="1"/>
      <c r="H36" s="1"/>
      <c r="I36" s="1"/>
      <c r="J36" s="3" t="s">
        <v>643</v>
      </c>
      <c r="K36" s="1" t="s">
        <v>644</v>
      </c>
      <c r="L36" s="1" t="s">
        <v>161</v>
      </c>
      <c r="M36" s="1"/>
      <c r="N36" s="1"/>
      <c r="O36" t="s">
        <v>643</v>
      </c>
      <c r="R36" s="4" t="s">
        <v>289</v>
      </c>
      <c r="S36" s="4" t="s">
        <v>11</v>
      </c>
      <c r="T36" s="4" t="s">
        <v>645</v>
      </c>
      <c r="U36" s="4" t="s">
        <v>359</v>
      </c>
      <c r="V36" s="4" t="s">
        <v>161</v>
      </c>
      <c r="W36" s="4" t="s">
        <v>646</v>
      </c>
    </row>
    <row r="37" ht="14.5" spans="2:23">
      <c r="B37" s="1" t="s">
        <v>289</v>
      </c>
      <c r="C37" s="1" t="s">
        <v>647</v>
      </c>
      <c r="D37" s="1" t="s">
        <v>648</v>
      </c>
      <c r="E37" s="1" t="s">
        <v>161</v>
      </c>
      <c r="F37" s="1"/>
      <c r="G37" s="1"/>
      <c r="H37" s="1"/>
      <c r="I37" s="1"/>
      <c r="J37" s="1" t="s">
        <v>649</v>
      </c>
      <c r="K37" s="1" t="s">
        <v>650</v>
      </c>
      <c r="L37" s="1" t="s">
        <v>161</v>
      </c>
      <c r="M37" s="1"/>
      <c r="N37" s="1"/>
      <c r="O37" t="s">
        <v>474</v>
      </c>
      <c r="R37" s="4" t="s">
        <v>289</v>
      </c>
      <c r="S37" s="4" t="s">
        <v>11</v>
      </c>
      <c r="T37" s="4" t="s">
        <v>651</v>
      </c>
      <c r="U37" s="4" t="s">
        <v>359</v>
      </c>
      <c r="V37" s="4" t="s">
        <v>161</v>
      </c>
      <c r="W37" s="4" t="s">
        <v>652</v>
      </c>
    </row>
    <row r="38" ht="14.5" spans="2:23">
      <c r="B38" s="1" t="s">
        <v>289</v>
      </c>
      <c r="C38" s="1" t="s">
        <v>653</v>
      </c>
      <c r="D38" s="1" t="s">
        <v>654</v>
      </c>
      <c r="E38" s="1" t="s">
        <v>161</v>
      </c>
      <c r="F38" s="1"/>
      <c r="G38" s="1"/>
      <c r="H38" s="1"/>
      <c r="I38" s="1"/>
      <c r="J38" s="1" t="s">
        <v>655</v>
      </c>
      <c r="K38" s="1" t="s">
        <v>656</v>
      </c>
      <c r="L38" s="1" t="s">
        <v>161</v>
      </c>
      <c r="M38" s="1"/>
      <c r="N38" s="1"/>
      <c r="O38" t="s">
        <v>655</v>
      </c>
      <c r="R38" s="4" t="s">
        <v>289</v>
      </c>
      <c r="S38" s="4" t="s">
        <v>11</v>
      </c>
      <c r="T38" s="4" t="s">
        <v>657</v>
      </c>
      <c r="U38" s="4" t="s">
        <v>359</v>
      </c>
      <c r="V38" s="4" t="s">
        <v>161</v>
      </c>
      <c r="W38" s="4" t="s">
        <v>658</v>
      </c>
    </row>
    <row r="39" ht="14.5" spans="2:23">
      <c r="B39" s="1" t="s">
        <v>289</v>
      </c>
      <c r="C39" s="1" t="s">
        <v>659</v>
      </c>
      <c r="D39" s="1" t="s">
        <v>660</v>
      </c>
      <c r="E39" s="1" t="s">
        <v>161</v>
      </c>
      <c r="F39" s="1"/>
      <c r="G39" s="1"/>
      <c r="H39" s="1"/>
      <c r="I39" s="1"/>
      <c r="J39" s="1" t="s">
        <v>661</v>
      </c>
      <c r="K39" s="1" t="s">
        <v>662</v>
      </c>
      <c r="L39" s="1" t="s">
        <v>161</v>
      </c>
      <c r="M39" s="1"/>
      <c r="N39" s="1"/>
      <c r="O39" t="s">
        <v>474</v>
      </c>
      <c r="R39" s="4" t="s">
        <v>289</v>
      </c>
      <c r="S39" s="4" t="s">
        <v>11</v>
      </c>
      <c r="T39" s="4" t="s">
        <v>663</v>
      </c>
      <c r="U39" s="4" t="s">
        <v>359</v>
      </c>
      <c r="V39" s="4" t="s">
        <v>161</v>
      </c>
      <c r="W39" s="4" t="s">
        <v>664</v>
      </c>
    </row>
    <row r="40" ht="14.5" spans="2:23">
      <c r="B40" s="1" t="s">
        <v>289</v>
      </c>
      <c r="C40" s="1" t="s">
        <v>312</v>
      </c>
      <c r="D40" s="1" t="s">
        <v>665</v>
      </c>
      <c r="E40" s="1" t="s">
        <v>161</v>
      </c>
      <c r="F40" s="1"/>
      <c r="G40" s="1"/>
      <c r="H40" s="1"/>
      <c r="I40" s="1"/>
      <c r="J40" s="1" t="s">
        <v>666</v>
      </c>
      <c r="K40" s="1" t="s">
        <v>667</v>
      </c>
      <c r="L40" s="1" t="s">
        <v>161</v>
      </c>
      <c r="M40" s="1"/>
      <c r="N40" s="1"/>
      <c r="O40" t="s">
        <v>474</v>
      </c>
      <c r="R40" s="4" t="s">
        <v>289</v>
      </c>
      <c r="S40" s="4" t="s">
        <v>11</v>
      </c>
      <c r="T40" s="4" t="s">
        <v>668</v>
      </c>
      <c r="U40" s="4" t="s">
        <v>359</v>
      </c>
      <c r="V40" s="4" t="s">
        <v>161</v>
      </c>
      <c r="W40" s="4" t="s">
        <v>669</v>
      </c>
    </row>
    <row r="41" ht="14.5" spans="2:23">
      <c r="B41" s="1" t="s">
        <v>289</v>
      </c>
      <c r="C41" s="1" t="s">
        <v>670</v>
      </c>
      <c r="D41" s="1" t="s">
        <v>671</v>
      </c>
      <c r="E41" s="1" t="s">
        <v>161</v>
      </c>
      <c r="F41" s="1"/>
      <c r="G41" s="1"/>
      <c r="H41" s="1"/>
      <c r="I41" s="1"/>
      <c r="J41" s="1" t="s">
        <v>672</v>
      </c>
      <c r="K41" s="1" t="s">
        <v>673</v>
      </c>
      <c r="L41" s="1" t="s">
        <v>161</v>
      </c>
      <c r="M41" s="1"/>
      <c r="N41" s="1"/>
      <c r="O41" t="s">
        <v>474</v>
      </c>
      <c r="R41" s="4" t="s">
        <v>289</v>
      </c>
      <c r="S41" s="4" t="s">
        <v>11</v>
      </c>
      <c r="T41" s="4" t="s">
        <v>674</v>
      </c>
      <c r="U41" s="4" t="s">
        <v>359</v>
      </c>
      <c r="V41" s="4" t="s">
        <v>161</v>
      </c>
      <c r="W41" s="4" t="s">
        <v>675</v>
      </c>
    </row>
    <row r="42" ht="14.5" spans="2:23">
      <c r="B42" s="1" t="s">
        <v>289</v>
      </c>
      <c r="C42" s="1" t="s">
        <v>676</v>
      </c>
      <c r="D42" s="1" t="s">
        <v>677</v>
      </c>
      <c r="E42" s="1" t="s">
        <v>161</v>
      </c>
      <c r="F42" s="1"/>
      <c r="G42" s="1"/>
      <c r="H42" s="1"/>
      <c r="I42" s="1"/>
      <c r="J42" s="1" t="s">
        <v>678</v>
      </c>
      <c r="K42" s="1" t="s">
        <v>679</v>
      </c>
      <c r="L42" s="1" t="s">
        <v>161</v>
      </c>
      <c r="M42" s="1"/>
      <c r="N42" s="1"/>
      <c r="O42" t="s">
        <v>678</v>
      </c>
      <c r="R42" s="4" t="s">
        <v>289</v>
      </c>
      <c r="S42" s="4" t="s">
        <v>11</v>
      </c>
      <c r="T42" s="4" t="s">
        <v>680</v>
      </c>
      <c r="U42" s="4" t="s">
        <v>359</v>
      </c>
      <c r="V42" s="4" t="s">
        <v>161</v>
      </c>
      <c r="W42" s="4" t="s">
        <v>681</v>
      </c>
    </row>
    <row r="43" ht="14.5" spans="2:23">
      <c r="B43" s="1" t="s">
        <v>289</v>
      </c>
      <c r="C43" s="1" t="s">
        <v>682</v>
      </c>
      <c r="D43" s="1" t="s">
        <v>683</v>
      </c>
      <c r="E43" s="1" t="s">
        <v>161</v>
      </c>
      <c r="F43" s="1"/>
      <c r="G43" s="1"/>
      <c r="H43" s="1"/>
      <c r="I43" s="1"/>
      <c r="J43" s="1" t="s">
        <v>684</v>
      </c>
      <c r="K43" s="1" t="s">
        <v>685</v>
      </c>
      <c r="L43" s="1" t="s">
        <v>161</v>
      </c>
      <c r="M43" s="1"/>
      <c r="N43" s="1"/>
      <c r="O43" t="s">
        <v>684</v>
      </c>
      <c r="R43" s="4" t="s">
        <v>289</v>
      </c>
      <c r="S43" s="4" t="s">
        <v>11</v>
      </c>
      <c r="T43" s="4" t="s">
        <v>686</v>
      </c>
      <c r="U43" s="4" t="s">
        <v>359</v>
      </c>
      <c r="V43" s="4" t="s">
        <v>161</v>
      </c>
      <c r="W43" s="4" t="s">
        <v>687</v>
      </c>
    </row>
    <row r="44" ht="14.5" spans="2:23">
      <c r="B44" s="1" t="s">
        <v>289</v>
      </c>
      <c r="C44" s="1" t="s">
        <v>688</v>
      </c>
      <c r="D44" s="1" t="s">
        <v>689</v>
      </c>
      <c r="E44" s="1" t="s">
        <v>161</v>
      </c>
      <c r="F44" s="1"/>
      <c r="G44" s="1"/>
      <c r="H44" s="1"/>
      <c r="I44" s="1"/>
      <c r="J44" s="1" t="s">
        <v>690</v>
      </c>
      <c r="K44" s="1" t="s">
        <v>691</v>
      </c>
      <c r="L44" s="1" t="s">
        <v>161</v>
      </c>
      <c r="M44" s="1" t="s">
        <v>359</v>
      </c>
      <c r="N44" s="1" t="s">
        <v>360</v>
      </c>
      <c r="O44" t="s">
        <v>690</v>
      </c>
      <c r="R44" s="4" t="s">
        <v>289</v>
      </c>
      <c r="S44" s="4" t="s">
        <v>11</v>
      </c>
      <c r="T44" s="4" t="s">
        <v>692</v>
      </c>
      <c r="U44" s="4" t="s">
        <v>359</v>
      </c>
      <c r="V44" s="4" t="s">
        <v>161</v>
      </c>
      <c r="W44" s="4" t="s">
        <v>693</v>
      </c>
    </row>
    <row r="45" ht="14.5" spans="2:23">
      <c r="B45" s="1" t="s">
        <v>289</v>
      </c>
      <c r="C45" s="1" t="s">
        <v>694</v>
      </c>
      <c r="D45" s="1" t="s">
        <v>695</v>
      </c>
      <c r="E45" s="1" t="s">
        <v>161</v>
      </c>
      <c r="F45" s="1"/>
      <c r="G45" s="1"/>
      <c r="H45" s="1"/>
      <c r="I45" s="1"/>
      <c r="J45" s="1" t="s">
        <v>696</v>
      </c>
      <c r="K45" s="1" t="s">
        <v>697</v>
      </c>
      <c r="L45" s="1" t="s">
        <v>161</v>
      </c>
      <c r="M45" s="1"/>
      <c r="N45" s="1"/>
      <c r="O45" t="s">
        <v>696</v>
      </c>
      <c r="R45" s="4" t="s">
        <v>289</v>
      </c>
      <c r="S45" s="4" t="s">
        <v>11</v>
      </c>
      <c r="T45" s="4" t="s">
        <v>698</v>
      </c>
      <c r="U45" s="4" t="s">
        <v>359</v>
      </c>
      <c r="V45" s="4" t="s">
        <v>161</v>
      </c>
      <c r="W45" s="4" t="s">
        <v>699</v>
      </c>
    </row>
    <row r="46" ht="14.5" spans="2:23">
      <c r="B46" s="1" t="s">
        <v>289</v>
      </c>
      <c r="C46" s="1" t="s">
        <v>700</v>
      </c>
      <c r="D46" s="1" t="s">
        <v>701</v>
      </c>
      <c r="E46" s="1" t="s">
        <v>161</v>
      </c>
      <c r="F46" s="1"/>
      <c r="G46" s="1"/>
      <c r="H46" s="1"/>
      <c r="I46" s="1"/>
      <c r="J46" s="1" t="s">
        <v>702</v>
      </c>
      <c r="K46" s="1" t="s">
        <v>703</v>
      </c>
      <c r="L46" s="1" t="s">
        <v>161</v>
      </c>
      <c r="M46" s="1" t="s">
        <v>139</v>
      </c>
      <c r="N46" s="1" t="s">
        <v>493</v>
      </c>
      <c r="O46" t="s">
        <v>702</v>
      </c>
      <c r="R46" s="4" t="s">
        <v>289</v>
      </c>
      <c r="S46" s="4" t="s">
        <v>11</v>
      </c>
      <c r="T46" s="4" t="s">
        <v>704</v>
      </c>
      <c r="U46" s="4" t="s">
        <v>359</v>
      </c>
      <c r="V46" s="4" t="s">
        <v>161</v>
      </c>
      <c r="W46" s="4" t="s">
        <v>705</v>
      </c>
    </row>
    <row r="47" ht="14.5" spans="2:23">
      <c r="B47" s="1" t="s">
        <v>289</v>
      </c>
      <c r="C47" s="1" t="s">
        <v>706</v>
      </c>
      <c r="D47" s="1" t="s">
        <v>707</v>
      </c>
      <c r="E47" s="1" t="s">
        <v>161</v>
      </c>
      <c r="F47" s="1"/>
      <c r="G47" s="1"/>
      <c r="H47" s="1"/>
      <c r="I47" s="1"/>
      <c r="J47" s="1" t="s">
        <v>708</v>
      </c>
      <c r="K47" s="1" t="s">
        <v>709</v>
      </c>
      <c r="L47" s="1" t="s">
        <v>161</v>
      </c>
      <c r="M47" s="1"/>
      <c r="N47" s="1"/>
      <c r="O47" t="s">
        <v>708</v>
      </c>
      <c r="R47" s="4" t="s">
        <v>289</v>
      </c>
      <c r="S47" s="4" t="s">
        <v>11</v>
      </c>
      <c r="T47" s="4" t="s">
        <v>710</v>
      </c>
      <c r="U47" s="4" t="s">
        <v>359</v>
      </c>
      <c r="V47" s="4" t="s">
        <v>161</v>
      </c>
      <c r="W47" s="4" t="s">
        <v>711</v>
      </c>
    </row>
    <row r="48" ht="14.5" spans="2:23">
      <c r="B48" s="1"/>
      <c r="C48" s="1"/>
      <c r="D48" s="1"/>
      <c r="E48" s="1"/>
      <c r="F48" s="1"/>
      <c r="G48" s="1"/>
      <c r="H48" s="1"/>
      <c r="I48" s="1"/>
      <c r="J48" s="1" t="s">
        <v>712</v>
      </c>
      <c r="K48" s="1" t="s">
        <v>713</v>
      </c>
      <c r="L48" s="1" t="s">
        <v>161</v>
      </c>
      <c r="M48" s="1"/>
      <c r="N48" s="1"/>
      <c r="O48" t="s">
        <v>712</v>
      </c>
      <c r="R48" s="4" t="s">
        <v>289</v>
      </c>
      <c r="S48" s="4" t="s">
        <v>11</v>
      </c>
      <c r="T48" s="4" t="s">
        <v>714</v>
      </c>
      <c r="U48" s="4" t="s">
        <v>359</v>
      </c>
      <c r="V48" s="4" t="s">
        <v>161</v>
      </c>
      <c r="W48" s="4" t="s">
        <v>715</v>
      </c>
    </row>
    <row r="49" ht="14.5" spans="2:23">
      <c r="B49" s="1"/>
      <c r="C49" s="1"/>
      <c r="D49" s="1"/>
      <c r="E49" s="1"/>
      <c r="F49" s="1"/>
      <c r="G49" s="1"/>
      <c r="H49" s="1"/>
      <c r="I49" s="1"/>
      <c r="J49" s="1" t="s">
        <v>446</v>
      </c>
      <c r="K49" s="1" t="s">
        <v>716</v>
      </c>
      <c r="L49" s="1" t="s">
        <v>161</v>
      </c>
      <c r="M49" s="1"/>
      <c r="N49" s="1"/>
      <c r="O49" t="s">
        <v>474</v>
      </c>
      <c r="R49" s="4" t="s">
        <v>289</v>
      </c>
      <c r="S49" s="4" t="s">
        <v>11</v>
      </c>
      <c r="T49" s="4" t="s">
        <v>717</v>
      </c>
      <c r="U49" s="4" t="s">
        <v>359</v>
      </c>
      <c r="V49" s="4" t="s">
        <v>161</v>
      </c>
      <c r="W49" s="4" t="s">
        <v>718</v>
      </c>
    </row>
    <row r="50" ht="14.5" spans="2:23">
      <c r="B50" s="1"/>
      <c r="C50" s="1"/>
      <c r="D50" s="1"/>
      <c r="E50" s="1"/>
      <c r="F50" s="1"/>
      <c r="G50" s="1"/>
      <c r="H50" s="1"/>
      <c r="I50" s="1"/>
      <c r="J50" s="1" t="s">
        <v>719</v>
      </c>
      <c r="K50" s="1" t="s">
        <v>720</v>
      </c>
      <c r="L50" s="1" t="s">
        <v>161</v>
      </c>
      <c r="M50" s="1"/>
      <c r="N50" s="1"/>
      <c r="O50" t="s">
        <v>719</v>
      </c>
      <c r="R50" s="4" t="s">
        <v>289</v>
      </c>
      <c r="S50" s="4" t="s">
        <v>11</v>
      </c>
      <c r="T50" s="4" t="s">
        <v>721</v>
      </c>
      <c r="U50" s="4" t="s">
        <v>359</v>
      </c>
      <c r="V50" s="4" t="s">
        <v>161</v>
      </c>
      <c r="W50" s="4" t="s">
        <v>722</v>
      </c>
    </row>
    <row r="51" ht="14.5" spans="2:23">
      <c r="B51" s="1"/>
      <c r="C51" s="1"/>
      <c r="D51" s="1"/>
      <c r="E51" s="1"/>
      <c r="F51" s="1"/>
      <c r="G51" s="1"/>
      <c r="H51" s="1"/>
      <c r="I51" s="1"/>
      <c r="J51" s="1" t="s">
        <v>723</v>
      </c>
      <c r="K51" s="1" t="s">
        <v>724</v>
      </c>
      <c r="L51" s="1" t="s">
        <v>161</v>
      </c>
      <c r="M51" s="1"/>
      <c r="N51" s="1"/>
      <c r="O51" t="s">
        <v>723</v>
      </c>
      <c r="R51" s="4" t="s">
        <v>289</v>
      </c>
      <c r="S51" s="4" t="s">
        <v>11</v>
      </c>
      <c r="T51" s="4" t="s">
        <v>725</v>
      </c>
      <c r="U51" s="4" t="s">
        <v>359</v>
      </c>
      <c r="V51" s="4" t="s">
        <v>161</v>
      </c>
      <c r="W51" s="4" t="s">
        <v>726</v>
      </c>
    </row>
    <row r="52" ht="14.5" spans="2:23">
      <c r="B52" s="1"/>
      <c r="C52" s="1"/>
      <c r="D52" s="1"/>
      <c r="E52" s="1"/>
      <c r="F52" s="1"/>
      <c r="G52" s="1"/>
      <c r="H52" s="1"/>
      <c r="I52" s="1"/>
      <c r="J52" s="1" t="s">
        <v>727</v>
      </c>
      <c r="K52" s="1" t="s">
        <v>728</v>
      </c>
      <c r="L52" s="1" t="s">
        <v>161</v>
      </c>
      <c r="M52" s="1"/>
      <c r="N52" s="1"/>
      <c r="O52" t="s">
        <v>727</v>
      </c>
      <c r="R52" s="4" t="s">
        <v>289</v>
      </c>
      <c r="S52" s="4" t="s">
        <v>11</v>
      </c>
      <c r="T52" s="4" t="s">
        <v>729</v>
      </c>
      <c r="U52" s="4" t="s">
        <v>359</v>
      </c>
      <c r="V52" s="4" t="s">
        <v>161</v>
      </c>
      <c r="W52" s="4" t="s">
        <v>730</v>
      </c>
    </row>
    <row r="53" ht="14.5" spans="2:23">
      <c r="B53" s="1"/>
      <c r="C53" s="1"/>
      <c r="D53" s="1"/>
      <c r="E53" s="1"/>
      <c r="F53" s="1"/>
      <c r="G53" s="1"/>
      <c r="H53" s="1"/>
      <c r="I53" s="1"/>
      <c r="J53" s="1" t="s">
        <v>731</v>
      </c>
      <c r="K53" s="1" t="s">
        <v>732</v>
      </c>
      <c r="L53" s="1" t="s">
        <v>161</v>
      </c>
      <c r="M53" s="1"/>
      <c r="N53" s="1"/>
      <c r="O53" t="s">
        <v>731</v>
      </c>
      <c r="R53" s="4" t="s">
        <v>289</v>
      </c>
      <c r="S53" s="4" t="s">
        <v>11</v>
      </c>
      <c r="T53" s="4" t="s">
        <v>733</v>
      </c>
      <c r="U53" s="4" t="s">
        <v>359</v>
      </c>
      <c r="V53" s="4" t="s">
        <v>161</v>
      </c>
      <c r="W53" s="4" t="s">
        <v>734</v>
      </c>
    </row>
    <row r="54" ht="14.5" spans="2:23">
      <c r="B54" s="1"/>
      <c r="C54" s="1"/>
      <c r="D54" s="1"/>
      <c r="E54" s="1"/>
      <c r="F54" s="1"/>
      <c r="G54" s="1"/>
      <c r="H54" s="1"/>
      <c r="I54" s="1"/>
      <c r="J54" s="1" t="s">
        <v>735</v>
      </c>
      <c r="K54" s="1" t="s">
        <v>736</v>
      </c>
      <c r="L54" s="1" t="s">
        <v>161</v>
      </c>
      <c r="M54" s="1"/>
      <c r="N54" s="1"/>
      <c r="O54" t="s">
        <v>735</v>
      </c>
      <c r="R54" s="4" t="s">
        <v>289</v>
      </c>
      <c r="S54" s="4" t="s">
        <v>11</v>
      </c>
      <c r="T54" s="4" t="s">
        <v>737</v>
      </c>
      <c r="U54" s="4" t="s">
        <v>359</v>
      </c>
      <c r="V54" s="4" t="s">
        <v>161</v>
      </c>
      <c r="W54" s="4" t="s">
        <v>738</v>
      </c>
    </row>
    <row r="55" ht="14.5" spans="2:23">
      <c r="B55" s="1"/>
      <c r="C55" s="1"/>
      <c r="D55" s="1"/>
      <c r="E55" s="1"/>
      <c r="F55" s="1"/>
      <c r="G55" s="1"/>
      <c r="H55" s="1"/>
      <c r="I55" s="1"/>
      <c r="J55" s="1" t="s">
        <v>739</v>
      </c>
      <c r="K55" s="1" t="s">
        <v>740</v>
      </c>
      <c r="L55" s="1" t="s">
        <v>161</v>
      </c>
      <c r="M55" s="1"/>
      <c r="N55" s="1"/>
      <c r="O55" t="s">
        <v>474</v>
      </c>
      <c r="R55" s="4" t="s">
        <v>289</v>
      </c>
      <c r="S55" s="4" t="s">
        <v>11</v>
      </c>
      <c r="T55" s="4" t="s">
        <v>741</v>
      </c>
      <c r="U55" s="4" t="s">
        <v>359</v>
      </c>
      <c r="V55" s="4" t="s">
        <v>161</v>
      </c>
      <c r="W55" s="4" t="s">
        <v>742</v>
      </c>
    </row>
    <row r="56" ht="14.5" spans="2:23">
      <c r="B56" s="1"/>
      <c r="C56" s="1"/>
      <c r="D56" s="1"/>
      <c r="E56" s="1"/>
      <c r="F56" s="1"/>
      <c r="G56" s="1"/>
      <c r="H56" s="1"/>
      <c r="I56" s="1"/>
      <c r="J56" s="1" t="s">
        <v>743</v>
      </c>
      <c r="K56" s="1" t="s">
        <v>744</v>
      </c>
      <c r="L56" s="1" t="s">
        <v>161</v>
      </c>
      <c r="M56" s="1"/>
      <c r="N56" s="1"/>
      <c r="O56" t="s">
        <v>743</v>
      </c>
      <c r="R56" s="4" t="s">
        <v>289</v>
      </c>
      <c r="S56" s="4" t="s">
        <v>11</v>
      </c>
      <c r="T56" s="4" t="s">
        <v>745</v>
      </c>
      <c r="U56" s="4" t="s">
        <v>359</v>
      </c>
      <c r="V56" s="4" t="s">
        <v>161</v>
      </c>
      <c r="W56" s="4" t="s">
        <v>746</v>
      </c>
    </row>
    <row r="57" ht="14.5" spans="2:23">
      <c r="B57" s="1"/>
      <c r="C57" s="1"/>
      <c r="D57" s="1"/>
      <c r="E57" s="1"/>
      <c r="F57" s="1"/>
      <c r="G57" s="1"/>
      <c r="H57" s="1"/>
      <c r="I57" s="1"/>
      <c r="J57" s="1" t="s">
        <v>747</v>
      </c>
      <c r="K57" s="1" t="s">
        <v>748</v>
      </c>
      <c r="L57" s="1" t="s">
        <v>161</v>
      </c>
      <c r="M57" s="1"/>
      <c r="N57" s="1"/>
      <c r="O57" t="s">
        <v>747</v>
      </c>
      <c r="R57" s="4" t="s">
        <v>289</v>
      </c>
      <c r="S57" s="4" t="s">
        <v>11</v>
      </c>
      <c r="T57" s="4" t="s">
        <v>749</v>
      </c>
      <c r="U57" s="4" t="s">
        <v>359</v>
      </c>
      <c r="V57" s="4" t="s">
        <v>161</v>
      </c>
      <c r="W57" s="4" t="s">
        <v>750</v>
      </c>
    </row>
    <row r="58" ht="14.5" spans="2:23">
      <c r="B58" s="1"/>
      <c r="C58" s="1"/>
      <c r="D58" s="1"/>
      <c r="E58" s="1"/>
      <c r="F58" s="1"/>
      <c r="G58" s="1"/>
      <c r="H58" s="1"/>
      <c r="I58" s="1"/>
      <c r="J58" s="1" t="s">
        <v>751</v>
      </c>
      <c r="K58" s="1" t="s">
        <v>752</v>
      </c>
      <c r="L58" s="1" t="s">
        <v>161</v>
      </c>
      <c r="M58" s="1"/>
      <c r="N58" s="1"/>
      <c r="O58" t="s">
        <v>474</v>
      </c>
      <c r="R58" s="4" t="s">
        <v>289</v>
      </c>
      <c r="S58" s="4" t="s">
        <v>11</v>
      </c>
      <c r="T58" s="4" t="s">
        <v>753</v>
      </c>
      <c r="U58" s="4" t="s">
        <v>359</v>
      </c>
      <c r="V58" s="4" t="s">
        <v>161</v>
      </c>
      <c r="W58" s="4" t="s">
        <v>754</v>
      </c>
    </row>
    <row r="59" ht="14.5" spans="2:23">
      <c r="B59" s="1"/>
      <c r="C59" s="1"/>
      <c r="D59" s="1"/>
      <c r="E59" s="1"/>
      <c r="F59" s="1"/>
      <c r="G59" s="1"/>
      <c r="H59" s="1"/>
      <c r="I59" s="1"/>
      <c r="J59" s="1" t="s">
        <v>755</v>
      </c>
      <c r="K59" s="1" t="s">
        <v>756</v>
      </c>
      <c r="L59" s="1" t="s">
        <v>161</v>
      </c>
      <c r="M59" s="1" t="s">
        <v>359</v>
      </c>
      <c r="N59" s="1" t="s">
        <v>360</v>
      </c>
      <c r="O59" t="s">
        <v>755</v>
      </c>
      <c r="R59" s="4" t="s">
        <v>289</v>
      </c>
      <c r="S59" s="4" t="s">
        <v>11</v>
      </c>
      <c r="T59" s="4" t="s">
        <v>757</v>
      </c>
      <c r="U59" s="4" t="s">
        <v>359</v>
      </c>
      <c r="V59" s="4" t="s">
        <v>161</v>
      </c>
      <c r="W59" s="4" t="s">
        <v>758</v>
      </c>
    </row>
    <row r="60" ht="14.5" spans="2:23">
      <c r="B60" s="1"/>
      <c r="C60" s="1"/>
      <c r="D60" s="1"/>
      <c r="E60" s="1"/>
      <c r="F60" s="1"/>
      <c r="G60" s="1"/>
      <c r="H60" s="1"/>
      <c r="I60" s="1"/>
      <c r="J60" s="1" t="s">
        <v>759</v>
      </c>
      <c r="K60" s="1" t="s">
        <v>760</v>
      </c>
      <c r="L60" s="1" t="s">
        <v>161</v>
      </c>
      <c r="M60" s="1"/>
      <c r="N60" s="1"/>
      <c r="O60" t="s">
        <v>759</v>
      </c>
      <c r="R60" s="4" t="s">
        <v>289</v>
      </c>
      <c r="S60" s="4" t="s">
        <v>11</v>
      </c>
      <c r="T60" s="4" t="s">
        <v>761</v>
      </c>
      <c r="U60" s="4" t="s">
        <v>359</v>
      </c>
      <c r="V60" s="4" t="s">
        <v>161</v>
      </c>
      <c r="W60" s="4" t="s">
        <v>762</v>
      </c>
    </row>
    <row r="61" ht="14.5" spans="2:23">
      <c r="B61" s="1"/>
      <c r="C61" s="1"/>
      <c r="D61" s="1"/>
      <c r="E61" s="1"/>
      <c r="F61" s="1"/>
      <c r="G61" s="1"/>
      <c r="H61" s="1"/>
      <c r="I61" s="1"/>
      <c r="J61" s="1" t="s">
        <v>763</v>
      </c>
      <c r="K61" s="1" t="s">
        <v>764</v>
      </c>
      <c r="L61" s="1" t="s">
        <v>161</v>
      </c>
      <c r="M61" s="1" t="s">
        <v>139</v>
      </c>
      <c r="N61" s="1" t="s">
        <v>493</v>
      </c>
      <c r="O61" t="s">
        <v>763</v>
      </c>
      <c r="R61" s="4" t="s">
        <v>289</v>
      </c>
      <c r="S61" s="4" t="s">
        <v>11</v>
      </c>
      <c r="T61" s="4" t="s">
        <v>765</v>
      </c>
      <c r="U61" s="4" t="s">
        <v>359</v>
      </c>
      <c r="V61" s="4" t="s">
        <v>161</v>
      </c>
      <c r="W61" s="4" t="s">
        <v>766</v>
      </c>
    </row>
    <row r="62" ht="14.5" spans="2:23">
      <c r="B62" s="1"/>
      <c r="C62" s="1"/>
      <c r="D62" s="1"/>
      <c r="E62" s="1"/>
      <c r="F62" s="1"/>
      <c r="G62" s="1"/>
      <c r="H62" s="1"/>
      <c r="I62" s="1"/>
      <c r="J62" s="1" t="s">
        <v>767</v>
      </c>
      <c r="K62" s="1" t="s">
        <v>768</v>
      </c>
      <c r="L62" s="1" t="s">
        <v>161</v>
      </c>
      <c r="M62" s="1"/>
      <c r="N62" s="1"/>
      <c r="O62" t="s">
        <v>474</v>
      </c>
      <c r="R62" s="4" t="s">
        <v>289</v>
      </c>
      <c r="S62" s="4" t="s">
        <v>11</v>
      </c>
      <c r="T62" s="4" t="s">
        <v>769</v>
      </c>
      <c r="U62" s="4" t="s">
        <v>359</v>
      </c>
      <c r="V62" s="4" t="s">
        <v>161</v>
      </c>
      <c r="W62" s="4" t="s">
        <v>770</v>
      </c>
    </row>
    <row r="63" ht="14.5" spans="2:23">
      <c r="B63" s="1"/>
      <c r="C63" s="1"/>
      <c r="D63" s="1"/>
      <c r="E63" s="1"/>
      <c r="F63" s="1"/>
      <c r="G63" s="1"/>
      <c r="H63" s="1"/>
      <c r="I63" s="1"/>
      <c r="J63" s="1" t="s">
        <v>771</v>
      </c>
      <c r="K63" s="1" t="s">
        <v>772</v>
      </c>
      <c r="L63" s="1" t="s">
        <v>161</v>
      </c>
      <c r="M63" s="1"/>
      <c r="N63" s="1"/>
      <c r="O63" t="s">
        <v>771</v>
      </c>
      <c r="R63" s="4" t="s">
        <v>289</v>
      </c>
      <c r="S63" s="4" t="s">
        <v>11</v>
      </c>
      <c r="T63" s="4" t="s">
        <v>773</v>
      </c>
      <c r="U63" s="4" t="s">
        <v>359</v>
      </c>
      <c r="V63" s="4" t="s">
        <v>161</v>
      </c>
      <c r="W63" s="4" t="s">
        <v>774</v>
      </c>
    </row>
    <row r="64" ht="14.5" spans="2:23">
      <c r="B64" s="1"/>
      <c r="C64" s="1"/>
      <c r="D64" s="1"/>
      <c r="E64" s="1"/>
      <c r="F64" s="1"/>
      <c r="G64" s="1"/>
      <c r="H64" s="1"/>
      <c r="I64" s="1"/>
      <c r="J64" s="1" t="s">
        <v>775</v>
      </c>
      <c r="K64" s="1" t="s">
        <v>776</v>
      </c>
      <c r="L64" s="1" t="s">
        <v>161</v>
      </c>
      <c r="M64" s="1"/>
      <c r="N64" s="1"/>
      <c r="O64" t="s">
        <v>775</v>
      </c>
      <c r="R64" s="4" t="s">
        <v>289</v>
      </c>
      <c r="S64" s="4" t="s">
        <v>11</v>
      </c>
      <c r="T64" s="4" t="s">
        <v>777</v>
      </c>
      <c r="U64" s="4" t="s">
        <v>359</v>
      </c>
      <c r="V64" s="4" t="s">
        <v>161</v>
      </c>
      <c r="W64" s="4" t="s">
        <v>778</v>
      </c>
    </row>
    <row r="65" ht="14.5" spans="2:23">
      <c r="B65" s="1"/>
      <c r="C65" s="1"/>
      <c r="D65" s="1"/>
      <c r="E65" s="1"/>
      <c r="F65" s="1"/>
      <c r="G65" s="1"/>
      <c r="H65" s="1"/>
      <c r="I65" s="1"/>
      <c r="J65" s="1" t="s">
        <v>779</v>
      </c>
      <c r="K65" s="1" t="s">
        <v>780</v>
      </c>
      <c r="L65" s="1" t="s">
        <v>161</v>
      </c>
      <c r="M65" s="1"/>
      <c r="N65" s="1"/>
      <c r="O65" t="s">
        <v>474</v>
      </c>
      <c r="R65" s="4" t="s">
        <v>289</v>
      </c>
      <c r="S65" s="4" t="s">
        <v>11</v>
      </c>
      <c r="T65" s="4" t="s">
        <v>781</v>
      </c>
      <c r="U65" s="4" t="s">
        <v>359</v>
      </c>
      <c r="V65" s="4" t="s">
        <v>161</v>
      </c>
      <c r="W65" s="4" t="s">
        <v>782</v>
      </c>
    </row>
    <row r="66" ht="14.5" spans="2:23">
      <c r="B66" s="1"/>
      <c r="C66" s="1"/>
      <c r="D66" s="1"/>
      <c r="E66" s="1"/>
      <c r="F66" s="1"/>
      <c r="G66" s="1"/>
      <c r="H66" s="1"/>
      <c r="I66" s="1"/>
      <c r="J66" s="1" t="s">
        <v>783</v>
      </c>
      <c r="K66" s="1" t="s">
        <v>784</v>
      </c>
      <c r="L66" s="1" t="s">
        <v>161</v>
      </c>
      <c r="M66" s="1"/>
      <c r="N66" s="1"/>
      <c r="O66" t="s">
        <v>783</v>
      </c>
      <c r="R66" s="4" t="s">
        <v>289</v>
      </c>
      <c r="S66" s="4" t="s">
        <v>11</v>
      </c>
      <c r="T66" s="4" t="s">
        <v>785</v>
      </c>
      <c r="U66" s="4" t="s">
        <v>359</v>
      </c>
      <c r="V66" s="4" t="s">
        <v>161</v>
      </c>
      <c r="W66" s="4" t="s">
        <v>786</v>
      </c>
    </row>
    <row r="67" ht="14.5" spans="2:23">
      <c r="B67" s="1"/>
      <c r="C67" s="1"/>
      <c r="D67" s="1"/>
      <c r="E67" s="1"/>
      <c r="F67" s="1"/>
      <c r="G67" s="1"/>
      <c r="H67" s="1"/>
      <c r="I67" s="1"/>
      <c r="J67" s="1" t="s">
        <v>787</v>
      </c>
      <c r="K67" s="1" t="s">
        <v>788</v>
      </c>
      <c r="L67" s="1" t="s">
        <v>161</v>
      </c>
      <c r="M67" s="1"/>
      <c r="N67" s="1"/>
      <c r="O67" t="s">
        <v>474</v>
      </c>
      <c r="R67" s="4" t="s">
        <v>289</v>
      </c>
      <c r="S67" s="4" t="s">
        <v>11</v>
      </c>
      <c r="T67" s="4" t="s">
        <v>789</v>
      </c>
      <c r="U67" s="4" t="s">
        <v>359</v>
      </c>
      <c r="V67" s="4" t="s">
        <v>161</v>
      </c>
      <c r="W67" s="4" t="s">
        <v>790</v>
      </c>
    </row>
    <row r="68" ht="14.5" spans="2:23">
      <c r="B68" s="1"/>
      <c r="C68" s="1"/>
      <c r="D68" s="1"/>
      <c r="E68" s="1"/>
      <c r="F68" s="1"/>
      <c r="G68" s="1"/>
      <c r="H68" s="1"/>
      <c r="I68" s="1"/>
      <c r="J68" s="1" t="s">
        <v>791</v>
      </c>
      <c r="K68" s="1" t="s">
        <v>792</v>
      </c>
      <c r="L68" s="1" t="s">
        <v>161</v>
      </c>
      <c r="M68" s="1"/>
      <c r="N68" s="1"/>
      <c r="O68" t="s">
        <v>474</v>
      </c>
      <c r="R68" s="4" t="s">
        <v>289</v>
      </c>
      <c r="S68" s="4" t="s">
        <v>11</v>
      </c>
      <c r="T68" s="4" t="s">
        <v>793</v>
      </c>
      <c r="U68" s="4" t="s">
        <v>359</v>
      </c>
      <c r="V68" s="4" t="s">
        <v>161</v>
      </c>
      <c r="W68" s="4" t="s">
        <v>794</v>
      </c>
    </row>
    <row r="69" ht="14.5" spans="2:23">
      <c r="B69" s="1"/>
      <c r="C69" s="1"/>
      <c r="D69" s="1"/>
      <c r="E69" s="1"/>
      <c r="F69" s="1"/>
      <c r="G69" s="1"/>
      <c r="H69" s="1"/>
      <c r="I69" s="1"/>
      <c r="J69" s="1" t="s">
        <v>795</v>
      </c>
      <c r="K69" s="1" t="s">
        <v>796</v>
      </c>
      <c r="L69" s="1" t="s">
        <v>161</v>
      </c>
      <c r="M69" s="1"/>
      <c r="N69" s="1"/>
      <c r="O69" t="s">
        <v>795</v>
      </c>
      <c r="R69" s="4" t="s">
        <v>289</v>
      </c>
      <c r="S69" s="4" t="s">
        <v>11</v>
      </c>
      <c r="T69" s="4" t="s">
        <v>797</v>
      </c>
      <c r="U69" s="4" t="s">
        <v>359</v>
      </c>
      <c r="V69" s="4" t="s">
        <v>161</v>
      </c>
      <c r="W69" s="4" t="s">
        <v>798</v>
      </c>
    </row>
    <row r="70" ht="14.5" spans="2:23">
      <c r="B70" s="1"/>
      <c r="C70" s="1"/>
      <c r="D70" s="1"/>
      <c r="E70" s="1"/>
      <c r="F70" s="1"/>
      <c r="G70" s="1"/>
      <c r="H70" s="1"/>
      <c r="I70" s="1"/>
      <c r="J70" s="1" t="s">
        <v>799</v>
      </c>
      <c r="K70" s="1" t="s">
        <v>800</v>
      </c>
      <c r="L70" s="1" t="s">
        <v>161</v>
      </c>
      <c r="M70" s="1"/>
      <c r="N70" s="1"/>
      <c r="O70" t="s">
        <v>474</v>
      </c>
      <c r="R70" s="4" t="s">
        <v>289</v>
      </c>
      <c r="S70" s="4" t="s">
        <v>11</v>
      </c>
      <c r="T70" s="4" t="s">
        <v>801</v>
      </c>
      <c r="U70" s="4" t="s">
        <v>359</v>
      </c>
      <c r="V70" s="4" t="s">
        <v>161</v>
      </c>
      <c r="W70" s="4" t="s">
        <v>802</v>
      </c>
    </row>
    <row r="71" ht="14.5" spans="2:23">
      <c r="B71" s="1"/>
      <c r="C71" s="1"/>
      <c r="D71" s="1"/>
      <c r="E71" s="1"/>
      <c r="F71" s="1"/>
      <c r="G71" s="1"/>
      <c r="H71" s="1"/>
      <c r="I71" s="1"/>
      <c r="J71" s="1" t="s">
        <v>803</v>
      </c>
      <c r="K71" s="1" t="s">
        <v>804</v>
      </c>
      <c r="L71" s="1" t="s">
        <v>161</v>
      </c>
      <c r="M71" s="1"/>
      <c r="N71" s="1"/>
      <c r="O71" t="s">
        <v>803</v>
      </c>
      <c r="R71" s="4" t="s">
        <v>289</v>
      </c>
      <c r="S71" s="4" t="s">
        <v>11</v>
      </c>
      <c r="T71" s="4" t="s">
        <v>805</v>
      </c>
      <c r="U71" s="4" t="s">
        <v>359</v>
      </c>
      <c r="V71" s="4" t="s">
        <v>161</v>
      </c>
      <c r="W71" s="4" t="s">
        <v>806</v>
      </c>
    </row>
    <row r="72" ht="14.5" spans="2:23">
      <c r="B72" s="1"/>
      <c r="C72" s="1"/>
      <c r="D72" s="1"/>
      <c r="E72" s="1"/>
      <c r="F72" s="1"/>
      <c r="G72" s="1"/>
      <c r="H72" s="1"/>
      <c r="I72" s="1"/>
      <c r="J72" s="1" t="s">
        <v>807</v>
      </c>
      <c r="K72" s="1" t="s">
        <v>808</v>
      </c>
      <c r="L72" s="1" t="s">
        <v>161</v>
      </c>
      <c r="M72" s="1"/>
      <c r="N72" s="1"/>
      <c r="O72" t="s">
        <v>474</v>
      </c>
      <c r="R72" s="4" t="s">
        <v>289</v>
      </c>
      <c r="S72" s="4" t="s">
        <v>11</v>
      </c>
      <c r="T72" s="4" t="s">
        <v>809</v>
      </c>
      <c r="U72" s="4" t="s">
        <v>359</v>
      </c>
      <c r="V72" s="4" t="s">
        <v>161</v>
      </c>
      <c r="W72" s="4" t="s">
        <v>810</v>
      </c>
    </row>
    <row r="73" ht="14.5" spans="2:23">
      <c r="B73" s="1"/>
      <c r="C73" s="1"/>
      <c r="D73" s="1"/>
      <c r="E73" s="1"/>
      <c r="F73" s="1"/>
      <c r="G73" s="1"/>
      <c r="H73" s="1"/>
      <c r="I73" s="1"/>
      <c r="J73" s="1" t="s">
        <v>811</v>
      </c>
      <c r="K73" s="1" t="s">
        <v>812</v>
      </c>
      <c r="L73" s="1" t="s">
        <v>161</v>
      </c>
      <c r="M73" s="1"/>
      <c r="N73" s="1"/>
      <c r="O73" t="s">
        <v>474</v>
      </c>
      <c r="R73" s="4" t="s">
        <v>289</v>
      </c>
      <c r="S73" s="4" t="s">
        <v>11</v>
      </c>
      <c r="T73" s="4" t="s">
        <v>813</v>
      </c>
      <c r="U73" s="4" t="s">
        <v>359</v>
      </c>
      <c r="V73" s="4" t="s">
        <v>161</v>
      </c>
      <c r="W73" s="4" t="s">
        <v>814</v>
      </c>
    </row>
    <row r="74" ht="14.5" spans="2:23">
      <c r="B74" s="1"/>
      <c r="C74" s="1"/>
      <c r="D74" s="1"/>
      <c r="E74" s="1"/>
      <c r="F74" s="1"/>
      <c r="G74" s="1"/>
      <c r="H74" s="1"/>
      <c r="I74" s="1"/>
      <c r="J74" s="1" t="s">
        <v>815</v>
      </c>
      <c r="K74" s="1" t="s">
        <v>816</v>
      </c>
      <c r="L74" s="1" t="s">
        <v>161</v>
      </c>
      <c r="M74" s="1"/>
      <c r="N74" s="1"/>
      <c r="O74" t="s">
        <v>815</v>
      </c>
      <c r="R74" s="4" t="s">
        <v>289</v>
      </c>
      <c r="S74" s="4" t="s">
        <v>11</v>
      </c>
      <c r="T74" s="4" t="s">
        <v>817</v>
      </c>
      <c r="U74" s="4" t="s">
        <v>359</v>
      </c>
      <c r="V74" s="4" t="s">
        <v>161</v>
      </c>
      <c r="W74" s="4" t="s">
        <v>818</v>
      </c>
    </row>
    <row r="75" ht="14.5" spans="2:23">
      <c r="B75" s="1"/>
      <c r="C75" s="1"/>
      <c r="D75" s="1"/>
      <c r="E75" s="1"/>
      <c r="F75" s="1"/>
      <c r="G75" s="1"/>
      <c r="H75" s="1"/>
      <c r="I75" s="1"/>
      <c r="J75" s="1" t="s">
        <v>819</v>
      </c>
      <c r="K75" s="1" t="s">
        <v>820</v>
      </c>
      <c r="L75" s="1" t="s">
        <v>161</v>
      </c>
      <c r="M75" s="1"/>
      <c r="N75" s="1"/>
      <c r="O75" t="s">
        <v>819</v>
      </c>
      <c r="R75" s="4" t="s">
        <v>289</v>
      </c>
      <c r="S75" s="4" t="s">
        <v>11</v>
      </c>
      <c r="T75" s="4" t="s">
        <v>821</v>
      </c>
      <c r="U75" s="4" t="s">
        <v>359</v>
      </c>
      <c r="V75" s="4" t="s">
        <v>161</v>
      </c>
      <c r="W75" s="4" t="s">
        <v>822</v>
      </c>
    </row>
    <row r="76" ht="14.5" spans="2:23">
      <c r="B76" s="1"/>
      <c r="C76" s="1"/>
      <c r="D76" s="1"/>
      <c r="E76" s="1"/>
      <c r="F76" s="1"/>
      <c r="G76" s="1"/>
      <c r="H76" s="1"/>
      <c r="I76" s="1"/>
      <c r="J76" s="1" t="s">
        <v>823</v>
      </c>
      <c r="K76" s="1" t="s">
        <v>824</v>
      </c>
      <c r="L76" s="1" t="s">
        <v>161</v>
      </c>
      <c r="M76" s="1"/>
      <c r="N76" s="1"/>
      <c r="O76" t="s">
        <v>474</v>
      </c>
      <c r="R76" s="4" t="s">
        <v>289</v>
      </c>
      <c r="S76" s="4" t="s">
        <v>11</v>
      </c>
      <c r="T76" s="4" t="s">
        <v>825</v>
      </c>
      <c r="U76" s="4" t="s">
        <v>359</v>
      </c>
      <c r="V76" s="4" t="s">
        <v>161</v>
      </c>
      <c r="W76" s="4" t="s">
        <v>826</v>
      </c>
    </row>
    <row r="77" ht="14.5" spans="2:23">
      <c r="B77" s="1"/>
      <c r="C77" s="1"/>
      <c r="D77" s="1"/>
      <c r="E77" s="1"/>
      <c r="F77" s="1"/>
      <c r="G77" s="1"/>
      <c r="H77" s="1"/>
      <c r="I77" s="1"/>
      <c r="J77" s="1" t="s">
        <v>827</v>
      </c>
      <c r="K77" s="1" t="s">
        <v>828</v>
      </c>
      <c r="L77" s="1" t="s">
        <v>161</v>
      </c>
      <c r="M77" s="1"/>
      <c r="N77" s="1"/>
      <c r="O77" t="s">
        <v>827</v>
      </c>
      <c r="R77" s="4" t="s">
        <v>289</v>
      </c>
      <c r="S77" s="4" t="s">
        <v>11</v>
      </c>
      <c r="T77" s="4" t="s">
        <v>829</v>
      </c>
      <c r="U77" s="4" t="s">
        <v>359</v>
      </c>
      <c r="V77" s="4" t="s">
        <v>161</v>
      </c>
      <c r="W77" s="4" t="s">
        <v>830</v>
      </c>
    </row>
    <row r="78" ht="14.5" spans="2:23">
      <c r="B78" s="1"/>
      <c r="C78" s="1"/>
      <c r="D78" s="1"/>
      <c r="E78" s="1"/>
      <c r="F78" s="1"/>
      <c r="G78" s="1"/>
      <c r="H78" s="1"/>
      <c r="I78" s="1"/>
      <c r="J78" s="1" t="s">
        <v>831</v>
      </c>
      <c r="K78" s="1" t="s">
        <v>832</v>
      </c>
      <c r="L78" s="1" t="s">
        <v>161</v>
      </c>
      <c r="M78" s="1"/>
      <c r="N78" s="1"/>
      <c r="O78" t="s">
        <v>831</v>
      </c>
      <c r="R78" s="4" t="s">
        <v>289</v>
      </c>
      <c r="S78" s="4" t="s">
        <v>11</v>
      </c>
      <c r="T78" s="4" t="s">
        <v>833</v>
      </c>
      <c r="U78" s="4" t="s">
        <v>359</v>
      </c>
      <c r="V78" s="4" t="s">
        <v>161</v>
      </c>
      <c r="W78" s="4" t="s">
        <v>834</v>
      </c>
    </row>
    <row r="79" ht="14.5" spans="2:23">
      <c r="B79" s="1"/>
      <c r="C79" s="1"/>
      <c r="D79" s="1"/>
      <c r="E79" s="1"/>
      <c r="F79" s="1"/>
      <c r="G79" s="1"/>
      <c r="H79" s="1"/>
      <c r="I79" s="1"/>
      <c r="J79" s="1" t="s">
        <v>835</v>
      </c>
      <c r="K79" s="1" t="s">
        <v>836</v>
      </c>
      <c r="L79" s="1" t="s">
        <v>161</v>
      </c>
      <c r="M79" s="1"/>
      <c r="N79" s="1"/>
      <c r="O79" t="s">
        <v>835</v>
      </c>
      <c r="R79" s="4" t="s">
        <v>289</v>
      </c>
      <c r="S79" s="4" t="s">
        <v>11</v>
      </c>
      <c r="T79" s="4" t="s">
        <v>837</v>
      </c>
      <c r="U79" s="4" t="s">
        <v>359</v>
      </c>
      <c r="V79" s="4" t="s">
        <v>161</v>
      </c>
      <c r="W79" s="4" t="s">
        <v>838</v>
      </c>
    </row>
    <row r="80" ht="14.5" spans="2:23">
      <c r="B80" s="1"/>
      <c r="C80" s="1"/>
      <c r="D80" s="1"/>
      <c r="E80" s="1"/>
      <c r="F80" s="1"/>
      <c r="G80" s="1"/>
      <c r="H80" s="1"/>
      <c r="I80" s="1"/>
      <c r="J80" s="1" t="s">
        <v>839</v>
      </c>
      <c r="K80" s="1" t="s">
        <v>840</v>
      </c>
      <c r="L80" s="1" t="s">
        <v>161</v>
      </c>
      <c r="M80" s="1" t="s">
        <v>359</v>
      </c>
      <c r="N80" s="1" t="s">
        <v>360</v>
      </c>
      <c r="O80" t="s">
        <v>839</v>
      </c>
      <c r="R80" s="4" t="s">
        <v>289</v>
      </c>
      <c r="S80" s="4" t="s">
        <v>11</v>
      </c>
      <c r="T80" s="4" t="s">
        <v>841</v>
      </c>
      <c r="U80" s="4" t="s">
        <v>359</v>
      </c>
      <c r="V80" s="4" t="s">
        <v>161</v>
      </c>
      <c r="W80" s="4" t="s">
        <v>842</v>
      </c>
    </row>
    <row r="81" ht="14.5" spans="2:23">
      <c r="B81" s="1"/>
      <c r="C81" s="1"/>
      <c r="D81" s="1"/>
      <c r="E81" s="1"/>
      <c r="F81" s="1"/>
      <c r="G81" s="1"/>
      <c r="H81" s="1"/>
      <c r="I81" s="1"/>
      <c r="J81" s="1" t="s">
        <v>843</v>
      </c>
      <c r="K81" s="1" t="s">
        <v>844</v>
      </c>
      <c r="L81" s="1" t="s">
        <v>161</v>
      </c>
      <c r="M81" s="1"/>
      <c r="N81" s="1"/>
      <c r="O81" t="s">
        <v>843</v>
      </c>
      <c r="R81" s="4" t="s">
        <v>289</v>
      </c>
      <c r="S81" s="4" t="s">
        <v>11</v>
      </c>
      <c r="T81" s="4" t="s">
        <v>845</v>
      </c>
      <c r="U81" s="4" t="s">
        <v>359</v>
      </c>
      <c r="V81" s="4" t="s">
        <v>161</v>
      </c>
      <c r="W81" s="4" t="s">
        <v>846</v>
      </c>
    </row>
    <row r="82" ht="14.5" spans="2:23">
      <c r="B82" s="1"/>
      <c r="C82" s="1"/>
      <c r="D82" s="1"/>
      <c r="E82" s="1"/>
      <c r="F82" s="1"/>
      <c r="G82" s="1"/>
      <c r="H82" s="1"/>
      <c r="I82" s="1"/>
      <c r="J82" s="1" t="s">
        <v>847</v>
      </c>
      <c r="K82" s="1" t="s">
        <v>848</v>
      </c>
      <c r="L82" s="1" t="s">
        <v>161</v>
      </c>
      <c r="M82" s="1"/>
      <c r="N82" s="1"/>
      <c r="O82" t="s">
        <v>847</v>
      </c>
      <c r="R82" s="4" t="s">
        <v>289</v>
      </c>
      <c r="S82" s="4" t="s">
        <v>11</v>
      </c>
      <c r="T82" s="4" t="s">
        <v>849</v>
      </c>
      <c r="U82" s="4" t="s">
        <v>359</v>
      </c>
      <c r="V82" s="4" t="s">
        <v>161</v>
      </c>
      <c r="W82" s="4" t="s">
        <v>850</v>
      </c>
    </row>
    <row r="83" ht="14.5" spans="2:23">
      <c r="B83" s="1"/>
      <c r="C83" s="1"/>
      <c r="D83" s="1"/>
      <c r="E83" s="1"/>
      <c r="F83" s="1"/>
      <c r="G83" s="1"/>
      <c r="H83" s="1"/>
      <c r="I83" s="1"/>
      <c r="J83" s="1" t="s">
        <v>851</v>
      </c>
      <c r="K83" s="1" t="s">
        <v>852</v>
      </c>
      <c r="L83" s="1" t="s">
        <v>161</v>
      </c>
      <c r="M83" s="1"/>
      <c r="N83" s="1"/>
      <c r="O83" t="s">
        <v>851</v>
      </c>
      <c r="R83" s="4" t="s">
        <v>289</v>
      </c>
      <c r="S83" s="4" t="s">
        <v>11</v>
      </c>
      <c r="T83" s="4" t="s">
        <v>853</v>
      </c>
      <c r="U83" s="4" t="s">
        <v>359</v>
      </c>
      <c r="V83" s="4" t="s">
        <v>161</v>
      </c>
      <c r="W83" s="4" t="s">
        <v>854</v>
      </c>
    </row>
    <row r="84" ht="14.5" spans="2:23">
      <c r="B84" s="1"/>
      <c r="C84" s="1"/>
      <c r="D84" s="1"/>
      <c r="E84" s="1"/>
      <c r="F84" s="1"/>
      <c r="G84" s="1"/>
      <c r="H84" s="1"/>
      <c r="I84" s="1"/>
      <c r="J84" s="1" t="s">
        <v>855</v>
      </c>
      <c r="K84" s="1" t="s">
        <v>856</v>
      </c>
      <c r="L84" s="1" t="s">
        <v>161</v>
      </c>
      <c r="M84" s="1"/>
      <c r="N84" s="1"/>
      <c r="O84" t="s">
        <v>855</v>
      </c>
      <c r="R84" s="4" t="s">
        <v>289</v>
      </c>
      <c r="S84" s="4" t="s">
        <v>11</v>
      </c>
      <c r="T84" s="4" t="s">
        <v>857</v>
      </c>
      <c r="U84" s="4" t="s">
        <v>359</v>
      </c>
      <c r="V84" s="4" t="s">
        <v>161</v>
      </c>
      <c r="W84" s="4" t="s">
        <v>858</v>
      </c>
    </row>
    <row r="85" ht="14.5" spans="2:23">
      <c r="B85" s="1"/>
      <c r="C85" s="1"/>
      <c r="D85" s="1"/>
      <c r="E85" s="1"/>
      <c r="F85" s="1"/>
      <c r="G85" s="1"/>
      <c r="H85" s="1"/>
      <c r="I85" s="1"/>
      <c r="J85" s="1" t="s">
        <v>859</v>
      </c>
      <c r="K85" s="1" t="s">
        <v>860</v>
      </c>
      <c r="L85" s="1" t="s">
        <v>161</v>
      </c>
      <c r="M85" s="1"/>
      <c r="N85" s="1"/>
      <c r="O85" t="s">
        <v>859</v>
      </c>
      <c r="R85" s="4" t="s">
        <v>289</v>
      </c>
      <c r="S85" s="4" t="s">
        <v>11</v>
      </c>
      <c r="T85" s="4" t="s">
        <v>861</v>
      </c>
      <c r="U85" s="4" t="s">
        <v>359</v>
      </c>
      <c r="V85" s="4" t="s">
        <v>161</v>
      </c>
      <c r="W85" s="4" t="s">
        <v>862</v>
      </c>
    </row>
    <row r="86" ht="14.5" spans="2:23">
      <c r="B86" s="1"/>
      <c r="C86" s="1"/>
      <c r="D86" s="1"/>
      <c r="E86" s="1"/>
      <c r="F86" s="1"/>
      <c r="G86" s="1"/>
      <c r="H86" s="1"/>
      <c r="I86" s="1"/>
      <c r="J86" s="1"/>
      <c r="K86" s="1" t="s">
        <v>863</v>
      </c>
      <c r="L86" s="1" t="s">
        <v>161</v>
      </c>
      <c r="M86" s="1" t="s">
        <v>359</v>
      </c>
      <c r="N86" s="1" t="s">
        <v>360</v>
      </c>
      <c r="O86" t="s">
        <v>864</v>
      </c>
      <c r="R86" s="4" t="s">
        <v>289</v>
      </c>
      <c r="S86" s="4" t="s">
        <v>11</v>
      </c>
      <c r="T86" s="4" t="s">
        <v>865</v>
      </c>
      <c r="U86" s="4" t="s">
        <v>359</v>
      </c>
      <c r="V86" s="4" t="s">
        <v>161</v>
      </c>
      <c r="W86" s="4" t="s">
        <v>866</v>
      </c>
    </row>
    <row r="87" ht="14.5" spans="2:23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R87" s="4" t="s">
        <v>289</v>
      </c>
      <c r="S87" s="4" t="s">
        <v>11</v>
      </c>
      <c r="T87" s="4" t="s">
        <v>867</v>
      </c>
      <c r="U87" s="4" t="s">
        <v>359</v>
      </c>
      <c r="V87" s="4" t="s">
        <v>161</v>
      </c>
      <c r="W87" s="4" t="s">
        <v>868</v>
      </c>
    </row>
    <row r="88" ht="14.5" spans="2:23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R88" s="4" t="s">
        <v>289</v>
      </c>
      <c r="S88" s="4" t="s">
        <v>11</v>
      </c>
      <c r="T88" s="4" t="s">
        <v>869</v>
      </c>
      <c r="U88" s="4" t="s">
        <v>359</v>
      </c>
      <c r="V88" s="4" t="s">
        <v>161</v>
      </c>
      <c r="W88" s="4" t="s">
        <v>870</v>
      </c>
    </row>
    <row r="89" ht="14.5" spans="2:23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R89" s="4" t="s">
        <v>289</v>
      </c>
      <c r="S89" s="4" t="s">
        <v>11</v>
      </c>
      <c r="T89" s="4" t="s">
        <v>871</v>
      </c>
      <c r="U89" s="4" t="s">
        <v>359</v>
      </c>
      <c r="V89" s="4" t="s">
        <v>161</v>
      </c>
      <c r="W89" s="4" t="s">
        <v>872</v>
      </c>
    </row>
    <row r="90" ht="14.5" spans="2:23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R90" s="4" t="s">
        <v>289</v>
      </c>
      <c r="S90" s="4" t="s">
        <v>11</v>
      </c>
      <c r="T90" s="4" t="s">
        <v>873</v>
      </c>
      <c r="U90" s="4" t="s">
        <v>359</v>
      </c>
      <c r="V90" s="4" t="s">
        <v>161</v>
      </c>
      <c r="W90" s="4" t="s">
        <v>874</v>
      </c>
    </row>
    <row r="91" ht="14.5" spans="2:23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R91" s="4" t="s">
        <v>289</v>
      </c>
      <c r="S91" s="4" t="s">
        <v>11</v>
      </c>
      <c r="T91" s="4" t="s">
        <v>875</v>
      </c>
      <c r="U91" s="4" t="s">
        <v>359</v>
      </c>
      <c r="V91" s="4" t="s">
        <v>161</v>
      </c>
      <c r="W91" s="4" t="s">
        <v>876</v>
      </c>
    </row>
    <row r="92" ht="14.5" spans="2:23">
      <c r="B92" s="1"/>
      <c r="C92" s="1"/>
      <c r="D92" s="1"/>
      <c r="E92" s="1"/>
      <c r="F92" s="1"/>
      <c r="G92" s="1"/>
      <c r="H92" s="1"/>
      <c r="I92" t="s">
        <v>296</v>
      </c>
      <c r="R92" s="4" t="s">
        <v>289</v>
      </c>
      <c r="S92" s="4" t="s">
        <v>11</v>
      </c>
      <c r="T92" s="4" t="s">
        <v>877</v>
      </c>
      <c r="U92" s="4" t="s">
        <v>359</v>
      </c>
      <c r="V92" s="4" t="s">
        <v>161</v>
      </c>
      <c r="W92" s="4" t="s">
        <v>878</v>
      </c>
    </row>
    <row r="93" ht="15.25" spans="2:23">
      <c r="B93" s="1"/>
      <c r="C93" s="1"/>
      <c r="D93" s="1"/>
      <c r="E93" s="1"/>
      <c r="F93" s="1"/>
      <c r="G93" s="1"/>
      <c r="H93" s="1"/>
      <c r="I93" s="5" t="s">
        <v>453</v>
      </c>
      <c r="J93" s="5" t="s">
        <v>454</v>
      </c>
      <c r="K93" s="5" t="s">
        <v>252</v>
      </c>
      <c r="L93" s="5" t="s">
        <v>300</v>
      </c>
      <c r="M93" s="5" t="s">
        <v>455</v>
      </c>
      <c r="N93" s="5" t="s">
        <v>456</v>
      </c>
      <c r="R93" s="4" t="s">
        <v>289</v>
      </c>
      <c r="S93" s="4" t="s">
        <v>11</v>
      </c>
      <c r="T93" s="4" t="s">
        <v>879</v>
      </c>
      <c r="U93" s="4" t="s">
        <v>359</v>
      </c>
      <c r="V93" s="4" t="s">
        <v>161</v>
      </c>
      <c r="W93" s="4" t="s">
        <v>880</v>
      </c>
    </row>
    <row r="94" ht="14.5" spans="2:23">
      <c r="B94" s="1"/>
      <c r="C94" s="1"/>
      <c r="D94" s="1"/>
      <c r="E94" s="1"/>
      <c r="F94" s="1"/>
      <c r="G94" s="1"/>
      <c r="H94" s="1"/>
      <c r="I94" t="s">
        <v>289</v>
      </c>
      <c r="J94" t="s">
        <v>881</v>
      </c>
      <c r="K94" t="s">
        <v>882</v>
      </c>
      <c r="L94" t="s">
        <v>161</v>
      </c>
      <c r="R94" s="4" t="s">
        <v>289</v>
      </c>
      <c r="S94" s="4" t="s">
        <v>11</v>
      </c>
      <c r="T94" s="4" t="s">
        <v>883</v>
      </c>
      <c r="U94" s="4" t="s">
        <v>359</v>
      </c>
      <c r="V94" s="4" t="s">
        <v>161</v>
      </c>
      <c r="W94" s="4" t="s">
        <v>884</v>
      </c>
    </row>
    <row r="95" ht="14.5" spans="2:23">
      <c r="B95" s="1"/>
      <c r="C95" s="1"/>
      <c r="D95" s="1"/>
      <c r="E95" s="1"/>
      <c r="F95" s="1"/>
      <c r="G95" s="1"/>
      <c r="H95" s="1"/>
      <c r="I95" t="s">
        <v>289</v>
      </c>
      <c r="J95" t="s">
        <v>885</v>
      </c>
      <c r="K95" t="s">
        <v>886</v>
      </c>
      <c r="L95" t="s">
        <v>161</v>
      </c>
      <c r="R95" s="4" t="s">
        <v>289</v>
      </c>
      <c r="S95" s="4" t="s">
        <v>11</v>
      </c>
      <c r="T95" s="4" t="s">
        <v>887</v>
      </c>
      <c r="U95" s="4" t="s">
        <v>359</v>
      </c>
      <c r="V95" s="4" t="s">
        <v>161</v>
      </c>
      <c r="W95" s="4" t="s">
        <v>888</v>
      </c>
    </row>
    <row r="96" ht="14.5" spans="2:23">
      <c r="B96" s="1"/>
      <c r="C96" s="1"/>
      <c r="D96" s="1"/>
      <c r="E96" s="1"/>
      <c r="F96" s="1"/>
      <c r="G96" s="1"/>
      <c r="H96" s="1"/>
      <c r="I96" t="s">
        <v>289</v>
      </c>
      <c r="J96" t="s">
        <v>889</v>
      </c>
      <c r="K96" t="s">
        <v>890</v>
      </c>
      <c r="L96" t="s">
        <v>161</v>
      </c>
      <c r="R96" s="4" t="s">
        <v>289</v>
      </c>
      <c r="S96" s="4" t="s">
        <v>11</v>
      </c>
      <c r="T96" s="4" t="s">
        <v>891</v>
      </c>
      <c r="U96" s="4" t="s">
        <v>359</v>
      </c>
      <c r="V96" s="4" t="s">
        <v>161</v>
      </c>
      <c r="W96" s="4" t="s">
        <v>892</v>
      </c>
    </row>
    <row r="97" ht="14.5" spans="2:23">
      <c r="B97" s="1"/>
      <c r="C97" s="1"/>
      <c r="D97" s="1"/>
      <c r="E97" s="1"/>
      <c r="F97" s="1"/>
      <c r="G97" s="1"/>
      <c r="H97" s="1"/>
      <c r="I97" t="s">
        <v>289</v>
      </c>
      <c r="J97" t="s">
        <v>893</v>
      </c>
      <c r="K97" t="s">
        <v>894</v>
      </c>
      <c r="L97" t="s">
        <v>161</v>
      </c>
      <c r="R97" s="4" t="s">
        <v>289</v>
      </c>
      <c r="S97" s="4" t="s">
        <v>11</v>
      </c>
      <c r="T97" s="4" t="s">
        <v>895</v>
      </c>
      <c r="U97" s="4" t="s">
        <v>359</v>
      </c>
      <c r="V97" s="4" t="s">
        <v>161</v>
      </c>
      <c r="W97" s="4" t="s">
        <v>896</v>
      </c>
    </row>
    <row r="98" ht="14.5" spans="2:23">
      <c r="B98" s="1"/>
      <c r="C98" s="1"/>
      <c r="D98" s="1"/>
      <c r="E98" s="1"/>
      <c r="F98" s="1"/>
      <c r="G98" s="1"/>
      <c r="H98" s="1"/>
      <c r="I98" t="s">
        <v>289</v>
      </c>
      <c r="J98" t="s">
        <v>897</v>
      </c>
      <c r="K98" t="s">
        <v>898</v>
      </c>
      <c r="L98" t="s">
        <v>161</v>
      </c>
      <c r="R98" s="4" t="s">
        <v>289</v>
      </c>
      <c r="S98" s="4" t="s">
        <v>11</v>
      </c>
      <c r="T98" s="4" t="s">
        <v>899</v>
      </c>
      <c r="U98" s="4" t="s">
        <v>359</v>
      </c>
      <c r="V98" s="4" t="s">
        <v>161</v>
      </c>
      <c r="W98" s="4" t="s">
        <v>900</v>
      </c>
    </row>
    <row r="99" ht="14.5" spans="2:23">
      <c r="B99" s="1"/>
      <c r="C99" s="1"/>
      <c r="D99" s="1"/>
      <c r="E99" s="1"/>
      <c r="F99" s="1"/>
      <c r="G99" s="1"/>
      <c r="H99" s="1"/>
      <c r="I99" t="s">
        <v>289</v>
      </c>
      <c r="J99" t="s">
        <v>901</v>
      </c>
      <c r="K99" t="s">
        <v>902</v>
      </c>
      <c r="L99" t="s">
        <v>161</v>
      </c>
      <c r="R99" s="4" t="s">
        <v>289</v>
      </c>
      <c r="S99" s="4" t="s">
        <v>11</v>
      </c>
      <c r="T99" s="4" t="s">
        <v>903</v>
      </c>
      <c r="U99" s="4" t="s">
        <v>359</v>
      </c>
      <c r="V99" s="4" t="s">
        <v>161</v>
      </c>
      <c r="W99" s="4" t="s">
        <v>904</v>
      </c>
    </row>
    <row r="100" ht="14.5" spans="2:23">
      <c r="B100" s="1"/>
      <c r="C100" s="1"/>
      <c r="D100" s="1"/>
      <c r="E100" s="1"/>
      <c r="F100" s="1"/>
      <c r="G100" s="1"/>
      <c r="H100" s="1"/>
      <c r="I100" t="s">
        <v>289</v>
      </c>
      <c r="J100" t="s">
        <v>905</v>
      </c>
      <c r="K100" t="s">
        <v>906</v>
      </c>
      <c r="L100" t="s">
        <v>161</v>
      </c>
      <c r="R100" s="4" t="s">
        <v>289</v>
      </c>
      <c r="S100" s="4" t="s">
        <v>11</v>
      </c>
      <c r="T100" s="4" t="s">
        <v>907</v>
      </c>
      <c r="U100" s="4" t="s">
        <v>359</v>
      </c>
      <c r="V100" s="4" t="s">
        <v>161</v>
      </c>
      <c r="W100" s="4" t="s">
        <v>908</v>
      </c>
    </row>
    <row r="101" ht="14.5" spans="2:23">
      <c r="B101" s="1"/>
      <c r="C101" s="1"/>
      <c r="D101" s="1"/>
      <c r="E101" s="1"/>
      <c r="F101" s="1"/>
      <c r="G101" s="1"/>
      <c r="H101" s="1"/>
      <c r="I101" t="s">
        <v>289</v>
      </c>
      <c r="J101" t="s">
        <v>909</v>
      </c>
      <c r="K101" t="s">
        <v>910</v>
      </c>
      <c r="L101" t="s">
        <v>161</v>
      </c>
      <c r="R101" s="4" t="s">
        <v>289</v>
      </c>
      <c r="S101" s="4" t="s">
        <v>11</v>
      </c>
      <c r="T101" s="4" t="s">
        <v>911</v>
      </c>
      <c r="U101" s="4" t="s">
        <v>359</v>
      </c>
      <c r="V101" s="4" t="s">
        <v>161</v>
      </c>
      <c r="W101" s="4" t="s">
        <v>912</v>
      </c>
    </row>
    <row r="102" ht="14.5" spans="2:23">
      <c r="B102" s="1"/>
      <c r="C102" s="1"/>
      <c r="D102" s="1"/>
      <c r="E102" s="1"/>
      <c r="F102" s="1"/>
      <c r="G102" s="1"/>
      <c r="H102" s="1"/>
      <c r="I102" t="s">
        <v>289</v>
      </c>
      <c r="J102" t="s">
        <v>913</v>
      </c>
      <c r="K102" t="s">
        <v>914</v>
      </c>
      <c r="L102" t="s">
        <v>161</v>
      </c>
      <c r="R102" s="4" t="s">
        <v>289</v>
      </c>
      <c r="S102" s="4" t="s">
        <v>11</v>
      </c>
      <c r="T102" s="4" t="s">
        <v>915</v>
      </c>
      <c r="U102" s="4" t="s">
        <v>359</v>
      </c>
      <c r="V102" s="4" t="s">
        <v>161</v>
      </c>
      <c r="W102" s="4" t="s">
        <v>916</v>
      </c>
    </row>
    <row r="103" ht="14.5" spans="2:23">
      <c r="B103" s="1"/>
      <c r="C103" s="1"/>
      <c r="D103" s="1"/>
      <c r="E103" s="1"/>
      <c r="F103" s="1"/>
      <c r="G103" s="1"/>
      <c r="H103" s="1"/>
      <c r="I103" t="s">
        <v>289</v>
      </c>
      <c r="J103" t="s">
        <v>917</v>
      </c>
      <c r="K103" t="s">
        <v>918</v>
      </c>
      <c r="L103" t="s">
        <v>161</v>
      </c>
      <c r="R103" s="4" t="s">
        <v>289</v>
      </c>
      <c r="S103" s="4" t="s">
        <v>11</v>
      </c>
      <c r="T103" s="4" t="s">
        <v>919</v>
      </c>
      <c r="U103" s="4" t="s">
        <v>359</v>
      </c>
      <c r="V103" s="4" t="s">
        <v>161</v>
      </c>
      <c r="W103" s="4" t="s">
        <v>920</v>
      </c>
    </row>
    <row r="104" ht="14.5" spans="2:23">
      <c r="B104" s="1"/>
      <c r="C104" s="1"/>
      <c r="D104" s="1"/>
      <c r="E104" s="1"/>
      <c r="F104" s="1"/>
      <c r="G104" s="1"/>
      <c r="H104" s="1"/>
      <c r="I104" t="s">
        <v>289</v>
      </c>
      <c r="J104" t="s">
        <v>921</v>
      </c>
      <c r="K104" t="s">
        <v>922</v>
      </c>
      <c r="L104" t="s">
        <v>161</v>
      </c>
      <c r="R104" s="4" t="s">
        <v>289</v>
      </c>
      <c r="S104" s="4" t="s">
        <v>11</v>
      </c>
      <c r="T104" s="4" t="s">
        <v>923</v>
      </c>
      <c r="U104" s="4" t="s">
        <v>359</v>
      </c>
      <c r="V104" s="4" t="s">
        <v>161</v>
      </c>
      <c r="W104" s="4" t="s">
        <v>924</v>
      </c>
    </row>
    <row r="105" ht="14.5" spans="2:23">
      <c r="B105" s="1"/>
      <c r="C105" s="1"/>
      <c r="D105" s="1"/>
      <c r="E105" s="1"/>
      <c r="F105" s="1"/>
      <c r="G105" s="1"/>
      <c r="H105" s="1"/>
      <c r="I105" t="s">
        <v>289</v>
      </c>
      <c r="J105" t="s">
        <v>925</v>
      </c>
      <c r="K105" t="s">
        <v>926</v>
      </c>
      <c r="L105" t="s">
        <v>161</v>
      </c>
      <c r="R105" s="4" t="s">
        <v>289</v>
      </c>
      <c r="S105" s="4" t="s">
        <v>11</v>
      </c>
      <c r="T105" s="4" t="s">
        <v>927</v>
      </c>
      <c r="U105" s="4" t="s">
        <v>359</v>
      </c>
      <c r="V105" s="4" t="s">
        <v>161</v>
      </c>
      <c r="W105" s="4" t="s">
        <v>928</v>
      </c>
    </row>
    <row r="106" ht="14.5" spans="2:23">
      <c r="B106" s="1"/>
      <c r="C106" s="1"/>
      <c r="D106" s="1"/>
      <c r="E106" s="1"/>
      <c r="F106" s="1"/>
      <c r="G106" s="1"/>
      <c r="H106" s="1"/>
      <c r="I106" t="s">
        <v>289</v>
      </c>
      <c r="J106" t="s">
        <v>929</v>
      </c>
      <c r="K106" t="s">
        <v>930</v>
      </c>
      <c r="L106" t="s">
        <v>161</v>
      </c>
      <c r="R106" s="4" t="s">
        <v>289</v>
      </c>
      <c r="S106" s="4" t="s">
        <v>11</v>
      </c>
      <c r="T106" s="4" t="s">
        <v>931</v>
      </c>
      <c r="U106" s="4" t="s">
        <v>359</v>
      </c>
      <c r="V106" s="4" t="s">
        <v>161</v>
      </c>
      <c r="W106" s="4" t="s">
        <v>932</v>
      </c>
    </row>
    <row r="107" ht="14.5" spans="2:23">
      <c r="B107" s="1"/>
      <c r="C107" s="1"/>
      <c r="D107" s="1"/>
      <c r="E107" s="1"/>
      <c r="F107" s="1"/>
      <c r="G107" s="1"/>
      <c r="H107" s="1"/>
      <c r="I107" t="s">
        <v>289</v>
      </c>
      <c r="J107" t="s">
        <v>933</v>
      </c>
      <c r="K107" t="s">
        <v>934</v>
      </c>
      <c r="L107" t="s">
        <v>161</v>
      </c>
      <c r="R107" s="4" t="s">
        <v>289</v>
      </c>
      <c r="S107" s="4" t="s">
        <v>11</v>
      </c>
      <c r="T107" s="4" t="s">
        <v>935</v>
      </c>
      <c r="U107" s="4" t="s">
        <v>359</v>
      </c>
      <c r="V107" s="4" t="s">
        <v>161</v>
      </c>
      <c r="W107" s="4" t="s">
        <v>936</v>
      </c>
    </row>
    <row r="108" ht="14.5" spans="2:23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R108" s="4" t="s">
        <v>289</v>
      </c>
      <c r="S108" s="4" t="s">
        <v>11</v>
      </c>
      <c r="T108" s="4" t="s">
        <v>937</v>
      </c>
      <c r="U108" s="4" t="s">
        <v>359</v>
      </c>
      <c r="V108" s="4" t="s">
        <v>161</v>
      </c>
      <c r="W108" s="4" t="s">
        <v>938</v>
      </c>
    </row>
    <row r="109" ht="14.5" spans="2:23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R109" s="4" t="s">
        <v>289</v>
      </c>
      <c r="S109" s="4" t="s">
        <v>11</v>
      </c>
      <c r="T109" s="4" t="s">
        <v>939</v>
      </c>
      <c r="U109" s="4" t="s">
        <v>359</v>
      </c>
      <c r="V109" s="4" t="s">
        <v>161</v>
      </c>
      <c r="W109" s="4" t="s">
        <v>940</v>
      </c>
    </row>
    <row r="110" ht="14.5" spans="2:23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R110" s="4" t="s">
        <v>289</v>
      </c>
      <c r="S110" s="4" t="s">
        <v>11</v>
      </c>
      <c r="T110" s="4" t="s">
        <v>941</v>
      </c>
      <c r="U110" s="4" t="s">
        <v>359</v>
      </c>
      <c r="V110" s="4" t="s">
        <v>161</v>
      </c>
      <c r="W110" s="4" t="s">
        <v>942</v>
      </c>
    </row>
    <row r="111" ht="14.5" spans="2:23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R111" s="4" t="s">
        <v>289</v>
      </c>
      <c r="S111" s="4" t="s">
        <v>11</v>
      </c>
      <c r="T111" s="4" t="s">
        <v>943</v>
      </c>
      <c r="U111" s="4" t="s">
        <v>359</v>
      </c>
      <c r="V111" s="4" t="s">
        <v>161</v>
      </c>
      <c r="W111" s="4" t="s">
        <v>944</v>
      </c>
    </row>
    <row r="112" ht="14.5" spans="2:23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R112" s="4" t="s">
        <v>289</v>
      </c>
      <c r="S112" s="4" t="s">
        <v>11</v>
      </c>
      <c r="T112" s="4" t="s">
        <v>945</v>
      </c>
      <c r="U112" s="4" t="s">
        <v>359</v>
      </c>
      <c r="V112" s="4" t="s">
        <v>161</v>
      </c>
      <c r="W112" s="4" t="s">
        <v>946</v>
      </c>
    </row>
    <row r="113" ht="14.5" spans="2:23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R113" s="4" t="s">
        <v>289</v>
      </c>
      <c r="S113" s="4" t="s">
        <v>11</v>
      </c>
      <c r="T113" s="4" t="s">
        <v>947</v>
      </c>
      <c r="U113" s="4" t="s">
        <v>359</v>
      </c>
      <c r="V113" s="4" t="s">
        <v>161</v>
      </c>
      <c r="W113" s="4" t="s">
        <v>948</v>
      </c>
    </row>
    <row r="114" ht="14.5" spans="2:23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R114" s="4" t="s">
        <v>289</v>
      </c>
      <c r="S114" s="4" t="s">
        <v>11</v>
      </c>
      <c r="T114" s="4" t="s">
        <v>949</v>
      </c>
      <c r="U114" s="4" t="s">
        <v>359</v>
      </c>
      <c r="V114" s="4" t="s">
        <v>161</v>
      </c>
      <c r="W114" s="4" t="s">
        <v>950</v>
      </c>
    </row>
    <row r="115" ht="14.5" spans="2:23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R115" s="4" t="s">
        <v>289</v>
      </c>
      <c r="S115" s="4" t="s">
        <v>11</v>
      </c>
      <c r="T115" s="4" t="s">
        <v>951</v>
      </c>
      <c r="U115" s="4" t="s">
        <v>359</v>
      </c>
      <c r="V115" s="4" t="s">
        <v>161</v>
      </c>
      <c r="W115" s="4" t="s">
        <v>952</v>
      </c>
    </row>
    <row r="116" ht="14.5" spans="2:23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R116" s="4" t="s">
        <v>289</v>
      </c>
      <c r="S116" s="4" t="s">
        <v>11</v>
      </c>
      <c r="T116" s="4" t="s">
        <v>953</v>
      </c>
      <c r="U116" s="4" t="s">
        <v>359</v>
      </c>
      <c r="V116" s="4" t="s">
        <v>161</v>
      </c>
      <c r="W116" s="4" t="s">
        <v>954</v>
      </c>
    </row>
    <row r="117" ht="14.5" spans="2:23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R117" s="4" t="s">
        <v>289</v>
      </c>
      <c r="S117" s="4" t="s">
        <v>11</v>
      </c>
      <c r="T117" s="4" t="s">
        <v>955</v>
      </c>
      <c r="U117" s="4" t="s">
        <v>359</v>
      </c>
      <c r="V117" s="4" t="s">
        <v>161</v>
      </c>
      <c r="W117" s="4" t="s">
        <v>956</v>
      </c>
    </row>
    <row r="118" ht="14.5" spans="2:23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R118" s="4" t="s">
        <v>289</v>
      </c>
      <c r="S118" s="4" t="s">
        <v>11</v>
      </c>
      <c r="T118" s="4" t="s">
        <v>957</v>
      </c>
      <c r="U118" s="4" t="s">
        <v>359</v>
      </c>
      <c r="V118" s="4" t="s">
        <v>161</v>
      </c>
      <c r="W118" s="4" t="s">
        <v>958</v>
      </c>
    </row>
    <row r="119" ht="14.5" spans="2:23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R119" s="4" t="s">
        <v>289</v>
      </c>
      <c r="S119" s="4" t="s">
        <v>11</v>
      </c>
      <c r="T119" s="4" t="s">
        <v>959</v>
      </c>
      <c r="U119" s="4" t="s">
        <v>359</v>
      </c>
      <c r="V119" s="4" t="s">
        <v>161</v>
      </c>
      <c r="W119" s="4" t="s">
        <v>960</v>
      </c>
    </row>
    <row r="120" ht="14.5" spans="2:23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R120" s="4" t="s">
        <v>289</v>
      </c>
      <c r="S120" s="4" t="s">
        <v>11</v>
      </c>
      <c r="T120" s="4" t="s">
        <v>961</v>
      </c>
      <c r="U120" s="4" t="s">
        <v>359</v>
      </c>
      <c r="V120" s="4" t="s">
        <v>161</v>
      </c>
      <c r="W120" s="4" t="s">
        <v>962</v>
      </c>
    </row>
    <row r="121" ht="14.5" spans="2:23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R121" s="4" t="s">
        <v>289</v>
      </c>
      <c r="S121" s="4" t="s">
        <v>11</v>
      </c>
      <c r="T121" s="4" t="s">
        <v>963</v>
      </c>
      <c r="U121" s="4" t="s">
        <v>359</v>
      </c>
      <c r="V121" s="4" t="s">
        <v>161</v>
      </c>
      <c r="W121" s="4" t="s">
        <v>964</v>
      </c>
    </row>
    <row r="122" ht="14.5" spans="2:23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R122" s="4" t="s">
        <v>289</v>
      </c>
      <c r="S122" s="4" t="s">
        <v>11</v>
      </c>
      <c r="T122" s="4" t="s">
        <v>965</v>
      </c>
      <c r="U122" s="4" t="s">
        <v>359</v>
      </c>
      <c r="V122" s="4" t="s">
        <v>161</v>
      </c>
      <c r="W122" s="4" t="s">
        <v>966</v>
      </c>
    </row>
    <row r="123" ht="14.5" spans="2:23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R123" s="4" t="s">
        <v>289</v>
      </c>
      <c r="S123" s="4" t="s">
        <v>14</v>
      </c>
      <c r="T123" s="4" t="s">
        <v>967</v>
      </c>
      <c r="U123" s="4" t="s">
        <v>359</v>
      </c>
      <c r="V123" s="4" t="s">
        <v>161</v>
      </c>
      <c r="W123" s="4" t="s">
        <v>968</v>
      </c>
    </row>
    <row r="124" ht="14.5" spans="2:23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R124" s="4" t="s">
        <v>289</v>
      </c>
      <c r="S124" s="4" t="s">
        <v>14</v>
      </c>
      <c r="T124" s="4" t="s">
        <v>969</v>
      </c>
      <c r="U124" s="4" t="s">
        <v>359</v>
      </c>
      <c r="V124" s="4" t="s">
        <v>161</v>
      </c>
      <c r="W124" s="4" t="s">
        <v>970</v>
      </c>
    </row>
    <row r="125" ht="14.5" spans="2:23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R125" s="4" t="s">
        <v>289</v>
      </c>
      <c r="S125" s="4" t="s">
        <v>16</v>
      </c>
      <c r="T125" s="4" t="s">
        <v>971</v>
      </c>
      <c r="U125" s="4" t="s">
        <v>359</v>
      </c>
      <c r="V125" s="4" t="s">
        <v>161</v>
      </c>
      <c r="W125" s="4" t="s">
        <v>972</v>
      </c>
    </row>
    <row r="126" ht="14.5" spans="2:23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R126" s="4" t="s">
        <v>289</v>
      </c>
      <c r="S126" s="4" t="s">
        <v>16</v>
      </c>
      <c r="T126" s="4" t="s">
        <v>973</v>
      </c>
      <c r="U126" s="4" t="s">
        <v>359</v>
      </c>
      <c r="V126" s="4" t="s">
        <v>161</v>
      </c>
      <c r="W126" s="4" t="s">
        <v>974</v>
      </c>
    </row>
    <row r="127" ht="14.5" spans="2:23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R127" s="4" t="s">
        <v>289</v>
      </c>
      <c r="S127" s="4" t="s">
        <v>18</v>
      </c>
      <c r="T127" s="4" t="s">
        <v>975</v>
      </c>
      <c r="U127" s="4" t="s">
        <v>359</v>
      </c>
      <c r="V127" s="4" t="s">
        <v>161</v>
      </c>
      <c r="W127" s="4" t="s">
        <v>976</v>
      </c>
    </row>
    <row r="128" ht="14.5" spans="2:23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R128" s="4" t="s">
        <v>289</v>
      </c>
      <c r="S128" s="4" t="s">
        <v>18</v>
      </c>
      <c r="T128" s="4" t="s">
        <v>977</v>
      </c>
      <c r="U128" s="4" t="s">
        <v>359</v>
      </c>
      <c r="V128" s="4" t="s">
        <v>161</v>
      </c>
      <c r="W128" s="4" t="s">
        <v>978</v>
      </c>
    </row>
    <row r="129" ht="14.5" spans="2:23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R129" s="4" t="s">
        <v>289</v>
      </c>
      <c r="S129" s="4" t="s">
        <v>18</v>
      </c>
      <c r="T129" s="4" t="s">
        <v>979</v>
      </c>
      <c r="U129" s="4" t="s">
        <v>359</v>
      </c>
      <c r="V129" s="4" t="s">
        <v>161</v>
      </c>
      <c r="W129" s="4" t="s">
        <v>980</v>
      </c>
    </row>
    <row r="130" ht="14.5" spans="2:23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R130" s="4" t="s">
        <v>289</v>
      </c>
      <c r="S130" s="4" t="s">
        <v>18</v>
      </c>
      <c r="T130" s="4" t="s">
        <v>981</v>
      </c>
      <c r="U130" s="4" t="s">
        <v>359</v>
      </c>
      <c r="V130" s="4" t="s">
        <v>161</v>
      </c>
      <c r="W130" s="4" t="s">
        <v>982</v>
      </c>
    </row>
    <row r="131" ht="14.5" spans="2:23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R131" s="4" t="s">
        <v>289</v>
      </c>
      <c r="S131" s="4" t="s">
        <v>18</v>
      </c>
      <c r="T131" s="4" t="s">
        <v>983</v>
      </c>
      <c r="U131" s="4" t="s">
        <v>359</v>
      </c>
      <c r="V131" s="4" t="s">
        <v>161</v>
      </c>
      <c r="W131" s="4" t="s">
        <v>984</v>
      </c>
    </row>
    <row r="132" ht="14.5" spans="2:23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R132" s="4" t="s">
        <v>289</v>
      </c>
      <c r="S132" s="4" t="s">
        <v>18</v>
      </c>
      <c r="T132" s="4" t="s">
        <v>985</v>
      </c>
      <c r="U132" s="4" t="s">
        <v>359</v>
      </c>
      <c r="V132" s="4" t="s">
        <v>161</v>
      </c>
      <c r="W132" s="4" t="s">
        <v>986</v>
      </c>
    </row>
    <row r="133" ht="14.5" spans="2:23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R133" s="4" t="s">
        <v>289</v>
      </c>
      <c r="S133" s="4" t="s">
        <v>20</v>
      </c>
      <c r="T133" s="4" t="s">
        <v>987</v>
      </c>
      <c r="U133" s="4" t="s">
        <v>359</v>
      </c>
      <c r="V133" s="4" t="s">
        <v>161</v>
      </c>
      <c r="W133" s="4" t="s">
        <v>988</v>
      </c>
    </row>
    <row r="134" ht="14.5" spans="2:23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R134" s="4" t="s">
        <v>289</v>
      </c>
      <c r="S134" s="4" t="s">
        <v>20</v>
      </c>
      <c r="T134" s="4" t="s">
        <v>989</v>
      </c>
      <c r="U134" s="4" t="s">
        <v>359</v>
      </c>
      <c r="V134" s="4" t="s">
        <v>161</v>
      </c>
      <c r="W134" s="4" t="s">
        <v>990</v>
      </c>
    </row>
    <row r="135" ht="14.5" spans="2:23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R135" s="4" t="s">
        <v>289</v>
      </c>
      <c r="S135" s="4" t="s">
        <v>20</v>
      </c>
      <c r="T135" s="4" t="s">
        <v>991</v>
      </c>
      <c r="U135" s="4" t="s">
        <v>359</v>
      </c>
      <c r="V135" s="4" t="s">
        <v>161</v>
      </c>
      <c r="W135" s="4" t="s">
        <v>992</v>
      </c>
    </row>
    <row r="136" ht="14.5" spans="2:23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R136" s="4" t="s">
        <v>289</v>
      </c>
      <c r="S136" s="4" t="s">
        <v>20</v>
      </c>
      <c r="T136" s="4" t="s">
        <v>993</v>
      </c>
      <c r="U136" s="4" t="s">
        <v>359</v>
      </c>
      <c r="V136" s="4" t="s">
        <v>161</v>
      </c>
      <c r="W136" s="4" t="s">
        <v>994</v>
      </c>
    </row>
    <row r="137" ht="14.5" spans="2:23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R137" s="4" t="s">
        <v>289</v>
      </c>
      <c r="S137" s="4" t="s">
        <v>20</v>
      </c>
      <c r="T137" s="4" t="s">
        <v>995</v>
      </c>
      <c r="U137" s="4" t="s">
        <v>359</v>
      </c>
      <c r="V137" s="4" t="s">
        <v>161</v>
      </c>
      <c r="W137" s="4" t="s">
        <v>996</v>
      </c>
    </row>
    <row r="138" ht="14.5" spans="2:23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R138" s="4" t="s">
        <v>289</v>
      </c>
      <c r="S138" s="4" t="s">
        <v>20</v>
      </c>
      <c r="T138" s="4" t="s">
        <v>997</v>
      </c>
      <c r="U138" s="4" t="s">
        <v>359</v>
      </c>
      <c r="V138" s="4" t="s">
        <v>161</v>
      </c>
      <c r="W138" s="4" t="s">
        <v>998</v>
      </c>
    </row>
    <row r="139" ht="14.5" spans="2:23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R139" s="4" t="s">
        <v>289</v>
      </c>
      <c r="S139" s="4" t="s">
        <v>22</v>
      </c>
      <c r="T139" s="4" t="s">
        <v>999</v>
      </c>
      <c r="U139" s="4" t="s">
        <v>359</v>
      </c>
      <c r="V139" s="4" t="s">
        <v>161</v>
      </c>
      <c r="W139" s="4" t="s">
        <v>1000</v>
      </c>
    </row>
    <row r="140" ht="14.5" spans="2:23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R140" s="4" t="s">
        <v>289</v>
      </c>
      <c r="S140" s="4" t="s">
        <v>22</v>
      </c>
      <c r="T140" s="4" t="s">
        <v>1001</v>
      </c>
      <c r="U140" s="4" t="s">
        <v>359</v>
      </c>
      <c r="V140" s="4" t="s">
        <v>161</v>
      </c>
      <c r="W140" s="4" t="s">
        <v>1002</v>
      </c>
    </row>
    <row r="141" ht="14.5" spans="2:23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R141" s="4" t="s">
        <v>289</v>
      </c>
      <c r="S141" s="4" t="s">
        <v>24</v>
      </c>
      <c r="T141" s="4" t="s">
        <v>1003</v>
      </c>
      <c r="U141" s="4" t="s">
        <v>359</v>
      </c>
      <c r="V141" s="4" t="s">
        <v>161</v>
      </c>
      <c r="W141" s="4" t="s">
        <v>1004</v>
      </c>
    </row>
    <row r="142" ht="14.5" spans="2:23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R142" s="4" t="s">
        <v>289</v>
      </c>
      <c r="S142" s="4" t="s">
        <v>24</v>
      </c>
      <c r="T142" s="4" t="s">
        <v>1005</v>
      </c>
      <c r="U142" s="4" t="s">
        <v>359</v>
      </c>
      <c r="V142" s="4" t="s">
        <v>161</v>
      </c>
      <c r="W142" s="4" t="s">
        <v>1006</v>
      </c>
    </row>
    <row r="143" ht="14.5" spans="2:23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R143" s="4" t="s">
        <v>289</v>
      </c>
      <c r="S143" s="4" t="s">
        <v>26</v>
      </c>
      <c r="T143" s="4" t="s">
        <v>1007</v>
      </c>
      <c r="U143" s="4" t="s">
        <v>359</v>
      </c>
      <c r="V143" s="4" t="s">
        <v>161</v>
      </c>
      <c r="W143" s="4" t="s">
        <v>1008</v>
      </c>
    </row>
    <row r="144" ht="14.5" spans="2:23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R144" s="4" t="s">
        <v>289</v>
      </c>
      <c r="S144" s="4" t="s">
        <v>26</v>
      </c>
      <c r="T144" s="4" t="s">
        <v>1009</v>
      </c>
      <c r="U144" s="4" t="s">
        <v>359</v>
      </c>
      <c r="V144" s="4" t="s">
        <v>161</v>
      </c>
      <c r="W144" s="4" t="s">
        <v>1010</v>
      </c>
    </row>
    <row r="145" ht="14.5" spans="2:23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R145" s="4" t="s">
        <v>289</v>
      </c>
      <c r="S145" s="4" t="s">
        <v>26</v>
      </c>
      <c r="T145" s="4" t="s">
        <v>1011</v>
      </c>
      <c r="U145" s="4" t="s">
        <v>359</v>
      </c>
      <c r="V145" s="4" t="s">
        <v>161</v>
      </c>
      <c r="W145" s="4" t="s">
        <v>1012</v>
      </c>
    </row>
    <row r="146" ht="14.5" spans="2:23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R146" s="4" t="s">
        <v>289</v>
      </c>
      <c r="S146" s="4" t="s">
        <v>26</v>
      </c>
      <c r="T146" s="4" t="s">
        <v>1013</v>
      </c>
      <c r="U146" s="4" t="s">
        <v>359</v>
      </c>
      <c r="V146" s="4" t="s">
        <v>161</v>
      </c>
      <c r="W146" s="4" t="s">
        <v>1014</v>
      </c>
    </row>
    <row r="147" ht="14.5" spans="2:23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R147" s="4" t="s">
        <v>289</v>
      </c>
      <c r="S147" s="4" t="s">
        <v>28</v>
      </c>
      <c r="T147" s="4" t="s">
        <v>1015</v>
      </c>
      <c r="U147" s="4" t="s">
        <v>359</v>
      </c>
      <c r="V147" s="4" t="s">
        <v>161</v>
      </c>
      <c r="W147" s="4" t="s">
        <v>1016</v>
      </c>
    </row>
    <row r="148" ht="14.5" spans="2:23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R148" s="4" t="s">
        <v>289</v>
      </c>
      <c r="S148" s="4" t="s">
        <v>28</v>
      </c>
      <c r="T148" s="4" t="s">
        <v>1017</v>
      </c>
      <c r="U148" s="4" t="s">
        <v>359</v>
      </c>
      <c r="V148" s="4" t="s">
        <v>161</v>
      </c>
      <c r="W148" s="4" t="s">
        <v>1018</v>
      </c>
    </row>
    <row r="149" ht="14.5" spans="2:23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R149" s="4" t="s">
        <v>289</v>
      </c>
      <c r="S149" s="4" t="s">
        <v>28</v>
      </c>
      <c r="T149" s="4" t="s">
        <v>1019</v>
      </c>
      <c r="U149" s="4" t="s">
        <v>359</v>
      </c>
      <c r="V149" s="4" t="s">
        <v>161</v>
      </c>
      <c r="W149" s="4" t="s">
        <v>1020</v>
      </c>
    </row>
    <row r="150" ht="14.5" spans="2:23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R150" s="4" t="s">
        <v>289</v>
      </c>
      <c r="S150" s="4" t="s">
        <v>28</v>
      </c>
      <c r="T150" s="4" t="s">
        <v>1021</v>
      </c>
      <c r="U150" s="4" t="s">
        <v>359</v>
      </c>
      <c r="V150" s="4" t="s">
        <v>161</v>
      </c>
      <c r="W150" s="4" t="s">
        <v>1022</v>
      </c>
    </row>
    <row r="151" ht="14.5" spans="2:23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R151" s="4" t="s">
        <v>289</v>
      </c>
      <c r="S151" s="4" t="s">
        <v>30</v>
      </c>
      <c r="T151" s="4" t="s">
        <v>1023</v>
      </c>
      <c r="U151" s="4" t="s">
        <v>359</v>
      </c>
      <c r="V151" s="4" t="s">
        <v>161</v>
      </c>
      <c r="W151" s="4" t="s">
        <v>1024</v>
      </c>
    </row>
    <row r="152" ht="14.5" spans="2:23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R152" s="4" t="s">
        <v>289</v>
      </c>
      <c r="S152" s="4" t="s">
        <v>30</v>
      </c>
      <c r="T152" s="4" t="s">
        <v>1025</v>
      </c>
      <c r="U152" s="4" t="s">
        <v>359</v>
      </c>
      <c r="V152" s="4" t="s">
        <v>161</v>
      </c>
      <c r="W152" s="4" t="s">
        <v>1026</v>
      </c>
    </row>
    <row r="153" ht="14.5" spans="2:23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R153" s="4" t="s">
        <v>289</v>
      </c>
      <c r="S153" s="4" t="s">
        <v>32</v>
      </c>
      <c r="T153" s="4" t="s">
        <v>1027</v>
      </c>
      <c r="U153" s="4" t="s">
        <v>359</v>
      </c>
      <c r="V153" s="4" t="s">
        <v>161</v>
      </c>
      <c r="W153" s="4" t="s">
        <v>1028</v>
      </c>
    </row>
    <row r="154" ht="14.5" spans="2:23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R154" s="4" t="s">
        <v>289</v>
      </c>
      <c r="S154" s="4" t="s">
        <v>32</v>
      </c>
      <c r="T154" s="4" t="s">
        <v>1029</v>
      </c>
      <c r="U154" s="4" t="s">
        <v>359</v>
      </c>
      <c r="V154" s="4" t="s">
        <v>161</v>
      </c>
      <c r="W154" s="4" t="s">
        <v>1030</v>
      </c>
    </row>
    <row r="155" ht="14.5" spans="2:23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R155" s="4" t="s">
        <v>289</v>
      </c>
      <c r="S155" s="4" t="s">
        <v>34</v>
      </c>
      <c r="T155" s="4" t="s">
        <v>1031</v>
      </c>
      <c r="U155" s="4" t="s">
        <v>359</v>
      </c>
      <c r="V155" s="4" t="s">
        <v>161</v>
      </c>
      <c r="W155" s="4" t="s">
        <v>1032</v>
      </c>
    </row>
    <row r="156" ht="14.5" spans="2:23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R156" s="4" t="s">
        <v>289</v>
      </c>
      <c r="S156" s="4" t="s">
        <v>34</v>
      </c>
      <c r="T156" s="4" t="s">
        <v>1033</v>
      </c>
      <c r="U156" s="4" t="s">
        <v>359</v>
      </c>
      <c r="V156" s="4" t="s">
        <v>161</v>
      </c>
      <c r="W156" s="4" t="s">
        <v>1034</v>
      </c>
    </row>
    <row r="157" ht="14.5" spans="2:23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R157" s="4" t="s">
        <v>289</v>
      </c>
      <c r="S157" s="4" t="s">
        <v>34</v>
      </c>
      <c r="T157" s="4" t="s">
        <v>1035</v>
      </c>
      <c r="U157" s="4" t="s">
        <v>359</v>
      </c>
      <c r="V157" s="4" t="s">
        <v>161</v>
      </c>
      <c r="W157" s="4" t="s">
        <v>1036</v>
      </c>
    </row>
    <row r="158" ht="14.5" spans="2:23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R158" s="4" t="s">
        <v>289</v>
      </c>
      <c r="S158" s="4" t="s">
        <v>34</v>
      </c>
      <c r="T158" s="4" t="s">
        <v>1037</v>
      </c>
      <c r="U158" s="4" t="s">
        <v>359</v>
      </c>
      <c r="V158" s="4" t="s">
        <v>161</v>
      </c>
      <c r="W158" s="4" t="s">
        <v>1038</v>
      </c>
    </row>
    <row r="159" ht="14.5" spans="2:23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R159" s="4" t="s">
        <v>289</v>
      </c>
      <c r="S159" s="4" t="s">
        <v>36</v>
      </c>
      <c r="T159" s="4" t="s">
        <v>1039</v>
      </c>
      <c r="U159" s="4" t="s">
        <v>359</v>
      </c>
      <c r="V159" s="4" t="s">
        <v>161</v>
      </c>
      <c r="W159" s="4" t="s">
        <v>1040</v>
      </c>
    </row>
    <row r="160" ht="14.5" spans="2:23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R160" s="4" t="s">
        <v>289</v>
      </c>
      <c r="S160" s="4" t="s">
        <v>36</v>
      </c>
      <c r="T160" s="4" t="s">
        <v>1041</v>
      </c>
      <c r="U160" s="4" t="s">
        <v>359</v>
      </c>
      <c r="V160" s="4" t="s">
        <v>161</v>
      </c>
      <c r="W160" s="4" t="s">
        <v>1042</v>
      </c>
    </row>
    <row r="161" ht="14.5" spans="2:23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R161" s="4" t="s">
        <v>289</v>
      </c>
      <c r="S161" s="4" t="s">
        <v>36</v>
      </c>
      <c r="T161" s="4" t="s">
        <v>1043</v>
      </c>
      <c r="U161" s="4" t="s">
        <v>359</v>
      </c>
      <c r="V161" s="4" t="s">
        <v>161</v>
      </c>
      <c r="W161" s="4" t="s">
        <v>1044</v>
      </c>
    </row>
    <row r="162" ht="14.5" spans="2:23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R162" s="4" t="s">
        <v>289</v>
      </c>
      <c r="S162" s="4" t="s">
        <v>36</v>
      </c>
      <c r="T162" s="4" t="s">
        <v>1045</v>
      </c>
      <c r="U162" s="4" t="s">
        <v>359</v>
      </c>
      <c r="V162" s="4" t="s">
        <v>161</v>
      </c>
      <c r="W162" s="4" t="s">
        <v>1046</v>
      </c>
    </row>
    <row r="163" ht="14.5" spans="2:23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R163" s="4" t="s">
        <v>289</v>
      </c>
      <c r="S163" s="4" t="s">
        <v>36</v>
      </c>
      <c r="T163" s="4" t="s">
        <v>1047</v>
      </c>
      <c r="U163" s="4" t="s">
        <v>359</v>
      </c>
      <c r="V163" s="4" t="s">
        <v>161</v>
      </c>
      <c r="W163" s="4" t="s">
        <v>1048</v>
      </c>
    </row>
    <row r="164" ht="14.5" spans="2:23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R164" s="4" t="s">
        <v>289</v>
      </c>
      <c r="S164" s="4" t="s">
        <v>36</v>
      </c>
      <c r="T164" s="4" t="s">
        <v>1049</v>
      </c>
      <c r="U164" s="4" t="s">
        <v>359</v>
      </c>
      <c r="V164" s="4" t="s">
        <v>161</v>
      </c>
      <c r="W164" s="4" t="s">
        <v>1050</v>
      </c>
    </row>
    <row r="165" ht="14.5" spans="2:23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R165" s="4" t="s">
        <v>289</v>
      </c>
      <c r="S165" s="4" t="s">
        <v>38</v>
      </c>
      <c r="T165" s="4" t="s">
        <v>1051</v>
      </c>
      <c r="U165" s="4" t="s">
        <v>359</v>
      </c>
      <c r="V165" s="4" t="s">
        <v>161</v>
      </c>
      <c r="W165" s="4" t="s">
        <v>1052</v>
      </c>
    </row>
    <row r="166" ht="14.5" spans="2:23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R166" s="4" t="s">
        <v>289</v>
      </c>
      <c r="S166" s="4" t="s">
        <v>38</v>
      </c>
      <c r="T166" s="4" t="s">
        <v>1053</v>
      </c>
      <c r="U166" s="4" t="s">
        <v>359</v>
      </c>
      <c r="V166" s="4" t="s">
        <v>161</v>
      </c>
      <c r="W166" s="4" t="s">
        <v>1054</v>
      </c>
    </row>
    <row r="167" ht="14.5" spans="2:23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R167" s="4" t="s">
        <v>289</v>
      </c>
      <c r="S167" s="4" t="s">
        <v>40</v>
      </c>
      <c r="T167" s="4" t="s">
        <v>1055</v>
      </c>
      <c r="U167" s="4" t="s">
        <v>359</v>
      </c>
      <c r="V167" s="4" t="s">
        <v>161</v>
      </c>
      <c r="W167" s="4" t="s">
        <v>1056</v>
      </c>
    </row>
    <row r="168" ht="14.5" spans="2:23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R168" s="4" t="s">
        <v>289</v>
      </c>
      <c r="S168" s="4" t="s">
        <v>40</v>
      </c>
      <c r="T168" s="4" t="s">
        <v>1057</v>
      </c>
      <c r="U168" s="4" t="s">
        <v>359</v>
      </c>
      <c r="V168" s="4" t="s">
        <v>161</v>
      </c>
      <c r="W168" s="4" t="s">
        <v>1058</v>
      </c>
    </row>
    <row r="169" ht="14.5" spans="2:23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R169" s="4" t="s">
        <v>289</v>
      </c>
      <c r="S169" s="4" t="s">
        <v>42</v>
      </c>
      <c r="T169" s="4" t="s">
        <v>1059</v>
      </c>
      <c r="U169" s="4" t="s">
        <v>359</v>
      </c>
      <c r="V169" s="4" t="s">
        <v>161</v>
      </c>
      <c r="W169" s="4" t="s">
        <v>1060</v>
      </c>
    </row>
    <row r="170" ht="14.5" spans="2:23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R170" s="4" t="s">
        <v>289</v>
      </c>
      <c r="S170" s="4" t="s">
        <v>42</v>
      </c>
      <c r="T170" s="4" t="s">
        <v>1061</v>
      </c>
      <c r="U170" s="4" t="s">
        <v>359</v>
      </c>
      <c r="V170" s="4" t="s">
        <v>161</v>
      </c>
      <c r="W170" s="4" t="s">
        <v>1062</v>
      </c>
    </row>
    <row r="171" ht="14.5" spans="2:23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R171" s="4" t="s">
        <v>289</v>
      </c>
      <c r="S171" s="4" t="s">
        <v>44</v>
      </c>
      <c r="T171" s="4" t="s">
        <v>1063</v>
      </c>
      <c r="U171" s="4" t="s">
        <v>359</v>
      </c>
      <c r="V171" s="4" t="s">
        <v>161</v>
      </c>
      <c r="W171" s="4" t="s">
        <v>1064</v>
      </c>
    </row>
    <row r="172" ht="14.5" spans="2:23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R172" s="4" t="s">
        <v>289</v>
      </c>
      <c r="S172" s="4" t="s">
        <v>44</v>
      </c>
      <c r="T172" s="4" t="s">
        <v>1065</v>
      </c>
      <c r="U172" s="4" t="s">
        <v>359</v>
      </c>
      <c r="V172" s="4" t="s">
        <v>161</v>
      </c>
      <c r="W172" s="4" t="s">
        <v>1066</v>
      </c>
    </row>
    <row r="173" ht="14.5" spans="2:23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R173" s="4" t="s">
        <v>289</v>
      </c>
      <c r="S173" s="4" t="s">
        <v>44</v>
      </c>
      <c r="T173" s="4" t="s">
        <v>1067</v>
      </c>
      <c r="U173" s="4" t="s">
        <v>359</v>
      </c>
      <c r="V173" s="4" t="s">
        <v>161</v>
      </c>
      <c r="W173" s="4" t="s">
        <v>1068</v>
      </c>
    </row>
    <row r="174" ht="14.5" spans="2:23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R174" s="4" t="s">
        <v>289</v>
      </c>
      <c r="S174" s="4" t="s">
        <v>44</v>
      </c>
      <c r="T174" s="4" t="s">
        <v>1069</v>
      </c>
      <c r="U174" s="4" t="s">
        <v>359</v>
      </c>
      <c r="V174" s="4" t="s">
        <v>161</v>
      </c>
      <c r="W174" s="4" t="s">
        <v>1070</v>
      </c>
    </row>
    <row r="175" ht="14.5" spans="2:23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R175" s="4" t="s">
        <v>289</v>
      </c>
      <c r="S175" s="4" t="s">
        <v>46</v>
      </c>
      <c r="T175" s="4" t="s">
        <v>1071</v>
      </c>
      <c r="U175" s="4" t="s">
        <v>359</v>
      </c>
      <c r="V175" s="4" t="s">
        <v>161</v>
      </c>
      <c r="W175" s="4" t="s">
        <v>1072</v>
      </c>
    </row>
    <row r="176" ht="14.5" spans="2:23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R176" s="4" t="s">
        <v>289</v>
      </c>
      <c r="S176" s="4" t="s">
        <v>46</v>
      </c>
      <c r="T176" s="4" t="s">
        <v>1073</v>
      </c>
      <c r="U176" s="4" t="s">
        <v>359</v>
      </c>
      <c r="V176" s="4" t="s">
        <v>161</v>
      </c>
      <c r="W176" s="4" t="s">
        <v>1074</v>
      </c>
    </row>
    <row r="177" ht="14.5" spans="2:23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R177" s="4" t="s">
        <v>289</v>
      </c>
      <c r="S177" s="4" t="s">
        <v>48</v>
      </c>
      <c r="T177" s="4" t="s">
        <v>1075</v>
      </c>
      <c r="U177" s="4" t="s">
        <v>359</v>
      </c>
      <c r="V177" s="4" t="s">
        <v>161</v>
      </c>
      <c r="W177" s="4" t="s">
        <v>1076</v>
      </c>
    </row>
    <row r="178" ht="14.5" spans="2:23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R178" s="4" t="s">
        <v>289</v>
      </c>
      <c r="S178" s="4" t="s">
        <v>48</v>
      </c>
      <c r="T178" s="4" t="s">
        <v>1077</v>
      </c>
      <c r="U178" s="4" t="s">
        <v>359</v>
      </c>
      <c r="V178" s="4" t="s">
        <v>161</v>
      </c>
      <c r="W178" s="4" t="s">
        <v>1078</v>
      </c>
    </row>
    <row r="179" ht="14.5" spans="2:23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R179" s="4" t="s">
        <v>289</v>
      </c>
      <c r="S179" s="4" t="s">
        <v>48</v>
      </c>
      <c r="T179" s="4" t="s">
        <v>1079</v>
      </c>
      <c r="U179" s="4" t="s">
        <v>359</v>
      </c>
      <c r="V179" s="4" t="s">
        <v>161</v>
      </c>
      <c r="W179" s="4" t="s">
        <v>1080</v>
      </c>
    </row>
    <row r="180" ht="14.5" spans="2:23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R180" s="4" t="s">
        <v>289</v>
      </c>
      <c r="S180" s="4" t="s">
        <v>48</v>
      </c>
      <c r="T180" s="4" t="s">
        <v>1081</v>
      </c>
      <c r="U180" s="4" t="s">
        <v>359</v>
      </c>
      <c r="V180" s="4" t="s">
        <v>161</v>
      </c>
      <c r="W180" s="4" t="s">
        <v>1082</v>
      </c>
    </row>
    <row r="181" ht="14.5" spans="2:23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R181" s="4" t="s">
        <v>289</v>
      </c>
      <c r="S181" s="4" t="s">
        <v>48</v>
      </c>
      <c r="T181" s="4" t="s">
        <v>1083</v>
      </c>
      <c r="U181" s="4" t="s">
        <v>359</v>
      </c>
      <c r="V181" s="4" t="s">
        <v>161</v>
      </c>
      <c r="W181" s="4" t="s">
        <v>1084</v>
      </c>
    </row>
    <row r="182" ht="14.5" spans="2:23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R182" s="4" t="s">
        <v>289</v>
      </c>
      <c r="S182" s="4" t="s">
        <v>48</v>
      </c>
      <c r="T182" s="4" t="s">
        <v>1085</v>
      </c>
      <c r="U182" s="4" t="s">
        <v>359</v>
      </c>
      <c r="V182" s="4" t="s">
        <v>161</v>
      </c>
      <c r="W182" s="4" t="s">
        <v>1086</v>
      </c>
    </row>
    <row r="183" ht="14.5" spans="2:23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R183" s="4" t="s">
        <v>289</v>
      </c>
      <c r="S183" s="4" t="s">
        <v>48</v>
      </c>
      <c r="T183" s="4" t="s">
        <v>1087</v>
      </c>
      <c r="U183" s="4" t="s">
        <v>359</v>
      </c>
      <c r="V183" s="4" t="s">
        <v>161</v>
      </c>
      <c r="W183" s="4" t="s">
        <v>1088</v>
      </c>
    </row>
    <row r="184" ht="14.5" spans="2:23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R184" s="4" t="s">
        <v>289</v>
      </c>
      <c r="S184" s="4" t="s">
        <v>48</v>
      </c>
      <c r="T184" s="4" t="s">
        <v>1089</v>
      </c>
      <c r="U184" s="4" t="s">
        <v>359</v>
      </c>
      <c r="V184" s="4" t="s">
        <v>161</v>
      </c>
      <c r="W184" s="4" t="s">
        <v>1090</v>
      </c>
    </row>
    <row r="185" ht="14.5" spans="2:23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R185" s="4" t="s">
        <v>289</v>
      </c>
      <c r="S185" s="4" t="s">
        <v>48</v>
      </c>
      <c r="T185" s="4" t="s">
        <v>1091</v>
      </c>
      <c r="U185" s="4" t="s">
        <v>359</v>
      </c>
      <c r="V185" s="4" t="s">
        <v>161</v>
      </c>
      <c r="W185" s="4" t="s">
        <v>1092</v>
      </c>
    </row>
    <row r="186" ht="14.5" spans="2:23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R186" s="4" t="s">
        <v>289</v>
      </c>
      <c r="S186" s="4" t="s">
        <v>48</v>
      </c>
      <c r="T186" s="4" t="s">
        <v>1093</v>
      </c>
      <c r="U186" s="4" t="s">
        <v>359</v>
      </c>
      <c r="V186" s="4" t="s">
        <v>161</v>
      </c>
      <c r="W186" s="4" t="s">
        <v>1094</v>
      </c>
    </row>
    <row r="187" ht="14.5" spans="2:23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R187" s="4" t="s">
        <v>289</v>
      </c>
      <c r="S187" s="4" t="s">
        <v>48</v>
      </c>
      <c r="T187" s="4" t="s">
        <v>1095</v>
      </c>
      <c r="U187" s="4" t="s">
        <v>359</v>
      </c>
      <c r="V187" s="4" t="s">
        <v>161</v>
      </c>
      <c r="W187" s="4" t="s">
        <v>1096</v>
      </c>
    </row>
    <row r="188" ht="14.5" spans="2:23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R188" s="4" t="s">
        <v>289</v>
      </c>
      <c r="S188" s="4" t="s">
        <v>48</v>
      </c>
      <c r="T188" s="4" t="s">
        <v>1097</v>
      </c>
      <c r="U188" s="4" t="s">
        <v>359</v>
      </c>
      <c r="V188" s="4" t="s">
        <v>161</v>
      </c>
      <c r="W188" s="4" t="s">
        <v>1098</v>
      </c>
    </row>
    <row r="189" ht="14.5" spans="2:23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R189" s="4" t="s">
        <v>289</v>
      </c>
      <c r="S189" s="4" t="s">
        <v>48</v>
      </c>
      <c r="T189" s="4" t="s">
        <v>1099</v>
      </c>
      <c r="U189" s="4" t="s">
        <v>359</v>
      </c>
      <c r="V189" s="4" t="s">
        <v>161</v>
      </c>
      <c r="W189" s="4" t="s">
        <v>1100</v>
      </c>
    </row>
    <row r="190" ht="14.5" spans="2:23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R190" s="4" t="s">
        <v>289</v>
      </c>
      <c r="S190" s="4" t="s">
        <v>48</v>
      </c>
      <c r="T190" s="4" t="s">
        <v>1101</v>
      </c>
      <c r="U190" s="4" t="s">
        <v>359</v>
      </c>
      <c r="V190" s="4" t="s">
        <v>161</v>
      </c>
      <c r="W190" s="4" t="s">
        <v>1102</v>
      </c>
    </row>
    <row r="191" ht="14.5" spans="2:23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R191" s="4" t="s">
        <v>289</v>
      </c>
      <c r="S191" s="4" t="s">
        <v>48</v>
      </c>
      <c r="T191" s="4" t="s">
        <v>1103</v>
      </c>
      <c r="U191" s="4" t="s">
        <v>359</v>
      </c>
      <c r="V191" s="4" t="s">
        <v>161</v>
      </c>
      <c r="W191" s="4" t="s">
        <v>1104</v>
      </c>
    </row>
    <row r="192" ht="14.5" spans="2:23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R192" s="4" t="s">
        <v>289</v>
      </c>
      <c r="S192" s="4" t="s">
        <v>48</v>
      </c>
      <c r="T192" s="4" t="s">
        <v>1105</v>
      </c>
      <c r="U192" s="4" t="s">
        <v>359</v>
      </c>
      <c r="V192" s="4" t="s">
        <v>161</v>
      </c>
      <c r="W192" s="4" t="s">
        <v>1106</v>
      </c>
    </row>
    <row r="193" ht="14.5" spans="2:23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R193" s="4" t="s">
        <v>289</v>
      </c>
      <c r="S193" s="4" t="s">
        <v>48</v>
      </c>
      <c r="T193" s="4" t="s">
        <v>1107</v>
      </c>
      <c r="U193" s="4" t="s">
        <v>359</v>
      </c>
      <c r="V193" s="4" t="s">
        <v>161</v>
      </c>
      <c r="W193" s="4" t="s">
        <v>1108</v>
      </c>
    </row>
    <row r="194" ht="14.5" spans="2:23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R194" s="4" t="s">
        <v>289</v>
      </c>
      <c r="S194" s="4" t="s">
        <v>48</v>
      </c>
      <c r="T194" s="4" t="s">
        <v>1109</v>
      </c>
      <c r="U194" s="4" t="s">
        <v>359</v>
      </c>
      <c r="V194" s="4" t="s">
        <v>161</v>
      </c>
      <c r="W194" s="4" t="s">
        <v>1110</v>
      </c>
    </row>
    <row r="195" ht="14.5" spans="2:23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R195" s="4" t="s">
        <v>289</v>
      </c>
      <c r="S195" s="4" t="s">
        <v>48</v>
      </c>
      <c r="T195" s="4" t="s">
        <v>1111</v>
      </c>
      <c r="U195" s="4" t="s">
        <v>359</v>
      </c>
      <c r="V195" s="4" t="s">
        <v>161</v>
      </c>
      <c r="W195" s="4" t="s">
        <v>1112</v>
      </c>
    </row>
    <row r="196" ht="14.5" spans="2:23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R196" s="4" t="s">
        <v>289</v>
      </c>
      <c r="S196" s="4" t="s">
        <v>48</v>
      </c>
      <c r="T196" s="4" t="s">
        <v>1113</v>
      </c>
      <c r="U196" s="4" t="s">
        <v>359</v>
      </c>
      <c r="V196" s="4" t="s">
        <v>161</v>
      </c>
      <c r="W196" s="4" t="s">
        <v>1114</v>
      </c>
    </row>
    <row r="197" ht="14.5" spans="2:23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R197" s="4" t="s">
        <v>289</v>
      </c>
      <c r="S197" s="4" t="s">
        <v>48</v>
      </c>
      <c r="T197" s="4" t="s">
        <v>1115</v>
      </c>
      <c r="U197" s="4" t="s">
        <v>359</v>
      </c>
      <c r="V197" s="4" t="s">
        <v>161</v>
      </c>
      <c r="W197" s="4" t="s">
        <v>1116</v>
      </c>
    </row>
    <row r="198" ht="14.5" spans="2:23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R198" s="4" t="s">
        <v>289</v>
      </c>
      <c r="S198" s="4" t="s">
        <v>48</v>
      </c>
      <c r="T198" s="4" t="s">
        <v>1117</v>
      </c>
      <c r="U198" s="4" t="s">
        <v>359</v>
      </c>
      <c r="V198" s="4" t="s">
        <v>161</v>
      </c>
      <c r="W198" s="4" t="s">
        <v>1118</v>
      </c>
    </row>
    <row r="199" ht="14.5" spans="2:23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R199" s="4" t="s">
        <v>289</v>
      </c>
      <c r="S199" s="4" t="s">
        <v>48</v>
      </c>
      <c r="T199" s="4" t="s">
        <v>1119</v>
      </c>
      <c r="U199" s="4" t="s">
        <v>359</v>
      </c>
      <c r="V199" s="4" t="s">
        <v>161</v>
      </c>
      <c r="W199" s="4" t="s">
        <v>1120</v>
      </c>
    </row>
    <row r="200" ht="14.5" spans="2:23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R200" s="4" t="s">
        <v>289</v>
      </c>
      <c r="S200" s="4" t="s">
        <v>48</v>
      </c>
      <c r="T200" s="4" t="s">
        <v>1121</v>
      </c>
      <c r="U200" s="4" t="s">
        <v>359</v>
      </c>
      <c r="V200" s="4" t="s">
        <v>161</v>
      </c>
      <c r="W200" s="4" t="s">
        <v>1122</v>
      </c>
    </row>
    <row r="201" ht="14.5" spans="2:23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R201" s="4" t="s">
        <v>289</v>
      </c>
      <c r="S201" s="4" t="s">
        <v>48</v>
      </c>
      <c r="T201" s="4" t="s">
        <v>1123</v>
      </c>
      <c r="U201" s="4" t="s">
        <v>359</v>
      </c>
      <c r="V201" s="4" t="s">
        <v>161</v>
      </c>
      <c r="W201" s="4" t="s">
        <v>1124</v>
      </c>
    </row>
    <row r="202" ht="14.5" spans="2:23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R202" s="4" t="s">
        <v>289</v>
      </c>
      <c r="S202" s="4" t="s">
        <v>48</v>
      </c>
      <c r="T202" s="4" t="s">
        <v>1125</v>
      </c>
      <c r="U202" s="4" t="s">
        <v>359</v>
      </c>
      <c r="V202" s="4" t="s">
        <v>161</v>
      </c>
      <c r="W202" s="4" t="s">
        <v>1126</v>
      </c>
    </row>
    <row r="203" ht="14.5" spans="2:23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R203" s="4" t="s">
        <v>289</v>
      </c>
      <c r="S203" s="4" t="s">
        <v>48</v>
      </c>
      <c r="T203" s="4" t="s">
        <v>1127</v>
      </c>
      <c r="U203" s="4" t="s">
        <v>359</v>
      </c>
      <c r="V203" s="4" t="s">
        <v>161</v>
      </c>
      <c r="W203" s="4" t="s">
        <v>1128</v>
      </c>
    </row>
    <row r="204" ht="14.5" spans="2:23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R204" s="4" t="s">
        <v>289</v>
      </c>
      <c r="S204" s="4" t="s">
        <v>48</v>
      </c>
      <c r="T204" s="4" t="s">
        <v>1129</v>
      </c>
      <c r="U204" s="4" t="s">
        <v>359</v>
      </c>
      <c r="V204" s="4" t="s">
        <v>161</v>
      </c>
      <c r="W204" s="4" t="s">
        <v>1130</v>
      </c>
    </row>
    <row r="205" ht="14.5" spans="2:23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R205" s="4" t="s">
        <v>289</v>
      </c>
      <c r="S205" s="4" t="s">
        <v>48</v>
      </c>
      <c r="T205" s="4" t="s">
        <v>1131</v>
      </c>
      <c r="U205" s="4" t="s">
        <v>359</v>
      </c>
      <c r="V205" s="4" t="s">
        <v>161</v>
      </c>
      <c r="W205" s="4" t="s">
        <v>1132</v>
      </c>
    </row>
    <row r="206" ht="14.5" spans="2:23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R206" s="4" t="s">
        <v>289</v>
      </c>
      <c r="S206" s="4" t="s">
        <v>48</v>
      </c>
      <c r="T206" s="4" t="s">
        <v>1133</v>
      </c>
      <c r="U206" s="4" t="s">
        <v>359</v>
      </c>
      <c r="V206" s="4" t="s">
        <v>161</v>
      </c>
      <c r="W206" s="4" t="s">
        <v>1134</v>
      </c>
    </row>
    <row r="207" ht="14.5" spans="2:23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R207" s="4" t="s">
        <v>289</v>
      </c>
      <c r="S207" s="4" t="s">
        <v>48</v>
      </c>
      <c r="T207" s="4" t="s">
        <v>1135</v>
      </c>
      <c r="U207" s="4" t="s">
        <v>359</v>
      </c>
      <c r="V207" s="4" t="s">
        <v>161</v>
      </c>
      <c r="W207" s="4" t="s">
        <v>1136</v>
      </c>
    </row>
    <row r="208" ht="14.5" spans="2:23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R208" s="4" t="s">
        <v>289</v>
      </c>
      <c r="S208" s="4" t="s">
        <v>48</v>
      </c>
      <c r="T208" s="4" t="s">
        <v>1137</v>
      </c>
      <c r="U208" s="4" t="s">
        <v>359</v>
      </c>
      <c r="V208" s="4" t="s">
        <v>161</v>
      </c>
      <c r="W208" s="4" t="s">
        <v>1138</v>
      </c>
    </row>
    <row r="209" ht="14.5" spans="2:23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R209" s="4" t="s">
        <v>289</v>
      </c>
      <c r="S209" s="4" t="s">
        <v>48</v>
      </c>
      <c r="T209" s="4" t="s">
        <v>1139</v>
      </c>
      <c r="U209" s="4" t="s">
        <v>359</v>
      </c>
      <c r="V209" s="4" t="s">
        <v>161</v>
      </c>
      <c r="W209" s="4" t="s">
        <v>1140</v>
      </c>
    </row>
    <row r="210" ht="14.5" spans="2:23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R210" s="4" t="s">
        <v>289</v>
      </c>
      <c r="S210" s="4" t="s">
        <v>48</v>
      </c>
      <c r="T210" s="4" t="s">
        <v>1141</v>
      </c>
      <c r="U210" s="4" t="s">
        <v>359</v>
      </c>
      <c r="V210" s="4" t="s">
        <v>161</v>
      </c>
      <c r="W210" s="4" t="s">
        <v>1142</v>
      </c>
    </row>
    <row r="211" ht="14.5" spans="2:23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R211" s="4" t="s">
        <v>289</v>
      </c>
      <c r="S211" s="4" t="s">
        <v>48</v>
      </c>
      <c r="T211" s="4" t="s">
        <v>1143</v>
      </c>
      <c r="U211" s="4" t="s">
        <v>359</v>
      </c>
      <c r="V211" s="4" t="s">
        <v>161</v>
      </c>
      <c r="W211" s="4" t="s">
        <v>1144</v>
      </c>
    </row>
    <row r="212" ht="14.5" spans="2:23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R212" s="4" t="s">
        <v>289</v>
      </c>
      <c r="S212" s="4" t="s">
        <v>48</v>
      </c>
      <c r="T212" s="4" t="s">
        <v>1145</v>
      </c>
      <c r="U212" s="4" t="s">
        <v>359</v>
      </c>
      <c r="V212" s="4" t="s">
        <v>161</v>
      </c>
      <c r="W212" s="4" t="s">
        <v>1146</v>
      </c>
    </row>
    <row r="213" ht="14.5" spans="2:23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R213" s="4" t="s">
        <v>289</v>
      </c>
      <c r="S213" s="4" t="s">
        <v>48</v>
      </c>
      <c r="T213" s="4" t="s">
        <v>1147</v>
      </c>
      <c r="U213" s="4" t="s">
        <v>359</v>
      </c>
      <c r="V213" s="4" t="s">
        <v>161</v>
      </c>
      <c r="W213" s="4" t="s">
        <v>1148</v>
      </c>
    </row>
    <row r="214" ht="14.5" spans="2:23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R214" s="4" t="s">
        <v>289</v>
      </c>
      <c r="S214" s="4" t="s">
        <v>48</v>
      </c>
      <c r="T214" s="4" t="s">
        <v>1149</v>
      </c>
      <c r="U214" s="4" t="s">
        <v>359</v>
      </c>
      <c r="V214" s="4" t="s">
        <v>161</v>
      </c>
      <c r="W214" s="4" t="s">
        <v>1150</v>
      </c>
    </row>
    <row r="215" ht="14.5" spans="2:23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R215" s="4" t="s">
        <v>289</v>
      </c>
      <c r="S215" s="4" t="s">
        <v>48</v>
      </c>
      <c r="T215" s="4" t="s">
        <v>1151</v>
      </c>
      <c r="U215" s="4" t="s">
        <v>359</v>
      </c>
      <c r="V215" s="4" t="s">
        <v>161</v>
      </c>
      <c r="W215" s="4" t="s">
        <v>1152</v>
      </c>
    </row>
    <row r="216" ht="14.5" spans="2:23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R216" s="4" t="s">
        <v>289</v>
      </c>
      <c r="S216" s="4" t="s">
        <v>48</v>
      </c>
      <c r="T216" s="4" t="s">
        <v>1153</v>
      </c>
      <c r="U216" s="4" t="s">
        <v>359</v>
      </c>
      <c r="V216" s="4" t="s">
        <v>161</v>
      </c>
      <c r="W216" s="4" t="s">
        <v>1154</v>
      </c>
    </row>
    <row r="217" ht="14.5" spans="2:23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R217" s="4" t="s">
        <v>289</v>
      </c>
      <c r="S217" s="4" t="s">
        <v>48</v>
      </c>
      <c r="T217" s="4" t="s">
        <v>1155</v>
      </c>
      <c r="U217" s="4" t="s">
        <v>359</v>
      </c>
      <c r="V217" s="4" t="s">
        <v>161</v>
      </c>
      <c r="W217" s="4" t="s">
        <v>1156</v>
      </c>
    </row>
    <row r="218" ht="14.5" spans="2:23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R218" s="4" t="s">
        <v>289</v>
      </c>
      <c r="S218" s="4" t="s">
        <v>48</v>
      </c>
      <c r="T218" s="4" t="s">
        <v>1157</v>
      </c>
      <c r="U218" s="4" t="s">
        <v>359</v>
      </c>
      <c r="V218" s="4" t="s">
        <v>161</v>
      </c>
      <c r="W218" s="4" t="s">
        <v>1158</v>
      </c>
    </row>
    <row r="219" ht="14.5" spans="2:23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R219" s="4" t="s">
        <v>289</v>
      </c>
      <c r="S219" s="4" t="s">
        <v>48</v>
      </c>
      <c r="T219" s="4" t="s">
        <v>1159</v>
      </c>
      <c r="U219" s="4" t="s">
        <v>359</v>
      </c>
      <c r="V219" s="4" t="s">
        <v>161</v>
      </c>
      <c r="W219" s="4" t="s">
        <v>1160</v>
      </c>
    </row>
    <row r="220" ht="14.5" spans="2:23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R220" s="4" t="s">
        <v>289</v>
      </c>
      <c r="S220" s="4" t="s">
        <v>48</v>
      </c>
      <c r="T220" s="4" t="s">
        <v>1161</v>
      </c>
      <c r="U220" s="4" t="s">
        <v>359</v>
      </c>
      <c r="V220" s="4" t="s">
        <v>161</v>
      </c>
      <c r="W220" s="4" t="s">
        <v>1162</v>
      </c>
    </row>
    <row r="221" ht="14.5" spans="2:23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R221" s="4" t="s">
        <v>289</v>
      </c>
      <c r="S221" s="4" t="s">
        <v>48</v>
      </c>
      <c r="T221" s="4" t="s">
        <v>1163</v>
      </c>
      <c r="U221" s="4" t="s">
        <v>359</v>
      </c>
      <c r="V221" s="4" t="s">
        <v>161</v>
      </c>
      <c r="W221" s="4" t="s">
        <v>1164</v>
      </c>
    </row>
    <row r="222" ht="14.5" spans="2:23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R222" s="4" t="s">
        <v>289</v>
      </c>
      <c r="S222" s="4" t="s">
        <v>48</v>
      </c>
      <c r="T222" s="4" t="s">
        <v>1165</v>
      </c>
      <c r="U222" s="4" t="s">
        <v>359</v>
      </c>
      <c r="V222" s="4" t="s">
        <v>161</v>
      </c>
      <c r="W222" s="4" t="s">
        <v>1166</v>
      </c>
    </row>
    <row r="223" ht="14.5" spans="2:23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R223" s="4" t="s">
        <v>289</v>
      </c>
      <c r="S223" s="4" t="s">
        <v>48</v>
      </c>
      <c r="T223" s="4" t="s">
        <v>1167</v>
      </c>
      <c r="U223" s="4" t="s">
        <v>359</v>
      </c>
      <c r="V223" s="4" t="s">
        <v>161</v>
      </c>
      <c r="W223" s="4" t="s">
        <v>1168</v>
      </c>
    </row>
    <row r="224" ht="14.5" spans="2:23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R224" s="4" t="s">
        <v>289</v>
      </c>
      <c r="S224" s="4" t="s">
        <v>48</v>
      </c>
      <c r="T224" s="4" t="s">
        <v>1169</v>
      </c>
      <c r="U224" s="4" t="s">
        <v>359</v>
      </c>
      <c r="V224" s="4" t="s">
        <v>161</v>
      </c>
      <c r="W224" s="4" t="s">
        <v>1170</v>
      </c>
    </row>
    <row r="225" ht="14.5" spans="2:23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R225" s="4" t="s">
        <v>289</v>
      </c>
      <c r="S225" s="4" t="s">
        <v>48</v>
      </c>
      <c r="T225" s="4" t="s">
        <v>1171</v>
      </c>
      <c r="U225" s="4" t="s">
        <v>359</v>
      </c>
      <c r="V225" s="4" t="s">
        <v>161</v>
      </c>
      <c r="W225" s="4" t="s">
        <v>1172</v>
      </c>
    </row>
    <row r="226" ht="14.5" spans="2:23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R226" s="4" t="s">
        <v>289</v>
      </c>
      <c r="S226" s="4" t="s">
        <v>48</v>
      </c>
      <c r="T226" s="4" t="s">
        <v>1173</v>
      </c>
      <c r="U226" s="4" t="s">
        <v>359</v>
      </c>
      <c r="V226" s="4" t="s">
        <v>161</v>
      </c>
      <c r="W226" s="4" t="s">
        <v>1174</v>
      </c>
    </row>
    <row r="227" ht="14.5" spans="2:23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R227" s="4" t="s">
        <v>289</v>
      </c>
      <c r="S227" s="4" t="s">
        <v>48</v>
      </c>
      <c r="T227" s="4" t="s">
        <v>1175</v>
      </c>
      <c r="U227" s="4" t="s">
        <v>359</v>
      </c>
      <c r="V227" s="4" t="s">
        <v>161</v>
      </c>
      <c r="W227" s="4" t="s">
        <v>1176</v>
      </c>
    </row>
    <row r="228" ht="14.5" spans="2:23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R228" s="4" t="s">
        <v>289</v>
      </c>
      <c r="S228" s="4" t="s">
        <v>48</v>
      </c>
      <c r="T228" s="4" t="s">
        <v>1177</v>
      </c>
      <c r="U228" s="4" t="s">
        <v>359</v>
      </c>
      <c r="V228" s="4" t="s">
        <v>161</v>
      </c>
      <c r="W228" s="4" t="s">
        <v>1178</v>
      </c>
    </row>
    <row r="229" ht="14.5" spans="2:23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R229" s="4" t="s">
        <v>289</v>
      </c>
      <c r="S229" s="4" t="s">
        <v>48</v>
      </c>
      <c r="T229" s="4" t="s">
        <v>1179</v>
      </c>
      <c r="U229" s="4" t="s">
        <v>359</v>
      </c>
      <c r="V229" s="4" t="s">
        <v>161</v>
      </c>
      <c r="W229" s="4" t="s">
        <v>1180</v>
      </c>
    </row>
    <row r="230" ht="14.5" spans="2:23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R230" s="4" t="s">
        <v>289</v>
      </c>
      <c r="S230" s="4" t="s">
        <v>48</v>
      </c>
      <c r="T230" s="4" t="s">
        <v>1181</v>
      </c>
      <c r="U230" s="4" t="s">
        <v>359</v>
      </c>
      <c r="V230" s="4" t="s">
        <v>161</v>
      </c>
      <c r="W230" s="4" t="s">
        <v>1182</v>
      </c>
    </row>
    <row r="231" ht="14.5" spans="2:23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R231" s="4" t="s">
        <v>289</v>
      </c>
      <c r="S231" s="4" t="s">
        <v>48</v>
      </c>
      <c r="T231" s="4" t="s">
        <v>1183</v>
      </c>
      <c r="U231" s="4" t="s">
        <v>359</v>
      </c>
      <c r="V231" s="4" t="s">
        <v>161</v>
      </c>
      <c r="W231" s="4" t="s">
        <v>1184</v>
      </c>
    </row>
    <row r="232" ht="14.5" spans="2:23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R232" s="4" t="s">
        <v>289</v>
      </c>
      <c r="S232" s="4" t="s">
        <v>48</v>
      </c>
      <c r="T232" s="4" t="s">
        <v>1185</v>
      </c>
      <c r="U232" s="4" t="s">
        <v>359</v>
      </c>
      <c r="V232" s="4" t="s">
        <v>161</v>
      </c>
      <c r="W232" s="4" t="s">
        <v>1186</v>
      </c>
    </row>
    <row r="233" ht="14.5" spans="2:23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R233" s="4" t="s">
        <v>289</v>
      </c>
      <c r="S233" s="4" t="s">
        <v>48</v>
      </c>
      <c r="T233" s="4" t="s">
        <v>1187</v>
      </c>
      <c r="U233" s="4" t="s">
        <v>359</v>
      </c>
      <c r="V233" s="4" t="s">
        <v>161</v>
      </c>
      <c r="W233" s="4" t="s">
        <v>1188</v>
      </c>
    </row>
    <row r="234" ht="14.5" spans="2:23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R234" s="4" t="s">
        <v>289</v>
      </c>
      <c r="S234" s="4" t="s">
        <v>48</v>
      </c>
      <c r="T234" s="4" t="s">
        <v>1189</v>
      </c>
      <c r="U234" s="4" t="s">
        <v>359</v>
      </c>
      <c r="V234" s="4" t="s">
        <v>161</v>
      </c>
      <c r="W234" s="4" t="s">
        <v>1190</v>
      </c>
    </row>
    <row r="235" ht="14.5" spans="2:23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R235" s="4" t="s">
        <v>289</v>
      </c>
      <c r="S235" s="4" t="s">
        <v>48</v>
      </c>
      <c r="T235" s="4" t="s">
        <v>1191</v>
      </c>
      <c r="U235" s="4" t="s">
        <v>359</v>
      </c>
      <c r="V235" s="4" t="s">
        <v>161</v>
      </c>
      <c r="W235" s="4" t="s">
        <v>1192</v>
      </c>
    </row>
    <row r="236" ht="14.5" spans="2:23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R236" s="4" t="s">
        <v>289</v>
      </c>
      <c r="S236" s="4" t="s">
        <v>48</v>
      </c>
      <c r="T236" s="4" t="s">
        <v>1193</v>
      </c>
      <c r="U236" s="4" t="s">
        <v>359</v>
      </c>
      <c r="V236" s="4" t="s">
        <v>161</v>
      </c>
      <c r="W236" s="4" t="s">
        <v>1194</v>
      </c>
    </row>
    <row r="237" ht="14.5" spans="2:23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R237" s="4" t="s">
        <v>289</v>
      </c>
      <c r="S237" s="4" t="s">
        <v>48</v>
      </c>
      <c r="T237" s="4" t="s">
        <v>1195</v>
      </c>
      <c r="U237" s="4" t="s">
        <v>359</v>
      </c>
      <c r="V237" s="4" t="s">
        <v>161</v>
      </c>
      <c r="W237" s="4" t="s">
        <v>1196</v>
      </c>
    </row>
    <row r="238" ht="14.5" spans="2:23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R238" s="4" t="s">
        <v>289</v>
      </c>
      <c r="S238" s="4" t="s">
        <v>48</v>
      </c>
      <c r="T238" s="4" t="s">
        <v>1197</v>
      </c>
      <c r="U238" s="4" t="s">
        <v>359</v>
      </c>
      <c r="V238" s="4" t="s">
        <v>161</v>
      </c>
      <c r="W238" s="4" t="s">
        <v>1198</v>
      </c>
    </row>
    <row r="239" ht="14.5" spans="2:23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R239" s="4" t="s">
        <v>289</v>
      </c>
      <c r="S239" s="4" t="s">
        <v>48</v>
      </c>
      <c r="T239" s="4" t="s">
        <v>1199</v>
      </c>
      <c r="U239" s="4" t="s">
        <v>359</v>
      </c>
      <c r="V239" s="4" t="s">
        <v>161</v>
      </c>
      <c r="W239" s="4" t="s">
        <v>1200</v>
      </c>
    </row>
    <row r="240" ht="14.5" spans="2:23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R240" s="4" t="s">
        <v>289</v>
      </c>
      <c r="S240" s="4" t="s">
        <v>48</v>
      </c>
      <c r="T240" s="4" t="s">
        <v>1201</v>
      </c>
      <c r="U240" s="4" t="s">
        <v>359</v>
      </c>
      <c r="V240" s="4" t="s">
        <v>161</v>
      </c>
      <c r="W240" s="4" t="s">
        <v>1202</v>
      </c>
    </row>
    <row r="241" ht="14.5" spans="2:23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R241" s="4" t="s">
        <v>289</v>
      </c>
      <c r="S241" s="4" t="s">
        <v>48</v>
      </c>
      <c r="T241" s="4" t="s">
        <v>1203</v>
      </c>
      <c r="U241" s="4" t="s">
        <v>359</v>
      </c>
      <c r="V241" s="4" t="s">
        <v>161</v>
      </c>
      <c r="W241" s="4" t="s">
        <v>1204</v>
      </c>
    </row>
    <row r="242" ht="14.5" spans="2:23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R242" s="4" t="s">
        <v>289</v>
      </c>
      <c r="S242" s="4" t="s">
        <v>48</v>
      </c>
      <c r="T242" s="4" t="s">
        <v>1205</v>
      </c>
      <c r="U242" s="4" t="s">
        <v>359</v>
      </c>
      <c r="V242" s="4" t="s">
        <v>161</v>
      </c>
      <c r="W242" s="4" t="s">
        <v>1206</v>
      </c>
    </row>
    <row r="243" ht="14.5" spans="2:23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R243" s="4" t="s">
        <v>289</v>
      </c>
      <c r="S243" s="4" t="s">
        <v>48</v>
      </c>
      <c r="T243" s="4" t="s">
        <v>1207</v>
      </c>
      <c r="U243" s="4" t="s">
        <v>359</v>
      </c>
      <c r="V243" s="4" t="s">
        <v>161</v>
      </c>
      <c r="W243" s="4" t="s">
        <v>1208</v>
      </c>
    </row>
    <row r="244" ht="14.5" spans="2:23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R244" s="4" t="s">
        <v>289</v>
      </c>
      <c r="S244" s="4" t="s">
        <v>48</v>
      </c>
      <c r="T244" s="4" t="s">
        <v>1209</v>
      </c>
      <c r="U244" s="4" t="s">
        <v>359</v>
      </c>
      <c r="V244" s="4" t="s">
        <v>161</v>
      </c>
      <c r="W244" s="4" t="s">
        <v>1210</v>
      </c>
    </row>
    <row r="245" ht="14.5" spans="2:23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R245" s="4" t="s">
        <v>289</v>
      </c>
      <c r="S245" s="4" t="s">
        <v>48</v>
      </c>
      <c r="T245" s="4" t="s">
        <v>1211</v>
      </c>
      <c r="U245" s="4" t="s">
        <v>359</v>
      </c>
      <c r="V245" s="4" t="s">
        <v>161</v>
      </c>
      <c r="W245" s="4" t="s">
        <v>1212</v>
      </c>
    </row>
    <row r="246" ht="14.5" spans="2:23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R246" s="4" t="s">
        <v>289</v>
      </c>
      <c r="S246" s="4" t="s">
        <v>48</v>
      </c>
      <c r="T246" s="4" t="s">
        <v>1213</v>
      </c>
      <c r="U246" s="4" t="s">
        <v>359</v>
      </c>
      <c r="V246" s="4" t="s">
        <v>161</v>
      </c>
      <c r="W246" s="4" t="s">
        <v>1214</v>
      </c>
    </row>
    <row r="247" ht="14.5" spans="2:23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R247" s="4" t="s">
        <v>289</v>
      </c>
      <c r="S247" s="4" t="s">
        <v>48</v>
      </c>
      <c r="T247" s="4" t="s">
        <v>1215</v>
      </c>
      <c r="U247" s="4" t="s">
        <v>359</v>
      </c>
      <c r="V247" s="4" t="s">
        <v>161</v>
      </c>
      <c r="W247" s="4" t="s">
        <v>1216</v>
      </c>
    </row>
    <row r="248" ht="14.5" spans="2:23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R248" s="4" t="s">
        <v>289</v>
      </c>
      <c r="S248" s="4" t="s">
        <v>48</v>
      </c>
      <c r="T248" s="4" t="s">
        <v>1217</v>
      </c>
      <c r="U248" s="4" t="s">
        <v>359</v>
      </c>
      <c r="V248" s="4" t="s">
        <v>161</v>
      </c>
      <c r="W248" s="4" t="s">
        <v>1218</v>
      </c>
    </row>
    <row r="249" ht="14.5" spans="2:23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R249" s="4" t="s">
        <v>289</v>
      </c>
      <c r="S249" s="4" t="s">
        <v>48</v>
      </c>
      <c r="T249" s="4" t="s">
        <v>1219</v>
      </c>
      <c r="U249" s="4" t="s">
        <v>359</v>
      </c>
      <c r="V249" s="4" t="s">
        <v>161</v>
      </c>
      <c r="W249" s="4" t="s">
        <v>1220</v>
      </c>
    </row>
    <row r="250" ht="14.5" spans="2:23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R250" s="4" t="s">
        <v>289</v>
      </c>
      <c r="S250" s="4" t="s">
        <v>48</v>
      </c>
      <c r="T250" s="4" t="s">
        <v>1221</v>
      </c>
      <c r="U250" s="4" t="s">
        <v>359</v>
      </c>
      <c r="V250" s="4" t="s">
        <v>161</v>
      </c>
      <c r="W250" s="4" t="s">
        <v>1222</v>
      </c>
    </row>
    <row r="251" ht="14.5" spans="2:23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R251" s="4" t="s">
        <v>289</v>
      </c>
      <c r="S251" s="4" t="s">
        <v>48</v>
      </c>
      <c r="T251" s="4" t="s">
        <v>1223</v>
      </c>
      <c r="U251" s="4" t="s">
        <v>359</v>
      </c>
      <c r="V251" s="4" t="s">
        <v>161</v>
      </c>
      <c r="W251" s="4" t="s">
        <v>1224</v>
      </c>
    </row>
    <row r="252" ht="14.5" spans="2:23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R252" s="4" t="s">
        <v>289</v>
      </c>
      <c r="S252" s="4" t="s">
        <v>48</v>
      </c>
      <c r="T252" s="4" t="s">
        <v>1225</v>
      </c>
      <c r="U252" s="4" t="s">
        <v>359</v>
      </c>
      <c r="V252" s="4" t="s">
        <v>161</v>
      </c>
      <c r="W252" s="4" t="s">
        <v>1226</v>
      </c>
    </row>
    <row r="253" ht="14.5" spans="2:23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R253" s="4" t="s">
        <v>289</v>
      </c>
      <c r="S253" s="4" t="s">
        <v>50</v>
      </c>
      <c r="T253" s="4" t="s">
        <v>1227</v>
      </c>
      <c r="U253" s="4" t="s">
        <v>359</v>
      </c>
      <c r="V253" s="4" t="s">
        <v>161</v>
      </c>
      <c r="W253" s="4" t="s">
        <v>1228</v>
      </c>
    </row>
    <row r="254" ht="14.5" spans="2:23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R254" s="4" t="s">
        <v>289</v>
      </c>
      <c r="S254" s="4" t="s">
        <v>50</v>
      </c>
      <c r="T254" s="4" t="s">
        <v>1229</v>
      </c>
      <c r="U254" s="4" t="s">
        <v>359</v>
      </c>
      <c r="V254" s="4" t="s">
        <v>161</v>
      </c>
      <c r="W254" s="4" t="s">
        <v>1230</v>
      </c>
    </row>
    <row r="255" ht="14.5" spans="2:23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R255" s="4" t="s">
        <v>289</v>
      </c>
      <c r="S255" s="4" t="s">
        <v>50</v>
      </c>
      <c r="T255" s="4" t="s">
        <v>1231</v>
      </c>
      <c r="U255" s="4" t="s">
        <v>359</v>
      </c>
      <c r="V255" s="4" t="s">
        <v>161</v>
      </c>
      <c r="W255" s="4" t="s">
        <v>1232</v>
      </c>
    </row>
    <row r="256" ht="14.5" spans="2:23"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R256" s="4" t="s">
        <v>289</v>
      </c>
      <c r="S256" s="4" t="s">
        <v>50</v>
      </c>
      <c r="T256" s="4" t="s">
        <v>1233</v>
      </c>
      <c r="U256" s="4" t="s">
        <v>359</v>
      </c>
      <c r="V256" s="4" t="s">
        <v>161</v>
      </c>
      <c r="W256" s="4" t="s">
        <v>1234</v>
      </c>
    </row>
    <row r="257" ht="14.5" spans="2:23"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R257" s="4" t="s">
        <v>289</v>
      </c>
      <c r="S257" s="4" t="s">
        <v>50</v>
      </c>
      <c r="T257" s="4" t="s">
        <v>1235</v>
      </c>
      <c r="U257" s="4" t="s">
        <v>359</v>
      </c>
      <c r="V257" s="4" t="s">
        <v>161</v>
      </c>
      <c r="W257" s="4" t="s">
        <v>1236</v>
      </c>
    </row>
    <row r="258" ht="14.5" spans="2:23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R258" s="4" t="s">
        <v>289</v>
      </c>
      <c r="S258" s="4" t="s">
        <v>50</v>
      </c>
      <c r="T258" s="4" t="s">
        <v>1237</v>
      </c>
      <c r="U258" s="4" t="s">
        <v>359</v>
      </c>
      <c r="V258" s="4" t="s">
        <v>161</v>
      </c>
      <c r="W258" s="4" t="s">
        <v>1238</v>
      </c>
    </row>
    <row r="259" ht="14.5" spans="2:23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R259" s="4" t="s">
        <v>289</v>
      </c>
      <c r="S259" s="4" t="s">
        <v>50</v>
      </c>
      <c r="T259" s="4" t="s">
        <v>1239</v>
      </c>
      <c r="U259" s="4" t="s">
        <v>359</v>
      </c>
      <c r="V259" s="4" t="s">
        <v>161</v>
      </c>
      <c r="W259" s="4" t="s">
        <v>1240</v>
      </c>
    </row>
    <row r="260" ht="14.5" spans="2:23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R260" s="4" t="s">
        <v>289</v>
      </c>
      <c r="S260" s="4" t="s">
        <v>50</v>
      </c>
      <c r="T260" s="4" t="s">
        <v>1241</v>
      </c>
      <c r="U260" s="4" t="s">
        <v>359</v>
      </c>
      <c r="V260" s="4" t="s">
        <v>161</v>
      </c>
      <c r="W260" s="4" t="s">
        <v>1242</v>
      </c>
    </row>
    <row r="261" ht="14.5" spans="2:23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R261" s="4" t="s">
        <v>289</v>
      </c>
      <c r="S261" s="4" t="s">
        <v>50</v>
      </c>
      <c r="T261" s="4" t="s">
        <v>1243</v>
      </c>
      <c r="U261" s="4" t="s">
        <v>359</v>
      </c>
      <c r="V261" s="4" t="s">
        <v>161</v>
      </c>
      <c r="W261" s="4" t="s">
        <v>1244</v>
      </c>
    </row>
    <row r="262" ht="14.5" spans="2:23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R262" s="4" t="s">
        <v>289</v>
      </c>
      <c r="S262" s="4" t="s">
        <v>50</v>
      </c>
      <c r="T262" s="4" t="s">
        <v>1245</v>
      </c>
      <c r="U262" s="4" t="s">
        <v>359</v>
      </c>
      <c r="V262" s="4" t="s">
        <v>161</v>
      </c>
      <c r="W262" s="4" t="s">
        <v>1246</v>
      </c>
    </row>
    <row r="263" ht="14.5" spans="2:23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R263" s="4" t="s">
        <v>289</v>
      </c>
      <c r="S263" s="4" t="s">
        <v>50</v>
      </c>
      <c r="T263" s="4" t="s">
        <v>1247</v>
      </c>
      <c r="U263" s="4" t="s">
        <v>359</v>
      </c>
      <c r="V263" s="4" t="s">
        <v>161</v>
      </c>
      <c r="W263" s="4" t="s">
        <v>1248</v>
      </c>
    </row>
    <row r="264" ht="14.5" spans="2:23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R264" s="4" t="s">
        <v>289</v>
      </c>
      <c r="S264" s="4" t="s">
        <v>50</v>
      </c>
      <c r="T264" s="4" t="s">
        <v>1249</v>
      </c>
      <c r="U264" s="4" t="s">
        <v>359</v>
      </c>
      <c r="V264" s="4" t="s">
        <v>161</v>
      </c>
      <c r="W264" s="4" t="s">
        <v>1250</v>
      </c>
    </row>
    <row r="265" ht="14.5" spans="2:23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R265" s="4" t="s">
        <v>289</v>
      </c>
      <c r="S265" s="4" t="s">
        <v>50</v>
      </c>
      <c r="T265" s="4" t="s">
        <v>1251</v>
      </c>
      <c r="U265" s="4" t="s">
        <v>359</v>
      </c>
      <c r="V265" s="4" t="s">
        <v>161</v>
      </c>
      <c r="W265" s="4" t="s">
        <v>1252</v>
      </c>
    </row>
    <row r="266" ht="14.5" spans="2:23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R266" s="4" t="s">
        <v>289</v>
      </c>
      <c r="S266" s="4" t="s">
        <v>50</v>
      </c>
      <c r="T266" s="4" t="s">
        <v>1253</v>
      </c>
      <c r="U266" s="4" t="s">
        <v>359</v>
      </c>
      <c r="V266" s="4" t="s">
        <v>161</v>
      </c>
      <c r="W266" s="4" t="s">
        <v>1254</v>
      </c>
    </row>
    <row r="267" ht="14.5" spans="2:23"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R267" s="4" t="s">
        <v>289</v>
      </c>
      <c r="S267" s="4" t="s">
        <v>50</v>
      </c>
      <c r="T267" s="4" t="s">
        <v>1255</v>
      </c>
      <c r="U267" s="4" t="s">
        <v>359</v>
      </c>
      <c r="V267" s="4" t="s">
        <v>161</v>
      </c>
      <c r="W267" s="4" t="s">
        <v>1256</v>
      </c>
    </row>
    <row r="268" ht="14.5" spans="2:23"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R268" s="4" t="s">
        <v>289</v>
      </c>
      <c r="S268" s="4" t="s">
        <v>50</v>
      </c>
      <c r="T268" s="4" t="s">
        <v>1257</v>
      </c>
      <c r="U268" s="4" t="s">
        <v>359</v>
      </c>
      <c r="V268" s="4" t="s">
        <v>161</v>
      </c>
      <c r="W268" s="4" t="s">
        <v>1258</v>
      </c>
    </row>
    <row r="269" ht="14.5" spans="2:23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R269" s="4" t="s">
        <v>289</v>
      </c>
      <c r="S269" s="4" t="s">
        <v>50</v>
      </c>
      <c r="T269" s="4" t="s">
        <v>1259</v>
      </c>
      <c r="U269" s="4" t="s">
        <v>359</v>
      </c>
      <c r="V269" s="4" t="s">
        <v>161</v>
      </c>
      <c r="W269" s="4" t="s">
        <v>1260</v>
      </c>
    </row>
    <row r="270" ht="14.5" spans="2:23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R270" s="4" t="s">
        <v>289</v>
      </c>
      <c r="S270" s="4" t="s">
        <v>50</v>
      </c>
      <c r="T270" s="4" t="s">
        <v>1261</v>
      </c>
      <c r="U270" s="4" t="s">
        <v>359</v>
      </c>
      <c r="V270" s="4" t="s">
        <v>161</v>
      </c>
      <c r="W270" s="4" t="s">
        <v>1262</v>
      </c>
    </row>
    <row r="271" ht="14.5" spans="2:23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R271" s="4" t="s">
        <v>289</v>
      </c>
      <c r="S271" s="4" t="s">
        <v>50</v>
      </c>
      <c r="T271" s="4" t="s">
        <v>1263</v>
      </c>
      <c r="U271" s="4" t="s">
        <v>359</v>
      </c>
      <c r="V271" s="4" t="s">
        <v>161</v>
      </c>
      <c r="W271" s="4" t="s">
        <v>1264</v>
      </c>
    </row>
    <row r="272" ht="14.5" spans="2:23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R272" s="4" t="s">
        <v>289</v>
      </c>
      <c r="S272" s="4" t="s">
        <v>50</v>
      </c>
      <c r="T272" s="4" t="s">
        <v>1265</v>
      </c>
      <c r="U272" s="4" t="s">
        <v>359</v>
      </c>
      <c r="V272" s="4" t="s">
        <v>161</v>
      </c>
      <c r="W272" s="4" t="s">
        <v>1266</v>
      </c>
    </row>
    <row r="273" ht="14.5" spans="2:23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R273" s="4" t="s">
        <v>289</v>
      </c>
      <c r="S273" s="4" t="s">
        <v>50</v>
      </c>
      <c r="T273" s="4" t="s">
        <v>1267</v>
      </c>
      <c r="U273" s="4" t="s">
        <v>359</v>
      </c>
      <c r="V273" s="4" t="s">
        <v>161</v>
      </c>
      <c r="W273" s="4" t="s">
        <v>1268</v>
      </c>
    </row>
    <row r="274" ht="14.5" spans="2:23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R274" s="4" t="s">
        <v>289</v>
      </c>
      <c r="S274" s="4" t="s">
        <v>50</v>
      </c>
      <c r="T274" s="4" t="s">
        <v>1269</v>
      </c>
      <c r="U274" s="4" t="s">
        <v>359</v>
      </c>
      <c r="V274" s="4" t="s">
        <v>161</v>
      </c>
      <c r="W274" s="4" t="s">
        <v>1270</v>
      </c>
    </row>
    <row r="275" ht="14.5" spans="2:23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R275" s="4" t="s">
        <v>289</v>
      </c>
      <c r="S275" s="4" t="s">
        <v>50</v>
      </c>
      <c r="T275" s="4" t="s">
        <v>1271</v>
      </c>
      <c r="U275" s="4" t="s">
        <v>359</v>
      </c>
      <c r="V275" s="4" t="s">
        <v>161</v>
      </c>
      <c r="W275" s="4" t="s">
        <v>1272</v>
      </c>
    </row>
    <row r="276" ht="14.5" spans="2:23"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R276" s="4" t="s">
        <v>289</v>
      </c>
      <c r="S276" s="4" t="s">
        <v>50</v>
      </c>
      <c r="T276" s="4" t="s">
        <v>1273</v>
      </c>
      <c r="U276" s="4" t="s">
        <v>359</v>
      </c>
      <c r="V276" s="4" t="s">
        <v>161</v>
      </c>
      <c r="W276" s="4" t="s">
        <v>1274</v>
      </c>
    </row>
    <row r="277" ht="14.5" spans="2:23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R277" s="4" t="s">
        <v>289</v>
      </c>
      <c r="S277" s="4" t="s">
        <v>50</v>
      </c>
      <c r="T277" s="4" t="s">
        <v>1275</v>
      </c>
      <c r="U277" s="4" t="s">
        <v>359</v>
      </c>
      <c r="V277" s="4" t="s">
        <v>161</v>
      </c>
      <c r="W277" s="4" t="s">
        <v>1276</v>
      </c>
    </row>
    <row r="278" ht="14.5" spans="2:23"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R278" s="4" t="s">
        <v>289</v>
      </c>
      <c r="S278" s="4" t="s">
        <v>50</v>
      </c>
      <c r="T278" s="4" t="s">
        <v>1277</v>
      </c>
      <c r="U278" s="4" t="s">
        <v>359</v>
      </c>
      <c r="V278" s="4" t="s">
        <v>161</v>
      </c>
      <c r="W278" s="4" t="s">
        <v>1278</v>
      </c>
    </row>
    <row r="279" ht="14.5" spans="2:23"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R279" s="4" t="s">
        <v>289</v>
      </c>
      <c r="S279" s="4" t="s">
        <v>52</v>
      </c>
      <c r="T279" s="4" t="s">
        <v>1279</v>
      </c>
      <c r="U279" s="4" t="s">
        <v>359</v>
      </c>
      <c r="V279" s="4" t="s">
        <v>161</v>
      </c>
      <c r="W279" s="4" t="s">
        <v>1280</v>
      </c>
    </row>
    <row r="280" ht="14.5" spans="2:23"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R280" s="4" t="s">
        <v>289</v>
      </c>
      <c r="S280" s="4" t="s">
        <v>52</v>
      </c>
      <c r="T280" s="4" t="s">
        <v>1281</v>
      </c>
      <c r="U280" s="4" t="s">
        <v>359</v>
      </c>
      <c r="V280" s="4" t="s">
        <v>161</v>
      </c>
      <c r="W280" s="4" t="s">
        <v>1282</v>
      </c>
    </row>
    <row r="281" ht="14.5" spans="2:23"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R281" s="4" t="s">
        <v>289</v>
      </c>
      <c r="S281" s="4" t="s">
        <v>52</v>
      </c>
      <c r="T281" s="4" t="s">
        <v>1283</v>
      </c>
      <c r="U281" s="4" t="s">
        <v>359</v>
      </c>
      <c r="V281" s="4" t="s">
        <v>161</v>
      </c>
      <c r="W281" s="4" t="s">
        <v>1284</v>
      </c>
    </row>
    <row r="282" ht="14.5" spans="2:23"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R282" s="4" t="s">
        <v>289</v>
      </c>
      <c r="S282" s="4" t="s">
        <v>52</v>
      </c>
      <c r="T282" s="4" t="s">
        <v>1285</v>
      </c>
      <c r="U282" s="4" t="s">
        <v>359</v>
      </c>
      <c r="V282" s="4" t="s">
        <v>161</v>
      </c>
      <c r="W282" s="4" t="s">
        <v>1286</v>
      </c>
    </row>
    <row r="283" ht="14.5" spans="2:23"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R283" s="4" t="s">
        <v>289</v>
      </c>
      <c r="S283" s="4" t="s">
        <v>52</v>
      </c>
      <c r="T283" s="4" t="s">
        <v>1287</v>
      </c>
      <c r="U283" s="4" t="s">
        <v>359</v>
      </c>
      <c r="V283" s="4" t="s">
        <v>161</v>
      </c>
      <c r="W283" s="4" t="s">
        <v>1288</v>
      </c>
    </row>
    <row r="284" ht="14.5" spans="2:23"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R284" s="4" t="s">
        <v>289</v>
      </c>
      <c r="S284" s="4" t="s">
        <v>52</v>
      </c>
      <c r="T284" s="4" t="s">
        <v>1289</v>
      </c>
      <c r="U284" s="4" t="s">
        <v>359</v>
      </c>
      <c r="V284" s="4" t="s">
        <v>161</v>
      </c>
      <c r="W284" s="4" t="s">
        <v>1290</v>
      </c>
    </row>
    <row r="285" ht="14.5" spans="2:23"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R285" s="4" t="s">
        <v>289</v>
      </c>
      <c r="S285" s="4" t="s">
        <v>54</v>
      </c>
      <c r="T285" s="4" t="s">
        <v>1291</v>
      </c>
      <c r="U285" s="4" t="s">
        <v>359</v>
      </c>
      <c r="V285" s="4" t="s">
        <v>161</v>
      </c>
      <c r="W285" s="4" t="s">
        <v>1292</v>
      </c>
    </row>
    <row r="286" ht="14.5" spans="2:23"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R286" s="4" t="s">
        <v>289</v>
      </c>
      <c r="S286" s="4" t="s">
        <v>54</v>
      </c>
      <c r="T286" s="4" t="s">
        <v>1293</v>
      </c>
      <c r="U286" s="4" t="s">
        <v>359</v>
      </c>
      <c r="V286" s="4" t="s">
        <v>161</v>
      </c>
      <c r="W286" s="4" t="s">
        <v>1294</v>
      </c>
    </row>
    <row r="287" ht="14.5" spans="2:23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R287" s="4" t="s">
        <v>289</v>
      </c>
      <c r="S287" s="4" t="s">
        <v>56</v>
      </c>
      <c r="T287" s="4" t="s">
        <v>1295</v>
      </c>
      <c r="U287" s="4" t="s">
        <v>359</v>
      </c>
      <c r="V287" s="4" t="s">
        <v>161</v>
      </c>
      <c r="W287" s="4" t="s">
        <v>1296</v>
      </c>
    </row>
    <row r="288" ht="14.5" spans="2:23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R288" s="4" t="s">
        <v>289</v>
      </c>
      <c r="S288" s="4" t="s">
        <v>56</v>
      </c>
      <c r="T288" s="4" t="s">
        <v>1297</v>
      </c>
      <c r="U288" s="4" t="s">
        <v>359</v>
      </c>
      <c r="V288" s="4" t="s">
        <v>161</v>
      </c>
      <c r="W288" s="4" t="s">
        <v>1298</v>
      </c>
    </row>
    <row r="289" ht="14.5" spans="2:23"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R289" s="4" t="s">
        <v>289</v>
      </c>
      <c r="S289" s="4" t="s">
        <v>58</v>
      </c>
      <c r="T289" s="4" t="s">
        <v>1299</v>
      </c>
      <c r="U289" s="4" t="s">
        <v>359</v>
      </c>
      <c r="V289" s="4" t="s">
        <v>161</v>
      </c>
      <c r="W289" s="4" t="s">
        <v>1300</v>
      </c>
    </row>
    <row r="290" ht="14.5" spans="2:23"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R290" s="4" t="s">
        <v>289</v>
      </c>
      <c r="S290" s="4" t="s">
        <v>58</v>
      </c>
      <c r="T290" s="4" t="s">
        <v>1301</v>
      </c>
      <c r="U290" s="4" t="s">
        <v>359</v>
      </c>
      <c r="V290" s="4" t="s">
        <v>161</v>
      </c>
      <c r="W290" s="4" t="s">
        <v>1302</v>
      </c>
    </row>
    <row r="291" ht="14.5" spans="2:23"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R291" s="4" t="s">
        <v>289</v>
      </c>
      <c r="S291" s="4" t="s">
        <v>58</v>
      </c>
      <c r="T291" s="4" t="s">
        <v>1303</v>
      </c>
      <c r="U291" s="4" t="s">
        <v>359</v>
      </c>
      <c r="V291" s="4" t="s">
        <v>161</v>
      </c>
      <c r="W291" s="4" t="s">
        <v>1304</v>
      </c>
    </row>
    <row r="292" ht="14.5" spans="2:23"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R292" s="4" t="s">
        <v>289</v>
      </c>
      <c r="S292" s="4" t="s">
        <v>58</v>
      </c>
      <c r="T292" s="4" t="s">
        <v>1305</v>
      </c>
      <c r="U292" s="4" t="s">
        <v>359</v>
      </c>
      <c r="V292" s="4" t="s">
        <v>161</v>
      </c>
      <c r="W292" s="4" t="s">
        <v>1306</v>
      </c>
    </row>
    <row r="293" ht="14.5" spans="2:23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R293" s="4" t="s">
        <v>289</v>
      </c>
      <c r="S293" s="4" t="s">
        <v>58</v>
      </c>
      <c r="T293" s="4" t="s">
        <v>1307</v>
      </c>
      <c r="U293" s="4" t="s">
        <v>359</v>
      </c>
      <c r="V293" s="4" t="s">
        <v>161</v>
      </c>
      <c r="W293" s="4" t="s">
        <v>1308</v>
      </c>
    </row>
    <row r="294" ht="14.5" spans="2:23"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R294" s="4" t="s">
        <v>289</v>
      </c>
      <c r="S294" s="4" t="s">
        <v>58</v>
      </c>
      <c r="T294" s="4" t="s">
        <v>1309</v>
      </c>
      <c r="U294" s="4" t="s">
        <v>359</v>
      </c>
      <c r="V294" s="4" t="s">
        <v>161</v>
      </c>
      <c r="W294" s="4" t="s">
        <v>1310</v>
      </c>
    </row>
    <row r="295" ht="14.5" spans="2:23"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R295" s="4" t="s">
        <v>289</v>
      </c>
      <c r="S295" s="4" t="s">
        <v>58</v>
      </c>
      <c r="T295" s="4" t="s">
        <v>1311</v>
      </c>
      <c r="U295" s="4" t="s">
        <v>359</v>
      </c>
      <c r="V295" s="4" t="s">
        <v>161</v>
      </c>
      <c r="W295" s="4" t="s">
        <v>1312</v>
      </c>
    </row>
    <row r="296" ht="14.5" spans="2:23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R296" s="4" t="s">
        <v>289</v>
      </c>
      <c r="S296" s="4" t="s">
        <v>58</v>
      </c>
      <c r="T296" s="4" t="s">
        <v>1313</v>
      </c>
      <c r="U296" s="4" t="s">
        <v>359</v>
      </c>
      <c r="V296" s="4" t="s">
        <v>161</v>
      </c>
      <c r="W296" s="4" t="s">
        <v>1314</v>
      </c>
    </row>
    <row r="297" ht="14.5" spans="2:23"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R297" s="4" t="s">
        <v>289</v>
      </c>
      <c r="S297" s="4" t="s">
        <v>58</v>
      </c>
      <c r="T297" s="4" t="s">
        <v>1315</v>
      </c>
      <c r="U297" s="4" t="s">
        <v>359</v>
      </c>
      <c r="V297" s="4" t="s">
        <v>161</v>
      </c>
      <c r="W297" s="4" t="s">
        <v>1316</v>
      </c>
    </row>
    <row r="298" ht="14.5" spans="2:23"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R298" s="4" t="s">
        <v>289</v>
      </c>
      <c r="S298" s="4" t="s">
        <v>58</v>
      </c>
      <c r="T298" s="4" t="s">
        <v>1317</v>
      </c>
      <c r="U298" s="4" t="s">
        <v>359</v>
      </c>
      <c r="V298" s="4" t="s">
        <v>161</v>
      </c>
      <c r="W298" s="4" t="s">
        <v>1318</v>
      </c>
    </row>
    <row r="299" ht="14.5" spans="2:23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R299" s="4" t="s">
        <v>289</v>
      </c>
      <c r="S299" s="4" t="s">
        <v>58</v>
      </c>
      <c r="T299" s="4" t="s">
        <v>1319</v>
      </c>
      <c r="U299" s="4" t="s">
        <v>359</v>
      </c>
      <c r="V299" s="4" t="s">
        <v>161</v>
      </c>
      <c r="W299" s="4" t="s">
        <v>1320</v>
      </c>
    </row>
    <row r="300" ht="14.5" spans="2:23"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R300" s="4" t="s">
        <v>289</v>
      </c>
      <c r="S300" s="4" t="s">
        <v>58</v>
      </c>
      <c r="T300" s="4" t="s">
        <v>1321</v>
      </c>
      <c r="U300" s="4" t="s">
        <v>359</v>
      </c>
      <c r="V300" s="4" t="s">
        <v>161</v>
      </c>
      <c r="W300" s="4" t="s">
        <v>1322</v>
      </c>
    </row>
    <row r="301" ht="14.5" spans="2:23"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R301" s="4" t="s">
        <v>289</v>
      </c>
      <c r="S301" s="4" t="s">
        <v>58</v>
      </c>
      <c r="T301" s="4" t="s">
        <v>1323</v>
      </c>
      <c r="U301" s="4" t="s">
        <v>359</v>
      </c>
      <c r="V301" s="4" t="s">
        <v>161</v>
      </c>
      <c r="W301" s="4" t="s">
        <v>1324</v>
      </c>
    </row>
    <row r="302" ht="14.5" spans="2:23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R302" s="4" t="s">
        <v>289</v>
      </c>
      <c r="S302" s="4" t="s">
        <v>58</v>
      </c>
      <c r="T302" s="4" t="s">
        <v>1325</v>
      </c>
      <c r="U302" s="4" t="s">
        <v>359</v>
      </c>
      <c r="V302" s="4" t="s">
        <v>161</v>
      </c>
      <c r="W302" s="4" t="s">
        <v>1326</v>
      </c>
    </row>
    <row r="303" ht="14.5" spans="2:23"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R303" s="4" t="s">
        <v>289</v>
      </c>
      <c r="S303" s="4" t="s">
        <v>58</v>
      </c>
      <c r="T303" s="4" t="s">
        <v>1327</v>
      </c>
      <c r="U303" s="4" t="s">
        <v>359</v>
      </c>
      <c r="V303" s="4" t="s">
        <v>161</v>
      </c>
      <c r="W303" s="4" t="s">
        <v>1328</v>
      </c>
    </row>
    <row r="304" ht="14.5" spans="2:23"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R304" s="4" t="s">
        <v>289</v>
      </c>
      <c r="S304" s="4" t="s">
        <v>58</v>
      </c>
      <c r="T304" s="4" t="s">
        <v>1329</v>
      </c>
      <c r="U304" s="4" t="s">
        <v>359</v>
      </c>
      <c r="V304" s="4" t="s">
        <v>161</v>
      </c>
      <c r="W304" s="4" t="s">
        <v>1330</v>
      </c>
    </row>
    <row r="305" ht="14.5" spans="2:23"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R305" s="4" t="s">
        <v>289</v>
      </c>
      <c r="S305" s="4" t="s">
        <v>58</v>
      </c>
      <c r="T305" s="4" t="s">
        <v>1331</v>
      </c>
      <c r="U305" s="4" t="s">
        <v>359</v>
      </c>
      <c r="V305" s="4" t="s">
        <v>161</v>
      </c>
      <c r="W305" s="4" t="s">
        <v>1332</v>
      </c>
    </row>
    <row r="306" ht="14.5" spans="2:23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R306" s="4" t="s">
        <v>289</v>
      </c>
      <c r="S306" s="4" t="s">
        <v>58</v>
      </c>
      <c r="T306" s="4" t="s">
        <v>1333</v>
      </c>
      <c r="U306" s="4" t="s">
        <v>359</v>
      </c>
      <c r="V306" s="4" t="s">
        <v>161</v>
      </c>
      <c r="W306" s="4" t="s">
        <v>1334</v>
      </c>
    </row>
    <row r="307" ht="14.5" spans="2:23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R307" s="4" t="s">
        <v>289</v>
      </c>
      <c r="S307" s="4" t="s">
        <v>58</v>
      </c>
      <c r="T307" s="4" t="s">
        <v>1335</v>
      </c>
      <c r="U307" s="4" t="s">
        <v>359</v>
      </c>
      <c r="V307" s="4" t="s">
        <v>161</v>
      </c>
      <c r="W307" s="4" t="s">
        <v>1336</v>
      </c>
    </row>
    <row r="308" ht="14.5" spans="2:23"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R308" s="4" t="s">
        <v>289</v>
      </c>
      <c r="S308" s="4" t="s">
        <v>58</v>
      </c>
      <c r="T308" s="4" t="s">
        <v>1337</v>
      </c>
      <c r="U308" s="4" t="s">
        <v>359</v>
      </c>
      <c r="V308" s="4" t="s">
        <v>161</v>
      </c>
      <c r="W308" s="4" t="s">
        <v>1338</v>
      </c>
    </row>
    <row r="309" ht="14.5" spans="2:23"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R309" s="4" t="s">
        <v>289</v>
      </c>
      <c r="S309" s="4" t="s">
        <v>58</v>
      </c>
      <c r="T309" s="4" t="s">
        <v>1339</v>
      </c>
      <c r="U309" s="4" t="s">
        <v>359</v>
      </c>
      <c r="V309" s="4" t="s">
        <v>161</v>
      </c>
      <c r="W309" s="4" t="s">
        <v>1340</v>
      </c>
    </row>
    <row r="310" ht="14.5" spans="2:23"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R310" s="4" t="s">
        <v>289</v>
      </c>
      <c r="S310" s="4" t="s">
        <v>58</v>
      </c>
      <c r="T310" s="4" t="s">
        <v>1341</v>
      </c>
      <c r="U310" s="4" t="s">
        <v>359</v>
      </c>
      <c r="V310" s="4" t="s">
        <v>161</v>
      </c>
      <c r="W310" s="4" t="s">
        <v>1342</v>
      </c>
    </row>
    <row r="311" ht="14.5" spans="2:23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R311" s="4" t="s">
        <v>289</v>
      </c>
      <c r="S311" s="4" t="s">
        <v>58</v>
      </c>
      <c r="T311" s="4" t="s">
        <v>1343</v>
      </c>
      <c r="U311" s="4" t="s">
        <v>359</v>
      </c>
      <c r="V311" s="4" t="s">
        <v>161</v>
      </c>
      <c r="W311" s="4" t="s">
        <v>1344</v>
      </c>
    </row>
    <row r="312" ht="14.5" spans="2:23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R312" s="4" t="s">
        <v>289</v>
      </c>
      <c r="S312" s="4" t="s">
        <v>58</v>
      </c>
      <c r="T312" s="4" t="s">
        <v>1345</v>
      </c>
      <c r="U312" s="4" t="s">
        <v>359</v>
      </c>
      <c r="V312" s="4" t="s">
        <v>161</v>
      </c>
      <c r="W312" s="4" t="s">
        <v>1346</v>
      </c>
    </row>
    <row r="313" ht="14.5" spans="2:23"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R313" s="4" t="s">
        <v>289</v>
      </c>
      <c r="S313" s="4" t="s">
        <v>58</v>
      </c>
      <c r="T313" s="4" t="s">
        <v>1347</v>
      </c>
      <c r="U313" s="4" t="s">
        <v>359</v>
      </c>
      <c r="V313" s="4" t="s">
        <v>161</v>
      </c>
      <c r="W313" s="4" t="s">
        <v>1348</v>
      </c>
    </row>
    <row r="314" ht="14.5" spans="2:23"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R314" s="4" t="s">
        <v>289</v>
      </c>
      <c r="S314" s="4" t="s">
        <v>58</v>
      </c>
      <c r="T314" s="4" t="s">
        <v>1349</v>
      </c>
      <c r="U314" s="4" t="s">
        <v>359</v>
      </c>
      <c r="V314" s="4" t="s">
        <v>161</v>
      </c>
      <c r="W314" s="4" t="s">
        <v>1350</v>
      </c>
    </row>
    <row r="315" ht="14.5" spans="2:23"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R315" s="4" t="s">
        <v>289</v>
      </c>
      <c r="S315" s="4" t="s">
        <v>58</v>
      </c>
      <c r="T315" s="4" t="s">
        <v>1351</v>
      </c>
      <c r="U315" s="4" t="s">
        <v>359</v>
      </c>
      <c r="V315" s="4" t="s">
        <v>161</v>
      </c>
      <c r="W315" s="4" t="s">
        <v>1352</v>
      </c>
    </row>
    <row r="316" ht="14.5" spans="2:23"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R316" s="4" t="s">
        <v>289</v>
      </c>
      <c r="S316" s="4" t="s">
        <v>58</v>
      </c>
      <c r="T316" s="4" t="s">
        <v>1353</v>
      </c>
      <c r="U316" s="4" t="s">
        <v>359</v>
      </c>
      <c r="V316" s="4" t="s">
        <v>161</v>
      </c>
      <c r="W316" s="4" t="s">
        <v>1354</v>
      </c>
    </row>
    <row r="317" ht="14.5" spans="2:23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R317" s="4" t="s">
        <v>289</v>
      </c>
      <c r="S317" s="4" t="s">
        <v>58</v>
      </c>
      <c r="T317" s="4" t="s">
        <v>1355</v>
      </c>
      <c r="U317" s="4" t="s">
        <v>359</v>
      </c>
      <c r="V317" s="4" t="s">
        <v>161</v>
      </c>
      <c r="W317" s="4" t="s">
        <v>1356</v>
      </c>
    </row>
    <row r="318" ht="14.5" spans="2:23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R318" s="4" t="s">
        <v>289</v>
      </c>
      <c r="S318" s="4" t="s">
        <v>58</v>
      </c>
      <c r="T318" s="4" t="s">
        <v>1357</v>
      </c>
      <c r="U318" s="4" t="s">
        <v>359</v>
      </c>
      <c r="V318" s="4" t="s">
        <v>161</v>
      </c>
      <c r="W318" s="4" t="s">
        <v>1358</v>
      </c>
    </row>
    <row r="319" ht="14.5" spans="2:23"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R319" s="4" t="s">
        <v>289</v>
      </c>
      <c r="S319" s="4" t="s">
        <v>58</v>
      </c>
      <c r="T319" s="4" t="s">
        <v>1359</v>
      </c>
      <c r="U319" s="4" t="s">
        <v>359</v>
      </c>
      <c r="V319" s="4" t="s">
        <v>161</v>
      </c>
      <c r="W319" s="4" t="s">
        <v>1360</v>
      </c>
    </row>
    <row r="320" ht="14.5" spans="2:23"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R320" s="4" t="s">
        <v>289</v>
      </c>
      <c r="S320" s="4" t="s">
        <v>58</v>
      </c>
      <c r="T320" s="4" t="s">
        <v>1361</v>
      </c>
      <c r="U320" s="4" t="s">
        <v>359</v>
      </c>
      <c r="V320" s="4" t="s">
        <v>161</v>
      </c>
      <c r="W320" s="4" t="s">
        <v>1362</v>
      </c>
    </row>
    <row r="321" ht="14.5" spans="2:23"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R321" s="4" t="s">
        <v>289</v>
      </c>
      <c r="S321" s="4" t="s">
        <v>58</v>
      </c>
      <c r="T321" s="4" t="s">
        <v>1363</v>
      </c>
      <c r="U321" s="4" t="s">
        <v>359</v>
      </c>
      <c r="V321" s="4" t="s">
        <v>161</v>
      </c>
      <c r="W321" s="4" t="s">
        <v>1364</v>
      </c>
    </row>
    <row r="322" ht="14.5" spans="2:23"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R322" s="4" t="s">
        <v>289</v>
      </c>
      <c r="S322" s="4" t="s">
        <v>58</v>
      </c>
      <c r="T322" s="4" t="s">
        <v>1365</v>
      </c>
      <c r="U322" s="4" t="s">
        <v>359</v>
      </c>
      <c r="V322" s="4" t="s">
        <v>161</v>
      </c>
      <c r="W322" s="4" t="s">
        <v>1366</v>
      </c>
    </row>
    <row r="323" ht="14.5" spans="2:23"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R323" s="4" t="s">
        <v>289</v>
      </c>
      <c r="S323" s="4" t="s">
        <v>58</v>
      </c>
      <c r="T323" s="4" t="s">
        <v>1367</v>
      </c>
      <c r="U323" s="4" t="s">
        <v>359</v>
      </c>
      <c r="V323" s="4" t="s">
        <v>161</v>
      </c>
      <c r="W323" s="4" t="s">
        <v>1368</v>
      </c>
    </row>
    <row r="324" ht="14.5" spans="2:23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R324" s="4" t="s">
        <v>289</v>
      </c>
      <c r="S324" s="4" t="s">
        <v>58</v>
      </c>
      <c r="T324" s="4" t="s">
        <v>1369</v>
      </c>
      <c r="U324" s="4" t="s">
        <v>359</v>
      </c>
      <c r="V324" s="4" t="s">
        <v>161</v>
      </c>
      <c r="W324" s="4" t="s">
        <v>1370</v>
      </c>
    </row>
    <row r="325" ht="14.5" spans="2:23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R325" s="4" t="s">
        <v>289</v>
      </c>
      <c r="S325" s="4" t="s">
        <v>58</v>
      </c>
      <c r="T325" s="4" t="s">
        <v>1371</v>
      </c>
      <c r="U325" s="4" t="s">
        <v>359</v>
      </c>
      <c r="V325" s="4" t="s">
        <v>161</v>
      </c>
      <c r="W325" s="4" t="s">
        <v>1372</v>
      </c>
    </row>
    <row r="326" ht="14.5" spans="2:23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R326" s="4" t="s">
        <v>289</v>
      </c>
      <c r="S326" s="4" t="s">
        <v>58</v>
      </c>
      <c r="T326" s="4" t="s">
        <v>1373</v>
      </c>
      <c r="U326" s="4" t="s">
        <v>359</v>
      </c>
      <c r="V326" s="4" t="s">
        <v>161</v>
      </c>
      <c r="W326" s="4" t="s">
        <v>1374</v>
      </c>
    </row>
    <row r="327" ht="14.5" spans="2:23"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R327" s="4" t="s">
        <v>289</v>
      </c>
      <c r="S327" s="4" t="s">
        <v>58</v>
      </c>
      <c r="T327" s="4" t="s">
        <v>1375</v>
      </c>
      <c r="U327" s="4" t="s">
        <v>359</v>
      </c>
      <c r="V327" s="4" t="s">
        <v>161</v>
      </c>
      <c r="W327" s="4" t="s">
        <v>1376</v>
      </c>
    </row>
    <row r="328" ht="14.5" spans="2:23"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R328" s="4" t="s">
        <v>289</v>
      </c>
      <c r="S328" s="4" t="s">
        <v>58</v>
      </c>
      <c r="T328" s="4" t="s">
        <v>1377</v>
      </c>
      <c r="U328" s="4" t="s">
        <v>359</v>
      </c>
      <c r="V328" s="4" t="s">
        <v>161</v>
      </c>
      <c r="W328" s="4" t="s">
        <v>1378</v>
      </c>
    </row>
    <row r="329" ht="14.5" spans="2:23"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R329" s="4" t="s">
        <v>289</v>
      </c>
      <c r="S329" s="4" t="s">
        <v>58</v>
      </c>
      <c r="T329" s="4" t="s">
        <v>1379</v>
      </c>
      <c r="U329" s="4" t="s">
        <v>359</v>
      </c>
      <c r="V329" s="4" t="s">
        <v>161</v>
      </c>
      <c r="W329" s="4" t="s">
        <v>1380</v>
      </c>
    </row>
    <row r="330" ht="14.5" spans="2:23"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R330" s="4" t="s">
        <v>289</v>
      </c>
      <c r="S330" s="4" t="s">
        <v>58</v>
      </c>
      <c r="T330" s="4" t="s">
        <v>1381</v>
      </c>
      <c r="U330" s="4" t="s">
        <v>359</v>
      </c>
      <c r="V330" s="4" t="s">
        <v>161</v>
      </c>
      <c r="W330" s="4" t="s">
        <v>1382</v>
      </c>
    </row>
    <row r="331" ht="14.5" spans="2:23"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R331" s="4" t="s">
        <v>289</v>
      </c>
      <c r="S331" s="4" t="s">
        <v>58</v>
      </c>
      <c r="T331" s="4" t="s">
        <v>1383</v>
      </c>
      <c r="U331" s="4" t="s">
        <v>359</v>
      </c>
      <c r="V331" s="4" t="s">
        <v>161</v>
      </c>
      <c r="W331" s="4" t="s">
        <v>1384</v>
      </c>
    </row>
    <row r="332" ht="14.5" spans="2:23"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R332" s="4" t="s">
        <v>289</v>
      </c>
      <c r="S332" s="4" t="s">
        <v>58</v>
      </c>
      <c r="T332" s="4" t="s">
        <v>1385</v>
      </c>
      <c r="U332" s="4" t="s">
        <v>359</v>
      </c>
      <c r="V332" s="4" t="s">
        <v>161</v>
      </c>
      <c r="W332" s="4" t="s">
        <v>1386</v>
      </c>
    </row>
    <row r="333" ht="14.5" spans="2:23"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R333" s="4" t="s">
        <v>289</v>
      </c>
      <c r="S333" s="4" t="s">
        <v>58</v>
      </c>
      <c r="T333" s="4" t="s">
        <v>1387</v>
      </c>
      <c r="U333" s="4" t="s">
        <v>359</v>
      </c>
      <c r="V333" s="4" t="s">
        <v>161</v>
      </c>
      <c r="W333" s="4" t="s">
        <v>1388</v>
      </c>
    </row>
    <row r="334" ht="14.5" spans="2:23"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R334" s="4" t="s">
        <v>289</v>
      </c>
      <c r="S334" s="4" t="s">
        <v>58</v>
      </c>
      <c r="T334" s="4" t="s">
        <v>1389</v>
      </c>
      <c r="U334" s="4" t="s">
        <v>359</v>
      </c>
      <c r="V334" s="4" t="s">
        <v>161</v>
      </c>
      <c r="W334" s="4" t="s">
        <v>1390</v>
      </c>
    </row>
    <row r="335" ht="14.5" spans="2:23"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R335" s="4" t="s">
        <v>289</v>
      </c>
      <c r="S335" s="4" t="s">
        <v>58</v>
      </c>
      <c r="T335" s="4" t="s">
        <v>1391</v>
      </c>
      <c r="U335" s="4" t="s">
        <v>359</v>
      </c>
      <c r="V335" s="4" t="s">
        <v>161</v>
      </c>
      <c r="W335" s="4" t="s">
        <v>1392</v>
      </c>
    </row>
    <row r="336" ht="14.5" spans="2:23"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R336" s="4" t="s">
        <v>289</v>
      </c>
      <c r="S336" s="4" t="s">
        <v>58</v>
      </c>
      <c r="T336" s="4" t="s">
        <v>1393</v>
      </c>
      <c r="U336" s="4" t="s">
        <v>359</v>
      </c>
      <c r="V336" s="4" t="s">
        <v>161</v>
      </c>
      <c r="W336" s="4" t="s">
        <v>1394</v>
      </c>
    </row>
    <row r="337" ht="14.5" spans="2:23"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R337" s="4" t="s">
        <v>289</v>
      </c>
      <c r="S337" s="4" t="s">
        <v>58</v>
      </c>
      <c r="T337" s="4" t="s">
        <v>1395</v>
      </c>
      <c r="U337" s="4" t="s">
        <v>359</v>
      </c>
      <c r="V337" s="4" t="s">
        <v>161</v>
      </c>
      <c r="W337" s="4" t="s">
        <v>1396</v>
      </c>
    </row>
    <row r="338" ht="14.5" spans="2:23"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R338" s="4" t="s">
        <v>289</v>
      </c>
      <c r="S338" s="4" t="s">
        <v>58</v>
      </c>
      <c r="T338" s="4" t="s">
        <v>1397</v>
      </c>
      <c r="U338" s="4" t="s">
        <v>359</v>
      </c>
      <c r="V338" s="4" t="s">
        <v>161</v>
      </c>
      <c r="W338" s="4" t="s">
        <v>1398</v>
      </c>
    </row>
    <row r="339" ht="14.5" spans="2:23"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R339" s="4" t="s">
        <v>289</v>
      </c>
      <c r="S339" s="4" t="s">
        <v>58</v>
      </c>
      <c r="T339" s="4" t="s">
        <v>1399</v>
      </c>
      <c r="U339" s="4" t="s">
        <v>359</v>
      </c>
      <c r="V339" s="4" t="s">
        <v>161</v>
      </c>
      <c r="W339" s="4" t="s">
        <v>1400</v>
      </c>
    </row>
    <row r="340" ht="14.5" spans="2:23"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R340" s="4" t="s">
        <v>289</v>
      </c>
      <c r="S340" s="4" t="s">
        <v>58</v>
      </c>
      <c r="T340" s="4" t="s">
        <v>1401</v>
      </c>
      <c r="U340" s="4" t="s">
        <v>359</v>
      </c>
      <c r="V340" s="4" t="s">
        <v>161</v>
      </c>
      <c r="W340" s="4" t="s">
        <v>1402</v>
      </c>
    </row>
    <row r="341" ht="14.5" spans="2:23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R341" s="4" t="s">
        <v>289</v>
      </c>
      <c r="S341" s="4" t="s">
        <v>58</v>
      </c>
      <c r="T341" s="4" t="s">
        <v>1403</v>
      </c>
      <c r="U341" s="4" t="s">
        <v>359</v>
      </c>
      <c r="V341" s="4" t="s">
        <v>161</v>
      </c>
      <c r="W341" s="4" t="s">
        <v>1404</v>
      </c>
    </row>
    <row r="342" ht="14.5" spans="2:23"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R342" s="4" t="s">
        <v>289</v>
      </c>
      <c r="S342" s="4" t="s">
        <v>58</v>
      </c>
      <c r="T342" s="4" t="s">
        <v>1405</v>
      </c>
      <c r="U342" s="4" t="s">
        <v>359</v>
      </c>
      <c r="V342" s="4" t="s">
        <v>161</v>
      </c>
      <c r="W342" s="4" t="s">
        <v>1406</v>
      </c>
    </row>
    <row r="343" ht="14.5" spans="2:23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R343" s="4" t="s">
        <v>289</v>
      </c>
      <c r="S343" s="4" t="s">
        <v>58</v>
      </c>
      <c r="T343" s="4" t="s">
        <v>1407</v>
      </c>
      <c r="U343" s="4" t="s">
        <v>359</v>
      </c>
      <c r="V343" s="4" t="s">
        <v>161</v>
      </c>
      <c r="W343" s="4" t="s">
        <v>1408</v>
      </c>
    </row>
    <row r="344" ht="14.5" spans="2:23"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R344" s="4" t="s">
        <v>289</v>
      </c>
      <c r="S344" s="4" t="s">
        <v>58</v>
      </c>
      <c r="T344" s="4" t="s">
        <v>1409</v>
      </c>
      <c r="U344" s="4" t="s">
        <v>359</v>
      </c>
      <c r="V344" s="4" t="s">
        <v>161</v>
      </c>
      <c r="W344" s="4" t="s">
        <v>1410</v>
      </c>
    </row>
    <row r="345" ht="14.5" spans="2:23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R345" s="4" t="s">
        <v>289</v>
      </c>
      <c r="S345" s="4" t="s">
        <v>58</v>
      </c>
      <c r="T345" s="4" t="s">
        <v>1411</v>
      </c>
      <c r="U345" s="4" t="s">
        <v>359</v>
      </c>
      <c r="V345" s="4" t="s">
        <v>161</v>
      </c>
      <c r="W345" s="4" t="s">
        <v>1412</v>
      </c>
    </row>
    <row r="346" ht="14.5" spans="2:23"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R346" s="4" t="s">
        <v>289</v>
      </c>
      <c r="S346" s="4" t="s">
        <v>58</v>
      </c>
      <c r="T346" s="4" t="s">
        <v>1413</v>
      </c>
      <c r="U346" s="4" t="s">
        <v>359</v>
      </c>
      <c r="V346" s="4" t="s">
        <v>161</v>
      </c>
      <c r="W346" s="4" t="s">
        <v>1414</v>
      </c>
    </row>
    <row r="347" ht="14.5" spans="2:23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R347" s="4" t="s">
        <v>289</v>
      </c>
      <c r="S347" s="4" t="s">
        <v>58</v>
      </c>
      <c r="T347" s="4" t="s">
        <v>1415</v>
      </c>
      <c r="U347" s="4" t="s">
        <v>359</v>
      </c>
      <c r="V347" s="4" t="s">
        <v>161</v>
      </c>
      <c r="W347" s="4" t="s">
        <v>1416</v>
      </c>
    </row>
    <row r="348" ht="14.5" spans="2:23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R348" s="4" t="s">
        <v>289</v>
      </c>
      <c r="S348" s="4" t="s">
        <v>58</v>
      </c>
      <c r="T348" s="4" t="s">
        <v>1417</v>
      </c>
      <c r="U348" s="4" t="s">
        <v>359</v>
      </c>
      <c r="V348" s="4" t="s">
        <v>161</v>
      </c>
      <c r="W348" s="4" t="s">
        <v>1418</v>
      </c>
    </row>
    <row r="349" ht="14.5" spans="2:23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R349" s="4" t="s">
        <v>289</v>
      </c>
      <c r="S349" s="4" t="s">
        <v>58</v>
      </c>
      <c r="T349" s="4" t="s">
        <v>1419</v>
      </c>
      <c r="U349" s="4" t="s">
        <v>359</v>
      </c>
      <c r="V349" s="4" t="s">
        <v>161</v>
      </c>
      <c r="W349" s="4" t="s">
        <v>1420</v>
      </c>
    </row>
    <row r="350" ht="14.5" spans="2:23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R350" s="4" t="s">
        <v>289</v>
      </c>
      <c r="S350" s="4" t="s">
        <v>58</v>
      </c>
      <c r="T350" s="4" t="s">
        <v>1421</v>
      </c>
      <c r="U350" s="4" t="s">
        <v>359</v>
      </c>
      <c r="V350" s="4" t="s">
        <v>161</v>
      </c>
      <c r="W350" s="4" t="s">
        <v>1422</v>
      </c>
    </row>
    <row r="351" ht="14.5" spans="2:23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R351" s="4" t="s">
        <v>289</v>
      </c>
      <c r="S351" s="4" t="s">
        <v>58</v>
      </c>
      <c r="T351" s="4" t="s">
        <v>1423</v>
      </c>
      <c r="U351" s="4" t="s">
        <v>359</v>
      </c>
      <c r="V351" s="4" t="s">
        <v>161</v>
      </c>
      <c r="W351" s="4" t="s">
        <v>1424</v>
      </c>
    </row>
    <row r="352" ht="14.5" spans="2:23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R352" s="4" t="s">
        <v>289</v>
      </c>
      <c r="S352" s="4" t="s">
        <v>58</v>
      </c>
      <c r="T352" s="4" t="s">
        <v>1425</v>
      </c>
      <c r="U352" s="4" t="s">
        <v>359</v>
      </c>
      <c r="V352" s="4" t="s">
        <v>161</v>
      </c>
      <c r="W352" s="4" t="s">
        <v>1426</v>
      </c>
    </row>
    <row r="353" ht="14.5" spans="2:23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R353" s="4" t="s">
        <v>289</v>
      </c>
      <c r="S353" s="4" t="s">
        <v>58</v>
      </c>
      <c r="T353" s="4" t="s">
        <v>1427</v>
      </c>
      <c r="U353" s="4" t="s">
        <v>359</v>
      </c>
      <c r="V353" s="4" t="s">
        <v>161</v>
      </c>
      <c r="W353" s="4" t="s">
        <v>1428</v>
      </c>
    </row>
    <row r="354" ht="14.5" spans="2:23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R354" s="4" t="s">
        <v>289</v>
      </c>
      <c r="S354" s="4" t="s">
        <v>58</v>
      </c>
      <c r="T354" s="4" t="s">
        <v>1429</v>
      </c>
      <c r="U354" s="4" t="s">
        <v>359</v>
      </c>
      <c r="V354" s="4" t="s">
        <v>161</v>
      </c>
      <c r="W354" s="4" t="s">
        <v>1430</v>
      </c>
    </row>
    <row r="355" ht="14.5" spans="2:23"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R355" s="4" t="s">
        <v>289</v>
      </c>
      <c r="S355" s="4" t="s">
        <v>58</v>
      </c>
      <c r="T355" s="4" t="s">
        <v>1431</v>
      </c>
      <c r="U355" s="4" t="s">
        <v>359</v>
      </c>
      <c r="V355" s="4" t="s">
        <v>161</v>
      </c>
      <c r="W355" s="4" t="s">
        <v>1432</v>
      </c>
    </row>
    <row r="356" ht="14.5" spans="2:23"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R356" s="4" t="s">
        <v>289</v>
      </c>
      <c r="S356" s="4" t="s">
        <v>58</v>
      </c>
      <c r="T356" s="4" t="s">
        <v>1433</v>
      </c>
      <c r="U356" s="4" t="s">
        <v>359</v>
      </c>
      <c r="V356" s="4" t="s">
        <v>161</v>
      </c>
      <c r="W356" s="4" t="s">
        <v>1434</v>
      </c>
    </row>
    <row r="357" ht="14.5" spans="2:23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R357" s="4" t="s">
        <v>289</v>
      </c>
      <c r="S357" s="4" t="s">
        <v>58</v>
      </c>
      <c r="T357" s="4" t="s">
        <v>1435</v>
      </c>
      <c r="U357" s="4" t="s">
        <v>359</v>
      </c>
      <c r="V357" s="4" t="s">
        <v>161</v>
      </c>
      <c r="W357" s="4" t="s">
        <v>1436</v>
      </c>
    </row>
    <row r="358" ht="14.5" spans="2:23"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R358" s="4" t="s">
        <v>289</v>
      </c>
      <c r="S358" s="4" t="s">
        <v>58</v>
      </c>
      <c r="T358" s="4" t="s">
        <v>1437</v>
      </c>
      <c r="U358" s="4" t="s">
        <v>359</v>
      </c>
      <c r="V358" s="4" t="s">
        <v>161</v>
      </c>
      <c r="W358" s="4" t="s">
        <v>1438</v>
      </c>
    </row>
    <row r="359" ht="14.5" spans="2:23"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R359" s="4" t="s">
        <v>289</v>
      </c>
      <c r="S359" s="4" t="s">
        <v>58</v>
      </c>
      <c r="T359" s="4" t="s">
        <v>1439</v>
      </c>
      <c r="U359" s="4" t="s">
        <v>359</v>
      </c>
      <c r="V359" s="4" t="s">
        <v>161</v>
      </c>
      <c r="W359" s="4" t="s">
        <v>1440</v>
      </c>
    </row>
    <row r="360" ht="14.5" spans="2:23"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R360" s="4" t="s">
        <v>289</v>
      </c>
      <c r="S360" s="4" t="s">
        <v>58</v>
      </c>
      <c r="T360" s="4" t="s">
        <v>1441</v>
      </c>
      <c r="U360" s="4" t="s">
        <v>359</v>
      </c>
      <c r="V360" s="4" t="s">
        <v>161</v>
      </c>
      <c r="W360" s="4" t="s">
        <v>1442</v>
      </c>
    </row>
    <row r="361" ht="14.5" spans="2:23"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R361" s="4" t="s">
        <v>289</v>
      </c>
      <c r="S361" s="4" t="s">
        <v>58</v>
      </c>
      <c r="T361" s="4" t="s">
        <v>1443</v>
      </c>
      <c r="U361" s="4" t="s">
        <v>359</v>
      </c>
      <c r="V361" s="4" t="s">
        <v>161</v>
      </c>
      <c r="W361" s="4" t="s">
        <v>1444</v>
      </c>
    </row>
    <row r="362" ht="14.5" spans="2:23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R362" s="4" t="s">
        <v>289</v>
      </c>
      <c r="S362" s="4" t="s">
        <v>58</v>
      </c>
      <c r="T362" s="4" t="s">
        <v>1445</v>
      </c>
      <c r="U362" s="4" t="s">
        <v>359</v>
      </c>
      <c r="V362" s="4" t="s">
        <v>161</v>
      </c>
      <c r="W362" s="4" t="s">
        <v>1446</v>
      </c>
    </row>
    <row r="363" ht="14.5" spans="2:23"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R363" s="4" t="s">
        <v>289</v>
      </c>
      <c r="S363" s="4" t="s">
        <v>58</v>
      </c>
      <c r="T363" s="4" t="s">
        <v>1447</v>
      </c>
      <c r="U363" s="4" t="s">
        <v>359</v>
      </c>
      <c r="V363" s="4" t="s">
        <v>161</v>
      </c>
      <c r="W363" s="4" t="s">
        <v>1448</v>
      </c>
    </row>
    <row r="364" ht="14.5" spans="2:23"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R364" s="4" t="s">
        <v>289</v>
      </c>
      <c r="S364" s="4" t="s">
        <v>58</v>
      </c>
      <c r="T364" s="4" t="s">
        <v>1449</v>
      </c>
      <c r="U364" s="4" t="s">
        <v>359</v>
      </c>
      <c r="V364" s="4" t="s">
        <v>161</v>
      </c>
      <c r="W364" s="4" t="s">
        <v>1450</v>
      </c>
    </row>
    <row r="365" ht="14.5" spans="2:23"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R365" s="4" t="s">
        <v>289</v>
      </c>
      <c r="S365" s="4" t="s">
        <v>58</v>
      </c>
      <c r="T365" s="4" t="s">
        <v>1451</v>
      </c>
      <c r="U365" s="4" t="s">
        <v>359</v>
      </c>
      <c r="V365" s="4" t="s">
        <v>161</v>
      </c>
      <c r="W365" s="4" t="s">
        <v>1452</v>
      </c>
    </row>
    <row r="366" ht="14.5" spans="2:23"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R366" s="4" t="s">
        <v>289</v>
      </c>
      <c r="S366" s="4" t="s">
        <v>58</v>
      </c>
      <c r="T366" s="4" t="s">
        <v>1453</v>
      </c>
      <c r="U366" s="4" t="s">
        <v>359</v>
      </c>
      <c r="V366" s="4" t="s">
        <v>161</v>
      </c>
      <c r="W366" s="4" t="s">
        <v>1454</v>
      </c>
    </row>
    <row r="367" ht="14.5" spans="2:23"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R367" s="4" t="s">
        <v>289</v>
      </c>
      <c r="S367" s="4" t="s">
        <v>58</v>
      </c>
      <c r="T367" s="4" t="s">
        <v>1455</v>
      </c>
      <c r="U367" s="4" t="s">
        <v>359</v>
      </c>
      <c r="V367" s="4" t="s">
        <v>161</v>
      </c>
      <c r="W367" s="4" t="s">
        <v>1456</v>
      </c>
    </row>
    <row r="368" ht="14.5" spans="2:23"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R368" s="4" t="s">
        <v>289</v>
      </c>
      <c r="S368" s="4" t="s">
        <v>58</v>
      </c>
      <c r="T368" s="4" t="s">
        <v>1457</v>
      </c>
      <c r="U368" s="4" t="s">
        <v>359</v>
      </c>
      <c r="V368" s="4" t="s">
        <v>161</v>
      </c>
      <c r="W368" s="4" t="s">
        <v>1458</v>
      </c>
    </row>
    <row r="369" ht="14.5" spans="2:23"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R369" s="4" t="s">
        <v>289</v>
      </c>
      <c r="S369" s="4" t="s">
        <v>58</v>
      </c>
      <c r="T369" s="4" t="s">
        <v>1459</v>
      </c>
      <c r="U369" s="4" t="s">
        <v>359</v>
      </c>
      <c r="V369" s="4" t="s">
        <v>161</v>
      </c>
      <c r="W369" s="4" t="s">
        <v>1460</v>
      </c>
    </row>
    <row r="370" ht="14.5" spans="2:23"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R370" s="4" t="s">
        <v>289</v>
      </c>
      <c r="S370" s="4" t="s">
        <v>58</v>
      </c>
      <c r="T370" s="4" t="s">
        <v>1461</v>
      </c>
      <c r="U370" s="4" t="s">
        <v>359</v>
      </c>
      <c r="V370" s="4" t="s">
        <v>161</v>
      </c>
      <c r="W370" s="4" t="s">
        <v>1462</v>
      </c>
    </row>
    <row r="371" ht="14.5" spans="2:23"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R371" s="4" t="s">
        <v>289</v>
      </c>
      <c r="S371" s="4" t="s">
        <v>58</v>
      </c>
      <c r="T371" s="4" t="s">
        <v>1463</v>
      </c>
      <c r="U371" s="4" t="s">
        <v>359</v>
      </c>
      <c r="V371" s="4" t="s">
        <v>161</v>
      </c>
      <c r="W371" s="4" t="s">
        <v>1464</v>
      </c>
    </row>
    <row r="372" ht="14.5" spans="2:23"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R372" s="4" t="s">
        <v>289</v>
      </c>
      <c r="S372" s="4" t="s">
        <v>59</v>
      </c>
      <c r="T372" s="4" t="s">
        <v>1465</v>
      </c>
      <c r="U372" s="4" t="s">
        <v>359</v>
      </c>
      <c r="V372" s="4" t="s">
        <v>161</v>
      </c>
      <c r="W372" s="4" t="s">
        <v>1466</v>
      </c>
    </row>
    <row r="373" ht="14.5" spans="2:23"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R373" s="4" t="s">
        <v>289</v>
      </c>
      <c r="S373" s="4" t="s">
        <v>59</v>
      </c>
      <c r="T373" s="4" t="s">
        <v>1467</v>
      </c>
      <c r="U373" s="4" t="s">
        <v>359</v>
      </c>
      <c r="V373" s="4" t="s">
        <v>161</v>
      </c>
      <c r="W373" s="4" t="s">
        <v>1468</v>
      </c>
    </row>
    <row r="374" ht="14.5" spans="2:23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R374" s="4" t="s">
        <v>289</v>
      </c>
      <c r="S374" s="4" t="s">
        <v>59</v>
      </c>
      <c r="T374" s="4" t="s">
        <v>1469</v>
      </c>
      <c r="U374" s="4" t="s">
        <v>359</v>
      </c>
      <c r="V374" s="4" t="s">
        <v>161</v>
      </c>
      <c r="W374" s="4" t="s">
        <v>1470</v>
      </c>
    </row>
    <row r="375" ht="14.5" spans="2:23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R375" s="4" t="s">
        <v>289</v>
      </c>
      <c r="S375" s="4" t="s">
        <v>59</v>
      </c>
      <c r="T375" s="4" t="s">
        <v>1471</v>
      </c>
      <c r="U375" s="4" t="s">
        <v>359</v>
      </c>
      <c r="V375" s="4" t="s">
        <v>161</v>
      </c>
      <c r="W375" s="4" t="s">
        <v>1472</v>
      </c>
    </row>
    <row r="376" ht="14.5" spans="2:23"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R376" s="4" t="s">
        <v>289</v>
      </c>
      <c r="S376" s="4" t="s">
        <v>60</v>
      </c>
      <c r="T376" s="4" t="s">
        <v>1473</v>
      </c>
      <c r="U376" s="4" t="s">
        <v>359</v>
      </c>
      <c r="V376" s="4" t="s">
        <v>161</v>
      </c>
      <c r="W376" s="4" t="s">
        <v>1474</v>
      </c>
    </row>
    <row r="377" ht="14.5" spans="2:23"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R377" s="4" t="s">
        <v>289</v>
      </c>
      <c r="S377" s="4" t="s">
        <v>60</v>
      </c>
      <c r="T377" s="4" t="s">
        <v>1475</v>
      </c>
      <c r="U377" s="4" t="s">
        <v>359</v>
      </c>
      <c r="V377" s="4" t="s">
        <v>161</v>
      </c>
      <c r="W377" s="4" t="s">
        <v>1476</v>
      </c>
    </row>
    <row r="378" ht="14.5" spans="2:23"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R378" s="4" t="s">
        <v>289</v>
      </c>
      <c r="S378" s="4" t="s">
        <v>61</v>
      </c>
      <c r="T378" s="4" t="s">
        <v>1477</v>
      </c>
      <c r="U378" s="4" t="s">
        <v>359</v>
      </c>
      <c r="V378" s="4" t="s">
        <v>161</v>
      </c>
      <c r="W378" s="4" t="s">
        <v>1478</v>
      </c>
    </row>
    <row r="379" ht="14.5" spans="2:23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R379" s="4" t="s">
        <v>289</v>
      </c>
      <c r="S379" s="4" t="s">
        <v>61</v>
      </c>
      <c r="T379" s="4" t="s">
        <v>1479</v>
      </c>
      <c r="U379" s="4" t="s">
        <v>359</v>
      </c>
      <c r="V379" s="4" t="s">
        <v>161</v>
      </c>
      <c r="W379" s="4" t="s">
        <v>1480</v>
      </c>
    </row>
    <row r="380" ht="14.5" spans="2:23"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R380" s="4" t="s">
        <v>289</v>
      </c>
      <c r="S380" s="4" t="s">
        <v>62</v>
      </c>
      <c r="T380" s="4" t="s">
        <v>1481</v>
      </c>
      <c r="U380" s="4" t="s">
        <v>359</v>
      </c>
      <c r="V380" s="4" t="s">
        <v>161</v>
      </c>
      <c r="W380" s="4" t="s">
        <v>1482</v>
      </c>
    </row>
    <row r="381" ht="14.5" spans="2:23"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R381" s="4" t="s">
        <v>289</v>
      </c>
      <c r="S381" s="4" t="s">
        <v>62</v>
      </c>
      <c r="T381" s="4" t="s">
        <v>1483</v>
      </c>
      <c r="U381" s="4" t="s">
        <v>359</v>
      </c>
      <c r="V381" s="4" t="s">
        <v>161</v>
      </c>
      <c r="W381" s="4" t="s">
        <v>1484</v>
      </c>
    </row>
    <row r="382" ht="14.5" spans="2:23"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R382" s="4" t="s">
        <v>289</v>
      </c>
      <c r="S382" s="4" t="s">
        <v>62</v>
      </c>
      <c r="T382" s="4" t="s">
        <v>1485</v>
      </c>
      <c r="U382" s="4" t="s">
        <v>359</v>
      </c>
      <c r="V382" s="4" t="s">
        <v>161</v>
      </c>
      <c r="W382" s="4" t="s">
        <v>1486</v>
      </c>
    </row>
    <row r="383" ht="14.5" spans="2:23"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R383" s="4" t="s">
        <v>289</v>
      </c>
      <c r="S383" s="4" t="s">
        <v>62</v>
      </c>
      <c r="T383" s="4" t="s">
        <v>1487</v>
      </c>
      <c r="U383" s="4" t="s">
        <v>359</v>
      </c>
      <c r="V383" s="4" t="s">
        <v>161</v>
      </c>
      <c r="W383" s="4" t="s">
        <v>1488</v>
      </c>
    </row>
    <row r="384" ht="14.5" spans="2:23"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R384" s="4" t="s">
        <v>289</v>
      </c>
      <c r="S384" s="4" t="s">
        <v>63</v>
      </c>
      <c r="T384" s="4" t="s">
        <v>1489</v>
      </c>
      <c r="U384" s="4" t="s">
        <v>359</v>
      </c>
      <c r="V384" s="4" t="s">
        <v>161</v>
      </c>
      <c r="W384" s="4" t="s">
        <v>1490</v>
      </c>
    </row>
    <row r="385" ht="14.5" spans="2:23"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R385" s="4" t="s">
        <v>289</v>
      </c>
      <c r="S385" s="4" t="s">
        <v>63</v>
      </c>
      <c r="T385" s="4" t="s">
        <v>1491</v>
      </c>
      <c r="U385" s="4" t="s">
        <v>359</v>
      </c>
      <c r="V385" s="4" t="s">
        <v>161</v>
      </c>
      <c r="W385" s="4" t="s">
        <v>1492</v>
      </c>
    </row>
    <row r="386" ht="14.5" spans="2:23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R386" s="4" t="s">
        <v>289</v>
      </c>
      <c r="S386" s="4" t="s">
        <v>63</v>
      </c>
      <c r="T386" s="4" t="s">
        <v>1493</v>
      </c>
      <c r="U386" s="4" t="s">
        <v>359</v>
      </c>
      <c r="V386" s="4" t="s">
        <v>161</v>
      </c>
      <c r="W386" s="4" t="s">
        <v>1494</v>
      </c>
    </row>
    <row r="387" ht="14.5" spans="2:23"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R387" s="4" t="s">
        <v>289</v>
      </c>
      <c r="S387" s="4" t="s">
        <v>63</v>
      </c>
      <c r="T387" s="4" t="s">
        <v>1495</v>
      </c>
      <c r="U387" s="4" t="s">
        <v>359</v>
      </c>
      <c r="V387" s="4" t="s">
        <v>161</v>
      </c>
      <c r="W387" s="4" t="s">
        <v>1496</v>
      </c>
    </row>
    <row r="388" ht="14.5" spans="2:23"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R388" s="4" t="s">
        <v>289</v>
      </c>
      <c r="S388" s="4" t="s">
        <v>63</v>
      </c>
      <c r="T388" s="4" t="s">
        <v>1497</v>
      </c>
      <c r="U388" s="4" t="s">
        <v>359</v>
      </c>
      <c r="V388" s="4" t="s">
        <v>161</v>
      </c>
      <c r="W388" s="4" t="s">
        <v>1498</v>
      </c>
    </row>
    <row r="389" ht="14.5" spans="2:23"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R389" s="4" t="s">
        <v>289</v>
      </c>
      <c r="S389" s="4" t="s">
        <v>63</v>
      </c>
      <c r="T389" s="4" t="s">
        <v>1499</v>
      </c>
      <c r="U389" s="4" t="s">
        <v>359</v>
      </c>
      <c r="V389" s="4" t="s">
        <v>161</v>
      </c>
      <c r="W389" s="4" t="s">
        <v>1500</v>
      </c>
    </row>
    <row r="390" ht="14.5" spans="2:23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R390" s="4" t="s">
        <v>289</v>
      </c>
      <c r="S390" s="4" t="s">
        <v>64</v>
      </c>
      <c r="T390" s="4" t="s">
        <v>1501</v>
      </c>
      <c r="U390" s="4" t="s">
        <v>359</v>
      </c>
      <c r="V390" s="4" t="s">
        <v>161</v>
      </c>
      <c r="W390" s="4" t="s">
        <v>1502</v>
      </c>
    </row>
    <row r="391" ht="14.5" spans="2:23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R391" s="4" t="s">
        <v>289</v>
      </c>
      <c r="S391" s="4" t="s">
        <v>64</v>
      </c>
      <c r="T391" s="4" t="s">
        <v>1503</v>
      </c>
      <c r="U391" s="4" t="s">
        <v>359</v>
      </c>
      <c r="V391" s="4" t="s">
        <v>161</v>
      </c>
      <c r="W391" s="4" t="s">
        <v>1504</v>
      </c>
    </row>
    <row r="392" ht="14.5" spans="2:23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R392" s="4" t="s">
        <v>289</v>
      </c>
      <c r="S392" s="4" t="s">
        <v>65</v>
      </c>
      <c r="T392" s="4" t="s">
        <v>1505</v>
      </c>
      <c r="U392" s="4" t="s">
        <v>359</v>
      </c>
      <c r="V392" s="4" t="s">
        <v>161</v>
      </c>
      <c r="W392" s="4" t="s">
        <v>1506</v>
      </c>
    </row>
    <row r="393" ht="14.5" spans="2:23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R393" s="4" t="s">
        <v>289</v>
      </c>
      <c r="S393" s="4" t="s">
        <v>65</v>
      </c>
      <c r="T393" s="4" t="s">
        <v>1507</v>
      </c>
      <c r="U393" s="4" t="s">
        <v>359</v>
      </c>
      <c r="V393" s="4" t="s">
        <v>161</v>
      </c>
      <c r="W393" s="4" t="s">
        <v>1508</v>
      </c>
    </row>
    <row r="394" ht="14.5" spans="2:23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R394" s="4" t="s">
        <v>289</v>
      </c>
      <c r="S394" s="4" t="s">
        <v>66</v>
      </c>
      <c r="T394" s="4" t="s">
        <v>1509</v>
      </c>
      <c r="U394" s="4" t="s">
        <v>359</v>
      </c>
      <c r="V394" s="4" t="s">
        <v>161</v>
      </c>
      <c r="W394" s="4" t="s">
        <v>1510</v>
      </c>
    </row>
    <row r="395" ht="14.5" spans="2:23"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R395" s="4" t="s">
        <v>289</v>
      </c>
      <c r="S395" s="4" t="s">
        <v>66</v>
      </c>
      <c r="T395" s="4" t="s">
        <v>1511</v>
      </c>
      <c r="U395" s="4" t="s">
        <v>359</v>
      </c>
      <c r="V395" s="4" t="s">
        <v>161</v>
      </c>
      <c r="W395" s="4" t="s">
        <v>1512</v>
      </c>
    </row>
    <row r="396" ht="14.5" spans="2:23"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R396" s="4" t="s">
        <v>289</v>
      </c>
      <c r="S396" s="4" t="s">
        <v>67</v>
      </c>
      <c r="T396" s="4" t="s">
        <v>1513</v>
      </c>
      <c r="U396" s="4" t="s">
        <v>359</v>
      </c>
      <c r="V396" s="4" t="s">
        <v>161</v>
      </c>
      <c r="W396" s="4" t="s">
        <v>1514</v>
      </c>
    </row>
    <row r="397" ht="14.5" spans="2:23"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R397" s="4" t="s">
        <v>289</v>
      </c>
      <c r="S397" s="4" t="s">
        <v>67</v>
      </c>
      <c r="T397" s="4" t="s">
        <v>1515</v>
      </c>
      <c r="U397" s="4" t="s">
        <v>359</v>
      </c>
      <c r="V397" s="4" t="s">
        <v>161</v>
      </c>
      <c r="W397" s="4" t="s">
        <v>1516</v>
      </c>
    </row>
    <row r="398" ht="14.5" spans="2:23"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R398" s="4" t="s">
        <v>289</v>
      </c>
      <c r="S398" s="4" t="s">
        <v>67</v>
      </c>
      <c r="T398" s="4" t="s">
        <v>1517</v>
      </c>
      <c r="U398" s="4" t="s">
        <v>359</v>
      </c>
      <c r="V398" s="4" t="s">
        <v>161</v>
      </c>
      <c r="W398" s="4" t="s">
        <v>1518</v>
      </c>
    </row>
    <row r="399" ht="14.5" spans="2:23"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R399" s="4" t="s">
        <v>289</v>
      </c>
      <c r="S399" s="4" t="s">
        <v>67</v>
      </c>
      <c r="T399" s="4" t="s">
        <v>1519</v>
      </c>
      <c r="U399" s="4" t="s">
        <v>359</v>
      </c>
      <c r="V399" s="4" t="s">
        <v>161</v>
      </c>
      <c r="W399" s="4" t="s">
        <v>1520</v>
      </c>
    </row>
    <row r="400" ht="14.5" spans="2:23"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R400" s="4" t="s">
        <v>289</v>
      </c>
      <c r="S400" s="4" t="s">
        <v>68</v>
      </c>
      <c r="T400" s="4" t="s">
        <v>1521</v>
      </c>
      <c r="U400" s="4" t="s">
        <v>359</v>
      </c>
      <c r="V400" s="4" t="s">
        <v>161</v>
      </c>
      <c r="W400" s="4" t="s">
        <v>1522</v>
      </c>
    </row>
    <row r="401" ht="14.5" spans="2:23"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R401" s="4" t="s">
        <v>289</v>
      </c>
      <c r="S401" s="4" t="s">
        <v>68</v>
      </c>
      <c r="T401" s="4" t="s">
        <v>1523</v>
      </c>
      <c r="U401" s="4" t="s">
        <v>359</v>
      </c>
      <c r="V401" s="4" t="s">
        <v>161</v>
      </c>
      <c r="W401" s="4" t="s">
        <v>1524</v>
      </c>
    </row>
    <row r="402" ht="14.5" spans="2:23"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R402" s="4" t="s">
        <v>289</v>
      </c>
      <c r="S402" s="4" t="s">
        <v>68</v>
      </c>
      <c r="T402" s="4" t="s">
        <v>1525</v>
      </c>
      <c r="U402" s="4" t="s">
        <v>359</v>
      </c>
      <c r="V402" s="4" t="s">
        <v>161</v>
      </c>
      <c r="W402" s="4" t="s">
        <v>1526</v>
      </c>
    </row>
    <row r="403" ht="14.5" spans="2:23"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R403" s="4" t="s">
        <v>289</v>
      </c>
      <c r="S403" s="4" t="s">
        <v>68</v>
      </c>
      <c r="T403" s="4" t="s">
        <v>1527</v>
      </c>
      <c r="U403" s="4" t="s">
        <v>359</v>
      </c>
      <c r="V403" s="4" t="s">
        <v>161</v>
      </c>
      <c r="W403" s="4" t="s">
        <v>1528</v>
      </c>
    </row>
    <row r="404" ht="14.5" spans="2:23"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R404" s="4" t="s">
        <v>289</v>
      </c>
      <c r="S404" s="4" t="s">
        <v>68</v>
      </c>
      <c r="T404" s="4" t="s">
        <v>1529</v>
      </c>
      <c r="U404" s="4" t="s">
        <v>359</v>
      </c>
      <c r="V404" s="4" t="s">
        <v>161</v>
      </c>
      <c r="W404" s="4" t="s">
        <v>1530</v>
      </c>
    </row>
    <row r="405" ht="14.5" spans="2:23"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R405" s="4" t="s">
        <v>289</v>
      </c>
      <c r="S405" s="4" t="s">
        <v>68</v>
      </c>
      <c r="T405" s="4" t="s">
        <v>1531</v>
      </c>
      <c r="U405" s="4" t="s">
        <v>359</v>
      </c>
      <c r="V405" s="4" t="s">
        <v>161</v>
      </c>
      <c r="W405" s="4" t="s">
        <v>1532</v>
      </c>
    </row>
    <row r="406" ht="14.5" spans="2:23"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R406" s="4" t="s">
        <v>289</v>
      </c>
      <c r="S406" s="4" t="s">
        <v>68</v>
      </c>
      <c r="T406" s="4" t="s">
        <v>1533</v>
      </c>
      <c r="U406" s="4" t="s">
        <v>359</v>
      </c>
      <c r="V406" s="4" t="s">
        <v>161</v>
      </c>
      <c r="W406" s="4" t="s">
        <v>1534</v>
      </c>
    </row>
    <row r="407" ht="14.5" spans="2:23"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R407" s="4" t="s">
        <v>289</v>
      </c>
      <c r="S407" s="4" t="s">
        <v>68</v>
      </c>
      <c r="T407" s="4" t="s">
        <v>1535</v>
      </c>
      <c r="U407" s="4" t="s">
        <v>359</v>
      </c>
      <c r="V407" s="4" t="s">
        <v>161</v>
      </c>
      <c r="W407" s="4" t="s">
        <v>1536</v>
      </c>
    </row>
    <row r="408" ht="14.5" spans="2:23"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R408" s="4" t="s">
        <v>289</v>
      </c>
      <c r="S408" s="4" t="s">
        <v>68</v>
      </c>
      <c r="T408" s="4" t="s">
        <v>1537</v>
      </c>
      <c r="U408" s="4" t="s">
        <v>359</v>
      </c>
      <c r="V408" s="4" t="s">
        <v>161</v>
      </c>
      <c r="W408" s="4" t="s">
        <v>1538</v>
      </c>
    </row>
    <row r="409" ht="14.5" spans="2:23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R409" s="4" t="s">
        <v>289</v>
      </c>
      <c r="S409" s="4" t="s">
        <v>68</v>
      </c>
      <c r="T409" s="4" t="s">
        <v>1539</v>
      </c>
      <c r="U409" s="4" t="s">
        <v>359</v>
      </c>
      <c r="V409" s="4" t="s">
        <v>161</v>
      </c>
      <c r="W409" s="4" t="s">
        <v>1540</v>
      </c>
    </row>
    <row r="410" ht="14.5" spans="2:23"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R410" s="4" t="s">
        <v>289</v>
      </c>
      <c r="S410" s="4" t="s">
        <v>68</v>
      </c>
      <c r="T410" s="4" t="s">
        <v>1541</v>
      </c>
      <c r="U410" s="4" t="s">
        <v>359</v>
      </c>
      <c r="V410" s="4" t="s">
        <v>161</v>
      </c>
      <c r="W410" s="4" t="s">
        <v>1542</v>
      </c>
    </row>
    <row r="411" ht="14.5" spans="2:23"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R411" s="4" t="s">
        <v>289</v>
      </c>
      <c r="S411" s="4" t="s">
        <v>68</v>
      </c>
      <c r="T411" s="4" t="s">
        <v>1543</v>
      </c>
      <c r="U411" s="4" t="s">
        <v>359</v>
      </c>
      <c r="V411" s="4" t="s">
        <v>161</v>
      </c>
      <c r="W411" s="4" t="s">
        <v>1544</v>
      </c>
    </row>
    <row r="412" ht="14.5" spans="2:14"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</row>
    <row r="413" ht="14.5" spans="2:14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</row>
    <row r="414" ht="14.5" spans="2:14"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</row>
    <row r="415" ht="14.5" spans="2:14"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</row>
    <row r="416" ht="14.5" spans="2:14"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</row>
    <row r="417" ht="14.5" spans="2:14"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</row>
    <row r="418" ht="14.5" spans="2:14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</row>
    <row r="419" ht="14.5" spans="2:14"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</row>
    <row r="420" ht="14.5" spans="2:14"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</row>
    <row r="421" ht="14.5" spans="2:14"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</row>
    <row r="422" ht="14.5" spans="2:14"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</row>
    <row r="423" ht="14.5" spans="2:14"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</row>
    <row r="424" ht="14.5" spans="2:14"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</row>
    <row r="425" ht="14.5" spans="2:14"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</row>
    <row r="426" ht="14.5" spans="2:14"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</row>
    <row r="427" ht="14.5" spans="2:14"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</row>
    <row r="428" ht="14.5" spans="2:14"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</row>
    <row r="429" ht="14.5" spans="2:14"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</row>
    <row r="430" ht="14.5" spans="2:14"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</row>
    <row r="431" ht="14.5" spans="2:14"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</row>
    <row r="432" ht="14.5" spans="2:14"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</row>
    <row r="433" ht="14.5" spans="2:14"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</row>
    <row r="434" ht="14.5" spans="2:14"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</row>
    <row r="435" ht="14.5" spans="2:14"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</row>
    <row r="436" ht="14.5" spans="2:14"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</row>
    <row r="437" ht="14.5" spans="2:14"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</row>
    <row r="438" ht="14.5" spans="2:14"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</row>
    <row r="439" ht="14.5" spans="2:14"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</row>
    <row r="440" ht="14.5" spans="2:14"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</row>
    <row r="441" ht="14.5" spans="2:14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</row>
    <row r="442" ht="14.5" spans="2:14"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</row>
    <row r="443" ht="14.5" spans="2:14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</row>
    <row r="444" ht="14.5" spans="2:14"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</row>
    <row r="445" ht="14.5" spans="2:14"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</row>
    <row r="446" ht="14.5" spans="2:14"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</row>
    <row r="447" ht="14.5" spans="2:14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</row>
    <row r="448" ht="14.5" spans="2:14"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</row>
    <row r="449" ht="14.5" spans="2:14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</row>
    <row r="450" ht="14.5" spans="2:14"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</row>
    <row r="451" ht="14.5" spans="2:14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</row>
    <row r="452" ht="14.5" spans="2:14"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</row>
    <row r="453" ht="14.5" spans="2:14"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</row>
    <row r="454" ht="14.5" spans="2:14"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</row>
    <row r="455" ht="14.5" spans="2:14"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</row>
    <row r="456" ht="14.5" spans="2:14"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</row>
    <row r="457" ht="14.5" spans="2:14"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</row>
    <row r="458" ht="14.5" spans="2:14"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</row>
    <row r="459" ht="14.5" spans="2:14"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</row>
    <row r="460" ht="14.5" spans="2:14"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</row>
    <row r="461" ht="14.5" spans="2:14"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</row>
    <row r="462" ht="14.5" spans="2:14"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</row>
    <row r="463" ht="14.5" spans="2:14"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</row>
    <row r="464" ht="14.5" spans="2:14"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</row>
    <row r="465" ht="14.5" spans="2:14"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</row>
    <row r="466" ht="14.5" spans="2:14"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</row>
    <row r="467" ht="14.5" spans="2:14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</row>
    <row r="468" ht="14.5" spans="2:14"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</row>
    <row r="469" ht="14.5" spans="2:14"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</row>
    <row r="470" ht="14.5" spans="2:14"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</row>
    <row r="471" ht="14.5" spans="2:14"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</row>
    <row r="472" ht="14.5" spans="2:14"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</row>
    <row r="473" ht="14.5" spans="2:14"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</row>
    <row r="474" ht="14.5" spans="2:14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</row>
    <row r="475" ht="14.5" spans="2:14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</row>
    <row r="476" ht="14.5" spans="2:14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</row>
    <row r="477" ht="14.5" spans="2:14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</row>
    <row r="478" ht="14.5" spans="2:14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</row>
    <row r="479" ht="14.5" spans="2:14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</row>
    <row r="480" ht="14.5" spans="2:14"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</row>
    <row r="481" ht="14.5" spans="2:14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</row>
    <row r="482" ht="14.5" spans="2:14"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</row>
    <row r="483" ht="14.5" spans="2:14"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</row>
    <row r="484" ht="14.5" spans="2:14"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</row>
    <row r="485" ht="14.5" spans="2:14"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</row>
    <row r="486" ht="14.5" spans="2:14"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</row>
    <row r="487" ht="14.5" spans="2:14"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</row>
    <row r="488" ht="14.5" spans="2:14"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</row>
    <row r="489" ht="14.5" spans="2:14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</row>
    <row r="490" ht="14.5" spans="2:14"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</row>
    <row r="491" ht="14.5" spans="2:14"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</row>
    <row r="492" ht="14.5" spans="2:14"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</row>
    <row r="493" ht="14.5" spans="2:14"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</row>
    <row r="494" ht="14.5" spans="2:14"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</row>
    <row r="495" ht="14.5" spans="2:14"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</row>
    <row r="496" ht="14.5" spans="2:14"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</row>
    <row r="497" ht="14.5" spans="2:14"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</row>
    <row r="498" ht="14.5" spans="2:14"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</row>
    <row r="499" ht="14.5" spans="2:14"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</row>
    <row r="500" ht="14.5" spans="2:14"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</row>
    <row r="501" ht="14.5" spans="2:14"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</row>
    <row r="502" ht="14.5" spans="2:14"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</row>
    <row r="503" ht="14.5" spans="2:14"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</row>
    <row r="504" ht="14.5" spans="2:14"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</row>
    <row r="505" ht="14.5" spans="2:14"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</row>
    <row r="506" ht="14.5" spans="2:14"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</row>
    <row r="507" ht="14.5" spans="2:14"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</row>
    <row r="508" ht="14.5" spans="2:14"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</row>
    <row r="509" ht="14.5" spans="2:14"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</row>
    <row r="510" ht="14.5" spans="2:14"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</row>
    <row r="511" ht="14.5" spans="2:14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</row>
    <row r="512" ht="14.5" spans="2:14"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</row>
    <row r="513" ht="14.5" spans="2:14"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</row>
    <row r="514" ht="14.5" spans="2:14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</row>
    <row r="515" ht="14.5" spans="2:14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</row>
    <row r="516" ht="14.5" spans="2:14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</row>
    <row r="517" ht="14.5" spans="2:14"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</row>
    <row r="518" ht="14.5" spans="2:14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</row>
    <row r="519" ht="14.5" spans="2:14"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</row>
    <row r="520" ht="14.5" spans="2:14"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</row>
    <row r="521" ht="14.5" spans="2:14"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</row>
    <row r="522" ht="14.5" spans="2:14"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</row>
    <row r="523" ht="14.5" spans="2:14"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</row>
    <row r="524" ht="14.5" spans="2:14"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</row>
    <row r="525" ht="14.5" spans="2:14"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</row>
    <row r="526" ht="14.5" spans="2:14"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</row>
    <row r="527" ht="14.5" spans="2:14"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</row>
    <row r="528" ht="14.5" spans="2:14"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</row>
    <row r="529" ht="14.5" spans="2:14"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</row>
    <row r="530" ht="14.5" spans="2:14"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</row>
    <row r="531" ht="14.5" spans="2:14"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</row>
    <row r="532" ht="14.5" spans="2:14"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</row>
    <row r="533" ht="14.5" spans="2:14"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</row>
    <row r="534" ht="14.5" spans="2:14"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</row>
    <row r="535" ht="14.5" spans="2:14"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</row>
    <row r="536" ht="14.5" spans="2:14"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</row>
    <row r="537" ht="14.5" spans="2:14"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</row>
    <row r="538" ht="14.5" spans="2:14"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</row>
    <row r="539" ht="14.5" spans="2:14"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</row>
    <row r="540" ht="14.5" spans="2:14"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</row>
    <row r="541" ht="14.5" spans="2:14"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</row>
    <row r="542" ht="14.5" spans="2:14"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</row>
    <row r="543" ht="14.5" spans="2:14"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</row>
    <row r="544" ht="14.5" spans="2:14"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</row>
    <row r="545" ht="14.5" spans="2:14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</row>
    <row r="546" ht="14.5" spans="2:14"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</row>
    <row r="547" ht="14.5" spans="2:14"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</row>
    <row r="548" ht="14.5" spans="2:14"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</row>
    <row r="549" ht="14.5" spans="2:14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</row>
    <row r="550" ht="14.5" spans="2:14"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</row>
    <row r="551" ht="14.5" spans="2:14"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</row>
    <row r="552" ht="14.5" spans="2:14"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</row>
    <row r="553" ht="14.5" spans="2:14"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</row>
    <row r="554" ht="14.5" spans="2:14"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</row>
    <row r="555" ht="14.5" spans="2:14"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</row>
    <row r="556" ht="14.5" spans="2:14"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</row>
    <row r="557" ht="14.5" spans="2:14"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</row>
    <row r="558" ht="14.5" spans="2:14"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</row>
    <row r="559" ht="14.5" spans="2:14"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</row>
    <row r="560" ht="14.5" spans="2:14"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</row>
    <row r="561" ht="14.5" spans="2:14"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</row>
    <row r="562" ht="14.5" spans="2:14"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</row>
    <row r="563" ht="14.5" spans="2:14"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</row>
    <row r="564" ht="14.5" spans="2:14"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</row>
    <row r="565" ht="14.5" spans="2:14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</row>
    <row r="566" ht="14.5" spans="2:14"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</row>
    <row r="567" ht="14.5" spans="2:14"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</row>
    <row r="568" ht="14.5" spans="2:14"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</row>
    <row r="569" ht="14.5" spans="2:14"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</row>
    <row r="570" ht="14.5" spans="2:14"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</row>
    <row r="571" ht="14.5" spans="2:14"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</row>
    <row r="572" ht="14.5" spans="2:14"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</row>
    <row r="573" ht="14.5" spans="2:14"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</row>
    <row r="574" ht="14.5" spans="2:14"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</row>
    <row r="575" ht="14.5" spans="2:14"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</row>
    <row r="576" ht="14.5" spans="2:14"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</row>
    <row r="577" ht="14.5" spans="2:14"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</row>
    <row r="578" ht="14.5" spans="2:14"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</row>
    <row r="579" ht="14.5" spans="2:14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</row>
    <row r="580" ht="14.5" spans="2:14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</row>
    <row r="581" ht="14.5" spans="2:14"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</row>
    <row r="582" ht="14.5" spans="2:14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</row>
    <row r="583" ht="14.5" spans="2:14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</row>
    <row r="584" ht="14.5" spans="2:14"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</row>
    <row r="585" ht="14.5" spans="2:14"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</row>
    <row r="586" ht="14.5" spans="2:14"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</row>
    <row r="587" ht="14.5" spans="2:14"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</row>
    <row r="588" ht="14.5" spans="2:14"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</row>
    <row r="589" ht="14.5" spans="2:14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</row>
    <row r="590" ht="14.5" spans="2:14"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</row>
    <row r="591" ht="14.5" spans="2:14"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</row>
    <row r="592" ht="14.5" spans="2:14"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</row>
    <row r="593" ht="14.5" spans="2:14"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</row>
    <row r="594" ht="14.5" spans="2:14"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</row>
    <row r="595" ht="14.5" spans="2:14"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</row>
    <row r="596" ht="14.5" spans="2:14"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</row>
    <row r="597" ht="14.5" spans="2:14"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</row>
    <row r="598" ht="14.5" spans="2:14"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</row>
    <row r="599" ht="14.5" spans="2:14"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</row>
    <row r="600" ht="14.5" spans="2:14"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</row>
    <row r="601" ht="14.5" spans="2:14"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</row>
    <row r="602" ht="14.5" spans="2:14"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</row>
    <row r="603" ht="14.5" spans="2:14"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</row>
    <row r="604" ht="14.5" spans="2:14"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</row>
    <row r="605" ht="14.5" spans="2:14"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</row>
    <row r="606" ht="14.5" spans="2:14"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</row>
    <row r="607" ht="14.5" spans="2:14"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</row>
    <row r="608" ht="14.5" spans="2:14"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</row>
    <row r="609" ht="14.5" spans="2:14"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</row>
    <row r="610" ht="14.5" spans="2:14"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</row>
    <row r="611" ht="14.5" spans="2:14"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</row>
    <row r="612" ht="14.5" spans="2:14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</row>
    <row r="613" ht="14.5" spans="2:14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</row>
    <row r="614" ht="14.5" spans="2:14"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</row>
    <row r="615" ht="14.5" spans="2:14"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</row>
    <row r="616" ht="14.5" spans="2:14"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</row>
    <row r="617" ht="14.5" spans="2:14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</row>
    <row r="618" ht="14.5" spans="2:14"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</row>
    <row r="619" ht="14.5" spans="2:14"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</row>
    <row r="620" ht="14.5" spans="2:14"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</row>
    <row r="621" ht="14.5" spans="2:14"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</row>
    <row r="622" ht="14.5" spans="2:14"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</row>
    <row r="623" ht="14.5" spans="2:14"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</row>
    <row r="624" ht="14.5" spans="2:14"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</row>
    <row r="625" ht="14.5" spans="2:14"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</row>
    <row r="626" ht="14.5" spans="2:14"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</row>
    <row r="627" ht="14.5" spans="2:14"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</row>
    <row r="628" ht="14.5" spans="2:14"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</row>
    <row r="629" ht="14.5" spans="2:14"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</row>
    <row r="630" ht="14.5" spans="2:14"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</row>
    <row r="631" ht="14.5" spans="2:14"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</row>
    <row r="632" ht="14.5" spans="2:14"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</row>
    <row r="633" ht="14.5" spans="2:14"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</row>
    <row r="634" ht="14.5" spans="2:14"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</row>
    <row r="635" ht="14.5" spans="2:14"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</row>
    <row r="636" ht="14.5" spans="2:14"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</row>
    <row r="637" ht="14.5" spans="2:14"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</row>
    <row r="638" ht="14.5" spans="2:14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</row>
    <row r="639" ht="14.5" spans="2:14"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</row>
    <row r="640" ht="14.5" spans="2:14"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</row>
    <row r="641" ht="14.5" spans="2:14"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</row>
    <row r="642" ht="14.5" spans="2:14"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</row>
    <row r="643" ht="14.5" spans="2:14"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</row>
    <row r="644" ht="14.5" spans="2:14"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</row>
    <row r="645" ht="14.5" spans="2:14"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</row>
    <row r="646" ht="14.5" spans="2:14"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</row>
    <row r="647" ht="14.5" spans="2:14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</row>
    <row r="648" ht="14.5" spans="2:14"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</row>
    <row r="649" ht="14.5" spans="2:14"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</row>
    <row r="650" ht="14.5" spans="2:14"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</row>
    <row r="651" ht="14.5" spans="2:14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</row>
    <row r="652" ht="14.5" spans="2:14"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</row>
    <row r="653" ht="14.5" spans="2:14"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</row>
    <row r="654" ht="14.5" spans="2:14"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</row>
    <row r="655" ht="14.5" spans="2:14"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</row>
    <row r="656" ht="14.5" spans="2:14"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</row>
    <row r="657" ht="14.5" spans="2:14"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</row>
    <row r="658" ht="14.5" spans="2:14"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</row>
    <row r="659" ht="14.5" spans="2:14"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</row>
    <row r="660" ht="14.5" spans="2:14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</row>
    <row r="661" ht="14.5" spans="2:14"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</row>
    <row r="662" ht="14.5" spans="2:14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</row>
    <row r="663" ht="14.5" spans="2:14"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</row>
    <row r="664" ht="14.5" spans="2:14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</row>
    <row r="665" ht="14.5" spans="2:14"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</row>
    <row r="666" ht="14.5" spans="2:14"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</row>
    <row r="667" ht="14.5" spans="2:14"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</row>
    <row r="668" ht="14.5" spans="2:14"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</row>
    <row r="669" ht="14.5" spans="2:14"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</row>
    <row r="670" ht="14.5" spans="2:14"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</row>
    <row r="671" ht="14.5" spans="2:14"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</row>
    <row r="672" ht="14.5" spans="2:14"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</row>
    <row r="673" ht="14.5" spans="2:14"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</row>
    <row r="674" ht="14.5" spans="2:14"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</row>
    <row r="675" ht="14.5" spans="2:14"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</row>
    <row r="676" ht="14.5" spans="2:14"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</row>
    <row r="677" ht="14.5" spans="2:14"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</row>
    <row r="678" ht="14.5" spans="2:14"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</row>
    <row r="679" ht="14.5" spans="2:14"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</row>
    <row r="680" ht="14.5" spans="2:14"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</row>
    <row r="681" ht="14.5" spans="2:14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</row>
    <row r="682" ht="14.5" spans="2:14"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</row>
    <row r="683" ht="14.5" spans="2:14"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</row>
    <row r="684" ht="14.5" spans="2:14"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</row>
    <row r="685" ht="14.5" spans="2:14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</row>
    <row r="686" ht="14.5" spans="2:14"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</row>
    <row r="687" ht="14.5" spans="2:14"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</row>
    <row r="688" ht="14.5" spans="2:14"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</row>
    <row r="689" ht="14.5" spans="2:14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</row>
    <row r="690" ht="14.5" spans="2:14"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</row>
    <row r="691" ht="14.5" spans="2:14"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</row>
    <row r="692" ht="14.5" spans="2:14"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</row>
    <row r="693" ht="14.5" spans="2:14"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</row>
    <row r="694" ht="14.5" spans="2:14"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</row>
    <row r="695" ht="14.5" spans="2:14"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</row>
    <row r="696" ht="14.5" spans="2:14"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</row>
    <row r="697" ht="14.5" spans="2:14"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</row>
    <row r="698" ht="14.5" spans="2:14"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</row>
    <row r="699" ht="14.5" spans="2:14"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</row>
    <row r="700" ht="14.5" spans="2:14"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</row>
    <row r="701" ht="14.5" spans="2:14"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</row>
    <row r="702" ht="14.5" spans="2:14"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</row>
    <row r="703" ht="14.5" spans="2:14"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</row>
    <row r="704" ht="14.5" spans="2:14"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</row>
    <row r="705" ht="14.5" spans="2:14"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</row>
    <row r="706" ht="14.5" spans="2:14"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</row>
    <row r="707" ht="14.5" spans="2:14"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</row>
    <row r="708" ht="14.5" spans="2:14"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</row>
    <row r="709" ht="14.5" spans="2:14"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</row>
    <row r="710" ht="14.5" spans="2:14"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</row>
    <row r="711" ht="14.5" spans="2:14"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</row>
    <row r="712" ht="14.5" spans="2:14"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</row>
    <row r="713" ht="14.5" spans="2:14"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</row>
    <row r="714" ht="14.5" spans="2:14"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</row>
    <row r="715" ht="14.5" spans="2:14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</row>
    <row r="716" ht="14.5" spans="2:14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</row>
    <row r="717" ht="14.5" spans="2:14"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</row>
    <row r="718" ht="14.5" spans="2:14"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</row>
    <row r="719" ht="14.5" spans="2:14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</row>
    <row r="720" ht="14.5" spans="2:14"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</row>
    <row r="721" ht="14.5" spans="2:14"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</row>
    <row r="722" ht="14.5" spans="2:14"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</row>
    <row r="723" ht="14.5" spans="2:14"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</row>
    <row r="724" ht="14.5" spans="2:14"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</row>
    <row r="725" ht="14.5" spans="2:14"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</row>
    <row r="726" ht="14.5" spans="2:14"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</row>
    <row r="727" ht="14.5" spans="2:14"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</row>
    <row r="728" ht="14.5" spans="2:14"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</row>
    <row r="729" ht="14.5" spans="2:14"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</row>
    <row r="730" ht="14.5" spans="2:14"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</row>
    <row r="731" ht="14.5" spans="2:14"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</row>
    <row r="732" ht="14.5" spans="2:14"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</row>
    <row r="733" ht="14.5" spans="2:14"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</row>
    <row r="734" ht="14.5" spans="2:14"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</row>
    <row r="735" ht="14.5" spans="2:14"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</row>
    <row r="736" ht="14.5" spans="2:14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</row>
    <row r="737" ht="14.5" spans="2:14"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</row>
    <row r="738" ht="14.5" spans="2:14"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</row>
    <row r="739" ht="14.5" spans="2:14"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</row>
    <row r="740" ht="14.5" spans="2:14"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</row>
    <row r="741" ht="14.5" spans="2:14"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</row>
    <row r="742" ht="14.5" spans="2:14"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</row>
    <row r="743" ht="14.5" spans="2:14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</row>
    <row r="744" ht="14.5" spans="2:14"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</row>
    <row r="745" ht="14.5" spans="2:14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</row>
    <row r="746" ht="14.5" spans="2:14"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</row>
    <row r="747" ht="14.5" spans="2:14"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</row>
    <row r="748" ht="14.5" spans="2:14"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</row>
    <row r="749" ht="14.5" spans="2:14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</row>
    <row r="750" ht="14.5" spans="2:14"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</row>
    <row r="751" ht="14.5" spans="2:14"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</row>
    <row r="752" ht="14.5" spans="2:14"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</row>
    <row r="753" ht="14.5" spans="2:14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</row>
    <row r="754" ht="14.5" spans="2:14"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</row>
    <row r="755" ht="14.5" spans="2:14"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</row>
    <row r="756" ht="14.5" spans="2:14"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</row>
    <row r="757" ht="14.5" spans="2:14"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</row>
    <row r="758" ht="14.5" spans="2:14"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</row>
    <row r="759" ht="14.5" spans="2:14"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</row>
    <row r="760" ht="14.5" spans="2:14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</row>
    <row r="761" ht="14.5" spans="2:14"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</row>
    <row r="762" ht="14.5" spans="2:14"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</row>
    <row r="763" ht="14.5" spans="2:14"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</row>
    <row r="764" ht="14.5" spans="2:14"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</row>
    <row r="765" ht="14.5" spans="2:14"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</row>
    <row r="766" ht="14.5" spans="2:14"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</row>
    <row r="767" ht="14.5" spans="2:14"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</row>
    <row r="768" ht="14.5" spans="2:14"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</row>
    <row r="769" ht="14.5" spans="2:14"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</row>
    <row r="770" ht="14.5" spans="2:14"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</row>
    <row r="771" ht="14.5" spans="2:14"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</row>
    <row r="772" ht="14.5" spans="2:14"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</row>
    <row r="773" ht="14.5" spans="2:14"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</row>
    <row r="774" ht="14.5" spans="2:14"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</row>
    <row r="775" ht="14.5" spans="2:14"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</row>
    <row r="776" ht="14.5" spans="2:14"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</row>
    <row r="777" ht="14.5" spans="2:14"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</row>
    <row r="778" ht="14.5" spans="2:14"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</row>
    <row r="779" ht="14.5" spans="2:14"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</row>
    <row r="780" ht="14.5" spans="2:14"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</row>
    <row r="781" ht="14.5" spans="2:14"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</row>
    <row r="782" ht="14.5" spans="2:14"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</row>
    <row r="783" ht="14.5" spans="2:14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</row>
    <row r="784" ht="14.5" spans="2:14"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</row>
    <row r="785" ht="14.5" spans="2:14"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</row>
    <row r="786" ht="14.5" spans="2:14"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</row>
    <row r="787" ht="14.5" spans="2:14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</row>
    <row r="788" ht="14.5" spans="2:14"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</row>
    <row r="789" ht="14.5" spans="2:14"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</row>
    <row r="790" ht="14.5" spans="2:14"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</row>
    <row r="791" ht="14.5" spans="2:14"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</row>
    <row r="792" ht="14.5" spans="2:14"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</row>
    <row r="793" ht="14.5" spans="2:14"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</row>
    <row r="794" ht="14.5" spans="2:14"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</row>
    <row r="795" ht="14.5" spans="2:14"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</row>
    <row r="796" ht="14.5" spans="2:14"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</row>
    <row r="797" ht="14.5" spans="2:14"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</row>
    <row r="798" ht="14.5" spans="2:14"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</row>
    <row r="799" ht="14.5" spans="2:14"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</row>
    <row r="800" ht="14.5" spans="2:14"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</row>
    <row r="801" ht="14.5" spans="2:14"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</row>
    <row r="802" ht="14.5" spans="2:14"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</row>
    <row r="803" ht="14.5" spans="2:14"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</row>
    <row r="804" ht="14.5" spans="2:14"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</row>
    <row r="805" ht="14.5" spans="2:14"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</row>
    <row r="806" ht="14.5" spans="2:14"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</row>
    <row r="807" ht="14.5" spans="2:14"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</row>
    <row r="808" ht="14.5" spans="2:14"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</row>
    <row r="809" ht="14.5" spans="2:14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</row>
    <row r="810" ht="14.5" spans="2:14"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</row>
    <row r="811" ht="14.5" spans="2:14"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</row>
    <row r="812" ht="14.5" spans="2:14"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</row>
    <row r="813" ht="14.5" spans="2:14"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</row>
    <row r="814" ht="14.5" spans="2:14"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</row>
    <row r="815" ht="14.5" spans="2:14"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</row>
    <row r="816" ht="14.5" spans="2:14"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</row>
    <row r="817" ht="14.5" spans="2:14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</row>
    <row r="818" ht="14.5" spans="2:14"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</row>
    <row r="819" ht="14.5" spans="2:14"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</row>
    <row r="820" ht="14.5" spans="2:14"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</row>
    <row r="821" ht="14.5" spans="2:14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</row>
    <row r="822" ht="14.5" spans="2:14"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</row>
    <row r="823" ht="14.5" spans="2:14"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</row>
    <row r="824" ht="14.5" spans="2:14"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</row>
    <row r="825" ht="14.5" spans="2:14"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</row>
    <row r="826" ht="14.5" spans="2:14"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</row>
    <row r="827" ht="14.5" spans="2:14"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</row>
    <row r="828" ht="14.5" spans="2:14"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</row>
    <row r="829" ht="14.5" spans="2:14"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</row>
    <row r="830" ht="14.5" spans="2:14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</row>
    <row r="831" ht="14.5" spans="2:14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</row>
    <row r="832" ht="14.5" spans="2:14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</row>
    <row r="833" ht="14.5" spans="2:14"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</row>
    <row r="834" ht="14.5" spans="2:14"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</row>
    <row r="835" ht="14.5" spans="2:14"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</row>
    <row r="836" ht="14.5" spans="2:14"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</row>
    <row r="837" ht="14.5" spans="2:14"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</row>
    <row r="838" ht="14.5" spans="2:14"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</row>
    <row r="839" ht="14.5" spans="2:14"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</row>
    <row r="840" ht="14.5" spans="2:14"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</row>
    <row r="841" ht="14.5" spans="2:14"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</row>
    <row r="842" ht="14.5" spans="2:14"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</row>
    <row r="843" ht="14.5" spans="2:14"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</row>
    <row r="844" ht="14.5" spans="2:14"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</row>
    <row r="845" ht="14.5" spans="2:14"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</row>
    <row r="846" ht="14.5" spans="2:14"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</row>
    <row r="847" ht="14.5" spans="2:14"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</row>
    <row r="848" ht="14.5" spans="2:14"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</row>
    <row r="849" ht="14.5" spans="2:14"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</row>
    <row r="850" ht="14.5" spans="2:14"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</row>
    <row r="851" ht="14.5" spans="2:14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</row>
    <row r="852" ht="14.5" spans="2:14"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</row>
    <row r="853" ht="14.5" spans="2:14"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</row>
    <row r="854" ht="14.5" spans="2:14"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</row>
    <row r="855" ht="14.5" spans="2:14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</row>
    <row r="856" ht="14.5" spans="2:14"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</row>
    <row r="857" ht="14.5" spans="2:14"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</row>
    <row r="858" ht="14.5" spans="2:14"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</row>
    <row r="859" ht="14.5" spans="2:14"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</row>
    <row r="860" ht="14.5" spans="2:14"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</row>
    <row r="861" ht="14.5" spans="2:14"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</row>
    <row r="862" ht="14.5" spans="2:14"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</row>
    <row r="863" ht="14.5" spans="2:14"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</row>
    <row r="864" ht="14.5" spans="2:14"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</row>
    <row r="865" ht="14.5" spans="2:14"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</row>
    <row r="866" ht="14.5" spans="2:14"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</row>
    <row r="867" ht="14.5" spans="2:14"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</row>
    <row r="868" ht="14.5" spans="2:14"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</row>
    <row r="869" ht="14.5" spans="2:14"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</row>
    <row r="870" ht="14.5" spans="2:14"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</row>
    <row r="871" ht="14.5" spans="2:14"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</row>
    <row r="872" ht="14.5" spans="2:14"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</row>
    <row r="873" ht="14.5" spans="2:14"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</row>
    <row r="874" ht="14.5" spans="2:14"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</row>
    <row r="875" ht="14.5" spans="2:14"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</row>
    <row r="876" ht="14.5" spans="2:14"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</row>
    <row r="877" ht="14.5" spans="2:14"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</row>
    <row r="878" ht="14.5" spans="2:14"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</row>
    <row r="879" ht="14.5" spans="2:14"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</row>
    <row r="880" ht="14.5" spans="2:14"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</row>
    <row r="881" ht="14.5" spans="2:14"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</row>
    <row r="882" ht="14.5" spans="2:14"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</row>
    <row r="883" ht="14.5" spans="2:14"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</row>
    <row r="884" ht="14.5" spans="2:14"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</row>
    <row r="885" ht="14.5" spans="2:14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</row>
    <row r="886" ht="14.5" spans="2:14"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</row>
    <row r="887" ht="14.5" spans="2:14"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</row>
    <row r="888" ht="14.5" spans="2:14"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</row>
    <row r="889" ht="14.5" spans="2:14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</row>
    <row r="890" ht="14.5" spans="2:14"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</row>
    <row r="891" ht="14.5" spans="2:14"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</row>
    <row r="892" ht="14.5" spans="2:14"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</row>
    <row r="893" ht="14.5" spans="2:14"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</row>
    <row r="894" ht="14.5" spans="2:14"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</row>
    <row r="895" ht="14.5" spans="2:14"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</row>
    <row r="896" ht="14.5" spans="2:14"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</row>
    <row r="897" ht="14.5" spans="2:14"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</row>
    <row r="898" ht="14.5" spans="2:14"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</row>
    <row r="899" ht="14.5" spans="2:14"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</row>
    <row r="900" ht="14.5" spans="2:14"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</row>
    <row r="901" ht="14.5" spans="2:14"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</row>
    <row r="902" ht="14.5" spans="2:14"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</row>
    <row r="903" ht="14.5" spans="2:14"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</row>
    <row r="904" ht="14.5" spans="2:14"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</row>
    <row r="905" ht="14.5" spans="2:14"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</row>
    <row r="906" ht="14.5" spans="2:14"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</row>
    <row r="907" ht="14.5" spans="2:14"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</row>
    <row r="908" ht="14.5" spans="2:14"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</row>
    <row r="909" ht="14.5" spans="2:14"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</row>
    <row r="910" ht="14.5" spans="2:14"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</row>
    <row r="911" ht="14.5" spans="2:14"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</row>
    <row r="912" ht="14.5" spans="2:14"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</row>
    <row r="913" ht="14.5" spans="2:14"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</row>
    <row r="914" ht="14.5" spans="2:14"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</row>
    <row r="915" ht="14.5" spans="2:14"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</row>
    <row r="916" ht="14.5" spans="2:14"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</row>
    <row r="917" ht="14.5" spans="2:14"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</row>
    <row r="918" ht="14.5" spans="2:14"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</row>
    <row r="919" ht="14.5" spans="2:14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</row>
    <row r="920" ht="14.5" spans="2:14"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</row>
    <row r="921" ht="14.5" spans="2:14"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</row>
    <row r="922" ht="14.5" spans="2:14"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</row>
    <row r="923" ht="14.5" spans="2:14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</row>
    <row r="924" ht="14.5" spans="2:14"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</row>
    <row r="925" ht="14.5" spans="2:14"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</row>
    <row r="926" ht="14.5" spans="2:14"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</row>
    <row r="927" ht="14.5" spans="2:14"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</row>
    <row r="928" ht="14.5" spans="2:14"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</row>
    <row r="929" ht="14.5" spans="2:14"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</row>
    <row r="930" ht="14.5" spans="2:14"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</row>
    <row r="931" ht="14.5" spans="2:14"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</row>
    <row r="932" ht="14.5" spans="2:14"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</row>
    <row r="933" ht="14.5" spans="2:14"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</row>
    <row r="934" ht="14.5" spans="2:14"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</row>
    <row r="935" ht="14.5" spans="2:14"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</row>
    <row r="936" ht="14.5" spans="2:14"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</row>
    <row r="937" ht="14.5" spans="2:14"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</row>
    <row r="938" ht="14.5" spans="2:14"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</row>
    <row r="939" ht="14.5" spans="2:14"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</row>
    <row r="940" ht="14.5" spans="2:14"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</row>
    <row r="941" ht="14.5" spans="2:14"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</row>
    <row r="942" ht="14.5" spans="2:14"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</row>
    <row r="943" ht="14.5" spans="2:14"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</row>
    <row r="944" ht="14.5" spans="2:14"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</row>
    <row r="945" ht="14.5" spans="2:14"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</row>
    <row r="946" ht="14.5" spans="2:14"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</row>
    <row r="947" ht="14.5" spans="2:14"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</row>
    <row r="948" ht="14.5" spans="2:14"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</row>
    <row r="949" ht="14.5" spans="2:14"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</row>
    <row r="950" ht="14.5" spans="2:14"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</row>
    <row r="951" ht="14.5" spans="2:14"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</row>
    <row r="952" ht="14.5" spans="2:14"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</row>
    <row r="953" ht="14.5" spans="2:14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</row>
    <row r="954" ht="14.5" spans="2:14"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</row>
    <row r="955" ht="14.5" spans="2:14"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</row>
    <row r="956" ht="14.5" spans="2:14"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</row>
    <row r="957" ht="14.5" spans="2:14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</row>
    <row r="958" ht="14.5" spans="2:14"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</row>
    <row r="959" ht="14.5" spans="2:14"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</row>
    <row r="960" ht="14.5" spans="2:14"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</row>
    <row r="961" ht="14.5" spans="2:14"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</row>
    <row r="962" ht="14.5" spans="2:14"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</row>
    <row r="963" ht="14.5" spans="2:14"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</row>
    <row r="964" ht="14.5" spans="2:14"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</row>
    <row r="965" ht="14.5" spans="2:14"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</row>
    <row r="966" ht="14.5" spans="2:14"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</row>
    <row r="967" ht="14.5" spans="2:14"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</row>
    <row r="968" ht="14.5" spans="2:14"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</row>
    <row r="969" ht="14.5" spans="2:14"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</row>
    <row r="970" ht="14.5" spans="2:14"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</row>
    <row r="971" ht="14.5" spans="2:14"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</row>
    <row r="972" ht="14.5" spans="2:14"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</row>
    <row r="973" ht="14.5" spans="2:14"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</row>
    <row r="974" ht="14.5" spans="2:14"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</row>
    <row r="975" ht="14.5" spans="2:14"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</row>
    <row r="976" ht="14.5" spans="2:14"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</row>
    <row r="977" ht="14.5" spans="2:14"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</row>
    <row r="978" ht="14.5" spans="2:14"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</row>
    <row r="979" ht="14.5" spans="2:14"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</row>
    <row r="980" ht="14.5" spans="2:14"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</row>
    <row r="981" ht="14.5" spans="2:14"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</row>
    <row r="982" ht="14.5" spans="2:14"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</row>
    <row r="983" ht="14.5" spans="2:14"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</row>
    <row r="984" ht="14.5" spans="2:14"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</row>
    <row r="985" ht="14.5" spans="2:14"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</row>
    <row r="986" ht="14.5" spans="2:14"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</row>
    <row r="987" ht="14.5" spans="2:14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</row>
    <row r="988" ht="14.5" spans="2:14"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</row>
    <row r="989" ht="14.5" spans="2:14"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</row>
    <row r="990" ht="14.5" spans="2:14"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</row>
    <row r="991" ht="14.5" spans="2:14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</row>
    <row r="992" ht="14.5" spans="2:14"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</row>
    <row r="993" ht="14.5" spans="2:14"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</row>
    <row r="994" ht="14.5" spans="2:14"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</row>
    <row r="995" ht="14.5" spans="2:14"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</row>
    <row r="996" ht="14.5" spans="2:14"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</row>
    <row r="997" ht="14.5" spans="2:14"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</row>
    <row r="998" ht="14.5" spans="2:14"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</row>
    <row r="999" ht="14.5" spans="2:14"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</row>
    <row r="1000" ht="14.5" spans="2:14"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</row>
    <row r="1001" ht="14.5" spans="2:14"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</row>
    <row r="1002" ht="14.5" spans="2:14"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</row>
    <row r="1003" ht="14.5" spans="2:14"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</row>
    <row r="1004" ht="14.5" spans="2:14"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</row>
    <row r="1005" ht="14.5" spans="2:14"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</row>
    <row r="1006" ht="14.5" spans="2:14"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</row>
    <row r="1007" ht="14.5" spans="2:14"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</row>
    <row r="1008" ht="14.5" spans="2:14"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</row>
    <row r="1009" ht="14.5" spans="2:14"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</row>
    <row r="1010" ht="14.5" spans="2:14"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</row>
    <row r="1011" ht="14.5" spans="2:14"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</row>
    <row r="1012" ht="14.5" spans="2:14"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</row>
    <row r="1013" ht="14.5" spans="2:14"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</row>
    <row r="1014" ht="14.5" spans="2:14"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</row>
    <row r="1015" ht="14.5" spans="2:14"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</row>
    <row r="1016" ht="14.5" spans="2:14"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</row>
    <row r="1017" ht="14.5" spans="2:14"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</row>
    <row r="1018" ht="14.5" spans="2:14"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</row>
    <row r="1019" ht="14.5" spans="2:14"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</row>
    <row r="1020" ht="14.5" spans="2:14"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</row>
    <row r="1021" ht="14.5" spans="2:14"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</row>
    <row r="1022" ht="14.5" spans="2:14"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</row>
    <row r="1023" ht="14.5" spans="2:14"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</row>
    <row r="1024" ht="14.5" spans="2:14"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</row>
    <row r="1025" ht="14.5" spans="2:14"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</row>
    <row r="1026" ht="14.5" spans="2:14"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</row>
    <row r="1027" ht="14.5" spans="2:14"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</row>
    <row r="1028" ht="14.5" spans="2:14"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</row>
    <row r="1029" ht="14.5" spans="2:14"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</row>
    <row r="1030" ht="14.5" spans="2:14"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</row>
    <row r="1031" ht="14.5" spans="2:14"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</row>
    <row r="1032" ht="14.5" spans="2:14"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</row>
    <row r="1033" ht="14.5" spans="2:14"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</row>
    <row r="1034" ht="14.5" spans="2:14"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</row>
    <row r="1035" ht="14.5" spans="2:14"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</row>
    <row r="1036" ht="14.5" spans="2:14"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</row>
    <row r="1037" ht="14.5" spans="2:14"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</row>
    <row r="1038" ht="14.5" spans="2:14"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</row>
    <row r="1039" ht="14.5" spans="2:14"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</row>
    <row r="1040" ht="14.5" spans="2:14"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</row>
    <row r="1041" ht="14.5" spans="2:14"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</row>
    <row r="1042" ht="14.5" spans="2:14"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</row>
    <row r="1043" ht="14.5" spans="2:14"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</row>
    <row r="1044" ht="14.5" spans="2:14"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</row>
    <row r="1045" ht="14.5" spans="2:14"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</row>
    <row r="1046" ht="14.5" spans="2:14"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</row>
    <row r="1047" ht="14.5" spans="2:14"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</row>
    <row r="1048" ht="14.5" spans="2:14"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</row>
    <row r="1049" ht="14.5" spans="2:14"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</row>
    <row r="1050" ht="14.5" spans="2:14"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</row>
    <row r="1051" ht="14.5" spans="2:14"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</row>
    <row r="1052" ht="14.5" spans="2:14"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</row>
    <row r="1053" ht="14.5" spans="2:14"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</row>
    <row r="1054" ht="14.5" spans="2:14"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</row>
    <row r="1055" ht="14.5" spans="2:14"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</row>
    <row r="1056" ht="14.5" spans="2:14"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</row>
    <row r="1057" ht="14.5" spans="2:14"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</row>
    <row r="1058" ht="14.5" spans="2:14"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</row>
    <row r="1059" ht="14.5" spans="2:14"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</row>
    <row r="1060" ht="14.5" spans="2:14"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</row>
    <row r="1061" ht="14.5" spans="2:14"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</row>
    <row r="1062" ht="14.5" spans="2:14"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</row>
    <row r="1063" ht="14.5" spans="2:14"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</row>
    <row r="1064" ht="14.5" spans="2:14"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</row>
    <row r="1065" ht="14.5" spans="2:14"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</row>
    <row r="1066" ht="14.5" spans="2:14"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</row>
    <row r="1067" ht="14.5" spans="2:14"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</row>
    <row r="1068" ht="14.5" spans="2:14"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</row>
    <row r="1069" ht="14.5" spans="2:14"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</row>
    <row r="1070" ht="14.5" spans="2:14"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</row>
    <row r="1071" ht="14.5" spans="2:14"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</row>
    <row r="1072" ht="14.5" spans="2:14"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</row>
    <row r="1073" ht="14.5" spans="2:14"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</row>
    <row r="1074" ht="14.5" spans="2:14"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</row>
    <row r="1075" ht="14.5" spans="2:14"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</row>
    <row r="1076" ht="14.5" spans="2:14"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</row>
    <row r="1077" ht="14.5" spans="2:14"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</row>
    <row r="1078" ht="14.5" spans="2:14"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</row>
    <row r="1079" ht="14.5" spans="2:14"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</row>
    <row r="1080" ht="14.5" spans="2:14"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</row>
    <row r="1081" ht="14.5" spans="2:14"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</row>
    <row r="1082" ht="14.5" spans="2:14"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</row>
    <row r="1083" ht="14.5" spans="2:14"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</row>
    <row r="1084" ht="14.5" spans="2:14"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</row>
    <row r="1085" ht="14.5" spans="2:14"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</row>
    <row r="1086" ht="14.5" spans="2:14"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</row>
    <row r="1087" ht="14.5" spans="2:14"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</row>
    <row r="1088" ht="14.5" spans="2:14"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</row>
    <row r="1089" ht="14.5" spans="2:14"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</row>
    <row r="1090" ht="14.5" spans="2:14"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</row>
    <row r="1091" ht="14.5" spans="2:14"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</row>
    <row r="1092" ht="14.5" spans="2:14"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</row>
    <row r="1093" ht="14.5" spans="2:14"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</row>
    <row r="1094" ht="14.5" spans="2:14"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</row>
    <row r="1095" ht="14.5" spans="2:14"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</row>
    <row r="1096" ht="14.5" spans="2:14"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</row>
    <row r="1097" ht="14.5" spans="2:14"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</row>
    <row r="1098" ht="14.5" spans="2:14"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</row>
    <row r="1099" ht="14.5" spans="2:14"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</row>
    <row r="1100" ht="14.5" spans="2:14"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</row>
    <row r="1101" ht="14.5" spans="2:14"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</row>
    <row r="1102" ht="14.5" spans="2:14"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</row>
    <row r="1103" ht="14.5" spans="2:14"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</row>
    <row r="1104" ht="14.5" spans="2:14"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</row>
    <row r="1105" ht="14.5" spans="2:14"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</row>
    <row r="1106" ht="14.5" spans="2:14"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</row>
    <row r="1107" ht="14.5" spans="2:14"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</row>
    <row r="1108" ht="14.5" spans="2:14"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</row>
    <row r="1109" ht="14.5" spans="2:14"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</row>
    <row r="1110" ht="14.5" spans="2:14"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</row>
    <row r="1111" ht="14.5" spans="2:14"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</row>
    <row r="1112" ht="14.5" spans="2:14"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</row>
    <row r="1113" ht="14.5" spans="2:14"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</row>
    <row r="1114" ht="14.5" spans="2:14"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</row>
    <row r="1115" ht="14.5" spans="2:14"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</row>
    <row r="1116" ht="14.5" spans="2:14"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</row>
    <row r="1117" ht="14.5" spans="2:14"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</row>
    <row r="1118" ht="14.5" spans="2:14"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</row>
    <row r="1119" ht="14.5" spans="2:14"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</row>
    <row r="1120" ht="14.5" spans="2:14"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</row>
    <row r="1121" ht="14.5" spans="2:14"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</row>
    <row r="1122" ht="14.5" spans="2:14"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</row>
    <row r="1123" ht="14.5" spans="2:14"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</row>
    <row r="1124" ht="14.5" spans="2:14"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</row>
    <row r="1125" ht="14.5" spans="2:14"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</row>
    <row r="1126" ht="14.5" spans="2:14"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</row>
    <row r="1127" ht="14.5" spans="2:14"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</row>
    <row r="1128" ht="14.5" spans="2:14"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</row>
    <row r="1129" ht="14.5" spans="2:14"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</row>
    <row r="1130" ht="14.5" spans="2:14"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</row>
    <row r="1131" ht="14.5" spans="2:14"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</row>
    <row r="1132" ht="14.5" spans="2:14"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</row>
    <row r="1133" ht="14.5" spans="2:14"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</row>
    <row r="1134" ht="14.5" spans="2:14"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</row>
    <row r="1135" ht="14.5" spans="2:14"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</row>
    <row r="1136" ht="14.5" spans="2:14"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</row>
    <row r="1137" ht="14.5" spans="2:14"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</row>
    <row r="1138" ht="14.5" spans="2:14"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</row>
    <row r="1139" ht="14.5" spans="2:14"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</row>
    <row r="1140" ht="14.5" spans="2:14"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</row>
    <row r="1141" ht="14.5" spans="2:14"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</row>
    <row r="1142" ht="14.5" spans="2:14"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</row>
    <row r="1143" ht="14.5" spans="2:14"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</row>
    <row r="1144" ht="14.5" spans="2:14"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</row>
    <row r="1145" ht="14.5" spans="2:14"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</row>
    <row r="1146" ht="14.5" spans="2:14"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</row>
    <row r="1147" ht="14.5" spans="2:14"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</row>
    <row r="1148" ht="14.5" spans="2:14"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</row>
    <row r="1149" ht="14.5" spans="2:14"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</row>
    <row r="1150" ht="14.5" spans="2:14"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</row>
    <row r="1151" ht="14.5" spans="2:14"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</row>
    <row r="1152" ht="14.5" spans="2:14"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</row>
    <row r="1153" ht="14.5" spans="2:14"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</row>
    <row r="1154" ht="14.5" spans="2:14"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</row>
    <row r="1155" ht="14.5" spans="2:14"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</row>
    <row r="1156" ht="14.5" spans="2:14"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</row>
    <row r="1157" ht="14.5" spans="2:14"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</row>
    <row r="1158" ht="14.5" spans="2:14"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</row>
    <row r="1159" ht="14.5" spans="2:14"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</row>
    <row r="1160" ht="14.5" spans="2:14"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</row>
    <row r="1161" ht="14.5" spans="2:14"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</row>
    <row r="1162" ht="14.5" spans="2:14"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</row>
    <row r="1163" ht="14.5" spans="2:14"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</row>
    <row r="1164" ht="14.5" spans="2:14"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</row>
    <row r="1165" ht="14.5" spans="2:14"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</row>
    <row r="1166" ht="14.5" spans="2:14"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"/>
      <c r="M1166" s="1"/>
      <c r="N1166" s="1"/>
    </row>
    <row r="1167" ht="14.5" spans="2:14"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"/>
      <c r="M1167" s="1"/>
      <c r="N1167" s="1"/>
    </row>
    <row r="1168" ht="14.5" spans="2:14"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"/>
      <c r="M1168" s="1"/>
      <c r="N1168" s="1"/>
    </row>
    <row r="1169" ht="14.5" spans="2:14"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"/>
      <c r="M1169" s="1"/>
      <c r="N1169" s="1"/>
    </row>
    <row r="1170" ht="14.5" spans="2:14"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"/>
      <c r="M1170" s="1"/>
      <c r="N1170" s="1"/>
    </row>
    <row r="1171" ht="14.5" spans="2:14"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"/>
      <c r="M1171" s="1"/>
      <c r="N1171" s="1"/>
    </row>
    <row r="1172" ht="14.5" spans="2:14"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"/>
      <c r="M1172" s="1"/>
      <c r="N1172" s="1"/>
    </row>
    <row r="1173" ht="14.5" spans="2:14"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"/>
      <c r="M1173" s="1"/>
      <c r="N1173" s="1"/>
    </row>
    <row r="1174" ht="14.5" spans="2:14"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"/>
      <c r="M1174" s="1"/>
      <c r="N1174" s="1"/>
    </row>
    <row r="1175" ht="14.5" spans="2:14"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"/>
      <c r="M1175" s="1"/>
      <c r="N1175" s="1"/>
    </row>
    <row r="1176" ht="14.5" spans="2:14"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"/>
      <c r="M1176" s="1"/>
      <c r="N1176" s="1"/>
    </row>
    <row r="1177" ht="14.5" spans="2:14"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"/>
      <c r="M1177" s="1"/>
      <c r="N1177" s="1"/>
    </row>
    <row r="1178" ht="14.5" spans="2:14"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"/>
      <c r="M1178" s="1"/>
      <c r="N1178" s="1"/>
    </row>
    <row r="1179" ht="14.5" spans="2:14"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"/>
      <c r="M1179" s="1"/>
      <c r="N1179" s="1"/>
    </row>
    <row r="1180" ht="14.5" spans="2:14"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"/>
      <c r="M1180" s="1"/>
      <c r="N1180" s="1"/>
    </row>
    <row r="1181" ht="14.5" spans="2:14"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"/>
      <c r="M1181" s="1"/>
      <c r="N1181" s="1"/>
    </row>
    <row r="1182" ht="14.5" spans="2:14"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"/>
      <c r="M1182" s="1"/>
      <c r="N1182" s="1"/>
    </row>
    <row r="1183" ht="14.5" spans="2:14"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"/>
      <c r="M1183" s="1"/>
      <c r="N1183" s="1"/>
    </row>
    <row r="1184" ht="14.5" spans="2:14"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"/>
      <c r="M1184" s="1"/>
      <c r="N1184" s="1"/>
    </row>
    <row r="1185" ht="14.5" spans="2:14"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"/>
      <c r="M1185" s="1"/>
      <c r="N1185" s="1"/>
    </row>
    <row r="1186" ht="14.5" spans="2:14"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"/>
      <c r="M1186" s="1"/>
      <c r="N1186" s="1"/>
    </row>
    <row r="1187" ht="14.5" spans="2:14"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"/>
      <c r="M1187" s="1"/>
      <c r="N1187" s="1"/>
    </row>
    <row r="1188" ht="14.5" spans="2:14"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"/>
      <c r="M1188" s="1"/>
      <c r="N1188" s="1"/>
    </row>
    <row r="1189" ht="14.5" spans="2:14"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"/>
      <c r="M1189" s="1"/>
      <c r="N1189" s="1"/>
    </row>
    <row r="1190" ht="14.5" spans="2:14"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"/>
      <c r="M1190" s="1"/>
      <c r="N1190" s="1"/>
    </row>
    <row r="1191" ht="14.5" spans="2:14"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"/>
      <c r="M1191" s="1"/>
      <c r="N1191" s="1"/>
    </row>
    <row r="1192" ht="14.5" spans="2:14"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"/>
      <c r="M1192" s="1"/>
      <c r="N1192" s="1"/>
    </row>
    <row r="1193" ht="14.5" spans="2:14"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"/>
      <c r="M1193" s="1"/>
      <c r="N1193" s="1"/>
    </row>
    <row r="1194" ht="14.5" spans="2:14"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"/>
      <c r="M1194" s="1"/>
      <c r="N1194" s="1"/>
    </row>
    <row r="1195" ht="14.5" spans="2:14"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"/>
      <c r="M1195" s="1"/>
      <c r="N1195" s="1"/>
    </row>
    <row r="1196" ht="14.5" spans="2:14"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"/>
      <c r="M1196" s="1"/>
      <c r="N1196" s="1"/>
    </row>
    <row r="1197" ht="14.5" spans="2:14"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"/>
      <c r="M1197" s="1"/>
      <c r="N1197" s="1"/>
    </row>
    <row r="1198" ht="14.5" spans="2:14"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"/>
      <c r="M1198" s="1"/>
      <c r="N1198" s="1"/>
    </row>
    <row r="1199" ht="14.5" spans="2:14"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"/>
      <c r="M1199" s="1"/>
      <c r="N1199" s="1"/>
    </row>
    <row r="1200" ht="14.5" spans="2:14"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"/>
      <c r="M1200" s="1"/>
      <c r="N1200" s="1"/>
    </row>
    <row r="1201" ht="14.5" spans="2:14"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"/>
      <c r="M1201" s="1"/>
      <c r="N1201" s="1"/>
    </row>
    <row r="1202" ht="14.5" spans="2:14"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"/>
      <c r="M1202" s="1"/>
      <c r="N1202" s="1"/>
    </row>
    <row r="1203" ht="14.5" spans="2:14"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"/>
      <c r="M1203" s="1"/>
      <c r="N1203" s="1"/>
    </row>
    <row r="1204" ht="14.5" spans="2:14"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"/>
      <c r="M1204" s="1"/>
      <c r="N1204" s="1"/>
    </row>
    <row r="1205" ht="14.5" spans="2:14"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</row>
    <row r="1206" ht="14.5" spans="2:14"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"/>
      <c r="M1206" s="1"/>
      <c r="N1206" s="1"/>
    </row>
    <row r="1207" ht="14.5" spans="2:14"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"/>
      <c r="M1207" s="1"/>
      <c r="N1207" s="1"/>
    </row>
    <row r="1208" ht="14.5" spans="2:14"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"/>
      <c r="M1208" s="1"/>
      <c r="N1208" s="1"/>
    </row>
    <row r="1209" ht="14.5" spans="2:14"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"/>
      <c r="M1209" s="1"/>
      <c r="N1209" s="1"/>
    </row>
    <row r="1210" ht="14.5" spans="2:14"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"/>
      <c r="M1210" s="1"/>
      <c r="N1210" s="1"/>
    </row>
    <row r="1211" ht="14.5" spans="2:14"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"/>
      <c r="M1211" s="1"/>
      <c r="N1211" s="1"/>
    </row>
    <row r="1212" ht="14.5" spans="2:14"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"/>
      <c r="M1212" s="1"/>
      <c r="N1212" s="1"/>
    </row>
    <row r="1213" ht="14.5" spans="2:14"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"/>
      <c r="M1213" s="1"/>
      <c r="N1213" s="1"/>
    </row>
    <row r="1214" ht="14.5" spans="2:14"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"/>
      <c r="M1214" s="1"/>
      <c r="N1214" s="1"/>
    </row>
    <row r="1215" ht="14.5" spans="2:14"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"/>
      <c r="M1215" s="1"/>
      <c r="N1215" s="1"/>
    </row>
    <row r="1216" ht="14.5" spans="2:14"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"/>
      <c r="M1216" s="1"/>
      <c r="N1216" s="1"/>
    </row>
    <row r="1217" ht="14.5" spans="2:14"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"/>
      <c r="M1217" s="1"/>
      <c r="N1217" s="1"/>
    </row>
    <row r="1218" ht="14.5" spans="2:14"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"/>
      <c r="M1218" s="1"/>
      <c r="N1218" s="1"/>
    </row>
    <row r="1219" ht="14.5" spans="2:14"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"/>
      <c r="M1219" s="1"/>
      <c r="N1219" s="1"/>
    </row>
    <row r="1220" ht="14.5" spans="2:14"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"/>
      <c r="M1220" s="1"/>
      <c r="N1220" s="1"/>
    </row>
    <row r="1221" ht="14.5" spans="2:14"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"/>
      <c r="M1221" s="1"/>
      <c r="N1221" s="1"/>
    </row>
    <row r="1222" ht="14.5" spans="2:14"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"/>
      <c r="M1222" s="1"/>
      <c r="N1222" s="1"/>
    </row>
    <row r="1223" ht="14.5" spans="2:14"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"/>
      <c r="M1223" s="1"/>
      <c r="N1223" s="1"/>
    </row>
    <row r="1224" ht="14.5" spans="2:14"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"/>
      <c r="M1224" s="1"/>
      <c r="N1224" s="1"/>
    </row>
    <row r="1225" ht="14.5" spans="2:14"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"/>
      <c r="M1225" s="1"/>
      <c r="N1225" s="1"/>
    </row>
    <row r="1226" ht="14.5" spans="2:14"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"/>
      <c r="M1226" s="1"/>
      <c r="N1226" s="1"/>
    </row>
    <row r="1227" ht="14.5" spans="2:14"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"/>
      <c r="M1227" s="1"/>
      <c r="N1227" s="1"/>
    </row>
    <row r="1228" ht="14.5" spans="2:14"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"/>
      <c r="M1228" s="1"/>
      <c r="N1228" s="1"/>
    </row>
    <row r="1229" ht="14.5" spans="2:14"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"/>
      <c r="M1229" s="1"/>
      <c r="N1229" s="1"/>
    </row>
    <row r="1230" ht="14.5" spans="2:14"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"/>
      <c r="M1230" s="1"/>
      <c r="N1230" s="1"/>
    </row>
    <row r="1231" ht="14.5" spans="2:14"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"/>
      <c r="M1231" s="1"/>
      <c r="N1231" s="1"/>
    </row>
    <row r="1232" ht="14.5" spans="2:14"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"/>
      <c r="M1232" s="1"/>
      <c r="N1232" s="1"/>
    </row>
    <row r="1233" ht="14.5" spans="2:14"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"/>
      <c r="M1233" s="1"/>
      <c r="N1233" s="1"/>
    </row>
    <row r="1234" ht="14.5" spans="2:14"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"/>
      <c r="M1234" s="1"/>
      <c r="N1234" s="1"/>
    </row>
    <row r="1235" ht="14.5" spans="2:14"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"/>
      <c r="M1235" s="1"/>
      <c r="N1235" s="1"/>
    </row>
    <row r="1236" ht="14.5" spans="2:14"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"/>
      <c r="M1236" s="1"/>
      <c r="N1236" s="1"/>
    </row>
    <row r="1237" ht="14.5" spans="2:14"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"/>
      <c r="M1237" s="1"/>
      <c r="N1237" s="1"/>
    </row>
    <row r="1238" ht="14.5" spans="2:14"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"/>
      <c r="M1238" s="1"/>
      <c r="N1238" s="1"/>
    </row>
    <row r="1239" ht="14.5" spans="2:14"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"/>
      <c r="M1239" s="1"/>
      <c r="N1239" s="1"/>
    </row>
    <row r="1240" ht="14.5" spans="2:14"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"/>
      <c r="M1240" s="1"/>
      <c r="N1240" s="1"/>
    </row>
    <row r="1241" ht="14.5" spans="2:14"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"/>
      <c r="M1241" s="1"/>
      <c r="N1241" s="1"/>
    </row>
    <row r="1242" ht="14.5" spans="2:14"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"/>
      <c r="M1242" s="1"/>
      <c r="N1242" s="1"/>
    </row>
    <row r="1243" ht="14.5" spans="2:14"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"/>
      <c r="M1243" s="1"/>
      <c r="N1243" s="1"/>
    </row>
    <row r="1244" ht="14.5" spans="2:14"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"/>
      <c r="M1244" s="1"/>
      <c r="N1244" s="1"/>
    </row>
    <row r="1245" ht="14.5" spans="2:14"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"/>
      <c r="M1245" s="1"/>
      <c r="N1245" s="1"/>
    </row>
    <row r="1246" ht="14.5" spans="2:14"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"/>
      <c r="M1246" s="1"/>
      <c r="N1246" s="1"/>
    </row>
    <row r="1247" ht="14.5" spans="2:14"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"/>
      <c r="M1247" s="1"/>
      <c r="N1247" s="1"/>
    </row>
    <row r="1248" ht="14.5" spans="2:14"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"/>
      <c r="M1248" s="1"/>
      <c r="N1248" s="1"/>
    </row>
    <row r="1249" ht="14.5" spans="2:14"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"/>
      <c r="M1249" s="1"/>
      <c r="N1249" s="1"/>
    </row>
    <row r="1250" ht="14.5" spans="2:14"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"/>
      <c r="M1250" s="1"/>
      <c r="N1250" s="1"/>
    </row>
    <row r="1251" ht="14.5" spans="2:14"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"/>
      <c r="M1251" s="1"/>
      <c r="N1251" s="1"/>
    </row>
    <row r="1252" ht="14.5" spans="2:14"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"/>
      <c r="M1252" s="1"/>
      <c r="N1252" s="1"/>
    </row>
    <row r="1253" ht="14.5" spans="2:14"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"/>
      <c r="M1253" s="1"/>
      <c r="N1253" s="1"/>
    </row>
    <row r="1254" ht="14.5" spans="2:14"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"/>
      <c r="M1254" s="1"/>
      <c r="N1254" s="1"/>
    </row>
    <row r="1255" ht="14.5" spans="2:14"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"/>
      <c r="M1255" s="1"/>
      <c r="N1255" s="1"/>
    </row>
    <row r="1256" ht="14.5" spans="2:14"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"/>
      <c r="M1256" s="1"/>
      <c r="N1256" s="1"/>
    </row>
    <row r="1257" ht="14.5" spans="2:14"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"/>
      <c r="M1257" s="1"/>
      <c r="N1257" s="1"/>
    </row>
    <row r="1258" ht="14.5" spans="2:14"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"/>
      <c r="M1258" s="1"/>
      <c r="N1258" s="1"/>
    </row>
    <row r="1259" ht="14.5" spans="2:14"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"/>
      <c r="M1259" s="1"/>
      <c r="N1259" s="1"/>
    </row>
    <row r="1260" ht="14.5" spans="2:14"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"/>
      <c r="M1260" s="1"/>
      <c r="N1260" s="1"/>
    </row>
    <row r="1261" ht="14.5" spans="2:14"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"/>
      <c r="M1261" s="1"/>
      <c r="N1261" s="1"/>
    </row>
    <row r="1262" ht="14.5" spans="2:14"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"/>
      <c r="M1262" s="1"/>
      <c r="N1262" s="1"/>
    </row>
    <row r="1263" ht="14.5" spans="2:14"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"/>
      <c r="M1263" s="1"/>
      <c r="N1263" s="1"/>
    </row>
    <row r="1264" ht="14.5" spans="2:14"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"/>
      <c r="M1264" s="1"/>
      <c r="N1264" s="1"/>
    </row>
    <row r="1265" ht="14.5" spans="2:14"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"/>
      <c r="M1265" s="1"/>
      <c r="N1265" s="1"/>
    </row>
    <row r="1266" ht="14.5" spans="2:14"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"/>
      <c r="M1266" s="1"/>
      <c r="N1266" s="1"/>
    </row>
    <row r="1267" ht="14.5" spans="2:14"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"/>
      <c r="M1267" s="1"/>
      <c r="N1267" s="1"/>
    </row>
    <row r="1268" ht="14.5" spans="2:14"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"/>
      <c r="M1268" s="1"/>
      <c r="N1268" s="1"/>
    </row>
    <row r="1269" ht="14.5" spans="2:14"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"/>
      <c r="M1269" s="1"/>
      <c r="N1269" s="1"/>
    </row>
    <row r="1270" ht="14.5" spans="2:14"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"/>
      <c r="M1270" s="1"/>
      <c r="N1270" s="1"/>
    </row>
    <row r="1271" ht="14.5" spans="2:14"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"/>
      <c r="M1271" s="1"/>
      <c r="N1271" s="1"/>
    </row>
    <row r="1272" ht="14.5" spans="2:14"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"/>
      <c r="M1272" s="1"/>
      <c r="N1272" s="1"/>
    </row>
    <row r="1273" ht="14.5" spans="2:14"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"/>
      <c r="M1273" s="1"/>
      <c r="N1273" s="1"/>
    </row>
    <row r="1274" ht="14.5" spans="2:14"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"/>
      <c r="M1274" s="1"/>
      <c r="N1274" s="1"/>
    </row>
    <row r="1275" ht="14.5" spans="2:14"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"/>
      <c r="M1275" s="1"/>
      <c r="N1275" s="1"/>
    </row>
    <row r="1276" ht="14.5" spans="2:14"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"/>
      <c r="M1276" s="1"/>
      <c r="N1276" s="1"/>
    </row>
    <row r="1277" ht="14.5" spans="2:14"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"/>
      <c r="M1277" s="1"/>
      <c r="N1277" s="1"/>
    </row>
    <row r="1278" ht="14.5" spans="2:14"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"/>
      <c r="M1278" s="1"/>
      <c r="N1278" s="1"/>
    </row>
    <row r="1279" ht="14.5" spans="2:14"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"/>
      <c r="M1279" s="1"/>
      <c r="N1279" s="1"/>
    </row>
    <row r="1280" ht="14.5" spans="2:14"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"/>
      <c r="M1280" s="1"/>
      <c r="N1280" s="1"/>
    </row>
    <row r="1281" ht="14.5" spans="2:14"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"/>
      <c r="M1281" s="1"/>
      <c r="N1281" s="1"/>
    </row>
    <row r="1282" ht="14.5" spans="2:14"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"/>
      <c r="M1282" s="1"/>
      <c r="N1282" s="1"/>
    </row>
    <row r="1283" ht="14.5" spans="2:14"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"/>
      <c r="M1283" s="1"/>
      <c r="N1283" s="1"/>
    </row>
    <row r="1284" ht="14.5" spans="2:14"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"/>
      <c r="M1284" s="1"/>
      <c r="N1284" s="1"/>
    </row>
    <row r="1285" ht="14.5" spans="2:14"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"/>
      <c r="M1285" s="1"/>
      <c r="N1285" s="1"/>
    </row>
    <row r="1286" ht="14.5" spans="2:14"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"/>
      <c r="M1286" s="1"/>
      <c r="N1286" s="1"/>
    </row>
    <row r="1287" ht="14.5" spans="2:14"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"/>
      <c r="M1287" s="1"/>
      <c r="N1287" s="1"/>
    </row>
    <row r="1288" ht="14.5" spans="2:14"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"/>
      <c r="M1288" s="1"/>
      <c r="N1288" s="1"/>
    </row>
    <row r="1289" ht="14.5" spans="2:14"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"/>
      <c r="M1289" s="1"/>
      <c r="N1289" s="1"/>
    </row>
    <row r="1290" ht="14.5" spans="2:14"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"/>
      <c r="M1290" s="1"/>
      <c r="N1290" s="1"/>
    </row>
    <row r="1291" ht="14.5" spans="2:14"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"/>
      <c r="M1291" s="1"/>
      <c r="N1291" s="1"/>
    </row>
    <row r="1292" ht="14.5" spans="2:14"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"/>
      <c r="M1292" s="1"/>
      <c r="N1292" s="1"/>
    </row>
    <row r="1293" ht="14.5" spans="2:14"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"/>
      <c r="M1293" s="1"/>
      <c r="N1293" s="1"/>
    </row>
    <row r="1294" ht="14.5" spans="2:14"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"/>
      <c r="M1294" s="1"/>
      <c r="N1294" s="1"/>
    </row>
    <row r="1295" ht="14.5" spans="2:14"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"/>
      <c r="M1295" s="1"/>
      <c r="N1295" s="1"/>
    </row>
    <row r="1296" ht="14.5" spans="2:14"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"/>
      <c r="M1296" s="1"/>
      <c r="N1296" s="1"/>
    </row>
    <row r="1297" ht="14.5" spans="2:14"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"/>
      <c r="M1297" s="1"/>
      <c r="N1297" s="1"/>
    </row>
    <row r="1298" ht="14.5" spans="2:14"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"/>
      <c r="M1298" s="1"/>
      <c r="N1298" s="1"/>
    </row>
    <row r="1299" ht="14.5" spans="2:14"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"/>
      <c r="M1299" s="1"/>
      <c r="N1299" s="1"/>
    </row>
    <row r="1300" ht="14.5" spans="2:14"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"/>
      <c r="M1300" s="1"/>
      <c r="N1300" s="1"/>
    </row>
    <row r="1301" ht="14.5" spans="2:14"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"/>
      <c r="M1301" s="1"/>
      <c r="N1301" s="1"/>
    </row>
    <row r="1302" ht="14.5" spans="2:14"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"/>
      <c r="M1302" s="1"/>
      <c r="N1302" s="1"/>
    </row>
    <row r="1303" ht="14.5" spans="2:14"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"/>
      <c r="M1303" s="1"/>
      <c r="N1303" s="1"/>
    </row>
    <row r="1304" ht="14.5" spans="2:14"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"/>
      <c r="M1304" s="1"/>
      <c r="N1304" s="1"/>
    </row>
    <row r="1305" ht="14.5" spans="2:14"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"/>
      <c r="M1305" s="1"/>
      <c r="N1305" s="1"/>
    </row>
    <row r="1306" ht="14.5" spans="2:14"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"/>
      <c r="M1306" s="1"/>
      <c r="N1306" s="1"/>
    </row>
    <row r="1307" ht="14.5" spans="2:14"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"/>
      <c r="M1307" s="1"/>
      <c r="N1307" s="1"/>
    </row>
    <row r="1308" ht="14.5" spans="2:14"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"/>
      <c r="M1308" s="1"/>
      <c r="N1308" s="1"/>
    </row>
    <row r="1309" ht="14.5" spans="2:14"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"/>
      <c r="M1309" s="1"/>
      <c r="N1309" s="1"/>
    </row>
    <row r="1310" ht="14.5" spans="2:14"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"/>
      <c r="M1310" s="1"/>
      <c r="N1310" s="1"/>
    </row>
    <row r="1311" ht="14.5" spans="2:14"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"/>
      <c r="M1311" s="1"/>
      <c r="N1311" s="1"/>
    </row>
    <row r="1312" ht="14.5" spans="2:14"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"/>
      <c r="M1312" s="1"/>
      <c r="N1312" s="1"/>
    </row>
    <row r="1313" ht="14.5" spans="2:14"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"/>
      <c r="M1313" s="1"/>
      <c r="N1313" s="1"/>
    </row>
    <row r="1314" ht="14.5" spans="2:14"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"/>
      <c r="M1314" s="1"/>
      <c r="N1314" s="1"/>
    </row>
    <row r="1315" ht="14.5" spans="2:14"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"/>
      <c r="M1315" s="1"/>
      <c r="N1315" s="1"/>
    </row>
    <row r="1316" ht="14.5" spans="2:14"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"/>
      <c r="M1316" s="1"/>
      <c r="N1316" s="1"/>
    </row>
    <row r="1317" ht="14.5" spans="2:14"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"/>
      <c r="M1317" s="1"/>
      <c r="N1317" s="1"/>
    </row>
    <row r="1318" ht="14.5" spans="2:14"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"/>
      <c r="M1318" s="1"/>
      <c r="N1318" s="1"/>
    </row>
    <row r="1319" ht="14.5" spans="2:14"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"/>
      <c r="M1319" s="1"/>
      <c r="N1319" s="1"/>
    </row>
    <row r="1320" ht="14.5" spans="2:14"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"/>
      <c r="M1320" s="1"/>
      <c r="N1320" s="1"/>
    </row>
    <row r="1321" ht="14.5" spans="2:14"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"/>
      <c r="M1321" s="1"/>
      <c r="N1321" s="1"/>
    </row>
    <row r="1322" ht="14.5" spans="2:14"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"/>
      <c r="M1322" s="1"/>
      <c r="N1322" s="1"/>
    </row>
    <row r="1323" ht="14.5" spans="2:14"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"/>
      <c r="M1323" s="1"/>
      <c r="N1323" s="1"/>
    </row>
    <row r="1324" ht="14.5" spans="2:14"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"/>
      <c r="M1324" s="1"/>
      <c r="N1324" s="1"/>
    </row>
    <row r="1325" ht="14.5" spans="2:14"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"/>
      <c r="M1325" s="1"/>
      <c r="N1325" s="1"/>
    </row>
    <row r="1326" ht="14.5" spans="2:14"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"/>
      <c r="M1326" s="1"/>
      <c r="N1326" s="1"/>
    </row>
    <row r="1327" ht="14.5" spans="2:14"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"/>
      <c r="M1327" s="1"/>
      <c r="N1327" s="1"/>
    </row>
    <row r="1328" ht="14.5" spans="2:14"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"/>
      <c r="M1328" s="1"/>
      <c r="N1328" s="1"/>
    </row>
    <row r="1329" ht="14.5" spans="2:14"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"/>
      <c r="M1329" s="1"/>
      <c r="N1329" s="1"/>
    </row>
    <row r="1330" ht="14.5" spans="2:14"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"/>
      <c r="M1330" s="1"/>
      <c r="N1330" s="1"/>
    </row>
    <row r="1331" ht="14.5" spans="2:14"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"/>
      <c r="M1331" s="1"/>
      <c r="N1331" s="1"/>
    </row>
    <row r="1332" ht="14.5" spans="2:14"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"/>
      <c r="M1332" s="1"/>
      <c r="N1332" s="1"/>
    </row>
    <row r="1333" ht="14.5" spans="2:14"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"/>
      <c r="M1333" s="1"/>
      <c r="N1333" s="1"/>
    </row>
    <row r="1334" ht="14.5" spans="2:14"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"/>
      <c r="M1334" s="1"/>
      <c r="N1334" s="1"/>
    </row>
    <row r="1335" ht="14.5" spans="2:14"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"/>
      <c r="M1335" s="1"/>
      <c r="N1335" s="1"/>
    </row>
    <row r="1336" ht="14.5" spans="2:14"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"/>
      <c r="M1336" s="1"/>
      <c r="N1336" s="1"/>
    </row>
    <row r="1337" ht="14.5" spans="2:14"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"/>
      <c r="M1337" s="1"/>
      <c r="N1337" s="1"/>
    </row>
    <row r="1338" ht="14.5" spans="2:14"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"/>
      <c r="M1338" s="1"/>
      <c r="N1338" s="1"/>
    </row>
    <row r="1339" ht="14.5" spans="2:14"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"/>
      <c r="M1339" s="1"/>
      <c r="N1339" s="1"/>
    </row>
    <row r="1340" ht="14.5" spans="2:14"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"/>
      <c r="M1340" s="1"/>
      <c r="N1340" s="1"/>
    </row>
    <row r="1341" ht="14.5" spans="2:14"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"/>
      <c r="M1341" s="1"/>
      <c r="N1341" s="1"/>
    </row>
    <row r="1342" ht="14.5" spans="2:14"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"/>
      <c r="M1342" s="1"/>
      <c r="N1342" s="1"/>
    </row>
    <row r="1343" ht="14.5" spans="2:14"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"/>
      <c r="M1343" s="1"/>
      <c r="N1343" s="1"/>
    </row>
    <row r="1344" ht="14.5" spans="2:14"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"/>
      <c r="M1344" s="1"/>
      <c r="N1344" s="1"/>
    </row>
    <row r="1345" ht="14.5" spans="2:14"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"/>
      <c r="M1345" s="1"/>
      <c r="N1345" s="1"/>
    </row>
    <row r="1346" ht="14.5" spans="2:14"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"/>
      <c r="M1346" s="1"/>
      <c r="N1346" s="1"/>
    </row>
    <row r="1347" ht="14.5" spans="2:14"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"/>
      <c r="M1347" s="1"/>
      <c r="N1347" s="1"/>
    </row>
    <row r="1348" ht="14.5" spans="2:14"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"/>
      <c r="M1348" s="1"/>
      <c r="N1348" s="1"/>
    </row>
    <row r="1349" ht="14.5" spans="2:14"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"/>
      <c r="M1349" s="1"/>
      <c r="N1349" s="1"/>
    </row>
    <row r="1350" ht="14.5" spans="2:14"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"/>
      <c r="M1350" s="1"/>
      <c r="N1350" s="1"/>
    </row>
    <row r="1351" ht="14.5" spans="2:14"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"/>
      <c r="M1351" s="1"/>
      <c r="N1351" s="1"/>
    </row>
    <row r="1352" ht="14.5" spans="2:14"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"/>
      <c r="M1352" s="1"/>
      <c r="N1352" s="1"/>
    </row>
    <row r="1353" ht="14.5" spans="2:14"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"/>
      <c r="M1353" s="1"/>
      <c r="N1353" s="1"/>
    </row>
    <row r="1354" ht="14.5" spans="2:14"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"/>
      <c r="M1354" s="1"/>
      <c r="N1354" s="1"/>
    </row>
    <row r="1355" ht="14.5" spans="2:14"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"/>
      <c r="M1355" s="1"/>
      <c r="N1355" s="1"/>
    </row>
    <row r="1356" ht="14.5" spans="2:14"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"/>
      <c r="M1356" s="1"/>
      <c r="N1356" s="1"/>
    </row>
    <row r="1357" ht="14.5" spans="2:14"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"/>
      <c r="M1357" s="1"/>
      <c r="N1357" s="1"/>
    </row>
    <row r="1358" ht="14.5" spans="2:14"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"/>
      <c r="M1358" s="1"/>
      <c r="N1358" s="1"/>
    </row>
    <row r="1359" ht="14.5" spans="2:14"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"/>
      <c r="M1359" s="1"/>
      <c r="N1359" s="1"/>
    </row>
    <row r="1360" ht="14.5" spans="2:14"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"/>
      <c r="M1360" s="1"/>
      <c r="N1360" s="1"/>
    </row>
    <row r="1361" ht="14.5" spans="2:14"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"/>
      <c r="M1361" s="1"/>
      <c r="N1361" s="1"/>
    </row>
    <row r="1362" ht="14.5" spans="2:14"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"/>
      <c r="M1362" s="1"/>
      <c r="N1362" s="1"/>
    </row>
    <row r="1363" ht="14.5" spans="2:14"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"/>
      <c r="M1363" s="1"/>
      <c r="N1363" s="1"/>
    </row>
    <row r="1364" ht="14.5" spans="2:14"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"/>
      <c r="M1364" s="1"/>
      <c r="N1364" s="1"/>
    </row>
    <row r="1365" ht="14.5" spans="2:14"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"/>
      <c r="M1365" s="1"/>
      <c r="N1365" s="1"/>
    </row>
    <row r="1366" ht="14.5" spans="2:14"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"/>
      <c r="M1366" s="1"/>
      <c r="N1366" s="1"/>
    </row>
    <row r="1367" ht="14.5" spans="2:14"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"/>
      <c r="M1367" s="1"/>
      <c r="N1367" s="1"/>
    </row>
    <row r="1368" ht="14.5" spans="2:14"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"/>
      <c r="M1368" s="1"/>
      <c r="N1368" s="1"/>
    </row>
    <row r="1369" ht="14.5" spans="2:14"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"/>
      <c r="M1369" s="1"/>
      <c r="N1369" s="1"/>
    </row>
    <row r="1370" ht="14.5" spans="2:14"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"/>
      <c r="M1370" s="1"/>
      <c r="N1370" s="1"/>
    </row>
    <row r="1371" ht="14.5" spans="2:14"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"/>
      <c r="M1371" s="1"/>
      <c r="N1371" s="1"/>
    </row>
    <row r="1372" ht="14.5" spans="2:14"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"/>
      <c r="M1372" s="1"/>
      <c r="N1372" s="1"/>
    </row>
    <row r="1373" ht="14.5" spans="2:14"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"/>
      <c r="M1373" s="1"/>
      <c r="N1373" s="1"/>
    </row>
    <row r="1374" ht="14.5" spans="2:14"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"/>
      <c r="M1374" s="1"/>
      <c r="N1374" s="1"/>
    </row>
    <row r="1375" ht="14.5" spans="2:14"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"/>
      <c r="M1375" s="1"/>
      <c r="N1375" s="1"/>
    </row>
    <row r="1376" ht="14.5" spans="2:14"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"/>
      <c r="M1376" s="1"/>
      <c r="N1376" s="1"/>
    </row>
    <row r="1377" ht="14.5" spans="2:14"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"/>
      <c r="M1377" s="1"/>
      <c r="N1377" s="1"/>
    </row>
    <row r="1378" ht="14.5" spans="2:14"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"/>
      <c r="M1378" s="1"/>
      <c r="N1378" s="1"/>
    </row>
    <row r="1379" ht="14.5" spans="2:14"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"/>
      <c r="M1379" s="1"/>
      <c r="N1379" s="1"/>
    </row>
    <row r="1380" ht="14.5" spans="2:14"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"/>
      <c r="M1380" s="1"/>
      <c r="N1380" s="1"/>
    </row>
    <row r="1381" ht="14.5" spans="2:14"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"/>
      <c r="M1381" s="1"/>
      <c r="N1381" s="1"/>
    </row>
    <row r="1382" ht="14.5" spans="2:14"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"/>
      <c r="M1382" s="1"/>
      <c r="N1382" s="1"/>
    </row>
    <row r="1383" ht="14.5" spans="2:14"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"/>
      <c r="M1383" s="1"/>
      <c r="N1383" s="1"/>
    </row>
    <row r="1384" ht="14.5" spans="2:14"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"/>
      <c r="M1384" s="1"/>
      <c r="N1384" s="1"/>
    </row>
    <row r="1385" ht="14.5" spans="2:14"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"/>
      <c r="M1385" s="1"/>
      <c r="N1385" s="1"/>
    </row>
    <row r="1386" ht="14.5" spans="2:14"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"/>
      <c r="M1386" s="1"/>
      <c r="N1386" s="1"/>
    </row>
    <row r="1387" ht="14.5" spans="2:14"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"/>
      <c r="M1387" s="1"/>
      <c r="N1387" s="1"/>
    </row>
    <row r="1388" ht="14.5" spans="2:14"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"/>
      <c r="M1388" s="1"/>
      <c r="N1388" s="1"/>
    </row>
    <row r="1389" ht="14.5" spans="2:14"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"/>
      <c r="M1389" s="1"/>
      <c r="N1389" s="1"/>
    </row>
    <row r="1390" ht="14.5" spans="2:14"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"/>
      <c r="M1390" s="1"/>
      <c r="N1390" s="1"/>
    </row>
    <row r="1391" ht="14.5" spans="2:14"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"/>
      <c r="M1391" s="1"/>
      <c r="N1391" s="1"/>
    </row>
    <row r="1392" ht="14.5" spans="2:14"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"/>
      <c r="M1392" s="1"/>
      <c r="N1392" s="1"/>
    </row>
    <row r="1393" ht="14.5" spans="2:14"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"/>
      <c r="M1393" s="1"/>
      <c r="N1393" s="1"/>
    </row>
    <row r="1394" ht="14.5" spans="2:14"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"/>
      <c r="M1394" s="1"/>
      <c r="N1394" s="1"/>
    </row>
    <row r="1395" ht="14.5" spans="2:14"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"/>
      <c r="M1395" s="1"/>
      <c r="N1395" s="1"/>
    </row>
    <row r="1396" ht="14.5" spans="2:14"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"/>
      <c r="M1396" s="1"/>
      <c r="N1396" s="1"/>
    </row>
    <row r="1397" ht="14.5" spans="2:14"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"/>
      <c r="M1397" s="1"/>
      <c r="N1397" s="1"/>
    </row>
    <row r="1398" ht="14.5" spans="2:14"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"/>
      <c r="M1398" s="1"/>
      <c r="N1398" s="1"/>
    </row>
    <row r="1399" ht="14.5" spans="2:14"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"/>
      <c r="M1399" s="1"/>
      <c r="N1399" s="1"/>
    </row>
    <row r="1400" ht="14.5" spans="2:14"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"/>
      <c r="M1400" s="1"/>
      <c r="N1400" s="1"/>
    </row>
    <row r="1401" ht="14.5" spans="2:14"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"/>
      <c r="M1401" s="1"/>
      <c r="N1401" s="1"/>
    </row>
    <row r="1402" ht="14.5" spans="2:14"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"/>
      <c r="M1402" s="1"/>
      <c r="N1402" s="1"/>
    </row>
    <row r="1403" ht="14.5" spans="2:14"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"/>
      <c r="M1403" s="1"/>
      <c r="N1403" s="1"/>
    </row>
    <row r="1404" ht="14.5" spans="2:14"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"/>
      <c r="M1404" s="1"/>
      <c r="N1404" s="1"/>
    </row>
    <row r="1405" ht="14.5" spans="2:14"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"/>
      <c r="M1405" s="1"/>
      <c r="N1405" s="1"/>
    </row>
    <row r="1406" ht="14.5" spans="2:14"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"/>
      <c r="M1406" s="1"/>
      <c r="N1406" s="1"/>
    </row>
    <row r="1407" ht="14.5" spans="2:14"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"/>
      <c r="M1407" s="1"/>
      <c r="N1407" s="1"/>
    </row>
    <row r="1408" ht="14.5" spans="2:14"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"/>
      <c r="M1408" s="1"/>
      <c r="N1408" s="1"/>
    </row>
    <row r="1409" ht="14.5" spans="2:14"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"/>
      <c r="M1409" s="1"/>
      <c r="N1409" s="1"/>
    </row>
    <row r="1410" ht="14.5" spans="2:14"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"/>
      <c r="M1410" s="1"/>
      <c r="N1410" s="1"/>
    </row>
    <row r="1411" ht="14.5" spans="2:14"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"/>
      <c r="M1411" s="1"/>
      <c r="N1411" s="1"/>
    </row>
    <row r="1412" ht="14.5" spans="2:14"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"/>
      <c r="M1412" s="1"/>
      <c r="N1412" s="1"/>
    </row>
    <row r="1413" ht="14.5" spans="2:14"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"/>
      <c r="M1413" s="1"/>
      <c r="N1413" s="1"/>
    </row>
    <row r="1414" ht="14.5" spans="2:14"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"/>
      <c r="M1414" s="1"/>
      <c r="N1414" s="1"/>
    </row>
    <row r="1415" ht="14.5" spans="2:14"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"/>
      <c r="M1415" s="1"/>
      <c r="N1415" s="1"/>
    </row>
    <row r="1416" ht="14.5" spans="2:14"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"/>
      <c r="M1416" s="1"/>
      <c r="N1416" s="1"/>
    </row>
    <row r="1417" ht="14.5" spans="2:14"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"/>
      <c r="M1417" s="1"/>
      <c r="N1417" s="1"/>
    </row>
    <row r="1418" ht="14.5" spans="2:14"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"/>
      <c r="M1418" s="1"/>
      <c r="N1418" s="1"/>
    </row>
    <row r="1419" ht="14.5" spans="2:14"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"/>
      <c r="M1419" s="1"/>
      <c r="N1419" s="1"/>
    </row>
    <row r="1420" ht="14.5" spans="2:14"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"/>
      <c r="M1420" s="1"/>
      <c r="N1420" s="1"/>
    </row>
    <row r="1421" ht="14.5" spans="2:14"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"/>
      <c r="M1421" s="1"/>
      <c r="N1421" s="1"/>
    </row>
    <row r="1422" ht="14.5" spans="2:14"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"/>
      <c r="M1422" s="1"/>
      <c r="N1422" s="1"/>
    </row>
    <row r="1423" ht="14.5" spans="2:14"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"/>
      <c r="M1423" s="1"/>
      <c r="N1423" s="1"/>
    </row>
    <row r="1424" ht="14.5" spans="2:14"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"/>
      <c r="M1424" s="1"/>
      <c r="N1424" s="1"/>
    </row>
    <row r="1425" ht="14.5" spans="2:14"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"/>
      <c r="M1425" s="1"/>
      <c r="N1425" s="1"/>
    </row>
    <row r="1426" ht="14.5" spans="2:14"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"/>
      <c r="M1426" s="1"/>
      <c r="N1426" s="1"/>
    </row>
    <row r="1427" ht="14.5" spans="2:14"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"/>
      <c r="M1427" s="1"/>
      <c r="N1427" s="1"/>
    </row>
    <row r="1428" ht="14.5" spans="2:14"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"/>
      <c r="M1428" s="1"/>
      <c r="N1428" s="1"/>
    </row>
    <row r="1429" ht="14.5" spans="2:14"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"/>
      <c r="M1429" s="1"/>
      <c r="N1429" s="1"/>
    </row>
    <row r="1430" ht="14.5" spans="2:14"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"/>
      <c r="M1430" s="1"/>
      <c r="N1430" s="1"/>
    </row>
    <row r="1431" ht="14.5" spans="2:14"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"/>
      <c r="M1431" s="1"/>
      <c r="N1431" s="1"/>
    </row>
    <row r="1432" ht="14.5" spans="2:14"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"/>
      <c r="M1432" s="1"/>
      <c r="N1432" s="1"/>
    </row>
    <row r="1433" ht="14.5" spans="2:14"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"/>
      <c r="M1433" s="1"/>
      <c r="N1433" s="1"/>
    </row>
    <row r="1434" ht="14.5" spans="2:14"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"/>
      <c r="M1434" s="1"/>
      <c r="N1434" s="1"/>
    </row>
    <row r="1435" ht="14.5" spans="2:14"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"/>
      <c r="M1435" s="1"/>
      <c r="N1435" s="1"/>
    </row>
    <row r="1436" ht="14.5" spans="2:14"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"/>
      <c r="M1436" s="1"/>
      <c r="N1436" s="1"/>
    </row>
    <row r="1437" ht="14.5" spans="2:14"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"/>
      <c r="M1437" s="1"/>
      <c r="N1437" s="1"/>
    </row>
    <row r="1438" ht="14.5" spans="2:14"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"/>
      <c r="M1438" s="1"/>
      <c r="N1438" s="1"/>
    </row>
    <row r="1439" ht="14.5" spans="2:14"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"/>
      <c r="M1439" s="1"/>
      <c r="N1439" s="1"/>
    </row>
    <row r="1440" ht="14.5" spans="2:14"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"/>
      <c r="M1440" s="1"/>
      <c r="N1440" s="1"/>
    </row>
    <row r="1441" ht="14.5" spans="2:14"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"/>
      <c r="M1441" s="1"/>
      <c r="N1441" s="1"/>
    </row>
    <row r="1442" ht="14.5" spans="2:14"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"/>
      <c r="M1442" s="1"/>
      <c r="N1442" s="1"/>
    </row>
    <row r="1443" ht="14.5" spans="2:14"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"/>
      <c r="M1443" s="1"/>
      <c r="N1443" s="1"/>
    </row>
    <row r="1444" ht="14.5" spans="2:14"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"/>
      <c r="M1444" s="1"/>
      <c r="N1444" s="1"/>
    </row>
    <row r="1445" ht="14.5" spans="2:14"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"/>
      <c r="M1445" s="1"/>
      <c r="N1445" s="1"/>
    </row>
    <row r="1446" ht="14.5" spans="2:14"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"/>
      <c r="M1446" s="1"/>
      <c r="N1446" s="1"/>
    </row>
    <row r="1447" ht="14.5" spans="2:14"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"/>
      <c r="M1447" s="1"/>
      <c r="N1447" s="1"/>
    </row>
    <row r="1448" ht="14.5" spans="2:14"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"/>
      <c r="M1448" s="1"/>
      <c r="N1448" s="1"/>
    </row>
    <row r="1449" ht="14.5" spans="2:14"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"/>
      <c r="M1449" s="1"/>
      <c r="N1449" s="1"/>
    </row>
    <row r="1450" ht="14.5" spans="2:14"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"/>
      <c r="M1450" s="1"/>
      <c r="N1450" s="1"/>
    </row>
    <row r="1451" ht="14.5" spans="2:14"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"/>
      <c r="M1451" s="1"/>
      <c r="N1451" s="1"/>
    </row>
    <row r="1452" ht="14.5" spans="2:14"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"/>
      <c r="M1452" s="1"/>
      <c r="N1452" s="1"/>
    </row>
    <row r="1453" ht="14.5" spans="2:14"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"/>
      <c r="M1453" s="1"/>
      <c r="N1453" s="1"/>
    </row>
    <row r="1454" ht="14.5" spans="2:14"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"/>
      <c r="M1454" s="1"/>
      <c r="N1454" s="1"/>
    </row>
    <row r="1455" ht="14.5" spans="2:14"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"/>
      <c r="M1455" s="1"/>
      <c r="N1455" s="1"/>
    </row>
    <row r="1456" ht="14.5" spans="2:14"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"/>
      <c r="M1456" s="1"/>
      <c r="N1456" s="1"/>
    </row>
    <row r="1457" ht="14.5" spans="2:14"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"/>
      <c r="M1457" s="1"/>
      <c r="N1457" s="1"/>
    </row>
    <row r="1458" ht="14.5" spans="2:14"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"/>
      <c r="M1458" s="1"/>
      <c r="N1458" s="1"/>
    </row>
    <row r="1459" ht="14.5" spans="2:14"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"/>
      <c r="M1459" s="1"/>
      <c r="N1459" s="1"/>
    </row>
    <row r="1460" ht="14.5" spans="2:14"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"/>
      <c r="M1460" s="1"/>
      <c r="N1460" s="1"/>
    </row>
    <row r="1461" ht="14.5" spans="2:14"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"/>
      <c r="M1461" s="1"/>
      <c r="N1461" s="1"/>
    </row>
    <row r="1462" ht="14.5" spans="2:14"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"/>
      <c r="M1462" s="1"/>
      <c r="N1462" s="1"/>
    </row>
    <row r="1463" ht="14.5" spans="2:14"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"/>
      <c r="M1463" s="1"/>
      <c r="N1463" s="1"/>
    </row>
    <row r="1464" ht="14.5" spans="2:14"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"/>
      <c r="M1464" s="1"/>
      <c r="N1464" s="1"/>
    </row>
    <row r="1465" ht="14.5" spans="2:14"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"/>
      <c r="M1465" s="1"/>
      <c r="N1465" s="1"/>
    </row>
    <row r="1466" ht="14.5" spans="2:14"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"/>
      <c r="M1466" s="1"/>
      <c r="N1466" s="1"/>
    </row>
    <row r="1467" ht="14.5" spans="2:14"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"/>
      <c r="M1467" s="1"/>
      <c r="N1467" s="1"/>
    </row>
    <row r="1468" ht="14.5" spans="2:14"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"/>
      <c r="M1468" s="1"/>
      <c r="N1468" s="1"/>
    </row>
    <row r="1469" ht="14.5" spans="2:14"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"/>
      <c r="M1469" s="1"/>
      <c r="N1469" s="1"/>
    </row>
    <row r="1470" ht="14.5" spans="2:14"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"/>
      <c r="M1470" s="1"/>
      <c r="N1470" s="1"/>
    </row>
    <row r="1471" ht="14.5" spans="2:14"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"/>
      <c r="M1471" s="1"/>
      <c r="N1471" s="1"/>
    </row>
    <row r="1472" ht="14.5" spans="2:14"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"/>
      <c r="M1472" s="1"/>
      <c r="N1472" s="1"/>
    </row>
    <row r="1473" ht="14.5" spans="2:14"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"/>
      <c r="M1473" s="1"/>
      <c r="N1473" s="1"/>
    </row>
    <row r="1474" ht="14.5" spans="2:14"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"/>
      <c r="M1474" s="1"/>
      <c r="N1474" s="1"/>
    </row>
    <row r="1475" ht="14.5" spans="2:14"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"/>
      <c r="M1475" s="1"/>
      <c r="N1475" s="1"/>
    </row>
    <row r="1476" ht="14.5" spans="2:14"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"/>
      <c r="M1476" s="1"/>
      <c r="N1476" s="1"/>
    </row>
    <row r="1477" ht="14.5" spans="2:14"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"/>
      <c r="M1477" s="1"/>
      <c r="N1477" s="1"/>
    </row>
    <row r="1478" ht="14.5" spans="2:14"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"/>
      <c r="M1478" s="1"/>
      <c r="N1478" s="1"/>
    </row>
    <row r="1479" ht="14.5" spans="2:14"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"/>
      <c r="M1479" s="1"/>
      <c r="N1479" s="1"/>
    </row>
    <row r="1480" ht="14.5" spans="2:14"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"/>
      <c r="M1480" s="1"/>
      <c r="N1480" s="1"/>
    </row>
    <row r="1481" ht="14.5" spans="2:14"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"/>
      <c r="M1481" s="1"/>
      <c r="N1481" s="1"/>
    </row>
    <row r="1482" ht="14.5" spans="2:14"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"/>
      <c r="M1482" s="1"/>
      <c r="N1482" s="1"/>
    </row>
    <row r="1483" ht="14.5" spans="2:14"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"/>
      <c r="M1483" s="1"/>
      <c r="N1483" s="1"/>
    </row>
    <row r="1484" ht="14.5" spans="2:14"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"/>
      <c r="M1484" s="1"/>
      <c r="N1484" s="1"/>
    </row>
    <row r="1485" ht="14.5" spans="2:14"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"/>
      <c r="M1485" s="1"/>
      <c r="N1485" s="1"/>
    </row>
    <row r="1486" ht="14.5" spans="2:14"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"/>
      <c r="M1486" s="1"/>
      <c r="N1486" s="1"/>
    </row>
    <row r="1487" ht="14.5" spans="2:14"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"/>
      <c r="M1487" s="1"/>
      <c r="N1487" s="1"/>
    </row>
    <row r="1488" ht="14.5" spans="2:14"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"/>
      <c r="M1488" s="1"/>
      <c r="N1488" s="1"/>
    </row>
    <row r="1489" ht="14.5" spans="2:14"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"/>
      <c r="M1489" s="1"/>
      <c r="N1489" s="1"/>
    </row>
    <row r="1490" ht="14.5" spans="2:14"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"/>
      <c r="M1490" s="1"/>
      <c r="N1490" s="1"/>
    </row>
    <row r="1491" ht="14.5" spans="2:14"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"/>
      <c r="M1491" s="1"/>
      <c r="N1491" s="1"/>
    </row>
    <row r="1492" ht="14.5" spans="2:14"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"/>
      <c r="M1492" s="1"/>
      <c r="N1492" s="1"/>
    </row>
    <row r="1493" ht="14.5" spans="2:14"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"/>
      <c r="M1493" s="1"/>
      <c r="N1493" s="1"/>
    </row>
    <row r="1494" ht="14.5" spans="2:14"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"/>
      <c r="M1494" s="1"/>
      <c r="N1494" s="1"/>
    </row>
    <row r="1495" ht="14.5" spans="2:14"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"/>
      <c r="M1495" s="1"/>
      <c r="N1495" s="1"/>
    </row>
    <row r="1496" ht="14.5" spans="2:14"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"/>
      <c r="M1496" s="1"/>
      <c r="N1496" s="1"/>
    </row>
    <row r="1497" ht="14.5" spans="2:14"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"/>
      <c r="M1497" s="1"/>
      <c r="N1497" s="1"/>
    </row>
    <row r="1498" ht="14.5" spans="2:14"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"/>
      <c r="M1498" s="1"/>
      <c r="N1498" s="1"/>
    </row>
    <row r="1499" ht="14.5" spans="2:14"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"/>
      <c r="M1499" s="1"/>
      <c r="N1499" s="1"/>
    </row>
    <row r="1500" ht="14.5" spans="2:14"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"/>
      <c r="M1500" s="1"/>
      <c r="N1500" s="1"/>
    </row>
    <row r="1501" ht="14.5" spans="2:14"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"/>
      <c r="M1501" s="1"/>
      <c r="N1501" s="1"/>
    </row>
    <row r="1502" ht="14.5" spans="2:14"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"/>
      <c r="M1502" s="1"/>
      <c r="N1502" s="1"/>
    </row>
    <row r="1503" ht="14.5" spans="2:14"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"/>
      <c r="M1503" s="1"/>
      <c r="N1503" s="1"/>
    </row>
    <row r="1504" ht="14.5" spans="2:14"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"/>
      <c r="M1504" s="1"/>
      <c r="N1504" s="1"/>
    </row>
    <row r="1505" ht="14.5" spans="2:14"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"/>
      <c r="M1505" s="1"/>
      <c r="N1505" s="1"/>
    </row>
    <row r="1506" ht="14.5" spans="2:14"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"/>
      <c r="M1506" s="1"/>
      <c r="N1506" s="1"/>
    </row>
    <row r="1507" ht="14.5" spans="2:14"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"/>
      <c r="M1507" s="1"/>
      <c r="N1507" s="1"/>
    </row>
    <row r="1508" ht="14.5" spans="2:14"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"/>
      <c r="M1508" s="1"/>
      <c r="N1508" s="1"/>
    </row>
    <row r="1509" ht="14.5" spans="2:14"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"/>
      <c r="M1509" s="1"/>
      <c r="N1509" s="1"/>
    </row>
    <row r="1510" ht="14.5" spans="2:14"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"/>
      <c r="M1510" s="1"/>
      <c r="N1510" s="1"/>
    </row>
    <row r="1511" ht="14.5" spans="2:14"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"/>
      <c r="M1511" s="1"/>
      <c r="N1511" s="1"/>
    </row>
    <row r="1512" ht="14.5" spans="2:14"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"/>
      <c r="M1512" s="1"/>
      <c r="N1512" s="1"/>
    </row>
    <row r="1513" ht="14.5" spans="2:14"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"/>
      <c r="M1513" s="1"/>
      <c r="N1513" s="1"/>
    </row>
    <row r="1514" ht="14.5" spans="2:14"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"/>
      <c r="M1514" s="1"/>
      <c r="N1514" s="1"/>
    </row>
    <row r="1515" ht="14.5" spans="2:14"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"/>
      <c r="M1515" s="1"/>
      <c r="N1515" s="1"/>
    </row>
    <row r="1516" ht="14.5" spans="2:14"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"/>
      <c r="M1516" s="1"/>
      <c r="N1516" s="1"/>
    </row>
    <row r="1517" ht="14.5" spans="2:14"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"/>
      <c r="M1517" s="1"/>
      <c r="N1517" s="1"/>
    </row>
    <row r="1518" ht="14.5" spans="2:14"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"/>
      <c r="M1518" s="1"/>
      <c r="N1518" s="1"/>
    </row>
    <row r="1519" ht="14.5" spans="2:14"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"/>
      <c r="M1519" s="1"/>
      <c r="N1519" s="1"/>
    </row>
    <row r="1520" ht="14.5" spans="2:14"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"/>
      <c r="M1520" s="1"/>
      <c r="N1520" s="1"/>
    </row>
    <row r="1521" ht="14.5" spans="2:14"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"/>
      <c r="M1521" s="1"/>
      <c r="N1521" s="1"/>
    </row>
    <row r="1522" ht="14.5" spans="2:14"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"/>
      <c r="M1522" s="1"/>
      <c r="N1522" s="1"/>
    </row>
    <row r="1523" ht="14.5" spans="2:14"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"/>
      <c r="M1523" s="1"/>
      <c r="N1523" s="1"/>
    </row>
    <row r="1524" ht="14.5" spans="2:14"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"/>
      <c r="M1524" s="1"/>
      <c r="N1524" s="1"/>
    </row>
    <row r="1525" ht="14.5" spans="2:14"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"/>
      <c r="M1525" s="1"/>
      <c r="N1525" s="1"/>
    </row>
    <row r="1526" ht="14.5" spans="2:14"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"/>
      <c r="M1526" s="1"/>
      <c r="N1526" s="1"/>
    </row>
    <row r="1527" ht="14.5" spans="2:14"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"/>
      <c r="M1527" s="1"/>
      <c r="N1527" s="1"/>
    </row>
    <row r="1528" ht="14.5" spans="2:14"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"/>
      <c r="M1528" s="1"/>
      <c r="N1528" s="1"/>
    </row>
    <row r="1529" ht="14.5" spans="2:14"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"/>
      <c r="M1529" s="1"/>
      <c r="N1529" s="1"/>
    </row>
    <row r="1530" ht="14.5" spans="2:14"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"/>
      <c r="M1530" s="1"/>
      <c r="N1530" s="1"/>
    </row>
    <row r="1531" ht="14.5" spans="2:14"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"/>
      <c r="M1531" s="1"/>
      <c r="N1531" s="1"/>
    </row>
    <row r="1532" ht="14.5" spans="2:14"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"/>
      <c r="M1532" s="1"/>
      <c r="N1532" s="1"/>
    </row>
    <row r="1533" ht="14.5" spans="2:14"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"/>
      <c r="M1533" s="1"/>
      <c r="N1533" s="1"/>
    </row>
    <row r="1534" ht="14.5" spans="2:14"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"/>
      <c r="M1534" s="1"/>
      <c r="N1534" s="1"/>
    </row>
    <row r="1535" ht="14.5" spans="2:14"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"/>
      <c r="M1535" s="1"/>
      <c r="N1535" s="1"/>
    </row>
    <row r="1536" ht="14.5" spans="2:14"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"/>
      <c r="M1536" s="1"/>
      <c r="N1536" s="1"/>
    </row>
    <row r="1537" ht="14.5" spans="2:14"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"/>
      <c r="M1537" s="1"/>
      <c r="N1537" s="1"/>
    </row>
    <row r="1538" ht="14.5" spans="2:14"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"/>
      <c r="M1538" s="1"/>
      <c r="N1538" s="1"/>
    </row>
    <row r="1539" ht="14.5" spans="2:14"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"/>
      <c r="M1539" s="1"/>
      <c r="N1539" s="1"/>
    </row>
    <row r="1540" ht="14.5" spans="2:14"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"/>
      <c r="M1540" s="1"/>
      <c r="N1540" s="1"/>
    </row>
    <row r="1541" ht="14.5" spans="2:14"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"/>
      <c r="M1541" s="1"/>
      <c r="N1541" s="1"/>
    </row>
    <row r="1542" ht="14.5" spans="2:14"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"/>
      <c r="M1542" s="1"/>
      <c r="N1542" s="1"/>
    </row>
    <row r="1543" ht="14.5" spans="2:14"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"/>
      <c r="M1543" s="1"/>
      <c r="N1543" s="1"/>
    </row>
    <row r="1544" ht="14.5" spans="2:14"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"/>
      <c r="M1544" s="1"/>
      <c r="N1544" s="1"/>
    </row>
    <row r="1545" ht="14.5" spans="2:14"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"/>
      <c r="M1545" s="1"/>
      <c r="N1545" s="1"/>
    </row>
    <row r="1546" ht="14.5" spans="2:14"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"/>
      <c r="M1546" s="1"/>
      <c r="N1546" s="1"/>
    </row>
    <row r="1547" ht="14.5" spans="2:14"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"/>
      <c r="M1547" s="1"/>
      <c r="N1547" s="1"/>
    </row>
    <row r="1548" ht="14.5" spans="2:14"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"/>
      <c r="M1548" s="1"/>
      <c r="N1548" s="1"/>
    </row>
    <row r="1549" ht="14.5" spans="2:14"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"/>
      <c r="M1549" s="1"/>
      <c r="N1549" s="1"/>
    </row>
    <row r="1550" ht="14.5" spans="2:14"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"/>
      <c r="M1550" s="1"/>
      <c r="N1550" s="1"/>
    </row>
    <row r="1551" ht="14.5" spans="2:14"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"/>
      <c r="M1551" s="1"/>
      <c r="N1551" s="1"/>
    </row>
    <row r="1552" ht="14.5" spans="2:14"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"/>
      <c r="M1552" s="1"/>
      <c r="N1552" s="1"/>
    </row>
    <row r="1553" ht="14.5" spans="2:14"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"/>
      <c r="M1553" s="1"/>
      <c r="N1553" s="1"/>
    </row>
    <row r="1554" ht="14.5" spans="2:14"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"/>
      <c r="M1554" s="1"/>
      <c r="N1554" s="1"/>
    </row>
    <row r="1555" ht="14.5" spans="2:14"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"/>
      <c r="M1555" s="1"/>
      <c r="N1555" s="1"/>
    </row>
    <row r="1556" ht="14.5" spans="2:14"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"/>
      <c r="M1556" s="1"/>
      <c r="N1556" s="1"/>
    </row>
    <row r="1557" ht="14.5" spans="2:14"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"/>
      <c r="M1557" s="1"/>
      <c r="N1557" s="1"/>
    </row>
    <row r="1558" ht="14.5" spans="2:14"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"/>
      <c r="M1558" s="1"/>
      <c r="N1558" s="1"/>
    </row>
    <row r="1559" ht="14.5" spans="2:14"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"/>
      <c r="M1559" s="1"/>
      <c r="N1559" s="1"/>
    </row>
    <row r="1560" ht="14.5" spans="2:14"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"/>
      <c r="M1560" s="1"/>
      <c r="N1560" s="1"/>
    </row>
    <row r="1561" ht="14.5" spans="2:14"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"/>
      <c r="M1561" s="1"/>
      <c r="N1561" s="1"/>
    </row>
    <row r="1562" ht="14.5" spans="2:14"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"/>
      <c r="M1562" s="1"/>
      <c r="N1562" s="1"/>
    </row>
    <row r="1563" ht="14.5" spans="2:14"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"/>
      <c r="M1563" s="1"/>
      <c r="N1563" s="1"/>
    </row>
    <row r="1564" ht="14.5" spans="2:14"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"/>
      <c r="M1564" s="1"/>
      <c r="N1564" s="1"/>
    </row>
    <row r="1565" ht="14.5" spans="2:14"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"/>
      <c r="M1565" s="1"/>
      <c r="N1565" s="1"/>
    </row>
    <row r="1566" ht="14.5" spans="2:14"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"/>
      <c r="M1566" s="1"/>
      <c r="N1566" s="1"/>
    </row>
    <row r="1567" ht="14.5" spans="2:14"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"/>
      <c r="M1567" s="1"/>
      <c r="N1567" s="1"/>
    </row>
    <row r="1568" ht="14.5" spans="2:14"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"/>
      <c r="M1568" s="1"/>
      <c r="N1568" s="1"/>
    </row>
    <row r="1569" ht="14.5" spans="2:14"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"/>
      <c r="M1569" s="1"/>
      <c r="N1569" s="1"/>
    </row>
    <row r="1570" ht="14.5" spans="2:14"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"/>
      <c r="M1570" s="1"/>
      <c r="N1570" s="1"/>
    </row>
    <row r="1571" ht="14.5" spans="2:14"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"/>
      <c r="M1571" s="1"/>
      <c r="N1571" s="1"/>
    </row>
    <row r="1572" ht="14.5" spans="2:14"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"/>
      <c r="M1572" s="1"/>
      <c r="N1572" s="1"/>
    </row>
    <row r="1573" ht="14.5" spans="2:14"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"/>
      <c r="M1573" s="1"/>
      <c r="N1573" s="1"/>
    </row>
    <row r="1574" ht="14.5" spans="2:14"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"/>
      <c r="M1574" s="1"/>
      <c r="N1574" s="1"/>
    </row>
    <row r="1575" ht="14.5" spans="2:14"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"/>
      <c r="M1575" s="1"/>
      <c r="N1575" s="1"/>
    </row>
    <row r="1576" ht="14.5" spans="2:14"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"/>
      <c r="M1576" s="1"/>
      <c r="N1576" s="1"/>
    </row>
    <row r="1577" ht="14.5" spans="2:14"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"/>
      <c r="M1577" s="1"/>
      <c r="N1577" s="1"/>
    </row>
    <row r="1578" ht="14.5" spans="2:14"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"/>
      <c r="M1578" s="1"/>
      <c r="N1578" s="1"/>
    </row>
    <row r="1579" ht="14.5" spans="2:14"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"/>
      <c r="M1579" s="1"/>
      <c r="N1579" s="1"/>
    </row>
    <row r="1580" ht="14.5" spans="2:14"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"/>
      <c r="M1580" s="1"/>
      <c r="N1580" s="1"/>
    </row>
    <row r="1581" ht="14.5" spans="2:14"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"/>
      <c r="M1581" s="1"/>
      <c r="N1581" s="1"/>
    </row>
    <row r="1582" ht="14.5" spans="2:14"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"/>
      <c r="M1582" s="1"/>
      <c r="N1582" s="1"/>
    </row>
    <row r="1583" ht="14.5" spans="2:14"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"/>
      <c r="M1583" s="1"/>
      <c r="N1583" s="1"/>
    </row>
    <row r="1584" ht="14.5" spans="2:14"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"/>
      <c r="M1584" s="1"/>
      <c r="N1584" s="1"/>
    </row>
    <row r="1585" ht="14.5" spans="2:14"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"/>
      <c r="M1585" s="1"/>
      <c r="N1585" s="1"/>
    </row>
    <row r="1586" ht="14.5" spans="2:14"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"/>
      <c r="M1586" s="1"/>
      <c r="N1586" s="1"/>
    </row>
    <row r="1587" ht="14.5" spans="2:14"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"/>
      <c r="M1587" s="1"/>
      <c r="N1587" s="1"/>
    </row>
    <row r="1588" ht="14.5" spans="2:14"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"/>
      <c r="M1588" s="1"/>
      <c r="N1588" s="1"/>
    </row>
    <row r="1589" ht="14.5" spans="2:14"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"/>
      <c r="M1589" s="1"/>
      <c r="N1589" s="1"/>
    </row>
    <row r="1590" ht="14.5" spans="2:14"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"/>
      <c r="M1590" s="1"/>
      <c r="N1590" s="1"/>
    </row>
    <row r="1591" ht="14.5" spans="2:14"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"/>
      <c r="M1591" s="1"/>
      <c r="N1591" s="1"/>
    </row>
    <row r="1592" ht="14.5" spans="2:14"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"/>
      <c r="M1592" s="1"/>
      <c r="N1592" s="1"/>
    </row>
    <row r="1593" ht="14.5" spans="2:14"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"/>
      <c r="M1593" s="1"/>
      <c r="N1593" s="1"/>
    </row>
    <row r="1594" ht="14.5" spans="2:14"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"/>
      <c r="M1594" s="1"/>
      <c r="N1594" s="1"/>
    </row>
    <row r="1595" ht="14.5" spans="2:14"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"/>
      <c r="M1595" s="1"/>
      <c r="N1595" s="1"/>
    </row>
    <row r="1596" ht="14.5" spans="2:14"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"/>
      <c r="M1596" s="1"/>
      <c r="N1596" s="1"/>
    </row>
    <row r="1597" ht="14.5" spans="2:14"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"/>
      <c r="M1597" s="1"/>
      <c r="N1597" s="1"/>
    </row>
    <row r="1598" ht="14.5" spans="2:14"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"/>
      <c r="M1598" s="1"/>
      <c r="N1598" s="1"/>
    </row>
    <row r="1599" ht="14.5" spans="2:14"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"/>
      <c r="M1599" s="1"/>
      <c r="N1599" s="1"/>
    </row>
    <row r="1600" ht="14.5" spans="2:14"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"/>
      <c r="M1600" s="1"/>
      <c r="N1600" s="1"/>
    </row>
    <row r="1601" ht="14.5" spans="2:14"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"/>
      <c r="M1601" s="1"/>
      <c r="N1601" s="1"/>
    </row>
    <row r="1602" ht="14.5" spans="2:14"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"/>
      <c r="M1602" s="1"/>
      <c r="N1602" s="1"/>
    </row>
    <row r="1603" ht="14.5" spans="2:14"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"/>
      <c r="M1603" s="1"/>
      <c r="N1603" s="1"/>
    </row>
    <row r="1604" ht="14.5" spans="2:14"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"/>
      <c r="M1604" s="1"/>
      <c r="N1604" s="1"/>
    </row>
    <row r="1605" ht="14.5" spans="2:14"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"/>
      <c r="M1605" s="1"/>
      <c r="N1605" s="1"/>
    </row>
    <row r="1606" ht="14.5" spans="2:14"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"/>
      <c r="M1606" s="1"/>
      <c r="N1606" s="1"/>
    </row>
    <row r="1607" ht="14.5" spans="2:14"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"/>
      <c r="M1607" s="1"/>
      <c r="N1607" s="1"/>
    </row>
    <row r="1608" ht="14.5" spans="2:14"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"/>
      <c r="M1608" s="1"/>
      <c r="N1608" s="1"/>
    </row>
    <row r="1609" ht="14.5" spans="2:14"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"/>
      <c r="M1609" s="1"/>
      <c r="N1609" s="1"/>
    </row>
    <row r="1610" ht="14.5" spans="2:14"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"/>
      <c r="M1610" s="1"/>
      <c r="N1610" s="1"/>
    </row>
    <row r="1611" ht="14.5" spans="2:14"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"/>
      <c r="M1611" s="1"/>
      <c r="N1611" s="1"/>
    </row>
    <row r="1612" ht="14.5" spans="2:14"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"/>
      <c r="M1612" s="1"/>
      <c r="N1612" s="1"/>
    </row>
    <row r="1613" ht="14.5" spans="2:14"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"/>
      <c r="M1613" s="1"/>
      <c r="N1613" s="1"/>
    </row>
    <row r="1614" ht="14.5" spans="2:14"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"/>
      <c r="M1614" s="1"/>
      <c r="N1614" s="1"/>
    </row>
    <row r="1615" ht="14.5" spans="2:14"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"/>
      <c r="M1615" s="1"/>
      <c r="N1615" s="1"/>
    </row>
    <row r="1616" ht="14.5" spans="2:14"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"/>
      <c r="M1616" s="1"/>
      <c r="N1616" s="1"/>
    </row>
    <row r="1617" ht="14.5" spans="2:14"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"/>
      <c r="M1617" s="1"/>
      <c r="N1617" s="1"/>
    </row>
    <row r="1618" ht="14.5" spans="2:14"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"/>
      <c r="M1618" s="1"/>
      <c r="N1618" s="1"/>
    </row>
    <row r="1619" ht="14.5" spans="2:14"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"/>
      <c r="M1619" s="1"/>
      <c r="N1619" s="1"/>
    </row>
    <row r="1620" ht="14.5" spans="2:14"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"/>
      <c r="M1620" s="1"/>
      <c r="N1620" s="1"/>
    </row>
    <row r="1621" ht="14.5" spans="2:14"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"/>
      <c r="M1621" s="1"/>
      <c r="N1621" s="1"/>
    </row>
    <row r="1622" ht="14.5" spans="2:14"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"/>
      <c r="M1622" s="1"/>
      <c r="N1622" s="1"/>
    </row>
    <row r="1623" ht="14.5" spans="2:14"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"/>
      <c r="M1623" s="1"/>
      <c r="N1623" s="1"/>
    </row>
    <row r="1624" ht="14.5" spans="2:14"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"/>
      <c r="M1624" s="1"/>
      <c r="N1624" s="1"/>
    </row>
    <row r="1625" ht="14.5" spans="2:14"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"/>
      <c r="M1625" s="1"/>
      <c r="N1625" s="1"/>
    </row>
    <row r="1626" ht="14.5" spans="2:14"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"/>
      <c r="M1626" s="1"/>
      <c r="N1626" s="1"/>
    </row>
    <row r="1627" ht="14.5" spans="2:14"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"/>
      <c r="M1627" s="1"/>
      <c r="N1627" s="1"/>
    </row>
    <row r="1628" ht="14.5" spans="2:14"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"/>
      <c r="M1628" s="1"/>
      <c r="N1628" s="1"/>
    </row>
    <row r="1629" ht="14.5" spans="2:14"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"/>
      <c r="M1629" s="1"/>
      <c r="N1629" s="1"/>
    </row>
    <row r="1630" ht="14.5" spans="2:14"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"/>
      <c r="M1630" s="1"/>
      <c r="N1630" s="1"/>
    </row>
    <row r="1631" ht="14.5" spans="2:14"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"/>
      <c r="M1631" s="1"/>
      <c r="N1631" s="1"/>
    </row>
    <row r="1632" ht="14.5" spans="2:14"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"/>
      <c r="M1632" s="1"/>
      <c r="N1632" s="1"/>
    </row>
    <row r="1633" ht="14.5" spans="2:14"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"/>
      <c r="M1633" s="1"/>
      <c r="N1633" s="1"/>
    </row>
    <row r="1634" ht="14.5" spans="2:14"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"/>
      <c r="M1634" s="1"/>
      <c r="N1634" s="1"/>
    </row>
    <row r="1635" ht="14.5" spans="2:14"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"/>
      <c r="M1635" s="1"/>
      <c r="N1635" s="1"/>
    </row>
    <row r="1636" ht="14.5" spans="2:14"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"/>
      <c r="M1636" s="1"/>
      <c r="N1636" s="1"/>
    </row>
    <row r="1637" ht="14.5" spans="2:14"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"/>
      <c r="M1637" s="1"/>
      <c r="N1637" s="1"/>
    </row>
    <row r="1638" ht="14.5" spans="2:14"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"/>
      <c r="M1638" s="1"/>
      <c r="N1638" s="1"/>
    </row>
    <row r="1639" ht="14.5" spans="2:14"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"/>
      <c r="M1639" s="1"/>
      <c r="N1639" s="1"/>
    </row>
    <row r="1640" ht="14.5" spans="2:14"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"/>
      <c r="M1640" s="1"/>
      <c r="N1640" s="1"/>
    </row>
    <row r="1641" ht="14.5" spans="2:14"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"/>
      <c r="M1641" s="1"/>
      <c r="N1641" s="1"/>
    </row>
    <row r="1642" ht="14.5" spans="2:14"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"/>
      <c r="M1642" s="1"/>
      <c r="N1642" s="1"/>
    </row>
    <row r="1643" ht="14.5" spans="2:14"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"/>
      <c r="M1643" s="1"/>
      <c r="N1643" s="1"/>
    </row>
    <row r="1644" ht="14.5" spans="2:14"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"/>
      <c r="M1644" s="1"/>
      <c r="N1644" s="1"/>
    </row>
    <row r="1645" ht="14.5" spans="2:14"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"/>
      <c r="M1645" s="1"/>
      <c r="N1645" s="1"/>
    </row>
    <row r="1646" ht="14.5" spans="2:14"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"/>
      <c r="M1646" s="1"/>
      <c r="N1646" s="1"/>
    </row>
    <row r="1647" ht="14.5" spans="2:14"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"/>
      <c r="M1647" s="1"/>
      <c r="N1647" s="1"/>
    </row>
    <row r="1648" ht="14.5" spans="2:14"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"/>
      <c r="M1648" s="1"/>
      <c r="N1648" s="1"/>
    </row>
    <row r="1649" ht="14.5" spans="2:14"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"/>
      <c r="M1649" s="1"/>
      <c r="N1649" s="1"/>
    </row>
    <row r="1650" ht="14.5" spans="2:14"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"/>
      <c r="M1650" s="1"/>
      <c r="N1650" s="1"/>
    </row>
    <row r="1651" ht="14.5" spans="2:14"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"/>
      <c r="M1651" s="1"/>
      <c r="N1651" s="1"/>
    </row>
    <row r="1652" ht="14.5" spans="2:14"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"/>
      <c r="M1652" s="1"/>
      <c r="N1652" s="1"/>
    </row>
    <row r="1653" ht="14.5" spans="2:14"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"/>
      <c r="M1653" s="1"/>
      <c r="N1653" s="1"/>
    </row>
    <row r="1654" ht="14.5" spans="2:14"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"/>
      <c r="M1654" s="1"/>
      <c r="N1654" s="1"/>
    </row>
    <row r="1655" ht="14.5" spans="2:14"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"/>
      <c r="M1655" s="1"/>
      <c r="N1655" s="1"/>
    </row>
    <row r="1656" ht="14.5" spans="2:14"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"/>
      <c r="M1656" s="1"/>
      <c r="N1656" s="1"/>
    </row>
    <row r="1657" ht="14.5" spans="2:14"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"/>
      <c r="M1657" s="1"/>
      <c r="N1657" s="1"/>
    </row>
    <row r="1658" ht="14.5" spans="2:14"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"/>
      <c r="M1658" s="1"/>
      <c r="N1658" s="1"/>
    </row>
    <row r="1659" ht="14.5" spans="2:14"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"/>
      <c r="M1659" s="1"/>
      <c r="N1659" s="1"/>
    </row>
    <row r="1660" ht="14.5" spans="2:14"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"/>
      <c r="M1660" s="1"/>
      <c r="N1660" s="1"/>
    </row>
    <row r="1661" ht="14.5" spans="2:14"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"/>
      <c r="M1661" s="1"/>
      <c r="N1661" s="1"/>
    </row>
    <row r="1662" ht="14.5" spans="2:14"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"/>
      <c r="M1662" s="1"/>
      <c r="N1662" s="1"/>
    </row>
    <row r="1663" ht="14.5" spans="2:14"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"/>
      <c r="M1663" s="1"/>
      <c r="N1663" s="1"/>
    </row>
    <row r="1664" ht="14.5" spans="2:14"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"/>
      <c r="M1664" s="1"/>
      <c r="N1664" s="1"/>
    </row>
    <row r="1665" ht="14.5" spans="2:14"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"/>
      <c r="M1665" s="1"/>
      <c r="N1665" s="1"/>
    </row>
    <row r="1666" ht="14.5" spans="2:14"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"/>
      <c r="M1666" s="1"/>
      <c r="N1666" s="1"/>
    </row>
    <row r="1667" ht="14.5" spans="2:14"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"/>
      <c r="M1667" s="1"/>
      <c r="N1667" s="1"/>
    </row>
    <row r="1668" ht="14.5" spans="2:14"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"/>
      <c r="M1668" s="1"/>
      <c r="N1668" s="1"/>
    </row>
    <row r="1669" ht="14.5" spans="2:14"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"/>
      <c r="M1669" s="1"/>
      <c r="N1669" s="1"/>
    </row>
    <row r="1670" ht="14.5" spans="2:14"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"/>
      <c r="M1670" s="1"/>
      <c r="N1670" s="1"/>
    </row>
    <row r="1671" ht="14.5" spans="2:14"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"/>
      <c r="M1671" s="1"/>
      <c r="N1671" s="1"/>
    </row>
    <row r="1672" ht="14.5" spans="2:14"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"/>
      <c r="M1672" s="1"/>
      <c r="N1672" s="1"/>
    </row>
    <row r="1673" ht="14.5" spans="2:14"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"/>
      <c r="M1673" s="1"/>
      <c r="N1673" s="1"/>
    </row>
    <row r="1674" ht="14.5" spans="2:14"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"/>
      <c r="M1674" s="1"/>
      <c r="N1674" s="1"/>
    </row>
    <row r="1675" ht="14.5" spans="2:14"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"/>
      <c r="M1675" s="1"/>
      <c r="N1675" s="1"/>
    </row>
    <row r="1676" ht="14.5" spans="2:14"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"/>
      <c r="M1676" s="1"/>
      <c r="N1676" s="1"/>
    </row>
    <row r="1677" ht="14.5" spans="2:14"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"/>
      <c r="M1677" s="1"/>
      <c r="N1677" s="1"/>
    </row>
    <row r="1678" ht="14.5" spans="2:14"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"/>
      <c r="M1678" s="1"/>
      <c r="N1678" s="1"/>
    </row>
    <row r="1679" ht="14.5" spans="2:14"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"/>
      <c r="M1679" s="1"/>
      <c r="N1679" s="1"/>
    </row>
    <row r="1680" ht="14.5" spans="2:14"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"/>
      <c r="M1680" s="1"/>
      <c r="N1680" s="1"/>
    </row>
    <row r="1681" ht="14.5" spans="2:14"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"/>
      <c r="M1681" s="1"/>
      <c r="N1681" s="1"/>
    </row>
    <row r="1682" ht="14.5" spans="2:14"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"/>
      <c r="M1682" s="1"/>
      <c r="N1682" s="1"/>
    </row>
    <row r="1683" ht="14.5" spans="2:14"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"/>
      <c r="M1683" s="1"/>
      <c r="N1683" s="1"/>
    </row>
    <row r="1684" ht="14.5" spans="2:14"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"/>
      <c r="M1684" s="1"/>
      <c r="N1684" s="1"/>
    </row>
    <row r="1685" ht="14.5" spans="2:14"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"/>
      <c r="M1685" s="1"/>
      <c r="N1685" s="1"/>
    </row>
    <row r="1686" ht="14.5" spans="2:14"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"/>
      <c r="M1686" s="1"/>
      <c r="N1686" s="1"/>
    </row>
    <row r="1687" ht="14.5" spans="2:14"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"/>
      <c r="M1687" s="1"/>
      <c r="N1687" s="1"/>
    </row>
    <row r="1688" ht="14.5" spans="2:14"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"/>
      <c r="M1688" s="1"/>
      <c r="N1688" s="1"/>
    </row>
    <row r="1689" ht="14.5" spans="2:14"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"/>
      <c r="M1689" s="1"/>
      <c r="N1689" s="1"/>
    </row>
    <row r="1690" ht="14.5" spans="2:14"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"/>
      <c r="M1690" s="1"/>
      <c r="N1690" s="1"/>
    </row>
    <row r="1691" ht="14.5" spans="2:14"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"/>
      <c r="M1691" s="1"/>
      <c r="N1691" s="1"/>
    </row>
    <row r="1692" ht="14.5" spans="2:14"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"/>
      <c r="M1692" s="1"/>
      <c r="N1692" s="1"/>
    </row>
    <row r="1693" ht="14.5" spans="2:14"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"/>
      <c r="M1693" s="1"/>
      <c r="N1693" s="1"/>
    </row>
    <row r="1694" ht="14.5" spans="2:14"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"/>
      <c r="M1694" s="1"/>
      <c r="N1694" s="1"/>
    </row>
    <row r="1695" ht="14.5" spans="2:14"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"/>
      <c r="M1695" s="1"/>
      <c r="N1695" s="1"/>
    </row>
    <row r="1696" ht="14.5" spans="2:14"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"/>
      <c r="M1696" s="1"/>
      <c r="N1696" s="1"/>
    </row>
    <row r="1697" ht="14.5" spans="2:14"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"/>
      <c r="M1697" s="1"/>
      <c r="N1697" s="1"/>
    </row>
    <row r="1698" ht="14.5" spans="2:14"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"/>
      <c r="M1698" s="1"/>
      <c r="N1698" s="1"/>
    </row>
    <row r="1699" ht="14.5" spans="2:14"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"/>
      <c r="M1699" s="1"/>
      <c r="N1699" s="1"/>
    </row>
    <row r="1700" ht="14.5" spans="2:14"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"/>
      <c r="M1700" s="1"/>
      <c r="N1700" s="1"/>
    </row>
    <row r="1701" ht="14.5" spans="2:14"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"/>
      <c r="M1701" s="1"/>
      <c r="N1701" s="1"/>
    </row>
    <row r="1702" ht="14.5" spans="2:14"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"/>
      <c r="M1702" s="1"/>
      <c r="N1702" s="1"/>
    </row>
    <row r="1703" ht="14.5" spans="2:14"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"/>
      <c r="M1703" s="1"/>
      <c r="N1703" s="1"/>
    </row>
    <row r="1704" ht="14.5" spans="2:14"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"/>
      <c r="M1704" s="1"/>
      <c r="N1704" s="1"/>
    </row>
    <row r="1705" ht="14.5" spans="2:14"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"/>
      <c r="M1705" s="1"/>
      <c r="N1705" s="1"/>
    </row>
    <row r="1706" ht="14.5" spans="2:14"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"/>
      <c r="M1706" s="1"/>
      <c r="N1706" s="1"/>
    </row>
    <row r="1707" ht="14.5" spans="2:14"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"/>
      <c r="M1707" s="1"/>
      <c r="N1707" s="1"/>
    </row>
    <row r="1708" ht="14.5" spans="2:14"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"/>
      <c r="M1708" s="1"/>
      <c r="N1708" s="1"/>
    </row>
    <row r="1709" ht="14.5" spans="2:14"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"/>
      <c r="M1709" s="1"/>
      <c r="N1709" s="1"/>
    </row>
    <row r="1710" ht="14.5" spans="2:14"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"/>
      <c r="M1710" s="1"/>
      <c r="N1710" s="1"/>
    </row>
    <row r="1711" ht="14.5" spans="2:14"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"/>
      <c r="M1711" s="1"/>
      <c r="N1711" s="1"/>
    </row>
    <row r="1712" ht="14.5" spans="2:14"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"/>
      <c r="M1712" s="1"/>
      <c r="N1712" s="1"/>
    </row>
    <row r="1713" ht="14.5" spans="2:14"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"/>
      <c r="M1713" s="1"/>
      <c r="N1713" s="1"/>
    </row>
    <row r="1714" ht="14.5" spans="2:14"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"/>
      <c r="M1714" s="1"/>
      <c r="N1714" s="1"/>
    </row>
    <row r="1715" ht="14.5" spans="2:14"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"/>
      <c r="M1715" s="1"/>
      <c r="N1715" s="1"/>
    </row>
    <row r="1716" ht="14.5" spans="2:14"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"/>
      <c r="M1716" s="1"/>
      <c r="N1716" s="1"/>
    </row>
    <row r="1717" ht="14.5" spans="2:14"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"/>
      <c r="M1717" s="1"/>
      <c r="N1717" s="1"/>
    </row>
    <row r="1718" ht="14.5" spans="2:14"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"/>
      <c r="M1718" s="1"/>
      <c r="N1718" s="1"/>
    </row>
    <row r="1719" ht="14.5" spans="2:14"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"/>
      <c r="M1719" s="1"/>
      <c r="N1719" s="1"/>
    </row>
    <row r="1720" ht="14.5" spans="2:14"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"/>
      <c r="M1720" s="1"/>
      <c r="N1720" s="1"/>
    </row>
    <row r="1721" ht="14.5" spans="2:14"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"/>
      <c r="M1721" s="1"/>
      <c r="N1721" s="1"/>
    </row>
    <row r="1722" ht="14.5" spans="2:14"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"/>
      <c r="M1722" s="1"/>
      <c r="N1722" s="1"/>
    </row>
    <row r="1723" ht="14.5" spans="2:14"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"/>
      <c r="M1723" s="1"/>
      <c r="N1723" s="1"/>
    </row>
    <row r="1724" ht="14.5" spans="2:14"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"/>
      <c r="M1724" s="1"/>
      <c r="N1724" s="1"/>
    </row>
    <row r="1725" ht="14.5" spans="2:14"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"/>
      <c r="M1725" s="1"/>
      <c r="N1725" s="1"/>
    </row>
    <row r="1726" ht="14.5" spans="2:14"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"/>
      <c r="M1726" s="1"/>
      <c r="N1726" s="1"/>
    </row>
    <row r="1727" ht="14.5" spans="2:14"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"/>
      <c r="M1727" s="1"/>
      <c r="N1727" s="1"/>
    </row>
    <row r="1728" ht="14.5" spans="2:14"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"/>
      <c r="M1728" s="1"/>
      <c r="N1728" s="1"/>
    </row>
    <row r="1729" ht="14.5" spans="2:14"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"/>
      <c r="M1729" s="1"/>
      <c r="N1729" s="1"/>
    </row>
    <row r="1730" ht="14.5" spans="2:14"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"/>
      <c r="M1730" s="1"/>
      <c r="N1730" s="1"/>
    </row>
    <row r="1731" ht="14.5" spans="2:14"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"/>
      <c r="M1731" s="1"/>
      <c r="N1731" s="1"/>
    </row>
    <row r="1732" ht="14.5" spans="2:14"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"/>
      <c r="M1732" s="1"/>
      <c r="N1732" s="1"/>
    </row>
    <row r="1733" ht="14.5" spans="2:14"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"/>
      <c r="M1733" s="1"/>
      <c r="N1733" s="1"/>
    </row>
    <row r="1734" ht="14.5" spans="2:14"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"/>
      <c r="M1734" s="1"/>
      <c r="N1734" s="1"/>
    </row>
    <row r="1735" ht="14.5" spans="2:14"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"/>
      <c r="M1735" s="1"/>
      <c r="N1735" s="1"/>
    </row>
    <row r="1736" ht="14.5" spans="2:14"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"/>
      <c r="M1736" s="1"/>
      <c r="N1736" s="1"/>
    </row>
    <row r="1737" ht="14.5" spans="2:14"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"/>
      <c r="M1737" s="1"/>
      <c r="N1737" s="1"/>
    </row>
    <row r="1738" ht="14.5" spans="2:14"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"/>
      <c r="M1738" s="1"/>
      <c r="N1738" s="1"/>
    </row>
    <row r="1739" ht="14.5" spans="2:14"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"/>
      <c r="M1739" s="1"/>
      <c r="N1739" s="1"/>
    </row>
    <row r="1740" ht="14.5" spans="2:14"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"/>
      <c r="M1740" s="1"/>
      <c r="N1740" s="1"/>
    </row>
    <row r="1741" ht="14.5" spans="2:14"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"/>
      <c r="M1741" s="1"/>
      <c r="N1741" s="1"/>
    </row>
    <row r="1742" ht="14.5" spans="2:14"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"/>
      <c r="M1742" s="1"/>
      <c r="N1742" s="1"/>
    </row>
    <row r="1743" ht="14.5" spans="2:14"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"/>
      <c r="M1743" s="1"/>
      <c r="N1743" s="1"/>
    </row>
    <row r="1744" ht="14.5" spans="2:14"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"/>
      <c r="M1744" s="1"/>
      <c r="N1744" s="1"/>
    </row>
    <row r="1745" ht="14.5" spans="2:14"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"/>
      <c r="M1745" s="1"/>
      <c r="N1745" s="1"/>
    </row>
    <row r="1746" ht="14.5" spans="2:14"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"/>
      <c r="M1746" s="1"/>
      <c r="N1746" s="1"/>
    </row>
    <row r="1747" ht="14.5" spans="2:14"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"/>
      <c r="M1747" s="1"/>
      <c r="N1747" s="1"/>
    </row>
    <row r="1748" ht="14.5" spans="2:14"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"/>
      <c r="M1748" s="1"/>
      <c r="N1748" s="1"/>
    </row>
    <row r="1749" ht="14.5" spans="2:14"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"/>
      <c r="M1749" s="1"/>
      <c r="N1749" s="1"/>
    </row>
    <row r="1750" ht="14.5" spans="2:14"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"/>
      <c r="M1750" s="1"/>
      <c r="N1750" s="1"/>
    </row>
    <row r="1751" ht="14.5" spans="2:14"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"/>
      <c r="M1751" s="1"/>
      <c r="N1751" s="1"/>
    </row>
    <row r="1752" ht="14.5" spans="2:14"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"/>
      <c r="M1752" s="1"/>
      <c r="N1752" s="1"/>
    </row>
    <row r="1753" ht="14.5" spans="2:14"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"/>
      <c r="M1753" s="1"/>
      <c r="N1753" s="1"/>
    </row>
    <row r="1754" ht="14.5" spans="2:14"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"/>
      <c r="M1754" s="1"/>
      <c r="N1754" s="1"/>
    </row>
    <row r="1755" ht="14.5" spans="2:14"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"/>
      <c r="M1755" s="1"/>
      <c r="N1755" s="1"/>
    </row>
    <row r="1756" ht="14.5" spans="2:14"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"/>
      <c r="M1756" s="1"/>
      <c r="N1756" s="1"/>
    </row>
    <row r="1757" ht="14.5" spans="2:14"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"/>
      <c r="M1757" s="1"/>
      <c r="N1757" s="1"/>
    </row>
    <row r="1758" ht="14.5" spans="2:14"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"/>
      <c r="M1758" s="1"/>
      <c r="N1758" s="1"/>
    </row>
    <row r="1759" ht="14.5" spans="2:14"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"/>
      <c r="M1759" s="1"/>
      <c r="N1759" s="1"/>
    </row>
    <row r="1760" ht="14.5" spans="2:14"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"/>
      <c r="M1760" s="1"/>
      <c r="N1760" s="1"/>
    </row>
    <row r="1761" ht="14.5" spans="2:14"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"/>
      <c r="M1761" s="1"/>
      <c r="N1761" s="1"/>
    </row>
    <row r="1762" ht="14.5" spans="2:14"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"/>
      <c r="M1762" s="1"/>
      <c r="N1762" s="1"/>
    </row>
    <row r="1763" ht="14.5" spans="2:14"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"/>
      <c r="M1763" s="1"/>
      <c r="N1763" s="1"/>
    </row>
    <row r="1764" ht="14.5" spans="2:14"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"/>
      <c r="M1764" s="1"/>
      <c r="N1764" s="1"/>
    </row>
    <row r="1765" ht="14.5" spans="2:14"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"/>
      <c r="M1765" s="1"/>
      <c r="N1765" s="1"/>
    </row>
    <row r="1766" ht="14.5" spans="2:14"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"/>
      <c r="M1766" s="1"/>
      <c r="N1766" s="1"/>
    </row>
    <row r="1767" ht="14.5" spans="2:14"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"/>
      <c r="M1767" s="1"/>
      <c r="N1767" s="1"/>
    </row>
    <row r="1768" ht="14.5" spans="2:14"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"/>
      <c r="M1768" s="1"/>
      <c r="N1768" s="1"/>
    </row>
    <row r="1769" ht="14.5" spans="2:14"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"/>
      <c r="M1769" s="1"/>
      <c r="N1769" s="1"/>
    </row>
    <row r="1770" ht="14.5" spans="2:14"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"/>
      <c r="M1770" s="1"/>
      <c r="N1770" s="1"/>
    </row>
    <row r="1771" ht="14.5" spans="2:14"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"/>
      <c r="M1771" s="1"/>
      <c r="N1771" s="1"/>
    </row>
    <row r="1772" ht="14.5" spans="2:14"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"/>
      <c r="M1772" s="1"/>
      <c r="N1772" s="1"/>
    </row>
    <row r="1773" ht="14.5" spans="2:14"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"/>
      <c r="M1773" s="1"/>
      <c r="N1773" s="1"/>
    </row>
    <row r="1774" ht="14.5" spans="2:14"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"/>
      <c r="M1774" s="1"/>
      <c r="N1774" s="1"/>
    </row>
    <row r="1775" ht="14.5" spans="2:14"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"/>
      <c r="M1775" s="1"/>
      <c r="N1775" s="1"/>
    </row>
    <row r="1776" ht="14.5" spans="2:14"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"/>
      <c r="M1776" s="1"/>
      <c r="N1776" s="1"/>
    </row>
    <row r="1777" ht="14.5" spans="2:14"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"/>
      <c r="M1777" s="1"/>
      <c r="N1777" s="1"/>
    </row>
    <row r="1778" ht="14.5" spans="2:14"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"/>
      <c r="M1778" s="1"/>
      <c r="N1778" s="1"/>
    </row>
    <row r="1779" ht="14.5" spans="2:14"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"/>
      <c r="M1779" s="1"/>
      <c r="N1779" s="1"/>
    </row>
    <row r="1780" ht="14.5" spans="2:14"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"/>
      <c r="M1780" s="1"/>
      <c r="N1780" s="1"/>
    </row>
    <row r="1781" ht="14.5" spans="2:14"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"/>
      <c r="M1781" s="1"/>
      <c r="N1781" s="1"/>
    </row>
    <row r="1782" ht="14.5" spans="2:14"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"/>
      <c r="M1782" s="1"/>
      <c r="N1782" s="1"/>
    </row>
    <row r="1783" ht="14.5" spans="2:14"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"/>
      <c r="M1783" s="1"/>
      <c r="N1783" s="1"/>
    </row>
    <row r="1784" ht="14.5" spans="2:14"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"/>
      <c r="M1784" s="1"/>
      <c r="N1784" s="1"/>
    </row>
    <row r="1785" ht="14.5" spans="2:14"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"/>
      <c r="M1785" s="1"/>
      <c r="N1785" s="1"/>
    </row>
    <row r="1786" ht="14.5" spans="2:14"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"/>
      <c r="M1786" s="1"/>
      <c r="N1786" s="1"/>
    </row>
    <row r="1787" ht="14.5" spans="2:14"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"/>
      <c r="M1787" s="1"/>
      <c r="N1787" s="1"/>
    </row>
    <row r="1788" ht="14.5" spans="2:14"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"/>
      <c r="M1788" s="1"/>
      <c r="N1788" s="1"/>
    </row>
    <row r="1789" ht="14.5" spans="2:14"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"/>
      <c r="M1789" s="1"/>
      <c r="N1789" s="1"/>
    </row>
    <row r="1790" ht="14.5" spans="2:14"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"/>
      <c r="M1790" s="1"/>
      <c r="N1790" s="1"/>
    </row>
    <row r="1791" ht="14.5" spans="2:14"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"/>
      <c r="M1791" s="1"/>
      <c r="N1791" s="1"/>
    </row>
    <row r="1792" ht="14.5" spans="2:14"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"/>
      <c r="M1792" s="1"/>
      <c r="N1792" s="1"/>
    </row>
    <row r="1793" ht="14.5" spans="2:14"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"/>
      <c r="M1793" s="1"/>
      <c r="N1793" s="1"/>
    </row>
    <row r="1794" ht="14.5" spans="2:14"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"/>
      <c r="M1794" s="1"/>
      <c r="N1794" s="1"/>
    </row>
    <row r="1795" ht="14.5" spans="2:14"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"/>
      <c r="M1795" s="1"/>
      <c r="N1795" s="1"/>
    </row>
    <row r="1796" ht="14.5" spans="2:14"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"/>
      <c r="M1796" s="1"/>
      <c r="N1796" s="1"/>
    </row>
    <row r="1797" ht="14.5" spans="2:14"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"/>
      <c r="M1797" s="1"/>
      <c r="N1797" s="1"/>
    </row>
    <row r="1798" ht="14.5" spans="2:14"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"/>
      <c r="M1798" s="1"/>
      <c r="N1798" s="1"/>
    </row>
    <row r="1799" ht="14.5" spans="2:14"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"/>
      <c r="M1799" s="1"/>
      <c r="N1799" s="1"/>
    </row>
    <row r="1800" ht="14.5" spans="2:14"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"/>
      <c r="M1800" s="1"/>
      <c r="N1800" s="1"/>
    </row>
    <row r="1801" ht="14.5" spans="2:14"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"/>
      <c r="M1801" s="1"/>
      <c r="N1801" s="1"/>
    </row>
    <row r="1802" ht="14.5" spans="2:14"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"/>
      <c r="M1802" s="1"/>
      <c r="N1802" s="1"/>
    </row>
    <row r="1803" ht="14.5" spans="2:14"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"/>
      <c r="M1803" s="1"/>
      <c r="N1803" s="1"/>
    </row>
    <row r="1804" ht="14.5" spans="2:14"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"/>
      <c r="M1804" s="1"/>
      <c r="N1804" s="1"/>
    </row>
    <row r="1805" ht="14.5" spans="2:14"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"/>
      <c r="M1805" s="1"/>
      <c r="N1805" s="1"/>
    </row>
    <row r="1806" ht="14.5" spans="2:14"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"/>
      <c r="M1806" s="1"/>
      <c r="N1806" s="1"/>
    </row>
    <row r="1807" ht="14.5" spans="2:14"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"/>
      <c r="M1807" s="1"/>
      <c r="N1807" s="1"/>
    </row>
    <row r="1808" ht="14.5" spans="2:14"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"/>
      <c r="M1808" s="1"/>
      <c r="N1808" s="1"/>
    </row>
    <row r="1809" ht="14.5" spans="2:14"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"/>
      <c r="M1809" s="1"/>
      <c r="N1809" s="1"/>
    </row>
    <row r="1810" ht="14.5" spans="2:14"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"/>
      <c r="M1810" s="1"/>
      <c r="N1810" s="1"/>
    </row>
    <row r="1811" ht="14.5" spans="2:14"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"/>
      <c r="M1811" s="1"/>
      <c r="N1811" s="1"/>
    </row>
    <row r="1812" ht="14.5" spans="2:14"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"/>
      <c r="M1812" s="1"/>
      <c r="N1812" s="1"/>
    </row>
    <row r="1813" ht="14.5" spans="2:14"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"/>
      <c r="M1813" s="1"/>
      <c r="N1813" s="1"/>
    </row>
    <row r="1814" ht="14.5" spans="2:14"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"/>
      <c r="M1814" s="1"/>
      <c r="N1814" s="1"/>
    </row>
    <row r="1815" ht="14.5" spans="2:14"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"/>
      <c r="M1815" s="1"/>
      <c r="N1815" s="1"/>
    </row>
    <row r="1816" ht="14.5" spans="2:14"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"/>
      <c r="M1816" s="1"/>
      <c r="N1816" s="1"/>
    </row>
    <row r="1817" ht="14.5" spans="2:14"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"/>
      <c r="M1817" s="1"/>
      <c r="N1817" s="1"/>
    </row>
    <row r="1818" ht="14.5" spans="2:14"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"/>
      <c r="M1818" s="1"/>
      <c r="N1818" s="1"/>
    </row>
    <row r="1819" ht="14.5" spans="2:14"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"/>
      <c r="M1819" s="1"/>
      <c r="N1819" s="1"/>
    </row>
    <row r="1820" ht="14.5" spans="2:14"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"/>
      <c r="M1820" s="1"/>
      <c r="N1820" s="1"/>
    </row>
    <row r="1821" ht="14.5" spans="2:14"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"/>
      <c r="M1821" s="1"/>
      <c r="N1821" s="1"/>
    </row>
    <row r="1822" ht="14.5" spans="2:14"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"/>
      <c r="M1822" s="1"/>
      <c r="N1822" s="1"/>
    </row>
    <row r="1823" ht="14.5" spans="2:14"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"/>
      <c r="M1823" s="1"/>
      <c r="N1823" s="1"/>
    </row>
    <row r="1824" ht="14.5" spans="2:14"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"/>
      <c r="M1824" s="1"/>
      <c r="N1824" s="1"/>
    </row>
    <row r="1825" ht="14.5" spans="2:14"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"/>
      <c r="M1825" s="1"/>
      <c r="N1825" s="1"/>
    </row>
    <row r="1826" ht="14.5" spans="2:14"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"/>
      <c r="M1826" s="1"/>
      <c r="N1826" s="1"/>
    </row>
    <row r="1827" ht="14.5" spans="2:14"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"/>
      <c r="M1827" s="1"/>
      <c r="N1827" s="1"/>
    </row>
    <row r="1828" ht="14.5" spans="2:14"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"/>
      <c r="M1828" s="1"/>
      <c r="N1828" s="1"/>
    </row>
    <row r="1829" ht="14.5" spans="2:14"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"/>
      <c r="M1829" s="1"/>
      <c r="N1829" s="1"/>
    </row>
    <row r="1830" ht="14.5" spans="2:14"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"/>
      <c r="M1830" s="1"/>
      <c r="N1830" s="1"/>
    </row>
    <row r="1831" ht="14.5" spans="2:14"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"/>
      <c r="M1831" s="1"/>
      <c r="N1831" s="1"/>
    </row>
    <row r="1832" ht="14.5" spans="2:14"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"/>
      <c r="M1832" s="1"/>
      <c r="N1832" s="1"/>
    </row>
    <row r="1833" ht="14.5" spans="2:14"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"/>
      <c r="M1833" s="1"/>
      <c r="N1833" s="1"/>
    </row>
    <row r="1834" ht="14.5" spans="2:14"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"/>
      <c r="M1834" s="1"/>
      <c r="N1834" s="1"/>
    </row>
    <row r="1835" ht="14.5" spans="2:14"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"/>
      <c r="M1835" s="1"/>
      <c r="N1835" s="1"/>
    </row>
    <row r="1836" ht="14.5" spans="2:14"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"/>
      <c r="M1836" s="1"/>
      <c r="N1836" s="1"/>
    </row>
    <row r="1837" ht="14.5" spans="2:14"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"/>
      <c r="M1837" s="1"/>
      <c r="N1837" s="1"/>
    </row>
    <row r="1838" ht="14.5" spans="2:14"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"/>
      <c r="M1838" s="1"/>
      <c r="N1838" s="1"/>
    </row>
    <row r="1839" ht="14.5" spans="2:14"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"/>
      <c r="M1839" s="1"/>
      <c r="N1839" s="1"/>
    </row>
    <row r="1840" ht="14.5" spans="2:14"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"/>
      <c r="M1840" s="1"/>
      <c r="N1840" s="1"/>
    </row>
    <row r="1841" ht="14.5" spans="2:14"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"/>
      <c r="M1841" s="1"/>
      <c r="N1841" s="1"/>
    </row>
    <row r="1842" ht="14.5" spans="2:14"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"/>
      <c r="M1842" s="1"/>
      <c r="N1842" s="1"/>
    </row>
    <row r="1843" ht="14.5" spans="2:14"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"/>
      <c r="M1843" s="1"/>
      <c r="N1843" s="1"/>
    </row>
    <row r="1844" ht="14.5" spans="2:14"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"/>
      <c r="M1844" s="1"/>
      <c r="N1844" s="1"/>
    </row>
    <row r="1845" ht="14.5" spans="2:14"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"/>
      <c r="M1845" s="1"/>
      <c r="N1845" s="1"/>
    </row>
    <row r="1846" ht="14.5" spans="2:14"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"/>
      <c r="M1846" s="1"/>
      <c r="N1846" s="1"/>
    </row>
    <row r="1847" ht="14.5" spans="2:14"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"/>
      <c r="M1847" s="1"/>
      <c r="N1847" s="1"/>
    </row>
    <row r="1848" ht="14.5" spans="2:14"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"/>
      <c r="M1848" s="1"/>
      <c r="N1848" s="1"/>
    </row>
    <row r="1849" ht="14.5" spans="2:14"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"/>
      <c r="M1849" s="1"/>
      <c r="N1849" s="1"/>
    </row>
    <row r="1850" ht="14.5" spans="2:14"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"/>
      <c r="M1850" s="1"/>
      <c r="N1850" s="1"/>
    </row>
    <row r="1851" ht="14.5" spans="2:14"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"/>
      <c r="M1851" s="1"/>
      <c r="N1851" s="1"/>
    </row>
    <row r="1852" ht="14.5" spans="2:14"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"/>
      <c r="M1852" s="1"/>
      <c r="N1852" s="1"/>
    </row>
    <row r="1853" ht="14.5" spans="2:14"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"/>
      <c r="M1853" s="1"/>
      <c r="N1853" s="1"/>
    </row>
    <row r="1854" ht="14.5" spans="2:14"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"/>
      <c r="M1854" s="1"/>
      <c r="N1854" s="1"/>
    </row>
    <row r="1855" ht="14.5" spans="2:14"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"/>
      <c r="M1855" s="1"/>
      <c r="N1855" s="1"/>
    </row>
    <row r="1856" ht="14.5" spans="2:14"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"/>
      <c r="M1856" s="1"/>
      <c r="N1856" s="1"/>
    </row>
    <row r="1857" ht="14.5" spans="2:14"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"/>
      <c r="M1857" s="1"/>
      <c r="N1857" s="1"/>
    </row>
    <row r="1858" ht="14.5" spans="2:14"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"/>
      <c r="M1858" s="1"/>
      <c r="N1858" s="1"/>
    </row>
    <row r="1859" ht="14.5" spans="2:14"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"/>
      <c r="M1859" s="1"/>
      <c r="N1859" s="1"/>
    </row>
    <row r="1860" ht="14.5" spans="2:14"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"/>
      <c r="M1860" s="1"/>
      <c r="N1860" s="1"/>
    </row>
    <row r="1861" ht="14.5" spans="2:14"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"/>
      <c r="M1861" s="1"/>
      <c r="N1861" s="1"/>
    </row>
    <row r="1862" ht="14.5" spans="2:14"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"/>
      <c r="M1862" s="1"/>
      <c r="N1862" s="1"/>
    </row>
    <row r="1863" ht="14.5" spans="2:14"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"/>
      <c r="M1863" s="1"/>
      <c r="N1863" s="1"/>
    </row>
    <row r="1864" ht="14.5" spans="2:14"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"/>
      <c r="M1864" s="1"/>
      <c r="N1864" s="1"/>
    </row>
    <row r="1865" ht="14.5" spans="2:14"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"/>
      <c r="M1865" s="1"/>
      <c r="N1865" s="1"/>
    </row>
    <row r="1866" ht="14.5" spans="2:14"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"/>
      <c r="M1866" s="1"/>
      <c r="N1866" s="1"/>
    </row>
    <row r="1867" ht="14.5" spans="2:14"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"/>
      <c r="M1867" s="1"/>
      <c r="N1867" s="1"/>
    </row>
    <row r="1868" ht="14.5" spans="2:14"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"/>
      <c r="M1868" s="1"/>
      <c r="N1868" s="1"/>
    </row>
    <row r="1869" ht="14.5" spans="2:14"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"/>
      <c r="M1869" s="1"/>
      <c r="N1869" s="1"/>
    </row>
    <row r="1870" ht="14.5" spans="2:14"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"/>
      <c r="M1870" s="1"/>
      <c r="N1870" s="1"/>
    </row>
    <row r="1871" ht="14.5" spans="2:14"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"/>
      <c r="M1871" s="1"/>
      <c r="N1871" s="1"/>
    </row>
    <row r="1872" ht="14.5" spans="2:14"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"/>
      <c r="M1872" s="1"/>
      <c r="N1872" s="1"/>
    </row>
    <row r="1873" ht="14.5" spans="2:14"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"/>
      <c r="M1873" s="1"/>
      <c r="N1873" s="1"/>
    </row>
    <row r="1874" ht="14.5" spans="2:14"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"/>
      <c r="M1874" s="1"/>
      <c r="N1874" s="1"/>
    </row>
    <row r="1875" ht="14.5" spans="2:14"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"/>
      <c r="M1875" s="1"/>
      <c r="N1875" s="1"/>
    </row>
    <row r="1876" ht="14.5" spans="2:14"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"/>
      <c r="M1876" s="1"/>
      <c r="N1876" s="1"/>
    </row>
    <row r="1877" ht="14.5" spans="2:14"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"/>
      <c r="M1877" s="1"/>
      <c r="N1877" s="1"/>
    </row>
    <row r="1878" ht="14.5" spans="2:14"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"/>
      <c r="M1878" s="1"/>
      <c r="N1878" s="1"/>
    </row>
    <row r="1879" ht="14.5" spans="2:14"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"/>
      <c r="M1879" s="1"/>
      <c r="N1879" s="1"/>
    </row>
    <row r="1880" ht="14.5" spans="2:14"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"/>
      <c r="M1880" s="1"/>
      <c r="N1880" s="1"/>
    </row>
    <row r="1881" ht="14.5" spans="2:14"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"/>
      <c r="M1881" s="1"/>
      <c r="N1881" s="1"/>
    </row>
    <row r="1882" ht="14.5" spans="2:14"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"/>
      <c r="M1882" s="1"/>
      <c r="N1882" s="1"/>
    </row>
    <row r="1883" ht="14.5" spans="2:14"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"/>
      <c r="M1883" s="1"/>
      <c r="N1883" s="1"/>
    </row>
    <row r="1884" ht="14.5" spans="2:14"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"/>
      <c r="M1884" s="1"/>
      <c r="N1884" s="1"/>
    </row>
    <row r="1885" ht="14.5" spans="2:14"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"/>
      <c r="M1885" s="1"/>
      <c r="N1885" s="1"/>
    </row>
    <row r="1886" ht="14.5" spans="2:14"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"/>
      <c r="M1886" s="1"/>
      <c r="N1886" s="1"/>
    </row>
    <row r="1887" ht="14.5" spans="2:14"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"/>
      <c r="M1887" s="1"/>
      <c r="N1887" s="1"/>
    </row>
    <row r="1888" ht="14.5" spans="2:14"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"/>
      <c r="M1888" s="1"/>
      <c r="N1888" s="1"/>
    </row>
    <row r="1889" ht="14.5" spans="2:14"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"/>
      <c r="M1889" s="1"/>
      <c r="N1889" s="1"/>
    </row>
    <row r="1890" ht="14.5" spans="2:14"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"/>
      <c r="M1890" s="1"/>
      <c r="N1890" s="1"/>
    </row>
    <row r="1891" ht="14.5" spans="2:14"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"/>
      <c r="M1891" s="1"/>
      <c r="N1891" s="1"/>
    </row>
    <row r="1892" ht="14.5" spans="2:14"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"/>
      <c r="M1892" s="1"/>
      <c r="N1892" s="1"/>
    </row>
    <row r="1893" ht="14.5" spans="2:14"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"/>
      <c r="M1893" s="1"/>
      <c r="N1893" s="1"/>
    </row>
    <row r="1894" ht="14.5" spans="2:14"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"/>
      <c r="M1894" s="1"/>
      <c r="N1894" s="1"/>
    </row>
    <row r="1895" ht="14.5" spans="2:14"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"/>
      <c r="M1895" s="1"/>
      <c r="N1895" s="1"/>
    </row>
    <row r="1896" ht="14.5" spans="2:14"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"/>
      <c r="M1896" s="1"/>
      <c r="N1896" s="1"/>
    </row>
    <row r="1897" ht="14.5" spans="2:14"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"/>
      <c r="M1897" s="1"/>
      <c r="N1897" s="1"/>
    </row>
    <row r="1898" ht="14.5" spans="2:14"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"/>
      <c r="M1898" s="1"/>
      <c r="N1898" s="1"/>
    </row>
    <row r="1899" ht="14.5" spans="2:14"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"/>
      <c r="M1899" s="1"/>
      <c r="N1899" s="1"/>
    </row>
    <row r="1900" ht="14.5" spans="2:14"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"/>
      <c r="M1900" s="1"/>
      <c r="N1900" s="1"/>
    </row>
    <row r="1901" ht="14.5" spans="2:14"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"/>
      <c r="M1901" s="1"/>
      <c r="N1901" s="1"/>
    </row>
    <row r="1902" ht="14.5" spans="2:14"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"/>
      <c r="M1902" s="1"/>
      <c r="N1902" s="1"/>
    </row>
    <row r="1903" ht="14.5" spans="2:14"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"/>
      <c r="M1903" s="1"/>
      <c r="N1903" s="1"/>
    </row>
    <row r="1904" ht="14.5" spans="2:14"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"/>
      <c r="M1904" s="1"/>
      <c r="N1904" s="1"/>
    </row>
    <row r="1905" ht="14.5" spans="2:14"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"/>
      <c r="M1905" s="1"/>
      <c r="N1905" s="1"/>
    </row>
    <row r="1906" ht="14.5" spans="2:14"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"/>
      <c r="M1906" s="1"/>
      <c r="N1906" s="1"/>
    </row>
    <row r="1907" ht="14.5" spans="2:14"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"/>
      <c r="M1907" s="1"/>
      <c r="N1907" s="1"/>
    </row>
    <row r="1908" ht="14.5" spans="2:14"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"/>
      <c r="M1908" s="1"/>
      <c r="N1908" s="1"/>
    </row>
    <row r="1909" ht="14.5" spans="2:14"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"/>
      <c r="M1909" s="1"/>
      <c r="N1909" s="1"/>
    </row>
    <row r="1910" ht="14.5" spans="2:14"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"/>
      <c r="M1910" s="1"/>
      <c r="N1910" s="1"/>
    </row>
    <row r="1911" ht="14.5" spans="2:14"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"/>
      <c r="M1911" s="1"/>
      <c r="N1911" s="1"/>
    </row>
    <row r="1912" ht="14.5" spans="2:14"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"/>
      <c r="M1912" s="1"/>
      <c r="N1912" s="1"/>
    </row>
    <row r="1913" ht="14.5" spans="2:14"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"/>
      <c r="M1913" s="1"/>
      <c r="N1913" s="1"/>
    </row>
    <row r="1914" ht="14.5" spans="2:14"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"/>
      <c r="M1914" s="1"/>
      <c r="N1914" s="1"/>
    </row>
    <row r="1915" ht="14.5" spans="2:14"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"/>
      <c r="M1915" s="1"/>
      <c r="N1915" s="1"/>
    </row>
    <row r="1916" ht="14.5" spans="2:14"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"/>
      <c r="M1916" s="1"/>
      <c r="N1916" s="1"/>
    </row>
    <row r="1917" ht="14.5" spans="2:14"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"/>
      <c r="M1917" s="1"/>
      <c r="N1917" s="1"/>
    </row>
    <row r="1918" ht="14.5" spans="2:14"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"/>
      <c r="M1918" s="1"/>
      <c r="N1918" s="1"/>
    </row>
    <row r="1919" ht="14.5" spans="2:14"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"/>
      <c r="M1919" s="1"/>
      <c r="N1919" s="1"/>
    </row>
    <row r="1920" ht="14.5" spans="2:14"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"/>
      <c r="M1920" s="1"/>
      <c r="N1920" s="1"/>
    </row>
    <row r="1921" ht="14.5" spans="2:14"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"/>
      <c r="M1921" s="1"/>
      <c r="N1921" s="1"/>
    </row>
    <row r="1922" ht="14.5" spans="2:14"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"/>
      <c r="M1922" s="1"/>
      <c r="N1922" s="1"/>
    </row>
    <row r="1923" ht="14.5" spans="2:14"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"/>
      <c r="M1923" s="1"/>
      <c r="N1923" s="1"/>
    </row>
    <row r="1924" ht="14.5" spans="2:14"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"/>
      <c r="M1924" s="1"/>
      <c r="N1924" s="1"/>
    </row>
    <row r="1925" ht="14.5" spans="2:14"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"/>
      <c r="M1925" s="1"/>
      <c r="N1925" s="1"/>
    </row>
    <row r="1926" ht="14.5" spans="2:14"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"/>
      <c r="M1926" s="1"/>
      <c r="N1926" s="1"/>
    </row>
    <row r="1927" ht="14.5" spans="2:14"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"/>
      <c r="M1927" s="1"/>
      <c r="N1927" s="1"/>
    </row>
    <row r="1928" ht="14.5" spans="2:14"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"/>
      <c r="M1928" s="1"/>
      <c r="N1928" s="1"/>
    </row>
    <row r="1929" ht="14.5" spans="2:14"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"/>
      <c r="M1929" s="1"/>
      <c r="N1929" s="1"/>
    </row>
    <row r="1930" ht="14.5" spans="2:14"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"/>
      <c r="M1930" s="1"/>
      <c r="N1930" s="1"/>
    </row>
    <row r="1931" ht="14.5" spans="2:14"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"/>
      <c r="M1931" s="1"/>
      <c r="N1931" s="1"/>
    </row>
    <row r="1932" ht="14.5" spans="2:14"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"/>
      <c r="M1932" s="1"/>
      <c r="N1932" s="1"/>
    </row>
    <row r="1933" ht="14.5" spans="2:14"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"/>
      <c r="M1933" s="1"/>
      <c r="N1933" s="1"/>
    </row>
    <row r="1934" ht="14.5" spans="2:14"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"/>
      <c r="M1934" s="1"/>
      <c r="N1934" s="1"/>
    </row>
    <row r="1935" ht="14.5" spans="2:14"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"/>
      <c r="M1935" s="1"/>
      <c r="N1935" s="1"/>
    </row>
    <row r="1936" ht="14.5" spans="2:14"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"/>
      <c r="M1936" s="1"/>
      <c r="N1936" s="1"/>
    </row>
    <row r="1937" ht="14.5" spans="2:14"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"/>
      <c r="M1937" s="1"/>
      <c r="N1937" s="1"/>
    </row>
    <row r="1938" ht="14.5" spans="2:14"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"/>
      <c r="M1938" s="1"/>
      <c r="N1938" s="1"/>
    </row>
    <row r="1939" ht="14.5" spans="2:14"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"/>
      <c r="M1939" s="1"/>
      <c r="N1939" s="1"/>
    </row>
    <row r="1940" ht="14.5" spans="2:14"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"/>
      <c r="M1940" s="1"/>
      <c r="N1940" s="1"/>
    </row>
    <row r="1941" ht="14.5" spans="2:14"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"/>
      <c r="M1941" s="1"/>
      <c r="N1941" s="1"/>
    </row>
    <row r="1942" ht="14.5" spans="2:14"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"/>
      <c r="M1942" s="1"/>
      <c r="N1942" s="1"/>
    </row>
    <row r="1943" ht="14.5" spans="2:14"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"/>
      <c r="M1943" s="1"/>
      <c r="N1943" s="1"/>
    </row>
    <row r="1944" ht="14.5" spans="2:14"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"/>
      <c r="M1944" s="1"/>
      <c r="N1944" s="1"/>
    </row>
    <row r="1945" ht="14.5" spans="2:14"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"/>
      <c r="M1945" s="1"/>
      <c r="N1945" s="1"/>
    </row>
    <row r="1946" ht="14.5" spans="2:14"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"/>
      <c r="M1946" s="1"/>
      <c r="N1946" s="1"/>
    </row>
    <row r="1947" ht="14.5" spans="2:14"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"/>
      <c r="M1947" s="1"/>
      <c r="N1947" s="1"/>
    </row>
    <row r="1948" ht="14.5" spans="2:14"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"/>
      <c r="M1948" s="1"/>
      <c r="N1948" s="1"/>
    </row>
    <row r="1949" ht="14.5" spans="2:14"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"/>
      <c r="M1949" s="1"/>
      <c r="N1949" s="1"/>
    </row>
    <row r="1950" ht="14.5" spans="2:14"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"/>
      <c r="M1950" s="1"/>
      <c r="N1950" s="1"/>
    </row>
    <row r="1951" ht="14.5" spans="2:14"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"/>
      <c r="M1951" s="1"/>
      <c r="N1951" s="1"/>
    </row>
    <row r="1952" ht="14.5" spans="2:14"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"/>
      <c r="M1952" s="1"/>
      <c r="N1952" s="1"/>
    </row>
    <row r="1953" ht="14.5" spans="2:14"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"/>
      <c r="M1953" s="1"/>
      <c r="N1953" s="1"/>
    </row>
    <row r="1954" ht="14.5" spans="2:14"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"/>
      <c r="M1954" s="1"/>
      <c r="N1954" s="1"/>
    </row>
    <row r="1955" ht="14.5" spans="2:14"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"/>
      <c r="M1955" s="1"/>
      <c r="N1955" s="1"/>
    </row>
    <row r="1956" ht="14.5" spans="2:14"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"/>
      <c r="M1956" s="1"/>
      <c r="N1956" s="1"/>
    </row>
    <row r="1957" ht="14.5" spans="2:14"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"/>
      <c r="M1957" s="1"/>
      <c r="N1957" s="1"/>
    </row>
    <row r="1958" ht="14.5" spans="2:14"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"/>
      <c r="M1958" s="1"/>
      <c r="N1958" s="1"/>
    </row>
    <row r="1959" ht="14.5" spans="2:14"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"/>
      <c r="M1959" s="1"/>
      <c r="N1959" s="1"/>
    </row>
    <row r="1960" ht="14.5" spans="2:14"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"/>
      <c r="M1960" s="1"/>
      <c r="N1960" s="1"/>
    </row>
    <row r="1961" ht="14.5" spans="2:14"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"/>
      <c r="M1961" s="1"/>
      <c r="N1961" s="1"/>
    </row>
    <row r="1962" ht="14.5" spans="2:14"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"/>
      <c r="M1962" s="1"/>
      <c r="N1962" s="1"/>
    </row>
    <row r="1963" ht="14.5" spans="2:14"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"/>
      <c r="M1963" s="1"/>
      <c r="N1963" s="1"/>
    </row>
    <row r="1964" ht="14.5" spans="2:14"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"/>
      <c r="M1964" s="1"/>
      <c r="N1964" s="1"/>
    </row>
    <row r="1965" ht="14.5" spans="2:14"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"/>
      <c r="M1965" s="1"/>
      <c r="N1965" s="1"/>
    </row>
    <row r="1966" ht="14.5" spans="2:14"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"/>
      <c r="M1966" s="1"/>
      <c r="N1966" s="1"/>
    </row>
    <row r="1967" ht="14.5" spans="2:14"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"/>
      <c r="M1967" s="1"/>
      <c r="N1967" s="1"/>
    </row>
    <row r="1968" ht="14.5" spans="2:14"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"/>
      <c r="M1968" s="1"/>
      <c r="N1968" s="1"/>
    </row>
    <row r="1969" ht="14.5" spans="2:14"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"/>
      <c r="M1969" s="1"/>
      <c r="N1969" s="1"/>
    </row>
    <row r="1970" ht="14.5" spans="2:14"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"/>
      <c r="M1970" s="1"/>
      <c r="N1970" s="1"/>
    </row>
    <row r="1971" ht="14.5" spans="2:14"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"/>
      <c r="M1971" s="1"/>
      <c r="N1971" s="1"/>
    </row>
    <row r="1972" ht="14.5" spans="2:14"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"/>
      <c r="M1972" s="1"/>
      <c r="N1972" s="1"/>
    </row>
    <row r="1973" ht="14.5" spans="2:14"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"/>
      <c r="M1973" s="1"/>
      <c r="N1973" s="1"/>
    </row>
    <row r="1974" ht="14.5" spans="2:14"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"/>
      <c r="M1974" s="1"/>
      <c r="N1974" s="1"/>
    </row>
    <row r="1975" ht="14.5" spans="2:14"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"/>
      <c r="M1975" s="1"/>
      <c r="N1975" s="1"/>
    </row>
    <row r="1976" ht="14.5" spans="2:14"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"/>
      <c r="M1976" s="1"/>
      <c r="N1976" s="1"/>
    </row>
    <row r="1977" ht="14.5" spans="2:14"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"/>
      <c r="M1977" s="1"/>
      <c r="N1977" s="1"/>
    </row>
    <row r="1978" ht="14.5" spans="2:14"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"/>
      <c r="M1978" s="1"/>
      <c r="N1978" s="1"/>
    </row>
    <row r="1979" ht="14.5" spans="2:14"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"/>
      <c r="M1979" s="1"/>
      <c r="N1979" s="1"/>
    </row>
    <row r="1980" ht="14.5" spans="2:14"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"/>
      <c r="M1980" s="1"/>
      <c r="N1980" s="1"/>
    </row>
    <row r="1981" ht="14.5" spans="2:14"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"/>
      <c r="M1981" s="1"/>
      <c r="N1981" s="1"/>
    </row>
    <row r="1982" ht="14.5" spans="2:14"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"/>
      <c r="M1982" s="1"/>
      <c r="N1982" s="1"/>
    </row>
    <row r="1983" ht="14.5" spans="2:14"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"/>
      <c r="M1983" s="1"/>
      <c r="N1983" s="1"/>
    </row>
    <row r="1984" ht="14.5" spans="2:14"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"/>
      <c r="M1984" s="1"/>
      <c r="N1984" s="1"/>
    </row>
    <row r="1985" ht="14.5" spans="2:14"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"/>
      <c r="M1985" s="1"/>
      <c r="N1985" s="1"/>
    </row>
    <row r="1986" ht="14.5" spans="2:14"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"/>
      <c r="M1986" s="1"/>
      <c r="N1986" s="1"/>
    </row>
    <row r="1987" ht="14.5" spans="2:14"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"/>
      <c r="M1987" s="1"/>
      <c r="N1987" s="1"/>
    </row>
    <row r="1988" ht="14.5" spans="2:14"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"/>
      <c r="M1988" s="1"/>
      <c r="N1988" s="1"/>
    </row>
    <row r="1989" ht="14.5" spans="2:14"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"/>
      <c r="M1989" s="1"/>
      <c r="N1989" s="1"/>
    </row>
    <row r="1990" ht="14.5" spans="2:14"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"/>
      <c r="M1990" s="1"/>
      <c r="N1990" s="1"/>
    </row>
    <row r="1991" ht="14.5" spans="2:14"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"/>
      <c r="M1991" s="1"/>
      <c r="N1991" s="1"/>
    </row>
    <row r="1992" ht="14.5" spans="2:14"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"/>
      <c r="M1992" s="1"/>
      <c r="N1992" s="1"/>
    </row>
    <row r="1993" ht="14.5" spans="2:14"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"/>
      <c r="M1993" s="1"/>
      <c r="N1993" s="1"/>
    </row>
    <row r="1994" ht="14.5" spans="2:14"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"/>
      <c r="M1994" s="1"/>
      <c r="N1994" s="1"/>
    </row>
    <row r="1995" ht="14.5" spans="2:14"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"/>
      <c r="M1995" s="1"/>
      <c r="N1995" s="1"/>
    </row>
    <row r="1996" ht="14.5" spans="2:14"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"/>
      <c r="M1996" s="1"/>
      <c r="N1996" s="1"/>
    </row>
    <row r="1997" ht="14.5" spans="2:14"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"/>
      <c r="M1997" s="1"/>
      <c r="N1997" s="1"/>
    </row>
    <row r="1998" ht="14.5" spans="2:14"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"/>
      <c r="M1998" s="1"/>
      <c r="N1998" s="1"/>
    </row>
    <row r="1999" ht="14.5" spans="2:14"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"/>
      <c r="M1999" s="1"/>
      <c r="N1999" s="1"/>
    </row>
    <row r="2000" ht="14.5" spans="2:14"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"/>
      <c r="M2000" s="1"/>
      <c r="N2000" s="1"/>
    </row>
    <row r="2001" ht="14.5" spans="2:14"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"/>
      <c r="M2001" s="1"/>
      <c r="N2001" s="1"/>
    </row>
    <row r="2002" ht="14.5" spans="2:14"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"/>
      <c r="M2002" s="1"/>
      <c r="N2002" s="1"/>
    </row>
    <row r="2003" ht="14.5" spans="2:14"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"/>
      <c r="M2003" s="1"/>
      <c r="N2003" s="1"/>
    </row>
    <row r="2004" ht="14.5" spans="2:14"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"/>
      <c r="M2004" s="1"/>
      <c r="N2004" s="1"/>
    </row>
    <row r="2005" ht="14.5" spans="2:14"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"/>
      <c r="M2005" s="1"/>
      <c r="N2005" s="1"/>
    </row>
    <row r="2006" ht="14.5" spans="2:14"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"/>
      <c r="M2006" s="1"/>
      <c r="N2006" s="1"/>
    </row>
    <row r="2007" ht="14.5" spans="2:14"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"/>
      <c r="M2007" s="1"/>
      <c r="N2007" s="1"/>
    </row>
    <row r="2008" ht="14.5" spans="2:14"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"/>
      <c r="M2008" s="1"/>
      <c r="N2008" s="1"/>
    </row>
    <row r="2009" ht="14.5" spans="2:14"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"/>
      <c r="M2009" s="1"/>
      <c r="N2009" s="1"/>
    </row>
    <row r="2010" ht="14.5" spans="2:14"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"/>
      <c r="M2010" s="1"/>
      <c r="N2010" s="1"/>
    </row>
    <row r="2011" ht="14.5" spans="2:14"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"/>
      <c r="M2011" s="1"/>
      <c r="N2011" s="1"/>
    </row>
    <row r="2012" ht="14.5" spans="2:14"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"/>
      <c r="M2012" s="1"/>
      <c r="N2012" s="1"/>
    </row>
    <row r="2013" ht="14.5" spans="2:14"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"/>
      <c r="M2013" s="1"/>
      <c r="N2013" s="1"/>
    </row>
    <row r="2014" ht="14.5" spans="2:14"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"/>
      <c r="M2014" s="1"/>
      <c r="N2014" s="1"/>
    </row>
    <row r="2015" ht="14.5" spans="2:14"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"/>
      <c r="M2015" s="1"/>
      <c r="N2015" s="1"/>
    </row>
    <row r="2016" ht="14.5" spans="2:14"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"/>
      <c r="M2016" s="1"/>
      <c r="N2016" s="1"/>
    </row>
    <row r="2017" ht="14.5" spans="2:14"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"/>
      <c r="M2017" s="1"/>
      <c r="N2017" s="1"/>
    </row>
    <row r="2018" ht="14.5" spans="2:14"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"/>
      <c r="M2018" s="1"/>
      <c r="N2018" s="1"/>
    </row>
    <row r="2019" ht="14.5" spans="2:14"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"/>
      <c r="M2019" s="1"/>
      <c r="N2019" s="1"/>
    </row>
    <row r="2020" ht="14.5" spans="2:14"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"/>
      <c r="M2020" s="1"/>
      <c r="N2020" s="1"/>
    </row>
    <row r="2021" ht="14.5" spans="2:14"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"/>
      <c r="M2021" s="1"/>
      <c r="N2021" s="1"/>
    </row>
    <row r="2022" ht="14.5" spans="2:14"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"/>
      <c r="M2022" s="1"/>
      <c r="N2022" s="1"/>
    </row>
    <row r="2023" ht="14.5" spans="2:14"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"/>
      <c r="M2023" s="1"/>
      <c r="N2023" s="1"/>
    </row>
    <row r="2024" ht="14.5" spans="2:14"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"/>
      <c r="M2024" s="1"/>
      <c r="N2024" s="1"/>
    </row>
    <row r="2025" ht="14.5" spans="2:14"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"/>
      <c r="M2025" s="1"/>
      <c r="N2025" s="1"/>
    </row>
    <row r="2026" ht="14.5" spans="2:14"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"/>
      <c r="M2026" s="1"/>
      <c r="N2026" s="1"/>
    </row>
    <row r="2027" ht="14.5" spans="2:14"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"/>
      <c r="M2027" s="1"/>
      <c r="N2027" s="1"/>
    </row>
    <row r="2028" ht="14.5" spans="2:14"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"/>
      <c r="M2028" s="1"/>
      <c r="N2028" s="1"/>
    </row>
    <row r="2029" ht="14.5" spans="2:14"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"/>
      <c r="M2029" s="1"/>
      <c r="N2029" s="1"/>
    </row>
    <row r="2030" ht="14.5" spans="2:14"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"/>
      <c r="M2030" s="1"/>
      <c r="N2030" s="1"/>
    </row>
    <row r="2031" ht="14.5" spans="2:14"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"/>
      <c r="M2031" s="1"/>
      <c r="N2031" s="1"/>
    </row>
    <row r="2032" ht="14.5" spans="2:14"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"/>
      <c r="M2032" s="1"/>
      <c r="N2032" s="1"/>
    </row>
    <row r="2033" ht="14.5" spans="2:14"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"/>
      <c r="M2033" s="1"/>
      <c r="N2033" s="1"/>
    </row>
    <row r="2034" ht="14.5" spans="2:14"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"/>
      <c r="M2034" s="1"/>
      <c r="N2034" s="1"/>
    </row>
    <row r="2035" ht="14.5" spans="2:14"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"/>
      <c r="M2035" s="1"/>
      <c r="N2035" s="1"/>
    </row>
    <row r="2036" ht="14.5" spans="2:14"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"/>
      <c r="M2036" s="1"/>
      <c r="N2036" s="1"/>
    </row>
    <row r="2037" ht="14.5" spans="2:14"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"/>
      <c r="M2037" s="1"/>
      <c r="N2037" s="1"/>
    </row>
    <row r="2038" ht="14.5" spans="2:14"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"/>
      <c r="M2038" s="1"/>
      <c r="N2038" s="1"/>
    </row>
    <row r="2039" ht="14.5" spans="2:14"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"/>
      <c r="M2039" s="1"/>
      <c r="N2039" s="1"/>
    </row>
    <row r="2040" ht="14.5" spans="2:14"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"/>
      <c r="M2040" s="1"/>
      <c r="N2040" s="1"/>
    </row>
    <row r="2041" ht="14.5" spans="2:14"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"/>
      <c r="M2041" s="1"/>
      <c r="N2041" s="1"/>
    </row>
    <row r="2042" ht="14.5" spans="2:14"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"/>
      <c r="M2042" s="1"/>
      <c r="N2042" s="1"/>
    </row>
    <row r="2043" ht="14.5" spans="2:14"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"/>
      <c r="M2043" s="1"/>
      <c r="N2043" s="1"/>
    </row>
    <row r="2044" ht="14.5" spans="2:14"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"/>
      <c r="M2044" s="1"/>
      <c r="N2044" s="1"/>
    </row>
    <row r="2045" ht="14.5" spans="2:14"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"/>
      <c r="M2045" s="1"/>
      <c r="N2045" s="1"/>
    </row>
    <row r="2046" ht="14.5" spans="2:14"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"/>
      <c r="M2046" s="1"/>
      <c r="N2046" s="1"/>
    </row>
    <row r="2047" ht="14.5" spans="2:14"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"/>
      <c r="M2047" s="1"/>
      <c r="N2047" s="1"/>
    </row>
    <row r="2048" ht="14.5" spans="2:14"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"/>
      <c r="M2048" s="1"/>
      <c r="N2048" s="1"/>
    </row>
    <row r="2049" ht="14.5" spans="2:14"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"/>
      <c r="M2049" s="1"/>
      <c r="N2049" s="1"/>
    </row>
    <row r="2050" ht="14.5" spans="2:14"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"/>
      <c r="M2050" s="1"/>
      <c r="N2050" s="1"/>
    </row>
    <row r="2051" ht="14.5" spans="2:14"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"/>
      <c r="M2051" s="1"/>
      <c r="N2051" s="1"/>
    </row>
    <row r="2052" ht="14.5" spans="2:14"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"/>
      <c r="M2052" s="1"/>
      <c r="N2052" s="1"/>
    </row>
    <row r="2053" ht="14.5" spans="2:14"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"/>
      <c r="M2053" s="1"/>
      <c r="N2053" s="1"/>
    </row>
    <row r="2054" ht="14.5" spans="2:14"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"/>
      <c r="M2054" s="1"/>
      <c r="N2054" s="1"/>
    </row>
    <row r="2055" ht="14.5" spans="2:14"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"/>
      <c r="M2055" s="1"/>
      <c r="N2055" s="1"/>
    </row>
    <row r="2056" ht="14.5" spans="2:14"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"/>
      <c r="M2056" s="1"/>
      <c r="N2056" s="1"/>
    </row>
    <row r="2057" ht="14.5" spans="2:14"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"/>
      <c r="M2057" s="1"/>
      <c r="N2057" s="1"/>
    </row>
    <row r="2058" ht="14.5" spans="2:14"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"/>
      <c r="M2058" s="1"/>
      <c r="N2058" s="1"/>
    </row>
    <row r="2059" ht="14.5" spans="2:14"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"/>
      <c r="M2059" s="1"/>
      <c r="N2059" s="1"/>
    </row>
    <row r="2060" ht="14.5" spans="2:14"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"/>
      <c r="M2060" s="1"/>
      <c r="N2060" s="1"/>
    </row>
    <row r="2061" ht="14.5" spans="2:14"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"/>
      <c r="M2061" s="1"/>
      <c r="N2061" s="1"/>
    </row>
    <row r="2062" ht="14.5" spans="2:14"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"/>
      <c r="M2062" s="1"/>
      <c r="N2062" s="1"/>
    </row>
    <row r="2063" ht="14.5" spans="2:14"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"/>
      <c r="M2063" s="1"/>
      <c r="N2063" s="1"/>
    </row>
    <row r="2064" ht="14.5" spans="2:14"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"/>
      <c r="M2064" s="1"/>
      <c r="N2064" s="1"/>
    </row>
    <row r="2065" ht="14.5" spans="2:14"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"/>
      <c r="M2065" s="1"/>
      <c r="N2065" s="1"/>
    </row>
    <row r="2066" ht="14.5" spans="2:14"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"/>
      <c r="M2066" s="1"/>
      <c r="N2066" s="1"/>
    </row>
    <row r="2067" ht="14.5" spans="2:14"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"/>
      <c r="M2067" s="1"/>
      <c r="N2067" s="1"/>
    </row>
    <row r="2068" ht="14.5" spans="2:14"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"/>
      <c r="M2068" s="1"/>
      <c r="N2068" s="1"/>
    </row>
    <row r="2069" ht="14.5" spans="2:14"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"/>
      <c r="M2069" s="1"/>
      <c r="N2069" s="1"/>
    </row>
    <row r="2070" ht="14.5" spans="2:14"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"/>
      <c r="M2070" s="1"/>
      <c r="N2070" s="1"/>
    </row>
    <row r="2071" ht="14.5" spans="2:14"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"/>
      <c r="M2071" s="1"/>
      <c r="N2071" s="1"/>
    </row>
    <row r="2072" ht="14.5" spans="2:14"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"/>
      <c r="M2072" s="1"/>
      <c r="N2072" s="1"/>
    </row>
    <row r="2073" ht="14.5" spans="2:14"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"/>
      <c r="M2073" s="1"/>
      <c r="N2073" s="1"/>
    </row>
    <row r="2074" ht="14.5" spans="2:14"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"/>
      <c r="M2074" s="1"/>
      <c r="N2074" s="1"/>
    </row>
    <row r="2075" ht="14.5" spans="2:14"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"/>
      <c r="M2075" s="1"/>
      <c r="N2075" s="1"/>
    </row>
    <row r="2076" ht="14.5" spans="2:14"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"/>
      <c r="M2076" s="1"/>
      <c r="N2076" s="1"/>
    </row>
    <row r="2077" ht="14.5" spans="2:14"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"/>
      <c r="M2077" s="1"/>
      <c r="N2077" s="1"/>
    </row>
    <row r="2078" ht="14.5" spans="2:14"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"/>
      <c r="M2078" s="1"/>
      <c r="N2078" s="1"/>
    </row>
    <row r="2079" ht="14.5" spans="2:14"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"/>
      <c r="M2079" s="1"/>
      <c r="N2079" s="1"/>
    </row>
    <row r="2080" ht="14.5" spans="2:14"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"/>
      <c r="M2080" s="1"/>
      <c r="N2080" s="1"/>
    </row>
    <row r="2081" ht="14.5" spans="2:14"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"/>
      <c r="M2081" s="1"/>
      <c r="N2081" s="1"/>
    </row>
    <row r="2082" ht="14.5" spans="2:14"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"/>
      <c r="M2082" s="1"/>
      <c r="N2082" s="1"/>
    </row>
    <row r="2083" ht="14.5" spans="2:14"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"/>
      <c r="M2083" s="1"/>
      <c r="N2083" s="1"/>
    </row>
    <row r="2084" ht="14.5" spans="2:14"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"/>
      <c r="M2084" s="1"/>
      <c r="N2084" s="1"/>
    </row>
    <row r="2085" ht="14.5" spans="2:14"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"/>
      <c r="M2085" s="1"/>
      <c r="N2085" s="1"/>
    </row>
    <row r="2086" ht="14.5" spans="2:14"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"/>
      <c r="M2086" s="1"/>
      <c r="N2086" s="1"/>
    </row>
    <row r="2087" ht="14.5" spans="2:14"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"/>
      <c r="M2087" s="1"/>
      <c r="N2087" s="1"/>
    </row>
    <row r="2088" ht="14.5" spans="2:14"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"/>
      <c r="M2088" s="1"/>
      <c r="N2088" s="1"/>
    </row>
    <row r="2089" ht="14.5" spans="2:14"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"/>
      <c r="M2089" s="1"/>
      <c r="N2089" s="1"/>
    </row>
    <row r="2090" ht="14.5" spans="2:14"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"/>
      <c r="M2090" s="1"/>
      <c r="N2090" s="1"/>
    </row>
    <row r="2091" ht="14.5" spans="2:14"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"/>
      <c r="M2091" s="1"/>
      <c r="N2091" s="1"/>
    </row>
    <row r="2092" ht="14.5" spans="2:14"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"/>
      <c r="M2092" s="1"/>
      <c r="N2092" s="1"/>
    </row>
    <row r="2093" ht="14.5" spans="2:14"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"/>
      <c r="M2093" s="1"/>
      <c r="N2093" s="1"/>
    </row>
    <row r="2094" ht="14.5" spans="2:14"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"/>
      <c r="M2094" s="1"/>
      <c r="N2094" s="1"/>
    </row>
    <row r="2095" ht="14.5" spans="2:14"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"/>
      <c r="M2095" s="1"/>
      <c r="N2095" s="1"/>
    </row>
    <row r="2096" ht="14.5" spans="2:14"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"/>
      <c r="M2096" s="1"/>
      <c r="N2096" s="1"/>
    </row>
    <row r="2097" ht="14.5" spans="2:14"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"/>
      <c r="M2097" s="1"/>
      <c r="N2097" s="1"/>
    </row>
    <row r="2098" ht="14.5" spans="2:14"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"/>
      <c r="M2098" s="1"/>
      <c r="N2098" s="1"/>
    </row>
    <row r="2099" ht="14.5" spans="2:14"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"/>
      <c r="M2099" s="1"/>
      <c r="N2099" s="1"/>
    </row>
    <row r="2100" ht="14.5" spans="2:14"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"/>
      <c r="M2100" s="1"/>
      <c r="N2100" s="1"/>
    </row>
    <row r="2101" ht="14.5" spans="2:14"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"/>
      <c r="M2101" s="1"/>
      <c r="N2101" s="1"/>
    </row>
    <row r="2102" ht="14.5" spans="2:14"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"/>
      <c r="M2102" s="1"/>
      <c r="N2102" s="1"/>
    </row>
    <row r="2103" ht="14.5" spans="2:14"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"/>
      <c r="M2103" s="1"/>
      <c r="N2103" s="1"/>
    </row>
    <row r="2104" ht="14.5" spans="2:14"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"/>
      <c r="M2104" s="1"/>
      <c r="N2104" s="1"/>
    </row>
    <row r="2105" ht="14.5" spans="2:14"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"/>
      <c r="M2105" s="1"/>
      <c r="N2105" s="1"/>
    </row>
    <row r="2106" ht="14.5" spans="2:14"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"/>
      <c r="M2106" s="1"/>
      <c r="N2106" s="1"/>
    </row>
    <row r="2107" ht="14.5" spans="2:14"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"/>
      <c r="M2107" s="1"/>
      <c r="N2107" s="1"/>
    </row>
    <row r="2108" ht="14.5" spans="2:14"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"/>
      <c r="M2108" s="1"/>
      <c r="N2108" s="1"/>
    </row>
    <row r="2109" ht="14.5" spans="2:14"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"/>
      <c r="M2109" s="1"/>
      <c r="N2109" s="1"/>
    </row>
    <row r="2110" ht="14.5" spans="2:14"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"/>
      <c r="M2110" s="1"/>
      <c r="N2110" s="1"/>
    </row>
    <row r="2111" ht="14.5" spans="2:14"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"/>
      <c r="M2111" s="1"/>
      <c r="N2111" s="1"/>
    </row>
    <row r="2112" ht="14.5" spans="2:14"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"/>
      <c r="M2112" s="1"/>
      <c r="N2112" s="1"/>
    </row>
    <row r="2113" ht="14.5" spans="2:14"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"/>
      <c r="M2113" s="1"/>
      <c r="N2113" s="1"/>
    </row>
    <row r="2114" ht="14.5" spans="2:14"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"/>
      <c r="M2114" s="1"/>
      <c r="N2114" s="1"/>
    </row>
    <row r="2115" ht="14.5" spans="2:14"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"/>
      <c r="M2115" s="1"/>
      <c r="N2115" s="1"/>
    </row>
    <row r="2116" ht="14.5" spans="2:14"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"/>
      <c r="M2116" s="1"/>
      <c r="N2116" s="1"/>
    </row>
    <row r="2117" ht="14.5" spans="2:14"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"/>
      <c r="M2117" s="1"/>
      <c r="N2117" s="1"/>
    </row>
    <row r="2118" ht="14.5" spans="2:14"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"/>
      <c r="M2118" s="1"/>
      <c r="N2118" s="1"/>
    </row>
    <row r="2119" ht="14.5" spans="2:14"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"/>
      <c r="M2119" s="1"/>
      <c r="N2119" s="1"/>
    </row>
    <row r="2120" ht="14.5" spans="2:14"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"/>
      <c r="M2120" s="1"/>
      <c r="N2120" s="1"/>
    </row>
    <row r="2121" ht="14.5" spans="2:14"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"/>
      <c r="M2121" s="1"/>
      <c r="N2121" s="1"/>
    </row>
    <row r="2122" ht="14.5" spans="2:14"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"/>
      <c r="M2122" s="1"/>
      <c r="N2122" s="1"/>
    </row>
    <row r="2123" ht="14.5" spans="2:14"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"/>
      <c r="M2123" s="1"/>
      <c r="N2123" s="1"/>
    </row>
    <row r="2124" ht="14.5" spans="2:14"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"/>
      <c r="M2124" s="1"/>
      <c r="N2124" s="1"/>
    </row>
    <row r="2125" ht="14.5" spans="2:14"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"/>
      <c r="M2125" s="1"/>
      <c r="N2125" s="1"/>
    </row>
    <row r="2126" ht="14.5" spans="2:14"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"/>
      <c r="M2126" s="1"/>
      <c r="N2126" s="1"/>
    </row>
    <row r="2127" ht="14.5" spans="2:14"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"/>
      <c r="M2127" s="1"/>
      <c r="N2127" s="1"/>
    </row>
    <row r="2128" ht="14.5" spans="2:14"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"/>
      <c r="M2128" s="1"/>
      <c r="N2128" s="1"/>
    </row>
    <row r="2129" ht="14.5" spans="2:14"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"/>
      <c r="M2129" s="1"/>
      <c r="N2129" s="1"/>
    </row>
    <row r="2130" ht="14.5" spans="2:14"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"/>
      <c r="M2130" s="1"/>
      <c r="N2130" s="1"/>
    </row>
    <row r="2131" ht="14.5" spans="2:14"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"/>
      <c r="M2131" s="1"/>
      <c r="N2131" s="1"/>
    </row>
    <row r="2132" ht="14.5" spans="2:14"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"/>
      <c r="M2132" s="1"/>
      <c r="N2132" s="1"/>
    </row>
    <row r="2133" ht="14.5" spans="2:14"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"/>
      <c r="M2133" s="1"/>
      <c r="N2133" s="1"/>
    </row>
    <row r="2134" ht="14.5" spans="2:14"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"/>
      <c r="M2134" s="1"/>
      <c r="N2134" s="1"/>
    </row>
    <row r="2135" ht="14.5" spans="2:14"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"/>
      <c r="M2135" s="1"/>
      <c r="N2135" s="1"/>
    </row>
    <row r="2136" ht="14.5" spans="2:14"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"/>
      <c r="M2136" s="1"/>
      <c r="N2136" s="1"/>
    </row>
    <row r="2137" ht="14.5" spans="2:14"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"/>
      <c r="M2137" s="1"/>
      <c r="N2137" s="1"/>
    </row>
    <row r="2138" ht="14.5" spans="2:14"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"/>
      <c r="M2138" s="1"/>
      <c r="N2138" s="1"/>
    </row>
    <row r="2139" ht="14.5" spans="2:14"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"/>
      <c r="M2139" s="1"/>
      <c r="N2139" s="1"/>
    </row>
    <row r="2140" ht="14.5" spans="2:14"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"/>
      <c r="M2140" s="1"/>
      <c r="N2140" s="1"/>
    </row>
    <row r="2141" ht="14.5" spans="2:14"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"/>
      <c r="M2141" s="1"/>
      <c r="N2141" s="1"/>
    </row>
    <row r="2142" ht="14.5" spans="2:14"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"/>
      <c r="M2142" s="1"/>
      <c r="N2142" s="1"/>
    </row>
    <row r="2143" ht="14.5" spans="2:14"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"/>
      <c r="M2143" s="1"/>
      <c r="N2143" s="1"/>
    </row>
    <row r="2144" ht="14.5" spans="2:14"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"/>
      <c r="M2144" s="1"/>
      <c r="N2144" s="1"/>
    </row>
    <row r="2145" ht="14.5" spans="2:14"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"/>
      <c r="M2145" s="1"/>
      <c r="N2145" s="1"/>
    </row>
    <row r="2146" ht="14.5" spans="2:14"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"/>
      <c r="M2146" s="1"/>
      <c r="N2146" s="1"/>
    </row>
    <row r="2147" ht="14.5" spans="2:14"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"/>
      <c r="M2147" s="1"/>
      <c r="N2147" s="1"/>
    </row>
    <row r="2148" ht="14.5" spans="2:14"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"/>
      <c r="M2148" s="1"/>
      <c r="N2148" s="1"/>
    </row>
    <row r="2149" ht="14.5" spans="2:14"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"/>
      <c r="M2149" s="1"/>
      <c r="N2149" s="1"/>
    </row>
    <row r="2150" ht="14.5" spans="2:14"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"/>
      <c r="M2150" s="1"/>
      <c r="N2150" s="1"/>
    </row>
    <row r="2151" ht="14.5" spans="2:14"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"/>
      <c r="M2151" s="1"/>
      <c r="N2151" s="1"/>
    </row>
    <row r="2152" ht="14.5" spans="2:14"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"/>
      <c r="M2152" s="1"/>
      <c r="N2152" s="1"/>
    </row>
    <row r="2153" ht="14.5" spans="2:14"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"/>
      <c r="M2153" s="1"/>
      <c r="N2153" s="1"/>
    </row>
    <row r="2154" ht="14.5" spans="2:14"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"/>
      <c r="M2154" s="1"/>
      <c r="N2154" s="1"/>
    </row>
    <row r="2155" ht="14.5" spans="2:14"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"/>
      <c r="M2155" s="1"/>
      <c r="N2155" s="1"/>
    </row>
    <row r="2156" ht="14.5" spans="2:14"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"/>
      <c r="M2156" s="1"/>
      <c r="N2156" s="1"/>
    </row>
    <row r="2157" ht="14.5" spans="2:14"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"/>
      <c r="M2157" s="1"/>
      <c r="N2157" s="1"/>
    </row>
    <row r="2158" ht="14.5" spans="2:14"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"/>
      <c r="M2158" s="1"/>
      <c r="N2158" s="1"/>
    </row>
    <row r="2159" ht="14.5" spans="2:14"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"/>
      <c r="M2159" s="1"/>
      <c r="N2159" s="1"/>
    </row>
    <row r="2160" ht="14.5" spans="2:14"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"/>
      <c r="M2160" s="1"/>
      <c r="N2160" s="1"/>
    </row>
    <row r="2161" ht="14.5" spans="2:14"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"/>
      <c r="M2161" s="1"/>
      <c r="N2161" s="1"/>
    </row>
    <row r="2162" ht="14.5" spans="2:14"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"/>
      <c r="M2162" s="1"/>
      <c r="N2162" s="1"/>
    </row>
    <row r="2163" ht="14.5" spans="2:14"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"/>
      <c r="M2163" s="1"/>
      <c r="N2163" s="1"/>
    </row>
    <row r="2164" ht="14.5" spans="2:14"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"/>
      <c r="M2164" s="1"/>
      <c r="N2164" s="1"/>
    </row>
    <row r="2165" ht="14.5" spans="2:14"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"/>
      <c r="M2165" s="1"/>
      <c r="N2165" s="1"/>
    </row>
    <row r="2166" ht="14.5" spans="2:14"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"/>
      <c r="M2166" s="1"/>
      <c r="N2166" s="1"/>
    </row>
    <row r="2167" ht="14.5" spans="2:14"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"/>
      <c r="M2167" s="1"/>
      <c r="N2167" s="1"/>
    </row>
    <row r="2168" ht="14.5" spans="2:14"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"/>
      <c r="M2168" s="1"/>
      <c r="N2168" s="1"/>
    </row>
    <row r="2169" ht="14.5" spans="2:14"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"/>
      <c r="M2169" s="1"/>
      <c r="N2169" s="1"/>
    </row>
    <row r="2170" ht="14.5" spans="2:14"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"/>
      <c r="M2170" s="1"/>
      <c r="N2170" s="1"/>
    </row>
    <row r="2171" ht="14.5" spans="2:14"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"/>
      <c r="M2171" s="1"/>
      <c r="N2171" s="1"/>
    </row>
    <row r="2172" ht="14.5" spans="2:14"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"/>
      <c r="M2172" s="1"/>
      <c r="N2172" s="1"/>
    </row>
    <row r="2173" ht="14.5" spans="2:14"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"/>
      <c r="M2173" s="1"/>
      <c r="N2173" s="1"/>
    </row>
    <row r="2174" ht="14.5" spans="2:14"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"/>
      <c r="M2174" s="1"/>
      <c r="N2174" s="1"/>
    </row>
    <row r="2175" ht="14.5" spans="2:14"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"/>
      <c r="M2175" s="1"/>
      <c r="N2175" s="1"/>
    </row>
    <row r="2176" ht="14.5" spans="2:14"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"/>
      <c r="M2176" s="1"/>
      <c r="N2176" s="1"/>
    </row>
    <row r="2177" ht="14.5" spans="2:14"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"/>
      <c r="M2177" s="1"/>
      <c r="N2177" s="1"/>
    </row>
    <row r="2178" ht="14.5" spans="2:14"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"/>
      <c r="M2178" s="1"/>
      <c r="N2178" s="1"/>
    </row>
    <row r="2179" ht="14.5" spans="2:14"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"/>
      <c r="M2179" s="1"/>
      <c r="N2179" s="1"/>
    </row>
    <row r="2180" ht="14.5" spans="2:14"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"/>
      <c r="M2180" s="1"/>
      <c r="N2180" s="1"/>
    </row>
    <row r="2181" ht="14.5" spans="2:14"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"/>
      <c r="M2181" s="1"/>
      <c r="N2181" s="1"/>
    </row>
    <row r="2182" ht="14.5" spans="2:14"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"/>
      <c r="M2182" s="1"/>
      <c r="N2182" s="1"/>
    </row>
    <row r="2183" ht="14.5" spans="2:14"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"/>
      <c r="M2183" s="1"/>
      <c r="N2183" s="1"/>
    </row>
    <row r="2184" ht="14.5" spans="2:14"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"/>
      <c r="M2184" s="1"/>
      <c r="N2184" s="1"/>
    </row>
    <row r="2185" ht="14.5" spans="2:14"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"/>
      <c r="M2185" s="1"/>
      <c r="N2185" s="1"/>
    </row>
    <row r="2186" ht="14.5" spans="2:14"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"/>
      <c r="M2186" s="1"/>
      <c r="N2186" s="1"/>
    </row>
    <row r="2187" ht="14.5" spans="2:14"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"/>
      <c r="M2187" s="1"/>
      <c r="N2187" s="1"/>
    </row>
    <row r="2188" ht="14.5" spans="2:14"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"/>
      <c r="M2188" s="1"/>
      <c r="N2188" s="1"/>
    </row>
    <row r="2189" ht="14.5" spans="2:14"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"/>
      <c r="M2189" s="1"/>
      <c r="N2189" s="1"/>
    </row>
    <row r="2190" ht="14.5" spans="2:14"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"/>
      <c r="M2190" s="1"/>
      <c r="N2190" s="1"/>
    </row>
    <row r="2191" ht="14.5" spans="2:14"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"/>
      <c r="M2191" s="1"/>
      <c r="N2191" s="1"/>
    </row>
    <row r="2192" ht="14.5" spans="2:14"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"/>
      <c r="M2192" s="1"/>
      <c r="N2192" s="1"/>
    </row>
    <row r="2193" ht="14.5" spans="2:14"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"/>
      <c r="M2193" s="1"/>
      <c r="N2193" s="1"/>
    </row>
    <row r="2194" ht="14.5" spans="2:14"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"/>
      <c r="M2194" s="1"/>
      <c r="N2194" s="1"/>
    </row>
    <row r="2195" ht="14.5" spans="2:14"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"/>
      <c r="M2195" s="1"/>
      <c r="N2195" s="1"/>
    </row>
    <row r="2196" ht="14.5" spans="2:14"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"/>
      <c r="M2196" s="1"/>
      <c r="N2196" s="1"/>
    </row>
    <row r="2197" ht="14.5" spans="2:14"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"/>
      <c r="M2197" s="1"/>
      <c r="N2197" s="1"/>
    </row>
    <row r="2198" ht="14.5" spans="2:14"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"/>
      <c r="M2198" s="1"/>
      <c r="N2198" s="1"/>
    </row>
    <row r="2199" ht="14.5" spans="2:14"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"/>
      <c r="M2199" s="1"/>
      <c r="N2199" s="1"/>
    </row>
    <row r="2200" ht="14.5" spans="2:14"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"/>
      <c r="M2200" s="1"/>
      <c r="N2200" s="1"/>
    </row>
    <row r="2201" ht="14.5" spans="2:14"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"/>
      <c r="M2201" s="1"/>
      <c r="N2201" s="1"/>
    </row>
    <row r="2202" ht="14.5" spans="2:14"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"/>
      <c r="M2202" s="1"/>
      <c r="N2202" s="1"/>
    </row>
    <row r="2203" ht="14.5" spans="2:14"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"/>
      <c r="M2203" s="1"/>
      <c r="N2203" s="1"/>
    </row>
    <row r="2204" ht="14.5" spans="2:14"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"/>
      <c r="M2204" s="1"/>
      <c r="N2204" s="1"/>
    </row>
    <row r="2205" ht="14.5" spans="2:14"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"/>
      <c r="M2205" s="1"/>
      <c r="N2205" s="1"/>
    </row>
    <row r="2206" ht="14.5" spans="2:14"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"/>
      <c r="M2206" s="1"/>
      <c r="N2206" s="1"/>
    </row>
    <row r="2207" ht="14.5" spans="2:14"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"/>
      <c r="M2207" s="1"/>
      <c r="N2207" s="1"/>
    </row>
    <row r="2208" ht="14.5" spans="2:14"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"/>
      <c r="M2208" s="1"/>
      <c r="N2208" s="1"/>
    </row>
    <row r="2209" ht="14.5" spans="2:14"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"/>
      <c r="M2209" s="1"/>
      <c r="N2209" s="1"/>
    </row>
    <row r="2210" ht="14.5" spans="2:14"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"/>
      <c r="M2210" s="1"/>
      <c r="N2210" s="1"/>
    </row>
    <row r="2211" ht="14.5" spans="2:14"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"/>
      <c r="M2211" s="1"/>
      <c r="N2211" s="1"/>
    </row>
    <row r="2212" ht="14.5" spans="2:14"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"/>
      <c r="M2212" s="1"/>
      <c r="N2212" s="1"/>
    </row>
    <row r="2213" ht="14.5" spans="2:14"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"/>
      <c r="M2213" s="1"/>
      <c r="N2213" s="1"/>
    </row>
    <row r="2214" ht="14.5" spans="2:14"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"/>
      <c r="M2214" s="1"/>
      <c r="N2214" s="1"/>
    </row>
    <row r="2215" ht="14.5" spans="2:14"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"/>
      <c r="M2215" s="1"/>
      <c r="N2215" s="1"/>
    </row>
    <row r="2216" ht="14.5" spans="2:14"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"/>
      <c r="M2216" s="1"/>
      <c r="N2216" s="1"/>
    </row>
    <row r="2217" ht="14.5" spans="2:14"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"/>
      <c r="M2217" s="1"/>
      <c r="N2217" s="1"/>
    </row>
    <row r="2218" ht="14.5" spans="2:14"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"/>
      <c r="M2218" s="1"/>
      <c r="N2218" s="1"/>
    </row>
    <row r="2219" ht="14.5" spans="2:14"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"/>
      <c r="M2219" s="1"/>
      <c r="N2219" s="1"/>
    </row>
    <row r="2220" ht="14.5" spans="2:14"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"/>
      <c r="M2220" s="1"/>
      <c r="N2220" s="1"/>
    </row>
    <row r="2221" ht="14.5" spans="2:14"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"/>
      <c r="M2221" s="1"/>
      <c r="N2221" s="1"/>
    </row>
    <row r="2222" ht="14.5" spans="2:14"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"/>
      <c r="M2222" s="1"/>
      <c r="N2222" s="1"/>
    </row>
    <row r="2223" ht="14.5" spans="2:14"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"/>
      <c r="M2223" s="1"/>
      <c r="N2223" s="1"/>
    </row>
    <row r="2224" ht="14.5" spans="2:14"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"/>
      <c r="M2224" s="1"/>
      <c r="N2224" s="1"/>
    </row>
    <row r="2225" ht="14.5" spans="2:14"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"/>
      <c r="M2225" s="1"/>
      <c r="N2225" s="1"/>
    </row>
    <row r="2226" ht="14.5" spans="2:14"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"/>
      <c r="M2226" s="1"/>
      <c r="N2226" s="1"/>
    </row>
    <row r="2227" ht="14.5" spans="2:14"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"/>
      <c r="M2227" s="1"/>
      <c r="N2227" s="1"/>
    </row>
    <row r="2228" ht="14.5" spans="2:14"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"/>
      <c r="M2228" s="1"/>
      <c r="N2228" s="1"/>
    </row>
    <row r="2229" ht="14.5" spans="2:14"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"/>
      <c r="M2229" s="1"/>
      <c r="N2229" s="1"/>
    </row>
    <row r="2230" ht="14.5" spans="2:14"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"/>
      <c r="M2230" s="1"/>
      <c r="N2230" s="1"/>
    </row>
    <row r="2231" ht="14.5" spans="2:14"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"/>
      <c r="M2231" s="1"/>
      <c r="N2231" s="1"/>
    </row>
    <row r="2232" ht="14.5" spans="2:14"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"/>
      <c r="M2232" s="1"/>
      <c r="N2232" s="1"/>
    </row>
    <row r="2233" ht="14.5" spans="2:14"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"/>
      <c r="M2233" s="1"/>
      <c r="N2233" s="1"/>
    </row>
    <row r="2234" ht="14.5" spans="2:14"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"/>
      <c r="M2234" s="1"/>
      <c r="N2234" s="1"/>
    </row>
    <row r="2235" ht="14.5" spans="2:14"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"/>
      <c r="M2235" s="1"/>
      <c r="N2235" s="1"/>
    </row>
    <row r="2236" ht="14.5" spans="2:14"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"/>
      <c r="M2236" s="1"/>
      <c r="N2236" s="1"/>
    </row>
    <row r="2237" ht="14.5" spans="2:14"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"/>
      <c r="M2237" s="1"/>
      <c r="N2237" s="1"/>
    </row>
    <row r="2238" ht="14.5" spans="2:14"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"/>
      <c r="M2238" s="1"/>
      <c r="N2238" s="1"/>
    </row>
    <row r="2239" ht="14.5" spans="2:14"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"/>
      <c r="M2239" s="1"/>
      <c r="N2239" s="1"/>
    </row>
    <row r="2240" ht="14.5" spans="2:14"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"/>
      <c r="M2240" s="1"/>
      <c r="N2240" s="1"/>
    </row>
    <row r="2241" ht="14.5" spans="2:14"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"/>
      <c r="M2241" s="1"/>
      <c r="N2241" s="1"/>
    </row>
    <row r="2242" ht="14.5" spans="2:14"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"/>
      <c r="M2242" s="1"/>
      <c r="N2242" s="1"/>
    </row>
    <row r="2243" ht="14.5" spans="2:14"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"/>
      <c r="M2243" s="1"/>
      <c r="N2243" s="1"/>
    </row>
    <row r="2244" ht="14.5" spans="2:14"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"/>
      <c r="M2244" s="1"/>
      <c r="N2244" s="1"/>
    </row>
    <row r="2245" ht="14.5" spans="2:14"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"/>
      <c r="M2245" s="1"/>
      <c r="N2245" s="1"/>
    </row>
    <row r="2246" ht="14.5" spans="2:14"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"/>
      <c r="M2246" s="1"/>
      <c r="N2246" s="1"/>
    </row>
    <row r="2247" ht="14.5" spans="2:14"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"/>
      <c r="M2247" s="1"/>
      <c r="N2247" s="1"/>
    </row>
    <row r="2248" ht="14.5" spans="2:14"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"/>
      <c r="M2248" s="1"/>
      <c r="N2248" s="1"/>
    </row>
    <row r="2249" ht="14.5" spans="2:14"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"/>
      <c r="M2249" s="1"/>
      <c r="N2249" s="1"/>
    </row>
    <row r="2250" ht="14.5" spans="2:14"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"/>
      <c r="M2250" s="1"/>
      <c r="N2250" s="1"/>
    </row>
    <row r="2251" ht="14.5" spans="2:14"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"/>
      <c r="M2251" s="1"/>
      <c r="N2251" s="1"/>
    </row>
    <row r="2252" ht="14.5" spans="2:14"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"/>
      <c r="M2252" s="1"/>
      <c r="N2252" s="1"/>
    </row>
    <row r="2253" ht="14.5" spans="2:14"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"/>
      <c r="M2253" s="1"/>
      <c r="N2253" s="1"/>
    </row>
    <row r="2254" ht="14.5" spans="2:14"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"/>
      <c r="M2254" s="1"/>
      <c r="N2254" s="1"/>
    </row>
    <row r="2255" ht="14.5" spans="2:14"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"/>
      <c r="M2255" s="1"/>
      <c r="N2255" s="1"/>
    </row>
    <row r="2256" ht="14.5" spans="2:14"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"/>
      <c r="M2256" s="1"/>
      <c r="N2256" s="1"/>
    </row>
    <row r="2257" ht="14.5" spans="2:14"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"/>
      <c r="M2257" s="1"/>
      <c r="N2257" s="1"/>
    </row>
    <row r="2258" ht="14.5" spans="2:14"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"/>
      <c r="M2258" s="1"/>
      <c r="N2258" s="1"/>
    </row>
    <row r="2259" ht="14.5" spans="2:14"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"/>
      <c r="M2259" s="1"/>
      <c r="N2259" s="1"/>
    </row>
    <row r="2260" ht="14.5" spans="2:14"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"/>
      <c r="M2260" s="1"/>
      <c r="N2260" s="1"/>
    </row>
    <row r="2261" ht="14.5" spans="2:14"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"/>
      <c r="M2261" s="1"/>
      <c r="N2261" s="1"/>
    </row>
    <row r="2262" ht="14.5" spans="2:14"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"/>
      <c r="M2262" s="1"/>
      <c r="N2262" s="1"/>
    </row>
    <row r="2263" ht="14.5" spans="2:14"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"/>
      <c r="M2263" s="1"/>
      <c r="N2263" s="1"/>
    </row>
    <row r="2264" ht="14.5" spans="2:14"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"/>
      <c r="M2264" s="1"/>
      <c r="N2264" s="1"/>
    </row>
    <row r="2265" ht="14.5" spans="2:14"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"/>
      <c r="M2265" s="1"/>
      <c r="N2265" s="1"/>
    </row>
    <row r="2266" ht="14.5" spans="2:14"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"/>
      <c r="M2266" s="1"/>
      <c r="N2266" s="1"/>
    </row>
    <row r="2267" ht="14.5" spans="2:14"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"/>
      <c r="M2267" s="1"/>
      <c r="N2267" s="1"/>
    </row>
    <row r="2268" ht="14.5" spans="2:14"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"/>
      <c r="M2268" s="1"/>
      <c r="N2268" s="1"/>
    </row>
    <row r="2269" ht="14.5" spans="2:14"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"/>
      <c r="M2269" s="1"/>
      <c r="N2269" s="1"/>
    </row>
    <row r="2270" ht="14.5" spans="2:14"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"/>
      <c r="M2270" s="1"/>
      <c r="N2270" s="1"/>
    </row>
    <row r="2271" ht="14.5" spans="2:14"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"/>
      <c r="M2271" s="1"/>
      <c r="N2271" s="1"/>
    </row>
    <row r="2272" ht="14.5" spans="2:14"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"/>
      <c r="M2272" s="1"/>
      <c r="N2272" s="1"/>
    </row>
    <row r="2273" ht="14.5" spans="2:14"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"/>
      <c r="M2273" s="1"/>
      <c r="N2273" s="1"/>
    </row>
    <row r="2274" ht="14.5" spans="2:14"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"/>
      <c r="M2274" s="1"/>
      <c r="N2274" s="1"/>
    </row>
    <row r="2275" ht="14.5" spans="2:14"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"/>
      <c r="M2275" s="1"/>
      <c r="N2275" s="1"/>
    </row>
    <row r="2276" ht="14.5" spans="2:14"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"/>
      <c r="M2276" s="1"/>
      <c r="N2276" s="1"/>
    </row>
    <row r="2277" ht="14.5" spans="2:14"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"/>
      <c r="M2277" s="1"/>
      <c r="N2277" s="1"/>
    </row>
    <row r="2278" ht="14.5" spans="2:14"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"/>
      <c r="M2278" s="1"/>
      <c r="N2278" s="1"/>
    </row>
    <row r="2279" ht="14.5" spans="2:14"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"/>
      <c r="M2279" s="1"/>
      <c r="N2279" s="1"/>
    </row>
    <row r="2280" ht="14.5" spans="2:14"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"/>
      <c r="M2280" s="1"/>
      <c r="N2280" s="1"/>
    </row>
    <row r="2281" ht="14.5" spans="2:14"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"/>
      <c r="M2281" s="1"/>
      <c r="N2281" s="1"/>
    </row>
    <row r="2282" ht="14.5" spans="2:14"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"/>
      <c r="M2282" s="1"/>
      <c r="N2282" s="1"/>
    </row>
    <row r="2283" ht="14.5" spans="2:14"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"/>
      <c r="M2283" s="1"/>
      <c r="N2283" s="1"/>
    </row>
    <row r="2284" ht="14.5" spans="2:14"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"/>
      <c r="M2284" s="1"/>
      <c r="N2284" s="1"/>
    </row>
    <row r="2285" ht="14.5" spans="2:14"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"/>
      <c r="M2285" s="1"/>
      <c r="N2285" s="1"/>
    </row>
    <row r="2286" ht="14.5" spans="2:14"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"/>
      <c r="M2286" s="1"/>
      <c r="N2286" s="1"/>
    </row>
    <row r="2287" ht="14.5" spans="2:14"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"/>
      <c r="M2287" s="1"/>
      <c r="N2287" s="1"/>
    </row>
    <row r="2288" ht="14.5" spans="2:14"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"/>
      <c r="M2288" s="1"/>
      <c r="N2288" s="1"/>
    </row>
    <row r="2289" ht="14.5" spans="2:14"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"/>
      <c r="M2289" s="1"/>
      <c r="N2289" s="1"/>
    </row>
    <row r="2290" ht="14.5" spans="2:14"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"/>
      <c r="M2290" s="1"/>
      <c r="N2290" s="1"/>
    </row>
    <row r="2291" ht="14.5" spans="2:14"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"/>
      <c r="M2291" s="1"/>
      <c r="N2291" s="1"/>
    </row>
    <row r="2292" ht="14.5" spans="2:14"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"/>
      <c r="M2292" s="1"/>
      <c r="N2292" s="1"/>
    </row>
    <row r="2293" ht="14.5" spans="2:14"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"/>
      <c r="M2293" s="1"/>
      <c r="N2293" s="1"/>
    </row>
    <row r="2294" ht="14.5" spans="2:14"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"/>
      <c r="M2294" s="1"/>
      <c r="N2294" s="1"/>
    </row>
    <row r="2295" ht="14.5" spans="2:14"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"/>
      <c r="M2295" s="1"/>
      <c r="N2295" s="1"/>
    </row>
    <row r="2296" ht="14.5" spans="2:14"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"/>
      <c r="M2296" s="1"/>
      <c r="N2296" s="1"/>
    </row>
    <row r="2297" ht="14.5" spans="2:14"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"/>
      <c r="M2297" s="1"/>
      <c r="N2297" s="1"/>
    </row>
    <row r="2298" ht="14.5" spans="2:14"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"/>
      <c r="M2298" s="1"/>
      <c r="N2298" s="1"/>
    </row>
    <row r="2299" ht="14.5" spans="2:14"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"/>
      <c r="M2299" s="1"/>
      <c r="N2299" s="1"/>
    </row>
    <row r="2300" ht="14.5" spans="2:14"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"/>
      <c r="M2300" s="1"/>
      <c r="N2300" s="1"/>
    </row>
    <row r="2301" ht="14.5" spans="2:14"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"/>
      <c r="M2301" s="1"/>
      <c r="N2301" s="1"/>
    </row>
    <row r="2302" ht="14.5" spans="2:14"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"/>
      <c r="M2302" s="1"/>
      <c r="N2302" s="1"/>
    </row>
    <row r="2303" ht="14.5" spans="2:14"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"/>
      <c r="M2303" s="1"/>
      <c r="N2303" s="1"/>
    </row>
    <row r="2304" ht="14.5" spans="2:14"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"/>
      <c r="M2304" s="1"/>
      <c r="N2304" s="1"/>
    </row>
    <row r="2305" ht="14.5" spans="2:14"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"/>
      <c r="M2305" s="1"/>
      <c r="N2305" s="1"/>
    </row>
    <row r="2306" ht="14.5" spans="2:14"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"/>
      <c r="M2306" s="1"/>
      <c r="N2306" s="1"/>
    </row>
    <row r="2307" ht="14.5" spans="2:14"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"/>
      <c r="M2307" s="1"/>
      <c r="N2307" s="1"/>
    </row>
    <row r="2308" ht="14.5" spans="2:14"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"/>
      <c r="M2308" s="1"/>
      <c r="N2308" s="1"/>
    </row>
    <row r="2309" ht="14.5" spans="2:14"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"/>
      <c r="M2309" s="1"/>
      <c r="N2309" s="1"/>
    </row>
    <row r="2310" ht="14.5" spans="2:14"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"/>
      <c r="M2310" s="1"/>
      <c r="N2310" s="1"/>
    </row>
    <row r="2311" ht="14.5" spans="2:14"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"/>
      <c r="M2311" s="1"/>
      <c r="N2311" s="1"/>
    </row>
    <row r="2312" ht="14.5" spans="2:14"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"/>
      <c r="M2312" s="1"/>
      <c r="N2312" s="1"/>
    </row>
    <row r="2313" ht="14.5" spans="2:14"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"/>
      <c r="M2313" s="1"/>
      <c r="N2313" s="1"/>
    </row>
    <row r="2314" ht="14.5" spans="2:14"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"/>
      <c r="M2314" s="1"/>
      <c r="N2314" s="1"/>
    </row>
    <row r="2315" ht="14.5" spans="2:14"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"/>
      <c r="M2315" s="1"/>
      <c r="N2315" s="1"/>
    </row>
    <row r="2316" ht="14.5" spans="2:14"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"/>
      <c r="M2316" s="1"/>
      <c r="N2316" s="1"/>
    </row>
    <row r="2317" ht="14.5" spans="2:14"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"/>
      <c r="M2317" s="1"/>
      <c r="N2317" s="1"/>
    </row>
    <row r="2318" ht="14.5" spans="2:14"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"/>
      <c r="M2318" s="1"/>
      <c r="N2318" s="1"/>
    </row>
    <row r="2319" ht="14.5" spans="2:14"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"/>
      <c r="M2319" s="1"/>
      <c r="N2319" s="1"/>
    </row>
    <row r="2320" ht="14.5" spans="2:14"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"/>
      <c r="M2320" s="1"/>
      <c r="N2320" s="1"/>
    </row>
    <row r="2321" ht="14.5" spans="2:14"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"/>
      <c r="M2321" s="1"/>
      <c r="N2321" s="1"/>
    </row>
    <row r="2322" ht="14.5" spans="2:14"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"/>
      <c r="M2322" s="1"/>
      <c r="N2322" s="1"/>
    </row>
    <row r="2323" ht="14.5" spans="2:14"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"/>
      <c r="M2323" s="1"/>
      <c r="N2323" s="1"/>
    </row>
    <row r="2324" ht="14.5" spans="2:14"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"/>
      <c r="M2324" s="1"/>
      <c r="N2324" s="1"/>
    </row>
    <row r="2325" ht="14.5" spans="2:14"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"/>
      <c r="M2325" s="1"/>
      <c r="N2325" s="1"/>
    </row>
    <row r="2326" ht="14.5" spans="2:14"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"/>
      <c r="M2326" s="1"/>
      <c r="N2326" s="1"/>
    </row>
    <row r="2327" ht="14.5" spans="2:14"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"/>
      <c r="M2327" s="1"/>
      <c r="N2327" s="1"/>
    </row>
    <row r="2328" ht="14.5" spans="2:14"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"/>
      <c r="M2328" s="1"/>
      <c r="N2328" s="1"/>
    </row>
    <row r="2329" ht="14.5" spans="2:14"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"/>
      <c r="M2329" s="1"/>
      <c r="N2329" s="1"/>
    </row>
    <row r="2330" ht="14.5" spans="2:14"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"/>
      <c r="M2330" s="1"/>
      <c r="N2330" s="1"/>
    </row>
    <row r="2331" ht="14.5" spans="2:14"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"/>
      <c r="M2331" s="1"/>
      <c r="N2331" s="1"/>
    </row>
    <row r="2332" ht="14.5" spans="2:14"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"/>
      <c r="M2332" s="1"/>
      <c r="N2332" s="1"/>
    </row>
    <row r="2333" ht="14.5" spans="2:14"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"/>
      <c r="M2333" s="1"/>
      <c r="N2333" s="1"/>
    </row>
    <row r="2334" ht="14.5" spans="2:14"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"/>
      <c r="M2334" s="1"/>
      <c r="N2334" s="1"/>
    </row>
    <row r="2335" ht="14.5" spans="2:14"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"/>
      <c r="M2335" s="1"/>
      <c r="N2335" s="1"/>
    </row>
    <row r="2336" ht="14.5" spans="2:14"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"/>
      <c r="M2336" s="1"/>
      <c r="N2336" s="1"/>
    </row>
    <row r="2337" ht="14.5" spans="2:14"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"/>
      <c r="M2337" s="1"/>
      <c r="N2337" s="1"/>
    </row>
    <row r="2338" ht="14.5" spans="2:14"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"/>
      <c r="M2338" s="1"/>
      <c r="N2338" s="1"/>
    </row>
    <row r="2339" ht="14.5" spans="2:14"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"/>
      <c r="M2339" s="1"/>
      <c r="N2339" s="1"/>
    </row>
    <row r="2340" ht="14.5" spans="2:14"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"/>
      <c r="M2340" s="1"/>
      <c r="N2340" s="1"/>
    </row>
    <row r="2341" ht="14.5" spans="2:14"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"/>
      <c r="M2341" s="1"/>
      <c r="N2341" s="1"/>
    </row>
    <row r="2342" ht="14.5" spans="2:14"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"/>
      <c r="M2342" s="1"/>
      <c r="N2342" s="1"/>
    </row>
    <row r="2343" ht="14.5" spans="2:14"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"/>
      <c r="M2343" s="1"/>
      <c r="N2343" s="1"/>
    </row>
    <row r="2344" ht="14.5" spans="2:14"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"/>
      <c r="M2344" s="1"/>
      <c r="N2344" s="1"/>
    </row>
    <row r="2345" ht="14.5" spans="2:14"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"/>
      <c r="M2345" s="1"/>
      <c r="N2345" s="1"/>
    </row>
    <row r="2346" ht="14.5" spans="2:14"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"/>
      <c r="M2346" s="1"/>
      <c r="N2346" s="1"/>
    </row>
    <row r="2347" ht="14.5" spans="2:14"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"/>
      <c r="M2347" s="1"/>
      <c r="N2347" s="1"/>
    </row>
    <row r="2348" ht="14.5" spans="2:14"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"/>
      <c r="M2348" s="1"/>
      <c r="N2348" s="1"/>
    </row>
    <row r="2349" ht="14.5" spans="2:14"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"/>
      <c r="M2349" s="1"/>
      <c r="N2349" s="1"/>
    </row>
    <row r="2350" ht="14.5" spans="2:14"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"/>
      <c r="M2350" s="1"/>
      <c r="N2350" s="1"/>
    </row>
    <row r="2351" ht="14.5" spans="2:14"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"/>
      <c r="M2351" s="1"/>
      <c r="N2351" s="1"/>
    </row>
    <row r="2352" ht="14.5" spans="2:14"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"/>
      <c r="M2352" s="1"/>
      <c r="N2352" s="1"/>
    </row>
    <row r="2353" ht="14.5" spans="2:14"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"/>
      <c r="M2353" s="1"/>
      <c r="N2353" s="1"/>
    </row>
    <row r="2354" ht="14.5" spans="2:14"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"/>
      <c r="M2354" s="1"/>
      <c r="N2354" s="1"/>
    </row>
    <row r="2355" ht="14.5" spans="2:14"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"/>
      <c r="M2355" s="1"/>
      <c r="N2355" s="1"/>
    </row>
    <row r="2356" ht="14.5" spans="2:14"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"/>
      <c r="M2356" s="1"/>
      <c r="N2356" s="1"/>
    </row>
    <row r="2357" ht="14.5" spans="2:14"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"/>
      <c r="M2357" s="1"/>
      <c r="N2357" s="1"/>
    </row>
    <row r="2358" ht="14.5" spans="2:14"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"/>
      <c r="M2358" s="1"/>
      <c r="N2358" s="1"/>
    </row>
    <row r="2359" ht="14.5" spans="2:14"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"/>
      <c r="M2359" s="1"/>
      <c r="N2359" s="1"/>
    </row>
    <row r="2360" ht="14.5" spans="2:14"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"/>
      <c r="M2360" s="1"/>
      <c r="N2360" s="1"/>
    </row>
    <row r="2361" ht="14.5" spans="2:14"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"/>
      <c r="M2361" s="1"/>
      <c r="N2361" s="1"/>
    </row>
    <row r="2362" ht="14.5" spans="2:14"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"/>
      <c r="M2362" s="1"/>
      <c r="N2362" s="1"/>
    </row>
    <row r="2363" ht="14.5" spans="2:14"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"/>
      <c r="M2363" s="1"/>
      <c r="N2363" s="1"/>
    </row>
    <row r="2364" ht="14.5" spans="2:14"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"/>
      <c r="M2364" s="1"/>
      <c r="N2364" s="1"/>
    </row>
    <row r="2365" ht="14.5" spans="2:14"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"/>
      <c r="M2365" s="1"/>
      <c r="N2365" s="1"/>
    </row>
    <row r="2366" ht="14.5" spans="2:14"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"/>
      <c r="M2366" s="1"/>
      <c r="N2366" s="1"/>
    </row>
    <row r="2367" ht="14.5" spans="2:14"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"/>
      <c r="M2367" s="1"/>
      <c r="N2367" s="1"/>
    </row>
    <row r="2368" ht="14.5" spans="2:14"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"/>
      <c r="M2368" s="1"/>
      <c r="N2368" s="1"/>
    </row>
    <row r="2369" ht="14.5" spans="2:14"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"/>
      <c r="M2369" s="1"/>
      <c r="N2369" s="1"/>
    </row>
    <row r="2370" ht="14.5" spans="2:14"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"/>
      <c r="M2370" s="1"/>
      <c r="N2370" s="1"/>
    </row>
    <row r="2371" ht="14.5" spans="2:14"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"/>
      <c r="M2371" s="1"/>
      <c r="N2371" s="1"/>
    </row>
    <row r="2372" ht="14.5" spans="2:14"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"/>
      <c r="M2372" s="1"/>
      <c r="N2372" s="1"/>
    </row>
    <row r="2373" ht="14.5" spans="2:14"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"/>
      <c r="M2373" s="1"/>
      <c r="N2373" s="1"/>
    </row>
    <row r="2374" ht="14.5" spans="2:14"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"/>
      <c r="M2374" s="1"/>
      <c r="N2374" s="1"/>
    </row>
    <row r="2375" ht="14.5" spans="2:14"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"/>
      <c r="M2375" s="1"/>
      <c r="N2375" s="1"/>
    </row>
    <row r="2376" ht="14.5" spans="2:14"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"/>
      <c r="M2376" s="1"/>
      <c r="N2376" s="1"/>
    </row>
    <row r="2377" ht="14.5" spans="2:14"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"/>
      <c r="M2377" s="1"/>
      <c r="N2377" s="1"/>
    </row>
    <row r="2378" ht="14.5" spans="2:14"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"/>
      <c r="M2378" s="1"/>
      <c r="N2378" s="1"/>
    </row>
    <row r="2379" ht="14.5" spans="2:14"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"/>
      <c r="M2379" s="1"/>
      <c r="N2379" s="1"/>
    </row>
    <row r="2380" ht="14.5" spans="2:14"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"/>
      <c r="M2380" s="1"/>
      <c r="N2380" s="1"/>
    </row>
    <row r="2381" ht="14.5" spans="2:14"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"/>
      <c r="M2381" s="1"/>
      <c r="N2381" s="1"/>
    </row>
    <row r="2382" ht="14.5" spans="2:14"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"/>
      <c r="M2382" s="1"/>
      <c r="N2382" s="1"/>
    </row>
    <row r="2383" ht="14.5" spans="2:14"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"/>
      <c r="M2383" s="1"/>
      <c r="N2383" s="1"/>
    </row>
    <row r="2384" ht="14.5" spans="2:14"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"/>
      <c r="M2384" s="1"/>
      <c r="N2384" s="1"/>
    </row>
    <row r="2385" ht="14.5" spans="2:14"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"/>
      <c r="M2385" s="1"/>
      <c r="N2385" s="1"/>
    </row>
    <row r="2386" ht="14.5" spans="2:14"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"/>
      <c r="M2386" s="1"/>
      <c r="N2386" s="1"/>
    </row>
    <row r="2387" ht="14.5" spans="2:14"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"/>
      <c r="M2387" s="1"/>
      <c r="N2387" s="1"/>
    </row>
    <row r="2388" ht="14.5" spans="2:14"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"/>
      <c r="M2388" s="1"/>
      <c r="N2388" s="1"/>
    </row>
    <row r="2389" ht="14.5" spans="2:14"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"/>
      <c r="M2389" s="1"/>
      <c r="N2389" s="1"/>
    </row>
    <row r="2390" ht="14.5" spans="2:14"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"/>
      <c r="M2390" s="1"/>
      <c r="N2390" s="1"/>
    </row>
    <row r="2391" ht="14.5" spans="2:14"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"/>
      <c r="M2391" s="1"/>
      <c r="N2391" s="1"/>
    </row>
    <row r="2392" ht="14.5" spans="2:14"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1"/>
      <c r="M2392" s="1"/>
      <c r="N2392" s="1"/>
    </row>
    <row r="2393" ht="14.5" spans="2:14"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</row>
    <row r="2394" ht="14.5" spans="2:14"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</row>
    <row r="2395" ht="14.5" spans="2:14"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</row>
    <row r="2396" ht="14.5" spans="2:14"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</row>
    <row r="2397" ht="14.5" spans="2:14"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</row>
    <row r="2398" ht="14.5" spans="2:14"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</row>
    <row r="2399" ht="14.5" spans="2:14"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</row>
    <row r="2400" ht="14.5" spans="2:14"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</row>
    <row r="2401" ht="14.5" spans="2:14"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</row>
    <row r="2402" ht="14.5" spans="2:14"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</row>
    <row r="2403" ht="14.5" spans="2:14"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</row>
    <row r="2404" ht="14.5" spans="2:14"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</row>
    <row r="2405" ht="14.5" spans="2:14"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</row>
    <row r="2406" ht="14.5" spans="2:14"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</row>
    <row r="2407" ht="14.5" spans="2:14"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</row>
    <row r="2408" ht="14.5" spans="2:14"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</row>
    <row r="2409" ht="14.5" spans="2:14"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</row>
    <row r="2410" ht="14.5" spans="2:14"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</row>
    <row r="2411" ht="14.5" spans="2:14"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</row>
    <row r="2412" ht="14.5" spans="2:14"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</row>
    <row r="2413" ht="14.5" spans="2:14"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</row>
    <row r="2414" ht="14.5" spans="2:14"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</row>
    <row r="2415" ht="14.5" spans="2:14"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</row>
    <row r="2416" ht="14.5" spans="2:14"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</row>
    <row r="2417" ht="14.5" spans="2:14"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</row>
    <row r="2418" ht="14.5" spans="2:14"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</row>
    <row r="2419" ht="14.5" spans="2:14"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</row>
    <row r="2420" ht="14.5" spans="2:14"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</row>
    <row r="2421" ht="14.5" spans="2:14"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</row>
    <row r="2422" ht="14.5" spans="2:14"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</row>
    <row r="2423" ht="14.5" spans="2:14"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</row>
    <row r="2424" ht="14.5" spans="2:14"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</row>
    <row r="2425" ht="14.5" spans="2:14"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</row>
    <row r="2426" ht="14.5" spans="2:14"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</row>
    <row r="2427" ht="14.5" spans="2:14"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</row>
    <row r="2428" ht="14.5" spans="2:14"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</row>
    <row r="2429" ht="14.5" spans="2:14"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</row>
    <row r="2430" ht="14.5" spans="2:14"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</row>
    <row r="2431" ht="14.5" spans="2:14"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</row>
    <row r="2432" ht="14.5" spans="2:14"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</row>
    <row r="2433" ht="14.5" spans="2:14"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</row>
    <row r="2434" ht="14.5" spans="2:14"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</row>
    <row r="2435" ht="14.5" spans="2:14"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</row>
    <row r="2436" ht="14.5" spans="2:14"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</row>
    <row r="2437" ht="14.5" spans="2:14"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</row>
    <row r="2438" ht="14.5" spans="2:14"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</row>
    <row r="2439" ht="14.5" spans="2:14"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</row>
    <row r="2440" ht="14.5" spans="2:14"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</row>
    <row r="2441" ht="14.5" spans="2:14"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</row>
    <row r="2442" ht="14.5" spans="2:14"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</row>
    <row r="2443" ht="14.5" spans="2:14"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</row>
    <row r="2444" ht="14.5" spans="2:14"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</row>
    <row r="2445" ht="14.5" spans="2:14"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</row>
    <row r="2446" ht="14.5" spans="2:14"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</row>
    <row r="2447" ht="14.5" spans="2:14"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</row>
    <row r="2448" ht="14.5" spans="2:14"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</row>
    <row r="2449" ht="14.5" spans="2:14"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</row>
    <row r="2450" ht="14.5" spans="2:14"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</row>
    <row r="2451" ht="14.5" spans="2:14"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</row>
    <row r="2452" ht="14.5" spans="2:14"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</row>
    <row r="2453" ht="14.5" spans="2:14"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</row>
    <row r="2454" ht="14.5" spans="2:14"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</row>
    <row r="2455" ht="14.5" spans="2:14"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</row>
    <row r="2456" ht="14.5" spans="2:14"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</row>
    <row r="2457" ht="14.5" spans="2:14"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</row>
    <row r="2458" ht="14.5" spans="2:14"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</row>
    <row r="2459" ht="14.5" spans="2:14"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</row>
    <row r="2460" ht="14.5" spans="2:14"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</row>
    <row r="2461" ht="14.5" spans="2:14"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</row>
    <row r="2462" ht="14.5" spans="2:14"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</row>
    <row r="2463" ht="14.5" spans="2:14"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</row>
    <row r="2464" ht="14.5" spans="2:14"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</row>
    <row r="2465" ht="14.5" spans="2:14"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</row>
    <row r="2466" ht="14.5" spans="2:14"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</row>
    <row r="2467" ht="14.5" spans="2:14"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</row>
    <row r="2468" ht="14.5" spans="2:14"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</row>
    <row r="2469" ht="14.5" spans="2:14"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</row>
    <row r="2470" ht="14.5" spans="2:14"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</row>
    <row r="2471" ht="14.5" spans="2:14"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</row>
    <row r="2472" ht="14.5" spans="2:14"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</row>
    <row r="2473" ht="14.5" spans="2:14"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</row>
    <row r="2474" ht="14.5" spans="2:14"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</row>
    <row r="2475" ht="14.5" spans="2:14"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</row>
    <row r="2476" ht="14.5" spans="2:14"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</row>
    <row r="2477" ht="14.5" spans="2:14"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</row>
    <row r="2478" ht="14.5" spans="2:14"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</row>
    <row r="2479" ht="14.5" spans="2:14"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</row>
    <row r="2480" ht="14.5" spans="2:14"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</row>
    <row r="2481" ht="14.5" spans="2:14"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</row>
    <row r="2482" ht="14.5" spans="2:14"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</row>
    <row r="2483" ht="14.5" spans="2:14"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</row>
    <row r="2484" ht="14.5" spans="2:14"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</row>
    <row r="2485" ht="14.5" spans="2:14"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</row>
    <row r="2486" ht="14.5" spans="2:14"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</row>
    <row r="2487" ht="14.5" spans="2:14"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</row>
    <row r="2488" ht="14.5" spans="2:14"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</row>
    <row r="2489" ht="14.5" spans="2:14"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</row>
    <row r="2490" ht="14.5" spans="2:14"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</row>
    <row r="2491" ht="14.5" spans="2:14"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</row>
    <row r="2492" ht="14.5" spans="2:14"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</row>
    <row r="2493" ht="14.5" spans="2:14"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</row>
    <row r="2494" ht="14.5" spans="2:14"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</row>
    <row r="2495" ht="14.5" spans="2:14"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</row>
    <row r="2496" ht="14.5" spans="2:14"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</row>
    <row r="2497" ht="14.5" spans="2:14"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</row>
    <row r="2498" ht="14.5" spans="2:14"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</row>
    <row r="2499" ht="14.5" spans="2:14"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</row>
    <row r="2500" ht="14.5" spans="2:14"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</row>
    <row r="2501" ht="14.5" spans="2:14"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</row>
    <row r="2502" ht="14.5" spans="2:14"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</row>
    <row r="2503" ht="14.5" spans="2:14"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</row>
    <row r="2504" ht="14.5" spans="2:14"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</row>
    <row r="2505" ht="14.5" spans="2:14"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</row>
    <row r="2506" ht="14.5" spans="2:14"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</row>
    <row r="2507" ht="14.5" spans="2:14"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</row>
    <row r="2508" ht="14.5" spans="2:14"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</row>
    <row r="2509" ht="14.5" spans="2:14"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</row>
    <row r="2510" ht="14.5" spans="2:14"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</row>
    <row r="2511" ht="14.5" spans="2:14"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</row>
    <row r="2512" ht="14.5" spans="2:14"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</row>
    <row r="2513" ht="14.5" spans="2:14"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</row>
    <row r="2514" ht="14.5" spans="2:14"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</row>
    <row r="2515" ht="14.5" spans="2:14"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</row>
    <row r="2516" ht="14.5" spans="2:14"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</row>
    <row r="2517" ht="14.5" spans="2:14"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</row>
    <row r="2518" ht="14.5" spans="2:14"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</row>
    <row r="2519" ht="14.5" spans="2:14"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</row>
    <row r="2520" ht="14.5" spans="2:14"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</row>
    <row r="2521" ht="14.5" spans="2:14"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</row>
    <row r="2522" ht="14.5" spans="2:14"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</row>
    <row r="2523" ht="14.5" spans="2:14"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</row>
    <row r="2524" ht="14.5" spans="2:14"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</row>
    <row r="2525" ht="14.5" spans="2:14"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</row>
    <row r="2526" ht="14.5" spans="2:14"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</row>
    <row r="2527" ht="14.5" spans="2:14"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</row>
    <row r="2528" ht="14.5" spans="2:14"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</row>
    <row r="2529" ht="14.5" spans="2:14"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</row>
    <row r="2530" ht="14.5" spans="2:14"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</row>
    <row r="2531" ht="14.5" spans="2:14"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</row>
    <row r="2532" ht="14.5" spans="2:14"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</row>
    <row r="2533" ht="14.5" spans="2:14"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</row>
    <row r="2534" ht="14.5" spans="2:14"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</row>
    <row r="2535" ht="14.5" spans="2:14"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</row>
    <row r="2536" ht="14.5" spans="2:14"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</row>
    <row r="2537" ht="14.5" spans="2:14"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</row>
    <row r="2538" ht="14.5" spans="2:14"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</row>
    <row r="2539" ht="14.5" spans="2:14"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</row>
    <row r="2540" ht="14.5" spans="2:14"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</row>
    <row r="2541" ht="14.5" spans="2:14"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</row>
    <row r="2542" ht="14.5" spans="2:14"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</row>
    <row r="2543" ht="14.5" spans="2:14"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</row>
    <row r="2544" ht="14.5" spans="2:14"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</row>
    <row r="2545" ht="14.5" spans="2:14"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</row>
    <row r="2546" ht="14.5" spans="2:14"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</row>
    <row r="2547" ht="14.5" spans="2:14"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</row>
    <row r="2548" ht="14.5" spans="2:14"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</row>
    <row r="2549" ht="14.5" spans="2:14"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</row>
    <row r="2550" ht="14.5" spans="2:14"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</row>
    <row r="2551" ht="14.5" spans="2:14"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</row>
    <row r="2552" ht="14.5" spans="2:14"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</row>
    <row r="2553" ht="14.5" spans="2:14"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</row>
    <row r="2554" ht="14.5" spans="2:14"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</row>
    <row r="2555" ht="14.5" spans="2:14"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</row>
    <row r="2556" ht="14.5" spans="2:14"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</row>
    <row r="2557" ht="14.5" spans="2:14"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</row>
    <row r="2558" ht="14.5" spans="2:14"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</row>
    <row r="2559" ht="14.5" spans="2:14"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</row>
    <row r="2560" ht="14.5" spans="2:14"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</row>
    <row r="2561" ht="14.5" spans="2:14"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</row>
    <row r="2562" ht="14.5" spans="2:14"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</row>
    <row r="2563" ht="14.5" spans="2:14"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</row>
    <row r="2564" ht="14.5" spans="2:14"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</row>
    <row r="2565" ht="14.5" spans="2:14"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</row>
    <row r="2566" ht="14.5" spans="2:14"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</row>
    <row r="2567" ht="14.5" spans="2:14"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</row>
    <row r="2568" ht="14.5" spans="2:14"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</row>
    <row r="2569" ht="14.5" spans="2:14"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</row>
    <row r="2570" ht="14.5" spans="2:14"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</row>
    <row r="2571" ht="14.5" spans="2:14"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</row>
    <row r="2572" ht="14.5" spans="2:14"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</row>
    <row r="2573" ht="14.5" spans="2:14"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</row>
    <row r="2574" ht="14.5" spans="2:14"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</row>
    <row r="2575" ht="14.5" spans="2:14"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</row>
    <row r="2576" ht="14.5" spans="2:14"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</row>
    <row r="2577" ht="14.5" spans="2:14"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</row>
    <row r="2578" ht="14.5" spans="2:14"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</row>
    <row r="2579" ht="14.5" spans="2:14"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</row>
    <row r="2580" ht="14.5" spans="2:14"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</row>
    <row r="2581" ht="14.5" spans="2:14"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</row>
    <row r="2582" ht="14.5" spans="2:14"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</row>
    <row r="2583" ht="14.5" spans="2:14"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</row>
    <row r="2584" ht="14.5" spans="2:14"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</row>
    <row r="2585" ht="14.5" spans="2:14"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</row>
    <row r="2586" ht="14.5" spans="2:14"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</row>
    <row r="2587" ht="14.5" spans="2:14"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</row>
    <row r="2588" ht="14.5" spans="2:14"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</row>
    <row r="2589" ht="14.5" spans="2:14"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</row>
    <row r="2590" ht="14.5" spans="2:14"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</row>
    <row r="2591" ht="14.5" spans="2:14"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</row>
    <row r="2592" ht="14.5" spans="2:14"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</row>
    <row r="2593" ht="14.5" spans="2:14">
      <c r="B2593" s="1"/>
      <c r="C2593" s="1"/>
      <c r="D2593" s="1"/>
      <c r="E2593" s="1"/>
      <c r="F2593" s="1"/>
      <c r="G2593" s="1"/>
      <c r="H2593" s="1"/>
      <c r="I2593" s="1"/>
      <c r="J2593" s="1"/>
      <c r="K2593" s="1"/>
      <c r="L2593" s="1"/>
      <c r="M2593" s="1"/>
      <c r="N2593" s="1"/>
    </row>
    <row r="2594" ht="14.5" spans="2:14">
      <c r="B2594" s="1"/>
      <c r="C2594" s="1"/>
      <c r="D2594" s="1"/>
      <c r="E2594" s="1"/>
      <c r="F2594" s="1"/>
      <c r="G2594" s="1"/>
      <c r="H2594" s="1"/>
      <c r="I2594" s="1"/>
      <c r="J2594" s="1"/>
      <c r="K2594" s="1"/>
      <c r="L2594" s="1"/>
      <c r="M2594" s="1"/>
      <c r="N2594" s="1"/>
    </row>
    <row r="2595" ht="14.5" spans="2:14">
      <c r="B2595" s="1"/>
      <c r="C2595" s="1"/>
      <c r="D2595" s="1"/>
      <c r="E2595" s="1"/>
      <c r="F2595" s="1"/>
      <c r="G2595" s="1"/>
      <c r="H2595" s="1"/>
      <c r="I2595" s="1"/>
      <c r="J2595" s="1"/>
      <c r="K2595" s="1"/>
      <c r="L2595" s="1"/>
      <c r="M2595" s="1"/>
      <c r="N2595" s="1"/>
    </row>
    <row r="2596" ht="14.5" spans="2:14">
      <c r="B2596" s="1"/>
      <c r="C2596" s="1"/>
      <c r="D2596" s="1"/>
      <c r="E2596" s="1"/>
      <c r="F2596" s="1"/>
      <c r="G2596" s="1"/>
      <c r="H2596" s="1"/>
      <c r="I2596" s="1"/>
      <c r="J2596" s="1"/>
      <c r="K2596" s="1"/>
      <c r="L2596" s="1"/>
      <c r="M2596" s="1"/>
      <c r="N2596" s="1"/>
    </row>
    <row r="2597" ht="14.5" spans="2:14">
      <c r="B2597" s="1"/>
      <c r="C2597" s="1"/>
      <c r="D2597" s="1"/>
      <c r="E2597" s="1"/>
      <c r="F2597" s="1"/>
      <c r="G2597" s="1"/>
      <c r="H2597" s="1"/>
      <c r="I2597" s="1"/>
      <c r="J2597" s="1"/>
      <c r="K2597" s="1"/>
      <c r="L2597" s="1"/>
      <c r="M2597" s="1"/>
      <c r="N2597" s="1"/>
    </row>
    <row r="2598" ht="14.5" spans="2:14">
      <c r="B2598" s="1"/>
      <c r="C2598" s="1"/>
      <c r="D2598" s="1"/>
      <c r="E2598" s="1"/>
      <c r="F2598" s="1"/>
      <c r="G2598" s="1"/>
      <c r="H2598" s="1"/>
      <c r="I2598" s="1"/>
      <c r="J2598" s="1"/>
      <c r="K2598" s="1"/>
      <c r="L2598" s="1"/>
      <c r="M2598" s="1"/>
      <c r="N2598" s="1"/>
    </row>
    <row r="2599" ht="14.5" spans="2:14">
      <c r="B2599" s="1"/>
      <c r="C2599" s="1"/>
      <c r="D2599" s="1"/>
      <c r="E2599" s="1"/>
      <c r="F2599" s="1"/>
      <c r="G2599" s="1"/>
      <c r="H2599" s="1"/>
      <c r="I2599" s="1"/>
      <c r="J2599" s="1"/>
      <c r="K2599" s="1"/>
      <c r="L2599" s="1"/>
      <c r="M2599" s="1"/>
      <c r="N2599" s="1"/>
    </row>
    <row r="2600" ht="14.5" spans="2:14">
      <c r="B2600" s="1"/>
      <c r="C2600" s="1"/>
      <c r="D2600" s="1"/>
      <c r="E2600" s="1"/>
      <c r="F2600" s="1"/>
      <c r="G2600" s="1"/>
      <c r="H2600" s="1"/>
      <c r="I2600" s="1"/>
      <c r="J2600" s="1"/>
      <c r="K2600" s="1"/>
      <c r="L2600" s="1"/>
      <c r="M2600" s="1"/>
      <c r="N2600" s="1"/>
    </row>
    <row r="2601" ht="14.5" spans="2:14">
      <c r="B2601" s="1"/>
      <c r="C2601" s="1"/>
      <c r="D2601" s="1"/>
      <c r="E2601" s="1"/>
      <c r="F2601" s="1"/>
      <c r="G2601" s="1"/>
      <c r="H2601" s="1"/>
      <c r="I2601" s="1"/>
      <c r="J2601" s="1"/>
      <c r="K2601" s="1"/>
      <c r="L2601" s="1"/>
      <c r="M2601" s="1"/>
      <c r="N2601" s="1"/>
    </row>
    <row r="2602" ht="14.5" spans="2:14">
      <c r="B2602" s="1"/>
      <c r="C2602" s="1"/>
      <c r="D2602" s="1"/>
      <c r="E2602" s="1"/>
      <c r="F2602" s="1"/>
      <c r="G2602" s="1"/>
      <c r="H2602" s="1"/>
      <c r="I2602" s="1"/>
      <c r="J2602" s="1"/>
      <c r="K2602" s="1"/>
      <c r="L2602" s="1"/>
      <c r="M2602" s="1"/>
      <c r="N2602" s="1"/>
    </row>
    <row r="2603" ht="14.5" spans="2:14">
      <c r="B2603" s="1"/>
      <c r="C2603" s="1"/>
      <c r="D2603" s="1"/>
      <c r="E2603" s="1"/>
      <c r="F2603" s="1"/>
      <c r="G2603" s="1"/>
      <c r="H2603" s="1"/>
      <c r="I2603" s="1"/>
      <c r="J2603" s="1"/>
      <c r="K2603" s="1"/>
      <c r="L2603" s="1"/>
      <c r="M2603" s="1"/>
      <c r="N2603" s="1"/>
    </row>
    <row r="2604" ht="14.5" spans="2:14">
      <c r="B2604" s="1"/>
      <c r="C2604" s="1"/>
      <c r="D2604" s="1"/>
      <c r="E2604" s="1"/>
      <c r="F2604" s="1"/>
      <c r="G2604" s="1"/>
      <c r="H2604" s="1"/>
      <c r="I2604" s="1"/>
      <c r="J2604" s="1"/>
      <c r="K2604" s="1"/>
      <c r="L2604" s="1"/>
      <c r="M2604" s="1"/>
      <c r="N2604" s="1"/>
    </row>
    <row r="2605" ht="14.5" spans="2:14">
      <c r="B2605" s="1"/>
      <c r="C2605" s="1"/>
      <c r="D2605" s="1"/>
      <c r="E2605" s="1"/>
      <c r="F2605" s="1"/>
      <c r="G2605" s="1"/>
      <c r="H2605" s="1"/>
      <c r="I2605" s="1"/>
      <c r="J2605" s="1"/>
      <c r="K2605" s="1"/>
      <c r="L2605" s="1"/>
      <c r="M2605" s="1"/>
      <c r="N2605" s="1"/>
    </row>
    <row r="2606" ht="14.5" spans="2:14">
      <c r="B2606" s="1"/>
      <c r="C2606" s="1"/>
      <c r="D2606" s="1"/>
      <c r="E2606" s="1"/>
      <c r="F2606" s="1"/>
      <c r="G2606" s="1"/>
      <c r="H2606" s="1"/>
      <c r="I2606" s="1"/>
      <c r="J2606" s="1"/>
      <c r="K2606" s="1"/>
      <c r="L2606" s="1"/>
      <c r="M2606" s="1"/>
      <c r="N2606" s="1"/>
    </row>
    <row r="2607" ht="14.5" spans="2:14">
      <c r="B2607" s="1"/>
      <c r="C2607" s="1"/>
      <c r="D2607" s="1"/>
      <c r="E2607" s="1"/>
      <c r="F2607" s="1"/>
      <c r="G2607" s="1"/>
      <c r="H2607" s="1"/>
      <c r="I2607" s="1"/>
      <c r="J2607" s="1"/>
      <c r="K2607" s="1"/>
      <c r="L2607" s="1"/>
      <c r="M2607" s="1"/>
      <c r="N2607" s="1"/>
    </row>
    <row r="2608" ht="14.5" spans="2:14">
      <c r="B2608" s="1"/>
      <c r="C2608" s="1"/>
      <c r="D2608" s="1"/>
      <c r="E2608" s="1"/>
      <c r="F2608" s="1"/>
      <c r="G2608" s="1"/>
      <c r="H2608" s="1"/>
      <c r="I2608" s="1"/>
      <c r="J2608" s="1"/>
      <c r="K2608" s="1"/>
      <c r="L2608" s="1"/>
      <c r="M2608" s="1"/>
      <c r="N2608" s="1"/>
    </row>
    <row r="2609" ht="14.5" spans="2:14">
      <c r="B2609" s="1"/>
      <c r="C2609" s="1"/>
      <c r="D2609" s="1"/>
      <c r="E2609" s="1"/>
      <c r="F2609" s="1"/>
      <c r="G2609" s="1"/>
      <c r="H2609" s="1"/>
      <c r="I2609" s="1"/>
      <c r="J2609" s="1"/>
      <c r="K2609" s="1"/>
      <c r="L2609" s="1"/>
      <c r="M2609" s="1"/>
      <c r="N2609" s="1"/>
    </row>
    <row r="2610" ht="14.5" spans="2:14">
      <c r="B2610" s="1"/>
      <c r="C2610" s="1"/>
      <c r="D2610" s="1"/>
      <c r="E2610" s="1"/>
      <c r="F2610" s="1"/>
      <c r="G2610" s="1"/>
      <c r="H2610" s="1"/>
      <c r="I2610" s="1"/>
      <c r="J2610" s="1"/>
      <c r="K2610" s="1"/>
      <c r="L2610" s="1"/>
      <c r="M2610" s="1"/>
      <c r="N2610" s="1"/>
    </row>
    <row r="2611" ht="14.5" spans="2:14">
      <c r="B2611" s="1"/>
      <c r="C2611" s="1"/>
      <c r="D2611" s="1"/>
      <c r="E2611" s="1"/>
      <c r="F2611" s="1"/>
      <c r="G2611" s="1"/>
      <c r="H2611" s="1"/>
      <c r="I2611" s="1"/>
      <c r="J2611" s="1"/>
      <c r="K2611" s="1"/>
      <c r="L2611" s="1"/>
      <c r="M2611" s="1"/>
      <c r="N2611" s="1"/>
    </row>
    <row r="2612" ht="14.5" spans="2:14">
      <c r="B2612" s="1"/>
      <c r="C2612" s="1"/>
      <c r="D2612" s="1"/>
      <c r="E2612" s="1"/>
      <c r="F2612" s="1"/>
      <c r="G2612" s="1"/>
      <c r="H2612" s="1"/>
      <c r="I2612" s="1"/>
      <c r="J2612" s="1"/>
      <c r="K2612" s="1"/>
      <c r="L2612" s="1"/>
      <c r="M2612" s="1"/>
      <c r="N2612" s="1"/>
    </row>
    <row r="2613" ht="14.5" spans="2:14">
      <c r="B2613" s="1"/>
      <c r="C2613" s="1"/>
      <c r="D2613" s="1"/>
      <c r="E2613" s="1"/>
      <c r="F2613" s="1"/>
      <c r="G2613" s="1"/>
      <c r="H2613" s="1"/>
      <c r="I2613" s="1"/>
      <c r="J2613" s="1"/>
      <c r="K2613" s="1"/>
      <c r="L2613" s="1"/>
      <c r="M2613" s="1"/>
      <c r="N2613" s="1"/>
    </row>
    <row r="2614" ht="14.5" spans="2:14">
      <c r="B2614" s="1"/>
      <c r="C2614" s="1"/>
      <c r="D2614" s="1"/>
      <c r="E2614" s="1"/>
      <c r="F2614" s="1"/>
      <c r="G2614" s="1"/>
      <c r="H2614" s="1"/>
      <c r="I2614" s="1"/>
      <c r="J2614" s="1"/>
      <c r="K2614" s="1"/>
      <c r="L2614" s="1"/>
      <c r="M2614" s="1"/>
      <c r="N2614" s="1"/>
    </row>
    <row r="2615" ht="14.5" spans="2:14">
      <c r="B2615" s="1"/>
      <c r="C2615" s="1"/>
      <c r="D2615" s="1"/>
      <c r="E2615" s="1"/>
      <c r="F2615" s="1"/>
      <c r="G2615" s="1"/>
      <c r="H2615" s="1"/>
      <c r="I2615" s="1"/>
      <c r="J2615" s="1"/>
      <c r="K2615" s="1"/>
      <c r="L2615" s="1"/>
      <c r="M2615" s="1"/>
      <c r="N2615" s="1"/>
    </row>
    <row r="2616" ht="14.5" spans="2:14">
      <c r="B2616" s="1"/>
      <c r="C2616" s="1"/>
      <c r="D2616" s="1"/>
      <c r="E2616" s="1"/>
      <c r="F2616" s="1"/>
      <c r="G2616" s="1"/>
      <c r="H2616" s="1"/>
      <c r="I2616" s="1"/>
      <c r="J2616" s="1"/>
      <c r="K2616" s="1"/>
      <c r="L2616" s="1"/>
      <c r="M2616" s="1"/>
      <c r="N2616" s="1"/>
    </row>
    <row r="2617" ht="14.5" spans="2:14">
      <c r="B2617" s="1"/>
      <c r="C2617" s="1"/>
      <c r="D2617" s="1"/>
      <c r="E2617" s="1"/>
      <c r="F2617" s="1"/>
      <c r="G2617" s="1"/>
      <c r="H2617" s="1"/>
      <c r="I2617" s="1"/>
      <c r="J2617" s="1"/>
      <c r="K2617" s="1"/>
      <c r="L2617" s="1"/>
      <c r="M2617" s="1"/>
      <c r="N2617" s="1"/>
    </row>
    <row r="2618" ht="14.5" spans="2:14">
      <c r="B2618" s="1"/>
      <c r="C2618" s="1"/>
      <c r="D2618" s="1"/>
      <c r="E2618" s="1"/>
      <c r="F2618" s="1"/>
      <c r="G2618" s="1"/>
      <c r="H2618" s="1"/>
      <c r="I2618" s="1"/>
      <c r="J2618" s="1"/>
      <c r="K2618" s="1"/>
      <c r="L2618" s="1"/>
      <c r="M2618" s="1"/>
      <c r="N2618" s="1"/>
    </row>
    <row r="2619" ht="14.5" spans="2:14">
      <c r="B2619" s="1"/>
      <c r="C2619" s="1"/>
      <c r="D2619" s="1"/>
      <c r="E2619" s="1"/>
      <c r="F2619" s="1"/>
      <c r="G2619" s="1"/>
      <c r="H2619" s="1"/>
      <c r="I2619" s="1"/>
      <c r="J2619" s="1"/>
      <c r="K2619" s="1"/>
      <c r="L2619" s="1"/>
      <c r="M2619" s="1"/>
      <c r="N2619" s="1"/>
    </row>
    <row r="2620" ht="14.5" spans="2:14">
      <c r="B2620" s="1"/>
      <c r="C2620" s="1"/>
      <c r="D2620" s="1"/>
      <c r="E2620" s="1"/>
      <c r="F2620" s="1"/>
      <c r="G2620" s="1"/>
      <c r="H2620" s="1"/>
      <c r="I2620" s="1"/>
      <c r="J2620" s="1"/>
      <c r="K2620" s="1"/>
      <c r="L2620" s="1"/>
      <c r="M2620" s="1"/>
      <c r="N2620" s="1"/>
    </row>
    <row r="2621" ht="14.5" spans="2:14">
      <c r="B2621" s="1"/>
      <c r="C2621" s="1"/>
      <c r="D2621" s="1"/>
      <c r="E2621" s="1"/>
      <c r="F2621" s="1"/>
      <c r="G2621" s="1"/>
      <c r="H2621" s="1"/>
      <c r="I2621" s="1"/>
      <c r="J2621" s="1"/>
      <c r="K2621" s="1"/>
      <c r="L2621" s="1"/>
      <c r="M2621" s="1"/>
      <c r="N2621" s="1"/>
    </row>
    <row r="2622" ht="14.5" spans="2:14">
      <c r="B2622" s="1"/>
      <c r="C2622" s="1"/>
      <c r="D2622" s="1"/>
      <c r="E2622" s="1"/>
      <c r="F2622" s="1"/>
      <c r="G2622" s="1"/>
      <c r="H2622" s="1"/>
      <c r="I2622" s="1"/>
      <c r="J2622" s="1"/>
      <c r="K2622" s="1"/>
      <c r="L2622" s="1"/>
      <c r="M2622" s="1"/>
      <c r="N2622" s="1"/>
    </row>
    <row r="2623" ht="14.5" spans="2:14">
      <c r="B2623" s="1"/>
      <c r="C2623" s="1"/>
      <c r="D2623" s="1"/>
      <c r="E2623" s="1"/>
      <c r="F2623" s="1"/>
      <c r="G2623" s="1"/>
      <c r="H2623" s="1"/>
      <c r="I2623" s="1"/>
      <c r="J2623" s="1"/>
      <c r="K2623" s="1"/>
      <c r="L2623" s="1"/>
      <c r="M2623" s="1"/>
      <c r="N2623" s="1"/>
    </row>
    <row r="2624" ht="14.5" spans="2:14">
      <c r="B2624" s="1"/>
      <c r="C2624" s="1"/>
      <c r="D2624" s="1"/>
      <c r="E2624" s="1"/>
      <c r="F2624" s="1"/>
      <c r="G2624" s="1"/>
      <c r="H2624" s="1"/>
      <c r="I2624" s="1"/>
      <c r="J2624" s="1"/>
      <c r="K2624" s="1"/>
      <c r="L2624" s="1"/>
      <c r="M2624" s="1"/>
      <c r="N2624" s="1"/>
    </row>
    <row r="2625" ht="14.5" spans="2:14">
      <c r="B2625" s="1"/>
      <c r="C2625" s="1"/>
      <c r="D2625" s="1"/>
      <c r="E2625" s="1"/>
      <c r="F2625" s="1"/>
      <c r="G2625" s="1"/>
      <c r="H2625" s="1"/>
      <c r="I2625" s="1"/>
      <c r="J2625" s="1"/>
      <c r="K2625" s="1"/>
      <c r="L2625" s="1"/>
      <c r="M2625" s="1"/>
      <c r="N2625" s="1"/>
    </row>
    <row r="2626" ht="14.5" spans="2:14">
      <c r="B2626" s="1"/>
      <c r="C2626" s="1"/>
      <c r="D2626" s="1"/>
      <c r="E2626" s="1"/>
      <c r="F2626" s="1"/>
      <c r="G2626" s="1"/>
      <c r="H2626" s="1"/>
      <c r="I2626" s="1"/>
      <c r="J2626" s="1"/>
      <c r="K2626" s="1"/>
      <c r="L2626" s="1"/>
      <c r="M2626" s="1"/>
      <c r="N2626" s="1"/>
    </row>
    <row r="2627" ht="14.5" spans="2:14">
      <c r="B2627" s="1"/>
      <c r="C2627" s="1"/>
      <c r="D2627" s="1"/>
      <c r="E2627" s="1"/>
      <c r="F2627" s="1"/>
      <c r="G2627" s="1"/>
      <c r="H2627" s="1"/>
      <c r="I2627" s="1"/>
      <c r="J2627" s="1"/>
      <c r="K2627" s="1"/>
      <c r="L2627" s="1"/>
      <c r="M2627" s="1"/>
      <c r="N2627" s="1"/>
    </row>
    <row r="2628" ht="14.5" spans="2:14">
      <c r="B2628" s="1"/>
      <c r="C2628" s="1"/>
      <c r="D2628" s="1"/>
      <c r="E2628" s="1"/>
      <c r="F2628" s="1"/>
      <c r="G2628" s="1"/>
      <c r="H2628" s="1"/>
      <c r="I2628" s="1"/>
      <c r="J2628" s="1"/>
      <c r="K2628" s="1"/>
      <c r="L2628" s="1"/>
      <c r="M2628" s="1"/>
      <c r="N2628" s="1"/>
    </row>
    <row r="2629" ht="14.5" spans="2:14">
      <c r="B2629" s="1"/>
      <c r="C2629" s="1"/>
      <c r="D2629" s="1"/>
      <c r="E2629" s="1"/>
      <c r="F2629" s="1"/>
      <c r="G2629" s="1"/>
      <c r="H2629" s="1"/>
      <c r="I2629" s="1"/>
      <c r="J2629" s="1"/>
      <c r="K2629" s="1"/>
      <c r="L2629" s="1"/>
      <c r="M2629" s="1"/>
      <c r="N2629" s="1"/>
    </row>
    <row r="2630" ht="14.5" spans="2:14">
      <c r="B2630" s="1"/>
      <c r="C2630" s="1"/>
      <c r="D2630" s="1"/>
      <c r="E2630" s="1"/>
      <c r="F2630" s="1"/>
      <c r="G2630" s="1"/>
      <c r="H2630" s="1"/>
      <c r="I2630" s="1"/>
      <c r="J2630" s="1"/>
      <c r="K2630" s="1"/>
      <c r="L2630" s="1"/>
      <c r="M2630" s="1"/>
      <c r="N2630" s="1"/>
    </row>
    <row r="2631" ht="14.5" spans="2:14">
      <c r="B2631" s="1"/>
      <c r="C2631" s="1"/>
      <c r="D2631" s="1"/>
      <c r="E2631" s="1"/>
      <c r="F2631" s="1"/>
      <c r="G2631" s="1"/>
      <c r="H2631" s="1"/>
      <c r="I2631" s="1"/>
      <c r="J2631" s="1"/>
      <c r="K2631" s="1"/>
      <c r="L2631" s="1"/>
      <c r="M2631" s="1"/>
      <c r="N2631" s="1"/>
    </row>
    <row r="2632" ht="14.5" spans="2:14">
      <c r="B2632" s="1"/>
      <c r="C2632" s="1"/>
      <c r="D2632" s="1"/>
      <c r="E2632" s="1"/>
      <c r="F2632" s="1"/>
      <c r="G2632" s="1"/>
      <c r="H2632" s="1"/>
      <c r="I2632" s="1"/>
      <c r="J2632" s="1"/>
      <c r="K2632" s="1"/>
      <c r="L2632" s="1"/>
      <c r="M2632" s="1"/>
      <c r="N2632" s="1"/>
    </row>
    <row r="2633" ht="14.5" spans="2:14">
      <c r="B2633" s="1"/>
      <c r="C2633" s="1"/>
      <c r="D2633" s="1"/>
      <c r="E2633" s="1"/>
      <c r="F2633" s="1"/>
      <c r="G2633" s="1"/>
      <c r="H2633" s="1"/>
      <c r="I2633" s="1"/>
      <c r="J2633" s="1"/>
      <c r="K2633" s="1"/>
      <c r="L2633" s="1"/>
      <c r="M2633" s="1"/>
      <c r="N2633" s="1"/>
    </row>
    <row r="2634" ht="14.5" spans="2:14">
      <c r="B2634" s="1"/>
      <c r="C2634" s="1"/>
      <c r="D2634" s="1"/>
      <c r="E2634" s="1"/>
      <c r="F2634" s="1"/>
      <c r="G2634" s="1"/>
      <c r="H2634" s="1"/>
      <c r="I2634" s="1"/>
      <c r="J2634" s="1"/>
      <c r="K2634" s="1"/>
      <c r="L2634" s="1"/>
      <c r="M2634" s="1"/>
      <c r="N2634" s="1"/>
    </row>
    <row r="2635" ht="14.5" spans="2:14">
      <c r="B2635" s="1"/>
      <c r="C2635" s="1"/>
      <c r="D2635" s="1"/>
      <c r="E2635" s="1"/>
      <c r="F2635" s="1"/>
      <c r="G2635" s="1"/>
      <c r="H2635" s="1"/>
      <c r="I2635" s="1"/>
      <c r="J2635" s="1"/>
      <c r="K2635" s="1"/>
      <c r="L2635" s="1"/>
      <c r="M2635" s="1"/>
      <c r="N2635" s="1"/>
    </row>
    <row r="2636" ht="14.5" spans="2:14">
      <c r="B2636" s="1"/>
      <c r="C2636" s="1"/>
      <c r="D2636" s="1"/>
      <c r="E2636" s="1"/>
      <c r="F2636" s="1"/>
      <c r="G2636" s="1"/>
      <c r="H2636" s="1"/>
      <c r="I2636" s="1"/>
      <c r="J2636" s="1"/>
      <c r="K2636" s="1"/>
      <c r="L2636" s="1"/>
      <c r="M2636" s="1"/>
      <c r="N2636" s="1"/>
    </row>
    <row r="2637" ht="14.5" spans="2:14">
      <c r="B2637" s="1"/>
      <c r="C2637" s="1"/>
      <c r="D2637" s="1"/>
      <c r="E2637" s="1"/>
      <c r="F2637" s="1"/>
      <c r="G2637" s="1"/>
      <c r="H2637" s="1"/>
      <c r="I2637" s="1"/>
      <c r="J2637" s="1"/>
      <c r="K2637" s="1"/>
      <c r="L2637" s="1"/>
      <c r="M2637" s="1"/>
      <c r="N2637" s="1"/>
    </row>
    <row r="2638" ht="14.5" spans="2:14">
      <c r="B2638" s="1"/>
      <c r="C2638" s="1"/>
      <c r="D2638" s="1"/>
      <c r="E2638" s="1"/>
      <c r="F2638" s="1"/>
      <c r="G2638" s="1"/>
      <c r="H2638" s="1"/>
      <c r="I2638" s="1"/>
      <c r="J2638" s="1"/>
      <c r="K2638" s="1"/>
      <c r="L2638" s="1"/>
      <c r="M2638" s="1"/>
      <c r="N2638" s="1"/>
    </row>
    <row r="2639" ht="14.5" spans="2:14">
      <c r="B2639" s="1"/>
      <c r="C2639" s="1"/>
      <c r="D2639" s="1"/>
      <c r="E2639" s="1"/>
      <c r="F2639" s="1"/>
      <c r="G2639" s="1"/>
      <c r="H2639" s="1"/>
      <c r="I2639" s="1"/>
      <c r="J2639" s="1"/>
      <c r="K2639" s="1"/>
      <c r="L2639" s="1"/>
      <c r="M2639" s="1"/>
      <c r="N2639" s="1"/>
    </row>
    <row r="2640" ht="14.5" spans="2:14">
      <c r="B2640" s="1"/>
      <c r="C2640" s="1"/>
      <c r="D2640" s="1"/>
      <c r="E2640" s="1"/>
      <c r="F2640" s="1"/>
      <c r="G2640" s="1"/>
      <c r="H2640" s="1"/>
      <c r="I2640" s="1"/>
      <c r="J2640" s="1"/>
      <c r="K2640" s="1"/>
      <c r="L2640" s="1"/>
      <c r="M2640" s="1"/>
      <c r="N2640" s="1"/>
    </row>
    <row r="2641" ht="14.5" spans="2:14">
      <c r="B2641" s="1"/>
      <c r="C2641" s="1"/>
      <c r="D2641" s="1"/>
      <c r="E2641" s="1"/>
      <c r="F2641" s="1"/>
      <c r="G2641" s="1"/>
      <c r="H2641" s="1"/>
      <c r="I2641" s="1"/>
      <c r="J2641" s="1"/>
      <c r="K2641" s="1"/>
      <c r="L2641" s="1"/>
      <c r="M2641" s="1"/>
      <c r="N2641" s="1"/>
    </row>
    <row r="2642" ht="14.5" spans="2:14">
      <c r="B2642" s="1"/>
      <c r="C2642" s="1"/>
      <c r="D2642" s="1"/>
      <c r="E2642" s="1"/>
      <c r="F2642" s="1"/>
      <c r="G2642" s="1"/>
      <c r="H2642" s="1"/>
      <c r="I2642" s="1"/>
      <c r="J2642" s="1"/>
      <c r="K2642" s="1"/>
      <c r="L2642" s="1"/>
      <c r="M2642" s="1"/>
      <c r="N2642" s="1"/>
    </row>
    <row r="2643" ht="14.5" spans="2:14">
      <c r="B2643" s="1"/>
      <c r="C2643" s="1"/>
      <c r="D2643" s="1"/>
      <c r="E2643" s="1"/>
      <c r="F2643" s="1"/>
      <c r="G2643" s="1"/>
      <c r="H2643" s="1"/>
      <c r="I2643" s="1"/>
      <c r="J2643" s="1"/>
      <c r="K2643" s="1"/>
      <c r="L2643" s="1"/>
      <c r="M2643" s="1"/>
      <c r="N2643" s="1"/>
    </row>
    <row r="2644" ht="14.5" spans="2:14">
      <c r="B2644" s="1"/>
      <c r="C2644" s="1"/>
      <c r="D2644" s="1"/>
      <c r="E2644" s="1"/>
      <c r="F2644" s="1"/>
      <c r="G2644" s="1"/>
      <c r="H2644" s="1"/>
      <c r="I2644" s="1"/>
      <c r="J2644" s="1"/>
      <c r="K2644" s="1"/>
      <c r="L2644" s="1"/>
      <c r="M2644" s="1"/>
      <c r="N2644" s="1"/>
    </row>
    <row r="2645" ht="14.5" spans="2:14">
      <c r="B2645" s="1"/>
      <c r="C2645" s="1"/>
      <c r="D2645" s="1"/>
      <c r="E2645" s="1"/>
      <c r="F2645" s="1"/>
      <c r="G2645" s="1"/>
      <c r="H2645" s="1"/>
      <c r="I2645" s="1"/>
      <c r="J2645" s="1"/>
      <c r="K2645" s="1"/>
      <c r="L2645" s="1"/>
      <c r="M2645" s="1"/>
      <c r="N2645" s="1"/>
    </row>
    <row r="2646" ht="14.5" spans="2:14">
      <c r="B2646" s="1"/>
      <c r="C2646" s="1"/>
      <c r="D2646" s="1"/>
      <c r="E2646" s="1"/>
      <c r="F2646" s="1"/>
      <c r="G2646" s="1"/>
      <c r="H2646" s="1"/>
      <c r="I2646" s="1"/>
      <c r="J2646" s="1"/>
      <c r="K2646" s="1"/>
      <c r="L2646" s="1"/>
      <c r="M2646" s="1"/>
      <c r="N2646" s="1"/>
    </row>
    <row r="2647" ht="14.5" spans="2:14">
      <c r="B2647" s="1"/>
      <c r="C2647" s="1"/>
      <c r="D2647" s="1"/>
      <c r="E2647" s="1"/>
      <c r="F2647" s="1"/>
      <c r="G2647" s="1"/>
      <c r="H2647" s="1"/>
      <c r="I2647" s="1"/>
      <c r="J2647" s="1"/>
      <c r="K2647" s="1"/>
      <c r="L2647" s="1"/>
      <c r="M2647" s="1"/>
      <c r="N2647" s="1"/>
    </row>
    <row r="2648" ht="14.5" spans="2:14">
      <c r="B2648" s="1"/>
      <c r="C2648" s="1"/>
      <c r="D2648" s="1"/>
      <c r="E2648" s="1"/>
      <c r="F2648" s="1"/>
      <c r="G2648" s="1"/>
      <c r="H2648" s="1"/>
      <c r="I2648" s="1"/>
      <c r="J2648" s="1"/>
      <c r="K2648" s="1"/>
      <c r="L2648" s="1"/>
      <c r="M2648" s="1"/>
      <c r="N2648" s="1"/>
    </row>
    <row r="2649" ht="14.5" spans="2:14">
      <c r="B2649" s="1"/>
      <c r="C2649" s="1"/>
      <c r="D2649" s="1"/>
      <c r="E2649" s="1"/>
      <c r="F2649" s="1"/>
      <c r="G2649" s="1"/>
      <c r="H2649" s="1"/>
      <c r="I2649" s="1"/>
      <c r="J2649" s="1"/>
      <c r="K2649" s="1"/>
      <c r="L2649" s="1"/>
      <c r="M2649" s="1"/>
      <c r="N2649" s="1"/>
    </row>
    <row r="2650" ht="14.5" spans="2:14">
      <c r="B2650" s="1"/>
      <c r="C2650" s="1"/>
      <c r="D2650" s="1"/>
      <c r="E2650" s="1"/>
      <c r="F2650" s="1"/>
      <c r="G2650" s="1"/>
      <c r="H2650" s="1"/>
      <c r="I2650" s="1"/>
      <c r="J2650" s="1"/>
      <c r="K2650" s="1"/>
      <c r="L2650" s="1"/>
      <c r="M2650" s="1"/>
      <c r="N2650" s="1"/>
    </row>
    <row r="2651" ht="14.5" spans="2:14">
      <c r="B2651" s="1"/>
      <c r="C2651" s="1"/>
      <c r="D2651" s="1"/>
      <c r="E2651" s="1"/>
      <c r="F2651" s="1"/>
      <c r="G2651" s="1"/>
      <c r="H2651" s="1"/>
      <c r="I2651" s="1"/>
      <c r="J2651" s="1"/>
      <c r="K2651" s="1"/>
      <c r="L2651" s="1"/>
      <c r="M2651" s="1"/>
      <c r="N2651" s="1"/>
    </row>
    <row r="2652" ht="14.5" spans="2:14">
      <c r="B2652" s="1"/>
      <c r="C2652" s="1"/>
      <c r="D2652" s="1"/>
      <c r="E2652" s="1"/>
      <c r="F2652" s="1"/>
      <c r="G2652" s="1"/>
      <c r="H2652" s="1"/>
      <c r="I2652" s="1"/>
      <c r="J2652" s="1"/>
      <c r="K2652" s="1"/>
      <c r="L2652" s="1"/>
      <c r="M2652" s="1"/>
      <c r="N2652" s="1"/>
    </row>
    <row r="2653" ht="14.5" spans="2:14">
      <c r="B2653" s="1"/>
      <c r="C2653" s="1"/>
      <c r="D2653" s="1"/>
      <c r="E2653" s="1"/>
      <c r="F2653" s="1"/>
      <c r="G2653" s="1"/>
      <c r="H2653" s="1"/>
      <c r="I2653" s="1"/>
      <c r="J2653" s="1"/>
      <c r="K2653" s="1"/>
      <c r="L2653" s="1"/>
      <c r="M2653" s="1"/>
      <c r="N2653" s="1"/>
    </row>
    <row r="2654" ht="14.5" spans="2:14">
      <c r="B2654" s="1"/>
      <c r="C2654" s="1"/>
      <c r="D2654" s="1"/>
      <c r="E2654" s="1"/>
      <c r="F2654" s="1"/>
      <c r="G2654" s="1"/>
      <c r="H2654" s="1"/>
      <c r="I2654" s="1"/>
      <c r="J2654" s="1"/>
      <c r="K2654" s="1"/>
      <c r="L2654" s="1"/>
      <c r="M2654" s="1"/>
      <c r="N2654" s="1"/>
    </row>
    <row r="2655" ht="14.5" spans="2:14">
      <c r="B2655" s="1"/>
      <c r="C2655" s="1"/>
      <c r="D2655" s="1"/>
      <c r="E2655" s="1"/>
      <c r="F2655" s="1"/>
      <c r="G2655" s="1"/>
      <c r="H2655" s="1"/>
      <c r="I2655" s="1"/>
      <c r="J2655" s="1"/>
      <c r="K2655" s="1"/>
      <c r="L2655" s="1"/>
      <c r="M2655" s="1"/>
      <c r="N2655" s="1"/>
    </row>
    <row r="2656" ht="14.5" spans="2:14">
      <c r="B2656" s="1"/>
      <c r="C2656" s="1"/>
      <c r="D2656" s="1"/>
      <c r="E2656" s="1"/>
      <c r="F2656" s="1"/>
      <c r="G2656" s="1"/>
      <c r="H2656" s="1"/>
      <c r="I2656" s="1"/>
      <c r="J2656" s="1"/>
      <c r="K2656" s="1"/>
      <c r="L2656" s="1"/>
      <c r="M2656" s="1"/>
      <c r="N2656" s="1"/>
    </row>
    <row r="2657" ht="14.5" spans="2:14">
      <c r="B2657" s="1"/>
      <c r="C2657" s="1"/>
      <c r="D2657" s="1"/>
      <c r="E2657" s="1"/>
      <c r="F2657" s="1"/>
      <c r="G2657" s="1"/>
      <c r="H2657" s="1"/>
      <c r="I2657" s="1"/>
      <c r="J2657" s="1"/>
      <c r="K2657" s="1"/>
      <c r="L2657" s="1"/>
      <c r="M2657" s="1"/>
      <c r="N2657" s="1"/>
    </row>
    <row r="2658" ht="14.5" spans="2:14">
      <c r="B2658" s="1"/>
      <c r="C2658" s="1"/>
      <c r="D2658" s="1"/>
      <c r="E2658" s="1"/>
      <c r="F2658" s="1"/>
      <c r="G2658" s="1"/>
      <c r="H2658" s="1"/>
      <c r="I2658" s="1"/>
      <c r="J2658" s="1"/>
      <c r="K2658" s="1"/>
      <c r="L2658" s="1"/>
      <c r="M2658" s="1"/>
      <c r="N2658" s="1"/>
    </row>
    <row r="2659" ht="14.5" spans="2:14">
      <c r="B2659" s="1"/>
      <c r="C2659" s="1"/>
      <c r="D2659" s="1"/>
      <c r="E2659" s="1"/>
      <c r="F2659" s="1"/>
      <c r="G2659" s="1"/>
      <c r="H2659" s="1"/>
      <c r="I2659" s="1"/>
      <c r="J2659" s="1"/>
      <c r="K2659" s="1"/>
      <c r="L2659" s="1"/>
      <c r="M2659" s="1"/>
      <c r="N2659" s="1"/>
    </row>
    <row r="2660" ht="14.5" spans="2:14">
      <c r="B2660" s="1"/>
      <c r="C2660" s="1"/>
      <c r="D2660" s="1"/>
      <c r="E2660" s="1"/>
      <c r="F2660" s="1"/>
      <c r="G2660" s="1"/>
      <c r="H2660" s="1"/>
      <c r="I2660" s="1"/>
      <c r="J2660" s="1"/>
      <c r="K2660" s="1"/>
      <c r="L2660" s="1"/>
      <c r="M2660" s="1"/>
      <c r="N2660" s="1"/>
    </row>
    <row r="2661" ht="14.5" spans="2:14">
      <c r="B2661" s="1"/>
      <c r="C2661" s="1"/>
      <c r="D2661" s="1"/>
      <c r="E2661" s="1"/>
      <c r="F2661" s="1"/>
      <c r="G2661" s="1"/>
      <c r="H2661" s="1"/>
      <c r="I2661" s="1"/>
      <c r="J2661" s="1"/>
      <c r="K2661" s="1"/>
      <c r="L2661" s="1"/>
      <c r="M2661" s="1"/>
      <c r="N2661" s="1"/>
    </row>
    <row r="2662" ht="14.5" spans="2:14">
      <c r="B2662" s="1"/>
      <c r="C2662" s="1"/>
      <c r="D2662" s="1"/>
      <c r="E2662" s="1"/>
      <c r="F2662" s="1"/>
      <c r="G2662" s="1"/>
      <c r="H2662" s="1"/>
      <c r="I2662" s="1"/>
      <c r="J2662" s="1"/>
      <c r="K2662" s="1"/>
      <c r="L2662" s="1"/>
      <c r="M2662" s="1"/>
      <c r="N2662" s="1"/>
    </row>
    <row r="2663" ht="14.5" spans="2:14">
      <c r="B2663" s="1"/>
      <c r="C2663" s="1"/>
      <c r="D2663" s="1"/>
      <c r="E2663" s="1"/>
      <c r="F2663" s="1"/>
      <c r="G2663" s="1"/>
      <c r="H2663" s="1"/>
      <c r="I2663" s="1"/>
      <c r="J2663" s="1"/>
      <c r="K2663" s="1"/>
      <c r="L2663" s="1"/>
      <c r="M2663" s="1"/>
      <c r="N2663" s="1"/>
    </row>
    <row r="2664" ht="14.5" spans="2:14">
      <c r="B2664" s="1"/>
      <c r="C2664" s="1"/>
      <c r="D2664" s="1"/>
      <c r="E2664" s="1"/>
      <c r="F2664" s="1"/>
      <c r="G2664" s="1"/>
      <c r="H2664" s="1"/>
      <c r="I2664" s="1"/>
      <c r="J2664" s="1"/>
      <c r="K2664" s="1"/>
      <c r="L2664" s="1"/>
      <c r="M2664" s="1"/>
      <c r="N2664" s="1"/>
    </row>
    <row r="2665" ht="14.5" spans="2:14">
      <c r="B2665" s="1"/>
      <c r="C2665" s="1"/>
      <c r="D2665" s="1"/>
      <c r="E2665" s="1"/>
      <c r="F2665" s="1"/>
      <c r="G2665" s="1"/>
      <c r="H2665" s="1"/>
      <c r="I2665" s="1"/>
      <c r="J2665" s="1"/>
      <c r="K2665" s="1"/>
      <c r="L2665" s="1"/>
      <c r="M2665" s="1"/>
      <c r="N2665" s="1"/>
    </row>
    <row r="2666" ht="14.5" spans="2:14">
      <c r="B2666" s="1"/>
      <c r="C2666" s="1"/>
      <c r="D2666" s="1"/>
      <c r="E2666" s="1"/>
      <c r="F2666" s="1"/>
      <c r="G2666" s="1"/>
      <c r="H2666" s="1"/>
      <c r="I2666" s="1"/>
      <c r="J2666" s="1"/>
      <c r="K2666" s="1"/>
      <c r="L2666" s="1"/>
      <c r="M2666" s="1"/>
      <c r="N2666" s="1"/>
    </row>
    <row r="2667" ht="14.5" spans="2:14">
      <c r="B2667" s="1"/>
      <c r="C2667" s="1"/>
      <c r="D2667" s="1"/>
      <c r="E2667" s="1"/>
      <c r="F2667" s="1"/>
      <c r="G2667" s="1"/>
      <c r="H2667" s="1"/>
      <c r="I2667" s="1"/>
      <c r="J2667" s="1"/>
      <c r="K2667" s="1"/>
      <c r="L2667" s="1"/>
      <c r="M2667" s="1"/>
      <c r="N2667" s="1"/>
    </row>
    <row r="2668" ht="14.5" spans="2:14">
      <c r="B2668" s="1"/>
      <c r="C2668" s="1"/>
      <c r="D2668" s="1"/>
      <c r="E2668" s="1"/>
      <c r="F2668" s="1"/>
      <c r="G2668" s="1"/>
      <c r="H2668" s="1"/>
      <c r="I2668" s="1"/>
      <c r="J2668" s="1"/>
      <c r="K2668" s="1"/>
      <c r="L2668" s="1"/>
      <c r="M2668" s="1"/>
      <c r="N2668" s="1"/>
    </row>
    <row r="2669" ht="14.5" spans="2:14">
      <c r="B2669" s="1"/>
      <c r="C2669" s="1"/>
      <c r="D2669" s="1"/>
      <c r="E2669" s="1"/>
      <c r="F2669" s="1"/>
      <c r="G2669" s="1"/>
      <c r="H2669" s="1"/>
      <c r="I2669" s="1"/>
      <c r="J2669" s="1"/>
      <c r="K2669" s="1"/>
      <c r="L2669" s="1"/>
      <c r="M2669" s="1"/>
      <c r="N2669" s="1"/>
    </row>
    <row r="2670" ht="14.5" spans="2:14">
      <c r="B2670" s="1"/>
      <c r="C2670" s="1"/>
      <c r="D2670" s="1"/>
      <c r="E2670" s="1"/>
      <c r="F2670" s="1"/>
      <c r="G2670" s="1"/>
      <c r="H2670" s="1"/>
      <c r="I2670" s="1"/>
      <c r="J2670" s="1"/>
      <c r="K2670" s="1"/>
      <c r="L2670" s="1"/>
      <c r="M2670" s="1"/>
      <c r="N2670" s="1"/>
    </row>
    <row r="2671" ht="14.5" spans="2:14">
      <c r="B2671" s="1"/>
      <c r="C2671" s="1"/>
      <c r="D2671" s="1"/>
      <c r="E2671" s="1"/>
      <c r="F2671" s="1"/>
      <c r="G2671" s="1"/>
      <c r="H2671" s="1"/>
      <c r="I2671" s="1"/>
      <c r="J2671" s="1"/>
      <c r="K2671" s="1"/>
      <c r="L2671" s="1"/>
      <c r="M2671" s="1"/>
      <c r="N2671" s="1"/>
    </row>
    <row r="2672" ht="14.5" spans="2:14">
      <c r="B2672" s="1"/>
      <c r="C2672" s="1"/>
      <c r="D2672" s="1"/>
      <c r="E2672" s="1"/>
      <c r="F2672" s="1"/>
      <c r="G2672" s="1"/>
      <c r="H2672" s="1"/>
      <c r="I2672" s="1"/>
      <c r="J2672" s="1"/>
      <c r="K2672" s="1"/>
      <c r="L2672" s="1"/>
      <c r="M2672" s="1"/>
      <c r="N2672" s="1"/>
    </row>
    <row r="2673" ht="14.5" spans="2:14">
      <c r="B2673" s="1"/>
      <c r="C2673" s="1"/>
      <c r="D2673" s="1"/>
      <c r="E2673" s="1"/>
      <c r="F2673" s="1"/>
      <c r="G2673" s="1"/>
      <c r="H2673" s="1"/>
      <c r="I2673" s="1"/>
      <c r="J2673" s="1"/>
      <c r="K2673" s="1"/>
      <c r="L2673" s="1"/>
      <c r="M2673" s="1"/>
      <c r="N2673" s="1"/>
    </row>
    <row r="2674" ht="14.5" spans="2:14">
      <c r="B2674" s="1"/>
      <c r="C2674" s="1"/>
      <c r="D2674" s="1"/>
      <c r="E2674" s="1"/>
      <c r="F2674" s="1"/>
      <c r="G2674" s="1"/>
      <c r="H2674" s="1"/>
      <c r="I2674" s="1"/>
      <c r="J2674" s="1"/>
      <c r="K2674" s="1"/>
      <c r="L2674" s="1"/>
      <c r="M2674" s="1"/>
      <c r="N2674" s="1"/>
    </row>
    <row r="2675" ht="14.5" spans="2:14">
      <c r="B2675" s="1"/>
      <c r="C2675" s="1"/>
      <c r="D2675" s="1"/>
      <c r="E2675" s="1"/>
      <c r="F2675" s="1"/>
      <c r="G2675" s="1"/>
      <c r="H2675" s="1"/>
      <c r="I2675" s="1"/>
      <c r="J2675" s="1"/>
      <c r="K2675" s="1"/>
      <c r="L2675" s="1"/>
      <c r="M2675" s="1"/>
      <c r="N2675" s="1"/>
    </row>
    <row r="2676" ht="14.5" spans="2:14">
      <c r="B2676" s="1"/>
      <c r="C2676" s="1"/>
      <c r="D2676" s="1"/>
      <c r="E2676" s="1"/>
      <c r="F2676" s="1"/>
      <c r="G2676" s="1"/>
      <c r="H2676" s="1"/>
      <c r="I2676" s="1"/>
      <c r="J2676" s="1"/>
      <c r="K2676" s="1"/>
      <c r="L2676" s="1"/>
      <c r="M2676" s="1"/>
      <c r="N2676" s="1"/>
    </row>
    <row r="2677" ht="14.5" spans="2:14">
      <c r="B2677" s="1"/>
      <c r="C2677" s="1"/>
      <c r="D2677" s="1"/>
      <c r="E2677" s="1"/>
      <c r="F2677" s="1"/>
      <c r="G2677" s="1"/>
      <c r="H2677" s="1"/>
      <c r="I2677" s="1"/>
      <c r="J2677" s="1"/>
      <c r="K2677" s="1"/>
      <c r="L2677" s="1"/>
      <c r="M2677" s="1"/>
      <c r="N2677" s="1"/>
    </row>
    <row r="2678" ht="14.5" spans="2:14">
      <c r="B2678" s="1"/>
      <c r="C2678" s="1"/>
      <c r="D2678" s="1"/>
      <c r="E2678" s="1"/>
      <c r="F2678" s="1"/>
      <c r="G2678" s="1"/>
      <c r="H2678" s="1"/>
      <c r="I2678" s="1"/>
      <c r="J2678" s="1"/>
      <c r="K2678" s="1"/>
      <c r="L2678" s="1"/>
      <c r="M2678" s="1"/>
      <c r="N2678" s="1"/>
    </row>
    <row r="2679" ht="14.5" spans="2:14">
      <c r="B2679" s="1"/>
      <c r="C2679" s="1"/>
      <c r="D2679" s="1"/>
      <c r="E2679" s="1"/>
      <c r="F2679" s="1"/>
      <c r="G2679" s="1"/>
      <c r="H2679" s="1"/>
      <c r="I2679" s="1"/>
      <c r="J2679" s="1"/>
      <c r="K2679" s="1"/>
      <c r="L2679" s="1"/>
      <c r="M2679" s="1"/>
      <c r="N2679" s="1"/>
    </row>
    <row r="2680" ht="14.5" spans="2:14">
      <c r="B2680" s="1"/>
      <c r="C2680" s="1"/>
      <c r="D2680" s="1"/>
      <c r="E2680" s="1"/>
      <c r="F2680" s="1"/>
      <c r="G2680" s="1"/>
      <c r="H2680" s="1"/>
      <c r="I2680" s="1"/>
      <c r="J2680" s="1"/>
      <c r="K2680" s="1"/>
      <c r="L2680" s="1"/>
      <c r="M2680" s="1"/>
      <c r="N2680" s="1"/>
    </row>
    <row r="2681" ht="14.5" spans="2:14">
      <c r="B2681" s="1"/>
      <c r="C2681" s="1"/>
      <c r="D2681" s="1"/>
      <c r="E2681" s="1"/>
      <c r="F2681" s="1"/>
      <c r="G2681" s="1"/>
      <c r="H2681" s="1"/>
      <c r="I2681" s="1"/>
      <c r="J2681" s="1"/>
      <c r="K2681" s="1"/>
      <c r="L2681" s="1"/>
      <c r="M2681" s="1"/>
      <c r="N2681" s="1"/>
    </row>
    <row r="2682" ht="14.5" spans="2:14">
      <c r="B2682" s="1"/>
      <c r="C2682" s="1"/>
      <c r="D2682" s="1"/>
      <c r="E2682" s="1"/>
      <c r="F2682" s="1"/>
      <c r="G2682" s="1"/>
      <c r="H2682" s="1"/>
      <c r="I2682" s="1"/>
      <c r="J2682" s="1"/>
      <c r="K2682" s="1"/>
      <c r="L2682" s="1"/>
      <c r="M2682" s="1"/>
      <c r="N2682" s="1"/>
    </row>
    <row r="2683" ht="14.5" spans="2:14">
      <c r="B2683" s="1"/>
      <c r="C2683" s="1"/>
      <c r="D2683" s="1"/>
      <c r="E2683" s="1"/>
      <c r="F2683" s="1"/>
      <c r="G2683" s="1"/>
      <c r="H2683" s="1"/>
      <c r="I2683" s="1"/>
      <c r="J2683" s="1"/>
      <c r="K2683" s="1"/>
      <c r="L2683" s="1"/>
      <c r="M2683" s="1"/>
      <c r="N2683" s="1"/>
    </row>
    <row r="2684" ht="14.5" spans="2:14">
      <c r="B2684" s="1"/>
      <c r="C2684" s="1"/>
      <c r="D2684" s="1"/>
      <c r="E2684" s="1"/>
      <c r="F2684" s="1"/>
      <c r="G2684" s="1"/>
      <c r="H2684" s="1"/>
      <c r="I2684" s="1"/>
      <c r="J2684" s="1"/>
      <c r="K2684" s="1"/>
      <c r="L2684" s="1"/>
      <c r="M2684" s="1"/>
      <c r="N2684" s="1"/>
    </row>
    <row r="2685" ht="14.5" spans="2:14">
      <c r="B2685" s="1"/>
      <c r="C2685" s="1"/>
      <c r="D2685" s="1"/>
      <c r="E2685" s="1"/>
      <c r="F2685" s="1"/>
      <c r="G2685" s="1"/>
      <c r="H2685" s="1"/>
      <c r="I2685" s="1"/>
      <c r="J2685" s="1"/>
      <c r="K2685" s="1"/>
      <c r="L2685" s="1"/>
      <c r="M2685" s="1"/>
      <c r="N2685" s="1"/>
    </row>
    <row r="2686" ht="14.5" spans="2:14">
      <c r="B2686" s="1"/>
      <c r="C2686" s="1"/>
      <c r="D2686" s="1"/>
      <c r="E2686" s="1"/>
      <c r="F2686" s="1"/>
      <c r="G2686" s="1"/>
      <c r="H2686" s="1"/>
      <c r="I2686" s="1"/>
      <c r="J2686" s="1"/>
      <c r="K2686" s="1"/>
      <c r="L2686" s="1"/>
      <c r="M2686" s="1"/>
      <c r="N2686" s="1"/>
    </row>
    <row r="2687" ht="14.5" spans="2:14">
      <c r="B2687" s="1"/>
      <c r="C2687" s="1"/>
      <c r="D2687" s="1"/>
      <c r="E2687" s="1"/>
      <c r="F2687" s="1"/>
      <c r="G2687" s="1"/>
      <c r="H2687" s="1"/>
      <c r="I2687" s="1"/>
      <c r="J2687" s="1"/>
      <c r="K2687" s="1"/>
      <c r="L2687" s="1"/>
      <c r="M2687" s="1"/>
      <c r="N2687" s="1"/>
    </row>
    <row r="2688" ht="14.5" spans="2:14">
      <c r="B2688" s="1"/>
      <c r="C2688" s="1"/>
      <c r="D2688" s="1"/>
      <c r="E2688" s="1"/>
      <c r="F2688" s="1"/>
      <c r="G2688" s="1"/>
      <c r="H2688" s="1"/>
      <c r="I2688" s="1"/>
      <c r="J2688" s="1"/>
      <c r="K2688" s="1"/>
      <c r="L2688" s="1"/>
      <c r="M2688" s="1"/>
      <c r="N2688" s="1"/>
    </row>
    <row r="2689" ht="14.5" spans="2:14">
      <c r="B2689" s="1"/>
      <c r="C2689" s="1"/>
      <c r="D2689" s="1"/>
      <c r="E2689" s="1"/>
      <c r="F2689" s="1"/>
      <c r="G2689" s="1"/>
      <c r="H2689" s="1"/>
      <c r="I2689" s="1"/>
      <c r="J2689" s="1"/>
      <c r="K2689" s="1"/>
      <c r="L2689" s="1"/>
      <c r="M2689" s="1"/>
      <c r="N2689" s="1"/>
    </row>
    <row r="2690" ht="14.5" spans="2:14">
      <c r="B2690" s="1"/>
      <c r="C2690" s="1"/>
      <c r="D2690" s="1"/>
      <c r="E2690" s="1"/>
      <c r="F2690" s="1"/>
      <c r="G2690" s="1"/>
      <c r="H2690" s="1"/>
      <c r="I2690" s="1"/>
      <c r="J2690" s="1"/>
      <c r="K2690" s="1"/>
      <c r="L2690" s="1"/>
      <c r="M2690" s="1"/>
      <c r="N2690" s="1"/>
    </row>
    <row r="2691" ht="14.5" spans="2:14">
      <c r="B2691" s="1"/>
      <c r="C2691" s="1"/>
      <c r="D2691" s="1"/>
      <c r="E2691" s="1"/>
      <c r="F2691" s="1"/>
      <c r="G2691" s="1"/>
      <c r="H2691" s="1"/>
      <c r="I2691" s="1"/>
      <c r="J2691" s="1"/>
      <c r="K2691" s="1"/>
      <c r="L2691" s="1"/>
      <c r="M2691" s="1"/>
      <c r="N2691" s="1"/>
    </row>
    <row r="2692" ht="14.5" spans="2:14">
      <c r="B2692" s="1"/>
      <c r="C2692" s="1"/>
      <c r="D2692" s="1"/>
      <c r="E2692" s="1"/>
      <c r="F2692" s="1"/>
      <c r="G2692" s="1"/>
      <c r="H2692" s="1"/>
      <c r="I2692" s="1"/>
      <c r="J2692" s="1"/>
      <c r="K2692" s="1"/>
      <c r="L2692" s="1"/>
      <c r="M2692" s="1"/>
      <c r="N2692" s="1"/>
    </row>
    <row r="2693" ht="14.5" spans="2:14">
      <c r="B2693" s="1"/>
      <c r="C2693" s="1"/>
      <c r="D2693" s="1"/>
      <c r="E2693" s="1"/>
      <c r="F2693" s="1"/>
      <c r="G2693" s="1"/>
      <c r="H2693" s="1"/>
      <c r="I2693" s="1"/>
      <c r="J2693" s="1"/>
      <c r="K2693" s="1"/>
      <c r="L2693" s="1"/>
      <c r="M2693" s="1"/>
      <c r="N2693" s="1"/>
    </row>
    <row r="2694" ht="14.5" spans="2:14">
      <c r="B2694" s="1"/>
      <c r="C2694" s="1"/>
      <c r="D2694" s="1"/>
      <c r="E2694" s="1"/>
      <c r="F2694" s="1"/>
      <c r="G2694" s="1"/>
      <c r="H2694" s="1"/>
      <c r="I2694" s="1"/>
      <c r="J2694" s="1"/>
      <c r="K2694" s="1"/>
      <c r="L2694" s="1"/>
      <c r="M2694" s="1"/>
      <c r="N2694" s="1"/>
    </row>
    <row r="2695" ht="14.5" spans="2:14">
      <c r="B2695" s="1"/>
      <c r="C2695" s="1"/>
      <c r="D2695" s="1"/>
      <c r="E2695" s="1"/>
      <c r="F2695" s="1"/>
      <c r="G2695" s="1"/>
      <c r="H2695" s="1"/>
      <c r="I2695" s="1"/>
      <c r="J2695" s="1"/>
      <c r="K2695" s="1"/>
      <c r="L2695" s="1"/>
      <c r="M2695" s="1"/>
      <c r="N2695" s="1"/>
    </row>
    <row r="2696" ht="14.5" spans="2:14">
      <c r="B2696" s="1"/>
      <c r="C2696" s="1"/>
      <c r="D2696" s="1"/>
      <c r="E2696" s="1"/>
      <c r="F2696" s="1"/>
      <c r="G2696" s="1"/>
      <c r="H2696" s="1"/>
      <c r="I2696" s="1"/>
      <c r="J2696" s="1"/>
      <c r="K2696" s="1"/>
      <c r="L2696" s="1"/>
      <c r="M2696" s="1"/>
      <c r="N2696" s="1"/>
    </row>
    <row r="2697" ht="14.5" spans="2:14">
      <c r="B2697" s="1"/>
      <c r="C2697" s="1"/>
      <c r="D2697" s="1"/>
      <c r="E2697" s="1"/>
      <c r="F2697" s="1"/>
      <c r="G2697" s="1"/>
      <c r="H2697" s="1"/>
      <c r="I2697" s="1"/>
      <c r="J2697" s="1"/>
      <c r="K2697" s="1"/>
      <c r="L2697" s="1"/>
      <c r="M2697" s="1"/>
      <c r="N2697" s="1"/>
    </row>
    <row r="2698" ht="14.5" spans="2:14">
      <c r="B2698" s="1"/>
      <c r="C2698" s="1"/>
      <c r="D2698" s="1"/>
      <c r="E2698" s="1"/>
      <c r="F2698" s="1"/>
      <c r="G2698" s="1"/>
      <c r="H2698" s="1"/>
      <c r="I2698" s="1"/>
      <c r="J2698" s="1"/>
      <c r="K2698" s="1"/>
      <c r="L2698" s="1"/>
      <c r="M2698" s="1"/>
      <c r="N2698" s="1"/>
    </row>
    <row r="2699" ht="14.5" spans="2:14">
      <c r="B2699" s="1"/>
      <c r="C2699" s="1"/>
      <c r="D2699" s="1"/>
      <c r="E2699" s="1"/>
      <c r="F2699" s="1"/>
      <c r="G2699" s="1"/>
      <c r="H2699" s="1"/>
      <c r="I2699" s="1"/>
      <c r="J2699" s="1"/>
      <c r="K2699" s="1"/>
      <c r="L2699" s="1"/>
      <c r="M2699" s="1"/>
      <c r="N2699" s="1"/>
    </row>
    <row r="2700" ht="14.5" spans="2:14">
      <c r="B2700" s="1"/>
      <c r="C2700" s="1"/>
      <c r="D2700" s="1"/>
      <c r="E2700" s="1"/>
      <c r="F2700" s="1"/>
      <c r="G2700" s="1"/>
      <c r="H2700" s="1"/>
      <c r="I2700" s="1"/>
      <c r="J2700" s="1"/>
      <c r="K2700" s="1"/>
      <c r="L2700" s="1"/>
      <c r="M2700" s="1"/>
      <c r="N2700" s="1"/>
    </row>
    <row r="2701" ht="14.5" spans="2:14">
      <c r="B2701" s="1"/>
      <c r="C2701" s="1"/>
      <c r="D2701" s="1"/>
      <c r="E2701" s="1"/>
      <c r="F2701" s="1"/>
      <c r="G2701" s="1"/>
      <c r="H2701" s="1"/>
      <c r="I2701" s="1"/>
      <c r="J2701" s="1"/>
      <c r="K2701" s="1"/>
      <c r="L2701" s="1"/>
      <c r="M2701" s="1"/>
      <c r="N2701" s="1"/>
    </row>
    <row r="2702" ht="14.5" spans="2:14">
      <c r="B2702" s="1"/>
      <c r="C2702" s="1"/>
      <c r="D2702" s="1"/>
      <c r="E2702" s="1"/>
      <c r="F2702" s="1"/>
      <c r="G2702" s="1"/>
      <c r="H2702" s="1"/>
      <c r="I2702" s="1"/>
      <c r="J2702" s="1"/>
      <c r="K2702" s="1"/>
      <c r="L2702" s="1"/>
      <c r="M2702" s="1"/>
      <c r="N2702" s="1"/>
    </row>
    <row r="2703" ht="14.5" spans="2:14">
      <c r="B2703" s="1"/>
      <c r="C2703" s="1"/>
      <c r="D2703" s="1"/>
      <c r="E2703" s="1"/>
      <c r="F2703" s="1"/>
      <c r="G2703" s="1"/>
      <c r="H2703" s="1"/>
      <c r="I2703" s="1"/>
      <c r="J2703" s="1"/>
      <c r="K2703" s="1"/>
      <c r="L2703" s="1"/>
      <c r="M2703" s="1"/>
      <c r="N2703" s="1"/>
    </row>
    <row r="2704" ht="14.5" spans="2:14">
      <c r="B2704" s="1"/>
      <c r="C2704" s="1"/>
      <c r="D2704" s="1"/>
      <c r="E2704" s="1"/>
      <c r="F2704" s="1"/>
      <c r="G2704" s="1"/>
      <c r="H2704" s="1"/>
      <c r="I2704" s="1"/>
      <c r="J2704" s="1"/>
      <c r="K2704" s="1"/>
      <c r="L2704" s="1"/>
      <c r="M2704" s="1"/>
      <c r="N2704" s="1"/>
    </row>
    <row r="2705" ht="14.5" spans="2:14">
      <c r="B2705" s="1"/>
      <c r="C2705" s="1"/>
      <c r="D2705" s="1"/>
      <c r="E2705" s="1"/>
      <c r="F2705" s="1"/>
      <c r="G2705" s="1"/>
      <c r="H2705" s="1"/>
      <c r="I2705" s="1"/>
      <c r="J2705" s="1"/>
      <c r="K2705" s="1"/>
      <c r="L2705" s="1"/>
      <c r="M2705" s="1"/>
      <c r="N2705" s="1"/>
    </row>
    <row r="2706" ht="14.5" spans="2:14">
      <c r="B2706" s="1"/>
      <c r="C2706" s="1"/>
      <c r="D2706" s="1"/>
      <c r="E2706" s="1"/>
      <c r="F2706" s="1"/>
      <c r="G2706" s="1"/>
      <c r="H2706" s="1"/>
      <c r="I2706" s="1"/>
      <c r="J2706" s="1"/>
      <c r="K2706" s="1"/>
      <c r="L2706" s="1"/>
      <c r="M2706" s="1"/>
      <c r="N2706" s="1"/>
    </row>
    <row r="2707" ht="14.5" spans="2:14">
      <c r="B2707" s="1"/>
      <c r="C2707" s="1"/>
      <c r="D2707" s="1"/>
      <c r="E2707" s="1"/>
      <c r="F2707" s="1"/>
      <c r="G2707" s="1"/>
      <c r="H2707" s="1"/>
      <c r="I2707" s="1"/>
      <c r="J2707" s="1"/>
      <c r="K2707" s="1"/>
      <c r="L2707" s="1"/>
      <c r="M2707" s="1"/>
      <c r="N2707" s="1"/>
    </row>
    <row r="2708" ht="14.5" spans="2:14">
      <c r="B2708" s="1"/>
      <c r="C2708" s="1"/>
      <c r="D2708" s="1"/>
      <c r="E2708" s="1"/>
      <c r="F2708" s="1"/>
      <c r="G2708" s="1"/>
      <c r="H2708" s="1"/>
      <c r="I2708" s="1"/>
      <c r="J2708" s="1"/>
      <c r="K2708" s="1"/>
      <c r="L2708" s="1"/>
      <c r="M2708" s="1"/>
      <c r="N2708" s="1"/>
    </row>
    <row r="2709" ht="14.5" spans="2:14">
      <c r="B2709" s="1"/>
      <c r="C2709" s="1"/>
      <c r="D2709" s="1"/>
      <c r="E2709" s="1"/>
      <c r="F2709" s="1"/>
      <c r="G2709" s="1"/>
      <c r="H2709" s="1"/>
      <c r="I2709" s="1"/>
      <c r="J2709" s="1"/>
      <c r="K2709" s="1"/>
      <c r="L2709" s="1"/>
      <c r="M2709" s="1"/>
      <c r="N2709" s="1"/>
    </row>
    <row r="2710" ht="14.5" spans="2:14">
      <c r="B2710" s="1"/>
      <c r="C2710" s="1"/>
      <c r="D2710" s="1"/>
      <c r="E2710" s="1"/>
      <c r="F2710" s="1"/>
      <c r="G2710" s="1"/>
      <c r="H2710" s="1"/>
      <c r="I2710" s="1"/>
      <c r="J2710" s="1"/>
      <c r="K2710" s="1"/>
      <c r="L2710" s="1"/>
      <c r="M2710" s="1"/>
      <c r="N2710" s="1"/>
    </row>
    <row r="2711" ht="14.5" spans="2:14">
      <c r="B2711" s="1"/>
      <c r="C2711" s="1"/>
      <c r="D2711" s="1"/>
      <c r="E2711" s="1"/>
      <c r="F2711" s="1"/>
      <c r="G2711" s="1"/>
      <c r="H2711" s="1"/>
      <c r="I2711" s="1"/>
      <c r="J2711" s="1"/>
      <c r="K2711" s="1"/>
      <c r="L2711" s="1"/>
      <c r="M2711" s="1"/>
      <c r="N2711" s="1"/>
    </row>
    <row r="2712" ht="14.5" spans="2:14">
      <c r="B2712" s="1"/>
      <c r="C2712" s="1"/>
      <c r="D2712" s="1"/>
      <c r="E2712" s="1"/>
      <c r="F2712" s="1"/>
      <c r="G2712" s="1"/>
      <c r="H2712" s="1"/>
      <c r="I2712" s="1"/>
      <c r="J2712" s="1"/>
      <c r="K2712" s="1"/>
      <c r="L2712" s="1"/>
      <c r="M2712" s="1"/>
      <c r="N2712" s="1"/>
    </row>
    <row r="2713" ht="14.5" spans="2:14">
      <c r="B2713" s="1"/>
      <c r="C2713" s="1"/>
      <c r="D2713" s="1"/>
      <c r="E2713" s="1"/>
      <c r="F2713" s="1"/>
      <c r="G2713" s="1"/>
      <c r="H2713" s="1"/>
      <c r="I2713" s="1"/>
      <c r="J2713" s="1"/>
      <c r="K2713" s="1"/>
      <c r="L2713" s="1"/>
      <c r="M2713" s="1"/>
      <c r="N2713" s="1"/>
    </row>
    <row r="2714" ht="14.5" spans="2:14">
      <c r="B2714" s="1"/>
      <c r="C2714" s="1"/>
      <c r="D2714" s="1"/>
      <c r="E2714" s="1"/>
      <c r="F2714" s="1"/>
      <c r="G2714" s="1"/>
      <c r="H2714" s="1"/>
      <c r="I2714" s="1"/>
      <c r="J2714" s="1"/>
      <c r="K2714" s="1"/>
      <c r="L2714" s="1"/>
      <c r="M2714" s="1"/>
      <c r="N2714" s="1"/>
    </row>
    <row r="2715" ht="14.5" spans="2:14">
      <c r="B2715" s="1"/>
      <c r="C2715" s="1"/>
      <c r="D2715" s="1"/>
      <c r="E2715" s="1"/>
      <c r="F2715" s="1"/>
      <c r="G2715" s="1"/>
      <c r="H2715" s="1"/>
      <c r="I2715" s="1"/>
      <c r="J2715" s="1"/>
      <c r="K2715" s="1"/>
      <c r="L2715" s="1"/>
      <c r="M2715" s="1"/>
      <c r="N2715" s="1"/>
    </row>
    <row r="2716" ht="14.5" spans="2:14">
      <c r="B2716" s="1"/>
      <c r="C2716" s="1"/>
      <c r="D2716" s="1"/>
      <c r="E2716" s="1"/>
      <c r="F2716" s="1"/>
      <c r="G2716" s="1"/>
      <c r="H2716" s="1"/>
      <c r="I2716" s="1"/>
      <c r="J2716" s="1"/>
      <c r="K2716" s="1"/>
      <c r="L2716" s="1"/>
      <c r="M2716" s="1"/>
      <c r="N2716" s="1"/>
    </row>
    <row r="2717" ht="14.5" spans="2:14">
      <c r="B2717" s="1"/>
      <c r="C2717" s="1"/>
      <c r="D2717" s="1"/>
      <c r="E2717" s="1"/>
      <c r="F2717" s="1"/>
      <c r="G2717" s="1"/>
      <c r="H2717" s="1"/>
      <c r="I2717" s="1"/>
      <c r="J2717" s="1"/>
      <c r="K2717" s="1"/>
      <c r="L2717" s="1"/>
      <c r="M2717" s="1"/>
      <c r="N2717" s="1"/>
    </row>
    <row r="2718" ht="14.5" spans="2:14">
      <c r="B2718" s="1"/>
      <c r="C2718" s="1"/>
      <c r="D2718" s="1"/>
      <c r="E2718" s="1"/>
      <c r="F2718" s="1"/>
      <c r="G2718" s="1"/>
      <c r="H2718" s="1"/>
      <c r="I2718" s="1"/>
      <c r="J2718" s="1"/>
      <c r="K2718" s="1"/>
      <c r="L2718" s="1"/>
      <c r="M2718" s="1"/>
      <c r="N2718" s="1"/>
    </row>
    <row r="2719" ht="14.5" spans="2:14">
      <c r="B2719" s="1"/>
      <c r="C2719" s="1"/>
      <c r="D2719" s="1"/>
      <c r="E2719" s="1"/>
      <c r="F2719" s="1"/>
      <c r="G2719" s="1"/>
      <c r="H2719" s="1"/>
      <c r="I2719" s="1"/>
      <c r="J2719" s="1"/>
      <c r="K2719" s="1"/>
      <c r="L2719" s="1"/>
      <c r="M2719" s="1"/>
      <c r="N2719" s="1"/>
    </row>
    <row r="2720" ht="14.5" spans="2:14">
      <c r="B2720" s="1"/>
      <c r="C2720" s="1"/>
      <c r="D2720" s="1"/>
      <c r="E2720" s="1"/>
      <c r="F2720" s="1"/>
      <c r="G2720" s="1"/>
      <c r="H2720" s="1"/>
      <c r="I2720" s="1"/>
      <c r="J2720" s="1"/>
      <c r="K2720" s="1"/>
      <c r="L2720" s="1"/>
      <c r="M2720" s="1"/>
      <c r="N2720" s="1"/>
    </row>
    <row r="2721" ht="14.5" spans="2:14">
      <c r="B2721" s="1"/>
      <c r="C2721" s="1"/>
      <c r="D2721" s="1"/>
      <c r="E2721" s="1"/>
      <c r="F2721" s="1"/>
      <c r="G2721" s="1"/>
      <c r="H2721" s="1"/>
      <c r="I2721" s="1"/>
      <c r="J2721" s="1"/>
      <c r="K2721" s="1"/>
      <c r="L2721" s="1"/>
      <c r="M2721" s="1"/>
      <c r="N2721" s="1"/>
    </row>
    <row r="2722" ht="14.5" spans="2:14">
      <c r="B2722" s="1"/>
      <c r="C2722" s="1"/>
      <c r="D2722" s="1"/>
      <c r="E2722" s="1"/>
      <c r="F2722" s="1"/>
      <c r="G2722" s="1"/>
      <c r="H2722" s="1"/>
      <c r="I2722" s="1"/>
      <c r="J2722" s="1"/>
      <c r="K2722" s="1"/>
      <c r="L2722" s="1"/>
      <c r="M2722" s="1"/>
      <c r="N2722" s="1"/>
    </row>
    <row r="2723" ht="14.5" spans="2:14">
      <c r="B2723" s="1"/>
      <c r="C2723" s="1"/>
      <c r="D2723" s="1"/>
      <c r="E2723" s="1"/>
      <c r="F2723" s="1"/>
      <c r="G2723" s="1"/>
      <c r="H2723" s="1"/>
      <c r="I2723" s="1"/>
      <c r="J2723" s="1"/>
      <c r="K2723" s="1"/>
      <c r="L2723" s="1"/>
      <c r="M2723" s="1"/>
      <c r="N2723" s="1"/>
    </row>
    <row r="2724" ht="14.5" spans="2:14">
      <c r="B2724" s="1"/>
      <c r="C2724" s="1"/>
      <c r="D2724" s="1"/>
      <c r="E2724" s="1"/>
      <c r="F2724" s="1"/>
      <c r="G2724" s="1"/>
      <c r="H2724" s="1"/>
      <c r="I2724" s="1"/>
      <c r="J2724" s="1"/>
      <c r="K2724" s="1"/>
      <c r="L2724" s="1"/>
      <c r="M2724" s="1"/>
      <c r="N2724" s="1"/>
    </row>
    <row r="2725" ht="14.5" spans="2:14">
      <c r="B2725" s="1"/>
      <c r="C2725" s="1"/>
      <c r="D2725" s="1"/>
      <c r="E2725" s="1"/>
      <c r="F2725" s="1"/>
      <c r="G2725" s="1"/>
      <c r="H2725" s="1"/>
      <c r="I2725" s="1"/>
      <c r="J2725" s="1"/>
      <c r="K2725" s="1"/>
      <c r="L2725" s="1"/>
      <c r="M2725" s="1"/>
      <c r="N2725" s="1"/>
    </row>
    <row r="2726" ht="14.5" spans="2:14">
      <c r="B2726" s="1"/>
      <c r="C2726" s="1"/>
      <c r="D2726" s="1"/>
      <c r="E2726" s="1"/>
      <c r="F2726" s="1"/>
      <c r="G2726" s="1"/>
      <c r="H2726" s="1"/>
      <c r="I2726" s="1"/>
      <c r="J2726" s="1"/>
      <c r="K2726" s="1"/>
      <c r="L2726" s="1"/>
      <c r="M2726" s="1"/>
      <c r="N2726" s="1"/>
    </row>
    <row r="2727" ht="14.5" spans="2:14">
      <c r="B2727" s="1"/>
      <c r="C2727" s="1"/>
      <c r="D2727" s="1"/>
      <c r="E2727" s="1"/>
      <c r="F2727" s="1"/>
      <c r="G2727" s="1"/>
      <c r="H2727" s="1"/>
      <c r="I2727" s="1"/>
      <c r="J2727" s="1"/>
      <c r="K2727" s="1"/>
      <c r="L2727" s="1"/>
      <c r="M2727" s="1"/>
      <c r="N2727" s="1"/>
    </row>
    <row r="2728" ht="14.5" spans="2:14">
      <c r="B2728" s="1"/>
      <c r="C2728" s="1"/>
      <c r="D2728" s="1"/>
      <c r="E2728" s="1"/>
      <c r="F2728" s="1"/>
      <c r="G2728" s="1"/>
      <c r="H2728" s="1"/>
      <c r="I2728" s="1"/>
      <c r="J2728" s="1"/>
      <c r="K2728" s="1"/>
      <c r="L2728" s="1"/>
      <c r="M2728" s="1"/>
      <c r="N2728" s="1"/>
    </row>
    <row r="2729" ht="14.5" spans="2:14">
      <c r="B2729" s="1"/>
      <c r="C2729" s="1"/>
      <c r="D2729" s="1"/>
      <c r="E2729" s="1"/>
      <c r="F2729" s="1"/>
      <c r="G2729" s="1"/>
      <c r="H2729" s="1"/>
      <c r="I2729" s="1"/>
      <c r="J2729" s="1"/>
      <c r="K2729" s="1"/>
      <c r="L2729" s="1"/>
      <c r="M2729" s="1"/>
      <c r="N2729" s="1"/>
    </row>
    <row r="2730" ht="14.5" spans="2:14">
      <c r="B2730" s="1"/>
      <c r="C2730" s="1"/>
      <c r="D2730" s="1"/>
      <c r="E2730" s="1"/>
      <c r="F2730" s="1"/>
      <c r="G2730" s="1"/>
      <c r="H2730" s="1"/>
      <c r="I2730" s="1"/>
      <c r="J2730" s="1"/>
      <c r="K2730" s="1"/>
      <c r="L2730" s="1"/>
      <c r="M2730" s="1"/>
      <c r="N2730" s="1"/>
    </row>
    <row r="2731" ht="14.5" spans="2:14">
      <c r="B2731" s="1"/>
      <c r="C2731" s="1"/>
      <c r="D2731" s="1"/>
      <c r="E2731" s="1"/>
      <c r="F2731" s="1"/>
      <c r="G2731" s="1"/>
      <c r="H2731" s="1"/>
      <c r="I2731" s="1"/>
      <c r="J2731" s="1"/>
      <c r="K2731" s="1"/>
      <c r="L2731" s="1"/>
      <c r="M2731" s="1"/>
      <c r="N2731" s="1"/>
    </row>
    <row r="2732" ht="14.5" spans="2:14">
      <c r="B2732" s="1"/>
      <c r="C2732" s="1"/>
      <c r="D2732" s="1"/>
      <c r="E2732" s="1"/>
      <c r="F2732" s="1"/>
      <c r="G2732" s="1"/>
      <c r="H2732" s="1"/>
      <c r="I2732" s="1"/>
      <c r="J2732" s="1"/>
      <c r="K2732" s="1"/>
      <c r="L2732" s="1"/>
      <c r="M2732" s="1"/>
      <c r="N2732" s="1"/>
    </row>
    <row r="2733" ht="14.5" spans="2:14">
      <c r="B2733" s="1"/>
      <c r="C2733" s="1"/>
      <c r="D2733" s="1"/>
      <c r="E2733" s="1"/>
      <c r="F2733" s="1"/>
      <c r="G2733" s="1"/>
      <c r="H2733" s="1"/>
      <c r="I2733" s="1"/>
      <c r="J2733" s="1"/>
      <c r="K2733" s="1"/>
      <c r="L2733" s="1"/>
      <c r="M2733" s="1"/>
      <c r="N2733" s="1"/>
    </row>
    <row r="2734" ht="14.5" spans="2:14">
      <c r="B2734" s="1"/>
      <c r="C2734" s="1"/>
      <c r="D2734" s="1"/>
      <c r="E2734" s="1"/>
      <c r="F2734" s="1"/>
      <c r="G2734" s="1"/>
      <c r="H2734" s="1"/>
      <c r="I2734" s="1"/>
      <c r="J2734" s="1"/>
      <c r="K2734" s="1"/>
      <c r="L2734" s="1"/>
      <c r="M2734" s="1"/>
      <c r="N2734" s="1"/>
    </row>
    <row r="2735" ht="14.5" spans="2:14">
      <c r="B2735" s="1"/>
      <c r="C2735" s="1"/>
      <c r="D2735" s="1"/>
      <c r="E2735" s="1"/>
      <c r="F2735" s="1"/>
      <c r="G2735" s="1"/>
      <c r="H2735" s="1"/>
      <c r="I2735" s="1"/>
      <c r="J2735" s="1"/>
      <c r="K2735" s="1"/>
      <c r="L2735" s="1"/>
      <c r="M2735" s="1"/>
      <c r="N2735" s="1"/>
    </row>
    <row r="2736" ht="14.5" spans="2:14">
      <c r="B2736" s="1"/>
      <c r="C2736" s="1"/>
      <c r="D2736" s="1"/>
      <c r="E2736" s="1"/>
      <c r="F2736" s="1"/>
      <c r="G2736" s="1"/>
      <c r="H2736" s="1"/>
      <c r="I2736" s="1"/>
      <c r="J2736" s="1"/>
      <c r="K2736" s="1"/>
      <c r="L2736" s="1"/>
      <c r="M2736" s="1"/>
      <c r="N2736" s="1"/>
    </row>
    <row r="2737" ht="14.5" spans="2:14">
      <c r="B2737" s="1"/>
      <c r="C2737" s="1"/>
      <c r="D2737" s="1"/>
      <c r="E2737" s="1"/>
      <c r="F2737" s="1"/>
      <c r="G2737" s="1"/>
      <c r="H2737" s="1"/>
      <c r="I2737" s="1"/>
      <c r="J2737" s="1"/>
      <c r="K2737" s="1"/>
      <c r="L2737" s="1"/>
      <c r="M2737" s="1"/>
      <c r="N2737" s="1"/>
    </row>
    <row r="2738" ht="14.5" spans="2:14">
      <c r="B2738" s="1"/>
      <c r="C2738" s="1"/>
      <c r="D2738" s="1"/>
      <c r="E2738" s="1"/>
      <c r="F2738" s="1"/>
      <c r="G2738" s="1"/>
      <c r="H2738" s="1"/>
      <c r="I2738" s="1"/>
      <c r="J2738" s="1"/>
      <c r="K2738" s="1"/>
      <c r="L2738" s="1"/>
      <c r="M2738" s="1"/>
      <c r="N2738" s="1"/>
    </row>
    <row r="2739" ht="14.5" spans="2:14">
      <c r="B2739" s="1"/>
      <c r="C2739" s="1"/>
      <c r="D2739" s="1"/>
      <c r="E2739" s="1"/>
      <c r="F2739" s="1"/>
      <c r="G2739" s="1"/>
      <c r="H2739" s="1"/>
      <c r="I2739" s="1"/>
      <c r="J2739" s="1"/>
      <c r="K2739" s="1"/>
      <c r="L2739" s="1"/>
      <c r="M2739" s="1"/>
      <c r="N2739" s="1"/>
    </row>
    <row r="2740" ht="14.5" spans="2:14">
      <c r="B2740" s="1"/>
      <c r="C2740" s="1"/>
      <c r="D2740" s="1"/>
      <c r="E2740" s="1"/>
      <c r="F2740" s="1"/>
      <c r="G2740" s="1"/>
      <c r="H2740" s="1"/>
      <c r="I2740" s="1"/>
      <c r="J2740" s="1"/>
      <c r="K2740" s="1"/>
      <c r="L2740" s="1"/>
      <c r="M2740" s="1"/>
      <c r="N2740" s="1"/>
    </row>
    <row r="2741" ht="14.5" spans="2:14">
      <c r="B2741" s="1"/>
      <c r="C2741" s="1"/>
      <c r="D2741" s="1"/>
      <c r="E2741" s="1"/>
      <c r="F2741" s="1"/>
      <c r="G2741" s="1"/>
      <c r="H2741" s="1"/>
      <c r="I2741" s="1"/>
      <c r="J2741" s="1"/>
      <c r="K2741" s="1"/>
      <c r="L2741" s="1"/>
      <c r="M2741" s="1"/>
      <c r="N2741" s="1"/>
    </row>
    <row r="2742" ht="14.5" spans="2:14">
      <c r="B2742" s="1"/>
      <c r="C2742" s="1"/>
      <c r="D2742" s="1"/>
      <c r="E2742" s="1"/>
      <c r="F2742" s="1"/>
      <c r="G2742" s="1"/>
      <c r="H2742" s="1"/>
      <c r="I2742" s="1"/>
      <c r="J2742" s="1"/>
      <c r="K2742" s="1"/>
      <c r="L2742" s="1"/>
      <c r="M2742" s="1"/>
      <c r="N2742" s="1"/>
    </row>
    <row r="2743" ht="14.5" spans="2:14">
      <c r="B2743" s="1"/>
      <c r="C2743" s="1"/>
      <c r="D2743" s="1"/>
      <c r="E2743" s="1"/>
      <c r="F2743" s="1"/>
      <c r="G2743" s="1"/>
      <c r="H2743" s="1"/>
      <c r="I2743" s="1"/>
      <c r="J2743" s="1"/>
      <c r="K2743" s="1"/>
      <c r="L2743" s="1"/>
      <c r="M2743" s="1"/>
      <c r="N2743" s="1"/>
    </row>
    <row r="2744" ht="14.5" spans="2:14">
      <c r="B2744" s="1"/>
      <c r="C2744" s="1"/>
      <c r="D2744" s="1"/>
      <c r="E2744" s="1"/>
      <c r="F2744" s="1"/>
      <c r="G2744" s="1"/>
      <c r="H2744" s="1"/>
      <c r="I2744" s="1"/>
      <c r="J2744" s="1"/>
      <c r="K2744" s="1"/>
      <c r="L2744" s="1"/>
      <c r="M2744" s="1"/>
      <c r="N2744" s="1"/>
    </row>
    <row r="2745" ht="14.5" spans="2:14">
      <c r="B2745" s="1"/>
      <c r="C2745" s="1"/>
      <c r="D2745" s="1"/>
      <c r="E2745" s="1"/>
      <c r="F2745" s="1"/>
      <c r="G2745" s="1"/>
      <c r="H2745" s="1"/>
      <c r="I2745" s="1"/>
      <c r="J2745" s="1"/>
      <c r="K2745" s="1"/>
      <c r="L2745" s="1"/>
      <c r="M2745" s="1"/>
      <c r="N2745" s="1"/>
    </row>
    <row r="2746" ht="14.5" spans="2:14">
      <c r="B2746" s="1"/>
      <c r="C2746" s="1"/>
      <c r="D2746" s="1"/>
      <c r="E2746" s="1"/>
      <c r="F2746" s="1"/>
      <c r="G2746" s="1"/>
      <c r="H2746" s="1"/>
      <c r="I2746" s="1"/>
      <c r="J2746" s="1"/>
      <c r="K2746" s="1"/>
      <c r="L2746" s="1"/>
      <c r="M2746" s="1"/>
      <c r="N2746" s="1"/>
    </row>
    <row r="2747" ht="14.5" spans="2:14">
      <c r="B2747" s="1"/>
      <c r="C2747" s="1"/>
      <c r="D2747" s="1"/>
      <c r="E2747" s="1"/>
      <c r="F2747" s="1"/>
      <c r="G2747" s="1"/>
      <c r="H2747" s="1"/>
      <c r="I2747" s="1"/>
      <c r="J2747" s="1"/>
      <c r="K2747" s="1"/>
      <c r="L2747" s="1"/>
      <c r="M2747" s="1"/>
      <c r="N2747" s="1"/>
    </row>
    <row r="2748" ht="14.5" spans="2:14">
      <c r="B2748" s="1"/>
      <c r="C2748" s="1"/>
      <c r="D2748" s="1"/>
      <c r="E2748" s="1"/>
      <c r="F2748" s="1"/>
      <c r="G2748" s="1"/>
      <c r="H2748" s="1"/>
      <c r="I2748" s="1"/>
      <c r="J2748" s="1"/>
      <c r="K2748" s="1"/>
      <c r="L2748" s="1"/>
      <c r="M2748" s="1"/>
      <c r="N2748" s="1"/>
    </row>
    <row r="2749" ht="14.5" spans="2:14">
      <c r="B2749" s="1"/>
      <c r="C2749" s="1"/>
      <c r="D2749" s="1"/>
      <c r="E2749" s="1"/>
      <c r="F2749" s="1"/>
      <c r="G2749" s="1"/>
      <c r="H2749" s="1"/>
      <c r="I2749" s="1"/>
      <c r="J2749" s="1"/>
      <c r="K2749" s="1"/>
      <c r="L2749" s="1"/>
      <c r="M2749" s="1"/>
      <c r="N2749" s="1"/>
    </row>
    <row r="2750" ht="14.5" spans="2:14">
      <c r="B2750" s="1"/>
      <c r="C2750" s="1"/>
      <c r="D2750" s="1"/>
      <c r="E2750" s="1"/>
      <c r="F2750" s="1"/>
      <c r="G2750" s="1"/>
      <c r="H2750" s="1"/>
      <c r="I2750" s="1"/>
      <c r="J2750" s="1"/>
      <c r="K2750" s="1"/>
      <c r="L2750" s="1"/>
      <c r="M2750" s="1"/>
      <c r="N2750" s="1"/>
    </row>
    <row r="2751" ht="14.5" spans="2:14">
      <c r="B2751" s="1"/>
      <c r="C2751" s="1"/>
      <c r="D2751" s="1"/>
      <c r="E2751" s="1"/>
      <c r="F2751" s="1"/>
      <c r="G2751" s="1"/>
      <c r="H2751" s="1"/>
      <c r="I2751" s="1"/>
      <c r="J2751" s="1"/>
      <c r="K2751" s="1"/>
      <c r="L2751" s="1"/>
      <c r="M2751" s="1"/>
      <c r="N2751" s="1"/>
    </row>
    <row r="2752" ht="14.5" spans="2:14">
      <c r="B2752" s="1"/>
      <c r="C2752" s="1"/>
      <c r="D2752" s="1"/>
      <c r="E2752" s="1"/>
      <c r="F2752" s="1"/>
      <c r="G2752" s="1"/>
      <c r="H2752" s="1"/>
      <c r="I2752" s="1"/>
      <c r="J2752" s="1"/>
      <c r="K2752" s="1"/>
      <c r="L2752" s="1"/>
      <c r="M2752" s="1"/>
      <c r="N2752" s="1"/>
    </row>
    <row r="2753" ht="14.5" spans="2:14">
      <c r="B2753" s="1"/>
      <c r="C2753" s="1"/>
      <c r="D2753" s="1"/>
      <c r="E2753" s="1"/>
      <c r="F2753" s="1"/>
      <c r="G2753" s="1"/>
      <c r="H2753" s="1"/>
      <c r="I2753" s="1"/>
      <c r="J2753" s="1"/>
      <c r="K2753" s="1"/>
      <c r="L2753" s="1"/>
      <c r="M2753" s="1"/>
      <c r="N2753" s="1"/>
    </row>
    <row r="2754" ht="14.5" spans="2:14">
      <c r="B2754" s="1"/>
      <c r="C2754" s="1"/>
      <c r="D2754" s="1"/>
      <c r="E2754" s="1"/>
      <c r="F2754" s="1"/>
      <c r="G2754" s="1"/>
      <c r="H2754" s="1"/>
      <c r="I2754" s="1"/>
      <c r="J2754" s="1"/>
      <c r="K2754" s="1"/>
      <c r="L2754" s="1"/>
      <c r="M2754" s="1"/>
      <c r="N2754" s="1"/>
    </row>
    <row r="2755" ht="14.5" spans="2:14">
      <c r="B2755" s="1"/>
      <c r="C2755" s="1"/>
      <c r="D2755" s="1"/>
      <c r="E2755" s="1"/>
      <c r="F2755" s="1"/>
      <c r="G2755" s="1"/>
      <c r="H2755" s="1"/>
      <c r="I2755" s="1"/>
      <c r="J2755" s="1"/>
      <c r="K2755" s="1"/>
      <c r="L2755" s="1"/>
      <c r="M2755" s="1"/>
      <c r="N2755" s="1"/>
    </row>
    <row r="2756" ht="14.5" spans="2:14">
      <c r="B2756" s="1"/>
      <c r="C2756" s="1"/>
      <c r="D2756" s="1"/>
      <c r="E2756" s="1"/>
      <c r="F2756" s="1"/>
      <c r="G2756" s="1"/>
      <c r="H2756" s="1"/>
      <c r="I2756" s="1"/>
      <c r="J2756" s="1"/>
      <c r="K2756" s="1"/>
      <c r="L2756" s="1"/>
      <c r="M2756" s="1"/>
      <c r="N2756" s="1"/>
    </row>
    <row r="2757" ht="14.5" spans="2:14">
      <c r="B2757" s="1"/>
      <c r="C2757" s="1"/>
      <c r="D2757" s="1"/>
      <c r="E2757" s="1"/>
      <c r="F2757" s="1"/>
      <c r="G2757" s="1"/>
      <c r="H2757" s="1"/>
      <c r="I2757" s="1"/>
      <c r="J2757" s="1"/>
      <c r="K2757" s="1"/>
      <c r="L2757" s="1"/>
      <c r="M2757" s="1"/>
      <c r="N2757" s="1"/>
    </row>
    <row r="2758" ht="14.5" spans="2:14">
      <c r="B2758" s="1"/>
      <c r="C2758" s="1"/>
      <c r="D2758" s="1"/>
      <c r="E2758" s="1"/>
      <c r="F2758" s="1"/>
      <c r="G2758" s="1"/>
      <c r="H2758" s="1"/>
      <c r="I2758" s="1"/>
      <c r="J2758" s="1"/>
      <c r="K2758" s="1"/>
      <c r="L2758" s="1"/>
      <c r="M2758" s="1"/>
      <c r="N2758" s="1"/>
    </row>
    <row r="2759" ht="14.5" spans="2:14">
      <c r="B2759" s="1"/>
      <c r="C2759" s="1"/>
      <c r="D2759" s="1"/>
      <c r="E2759" s="1"/>
      <c r="F2759" s="1"/>
      <c r="G2759" s="1"/>
      <c r="H2759" s="1"/>
      <c r="I2759" s="1"/>
      <c r="J2759" s="1"/>
      <c r="K2759" s="1"/>
      <c r="L2759" s="1"/>
      <c r="M2759" s="1"/>
      <c r="N2759" s="1"/>
    </row>
    <row r="2760" ht="14.5" spans="2:14">
      <c r="B2760" s="1"/>
      <c r="C2760" s="1"/>
      <c r="D2760" s="1"/>
      <c r="E2760" s="1"/>
      <c r="F2760" s="1"/>
      <c r="G2760" s="1"/>
      <c r="H2760" s="1"/>
      <c r="I2760" s="1"/>
      <c r="J2760" s="1"/>
      <c r="K2760" s="1"/>
      <c r="L2760" s="1"/>
      <c r="M2760" s="1"/>
      <c r="N2760" s="1"/>
    </row>
    <row r="2761" ht="14.5" spans="2:14">
      <c r="B2761" s="1"/>
      <c r="C2761" s="1"/>
      <c r="D2761" s="1"/>
      <c r="E2761" s="1"/>
      <c r="F2761" s="1"/>
      <c r="G2761" s="1"/>
      <c r="H2761" s="1"/>
      <c r="I2761" s="1"/>
      <c r="J2761" s="1"/>
      <c r="K2761" s="1"/>
      <c r="L2761" s="1"/>
      <c r="M2761" s="1"/>
      <c r="N2761" s="1"/>
    </row>
    <row r="2762" ht="14.5" spans="2:14">
      <c r="B2762" s="1"/>
      <c r="C2762" s="1"/>
      <c r="D2762" s="1"/>
      <c r="E2762" s="1"/>
      <c r="F2762" s="1"/>
      <c r="G2762" s="1"/>
      <c r="H2762" s="1"/>
      <c r="I2762" s="1"/>
      <c r="J2762" s="1"/>
      <c r="K2762" s="1"/>
      <c r="L2762" s="1"/>
      <c r="M2762" s="1"/>
      <c r="N2762" s="1"/>
    </row>
    <row r="2763" ht="14.5" spans="2:14">
      <c r="B2763" s="1"/>
      <c r="C2763" s="1"/>
      <c r="D2763" s="1"/>
      <c r="E2763" s="1"/>
      <c r="F2763" s="1"/>
      <c r="G2763" s="1"/>
      <c r="H2763" s="1"/>
      <c r="I2763" s="1"/>
      <c r="J2763" s="1"/>
      <c r="K2763" s="1"/>
      <c r="L2763" s="1"/>
      <c r="M2763" s="1"/>
      <c r="N2763" s="1"/>
    </row>
    <row r="2764" ht="14.5" spans="2:14">
      <c r="B2764" s="1"/>
      <c r="C2764" s="1"/>
      <c r="D2764" s="1"/>
      <c r="E2764" s="1"/>
      <c r="F2764" s="1"/>
      <c r="G2764" s="1"/>
      <c r="H2764" s="1"/>
      <c r="I2764" s="1"/>
      <c r="J2764" s="1"/>
      <c r="K2764" s="1"/>
      <c r="L2764" s="1"/>
      <c r="M2764" s="1"/>
      <c r="N2764" s="1"/>
    </row>
    <row r="2765" ht="14.5" spans="2:14">
      <c r="B2765" s="1"/>
      <c r="C2765" s="1"/>
      <c r="D2765" s="1"/>
      <c r="E2765" s="1"/>
      <c r="F2765" s="1"/>
      <c r="G2765" s="1"/>
      <c r="H2765" s="1"/>
      <c r="I2765" s="1"/>
      <c r="J2765" s="1"/>
      <c r="K2765" s="1"/>
      <c r="L2765" s="1"/>
      <c r="M2765" s="1"/>
      <c r="N2765" s="1"/>
    </row>
    <row r="2766" ht="14.5" spans="2:14">
      <c r="B2766" s="1"/>
      <c r="C2766" s="1"/>
      <c r="D2766" s="1"/>
      <c r="E2766" s="1"/>
      <c r="F2766" s="1"/>
      <c r="G2766" s="1"/>
      <c r="H2766" s="1"/>
      <c r="I2766" s="1"/>
      <c r="J2766" s="1"/>
      <c r="K2766" s="1"/>
      <c r="L2766" s="1"/>
      <c r="M2766" s="1"/>
      <c r="N2766" s="1"/>
    </row>
    <row r="2767" ht="14.5" spans="2:14">
      <c r="B2767" s="1"/>
      <c r="C2767" s="1"/>
      <c r="D2767" s="1"/>
      <c r="E2767" s="1"/>
      <c r="F2767" s="1"/>
      <c r="G2767" s="1"/>
      <c r="H2767" s="1"/>
      <c r="I2767" s="1"/>
      <c r="J2767" s="1"/>
      <c r="K2767" s="1"/>
      <c r="L2767" s="1"/>
      <c r="M2767" s="1"/>
      <c r="N2767" s="1"/>
    </row>
    <row r="2768" ht="14.5" spans="2:14">
      <c r="B2768" s="1"/>
      <c r="C2768" s="1"/>
      <c r="D2768" s="1"/>
      <c r="E2768" s="1"/>
      <c r="F2768" s="1"/>
      <c r="G2768" s="1"/>
      <c r="H2768" s="1"/>
      <c r="I2768" s="1"/>
      <c r="J2768" s="1"/>
      <c r="K2768" s="1"/>
      <c r="L2768" s="1"/>
      <c r="M2768" s="1"/>
      <c r="N2768" s="1"/>
    </row>
    <row r="2769" ht="14.5" spans="2:14">
      <c r="B2769" s="1"/>
      <c r="C2769" s="1"/>
      <c r="D2769" s="1"/>
      <c r="E2769" s="1"/>
      <c r="F2769" s="1"/>
      <c r="G2769" s="1"/>
      <c r="H2769" s="1"/>
      <c r="I2769" s="1"/>
      <c r="J2769" s="1"/>
      <c r="K2769" s="1"/>
      <c r="L2769" s="1"/>
      <c r="M2769" s="1"/>
      <c r="N2769" s="1"/>
    </row>
    <row r="2770" ht="14.5" spans="2:14">
      <c r="B2770" s="1"/>
      <c r="C2770" s="1"/>
      <c r="D2770" s="1"/>
      <c r="E2770" s="1"/>
      <c r="F2770" s="1"/>
      <c r="G2770" s="1"/>
      <c r="H2770" s="1"/>
      <c r="I2770" s="1"/>
      <c r="J2770" s="1"/>
      <c r="K2770" s="1"/>
      <c r="L2770" s="1"/>
      <c r="M2770" s="1"/>
      <c r="N2770" s="1"/>
    </row>
    <row r="2771" ht="14.5" spans="2:14">
      <c r="B2771" s="1"/>
      <c r="C2771" s="1"/>
      <c r="D2771" s="1"/>
      <c r="E2771" s="1"/>
      <c r="F2771" s="1"/>
      <c r="G2771" s="1"/>
      <c r="H2771" s="1"/>
      <c r="I2771" s="1"/>
      <c r="J2771" s="1"/>
      <c r="K2771" s="1"/>
      <c r="L2771" s="1"/>
      <c r="M2771" s="1"/>
      <c r="N2771" s="1"/>
    </row>
    <row r="2772" ht="14.5" spans="2:14">
      <c r="B2772" s="1"/>
      <c r="C2772" s="1"/>
      <c r="D2772" s="1"/>
      <c r="E2772" s="1"/>
      <c r="F2772" s="1"/>
      <c r="G2772" s="1"/>
      <c r="H2772" s="1"/>
      <c r="I2772" s="1"/>
      <c r="J2772" s="1"/>
      <c r="K2772" s="1"/>
      <c r="L2772" s="1"/>
      <c r="M2772" s="1"/>
      <c r="N2772" s="1"/>
    </row>
    <row r="2773" ht="14.5" spans="2:14">
      <c r="B2773" s="1"/>
      <c r="C2773" s="1"/>
      <c r="D2773" s="1"/>
      <c r="E2773" s="1"/>
      <c r="F2773" s="1"/>
      <c r="G2773" s="1"/>
      <c r="H2773" s="1"/>
      <c r="I2773" s="1"/>
      <c r="J2773" s="1"/>
      <c r="K2773" s="1"/>
      <c r="L2773" s="1"/>
      <c r="M2773" s="1"/>
      <c r="N2773" s="1"/>
    </row>
    <row r="2774" ht="14.5" spans="2:14">
      <c r="B2774" s="1"/>
      <c r="C2774" s="1"/>
      <c r="D2774" s="1"/>
      <c r="E2774" s="1"/>
      <c r="F2774" s="1"/>
      <c r="G2774" s="1"/>
      <c r="H2774" s="1"/>
      <c r="I2774" s="1"/>
      <c r="J2774" s="1"/>
      <c r="K2774" s="1"/>
      <c r="L2774" s="1"/>
      <c r="M2774" s="1"/>
      <c r="N2774" s="1"/>
    </row>
    <row r="2775" ht="14.5" spans="2:14">
      <c r="B2775" s="1"/>
      <c r="C2775" s="1"/>
      <c r="D2775" s="1"/>
      <c r="E2775" s="1"/>
      <c r="F2775" s="1"/>
      <c r="G2775" s="1"/>
      <c r="H2775" s="1"/>
      <c r="I2775" s="1"/>
      <c r="J2775" s="1"/>
      <c r="K2775" s="1"/>
      <c r="L2775" s="1"/>
      <c r="M2775" s="1"/>
      <c r="N2775" s="1"/>
    </row>
    <row r="2776" ht="14.5" spans="2:14">
      <c r="B2776" s="1"/>
      <c r="C2776" s="1"/>
      <c r="D2776" s="1"/>
      <c r="E2776" s="1"/>
      <c r="F2776" s="1"/>
      <c r="G2776" s="1"/>
      <c r="H2776" s="1"/>
      <c r="I2776" s="1"/>
      <c r="J2776" s="1"/>
      <c r="K2776" s="1"/>
      <c r="L2776" s="1"/>
      <c r="M2776" s="1"/>
      <c r="N2776" s="1"/>
    </row>
    <row r="2777" ht="14.5" spans="2:14">
      <c r="B2777" s="1"/>
      <c r="C2777" s="1"/>
      <c r="D2777" s="1"/>
      <c r="E2777" s="1"/>
      <c r="F2777" s="1"/>
      <c r="G2777" s="1"/>
      <c r="H2777" s="1"/>
      <c r="I2777" s="1"/>
      <c r="J2777" s="1"/>
      <c r="K2777" s="1"/>
      <c r="L2777" s="1"/>
      <c r="M2777" s="1"/>
      <c r="N2777" s="1"/>
    </row>
    <row r="2778" ht="14.5" spans="2:14">
      <c r="B2778" s="1"/>
      <c r="C2778" s="1"/>
      <c r="D2778" s="1"/>
      <c r="E2778" s="1"/>
      <c r="F2778" s="1"/>
      <c r="G2778" s="1"/>
      <c r="H2778" s="1"/>
      <c r="I2778" s="1"/>
      <c r="J2778" s="1"/>
      <c r="K2778" s="1"/>
      <c r="L2778" s="1"/>
      <c r="M2778" s="1"/>
      <c r="N2778" s="1"/>
    </row>
    <row r="2779" ht="14.5" spans="2:14">
      <c r="B2779" s="1"/>
      <c r="C2779" s="1"/>
      <c r="D2779" s="1"/>
      <c r="E2779" s="1"/>
      <c r="F2779" s="1"/>
      <c r="G2779" s="1"/>
      <c r="H2779" s="1"/>
      <c r="I2779" s="1"/>
      <c r="J2779" s="1"/>
      <c r="K2779" s="1"/>
      <c r="L2779" s="1"/>
      <c r="M2779" s="1"/>
      <c r="N2779" s="1"/>
    </row>
    <row r="2780" ht="14.5" spans="2:14">
      <c r="B2780" s="1"/>
      <c r="C2780" s="1"/>
      <c r="D2780" s="1"/>
      <c r="E2780" s="1"/>
      <c r="F2780" s="1"/>
      <c r="G2780" s="1"/>
      <c r="H2780" s="1"/>
      <c r="I2780" s="1"/>
      <c r="J2780" s="1"/>
      <c r="K2780" s="1"/>
      <c r="L2780" s="1"/>
      <c r="M2780" s="1"/>
      <c r="N2780" s="1"/>
    </row>
    <row r="2781" ht="14.5" spans="2:14">
      <c r="B2781" s="1"/>
      <c r="C2781" s="1"/>
      <c r="D2781" s="1"/>
      <c r="E2781" s="1"/>
      <c r="F2781" s="1"/>
      <c r="G2781" s="1"/>
      <c r="H2781" s="1"/>
      <c r="I2781" s="1"/>
      <c r="J2781" s="1"/>
      <c r="K2781" s="1"/>
      <c r="L2781" s="1"/>
      <c r="M2781" s="1"/>
      <c r="N2781" s="1"/>
    </row>
    <row r="2782" ht="14.5" spans="2:14">
      <c r="B2782" s="1"/>
      <c r="C2782" s="1"/>
      <c r="D2782" s="1"/>
      <c r="E2782" s="1"/>
      <c r="F2782" s="1"/>
      <c r="G2782" s="1"/>
      <c r="H2782" s="1"/>
      <c r="I2782" s="1"/>
      <c r="J2782" s="1"/>
      <c r="K2782" s="1"/>
      <c r="L2782" s="1"/>
      <c r="M2782" s="1"/>
      <c r="N2782" s="1"/>
    </row>
    <row r="2783" ht="14.5" spans="2:14">
      <c r="B2783" s="1"/>
      <c r="C2783" s="1"/>
      <c r="D2783" s="1"/>
      <c r="E2783" s="1"/>
      <c r="F2783" s="1"/>
      <c r="G2783" s="1"/>
      <c r="H2783" s="1"/>
      <c r="I2783" s="1"/>
      <c r="J2783" s="1"/>
      <c r="K2783" s="1"/>
      <c r="L2783" s="1"/>
      <c r="M2783" s="1"/>
      <c r="N2783" s="1"/>
    </row>
    <row r="2784" ht="14.5" spans="2:14">
      <c r="B2784" s="1"/>
      <c r="C2784" s="1"/>
      <c r="D2784" s="1"/>
      <c r="E2784" s="1"/>
      <c r="F2784" s="1"/>
      <c r="G2784" s="1"/>
      <c r="H2784" s="1"/>
      <c r="I2784" s="1"/>
      <c r="J2784" s="1"/>
      <c r="K2784" s="1"/>
      <c r="L2784" s="1"/>
      <c r="M2784" s="1"/>
      <c r="N2784" s="1"/>
    </row>
    <row r="2785" ht="14.5" spans="2:14">
      <c r="B2785" s="1"/>
      <c r="C2785" s="1"/>
      <c r="D2785" s="1"/>
      <c r="E2785" s="1"/>
      <c r="F2785" s="1"/>
      <c r="G2785" s="1"/>
      <c r="H2785" s="1"/>
      <c r="I2785" s="1"/>
      <c r="J2785" s="1"/>
      <c r="K2785" s="1"/>
      <c r="L2785" s="1"/>
      <c r="M2785" s="1"/>
      <c r="N2785" s="1"/>
    </row>
    <row r="2786" ht="14.5" spans="2:14">
      <c r="B2786" s="1"/>
      <c r="C2786" s="1"/>
      <c r="D2786" s="1"/>
      <c r="E2786" s="1"/>
      <c r="F2786" s="1"/>
      <c r="G2786" s="1"/>
      <c r="H2786" s="1"/>
      <c r="I2786" s="1"/>
      <c r="J2786" s="1"/>
      <c r="K2786" s="1"/>
      <c r="L2786" s="1"/>
      <c r="M2786" s="1"/>
      <c r="N2786" s="1"/>
    </row>
    <row r="2787" ht="14.5" spans="2:14">
      <c r="B2787" s="1"/>
      <c r="C2787" s="1"/>
      <c r="D2787" s="1"/>
      <c r="E2787" s="1"/>
      <c r="F2787" s="1"/>
      <c r="G2787" s="1"/>
      <c r="H2787" s="1"/>
      <c r="I2787" s="1"/>
      <c r="J2787" s="1"/>
      <c r="K2787" s="1"/>
      <c r="L2787" s="1"/>
      <c r="M2787" s="1"/>
      <c r="N2787" s="1"/>
    </row>
    <row r="2788" ht="14.5" spans="2:14">
      <c r="B2788" s="1"/>
      <c r="C2788" s="1"/>
      <c r="D2788" s="1"/>
      <c r="E2788" s="1"/>
      <c r="F2788" s="1"/>
      <c r="G2788" s="1"/>
      <c r="H2788" s="1"/>
      <c r="I2788" s="1"/>
      <c r="J2788" s="1"/>
      <c r="K2788" s="1"/>
      <c r="L2788" s="1"/>
      <c r="M2788" s="1"/>
      <c r="N2788" s="1"/>
    </row>
    <row r="2789" ht="14.5" spans="2:14">
      <c r="B2789" s="1"/>
      <c r="C2789" s="1"/>
      <c r="D2789" s="1"/>
      <c r="E2789" s="1"/>
      <c r="F2789" s="1"/>
      <c r="G2789" s="1"/>
      <c r="H2789" s="1"/>
      <c r="I2789" s="1"/>
      <c r="J2789" s="1"/>
      <c r="K2789" s="1"/>
      <c r="L2789" s="1"/>
      <c r="M2789" s="1"/>
      <c r="N2789" s="1"/>
    </row>
    <row r="2790" ht="14.5" spans="2:14">
      <c r="B2790" s="1"/>
      <c r="C2790" s="1"/>
      <c r="D2790" s="1"/>
      <c r="E2790" s="1"/>
      <c r="F2790" s="1"/>
      <c r="G2790" s="1"/>
      <c r="H2790" s="1"/>
      <c r="I2790" s="1"/>
      <c r="J2790" s="1"/>
      <c r="K2790" s="1"/>
      <c r="L2790" s="1"/>
      <c r="M2790" s="1"/>
      <c r="N2790" s="1"/>
    </row>
    <row r="2791" ht="14.5" spans="2:14">
      <c r="B2791" s="1"/>
      <c r="C2791" s="1"/>
      <c r="D2791" s="1"/>
      <c r="E2791" s="1"/>
      <c r="F2791" s="1"/>
      <c r="G2791" s="1"/>
      <c r="H2791" s="1"/>
      <c r="I2791" s="1"/>
      <c r="J2791" s="1"/>
      <c r="K2791" s="1"/>
      <c r="L2791" s="1"/>
      <c r="M2791" s="1"/>
      <c r="N2791" s="1"/>
    </row>
    <row r="2792" ht="14.5" spans="2:14">
      <c r="B2792" s="1"/>
      <c r="C2792" s="1"/>
      <c r="D2792" s="1"/>
      <c r="E2792" s="1"/>
      <c r="F2792" s="1"/>
      <c r="G2792" s="1"/>
      <c r="H2792" s="1"/>
      <c r="I2792" s="1"/>
      <c r="J2792" s="1"/>
      <c r="K2792" s="1"/>
      <c r="L2792" s="1"/>
      <c r="M2792" s="1"/>
      <c r="N2792" s="1"/>
    </row>
    <row r="2793" ht="14.5" spans="2:14">
      <c r="B2793" s="1"/>
      <c r="C2793" s="1"/>
      <c r="D2793" s="1"/>
      <c r="E2793" s="1"/>
      <c r="F2793" s="1"/>
      <c r="G2793" s="1"/>
      <c r="H2793" s="1"/>
      <c r="I2793" s="1"/>
      <c r="J2793" s="1"/>
      <c r="K2793" s="1"/>
      <c r="L2793" s="1"/>
      <c r="M2793" s="1"/>
      <c r="N2793" s="1"/>
    </row>
    <row r="2794" ht="14.5" spans="2:14">
      <c r="B2794" s="1"/>
      <c r="C2794" s="1"/>
      <c r="D2794" s="1"/>
      <c r="E2794" s="1"/>
      <c r="F2794" s="1"/>
      <c r="G2794" s="1"/>
      <c r="H2794" s="1"/>
      <c r="I2794" s="1"/>
      <c r="J2794" s="1"/>
      <c r="K2794" s="1"/>
      <c r="L2794" s="1"/>
      <c r="M2794" s="1"/>
      <c r="N2794" s="1"/>
    </row>
    <row r="2795" ht="14.5" spans="2:14">
      <c r="B2795" s="1"/>
      <c r="C2795" s="1"/>
      <c r="D2795" s="1"/>
      <c r="E2795" s="1"/>
      <c r="F2795" s="1"/>
      <c r="G2795" s="1"/>
      <c r="H2795" s="1"/>
      <c r="I2795" s="1"/>
      <c r="J2795" s="1"/>
      <c r="K2795" s="1"/>
      <c r="L2795" s="1"/>
      <c r="M2795" s="1"/>
      <c r="N2795" s="1"/>
    </row>
    <row r="2796" ht="14.5" spans="2:14">
      <c r="B2796" s="1"/>
      <c r="C2796" s="1"/>
      <c r="D2796" s="1"/>
      <c r="E2796" s="1"/>
      <c r="F2796" s="1"/>
      <c r="G2796" s="1"/>
      <c r="H2796" s="1"/>
      <c r="I2796" s="1"/>
      <c r="J2796" s="1"/>
      <c r="K2796" s="1"/>
      <c r="L2796" s="1"/>
      <c r="M2796" s="1"/>
      <c r="N2796" s="1"/>
    </row>
    <row r="2797" ht="14.5" spans="2:14">
      <c r="B2797" s="1"/>
      <c r="C2797" s="1"/>
      <c r="D2797" s="1"/>
      <c r="E2797" s="1"/>
      <c r="F2797" s="1"/>
      <c r="G2797" s="1"/>
      <c r="H2797" s="1"/>
      <c r="I2797" s="1"/>
      <c r="J2797" s="1"/>
      <c r="K2797" s="1"/>
      <c r="L2797" s="1"/>
      <c r="M2797" s="1"/>
      <c r="N2797" s="1"/>
    </row>
    <row r="2798" ht="14.5" spans="2:14">
      <c r="B2798" s="1"/>
      <c r="C2798" s="1"/>
      <c r="D2798" s="1"/>
      <c r="E2798" s="1"/>
      <c r="F2798" s="1"/>
      <c r="G2798" s="1"/>
      <c r="H2798" s="1"/>
      <c r="I2798" s="1"/>
      <c r="J2798" s="1"/>
      <c r="K2798" s="1"/>
      <c r="L2798" s="1"/>
      <c r="M2798" s="1"/>
      <c r="N2798" s="1"/>
    </row>
    <row r="2799" ht="14.5" spans="2:14">
      <c r="B2799" s="1"/>
      <c r="C2799" s="1"/>
      <c r="D2799" s="1"/>
      <c r="E2799" s="1"/>
      <c r="F2799" s="1"/>
      <c r="G2799" s="1"/>
      <c r="H2799" s="1"/>
      <c r="I2799" s="1"/>
      <c r="J2799" s="1"/>
      <c r="K2799" s="1"/>
      <c r="L2799" s="1"/>
      <c r="M2799" s="1"/>
      <c r="N2799" s="1"/>
    </row>
    <row r="2800" ht="14.5" spans="2:14">
      <c r="B2800" s="1"/>
      <c r="C2800" s="1"/>
      <c r="D2800" s="1"/>
      <c r="E2800" s="1"/>
      <c r="F2800" s="1"/>
      <c r="G2800" s="1"/>
      <c r="H2800" s="1"/>
      <c r="I2800" s="1"/>
      <c r="J2800" s="1"/>
      <c r="K2800" s="1"/>
      <c r="L2800" s="1"/>
      <c r="M2800" s="1"/>
      <c r="N2800" s="1"/>
    </row>
    <row r="2801" ht="14.5" spans="2:14">
      <c r="B2801" s="1"/>
      <c r="C2801" s="1"/>
      <c r="D2801" s="1"/>
      <c r="E2801" s="1"/>
      <c r="F2801" s="1"/>
      <c r="G2801" s="1"/>
      <c r="H2801" s="1"/>
      <c r="I2801" s="1"/>
      <c r="J2801" s="1"/>
      <c r="K2801" s="1"/>
      <c r="L2801" s="1"/>
      <c r="M2801" s="1"/>
      <c r="N2801" s="1"/>
    </row>
    <row r="2802" ht="14.5" spans="2:14">
      <c r="B2802" s="1"/>
      <c r="C2802" s="1"/>
      <c r="D2802" s="1"/>
      <c r="E2802" s="1"/>
      <c r="F2802" s="1"/>
      <c r="G2802" s="1"/>
      <c r="H2802" s="1"/>
      <c r="I2802" s="1"/>
      <c r="J2802" s="1"/>
      <c r="K2802" s="1"/>
      <c r="L2802" s="1"/>
      <c r="M2802" s="1"/>
      <c r="N2802" s="1"/>
    </row>
    <row r="2803" ht="14.5" spans="2:14">
      <c r="B2803" s="1"/>
      <c r="C2803" s="1"/>
      <c r="D2803" s="1"/>
      <c r="E2803" s="1"/>
      <c r="F2803" s="1"/>
      <c r="G2803" s="1"/>
      <c r="H2803" s="1"/>
      <c r="I2803" s="1"/>
      <c r="J2803" s="1"/>
      <c r="K2803" s="1"/>
      <c r="L2803" s="1"/>
      <c r="M2803" s="1"/>
      <c r="N2803" s="1"/>
    </row>
    <row r="2804" ht="14.5" spans="2:14">
      <c r="B2804" s="1"/>
      <c r="C2804" s="1"/>
      <c r="D2804" s="1"/>
      <c r="E2804" s="1"/>
      <c r="F2804" s="1"/>
      <c r="G2804" s="1"/>
      <c r="H2804" s="1"/>
      <c r="I2804" s="1"/>
      <c r="J2804" s="1"/>
      <c r="K2804" s="1"/>
      <c r="L2804" s="1"/>
      <c r="M2804" s="1"/>
      <c r="N2804" s="1"/>
    </row>
    <row r="2805" ht="14.5" spans="2:14">
      <c r="B2805" s="1"/>
      <c r="C2805" s="1"/>
      <c r="D2805" s="1"/>
      <c r="E2805" s="1"/>
      <c r="F2805" s="1"/>
      <c r="G2805" s="1"/>
      <c r="H2805" s="1"/>
      <c r="I2805" s="1"/>
      <c r="J2805" s="1"/>
      <c r="K2805" s="1"/>
      <c r="L2805" s="1"/>
      <c r="M2805" s="1"/>
      <c r="N2805" s="1"/>
    </row>
    <row r="2806" ht="14.5" spans="2:14">
      <c r="B2806" s="1"/>
      <c r="C2806" s="1"/>
      <c r="D2806" s="1"/>
      <c r="E2806" s="1"/>
      <c r="F2806" s="1"/>
      <c r="G2806" s="1"/>
      <c r="H2806" s="1"/>
      <c r="I2806" s="1"/>
      <c r="J2806" s="1"/>
      <c r="K2806" s="1"/>
      <c r="L2806" s="1"/>
      <c r="M2806" s="1"/>
      <c r="N2806" s="1"/>
    </row>
    <row r="2807" ht="14.5" spans="2:14">
      <c r="B2807" s="1"/>
      <c r="C2807" s="1"/>
      <c r="D2807" s="1"/>
      <c r="E2807" s="1"/>
      <c r="F2807" s="1"/>
      <c r="G2807" s="1"/>
      <c r="H2807" s="1"/>
      <c r="I2807" s="1"/>
      <c r="J2807" s="1"/>
      <c r="K2807" s="1"/>
      <c r="L2807" s="1"/>
      <c r="M2807" s="1"/>
      <c r="N2807" s="1"/>
    </row>
    <row r="2808" ht="14.5" spans="2:14">
      <c r="B2808" s="1"/>
      <c r="C2808" s="1"/>
      <c r="D2808" s="1"/>
      <c r="E2808" s="1"/>
      <c r="F2808" s="1"/>
      <c r="G2808" s="1"/>
      <c r="H2808" s="1"/>
      <c r="I2808" s="1"/>
      <c r="J2808" s="1"/>
      <c r="K2808" s="1"/>
      <c r="L2808" s="1"/>
      <c r="M2808" s="1"/>
      <c r="N2808" s="1"/>
    </row>
    <row r="2809" ht="14.5" spans="2:14">
      <c r="B2809" s="1"/>
      <c r="C2809" s="1"/>
      <c r="D2809" s="1"/>
      <c r="E2809" s="1"/>
      <c r="F2809" s="1"/>
      <c r="G2809" s="1"/>
      <c r="H2809" s="1"/>
      <c r="I2809" s="1"/>
      <c r="J2809" s="1"/>
      <c r="K2809" s="1"/>
      <c r="L2809" s="1"/>
      <c r="M2809" s="1"/>
      <c r="N2809" s="1"/>
    </row>
    <row r="2810" ht="14.5" spans="2:14">
      <c r="B2810" s="1"/>
      <c r="C2810" s="1"/>
      <c r="D2810" s="1"/>
      <c r="E2810" s="1"/>
      <c r="F2810" s="1"/>
      <c r="G2810" s="1"/>
      <c r="H2810" s="1"/>
      <c r="I2810" s="1"/>
      <c r="J2810" s="1"/>
      <c r="K2810" s="1"/>
      <c r="L2810" s="1"/>
      <c r="M2810" s="1"/>
      <c r="N2810" s="1"/>
    </row>
    <row r="2811" ht="14.5" spans="2:14">
      <c r="B2811" s="1"/>
      <c r="C2811" s="1"/>
      <c r="D2811" s="1"/>
      <c r="E2811" s="1"/>
      <c r="F2811" s="1"/>
      <c r="G2811" s="1"/>
      <c r="H2811" s="1"/>
      <c r="I2811" s="1"/>
      <c r="J2811" s="1"/>
      <c r="K2811" s="1"/>
      <c r="L2811" s="1"/>
      <c r="M2811" s="1"/>
      <c r="N2811" s="1"/>
    </row>
    <row r="2812" ht="14.5" spans="2:14">
      <c r="B2812" s="1"/>
      <c r="C2812" s="1"/>
      <c r="D2812" s="1"/>
      <c r="E2812" s="1"/>
      <c r="F2812" s="1"/>
      <c r="G2812" s="1"/>
      <c r="H2812" s="1"/>
      <c r="I2812" s="1"/>
      <c r="J2812" s="1"/>
      <c r="K2812" s="1"/>
      <c r="L2812" s="1"/>
      <c r="M2812" s="1"/>
      <c r="N2812" s="1"/>
    </row>
    <row r="2813" ht="14.5" spans="2:14">
      <c r="B2813" s="1"/>
      <c r="C2813" s="1"/>
      <c r="D2813" s="1"/>
      <c r="E2813" s="1"/>
      <c r="F2813" s="1"/>
      <c r="G2813" s="1"/>
      <c r="H2813" s="1"/>
      <c r="I2813" s="1"/>
      <c r="J2813" s="1"/>
      <c r="K2813" s="1"/>
      <c r="L2813" s="1"/>
      <c r="M2813" s="1"/>
      <c r="N2813" s="1"/>
    </row>
    <row r="2814" ht="14.5" spans="2:14">
      <c r="B2814" s="1"/>
      <c r="C2814" s="1"/>
      <c r="D2814" s="1"/>
      <c r="E2814" s="1"/>
      <c r="F2814" s="1"/>
      <c r="G2814" s="1"/>
      <c r="H2814" s="1"/>
      <c r="I2814" s="1"/>
      <c r="J2814" s="1"/>
      <c r="K2814" s="1"/>
      <c r="L2814" s="1"/>
      <c r="M2814" s="1"/>
      <c r="N2814" s="1"/>
    </row>
    <row r="2815" ht="14.5" spans="2:14">
      <c r="B2815" s="1"/>
      <c r="C2815" s="1"/>
      <c r="D2815" s="1"/>
      <c r="E2815" s="1"/>
      <c r="F2815" s="1"/>
      <c r="G2815" s="1"/>
      <c r="H2815" s="1"/>
      <c r="I2815" s="1"/>
      <c r="J2815" s="1"/>
      <c r="K2815" s="1"/>
      <c r="L2815" s="1"/>
      <c r="M2815" s="1"/>
      <c r="N2815" s="1"/>
    </row>
    <row r="2816" ht="14.5" spans="2:14">
      <c r="B2816" s="1"/>
      <c r="C2816" s="1"/>
      <c r="D2816" s="1"/>
      <c r="E2816" s="1"/>
      <c r="F2816" s="1"/>
      <c r="G2816" s="1"/>
      <c r="H2816" s="1"/>
      <c r="I2816" s="1"/>
      <c r="J2816" s="1"/>
      <c r="K2816" s="1"/>
      <c r="L2816" s="1"/>
      <c r="M2816" s="1"/>
      <c r="N2816" s="1"/>
    </row>
    <row r="2817" ht="14.5" spans="2:14">
      <c r="B2817" s="1"/>
      <c r="C2817" s="1"/>
      <c r="D2817" s="1"/>
      <c r="E2817" s="1"/>
      <c r="F2817" s="1"/>
      <c r="G2817" s="1"/>
      <c r="H2817" s="1"/>
      <c r="I2817" s="1"/>
      <c r="J2817" s="1"/>
      <c r="K2817" s="1"/>
      <c r="L2817" s="1"/>
      <c r="M2817" s="1"/>
      <c r="N2817" s="1"/>
    </row>
    <row r="2818" ht="14.5" spans="2:14">
      <c r="B2818" s="1"/>
      <c r="C2818" s="1"/>
      <c r="D2818" s="1"/>
      <c r="E2818" s="1"/>
      <c r="F2818" s="1"/>
      <c r="G2818" s="1"/>
      <c r="H2818" s="1"/>
      <c r="I2818" s="1"/>
      <c r="J2818" s="1"/>
      <c r="K2818" s="1"/>
      <c r="L2818" s="1"/>
      <c r="M2818" s="1"/>
      <c r="N2818" s="1"/>
    </row>
    <row r="2819" ht="14.5" spans="2:14">
      <c r="B2819" s="1"/>
      <c r="C2819" s="1"/>
      <c r="D2819" s="1"/>
      <c r="E2819" s="1"/>
      <c r="F2819" s="1"/>
      <c r="G2819" s="1"/>
      <c r="H2819" s="1"/>
      <c r="I2819" s="1"/>
      <c r="J2819" s="1"/>
      <c r="K2819" s="1"/>
      <c r="L2819" s="1"/>
      <c r="M2819" s="1"/>
      <c r="N2819" s="1"/>
    </row>
    <row r="2820" ht="14.5" spans="2:14">
      <c r="B2820" s="1"/>
      <c r="C2820" s="1"/>
      <c r="D2820" s="1"/>
      <c r="E2820" s="1"/>
      <c r="F2820" s="1"/>
      <c r="G2820" s="1"/>
      <c r="H2820" s="1"/>
      <c r="I2820" s="1"/>
      <c r="J2820" s="1"/>
      <c r="K2820" s="1"/>
      <c r="L2820" s="1"/>
      <c r="M2820" s="1"/>
      <c r="N2820" s="1"/>
    </row>
    <row r="2821" ht="14.5" spans="2:14">
      <c r="B2821" s="1"/>
      <c r="C2821" s="1"/>
      <c r="D2821" s="1"/>
      <c r="E2821" s="1"/>
      <c r="F2821" s="1"/>
      <c r="G2821" s="1"/>
      <c r="H2821" s="1"/>
      <c r="I2821" s="1"/>
      <c r="J2821" s="1"/>
      <c r="K2821" s="1"/>
      <c r="L2821" s="1"/>
      <c r="M2821" s="1"/>
      <c r="N2821" s="1"/>
    </row>
    <row r="2822" ht="14.5" spans="2:14">
      <c r="B2822" s="1"/>
      <c r="C2822" s="1"/>
      <c r="D2822" s="1"/>
      <c r="E2822" s="1"/>
      <c r="F2822" s="1"/>
      <c r="G2822" s="1"/>
      <c r="H2822" s="1"/>
      <c r="I2822" s="1"/>
      <c r="J2822" s="1"/>
      <c r="K2822" s="1"/>
      <c r="L2822" s="1"/>
      <c r="M2822" s="1"/>
      <c r="N2822" s="1"/>
    </row>
    <row r="2823" ht="14.5" spans="2:14">
      <c r="B2823" s="1"/>
      <c r="C2823" s="1"/>
      <c r="D2823" s="1"/>
      <c r="E2823" s="1"/>
      <c r="F2823" s="1"/>
      <c r="G2823" s="1"/>
      <c r="H2823" s="1"/>
      <c r="I2823" s="1"/>
      <c r="J2823" s="1"/>
      <c r="K2823" s="1"/>
      <c r="L2823" s="1"/>
      <c r="M2823" s="1"/>
      <c r="N2823" s="1"/>
    </row>
    <row r="2824" ht="14.5" spans="2:14">
      <c r="B2824" s="1"/>
      <c r="C2824" s="1"/>
      <c r="D2824" s="1"/>
      <c r="E2824" s="1"/>
      <c r="F2824" s="1"/>
      <c r="G2824" s="1"/>
      <c r="H2824" s="1"/>
      <c r="I2824" s="1"/>
      <c r="J2824" s="1"/>
      <c r="K2824" s="1"/>
      <c r="L2824" s="1"/>
      <c r="M2824" s="1"/>
      <c r="N2824" s="1"/>
    </row>
    <row r="2825" ht="14.5" spans="2:14">
      <c r="B2825" s="1"/>
      <c r="C2825" s="1"/>
      <c r="D2825" s="1"/>
      <c r="E2825" s="1"/>
      <c r="F2825" s="1"/>
      <c r="G2825" s="1"/>
      <c r="H2825" s="1"/>
      <c r="I2825" s="1"/>
      <c r="J2825" s="1"/>
      <c r="K2825" s="1"/>
      <c r="L2825" s="1"/>
      <c r="M2825" s="1"/>
      <c r="N2825" s="1"/>
    </row>
    <row r="2826" ht="14.5" spans="2:14">
      <c r="B2826" s="1"/>
      <c r="C2826" s="1"/>
      <c r="D2826" s="1"/>
      <c r="E2826" s="1"/>
      <c r="F2826" s="1"/>
      <c r="G2826" s="1"/>
      <c r="H2826" s="1"/>
      <c r="I2826" s="1"/>
      <c r="J2826" s="1"/>
      <c r="K2826" s="1"/>
      <c r="L2826" s="1"/>
      <c r="M2826" s="1"/>
      <c r="N2826" s="1"/>
    </row>
    <row r="2827" ht="14.5" spans="2:14">
      <c r="B2827" s="1"/>
      <c r="C2827" s="1"/>
      <c r="D2827" s="1"/>
      <c r="E2827" s="1"/>
      <c r="F2827" s="1"/>
      <c r="G2827" s="1"/>
      <c r="H2827" s="1"/>
      <c r="I2827" s="1"/>
      <c r="J2827" s="1"/>
      <c r="K2827" s="1"/>
      <c r="L2827" s="1"/>
      <c r="M2827" s="1"/>
      <c r="N2827" s="1"/>
    </row>
    <row r="2828" ht="14.5" spans="2:14">
      <c r="B2828" s="1"/>
      <c r="C2828" s="1"/>
      <c r="D2828" s="1"/>
      <c r="E2828" s="1"/>
      <c r="F2828" s="1"/>
      <c r="G2828" s="1"/>
      <c r="H2828" s="1"/>
      <c r="I2828" s="1"/>
      <c r="J2828" s="1"/>
      <c r="K2828" s="1"/>
      <c r="L2828" s="1"/>
      <c r="M2828" s="1"/>
      <c r="N2828" s="1"/>
    </row>
    <row r="2829" ht="14.5" spans="2:14">
      <c r="B2829" s="1"/>
      <c r="C2829" s="1"/>
      <c r="D2829" s="1"/>
      <c r="E2829" s="1"/>
      <c r="F2829" s="1"/>
      <c r="G2829" s="1"/>
      <c r="H2829" s="1"/>
      <c r="I2829" s="1"/>
      <c r="J2829" s="1"/>
      <c r="K2829" s="1"/>
      <c r="L2829" s="1"/>
      <c r="M2829" s="1"/>
      <c r="N2829" s="1"/>
    </row>
    <row r="2830" ht="14.5" spans="2:14">
      <c r="B2830" s="1"/>
      <c r="C2830" s="1"/>
      <c r="D2830" s="1"/>
      <c r="E2830" s="1"/>
      <c r="F2830" s="1"/>
      <c r="G2830" s="1"/>
      <c r="H2830" s="1"/>
      <c r="I2830" s="1"/>
      <c r="J2830" s="1"/>
      <c r="K2830" s="1"/>
      <c r="L2830" s="1"/>
      <c r="M2830" s="1"/>
      <c r="N2830" s="1"/>
    </row>
    <row r="2831" ht="14.5" spans="2:14">
      <c r="B2831" s="1"/>
      <c r="C2831" s="1"/>
      <c r="D2831" s="1"/>
      <c r="E2831" s="1"/>
      <c r="F2831" s="1"/>
      <c r="G2831" s="1"/>
      <c r="H2831" s="1"/>
      <c r="I2831" s="1"/>
      <c r="J2831" s="1"/>
      <c r="K2831" s="1"/>
      <c r="L2831" s="1"/>
      <c r="M2831" s="1"/>
      <c r="N2831" s="1"/>
    </row>
    <row r="2832" ht="14.5" spans="2:14">
      <c r="B2832" s="1"/>
      <c r="C2832" s="1"/>
      <c r="D2832" s="1"/>
      <c r="E2832" s="1"/>
      <c r="F2832" s="1"/>
      <c r="G2832" s="1"/>
      <c r="H2832" s="1"/>
      <c r="I2832" s="1"/>
      <c r="J2832" s="1"/>
      <c r="K2832" s="1"/>
      <c r="L2832" s="1"/>
      <c r="M2832" s="1"/>
      <c r="N2832" s="1"/>
    </row>
    <row r="2833" ht="14.5" spans="2:14">
      <c r="B2833" s="1"/>
      <c r="C2833" s="1"/>
      <c r="D2833" s="1"/>
      <c r="E2833" s="1"/>
      <c r="F2833" s="1"/>
      <c r="G2833" s="1"/>
      <c r="H2833" s="1"/>
      <c r="I2833" s="1"/>
      <c r="J2833" s="1"/>
      <c r="K2833" s="1"/>
      <c r="L2833" s="1"/>
      <c r="M2833" s="1"/>
      <c r="N2833" s="1"/>
    </row>
    <row r="2834" ht="14.5" spans="2:14">
      <c r="B2834" s="1"/>
      <c r="C2834" s="1"/>
      <c r="D2834" s="1"/>
      <c r="E2834" s="1"/>
      <c r="F2834" s="1"/>
      <c r="G2834" s="1"/>
      <c r="H2834" s="1"/>
      <c r="I2834" s="1"/>
      <c r="J2834" s="1"/>
      <c r="K2834" s="1"/>
      <c r="L2834" s="1"/>
      <c r="M2834" s="1"/>
      <c r="N2834" s="1"/>
    </row>
    <row r="2835" ht="14.5" spans="2:14">
      <c r="B2835" s="1"/>
      <c r="C2835" s="1"/>
      <c r="D2835" s="1"/>
      <c r="E2835" s="1"/>
      <c r="F2835" s="1"/>
      <c r="G2835" s="1"/>
      <c r="H2835" s="1"/>
      <c r="I2835" s="1"/>
      <c r="J2835" s="1"/>
      <c r="K2835" s="1"/>
      <c r="L2835" s="1"/>
      <c r="M2835" s="1"/>
      <c r="N2835" s="1"/>
    </row>
    <row r="2836" ht="14.5" spans="2:14">
      <c r="B2836" s="1"/>
      <c r="C2836" s="1"/>
      <c r="D2836" s="1"/>
      <c r="E2836" s="1"/>
      <c r="F2836" s="1"/>
      <c r="G2836" s="1"/>
      <c r="H2836" s="1"/>
      <c r="I2836" s="1"/>
      <c r="J2836" s="1"/>
      <c r="K2836" s="1"/>
      <c r="L2836" s="1"/>
      <c r="M2836" s="1"/>
      <c r="N2836" s="1"/>
    </row>
    <row r="2837" ht="14.5" spans="2:14">
      <c r="B2837" s="1"/>
      <c r="C2837" s="1"/>
      <c r="D2837" s="1"/>
      <c r="E2837" s="1"/>
      <c r="F2837" s="1"/>
      <c r="G2837" s="1"/>
      <c r="H2837" s="1"/>
      <c r="I2837" s="1"/>
      <c r="J2837" s="1"/>
      <c r="K2837" s="1"/>
      <c r="L2837" s="1"/>
      <c r="M2837" s="1"/>
      <c r="N2837" s="1"/>
    </row>
    <row r="2838" ht="14.5" spans="2:14">
      <c r="B2838" s="1"/>
      <c r="C2838" s="1"/>
      <c r="D2838" s="1"/>
      <c r="E2838" s="1"/>
      <c r="F2838" s="1"/>
      <c r="G2838" s="1"/>
      <c r="H2838" s="1"/>
      <c r="I2838" s="1"/>
      <c r="J2838" s="1"/>
      <c r="K2838" s="1"/>
      <c r="L2838" s="1"/>
      <c r="M2838" s="1"/>
      <c r="N2838" s="1"/>
    </row>
    <row r="2839" ht="14.5" spans="2:14">
      <c r="B2839" s="1"/>
      <c r="C2839" s="1"/>
      <c r="D2839" s="1"/>
      <c r="E2839" s="1"/>
      <c r="F2839" s="1"/>
      <c r="G2839" s="1"/>
      <c r="H2839" s="1"/>
      <c r="I2839" s="1"/>
      <c r="J2839" s="1"/>
      <c r="K2839" s="1"/>
      <c r="L2839" s="1"/>
      <c r="M2839" s="1"/>
      <c r="N2839" s="1"/>
    </row>
    <row r="2840" ht="14.5" spans="2:14">
      <c r="B2840" s="1"/>
      <c r="C2840" s="1"/>
      <c r="D2840" s="1"/>
      <c r="E2840" s="1"/>
      <c r="F2840" s="1"/>
      <c r="G2840" s="1"/>
      <c r="H2840" s="1"/>
      <c r="I2840" s="1"/>
      <c r="J2840" s="1"/>
      <c r="K2840" s="1"/>
      <c r="L2840" s="1"/>
      <c r="M2840" s="1"/>
      <c r="N2840" s="1"/>
    </row>
    <row r="2841" ht="14.5" spans="2:14">
      <c r="B2841" s="1"/>
      <c r="C2841" s="1"/>
      <c r="D2841" s="1"/>
      <c r="E2841" s="1"/>
      <c r="F2841" s="1"/>
      <c r="G2841" s="1"/>
      <c r="H2841" s="1"/>
      <c r="I2841" s="1"/>
      <c r="J2841" s="1"/>
      <c r="K2841" s="1"/>
      <c r="L2841" s="1"/>
      <c r="M2841" s="1"/>
      <c r="N2841" s="1"/>
    </row>
    <row r="2842" ht="14.5" spans="2:14">
      <c r="B2842" s="1"/>
      <c r="C2842" s="1"/>
      <c r="D2842" s="1"/>
      <c r="E2842" s="1"/>
      <c r="F2842" s="1"/>
      <c r="G2842" s="1"/>
      <c r="H2842" s="1"/>
      <c r="I2842" s="1"/>
      <c r="J2842" s="1"/>
      <c r="K2842" s="1"/>
      <c r="L2842" s="1"/>
      <c r="M2842" s="1"/>
      <c r="N2842" s="1"/>
    </row>
    <row r="2843" ht="14.5" spans="2:14">
      <c r="B2843" s="1"/>
      <c r="C2843" s="1"/>
      <c r="D2843" s="1"/>
      <c r="E2843" s="1"/>
      <c r="F2843" s="1"/>
      <c r="G2843" s="1"/>
      <c r="H2843" s="1"/>
      <c r="I2843" s="1"/>
      <c r="J2843" s="1"/>
      <c r="K2843" s="1"/>
      <c r="L2843" s="1"/>
      <c r="M2843" s="1"/>
      <c r="N2843" s="1"/>
    </row>
    <row r="2844" ht="14.5" spans="2:14">
      <c r="B2844" s="1"/>
      <c r="C2844" s="1"/>
      <c r="D2844" s="1"/>
      <c r="E2844" s="1"/>
      <c r="F2844" s="1"/>
      <c r="G2844" s="1"/>
      <c r="H2844" s="1"/>
      <c r="I2844" s="1"/>
      <c r="J2844" s="1"/>
      <c r="K2844" s="1"/>
      <c r="L2844" s="1"/>
      <c r="M2844" s="1"/>
      <c r="N2844" s="1"/>
    </row>
    <row r="2845" ht="14.5" spans="2:14">
      <c r="B2845" s="1"/>
      <c r="C2845" s="1"/>
      <c r="D2845" s="1"/>
      <c r="E2845" s="1"/>
      <c r="F2845" s="1"/>
      <c r="G2845" s="1"/>
      <c r="H2845" s="1"/>
      <c r="I2845" s="1"/>
      <c r="J2845" s="1"/>
      <c r="K2845" s="1"/>
      <c r="L2845" s="1"/>
      <c r="M2845" s="1"/>
      <c r="N2845" s="1"/>
    </row>
    <row r="2846" ht="14.5" spans="2:14">
      <c r="B2846" s="1"/>
      <c r="C2846" s="1"/>
      <c r="D2846" s="1"/>
      <c r="E2846" s="1"/>
      <c r="F2846" s="1"/>
      <c r="G2846" s="1"/>
      <c r="H2846" s="1"/>
      <c r="I2846" s="1"/>
      <c r="J2846" s="1"/>
      <c r="K2846" s="1"/>
      <c r="L2846" s="1"/>
      <c r="M2846" s="1"/>
      <c r="N2846" s="1"/>
    </row>
    <row r="2847" ht="14.5" spans="2:14">
      <c r="B2847" s="1"/>
      <c r="C2847" s="1"/>
      <c r="D2847" s="1"/>
      <c r="E2847" s="1"/>
      <c r="F2847" s="1"/>
      <c r="G2847" s="1"/>
      <c r="H2847" s="1"/>
      <c r="I2847" s="1"/>
      <c r="J2847" s="1"/>
      <c r="K2847" s="1"/>
      <c r="L2847" s="1"/>
      <c r="M2847" s="1"/>
      <c r="N2847" s="1"/>
    </row>
    <row r="2848" ht="14.5" spans="2:14">
      <c r="B2848" s="1"/>
      <c r="C2848" s="1"/>
      <c r="D2848" s="1"/>
      <c r="E2848" s="1"/>
      <c r="F2848" s="1"/>
      <c r="G2848" s="1"/>
      <c r="H2848" s="1"/>
      <c r="I2848" s="1"/>
      <c r="J2848" s="1"/>
      <c r="K2848" s="1"/>
      <c r="L2848" s="1"/>
      <c r="M2848" s="1"/>
      <c r="N2848" s="1"/>
    </row>
    <row r="2849" ht="14.5" spans="2:14">
      <c r="B2849" s="1"/>
      <c r="C2849" s="1"/>
      <c r="D2849" s="1"/>
      <c r="E2849" s="1"/>
      <c r="F2849" s="1"/>
      <c r="G2849" s="1"/>
      <c r="H2849" s="1"/>
      <c r="I2849" s="1"/>
      <c r="J2849" s="1"/>
      <c r="K2849" s="1"/>
      <c r="L2849" s="1"/>
      <c r="M2849" s="1"/>
      <c r="N2849" s="1"/>
    </row>
    <row r="2850" ht="14.5" spans="2:14">
      <c r="B2850" s="1"/>
      <c r="C2850" s="1"/>
      <c r="D2850" s="1"/>
      <c r="E2850" s="1"/>
      <c r="F2850" s="1"/>
      <c r="G2850" s="1"/>
      <c r="H2850" s="1"/>
      <c r="I2850" s="1"/>
      <c r="J2850" s="1"/>
      <c r="K2850" s="1"/>
      <c r="L2850" s="1"/>
      <c r="M2850" s="1"/>
      <c r="N2850" s="1"/>
    </row>
    <row r="2851" ht="14.5" spans="2:14">
      <c r="B2851" s="1"/>
      <c r="C2851" s="1"/>
      <c r="D2851" s="1"/>
      <c r="E2851" s="1"/>
      <c r="F2851" s="1"/>
      <c r="G2851" s="1"/>
      <c r="H2851" s="1"/>
      <c r="I2851" s="1"/>
      <c r="J2851" s="1"/>
      <c r="K2851" s="1"/>
      <c r="L2851" s="1"/>
      <c r="M2851" s="1"/>
      <c r="N2851" s="1"/>
    </row>
    <row r="2852" ht="14.5" spans="2:14">
      <c r="B2852" s="1"/>
      <c r="C2852" s="1"/>
      <c r="D2852" s="1"/>
      <c r="E2852" s="1"/>
      <c r="F2852" s="1"/>
      <c r="G2852" s="1"/>
      <c r="H2852" s="1"/>
      <c r="I2852" s="1"/>
      <c r="J2852" s="1"/>
      <c r="K2852" s="1"/>
      <c r="L2852" s="1"/>
      <c r="M2852" s="1"/>
      <c r="N2852" s="1"/>
    </row>
    <row r="2853" ht="14.5" spans="2:14">
      <c r="B2853" s="1"/>
      <c r="C2853" s="1"/>
      <c r="D2853" s="1"/>
      <c r="E2853" s="1"/>
      <c r="F2853" s="1"/>
      <c r="G2853" s="1"/>
      <c r="H2853" s="1"/>
      <c r="I2853" s="1"/>
      <c r="J2853" s="1"/>
      <c r="K2853" s="1"/>
      <c r="L2853" s="1"/>
      <c r="M2853" s="1"/>
      <c r="N2853" s="1"/>
    </row>
    <row r="2854" ht="14.5" spans="2:14">
      <c r="B2854" s="1"/>
      <c r="C2854" s="1"/>
      <c r="D2854" s="1"/>
      <c r="E2854" s="1"/>
      <c r="F2854" s="1"/>
      <c r="G2854" s="1"/>
      <c r="H2854" s="1"/>
      <c r="I2854" s="1"/>
      <c r="J2854" s="1"/>
      <c r="K2854" s="1"/>
      <c r="L2854" s="1"/>
      <c r="M2854" s="1"/>
      <c r="N2854" s="1"/>
    </row>
    <row r="2855" ht="14.5" spans="2:14">
      <c r="B2855" s="1"/>
      <c r="C2855" s="1"/>
      <c r="D2855" s="1"/>
      <c r="E2855" s="1"/>
      <c r="F2855" s="1"/>
      <c r="G2855" s="1"/>
      <c r="H2855" s="1"/>
      <c r="I2855" s="1"/>
      <c r="J2855" s="1"/>
      <c r="K2855" s="1"/>
      <c r="L2855" s="1"/>
      <c r="M2855" s="1"/>
      <c r="N2855" s="1"/>
    </row>
    <row r="2856" ht="14.5" spans="2:14">
      <c r="B2856" s="1"/>
      <c r="C2856" s="1"/>
      <c r="D2856" s="1"/>
      <c r="E2856" s="1"/>
      <c r="F2856" s="1"/>
      <c r="G2856" s="1"/>
      <c r="H2856" s="1"/>
      <c r="I2856" s="1"/>
      <c r="J2856" s="1"/>
      <c r="K2856" s="1"/>
      <c r="L2856" s="1"/>
      <c r="M2856" s="1"/>
      <c r="N2856" s="1"/>
    </row>
    <row r="2857" ht="14.5" spans="2:14">
      <c r="B2857" s="1"/>
      <c r="C2857" s="1"/>
      <c r="D2857" s="1"/>
      <c r="E2857" s="1"/>
      <c r="F2857" s="1"/>
      <c r="G2857" s="1"/>
      <c r="H2857" s="1"/>
      <c r="I2857" s="1"/>
      <c r="J2857" s="1"/>
      <c r="K2857" s="1"/>
      <c r="L2857" s="1"/>
      <c r="M2857" s="1"/>
      <c r="N2857" s="1"/>
    </row>
    <row r="2858" ht="14.5" spans="2:14">
      <c r="B2858" s="1"/>
      <c r="C2858" s="1"/>
      <c r="D2858" s="1"/>
      <c r="E2858" s="1"/>
      <c r="F2858" s="1"/>
      <c r="G2858" s="1"/>
      <c r="H2858" s="1"/>
      <c r="I2858" s="1"/>
      <c r="J2858" s="1"/>
      <c r="K2858" s="1"/>
      <c r="L2858" s="1"/>
      <c r="M2858" s="1"/>
      <c r="N2858" s="1"/>
    </row>
    <row r="2859" ht="14.5" spans="2:14">
      <c r="B2859" s="1"/>
      <c r="C2859" s="1"/>
      <c r="D2859" s="1"/>
      <c r="E2859" s="1"/>
      <c r="F2859" s="1"/>
      <c r="G2859" s="1"/>
      <c r="H2859" s="1"/>
      <c r="I2859" s="1"/>
      <c r="J2859" s="1"/>
      <c r="K2859" s="1"/>
      <c r="L2859" s="1"/>
      <c r="M2859" s="1"/>
      <c r="N2859" s="1"/>
    </row>
    <row r="2860" ht="14.5" spans="2:14">
      <c r="B2860" s="1"/>
      <c r="C2860" s="1"/>
      <c r="D2860" s="1"/>
      <c r="E2860" s="1"/>
      <c r="F2860" s="1"/>
      <c r="G2860" s="1"/>
      <c r="H2860" s="1"/>
      <c r="I2860" s="1"/>
      <c r="J2860" s="1"/>
      <c r="K2860" s="1"/>
      <c r="L2860" s="1"/>
      <c r="M2860" s="1"/>
      <c r="N2860" s="1"/>
    </row>
    <row r="2861" ht="14.5" spans="2:14">
      <c r="B2861" s="1"/>
      <c r="C2861" s="1"/>
      <c r="D2861" s="1"/>
      <c r="E2861" s="1"/>
      <c r="F2861" s="1"/>
      <c r="G2861" s="1"/>
      <c r="H2861" s="1"/>
      <c r="I2861" s="1"/>
      <c r="J2861" s="1"/>
      <c r="K2861" s="1"/>
      <c r="L2861" s="1"/>
      <c r="M2861" s="1"/>
      <c r="N2861" s="1"/>
    </row>
    <row r="2862" ht="14.5" spans="2:14">
      <c r="B2862" s="1"/>
      <c r="C2862" s="1"/>
      <c r="D2862" s="1"/>
      <c r="E2862" s="1"/>
      <c r="F2862" s="1"/>
      <c r="G2862" s="1"/>
      <c r="H2862" s="1"/>
      <c r="I2862" s="1"/>
      <c r="J2862" s="1"/>
      <c r="K2862" s="1"/>
      <c r="L2862" s="1"/>
      <c r="M2862" s="1"/>
      <c r="N2862" s="1"/>
    </row>
    <row r="2863" ht="14.5" spans="2:14">
      <c r="B2863" s="1"/>
      <c r="C2863" s="1"/>
      <c r="D2863" s="1"/>
      <c r="E2863" s="1"/>
      <c r="F2863" s="1"/>
      <c r="G2863" s="1"/>
      <c r="H2863" s="1"/>
      <c r="I2863" s="1"/>
      <c r="J2863" s="1"/>
      <c r="K2863" s="1"/>
      <c r="L2863" s="1"/>
      <c r="M2863" s="1"/>
      <c r="N2863" s="1"/>
    </row>
    <row r="2864" ht="14.5" spans="2:14">
      <c r="B2864" s="1"/>
      <c r="C2864" s="1"/>
      <c r="D2864" s="1"/>
      <c r="E2864" s="1"/>
      <c r="F2864" s="1"/>
      <c r="G2864" s="1"/>
      <c r="H2864" s="1"/>
      <c r="I2864" s="1"/>
      <c r="J2864" s="1"/>
      <c r="K2864" s="1"/>
      <c r="L2864" s="1"/>
      <c r="M2864" s="1"/>
      <c r="N2864" s="1"/>
    </row>
    <row r="2865" ht="14.5" spans="2:14">
      <c r="B2865" s="1"/>
      <c r="C2865" s="1"/>
      <c r="D2865" s="1"/>
      <c r="E2865" s="1"/>
      <c r="F2865" s="1"/>
      <c r="G2865" s="1"/>
      <c r="H2865" s="1"/>
      <c r="I2865" s="1"/>
      <c r="J2865" s="1"/>
      <c r="K2865" s="1"/>
      <c r="L2865" s="1"/>
      <c r="M2865" s="1"/>
      <c r="N2865" s="1"/>
    </row>
    <row r="2866" ht="14.5" spans="2:14">
      <c r="B2866" s="1"/>
      <c r="C2866" s="1"/>
      <c r="D2866" s="1"/>
      <c r="E2866" s="1"/>
      <c r="F2866" s="1"/>
      <c r="G2866" s="1"/>
      <c r="H2866" s="1"/>
      <c r="I2866" s="1"/>
      <c r="J2866" s="1"/>
      <c r="K2866" s="1"/>
      <c r="L2866" s="1"/>
      <c r="M2866" s="1"/>
      <c r="N2866" s="1"/>
    </row>
    <row r="2867" ht="14.5" spans="2:14">
      <c r="B2867" s="1"/>
      <c r="C2867" s="1"/>
      <c r="D2867" s="1"/>
      <c r="E2867" s="1"/>
      <c r="F2867" s="1"/>
      <c r="G2867" s="1"/>
      <c r="H2867" s="1"/>
      <c r="I2867" s="1"/>
      <c r="J2867" s="1"/>
      <c r="K2867" s="1"/>
      <c r="L2867" s="1"/>
      <c r="M2867" s="1"/>
      <c r="N2867" s="1"/>
    </row>
    <row r="2868" ht="14.5" spans="2:14">
      <c r="B2868" s="1"/>
      <c r="C2868" s="1"/>
      <c r="D2868" s="1"/>
      <c r="E2868" s="1"/>
      <c r="F2868" s="1"/>
      <c r="G2868" s="1"/>
      <c r="H2868" s="1"/>
      <c r="I2868" s="1"/>
      <c r="J2868" s="1"/>
      <c r="K2868" s="1"/>
      <c r="L2868" s="1"/>
      <c r="M2868" s="1"/>
      <c r="N2868" s="1"/>
    </row>
    <row r="2869" ht="14.5" spans="2:14">
      <c r="B2869" s="1"/>
      <c r="C2869" s="1"/>
      <c r="D2869" s="1"/>
      <c r="E2869" s="1"/>
      <c r="F2869" s="1"/>
      <c r="G2869" s="1"/>
      <c r="H2869" s="1"/>
      <c r="I2869" s="1"/>
      <c r="J2869" s="1"/>
      <c r="K2869" s="1"/>
      <c r="L2869" s="1"/>
      <c r="M2869" s="1"/>
      <c r="N2869" s="1"/>
    </row>
    <row r="2870" ht="14.5" spans="2:14">
      <c r="B2870" s="1"/>
      <c r="C2870" s="1"/>
      <c r="D2870" s="1"/>
      <c r="E2870" s="1"/>
      <c r="F2870" s="1"/>
      <c r="G2870" s="1"/>
      <c r="H2870" s="1"/>
      <c r="I2870" s="1"/>
      <c r="J2870" s="1"/>
      <c r="K2870" s="1"/>
      <c r="L2870" s="1"/>
      <c r="M2870" s="1"/>
      <c r="N2870" s="1"/>
    </row>
    <row r="2871" ht="14.5" spans="2:14">
      <c r="B2871" s="1"/>
      <c r="C2871" s="1"/>
      <c r="D2871" s="1"/>
      <c r="E2871" s="1"/>
      <c r="F2871" s="1"/>
      <c r="G2871" s="1"/>
      <c r="H2871" s="1"/>
      <c r="I2871" s="1"/>
      <c r="J2871" s="1"/>
      <c r="K2871" s="1"/>
      <c r="L2871" s="1"/>
      <c r="M2871" s="1"/>
      <c r="N2871" s="1"/>
    </row>
    <row r="2872" ht="14.5" spans="2:14">
      <c r="B2872" s="1"/>
      <c r="C2872" s="1"/>
      <c r="D2872" s="1"/>
      <c r="E2872" s="1"/>
      <c r="F2872" s="1"/>
      <c r="G2872" s="1"/>
      <c r="H2872" s="1"/>
      <c r="I2872" s="1"/>
      <c r="J2872" s="1"/>
      <c r="K2872" s="1"/>
      <c r="L2872" s="1"/>
      <c r="M2872" s="1"/>
      <c r="N2872" s="1"/>
    </row>
    <row r="2873" ht="14.5" spans="2:14">
      <c r="B2873" s="1"/>
      <c r="C2873" s="1"/>
      <c r="D2873" s="1"/>
      <c r="E2873" s="1"/>
      <c r="F2873" s="1"/>
      <c r="G2873" s="1"/>
      <c r="H2873" s="1"/>
      <c r="I2873" s="1"/>
      <c r="J2873" s="1"/>
      <c r="K2873" s="1"/>
      <c r="L2873" s="1"/>
      <c r="M2873" s="1"/>
      <c r="N2873" s="1"/>
    </row>
    <row r="2874" ht="14.5" spans="2:14">
      <c r="B2874" s="1"/>
      <c r="C2874" s="1"/>
      <c r="D2874" s="1"/>
      <c r="E2874" s="1"/>
      <c r="F2874" s="1"/>
      <c r="G2874" s="1"/>
      <c r="H2874" s="1"/>
      <c r="I2874" s="1"/>
      <c r="J2874" s="1"/>
      <c r="K2874" s="1"/>
      <c r="L2874" s="1"/>
      <c r="M2874" s="1"/>
      <c r="N2874" s="1"/>
    </row>
    <row r="2875" ht="14.5" spans="2:14">
      <c r="B2875" s="1"/>
      <c r="C2875" s="1"/>
      <c r="D2875" s="1"/>
      <c r="E2875" s="1"/>
      <c r="F2875" s="1"/>
      <c r="G2875" s="1"/>
      <c r="H2875" s="1"/>
      <c r="I2875" s="1"/>
      <c r="J2875" s="1"/>
      <c r="K2875" s="1"/>
      <c r="L2875" s="1"/>
      <c r="M2875" s="1"/>
      <c r="N2875" s="1"/>
    </row>
    <row r="2876" ht="14.5" spans="2:14">
      <c r="B2876" s="1"/>
      <c r="C2876" s="1"/>
      <c r="D2876" s="1"/>
      <c r="E2876" s="1"/>
      <c r="F2876" s="1"/>
      <c r="G2876" s="1"/>
      <c r="H2876" s="1"/>
      <c r="I2876" s="1"/>
      <c r="J2876" s="1"/>
      <c r="K2876" s="1"/>
      <c r="L2876" s="1"/>
      <c r="M2876" s="1"/>
      <c r="N2876" s="1"/>
    </row>
    <row r="2877" ht="14.5" spans="2:14">
      <c r="B2877" s="1"/>
      <c r="C2877" s="1"/>
      <c r="D2877" s="1"/>
      <c r="E2877" s="1"/>
      <c r="F2877" s="1"/>
      <c r="G2877" s="1"/>
      <c r="H2877" s="1"/>
      <c r="I2877" s="1"/>
      <c r="J2877" s="1"/>
      <c r="K2877" s="1"/>
      <c r="L2877" s="1"/>
      <c r="M2877" s="1"/>
      <c r="N2877" s="1"/>
    </row>
    <row r="2878" ht="14.5" spans="2:14">
      <c r="B2878" s="1"/>
      <c r="C2878" s="1"/>
      <c r="D2878" s="1"/>
      <c r="E2878" s="1"/>
      <c r="F2878" s="1"/>
      <c r="G2878" s="1"/>
      <c r="H2878" s="1"/>
      <c r="I2878" s="1"/>
      <c r="J2878" s="1"/>
      <c r="K2878" s="1"/>
      <c r="L2878" s="1"/>
      <c r="M2878" s="1"/>
      <c r="N2878" s="1"/>
    </row>
    <row r="2879" ht="14.5" spans="2:14">
      <c r="B2879" s="1"/>
      <c r="C2879" s="1"/>
      <c r="D2879" s="1"/>
      <c r="E2879" s="1"/>
      <c r="F2879" s="1"/>
      <c r="G2879" s="1"/>
      <c r="H2879" s="1"/>
      <c r="I2879" s="1"/>
      <c r="J2879" s="1"/>
      <c r="K2879" s="1"/>
      <c r="L2879" s="1"/>
      <c r="M2879" s="1"/>
      <c r="N2879" s="1"/>
    </row>
    <row r="2880" ht="14.5" spans="2:14">
      <c r="B2880" s="1"/>
      <c r="C2880" s="1"/>
      <c r="D2880" s="1"/>
      <c r="E2880" s="1"/>
      <c r="F2880" s="1"/>
      <c r="G2880" s="1"/>
      <c r="H2880" s="1"/>
      <c r="I2880" s="1"/>
      <c r="J2880" s="1"/>
      <c r="K2880" s="1"/>
      <c r="L2880" s="1"/>
      <c r="M2880" s="1"/>
      <c r="N2880" s="1"/>
    </row>
    <row r="2881" ht="14.5" spans="2:14">
      <c r="B2881" s="1"/>
      <c r="C2881" s="1"/>
      <c r="D2881" s="1"/>
      <c r="E2881" s="1"/>
      <c r="F2881" s="1"/>
      <c r="G2881" s="1"/>
      <c r="H2881" s="1"/>
      <c r="I2881" s="1"/>
      <c r="J2881" s="1"/>
      <c r="K2881" s="1"/>
      <c r="L2881" s="1"/>
      <c r="M2881" s="1"/>
      <c r="N2881" s="1"/>
    </row>
    <row r="2882" ht="14.5" spans="2:14">
      <c r="B2882" s="1"/>
      <c r="C2882" s="1"/>
      <c r="D2882" s="1"/>
      <c r="E2882" s="1"/>
      <c r="F2882" s="1"/>
      <c r="G2882" s="1"/>
      <c r="H2882" s="1"/>
      <c r="I2882" s="1"/>
      <c r="J2882" s="1"/>
      <c r="K2882" s="1"/>
      <c r="L2882" s="1"/>
      <c r="M2882" s="1"/>
      <c r="N2882" s="1"/>
    </row>
    <row r="2883" ht="14.5" spans="2:14">
      <c r="B2883" s="1"/>
      <c r="C2883" s="1"/>
      <c r="D2883" s="1"/>
      <c r="E2883" s="1"/>
      <c r="F2883" s="1"/>
      <c r="G2883" s="1"/>
      <c r="H2883" s="1"/>
      <c r="I2883" s="1"/>
      <c r="J2883" s="1"/>
      <c r="K2883" s="1"/>
      <c r="L2883" s="1"/>
      <c r="M2883" s="1"/>
      <c r="N2883" s="1"/>
    </row>
    <row r="2884" ht="14.5" spans="2:14">
      <c r="B2884" s="1"/>
      <c r="C2884" s="1"/>
      <c r="D2884" s="1"/>
      <c r="E2884" s="1"/>
      <c r="F2884" s="1"/>
      <c r="G2884" s="1"/>
      <c r="H2884" s="1"/>
      <c r="I2884" s="1"/>
      <c r="J2884" s="1"/>
      <c r="K2884" s="1"/>
      <c r="L2884" s="1"/>
      <c r="M2884" s="1"/>
      <c r="N2884" s="1"/>
    </row>
    <row r="2885" ht="14.5" spans="2:14">
      <c r="B2885" s="1"/>
      <c r="C2885" s="1"/>
      <c r="D2885" s="1"/>
      <c r="E2885" s="1"/>
      <c r="F2885" s="1"/>
      <c r="G2885" s="1"/>
      <c r="H2885" s="1"/>
      <c r="I2885" s="1"/>
      <c r="J2885" s="1"/>
      <c r="K2885" s="1"/>
      <c r="L2885" s="1"/>
      <c r="M2885" s="1"/>
      <c r="N2885" s="1"/>
    </row>
    <row r="2886" ht="14.5" spans="2:14">
      <c r="B2886" s="1"/>
      <c r="C2886" s="1"/>
      <c r="D2886" s="1"/>
      <c r="E2886" s="1"/>
      <c r="F2886" s="1"/>
      <c r="G2886" s="1"/>
      <c r="H2886" s="1"/>
      <c r="I2886" s="1"/>
      <c r="J2886" s="1"/>
      <c r="K2886" s="1"/>
      <c r="L2886" s="1"/>
      <c r="M2886" s="1"/>
      <c r="N2886" s="1"/>
    </row>
    <row r="2887" ht="14.5" spans="2:14">
      <c r="B2887" s="1"/>
      <c r="C2887" s="1"/>
      <c r="D2887" s="1"/>
      <c r="E2887" s="1"/>
      <c r="F2887" s="1"/>
      <c r="G2887" s="1"/>
      <c r="H2887" s="1"/>
      <c r="I2887" s="1"/>
      <c r="J2887" s="1"/>
      <c r="K2887" s="1"/>
      <c r="L2887" s="1"/>
      <c r="M2887" s="1"/>
      <c r="N2887" s="1"/>
    </row>
    <row r="2888" ht="14.5" spans="2:14">
      <c r="B2888" s="1"/>
      <c r="C2888" s="1"/>
      <c r="D2888" s="1"/>
      <c r="E2888" s="1"/>
      <c r="F2888" s="1"/>
      <c r="G2888" s="1"/>
      <c r="H2888" s="1"/>
      <c r="I2888" s="1"/>
      <c r="J2888" s="1"/>
      <c r="K2888" s="1"/>
      <c r="L2888" s="1"/>
      <c r="M2888" s="1"/>
      <c r="N2888" s="1"/>
    </row>
    <row r="2889" ht="14.5" spans="2:14">
      <c r="B2889" s="1"/>
      <c r="C2889" s="1"/>
      <c r="D2889" s="1"/>
      <c r="E2889" s="1"/>
      <c r="F2889" s="1"/>
      <c r="G2889" s="1"/>
      <c r="H2889" s="1"/>
      <c r="I2889" s="1"/>
      <c r="J2889" s="1"/>
      <c r="K2889" s="1"/>
      <c r="L2889" s="1"/>
      <c r="M2889" s="1"/>
      <c r="N2889" s="1"/>
    </row>
    <row r="2890" ht="14.5" spans="2:14">
      <c r="B2890" s="1"/>
      <c r="C2890" s="1"/>
      <c r="D2890" s="1"/>
      <c r="E2890" s="1"/>
      <c r="F2890" s="1"/>
      <c r="G2890" s="1"/>
      <c r="H2890" s="1"/>
      <c r="I2890" s="1"/>
      <c r="J2890" s="1"/>
      <c r="K2890" s="1"/>
      <c r="L2890" s="1"/>
      <c r="M2890" s="1"/>
      <c r="N2890" s="1"/>
    </row>
    <row r="2891" ht="14.5" spans="2:14">
      <c r="B2891" s="1"/>
      <c r="C2891" s="1"/>
      <c r="D2891" s="1"/>
      <c r="E2891" s="1"/>
      <c r="F2891" s="1"/>
      <c r="G2891" s="1"/>
      <c r="H2891" s="1"/>
      <c r="I2891" s="1"/>
      <c r="J2891" s="1"/>
      <c r="K2891" s="1"/>
      <c r="L2891" s="1"/>
      <c r="M2891" s="1"/>
      <c r="N2891" s="1"/>
    </row>
    <row r="2892" ht="14.5" spans="2:14">
      <c r="B2892" s="1"/>
      <c r="C2892" s="1"/>
      <c r="D2892" s="1"/>
      <c r="E2892" s="1"/>
      <c r="F2892" s="1"/>
      <c r="G2892" s="1"/>
      <c r="H2892" s="1"/>
      <c r="I2892" s="1"/>
      <c r="J2892" s="1"/>
      <c r="K2892" s="1"/>
      <c r="L2892" s="1"/>
      <c r="M2892" s="1"/>
      <c r="N2892" s="1"/>
    </row>
    <row r="2893" ht="14.5" spans="2:14">
      <c r="B2893" s="1"/>
      <c r="C2893" s="1"/>
      <c r="D2893" s="1"/>
      <c r="E2893" s="1"/>
      <c r="F2893" s="1"/>
      <c r="G2893" s="1"/>
      <c r="H2893" s="1"/>
      <c r="I2893" s="1"/>
      <c r="J2893" s="1"/>
      <c r="K2893" s="1"/>
      <c r="L2893" s="1"/>
      <c r="M2893" s="1"/>
      <c r="N2893" s="1"/>
    </row>
    <row r="2894" ht="14.5" spans="2:14">
      <c r="B2894" s="1"/>
      <c r="C2894" s="1"/>
      <c r="D2894" s="1"/>
      <c r="E2894" s="1"/>
      <c r="F2894" s="1"/>
      <c r="G2894" s="1"/>
      <c r="H2894" s="1"/>
      <c r="I2894" s="1"/>
      <c r="J2894" s="1"/>
      <c r="K2894" s="1"/>
      <c r="L2894" s="1"/>
      <c r="M2894" s="1"/>
      <c r="N2894" s="1"/>
    </row>
    <row r="2895" ht="14.5" spans="2:14">
      <c r="B2895" s="1"/>
      <c r="C2895" s="1"/>
      <c r="D2895" s="1"/>
      <c r="E2895" s="1"/>
      <c r="F2895" s="1"/>
      <c r="G2895" s="1"/>
      <c r="H2895" s="1"/>
      <c r="I2895" s="1"/>
      <c r="J2895" s="1"/>
      <c r="K2895" s="1"/>
      <c r="L2895" s="1"/>
      <c r="M2895" s="1"/>
      <c r="N2895" s="1"/>
    </row>
    <row r="2896" ht="14.5" spans="2:14">
      <c r="B2896" s="1"/>
      <c r="C2896" s="1"/>
      <c r="D2896" s="1"/>
      <c r="E2896" s="1"/>
      <c r="F2896" s="1"/>
      <c r="G2896" s="1"/>
      <c r="H2896" s="1"/>
      <c r="I2896" s="1"/>
      <c r="J2896" s="1"/>
      <c r="K2896" s="1"/>
      <c r="L2896" s="1"/>
      <c r="M2896" s="1"/>
      <c r="N2896" s="1"/>
    </row>
    <row r="2897" ht="14.5" spans="2:14">
      <c r="B2897" s="1"/>
      <c r="C2897" s="1"/>
      <c r="D2897" s="1"/>
      <c r="E2897" s="1"/>
      <c r="F2897" s="1"/>
      <c r="G2897" s="1"/>
      <c r="H2897" s="1"/>
      <c r="I2897" s="1"/>
      <c r="J2897" s="1"/>
      <c r="K2897" s="1"/>
      <c r="L2897" s="1"/>
      <c r="M2897" s="1"/>
      <c r="N2897" s="1"/>
    </row>
    <row r="2898" ht="14.5" spans="2:14">
      <c r="B2898" s="1"/>
      <c r="C2898" s="1"/>
      <c r="D2898" s="1"/>
      <c r="E2898" s="1"/>
      <c r="F2898" s="1"/>
      <c r="G2898" s="1"/>
      <c r="H2898" s="1"/>
      <c r="I2898" s="1"/>
      <c r="J2898" s="1"/>
      <c r="K2898" s="1"/>
      <c r="L2898" s="1"/>
      <c r="M2898" s="1"/>
      <c r="N2898" s="1"/>
    </row>
    <row r="2899" ht="14.5" spans="2:14">
      <c r="B2899" s="1"/>
      <c r="C2899" s="1"/>
      <c r="D2899" s="1"/>
      <c r="E2899" s="1"/>
      <c r="F2899" s="1"/>
      <c r="G2899" s="1"/>
      <c r="H2899" s="1"/>
      <c r="I2899" s="1"/>
      <c r="J2899" s="1"/>
      <c r="K2899" s="1"/>
      <c r="L2899" s="1"/>
      <c r="M2899" s="1"/>
      <c r="N2899" s="1"/>
    </row>
    <row r="2900" ht="14.5" spans="2:14">
      <c r="B2900" s="1"/>
      <c r="C2900" s="1"/>
      <c r="D2900" s="1"/>
      <c r="E2900" s="1"/>
      <c r="F2900" s="1"/>
      <c r="G2900" s="1"/>
      <c r="H2900" s="1"/>
      <c r="I2900" s="1"/>
      <c r="J2900" s="1"/>
      <c r="K2900" s="1"/>
      <c r="L2900" s="1"/>
      <c r="M2900" s="1"/>
      <c r="N2900" s="1"/>
    </row>
    <row r="2901" ht="14.5" spans="2:14">
      <c r="B2901" s="1"/>
      <c r="C2901" s="1"/>
      <c r="D2901" s="1"/>
      <c r="E2901" s="1"/>
      <c r="F2901" s="1"/>
      <c r="G2901" s="1"/>
      <c r="H2901" s="1"/>
      <c r="I2901" s="1"/>
      <c r="J2901" s="1"/>
      <c r="K2901" s="1"/>
      <c r="L2901" s="1"/>
      <c r="M2901" s="1"/>
      <c r="N2901" s="1"/>
    </row>
    <row r="2902" ht="14.5" spans="2:14">
      <c r="B2902" s="1"/>
      <c r="C2902" s="1"/>
      <c r="D2902" s="1"/>
      <c r="E2902" s="1"/>
      <c r="F2902" s="1"/>
      <c r="G2902" s="1"/>
      <c r="H2902" s="1"/>
      <c r="I2902" s="1"/>
      <c r="J2902" s="1"/>
      <c r="K2902" s="1"/>
      <c r="L2902" s="1"/>
      <c r="M2902" s="1"/>
      <c r="N2902" s="1"/>
    </row>
    <row r="2903" ht="14.5" spans="2:14">
      <c r="B2903" s="1"/>
      <c r="C2903" s="1"/>
      <c r="D2903" s="1"/>
      <c r="E2903" s="1"/>
      <c r="F2903" s="1"/>
      <c r="G2903" s="1"/>
      <c r="H2903" s="1"/>
      <c r="I2903" s="1"/>
      <c r="J2903" s="1"/>
      <c r="K2903" s="1"/>
      <c r="L2903" s="1"/>
      <c r="M2903" s="1"/>
      <c r="N2903" s="1"/>
    </row>
    <row r="2904" ht="14.5" spans="2:14">
      <c r="B2904" s="1"/>
      <c r="C2904" s="1"/>
      <c r="D2904" s="1"/>
      <c r="E2904" s="1"/>
      <c r="F2904" s="1"/>
      <c r="G2904" s="1"/>
      <c r="H2904" s="1"/>
      <c r="I2904" s="1"/>
      <c r="J2904" s="1"/>
      <c r="K2904" s="1"/>
      <c r="L2904" s="1"/>
      <c r="M2904" s="1"/>
      <c r="N2904" s="1"/>
    </row>
    <row r="2905" ht="14.5" spans="2:14">
      <c r="B2905" s="1"/>
      <c r="C2905" s="1"/>
      <c r="D2905" s="1"/>
      <c r="E2905" s="1"/>
      <c r="F2905" s="1"/>
      <c r="G2905" s="1"/>
      <c r="H2905" s="1"/>
      <c r="I2905" s="1"/>
      <c r="J2905" s="1"/>
      <c r="K2905" s="1"/>
      <c r="L2905" s="1"/>
      <c r="M2905" s="1"/>
      <c r="N2905" s="1"/>
    </row>
    <row r="2906" ht="14.5" spans="2:14">
      <c r="B2906" s="1"/>
      <c r="C2906" s="1"/>
      <c r="D2906" s="1"/>
      <c r="E2906" s="1"/>
      <c r="F2906" s="1"/>
      <c r="G2906" s="1"/>
      <c r="H2906" s="1"/>
      <c r="I2906" s="1"/>
      <c r="J2906" s="1"/>
      <c r="K2906" s="1"/>
      <c r="L2906" s="1"/>
      <c r="M2906" s="1"/>
      <c r="N2906" s="1"/>
    </row>
    <row r="2907" ht="14.5" spans="2:14">
      <c r="B2907" s="1"/>
      <c r="C2907" s="1"/>
      <c r="D2907" s="1"/>
      <c r="E2907" s="1"/>
      <c r="F2907" s="1"/>
      <c r="G2907" s="1"/>
      <c r="H2907" s="1"/>
      <c r="I2907" s="1"/>
      <c r="J2907" s="1"/>
      <c r="K2907" s="1"/>
      <c r="L2907" s="1"/>
      <c r="M2907" s="1"/>
      <c r="N2907" s="1"/>
    </row>
    <row r="2908" ht="14.5" spans="2:14">
      <c r="B2908" s="1"/>
      <c r="C2908" s="1"/>
      <c r="D2908" s="1"/>
      <c r="E2908" s="1"/>
      <c r="F2908" s="1"/>
      <c r="G2908" s="1"/>
      <c r="H2908" s="1"/>
      <c r="I2908" s="1"/>
      <c r="J2908" s="1"/>
      <c r="K2908" s="1"/>
      <c r="L2908" s="1"/>
      <c r="M2908" s="1"/>
      <c r="N2908" s="1"/>
    </row>
    <row r="2909" ht="14.5" spans="2:14">
      <c r="B2909" s="1"/>
      <c r="C2909" s="1"/>
      <c r="D2909" s="1"/>
      <c r="E2909" s="1"/>
      <c r="F2909" s="1"/>
      <c r="G2909" s="1"/>
      <c r="H2909" s="1"/>
      <c r="I2909" s="1"/>
      <c r="J2909" s="1"/>
      <c r="K2909" s="1"/>
      <c r="L2909" s="1"/>
      <c r="M2909" s="1"/>
      <c r="N2909" s="1"/>
    </row>
    <row r="2910" ht="14.5" spans="2:14">
      <c r="B2910" s="1"/>
      <c r="C2910" s="1"/>
      <c r="D2910" s="1"/>
      <c r="E2910" s="1"/>
      <c r="F2910" s="1"/>
      <c r="G2910" s="1"/>
      <c r="H2910" s="1"/>
      <c r="I2910" s="1"/>
      <c r="J2910" s="1"/>
      <c r="K2910" s="1"/>
      <c r="L2910" s="1"/>
      <c r="M2910" s="1"/>
      <c r="N2910" s="1"/>
    </row>
    <row r="2911" ht="14.5" spans="2:14">
      <c r="B2911" s="1"/>
      <c r="C2911" s="1"/>
      <c r="D2911" s="1"/>
      <c r="E2911" s="1"/>
      <c r="F2911" s="1"/>
      <c r="G2911" s="1"/>
      <c r="H2911" s="1"/>
      <c r="I2911" s="1"/>
      <c r="J2911" s="1"/>
      <c r="K2911" s="1"/>
      <c r="L2911" s="1"/>
      <c r="M2911" s="1"/>
      <c r="N2911" s="1"/>
    </row>
    <row r="2912" ht="14.5" spans="2:14">
      <c r="B2912" s="1"/>
      <c r="C2912" s="1"/>
      <c r="D2912" s="1"/>
      <c r="E2912" s="1"/>
      <c r="F2912" s="1"/>
      <c r="G2912" s="1"/>
      <c r="H2912" s="1"/>
      <c r="I2912" s="1"/>
      <c r="J2912" s="1"/>
      <c r="K2912" s="1"/>
      <c r="L2912" s="1"/>
      <c r="M2912" s="1"/>
      <c r="N2912" s="1"/>
    </row>
    <row r="2913" ht="14.5" spans="2:14">
      <c r="B2913" s="1"/>
      <c r="C2913" s="1"/>
      <c r="D2913" s="1"/>
      <c r="E2913" s="1"/>
      <c r="F2913" s="1"/>
      <c r="G2913" s="1"/>
      <c r="H2913" s="1"/>
      <c r="I2913" s="1"/>
      <c r="J2913" s="1"/>
      <c r="K2913" s="1"/>
      <c r="L2913" s="1"/>
      <c r="M2913" s="1"/>
      <c r="N2913" s="1"/>
    </row>
    <row r="2914" ht="14.5" spans="2:14">
      <c r="B2914" s="1"/>
      <c r="C2914" s="1"/>
      <c r="D2914" s="1"/>
      <c r="E2914" s="1"/>
      <c r="F2914" s="1"/>
      <c r="G2914" s="1"/>
      <c r="H2914" s="1"/>
      <c r="I2914" s="1"/>
      <c r="J2914" s="1"/>
      <c r="K2914" s="1"/>
      <c r="L2914" s="1"/>
      <c r="M2914" s="1"/>
      <c r="N2914" s="1"/>
    </row>
    <row r="2915" ht="14.5" spans="2:14">
      <c r="B2915" s="1"/>
      <c r="C2915" s="1"/>
      <c r="D2915" s="1"/>
      <c r="E2915" s="1"/>
      <c r="F2915" s="1"/>
      <c r="G2915" s="1"/>
      <c r="H2915" s="1"/>
      <c r="I2915" s="1"/>
      <c r="J2915" s="1"/>
      <c r="K2915" s="1"/>
      <c r="L2915" s="1"/>
      <c r="M2915" s="1"/>
      <c r="N2915" s="1"/>
    </row>
    <row r="2916" ht="14.5" spans="2:14">
      <c r="B2916" s="1"/>
      <c r="C2916" s="1"/>
      <c r="D2916" s="1"/>
      <c r="E2916" s="1"/>
      <c r="F2916" s="1"/>
      <c r="G2916" s="1"/>
      <c r="H2916" s="1"/>
      <c r="I2916" s="1"/>
      <c r="J2916" s="1"/>
      <c r="K2916" s="1"/>
      <c r="L2916" s="1"/>
      <c r="M2916" s="1"/>
      <c r="N2916" s="1"/>
    </row>
    <row r="2917" ht="14.5" spans="2:14">
      <c r="B2917" s="1"/>
      <c r="C2917" s="1"/>
      <c r="D2917" s="1"/>
      <c r="E2917" s="1"/>
      <c r="F2917" s="1"/>
      <c r="G2917" s="1"/>
      <c r="H2917" s="1"/>
      <c r="I2917" s="1"/>
      <c r="J2917" s="1"/>
      <c r="K2917" s="1"/>
      <c r="L2917" s="1"/>
      <c r="M2917" s="1"/>
      <c r="N2917" s="1"/>
    </row>
    <row r="2918" ht="14.5" spans="2:14">
      <c r="B2918" s="1"/>
      <c r="C2918" s="1"/>
      <c r="D2918" s="1"/>
      <c r="E2918" s="1"/>
      <c r="F2918" s="1"/>
      <c r="G2918" s="1"/>
      <c r="H2918" s="1"/>
      <c r="I2918" s="1"/>
      <c r="J2918" s="1"/>
      <c r="K2918" s="1"/>
      <c r="L2918" s="1"/>
      <c r="M2918" s="1"/>
      <c r="N2918" s="1"/>
    </row>
    <row r="2919" ht="14.5" spans="2:14">
      <c r="B2919" s="1"/>
      <c r="C2919" s="1"/>
      <c r="D2919" s="1"/>
      <c r="E2919" s="1"/>
      <c r="F2919" s="1"/>
      <c r="G2919" s="1"/>
      <c r="H2919" s="1"/>
      <c r="I2919" s="1"/>
      <c r="J2919" s="1"/>
      <c r="K2919" s="1"/>
      <c r="L2919" s="1"/>
      <c r="M2919" s="1"/>
      <c r="N2919" s="1"/>
    </row>
    <row r="2920" ht="14.5" spans="2:14">
      <c r="B2920" s="1"/>
      <c r="C2920" s="1"/>
      <c r="D2920" s="1"/>
      <c r="E2920" s="1"/>
      <c r="F2920" s="1"/>
      <c r="G2920" s="1"/>
      <c r="H2920" s="1"/>
      <c r="I2920" s="1"/>
      <c r="J2920" s="1"/>
      <c r="K2920" s="1"/>
      <c r="L2920" s="1"/>
      <c r="M2920" s="1"/>
      <c r="N2920" s="1"/>
    </row>
    <row r="2921" ht="14.5" spans="2:14">
      <c r="B2921" s="1"/>
      <c r="C2921" s="1"/>
      <c r="D2921" s="1"/>
      <c r="E2921" s="1"/>
      <c r="F2921" s="1"/>
      <c r="G2921" s="1"/>
      <c r="H2921" s="1"/>
      <c r="I2921" s="1"/>
      <c r="J2921" s="1"/>
      <c r="K2921" s="1"/>
      <c r="L2921" s="1"/>
      <c r="M2921" s="1"/>
      <c r="N2921" s="1"/>
    </row>
    <row r="2922" ht="14.5" spans="2:14">
      <c r="B2922" s="1"/>
      <c r="C2922" s="1"/>
      <c r="D2922" s="1"/>
      <c r="E2922" s="1"/>
      <c r="F2922" s="1"/>
      <c r="G2922" s="1"/>
      <c r="H2922" s="1"/>
      <c r="I2922" s="1"/>
      <c r="J2922" s="1"/>
      <c r="K2922" s="1"/>
      <c r="L2922" s="1"/>
      <c r="M2922" s="1"/>
      <c r="N2922" s="1"/>
    </row>
    <row r="2923" ht="14.5" spans="2:14">
      <c r="B2923" s="1"/>
      <c r="C2923" s="1"/>
      <c r="D2923" s="1"/>
      <c r="E2923" s="1"/>
      <c r="F2923" s="1"/>
      <c r="G2923" s="1"/>
      <c r="H2923" s="1"/>
      <c r="I2923" s="1"/>
      <c r="J2923" s="1"/>
      <c r="K2923" s="1"/>
      <c r="L2923" s="1"/>
      <c r="M2923" s="1"/>
      <c r="N2923" s="1"/>
    </row>
    <row r="2924" ht="14.5" spans="2:14">
      <c r="B2924" s="1"/>
      <c r="C2924" s="1"/>
      <c r="D2924" s="1"/>
      <c r="E2924" s="1"/>
      <c r="F2924" s="1"/>
      <c r="G2924" s="1"/>
      <c r="H2924" s="1"/>
      <c r="I2924" s="1"/>
      <c r="J2924" s="1"/>
      <c r="K2924" s="1"/>
      <c r="L2924" s="1"/>
      <c r="M2924" s="1"/>
      <c r="N2924" s="1"/>
    </row>
    <row r="2925" ht="14.5" spans="2:14">
      <c r="B2925" s="1"/>
      <c r="C2925" s="1"/>
      <c r="D2925" s="1"/>
      <c r="E2925" s="1"/>
      <c r="F2925" s="1"/>
      <c r="G2925" s="1"/>
      <c r="H2925" s="1"/>
      <c r="I2925" s="1"/>
      <c r="J2925" s="1"/>
      <c r="K2925" s="1"/>
      <c r="L2925" s="1"/>
      <c r="M2925" s="1"/>
      <c r="N2925" s="1"/>
    </row>
    <row r="2926" ht="14.5" spans="2:14">
      <c r="B2926" s="1"/>
      <c r="C2926" s="1"/>
      <c r="D2926" s="1"/>
      <c r="E2926" s="1"/>
      <c r="F2926" s="1"/>
      <c r="G2926" s="1"/>
      <c r="H2926" s="1"/>
      <c r="I2926" s="1"/>
      <c r="J2926" s="1"/>
      <c r="K2926" s="1"/>
      <c r="L2926" s="1"/>
      <c r="M2926" s="1"/>
      <c r="N2926" s="1"/>
    </row>
    <row r="2927" ht="14.5" spans="2:14">
      <c r="B2927" s="1"/>
      <c r="C2927" s="1"/>
      <c r="D2927" s="1"/>
      <c r="E2927" s="1"/>
      <c r="F2927" s="1"/>
      <c r="G2927" s="1"/>
      <c r="H2927" s="1"/>
      <c r="I2927" s="1"/>
      <c r="J2927" s="1"/>
      <c r="K2927" s="1"/>
      <c r="L2927" s="1"/>
      <c r="M2927" s="1"/>
      <c r="N2927" s="1"/>
    </row>
    <row r="2928" ht="14.5" spans="2:14">
      <c r="B2928" s="1"/>
      <c r="C2928" s="1"/>
      <c r="D2928" s="1"/>
      <c r="E2928" s="1"/>
      <c r="F2928" s="1"/>
      <c r="G2928" s="1"/>
      <c r="H2928" s="1"/>
      <c r="I2928" s="1"/>
      <c r="J2928" s="1"/>
      <c r="K2928" s="1"/>
      <c r="L2928" s="1"/>
      <c r="M2928" s="1"/>
      <c r="N2928" s="1"/>
    </row>
    <row r="2929" ht="14.5" spans="2:14">
      <c r="B2929" s="1"/>
      <c r="C2929" s="1"/>
      <c r="D2929" s="1"/>
      <c r="E2929" s="1"/>
      <c r="F2929" s="1"/>
      <c r="G2929" s="1"/>
      <c r="H2929" s="1"/>
      <c r="I2929" s="1"/>
      <c r="J2929" s="1"/>
      <c r="K2929" s="1"/>
      <c r="L2929" s="1"/>
      <c r="M2929" s="1"/>
      <c r="N2929" s="1"/>
    </row>
    <row r="2930" ht="14.5" spans="2:14">
      <c r="B2930" s="1"/>
      <c r="C2930" s="1"/>
      <c r="D2930" s="1"/>
      <c r="E2930" s="1"/>
      <c r="F2930" s="1"/>
      <c r="G2930" s="1"/>
      <c r="H2930" s="1"/>
      <c r="I2930" s="1"/>
      <c r="J2930" s="1"/>
      <c r="K2930" s="1"/>
      <c r="L2930" s="1"/>
      <c r="M2930" s="1"/>
      <c r="N2930" s="1"/>
    </row>
    <row r="2931" ht="14.5" spans="2:14">
      <c r="B2931" s="1"/>
      <c r="C2931" s="1"/>
      <c r="D2931" s="1"/>
      <c r="E2931" s="1"/>
      <c r="F2931" s="1"/>
      <c r="G2931" s="1"/>
      <c r="H2931" s="1"/>
      <c r="I2931" s="1"/>
      <c r="J2931" s="1"/>
      <c r="K2931" s="1"/>
      <c r="L2931" s="1"/>
      <c r="M2931" s="1"/>
      <c r="N2931" s="1"/>
    </row>
    <row r="2932" ht="14.5" spans="2:14">
      <c r="B2932" s="1"/>
      <c r="C2932" s="1"/>
      <c r="D2932" s="1"/>
      <c r="E2932" s="1"/>
      <c r="F2932" s="1"/>
      <c r="G2932" s="1"/>
      <c r="H2932" s="1"/>
      <c r="I2932" s="1"/>
      <c r="J2932" s="1"/>
      <c r="K2932" s="1"/>
      <c r="L2932" s="1"/>
      <c r="M2932" s="1"/>
      <c r="N2932" s="1"/>
    </row>
    <row r="2933" ht="14.5" spans="2:14">
      <c r="B2933" s="1"/>
      <c r="C2933" s="1"/>
      <c r="D2933" s="1"/>
      <c r="E2933" s="1"/>
      <c r="F2933" s="1"/>
      <c r="G2933" s="1"/>
      <c r="H2933" s="1"/>
      <c r="I2933" s="1"/>
      <c r="J2933" s="1"/>
      <c r="K2933" s="1"/>
      <c r="L2933" s="1"/>
      <c r="M2933" s="1"/>
      <c r="N2933" s="1"/>
    </row>
    <row r="2934" ht="14.5" spans="2:14">
      <c r="B2934" s="1"/>
      <c r="C2934" s="1"/>
      <c r="D2934" s="1"/>
      <c r="E2934" s="1"/>
      <c r="F2934" s="1"/>
      <c r="G2934" s="1"/>
      <c r="H2934" s="1"/>
      <c r="I2934" s="1"/>
      <c r="J2934" s="1"/>
      <c r="K2934" s="1"/>
      <c r="L2934" s="1"/>
      <c r="M2934" s="1"/>
      <c r="N2934" s="1"/>
    </row>
    <row r="2935" ht="14.5" spans="2:14">
      <c r="B2935" s="1"/>
      <c r="C2935" s="1"/>
      <c r="D2935" s="1"/>
      <c r="E2935" s="1"/>
      <c r="F2935" s="1"/>
      <c r="G2935" s="1"/>
      <c r="H2935" s="1"/>
      <c r="I2935" s="1"/>
      <c r="J2935" s="1"/>
      <c r="K2935" s="1"/>
      <c r="L2935" s="1"/>
      <c r="M2935" s="1"/>
      <c r="N2935" s="1"/>
    </row>
    <row r="2936" ht="14.5" spans="2:14">
      <c r="B2936" s="1"/>
      <c r="C2936" s="1"/>
      <c r="D2936" s="1"/>
      <c r="E2936" s="1"/>
      <c r="F2936" s="1"/>
      <c r="G2936" s="1"/>
      <c r="H2936" s="1"/>
      <c r="I2936" s="1"/>
      <c r="J2936" s="1"/>
      <c r="K2936" s="1"/>
      <c r="L2936" s="1"/>
      <c r="M2936" s="1"/>
      <c r="N2936" s="1"/>
    </row>
    <row r="2937" ht="14.5" spans="2:14">
      <c r="B2937" s="1"/>
      <c r="C2937" s="1"/>
      <c r="D2937" s="1"/>
      <c r="E2937" s="1"/>
      <c r="F2937" s="1"/>
      <c r="G2937" s="1"/>
      <c r="H2937" s="1"/>
      <c r="I2937" s="1"/>
      <c r="J2937" s="1"/>
      <c r="K2937" s="1"/>
      <c r="L2937" s="1"/>
      <c r="M2937" s="1"/>
      <c r="N2937" s="1"/>
    </row>
    <row r="2938" ht="14.5" spans="2:14">
      <c r="B2938" s="1"/>
      <c r="C2938" s="1"/>
      <c r="D2938" s="1"/>
      <c r="E2938" s="1"/>
      <c r="F2938" s="1"/>
      <c r="G2938" s="1"/>
      <c r="H2938" s="1"/>
      <c r="I2938" s="1"/>
      <c r="J2938" s="1"/>
      <c r="K2938" s="1"/>
      <c r="L2938" s="1"/>
      <c r="M2938" s="1"/>
      <c r="N2938" s="1"/>
    </row>
    <row r="2939" ht="14.5" spans="2:14">
      <c r="B2939" s="1"/>
      <c r="C2939" s="1"/>
      <c r="D2939" s="1"/>
      <c r="E2939" s="1"/>
      <c r="F2939" s="1"/>
      <c r="G2939" s="1"/>
      <c r="H2939" s="1"/>
      <c r="I2939" s="1"/>
      <c r="J2939" s="1"/>
      <c r="K2939" s="1"/>
      <c r="L2939" s="1"/>
      <c r="M2939" s="1"/>
      <c r="N2939" s="1"/>
    </row>
    <row r="2940" ht="14.5" spans="2:14">
      <c r="B2940" s="1"/>
      <c r="C2940" s="1"/>
      <c r="D2940" s="1"/>
      <c r="E2940" s="1"/>
      <c r="F2940" s="1"/>
      <c r="G2940" s="1"/>
      <c r="H2940" s="1"/>
      <c r="I2940" s="1"/>
      <c r="J2940" s="1"/>
      <c r="K2940" s="1"/>
      <c r="L2940" s="1"/>
      <c r="M2940" s="1"/>
      <c r="N2940" s="1"/>
    </row>
    <row r="2941" ht="14.5" spans="2:14">
      <c r="B2941" s="1"/>
      <c r="C2941" s="1"/>
      <c r="D2941" s="1"/>
      <c r="E2941" s="1"/>
      <c r="F2941" s="1"/>
      <c r="G2941" s="1"/>
      <c r="H2941" s="1"/>
      <c r="I2941" s="1"/>
      <c r="J2941" s="1"/>
      <c r="K2941" s="1"/>
      <c r="L2941" s="1"/>
      <c r="M2941" s="1"/>
      <c r="N2941" s="1"/>
    </row>
    <row r="2942" ht="14.5" spans="2:14">
      <c r="B2942" s="1"/>
      <c r="C2942" s="1"/>
      <c r="D2942" s="1"/>
      <c r="E2942" s="1"/>
      <c r="F2942" s="1"/>
      <c r="G2942" s="1"/>
      <c r="H2942" s="1"/>
      <c r="I2942" s="1"/>
      <c r="J2942" s="1"/>
      <c r="K2942" s="1"/>
      <c r="L2942" s="1"/>
      <c r="M2942" s="1"/>
      <c r="N2942" s="1"/>
    </row>
    <row r="2943" ht="14.5" spans="2:14">
      <c r="B2943" s="1"/>
      <c r="C2943" s="1"/>
      <c r="D2943" s="1"/>
      <c r="E2943" s="1"/>
      <c r="F2943" s="1"/>
      <c r="G2943" s="1"/>
      <c r="H2943" s="1"/>
      <c r="I2943" s="1"/>
      <c r="J2943" s="1"/>
      <c r="K2943" s="1"/>
      <c r="L2943" s="1"/>
      <c r="M2943" s="1"/>
      <c r="N2943" s="1"/>
    </row>
    <row r="2944" ht="14.5" spans="2:14">
      <c r="B2944" s="1"/>
      <c r="C2944" s="1"/>
      <c r="D2944" s="1"/>
      <c r="E2944" s="1"/>
      <c r="F2944" s="1"/>
      <c r="G2944" s="1"/>
      <c r="H2944" s="1"/>
      <c r="I2944" s="1"/>
      <c r="J2944" s="1"/>
      <c r="K2944" s="1"/>
      <c r="L2944" s="1"/>
      <c r="M2944" s="1"/>
      <c r="N2944" s="1"/>
    </row>
    <row r="2945" ht="14.5" spans="2:14">
      <c r="B2945" s="1"/>
      <c r="C2945" s="1"/>
      <c r="D2945" s="1"/>
      <c r="E2945" s="1"/>
      <c r="F2945" s="1"/>
      <c r="G2945" s="1"/>
      <c r="H2945" s="1"/>
      <c r="I2945" s="1"/>
      <c r="J2945" s="1"/>
      <c r="K2945" s="1"/>
      <c r="L2945" s="1"/>
      <c r="M2945" s="1"/>
      <c r="N2945" s="1"/>
    </row>
    <row r="2946" ht="14.5" spans="2:14">
      <c r="B2946" s="1"/>
      <c r="C2946" s="1"/>
      <c r="D2946" s="1"/>
      <c r="E2946" s="1"/>
      <c r="F2946" s="1"/>
      <c r="G2946" s="1"/>
      <c r="H2946" s="1"/>
      <c r="I2946" s="1"/>
      <c r="J2946" s="1"/>
      <c r="K2946" s="1"/>
      <c r="L2946" s="1"/>
      <c r="M2946" s="1"/>
      <c r="N2946" s="1"/>
    </row>
    <row r="2947" ht="14.5" spans="2:14">
      <c r="B2947" s="1"/>
      <c r="C2947" s="1"/>
      <c r="D2947" s="1"/>
      <c r="E2947" s="1"/>
      <c r="F2947" s="1"/>
      <c r="G2947" s="1"/>
      <c r="H2947" s="1"/>
      <c r="I2947" s="1"/>
      <c r="J2947" s="1"/>
      <c r="K2947" s="1"/>
      <c r="L2947" s="1"/>
      <c r="M2947" s="1"/>
      <c r="N2947" s="1"/>
    </row>
    <row r="2948" ht="14.5" spans="2:14">
      <c r="B2948" s="1"/>
      <c r="C2948" s="1"/>
      <c r="D2948" s="1"/>
      <c r="E2948" s="1"/>
      <c r="F2948" s="1"/>
      <c r="G2948" s="1"/>
      <c r="H2948" s="1"/>
      <c r="I2948" s="1"/>
      <c r="J2948" s="1"/>
      <c r="K2948" s="1"/>
      <c r="L2948" s="1"/>
      <c r="M2948" s="1"/>
      <c r="N2948" s="1"/>
    </row>
    <row r="2949" ht="14.5" spans="2:14">
      <c r="B2949" s="1"/>
      <c r="C2949" s="1"/>
      <c r="D2949" s="1"/>
      <c r="E2949" s="1"/>
      <c r="F2949" s="1"/>
      <c r="G2949" s="1"/>
      <c r="H2949" s="1"/>
      <c r="I2949" s="1"/>
      <c r="J2949" s="1"/>
      <c r="K2949" s="1"/>
      <c r="L2949" s="1"/>
      <c r="M2949" s="1"/>
      <c r="N2949" s="1"/>
    </row>
    <row r="2950" ht="14.5" spans="2:14">
      <c r="B2950" s="1"/>
      <c r="C2950" s="1"/>
      <c r="D2950" s="1"/>
      <c r="E2950" s="1"/>
      <c r="F2950" s="1"/>
      <c r="G2950" s="1"/>
      <c r="H2950" s="1"/>
      <c r="I2950" s="1"/>
      <c r="J2950" s="1"/>
      <c r="K2950" s="1"/>
      <c r="L2950" s="1"/>
      <c r="M2950" s="1"/>
      <c r="N2950" s="1"/>
    </row>
    <row r="2951" ht="14.5" spans="2:14">
      <c r="B2951" s="1"/>
      <c r="C2951" s="1"/>
      <c r="D2951" s="1"/>
      <c r="E2951" s="1"/>
      <c r="F2951" s="1"/>
      <c r="G2951" s="1"/>
      <c r="H2951" s="1"/>
      <c r="I2951" s="1"/>
      <c r="J2951" s="1"/>
      <c r="K2951" s="1"/>
      <c r="L2951" s="1"/>
      <c r="M2951" s="1"/>
      <c r="N2951" s="1"/>
    </row>
    <row r="2952" ht="14.5" spans="2:14">
      <c r="B2952" s="1"/>
      <c r="C2952" s="1"/>
      <c r="D2952" s="1"/>
      <c r="E2952" s="1"/>
      <c r="F2952" s="1"/>
      <c r="G2952" s="1"/>
      <c r="H2952" s="1"/>
      <c r="I2952" s="1"/>
      <c r="J2952" s="1"/>
      <c r="K2952" s="1"/>
      <c r="L2952" s="1"/>
      <c r="M2952" s="1"/>
      <c r="N2952" s="1"/>
    </row>
    <row r="2953" ht="14.5" spans="2:14">
      <c r="B2953" s="1"/>
      <c r="C2953" s="1"/>
      <c r="D2953" s="1"/>
      <c r="E2953" s="1"/>
      <c r="F2953" s="1"/>
      <c r="G2953" s="1"/>
      <c r="H2953" s="1"/>
      <c r="I2953" s="1"/>
      <c r="J2953" s="1"/>
      <c r="K2953" s="1"/>
      <c r="L2953" s="1"/>
      <c r="M2953" s="1"/>
      <c r="N2953" s="1"/>
    </row>
    <row r="2954" ht="14.5" spans="2:14">
      <c r="B2954" s="1"/>
      <c r="C2954" s="1"/>
      <c r="D2954" s="1"/>
      <c r="E2954" s="1"/>
      <c r="F2954" s="1"/>
      <c r="G2954" s="1"/>
      <c r="H2954" s="1"/>
      <c r="I2954" s="1"/>
      <c r="J2954" s="1"/>
      <c r="K2954" s="1"/>
      <c r="L2954" s="1"/>
      <c r="M2954" s="1"/>
      <c r="N2954" s="1"/>
    </row>
    <row r="2955" ht="14.5" spans="2:14">
      <c r="B2955" s="1"/>
      <c r="C2955" s="1"/>
      <c r="D2955" s="1"/>
      <c r="E2955" s="1"/>
      <c r="F2955" s="1"/>
      <c r="G2955" s="1"/>
      <c r="H2955" s="1"/>
      <c r="I2955" s="1"/>
      <c r="J2955" s="1"/>
      <c r="K2955" s="1"/>
      <c r="L2955" s="1"/>
      <c r="M2955" s="1"/>
      <c r="N2955" s="1"/>
    </row>
    <row r="2956" ht="14.5" spans="2:14">
      <c r="B2956" s="1"/>
      <c r="C2956" s="1"/>
      <c r="D2956" s="1"/>
      <c r="E2956" s="1"/>
      <c r="F2956" s="1"/>
      <c r="G2956" s="1"/>
      <c r="H2956" s="1"/>
      <c r="I2956" s="1"/>
      <c r="J2956" s="1"/>
      <c r="K2956" s="1"/>
      <c r="L2956" s="1"/>
      <c r="M2956" s="1"/>
      <c r="N2956" s="1"/>
    </row>
    <row r="2957" ht="14.5" spans="2:14">
      <c r="B2957" s="1"/>
      <c r="C2957" s="1"/>
      <c r="D2957" s="1"/>
      <c r="E2957" s="1"/>
      <c r="F2957" s="1"/>
      <c r="G2957" s="1"/>
      <c r="H2957" s="1"/>
      <c r="I2957" s="1"/>
      <c r="J2957" s="1"/>
      <c r="K2957" s="1"/>
      <c r="L2957" s="1"/>
      <c r="M2957" s="1"/>
      <c r="N2957" s="1"/>
    </row>
    <row r="2958" ht="14.5" spans="2:14">
      <c r="B2958" s="1"/>
      <c r="C2958" s="1"/>
      <c r="D2958" s="1"/>
      <c r="E2958" s="1"/>
      <c r="F2958" s="1"/>
      <c r="G2958" s="1"/>
      <c r="H2958" s="1"/>
      <c r="I2958" s="1"/>
      <c r="J2958" s="1"/>
      <c r="K2958" s="1"/>
      <c r="L2958" s="1"/>
      <c r="M2958" s="1"/>
      <c r="N2958" s="1"/>
    </row>
    <row r="2959" ht="14.5" spans="2:14">
      <c r="B2959" s="1"/>
      <c r="C2959" s="1"/>
      <c r="D2959" s="1"/>
      <c r="E2959" s="1"/>
      <c r="F2959" s="1"/>
      <c r="G2959" s="1"/>
      <c r="H2959" s="1"/>
      <c r="I2959" s="1"/>
      <c r="J2959" s="1"/>
      <c r="K2959" s="1"/>
      <c r="L2959" s="1"/>
      <c r="M2959" s="1"/>
      <c r="N2959" s="1"/>
    </row>
    <row r="2960" ht="14.5" spans="2:14">
      <c r="B2960" s="1"/>
      <c r="C2960" s="1"/>
      <c r="D2960" s="1"/>
      <c r="E2960" s="1"/>
      <c r="F2960" s="1"/>
      <c r="G2960" s="1"/>
      <c r="H2960" s="1"/>
      <c r="I2960" s="1"/>
      <c r="J2960" s="1"/>
      <c r="K2960" s="1"/>
      <c r="L2960" s="1"/>
      <c r="M2960" s="1"/>
      <c r="N2960" s="1"/>
    </row>
    <row r="2961" ht="14.5" spans="2:14">
      <c r="B2961" s="1"/>
      <c r="C2961" s="1"/>
      <c r="D2961" s="1"/>
      <c r="E2961" s="1"/>
      <c r="F2961" s="1"/>
      <c r="G2961" s="1"/>
      <c r="H2961" s="1"/>
      <c r="I2961" s="1"/>
      <c r="J2961" s="1"/>
      <c r="K2961" s="1"/>
      <c r="L2961" s="1"/>
      <c r="M2961" s="1"/>
      <c r="N2961" s="1"/>
    </row>
    <row r="2962" ht="14.5" spans="2:14">
      <c r="B2962" s="1"/>
      <c r="C2962" s="1"/>
      <c r="D2962" s="1"/>
      <c r="E2962" s="1"/>
      <c r="F2962" s="1"/>
      <c r="G2962" s="1"/>
      <c r="H2962" s="1"/>
      <c r="I2962" s="1"/>
      <c r="J2962" s="1"/>
      <c r="K2962" s="1"/>
      <c r="L2962" s="1"/>
      <c r="M2962" s="1"/>
      <c r="N2962" s="1"/>
    </row>
    <row r="2963" ht="14.5" spans="2:14">
      <c r="B2963" s="1"/>
      <c r="C2963" s="1"/>
      <c r="D2963" s="1"/>
      <c r="E2963" s="1"/>
      <c r="F2963" s="1"/>
      <c r="G2963" s="1"/>
      <c r="H2963" s="1"/>
      <c r="I2963" s="1"/>
      <c r="J2963" s="1"/>
      <c r="K2963" s="1"/>
      <c r="L2963" s="1"/>
      <c r="M2963" s="1"/>
      <c r="N2963" s="1"/>
    </row>
    <row r="2964" ht="14.5" spans="2:14">
      <c r="B2964" s="1"/>
      <c r="C2964" s="1"/>
      <c r="D2964" s="1"/>
      <c r="E2964" s="1"/>
      <c r="F2964" s="1"/>
      <c r="G2964" s="1"/>
      <c r="H2964" s="1"/>
      <c r="I2964" s="1"/>
      <c r="J2964" s="1"/>
      <c r="K2964" s="1"/>
      <c r="L2964" s="1"/>
      <c r="M2964" s="1"/>
      <c r="N2964" s="1"/>
    </row>
    <row r="2965" ht="14.5" spans="2:14">
      <c r="B2965" s="1"/>
      <c r="C2965" s="1"/>
      <c r="D2965" s="1"/>
      <c r="E2965" s="1"/>
      <c r="F2965" s="1"/>
      <c r="G2965" s="1"/>
      <c r="H2965" s="1"/>
      <c r="I2965" s="1"/>
      <c r="J2965" s="1"/>
      <c r="K2965" s="1"/>
      <c r="L2965" s="1"/>
      <c r="M2965" s="1"/>
      <c r="N2965" s="1"/>
    </row>
    <row r="2966" ht="14.5" spans="2:14">
      <c r="B2966" s="1"/>
      <c r="C2966" s="1"/>
      <c r="D2966" s="1"/>
      <c r="E2966" s="1"/>
      <c r="F2966" s="1"/>
      <c r="G2966" s="1"/>
      <c r="H2966" s="1"/>
      <c r="I2966" s="1"/>
      <c r="J2966" s="1"/>
      <c r="K2966" s="1"/>
      <c r="L2966" s="1"/>
      <c r="M2966" s="1"/>
      <c r="N2966" s="1"/>
    </row>
    <row r="2967" ht="14.5" spans="2:14">
      <c r="B2967" s="1"/>
      <c r="C2967" s="1"/>
      <c r="D2967" s="1"/>
      <c r="E2967" s="1"/>
      <c r="F2967" s="1"/>
      <c r="G2967" s="1"/>
      <c r="H2967" s="1"/>
      <c r="I2967" s="1"/>
      <c r="J2967" s="1"/>
      <c r="K2967" s="1"/>
      <c r="L2967" s="1"/>
      <c r="M2967" s="1"/>
      <c r="N2967" s="1"/>
    </row>
    <row r="2968" ht="14.5" spans="2:14">
      <c r="B2968" s="1"/>
      <c r="C2968" s="1"/>
      <c r="D2968" s="1"/>
      <c r="E2968" s="1"/>
      <c r="F2968" s="1"/>
      <c r="G2968" s="1"/>
      <c r="H2968" s="1"/>
      <c r="I2968" s="1"/>
      <c r="J2968" s="1"/>
      <c r="K2968" s="1"/>
      <c r="L2968" s="1"/>
      <c r="M2968" s="1"/>
      <c r="N2968" s="1"/>
    </row>
    <row r="2969" ht="14.5" spans="2:14">
      <c r="B2969" s="1"/>
      <c r="C2969" s="1"/>
      <c r="D2969" s="1"/>
      <c r="E2969" s="1"/>
      <c r="F2969" s="1"/>
      <c r="G2969" s="1"/>
      <c r="H2969" s="1"/>
      <c r="I2969" s="1"/>
      <c r="J2969" s="1"/>
      <c r="K2969" s="1"/>
      <c r="L2969" s="1"/>
      <c r="M2969" s="1"/>
      <c r="N2969" s="1"/>
    </row>
    <row r="2970" ht="14.5" spans="2:14">
      <c r="B2970" s="1"/>
      <c r="C2970" s="1"/>
      <c r="D2970" s="1"/>
      <c r="E2970" s="1"/>
      <c r="F2970" s="1"/>
      <c r="G2970" s="1"/>
      <c r="H2970" s="1"/>
      <c r="I2970" s="1"/>
      <c r="J2970" s="1"/>
      <c r="K2970" s="1"/>
      <c r="L2970" s="1"/>
      <c r="M2970" s="1"/>
      <c r="N2970" s="1"/>
    </row>
    <row r="2971" ht="14.5" spans="2:14">
      <c r="B2971" s="1"/>
      <c r="C2971" s="1"/>
      <c r="D2971" s="1"/>
      <c r="E2971" s="1"/>
      <c r="F2971" s="1"/>
      <c r="G2971" s="1"/>
      <c r="H2971" s="1"/>
      <c r="I2971" s="1"/>
      <c r="J2971" s="1"/>
      <c r="K2971" s="1"/>
      <c r="L2971" s="1"/>
      <c r="M2971" s="1"/>
      <c r="N2971" s="1"/>
    </row>
    <row r="2972" ht="14.5" spans="2:14">
      <c r="B2972" s="1"/>
      <c r="C2972" s="1"/>
      <c r="D2972" s="1"/>
      <c r="E2972" s="1"/>
      <c r="F2972" s="1"/>
      <c r="G2972" s="1"/>
      <c r="H2972" s="1"/>
      <c r="I2972" s="1"/>
      <c r="J2972" s="1"/>
      <c r="K2972" s="1"/>
      <c r="L2972" s="1"/>
      <c r="M2972" s="1"/>
      <c r="N2972" s="1"/>
    </row>
    <row r="2973" ht="14.5" spans="2:14">
      <c r="B2973" s="1"/>
      <c r="C2973" s="1"/>
      <c r="D2973" s="1"/>
      <c r="E2973" s="1"/>
      <c r="F2973" s="1"/>
      <c r="G2973" s="1"/>
      <c r="H2973" s="1"/>
      <c r="I2973" s="1"/>
      <c r="J2973" s="1"/>
      <c r="K2973" s="1"/>
      <c r="L2973" s="1"/>
      <c r="M2973" s="1"/>
      <c r="N2973" s="1"/>
    </row>
    <row r="2974" ht="14.5" spans="2:14">
      <c r="B2974" s="1"/>
      <c r="C2974" s="1"/>
      <c r="D2974" s="1"/>
      <c r="E2974" s="1"/>
      <c r="F2974" s="1"/>
      <c r="G2974" s="1"/>
      <c r="H2974" s="1"/>
      <c r="I2974" s="1"/>
      <c r="J2974" s="1"/>
      <c r="K2974" s="1"/>
      <c r="L2974" s="1"/>
      <c r="M2974" s="1"/>
      <c r="N2974" s="1"/>
    </row>
    <row r="2975" ht="14.5" spans="2:14">
      <c r="B2975" s="1"/>
      <c r="C2975" s="1"/>
      <c r="D2975" s="1"/>
      <c r="E2975" s="1"/>
      <c r="F2975" s="1"/>
      <c r="G2975" s="1"/>
      <c r="H2975" s="1"/>
      <c r="I2975" s="1"/>
      <c r="J2975" s="1"/>
      <c r="K2975" s="1"/>
      <c r="L2975" s="1"/>
      <c r="M2975" s="1"/>
      <c r="N2975" s="1"/>
    </row>
    <row r="2976" ht="14.5" spans="2:14">
      <c r="B2976" s="1"/>
      <c r="C2976" s="1"/>
      <c r="D2976" s="1"/>
      <c r="E2976" s="1"/>
      <c r="F2976" s="1"/>
      <c r="G2976" s="1"/>
      <c r="H2976" s="1"/>
      <c r="I2976" s="1"/>
      <c r="J2976" s="1"/>
      <c r="K2976" s="1"/>
      <c r="L2976" s="1"/>
      <c r="M2976" s="1"/>
      <c r="N2976" s="1"/>
    </row>
    <row r="2977" ht="14.5" spans="2:14">
      <c r="B2977" s="1"/>
      <c r="C2977" s="1"/>
      <c r="D2977" s="1"/>
      <c r="E2977" s="1"/>
      <c r="F2977" s="1"/>
      <c r="G2977" s="1"/>
      <c r="H2977" s="1"/>
      <c r="I2977" s="1"/>
      <c r="J2977" s="1"/>
      <c r="K2977" s="1"/>
      <c r="L2977" s="1"/>
      <c r="M2977" s="1"/>
      <c r="N2977" s="1"/>
    </row>
    <row r="2978" ht="14.5" spans="2:14">
      <c r="B2978" s="1"/>
      <c r="C2978" s="1"/>
      <c r="D2978" s="1"/>
      <c r="E2978" s="1"/>
      <c r="F2978" s="1"/>
      <c r="G2978" s="1"/>
      <c r="H2978" s="1"/>
      <c r="I2978" s="1"/>
      <c r="J2978" s="1"/>
      <c r="K2978" s="1"/>
      <c r="L2978" s="1"/>
      <c r="M2978" s="1"/>
      <c r="N2978" s="1"/>
    </row>
    <row r="2979" ht="14.5" spans="2:14">
      <c r="B2979" s="1"/>
      <c r="C2979" s="1"/>
      <c r="D2979" s="1"/>
      <c r="E2979" s="1"/>
      <c r="F2979" s="1"/>
      <c r="G2979" s="1"/>
      <c r="H2979" s="1"/>
      <c r="I2979" s="1"/>
      <c r="J2979" s="1"/>
      <c r="K2979" s="1"/>
      <c r="L2979" s="1"/>
      <c r="M2979" s="1"/>
      <c r="N2979" s="1"/>
    </row>
    <row r="2980" ht="14.5" spans="2:14">
      <c r="B2980" s="1"/>
      <c r="C2980" s="1"/>
      <c r="D2980" s="1"/>
      <c r="E2980" s="1"/>
      <c r="F2980" s="1"/>
      <c r="G2980" s="1"/>
      <c r="H2980" s="1"/>
      <c r="I2980" s="1"/>
      <c r="J2980" s="1"/>
      <c r="K2980" s="1"/>
      <c r="L2980" s="1"/>
      <c r="M2980" s="1"/>
      <c r="N2980" s="1"/>
    </row>
    <row r="2981" ht="14.5" spans="2:14">
      <c r="B2981" s="1"/>
      <c r="C2981" s="1"/>
      <c r="D2981" s="1"/>
      <c r="E2981" s="1"/>
      <c r="F2981" s="1"/>
      <c r="G2981" s="1"/>
      <c r="H2981" s="1"/>
      <c r="I2981" s="1"/>
      <c r="J2981" s="1"/>
      <c r="K2981" s="1"/>
      <c r="L2981" s="1"/>
      <c r="M2981" s="1"/>
      <c r="N2981" s="1"/>
    </row>
    <row r="2982" ht="14.5" spans="2:14">
      <c r="B2982" s="1"/>
      <c r="C2982" s="1"/>
      <c r="D2982" s="1"/>
      <c r="E2982" s="1"/>
      <c r="F2982" s="1"/>
      <c r="G2982" s="1"/>
      <c r="H2982" s="1"/>
      <c r="I2982" s="1"/>
      <c r="J2982" s="1"/>
      <c r="K2982" s="1"/>
      <c r="L2982" s="1"/>
      <c r="M2982" s="1"/>
      <c r="N2982" s="1"/>
    </row>
    <row r="2983" ht="14.5" spans="2:14">
      <c r="B2983" s="1"/>
      <c r="C2983" s="1"/>
      <c r="D2983" s="1"/>
      <c r="E2983" s="1"/>
      <c r="F2983" s="1"/>
      <c r="G2983" s="1"/>
      <c r="H2983" s="1"/>
      <c r="I2983" s="1"/>
      <c r="J2983" s="1"/>
      <c r="K2983" s="1"/>
      <c r="L2983" s="1"/>
      <c r="M2983" s="1"/>
      <c r="N2983" s="1"/>
    </row>
    <row r="2984" ht="14.5" spans="2:14">
      <c r="B2984" s="1"/>
      <c r="C2984" s="1"/>
      <c r="D2984" s="1"/>
      <c r="E2984" s="1"/>
      <c r="F2984" s="1"/>
      <c r="G2984" s="1"/>
      <c r="H2984" s="1"/>
      <c r="I2984" s="1"/>
      <c r="J2984" s="1"/>
      <c r="K2984" s="1"/>
      <c r="L2984" s="1"/>
      <c r="M2984" s="1"/>
      <c r="N2984" s="1"/>
    </row>
    <row r="2985" ht="14.5" spans="2:14">
      <c r="B2985" s="1"/>
      <c r="C2985" s="1"/>
      <c r="D2985" s="1"/>
      <c r="E2985" s="1"/>
      <c r="F2985" s="1"/>
      <c r="G2985" s="1"/>
      <c r="H2985" s="1"/>
      <c r="I2985" s="1"/>
      <c r="J2985" s="1"/>
      <c r="K2985" s="1"/>
      <c r="L2985" s="1"/>
      <c r="M2985" s="1"/>
      <c r="N2985" s="1"/>
    </row>
    <row r="2986" ht="14.5" spans="2:14">
      <c r="B2986" s="1"/>
      <c r="C2986" s="1"/>
      <c r="D2986" s="1"/>
      <c r="E2986" s="1"/>
      <c r="F2986" s="1"/>
      <c r="G2986" s="1"/>
      <c r="H2986" s="1"/>
      <c r="I2986" s="1"/>
      <c r="J2986" s="1"/>
      <c r="K2986" s="1"/>
      <c r="L2986" s="1"/>
      <c r="M2986" s="1"/>
      <c r="N2986" s="1"/>
    </row>
    <row r="2987" ht="14.5" spans="2:14">
      <c r="B2987" s="1"/>
      <c r="C2987" s="1"/>
      <c r="D2987" s="1"/>
      <c r="E2987" s="1"/>
      <c r="F2987" s="1"/>
      <c r="G2987" s="1"/>
      <c r="H2987" s="1"/>
      <c r="I2987" s="1"/>
      <c r="J2987" s="1"/>
      <c r="K2987" s="1"/>
      <c r="L2987" s="1"/>
      <c r="M2987" s="1"/>
      <c r="N2987" s="1"/>
    </row>
    <row r="2988" ht="14.5" spans="2:14">
      <c r="B2988" s="1"/>
      <c r="C2988" s="1"/>
      <c r="D2988" s="1"/>
      <c r="E2988" s="1"/>
      <c r="F2988" s="1"/>
      <c r="G2988" s="1"/>
      <c r="H2988" s="1"/>
      <c r="I2988" s="1"/>
      <c r="J2988" s="1"/>
      <c r="K2988" s="1"/>
      <c r="L2988" s="1"/>
      <c r="M2988" s="1"/>
      <c r="N2988" s="1"/>
    </row>
    <row r="2989" ht="14.5" spans="2:14">
      <c r="B2989" s="1"/>
      <c r="C2989" s="1"/>
      <c r="D2989" s="1"/>
      <c r="E2989" s="1"/>
      <c r="F2989" s="1"/>
      <c r="G2989" s="1"/>
      <c r="H2989" s="1"/>
      <c r="I2989" s="1"/>
      <c r="J2989" s="1"/>
      <c r="K2989" s="1"/>
      <c r="L2989" s="1"/>
      <c r="M2989" s="1"/>
      <c r="N2989" s="1"/>
    </row>
    <row r="2990" ht="14.5" spans="2:14">
      <c r="B2990" s="1"/>
      <c r="C2990" s="1"/>
      <c r="D2990" s="1"/>
      <c r="E2990" s="1"/>
      <c r="F2990" s="1"/>
      <c r="G2990" s="1"/>
      <c r="H2990" s="1"/>
      <c r="I2990" s="1"/>
      <c r="J2990" s="1"/>
      <c r="K2990" s="1"/>
      <c r="L2990" s="1"/>
      <c r="M2990" s="1"/>
      <c r="N2990" s="1"/>
    </row>
    <row r="2991" ht="14.5" spans="2:14">
      <c r="B2991" s="1"/>
      <c r="C2991" s="1"/>
      <c r="D2991" s="1"/>
      <c r="E2991" s="1"/>
      <c r="F2991" s="1"/>
      <c r="G2991" s="1"/>
      <c r="H2991" s="1"/>
      <c r="I2991" s="1"/>
      <c r="J2991" s="1"/>
      <c r="K2991" s="1"/>
      <c r="L2991" s="1"/>
      <c r="M2991" s="1"/>
      <c r="N2991" s="1"/>
    </row>
    <row r="2992" ht="14.5" spans="2:14">
      <c r="B2992" s="1"/>
      <c r="C2992" s="1"/>
      <c r="D2992" s="1"/>
      <c r="E2992" s="1"/>
      <c r="F2992" s="1"/>
      <c r="G2992" s="1"/>
      <c r="H2992" s="1"/>
      <c r="I2992" s="1"/>
      <c r="J2992" s="1"/>
      <c r="K2992" s="1"/>
      <c r="L2992" s="1"/>
      <c r="M2992" s="1"/>
      <c r="N2992" s="1"/>
    </row>
    <row r="2993" ht="14.5" spans="2:14">
      <c r="B2993" s="1"/>
      <c r="C2993" s="1"/>
      <c r="D2993" s="1"/>
      <c r="E2993" s="1"/>
      <c r="F2993" s="1"/>
      <c r="G2993" s="1"/>
      <c r="H2993" s="1"/>
      <c r="I2993" s="1"/>
      <c r="J2993" s="1"/>
      <c r="K2993" s="1"/>
      <c r="L2993" s="1"/>
      <c r="M2993" s="1"/>
      <c r="N2993" s="1"/>
    </row>
    <row r="2994" ht="14.5" spans="2:14">
      <c r="B2994" s="1"/>
      <c r="C2994" s="1"/>
      <c r="D2994" s="1"/>
      <c r="E2994" s="1"/>
      <c r="F2994" s="1"/>
      <c r="G2994" s="1"/>
      <c r="H2994" s="1"/>
      <c r="I2994" s="1"/>
      <c r="J2994" s="1"/>
      <c r="K2994" s="1"/>
      <c r="L2994" s="1"/>
      <c r="M2994" s="1"/>
      <c r="N2994" s="1"/>
    </row>
    <row r="2995" ht="14.5" spans="2:14">
      <c r="B2995" s="1"/>
      <c r="C2995" s="1"/>
      <c r="D2995" s="1"/>
      <c r="E2995" s="1"/>
      <c r="F2995" s="1"/>
      <c r="G2995" s="1"/>
      <c r="H2995" s="1"/>
      <c r="I2995" s="1"/>
      <c r="J2995" s="1"/>
      <c r="K2995" s="1"/>
      <c r="L2995" s="1"/>
      <c r="M2995" s="1"/>
      <c r="N2995" s="1"/>
    </row>
    <row r="2996" ht="14.5" spans="2:14">
      <c r="B2996" s="1"/>
      <c r="C2996" s="1"/>
      <c r="D2996" s="1"/>
      <c r="E2996" s="1"/>
      <c r="F2996" s="1"/>
      <c r="G2996" s="1"/>
      <c r="H2996" s="1"/>
      <c r="I2996" s="1"/>
      <c r="J2996" s="1"/>
      <c r="K2996" s="1"/>
      <c r="L2996" s="1"/>
      <c r="M2996" s="1"/>
      <c r="N2996" s="1"/>
    </row>
    <row r="2997" ht="14.5" spans="2:14">
      <c r="B2997" s="1"/>
      <c r="C2997" s="1"/>
      <c r="D2997" s="1"/>
      <c r="E2997" s="1"/>
      <c r="F2997" s="1"/>
      <c r="G2997" s="1"/>
      <c r="H2997" s="1"/>
      <c r="I2997" s="1"/>
      <c r="J2997" s="1"/>
      <c r="K2997" s="1"/>
      <c r="L2997" s="1"/>
      <c r="M2997" s="1"/>
      <c r="N2997" s="1"/>
    </row>
    <row r="2998" ht="14.5" spans="2:14">
      <c r="B2998" s="1"/>
      <c r="C2998" s="1"/>
      <c r="D2998" s="1"/>
      <c r="E2998" s="1"/>
      <c r="F2998" s="1"/>
      <c r="G2998" s="1"/>
      <c r="H2998" s="1"/>
      <c r="I2998" s="1"/>
      <c r="J2998" s="1"/>
      <c r="K2998" s="1"/>
      <c r="L2998" s="1"/>
      <c r="M2998" s="1"/>
      <c r="N2998" s="1"/>
    </row>
    <row r="2999" ht="14.5" spans="2:14">
      <c r="B2999" s="1"/>
      <c r="C2999" s="1"/>
      <c r="D2999" s="1"/>
      <c r="E2999" s="1"/>
      <c r="F2999" s="1"/>
      <c r="G2999" s="1"/>
      <c r="H2999" s="1"/>
      <c r="I2999" s="1"/>
      <c r="J2999" s="1"/>
      <c r="K2999" s="1"/>
      <c r="L2999" s="1"/>
      <c r="M2999" s="1"/>
      <c r="N2999" s="1"/>
    </row>
    <row r="3000" ht="14.5" spans="2:14">
      <c r="B3000" s="1"/>
      <c r="C3000" s="1"/>
      <c r="D3000" s="1"/>
      <c r="E3000" s="1"/>
      <c r="F3000" s="1"/>
      <c r="G3000" s="1"/>
      <c r="H3000" s="1"/>
      <c r="I3000" s="1"/>
      <c r="J3000" s="1"/>
      <c r="K3000" s="1"/>
      <c r="L3000" s="1"/>
      <c r="M3000" s="1"/>
      <c r="N3000" s="1"/>
    </row>
    <row r="3001" ht="14.5" spans="2:14">
      <c r="B3001" s="1"/>
      <c r="C3001" s="1"/>
      <c r="D3001" s="1"/>
      <c r="E3001" s="1"/>
      <c r="F3001" s="1"/>
      <c r="G3001" s="1"/>
      <c r="H3001" s="1"/>
      <c r="I3001" s="1"/>
      <c r="J3001" s="1"/>
      <c r="K3001" s="1"/>
      <c r="L3001" s="1"/>
      <c r="M3001" s="1"/>
      <c r="N3001" s="1"/>
    </row>
    <row r="3002" ht="14.5" spans="2:14">
      <c r="B3002" s="1"/>
      <c r="C3002" s="1"/>
      <c r="D3002" s="1"/>
      <c r="E3002" s="1"/>
      <c r="F3002" s="1"/>
      <c r="G3002" s="1"/>
      <c r="H3002" s="1"/>
      <c r="I3002" s="1"/>
      <c r="J3002" s="1"/>
      <c r="K3002" s="1"/>
      <c r="L3002" s="1"/>
      <c r="M3002" s="1"/>
      <c r="N3002" s="1"/>
    </row>
    <row r="3003" ht="14.5" spans="2:14">
      <c r="B3003" s="1"/>
      <c r="C3003" s="1"/>
      <c r="D3003" s="1"/>
      <c r="E3003" s="1"/>
      <c r="F3003" s="1"/>
      <c r="G3003" s="1"/>
      <c r="H3003" s="1"/>
      <c r="I3003" s="1"/>
      <c r="J3003" s="1"/>
      <c r="K3003" s="1"/>
      <c r="L3003" s="1"/>
      <c r="M3003" s="1"/>
      <c r="N3003" s="1"/>
    </row>
    <row r="3004" ht="14.5" spans="2:14">
      <c r="B3004" s="1"/>
      <c r="C3004" s="1"/>
      <c r="D3004" s="1"/>
      <c r="E3004" s="1"/>
      <c r="F3004" s="1"/>
      <c r="G3004" s="1"/>
      <c r="H3004" s="1"/>
      <c r="I3004" s="1"/>
      <c r="J3004" s="1"/>
      <c r="K3004" s="1"/>
      <c r="L3004" s="1"/>
      <c r="M3004" s="1"/>
      <c r="N3004" s="1"/>
    </row>
    <row r="3005" ht="14.5" spans="2:14">
      <c r="B3005" s="1"/>
      <c r="C3005" s="1"/>
      <c r="D3005" s="1"/>
      <c r="E3005" s="1"/>
      <c r="F3005" s="1"/>
      <c r="G3005" s="1"/>
      <c r="H3005" s="1"/>
      <c r="I3005" s="1"/>
      <c r="J3005" s="1"/>
      <c r="K3005" s="1"/>
      <c r="L3005" s="1"/>
      <c r="M3005" s="1"/>
      <c r="N3005" s="1"/>
    </row>
    <row r="3006" ht="14.5" spans="2:14">
      <c r="B3006" s="1"/>
      <c r="C3006" s="1"/>
      <c r="D3006" s="1"/>
      <c r="E3006" s="1"/>
      <c r="F3006" s="1"/>
      <c r="G3006" s="1"/>
      <c r="H3006" s="1"/>
      <c r="I3006" s="1"/>
      <c r="J3006" s="1"/>
      <c r="K3006" s="1"/>
      <c r="L3006" s="1"/>
      <c r="M3006" s="1"/>
      <c r="N3006" s="1"/>
    </row>
    <row r="3007" ht="14.5" spans="2:14">
      <c r="B3007" s="1"/>
      <c r="C3007" s="1"/>
      <c r="D3007" s="1"/>
      <c r="E3007" s="1"/>
      <c r="F3007" s="1"/>
      <c r="G3007" s="1"/>
      <c r="H3007" s="1"/>
      <c r="I3007" s="1"/>
      <c r="J3007" s="1"/>
      <c r="K3007" s="1"/>
      <c r="L3007" s="1"/>
      <c r="M3007" s="1"/>
      <c r="N3007" s="1"/>
    </row>
    <row r="3008" ht="14.5" spans="2:14">
      <c r="B3008" s="1"/>
      <c r="C3008" s="1"/>
      <c r="D3008" s="1"/>
      <c r="E3008" s="1"/>
      <c r="F3008" s="1"/>
      <c r="G3008" s="1"/>
      <c r="H3008" s="1"/>
      <c r="I3008" s="1"/>
      <c r="J3008" s="1"/>
      <c r="K3008" s="1"/>
      <c r="L3008" s="1"/>
      <c r="M3008" s="1"/>
      <c r="N3008" s="1"/>
    </row>
    <row r="3009" ht="14.5" spans="2:14">
      <c r="B3009" s="1"/>
      <c r="C3009" s="1"/>
      <c r="D3009" s="1"/>
      <c r="E3009" s="1"/>
      <c r="F3009" s="1"/>
      <c r="G3009" s="1"/>
      <c r="H3009" s="1"/>
      <c r="I3009" s="1"/>
      <c r="J3009" s="1"/>
      <c r="K3009" s="1"/>
      <c r="L3009" s="1"/>
      <c r="M3009" s="1"/>
      <c r="N3009" s="1"/>
    </row>
    <row r="3010" ht="14.5" spans="2:14">
      <c r="B3010" s="1"/>
      <c r="C3010" s="1"/>
      <c r="D3010" s="1"/>
      <c r="E3010" s="1"/>
      <c r="F3010" s="1"/>
      <c r="G3010" s="1"/>
      <c r="H3010" s="1"/>
      <c r="I3010" s="1"/>
      <c r="J3010" s="1"/>
      <c r="K3010" s="1"/>
      <c r="L3010" s="1"/>
      <c r="M3010" s="1"/>
      <c r="N3010" s="1"/>
    </row>
    <row r="3011" ht="14.5" spans="2:14">
      <c r="B3011" s="1"/>
      <c r="C3011" s="1"/>
      <c r="D3011" s="1"/>
      <c r="E3011" s="1"/>
      <c r="F3011" s="1"/>
      <c r="G3011" s="1"/>
      <c r="H3011" s="1"/>
      <c r="I3011" s="1"/>
      <c r="J3011" s="1"/>
      <c r="K3011" s="1"/>
      <c r="L3011" s="1"/>
      <c r="M3011" s="1"/>
      <c r="N3011" s="1"/>
    </row>
    <row r="3012" ht="14.5" spans="2:14">
      <c r="B3012" s="1"/>
      <c r="C3012" s="1"/>
      <c r="D3012" s="1"/>
      <c r="E3012" s="1"/>
      <c r="F3012" s="1"/>
      <c r="G3012" s="1"/>
      <c r="H3012" s="1"/>
      <c r="I3012" s="1"/>
      <c r="J3012" s="1"/>
      <c r="K3012" s="1"/>
      <c r="L3012" s="1"/>
      <c r="M3012" s="1"/>
      <c r="N3012" s="1"/>
    </row>
    <row r="3013" ht="14.5" spans="2:14">
      <c r="B3013" s="1"/>
      <c r="C3013" s="1"/>
      <c r="D3013" s="1"/>
      <c r="E3013" s="1"/>
      <c r="F3013" s="1"/>
      <c r="G3013" s="1"/>
      <c r="H3013" s="1"/>
      <c r="I3013" s="1"/>
      <c r="J3013" s="1"/>
      <c r="K3013" s="1"/>
      <c r="L3013" s="1"/>
      <c r="M3013" s="1"/>
      <c r="N3013" s="1"/>
    </row>
    <row r="3014" ht="14.5" spans="2:14">
      <c r="B3014" s="1"/>
      <c r="C3014" s="1"/>
      <c r="D3014" s="1"/>
      <c r="E3014" s="1"/>
      <c r="F3014" s="1"/>
      <c r="G3014" s="1"/>
      <c r="H3014" s="1"/>
      <c r="I3014" s="1"/>
      <c r="J3014" s="1"/>
      <c r="K3014" s="1"/>
      <c r="L3014" s="1"/>
      <c r="M3014" s="1"/>
      <c r="N3014" s="1"/>
    </row>
    <row r="3015" ht="14.5" spans="2:14">
      <c r="B3015" s="1"/>
      <c r="C3015" s="1"/>
      <c r="D3015" s="1"/>
      <c r="E3015" s="1"/>
      <c r="F3015" s="1"/>
      <c r="G3015" s="1"/>
      <c r="H3015" s="1"/>
      <c r="I3015" s="1"/>
      <c r="J3015" s="1"/>
      <c r="K3015" s="1"/>
      <c r="L3015" s="1"/>
      <c r="M3015" s="1"/>
      <c r="N3015" s="1"/>
    </row>
    <row r="3016" ht="14.5" spans="2:14">
      <c r="B3016" s="1"/>
      <c r="C3016" s="1"/>
      <c r="D3016" s="1"/>
      <c r="E3016" s="1"/>
      <c r="F3016" s="1"/>
      <c r="G3016" s="1"/>
      <c r="H3016" s="1"/>
      <c r="I3016" s="1"/>
      <c r="J3016" s="1"/>
      <c r="K3016" s="1"/>
      <c r="L3016" s="1"/>
      <c r="M3016" s="1"/>
      <c r="N3016" s="1"/>
    </row>
    <row r="3017" ht="14.5" spans="2:14">
      <c r="B3017" s="1"/>
      <c r="C3017" s="1"/>
      <c r="D3017" s="1"/>
      <c r="E3017" s="1"/>
      <c r="F3017" s="1"/>
      <c r="G3017" s="1"/>
      <c r="H3017" s="1"/>
      <c r="I3017" s="1"/>
      <c r="J3017" s="1"/>
      <c r="K3017" s="1"/>
      <c r="L3017" s="1"/>
      <c r="M3017" s="1"/>
      <c r="N3017" s="1"/>
    </row>
    <row r="3018" ht="14.5" spans="2:14">
      <c r="B3018" s="1"/>
      <c r="C3018" s="1"/>
      <c r="D3018" s="1"/>
      <c r="E3018" s="1"/>
      <c r="F3018" s="1"/>
      <c r="G3018" s="1"/>
      <c r="H3018" s="1"/>
      <c r="I3018" s="1"/>
      <c r="J3018" s="1"/>
      <c r="K3018" s="1"/>
      <c r="L3018" s="1"/>
      <c r="M3018" s="1"/>
      <c r="N3018" s="1"/>
    </row>
    <row r="3019" ht="14.5" spans="2:14">
      <c r="B3019" s="1"/>
      <c r="C3019" s="1"/>
      <c r="D3019" s="1"/>
      <c r="E3019" s="1"/>
      <c r="F3019" s="1"/>
      <c r="G3019" s="1"/>
      <c r="H3019" s="1"/>
      <c r="I3019" s="1"/>
      <c r="J3019" s="1"/>
      <c r="K3019" s="1"/>
      <c r="L3019" s="1"/>
      <c r="M3019" s="1"/>
      <c r="N3019" s="1"/>
    </row>
    <row r="3020" ht="14.5" spans="2:14">
      <c r="B3020" s="1"/>
      <c r="C3020" s="1"/>
      <c r="D3020" s="1"/>
      <c r="E3020" s="1"/>
      <c r="F3020" s="1"/>
      <c r="G3020" s="1"/>
      <c r="H3020" s="1"/>
      <c r="I3020" s="1"/>
      <c r="J3020" s="1"/>
      <c r="K3020" s="1"/>
      <c r="L3020" s="1"/>
      <c r="M3020" s="1"/>
      <c r="N3020" s="1"/>
    </row>
    <row r="3021" ht="14.5" spans="2:14">
      <c r="B3021" s="1"/>
      <c r="C3021" s="1"/>
      <c r="D3021" s="1"/>
      <c r="E3021" s="1"/>
      <c r="F3021" s="1"/>
      <c r="G3021" s="1"/>
      <c r="H3021" s="1"/>
      <c r="I3021" s="1"/>
      <c r="J3021" s="1"/>
      <c r="K3021" s="1"/>
      <c r="L3021" s="1"/>
      <c r="M3021" s="1"/>
      <c r="N3021" s="1"/>
    </row>
    <row r="3022" ht="14.5" spans="2:14">
      <c r="B3022" s="1"/>
      <c r="C3022" s="1"/>
      <c r="D3022" s="1"/>
      <c r="E3022" s="1"/>
      <c r="F3022" s="1"/>
      <c r="G3022" s="1"/>
      <c r="H3022" s="1"/>
      <c r="I3022" s="1"/>
      <c r="J3022" s="1"/>
      <c r="K3022" s="1"/>
      <c r="L3022" s="1"/>
      <c r="M3022" s="1"/>
      <c r="N3022" s="1"/>
    </row>
    <row r="3023" ht="14.5" spans="2:14">
      <c r="B3023" s="1"/>
      <c r="C3023" s="1"/>
      <c r="D3023" s="1"/>
      <c r="E3023" s="1"/>
      <c r="F3023" s="1"/>
      <c r="G3023" s="1"/>
      <c r="H3023" s="1"/>
      <c r="I3023" s="1"/>
      <c r="J3023" s="1"/>
      <c r="K3023" s="1"/>
      <c r="L3023" s="1"/>
      <c r="M3023" s="1"/>
      <c r="N3023" s="1"/>
    </row>
    <row r="3024" ht="14.5" spans="2:14">
      <c r="B3024" s="1"/>
      <c r="C3024" s="1"/>
      <c r="D3024" s="1"/>
      <c r="E3024" s="1"/>
      <c r="F3024" s="1"/>
      <c r="G3024" s="1"/>
      <c r="H3024" s="1"/>
      <c r="I3024" s="1"/>
      <c r="J3024" s="1"/>
      <c r="K3024" s="1"/>
      <c r="L3024" s="1"/>
      <c r="M3024" s="1"/>
      <c r="N3024" s="1"/>
    </row>
    <row r="3025" ht="14.5" spans="2:14">
      <c r="B3025" s="1"/>
      <c r="C3025" s="1"/>
      <c r="D3025" s="1"/>
      <c r="E3025" s="1"/>
      <c r="F3025" s="1"/>
      <c r="G3025" s="1"/>
      <c r="H3025" s="1"/>
      <c r="I3025" s="1"/>
      <c r="J3025" s="1"/>
      <c r="K3025" s="1"/>
      <c r="L3025" s="1"/>
      <c r="M3025" s="1"/>
      <c r="N3025" s="1"/>
    </row>
    <row r="3026" ht="14.5" spans="2:14">
      <c r="B3026" s="1"/>
      <c r="C3026" s="1"/>
      <c r="D3026" s="1"/>
      <c r="E3026" s="1"/>
      <c r="F3026" s="1"/>
      <c r="G3026" s="1"/>
      <c r="H3026" s="1"/>
      <c r="I3026" s="1"/>
      <c r="J3026" s="1"/>
      <c r="K3026" s="1"/>
      <c r="L3026" s="1"/>
      <c r="M3026" s="1"/>
      <c r="N3026" s="1"/>
    </row>
    <row r="3027" ht="14.5" spans="2:14">
      <c r="B3027" s="1"/>
      <c r="C3027" s="1"/>
      <c r="D3027" s="1"/>
      <c r="E3027" s="1"/>
      <c r="F3027" s="1"/>
      <c r="G3027" s="1"/>
      <c r="H3027" s="1"/>
      <c r="I3027" s="1"/>
      <c r="J3027" s="1"/>
      <c r="K3027" s="1"/>
      <c r="L3027" s="1"/>
      <c r="M3027" s="1"/>
      <c r="N3027" s="1"/>
    </row>
    <row r="3028" ht="14.5" spans="2:14">
      <c r="B3028" s="1"/>
      <c r="C3028" s="1"/>
      <c r="D3028" s="1"/>
      <c r="E3028" s="1"/>
      <c r="F3028" s="1"/>
      <c r="G3028" s="1"/>
      <c r="H3028" s="1"/>
      <c r="I3028" s="1"/>
      <c r="J3028" s="1"/>
      <c r="K3028" s="1"/>
      <c r="L3028" s="1"/>
      <c r="M3028" s="1"/>
      <c r="N3028" s="1"/>
    </row>
    <row r="3029" ht="14.5" spans="2:14">
      <c r="B3029" s="1"/>
      <c r="C3029" s="1"/>
      <c r="D3029" s="1"/>
      <c r="E3029" s="1"/>
      <c r="F3029" s="1"/>
      <c r="G3029" s="1"/>
      <c r="H3029" s="1"/>
      <c r="I3029" s="1"/>
      <c r="J3029" s="1"/>
      <c r="K3029" s="1"/>
      <c r="L3029" s="1"/>
      <c r="M3029" s="1"/>
      <c r="N3029" s="1"/>
    </row>
    <row r="3030" ht="14.5" spans="2:14">
      <c r="B3030" s="1"/>
      <c r="C3030" s="1"/>
      <c r="D3030" s="1"/>
      <c r="E3030" s="1"/>
      <c r="F3030" s="1"/>
      <c r="G3030" s="1"/>
      <c r="H3030" s="1"/>
      <c r="I3030" s="1"/>
      <c r="J3030" s="1"/>
      <c r="K3030" s="1"/>
      <c r="L3030" s="1"/>
      <c r="M3030" s="1"/>
      <c r="N3030" s="1"/>
    </row>
    <row r="3031" ht="14.5" spans="2:14">
      <c r="B3031" s="1"/>
      <c r="C3031" s="1"/>
      <c r="D3031" s="1"/>
      <c r="E3031" s="1"/>
      <c r="F3031" s="1"/>
      <c r="G3031" s="1"/>
      <c r="H3031" s="1"/>
      <c r="I3031" s="1"/>
      <c r="J3031" s="1"/>
      <c r="K3031" s="1"/>
      <c r="L3031" s="1"/>
      <c r="M3031" s="1"/>
      <c r="N3031" s="1"/>
    </row>
    <row r="3032" ht="14.5" spans="2:14">
      <c r="B3032" s="1"/>
      <c r="C3032" s="1"/>
      <c r="D3032" s="1"/>
      <c r="E3032" s="1"/>
      <c r="F3032" s="1"/>
      <c r="G3032" s="1"/>
      <c r="H3032" s="1"/>
      <c r="I3032" s="1"/>
      <c r="J3032" s="1"/>
      <c r="K3032" s="1"/>
      <c r="L3032" s="1"/>
      <c r="M3032" s="1"/>
      <c r="N3032" s="1"/>
    </row>
    <row r="3033" ht="14.5" spans="2:14">
      <c r="B3033" s="1"/>
      <c r="C3033" s="1"/>
      <c r="D3033" s="1"/>
      <c r="E3033" s="1"/>
      <c r="F3033" s="1"/>
      <c r="G3033" s="1"/>
      <c r="H3033" s="1"/>
      <c r="I3033" s="1"/>
      <c r="J3033" s="1"/>
      <c r="K3033" s="1"/>
      <c r="L3033" s="1"/>
      <c r="M3033" s="1"/>
      <c r="N3033" s="1"/>
    </row>
    <row r="3034" ht="14.5" spans="2:14">
      <c r="B3034" s="1"/>
      <c r="C3034" s="1"/>
      <c r="D3034" s="1"/>
      <c r="E3034" s="1"/>
      <c r="F3034" s="1"/>
      <c r="G3034" s="1"/>
      <c r="H3034" s="1"/>
      <c r="I3034" s="1"/>
      <c r="J3034" s="1"/>
      <c r="K3034" s="1"/>
      <c r="L3034" s="1"/>
      <c r="M3034" s="1"/>
      <c r="N3034" s="1"/>
    </row>
    <row r="3035" ht="14.5" spans="2:14">
      <c r="B3035" s="1"/>
      <c r="C3035" s="1"/>
      <c r="D3035" s="1"/>
      <c r="E3035" s="1"/>
      <c r="F3035" s="1"/>
      <c r="G3035" s="1"/>
      <c r="H3035" s="1"/>
      <c r="I3035" s="1"/>
      <c r="J3035" s="1"/>
      <c r="K3035" s="1"/>
      <c r="L3035" s="1"/>
      <c r="M3035" s="1"/>
      <c r="N3035" s="1"/>
    </row>
    <row r="3036" ht="14.5" spans="2:14">
      <c r="B3036" s="1"/>
      <c r="C3036" s="1"/>
      <c r="D3036" s="1"/>
      <c r="E3036" s="1"/>
      <c r="F3036" s="1"/>
      <c r="G3036" s="1"/>
      <c r="H3036" s="1"/>
      <c r="I3036" s="1"/>
      <c r="J3036" s="1"/>
      <c r="K3036" s="1"/>
      <c r="L3036" s="1"/>
      <c r="M3036" s="1"/>
      <c r="N3036" s="1"/>
    </row>
    <row r="3037" ht="14.5" spans="2:14">
      <c r="B3037" s="1"/>
      <c r="C3037" s="1"/>
      <c r="D3037" s="1"/>
      <c r="E3037" s="1"/>
      <c r="F3037" s="1"/>
      <c r="G3037" s="1"/>
      <c r="H3037" s="1"/>
      <c r="I3037" s="1"/>
      <c r="J3037" s="1"/>
      <c r="K3037" s="1"/>
      <c r="L3037" s="1"/>
      <c r="M3037" s="1"/>
      <c r="N3037" s="1"/>
    </row>
    <row r="3038" ht="14.5" spans="2:14">
      <c r="B3038" s="1"/>
      <c r="C3038" s="1"/>
      <c r="D3038" s="1"/>
      <c r="E3038" s="1"/>
      <c r="F3038" s="1"/>
      <c r="G3038" s="1"/>
      <c r="H3038" s="1"/>
      <c r="I3038" s="1"/>
      <c r="J3038" s="1"/>
      <c r="K3038" s="1"/>
      <c r="L3038" s="1"/>
      <c r="M3038" s="1"/>
      <c r="N3038" s="1"/>
    </row>
    <row r="3039" ht="14.5" spans="2:14">
      <c r="B3039" s="1"/>
      <c r="C3039" s="1"/>
      <c r="D3039" s="1"/>
      <c r="E3039" s="1"/>
      <c r="F3039" s="1"/>
      <c r="G3039" s="1"/>
      <c r="H3039" s="1"/>
      <c r="I3039" s="1"/>
      <c r="J3039" s="1"/>
      <c r="K3039" s="1"/>
      <c r="L3039" s="1"/>
      <c r="M3039" s="1"/>
      <c r="N3039" s="1"/>
    </row>
    <row r="3040" ht="14.5" spans="2:14">
      <c r="B3040" s="1"/>
      <c r="C3040" s="1"/>
      <c r="D3040" s="1"/>
      <c r="E3040" s="1"/>
      <c r="F3040" s="1"/>
      <c r="G3040" s="1"/>
      <c r="H3040" s="1"/>
      <c r="I3040" s="1"/>
      <c r="J3040" s="1"/>
      <c r="K3040" s="1"/>
      <c r="L3040" s="1"/>
      <c r="M3040" s="1"/>
      <c r="N3040" s="1"/>
    </row>
    <row r="3041" ht="14.5" spans="2:14">
      <c r="B3041" s="1"/>
      <c r="C3041" s="1"/>
      <c r="D3041" s="1"/>
      <c r="E3041" s="1"/>
      <c r="F3041" s="1"/>
      <c r="G3041" s="1"/>
      <c r="H3041" s="1"/>
      <c r="I3041" s="1"/>
      <c r="J3041" s="1"/>
      <c r="K3041" s="1"/>
      <c r="L3041" s="1"/>
      <c r="M3041" s="1"/>
      <c r="N3041" s="1"/>
    </row>
    <row r="3042" ht="14.5" spans="2:14">
      <c r="B3042" s="1"/>
      <c r="C3042" s="1"/>
      <c r="D3042" s="1"/>
      <c r="E3042" s="1"/>
      <c r="F3042" s="1"/>
      <c r="G3042" s="1"/>
      <c r="H3042" s="1"/>
      <c r="I3042" s="1"/>
      <c r="J3042" s="1"/>
      <c r="K3042" s="1"/>
      <c r="L3042" s="1"/>
      <c r="M3042" s="1"/>
      <c r="N3042" s="1"/>
    </row>
    <row r="3043" ht="14.5" spans="2:14">
      <c r="B3043" s="1"/>
      <c r="C3043" s="1"/>
      <c r="D3043" s="1"/>
      <c r="E3043" s="1"/>
      <c r="F3043" s="1"/>
      <c r="G3043" s="1"/>
      <c r="H3043" s="1"/>
      <c r="I3043" s="1"/>
      <c r="J3043" s="1"/>
      <c r="K3043" s="1"/>
      <c r="L3043" s="1"/>
      <c r="M3043" s="1"/>
      <c r="N3043" s="1"/>
    </row>
    <row r="3044" ht="14.5" spans="2:14">
      <c r="B3044" s="1"/>
      <c r="C3044" s="1"/>
      <c r="D3044" s="1"/>
      <c r="E3044" s="1"/>
      <c r="F3044" s="1"/>
      <c r="G3044" s="1"/>
      <c r="H3044" s="1"/>
      <c r="I3044" s="1"/>
      <c r="J3044" s="1"/>
      <c r="K3044" s="1"/>
      <c r="L3044" s="1"/>
      <c r="M3044" s="1"/>
      <c r="N3044" s="1"/>
    </row>
    <row r="3045" ht="14.5" spans="2:14">
      <c r="B3045" s="1"/>
      <c r="C3045" s="1"/>
      <c r="D3045" s="1"/>
      <c r="E3045" s="1"/>
      <c r="F3045" s="1"/>
      <c r="G3045" s="1"/>
      <c r="H3045" s="1"/>
      <c r="I3045" s="1"/>
      <c r="J3045" s="1"/>
      <c r="K3045" s="1"/>
      <c r="L3045" s="1"/>
      <c r="M3045" s="1"/>
      <c r="N3045" s="1"/>
    </row>
    <row r="3046" ht="14.5" spans="2:14">
      <c r="B3046" s="1"/>
      <c r="C3046" s="1"/>
      <c r="D3046" s="1"/>
      <c r="E3046" s="1"/>
      <c r="F3046" s="1"/>
      <c r="G3046" s="1"/>
      <c r="H3046" s="1"/>
      <c r="I3046" s="1"/>
      <c r="J3046" s="1"/>
      <c r="K3046" s="1"/>
      <c r="L3046" s="1"/>
      <c r="M3046" s="1"/>
      <c r="N3046" s="1"/>
    </row>
    <row r="3047" ht="14.5" spans="2:14">
      <c r="B3047" s="1"/>
      <c r="C3047" s="1"/>
      <c r="D3047" s="1"/>
      <c r="E3047" s="1"/>
      <c r="F3047" s="1"/>
      <c r="G3047" s="1"/>
      <c r="H3047" s="1"/>
      <c r="I3047" s="1"/>
      <c r="J3047" s="1"/>
      <c r="K3047" s="1"/>
      <c r="L3047" s="1"/>
      <c r="M3047" s="1"/>
      <c r="N3047" s="1"/>
    </row>
    <row r="3048" ht="14.5" spans="2:14">
      <c r="B3048" s="1"/>
      <c r="C3048" s="1"/>
      <c r="D3048" s="1"/>
      <c r="E3048" s="1"/>
      <c r="F3048" s="1"/>
      <c r="G3048" s="1"/>
      <c r="H3048" s="1"/>
      <c r="I3048" s="1"/>
      <c r="J3048" s="1"/>
      <c r="K3048" s="1"/>
      <c r="L3048" s="1"/>
      <c r="M3048" s="1"/>
      <c r="N3048" s="1"/>
    </row>
    <row r="3049" ht="14.5" spans="2:14">
      <c r="B3049" s="1"/>
      <c r="C3049" s="1"/>
      <c r="D3049" s="1"/>
      <c r="E3049" s="1"/>
      <c r="F3049" s="1"/>
      <c r="G3049" s="1"/>
      <c r="H3049" s="1"/>
      <c r="I3049" s="1"/>
      <c r="J3049" s="1"/>
      <c r="K3049" s="1"/>
      <c r="L3049" s="1"/>
      <c r="M3049" s="1"/>
      <c r="N3049" s="1"/>
    </row>
    <row r="3050" ht="14.5" spans="2:14">
      <c r="B3050" s="1"/>
      <c r="C3050" s="1"/>
      <c r="D3050" s="1"/>
      <c r="E3050" s="1"/>
      <c r="F3050" s="1"/>
      <c r="G3050" s="1"/>
      <c r="H3050" s="1"/>
      <c r="I3050" s="1"/>
      <c r="J3050" s="1"/>
      <c r="K3050" s="1"/>
      <c r="L3050" s="1"/>
      <c r="M3050" s="1"/>
      <c r="N3050" s="1"/>
    </row>
    <row r="3051" ht="14.5" spans="2:14">
      <c r="B3051" s="1"/>
      <c r="C3051" s="1"/>
      <c r="D3051" s="1"/>
      <c r="E3051" s="1"/>
      <c r="F3051" s="1"/>
      <c r="G3051" s="1"/>
      <c r="H3051" s="1"/>
      <c r="I3051" s="1"/>
      <c r="J3051" s="1"/>
      <c r="K3051" s="1"/>
      <c r="L3051" s="1"/>
      <c r="M3051" s="1"/>
      <c r="N3051" s="1"/>
    </row>
    <row r="3052" ht="14.5" spans="2:14">
      <c r="B3052" s="1"/>
      <c r="C3052" s="1"/>
      <c r="D3052" s="1"/>
      <c r="E3052" s="1"/>
      <c r="F3052" s="1"/>
      <c r="G3052" s="1"/>
      <c r="H3052" s="1"/>
      <c r="I3052" s="1"/>
      <c r="J3052" s="1"/>
      <c r="K3052" s="1"/>
      <c r="L3052" s="1"/>
      <c r="M3052" s="1"/>
      <c r="N3052" s="1"/>
    </row>
    <row r="3053" ht="14.5" spans="2:14">
      <c r="B3053" s="1"/>
      <c r="C3053" s="1"/>
      <c r="D3053" s="1"/>
      <c r="E3053" s="1"/>
      <c r="F3053" s="1"/>
      <c r="G3053" s="1"/>
      <c r="H3053" s="1"/>
      <c r="I3053" s="1"/>
      <c r="J3053" s="1"/>
      <c r="K3053" s="1"/>
      <c r="L3053" s="1"/>
      <c r="M3053" s="1"/>
      <c r="N3053" s="1"/>
    </row>
    <row r="3054" ht="14.5" spans="2:14">
      <c r="B3054" s="1"/>
      <c r="C3054" s="1"/>
      <c r="D3054" s="1"/>
      <c r="E3054" s="1"/>
      <c r="F3054" s="1"/>
      <c r="G3054" s="1"/>
      <c r="H3054" s="1"/>
      <c r="I3054" s="1"/>
      <c r="J3054" s="1"/>
      <c r="K3054" s="1"/>
      <c r="L3054" s="1"/>
      <c r="M3054" s="1"/>
      <c r="N3054" s="1"/>
    </row>
    <row r="3055" ht="14.5" spans="2:14">
      <c r="B3055" s="1"/>
      <c r="C3055" s="1"/>
      <c r="D3055" s="1"/>
      <c r="E3055" s="1"/>
      <c r="F3055" s="1"/>
      <c r="G3055" s="1"/>
      <c r="H3055" s="1"/>
      <c r="I3055" s="1"/>
      <c r="J3055" s="1"/>
      <c r="K3055" s="1"/>
      <c r="L3055" s="1"/>
      <c r="M3055" s="1"/>
      <c r="N3055" s="1"/>
    </row>
    <row r="3056" ht="14.5" spans="2:14">
      <c r="B3056" s="1"/>
      <c r="C3056" s="1"/>
      <c r="D3056" s="1"/>
      <c r="E3056" s="1"/>
      <c r="F3056" s="1"/>
      <c r="G3056" s="1"/>
      <c r="H3056" s="1"/>
      <c r="I3056" s="1"/>
      <c r="J3056" s="1"/>
      <c r="K3056" s="1"/>
      <c r="L3056" s="1"/>
      <c r="M3056" s="1"/>
      <c r="N3056" s="1"/>
    </row>
    <row r="3057" ht="14.5" spans="2:14">
      <c r="B3057" s="1"/>
      <c r="C3057" s="1"/>
      <c r="D3057" s="1"/>
      <c r="E3057" s="1"/>
      <c r="F3057" s="1"/>
      <c r="G3057" s="1"/>
      <c r="H3057" s="1"/>
      <c r="I3057" s="1"/>
      <c r="J3057" s="1"/>
      <c r="K3057" s="1"/>
      <c r="L3057" s="1"/>
      <c r="M3057" s="1"/>
      <c r="N3057" s="1"/>
    </row>
    <row r="3058" ht="14.5" spans="2:14">
      <c r="B3058" s="1"/>
      <c r="C3058" s="1"/>
      <c r="D3058" s="1"/>
      <c r="E3058" s="1"/>
      <c r="F3058" s="1"/>
      <c r="G3058" s="1"/>
      <c r="H3058" s="1"/>
      <c r="I3058" s="1"/>
      <c r="J3058" s="1"/>
      <c r="K3058" s="1"/>
      <c r="L3058" s="1"/>
      <c r="M3058" s="1"/>
      <c r="N3058" s="1"/>
    </row>
    <row r="3059" ht="14.5" spans="2:14">
      <c r="B3059" s="1"/>
      <c r="C3059" s="1"/>
      <c r="D3059" s="1"/>
      <c r="E3059" s="1"/>
      <c r="F3059" s="1"/>
      <c r="G3059" s="1"/>
      <c r="H3059" s="1"/>
      <c r="I3059" s="1"/>
      <c r="J3059" s="1"/>
      <c r="K3059" s="1"/>
      <c r="L3059" s="1"/>
      <c r="M3059" s="1"/>
      <c r="N3059" s="1"/>
    </row>
    <row r="3060" ht="14.5" spans="2:14">
      <c r="B3060" s="1"/>
      <c r="C3060" s="1"/>
      <c r="D3060" s="1"/>
      <c r="E3060" s="1"/>
      <c r="F3060" s="1"/>
      <c r="G3060" s="1"/>
      <c r="H3060" s="1"/>
      <c r="I3060" s="1"/>
      <c r="J3060" s="1"/>
      <c r="K3060" s="1"/>
      <c r="L3060" s="1"/>
      <c r="M3060" s="1"/>
      <c r="N3060" s="1"/>
    </row>
    <row r="3061" ht="14.5" spans="2:14">
      <c r="B3061" s="1"/>
      <c r="C3061" s="1"/>
      <c r="D3061" s="1"/>
      <c r="E3061" s="1"/>
      <c r="F3061" s="1"/>
      <c r="G3061" s="1"/>
      <c r="H3061" s="1"/>
      <c r="I3061" s="1"/>
      <c r="J3061" s="1"/>
      <c r="K3061" s="1"/>
      <c r="L3061" s="1"/>
      <c r="M3061" s="1"/>
      <c r="N3061" s="1"/>
    </row>
    <row r="3062" ht="14.5" spans="2:14">
      <c r="B3062" s="1"/>
      <c r="C3062" s="1"/>
      <c r="D3062" s="1"/>
      <c r="E3062" s="1"/>
      <c r="F3062" s="1"/>
      <c r="G3062" s="1"/>
      <c r="H3062" s="1"/>
      <c r="I3062" s="1"/>
      <c r="J3062" s="1"/>
      <c r="K3062" s="1"/>
      <c r="L3062" s="1"/>
      <c r="M3062" s="1"/>
      <c r="N3062" s="1"/>
    </row>
    <row r="3063" ht="14.5" spans="2:14">
      <c r="B3063" s="1"/>
      <c r="C3063" s="1"/>
      <c r="D3063" s="1"/>
      <c r="E3063" s="1"/>
      <c r="F3063" s="1"/>
      <c r="G3063" s="1"/>
      <c r="H3063" s="1"/>
      <c r="I3063" s="1"/>
      <c r="J3063" s="1"/>
      <c r="K3063" s="1"/>
      <c r="L3063" s="1"/>
      <c r="M3063" s="1"/>
      <c r="N3063" s="1"/>
    </row>
    <row r="3064" ht="14.5" spans="2:14">
      <c r="B3064" s="1"/>
      <c r="C3064" s="1"/>
      <c r="D3064" s="1"/>
      <c r="E3064" s="1"/>
      <c r="F3064" s="1"/>
      <c r="G3064" s="1"/>
      <c r="H3064" s="1"/>
      <c r="I3064" s="1"/>
      <c r="J3064" s="1"/>
      <c r="K3064" s="1"/>
      <c r="L3064" s="1"/>
      <c r="M3064" s="1"/>
      <c r="N3064" s="1"/>
    </row>
    <row r="3065" ht="14.5" spans="2:14">
      <c r="B3065" s="1"/>
      <c r="C3065" s="1"/>
      <c r="D3065" s="1"/>
      <c r="E3065" s="1"/>
      <c r="F3065" s="1"/>
      <c r="G3065" s="1"/>
      <c r="H3065" s="1"/>
      <c r="I3065" s="1"/>
      <c r="J3065" s="1"/>
      <c r="K3065" s="1"/>
      <c r="L3065" s="1"/>
      <c r="M3065" s="1"/>
      <c r="N3065" s="1"/>
    </row>
    <row r="3066" ht="14.5" spans="2:14">
      <c r="B3066" s="1"/>
      <c r="C3066" s="1"/>
      <c r="D3066" s="1"/>
      <c r="E3066" s="1"/>
      <c r="F3066" s="1"/>
      <c r="G3066" s="1"/>
      <c r="H3066" s="1"/>
      <c r="I3066" s="1"/>
      <c r="J3066" s="1"/>
      <c r="K3066" s="1"/>
      <c r="L3066" s="1"/>
      <c r="M3066" s="1"/>
      <c r="N3066" s="1"/>
    </row>
    <row r="3067" ht="14.5" spans="2:14">
      <c r="B3067" s="1"/>
      <c r="C3067" s="1"/>
      <c r="D3067" s="1"/>
      <c r="E3067" s="1"/>
      <c r="F3067" s="1"/>
      <c r="G3067" s="1"/>
      <c r="H3067" s="1"/>
      <c r="I3067" s="1"/>
      <c r="J3067" s="1"/>
      <c r="K3067" s="1"/>
      <c r="L3067" s="1"/>
      <c r="M3067" s="1"/>
      <c r="N3067" s="1"/>
    </row>
    <row r="3068" ht="14.5" spans="2:14">
      <c r="B3068" s="1"/>
      <c r="C3068" s="1"/>
      <c r="D3068" s="1"/>
      <c r="E3068" s="1"/>
      <c r="F3068" s="1"/>
      <c r="G3068" s="1"/>
      <c r="H3068" s="1"/>
      <c r="I3068" s="1"/>
      <c r="J3068" s="1"/>
      <c r="K3068" s="1"/>
      <c r="L3068" s="1"/>
      <c r="M3068" s="1"/>
      <c r="N3068" s="1"/>
    </row>
    <row r="3069" ht="14.5" spans="2:14">
      <c r="B3069" s="1"/>
      <c r="C3069" s="1"/>
      <c r="D3069" s="1"/>
      <c r="E3069" s="1"/>
      <c r="F3069" s="1"/>
      <c r="G3069" s="1"/>
      <c r="H3069" s="1"/>
      <c r="I3069" s="1"/>
      <c r="J3069" s="1"/>
      <c r="K3069" s="1"/>
      <c r="L3069" s="1"/>
      <c r="M3069" s="1"/>
      <c r="N3069" s="1"/>
    </row>
    <row r="3070" ht="14.5" spans="2:14">
      <c r="B3070" s="1"/>
      <c r="C3070" s="1"/>
      <c r="D3070" s="1"/>
      <c r="E3070" s="1"/>
      <c r="F3070" s="1"/>
      <c r="G3070" s="1"/>
      <c r="H3070" s="1"/>
      <c r="I3070" s="1"/>
      <c r="J3070" s="1"/>
      <c r="K3070" s="1"/>
      <c r="L3070" s="1"/>
      <c r="M3070" s="1"/>
      <c r="N3070" s="1"/>
    </row>
    <row r="3071" ht="14.5" spans="2:14">
      <c r="B3071" s="1"/>
      <c r="C3071" s="1"/>
      <c r="D3071" s="1"/>
      <c r="E3071" s="1"/>
      <c r="F3071" s="1"/>
      <c r="G3071" s="1"/>
      <c r="H3071" s="1"/>
      <c r="I3071" s="1"/>
      <c r="J3071" s="1"/>
      <c r="K3071" s="1"/>
      <c r="L3071" s="1"/>
      <c r="M3071" s="1"/>
      <c r="N3071" s="1"/>
    </row>
    <row r="3072" ht="14.5" spans="2:14">
      <c r="B3072" s="1"/>
      <c r="C3072" s="1"/>
      <c r="D3072" s="1"/>
      <c r="E3072" s="1"/>
      <c r="F3072" s="1"/>
      <c r="G3072" s="1"/>
      <c r="H3072" s="1"/>
      <c r="I3072" s="1"/>
      <c r="J3072" s="1"/>
      <c r="K3072" s="1"/>
      <c r="L3072" s="1"/>
      <c r="M3072" s="1"/>
      <c r="N3072" s="1"/>
    </row>
    <row r="3073" ht="14.5" spans="2:14">
      <c r="B3073" s="1"/>
      <c r="C3073" s="1"/>
      <c r="D3073" s="1"/>
      <c r="E3073" s="1"/>
      <c r="F3073" s="1"/>
      <c r="G3073" s="1"/>
      <c r="H3073" s="1"/>
      <c r="I3073" s="1"/>
      <c r="J3073" s="1"/>
      <c r="K3073" s="1"/>
      <c r="L3073" s="1"/>
      <c r="M3073" s="1"/>
      <c r="N3073" s="1"/>
    </row>
    <row r="3074" ht="14.5" spans="2:14">
      <c r="B3074" s="1"/>
      <c r="C3074" s="1"/>
      <c r="D3074" s="1"/>
      <c r="E3074" s="1"/>
      <c r="F3074" s="1"/>
      <c r="G3074" s="1"/>
      <c r="H3074" s="1"/>
      <c r="I3074" s="1"/>
      <c r="J3074" s="1"/>
      <c r="K3074" s="1"/>
      <c r="L3074" s="1"/>
      <c r="M3074" s="1"/>
      <c r="N3074" s="1"/>
    </row>
    <row r="3075" ht="14.5" spans="2:14">
      <c r="B3075" s="1"/>
      <c r="C3075" s="1"/>
      <c r="D3075" s="1"/>
      <c r="E3075" s="1"/>
      <c r="F3075" s="1"/>
      <c r="G3075" s="1"/>
      <c r="H3075" s="1"/>
      <c r="I3075" s="1"/>
      <c r="J3075" s="1"/>
      <c r="K3075" s="1"/>
      <c r="L3075" s="1"/>
      <c r="M3075" s="1"/>
      <c r="N3075" s="1"/>
    </row>
    <row r="3076" ht="14.5" spans="2:14">
      <c r="B3076" s="1"/>
      <c r="C3076" s="1"/>
      <c r="D3076" s="1"/>
      <c r="E3076" s="1"/>
      <c r="F3076" s="1"/>
      <c r="G3076" s="1"/>
      <c r="H3076" s="1"/>
      <c r="I3076" s="1"/>
      <c r="J3076" s="1"/>
      <c r="K3076" s="1"/>
      <c r="L3076" s="1"/>
      <c r="M3076" s="1"/>
      <c r="N3076" s="1"/>
    </row>
    <row r="3077" ht="14.5" spans="2:14">
      <c r="B3077" s="1"/>
      <c r="C3077" s="1"/>
      <c r="D3077" s="1"/>
      <c r="E3077" s="1"/>
      <c r="F3077" s="1"/>
      <c r="G3077" s="1"/>
      <c r="H3077" s="1"/>
      <c r="I3077" s="1"/>
      <c r="J3077" s="1"/>
      <c r="K3077" s="1"/>
      <c r="L3077" s="1"/>
      <c r="M3077" s="1"/>
      <c r="N3077" s="1"/>
    </row>
    <row r="3078" ht="14.5" spans="2:14">
      <c r="B3078" s="1"/>
      <c r="C3078" s="1"/>
      <c r="D3078" s="1"/>
      <c r="E3078" s="1"/>
      <c r="F3078" s="1"/>
      <c r="G3078" s="1"/>
      <c r="H3078" s="1"/>
      <c r="I3078" s="1"/>
      <c r="J3078" s="1"/>
      <c r="K3078" s="1"/>
      <c r="L3078" s="1"/>
      <c r="M3078" s="1"/>
      <c r="N3078" s="1"/>
    </row>
    <row r="3079" ht="14.5" spans="2:14">
      <c r="B3079" s="1"/>
      <c r="C3079" s="1"/>
      <c r="D3079" s="1"/>
      <c r="E3079" s="1"/>
      <c r="F3079" s="1"/>
      <c r="G3079" s="1"/>
      <c r="H3079" s="1"/>
      <c r="I3079" s="1"/>
      <c r="J3079" s="1"/>
      <c r="K3079" s="1"/>
      <c r="L3079" s="1"/>
      <c r="M3079" s="1"/>
      <c r="N3079" s="1"/>
    </row>
    <row r="3080" ht="14.5" spans="2:14">
      <c r="B3080" s="1"/>
      <c r="C3080" s="1"/>
      <c r="D3080" s="1"/>
      <c r="E3080" s="1"/>
      <c r="F3080" s="1"/>
      <c r="G3080" s="1"/>
      <c r="H3080" s="1"/>
      <c r="I3080" s="1"/>
      <c r="J3080" s="1"/>
      <c r="K3080" s="1"/>
      <c r="L3080" s="1"/>
      <c r="M3080" s="1"/>
      <c r="N3080" s="1"/>
    </row>
    <row r="3081" ht="14.5" spans="2:14">
      <c r="B3081" s="1"/>
      <c r="C3081" s="1"/>
      <c r="D3081" s="1"/>
      <c r="E3081" s="1"/>
      <c r="F3081" s="1"/>
      <c r="G3081" s="1"/>
      <c r="H3081" s="1"/>
      <c r="I3081" s="1"/>
      <c r="J3081" s="1"/>
      <c r="K3081" s="1"/>
      <c r="L3081" s="1"/>
      <c r="M3081" s="1"/>
      <c r="N3081" s="1"/>
    </row>
    <row r="3082" ht="14.5" spans="2:14">
      <c r="B3082" s="1"/>
      <c r="C3082" s="1"/>
      <c r="D3082" s="1"/>
      <c r="E3082" s="1"/>
      <c r="F3082" s="1"/>
      <c r="G3082" s="1"/>
      <c r="H3082" s="1"/>
      <c r="I3082" s="1"/>
      <c r="J3082" s="1"/>
      <c r="K3082" s="1"/>
      <c r="L3082" s="1"/>
      <c r="M3082" s="1"/>
      <c r="N3082" s="1"/>
    </row>
    <row r="3083" ht="14.5" spans="2:14">
      <c r="B3083" s="1"/>
      <c r="C3083" s="1"/>
      <c r="D3083" s="1"/>
      <c r="E3083" s="1"/>
      <c r="F3083" s="1"/>
      <c r="G3083" s="1"/>
      <c r="H3083" s="1"/>
      <c r="I3083" s="1"/>
      <c r="J3083" s="1"/>
      <c r="K3083" s="1"/>
      <c r="L3083" s="1"/>
      <c r="M3083" s="1"/>
      <c r="N3083" s="1"/>
    </row>
    <row r="3084" ht="14.5" spans="2:14">
      <c r="B3084" s="1"/>
      <c r="C3084" s="1"/>
      <c r="D3084" s="1"/>
      <c r="E3084" s="1"/>
      <c r="F3084" s="1"/>
      <c r="G3084" s="1"/>
      <c r="H3084" s="1"/>
      <c r="I3084" s="1"/>
      <c r="J3084" s="1"/>
      <c r="K3084" s="1"/>
      <c r="L3084" s="1"/>
      <c r="M3084" s="1"/>
      <c r="N3084" s="1"/>
    </row>
    <row r="3085" ht="14.5" spans="2:14">
      <c r="B3085" s="1"/>
      <c r="C3085" s="1"/>
      <c r="D3085" s="1"/>
      <c r="E3085" s="1"/>
      <c r="F3085" s="1"/>
      <c r="G3085" s="1"/>
      <c r="H3085" s="1"/>
      <c r="I3085" s="1"/>
      <c r="J3085" s="1"/>
      <c r="K3085" s="1"/>
      <c r="L3085" s="1"/>
      <c r="M3085" s="1"/>
      <c r="N3085" s="1"/>
    </row>
    <row r="3086" ht="14.5" spans="2:14">
      <c r="B3086" s="1"/>
      <c r="C3086" s="1"/>
      <c r="D3086" s="1"/>
      <c r="E3086" s="1"/>
      <c r="F3086" s="1"/>
      <c r="G3086" s="1"/>
      <c r="H3086" s="1"/>
      <c r="I3086" s="1"/>
      <c r="J3086" s="1"/>
      <c r="K3086" s="1"/>
      <c r="L3086" s="1"/>
      <c r="M3086" s="1"/>
      <c r="N3086" s="1"/>
    </row>
    <row r="3087" ht="14.5" spans="2:14">
      <c r="B3087" s="1"/>
      <c r="C3087" s="1"/>
      <c r="D3087" s="1"/>
      <c r="E3087" s="1"/>
      <c r="F3087" s="1"/>
      <c r="G3087" s="1"/>
      <c r="H3087" s="1"/>
      <c r="I3087" s="1"/>
      <c r="J3087" s="1"/>
      <c r="K3087" s="1"/>
      <c r="L3087" s="1"/>
      <c r="M3087" s="1"/>
      <c r="N3087" s="1"/>
    </row>
    <row r="3088" ht="14.5" spans="2:14">
      <c r="B3088" s="1"/>
      <c r="C3088" s="1"/>
      <c r="D3088" s="1"/>
      <c r="E3088" s="1"/>
      <c r="F3088" s="1"/>
      <c r="G3088" s="1"/>
      <c r="H3088" s="1"/>
      <c r="I3088" s="1"/>
      <c r="J3088" s="1"/>
      <c r="K3088" s="1"/>
      <c r="L3088" s="1"/>
      <c r="M3088" s="1"/>
      <c r="N3088" s="1"/>
    </row>
    <row r="3089" ht="14.5" spans="2:14">
      <c r="B3089" s="1"/>
      <c r="C3089" s="1"/>
      <c r="D3089" s="1"/>
      <c r="E3089" s="1"/>
      <c r="F3089" s="1"/>
      <c r="G3089" s="1"/>
      <c r="H3089" s="1"/>
      <c r="I3089" s="1"/>
      <c r="J3089" s="1"/>
      <c r="K3089" s="1"/>
      <c r="L3089" s="1"/>
      <c r="M3089" s="1"/>
      <c r="N3089" s="1"/>
    </row>
    <row r="3090" ht="14.5" spans="2:14">
      <c r="B3090" s="1"/>
      <c r="C3090" s="1"/>
      <c r="D3090" s="1"/>
      <c r="E3090" s="1"/>
      <c r="F3090" s="1"/>
      <c r="G3090" s="1"/>
      <c r="H3090" s="1"/>
      <c r="I3090" s="1"/>
      <c r="J3090" s="1"/>
      <c r="K3090" s="1"/>
      <c r="L3090" s="1"/>
      <c r="M3090" s="1"/>
      <c r="N3090" s="1"/>
    </row>
    <row r="3091" ht="14.5" spans="2:14">
      <c r="B3091" s="1"/>
      <c r="C3091" s="1"/>
      <c r="D3091" s="1"/>
      <c r="E3091" s="1"/>
      <c r="F3091" s="1"/>
      <c r="G3091" s="1"/>
      <c r="H3091" s="1"/>
      <c r="I3091" s="1"/>
      <c r="J3091" s="1"/>
      <c r="K3091" s="1"/>
      <c r="L3091" s="1"/>
      <c r="M3091" s="1"/>
      <c r="N3091" s="1"/>
    </row>
    <row r="3092" ht="14.5" spans="2:14">
      <c r="B3092" s="1"/>
      <c r="C3092" s="1"/>
      <c r="D3092" s="1"/>
      <c r="E3092" s="1"/>
      <c r="F3092" s="1"/>
      <c r="G3092" s="1"/>
      <c r="H3092" s="1"/>
      <c r="I3092" s="1"/>
      <c r="J3092" s="1"/>
      <c r="K3092" s="1"/>
      <c r="L3092" s="1"/>
      <c r="M3092" s="1"/>
      <c r="N3092" s="1"/>
    </row>
    <row r="3093" ht="14.5" spans="2:14">
      <c r="B3093" s="1"/>
      <c r="C3093" s="1"/>
      <c r="D3093" s="1"/>
      <c r="E3093" s="1"/>
      <c r="F3093" s="1"/>
      <c r="G3093" s="1"/>
      <c r="H3093" s="1"/>
      <c r="I3093" s="1"/>
      <c r="J3093" s="1"/>
      <c r="K3093" s="1"/>
      <c r="L3093" s="1"/>
      <c r="M3093" s="1"/>
      <c r="N3093" s="1"/>
    </row>
    <row r="3094" ht="14.5" spans="2:14">
      <c r="B3094" s="1"/>
      <c r="C3094" s="1"/>
      <c r="D3094" s="1"/>
      <c r="E3094" s="1"/>
      <c r="F3094" s="1"/>
      <c r="G3094" s="1"/>
      <c r="H3094" s="1"/>
      <c r="I3094" s="1"/>
      <c r="J3094" s="1"/>
      <c r="K3094" s="1"/>
      <c r="L3094" s="1"/>
      <c r="M3094" s="1"/>
      <c r="N3094" s="1"/>
    </row>
    <row r="3095" ht="14.5" spans="2:14">
      <c r="B3095" s="1"/>
      <c r="C3095" s="1"/>
      <c r="D3095" s="1"/>
      <c r="E3095" s="1"/>
      <c r="F3095" s="1"/>
      <c r="G3095" s="1"/>
      <c r="H3095" s="1"/>
      <c r="I3095" s="1"/>
      <c r="J3095" s="1"/>
      <c r="K3095" s="1"/>
      <c r="L3095" s="1"/>
      <c r="M3095" s="1"/>
      <c r="N3095" s="1"/>
    </row>
    <row r="3096" ht="14.5" spans="2:14">
      <c r="B3096" s="1"/>
      <c r="C3096" s="1"/>
      <c r="D3096" s="1"/>
      <c r="E3096" s="1"/>
      <c r="F3096" s="1"/>
      <c r="G3096" s="1"/>
      <c r="H3096" s="1"/>
      <c r="I3096" s="1"/>
      <c r="J3096" s="1"/>
      <c r="K3096" s="1"/>
      <c r="L3096" s="1"/>
      <c r="M3096" s="1"/>
      <c r="N3096" s="1"/>
    </row>
    <row r="3097" ht="14.5" spans="2:14">
      <c r="B3097" s="1"/>
      <c r="C3097" s="1"/>
      <c r="D3097" s="1"/>
      <c r="E3097" s="1"/>
      <c r="F3097" s="1"/>
      <c r="G3097" s="1"/>
      <c r="H3097" s="1"/>
      <c r="I3097" s="1"/>
      <c r="J3097" s="1"/>
      <c r="K3097" s="1"/>
      <c r="L3097" s="1"/>
      <c r="M3097" s="1"/>
      <c r="N3097" s="1"/>
    </row>
    <row r="3098" ht="14.5" spans="2:14">
      <c r="B3098" s="1"/>
      <c r="C3098" s="1"/>
      <c r="D3098" s="1"/>
      <c r="E3098" s="1"/>
      <c r="F3098" s="1"/>
      <c r="G3098" s="1"/>
      <c r="H3098" s="1"/>
      <c r="I3098" s="1"/>
      <c r="J3098" s="1"/>
      <c r="K3098" s="1"/>
      <c r="L3098" s="1"/>
      <c r="M3098" s="1"/>
      <c r="N3098" s="1"/>
    </row>
    <row r="3099" ht="14.5" spans="2:14">
      <c r="B3099" s="1"/>
      <c r="C3099" s="1"/>
      <c r="D3099" s="1"/>
      <c r="E3099" s="1"/>
      <c r="F3099" s="1"/>
      <c r="G3099" s="1"/>
      <c r="H3099" s="1"/>
      <c r="I3099" s="1"/>
      <c r="J3099" s="1"/>
      <c r="K3099" s="1"/>
      <c r="L3099" s="1"/>
      <c r="M3099" s="1"/>
      <c r="N3099" s="1"/>
    </row>
    <row r="3100" ht="14.5" spans="2:14">
      <c r="B3100" s="1"/>
      <c r="C3100" s="1"/>
      <c r="D3100" s="1"/>
      <c r="E3100" s="1"/>
      <c r="F3100" s="1"/>
      <c r="G3100" s="1"/>
      <c r="H3100" s="1"/>
      <c r="I3100" s="1"/>
      <c r="J3100" s="1"/>
      <c r="K3100" s="1"/>
      <c r="L3100" s="1"/>
      <c r="M3100" s="1"/>
      <c r="N3100" s="1"/>
    </row>
    <row r="3101" ht="14.5" spans="2:14">
      <c r="B3101" s="1"/>
      <c r="C3101" s="1"/>
      <c r="D3101" s="1"/>
      <c r="E3101" s="1"/>
      <c r="F3101" s="1"/>
      <c r="G3101" s="1"/>
      <c r="H3101" s="1"/>
      <c r="I3101" s="1"/>
      <c r="J3101" s="1"/>
      <c r="K3101" s="1"/>
      <c r="L3101" s="1"/>
      <c r="M3101" s="1"/>
      <c r="N3101" s="1"/>
    </row>
    <row r="3102" ht="14.5" spans="2:14">
      <c r="B3102" s="1"/>
      <c r="C3102" s="1"/>
      <c r="D3102" s="1"/>
      <c r="E3102" s="1"/>
      <c r="F3102" s="1"/>
      <c r="G3102" s="1"/>
      <c r="H3102" s="1"/>
      <c r="I3102" s="1"/>
      <c r="J3102" s="1"/>
      <c r="K3102" s="1"/>
      <c r="L3102" s="1"/>
      <c r="M3102" s="1"/>
      <c r="N3102" s="1"/>
    </row>
    <row r="3103" ht="14.5" spans="2:14">
      <c r="B3103" s="1"/>
      <c r="C3103" s="1"/>
      <c r="D3103" s="1"/>
      <c r="E3103" s="1"/>
      <c r="F3103" s="1"/>
      <c r="G3103" s="1"/>
      <c r="H3103" s="1"/>
      <c r="I3103" s="1"/>
      <c r="J3103" s="1"/>
      <c r="K3103" s="1"/>
      <c r="L3103" s="1"/>
      <c r="M3103" s="1"/>
      <c r="N3103" s="1"/>
    </row>
    <row r="3104" ht="14.5" spans="2:14">
      <c r="B3104" s="1"/>
      <c r="C3104" s="1"/>
      <c r="D3104" s="1"/>
      <c r="E3104" s="1"/>
      <c r="F3104" s="1"/>
      <c r="G3104" s="1"/>
      <c r="H3104" s="1"/>
      <c r="I3104" s="1"/>
      <c r="J3104" s="1"/>
      <c r="K3104" s="1"/>
      <c r="L3104" s="1"/>
      <c r="M3104" s="1"/>
      <c r="N3104" s="1"/>
    </row>
    <row r="3105" ht="14.5" spans="2:14">
      <c r="B3105" s="1"/>
      <c r="C3105" s="1"/>
      <c r="D3105" s="1"/>
      <c r="E3105" s="1"/>
      <c r="F3105" s="1"/>
      <c r="G3105" s="1"/>
      <c r="H3105" s="1"/>
      <c r="I3105" s="1"/>
      <c r="J3105" s="1"/>
      <c r="K3105" s="1"/>
      <c r="L3105" s="1"/>
      <c r="M3105" s="1"/>
      <c r="N3105" s="1"/>
    </row>
    <row r="3106" ht="14.5" spans="2:14">
      <c r="B3106" s="1"/>
      <c r="C3106" s="1"/>
      <c r="D3106" s="1"/>
      <c r="E3106" s="1"/>
      <c r="F3106" s="1"/>
      <c r="G3106" s="1"/>
      <c r="H3106" s="1"/>
      <c r="I3106" s="1"/>
      <c r="J3106" s="1"/>
      <c r="K3106" s="1"/>
      <c r="L3106" s="1"/>
      <c r="M3106" s="1"/>
      <c r="N3106" s="1"/>
    </row>
    <row r="3107" ht="14.5" spans="2:14">
      <c r="B3107" s="1"/>
      <c r="C3107" s="1"/>
      <c r="D3107" s="1"/>
      <c r="E3107" s="1"/>
      <c r="F3107" s="1"/>
      <c r="G3107" s="1"/>
      <c r="H3107" s="1"/>
      <c r="I3107" s="1"/>
      <c r="J3107" s="1"/>
      <c r="K3107" s="1"/>
      <c r="L3107" s="1"/>
      <c r="M3107" s="1"/>
      <c r="N3107" s="1"/>
    </row>
    <row r="3108" ht="14.5" spans="2:14">
      <c r="B3108" s="1"/>
      <c r="C3108" s="1"/>
      <c r="D3108" s="1"/>
      <c r="E3108" s="1"/>
      <c r="F3108" s="1"/>
      <c r="G3108" s="1"/>
      <c r="H3108" s="1"/>
      <c r="I3108" s="1"/>
      <c r="J3108" s="1"/>
      <c r="K3108" s="1"/>
      <c r="L3108" s="1"/>
      <c r="M3108" s="1"/>
      <c r="N3108" s="1"/>
    </row>
    <row r="3109" ht="14.5" spans="2:14">
      <c r="B3109" s="1"/>
      <c r="C3109" s="1"/>
      <c r="D3109" s="1"/>
      <c r="E3109" s="1"/>
      <c r="F3109" s="1"/>
      <c r="G3109" s="1"/>
      <c r="H3109" s="1"/>
      <c r="I3109" s="1"/>
      <c r="J3109" s="1"/>
      <c r="K3109" s="1"/>
      <c r="L3109" s="1"/>
      <c r="M3109" s="1"/>
      <c r="N3109" s="1"/>
    </row>
    <row r="3110" ht="14.5" spans="2:14">
      <c r="B3110" s="1"/>
      <c r="C3110" s="1"/>
      <c r="D3110" s="1"/>
      <c r="E3110" s="1"/>
      <c r="F3110" s="1"/>
      <c r="G3110" s="1"/>
      <c r="H3110" s="1"/>
      <c r="I3110" s="1"/>
      <c r="J3110" s="1"/>
      <c r="K3110" s="1"/>
      <c r="L3110" s="1"/>
      <c r="M3110" s="1"/>
      <c r="N3110" s="1"/>
    </row>
    <row r="3111" ht="14.5" spans="2:14">
      <c r="B3111" s="1"/>
      <c r="C3111" s="1"/>
      <c r="D3111" s="1"/>
      <c r="E3111" s="1"/>
      <c r="F3111" s="1"/>
      <c r="G3111" s="1"/>
      <c r="H3111" s="1"/>
      <c r="I3111" s="1"/>
      <c r="J3111" s="1"/>
      <c r="K3111" s="1"/>
      <c r="L3111" s="1"/>
      <c r="M3111" s="1"/>
      <c r="N3111" s="1"/>
    </row>
    <row r="3112" ht="14.5" spans="2:14">
      <c r="B3112" s="1"/>
      <c r="C3112" s="1"/>
      <c r="D3112" s="1"/>
      <c r="E3112" s="1"/>
      <c r="F3112" s="1"/>
      <c r="G3112" s="1"/>
      <c r="H3112" s="1"/>
      <c r="I3112" s="1"/>
      <c r="J3112" s="1"/>
      <c r="K3112" s="1"/>
      <c r="L3112" s="1"/>
      <c r="M3112" s="1"/>
      <c r="N3112" s="1"/>
    </row>
    <row r="3113" ht="14.5" spans="2:14">
      <c r="B3113" s="1"/>
      <c r="C3113" s="1"/>
      <c r="D3113" s="1"/>
      <c r="E3113" s="1"/>
      <c r="F3113" s="1"/>
      <c r="G3113" s="1"/>
      <c r="H3113" s="1"/>
      <c r="I3113" s="1"/>
      <c r="J3113" s="1"/>
      <c r="K3113" s="1"/>
      <c r="L3113" s="1"/>
      <c r="M3113" s="1"/>
      <c r="N3113" s="1"/>
    </row>
    <row r="3114" ht="14.5" spans="2:14">
      <c r="B3114" s="1"/>
      <c r="C3114" s="1"/>
      <c r="D3114" s="1"/>
      <c r="E3114" s="1"/>
      <c r="F3114" s="1"/>
      <c r="G3114" s="1"/>
      <c r="H3114" s="1"/>
      <c r="I3114" s="1"/>
      <c r="J3114" s="1"/>
      <c r="K3114" s="1"/>
      <c r="L3114" s="1"/>
      <c r="M3114" s="1"/>
      <c r="N3114" s="1"/>
    </row>
    <row r="3115" ht="14.5" spans="2:14">
      <c r="B3115" s="1"/>
      <c r="C3115" s="1"/>
      <c r="D3115" s="1"/>
      <c r="E3115" s="1"/>
      <c r="F3115" s="1"/>
      <c r="G3115" s="1"/>
      <c r="H3115" s="1"/>
      <c r="I3115" s="1"/>
      <c r="J3115" s="1"/>
      <c r="K3115" s="1"/>
      <c r="L3115" s="1"/>
      <c r="M3115" s="1"/>
      <c r="N3115" s="1"/>
    </row>
    <row r="3116" ht="14.5" spans="2:14">
      <c r="B3116" s="1"/>
      <c r="C3116" s="1"/>
      <c r="D3116" s="1"/>
      <c r="E3116" s="1"/>
      <c r="F3116" s="1"/>
      <c r="G3116" s="1"/>
      <c r="H3116" s="1"/>
      <c r="I3116" s="1"/>
      <c r="J3116" s="1"/>
      <c r="K3116" s="1"/>
      <c r="L3116" s="1"/>
      <c r="M3116" s="1"/>
      <c r="N3116" s="1"/>
    </row>
    <row r="3117" ht="14.5" spans="2:14">
      <c r="B3117" s="1"/>
      <c r="C3117" s="1"/>
      <c r="D3117" s="1"/>
      <c r="E3117" s="1"/>
      <c r="F3117" s="1"/>
      <c r="G3117" s="1"/>
      <c r="H3117" s="1"/>
      <c r="I3117" s="1"/>
      <c r="J3117" s="1"/>
      <c r="K3117" s="1"/>
      <c r="L3117" s="1"/>
      <c r="M3117" s="1"/>
      <c r="N3117" s="1"/>
    </row>
    <row r="3118" ht="14.5" spans="2:14">
      <c r="B3118" s="1"/>
      <c r="C3118" s="1"/>
      <c r="D3118" s="1"/>
      <c r="E3118" s="1"/>
      <c r="F3118" s="1"/>
      <c r="G3118" s="1"/>
      <c r="H3118" s="1"/>
      <c r="I3118" s="1"/>
      <c r="J3118" s="1"/>
      <c r="K3118" s="1"/>
      <c r="L3118" s="1"/>
      <c r="M3118" s="1"/>
      <c r="N3118" s="1"/>
    </row>
    <row r="3119" ht="14.5" spans="2:14">
      <c r="B3119" s="1"/>
      <c r="C3119" s="1"/>
      <c r="D3119" s="1"/>
      <c r="E3119" s="1"/>
      <c r="F3119" s="1"/>
      <c r="G3119" s="1"/>
      <c r="H3119" s="1"/>
      <c r="I3119" s="1"/>
      <c r="J3119" s="1"/>
      <c r="K3119" s="1"/>
      <c r="L3119" s="1"/>
      <c r="M3119" s="1"/>
      <c r="N3119" s="1"/>
    </row>
    <row r="3120" ht="14.5" spans="2:14">
      <c r="B3120" s="1"/>
      <c r="C3120" s="1"/>
      <c r="D3120" s="1"/>
      <c r="E3120" s="1"/>
      <c r="F3120" s="1"/>
      <c r="G3120" s="1"/>
      <c r="H3120" s="1"/>
      <c r="I3120" s="1"/>
      <c r="J3120" s="1"/>
      <c r="K3120" s="1"/>
      <c r="L3120" s="1"/>
      <c r="M3120" s="1"/>
      <c r="N3120" s="1"/>
    </row>
    <row r="3121" ht="14.5" spans="2:14">
      <c r="B3121" s="1"/>
      <c r="C3121" s="1"/>
      <c r="D3121" s="1"/>
      <c r="E3121" s="1"/>
      <c r="F3121" s="1"/>
      <c r="G3121" s="1"/>
      <c r="H3121" s="1"/>
      <c r="I3121" s="1"/>
      <c r="J3121" s="1"/>
      <c r="K3121" s="1"/>
      <c r="L3121" s="1"/>
      <c r="M3121" s="1"/>
      <c r="N3121" s="1"/>
    </row>
    <row r="3122" ht="14.5" spans="2:14">
      <c r="B3122" s="1"/>
      <c r="C3122" s="1"/>
      <c r="D3122" s="1"/>
      <c r="E3122" s="1"/>
      <c r="F3122" s="1"/>
      <c r="G3122" s="1"/>
      <c r="H3122" s="1"/>
      <c r="I3122" s="1"/>
      <c r="J3122" s="1"/>
      <c r="K3122" s="1"/>
      <c r="L3122" s="1"/>
      <c r="M3122" s="1"/>
      <c r="N3122" s="1"/>
    </row>
    <row r="3123" ht="14.5" spans="2:14">
      <c r="B3123" s="1"/>
      <c r="C3123" s="1"/>
      <c r="D3123" s="1"/>
      <c r="E3123" s="1"/>
      <c r="F3123" s="1"/>
      <c r="G3123" s="1"/>
      <c r="H3123" s="1"/>
      <c r="I3123" s="1"/>
      <c r="J3123" s="1"/>
      <c r="K3123" s="1"/>
      <c r="L3123" s="1"/>
      <c r="M3123" s="1"/>
      <c r="N3123" s="1"/>
    </row>
    <row r="3124" ht="14.5" spans="2:14">
      <c r="B3124" s="1"/>
      <c r="C3124" s="1"/>
      <c r="D3124" s="1"/>
      <c r="E3124" s="1"/>
      <c r="F3124" s="1"/>
      <c r="G3124" s="1"/>
      <c r="H3124" s="1"/>
      <c r="I3124" s="1"/>
      <c r="J3124" s="1"/>
      <c r="K3124" s="1"/>
      <c r="L3124" s="1"/>
      <c r="M3124" s="1"/>
      <c r="N3124" s="1"/>
    </row>
    <row r="3125" ht="14.5" spans="2:14">
      <c r="B3125" s="1"/>
      <c r="C3125" s="1"/>
      <c r="D3125" s="1"/>
      <c r="E3125" s="1"/>
      <c r="F3125" s="1"/>
      <c r="G3125" s="1"/>
      <c r="H3125" s="1"/>
      <c r="I3125" s="1"/>
      <c r="J3125" s="1"/>
      <c r="K3125" s="1"/>
      <c r="L3125" s="1"/>
      <c r="M3125" s="1"/>
      <c r="N3125" s="1"/>
    </row>
    <row r="3126" ht="14.5" spans="2:14">
      <c r="B3126" s="1"/>
      <c r="C3126" s="1"/>
      <c r="D3126" s="1"/>
      <c r="E3126" s="1"/>
      <c r="F3126" s="1"/>
      <c r="G3126" s="1"/>
      <c r="H3126" s="1"/>
      <c r="I3126" s="1"/>
      <c r="J3126" s="1"/>
      <c r="K3126" s="1"/>
      <c r="L3126" s="1"/>
      <c r="M3126" s="1"/>
      <c r="N3126" s="1"/>
    </row>
    <row r="3127" ht="14.5" spans="2:14">
      <c r="B3127" s="1"/>
      <c r="C3127" s="1"/>
      <c r="D3127" s="1"/>
      <c r="E3127" s="1"/>
      <c r="F3127" s="1"/>
      <c r="G3127" s="1"/>
      <c r="H3127" s="1"/>
      <c r="I3127" s="1"/>
      <c r="J3127" s="1"/>
      <c r="K3127" s="1"/>
      <c r="L3127" s="1"/>
      <c r="M3127" s="1"/>
      <c r="N3127" s="1"/>
    </row>
    <row r="3128" ht="14.5" spans="2:14">
      <c r="B3128" s="1"/>
      <c r="C3128" s="1"/>
      <c r="D3128" s="1"/>
      <c r="E3128" s="1"/>
      <c r="F3128" s="1"/>
      <c r="G3128" s="1"/>
      <c r="H3128" s="1"/>
      <c r="I3128" s="1"/>
      <c r="J3128" s="1"/>
      <c r="K3128" s="1"/>
      <c r="L3128" s="1"/>
      <c r="M3128" s="1"/>
      <c r="N3128" s="1"/>
    </row>
    <row r="3129" ht="14.5" spans="2:14">
      <c r="B3129" s="1"/>
      <c r="C3129" s="1"/>
      <c r="D3129" s="1"/>
      <c r="E3129" s="1"/>
      <c r="F3129" s="1"/>
      <c r="G3129" s="1"/>
      <c r="H3129" s="1"/>
      <c r="I3129" s="1"/>
      <c r="J3129" s="1"/>
      <c r="K3129" s="1"/>
      <c r="L3129" s="1"/>
      <c r="M3129" s="1"/>
      <c r="N3129" s="1"/>
    </row>
    <row r="3130" ht="14.5" spans="2:14">
      <c r="B3130" s="1"/>
      <c r="C3130" s="1"/>
      <c r="D3130" s="1"/>
      <c r="E3130" s="1"/>
      <c r="F3130" s="1"/>
      <c r="G3130" s="1"/>
      <c r="H3130" s="1"/>
      <c r="I3130" s="1"/>
      <c r="J3130" s="1"/>
      <c r="K3130" s="1"/>
      <c r="L3130" s="1"/>
      <c r="M3130" s="1"/>
      <c r="N3130" s="1"/>
    </row>
    <row r="3131" ht="14.5" spans="2:14">
      <c r="B3131" s="1"/>
      <c r="C3131" s="1"/>
      <c r="D3131" s="1"/>
      <c r="E3131" s="1"/>
      <c r="F3131" s="1"/>
      <c r="G3131" s="1"/>
      <c r="H3131" s="1"/>
      <c r="I3131" s="1"/>
      <c r="J3131" s="1"/>
      <c r="K3131" s="1"/>
      <c r="L3131" s="1"/>
      <c r="M3131" s="1"/>
      <c r="N3131" s="1"/>
    </row>
    <row r="3132" ht="14.5" spans="2:14">
      <c r="B3132" s="1"/>
      <c r="C3132" s="1"/>
      <c r="D3132" s="1"/>
      <c r="E3132" s="1"/>
      <c r="F3132" s="1"/>
      <c r="G3132" s="1"/>
      <c r="H3132" s="1"/>
      <c r="I3132" s="1"/>
      <c r="J3132" s="1"/>
      <c r="K3132" s="1"/>
      <c r="L3132" s="1"/>
      <c r="M3132" s="1"/>
      <c r="N3132" s="1"/>
    </row>
    <row r="3133" ht="14.5" spans="2:14">
      <c r="B3133" s="1"/>
      <c r="C3133" s="1"/>
      <c r="D3133" s="1"/>
      <c r="E3133" s="1"/>
      <c r="F3133" s="1"/>
      <c r="G3133" s="1"/>
      <c r="H3133" s="1"/>
      <c r="I3133" s="1"/>
      <c r="J3133" s="1"/>
      <c r="K3133" s="1"/>
      <c r="L3133" s="1"/>
      <c r="M3133" s="1"/>
      <c r="N3133" s="1"/>
    </row>
    <row r="3134" ht="14.5" spans="2:14">
      <c r="B3134" s="1"/>
      <c r="C3134" s="1"/>
      <c r="D3134" s="1"/>
      <c r="E3134" s="1"/>
      <c r="F3134" s="1"/>
      <c r="G3134" s="1"/>
      <c r="H3134" s="1"/>
      <c r="I3134" s="1"/>
      <c r="J3134" s="1"/>
      <c r="K3134" s="1"/>
      <c r="L3134" s="1"/>
      <c r="M3134" s="1"/>
      <c r="N3134" s="1"/>
    </row>
    <row r="3135" ht="14.5" spans="2:14">
      <c r="B3135" s="1"/>
      <c r="C3135" s="1"/>
      <c r="D3135" s="1"/>
      <c r="E3135" s="1"/>
      <c r="F3135" s="1"/>
      <c r="G3135" s="1"/>
      <c r="H3135" s="1"/>
      <c r="I3135" s="1"/>
      <c r="J3135" s="1"/>
      <c r="K3135" s="1"/>
      <c r="L3135" s="1"/>
      <c r="M3135" s="1"/>
      <c r="N3135" s="1"/>
    </row>
    <row r="3136" ht="14.5" spans="2:14">
      <c r="B3136" s="1"/>
      <c r="C3136" s="1"/>
      <c r="D3136" s="1"/>
      <c r="E3136" s="1"/>
      <c r="F3136" s="1"/>
      <c r="G3136" s="1"/>
      <c r="H3136" s="1"/>
      <c r="I3136" s="1"/>
      <c r="J3136" s="1"/>
      <c r="K3136" s="1"/>
      <c r="L3136" s="1"/>
      <c r="M3136" s="1"/>
      <c r="N3136" s="1"/>
    </row>
    <row r="3137" ht="14.5" spans="2:14">
      <c r="B3137" s="1"/>
      <c r="C3137" s="1"/>
      <c r="D3137" s="1"/>
      <c r="E3137" s="1"/>
      <c r="F3137" s="1"/>
      <c r="G3137" s="1"/>
      <c r="H3137" s="1"/>
      <c r="I3137" s="1"/>
      <c r="J3137" s="1"/>
      <c r="K3137" s="1"/>
      <c r="L3137" s="1"/>
      <c r="M3137" s="1"/>
      <c r="N3137" s="1"/>
    </row>
    <row r="3138" ht="14.5" spans="2:14">
      <c r="B3138" s="1"/>
      <c r="C3138" s="1"/>
      <c r="D3138" s="1"/>
      <c r="E3138" s="1"/>
      <c r="F3138" s="1"/>
      <c r="G3138" s="1"/>
      <c r="H3138" s="1"/>
      <c r="I3138" s="1"/>
      <c r="J3138" s="1"/>
      <c r="K3138" s="1"/>
      <c r="L3138" s="1"/>
      <c r="M3138" s="1"/>
      <c r="N3138" s="1"/>
    </row>
    <row r="3139" ht="14.5" spans="2:14">
      <c r="B3139" s="1"/>
      <c r="C3139" s="1"/>
      <c r="D3139" s="1"/>
      <c r="E3139" s="1"/>
      <c r="F3139" s="1"/>
      <c r="G3139" s="1"/>
      <c r="H3139" s="1"/>
      <c r="I3139" s="1"/>
      <c r="J3139" s="1"/>
      <c r="K3139" s="1"/>
      <c r="L3139" s="1"/>
      <c r="M3139" s="1"/>
      <c r="N3139" s="1"/>
    </row>
    <row r="3140" ht="14.5" spans="2:14">
      <c r="B3140" s="1"/>
      <c r="C3140" s="1"/>
      <c r="D3140" s="1"/>
      <c r="E3140" s="1"/>
      <c r="F3140" s="1"/>
      <c r="G3140" s="1"/>
      <c r="H3140" s="1"/>
      <c r="I3140" s="1"/>
      <c r="J3140" s="1"/>
      <c r="K3140" s="1"/>
      <c r="L3140" s="1"/>
      <c r="M3140" s="1"/>
      <c r="N3140" s="1"/>
    </row>
    <row r="3141" ht="14.5" spans="2:14">
      <c r="B3141" s="1"/>
      <c r="C3141" s="1"/>
      <c r="D3141" s="1"/>
      <c r="E3141" s="1"/>
      <c r="F3141" s="1"/>
      <c r="G3141" s="1"/>
      <c r="H3141" s="1"/>
      <c r="I3141" s="1"/>
      <c r="J3141" s="1"/>
      <c r="K3141" s="1"/>
      <c r="L3141" s="1"/>
      <c r="M3141" s="1"/>
      <c r="N3141" s="1"/>
    </row>
    <row r="3142" ht="14.5" spans="2:14">
      <c r="B3142" s="1"/>
      <c r="C3142" s="1"/>
      <c r="D3142" s="1"/>
      <c r="E3142" s="1"/>
      <c r="F3142" s="1"/>
      <c r="G3142" s="1"/>
      <c r="H3142" s="1"/>
      <c r="I3142" s="1"/>
      <c r="J3142" s="1"/>
      <c r="K3142" s="1"/>
      <c r="L3142" s="1"/>
      <c r="M3142" s="1"/>
      <c r="N3142" s="1"/>
    </row>
    <row r="3143" ht="14.5" spans="2:14">
      <c r="B3143" s="1"/>
      <c r="C3143" s="1"/>
      <c r="D3143" s="1"/>
      <c r="E3143" s="1"/>
      <c r="F3143" s="1"/>
      <c r="G3143" s="1"/>
      <c r="H3143" s="1"/>
      <c r="I3143" s="1"/>
      <c r="J3143" s="1"/>
      <c r="K3143" s="1"/>
      <c r="L3143" s="1"/>
      <c r="M3143" s="1"/>
      <c r="N3143" s="1"/>
    </row>
    <row r="3144" ht="14.5" spans="2:14">
      <c r="B3144" s="1"/>
      <c r="C3144" s="1"/>
      <c r="D3144" s="1"/>
      <c r="E3144" s="1"/>
      <c r="F3144" s="1"/>
      <c r="G3144" s="1"/>
      <c r="H3144" s="1"/>
      <c r="I3144" s="1"/>
      <c r="J3144" s="1"/>
      <c r="K3144" s="1"/>
      <c r="L3144" s="1"/>
      <c r="M3144" s="1"/>
      <c r="N3144" s="1"/>
    </row>
    <row r="3145" ht="14.5" spans="2:14">
      <c r="B3145" s="1"/>
      <c r="C3145" s="1"/>
      <c r="D3145" s="1"/>
      <c r="E3145" s="1"/>
      <c r="F3145" s="1"/>
      <c r="G3145" s="1"/>
      <c r="H3145" s="1"/>
      <c r="I3145" s="1"/>
      <c r="J3145" s="1"/>
      <c r="K3145" s="1"/>
      <c r="L3145" s="1"/>
      <c r="M3145" s="1"/>
      <c r="N3145" s="1"/>
    </row>
    <row r="3146" ht="14.5" spans="2:14">
      <c r="B3146" s="1"/>
      <c r="C3146" s="1"/>
      <c r="D3146" s="1"/>
      <c r="E3146" s="1"/>
      <c r="F3146" s="1"/>
      <c r="G3146" s="1"/>
      <c r="H3146" s="1"/>
      <c r="I3146" s="1"/>
      <c r="J3146" s="1"/>
      <c r="K3146" s="1"/>
      <c r="L3146" s="1"/>
      <c r="M3146" s="1"/>
      <c r="N3146" s="1"/>
    </row>
    <row r="3147" ht="14.5" spans="2:14">
      <c r="B3147" s="1"/>
      <c r="C3147" s="1"/>
      <c r="D3147" s="1"/>
      <c r="E3147" s="1"/>
      <c r="F3147" s="1"/>
      <c r="G3147" s="1"/>
      <c r="H3147" s="1"/>
      <c r="I3147" s="1"/>
      <c r="J3147" s="1"/>
      <c r="K3147" s="1"/>
      <c r="L3147" s="1"/>
      <c r="M3147" s="1"/>
      <c r="N3147" s="1"/>
    </row>
    <row r="3148" ht="14.5" spans="2:14">
      <c r="B3148" s="1"/>
      <c r="C3148" s="1"/>
      <c r="D3148" s="1"/>
      <c r="E3148" s="1"/>
      <c r="F3148" s="1"/>
      <c r="G3148" s="1"/>
      <c r="H3148" s="1"/>
      <c r="I3148" s="1"/>
      <c r="J3148" s="1"/>
      <c r="K3148" s="1"/>
      <c r="L3148" s="1"/>
      <c r="M3148" s="1"/>
      <c r="N3148" s="1"/>
    </row>
    <row r="3149" ht="14.5" spans="2:14">
      <c r="B3149" s="1"/>
      <c r="C3149" s="1"/>
      <c r="D3149" s="1"/>
      <c r="E3149" s="1"/>
      <c r="F3149" s="1"/>
      <c r="G3149" s="1"/>
      <c r="H3149" s="1"/>
      <c r="I3149" s="1"/>
      <c r="J3149" s="1"/>
      <c r="K3149" s="1"/>
      <c r="L3149" s="1"/>
      <c r="M3149" s="1"/>
      <c r="N3149" s="1"/>
    </row>
    <row r="3150" ht="14.5" spans="2:14">
      <c r="B3150" s="1"/>
      <c r="C3150" s="1"/>
      <c r="D3150" s="1"/>
      <c r="E3150" s="1"/>
      <c r="F3150" s="1"/>
      <c r="G3150" s="1"/>
      <c r="H3150" s="1"/>
      <c r="I3150" s="1"/>
      <c r="J3150" s="1"/>
      <c r="K3150" s="1"/>
      <c r="L3150" s="1"/>
      <c r="M3150" s="1"/>
      <c r="N3150" s="1"/>
    </row>
    <row r="3151" ht="14.5" spans="2:14">
      <c r="B3151" s="1"/>
      <c r="C3151" s="1"/>
      <c r="D3151" s="1"/>
      <c r="E3151" s="1"/>
      <c r="F3151" s="1"/>
      <c r="G3151" s="1"/>
      <c r="H3151" s="1"/>
      <c r="I3151" s="1"/>
      <c r="J3151" s="1"/>
      <c r="K3151" s="1"/>
      <c r="L3151" s="1"/>
      <c r="M3151" s="1"/>
      <c r="N3151" s="1"/>
    </row>
    <row r="3152" ht="14.5" spans="2:14">
      <c r="B3152" s="1"/>
      <c r="C3152" s="1"/>
      <c r="D3152" s="1"/>
      <c r="E3152" s="1"/>
      <c r="F3152" s="1"/>
      <c r="G3152" s="1"/>
      <c r="H3152" s="1"/>
      <c r="I3152" s="1"/>
      <c r="J3152" s="1"/>
      <c r="K3152" s="1"/>
      <c r="L3152" s="1"/>
      <c r="M3152" s="1"/>
      <c r="N3152" s="1"/>
    </row>
    <row r="3153" ht="14.5" spans="2:14">
      <c r="B3153" s="1"/>
      <c r="C3153" s="1"/>
      <c r="D3153" s="1"/>
      <c r="E3153" s="1"/>
      <c r="F3153" s="1"/>
      <c r="G3153" s="1"/>
      <c r="H3153" s="1"/>
      <c r="I3153" s="1"/>
      <c r="J3153" s="1"/>
      <c r="K3153" s="1"/>
      <c r="L3153" s="1"/>
      <c r="M3153" s="1"/>
      <c r="N3153" s="1"/>
    </row>
    <row r="3154" ht="14.5" spans="2:14">
      <c r="B3154" s="1"/>
      <c r="C3154" s="1"/>
      <c r="D3154" s="1"/>
      <c r="E3154" s="1"/>
      <c r="F3154" s="1"/>
      <c r="G3154" s="1"/>
      <c r="H3154" s="1"/>
      <c r="I3154" s="1"/>
      <c r="J3154" s="1"/>
      <c r="K3154" s="1"/>
      <c r="L3154" s="1"/>
      <c r="M3154" s="1"/>
      <c r="N3154" s="1"/>
    </row>
    <row r="3155" ht="14.5" spans="2:14">
      <c r="B3155" s="1"/>
      <c r="C3155" s="1"/>
      <c r="D3155" s="1"/>
      <c r="E3155" s="1"/>
      <c r="F3155" s="1"/>
      <c r="G3155" s="1"/>
      <c r="H3155" s="1"/>
      <c r="I3155" s="1"/>
      <c r="J3155" s="1"/>
      <c r="K3155" s="1"/>
      <c r="L3155" s="1"/>
      <c r="M3155" s="1"/>
      <c r="N3155" s="1"/>
    </row>
    <row r="3156" ht="14.5" spans="2:14">
      <c r="B3156" s="1"/>
      <c r="C3156" s="1"/>
      <c r="D3156" s="1"/>
      <c r="E3156" s="1"/>
      <c r="F3156" s="1"/>
      <c r="G3156" s="1"/>
      <c r="H3156" s="1"/>
      <c r="I3156" s="1"/>
      <c r="J3156" s="1"/>
      <c r="K3156" s="1"/>
      <c r="L3156" s="1"/>
      <c r="M3156" s="1"/>
      <c r="N3156" s="1"/>
    </row>
    <row r="3157" ht="14.5" spans="2:14">
      <c r="B3157" s="1"/>
      <c r="C3157" s="1"/>
      <c r="D3157" s="1"/>
      <c r="E3157" s="1"/>
      <c r="F3157" s="1"/>
      <c r="G3157" s="1"/>
      <c r="H3157" s="1"/>
      <c r="I3157" s="1"/>
      <c r="J3157" s="1"/>
      <c r="K3157" s="1"/>
      <c r="L3157" s="1"/>
      <c r="M3157" s="1"/>
      <c r="N3157" s="1"/>
    </row>
    <row r="3158" ht="14.5" spans="2:14">
      <c r="B3158" s="1"/>
      <c r="C3158" s="1"/>
      <c r="D3158" s="1"/>
      <c r="E3158" s="1"/>
      <c r="F3158" s="1"/>
      <c r="G3158" s="1"/>
      <c r="H3158" s="1"/>
      <c r="I3158" s="1"/>
      <c r="J3158" s="1"/>
      <c r="K3158" s="1"/>
      <c r="L3158" s="1"/>
      <c r="M3158" s="1"/>
      <c r="N3158" s="1"/>
    </row>
    <row r="3159" ht="14.5" spans="2:14">
      <c r="B3159" s="1"/>
      <c r="C3159" s="1"/>
      <c r="D3159" s="1"/>
      <c r="E3159" s="1"/>
      <c r="F3159" s="1"/>
      <c r="G3159" s="1"/>
      <c r="H3159" s="1"/>
      <c r="I3159" s="1"/>
      <c r="J3159" s="1"/>
      <c r="K3159" s="1"/>
      <c r="L3159" s="1"/>
      <c r="M3159" s="1"/>
      <c r="N3159" s="1"/>
    </row>
    <row r="3160" ht="14.5" spans="2:14">
      <c r="B3160" s="1"/>
      <c r="C3160" s="1"/>
      <c r="D3160" s="1"/>
      <c r="E3160" s="1"/>
      <c r="F3160" s="1"/>
      <c r="G3160" s="1"/>
      <c r="H3160" s="1"/>
      <c r="I3160" s="1"/>
      <c r="J3160" s="1"/>
      <c r="K3160" s="1"/>
      <c r="L3160" s="1"/>
      <c r="M3160" s="1"/>
      <c r="N3160" s="1"/>
    </row>
    <row r="3161" ht="14.5" spans="2:14">
      <c r="B3161" s="1"/>
      <c r="C3161" s="1"/>
      <c r="D3161" s="1"/>
      <c r="E3161" s="1"/>
      <c r="F3161" s="1"/>
      <c r="G3161" s="1"/>
      <c r="H3161" s="1"/>
      <c r="I3161" s="1"/>
      <c r="J3161" s="1"/>
      <c r="K3161" s="1"/>
      <c r="L3161" s="1"/>
      <c r="M3161" s="1"/>
      <c r="N3161" s="1"/>
    </row>
    <row r="3162" ht="14.5" spans="2:14">
      <c r="B3162" s="1"/>
      <c r="C3162" s="1"/>
      <c r="D3162" s="1"/>
      <c r="E3162" s="1"/>
      <c r="F3162" s="1"/>
      <c r="G3162" s="1"/>
      <c r="H3162" s="1"/>
      <c r="I3162" s="1"/>
      <c r="J3162" s="1"/>
      <c r="K3162" s="1"/>
      <c r="L3162" s="1"/>
      <c r="M3162" s="1"/>
      <c r="N3162" s="1"/>
    </row>
    <row r="3163" ht="14.5" spans="2:14">
      <c r="B3163" s="1"/>
      <c r="C3163" s="1"/>
      <c r="D3163" s="1"/>
      <c r="E3163" s="1"/>
      <c r="F3163" s="1"/>
      <c r="G3163" s="1"/>
      <c r="H3163" s="1"/>
      <c r="I3163" s="1"/>
      <c r="J3163" s="1"/>
      <c r="K3163" s="1"/>
      <c r="L3163" s="1"/>
      <c r="M3163" s="1"/>
      <c r="N3163" s="1"/>
    </row>
    <row r="3164" ht="14.5" spans="2:14">
      <c r="B3164" s="1"/>
      <c r="C3164" s="1"/>
      <c r="D3164" s="1"/>
      <c r="E3164" s="1"/>
      <c r="F3164" s="1"/>
      <c r="G3164" s="1"/>
      <c r="H3164" s="1"/>
      <c r="I3164" s="1"/>
      <c r="J3164" s="1"/>
      <c r="K3164" s="1"/>
      <c r="L3164" s="1"/>
      <c r="M3164" s="1"/>
      <c r="N3164" s="1"/>
    </row>
    <row r="3165" ht="14.5" spans="2:14">
      <c r="B3165" s="1"/>
      <c r="C3165" s="1"/>
      <c r="D3165" s="1"/>
      <c r="E3165" s="1"/>
      <c r="F3165" s="1"/>
      <c r="G3165" s="1"/>
      <c r="H3165" s="1"/>
      <c r="I3165" s="1"/>
      <c r="J3165" s="1"/>
      <c r="K3165" s="1"/>
      <c r="L3165" s="1"/>
      <c r="M3165" s="1"/>
      <c r="N3165" s="1"/>
    </row>
    <row r="3166" ht="14.5" spans="2:14">
      <c r="B3166" s="1"/>
      <c r="C3166" s="1"/>
      <c r="D3166" s="1"/>
      <c r="E3166" s="1"/>
      <c r="F3166" s="1"/>
      <c r="G3166" s="1"/>
      <c r="H3166" s="1"/>
      <c r="I3166" s="1"/>
      <c r="J3166" s="1"/>
      <c r="K3166" s="1"/>
      <c r="L3166" s="1"/>
      <c r="M3166" s="1"/>
      <c r="N3166" s="1"/>
    </row>
    <row r="3167" ht="14.5" spans="2:14">
      <c r="B3167" s="1"/>
      <c r="C3167" s="1"/>
      <c r="D3167" s="1"/>
      <c r="E3167" s="1"/>
      <c r="F3167" s="1"/>
      <c r="G3167" s="1"/>
      <c r="H3167" s="1"/>
      <c r="I3167" s="1"/>
      <c r="J3167" s="1"/>
      <c r="K3167" s="1"/>
      <c r="L3167" s="1"/>
      <c r="M3167" s="1"/>
      <c r="N3167" s="1"/>
    </row>
    <row r="3168" ht="14.5" spans="2:14">
      <c r="B3168" s="1"/>
      <c r="C3168" s="1"/>
      <c r="D3168" s="1"/>
      <c r="E3168" s="1"/>
      <c r="F3168" s="1"/>
      <c r="G3168" s="1"/>
      <c r="H3168" s="1"/>
      <c r="I3168" s="1"/>
      <c r="J3168" s="1"/>
      <c r="K3168" s="1"/>
      <c r="L3168" s="1"/>
      <c r="M3168" s="1"/>
      <c r="N3168" s="1"/>
    </row>
    <row r="3169" ht="14.5" spans="2:14">
      <c r="B3169" s="1"/>
      <c r="C3169" s="1"/>
      <c r="D3169" s="1"/>
      <c r="E3169" s="1"/>
      <c r="F3169" s="1"/>
      <c r="G3169" s="1"/>
      <c r="H3169" s="1"/>
      <c r="I3169" s="1"/>
      <c r="J3169" s="1"/>
      <c r="K3169" s="1"/>
      <c r="L3169" s="1"/>
      <c r="M3169" s="1"/>
      <c r="N3169" s="1"/>
    </row>
    <row r="3170" ht="14.5" spans="2:14">
      <c r="B3170" s="1"/>
      <c r="C3170" s="1"/>
      <c r="D3170" s="1"/>
      <c r="E3170" s="1"/>
      <c r="F3170" s="1"/>
      <c r="G3170" s="1"/>
      <c r="H3170" s="1"/>
      <c r="I3170" s="1"/>
      <c r="J3170" s="1"/>
      <c r="K3170" s="1"/>
      <c r="L3170" s="1"/>
      <c r="M3170" s="1"/>
      <c r="N3170" s="1"/>
    </row>
    <row r="3171" ht="14.5" spans="2:14">
      <c r="B3171" s="1"/>
      <c r="C3171" s="1"/>
      <c r="D3171" s="1"/>
      <c r="E3171" s="1"/>
      <c r="F3171" s="1"/>
      <c r="G3171" s="1"/>
      <c r="H3171" s="1"/>
      <c r="I3171" s="1"/>
      <c r="J3171" s="1"/>
      <c r="K3171" s="1"/>
      <c r="L3171" s="1"/>
      <c r="M3171" s="1"/>
      <c r="N3171" s="1"/>
    </row>
    <row r="3172" ht="14.5" spans="2:14">
      <c r="B3172" s="1"/>
      <c r="C3172" s="1"/>
      <c r="D3172" s="1"/>
      <c r="E3172" s="1"/>
      <c r="F3172" s="1"/>
      <c r="G3172" s="1"/>
      <c r="H3172" s="1"/>
      <c r="I3172" s="1"/>
      <c r="J3172" s="1"/>
      <c r="K3172" s="1"/>
      <c r="L3172" s="1"/>
      <c r="M3172" s="1"/>
      <c r="N3172" s="1"/>
    </row>
    <row r="3173" ht="14.5" spans="2:14">
      <c r="B3173" s="1"/>
      <c r="C3173" s="1"/>
      <c r="D3173" s="1"/>
      <c r="E3173" s="1"/>
      <c r="F3173" s="1"/>
      <c r="G3173" s="1"/>
      <c r="H3173" s="1"/>
      <c r="I3173" s="1"/>
      <c r="J3173" s="1"/>
      <c r="K3173" s="1"/>
      <c r="L3173" s="1"/>
      <c r="M3173" s="1"/>
      <c r="N3173" s="1"/>
    </row>
    <row r="3174" ht="14.5" spans="2:14">
      <c r="B3174" s="1"/>
      <c r="C3174" s="1"/>
      <c r="D3174" s="1"/>
      <c r="E3174" s="1"/>
      <c r="F3174" s="1"/>
      <c r="G3174" s="1"/>
      <c r="H3174" s="1"/>
      <c r="I3174" s="1"/>
      <c r="J3174" s="1"/>
      <c r="K3174" s="1"/>
      <c r="L3174" s="1"/>
      <c r="M3174" s="1"/>
      <c r="N3174" s="1"/>
    </row>
    <row r="3175" ht="14.5" spans="2:14">
      <c r="B3175" s="1"/>
      <c r="C3175" s="1"/>
      <c r="D3175" s="1"/>
      <c r="E3175" s="1"/>
      <c r="F3175" s="1"/>
      <c r="G3175" s="1"/>
      <c r="H3175" s="1"/>
      <c r="I3175" s="1"/>
      <c r="J3175" s="1"/>
      <c r="K3175" s="1"/>
      <c r="L3175" s="1"/>
      <c r="M3175" s="1"/>
      <c r="N3175" s="1"/>
    </row>
    <row r="3176" ht="14.5" spans="2:14">
      <c r="B3176" s="1"/>
      <c r="C3176" s="1"/>
      <c r="D3176" s="1"/>
      <c r="E3176" s="1"/>
      <c r="F3176" s="1"/>
      <c r="G3176" s="1"/>
      <c r="H3176" s="1"/>
      <c r="I3176" s="1"/>
      <c r="J3176" s="1"/>
      <c r="K3176" s="1"/>
      <c r="L3176" s="1"/>
      <c r="M3176" s="1"/>
      <c r="N3176" s="1"/>
    </row>
    <row r="3177" ht="14.5" spans="2:14">
      <c r="B3177" s="1"/>
      <c r="C3177" s="1"/>
      <c r="D3177" s="1"/>
      <c r="E3177" s="1"/>
      <c r="F3177" s="1"/>
      <c r="G3177" s="1"/>
      <c r="H3177" s="1"/>
      <c r="I3177" s="1"/>
      <c r="J3177" s="1"/>
      <c r="K3177" s="1"/>
      <c r="L3177" s="1"/>
      <c r="M3177" s="1"/>
      <c r="N3177" s="1"/>
    </row>
    <row r="3178" ht="14.5" spans="2:14">
      <c r="B3178" s="1"/>
      <c r="C3178" s="1"/>
      <c r="D3178" s="1"/>
      <c r="E3178" s="1"/>
      <c r="F3178" s="1"/>
      <c r="G3178" s="1"/>
      <c r="H3178" s="1"/>
      <c r="I3178" s="1"/>
      <c r="J3178" s="1"/>
      <c r="K3178" s="1"/>
      <c r="L3178" s="1"/>
      <c r="M3178" s="1"/>
      <c r="N3178" s="1"/>
    </row>
    <row r="3179" ht="14.5" spans="2:14">
      <c r="B3179" s="1"/>
      <c r="C3179" s="1"/>
      <c r="D3179" s="1"/>
      <c r="E3179" s="1"/>
      <c r="F3179" s="1"/>
      <c r="G3179" s="1"/>
      <c r="H3179" s="1"/>
      <c r="I3179" s="1"/>
      <c r="J3179" s="1"/>
      <c r="K3179" s="1"/>
      <c r="L3179" s="1"/>
      <c r="M3179" s="1"/>
      <c r="N3179" s="1"/>
    </row>
    <row r="3180" ht="14.5" spans="2:14">
      <c r="B3180" s="1"/>
      <c r="C3180" s="1"/>
      <c r="D3180" s="1"/>
      <c r="E3180" s="1"/>
      <c r="F3180" s="1"/>
      <c r="G3180" s="1"/>
      <c r="H3180" s="1"/>
      <c r="I3180" s="1"/>
      <c r="J3180" s="1"/>
      <c r="K3180" s="1"/>
      <c r="L3180" s="1"/>
      <c r="M3180" s="1"/>
      <c r="N3180" s="1"/>
    </row>
    <row r="3181" ht="14.5" spans="2:14">
      <c r="B3181" s="1"/>
      <c r="C3181" s="1"/>
      <c r="D3181" s="1"/>
      <c r="E3181" s="1"/>
      <c r="F3181" s="1"/>
      <c r="G3181" s="1"/>
      <c r="H3181" s="1"/>
      <c r="I3181" s="1"/>
      <c r="J3181" s="1"/>
      <c r="K3181" s="1"/>
      <c r="L3181" s="1"/>
      <c r="M3181" s="1"/>
      <c r="N3181" s="1"/>
    </row>
    <row r="3182" ht="14.5" spans="2:14">
      <c r="B3182" s="1"/>
      <c r="C3182" s="1"/>
      <c r="D3182" s="1"/>
      <c r="E3182" s="1"/>
      <c r="F3182" s="1"/>
      <c r="G3182" s="1"/>
      <c r="H3182" s="1"/>
      <c r="I3182" s="1"/>
      <c r="J3182" s="1"/>
      <c r="K3182" s="1"/>
      <c r="L3182" s="1"/>
      <c r="M3182" s="1"/>
      <c r="N3182" s="1"/>
    </row>
    <row r="3183" ht="14.5" spans="2:14">
      <c r="B3183" s="1"/>
      <c r="C3183" s="1"/>
      <c r="D3183" s="1"/>
      <c r="E3183" s="1"/>
      <c r="F3183" s="1"/>
      <c r="G3183" s="1"/>
      <c r="H3183" s="1"/>
      <c r="I3183" s="1"/>
      <c r="J3183" s="1"/>
      <c r="K3183" s="1"/>
      <c r="L3183" s="1"/>
      <c r="M3183" s="1"/>
      <c r="N3183" s="1"/>
    </row>
    <row r="3184" ht="14.5" spans="2:14">
      <c r="B3184" s="1"/>
      <c r="C3184" s="1"/>
      <c r="D3184" s="1"/>
      <c r="E3184" s="1"/>
      <c r="F3184" s="1"/>
      <c r="G3184" s="1"/>
      <c r="H3184" s="1"/>
      <c r="I3184" s="1"/>
      <c r="J3184" s="1"/>
      <c r="K3184" s="1"/>
      <c r="L3184" s="1"/>
      <c r="M3184" s="1"/>
      <c r="N3184" s="1"/>
    </row>
    <row r="3185" ht="14.5" spans="2:14">
      <c r="B3185" s="1"/>
      <c r="C3185" s="1"/>
      <c r="D3185" s="1"/>
      <c r="E3185" s="1"/>
      <c r="F3185" s="1"/>
      <c r="G3185" s="1"/>
      <c r="H3185" s="1"/>
      <c r="I3185" s="1"/>
      <c r="J3185" s="1"/>
      <c r="K3185" s="1"/>
      <c r="L3185" s="1"/>
      <c r="M3185" s="1"/>
      <c r="N3185" s="1"/>
    </row>
    <row r="3186" ht="14.5" spans="2:14">
      <c r="B3186" s="1"/>
      <c r="C3186" s="1"/>
      <c r="D3186" s="1"/>
      <c r="E3186" s="1"/>
      <c r="F3186" s="1"/>
      <c r="G3186" s="1"/>
      <c r="H3186" s="1"/>
      <c r="I3186" s="1"/>
      <c r="J3186" s="1"/>
      <c r="K3186" s="1"/>
      <c r="L3186" s="1"/>
      <c r="M3186" s="1"/>
      <c r="N3186" s="1"/>
    </row>
    <row r="3187" ht="14.5" spans="2:14">
      <c r="B3187" s="1"/>
      <c r="C3187" s="1"/>
      <c r="D3187" s="1"/>
      <c r="E3187" s="1"/>
      <c r="F3187" s="1"/>
      <c r="G3187" s="1"/>
      <c r="H3187" s="1"/>
      <c r="I3187" s="1"/>
      <c r="J3187" s="1"/>
      <c r="K3187" s="1"/>
      <c r="L3187" s="1"/>
      <c r="M3187" s="1"/>
      <c r="N3187" s="1"/>
    </row>
    <row r="3188" ht="14.5" spans="2:14">
      <c r="B3188" s="1"/>
      <c r="C3188" s="1"/>
      <c r="D3188" s="1"/>
      <c r="E3188" s="1"/>
      <c r="F3188" s="1"/>
      <c r="G3188" s="1"/>
      <c r="H3188" s="1"/>
      <c r="I3188" s="1"/>
      <c r="J3188" s="1"/>
      <c r="K3188" s="1"/>
      <c r="L3188" s="1"/>
      <c r="M3188" s="1"/>
      <c r="N3188" s="1"/>
    </row>
    <row r="3189" ht="14.5" spans="2:14">
      <c r="B3189" s="1"/>
      <c r="C3189" s="1"/>
      <c r="D3189" s="1"/>
      <c r="E3189" s="1"/>
      <c r="F3189" s="1"/>
      <c r="G3189" s="1"/>
      <c r="H3189" s="1"/>
      <c r="I3189" s="1"/>
      <c r="J3189" s="1"/>
      <c r="K3189" s="1"/>
      <c r="L3189" s="1"/>
      <c r="M3189" s="1"/>
      <c r="N3189" s="1"/>
    </row>
    <row r="3190" ht="14.5" spans="2:14">
      <c r="B3190" s="1"/>
      <c r="C3190" s="1"/>
      <c r="D3190" s="1"/>
      <c r="E3190" s="1"/>
      <c r="F3190" s="1"/>
      <c r="G3190" s="1"/>
      <c r="H3190" s="1"/>
      <c r="I3190" s="1"/>
      <c r="J3190" s="1"/>
      <c r="K3190" s="1"/>
      <c r="L3190" s="1"/>
      <c r="M3190" s="1"/>
      <c r="N3190" s="1"/>
    </row>
    <row r="3191" ht="14.5" spans="2:14">
      <c r="B3191" s="1"/>
      <c r="C3191" s="1"/>
      <c r="D3191" s="1"/>
      <c r="E3191" s="1"/>
      <c r="F3191" s="1"/>
      <c r="G3191" s="1"/>
      <c r="H3191" s="1"/>
      <c r="I3191" s="1"/>
      <c r="J3191" s="1"/>
      <c r="K3191" s="1"/>
      <c r="L3191" s="1"/>
      <c r="M3191" s="1"/>
      <c r="N3191" s="1"/>
    </row>
    <row r="3192" ht="14.5" spans="2:14">
      <c r="B3192" s="1"/>
      <c r="C3192" s="1"/>
      <c r="D3192" s="1"/>
      <c r="E3192" s="1"/>
      <c r="F3192" s="1"/>
      <c r="G3192" s="1"/>
      <c r="H3192" s="1"/>
      <c r="I3192" s="1"/>
      <c r="J3192" s="1"/>
      <c r="K3192" s="1"/>
      <c r="L3192" s="1"/>
      <c r="M3192" s="1"/>
      <c r="N3192" s="1"/>
    </row>
    <row r="3193" ht="14.5" spans="2:14">
      <c r="B3193" s="1"/>
      <c r="C3193" s="1"/>
      <c r="D3193" s="1"/>
      <c r="E3193" s="1"/>
      <c r="F3193" s="1"/>
      <c r="G3193" s="1"/>
      <c r="H3193" s="1"/>
      <c r="I3193" s="1"/>
      <c r="J3193" s="1"/>
      <c r="K3193" s="1"/>
      <c r="L3193" s="1"/>
      <c r="M3193" s="1"/>
      <c r="N3193" s="1"/>
    </row>
    <row r="3194" ht="14.5" spans="2:14">
      <c r="B3194" s="1"/>
      <c r="C3194" s="1"/>
      <c r="D3194" s="1"/>
      <c r="E3194" s="1"/>
      <c r="F3194" s="1"/>
      <c r="G3194" s="1"/>
      <c r="H3194" s="1"/>
      <c r="I3194" s="1"/>
      <c r="J3194" s="1"/>
      <c r="K3194" s="1"/>
      <c r="L3194" s="1"/>
      <c r="M3194" s="1"/>
      <c r="N3194" s="1"/>
    </row>
    <row r="3195" ht="14.5" spans="2:14">
      <c r="B3195" s="1"/>
      <c r="C3195" s="1"/>
      <c r="D3195" s="1"/>
      <c r="E3195" s="1"/>
      <c r="F3195" s="1"/>
      <c r="G3195" s="1"/>
      <c r="H3195" s="1"/>
      <c r="I3195" s="1"/>
      <c r="J3195" s="1"/>
      <c r="K3195" s="1"/>
      <c r="L3195" s="1"/>
      <c r="M3195" s="1"/>
      <c r="N3195" s="1"/>
    </row>
    <row r="3196" ht="14.5" spans="2:14">
      <c r="B3196" s="1"/>
      <c r="C3196" s="1"/>
      <c r="D3196" s="1"/>
      <c r="E3196" s="1"/>
      <c r="F3196" s="1"/>
      <c r="G3196" s="1"/>
      <c r="H3196" s="1"/>
      <c r="I3196" s="1"/>
      <c r="J3196" s="1"/>
      <c r="K3196" s="1"/>
      <c r="L3196" s="1"/>
      <c r="M3196" s="1"/>
      <c r="N3196" s="1"/>
    </row>
    <row r="3197" ht="14.5" spans="2:14">
      <c r="B3197" s="1"/>
      <c r="C3197" s="1"/>
      <c r="D3197" s="1"/>
      <c r="E3197" s="1"/>
      <c r="F3197" s="1"/>
      <c r="G3197" s="1"/>
      <c r="H3197" s="1"/>
      <c r="I3197" s="1"/>
      <c r="J3197" s="1"/>
      <c r="K3197" s="1"/>
      <c r="L3197" s="1"/>
      <c r="M3197" s="1"/>
      <c r="N3197" s="1"/>
    </row>
    <row r="3198" ht="14.5" spans="2:14">
      <c r="B3198" s="1"/>
      <c r="C3198" s="1"/>
      <c r="D3198" s="1"/>
      <c r="E3198" s="1"/>
      <c r="F3198" s="1"/>
      <c r="G3198" s="1"/>
      <c r="H3198" s="1"/>
      <c r="I3198" s="1"/>
      <c r="J3198" s="1"/>
      <c r="K3198" s="1"/>
      <c r="L3198" s="1"/>
      <c r="M3198" s="1"/>
      <c r="N3198" s="1"/>
    </row>
    <row r="3199" ht="14.5" spans="2:14">
      <c r="B3199" s="1"/>
      <c r="C3199" s="1"/>
      <c r="D3199" s="1"/>
      <c r="E3199" s="1"/>
      <c r="F3199" s="1"/>
      <c r="G3199" s="1"/>
      <c r="H3199" s="1"/>
      <c r="I3199" s="1"/>
      <c r="J3199" s="1"/>
      <c r="K3199" s="1"/>
      <c r="L3199" s="1"/>
      <c r="M3199" s="1"/>
      <c r="N3199" s="1"/>
    </row>
    <row r="3200" ht="14.5" spans="2:14">
      <c r="B3200" s="1"/>
      <c r="C3200" s="1"/>
      <c r="D3200" s="1"/>
      <c r="E3200" s="1"/>
      <c r="F3200" s="1"/>
      <c r="G3200" s="1"/>
      <c r="H3200" s="1"/>
      <c r="I3200" s="1"/>
      <c r="J3200" s="1"/>
      <c r="K3200" s="1"/>
      <c r="L3200" s="1"/>
      <c r="M3200" s="1"/>
      <c r="N3200" s="1"/>
    </row>
    <row r="3201" ht="14.5" spans="2:14">
      <c r="B3201" s="1"/>
      <c r="C3201" s="1"/>
      <c r="D3201" s="1"/>
      <c r="E3201" s="1"/>
      <c r="F3201" s="1"/>
      <c r="G3201" s="1"/>
      <c r="H3201" s="1"/>
      <c r="I3201" s="1"/>
      <c r="J3201" s="1"/>
      <c r="K3201" s="1"/>
      <c r="L3201" s="1"/>
      <c r="M3201" s="1"/>
      <c r="N3201" s="1"/>
    </row>
    <row r="3202" ht="14.5" spans="2:14">
      <c r="B3202" s="1"/>
      <c r="C3202" s="1"/>
      <c r="D3202" s="1"/>
      <c r="E3202" s="1"/>
      <c r="F3202" s="1"/>
      <c r="G3202" s="1"/>
      <c r="H3202" s="1"/>
      <c r="I3202" s="1"/>
      <c r="J3202" s="1"/>
      <c r="K3202" s="1"/>
      <c r="L3202" s="1"/>
      <c r="M3202" s="1"/>
      <c r="N3202" s="1"/>
    </row>
    <row r="3203" ht="14.5" spans="2:14">
      <c r="B3203" s="1"/>
      <c r="C3203" s="1"/>
      <c r="D3203" s="1"/>
      <c r="E3203" s="1"/>
      <c r="F3203" s="1"/>
      <c r="G3203" s="1"/>
      <c r="H3203" s="1"/>
      <c r="I3203" s="1"/>
      <c r="J3203" s="1"/>
      <c r="K3203" s="1"/>
      <c r="L3203" s="1"/>
      <c r="M3203" s="1"/>
      <c r="N3203" s="1"/>
    </row>
    <row r="3204" ht="14.5" spans="2:14">
      <c r="B3204" s="1"/>
      <c r="C3204" s="1"/>
      <c r="D3204" s="1"/>
      <c r="E3204" s="1"/>
      <c r="F3204" s="1"/>
      <c r="G3204" s="1"/>
      <c r="H3204" s="1"/>
      <c r="I3204" s="1"/>
      <c r="J3204" s="1"/>
      <c r="K3204" s="1"/>
      <c r="L3204" s="1"/>
      <c r="M3204" s="1"/>
      <c r="N3204" s="1"/>
    </row>
    <row r="3205" ht="14.5" spans="2:14">
      <c r="B3205" s="1"/>
      <c r="C3205" s="1"/>
      <c r="D3205" s="1"/>
      <c r="E3205" s="1"/>
      <c r="F3205" s="1"/>
      <c r="G3205" s="1"/>
      <c r="H3205" s="1"/>
      <c r="I3205" s="1"/>
      <c r="J3205" s="1"/>
      <c r="K3205" s="1"/>
      <c r="L3205" s="1"/>
      <c r="M3205" s="1"/>
      <c r="N3205" s="1"/>
    </row>
    <row r="3206" ht="14.5" spans="2:14">
      <c r="B3206" s="1"/>
      <c r="C3206" s="1"/>
      <c r="D3206" s="1"/>
      <c r="E3206" s="1"/>
      <c r="F3206" s="1"/>
      <c r="G3206" s="1"/>
      <c r="H3206" s="1"/>
      <c r="I3206" s="1"/>
      <c r="J3206" s="1"/>
      <c r="K3206" s="1"/>
      <c r="L3206" s="1"/>
      <c r="M3206" s="1"/>
      <c r="N3206" s="1"/>
    </row>
    <row r="3207" ht="14.5" spans="2:14">
      <c r="B3207" s="1"/>
      <c r="C3207" s="1"/>
      <c r="D3207" s="1"/>
      <c r="E3207" s="1"/>
      <c r="F3207" s="1"/>
      <c r="G3207" s="1"/>
      <c r="H3207" s="1"/>
      <c r="I3207" s="1"/>
      <c r="J3207" s="1"/>
      <c r="K3207" s="1"/>
      <c r="L3207" s="1"/>
      <c r="M3207" s="1"/>
      <c r="N3207" s="1"/>
    </row>
    <row r="3208" ht="14.5" spans="2:14">
      <c r="B3208" s="1"/>
      <c r="C3208" s="1"/>
      <c r="D3208" s="1"/>
      <c r="E3208" s="1"/>
      <c r="F3208" s="1"/>
      <c r="G3208" s="1"/>
      <c r="H3208" s="1"/>
      <c r="I3208" s="1"/>
      <c r="J3208" s="1"/>
      <c r="K3208" s="1"/>
      <c r="L3208" s="1"/>
      <c r="M3208" s="1"/>
      <c r="N3208" s="1"/>
    </row>
    <row r="3209" ht="14.5" spans="2:14">
      <c r="B3209" s="1"/>
      <c r="C3209" s="1"/>
      <c r="D3209" s="1"/>
      <c r="E3209" s="1"/>
      <c r="F3209" s="1"/>
      <c r="G3209" s="1"/>
      <c r="H3209" s="1"/>
      <c r="I3209" s="1"/>
      <c r="J3209" s="1"/>
      <c r="K3209" s="1"/>
      <c r="L3209" s="1"/>
      <c r="M3209" s="1"/>
      <c r="N3209" s="1"/>
    </row>
    <row r="3210" ht="14.5" spans="2:14">
      <c r="B3210" s="1"/>
      <c r="C3210" s="1"/>
      <c r="D3210" s="1"/>
      <c r="E3210" s="1"/>
      <c r="F3210" s="1"/>
      <c r="G3210" s="1"/>
      <c r="H3210" s="1"/>
      <c r="I3210" s="1"/>
      <c r="J3210" s="1"/>
      <c r="K3210" s="1"/>
      <c r="L3210" s="1"/>
      <c r="M3210" s="1"/>
      <c r="N3210" s="1"/>
    </row>
    <row r="3211" ht="14.5" spans="2:14">
      <c r="B3211" s="1"/>
      <c r="C3211" s="1"/>
      <c r="D3211" s="1"/>
      <c r="E3211" s="1"/>
      <c r="F3211" s="1"/>
      <c r="G3211" s="1"/>
      <c r="H3211" s="1"/>
      <c r="I3211" s="1"/>
      <c r="J3211" s="1"/>
      <c r="K3211" s="1"/>
      <c r="L3211" s="1"/>
      <c r="M3211" s="1"/>
      <c r="N3211" s="1"/>
    </row>
    <row r="3212" ht="14.5" spans="2:14">
      <c r="B3212" s="1"/>
      <c r="C3212" s="1"/>
      <c r="D3212" s="1"/>
      <c r="E3212" s="1"/>
      <c r="F3212" s="1"/>
      <c r="G3212" s="1"/>
      <c r="H3212" s="1"/>
      <c r="I3212" s="1"/>
      <c r="J3212" s="1"/>
      <c r="K3212" s="1"/>
      <c r="L3212" s="1"/>
      <c r="M3212" s="1"/>
      <c r="N3212" s="1"/>
    </row>
    <row r="3213" ht="14.5" spans="2:14">
      <c r="B3213" s="1"/>
      <c r="C3213" s="1"/>
      <c r="D3213" s="1"/>
      <c r="E3213" s="1"/>
      <c r="F3213" s="1"/>
      <c r="G3213" s="1"/>
      <c r="H3213" s="1"/>
      <c r="I3213" s="1"/>
      <c r="J3213" s="1"/>
      <c r="K3213" s="1"/>
      <c r="L3213" s="1"/>
      <c r="M3213" s="1"/>
      <c r="N3213" s="1"/>
    </row>
    <row r="3214" ht="14.5" spans="2:14">
      <c r="B3214" s="1"/>
      <c r="C3214" s="1"/>
      <c r="D3214" s="1"/>
      <c r="E3214" s="1"/>
      <c r="F3214" s="1"/>
      <c r="G3214" s="1"/>
      <c r="H3214" s="1"/>
      <c r="I3214" s="1"/>
      <c r="J3214" s="1"/>
      <c r="K3214" s="1"/>
      <c r="L3214" s="1"/>
      <c r="M3214" s="1"/>
      <c r="N3214" s="1"/>
    </row>
    <row r="3215" ht="14.5" spans="2:14">
      <c r="B3215" s="1"/>
      <c r="C3215" s="1"/>
      <c r="D3215" s="1"/>
      <c r="E3215" s="1"/>
      <c r="F3215" s="1"/>
      <c r="G3215" s="1"/>
      <c r="H3215" s="1"/>
      <c r="I3215" s="1"/>
      <c r="J3215" s="1"/>
      <c r="K3215" s="1"/>
      <c r="L3215" s="1"/>
      <c r="M3215" s="1"/>
      <c r="N3215" s="1"/>
    </row>
    <row r="3216" ht="14.5" spans="2:14">
      <c r="B3216" s="1"/>
      <c r="C3216" s="1"/>
      <c r="D3216" s="1"/>
      <c r="E3216" s="1"/>
      <c r="F3216" s="1"/>
      <c r="G3216" s="1"/>
      <c r="H3216" s="1"/>
      <c r="I3216" s="1"/>
      <c r="J3216" s="1"/>
      <c r="K3216" s="1"/>
      <c r="L3216" s="1"/>
      <c r="M3216" s="1"/>
      <c r="N3216" s="1"/>
    </row>
    <row r="3217" ht="14.5" spans="2:14">
      <c r="B3217" s="1"/>
      <c r="C3217" s="1"/>
      <c r="D3217" s="1"/>
      <c r="E3217" s="1"/>
      <c r="F3217" s="1"/>
      <c r="G3217" s="1"/>
      <c r="H3217" s="1"/>
      <c r="I3217" s="1"/>
      <c r="J3217" s="1"/>
      <c r="K3217" s="1"/>
      <c r="L3217" s="1"/>
      <c r="M3217" s="1"/>
      <c r="N3217" s="1"/>
    </row>
    <row r="3218" ht="14.5" spans="2:14">
      <c r="B3218" s="1"/>
      <c r="C3218" s="1"/>
      <c r="D3218" s="1"/>
      <c r="E3218" s="1"/>
      <c r="F3218" s="1"/>
      <c r="G3218" s="1"/>
      <c r="H3218" s="1"/>
      <c r="I3218" s="1"/>
      <c r="J3218" s="1"/>
      <c r="K3218" s="1"/>
      <c r="L3218" s="1"/>
      <c r="M3218" s="1"/>
      <c r="N3218" s="1"/>
    </row>
    <row r="3219" ht="14.5" spans="2:14">
      <c r="B3219" s="1"/>
      <c r="C3219" s="1"/>
      <c r="D3219" s="1"/>
      <c r="E3219" s="1"/>
      <c r="F3219" s="1"/>
      <c r="G3219" s="1"/>
      <c r="H3219" s="1"/>
      <c r="I3219" s="1"/>
      <c r="J3219" s="1"/>
      <c r="K3219" s="1"/>
      <c r="L3219" s="1"/>
      <c r="M3219" s="1"/>
      <c r="N3219" s="1"/>
    </row>
    <row r="3220" ht="14.5" spans="2:14">
      <c r="B3220" s="1"/>
      <c r="C3220" s="1"/>
      <c r="D3220" s="1"/>
      <c r="E3220" s="1"/>
      <c r="F3220" s="1"/>
      <c r="G3220" s="1"/>
      <c r="H3220" s="1"/>
      <c r="I3220" s="1"/>
      <c r="J3220" s="1"/>
      <c r="K3220" s="1"/>
      <c r="L3220" s="1"/>
      <c r="M3220" s="1"/>
      <c r="N3220" s="1"/>
    </row>
    <row r="3221" ht="14.5" spans="2:14">
      <c r="B3221" s="1"/>
      <c r="C3221" s="1"/>
      <c r="D3221" s="1"/>
      <c r="E3221" s="1"/>
      <c r="F3221" s="1"/>
      <c r="G3221" s="1"/>
      <c r="H3221" s="1"/>
      <c r="I3221" s="1"/>
      <c r="J3221" s="1"/>
      <c r="K3221" s="1"/>
      <c r="L3221" s="1"/>
      <c r="M3221" s="1"/>
      <c r="N3221" s="1"/>
    </row>
    <row r="3222" ht="14.5" spans="2:14">
      <c r="B3222" s="1"/>
      <c r="C3222" s="1"/>
      <c r="D3222" s="1"/>
      <c r="E3222" s="1"/>
      <c r="F3222" s="1"/>
      <c r="G3222" s="1"/>
      <c r="H3222" s="1"/>
      <c r="I3222" s="1"/>
      <c r="J3222" s="1"/>
      <c r="K3222" s="1"/>
      <c r="L3222" s="1"/>
      <c r="M3222" s="1"/>
      <c r="N3222" s="1"/>
    </row>
    <row r="3223" ht="14.5" spans="2:14">
      <c r="B3223" s="1"/>
      <c r="C3223" s="1"/>
      <c r="D3223" s="1"/>
      <c r="E3223" s="1"/>
      <c r="F3223" s="1"/>
      <c r="G3223" s="1"/>
      <c r="H3223" s="1"/>
      <c r="I3223" s="1"/>
      <c r="J3223" s="1"/>
      <c r="K3223" s="1"/>
      <c r="L3223" s="1"/>
      <c r="M3223" s="1"/>
      <c r="N3223" s="1"/>
    </row>
    <row r="3224" ht="14.5" spans="2:14">
      <c r="B3224" s="1"/>
      <c r="C3224" s="1"/>
      <c r="D3224" s="1"/>
      <c r="E3224" s="1"/>
      <c r="F3224" s="1"/>
      <c r="G3224" s="1"/>
      <c r="H3224" s="1"/>
      <c r="I3224" s="1"/>
      <c r="J3224" s="1"/>
      <c r="K3224" s="1"/>
      <c r="L3224" s="1"/>
      <c r="M3224" s="1"/>
      <c r="N3224" s="1"/>
    </row>
    <row r="3225" ht="14.5" spans="2:14">
      <c r="B3225" s="1"/>
      <c r="C3225" s="1"/>
      <c r="D3225" s="1"/>
      <c r="E3225" s="1"/>
      <c r="F3225" s="1"/>
      <c r="G3225" s="1"/>
      <c r="H3225" s="1"/>
      <c r="I3225" s="1"/>
      <c r="J3225" s="1"/>
      <c r="K3225" s="1"/>
      <c r="L3225" s="1"/>
      <c r="M3225" s="1"/>
      <c r="N3225" s="1"/>
    </row>
    <row r="3226" ht="14.5" spans="2:14">
      <c r="B3226" s="1"/>
      <c r="C3226" s="1"/>
      <c r="D3226" s="1"/>
      <c r="E3226" s="1"/>
      <c r="F3226" s="1"/>
      <c r="G3226" s="1"/>
      <c r="H3226" s="1"/>
      <c r="I3226" s="1"/>
      <c r="J3226" s="1"/>
      <c r="K3226" s="1"/>
      <c r="L3226" s="1"/>
      <c r="M3226" s="1"/>
      <c r="N3226" s="1"/>
    </row>
    <row r="3227" ht="14.5" spans="2:14">
      <c r="B3227" s="1"/>
      <c r="C3227" s="1"/>
      <c r="D3227" s="1"/>
      <c r="E3227" s="1"/>
      <c r="F3227" s="1"/>
      <c r="G3227" s="1"/>
      <c r="H3227" s="1"/>
      <c r="I3227" s="1"/>
      <c r="J3227" s="1"/>
      <c r="K3227" s="1"/>
      <c r="L3227" s="1"/>
      <c r="M3227" s="1"/>
      <c r="N3227" s="1"/>
    </row>
    <row r="3228" ht="14.5" spans="2:14">
      <c r="B3228" s="1"/>
      <c r="C3228" s="1"/>
      <c r="D3228" s="1"/>
      <c r="E3228" s="1"/>
      <c r="F3228" s="1"/>
      <c r="G3228" s="1"/>
      <c r="H3228" s="1"/>
      <c r="I3228" s="1"/>
      <c r="J3228" s="1"/>
      <c r="K3228" s="1"/>
      <c r="L3228" s="1"/>
      <c r="M3228" s="1"/>
      <c r="N3228" s="1"/>
    </row>
    <row r="3229" ht="14.5" spans="2:14">
      <c r="B3229" s="1"/>
      <c r="C3229" s="1"/>
      <c r="D3229" s="1"/>
      <c r="E3229" s="1"/>
      <c r="F3229" s="1"/>
      <c r="G3229" s="1"/>
      <c r="H3229" s="1"/>
      <c r="I3229" s="1"/>
      <c r="J3229" s="1"/>
      <c r="K3229" s="1"/>
      <c r="L3229" s="1"/>
      <c r="M3229" s="1"/>
      <c r="N3229" s="1"/>
    </row>
    <row r="3230" ht="14.5" spans="2:14">
      <c r="B3230" s="1"/>
      <c r="C3230" s="1"/>
      <c r="D3230" s="1"/>
      <c r="E3230" s="1"/>
      <c r="F3230" s="1"/>
      <c r="G3230" s="1"/>
      <c r="H3230" s="1"/>
      <c r="I3230" s="1"/>
      <c r="J3230" s="1"/>
      <c r="K3230" s="1"/>
      <c r="L3230" s="1"/>
      <c r="M3230" s="1"/>
      <c r="N3230" s="1"/>
    </row>
    <row r="3231" ht="14.5" spans="2:14">
      <c r="B3231" s="1"/>
      <c r="C3231" s="1"/>
      <c r="D3231" s="1"/>
      <c r="E3231" s="1"/>
      <c r="F3231" s="1"/>
      <c r="G3231" s="1"/>
      <c r="H3231" s="1"/>
      <c r="I3231" s="1"/>
      <c r="J3231" s="1"/>
      <c r="K3231" s="1"/>
      <c r="L3231" s="1"/>
      <c r="M3231" s="1"/>
      <c r="N3231" s="1"/>
    </row>
    <row r="3232" ht="14.5" spans="2:14">
      <c r="B3232" s="1"/>
      <c r="C3232" s="1"/>
      <c r="D3232" s="1"/>
      <c r="E3232" s="1"/>
      <c r="F3232" s="1"/>
      <c r="G3232" s="1"/>
      <c r="H3232" s="1"/>
      <c r="I3232" s="1"/>
      <c r="J3232" s="1"/>
      <c r="K3232" s="1"/>
      <c r="L3232" s="1"/>
      <c r="M3232" s="1"/>
      <c r="N3232" s="1"/>
    </row>
    <row r="3233" ht="14.5" spans="2:14">
      <c r="B3233" s="1"/>
      <c r="C3233" s="1"/>
      <c r="D3233" s="1"/>
      <c r="E3233" s="1"/>
      <c r="F3233" s="1"/>
      <c r="G3233" s="1"/>
      <c r="H3233" s="1"/>
      <c r="I3233" s="1"/>
      <c r="J3233" s="1"/>
      <c r="K3233" s="1"/>
      <c r="L3233" s="1"/>
      <c r="M3233" s="1"/>
      <c r="N3233" s="1"/>
    </row>
    <row r="3234" ht="14.5" spans="2:14">
      <c r="B3234" s="1"/>
      <c r="C3234" s="1"/>
      <c r="D3234" s="1"/>
      <c r="E3234" s="1"/>
      <c r="F3234" s="1"/>
      <c r="G3234" s="1"/>
      <c r="H3234" s="1"/>
      <c r="I3234" s="1"/>
      <c r="J3234" s="1"/>
      <c r="K3234" s="1"/>
      <c r="L3234" s="1"/>
      <c r="M3234" s="1"/>
      <c r="N3234" s="1"/>
    </row>
    <row r="3235" ht="14.5" spans="2:14">
      <c r="B3235" s="1"/>
      <c r="C3235" s="1"/>
      <c r="D3235" s="1"/>
      <c r="E3235" s="1"/>
      <c r="F3235" s="1"/>
      <c r="G3235" s="1"/>
      <c r="H3235" s="1"/>
      <c r="I3235" s="1"/>
      <c r="J3235" s="1"/>
      <c r="K3235" s="1"/>
      <c r="L3235" s="1"/>
      <c r="M3235" s="1"/>
      <c r="N3235" s="1"/>
    </row>
    <row r="3236" ht="14.5" spans="2:14">
      <c r="B3236" s="1"/>
      <c r="C3236" s="1"/>
      <c r="D3236" s="1"/>
      <c r="E3236" s="1"/>
      <c r="F3236" s="1"/>
      <c r="G3236" s="1"/>
      <c r="H3236" s="1"/>
      <c r="I3236" s="1"/>
      <c r="J3236" s="1"/>
      <c r="K3236" s="1"/>
      <c r="L3236" s="1"/>
      <c r="M3236" s="1"/>
      <c r="N3236" s="1"/>
    </row>
    <row r="3237" ht="14.5" spans="2:14">
      <c r="B3237" s="1"/>
      <c r="C3237" s="1"/>
      <c r="D3237" s="1"/>
      <c r="E3237" s="1"/>
      <c r="F3237" s="1"/>
      <c r="G3237" s="1"/>
      <c r="H3237" s="1"/>
      <c r="I3237" s="1"/>
      <c r="J3237" s="1"/>
      <c r="K3237" s="1"/>
      <c r="L3237" s="1"/>
      <c r="M3237" s="1"/>
      <c r="N3237" s="1"/>
    </row>
    <row r="3238" ht="14.5" spans="2:14">
      <c r="B3238" s="1"/>
      <c r="C3238" s="1"/>
      <c r="D3238" s="1"/>
      <c r="E3238" s="1"/>
      <c r="F3238" s="1"/>
      <c r="G3238" s="1"/>
      <c r="H3238" s="1"/>
      <c r="I3238" s="1"/>
      <c r="J3238" s="1"/>
      <c r="K3238" s="1"/>
      <c r="L3238" s="1"/>
      <c r="M3238" s="1"/>
      <c r="N3238" s="1"/>
    </row>
    <row r="3239" ht="14.5" spans="2:14">
      <c r="B3239" s="1"/>
      <c r="C3239" s="1"/>
      <c r="D3239" s="1"/>
      <c r="E3239" s="1"/>
      <c r="F3239" s="1"/>
      <c r="G3239" s="1"/>
      <c r="H3239" s="1"/>
      <c r="I3239" s="1"/>
      <c r="J3239" s="1"/>
      <c r="K3239" s="1"/>
      <c r="L3239" s="1"/>
      <c r="M3239" s="1"/>
      <c r="N3239" s="1"/>
    </row>
    <row r="3240" ht="14.5" spans="2:14">
      <c r="B3240" s="1"/>
      <c r="C3240" s="1"/>
      <c r="D3240" s="1"/>
      <c r="E3240" s="1"/>
      <c r="F3240" s="1"/>
      <c r="G3240" s="1"/>
      <c r="H3240" s="1"/>
      <c r="I3240" s="1"/>
      <c r="J3240" s="1"/>
      <c r="K3240" s="1"/>
      <c r="L3240" s="1"/>
      <c r="M3240" s="1"/>
      <c r="N3240" s="1"/>
    </row>
    <row r="3241" ht="14.5" spans="2:14">
      <c r="B3241" s="1"/>
      <c r="C3241" s="1"/>
      <c r="D3241" s="1"/>
      <c r="E3241" s="1"/>
      <c r="F3241" s="1"/>
      <c r="G3241" s="1"/>
      <c r="H3241" s="1"/>
      <c r="I3241" s="1"/>
      <c r="J3241" s="1"/>
      <c r="K3241" s="1"/>
      <c r="L3241" s="1"/>
      <c r="M3241" s="1"/>
      <c r="N3241" s="1"/>
    </row>
    <row r="3242" ht="14.5" spans="2:14">
      <c r="B3242" s="1"/>
      <c r="C3242" s="1"/>
      <c r="D3242" s="1"/>
      <c r="E3242" s="1"/>
      <c r="F3242" s="1"/>
      <c r="G3242" s="1"/>
      <c r="H3242" s="1"/>
      <c r="I3242" s="1"/>
      <c r="J3242" s="1"/>
      <c r="K3242" s="1"/>
      <c r="L3242" s="1"/>
      <c r="M3242" s="1"/>
      <c r="N3242" s="1"/>
    </row>
    <row r="3243" ht="14.5" spans="2:14">
      <c r="B3243" s="1"/>
      <c r="C3243" s="1"/>
      <c r="D3243" s="1"/>
      <c r="E3243" s="1"/>
      <c r="F3243" s="1"/>
      <c r="G3243" s="1"/>
      <c r="H3243" s="1"/>
      <c r="I3243" s="1"/>
      <c r="J3243" s="1"/>
      <c r="K3243" s="1"/>
      <c r="L3243" s="1"/>
      <c r="M3243" s="1"/>
      <c r="N3243" s="1"/>
    </row>
    <row r="3244" ht="14.5" spans="2:14">
      <c r="B3244" s="1"/>
      <c r="C3244" s="1"/>
      <c r="D3244" s="1"/>
      <c r="E3244" s="1"/>
      <c r="F3244" s="1"/>
      <c r="G3244" s="1"/>
      <c r="H3244" s="1"/>
      <c r="I3244" s="1"/>
      <c r="J3244" s="1"/>
      <c r="K3244" s="1"/>
      <c r="L3244" s="1"/>
      <c r="M3244" s="1"/>
      <c r="N3244" s="1"/>
    </row>
    <row r="3245" ht="14.5" spans="2:14">
      <c r="B3245" s="1"/>
      <c r="C3245" s="1"/>
      <c r="D3245" s="1"/>
      <c r="E3245" s="1"/>
      <c r="F3245" s="1"/>
      <c r="G3245" s="1"/>
      <c r="H3245" s="1"/>
      <c r="I3245" s="1"/>
      <c r="J3245" s="1"/>
      <c r="K3245" s="1"/>
      <c r="L3245" s="1"/>
      <c r="M3245" s="1"/>
      <c r="N3245" s="1"/>
    </row>
    <row r="3246" ht="14.5" spans="2:14">
      <c r="B3246" s="1"/>
      <c r="C3246" s="1"/>
      <c r="D3246" s="1"/>
      <c r="E3246" s="1"/>
      <c r="F3246" s="1"/>
      <c r="G3246" s="1"/>
      <c r="H3246" s="1"/>
      <c r="I3246" s="1"/>
      <c r="J3246" s="1"/>
      <c r="K3246" s="1"/>
      <c r="L3246" s="1"/>
      <c r="M3246" s="1"/>
      <c r="N3246" s="1"/>
    </row>
    <row r="3247" ht="14.5" spans="2:14">
      <c r="B3247" s="1"/>
      <c r="C3247" s="1"/>
      <c r="D3247" s="1"/>
      <c r="E3247" s="1"/>
      <c r="F3247" s="1"/>
      <c r="G3247" s="1"/>
      <c r="H3247" s="1"/>
      <c r="I3247" s="1"/>
      <c r="J3247" s="1"/>
      <c r="K3247" s="1"/>
      <c r="L3247" s="1"/>
      <c r="M3247" s="1"/>
      <c r="N3247" s="1"/>
    </row>
    <row r="3248" ht="14.5" spans="2:14">
      <c r="B3248" s="1"/>
      <c r="C3248" s="1"/>
      <c r="D3248" s="1"/>
      <c r="E3248" s="1"/>
      <c r="F3248" s="1"/>
      <c r="G3248" s="1"/>
      <c r="H3248" s="1"/>
      <c r="I3248" s="1"/>
      <c r="J3248" s="1"/>
      <c r="K3248" s="1"/>
      <c r="L3248" s="1"/>
      <c r="M3248" s="1"/>
      <c r="N3248" s="1"/>
    </row>
    <row r="3249" ht="14.5" spans="2:14">
      <c r="B3249" s="1"/>
      <c r="C3249" s="1"/>
      <c r="D3249" s="1"/>
      <c r="E3249" s="1"/>
      <c r="F3249" s="1"/>
      <c r="G3249" s="1"/>
      <c r="H3249" s="1"/>
      <c r="I3249" s="1"/>
      <c r="J3249" s="1"/>
      <c r="K3249" s="1"/>
      <c r="L3249" s="1"/>
      <c r="M3249" s="1"/>
      <c r="N3249" s="1"/>
    </row>
    <row r="3250" ht="14.5" spans="2:14">
      <c r="B3250" s="1"/>
      <c r="C3250" s="1"/>
      <c r="D3250" s="1"/>
      <c r="E3250" s="1"/>
      <c r="F3250" s="1"/>
      <c r="G3250" s="1"/>
      <c r="H3250" s="1"/>
      <c r="I3250" s="1"/>
      <c r="J3250" s="1"/>
      <c r="K3250" s="1"/>
      <c r="L3250" s="1"/>
      <c r="M3250" s="1"/>
      <c r="N3250" s="1"/>
    </row>
    <row r="3251" ht="14.5" spans="2:14">
      <c r="B3251" s="1"/>
      <c r="C3251" s="1"/>
      <c r="D3251" s="1"/>
      <c r="E3251" s="1"/>
      <c r="F3251" s="1"/>
      <c r="G3251" s="1"/>
      <c r="H3251" s="1"/>
      <c r="I3251" s="1"/>
      <c r="J3251" s="1"/>
      <c r="K3251" s="1"/>
      <c r="L3251" s="1"/>
      <c r="M3251" s="1"/>
      <c r="N3251" s="1"/>
    </row>
    <row r="3252" ht="14.5" spans="2:14">
      <c r="B3252" s="1"/>
      <c r="C3252" s="1"/>
      <c r="D3252" s="1"/>
      <c r="E3252" s="1"/>
      <c r="F3252" s="1"/>
      <c r="G3252" s="1"/>
      <c r="H3252" s="1"/>
      <c r="I3252" s="1"/>
      <c r="J3252" s="1"/>
      <c r="K3252" s="1"/>
      <c r="L3252" s="1"/>
      <c r="M3252" s="1"/>
      <c r="N3252" s="1"/>
    </row>
    <row r="3253" ht="14.5" spans="2:14">
      <c r="B3253" s="1"/>
      <c r="C3253" s="1"/>
      <c r="D3253" s="1"/>
      <c r="E3253" s="1"/>
      <c r="F3253" s="1"/>
      <c r="G3253" s="1"/>
      <c r="H3253" s="1"/>
      <c r="I3253" s="1"/>
      <c r="J3253" s="1"/>
      <c r="K3253" s="1"/>
      <c r="L3253" s="1"/>
      <c r="M3253" s="1"/>
      <c r="N3253" s="1"/>
    </row>
    <row r="3254" ht="14.5" spans="2:14">
      <c r="B3254" s="1"/>
      <c r="C3254" s="1"/>
      <c r="D3254" s="1"/>
      <c r="E3254" s="1"/>
      <c r="F3254" s="1"/>
      <c r="G3254" s="1"/>
      <c r="H3254" s="1"/>
      <c r="I3254" s="1"/>
      <c r="J3254" s="1"/>
      <c r="K3254" s="1"/>
      <c r="L3254" s="1"/>
      <c r="M3254" s="1"/>
      <c r="N3254" s="1"/>
    </row>
    <row r="3255" ht="14.5" spans="2:14">
      <c r="B3255" s="1"/>
      <c r="C3255" s="1"/>
      <c r="D3255" s="1"/>
      <c r="E3255" s="1"/>
      <c r="F3255" s="1"/>
      <c r="G3255" s="1"/>
      <c r="H3255" s="1"/>
      <c r="I3255" s="1"/>
      <c r="J3255" s="1"/>
      <c r="K3255" s="1"/>
      <c r="L3255" s="1"/>
      <c r="M3255" s="1"/>
      <c r="N3255" s="1"/>
    </row>
    <row r="3256" ht="14.5" spans="2:14">
      <c r="B3256" s="1"/>
      <c r="C3256" s="1"/>
      <c r="D3256" s="1"/>
      <c r="E3256" s="1"/>
      <c r="F3256" s="1"/>
      <c r="G3256" s="1"/>
      <c r="H3256" s="1"/>
      <c r="I3256" s="1"/>
      <c r="J3256" s="1"/>
      <c r="K3256" s="1"/>
      <c r="L3256" s="1"/>
      <c r="M3256" s="1"/>
      <c r="N3256" s="1"/>
    </row>
    <row r="3257" ht="14.5" spans="2:14">
      <c r="B3257" s="1"/>
      <c r="C3257" s="1"/>
      <c r="D3257" s="1"/>
      <c r="E3257" s="1"/>
      <c r="F3257" s="1"/>
      <c r="G3257" s="1"/>
      <c r="H3257" s="1"/>
      <c r="I3257" s="1"/>
      <c r="J3257" s="1"/>
      <c r="K3257" s="1"/>
      <c r="L3257" s="1"/>
      <c r="M3257" s="1"/>
      <c r="N3257" s="1"/>
    </row>
    <row r="3258" ht="14.5" spans="2:14">
      <c r="B3258" s="1"/>
      <c r="C3258" s="1"/>
      <c r="D3258" s="1"/>
      <c r="E3258" s="1"/>
      <c r="F3258" s="1"/>
      <c r="G3258" s="1"/>
      <c r="H3258" s="1"/>
      <c r="I3258" s="1"/>
      <c r="J3258" s="1"/>
      <c r="K3258" s="1"/>
      <c r="L3258" s="1"/>
      <c r="M3258" s="1"/>
      <c r="N3258" s="1"/>
    </row>
    <row r="3259" ht="14.5" spans="2:14">
      <c r="B3259" s="1"/>
      <c r="C3259" s="1"/>
      <c r="D3259" s="1"/>
      <c r="E3259" s="1"/>
      <c r="F3259" s="1"/>
      <c r="G3259" s="1"/>
      <c r="H3259" s="1"/>
      <c r="I3259" s="1"/>
      <c r="J3259" s="1"/>
      <c r="K3259" s="1"/>
      <c r="L3259" s="1"/>
      <c r="M3259" s="1"/>
      <c r="N3259" s="1"/>
    </row>
    <row r="3260" ht="14.5" spans="2:14">
      <c r="B3260" s="1"/>
      <c r="C3260" s="1"/>
      <c r="D3260" s="1"/>
      <c r="E3260" s="1"/>
      <c r="F3260" s="1"/>
      <c r="G3260" s="1"/>
      <c r="H3260" s="1"/>
      <c r="I3260" s="1"/>
      <c r="J3260" s="1"/>
      <c r="K3260" s="1"/>
      <c r="L3260" s="1"/>
      <c r="M3260" s="1"/>
      <c r="N3260" s="1"/>
    </row>
    <row r="3261" ht="14.5" spans="2:14">
      <c r="B3261" s="1"/>
      <c r="C3261" s="1"/>
      <c r="D3261" s="1"/>
      <c r="E3261" s="1"/>
      <c r="F3261" s="1"/>
      <c r="G3261" s="1"/>
      <c r="H3261" s="1"/>
      <c r="I3261" s="1"/>
      <c r="J3261" s="1"/>
      <c r="K3261" s="1"/>
      <c r="L3261" s="1"/>
      <c r="M3261" s="1"/>
      <c r="N3261" s="1"/>
    </row>
    <row r="3262" ht="14.5" spans="2:14">
      <c r="B3262" s="1"/>
      <c r="C3262" s="1"/>
      <c r="D3262" s="1"/>
      <c r="E3262" s="1"/>
      <c r="F3262" s="1"/>
      <c r="G3262" s="1"/>
      <c r="H3262" s="1"/>
      <c r="I3262" s="1"/>
      <c r="J3262" s="1"/>
      <c r="K3262" s="1"/>
      <c r="L3262" s="1"/>
      <c r="M3262" s="1"/>
      <c r="N3262" s="1"/>
    </row>
    <row r="3263" ht="14.5" spans="2:14">
      <c r="B3263" s="1"/>
      <c r="C3263" s="1"/>
      <c r="D3263" s="1"/>
      <c r="E3263" s="1"/>
      <c r="F3263" s="1"/>
      <c r="G3263" s="1"/>
      <c r="H3263" s="1"/>
      <c r="I3263" s="1"/>
      <c r="J3263" s="1"/>
      <c r="K3263" s="1"/>
      <c r="L3263" s="1"/>
      <c r="M3263" s="1"/>
      <c r="N3263" s="1"/>
    </row>
    <row r="3264" ht="14.5" spans="2:14">
      <c r="B3264" s="1"/>
      <c r="C3264" s="1"/>
      <c r="D3264" s="1"/>
      <c r="E3264" s="1"/>
      <c r="F3264" s="1"/>
      <c r="G3264" s="1"/>
      <c r="H3264" s="1"/>
      <c r="I3264" s="1"/>
      <c r="J3264" s="1"/>
      <c r="K3264" s="1"/>
      <c r="L3264" s="1"/>
      <c r="M3264" s="1"/>
      <c r="N3264" s="1"/>
    </row>
    <row r="3265" ht="14.5" spans="2:14">
      <c r="B3265" s="1"/>
      <c r="C3265" s="1"/>
      <c r="D3265" s="1"/>
      <c r="E3265" s="1"/>
      <c r="F3265" s="1"/>
      <c r="G3265" s="1"/>
      <c r="H3265" s="1"/>
      <c r="I3265" s="1"/>
      <c r="J3265" s="1"/>
      <c r="K3265" s="1"/>
      <c r="L3265" s="1"/>
      <c r="M3265" s="1"/>
      <c r="N3265" s="1"/>
    </row>
    <row r="3266" ht="14.5" spans="2:14">
      <c r="B3266" s="1"/>
      <c r="C3266" s="1"/>
      <c r="D3266" s="1"/>
      <c r="E3266" s="1"/>
      <c r="F3266" s="1"/>
      <c r="G3266" s="1"/>
      <c r="H3266" s="1"/>
      <c r="I3266" s="1"/>
      <c r="J3266" s="1"/>
      <c r="K3266" s="1"/>
      <c r="L3266" s="1"/>
      <c r="M3266" s="1"/>
      <c r="N3266" s="1"/>
    </row>
    <row r="3267" ht="14.5" spans="2:14">
      <c r="B3267" s="1"/>
      <c r="C3267" s="1"/>
      <c r="D3267" s="1"/>
      <c r="E3267" s="1"/>
      <c r="F3267" s="1"/>
      <c r="G3267" s="1"/>
      <c r="H3267" s="1"/>
      <c r="I3267" s="1"/>
      <c r="J3267" s="1"/>
      <c r="K3267" s="1"/>
      <c r="L3267" s="1"/>
      <c r="M3267" s="1"/>
      <c r="N3267" s="1"/>
    </row>
    <row r="3268" ht="14.5" spans="2:14">
      <c r="B3268" s="1"/>
      <c r="C3268" s="1"/>
      <c r="D3268" s="1"/>
      <c r="E3268" s="1"/>
      <c r="F3268" s="1"/>
      <c r="G3268" s="1"/>
      <c r="H3268" s="1"/>
      <c r="I3268" s="1"/>
      <c r="J3268" s="1"/>
      <c r="K3268" s="1"/>
      <c r="L3268" s="1"/>
      <c r="M3268" s="1"/>
      <c r="N3268" s="1"/>
    </row>
    <row r="3269" ht="14.5" spans="2:14">
      <c r="B3269" s="1"/>
      <c r="C3269" s="1"/>
      <c r="D3269" s="1"/>
      <c r="E3269" s="1"/>
      <c r="F3269" s="1"/>
      <c r="G3269" s="1"/>
      <c r="H3269" s="1"/>
      <c r="I3269" s="1"/>
      <c r="J3269" s="1"/>
      <c r="K3269" s="1"/>
      <c r="L3269" s="1"/>
      <c r="M3269" s="1"/>
      <c r="N3269" s="1"/>
    </row>
    <row r="3270" ht="14.5" spans="2:14">
      <c r="B3270" s="1"/>
      <c r="C3270" s="1"/>
      <c r="D3270" s="1"/>
      <c r="E3270" s="1"/>
      <c r="F3270" s="1"/>
      <c r="G3270" s="1"/>
      <c r="H3270" s="1"/>
      <c r="I3270" s="1"/>
      <c r="J3270" s="1"/>
      <c r="K3270" s="1"/>
      <c r="L3270" s="1"/>
      <c r="M3270" s="1"/>
      <c r="N3270" s="1"/>
    </row>
    <row r="3271" ht="14.5" spans="2:14">
      <c r="B3271" s="1"/>
      <c r="C3271" s="1"/>
      <c r="D3271" s="1"/>
      <c r="E3271" s="1"/>
      <c r="F3271" s="1"/>
      <c r="G3271" s="1"/>
      <c r="H3271" s="1"/>
      <c r="I3271" s="1"/>
      <c r="J3271" s="1"/>
      <c r="K3271" s="1"/>
      <c r="L3271" s="1"/>
      <c r="M3271" s="1"/>
      <c r="N3271" s="1"/>
    </row>
    <row r="3272" ht="14.5" spans="2:14">
      <c r="B3272" s="1"/>
      <c r="C3272" s="1"/>
      <c r="D3272" s="1"/>
      <c r="E3272" s="1"/>
      <c r="F3272" s="1"/>
      <c r="G3272" s="1"/>
      <c r="H3272" s="1"/>
      <c r="I3272" s="1"/>
      <c r="J3272" s="1"/>
      <c r="K3272" s="1"/>
      <c r="L3272" s="1"/>
      <c r="M3272" s="1"/>
      <c r="N3272" s="1"/>
    </row>
    <row r="3273" ht="14.5" spans="2:14">
      <c r="B3273" s="1"/>
      <c r="C3273" s="1"/>
      <c r="D3273" s="1"/>
      <c r="E3273" s="1"/>
      <c r="F3273" s="1"/>
      <c r="G3273" s="1"/>
      <c r="H3273" s="1"/>
      <c r="I3273" s="1"/>
      <c r="J3273" s="1"/>
      <c r="K3273" s="1"/>
      <c r="L3273" s="1"/>
      <c r="M3273" s="1"/>
      <c r="N3273" s="1"/>
    </row>
    <row r="3274" ht="14.5" spans="2:14">
      <c r="B3274" s="1"/>
      <c r="C3274" s="1"/>
      <c r="D3274" s="1"/>
      <c r="E3274" s="1"/>
      <c r="F3274" s="1"/>
      <c r="G3274" s="1"/>
      <c r="H3274" s="1"/>
      <c r="I3274" s="1"/>
      <c r="J3274" s="1"/>
      <c r="K3274" s="1"/>
      <c r="L3274" s="1"/>
      <c r="M3274" s="1"/>
      <c r="N3274" s="1"/>
    </row>
    <row r="3275" ht="14.5" spans="2:14">
      <c r="B3275" s="1"/>
      <c r="C3275" s="1"/>
      <c r="D3275" s="1"/>
      <c r="E3275" s="1"/>
      <c r="F3275" s="1"/>
      <c r="G3275" s="1"/>
      <c r="H3275" s="1"/>
      <c r="I3275" s="1"/>
      <c r="J3275" s="1"/>
      <c r="K3275" s="1"/>
      <c r="L3275" s="1"/>
      <c r="M3275" s="1"/>
      <c r="N3275" s="1"/>
    </row>
    <row r="3276" ht="14.5" spans="2:14">
      <c r="B3276" s="1"/>
      <c r="C3276" s="1"/>
      <c r="D3276" s="1"/>
      <c r="E3276" s="1"/>
      <c r="F3276" s="1"/>
      <c r="G3276" s="1"/>
      <c r="H3276" s="1"/>
      <c r="I3276" s="1"/>
      <c r="J3276" s="1"/>
      <c r="K3276" s="1"/>
      <c r="L3276" s="1"/>
      <c r="M3276" s="1"/>
      <c r="N3276" s="1"/>
    </row>
    <row r="3277" ht="14.5" spans="2:14">
      <c r="B3277" s="1"/>
      <c r="C3277" s="1"/>
      <c r="D3277" s="1"/>
      <c r="E3277" s="1"/>
      <c r="F3277" s="1"/>
      <c r="G3277" s="1"/>
      <c r="H3277" s="1"/>
      <c r="I3277" s="1"/>
      <c r="J3277" s="1"/>
      <c r="K3277" s="1"/>
      <c r="L3277" s="1"/>
      <c r="M3277" s="1"/>
      <c r="N3277" s="1"/>
    </row>
    <row r="3278" ht="14.5" spans="2:14">
      <c r="B3278" s="1"/>
      <c r="C3278" s="1"/>
      <c r="D3278" s="1"/>
      <c r="E3278" s="1"/>
      <c r="F3278" s="1"/>
      <c r="G3278" s="1"/>
      <c r="H3278" s="1"/>
      <c r="I3278" s="1"/>
      <c r="J3278" s="1"/>
      <c r="K3278" s="1"/>
      <c r="L3278" s="1"/>
      <c r="M3278" s="1"/>
      <c r="N3278" s="1"/>
    </row>
    <row r="3279" ht="14.5" spans="2:14">
      <c r="B3279" s="1"/>
      <c r="C3279" s="1"/>
      <c r="D3279" s="1"/>
      <c r="E3279" s="1"/>
      <c r="F3279" s="1"/>
      <c r="G3279" s="1"/>
      <c r="H3279" s="1"/>
      <c r="I3279" s="1"/>
      <c r="J3279" s="1"/>
      <c r="K3279" s="1"/>
      <c r="L3279" s="1"/>
      <c r="M3279" s="1"/>
      <c r="N3279" s="1"/>
    </row>
    <row r="3280" ht="14.5" spans="2:14">
      <c r="B3280" s="1"/>
      <c r="C3280" s="1"/>
      <c r="D3280" s="1"/>
      <c r="E3280" s="1"/>
      <c r="F3280" s="1"/>
      <c r="G3280" s="1"/>
      <c r="H3280" s="1"/>
      <c r="I3280" s="1"/>
      <c r="J3280" s="1"/>
      <c r="K3280" s="1"/>
      <c r="L3280" s="1"/>
      <c r="M3280" s="1"/>
      <c r="N3280" s="1"/>
    </row>
    <row r="3281" ht="14.5" spans="2:14">
      <c r="B3281" s="1"/>
      <c r="C3281" s="1"/>
      <c r="D3281" s="1"/>
      <c r="E3281" s="1"/>
      <c r="F3281" s="1"/>
      <c r="G3281" s="1"/>
      <c r="H3281" s="1"/>
      <c r="I3281" s="1"/>
      <c r="J3281" s="1"/>
      <c r="K3281" s="1"/>
      <c r="L3281" s="1"/>
      <c r="M3281" s="1"/>
      <c r="N3281" s="1"/>
    </row>
    <row r="3282" ht="14.5" spans="2:14">
      <c r="B3282" s="1"/>
      <c r="C3282" s="1"/>
      <c r="D3282" s="1"/>
      <c r="E3282" s="1"/>
      <c r="F3282" s="1"/>
      <c r="G3282" s="1"/>
      <c r="H3282" s="1"/>
      <c r="I3282" s="1"/>
      <c r="J3282" s="1"/>
      <c r="K3282" s="1"/>
      <c r="L3282" s="1"/>
      <c r="M3282" s="1"/>
      <c r="N3282" s="1"/>
    </row>
    <row r="3283" ht="14.5" spans="2:14">
      <c r="B3283" s="1"/>
      <c r="C3283" s="1"/>
      <c r="D3283" s="1"/>
      <c r="E3283" s="1"/>
      <c r="F3283" s="1"/>
      <c r="G3283" s="1"/>
      <c r="H3283" s="1"/>
      <c r="I3283" s="1"/>
      <c r="J3283" s="1"/>
      <c r="K3283" s="1"/>
      <c r="L3283" s="1"/>
      <c r="M3283" s="1"/>
      <c r="N3283" s="1"/>
    </row>
    <row r="3284" ht="14.5" spans="2:14">
      <c r="B3284" s="1"/>
      <c r="C3284" s="1"/>
      <c r="D3284" s="1"/>
      <c r="E3284" s="1"/>
      <c r="F3284" s="1"/>
      <c r="G3284" s="1"/>
      <c r="H3284" s="1"/>
      <c r="I3284" s="1"/>
      <c r="J3284" s="1"/>
      <c r="K3284" s="1"/>
      <c r="L3284" s="1"/>
      <c r="M3284" s="1"/>
      <c r="N3284" s="1"/>
    </row>
    <row r="3285" ht="14.5" spans="2:14">
      <c r="B3285" s="1"/>
      <c r="C3285" s="1"/>
      <c r="D3285" s="1"/>
      <c r="E3285" s="1"/>
      <c r="F3285" s="1"/>
      <c r="G3285" s="1"/>
      <c r="H3285" s="1"/>
      <c r="I3285" s="1"/>
      <c r="J3285" s="1"/>
      <c r="K3285" s="1"/>
      <c r="L3285" s="1"/>
      <c r="M3285" s="1"/>
      <c r="N3285" s="1"/>
    </row>
    <row r="3286" ht="14.5" spans="2:14">
      <c r="B3286" s="1"/>
      <c r="C3286" s="1"/>
      <c r="D3286" s="1"/>
      <c r="E3286" s="1"/>
      <c r="F3286" s="1"/>
      <c r="G3286" s="1"/>
      <c r="H3286" s="1"/>
      <c r="I3286" s="1"/>
      <c r="J3286" s="1"/>
      <c r="K3286" s="1"/>
      <c r="L3286" s="1"/>
      <c r="M3286" s="1"/>
      <c r="N3286" s="1"/>
    </row>
    <row r="3287" ht="14.5" spans="2:14">
      <c r="B3287" s="1"/>
      <c r="C3287" s="1"/>
      <c r="D3287" s="1"/>
      <c r="E3287" s="1"/>
      <c r="F3287" s="1"/>
      <c r="G3287" s="1"/>
      <c r="H3287" s="1"/>
      <c r="I3287" s="1"/>
      <c r="J3287" s="1"/>
      <c r="K3287" s="1"/>
      <c r="L3287" s="1"/>
      <c r="M3287" s="1"/>
      <c r="N3287" s="1"/>
    </row>
    <row r="3288" ht="14.5" spans="2:14">
      <c r="B3288" s="1"/>
      <c r="C3288" s="1"/>
      <c r="D3288" s="1"/>
      <c r="E3288" s="1"/>
      <c r="F3288" s="1"/>
      <c r="G3288" s="1"/>
      <c r="H3288" s="1"/>
      <c r="I3288" s="1"/>
      <c r="J3288" s="1"/>
      <c r="K3288" s="1"/>
      <c r="L3288" s="1"/>
      <c r="M3288" s="1"/>
      <c r="N3288" s="1"/>
    </row>
    <row r="3289" ht="14.5" spans="2:14">
      <c r="B3289" s="1"/>
      <c r="C3289" s="1"/>
      <c r="D3289" s="1"/>
      <c r="E3289" s="1"/>
      <c r="F3289" s="1"/>
      <c r="G3289" s="1"/>
      <c r="H3289" s="1"/>
      <c r="I3289" s="1"/>
      <c r="J3289" s="1"/>
      <c r="K3289" s="1"/>
      <c r="L3289" s="1"/>
      <c r="M3289" s="1"/>
      <c r="N3289" s="1"/>
    </row>
    <row r="3290" ht="14.5" spans="2:14">
      <c r="B3290" s="1"/>
      <c r="C3290" s="1"/>
      <c r="D3290" s="1"/>
      <c r="E3290" s="1"/>
      <c r="F3290" s="1"/>
      <c r="G3290" s="1"/>
      <c r="H3290" s="1"/>
      <c r="I3290" s="1"/>
      <c r="J3290" s="1"/>
      <c r="K3290" s="1"/>
      <c r="L3290" s="1"/>
      <c r="M3290" s="1"/>
      <c r="N3290" s="1"/>
    </row>
    <row r="3291" ht="14.5" spans="2:14">
      <c r="B3291" s="1"/>
      <c r="C3291" s="1"/>
      <c r="D3291" s="1"/>
      <c r="E3291" s="1"/>
      <c r="F3291" s="1"/>
      <c r="G3291" s="1"/>
      <c r="H3291" s="1"/>
      <c r="I3291" s="1"/>
      <c r="J3291" s="1"/>
      <c r="K3291" s="1"/>
      <c r="L3291" s="1"/>
      <c r="M3291" s="1"/>
      <c r="N3291" s="1"/>
    </row>
    <row r="3292" ht="14.5" spans="2:14">
      <c r="B3292" s="1"/>
      <c r="C3292" s="1"/>
      <c r="D3292" s="1"/>
      <c r="E3292" s="1"/>
      <c r="F3292" s="1"/>
      <c r="G3292" s="1"/>
      <c r="H3292" s="1"/>
      <c r="I3292" s="1"/>
      <c r="J3292" s="1"/>
      <c r="K3292" s="1"/>
      <c r="L3292" s="1"/>
      <c r="M3292" s="1"/>
      <c r="N3292" s="1"/>
    </row>
    <row r="3293" ht="14.5" spans="2:14">
      <c r="B3293" s="1"/>
      <c r="C3293" s="1"/>
      <c r="D3293" s="1"/>
      <c r="E3293" s="1"/>
      <c r="F3293" s="1"/>
      <c r="G3293" s="1"/>
      <c r="H3293" s="1"/>
      <c r="I3293" s="1"/>
      <c r="J3293" s="1"/>
      <c r="K3293" s="1"/>
      <c r="L3293" s="1"/>
      <c r="M3293" s="1"/>
      <c r="N3293" s="1"/>
    </row>
    <row r="3294" ht="14.5" spans="2:14">
      <c r="B3294" s="1"/>
      <c r="C3294" s="1"/>
      <c r="D3294" s="1"/>
      <c r="E3294" s="1"/>
      <c r="F3294" s="1"/>
      <c r="G3294" s="1"/>
      <c r="H3294" s="1"/>
      <c r="I3294" s="1"/>
      <c r="J3294" s="1"/>
      <c r="K3294" s="1"/>
      <c r="L3294" s="1"/>
      <c r="M3294" s="1"/>
      <c r="N3294" s="1"/>
    </row>
    <row r="3295" ht="14.5" spans="2:14">
      <c r="B3295" s="1"/>
      <c r="C3295" s="1"/>
      <c r="D3295" s="1"/>
      <c r="E3295" s="1"/>
      <c r="F3295" s="1"/>
      <c r="G3295" s="1"/>
      <c r="H3295" s="1"/>
      <c r="I3295" s="1"/>
      <c r="J3295" s="1"/>
      <c r="K3295" s="1"/>
      <c r="L3295" s="1"/>
      <c r="M3295" s="1"/>
      <c r="N3295" s="1"/>
    </row>
    <row r="3296" ht="14.5" spans="2:14">
      <c r="B3296" s="1"/>
      <c r="C3296" s="1"/>
      <c r="D3296" s="1"/>
      <c r="E3296" s="1"/>
      <c r="F3296" s="1"/>
      <c r="G3296" s="1"/>
      <c r="H3296" s="1"/>
      <c r="I3296" s="1"/>
      <c r="J3296" s="1"/>
      <c r="K3296" s="1"/>
      <c r="L3296" s="1"/>
      <c r="M3296" s="1"/>
      <c r="N3296" s="1"/>
    </row>
    <row r="3297" ht="14.5" spans="2:14">
      <c r="B3297" s="1"/>
      <c r="C3297" s="1"/>
      <c r="D3297" s="1"/>
      <c r="E3297" s="1"/>
      <c r="F3297" s="1"/>
      <c r="G3297" s="1"/>
      <c r="H3297" s="1"/>
      <c r="I3297" s="1"/>
      <c r="J3297" s="1"/>
      <c r="K3297" s="1"/>
      <c r="L3297" s="1"/>
      <c r="M3297" s="1"/>
      <c r="N3297" s="1"/>
    </row>
    <row r="3298" ht="14.5" spans="2:14">
      <c r="B3298" s="1"/>
      <c r="C3298" s="1"/>
      <c r="D3298" s="1"/>
      <c r="E3298" s="1"/>
      <c r="F3298" s="1"/>
      <c r="G3298" s="1"/>
      <c r="H3298" s="1"/>
      <c r="I3298" s="1"/>
      <c r="J3298" s="1"/>
      <c r="K3298" s="1"/>
      <c r="L3298" s="1"/>
      <c r="M3298" s="1"/>
      <c r="N3298" s="1"/>
    </row>
    <row r="3299" ht="14.5" spans="2:14">
      <c r="B3299" s="1"/>
      <c r="C3299" s="1"/>
      <c r="D3299" s="1"/>
      <c r="E3299" s="1"/>
      <c r="F3299" s="1"/>
      <c r="G3299" s="1"/>
      <c r="H3299" s="1"/>
      <c r="I3299" s="1"/>
      <c r="J3299" s="1"/>
      <c r="K3299" s="1"/>
      <c r="L3299" s="1"/>
      <c r="M3299" s="1"/>
      <c r="N3299" s="1"/>
    </row>
    <row r="3300" ht="14.5" spans="2:14">
      <c r="B3300" s="1"/>
      <c r="C3300" s="1"/>
      <c r="D3300" s="1"/>
      <c r="E3300" s="1"/>
      <c r="F3300" s="1"/>
      <c r="G3300" s="1"/>
      <c r="H3300" s="1"/>
      <c r="I3300" s="1"/>
      <c r="J3300" s="1"/>
      <c r="K3300" s="1"/>
      <c r="L3300" s="1"/>
      <c r="M3300" s="1"/>
      <c r="N3300" s="1"/>
    </row>
    <row r="3301" ht="14.5" spans="2:14">
      <c r="B3301" s="1"/>
      <c r="C3301" s="1"/>
      <c r="D3301" s="1"/>
      <c r="E3301" s="1"/>
      <c r="F3301" s="1"/>
      <c r="G3301" s="1"/>
      <c r="H3301" s="1"/>
      <c r="I3301" s="1"/>
      <c r="J3301" s="1"/>
      <c r="K3301" s="1"/>
      <c r="L3301" s="1"/>
      <c r="M3301" s="1"/>
      <c r="N3301" s="1"/>
    </row>
    <row r="3302" ht="14.5" spans="2:14">
      <c r="B3302" s="1"/>
      <c r="C3302" s="1"/>
      <c r="D3302" s="1"/>
      <c r="E3302" s="1"/>
      <c r="F3302" s="1"/>
      <c r="G3302" s="1"/>
      <c r="H3302" s="1"/>
      <c r="I3302" s="1"/>
      <c r="J3302" s="1"/>
      <c r="K3302" s="1"/>
      <c r="L3302" s="1"/>
      <c r="M3302" s="1"/>
      <c r="N3302" s="1"/>
    </row>
    <row r="3303" ht="14.5" spans="2:14">
      <c r="B3303" s="1"/>
      <c r="C3303" s="1"/>
      <c r="D3303" s="1"/>
      <c r="E3303" s="1"/>
      <c r="F3303" s="1"/>
      <c r="G3303" s="1"/>
      <c r="H3303" s="1"/>
      <c r="I3303" s="1"/>
      <c r="J3303" s="1"/>
      <c r="K3303" s="1"/>
      <c r="L3303" s="1"/>
      <c r="M3303" s="1"/>
      <c r="N3303" s="1"/>
    </row>
    <row r="3304" ht="14.5" spans="2:14">
      <c r="B3304" s="1"/>
      <c r="C3304" s="1"/>
      <c r="D3304" s="1"/>
      <c r="E3304" s="1"/>
      <c r="F3304" s="1"/>
      <c r="G3304" s="1"/>
      <c r="H3304" s="1"/>
      <c r="I3304" s="1"/>
      <c r="J3304" s="1"/>
      <c r="K3304" s="1"/>
      <c r="L3304" s="1"/>
      <c r="M3304" s="1"/>
      <c r="N3304" s="1"/>
    </row>
    <row r="3305" ht="14.5" spans="2:14">
      <c r="B3305" s="1"/>
      <c r="C3305" s="1"/>
      <c r="D3305" s="1"/>
      <c r="E3305" s="1"/>
      <c r="F3305" s="1"/>
      <c r="G3305" s="1"/>
      <c r="H3305" s="1"/>
      <c r="I3305" s="1"/>
      <c r="J3305" s="1"/>
      <c r="K3305" s="1"/>
      <c r="L3305" s="1"/>
      <c r="M3305" s="1"/>
      <c r="N3305" s="1"/>
    </row>
    <row r="3306" ht="14.5" spans="2:14">
      <c r="B3306" s="1"/>
      <c r="C3306" s="1"/>
      <c r="D3306" s="1"/>
      <c r="E3306" s="1"/>
      <c r="F3306" s="1"/>
      <c r="G3306" s="1"/>
      <c r="H3306" s="1"/>
      <c r="I3306" s="1"/>
      <c r="J3306" s="1"/>
      <c r="K3306" s="1"/>
      <c r="L3306" s="1"/>
      <c r="M3306" s="1"/>
      <c r="N3306" s="1"/>
    </row>
    <row r="3307" ht="14.5" spans="2:14">
      <c r="B3307" s="1"/>
      <c r="C3307" s="1"/>
      <c r="D3307" s="1"/>
      <c r="E3307" s="1"/>
      <c r="F3307" s="1"/>
      <c r="G3307" s="1"/>
      <c r="H3307" s="1"/>
      <c r="I3307" s="1"/>
      <c r="J3307" s="1"/>
      <c r="K3307" s="1"/>
      <c r="L3307" s="1"/>
      <c r="M3307" s="1"/>
      <c r="N3307" s="1"/>
    </row>
    <row r="3308" ht="14.5" spans="2:14">
      <c r="B3308" s="1"/>
      <c r="C3308" s="1"/>
      <c r="D3308" s="1"/>
      <c r="E3308" s="1"/>
      <c r="F3308" s="1"/>
      <c r="G3308" s="1"/>
      <c r="H3308" s="1"/>
      <c r="I3308" s="1"/>
      <c r="J3308" s="1"/>
      <c r="K3308" s="1"/>
      <c r="L3308" s="1"/>
      <c r="M3308" s="1"/>
      <c r="N3308" s="1"/>
    </row>
    <row r="3309" ht="14.5" spans="2:14">
      <c r="B3309" s="1"/>
      <c r="C3309" s="1"/>
      <c r="D3309" s="1"/>
      <c r="E3309" s="1"/>
      <c r="F3309" s="1"/>
      <c r="G3309" s="1"/>
      <c r="H3309" s="1"/>
      <c r="I3309" s="1"/>
      <c r="J3309" s="1"/>
      <c r="K3309" s="1"/>
      <c r="L3309" s="1"/>
      <c r="M3309" s="1"/>
      <c r="N3309" s="1"/>
    </row>
    <row r="3310" ht="14.5" spans="2:14">
      <c r="B3310" s="1"/>
      <c r="C3310" s="1"/>
      <c r="D3310" s="1"/>
      <c r="E3310" s="1"/>
      <c r="F3310" s="1"/>
      <c r="G3310" s="1"/>
      <c r="H3310" s="1"/>
      <c r="I3310" s="1"/>
      <c r="J3310" s="1"/>
      <c r="K3310" s="1"/>
      <c r="L3310" s="1"/>
      <c r="M3310" s="1"/>
      <c r="N3310" s="1"/>
    </row>
    <row r="3311" ht="14.5" spans="2:14">
      <c r="B3311" s="1"/>
      <c r="C3311" s="1"/>
      <c r="D3311" s="1"/>
      <c r="E3311" s="1"/>
      <c r="F3311" s="1"/>
      <c r="G3311" s="1"/>
      <c r="H3311" s="1"/>
      <c r="I3311" s="1"/>
      <c r="J3311" s="1"/>
      <c r="K3311" s="1"/>
      <c r="L3311" s="1"/>
      <c r="M3311" s="1"/>
      <c r="N3311" s="1"/>
    </row>
    <row r="3312" ht="14.5" spans="2:14">
      <c r="B3312" s="1"/>
      <c r="C3312" s="1"/>
      <c r="D3312" s="1"/>
      <c r="E3312" s="1"/>
      <c r="F3312" s="1"/>
      <c r="G3312" s="1"/>
      <c r="H3312" s="1"/>
      <c r="I3312" s="1"/>
      <c r="J3312" s="1"/>
      <c r="K3312" s="1"/>
      <c r="L3312" s="1"/>
      <c r="M3312" s="1"/>
      <c r="N3312" s="1"/>
    </row>
    <row r="3313" ht="14.5" spans="2:14">
      <c r="B3313" s="1"/>
      <c r="C3313" s="1"/>
      <c r="D3313" s="1"/>
      <c r="E3313" s="1"/>
      <c r="F3313" s="1"/>
      <c r="G3313" s="1"/>
      <c r="H3313" s="1"/>
      <c r="I3313" s="1"/>
      <c r="J3313" s="1"/>
      <c r="K3313" s="1"/>
      <c r="L3313" s="1"/>
      <c r="M3313" s="1"/>
      <c r="N3313" s="1"/>
    </row>
    <row r="3314" ht="14.5" spans="2:14">
      <c r="B3314" s="1"/>
      <c r="C3314" s="1"/>
      <c r="D3314" s="1"/>
      <c r="E3314" s="1"/>
      <c r="F3314" s="1"/>
      <c r="G3314" s="1"/>
      <c r="H3314" s="1"/>
      <c r="I3314" s="1"/>
      <c r="J3314" s="1"/>
      <c r="K3314" s="1"/>
      <c r="L3314" s="1"/>
      <c r="M3314" s="1"/>
      <c r="N3314" s="1"/>
    </row>
    <row r="3315" ht="14.5" spans="2:14">
      <c r="B3315" s="1"/>
      <c r="C3315" s="1"/>
      <c r="D3315" s="1"/>
      <c r="E3315" s="1"/>
      <c r="F3315" s="1"/>
      <c r="G3315" s="1"/>
      <c r="H3315" s="1"/>
      <c r="I3315" s="1"/>
      <c r="J3315" s="1"/>
      <c r="K3315" s="1"/>
      <c r="L3315" s="1"/>
      <c r="M3315" s="1"/>
      <c r="N3315" s="1"/>
    </row>
    <row r="3316" ht="14.5" spans="2:14">
      <c r="B3316" s="1"/>
      <c r="C3316" s="1"/>
      <c r="D3316" s="1"/>
      <c r="E3316" s="1"/>
      <c r="F3316" s="1"/>
      <c r="G3316" s="1"/>
      <c r="H3316" s="1"/>
      <c r="I3316" s="1"/>
      <c r="J3316" s="1"/>
      <c r="K3316" s="1"/>
      <c r="L3316" s="1"/>
      <c r="M3316" s="1"/>
      <c r="N3316" s="1"/>
    </row>
    <row r="3317" ht="14.5" spans="2:14">
      <c r="B3317" s="1"/>
      <c r="C3317" s="1"/>
      <c r="D3317" s="1"/>
      <c r="E3317" s="1"/>
      <c r="F3317" s="1"/>
      <c r="G3317" s="1"/>
      <c r="H3317" s="1"/>
      <c r="I3317" s="1"/>
      <c r="J3317" s="1"/>
      <c r="K3317" s="1"/>
      <c r="L3317" s="1"/>
      <c r="M3317" s="1"/>
      <c r="N3317" s="1"/>
    </row>
    <row r="3318" ht="14.5" spans="2:14">
      <c r="B3318" s="1"/>
      <c r="C3318" s="1"/>
      <c r="D3318" s="1"/>
      <c r="E3318" s="1"/>
      <c r="F3318" s="1"/>
      <c r="G3318" s="1"/>
      <c r="H3318" s="1"/>
      <c r="I3318" s="1"/>
      <c r="J3318" s="1"/>
      <c r="K3318" s="1"/>
      <c r="L3318" s="1"/>
      <c r="M3318" s="1"/>
      <c r="N3318" s="1"/>
    </row>
    <row r="3319" ht="14.5" spans="2:14">
      <c r="B3319" s="1"/>
      <c r="C3319" s="1"/>
      <c r="D3319" s="1"/>
      <c r="E3319" s="1"/>
      <c r="F3319" s="1"/>
      <c r="G3319" s="1"/>
      <c r="H3319" s="1"/>
      <c r="I3319" s="1"/>
      <c r="J3319" s="1"/>
      <c r="K3319" s="1"/>
      <c r="L3319" s="1"/>
      <c r="M3319" s="1"/>
      <c r="N3319" s="1"/>
    </row>
    <row r="3320" ht="14.5" spans="2:14">
      <c r="B3320" s="1"/>
      <c r="C3320" s="1"/>
      <c r="D3320" s="1"/>
      <c r="E3320" s="1"/>
      <c r="F3320" s="1"/>
      <c r="G3320" s="1"/>
      <c r="H3320" s="1"/>
      <c r="I3320" s="1"/>
      <c r="J3320" s="1"/>
      <c r="K3320" s="1"/>
      <c r="L3320" s="1"/>
      <c r="M3320" s="1"/>
      <c r="N3320" s="1"/>
    </row>
    <row r="3321" ht="14.5" spans="2:14">
      <c r="B3321" s="1"/>
      <c r="C3321" s="1"/>
      <c r="D3321" s="1"/>
      <c r="E3321" s="1"/>
      <c r="F3321" s="1"/>
      <c r="G3321" s="1"/>
      <c r="H3321" s="1"/>
      <c r="I3321" s="1"/>
      <c r="J3321" s="1"/>
      <c r="K3321" s="1"/>
      <c r="L3321" s="1"/>
      <c r="M3321" s="1"/>
      <c r="N3321" s="1"/>
    </row>
    <row r="3322" ht="14.5" spans="2:14">
      <c r="B3322" s="1"/>
      <c r="C3322" s="1"/>
      <c r="D3322" s="1"/>
      <c r="E3322" s="1"/>
      <c r="F3322" s="1"/>
      <c r="G3322" s="1"/>
      <c r="H3322" s="1"/>
      <c r="I3322" s="1"/>
      <c r="J3322" s="1"/>
      <c r="K3322" s="1"/>
      <c r="L3322" s="1"/>
      <c r="M3322" s="1"/>
      <c r="N3322" s="1"/>
    </row>
    <row r="3323" ht="14.5" spans="2:14">
      <c r="B3323" s="1"/>
      <c r="C3323" s="1"/>
      <c r="D3323" s="1"/>
      <c r="E3323" s="1"/>
      <c r="F3323" s="1"/>
      <c r="G3323" s="1"/>
      <c r="H3323" s="1"/>
      <c r="I3323" s="1"/>
      <c r="J3323" s="1"/>
      <c r="K3323" s="1"/>
      <c r="L3323" s="1"/>
      <c r="M3323" s="1"/>
      <c r="N3323" s="1"/>
    </row>
    <row r="3324" ht="14.5" spans="2:14">
      <c r="B3324" s="1"/>
      <c r="C3324" s="1"/>
      <c r="D3324" s="1"/>
      <c r="E3324" s="1"/>
      <c r="F3324" s="1"/>
      <c r="G3324" s="1"/>
      <c r="H3324" s="1"/>
      <c r="I3324" s="1"/>
      <c r="J3324" s="1"/>
      <c r="K3324" s="1"/>
      <c r="L3324" s="1"/>
      <c r="M3324" s="1"/>
      <c r="N3324" s="1"/>
    </row>
    <row r="3325" ht="14.5" spans="2:14">
      <c r="B3325" s="1"/>
      <c r="C3325" s="1"/>
      <c r="D3325" s="1"/>
      <c r="E3325" s="1"/>
      <c r="F3325" s="1"/>
      <c r="G3325" s="1"/>
      <c r="H3325" s="1"/>
      <c r="I3325" s="1"/>
      <c r="J3325" s="1"/>
      <c r="K3325" s="1"/>
      <c r="L3325" s="1"/>
      <c r="M3325" s="1"/>
      <c r="N3325" s="1"/>
    </row>
    <row r="3326" ht="14.5" spans="2:14">
      <c r="B3326" s="1"/>
      <c r="C3326" s="1"/>
      <c r="D3326" s="1"/>
      <c r="E3326" s="1"/>
      <c r="F3326" s="1"/>
      <c r="G3326" s="1"/>
      <c r="H3326" s="1"/>
      <c r="I3326" s="1"/>
      <c r="J3326" s="1"/>
      <c r="K3326" s="1"/>
      <c r="L3326" s="1"/>
      <c r="M3326" s="1"/>
      <c r="N3326" s="1"/>
    </row>
    <row r="3327" ht="14.5" spans="2:14">
      <c r="B3327" s="1"/>
      <c r="C3327" s="1"/>
      <c r="D3327" s="1"/>
      <c r="E3327" s="1"/>
      <c r="F3327" s="1"/>
      <c r="G3327" s="1"/>
      <c r="H3327" s="1"/>
      <c r="I3327" s="1"/>
      <c r="J3327" s="1"/>
      <c r="K3327" s="1"/>
      <c r="L3327" s="1"/>
      <c r="M3327" s="1"/>
      <c r="N3327" s="1"/>
    </row>
    <row r="3328" ht="14.5" spans="2:14">
      <c r="B3328" s="1"/>
      <c r="C3328" s="1"/>
      <c r="D3328" s="1"/>
      <c r="E3328" s="1"/>
      <c r="F3328" s="1"/>
      <c r="G3328" s="1"/>
      <c r="H3328" s="1"/>
      <c r="I3328" s="1"/>
      <c r="J3328" s="1"/>
      <c r="K3328" s="1"/>
      <c r="L3328" s="1"/>
      <c r="M3328" s="1"/>
      <c r="N3328" s="1"/>
    </row>
    <row r="3329" ht="14.5" spans="2:14">
      <c r="B3329" s="1"/>
      <c r="C3329" s="1"/>
      <c r="D3329" s="1"/>
      <c r="E3329" s="1"/>
      <c r="F3329" s="1"/>
      <c r="G3329" s="1"/>
      <c r="H3329" s="1"/>
      <c r="I3329" s="1"/>
      <c r="J3329" s="1"/>
      <c r="K3329" s="1"/>
      <c r="L3329" s="1"/>
      <c r="M3329" s="1"/>
      <c r="N3329" s="1"/>
    </row>
    <row r="3330" ht="14.5" spans="2:14">
      <c r="B3330" s="1"/>
      <c r="C3330" s="1"/>
      <c r="D3330" s="1"/>
      <c r="E3330" s="1"/>
      <c r="F3330" s="1"/>
      <c r="G3330" s="1"/>
      <c r="H3330" s="1"/>
      <c r="I3330" s="1"/>
      <c r="J3330" s="1"/>
      <c r="K3330" s="1"/>
      <c r="L3330" s="1"/>
      <c r="M3330" s="1"/>
      <c r="N3330" s="1"/>
    </row>
    <row r="3331" ht="14.5" spans="2:14">
      <c r="B3331" s="1"/>
      <c r="C3331" s="1"/>
      <c r="D3331" s="1"/>
      <c r="E3331" s="1"/>
      <c r="F3331" s="1"/>
      <c r="G3331" s="1"/>
      <c r="H3331" s="1"/>
      <c r="I3331" s="1"/>
      <c r="J3331" s="1"/>
      <c r="K3331" s="1"/>
      <c r="L3331" s="1"/>
      <c r="M3331" s="1"/>
      <c r="N3331" s="1"/>
    </row>
    <row r="3332" ht="14.5" spans="2:14">
      <c r="B3332" s="1"/>
      <c r="C3332" s="1"/>
      <c r="D3332" s="1"/>
      <c r="E3332" s="1"/>
      <c r="F3332" s="1"/>
      <c r="G3332" s="1"/>
      <c r="H3332" s="1"/>
      <c r="I3332" s="1"/>
      <c r="J3332" s="1"/>
      <c r="K3332" s="1"/>
      <c r="L3332" s="1"/>
      <c r="M3332" s="1"/>
      <c r="N3332" s="1"/>
    </row>
    <row r="3333" ht="14.5" spans="2:14">
      <c r="B3333" s="1"/>
      <c r="C3333" s="1"/>
      <c r="D3333" s="1"/>
      <c r="E3333" s="1"/>
      <c r="F3333" s="1"/>
      <c r="G3333" s="1"/>
      <c r="H3333" s="1"/>
      <c r="I3333" s="1"/>
      <c r="J3333" s="1"/>
      <c r="K3333" s="1"/>
      <c r="L3333" s="1"/>
      <c r="M3333" s="1"/>
      <c r="N3333" s="1"/>
    </row>
    <row r="3334" ht="14.5" spans="2:14">
      <c r="B3334" s="1"/>
      <c r="C3334" s="1"/>
      <c r="D3334" s="1"/>
      <c r="E3334" s="1"/>
      <c r="F3334" s="1"/>
      <c r="G3334" s="1"/>
      <c r="H3334" s="1"/>
      <c r="I3334" s="1"/>
      <c r="J3334" s="1"/>
      <c r="K3334" s="1"/>
      <c r="L3334" s="1"/>
      <c r="M3334" s="1"/>
      <c r="N3334" s="1"/>
    </row>
    <row r="3335" ht="14.5" spans="2:14">
      <c r="B3335" s="1"/>
      <c r="C3335" s="1"/>
      <c r="D3335" s="1"/>
      <c r="E3335" s="1"/>
      <c r="F3335" s="1"/>
      <c r="G3335" s="1"/>
      <c r="H3335" s="1"/>
      <c r="I3335" s="1"/>
      <c r="J3335" s="1"/>
      <c r="K3335" s="1"/>
      <c r="L3335" s="1"/>
      <c r="M3335" s="1"/>
      <c r="N3335" s="1"/>
    </row>
    <row r="3336" ht="14.5" spans="2:14">
      <c r="B3336" s="1"/>
      <c r="C3336" s="1"/>
      <c r="D3336" s="1"/>
      <c r="E3336" s="1"/>
      <c r="F3336" s="1"/>
      <c r="G3336" s="1"/>
      <c r="H3336" s="1"/>
      <c r="I3336" s="1"/>
      <c r="J3336" s="1"/>
      <c r="K3336" s="1"/>
      <c r="L3336" s="1"/>
      <c r="M3336" s="1"/>
      <c r="N3336" s="1"/>
    </row>
    <row r="3337" ht="14.5" spans="2:14">
      <c r="B3337" s="1"/>
      <c r="C3337" s="1"/>
      <c r="D3337" s="1"/>
      <c r="E3337" s="1"/>
      <c r="F3337" s="1"/>
      <c r="G3337" s="1"/>
      <c r="H3337" s="1"/>
      <c r="I3337" s="1"/>
      <c r="J3337" s="1"/>
      <c r="K3337" s="1"/>
      <c r="L3337" s="1"/>
      <c r="M3337" s="1"/>
      <c r="N3337" s="1"/>
    </row>
    <row r="3338" ht="14.5" spans="2:14">
      <c r="B3338" s="1"/>
      <c r="C3338" s="1"/>
      <c r="D3338" s="1"/>
      <c r="E3338" s="1"/>
      <c r="F3338" s="1"/>
      <c r="G3338" s="1"/>
      <c r="H3338" s="1"/>
      <c r="I3338" s="1"/>
      <c r="J3338" s="1"/>
      <c r="K3338" s="1"/>
      <c r="L3338" s="1"/>
      <c r="M3338" s="1"/>
      <c r="N3338" s="1"/>
    </row>
    <row r="3339" ht="14.5" spans="2:14">
      <c r="B3339" s="1"/>
      <c r="C3339" s="1"/>
      <c r="D3339" s="1"/>
      <c r="E3339" s="1"/>
      <c r="F3339" s="1"/>
      <c r="G3339" s="1"/>
      <c r="H3339" s="1"/>
      <c r="I3339" s="1"/>
      <c r="J3339" s="1"/>
      <c r="K3339" s="1"/>
      <c r="L3339" s="1"/>
      <c r="M3339" s="1"/>
      <c r="N3339" s="1"/>
    </row>
    <row r="3340" ht="14.5" spans="2:14">
      <c r="B3340" s="1"/>
      <c r="C3340" s="1"/>
      <c r="D3340" s="1"/>
      <c r="E3340" s="1"/>
      <c r="F3340" s="1"/>
      <c r="G3340" s="1"/>
      <c r="H3340" s="1"/>
      <c r="I3340" s="1"/>
      <c r="J3340" s="1"/>
      <c r="K3340" s="1"/>
      <c r="L3340" s="1"/>
      <c r="M3340" s="1"/>
      <c r="N3340" s="1"/>
    </row>
    <row r="3341" ht="14.5" spans="2:14">
      <c r="B3341" s="1"/>
      <c r="C3341" s="1"/>
      <c r="D3341" s="1"/>
      <c r="E3341" s="1"/>
      <c r="F3341" s="1"/>
      <c r="G3341" s="1"/>
      <c r="H3341" s="1"/>
      <c r="I3341" s="1"/>
      <c r="J3341" s="1"/>
      <c r="K3341" s="1"/>
      <c r="L3341" s="1"/>
      <c r="M3341" s="1"/>
      <c r="N3341" s="1"/>
    </row>
    <row r="3342" ht="14.5" spans="2:14">
      <c r="B3342" s="1"/>
      <c r="C3342" s="1"/>
      <c r="D3342" s="1"/>
      <c r="E3342" s="1"/>
      <c r="F3342" s="1"/>
      <c r="G3342" s="1"/>
      <c r="H3342" s="1"/>
      <c r="I3342" s="1"/>
      <c r="J3342" s="1"/>
      <c r="K3342" s="1"/>
      <c r="L3342" s="1"/>
      <c r="M3342" s="1"/>
      <c r="N3342" s="1"/>
    </row>
    <row r="3343" ht="14.5" spans="2:14">
      <c r="B3343" s="1"/>
      <c r="C3343" s="1"/>
      <c r="D3343" s="1"/>
      <c r="E3343" s="1"/>
      <c r="F3343" s="1"/>
      <c r="G3343" s="1"/>
      <c r="H3343" s="1"/>
      <c r="I3343" s="1"/>
      <c r="J3343" s="1"/>
      <c r="K3343" s="1"/>
      <c r="L3343" s="1"/>
      <c r="M3343" s="1"/>
      <c r="N3343" s="1"/>
    </row>
    <row r="3344" ht="14.5" spans="2:14">
      <c r="B3344" s="1"/>
      <c r="C3344" s="1"/>
      <c r="D3344" s="1"/>
      <c r="E3344" s="1"/>
      <c r="F3344" s="1"/>
      <c r="G3344" s="1"/>
      <c r="H3344" s="1"/>
      <c r="I3344" s="1"/>
      <c r="J3344" s="1"/>
      <c r="K3344" s="1"/>
      <c r="L3344" s="1"/>
      <c r="M3344" s="1"/>
      <c r="N3344" s="1"/>
    </row>
    <row r="3345" ht="14.5" spans="2:14">
      <c r="B3345" s="1"/>
      <c r="C3345" s="1"/>
      <c r="D3345" s="1"/>
      <c r="E3345" s="1"/>
      <c r="F3345" s="1"/>
      <c r="G3345" s="1"/>
      <c r="H3345" s="1"/>
      <c r="I3345" s="1"/>
      <c r="J3345" s="1"/>
      <c r="K3345" s="1"/>
      <c r="L3345" s="1"/>
      <c r="M3345" s="1"/>
      <c r="N3345" s="1"/>
    </row>
    <row r="3346" ht="14.5" spans="2:14">
      <c r="B3346" s="1"/>
      <c r="C3346" s="1"/>
      <c r="D3346" s="1"/>
      <c r="E3346" s="1"/>
      <c r="F3346" s="1"/>
      <c r="G3346" s="1"/>
      <c r="H3346" s="1"/>
      <c r="I3346" s="1"/>
      <c r="J3346" s="1"/>
      <c r="K3346" s="1"/>
      <c r="L3346" s="1"/>
      <c r="M3346" s="1"/>
      <c r="N3346" s="1"/>
    </row>
    <row r="3347" ht="14.5" spans="2:14">
      <c r="B3347" s="1"/>
      <c r="C3347" s="1"/>
      <c r="D3347" s="1"/>
      <c r="E3347" s="1"/>
      <c r="F3347" s="1"/>
      <c r="G3347" s="1"/>
      <c r="H3347" s="1"/>
      <c r="I3347" s="1"/>
      <c r="J3347" s="1"/>
      <c r="K3347" s="1"/>
      <c r="L3347" s="1"/>
      <c r="M3347" s="1"/>
      <c r="N3347" s="1"/>
    </row>
    <row r="3348" ht="14.5" spans="2:14">
      <c r="B3348" s="1"/>
      <c r="C3348" s="1"/>
      <c r="D3348" s="1"/>
      <c r="E3348" s="1"/>
      <c r="F3348" s="1"/>
      <c r="G3348" s="1"/>
      <c r="H3348" s="1"/>
      <c r="I3348" s="1"/>
      <c r="J3348" s="1"/>
      <c r="K3348" s="1"/>
      <c r="L3348" s="1"/>
      <c r="M3348" s="1"/>
      <c r="N3348" s="1"/>
    </row>
    <row r="3349" ht="14.5" spans="2:14">
      <c r="B3349" s="1"/>
      <c r="C3349" s="1"/>
      <c r="D3349" s="1"/>
      <c r="E3349" s="1"/>
      <c r="F3349" s="1"/>
      <c r="G3349" s="1"/>
      <c r="H3349" s="1"/>
      <c r="I3349" s="1"/>
      <c r="J3349" s="1"/>
      <c r="K3349" s="1"/>
      <c r="L3349" s="1"/>
      <c r="M3349" s="1"/>
      <c r="N3349" s="1"/>
    </row>
    <row r="3350" ht="14.5" spans="2:14">
      <c r="B3350" s="1"/>
      <c r="C3350" s="1"/>
      <c r="D3350" s="1"/>
      <c r="E3350" s="1"/>
      <c r="F3350" s="1"/>
      <c r="G3350" s="1"/>
      <c r="H3350" s="1"/>
      <c r="I3350" s="1"/>
      <c r="J3350" s="1"/>
      <c r="K3350" s="1"/>
      <c r="L3350" s="1"/>
      <c r="M3350" s="1"/>
      <c r="N3350" s="1"/>
    </row>
    <row r="3351" ht="14.5" spans="2:14">
      <c r="B3351" s="1"/>
      <c r="C3351" s="1"/>
      <c r="D3351" s="1"/>
      <c r="E3351" s="1"/>
      <c r="F3351" s="1"/>
      <c r="G3351" s="1"/>
      <c r="H3351" s="1"/>
      <c r="I3351" s="1"/>
      <c r="J3351" s="1"/>
      <c r="K3351" s="1"/>
      <c r="L3351" s="1"/>
      <c r="M3351" s="1"/>
      <c r="N3351" s="1"/>
    </row>
    <row r="3352" ht="14.5" spans="2:14">
      <c r="B3352" s="1"/>
      <c r="C3352" s="1"/>
      <c r="D3352" s="1"/>
      <c r="E3352" s="1"/>
      <c r="F3352" s="1"/>
      <c r="G3352" s="1"/>
      <c r="H3352" s="1"/>
      <c r="I3352" s="1"/>
      <c r="J3352" s="1"/>
      <c r="K3352" s="1"/>
      <c r="L3352" s="1"/>
      <c r="M3352" s="1"/>
      <c r="N3352" s="1"/>
    </row>
    <row r="3353" ht="14.5" spans="2:14">
      <c r="B3353" s="1"/>
      <c r="C3353" s="1"/>
      <c r="D3353" s="1"/>
      <c r="E3353" s="1"/>
      <c r="F3353" s="1"/>
      <c r="G3353" s="1"/>
      <c r="H3353" s="1"/>
      <c r="I3353" s="1"/>
      <c r="J3353" s="1"/>
      <c r="K3353" s="1"/>
      <c r="L3353" s="1"/>
      <c r="M3353" s="1"/>
      <c r="N3353" s="1"/>
    </row>
    <row r="3354" ht="14.5" spans="2:14">
      <c r="B3354" s="1"/>
      <c r="C3354" s="1"/>
      <c r="D3354" s="1"/>
      <c r="E3354" s="1"/>
      <c r="F3354" s="1"/>
      <c r="G3354" s="1"/>
      <c r="H3354" s="1"/>
      <c r="I3354" s="1"/>
      <c r="J3354" s="1"/>
      <c r="K3354" s="1"/>
      <c r="L3354" s="1"/>
      <c r="M3354" s="1"/>
      <c r="N3354" s="1"/>
    </row>
    <row r="3355" ht="14.5" spans="2:14">
      <c r="B3355" s="1"/>
      <c r="C3355" s="1"/>
      <c r="D3355" s="1"/>
      <c r="E3355" s="1"/>
      <c r="F3355" s="1"/>
      <c r="G3355" s="1"/>
      <c r="H3355" s="1"/>
      <c r="I3355" s="1"/>
      <c r="J3355" s="1"/>
      <c r="K3355" s="1"/>
      <c r="L3355" s="1"/>
      <c r="M3355" s="1"/>
      <c r="N3355" s="1"/>
    </row>
    <row r="3356" ht="14.5" spans="2:14">
      <c r="B3356" s="1"/>
      <c r="C3356" s="1"/>
      <c r="D3356" s="1"/>
      <c r="E3356" s="1"/>
      <c r="F3356" s="1"/>
      <c r="G3356" s="1"/>
      <c r="H3356" s="1"/>
      <c r="I3356" s="1"/>
      <c r="J3356" s="1"/>
      <c r="K3356" s="1"/>
      <c r="L3356" s="1"/>
      <c r="M3356" s="1"/>
      <c r="N3356" s="1"/>
    </row>
    <row r="3357" ht="14.5" spans="2:14">
      <c r="B3357" s="1"/>
      <c r="C3357" s="1"/>
      <c r="D3357" s="1"/>
      <c r="E3357" s="1"/>
      <c r="F3357" s="1"/>
      <c r="G3357" s="1"/>
      <c r="H3357" s="1"/>
      <c r="I3357" s="1"/>
      <c r="J3357" s="1"/>
      <c r="K3357" s="1"/>
      <c r="L3357" s="1"/>
      <c r="M3357" s="1"/>
      <c r="N3357" s="1"/>
    </row>
    <row r="3358" ht="14.5" spans="2:14">
      <c r="B3358" s="1"/>
      <c r="C3358" s="1"/>
      <c r="D3358" s="1"/>
      <c r="E3358" s="1"/>
      <c r="F3358" s="1"/>
      <c r="G3358" s="1"/>
      <c r="H3358" s="1"/>
      <c r="I3358" s="1"/>
      <c r="J3358" s="1"/>
      <c r="K3358" s="1"/>
      <c r="L3358" s="1"/>
      <c r="M3358" s="1"/>
      <c r="N3358" s="1"/>
    </row>
    <row r="3359" ht="14.5" spans="2:14">
      <c r="B3359" s="1"/>
      <c r="C3359" s="1"/>
      <c r="D3359" s="1"/>
      <c r="E3359" s="1"/>
      <c r="F3359" s="1"/>
      <c r="G3359" s="1"/>
      <c r="H3359" s="1"/>
      <c r="I3359" s="1"/>
      <c r="J3359" s="1"/>
      <c r="K3359" s="1"/>
      <c r="L3359" s="1"/>
      <c r="M3359" s="1"/>
      <c r="N3359" s="1"/>
    </row>
    <row r="3360" ht="14.5" spans="2:14">
      <c r="B3360" s="1"/>
      <c r="C3360" s="1"/>
      <c r="D3360" s="1"/>
      <c r="E3360" s="1"/>
      <c r="F3360" s="1"/>
      <c r="G3360" s="1"/>
      <c r="H3360" s="1"/>
      <c r="I3360" s="1"/>
      <c r="J3360" s="1"/>
      <c r="K3360" s="1"/>
      <c r="L3360" s="1"/>
      <c r="M3360" s="1"/>
      <c r="N3360" s="1"/>
    </row>
    <row r="3361" ht="14.5" spans="2:14">
      <c r="B3361" s="1"/>
      <c r="C3361" s="1"/>
      <c r="D3361" s="1"/>
      <c r="E3361" s="1"/>
      <c r="F3361" s="1"/>
      <c r="G3361" s="1"/>
      <c r="H3361" s="1"/>
      <c r="I3361" s="1"/>
      <c r="J3361" s="1"/>
      <c r="K3361" s="1"/>
      <c r="L3361" s="1"/>
      <c r="M3361" s="1"/>
      <c r="N3361" s="1"/>
    </row>
    <row r="3362" ht="14.5" spans="2:14">
      <c r="B3362" s="1"/>
      <c r="C3362" s="1"/>
      <c r="D3362" s="1"/>
      <c r="E3362" s="1"/>
      <c r="F3362" s="1"/>
      <c r="G3362" s="1"/>
      <c r="H3362" s="1"/>
      <c r="I3362" s="1"/>
      <c r="J3362" s="1"/>
      <c r="K3362" s="1"/>
      <c r="L3362" s="1"/>
      <c r="M3362" s="1"/>
      <c r="N3362" s="1"/>
    </row>
    <row r="3363" ht="14.5" spans="2:14">
      <c r="B3363" s="1"/>
      <c r="C3363" s="1"/>
      <c r="D3363" s="1"/>
      <c r="E3363" s="1"/>
      <c r="F3363" s="1"/>
      <c r="G3363" s="1"/>
      <c r="H3363" s="1"/>
      <c r="I3363" s="1"/>
      <c r="J3363" s="1"/>
      <c r="K3363" s="1"/>
      <c r="L3363" s="1"/>
      <c r="M3363" s="1"/>
      <c r="N3363" s="1"/>
    </row>
    <row r="3364" ht="14.5" spans="2:14">
      <c r="B3364" s="1"/>
      <c r="C3364" s="1"/>
      <c r="D3364" s="1"/>
      <c r="E3364" s="1"/>
      <c r="F3364" s="1"/>
      <c r="G3364" s="1"/>
      <c r="H3364" s="1"/>
      <c r="I3364" s="1"/>
      <c r="J3364" s="1"/>
      <c r="K3364" s="1"/>
      <c r="L3364" s="1"/>
      <c r="M3364" s="1"/>
      <c r="N3364" s="1"/>
    </row>
    <row r="3365" ht="14.5" spans="2:14">
      <c r="B3365" s="1"/>
      <c r="C3365" s="1"/>
      <c r="D3365" s="1"/>
      <c r="E3365" s="1"/>
      <c r="F3365" s="1"/>
      <c r="G3365" s="1"/>
      <c r="H3365" s="1"/>
      <c r="I3365" s="1"/>
      <c r="J3365" s="1"/>
      <c r="K3365" s="1"/>
      <c r="L3365" s="1"/>
      <c r="M3365" s="1"/>
      <c r="N3365" s="1"/>
    </row>
    <row r="3366" ht="14.5" spans="2:14">
      <c r="B3366" s="1"/>
      <c r="C3366" s="1"/>
      <c r="D3366" s="1"/>
      <c r="E3366" s="1"/>
      <c r="F3366" s="1"/>
      <c r="G3366" s="1"/>
      <c r="H3366" s="1"/>
      <c r="I3366" s="1"/>
      <c r="J3366" s="1"/>
      <c r="K3366" s="1"/>
      <c r="L3366" s="1"/>
      <c r="M3366" s="1"/>
      <c r="N3366" s="1"/>
    </row>
    <row r="3367" ht="14.5" spans="2:14">
      <c r="B3367" s="1"/>
      <c r="C3367" s="1"/>
      <c r="D3367" s="1"/>
      <c r="E3367" s="1"/>
      <c r="F3367" s="1"/>
      <c r="G3367" s="1"/>
      <c r="H3367" s="1"/>
      <c r="I3367" s="1"/>
      <c r="J3367" s="1"/>
      <c r="K3367" s="1"/>
      <c r="L3367" s="1"/>
      <c r="M3367" s="1"/>
      <c r="N3367" s="1"/>
    </row>
    <row r="3368" ht="14.5" spans="2:14">
      <c r="B3368" s="1"/>
      <c r="C3368" s="1"/>
      <c r="D3368" s="1"/>
      <c r="E3368" s="1"/>
      <c r="F3368" s="1"/>
      <c r="G3368" s="1"/>
      <c r="H3368" s="1"/>
      <c r="I3368" s="1"/>
      <c r="J3368" s="1"/>
      <c r="K3368" s="1"/>
      <c r="L3368" s="1"/>
      <c r="M3368" s="1"/>
      <c r="N3368" s="1"/>
    </row>
    <row r="3369" ht="14.5" spans="2:14">
      <c r="B3369" s="1"/>
      <c r="C3369" s="1"/>
      <c r="D3369" s="1"/>
      <c r="E3369" s="1"/>
      <c r="F3369" s="1"/>
      <c r="G3369" s="1"/>
      <c r="H3369" s="1"/>
      <c r="I3369" s="1"/>
      <c r="J3369" s="1"/>
      <c r="K3369" s="1"/>
      <c r="L3369" s="1"/>
      <c r="M3369" s="1"/>
      <c r="N3369" s="1"/>
    </row>
    <row r="3370" ht="14.5" spans="2:14">
      <c r="B3370" s="1"/>
      <c r="C3370" s="1"/>
      <c r="D3370" s="1"/>
      <c r="E3370" s="1"/>
      <c r="F3370" s="1"/>
      <c r="G3370" s="1"/>
      <c r="H3370" s="1"/>
      <c r="I3370" s="1"/>
      <c r="J3370" s="1"/>
      <c r="K3370" s="1"/>
      <c r="L3370" s="1"/>
      <c r="M3370" s="1"/>
      <c r="N3370" s="1"/>
    </row>
    <row r="3371" ht="14.5" spans="2:14">
      <c r="B3371" s="1"/>
      <c r="C3371" s="1"/>
      <c r="D3371" s="1"/>
      <c r="E3371" s="1"/>
      <c r="F3371" s="1"/>
      <c r="G3371" s="1"/>
      <c r="H3371" s="1"/>
      <c r="I3371" s="1"/>
      <c r="J3371" s="1"/>
      <c r="K3371" s="1"/>
      <c r="L3371" s="1"/>
      <c r="M3371" s="1"/>
      <c r="N3371" s="1"/>
    </row>
    <row r="3372" ht="14.5" spans="2:14">
      <c r="B3372" s="1"/>
      <c r="C3372" s="1"/>
      <c r="D3372" s="1"/>
      <c r="E3372" s="1"/>
      <c r="F3372" s="1"/>
      <c r="G3372" s="1"/>
      <c r="H3372" s="1"/>
      <c r="I3372" s="1"/>
      <c r="J3372" s="1"/>
      <c r="K3372" s="1"/>
      <c r="L3372" s="1"/>
      <c r="M3372" s="1"/>
      <c r="N3372" s="1"/>
    </row>
    <row r="3373" ht="14.5" spans="2:14">
      <c r="B3373" s="1"/>
      <c r="C3373" s="1"/>
      <c r="D3373" s="1"/>
      <c r="E3373" s="1"/>
      <c r="F3373" s="1"/>
      <c r="G3373" s="1"/>
      <c r="H3373" s="1"/>
      <c r="I3373" s="1"/>
      <c r="J3373" s="1"/>
      <c r="K3373" s="1"/>
      <c r="L3373" s="1"/>
      <c r="M3373" s="1"/>
      <c r="N3373" s="1"/>
    </row>
    <row r="3374" ht="14.5" spans="2:14">
      <c r="B3374" s="1"/>
      <c r="C3374" s="1"/>
      <c r="D3374" s="1"/>
      <c r="E3374" s="1"/>
      <c r="F3374" s="1"/>
      <c r="G3374" s="1"/>
      <c r="H3374" s="1"/>
      <c r="I3374" s="1"/>
      <c r="J3374" s="1"/>
      <c r="K3374" s="1"/>
      <c r="L3374" s="1"/>
      <c r="M3374" s="1"/>
      <c r="N3374" s="1"/>
    </row>
    <row r="3375" ht="14.5" spans="2:14">
      <c r="B3375" s="1"/>
      <c r="C3375" s="1"/>
      <c r="D3375" s="1"/>
      <c r="E3375" s="1"/>
      <c r="F3375" s="1"/>
      <c r="G3375" s="1"/>
      <c r="H3375" s="1"/>
      <c r="I3375" s="1"/>
      <c r="J3375" s="1"/>
      <c r="K3375" s="1"/>
      <c r="L3375" s="1"/>
      <c r="M3375" s="1"/>
      <c r="N3375" s="1"/>
    </row>
    <row r="3376" ht="14.5" spans="2:14">
      <c r="B3376" s="1"/>
      <c r="C3376" s="1"/>
      <c r="D3376" s="1"/>
      <c r="E3376" s="1"/>
      <c r="F3376" s="1"/>
      <c r="G3376" s="1"/>
      <c r="H3376" s="1"/>
      <c r="I3376" s="1"/>
      <c r="J3376" s="1"/>
      <c r="K3376" s="1"/>
      <c r="L3376" s="1"/>
      <c r="M3376" s="1"/>
      <c r="N3376" s="1"/>
    </row>
    <row r="3377" ht="14.5" spans="2:14">
      <c r="B3377" s="1"/>
      <c r="C3377" s="1"/>
      <c r="D3377" s="1"/>
      <c r="E3377" s="1"/>
      <c r="F3377" s="1"/>
      <c r="G3377" s="1"/>
      <c r="H3377" s="1"/>
      <c r="I3377" s="1"/>
      <c r="J3377" s="1"/>
      <c r="K3377" s="1"/>
      <c r="L3377" s="1"/>
      <c r="M3377" s="1"/>
      <c r="N3377" s="1"/>
    </row>
    <row r="3378" ht="14.5" spans="2:14">
      <c r="B3378" s="1"/>
      <c r="C3378" s="1"/>
      <c r="D3378" s="1"/>
      <c r="E3378" s="1"/>
      <c r="F3378" s="1"/>
      <c r="G3378" s="1"/>
      <c r="H3378" s="1"/>
      <c r="I3378" s="1"/>
      <c r="J3378" s="1"/>
      <c r="K3378" s="1"/>
      <c r="L3378" s="1"/>
      <c r="M3378" s="1"/>
      <c r="N3378" s="1"/>
    </row>
    <row r="3379" ht="14.5" spans="2:14">
      <c r="B3379" s="1"/>
      <c r="C3379" s="1"/>
      <c r="D3379" s="1"/>
      <c r="E3379" s="1"/>
      <c r="F3379" s="1"/>
      <c r="G3379" s="1"/>
      <c r="H3379" s="1"/>
      <c r="I3379" s="1"/>
      <c r="J3379" s="1"/>
      <c r="K3379" s="1"/>
      <c r="L3379" s="1"/>
      <c r="M3379" s="1"/>
      <c r="N3379" s="1"/>
    </row>
    <row r="3380" ht="14.5" spans="2:14">
      <c r="B3380" s="1"/>
      <c r="C3380" s="1"/>
      <c r="D3380" s="1"/>
      <c r="E3380" s="1"/>
      <c r="F3380" s="1"/>
      <c r="G3380" s="1"/>
      <c r="H3380" s="1"/>
      <c r="I3380" s="1"/>
      <c r="J3380" s="1"/>
      <c r="K3380" s="1"/>
      <c r="L3380" s="1"/>
      <c r="M3380" s="1"/>
      <c r="N3380" s="1"/>
    </row>
    <row r="3381" ht="14.5" spans="2:14">
      <c r="B3381" s="1"/>
      <c r="C3381" s="1"/>
      <c r="D3381" s="1"/>
      <c r="E3381" s="1"/>
      <c r="F3381" s="1"/>
      <c r="G3381" s="1"/>
      <c r="H3381" s="1"/>
      <c r="I3381" s="1"/>
      <c r="J3381" s="1"/>
      <c r="K3381" s="1"/>
      <c r="L3381" s="1"/>
      <c r="M3381" s="1"/>
      <c r="N3381" s="1"/>
    </row>
    <row r="3382" ht="14.5" spans="2:14">
      <c r="B3382" s="1"/>
      <c r="C3382" s="1"/>
      <c r="D3382" s="1"/>
      <c r="E3382" s="1"/>
      <c r="F3382" s="1"/>
      <c r="G3382" s="1"/>
      <c r="H3382" s="1"/>
      <c r="I3382" s="1"/>
      <c r="J3382" s="1"/>
      <c r="K3382" s="1"/>
      <c r="L3382" s="1"/>
      <c r="M3382" s="1"/>
      <c r="N3382" s="1"/>
    </row>
    <row r="3383" ht="14.5" spans="2:14">
      <c r="B3383" s="1"/>
      <c r="C3383" s="1"/>
      <c r="D3383" s="1"/>
      <c r="E3383" s="1"/>
      <c r="F3383" s="1"/>
      <c r="G3383" s="1"/>
      <c r="H3383" s="1"/>
      <c r="I3383" s="1"/>
      <c r="J3383" s="1"/>
      <c r="K3383" s="1"/>
      <c r="L3383" s="1"/>
      <c r="M3383" s="1"/>
      <c r="N3383" s="1"/>
    </row>
    <row r="3384" ht="14.5" spans="2:14">
      <c r="B3384" s="1"/>
      <c r="C3384" s="1"/>
      <c r="D3384" s="1"/>
      <c r="E3384" s="1"/>
      <c r="F3384" s="1"/>
      <c r="G3384" s="1"/>
      <c r="H3384" s="1"/>
      <c r="I3384" s="1"/>
      <c r="J3384" s="1"/>
      <c r="K3384" s="1"/>
      <c r="L3384" s="1"/>
      <c r="M3384" s="1"/>
      <c r="N3384" s="1"/>
    </row>
    <row r="3385" ht="14.5" spans="2:14">
      <c r="B3385" s="1"/>
      <c r="C3385" s="1"/>
      <c r="D3385" s="1"/>
      <c r="E3385" s="1"/>
      <c r="F3385" s="1"/>
      <c r="G3385" s="1"/>
      <c r="H3385" s="1"/>
      <c r="I3385" s="1"/>
      <c r="J3385" s="1"/>
      <c r="K3385" s="1"/>
      <c r="L3385" s="1"/>
      <c r="M3385" s="1"/>
      <c r="N3385" s="1"/>
    </row>
    <row r="3386" ht="14.5" spans="2:14">
      <c r="B3386" s="1"/>
      <c r="C3386" s="1"/>
      <c r="D3386" s="1"/>
      <c r="E3386" s="1"/>
      <c r="F3386" s="1"/>
      <c r="G3386" s="1"/>
      <c r="H3386" s="1"/>
      <c r="I3386" s="1"/>
      <c r="J3386" s="1"/>
      <c r="K3386" s="1"/>
      <c r="L3386" s="1"/>
      <c r="M3386" s="1"/>
      <c r="N3386" s="1"/>
    </row>
    <row r="3387" ht="14.5" spans="2:14">
      <c r="B3387" s="1"/>
      <c r="C3387" s="1"/>
      <c r="D3387" s="1"/>
      <c r="E3387" s="1"/>
      <c r="F3387" s="1"/>
      <c r="G3387" s="1"/>
      <c r="H3387" s="1"/>
      <c r="I3387" s="1"/>
      <c r="J3387" s="1"/>
      <c r="K3387" s="1"/>
      <c r="L3387" s="1"/>
      <c r="M3387" s="1"/>
      <c r="N3387" s="1"/>
    </row>
    <row r="3388" ht="14.5" spans="2:14">
      <c r="B3388" s="1"/>
      <c r="C3388" s="1"/>
      <c r="D3388" s="1"/>
      <c r="E3388" s="1"/>
      <c r="F3388" s="1"/>
      <c r="G3388" s="1"/>
      <c r="H3388" s="1"/>
      <c r="I3388" s="1"/>
      <c r="J3388" s="1"/>
      <c r="K3388" s="1"/>
      <c r="L3388" s="1"/>
      <c r="M3388" s="1"/>
      <c r="N3388" s="1"/>
    </row>
    <row r="3389" ht="14.5" spans="2:14">
      <c r="B3389" s="1"/>
      <c r="C3389" s="1"/>
      <c r="D3389" s="1"/>
      <c r="E3389" s="1"/>
      <c r="F3389" s="1"/>
      <c r="G3389" s="1"/>
      <c r="H3389" s="1"/>
      <c r="I3389" s="1"/>
      <c r="J3389" s="1"/>
      <c r="K3389" s="1"/>
      <c r="L3389" s="1"/>
      <c r="M3389" s="1"/>
      <c r="N3389" s="1"/>
    </row>
    <row r="3390" ht="14.5" spans="2:14">
      <c r="B3390" s="1"/>
      <c r="C3390" s="1"/>
      <c r="D3390" s="1"/>
      <c r="E3390" s="1"/>
      <c r="F3390" s="1"/>
      <c r="G3390" s="1"/>
      <c r="H3390" s="1"/>
      <c r="I3390" s="1"/>
      <c r="J3390" s="1"/>
      <c r="K3390" s="1"/>
      <c r="L3390" s="1"/>
      <c r="M3390" s="1"/>
      <c r="N3390" s="1"/>
    </row>
    <row r="3391" ht="14.5" spans="2:14">
      <c r="B3391" s="1"/>
      <c r="C3391" s="1"/>
      <c r="D3391" s="1"/>
      <c r="E3391" s="1"/>
      <c r="F3391" s="1"/>
      <c r="G3391" s="1"/>
      <c r="H3391" s="1"/>
      <c r="I3391" s="1"/>
      <c r="J3391" s="1"/>
      <c r="K3391" s="1"/>
      <c r="L3391" s="1"/>
      <c r="M3391" s="1"/>
      <c r="N3391" s="1"/>
    </row>
    <row r="3392" ht="14.5" spans="2:14">
      <c r="B3392" s="1"/>
      <c r="C3392" s="1"/>
      <c r="D3392" s="1"/>
      <c r="E3392" s="1"/>
      <c r="F3392" s="1"/>
      <c r="G3392" s="1"/>
      <c r="H3392" s="1"/>
      <c r="I3392" s="1"/>
      <c r="J3392" s="1"/>
      <c r="K3392" s="1"/>
      <c r="L3392" s="1"/>
      <c r="M3392" s="1"/>
      <c r="N3392" s="1"/>
    </row>
    <row r="3393" ht="14.5" spans="2:14">
      <c r="B3393" s="1"/>
      <c r="C3393" s="1"/>
      <c r="D3393" s="1"/>
      <c r="E3393" s="1"/>
      <c r="F3393" s="1"/>
      <c r="G3393" s="1"/>
      <c r="H3393" s="1"/>
      <c r="I3393" s="1"/>
      <c r="J3393" s="1"/>
      <c r="K3393" s="1"/>
      <c r="L3393" s="1"/>
      <c r="M3393" s="1"/>
      <c r="N3393" s="1"/>
    </row>
    <row r="3394" ht="14.5" spans="2:14">
      <c r="B3394" s="1"/>
      <c r="C3394" s="1"/>
      <c r="D3394" s="1"/>
      <c r="E3394" s="1"/>
      <c r="F3394" s="1"/>
      <c r="G3394" s="1"/>
      <c r="H3394" s="1"/>
      <c r="I3394" s="1"/>
      <c r="J3394" s="1"/>
      <c r="K3394" s="1"/>
      <c r="L3394" s="1"/>
      <c r="M3394" s="1"/>
      <c r="N3394" s="1"/>
    </row>
    <row r="3395" ht="14.5" spans="2:14">
      <c r="B3395" s="1"/>
      <c r="C3395" s="1"/>
      <c r="D3395" s="1"/>
      <c r="E3395" s="1"/>
      <c r="F3395" s="1"/>
      <c r="G3395" s="1"/>
      <c r="H3395" s="1"/>
      <c r="I3395" s="1"/>
      <c r="J3395" s="1"/>
      <c r="K3395" s="1"/>
      <c r="L3395" s="1"/>
      <c r="M3395" s="1"/>
      <c r="N3395" s="1"/>
    </row>
    <row r="3396" ht="14.5" spans="2:14">
      <c r="B3396" s="1"/>
      <c r="C3396" s="1"/>
      <c r="D3396" s="1"/>
      <c r="E3396" s="1"/>
      <c r="F3396" s="1"/>
      <c r="G3396" s="1"/>
      <c r="H3396" s="1"/>
      <c r="I3396" s="1"/>
      <c r="J3396" s="1"/>
      <c r="K3396" s="1"/>
      <c r="L3396" s="1"/>
      <c r="M3396" s="1"/>
      <c r="N3396" s="1"/>
    </row>
    <row r="3397" ht="14.5" spans="2:14">
      <c r="B3397" s="1"/>
      <c r="C3397" s="1"/>
      <c r="D3397" s="1"/>
      <c r="E3397" s="1"/>
      <c r="F3397" s="1"/>
      <c r="G3397" s="1"/>
      <c r="H3397" s="1"/>
      <c r="I3397" s="1"/>
      <c r="J3397" s="1"/>
      <c r="K3397" s="1"/>
      <c r="L3397" s="1"/>
      <c r="M3397" s="1"/>
      <c r="N3397" s="1"/>
    </row>
    <row r="3398" ht="14.5" spans="2:14">
      <c r="B3398" s="1"/>
      <c r="C3398" s="1"/>
      <c r="D3398" s="1"/>
      <c r="E3398" s="1"/>
      <c r="F3398" s="1"/>
      <c r="G3398" s="1"/>
      <c r="H3398" s="1"/>
      <c r="I3398" s="1"/>
      <c r="J3398" s="1"/>
      <c r="K3398" s="1"/>
      <c r="L3398" s="1"/>
      <c r="M3398" s="1"/>
      <c r="N3398" s="1"/>
    </row>
    <row r="3399" ht="14.5" spans="2:14">
      <c r="B3399" s="1"/>
      <c r="C3399" s="1"/>
      <c r="D3399" s="1"/>
      <c r="E3399" s="1"/>
      <c r="F3399" s="1"/>
      <c r="G3399" s="1"/>
      <c r="H3399" s="1"/>
      <c r="I3399" s="1"/>
      <c r="J3399" s="1"/>
      <c r="K3399" s="1"/>
      <c r="L3399" s="1"/>
      <c r="M3399" s="1"/>
      <c r="N3399" s="1"/>
    </row>
    <row r="3400" ht="14.5" spans="2:14">
      <c r="B3400" s="1"/>
      <c r="C3400" s="1"/>
      <c r="D3400" s="1"/>
      <c r="E3400" s="1"/>
      <c r="F3400" s="1"/>
      <c r="G3400" s="1"/>
      <c r="H3400" s="1"/>
      <c r="I3400" s="1"/>
      <c r="J3400" s="1"/>
      <c r="K3400" s="1"/>
      <c r="L3400" s="1"/>
      <c r="M3400" s="1"/>
      <c r="N3400" s="1"/>
    </row>
    <row r="3401" ht="14.5" spans="2:14">
      <c r="B3401" s="1"/>
      <c r="C3401" s="1"/>
      <c r="D3401" s="1"/>
      <c r="E3401" s="1"/>
      <c r="F3401" s="1"/>
      <c r="G3401" s="1"/>
      <c r="H3401" s="1"/>
      <c r="I3401" s="1"/>
      <c r="J3401" s="1"/>
      <c r="K3401" s="1"/>
      <c r="L3401" s="1"/>
      <c r="M3401" s="1"/>
      <c r="N3401" s="1"/>
    </row>
    <row r="3402" ht="14.5" spans="2:14">
      <c r="B3402" s="1"/>
      <c r="C3402" s="1"/>
      <c r="D3402" s="1"/>
      <c r="E3402" s="1"/>
      <c r="F3402" s="1"/>
      <c r="G3402" s="1"/>
      <c r="H3402" s="1"/>
      <c r="I3402" s="1"/>
      <c r="J3402" s="1"/>
      <c r="K3402" s="1"/>
      <c r="L3402" s="1"/>
      <c r="M3402" s="1"/>
      <c r="N3402" s="1"/>
    </row>
    <row r="3403" ht="14.5" spans="2:14">
      <c r="B3403" s="1"/>
      <c r="C3403" s="1"/>
      <c r="D3403" s="1"/>
      <c r="E3403" s="1"/>
      <c r="F3403" s="1"/>
      <c r="G3403" s="1"/>
      <c r="H3403" s="1"/>
      <c r="I3403" s="1"/>
      <c r="J3403" s="1"/>
      <c r="K3403" s="1"/>
      <c r="L3403" s="1"/>
      <c r="M3403" s="1"/>
      <c r="N3403" s="1"/>
    </row>
    <row r="3404" ht="14.5" spans="2:14">
      <c r="B3404" s="1"/>
      <c r="C3404" s="1"/>
      <c r="D3404" s="1"/>
      <c r="E3404" s="1"/>
      <c r="F3404" s="1"/>
      <c r="G3404" s="1"/>
      <c r="H3404" s="1"/>
      <c r="I3404" s="1"/>
      <c r="J3404" s="1"/>
      <c r="K3404" s="1"/>
      <c r="L3404" s="1"/>
      <c r="M3404" s="1"/>
      <c r="N3404" s="1"/>
    </row>
    <row r="3405" ht="14.5" spans="2:14">
      <c r="B3405" s="1"/>
      <c r="C3405" s="1"/>
      <c r="D3405" s="1"/>
      <c r="E3405" s="1"/>
      <c r="F3405" s="1"/>
      <c r="G3405" s="1"/>
      <c r="H3405" s="1"/>
      <c r="I3405" s="1"/>
      <c r="J3405" s="1"/>
      <c r="K3405" s="1"/>
      <c r="L3405" s="1"/>
      <c r="M3405" s="1"/>
      <c r="N3405" s="1"/>
    </row>
    <row r="3406" ht="14.5" spans="2:14">
      <c r="B3406" s="1"/>
      <c r="C3406" s="1"/>
      <c r="D3406" s="1"/>
      <c r="E3406" s="1"/>
      <c r="F3406" s="1"/>
      <c r="G3406" s="1"/>
      <c r="H3406" s="1"/>
      <c r="I3406" s="1"/>
      <c r="J3406" s="1"/>
      <c r="K3406" s="1"/>
      <c r="L3406" s="1"/>
      <c r="M3406" s="1"/>
      <c r="N3406" s="1"/>
    </row>
    <row r="3407" ht="14.5" spans="2:14">
      <c r="B3407" s="1"/>
      <c r="C3407" s="1"/>
      <c r="D3407" s="1"/>
      <c r="E3407" s="1"/>
      <c r="F3407" s="1"/>
      <c r="G3407" s="1"/>
      <c r="H3407" s="1"/>
      <c r="I3407" s="1"/>
      <c r="J3407" s="1"/>
      <c r="K3407" s="1"/>
      <c r="L3407" s="1"/>
      <c r="M3407" s="1"/>
      <c r="N3407" s="1"/>
    </row>
    <row r="3408" ht="14.5" spans="2:14">
      <c r="B3408" s="1"/>
      <c r="C3408" s="1"/>
      <c r="D3408" s="1"/>
      <c r="E3408" s="1"/>
      <c r="F3408" s="1"/>
      <c r="G3408" s="1"/>
      <c r="H3408" s="1"/>
      <c r="I3408" s="1"/>
      <c r="J3408" s="1"/>
      <c r="K3408" s="1"/>
      <c r="L3408" s="1"/>
      <c r="M3408" s="1"/>
      <c r="N3408" s="1"/>
    </row>
    <row r="3409" ht="14.5" spans="2:14">
      <c r="B3409" s="1"/>
      <c r="C3409" s="1"/>
      <c r="D3409" s="1"/>
      <c r="E3409" s="1"/>
      <c r="F3409" s="1"/>
      <c r="G3409" s="1"/>
      <c r="H3409" s="1"/>
      <c r="I3409" s="1"/>
      <c r="J3409" s="1"/>
      <c r="K3409" s="1"/>
      <c r="L3409" s="1"/>
      <c r="M3409" s="1"/>
      <c r="N3409" s="1"/>
    </row>
    <row r="3410" ht="14.5" spans="2:14">
      <c r="B3410" s="1"/>
      <c r="C3410" s="1"/>
      <c r="D3410" s="1"/>
      <c r="E3410" s="1"/>
      <c r="F3410" s="1"/>
      <c r="G3410" s="1"/>
      <c r="H3410" s="1"/>
      <c r="I3410" s="1"/>
      <c r="J3410" s="1"/>
      <c r="K3410" s="1"/>
      <c r="L3410" s="1"/>
      <c r="M3410" s="1"/>
      <c r="N3410" s="1"/>
    </row>
    <row r="3411" ht="14.5" spans="2:14">
      <c r="B3411" s="1"/>
      <c r="C3411" s="1"/>
      <c r="D3411" s="1"/>
      <c r="E3411" s="1"/>
      <c r="F3411" s="1"/>
      <c r="G3411" s="1"/>
      <c r="H3411" s="1"/>
      <c r="I3411" s="1"/>
      <c r="J3411" s="1"/>
      <c r="K3411" s="1"/>
      <c r="L3411" s="1"/>
      <c r="M3411" s="1"/>
      <c r="N3411" s="1"/>
    </row>
    <row r="3412" ht="14.5" spans="2:14">
      <c r="B3412" s="1"/>
      <c r="C3412" s="1"/>
      <c r="D3412" s="1"/>
      <c r="E3412" s="1"/>
      <c r="F3412" s="1"/>
      <c r="G3412" s="1"/>
      <c r="H3412" s="1"/>
      <c r="I3412" s="1"/>
      <c r="J3412" s="1"/>
      <c r="K3412" s="1"/>
      <c r="L3412" s="1"/>
      <c r="M3412" s="1"/>
      <c r="N3412" s="1"/>
    </row>
    <row r="3413" ht="14.5" spans="2:14">
      <c r="B3413" s="1"/>
      <c r="C3413" s="1"/>
      <c r="D3413" s="1"/>
      <c r="E3413" s="1"/>
      <c r="F3413" s="1"/>
      <c r="G3413" s="1"/>
      <c r="H3413" s="1"/>
      <c r="I3413" s="1"/>
      <c r="J3413" s="1"/>
      <c r="K3413" s="1"/>
      <c r="L3413" s="1"/>
      <c r="M3413" s="1"/>
      <c r="N3413" s="1"/>
    </row>
    <row r="3414" ht="14.5" spans="2:14">
      <c r="B3414" s="1"/>
      <c r="C3414" s="1"/>
      <c r="D3414" s="1"/>
      <c r="E3414" s="1"/>
      <c r="F3414" s="1"/>
      <c r="G3414" s="1"/>
      <c r="H3414" s="1"/>
      <c r="I3414" s="1"/>
      <c r="J3414" s="1"/>
      <c r="K3414" s="1"/>
      <c r="L3414" s="1"/>
      <c r="M3414" s="1"/>
      <c r="N3414" s="1"/>
    </row>
    <row r="3415" ht="14.5" spans="2:14">
      <c r="B3415" s="1"/>
      <c r="C3415" s="1"/>
      <c r="D3415" s="1"/>
      <c r="E3415" s="1"/>
      <c r="F3415" s="1"/>
      <c r="G3415" s="1"/>
      <c r="H3415" s="1"/>
      <c r="I3415" s="1"/>
      <c r="J3415" s="1"/>
      <c r="K3415" s="1"/>
      <c r="L3415" s="1"/>
      <c r="M3415" s="1"/>
      <c r="N3415" s="1"/>
    </row>
    <row r="3416" ht="14.5" spans="2:14">
      <c r="B3416" s="1"/>
      <c r="C3416" s="1"/>
      <c r="D3416" s="1"/>
      <c r="E3416" s="1"/>
      <c r="F3416" s="1"/>
      <c r="G3416" s="1"/>
      <c r="H3416" s="1"/>
      <c r="I3416" s="1"/>
      <c r="J3416" s="1"/>
      <c r="K3416" s="1"/>
      <c r="L3416" s="1"/>
      <c r="M3416" s="1"/>
      <c r="N3416" s="1"/>
    </row>
    <row r="3417" ht="14.5" spans="2:14">
      <c r="B3417" s="1"/>
      <c r="C3417" s="1"/>
      <c r="D3417" s="1"/>
      <c r="E3417" s="1"/>
      <c r="F3417" s="1"/>
      <c r="G3417" s="1"/>
      <c r="H3417" s="1"/>
      <c r="I3417" s="1"/>
      <c r="J3417" s="1"/>
      <c r="K3417" s="1"/>
      <c r="L3417" s="1"/>
      <c r="M3417" s="1"/>
      <c r="N3417" s="1"/>
    </row>
    <row r="3418" ht="14.5" spans="2:14">
      <c r="B3418" s="1"/>
      <c r="C3418" s="1"/>
      <c r="D3418" s="1"/>
      <c r="E3418" s="1"/>
      <c r="F3418" s="1"/>
      <c r="G3418" s="1"/>
      <c r="H3418" s="1"/>
      <c r="I3418" s="1"/>
      <c r="J3418" s="1"/>
      <c r="K3418" s="1"/>
      <c r="L3418" s="1"/>
      <c r="M3418" s="1"/>
      <c r="N3418" s="1"/>
    </row>
    <row r="3419" ht="14.5" spans="2:14">
      <c r="B3419" s="1"/>
      <c r="C3419" s="1"/>
      <c r="D3419" s="1"/>
      <c r="E3419" s="1"/>
      <c r="F3419" s="1"/>
      <c r="G3419" s="1"/>
      <c r="H3419" s="1"/>
      <c r="I3419" s="1"/>
      <c r="J3419" s="1"/>
      <c r="K3419" s="1"/>
      <c r="L3419" s="1"/>
      <c r="M3419" s="1"/>
      <c r="N3419" s="1"/>
    </row>
    <row r="3420" ht="14.5" spans="2:14">
      <c r="B3420" s="1"/>
      <c r="C3420" s="1"/>
      <c r="D3420" s="1"/>
      <c r="E3420" s="1"/>
      <c r="F3420" s="1"/>
      <c r="G3420" s="1"/>
      <c r="H3420" s="1"/>
      <c r="I3420" s="1"/>
      <c r="J3420" s="1"/>
      <c r="K3420" s="1"/>
      <c r="L3420" s="1"/>
      <c r="M3420" s="1"/>
      <c r="N3420" s="1"/>
    </row>
    <row r="3421" ht="14.5" spans="2:14">
      <c r="B3421" s="1"/>
      <c r="C3421" s="1"/>
      <c r="D3421" s="1"/>
      <c r="E3421" s="1"/>
      <c r="F3421" s="1"/>
      <c r="G3421" s="1"/>
      <c r="H3421" s="1"/>
      <c r="I3421" s="1"/>
      <c r="J3421" s="1"/>
      <c r="K3421" s="1"/>
      <c r="L3421" s="1"/>
      <c r="M3421" s="1"/>
      <c r="N3421" s="1"/>
    </row>
    <row r="3422" ht="14.5" spans="2:14">
      <c r="B3422" s="1"/>
      <c r="C3422" s="1"/>
      <c r="D3422" s="1"/>
      <c r="E3422" s="1"/>
      <c r="F3422" s="1"/>
      <c r="G3422" s="1"/>
      <c r="H3422" s="1"/>
      <c r="I3422" s="1"/>
      <c r="J3422" s="1"/>
      <c r="K3422" s="1"/>
      <c r="L3422" s="1"/>
      <c r="M3422" s="1"/>
      <c r="N3422" s="1"/>
    </row>
    <row r="3423" ht="14.5" spans="2:14">
      <c r="B3423" s="1"/>
      <c r="C3423" s="1"/>
      <c r="D3423" s="1"/>
      <c r="E3423" s="1"/>
      <c r="F3423" s="1"/>
      <c r="G3423" s="1"/>
      <c r="H3423" s="1"/>
      <c r="I3423" s="1"/>
      <c r="J3423" s="1"/>
      <c r="K3423" s="1"/>
      <c r="L3423" s="1"/>
      <c r="M3423" s="1"/>
      <c r="N3423" s="1"/>
    </row>
    <row r="3424" ht="14.5" spans="2:14">
      <c r="B3424" s="1"/>
      <c r="C3424" s="1"/>
      <c r="D3424" s="1"/>
      <c r="E3424" s="1"/>
      <c r="F3424" s="1"/>
      <c r="G3424" s="1"/>
      <c r="H3424" s="1"/>
      <c r="I3424" s="1"/>
      <c r="J3424" s="1"/>
      <c r="K3424" s="1"/>
      <c r="L3424" s="1"/>
      <c r="M3424" s="1"/>
      <c r="N3424" s="1"/>
    </row>
    <row r="3425" ht="14.5" spans="2:14">
      <c r="B3425" s="1"/>
      <c r="C3425" s="1"/>
      <c r="D3425" s="1"/>
      <c r="E3425" s="1"/>
      <c r="F3425" s="1"/>
      <c r="G3425" s="1"/>
      <c r="H3425" s="1"/>
      <c r="I3425" s="1"/>
      <c r="J3425" s="1"/>
      <c r="K3425" s="1"/>
      <c r="L3425" s="1"/>
      <c r="M3425" s="1"/>
      <c r="N3425" s="1"/>
    </row>
    <row r="3426" ht="14.5" spans="2:14">
      <c r="B3426" s="1"/>
      <c r="C3426" s="1"/>
      <c r="D3426" s="1"/>
      <c r="E3426" s="1"/>
      <c r="F3426" s="1"/>
      <c r="G3426" s="1"/>
      <c r="H3426" s="1"/>
      <c r="I3426" s="1"/>
      <c r="J3426" s="1"/>
      <c r="K3426" s="1"/>
      <c r="L3426" s="1"/>
      <c r="M3426" s="1"/>
      <c r="N3426" s="1"/>
    </row>
    <row r="3427" ht="14.5" spans="2:14">
      <c r="B3427" s="1"/>
      <c r="C3427" s="1"/>
      <c r="D3427" s="1"/>
      <c r="E3427" s="1"/>
      <c r="F3427" s="1"/>
      <c r="G3427" s="1"/>
      <c r="H3427" s="1"/>
      <c r="I3427" s="1"/>
      <c r="J3427" s="1"/>
      <c r="K3427" s="1"/>
      <c r="L3427" s="1"/>
      <c r="M3427" s="1"/>
      <c r="N3427" s="1"/>
    </row>
    <row r="3428" ht="14.5" spans="2:14">
      <c r="B3428" s="1"/>
      <c r="C3428" s="1"/>
      <c r="D3428" s="1"/>
      <c r="E3428" s="1"/>
      <c r="F3428" s="1"/>
      <c r="G3428" s="1"/>
      <c r="H3428" s="1"/>
      <c r="I3428" s="1"/>
      <c r="J3428" s="1"/>
      <c r="K3428" s="1"/>
      <c r="L3428" s="1"/>
      <c r="M3428" s="1"/>
      <c r="N3428" s="1"/>
    </row>
    <row r="3429" ht="14.5" spans="2:14">
      <c r="B3429" s="1"/>
      <c r="C3429" s="1"/>
      <c r="D3429" s="1"/>
      <c r="E3429" s="1"/>
      <c r="F3429" s="1"/>
      <c r="G3429" s="1"/>
      <c r="H3429" s="1"/>
      <c r="I3429" s="1"/>
      <c r="J3429" s="1"/>
      <c r="K3429" s="1"/>
      <c r="L3429" s="1"/>
      <c r="M3429" s="1"/>
      <c r="N3429" s="1"/>
    </row>
    <row r="3430" ht="14.5" spans="2:14">
      <c r="B3430" s="1"/>
      <c r="C3430" s="1"/>
      <c r="D3430" s="1"/>
      <c r="E3430" s="1"/>
      <c r="F3430" s="1"/>
      <c r="G3430" s="1"/>
      <c r="H3430" s="1"/>
      <c r="I3430" s="1"/>
      <c r="J3430" s="1"/>
      <c r="K3430" s="1"/>
      <c r="L3430" s="1"/>
      <c r="M3430" s="1"/>
      <c r="N3430" s="1"/>
    </row>
    <row r="3431" ht="14.5" spans="2:14">
      <c r="B3431" s="1"/>
      <c r="C3431" s="1"/>
      <c r="D3431" s="1"/>
      <c r="E3431" s="1"/>
      <c r="F3431" s="1"/>
      <c r="G3431" s="1"/>
      <c r="H3431" s="1"/>
      <c r="I3431" s="1"/>
      <c r="J3431" s="1"/>
      <c r="K3431" s="1"/>
      <c r="L3431" s="1"/>
      <c r="M3431" s="1"/>
      <c r="N3431" s="1"/>
    </row>
    <row r="3432" ht="14.5" spans="2:14">
      <c r="B3432" s="1"/>
      <c r="C3432" s="1"/>
      <c r="D3432" s="1"/>
      <c r="E3432" s="1"/>
      <c r="F3432" s="1"/>
      <c r="G3432" s="1"/>
      <c r="H3432" s="1"/>
      <c r="I3432" s="1"/>
      <c r="J3432" s="1"/>
      <c r="K3432" s="1"/>
      <c r="L3432" s="1"/>
      <c r="M3432" s="1"/>
      <c r="N3432" s="1"/>
    </row>
    <row r="3433" ht="14.5" spans="2:14">
      <c r="B3433" s="1"/>
      <c r="C3433" s="1"/>
      <c r="D3433" s="1"/>
      <c r="E3433" s="1"/>
      <c r="F3433" s="1"/>
      <c r="G3433" s="1"/>
      <c r="H3433" s="1"/>
      <c r="I3433" s="1"/>
      <c r="J3433" s="1"/>
      <c r="K3433" s="1"/>
      <c r="L3433" s="1"/>
      <c r="M3433" s="1"/>
      <c r="N3433" s="1"/>
    </row>
    <row r="3434" ht="14.5" spans="2:14">
      <c r="B3434" s="1"/>
      <c r="C3434" s="1"/>
      <c r="D3434" s="1"/>
      <c r="E3434" s="1"/>
      <c r="F3434" s="1"/>
      <c r="G3434" s="1"/>
      <c r="H3434" s="1"/>
      <c r="I3434" s="1"/>
      <c r="J3434" s="1"/>
      <c r="K3434" s="1"/>
      <c r="L3434" s="1"/>
      <c r="M3434" s="1"/>
      <c r="N3434" s="1"/>
    </row>
    <row r="3435" ht="14.5" spans="2:14">
      <c r="B3435" s="1"/>
      <c r="C3435" s="1"/>
      <c r="D3435" s="1"/>
      <c r="E3435" s="1"/>
      <c r="F3435" s="1"/>
      <c r="G3435" s="1"/>
      <c r="H3435" s="1"/>
      <c r="I3435" s="1"/>
      <c r="J3435" s="1"/>
      <c r="K3435" s="1"/>
      <c r="L3435" s="1"/>
      <c r="M3435" s="1"/>
      <c r="N3435" s="1"/>
    </row>
    <row r="3436" ht="14.5" spans="2:14">
      <c r="B3436" s="1"/>
      <c r="C3436" s="1"/>
      <c r="D3436" s="1"/>
      <c r="E3436" s="1"/>
      <c r="F3436" s="1"/>
      <c r="G3436" s="1"/>
      <c r="H3436" s="1"/>
      <c r="I3436" s="1"/>
      <c r="J3436" s="1"/>
      <c r="K3436" s="1"/>
      <c r="L3436" s="1"/>
      <c r="M3436" s="1"/>
      <c r="N3436" s="1"/>
    </row>
    <row r="3437" ht="14.5" spans="2:14">
      <c r="B3437" s="1"/>
      <c r="C3437" s="1"/>
      <c r="D3437" s="1"/>
      <c r="E3437" s="1"/>
      <c r="F3437" s="1"/>
      <c r="G3437" s="1"/>
      <c r="H3437" s="1"/>
      <c r="I3437" s="1"/>
      <c r="J3437" s="1"/>
      <c r="K3437" s="1"/>
      <c r="L3437" s="1"/>
      <c r="M3437" s="1"/>
      <c r="N3437" s="1"/>
    </row>
    <row r="3438" ht="14.5" spans="2:14">
      <c r="B3438" s="1"/>
      <c r="C3438" s="1"/>
      <c r="D3438" s="1"/>
      <c r="E3438" s="1"/>
      <c r="F3438" s="1"/>
      <c r="G3438" s="1"/>
      <c r="H3438" s="1"/>
      <c r="I3438" s="1"/>
      <c r="J3438" s="1"/>
      <c r="K3438" s="1"/>
      <c r="L3438" s="1"/>
      <c r="M3438" s="1"/>
      <c r="N3438" s="1"/>
    </row>
    <row r="3439" ht="14.5" spans="2:14">
      <c r="B3439" s="1"/>
      <c r="C3439" s="1"/>
      <c r="D3439" s="1"/>
      <c r="E3439" s="1"/>
      <c r="F3439" s="1"/>
      <c r="G3439" s="1"/>
      <c r="H3439" s="1"/>
      <c r="I3439" s="1"/>
      <c r="J3439" s="1"/>
      <c r="K3439" s="1"/>
      <c r="L3439" s="1"/>
      <c r="M3439" s="1"/>
      <c r="N3439" s="1"/>
    </row>
    <row r="3440" ht="14.5" spans="2:14">
      <c r="B3440" s="1"/>
      <c r="C3440" s="1"/>
      <c r="D3440" s="1"/>
      <c r="E3440" s="1"/>
      <c r="F3440" s="1"/>
      <c r="G3440" s="1"/>
      <c r="H3440" s="1"/>
      <c r="I3440" s="1"/>
      <c r="J3440" s="1"/>
      <c r="K3440" s="1"/>
      <c r="L3440" s="1"/>
      <c r="M3440" s="1"/>
      <c r="N3440" s="1"/>
    </row>
    <row r="3441" ht="14.5" spans="2:14">
      <c r="B3441" s="1"/>
      <c r="C3441" s="1"/>
      <c r="D3441" s="1"/>
      <c r="E3441" s="1"/>
      <c r="F3441" s="1"/>
      <c r="G3441" s="1"/>
      <c r="H3441" s="1"/>
      <c r="I3441" s="1"/>
      <c r="J3441" s="1"/>
      <c r="K3441" s="1"/>
      <c r="L3441" s="1"/>
      <c r="M3441" s="1"/>
      <c r="N3441" s="1"/>
    </row>
    <row r="3442" ht="14.5" spans="2:14">
      <c r="B3442" s="1"/>
      <c r="C3442" s="1"/>
      <c r="D3442" s="1"/>
      <c r="E3442" s="1"/>
      <c r="F3442" s="1"/>
      <c r="G3442" s="1"/>
      <c r="H3442" s="1"/>
      <c r="I3442" s="1"/>
      <c r="J3442" s="1"/>
      <c r="K3442" s="1"/>
      <c r="L3442" s="1"/>
      <c r="M3442" s="1"/>
      <c r="N3442" s="1"/>
    </row>
    <row r="3443" ht="14.5" spans="2:14">
      <c r="B3443" s="1"/>
      <c r="C3443" s="1"/>
      <c r="D3443" s="1"/>
      <c r="E3443" s="1"/>
      <c r="F3443" s="1"/>
      <c r="G3443" s="1"/>
      <c r="H3443" s="1"/>
      <c r="I3443" s="1"/>
      <c r="J3443" s="1"/>
      <c r="K3443" s="1"/>
      <c r="L3443" s="1"/>
      <c r="M3443" s="1"/>
      <c r="N3443" s="1"/>
    </row>
    <row r="3444" ht="14.5" spans="2:14">
      <c r="B3444" s="1"/>
      <c r="C3444" s="1"/>
      <c r="D3444" s="1"/>
      <c r="E3444" s="1"/>
      <c r="F3444" s="1"/>
      <c r="G3444" s="1"/>
      <c r="H3444" s="1"/>
      <c r="I3444" s="1"/>
      <c r="J3444" s="1"/>
      <c r="K3444" s="1"/>
      <c r="L3444" s="1"/>
      <c r="M3444" s="1"/>
      <c r="N3444" s="1"/>
    </row>
    <row r="3445" ht="14.5" spans="2:14">
      <c r="B3445" s="1"/>
      <c r="C3445" s="1"/>
      <c r="D3445" s="1"/>
      <c r="E3445" s="1"/>
      <c r="F3445" s="1"/>
      <c r="G3445" s="1"/>
      <c r="H3445" s="1"/>
      <c r="I3445" s="1"/>
      <c r="J3445" s="1"/>
      <c r="K3445" s="1"/>
      <c r="L3445" s="1"/>
      <c r="M3445" s="1"/>
      <c r="N3445" s="1"/>
    </row>
    <row r="3446" ht="14.5" spans="2:14">
      <c r="B3446" s="1"/>
      <c r="C3446" s="1"/>
      <c r="D3446" s="1"/>
      <c r="E3446" s="1"/>
      <c r="F3446" s="1"/>
      <c r="G3446" s="1"/>
      <c r="H3446" s="1"/>
      <c r="I3446" s="1"/>
      <c r="J3446" s="1"/>
      <c r="K3446" s="1"/>
      <c r="L3446" s="1"/>
      <c r="M3446" s="1"/>
      <c r="N3446" s="1"/>
    </row>
    <row r="3447" ht="14.5" spans="2:14">
      <c r="B3447" s="1"/>
      <c r="C3447" s="1"/>
      <c r="D3447" s="1"/>
      <c r="E3447" s="1"/>
      <c r="F3447" s="1"/>
      <c r="G3447" s="1"/>
      <c r="H3447" s="1"/>
      <c r="I3447" s="1"/>
      <c r="J3447" s="1"/>
      <c r="K3447" s="1"/>
      <c r="L3447" s="1"/>
      <c r="M3447" s="1"/>
      <c r="N3447" s="1"/>
    </row>
    <row r="3448" ht="14.5" spans="2:14">
      <c r="B3448" s="1"/>
      <c r="C3448" s="1"/>
      <c r="D3448" s="1"/>
      <c r="E3448" s="1"/>
      <c r="F3448" s="1"/>
      <c r="G3448" s="1"/>
      <c r="H3448" s="1"/>
      <c r="I3448" s="1"/>
      <c r="J3448" s="1"/>
      <c r="K3448" s="1"/>
      <c r="L3448" s="1"/>
      <c r="M3448" s="1"/>
      <c r="N3448" s="1"/>
    </row>
    <row r="3449" ht="14.5" spans="2:14">
      <c r="B3449" s="1"/>
      <c r="C3449" s="1"/>
      <c r="D3449" s="1"/>
      <c r="E3449" s="1"/>
      <c r="F3449" s="1"/>
      <c r="G3449" s="1"/>
      <c r="H3449" s="1"/>
      <c r="I3449" s="1"/>
      <c r="J3449" s="1"/>
      <c r="K3449" s="1"/>
      <c r="L3449" s="1"/>
      <c r="M3449" s="1"/>
      <c r="N3449" s="1"/>
    </row>
    <row r="3450" ht="14.5" spans="2:14">
      <c r="B3450" s="1"/>
      <c r="C3450" s="1"/>
      <c r="D3450" s="1"/>
      <c r="E3450" s="1"/>
      <c r="F3450" s="1"/>
      <c r="G3450" s="1"/>
      <c r="H3450" s="1"/>
      <c r="I3450" s="1"/>
      <c r="J3450" s="1"/>
      <c r="K3450" s="1"/>
      <c r="L3450" s="1"/>
      <c r="M3450" s="1"/>
      <c r="N3450" s="1"/>
    </row>
    <row r="3451" ht="14.5" spans="2:14">
      <c r="B3451" s="1"/>
      <c r="C3451" s="1"/>
      <c r="D3451" s="1"/>
      <c r="E3451" s="1"/>
      <c r="F3451" s="1"/>
      <c r="G3451" s="1"/>
      <c r="H3451" s="1"/>
      <c r="I3451" s="1"/>
      <c r="J3451" s="1"/>
      <c r="K3451" s="1"/>
      <c r="L3451" s="1"/>
      <c r="M3451" s="1"/>
      <c r="N3451" s="1"/>
    </row>
    <row r="3452" ht="14.5" spans="2:14">
      <c r="B3452" s="1"/>
      <c r="C3452" s="1"/>
      <c r="D3452" s="1"/>
      <c r="E3452" s="1"/>
      <c r="F3452" s="1"/>
      <c r="G3452" s="1"/>
      <c r="H3452" s="1"/>
      <c r="I3452" s="1"/>
      <c r="J3452" s="1"/>
      <c r="K3452" s="1"/>
      <c r="L3452" s="1"/>
      <c r="M3452" s="1"/>
      <c r="N3452" s="1"/>
    </row>
    <row r="3453" ht="14.5" spans="2:14">
      <c r="B3453" s="1"/>
      <c r="C3453" s="1"/>
      <c r="D3453" s="1"/>
      <c r="E3453" s="1"/>
      <c r="F3453" s="1"/>
      <c r="G3453" s="1"/>
      <c r="H3453" s="1"/>
      <c r="I3453" s="1"/>
      <c r="J3453" s="1"/>
      <c r="K3453" s="1"/>
      <c r="L3453" s="1"/>
      <c r="M3453" s="1"/>
      <c r="N3453" s="1"/>
    </row>
    <row r="3454" ht="14.5" spans="2:14">
      <c r="B3454" s="1"/>
      <c r="C3454" s="1"/>
      <c r="D3454" s="1"/>
      <c r="E3454" s="1"/>
      <c r="F3454" s="1"/>
      <c r="G3454" s="1"/>
      <c r="H3454" s="1"/>
      <c r="I3454" s="1"/>
      <c r="J3454" s="1"/>
      <c r="K3454" s="1"/>
      <c r="L3454" s="1"/>
      <c r="M3454" s="1"/>
      <c r="N3454" s="1"/>
    </row>
    <row r="3455" ht="14.5" spans="2:14">
      <c r="B3455" s="1"/>
      <c r="C3455" s="1"/>
      <c r="D3455" s="1"/>
      <c r="E3455" s="1"/>
      <c r="F3455" s="1"/>
      <c r="G3455" s="1"/>
      <c r="H3455" s="1"/>
      <c r="I3455" s="1"/>
      <c r="J3455" s="1"/>
      <c r="K3455" s="1"/>
      <c r="L3455" s="1"/>
      <c r="M3455" s="1"/>
      <c r="N3455" s="1"/>
    </row>
    <row r="3456" ht="14.5" spans="2:14">
      <c r="B3456" s="1"/>
      <c r="C3456" s="1"/>
      <c r="D3456" s="1"/>
      <c r="E3456" s="1"/>
      <c r="F3456" s="1"/>
      <c r="G3456" s="1"/>
      <c r="H3456" s="1"/>
      <c r="I3456" s="1"/>
      <c r="J3456" s="1"/>
      <c r="K3456" s="1"/>
      <c r="L3456" s="1"/>
      <c r="M3456" s="1"/>
      <c r="N3456" s="1"/>
    </row>
    <row r="3457" ht="14.5" spans="2:14">
      <c r="B3457" s="1"/>
      <c r="C3457" s="1"/>
      <c r="D3457" s="1"/>
      <c r="E3457" s="1"/>
      <c r="F3457" s="1"/>
      <c r="G3457" s="1"/>
      <c r="H3457" s="1"/>
      <c r="I3457" s="1"/>
      <c r="J3457" s="1"/>
      <c r="K3457" s="1"/>
      <c r="L3457" s="1"/>
      <c r="M3457" s="1"/>
      <c r="N3457" s="1"/>
    </row>
    <row r="3458" ht="14.5" spans="2:14">
      <c r="B3458" s="1"/>
      <c r="C3458" s="1"/>
      <c r="D3458" s="1"/>
      <c r="E3458" s="1"/>
      <c r="F3458" s="1"/>
      <c r="G3458" s="1"/>
      <c r="H3458" s="1"/>
      <c r="I3458" s="1"/>
      <c r="J3458" s="1"/>
      <c r="K3458" s="1"/>
      <c r="L3458" s="1"/>
      <c r="M3458" s="1"/>
      <c r="N3458" s="1"/>
    </row>
    <row r="3459" ht="14.5" spans="2:14">
      <c r="B3459" s="1"/>
      <c r="C3459" s="1"/>
      <c r="D3459" s="1"/>
      <c r="E3459" s="1"/>
      <c r="F3459" s="1"/>
      <c r="G3459" s="1"/>
      <c r="H3459" s="1"/>
      <c r="I3459" s="1"/>
      <c r="J3459" s="1"/>
      <c r="K3459" s="1"/>
      <c r="L3459" s="1"/>
      <c r="M3459" s="1"/>
      <c r="N3459" s="1"/>
    </row>
    <row r="3460" ht="14.5" spans="2:14">
      <c r="B3460" s="1"/>
      <c r="C3460" s="1"/>
      <c r="D3460" s="1"/>
      <c r="E3460" s="1"/>
      <c r="F3460" s="1"/>
      <c r="G3460" s="1"/>
      <c r="H3460" s="1"/>
      <c r="I3460" s="1"/>
      <c r="J3460" s="1"/>
      <c r="K3460" s="1"/>
      <c r="L3460" s="1"/>
      <c r="M3460" s="1"/>
      <c r="N3460" s="1"/>
    </row>
    <row r="3461" ht="14.5" spans="2:14">
      <c r="B3461" s="1"/>
      <c r="C3461" s="1"/>
      <c r="D3461" s="1"/>
      <c r="E3461" s="1"/>
      <c r="F3461" s="1"/>
      <c r="G3461" s="1"/>
      <c r="H3461" s="1"/>
      <c r="I3461" s="1"/>
      <c r="J3461" s="1"/>
      <c r="K3461" s="1"/>
      <c r="L3461" s="1"/>
      <c r="M3461" s="1"/>
      <c r="N3461" s="1"/>
    </row>
    <row r="3462" ht="14.5" spans="2:14">
      <c r="B3462" s="1"/>
      <c r="C3462" s="1"/>
      <c r="D3462" s="1"/>
      <c r="E3462" s="1"/>
      <c r="F3462" s="1"/>
      <c r="G3462" s="1"/>
      <c r="H3462" s="1"/>
      <c r="I3462" s="1"/>
      <c r="J3462" s="1"/>
      <c r="K3462" s="1"/>
      <c r="L3462" s="1"/>
      <c r="M3462" s="1"/>
      <c r="N3462" s="1"/>
    </row>
    <row r="3463" ht="14.5" spans="2:14">
      <c r="B3463" s="1"/>
      <c r="C3463" s="1"/>
      <c r="D3463" s="1"/>
      <c r="E3463" s="1"/>
      <c r="F3463" s="1"/>
      <c r="G3463" s="1"/>
      <c r="H3463" s="1"/>
      <c r="I3463" s="1"/>
      <c r="J3463" s="1"/>
      <c r="K3463" s="1"/>
      <c r="L3463" s="1"/>
      <c r="M3463" s="1"/>
      <c r="N3463" s="1"/>
    </row>
    <row r="3464" ht="14.5" spans="2:14">
      <c r="B3464" s="1"/>
      <c r="C3464" s="1"/>
      <c r="D3464" s="1"/>
      <c r="E3464" s="1"/>
      <c r="F3464" s="1"/>
      <c r="G3464" s="1"/>
      <c r="H3464" s="1"/>
      <c r="I3464" s="1"/>
      <c r="J3464" s="1"/>
      <c r="K3464" s="1"/>
      <c r="L3464" s="1"/>
      <c r="M3464" s="1"/>
      <c r="N3464" s="1"/>
    </row>
    <row r="3465" ht="14.5" spans="2:14">
      <c r="B3465" s="1"/>
      <c r="C3465" s="1"/>
      <c r="D3465" s="1"/>
      <c r="E3465" s="1"/>
      <c r="F3465" s="1"/>
      <c r="G3465" s="1"/>
      <c r="H3465" s="1"/>
      <c r="I3465" s="1"/>
      <c r="J3465" s="1"/>
      <c r="K3465" s="1"/>
      <c r="L3465" s="1"/>
      <c r="M3465" s="1"/>
      <c r="N3465" s="1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RTT</vt:lpstr>
      <vt:lpstr>TimePeriods</vt:lpstr>
      <vt:lpstr>System Settings</vt:lpstr>
      <vt:lpstr>Constants</vt:lpstr>
      <vt:lpstr>reporting options</vt:lpstr>
      <vt:lpstr>CommGrp</vt:lpstr>
      <vt:lpstr>Comm</vt:lpstr>
      <vt:lpstr>Comm+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cp:lastPrinted>2001-09-28T20:39:00Z</cp:lastPrinted>
  <dcterms:modified xsi:type="dcterms:W3CDTF">2025-10-01T20:13:27Z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554694757842944</vt:r8>
  </property>
  <property fmtid="{D5CDD505-2E9C-101B-9397-08002B2CF9AE}" pid="3" name="{A44787D4-0540-4523-9961-78E4036D8C6D}">
    <vt:lpwstr>{A39C8D83-5663-4EF8-B7A7-7AE47CFA36FA}</vt:lpwstr>
  </property>
  <property fmtid="{D5CDD505-2E9C-101B-9397-08002B2CF9AE}" pid="4" name="ICV">
    <vt:lpwstr>3771535884CB45EC9C889095B54F28AA_12</vt:lpwstr>
  </property>
  <property fmtid="{D5CDD505-2E9C-101B-9397-08002B2CF9AE}" pid="5" name="KSOProductBuildVer">
    <vt:lpwstr>1033-12.2.0.22549</vt:lpwstr>
  </property>
</Properties>
</file>